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500" firstSheet="0" activeTab="2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Inputs (2)" sheetId="2" state="visible" r:id="rId2"/>
    <sheet xmlns:r="http://schemas.openxmlformats.org/officeDocument/2006/relationships" name="Model" sheetId="3" state="visible" r:id="rId3"/>
    <sheet xmlns:r="http://schemas.openxmlformats.org/officeDocument/2006/relationships" name="Valuation" sheetId="4" state="visible" r:id="rId4"/>
    <sheet xmlns:r="http://schemas.openxmlformats.org/officeDocument/2006/relationships" name="Control" sheetId="5" state="visible" r:id="rId5"/>
  </sheets>
  <definedNames>
    <definedName name="aaa" hidden="1">{#N/A,#N/A,FALSE,"Aging Summary";#N/A,#N/A,FALSE,"Ratio Analysis";#N/A,#N/A,FALSE,"Test 120 Day Accts";#N/A,#N/A,FALSE,"Tickmarks"}</definedName>
    <definedName name="AAAA" hidden="1">{#N/A,#N/A,FALSE,"Aging Summary";#N/A,#N/A,FALSE,"Ratio Analysis";#N/A,#N/A,FALSE,"Test 120 Day Accts";#N/A,#N/A,FALSE,"Tickmarks"}</definedName>
    <definedName name="BalType" hidden="1">TRUE()</definedName>
    <definedName name="beta_observed">Valuation!$D$93</definedName>
    <definedName name="GrpAcct1" hidden="1">"5611"</definedName>
    <definedName name="GrpAcct2" hidden="1">"5612"</definedName>
    <definedName name="GrpLevel" hidden="1">2</definedName>
    <definedName name="last_close">Valuation!$G$7</definedName>
    <definedName name="NumofGrpAccts" hidden="1">2</definedName>
    <definedName name="nvnvnvnv" hidden="1">{#N/A,#N/A,FALSE,"Aging Summary";#N/A,#N/A,FALSE,"Ratio Analysis";#N/A,#N/A,FALSE,"Test 120 Day Accts";#N/A,#N/A,FALSE,"Tickmarks"}</definedName>
    <definedName name="RowLevel" hidden="1">1</definedName>
    <definedName name="TBdbName" hidden="1">"88D5BF544BE111D2B8C5006097494125.mdb"</definedName>
    <definedName name="TextRefCopyRangeCount" hidden="1">68</definedName>
    <definedName name="ticker">Valuation!$D$7</definedName>
    <definedName name="Useful_Life_of_Depreciable_PP_E">"PPElife"</definedName>
    <definedName name="wrn.Aging._.and._.Trend._.Analysis." hidden="1">{#N/A,#N/A,FALSE,"Aging Summary";#N/A,#N/A,FALSE,"Ratio Analysis";#N/A,#N/A,FALSE,"Test 120 Day Accts";#N/A,#N/A,FALSE,"Tickmarks"}</definedName>
    <definedName name="wrn.EXPENSES._.98._.US." hidden="1">{"Expenses 98 MKT",#N/A,TRUE,"MKT";"Expenses 98 BUSS",#N/A,TRUE,"BusOper";"Expenses 98 TECH",#N/A,TRUE,"Tech";"Expenses 98 LOCAL",#N/A,TRUE,"LocalProg";"Expenses 98 GA",#N/A,TRUE,"G&amp;A";"Expenses 98 CONSOL",#N/A,TRUE,"Consolidate"}</definedName>
    <definedName name="wrn.EXPENSES._.99._.REAL." hidden="1">{"Reais 99 MKT",#N/A,TRUE,"MKT";"Reais 99 BUSS",#N/A,TRUE,"BusOper";"Reais 99 TECH",#N/A,TRUE,"Tech";"Reais 99 LOCAL",#N/A,TRUE,"LocalProg";"Reais 99 GA",#N/A,TRUE,"G&amp;A";"Reais 99 CONSOL",#N/A,TRUE,"Consolidate"}</definedName>
    <definedName name="wrn.FINANCIAL._.MONTH." hidden="1">{"Expense Analysis MKT",#N/A,TRUE,"MKT";"Expense Analysis BUSS",#N/A,TRUE,"BusOper";"Expense Analysis TECH",#N/A,TRUE,"Tech";"Expense Analysis LOCAL",#N/A,TRUE,"LocalProg";"Expense Analysis GA",#N/A,TRUE,"G&amp;A";"Expense Analysis CONSOL",#N/A,TRUE,"Consolidate"}</definedName>
    <definedName name="wrn.FINANCIAL._.MONTHS." hidden="1">{"Expenses Amalysis Months MKT",#N/A,TRUE,"MKT";"Expenses Analysis Months BUSS",#N/A,TRUE,"BusOper";"Expenses Analysis Months TECH",#N/A,TRUE,"Tech";"Expenses Analysis Months LOCAL",#N/A,TRUE,"LocalProg";"Expenses Analysis Months GA",#N/A,TRUE,"G&amp;A";"Expenses Analysis Months CONSOL",#N/A,TRUE,"Consolidate"}</definedName>
    <definedName name="wrn.FINANCIAL._.US._.MONTH." hidden="1">{"Expenses us MKT",#N/A,TRUE,"MKT";"Expenses us BUSS",#N/A,TRUE,"BusOper";"Expenses us TECH",#N/A,TRUE,"Tech";"Expenses us LOCAL",#N/A,TRUE,"LocalProg";"Expenses us GA",#N/A,TRUE,"G&amp;A";"Expenses us CONSOL",#N/A,TRUE,"Consolidate"}</definedName>
    <definedName name="wrn.FINANCIAL._.US._.MONTHS." hidden="1">{"Expenses Months us MKT",#N/A,TRUE,"MKT";"Expenses Months us BUSS",#N/A,TRUE,"BusOper";"Expenses Months us TECH",#N/A,TRUE,"Tech";"Expenses Months us LOCAL",#N/A,TRUE,"LocalProg";"Expenses Months us GA",#N/A,TRUE,"G&amp;A";"Expenses Months us CONSOL",#N/A,TRUE,"Consolidate"}</definedName>
    <definedName name="wrn.grafico." hidden="1">{#N/A,#N/A,FALSE,"Graficos    ( 9 )"}</definedName>
    <definedName name="wrn.WORK._.PAPER." hidden="1">{#N/A,#N/A,TRUE,"Consolidate";"Work Paper MKT",#N/A,TRUE,"MKT";"Work Paper BUSS",#N/A,TRUE,"BusOper";"Work Paper TECH",#N/A,TRUE,"Tech";"Work Paper LOCAL",#N/A,TRUE,"LocalProg";"Work Paper GA",#N/A,TRUE,"G&amp;A";"Work Paper CONSOL",#N/A,TRUE,"Consolidate"}</definedName>
    <definedName name="wrn.WORK._.PAPER._.99." hidden="1">{"Work Paper99 MKT",#N/A,TRUE,"MKT";"Work Paper99 BUSS",#N/A,TRUE,"BusOper";"Work Paper99 TECH",#N/A,TRUE,"Tech";"Work Paper99 LOCAL",#N/A,TRUE,"LocalProg";"Work Paper99 GA",#N/A,TRUE,"G&amp;A";"Work Paper99 CONSOL",#N/A,TRUE,"Consolidate"}</definedName>
    <definedName name="XRefColumnsCount" hidden="1">2</definedName>
    <definedName name="XRefCopyRangeCount" hidden="1">5</definedName>
    <definedName name="XRefPasteRangeCount" hidden="1">35</definedName>
    <definedName name="beta_observed" localSheetId="1">#REF!</definedName>
    <definedName name="ticker" localSheetId="1">#REF!</definedName>
    <definedName name="costdebtfirm" localSheetId="3">Valuation!$D$86</definedName>
    <definedName name="costequity" localSheetId="3">Valuation!$D$94</definedName>
    <definedName name="debt" localSheetId="3">Valuation!$G$88</definedName>
    <definedName name="debt_weight" localSheetId="3">Valuation!$J$88</definedName>
    <definedName name="g" localSheetId="3">Valuation!$D$63</definedName>
    <definedName name="market_equity" localSheetId="3">Valuation!$G$89</definedName>
    <definedName name="noplat_t1" localSheetId="3">Valuation!$D$65</definedName>
    <definedName name="relevered_beta" localSheetId="3">Valuation!$M$102</definedName>
    <definedName name="risk_free_rate" localSheetId="3">Valuation!$D$91</definedName>
    <definedName name="risk_premium" localSheetId="3">Valuation!$D$92</definedName>
    <definedName name="ronic" localSheetId="3">Valuation!$D$64</definedName>
    <definedName name="stub_year_fraction" localSheetId="3">Valuation!$D$11</definedName>
    <definedName name="totalcap" localSheetId="3">Valuation!$G$90</definedName>
    <definedName name="wacc" localSheetId="3">Valuation!$D$12</definedName>
  </definedNames>
  <calcPr calcId="191029" fullCalcOnLoad="1"/>
</workbook>
</file>

<file path=xl/styles.xml><?xml version="1.0" encoding="utf-8"?>
<styleSheet xmlns="http://schemas.openxmlformats.org/spreadsheetml/2006/main">
  <numFmts count="37">
    <numFmt numFmtId="164" formatCode="#,##0_ ;[Red]\-#,##0\ "/>
    <numFmt numFmtId="165" formatCode="#,##0_);[Red]\(#,##0\)"/>
    <numFmt numFmtId="166" formatCode="#,##0.0_);[Red]\(#,##0.0\)"/>
    <numFmt numFmtId="167" formatCode="#,##0.0_ ;[Red]\-#,##0.0\ "/>
    <numFmt numFmtId="168" formatCode="[$-409]d\-mmm;@"/>
    <numFmt numFmtId="169" formatCode="[$-409]d\-mmm"/>
    <numFmt numFmtId="170" formatCode="[$-416]d\-mmm"/>
    <numFmt numFmtId="171" formatCode="0.0%"/>
    <numFmt numFmtId="172" formatCode="#,##0.0;[Red]#,##0.0"/>
    <numFmt numFmtId="173" formatCode="#,##0.00_);[Red]\(#,##0.00\)"/>
    <numFmt numFmtId="174" formatCode="0.0\x"/>
    <numFmt numFmtId="175" formatCode="0.0"/>
    <numFmt numFmtId="176" formatCode="[$-409]d\-mmm\-yy;@"/>
    <numFmt numFmtId="177" formatCode="[$BRL]\ #,##0.00_);[Red]\([$BRL]\ #,##0.00\)"/>
    <numFmt numFmtId="178" formatCode="#,##0.0_);\(#,##0.0\)"/>
    <numFmt numFmtId="179" formatCode="#,##0.000_);\(#,##0.000\)"/>
    <numFmt numFmtId="180" formatCode="&quot;R$ &quot;#,##0.00"/>
    <numFmt numFmtId="181" formatCode="#,##0.0\x"/>
    <numFmt numFmtId="182" formatCode="\$#,##0.00_);&quot;($&quot;#,##0.00\)"/>
    <numFmt numFmtId="183" formatCode="#,##0.000_);[Red]\(#,##0.000\)"/>
    <numFmt numFmtId="184" formatCode="\$#,##0.00_);[Red]&quot;($&quot;#,##0.00\)"/>
    <numFmt numFmtId="185" formatCode="\$#,##0.0_);&quot;($&quot;#,##0.0\)"/>
    <numFmt numFmtId="186" formatCode="#,##0_);\(#,##0\)"/>
    <numFmt numFmtId="187" formatCode="0.0%;\(0.0%\)"/>
    <numFmt numFmtId="188" formatCode="0.000"/>
    <numFmt numFmtId="189" formatCode="#,##0.00_);\(#,##0.00\)"/>
    <numFmt numFmtId="190" formatCode="#,##0.0"/>
    <numFmt numFmtId="191" formatCode="0.00\x"/>
    <numFmt numFmtId="192" formatCode="0.0&quot;x&quot;"/>
    <numFmt numFmtId="193" formatCode="#,##0.0;\(#,##0.0\)"/>
    <numFmt numFmtId="194" formatCode="_(* #,##0.00_);_(* \(#,##0.00\);_(* \-??_);_(@_)"/>
    <numFmt numFmtId="195" formatCode="_(* #,##0_);_(* \(#,##0\);_(* \-_);_(@_)"/>
    <numFmt numFmtId="196" formatCode="_(\$* #,##0.00_);_(\$* \(#,##0.00\);_(\$* \-??_);_(@_)"/>
    <numFmt numFmtId="197" formatCode="_(\$* #,##0_);_(\$* \(#,##0\);_(\$* \-_);_(@_)"/>
    <numFmt numFmtId="198" formatCode="m/d/yyyy"/>
    <numFmt numFmtId="199" formatCode="0_);\(0\)"/>
    <numFmt numFmtId="200" formatCode="#,##0;(#,##0)"/>
  </numFmts>
  <fonts count="33">
    <font>
      <name val="Arial"/>
      <family val="2"/>
      <sz val="10"/>
    </font>
    <font>
      <name val="Arial"/>
      <charset val="1"/>
      <sz val="10"/>
    </font>
    <font>
      <name val="Arial"/>
      <charset val="1"/>
      <b val="1"/>
      <sz val="8"/>
    </font>
    <font>
      <name val="Aptos Narrow"/>
      <charset val="1"/>
      <color theme="1"/>
      <sz val="11"/>
    </font>
    <font>
      <name val="Verdana"/>
      <charset val="1"/>
      <color theme="1"/>
      <sz val="10"/>
    </font>
    <font>
      <name val="Arial"/>
      <charset val="1"/>
      <sz val="8"/>
    </font>
    <font>
      <name val="Arial"/>
      <charset val="1"/>
      <b val="1"/>
      <color rgb="FF333333"/>
      <sz val="10"/>
    </font>
    <font>
      <name val="Calibri"/>
      <charset val="1"/>
      <color rgb="FF000000"/>
      <sz val="11"/>
    </font>
    <font>
      <name val="Cambria"/>
      <charset val="1"/>
      <b val="1"/>
      <color rgb="FFFFFFFF"/>
      <sz val="11"/>
    </font>
    <font>
      <name val="Cambria"/>
      <charset val="1"/>
      <b val="1"/>
      <color rgb="FF17365D"/>
      <sz val="11"/>
    </font>
    <font>
      <name val="Verdana"/>
      <charset val="1"/>
      <color rgb="FF0000FF"/>
      <sz val="10"/>
    </font>
    <font>
      <name val="Verdana"/>
      <charset val="1"/>
      <b val="1"/>
      <color theme="1"/>
      <sz val="10"/>
    </font>
    <font>
      <name val="Verdana"/>
      <charset val="1"/>
      <b val="1"/>
      <color rgb="FFFFFFFF"/>
      <sz val="10"/>
    </font>
    <font>
      <name val="Verdana"/>
      <charset val="1"/>
      <i val="1"/>
      <color theme="1"/>
      <sz val="10"/>
    </font>
    <font>
      <name val="Verdana"/>
      <charset val="1"/>
      <sz val="10"/>
    </font>
    <font>
      <name val="Verdana"/>
      <charset val="1"/>
      <b val="1"/>
      <color theme="0"/>
      <sz val="10"/>
    </font>
    <font>
      <name val="Verdana"/>
      <charset val="1"/>
      <b val="1"/>
      <sz val="10"/>
    </font>
    <font>
      <name val="Verdana"/>
      <charset val="1"/>
      <b val="1"/>
      <color theme="0" tint="-0.0499893185216834"/>
      <sz val="10"/>
    </font>
    <font>
      <name val="Verdana"/>
      <charset val="1"/>
      <b val="1"/>
      <color rgb="FF333333"/>
      <sz val="10"/>
    </font>
    <font>
      <name val="Verdana"/>
      <charset val="1"/>
      <b val="1"/>
      <color rgb="FF0000FF"/>
      <sz val="10"/>
    </font>
    <font>
      <name val="Verdana"/>
      <charset val="1"/>
      <color rgb="FF008000"/>
      <sz val="10"/>
    </font>
    <font>
      <name val="Cambria"/>
      <charset val="1"/>
      <b val="1"/>
      <color rgb="FFFFFFFF"/>
      <sz val="14"/>
    </font>
    <font>
      <name val="Cambria"/>
      <charset val="1"/>
      <color rgb="FF0000FF"/>
      <sz val="11"/>
    </font>
    <font>
      <name val="Arial"/>
      <color rgb="FF0000FF"/>
      <sz val="10"/>
    </font>
    <font>
      <name val="Arial"/>
      <color rgb="FF000000"/>
      <sz val="10"/>
    </font>
    <font>
      <name val="Verdana"/>
      <family val="2"/>
      <color rgb="FF000000"/>
      <sz val="10"/>
    </font>
    <font>
      <name val="Verdana"/>
      <family val="2"/>
      <color rgb="FF0000FF"/>
      <sz val="10"/>
    </font>
    <font>
      <name val="Verdana"/>
      <family val="2"/>
      <color rgb="FF00B050"/>
      <sz val="10"/>
    </font>
    <font>
      <name val="Verdana"/>
      <family val="2"/>
      <b val="1"/>
      <color rgb="FF000000"/>
      <sz val="10"/>
    </font>
    <font>
      <name val="Verdana"/>
      <family val="2"/>
      <b val="1"/>
      <color rgb="FF0000FF"/>
      <sz val="10"/>
    </font>
    <font>
      <name val="Verdana"/>
      <family val="2"/>
      <b val="1"/>
      <color rgb="FF00B050"/>
      <sz val="10"/>
    </font>
    <font>
      <name val="Verdana"/>
      <family val="2"/>
      <i val="1"/>
      <color rgb="FF000000"/>
      <sz val="10"/>
    </font>
    <font>
      <b val="1"/>
    </font>
  </fonts>
  <fills count="17">
    <fill>
      <patternFill/>
    </fill>
    <fill>
      <patternFill patternType="gray125"/>
    </fill>
    <fill>
      <patternFill patternType="solid">
        <fgColor rgb="FFC0C0C0"/>
        <bgColor rgb="FFD8D8D8"/>
      </patternFill>
    </fill>
    <fill>
      <patternFill patternType="solid">
        <fgColor rgb="FF17365D"/>
        <bgColor rgb="FF333333"/>
      </patternFill>
    </fill>
    <fill>
      <patternFill patternType="solid">
        <fgColor rgb="FFD9EAF7"/>
        <bgColor rgb="FFE2F0D9"/>
      </patternFill>
    </fill>
    <fill>
      <patternFill patternType="solid">
        <fgColor rgb="FFE2F0D9"/>
        <bgColor rgb="FFD9EAF7"/>
      </patternFill>
    </fill>
    <fill>
      <patternFill patternType="solid">
        <fgColor rgb="FFFFFFCC"/>
        <bgColor rgb="FFFFF2CC"/>
      </patternFill>
    </fill>
    <fill>
      <patternFill patternType="solid">
        <fgColor rgb="FFD9D9D9"/>
        <bgColor rgb="FFD8D8D8"/>
      </patternFill>
    </fill>
    <fill>
      <patternFill patternType="solid">
        <fgColor rgb="FFD8D8D8"/>
        <bgColor rgb="FFD9D9D9"/>
      </patternFill>
    </fill>
    <fill>
      <patternFill patternType="solid">
        <fgColor rgb="FF00B050"/>
        <bgColor rgb="FF008080"/>
      </patternFill>
    </fill>
    <fill>
      <patternFill patternType="solid">
        <fgColor theme="0"/>
        <bgColor rgb="FFF2F2F2"/>
      </patternFill>
    </fill>
    <fill>
      <patternFill patternType="solid">
        <fgColor theme="4" tint="0.3998840296639912"/>
        <bgColor rgb="FF00CCFF"/>
      </patternFill>
    </fill>
    <fill>
      <patternFill patternType="solid">
        <fgColor theme="0" tint="-0.0499893185216834"/>
        <bgColor rgb="FFE2F0D9"/>
      </patternFill>
    </fill>
    <fill>
      <patternFill patternType="solid">
        <fgColor rgb="FFFFF2CC"/>
        <bgColor rgb="FFFFFFCC"/>
      </patternFill>
    </fill>
    <fill>
      <patternFill patternType="solid">
        <fgColor rgb="FF4472C4"/>
        <bgColor rgb="FF666699"/>
      </patternFill>
    </fill>
    <fill>
      <patternFill patternType="solid">
        <fgColor rgb="FFFFFFCC"/>
      </patternFill>
    </fill>
    <fill>
      <patternFill patternType="solid">
        <fgColor rgb="FFFFFF00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/>
      <top/>
      <bottom style="medium">
        <color auto="1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hair">
        <color rgb="FF0000FF"/>
      </left>
      <right style="hair">
        <color rgb="FF0000FF"/>
      </right>
      <top style="thin">
        <color auto="1"/>
      </top>
      <bottom style="hair">
        <color rgb="FF0000FF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rgb="FF00B050"/>
      </left>
      <right style="medium">
        <color rgb="FF00B050"/>
      </right>
      <top style="medium">
        <color rgb="FF00B050"/>
      </top>
      <bottom style="medium">
        <color rgb="FF00B050"/>
      </bottom>
      <diagonal/>
    </border>
    <border>
      <left/>
      <right style="thin">
        <color rgb="FFFFFF00"/>
      </right>
      <top/>
      <bottom style="thin">
        <color rgb="FFFFFF00"/>
      </bottom>
      <diagonal/>
    </border>
    <border>
      <left style="thin">
        <color rgb="FFFFFF00"/>
      </left>
      <right/>
      <top/>
      <bottom style="thin">
        <color rgb="FFFFFF00"/>
      </bottom>
      <diagonal/>
    </border>
    <border>
      <left/>
      <right style="thin">
        <color rgb="FFFFFF00"/>
      </right>
      <top style="thin">
        <color rgb="FFFFFF00"/>
      </top>
      <bottom style="thin">
        <color rgb="FFFFFF00"/>
      </bottom>
      <diagonal/>
    </border>
    <border>
      <left style="thin">
        <color rgb="FFFFFF00"/>
      </left>
      <right/>
      <top style="thin">
        <color rgb="FFFFFF00"/>
      </top>
      <bottom style="thin">
        <color rgb="FFFFFF00"/>
      </bottom>
      <diagonal/>
    </border>
    <border>
      <left/>
      <right style="thin">
        <color rgb="FFFFFF00"/>
      </right>
      <top/>
      <bottom style="thin">
        <color auto="1"/>
      </bottom>
      <diagonal/>
    </border>
    <border>
      <left style="thin">
        <color rgb="FFFFFF00"/>
      </left>
      <right/>
      <top/>
      <bottom style="thin">
        <color auto="1"/>
      </bottom>
      <diagonal/>
    </border>
    <border>
      <left style="medium">
        <color rgb="FF00B050"/>
      </left>
      <right style="thin">
        <color auto="1"/>
      </right>
      <top style="medium">
        <color rgb="FF00B050"/>
      </top>
      <bottom style="medium">
        <color rgb="FF00B050"/>
      </bottom>
      <diagonal/>
    </border>
    <border>
      <left/>
      <right style="thin">
        <color auto="1"/>
      </right>
      <top style="thin">
        <color rgb="FFFFFF00"/>
      </top>
      <bottom style="thin">
        <color rgb="FFFFFF00"/>
      </bottom>
      <diagonal/>
    </border>
    <border>
      <left/>
      <right style="thin">
        <color auto="1"/>
      </right>
      <top style="thin">
        <color rgb="FFFFFF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thin">
        <color auto="1"/>
      </top>
      <bottom/>
      <diagonal/>
    </border>
  </borders>
  <cellStyleXfs count="35">
    <xf numFmtId="0" fontId="0" fillId="0" borderId="0"/>
    <xf numFmtId="194" fontId="1" fillId="0" borderId="0"/>
    <xf numFmtId="194" fontId="1" fillId="0" borderId="0"/>
    <xf numFmtId="194" fontId="1" fillId="0" borderId="0"/>
    <xf numFmtId="194" fontId="1" fillId="0" borderId="0"/>
    <xf numFmtId="195" fontId="1" fillId="0" borderId="0"/>
    <xf numFmtId="195" fontId="1" fillId="0" borderId="0"/>
    <xf numFmtId="195" fontId="1" fillId="0" borderId="0"/>
    <xf numFmtId="195" fontId="1" fillId="0" borderId="0"/>
    <xf numFmtId="196" fontId="1" fillId="0" borderId="0"/>
    <xf numFmtId="196" fontId="1" fillId="0" borderId="0"/>
    <xf numFmtId="196" fontId="1" fillId="0" borderId="0"/>
    <xf numFmtId="196" fontId="1" fillId="0" borderId="0"/>
    <xf numFmtId="196" fontId="1" fillId="0" borderId="0"/>
    <xf numFmtId="197" fontId="1" fillId="0" borderId="0"/>
    <xf numFmtId="197" fontId="1" fillId="0" borderId="0"/>
    <xf numFmtId="197" fontId="1" fillId="0" borderId="0"/>
    <xf numFmtId="197" fontId="1" fillId="0" borderId="0"/>
    <xf numFmtId="198" fontId="2" fillId="0" borderId="1"/>
    <xf numFmtId="0" fontId="1" fillId="0" borderId="0"/>
    <xf numFmtId="0" fontId="1" fillId="0" borderId="0"/>
    <xf numFmtId="0" fontId="3" fillId="0" borderId="0"/>
    <xf numFmtId="0" fontId="1" fillId="0" borderId="0"/>
    <xf numFmtId="0" fontId="4" fillId="0" borderId="0"/>
    <xf numFmtId="0" fontId="3" fillId="0" borderId="0"/>
    <xf numFmtId="0" fontId="1" fillId="0" borderId="0"/>
    <xf numFmtId="0" fontId="1" fillId="0" borderId="0"/>
    <xf numFmtId="199" fontId="5" fillId="0" borderId="0"/>
    <xf numFmtId="0" fontId="6" fillId="2" borderId="2"/>
    <xf numFmtId="9" fontId="1" fillId="0" borderId="0"/>
    <xf numFmtId="9" fontId="3" fillId="0" borderId="0"/>
    <xf numFmtId="9" fontId="1" fillId="0" borderId="0"/>
    <xf numFmtId="9" fontId="1" fillId="0" borderId="0"/>
    <xf numFmtId="9" fontId="4" fillId="0" borderId="0"/>
    <xf numFmtId="194" fontId="7" fillId="0" borderId="0"/>
  </cellStyleXfs>
  <cellXfs count="300">
    <xf numFmtId="0" fontId="0" fillId="0" borderId="0" pivotButton="0" quotePrefix="0" xfId="0"/>
    <xf numFmtId="0" fontId="8" fillId="3" borderId="0" pivotButton="0" quotePrefix="0" xfId="24"/>
    <xf numFmtId="0" fontId="9" fillId="4" borderId="0" pivotButton="0" quotePrefix="0" xfId="24"/>
    <xf numFmtId="0" fontId="4" fillId="0" borderId="0" applyAlignment="1" pivotButton="0" quotePrefix="0" xfId="24">
      <alignment horizontal="center"/>
    </xf>
    <xf numFmtId="0" fontId="4" fillId="0" borderId="0" pivotButton="0" quotePrefix="0" xfId="24"/>
    <xf numFmtId="0" fontId="8" fillId="3" borderId="0" applyAlignment="1" pivotButton="0" quotePrefix="0" xfId="24">
      <alignment horizontal="center"/>
    </xf>
    <xf numFmtId="0" fontId="8" fillId="3" borderId="0" applyAlignment="1" pivotButton="0" quotePrefix="0" xfId="21">
      <alignment horizontal="center"/>
    </xf>
    <xf numFmtId="164" fontId="8" fillId="3" borderId="0" applyAlignment="1" pivotButton="0" quotePrefix="0" xfId="21">
      <alignment horizontal="center"/>
    </xf>
    <xf numFmtId="0" fontId="3" fillId="5" borderId="0" pivotButton="0" quotePrefix="0" xfId="24"/>
    <xf numFmtId="165" fontId="10" fillId="6" borderId="0" applyAlignment="1" pivotButton="0" quotePrefix="0" xfId="24">
      <alignment horizontal="center"/>
    </xf>
    <xf numFmtId="0" fontId="4" fillId="7" borderId="0" pivotButton="0" quotePrefix="0" xfId="20"/>
    <xf numFmtId="166" fontId="10" fillId="6" borderId="0" applyAlignment="1" pivotButton="0" quotePrefix="0" xfId="24">
      <alignment horizontal="center"/>
    </xf>
    <xf numFmtId="166" fontId="4" fillId="0" borderId="0" applyAlignment="1" pivotButton="0" quotePrefix="0" xfId="24">
      <alignment horizontal="center"/>
    </xf>
    <xf numFmtId="167" fontId="4" fillId="7" borderId="0" applyAlignment="1" pivotButton="0" quotePrefix="0" xfId="20">
      <alignment horizontal="left"/>
    </xf>
    <xf numFmtId="0" fontId="4" fillId="7" borderId="0" applyAlignment="1" pivotButton="0" quotePrefix="0" xfId="20">
      <alignment horizontal="left"/>
    </xf>
    <xf numFmtId="0" fontId="4" fillId="7" borderId="1" applyAlignment="1" pivotButton="0" quotePrefix="0" xfId="20">
      <alignment horizontal="left"/>
    </xf>
    <xf numFmtId="166" fontId="4" fillId="0" borderId="0" pivotButton="0" quotePrefix="0" xfId="24"/>
    <xf numFmtId="0" fontId="11" fillId="0" borderId="0" pivotButton="0" quotePrefix="0" xfId="20"/>
    <xf numFmtId="0" fontId="4" fillId="0" borderId="0" pivotButton="0" quotePrefix="0" xfId="20"/>
    <xf numFmtId="168" fontId="10" fillId="6" borderId="0" applyAlignment="1" pivotButton="0" quotePrefix="0" xfId="24">
      <alignment horizontal="center"/>
    </xf>
    <xf numFmtId="169" fontId="10" fillId="6" borderId="0" applyAlignment="1" pivotButton="0" quotePrefix="0" xfId="21">
      <alignment horizontal="center"/>
    </xf>
    <xf numFmtId="170" fontId="4" fillId="7" borderId="0" applyAlignment="1" pivotButton="0" quotePrefix="0" xfId="21">
      <alignment horizontal="center"/>
    </xf>
    <xf numFmtId="170" fontId="11" fillId="7" borderId="0" applyAlignment="1" pivotButton="0" quotePrefix="0" xfId="21">
      <alignment horizontal="center"/>
    </xf>
    <xf numFmtId="168" fontId="10" fillId="0" borderId="0" applyAlignment="1" pivotButton="0" quotePrefix="0" xfId="24">
      <alignment horizontal="center"/>
    </xf>
    <xf numFmtId="164" fontId="4" fillId="0" borderId="0" applyAlignment="1" pivotButton="0" quotePrefix="0" xfId="21">
      <alignment horizontal="center"/>
    </xf>
    <xf numFmtId="0" fontId="4" fillId="0" borderId="0" applyAlignment="1" pivotButton="0" quotePrefix="0" xfId="21">
      <alignment horizontal="center"/>
    </xf>
    <xf numFmtId="0" fontId="11" fillId="8" borderId="0" applyAlignment="1" pivotButton="0" quotePrefix="0" xfId="21">
      <alignment horizontal="center"/>
    </xf>
    <xf numFmtId="10" fontId="11" fillId="0" borderId="0" applyAlignment="1" pivotButton="0" quotePrefix="0" xfId="30">
      <alignment horizontal="center"/>
    </xf>
    <xf numFmtId="0" fontId="11" fillId="0" borderId="0" applyAlignment="1" pivotButton="0" quotePrefix="0" xfId="21">
      <alignment horizontal="center"/>
    </xf>
    <xf numFmtId="10" fontId="11" fillId="0" borderId="0" applyAlignment="1" pivotButton="0" quotePrefix="0" xfId="21">
      <alignment horizontal="center"/>
    </xf>
    <xf numFmtId="0" fontId="11" fillId="0" borderId="0" applyAlignment="1" pivotButton="0" quotePrefix="0" xfId="24">
      <alignment horizontal="center"/>
    </xf>
    <xf numFmtId="0" fontId="12" fillId="9" borderId="0" applyAlignment="1" pivotButton="0" quotePrefix="0" xfId="20">
      <alignment horizontal="left"/>
    </xf>
    <xf numFmtId="0" fontId="11" fillId="0" borderId="0" pivotButton="0" quotePrefix="0" xfId="24"/>
    <xf numFmtId="0" fontId="11" fillId="7" borderId="0" pivotButton="0" quotePrefix="0" xfId="20"/>
    <xf numFmtId="166" fontId="11" fillId="7" borderId="0" applyAlignment="1" pivotButton="0" quotePrefix="0" xfId="24">
      <alignment horizontal="center"/>
    </xf>
    <xf numFmtId="166" fontId="11" fillId="0" borderId="0" applyAlignment="1" pivotButton="0" quotePrefix="0" xfId="24">
      <alignment horizontal="center"/>
    </xf>
    <xf numFmtId="0" fontId="11" fillId="10" borderId="0" applyAlignment="1" pivotButton="0" quotePrefix="0" xfId="24">
      <alignment horizontal="center"/>
    </xf>
    <xf numFmtId="0" fontId="4" fillId="10" borderId="0" applyAlignment="1" pivotButton="0" quotePrefix="0" xfId="24">
      <alignment horizontal="center"/>
    </xf>
    <xf numFmtId="171" fontId="4" fillId="10" borderId="0" pivotButton="0" quotePrefix="0" xfId="20"/>
    <xf numFmtId="166" fontId="11" fillId="10" borderId="0" applyAlignment="1" pivotButton="0" quotePrefix="0" xfId="24">
      <alignment horizontal="center"/>
    </xf>
    <xf numFmtId="9" fontId="4" fillId="10" borderId="0" applyAlignment="1" pivotButton="0" quotePrefix="0" xfId="30">
      <alignment horizontal="center"/>
    </xf>
    <xf numFmtId="10" fontId="10" fillId="6" borderId="0" applyAlignment="1" pivotButton="0" quotePrefix="0" xfId="24">
      <alignment horizontal="center"/>
    </xf>
    <xf numFmtId="166" fontId="4" fillId="10" borderId="0" applyAlignment="1" pivotButton="0" quotePrefix="0" xfId="24">
      <alignment horizontal="center"/>
    </xf>
    <xf numFmtId="0" fontId="11" fillId="10" borderId="0" pivotButton="0" quotePrefix="0" xfId="24"/>
    <xf numFmtId="171" fontId="13" fillId="10" borderId="0" pivotButton="0" quotePrefix="0" xfId="20"/>
    <xf numFmtId="0" fontId="11" fillId="10" borderId="0" pivotButton="0" quotePrefix="0" xfId="20"/>
    <xf numFmtId="166" fontId="4" fillId="7" borderId="0" applyAlignment="1" pivotButton="0" quotePrefix="0" xfId="24">
      <alignment horizontal="center"/>
    </xf>
    <xf numFmtId="171" fontId="4" fillId="10" borderId="0" applyAlignment="1" pivotButton="0" quotePrefix="0" xfId="20">
      <alignment horizontal="left"/>
    </xf>
    <xf numFmtId="171" fontId="4" fillId="10" borderId="0" applyAlignment="1" pivotButton="0" quotePrefix="0" xfId="30">
      <alignment horizontal="center"/>
    </xf>
    <xf numFmtId="171" fontId="10" fillId="6" borderId="0" applyAlignment="1" pivotButton="0" quotePrefix="0" xfId="30">
      <alignment horizontal="center"/>
    </xf>
    <xf numFmtId="167" fontId="4" fillId="0" borderId="0" applyAlignment="1" pivotButton="0" quotePrefix="0" xfId="20">
      <alignment horizontal="left"/>
    </xf>
    <xf numFmtId="171" fontId="4" fillId="0" borderId="0" applyAlignment="1" pivotButton="0" quotePrefix="0" xfId="30">
      <alignment horizontal="center"/>
    </xf>
    <xf numFmtId="171" fontId="10" fillId="6" borderId="0" applyAlignment="1" pivotButton="0" quotePrefix="0" xfId="24">
      <alignment horizontal="center"/>
    </xf>
    <xf numFmtId="9" fontId="4" fillId="0" borderId="0" applyAlignment="1" pivotButton="0" quotePrefix="0" xfId="30">
      <alignment horizontal="center"/>
    </xf>
    <xf numFmtId="9" fontId="4" fillId="0" borderId="0" applyAlignment="1" pivotButton="0" quotePrefix="0" xfId="30">
      <alignment horizontal="left"/>
    </xf>
    <xf numFmtId="9" fontId="10" fillId="6" borderId="0" applyAlignment="1" pivotButton="0" quotePrefix="0" xfId="30">
      <alignment horizontal="center"/>
    </xf>
    <xf numFmtId="9" fontId="4" fillId="0" borderId="0" pivotButton="0" quotePrefix="0" xfId="30"/>
    <xf numFmtId="0" fontId="4" fillId="0" borderId="0" applyAlignment="1" pivotButton="0" quotePrefix="0" xfId="20">
      <alignment horizontal="left"/>
    </xf>
    <xf numFmtId="171" fontId="4" fillId="0" borderId="0" applyAlignment="1" pivotButton="0" quotePrefix="0" xfId="24">
      <alignment horizontal="center"/>
    </xf>
    <xf numFmtId="0" fontId="4" fillId="10" borderId="0" applyAlignment="1" pivotButton="0" quotePrefix="0" xfId="20">
      <alignment horizontal="left"/>
    </xf>
    <xf numFmtId="0" fontId="14" fillId="10" borderId="0" applyAlignment="1" pivotButton="0" quotePrefix="0" xfId="20">
      <alignment horizontal="left"/>
    </xf>
    <xf numFmtId="166" fontId="14" fillId="10" borderId="0" applyAlignment="1" pivotButton="0" quotePrefix="0" xfId="24">
      <alignment horizontal="center"/>
    </xf>
    <xf numFmtId="164" fontId="10" fillId="6" borderId="0" applyAlignment="1" pivotButton="0" quotePrefix="0" xfId="24">
      <alignment horizontal="center"/>
    </xf>
    <xf numFmtId="166" fontId="4" fillId="0" borderId="0" applyAlignment="1" pivotButton="0" quotePrefix="0" xfId="24">
      <alignment horizontal="center" vertical="center"/>
    </xf>
    <xf numFmtId="172" fontId="4" fillId="0" borderId="0" applyAlignment="1" pivotButton="0" quotePrefix="0" xfId="24">
      <alignment horizontal="center"/>
    </xf>
    <xf numFmtId="0" fontId="11" fillId="7" borderId="0" applyAlignment="1" pivotButton="0" quotePrefix="0" xfId="20">
      <alignment horizontal="left"/>
    </xf>
    <xf numFmtId="0" fontId="4" fillId="10" borderId="0" pivotButton="0" quotePrefix="0" xfId="24"/>
    <xf numFmtId="167" fontId="4" fillId="10" borderId="0" applyAlignment="1" pivotButton="0" quotePrefix="0" xfId="20">
      <alignment horizontal="left"/>
    </xf>
    <xf numFmtId="173" fontId="4" fillId="0" borderId="0" applyAlignment="1" pivotButton="0" quotePrefix="0" xfId="24">
      <alignment horizontal="center"/>
    </xf>
    <xf numFmtId="165" fontId="4" fillId="0" borderId="0" applyAlignment="1" pivotButton="0" quotePrefix="0" xfId="24">
      <alignment horizontal="center"/>
    </xf>
    <xf numFmtId="0" fontId="12" fillId="9" borderId="0" applyAlignment="1" pivotButton="0" quotePrefix="0" xfId="20">
      <alignment horizontal="center"/>
    </xf>
    <xf numFmtId="0" fontId="4" fillId="7" borderId="1" pivotButton="0" quotePrefix="0" xfId="20"/>
    <xf numFmtId="172" fontId="4" fillId="0" borderId="0" pivotButton="0" quotePrefix="0" xfId="24"/>
    <xf numFmtId="0" fontId="15" fillId="11" borderId="0" pivotButton="0" quotePrefix="0" xfId="24"/>
    <xf numFmtId="0" fontId="11" fillId="0" borderId="0" applyAlignment="1" pivotButton="0" quotePrefix="0" xfId="24">
      <alignment vertical="center"/>
    </xf>
    <xf numFmtId="0" fontId="11" fillId="0" borderId="0" applyAlignment="1" pivotButton="0" quotePrefix="0" xfId="24">
      <alignment horizontal="center" vertical="center"/>
    </xf>
    <xf numFmtId="0" fontId="4" fillId="0" borderId="0" applyAlignment="1" pivotButton="0" quotePrefix="0" xfId="24">
      <alignment horizontal="center" vertical="center"/>
    </xf>
    <xf numFmtId="0" fontId="4" fillId="0" borderId="0" applyAlignment="1" pivotButton="0" quotePrefix="0" xfId="24">
      <alignment vertical="center"/>
    </xf>
    <xf numFmtId="9" fontId="4" fillId="0" borderId="0" applyAlignment="1" pivotButton="0" quotePrefix="0" xfId="30">
      <alignment vertical="center"/>
    </xf>
    <xf numFmtId="9" fontId="4" fillId="0" borderId="0" applyAlignment="1" pivotButton="0" quotePrefix="0" xfId="30">
      <alignment horizontal="center" vertical="center"/>
    </xf>
    <xf numFmtId="171" fontId="4" fillId="0" borderId="0" applyAlignment="1" pivotButton="0" quotePrefix="0" xfId="24">
      <alignment horizontal="center" vertical="center"/>
    </xf>
    <xf numFmtId="171" fontId="4" fillId="0" borderId="0" applyAlignment="1" pivotButton="0" quotePrefix="0" xfId="30">
      <alignment horizontal="center" vertical="center"/>
    </xf>
    <xf numFmtId="174" fontId="4" fillId="0" borderId="0" applyAlignment="1" pivotButton="0" quotePrefix="0" xfId="24">
      <alignment horizontal="center" vertical="center"/>
    </xf>
    <xf numFmtId="174" fontId="4" fillId="0" borderId="0" applyAlignment="1" pivotButton="0" quotePrefix="0" xfId="24">
      <alignment vertical="center"/>
    </xf>
    <xf numFmtId="171" fontId="4" fillId="0" borderId="0" applyAlignment="1" pivotButton="0" quotePrefix="0" xfId="30">
      <alignment vertical="center"/>
    </xf>
    <xf numFmtId="175" fontId="4" fillId="0" borderId="0" applyAlignment="1" pivotButton="0" quotePrefix="0" xfId="24">
      <alignment horizontal="center" vertical="center"/>
    </xf>
    <xf numFmtId="166" fontId="4" fillId="0" borderId="0" applyAlignment="1" pivotButton="0" quotePrefix="0" xfId="24">
      <alignment vertical="center"/>
    </xf>
    <xf numFmtId="9" fontId="4" fillId="0" borderId="0" applyAlignment="1" pivotButton="0" quotePrefix="0" xfId="24">
      <alignment vertical="center"/>
    </xf>
    <xf numFmtId="9" fontId="4" fillId="0" borderId="0" applyAlignment="1" pivotButton="0" quotePrefix="0" xfId="24">
      <alignment horizontal="center" vertical="center"/>
    </xf>
    <xf numFmtId="172" fontId="4" fillId="0" borderId="0" applyAlignment="1" pivotButton="0" quotePrefix="0" xfId="24">
      <alignment vertical="center"/>
    </xf>
    <xf numFmtId="172" fontId="4" fillId="0" borderId="0" applyAlignment="1" pivotButton="0" quotePrefix="0" xfId="24">
      <alignment horizontal="center" vertical="center"/>
    </xf>
    <xf numFmtId="166" fontId="4" fillId="0" borderId="0" applyAlignment="1" pivotButton="0" quotePrefix="0" xfId="24">
      <alignment horizontal="right" vertical="center"/>
    </xf>
    <xf numFmtId="0" fontId="14" fillId="0" borderId="0" pivotButton="0" quotePrefix="0" xfId="22"/>
    <xf numFmtId="0" fontId="12" fillId="0" borderId="0" pivotButton="0" quotePrefix="0" xfId="22"/>
    <xf numFmtId="0" fontId="14" fillId="0" borderId="3" pivotButton="0" quotePrefix="0" xfId="22"/>
    <xf numFmtId="176" fontId="10" fillId="6" borderId="4" applyAlignment="1" pivotButton="0" quotePrefix="0" xfId="18">
      <alignment horizontal="center"/>
    </xf>
    <xf numFmtId="177" fontId="10" fillId="6" borderId="0" applyAlignment="1" pivotButton="0" quotePrefix="0" xfId="22">
      <alignment horizontal="center"/>
    </xf>
    <xf numFmtId="171" fontId="14" fillId="0" borderId="0" applyAlignment="1" pivotButton="0" quotePrefix="0" xfId="22">
      <alignment horizontal="right"/>
    </xf>
    <xf numFmtId="176" fontId="10" fillId="6" borderId="4" applyAlignment="1" pivotButton="0" quotePrefix="0" xfId="18">
      <alignment horizontal="right"/>
    </xf>
    <xf numFmtId="171" fontId="14" fillId="0" borderId="0" applyAlignment="1" pivotButton="0" quotePrefix="0" xfId="22">
      <alignment horizontal="center"/>
    </xf>
    <xf numFmtId="178" fontId="10" fillId="0" borderId="0" applyAlignment="1" pivotButton="0" quotePrefix="0" xfId="22">
      <alignment horizontal="center"/>
    </xf>
    <xf numFmtId="179" fontId="14" fillId="0" borderId="0" applyAlignment="1" pivotButton="0" quotePrefix="0" xfId="22">
      <alignment horizontal="center"/>
    </xf>
    <xf numFmtId="0" fontId="16" fillId="0" borderId="0" pivotButton="0" quotePrefix="0" xfId="22"/>
    <xf numFmtId="180" fontId="14" fillId="0" borderId="0" pivotButton="0" quotePrefix="0" xfId="22"/>
    <xf numFmtId="0" fontId="11" fillId="7" borderId="0" pivotButton="0" quotePrefix="0" xfId="22"/>
    <xf numFmtId="0" fontId="11" fillId="7" borderId="1" pivotButton="0" quotePrefix="0" xfId="22"/>
    <xf numFmtId="0" fontId="16" fillId="0" borderId="0" applyAlignment="1" pivotButton="0" quotePrefix="0" xfId="22">
      <alignment horizontal="center"/>
    </xf>
    <xf numFmtId="0" fontId="14" fillId="0" borderId="0" applyAlignment="1" pivotButton="0" quotePrefix="0" xfId="22">
      <alignment horizontal="center"/>
    </xf>
    <xf numFmtId="1" fontId="16" fillId="0" borderId="0" applyAlignment="1" pivotButton="0" quotePrefix="0" xfId="22">
      <alignment horizontal="center"/>
    </xf>
    <xf numFmtId="0" fontId="14" fillId="0" borderId="1" pivotButton="0" quotePrefix="0" xfId="22"/>
    <xf numFmtId="168" fontId="14" fillId="0" borderId="1" applyAlignment="1" pivotButton="0" quotePrefix="0" xfId="22">
      <alignment horizontal="center"/>
    </xf>
    <xf numFmtId="168" fontId="14" fillId="0" borderId="0" applyAlignment="1" pivotButton="0" quotePrefix="0" xfId="22">
      <alignment horizontal="center"/>
    </xf>
    <xf numFmtId="0" fontId="14" fillId="0" borderId="5" pivotButton="0" quotePrefix="0" xfId="22"/>
    <xf numFmtId="178" fontId="14" fillId="12" borderId="6" applyAlignment="1" pivotButton="0" quotePrefix="0" xfId="22">
      <alignment horizontal="center"/>
    </xf>
    <xf numFmtId="178" fontId="14" fillId="12" borderId="7" applyAlignment="1" pivotButton="0" quotePrefix="0" xfId="22">
      <alignment horizontal="center"/>
    </xf>
    <xf numFmtId="171" fontId="16" fillId="0" borderId="0" applyAlignment="1" pivotButton="0" quotePrefix="0" xfId="33">
      <alignment horizontal="center"/>
    </xf>
    <xf numFmtId="0" fontId="14" fillId="0" borderId="8" pivotButton="0" quotePrefix="0" xfId="22"/>
    <xf numFmtId="171" fontId="16" fillId="0" borderId="1" applyAlignment="1" pivotButton="0" quotePrefix="0" xfId="33">
      <alignment horizontal="center"/>
    </xf>
    <xf numFmtId="171" fontId="16" fillId="0" borderId="9" applyAlignment="1" pivotButton="0" quotePrefix="0" xfId="33">
      <alignment horizontal="center"/>
    </xf>
    <xf numFmtId="178" fontId="14" fillId="0" borderId="5" pivotButton="0" quotePrefix="0" xfId="22"/>
    <xf numFmtId="0" fontId="14" fillId="0" borderId="6" pivotButton="0" quotePrefix="0" xfId="22"/>
    <xf numFmtId="0" fontId="14" fillId="0" borderId="7" pivotButton="0" quotePrefix="0" xfId="22"/>
    <xf numFmtId="171" fontId="14" fillId="0" borderId="1" applyAlignment="1" pivotButton="0" quotePrefix="0" xfId="33">
      <alignment horizontal="center"/>
    </xf>
    <xf numFmtId="0" fontId="14" fillId="0" borderId="9" pivotButton="0" quotePrefix="0" xfId="22"/>
    <xf numFmtId="171" fontId="14" fillId="0" borderId="9" applyAlignment="1" pivotButton="0" quotePrefix="0" xfId="33">
      <alignment horizontal="center"/>
    </xf>
    <xf numFmtId="171" fontId="14" fillId="12" borderId="6" applyAlignment="1" pivotButton="0" quotePrefix="0" xfId="22">
      <alignment horizontal="center"/>
    </xf>
    <xf numFmtId="171" fontId="14" fillId="12" borderId="7" applyAlignment="1" pivotButton="0" quotePrefix="0" xfId="22">
      <alignment horizontal="center"/>
    </xf>
    <xf numFmtId="178" fontId="14" fillId="0" borderId="1" applyAlignment="1" pivotButton="0" quotePrefix="0" xfId="22">
      <alignment horizontal="center"/>
    </xf>
    <xf numFmtId="178" fontId="14" fillId="0" borderId="9" applyAlignment="1" pivotButton="0" quotePrefix="0" xfId="22">
      <alignment horizontal="center"/>
    </xf>
    <xf numFmtId="178" fontId="14" fillId="0" borderId="10" applyAlignment="1" pivotButton="0" quotePrefix="0" xfId="22">
      <alignment horizontal="left"/>
    </xf>
    <xf numFmtId="178" fontId="14" fillId="12" borderId="11" applyAlignment="1" pivotButton="0" quotePrefix="0" xfId="22">
      <alignment horizontal="center"/>
    </xf>
    <xf numFmtId="178" fontId="14" fillId="12" borderId="12" applyAlignment="1" pivotButton="0" quotePrefix="0" xfId="22">
      <alignment horizontal="center"/>
    </xf>
    <xf numFmtId="178" fontId="14" fillId="0" borderId="5" applyAlignment="1" pivotButton="0" quotePrefix="0" xfId="22">
      <alignment horizontal="left"/>
    </xf>
    <xf numFmtId="178" fontId="14" fillId="0" borderId="6" applyAlignment="1" pivotButton="0" quotePrefix="0" xfId="22">
      <alignment horizontal="center"/>
    </xf>
    <xf numFmtId="178" fontId="14" fillId="0" borderId="7" applyAlignment="1" pivotButton="0" quotePrefix="0" xfId="22">
      <alignment horizontal="center"/>
    </xf>
    <xf numFmtId="178" fontId="14" fillId="0" borderId="13" applyAlignment="1" pivotButton="0" quotePrefix="0" xfId="22">
      <alignment horizontal="left"/>
    </xf>
    <xf numFmtId="178" fontId="14" fillId="12" borderId="0" applyAlignment="1" pivotButton="0" quotePrefix="0" xfId="22">
      <alignment horizontal="center"/>
    </xf>
    <xf numFmtId="178" fontId="14" fillId="12" borderId="14" applyAlignment="1" pivotButton="0" quotePrefix="0" xfId="22">
      <alignment horizontal="center"/>
    </xf>
    <xf numFmtId="178" fontId="14" fillId="0" borderId="8" applyAlignment="1" pivotButton="0" quotePrefix="0" xfId="22">
      <alignment horizontal="left"/>
    </xf>
    <xf numFmtId="178" fontId="14" fillId="12" borderId="1" applyAlignment="1" pivotButton="0" quotePrefix="0" xfId="22">
      <alignment horizontal="center"/>
    </xf>
    <xf numFmtId="178" fontId="14" fillId="12" borderId="9" applyAlignment="1" pivotButton="0" quotePrefix="0" xfId="22">
      <alignment horizontal="center"/>
    </xf>
    <xf numFmtId="178" fontId="14" fillId="0" borderId="0" applyAlignment="1" pivotButton="0" quotePrefix="0" xfId="22">
      <alignment horizontal="center"/>
    </xf>
    <xf numFmtId="178" fontId="14" fillId="0" borderId="15" applyAlignment="1" pivotButton="0" quotePrefix="0" xfId="22">
      <alignment horizontal="center"/>
    </xf>
    <xf numFmtId="0" fontId="14" fillId="0" borderId="13" pivotButton="0" quotePrefix="0" xfId="22"/>
    <xf numFmtId="0" fontId="14" fillId="0" borderId="14" pivotButton="0" quotePrefix="0" xfId="22"/>
    <xf numFmtId="178" fontId="4" fillId="0" borderId="0" applyAlignment="1" pivotButton="0" quotePrefix="0" xfId="22">
      <alignment horizontal="center"/>
    </xf>
    <xf numFmtId="178" fontId="4" fillId="0" borderId="14" applyAlignment="1" pivotButton="0" quotePrefix="0" xfId="22">
      <alignment horizontal="center"/>
    </xf>
    <xf numFmtId="171" fontId="10" fillId="6" borderId="1" applyAlignment="1" pivotButton="0" quotePrefix="0" xfId="33">
      <alignment horizontal="center"/>
    </xf>
    <xf numFmtId="171" fontId="10" fillId="6" borderId="9" applyAlignment="1" pivotButton="0" quotePrefix="0" xfId="33">
      <alignment horizontal="center"/>
    </xf>
    <xf numFmtId="0" fontId="16" fillId="0" borderId="10" pivotButton="0" quotePrefix="0" xfId="22"/>
    <xf numFmtId="171" fontId="16" fillId="12" borderId="11" applyAlignment="1" pivotButton="0" quotePrefix="0" xfId="22">
      <alignment horizontal="center"/>
    </xf>
    <xf numFmtId="171" fontId="16" fillId="0" borderId="11" applyAlignment="1" pivotButton="0" quotePrefix="0" xfId="33">
      <alignment horizontal="center"/>
    </xf>
    <xf numFmtId="171" fontId="16" fillId="0" borderId="12" applyAlignment="1" pivotButton="0" quotePrefix="0" xfId="33">
      <alignment horizontal="center"/>
    </xf>
    <xf numFmtId="171" fontId="16" fillId="0" borderId="0" applyAlignment="1" pivotButton="0" quotePrefix="0" xfId="22">
      <alignment horizontal="center"/>
    </xf>
    <xf numFmtId="181" fontId="14" fillId="0" borderId="0" applyAlignment="1" pivotButton="0" quotePrefix="0" xfId="23">
      <alignment horizontal="center" vertical="center"/>
    </xf>
    <xf numFmtId="178" fontId="16" fillId="0" borderId="0" applyAlignment="1" pivotButton="0" quotePrefix="0" xfId="22">
      <alignment horizontal="center"/>
    </xf>
    <xf numFmtId="178" fontId="18" fillId="2" borderId="2" applyAlignment="1" pivotButton="0" quotePrefix="0" xfId="28">
      <alignment horizontal="center"/>
    </xf>
    <xf numFmtId="0" fontId="14" fillId="0" borderId="0" applyAlignment="1" pivotButton="0" quotePrefix="0" xfId="22">
      <alignment horizontal="left"/>
    </xf>
    <xf numFmtId="173" fontId="14" fillId="0" borderId="0" applyAlignment="1" pivotButton="0" quotePrefix="0" xfId="22">
      <alignment horizontal="center"/>
    </xf>
    <xf numFmtId="173" fontId="18" fillId="2" borderId="2" applyAlignment="1" pivotButton="0" quotePrefix="0" xfId="28">
      <alignment horizontal="center"/>
    </xf>
    <xf numFmtId="10" fontId="14" fillId="0" borderId="0" pivotButton="0" quotePrefix="0" xfId="22"/>
    <xf numFmtId="178" fontId="16" fillId="0" borderId="0" pivotButton="0" quotePrefix="0" xfId="22"/>
    <xf numFmtId="179" fontId="14" fillId="0" borderId="0" pivotButton="0" quotePrefix="0" xfId="22"/>
    <xf numFmtId="0" fontId="11" fillId="7" borderId="5" pivotButton="0" quotePrefix="0" xfId="22"/>
    <xf numFmtId="171" fontId="4" fillId="7" borderId="7" applyAlignment="1" pivotButton="0" quotePrefix="0" xfId="22">
      <alignment horizontal="center"/>
    </xf>
    <xf numFmtId="0" fontId="11" fillId="7" borderId="6" pivotButton="0" quotePrefix="0" xfId="22"/>
    <xf numFmtId="0" fontId="4" fillId="7" borderId="6" pivotButton="0" quotePrefix="0" xfId="22"/>
    <xf numFmtId="0" fontId="11" fillId="7" borderId="16" pivotButton="0" quotePrefix="0" xfId="22"/>
    <xf numFmtId="171" fontId="4" fillId="7" borderId="17" applyAlignment="1" pivotButton="0" quotePrefix="0" xfId="22">
      <alignment horizontal="center"/>
    </xf>
    <xf numFmtId="0" fontId="4" fillId="7" borderId="17" pivotButton="0" quotePrefix="0" xfId="22"/>
    <xf numFmtId="0" fontId="4" fillId="7" borderId="18" pivotButton="0" quotePrefix="0" xfId="22"/>
    <xf numFmtId="0" fontId="16" fillId="0" borderId="13" applyAlignment="1" pivotButton="0" quotePrefix="0" xfId="22">
      <alignment horizontal="left"/>
    </xf>
    <xf numFmtId="178" fontId="14" fillId="0" borderId="14" applyAlignment="1" pivotButton="0" quotePrefix="0" xfId="22">
      <alignment horizontal="right"/>
    </xf>
    <xf numFmtId="0" fontId="16" fillId="0" borderId="0" applyAlignment="1" pivotButton="0" quotePrefix="0" xfId="22">
      <alignment horizontal="left"/>
    </xf>
    <xf numFmtId="0" fontId="14" fillId="0" borderId="13" applyAlignment="1" pivotButton="0" quotePrefix="0" xfId="22">
      <alignment horizontal="left"/>
    </xf>
    <xf numFmtId="178" fontId="4" fillId="12" borderId="14" applyAlignment="1" pivotButton="0" quotePrefix="0" xfId="22">
      <alignment horizontal="center"/>
    </xf>
    <xf numFmtId="171" fontId="19" fillId="6" borderId="14" applyAlignment="1" pivotButton="0" quotePrefix="0" xfId="22">
      <alignment horizontal="center"/>
    </xf>
    <xf numFmtId="182" fontId="4" fillId="12" borderId="14" applyAlignment="1" pivotButton="0" quotePrefix="0" xfId="18">
      <alignment horizontal="center"/>
    </xf>
    <xf numFmtId="171" fontId="11" fillId="0" borderId="19" applyAlignment="1" pivotButton="0" quotePrefix="0" xfId="24">
      <alignment horizontal="center"/>
    </xf>
    <xf numFmtId="0" fontId="14" fillId="0" borderId="1" applyAlignment="1" pivotButton="0" quotePrefix="0" xfId="22">
      <alignment horizontal="left"/>
    </xf>
    <xf numFmtId="0" fontId="14" fillId="0" borderId="9" applyAlignment="1" pivotButton="0" quotePrefix="0" xfId="22">
      <alignment horizontal="right"/>
    </xf>
    <xf numFmtId="178" fontId="16" fillId="0" borderId="14" applyAlignment="1" pivotButton="0" quotePrefix="0" xfId="22">
      <alignment horizontal="center"/>
    </xf>
    <xf numFmtId="0" fontId="14" fillId="0" borderId="1" applyAlignment="1" pivotButton="0" quotePrefix="0" xfId="22">
      <alignment horizontal="right"/>
    </xf>
    <xf numFmtId="183" fontId="10" fillId="6" borderId="20" pivotButton="0" quotePrefix="0" xfId="22"/>
    <xf numFmtId="182" fontId="10" fillId="6" borderId="21" pivotButton="0" quotePrefix="0" xfId="10"/>
    <xf numFmtId="179" fontId="14" fillId="0" borderId="14" applyAlignment="1" pivotButton="0" quotePrefix="0" xfId="22">
      <alignment horizontal="right"/>
    </xf>
    <xf numFmtId="183" fontId="10" fillId="6" borderId="22" pivotButton="0" quotePrefix="0" xfId="22"/>
    <xf numFmtId="182" fontId="10" fillId="6" borderId="23" pivotButton="0" quotePrefix="0" xfId="10"/>
    <xf numFmtId="178" fontId="14" fillId="0" borderId="14" applyAlignment="1" pivotButton="0" quotePrefix="0" xfId="22">
      <alignment horizontal="center"/>
    </xf>
    <xf numFmtId="183" fontId="10" fillId="6" borderId="24" pivotButton="0" quotePrefix="0" xfId="22"/>
    <xf numFmtId="182" fontId="10" fillId="6" borderId="25" pivotButton="0" quotePrefix="0" xfId="10"/>
    <xf numFmtId="179" fontId="14" fillId="0" borderId="9" applyAlignment="1" pivotButton="0" quotePrefix="0" xfId="22">
      <alignment horizontal="right"/>
    </xf>
    <xf numFmtId="174" fontId="10" fillId="6" borderId="14" applyAlignment="1" pivotButton="0" quotePrefix="0" xfId="22">
      <alignment horizontal="center"/>
    </xf>
    <xf numFmtId="184" fontId="14" fillId="0" borderId="0" applyAlignment="1" pivotButton="0" quotePrefix="0" xfId="22">
      <alignment horizontal="right"/>
    </xf>
    <xf numFmtId="185" fontId="14" fillId="0" borderId="14" applyAlignment="1" pivotButton="0" quotePrefix="0" xfId="22">
      <alignment horizontal="right"/>
    </xf>
    <xf numFmtId="0" fontId="14" fillId="0" borderId="0" applyAlignment="1" pivotButton="0" quotePrefix="0" xfId="22">
      <alignment horizontal="right"/>
    </xf>
    <xf numFmtId="178" fontId="20" fillId="0" borderId="0" pivotButton="0" quotePrefix="0" xfId="22"/>
    <xf numFmtId="178" fontId="14" fillId="0" borderId="14" pivotButton="0" quotePrefix="0" xfId="22"/>
    <xf numFmtId="182" fontId="16" fillId="0" borderId="26" applyAlignment="1" pivotButton="0" quotePrefix="0" xfId="22">
      <alignment horizontal="center"/>
    </xf>
    <xf numFmtId="183" fontId="10" fillId="6" borderId="27" applyAlignment="1" pivotButton="0" quotePrefix="0" xfId="22">
      <alignment horizontal="right"/>
    </xf>
    <xf numFmtId="0" fontId="14" fillId="0" borderId="14" applyAlignment="1" pivotButton="0" quotePrefix="0" xfId="22">
      <alignment horizontal="right"/>
    </xf>
    <xf numFmtId="182" fontId="16" fillId="0" borderId="14" applyAlignment="1" pivotButton="0" quotePrefix="0" xfId="22">
      <alignment horizontal="center"/>
    </xf>
    <xf numFmtId="183" fontId="10" fillId="6" borderId="28" applyAlignment="1" pivotButton="0" quotePrefix="0" xfId="22">
      <alignment horizontal="right"/>
    </xf>
    <xf numFmtId="186" fontId="10" fillId="6" borderId="14" applyAlignment="1" pivotButton="0" quotePrefix="0" xfId="22">
      <alignment horizontal="right"/>
    </xf>
    <xf numFmtId="0" fontId="16" fillId="0" borderId="0" applyAlignment="1" pivotButton="0" quotePrefix="0" xfId="22">
      <alignment horizontal="right"/>
    </xf>
    <xf numFmtId="178" fontId="16" fillId="0" borderId="14" applyAlignment="1" pivotButton="0" quotePrefix="0" xfId="27">
      <alignment horizontal="right"/>
    </xf>
    <xf numFmtId="0" fontId="14" fillId="0" borderId="8" applyAlignment="1" pivotButton="0" quotePrefix="0" xfId="22">
      <alignment horizontal="left"/>
    </xf>
    <xf numFmtId="171" fontId="14" fillId="0" borderId="9" applyAlignment="1" pivotButton="0" quotePrefix="0" xfId="22">
      <alignment horizontal="right"/>
    </xf>
    <xf numFmtId="0" fontId="11" fillId="7" borderId="3" pivotButton="0" quotePrefix="0" xfId="22"/>
    <xf numFmtId="171" fontId="4" fillId="7" borderId="3" applyAlignment="1" pivotButton="0" quotePrefix="0" xfId="22">
      <alignment horizontal="center"/>
    </xf>
    <xf numFmtId="0" fontId="4" fillId="7" borderId="3" pivotButton="0" quotePrefix="0" xfId="22"/>
    <xf numFmtId="0" fontId="16" fillId="0" borderId="1" pivotButton="0" quotePrefix="0" xfId="22"/>
    <xf numFmtId="171" fontId="10" fillId="6" borderId="0" applyAlignment="1" pivotButton="0" quotePrefix="0" xfId="22">
      <alignment horizontal="center"/>
    </xf>
    <xf numFmtId="0" fontId="14" fillId="0" borderId="11" applyAlignment="1" pivotButton="0" quotePrefix="0" xfId="22">
      <alignment horizontal="right"/>
    </xf>
    <xf numFmtId="178" fontId="14" fillId="0" borderId="0" pivotButton="0" quotePrefix="0" xfId="22"/>
    <xf numFmtId="9" fontId="14" fillId="0" borderId="0" pivotButton="0" quotePrefix="0" xfId="22"/>
    <xf numFmtId="187" fontId="14" fillId="0" borderId="0" applyAlignment="1" pivotButton="0" quotePrefix="0" xfId="22">
      <alignment horizontal="center"/>
    </xf>
    <xf numFmtId="178" fontId="14" fillId="0" borderId="0" applyAlignment="1" pivotButton="0" quotePrefix="0" xfId="22">
      <alignment horizontal="right"/>
    </xf>
    <xf numFmtId="188" fontId="14" fillId="0" borderId="0" pivotButton="0" quotePrefix="0" xfId="22"/>
    <xf numFmtId="189" fontId="10" fillId="6" borderId="0" applyAlignment="1" pivotButton="0" quotePrefix="0" xfId="22">
      <alignment horizontal="center"/>
    </xf>
    <xf numFmtId="0" fontId="16" fillId="0" borderId="1" applyAlignment="1" pivotButton="0" quotePrefix="0" xfId="22">
      <alignment horizontal="left" wrapText="1"/>
    </xf>
    <xf numFmtId="0" fontId="16" fillId="0" borderId="1" applyAlignment="1" pivotButton="0" quotePrefix="0" xfId="22">
      <alignment horizontal="center" wrapText="1"/>
    </xf>
    <xf numFmtId="189" fontId="14" fillId="0" borderId="0" applyAlignment="1" pivotButton="0" quotePrefix="0" xfId="22">
      <alignment horizontal="center"/>
    </xf>
    <xf numFmtId="182" fontId="14" fillId="0" borderId="0" applyAlignment="1" pivotButton="0" quotePrefix="0" xfId="22">
      <alignment horizontal="center"/>
    </xf>
    <xf numFmtId="10" fontId="14" fillId="0" borderId="0" applyAlignment="1" pivotButton="0" quotePrefix="0" xfId="22">
      <alignment horizontal="center"/>
    </xf>
    <xf numFmtId="2" fontId="14" fillId="0" borderId="0" applyAlignment="1" pivotButton="0" quotePrefix="0" xfId="22">
      <alignment horizontal="center"/>
    </xf>
    <xf numFmtId="189" fontId="10" fillId="6" borderId="0" applyAlignment="1" pivotButton="0" quotePrefix="0" xfId="22">
      <alignment horizontal="left"/>
    </xf>
    <xf numFmtId="182" fontId="10" fillId="6" borderId="0" applyAlignment="1" pivotButton="0" quotePrefix="0" xfId="22">
      <alignment horizontal="center"/>
    </xf>
    <xf numFmtId="178" fontId="10" fillId="6" borderId="0" applyAlignment="1" pivotButton="0" quotePrefix="0" xfId="22">
      <alignment horizontal="center"/>
    </xf>
    <xf numFmtId="10" fontId="10" fillId="6" borderId="0" applyAlignment="1" pivotButton="0" quotePrefix="0" xfId="22">
      <alignment horizontal="center"/>
    </xf>
    <xf numFmtId="189" fontId="10" fillId="6" borderId="1" applyAlignment="1" pivotButton="0" quotePrefix="0" xfId="22">
      <alignment horizontal="left"/>
    </xf>
    <xf numFmtId="189" fontId="10" fillId="6" borderId="1" applyAlignment="1" pivotButton="0" quotePrefix="0" xfId="22">
      <alignment horizontal="center"/>
    </xf>
    <xf numFmtId="182" fontId="10" fillId="6" borderId="1" applyAlignment="1" pivotButton="0" quotePrefix="0" xfId="22">
      <alignment horizontal="center"/>
    </xf>
    <xf numFmtId="178" fontId="10" fillId="6" borderId="1" applyAlignment="1" pivotButton="0" quotePrefix="0" xfId="22">
      <alignment horizontal="center"/>
    </xf>
    <xf numFmtId="10" fontId="14" fillId="0" borderId="1" applyAlignment="1" pivotButton="0" quotePrefix="0" xfId="22">
      <alignment horizontal="center"/>
    </xf>
    <xf numFmtId="10" fontId="10" fillId="6" borderId="1" applyAlignment="1" pivotButton="0" quotePrefix="0" xfId="22">
      <alignment horizontal="center"/>
    </xf>
    <xf numFmtId="189" fontId="14" fillId="0" borderId="1" applyAlignment="1" pivotButton="0" quotePrefix="0" xfId="22">
      <alignment horizontal="center"/>
    </xf>
    <xf numFmtId="189" fontId="16" fillId="0" borderId="0" applyAlignment="1" pivotButton="0" quotePrefix="0" xfId="22">
      <alignment horizontal="right"/>
    </xf>
    <xf numFmtId="189" fontId="16" fillId="0" borderId="29" applyAlignment="1" pivotButton="0" quotePrefix="0" xfId="22">
      <alignment horizontal="center"/>
    </xf>
    <xf numFmtId="0" fontId="21" fillId="3" borderId="0" pivotButton="0" quotePrefix="0" xfId="24"/>
    <xf numFmtId="0" fontId="22" fillId="13" borderId="0" pivotButton="0" quotePrefix="0" xfId="24"/>
    <xf numFmtId="0" fontId="8" fillId="14" borderId="0" pivotButton="0" quotePrefix="0" xfId="24"/>
    <xf numFmtId="180" fontId="22" fillId="13" borderId="0" pivotButton="0" quotePrefix="0" xfId="24"/>
    <xf numFmtId="190" fontId="22" fillId="13" borderId="0" pivotButton="0" quotePrefix="0" xfId="24"/>
    <xf numFmtId="171" fontId="22" fillId="13" borderId="0" pivotButton="0" quotePrefix="0" xfId="24"/>
    <xf numFmtId="14" fontId="22" fillId="13" borderId="0" pivotButton="0" quotePrefix="0" xfId="24"/>
    <xf numFmtId="191" fontId="22" fillId="13" borderId="0" pivotButton="0" quotePrefix="0" xfId="24"/>
    <xf numFmtId="171" fontId="3" fillId="0" borderId="0" pivotButton="0" quotePrefix="0" xfId="24"/>
    <xf numFmtId="174" fontId="22" fillId="13" borderId="0" pivotButton="0" quotePrefix="0" xfId="24"/>
    <xf numFmtId="175" fontId="3" fillId="0" borderId="0" pivotButton="0" quotePrefix="0" xfId="24"/>
    <xf numFmtId="0" fontId="23" fillId="15" borderId="0" pivotButton="0" quotePrefix="0" xfId="0"/>
    <xf numFmtId="0" fontId="24" fillId="0" borderId="0" pivotButton="0" quotePrefix="0" xfId="0"/>
    <xf numFmtId="0" fontId="25" fillId="0" borderId="0" pivotButton="0" quotePrefix="0" xfId="20"/>
    <xf numFmtId="166" fontId="25" fillId="0" borderId="0" applyAlignment="1" pivotButton="0" quotePrefix="0" xfId="24">
      <alignment horizontal="center"/>
    </xf>
    <xf numFmtId="166" fontId="26" fillId="0" borderId="0" applyAlignment="1" pivotButton="0" quotePrefix="0" xfId="24">
      <alignment horizontal="center"/>
    </xf>
    <xf numFmtId="166" fontId="27" fillId="0" borderId="0" applyAlignment="1" pivotButton="0" quotePrefix="0" xfId="24">
      <alignment horizontal="center"/>
    </xf>
    <xf numFmtId="166" fontId="25" fillId="16" borderId="0" applyAlignment="1" pivotButton="0" quotePrefix="0" xfId="24">
      <alignment horizontal="center"/>
    </xf>
    <xf numFmtId="3" fontId="25" fillId="0" borderId="0" applyAlignment="1" pivotButton="0" quotePrefix="0" xfId="24">
      <alignment horizontal="center"/>
    </xf>
    <xf numFmtId="3" fontId="26" fillId="0" borderId="0" applyAlignment="1" pivotButton="0" quotePrefix="0" xfId="24">
      <alignment horizontal="center"/>
    </xf>
    <xf numFmtId="3" fontId="25" fillId="16" borderId="0" applyAlignment="1" pivotButton="0" quotePrefix="0" xfId="24">
      <alignment horizontal="center"/>
    </xf>
    <xf numFmtId="190" fontId="25" fillId="0" borderId="0" applyAlignment="1" pivotButton="0" quotePrefix="0" xfId="24">
      <alignment horizontal="center"/>
    </xf>
    <xf numFmtId="190" fontId="25" fillId="16" borderId="0" applyAlignment="1" pivotButton="0" quotePrefix="0" xfId="24">
      <alignment horizontal="center"/>
    </xf>
    <xf numFmtId="171" fontId="25" fillId="0" borderId="0" applyAlignment="1" pivotButton="0" quotePrefix="0" xfId="24">
      <alignment horizontal="center"/>
    </xf>
    <xf numFmtId="0" fontId="28" fillId="0" borderId="0" pivotButton="0" quotePrefix="0" xfId="20"/>
    <xf numFmtId="166" fontId="28" fillId="0" borderId="0" applyAlignment="1" pivotButton="0" quotePrefix="0" xfId="24">
      <alignment horizontal="center"/>
    </xf>
    <xf numFmtId="166" fontId="29" fillId="0" borderId="0" applyAlignment="1" pivotButton="0" quotePrefix="0" xfId="24">
      <alignment horizontal="center"/>
    </xf>
    <xf numFmtId="166" fontId="30" fillId="0" borderId="0" applyAlignment="1" pivotButton="0" quotePrefix="0" xfId="24">
      <alignment horizontal="center"/>
    </xf>
    <xf numFmtId="0" fontId="25" fillId="0" borderId="0" applyAlignment="1" pivotButton="0" quotePrefix="0" xfId="20">
      <alignment horizontal="left" indent="1"/>
    </xf>
    <xf numFmtId="0" fontId="28" fillId="0" borderId="0" applyAlignment="1" pivotButton="0" quotePrefix="0" xfId="20">
      <alignment horizontal="left" indent="1"/>
    </xf>
    <xf numFmtId="0" fontId="25" fillId="0" borderId="0" applyAlignment="1" pivotButton="0" quotePrefix="0" xfId="20">
      <alignment horizontal="left" indent="2"/>
    </xf>
    <xf numFmtId="0" fontId="31" fillId="0" borderId="0" pivotButton="0" quotePrefix="0" xfId="20"/>
    <xf numFmtId="0" fontId="28" fillId="0" borderId="6" pivotButton="0" quotePrefix="0" xfId="20"/>
    <xf numFmtId="166" fontId="28" fillId="0" borderId="6" applyAlignment="1" pivotButton="0" quotePrefix="0" xfId="24">
      <alignment horizontal="center"/>
    </xf>
    <xf numFmtId="166" fontId="28" fillId="0" borderId="30" applyAlignment="1" pivotButton="0" quotePrefix="0" xfId="24">
      <alignment horizontal="center"/>
    </xf>
    <xf numFmtId="3" fontId="25" fillId="0" borderId="30" applyAlignment="1" pivotButton="0" quotePrefix="0" xfId="24">
      <alignment horizontal="center"/>
    </xf>
    <xf numFmtId="190" fontId="25" fillId="0" borderId="30" applyAlignment="1" pivotButton="0" quotePrefix="0" xfId="24">
      <alignment horizontal="center"/>
    </xf>
    <xf numFmtId="166" fontId="29" fillId="0" borderId="30" applyAlignment="1" pivotButton="0" quotePrefix="0" xfId="24">
      <alignment horizontal="center"/>
    </xf>
    <xf numFmtId="166" fontId="25" fillId="0" borderId="30" applyAlignment="1" pivotButton="0" quotePrefix="0" xfId="24">
      <alignment horizontal="center"/>
    </xf>
    <xf numFmtId="166" fontId="26" fillId="0" borderId="30" applyAlignment="1" pivotButton="0" quotePrefix="0" xfId="24">
      <alignment horizontal="center"/>
    </xf>
    <xf numFmtId="171" fontId="25" fillId="0" borderId="30" applyAlignment="1" pivotButton="0" quotePrefix="0" xfId="24">
      <alignment horizontal="center"/>
    </xf>
    <xf numFmtId="166" fontId="28" fillId="0" borderId="31" applyAlignment="1" pivotButton="0" quotePrefix="0" xfId="24">
      <alignment horizontal="center"/>
    </xf>
    <xf numFmtId="166" fontId="4" fillId="10" borderId="0" applyAlignment="1" pivotButton="0" quotePrefix="0" xfId="30">
      <alignment horizontal="center"/>
    </xf>
    <xf numFmtId="0" fontId="17" fillId="9" borderId="0" applyAlignment="1" pivotButton="0" quotePrefix="0" xfId="22">
      <alignment horizontal="center" wrapText="1"/>
    </xf>
    <xf numFmtId="0" fontId="14" fillId="0" borderId="0" pivotButton="0" quotePrefix="0" xfId="22"/>
    <xf numFmtId="0" fontId="16" fillId="0" borderId="1" applyAlignment="1" pivotButton="0" quotePrefix="0" xfId="22">
      <alignment horizontal="center"/>
    </xf>
    <xf numFmtId="0" fontId="0" fillId="0" borderId="1" pivotButton="0" quotePrefix="0" xfId="0"/>
    <xf numFmtId="0" fontId="16" fillId="0" borderId="10" applyAlignment="1" pivotButton="0" quotePrefix="0" xfId="22">
      <alignment horizontal="center"/>
    </xf>
    <xf numFmtId="0" fontId="0" fillId="0" borderId="11" pivotButton="0" quotePrefix="0" xfId="0"/>
    <xf numFmtId="0" fontId="15" fillId="9" borderId="1" applyAlignment="1" pivotButton="0" quotePrefix="0" xfId="22">
      <alignment horizontal="center"/>
    </xf>
    <xf numFmtId="171" fontId="4" fillId="0" borderId="0" applyAlignment="1" pivotButton="0" quotePrefix="0" xfId="30">
      <alignment horizontal="right" vertical="center"/>
    </xf>
    <xf numFmtId="171" fontId="4" fillId="0" borderId="0" applyAlignment="1" pivotButton="0" quotePrefix="0" xfId="24">
      <alignment horizontal="right" vertical="center"/>
    </xf>
    <xf numFmtId="192" fontId="4" fillId="0" borderId="0" applyAlignment="1" pivotButton="0" quotePrefix="0" xfId="24">
      <alignment horizontal="right" vertical="center"/>
    </xf>
    <xf numFmtId="193" fontId="4" fillId="0" borderId="0" applyAlignment="1" pivotButton="0" quotePrefix="0" xfId="24">
      <alignment horizontal="right" vertical="center"/>
    </xf>
    <xf numFmtId="192" fontId="4" fillId="0" borderId="0" applyAlignment="1" pivotButton="0" quotePrefix="0" xfId="30">
      <alignment horizontal="right" vertical="center"/>
    </xf>
    <xf numFmtId="0" fontId="32" fillId="0" borderId="0" pivotButton="0" quotePrefix="0" xfId="0"/>
    <xf numFmtId="166" fontId="0" fillId="0" borderId="0" pivotButton="0" quotePrefix="0" xfId="0"/>
    <xf numFmtId="200" fontId="4" fillId="0" borderId="0" applyAlignment="1" pivotButton="0" quotePrefix="0" xfId="24">
      <alignment horizontal="center"/>
    </xf>
    <xf numFmtId="192" fontId="4" fillId="0" borderId="0" applyAlignment="1" pivotButton="0" quotePrefix="0" xfId="24">
      <alignment horizontal="right" vertical="center"/>
    </xf>
    <xf numFmtId="193" fontId="4" fillId="0" borderId="0" applyAlignment="1" pivotButton="0" quotePrefix="0" xfId="24">
      <alignment horizontal="right" vertical="center"/>
    </xf>
    <xf numFmtId="192" fontId="4" fillId="0" borderId="0" applyAlignment="1" pivotButton="0" quotePrefix="0" xfId="30">
      <alignment horizontal="right" vertical="center"/>
    </xf>
  </cellXfs>
  <cellStyles count="35">
    <cellStyle name="Normal" xfId="0" builtinId="0"/>
    <cellStyle name="Comma" xfId="1"/>
    <cellStyle name="Comma 1" xfId="2"/>
    <cellStyle name="Comma 2" xfId="3"/>
    <cellStyle name="Comma 3" xfId="4"/>
    <cellStyle name="Comma [0]" xfId="5"/>
    <cellStyle name="Comma [0] 2" xfId="6"/>
    <cellStyle name="Comma [0] 3" xfId="7"/>
    <cellStyle name="Comma [0] 4" xfId="8"/>
    <cellStyle name="Currency" xfId="9"/>
    <cellStyle name="Currency 2" xfId="10"/>
    <cellStyle name="Currency 3" xfId="11"/>
    <cellStyle name="Currency 4" xfId="12"/>
    <cellStyle name="Currency 5" xfId="13"/>
    <cellStyle name="Currency [0]" xfId="14"/>
    <cellStyle name="Currency [0] 4" xfId="15"/>
    <cellStyle name="Currency [0] 5" xfId="16"/>
    <cellStyle name="Currency [0] 6" xfId="17"/>
    <cellStyle name="m/d/yy" xfId="18"/>
    <cellStyle name="Normal 3" xfId="19"/>
    <cellStyle name="Normal 2" xfId="20"/>
    <cellStyle name="Normal 2 2" xfId="21"/>
    <cellStyle name="Normal 2 3" xfId="22"/>
    <cellStyle name="Normal 4" xfId="23"/>
    <cellStyle name="Normal 5" xfId="24"/>
    <cellStyle name="Normal 6" xfId="25"/>
    <cellStyle name="Normal 7" xfId="26"/>
    <cellStyle name="Normal [3] 2" xfId="27"/>
    <cellStyle name="Output_dcfmodel" xfId="28"/>
    <cellStyle name="Percent" xfId="29"/>
    <cellStyle name="Percent 6" xfId="30"/>
    <cellStyle name="Percent 7" xfId="31"/>
    <cellStyle name="Percent 8" xfId="32"/>
    <cellStyle name="Porcentagem 3" xfId="33"/>
    <cellStyle name="Separador de milhares 2 17" xfId="34"/>
  </cellStyles>
  <dxfs count="24"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</font>
      <fill>
        <patternFill>
          <bgColor rgb="FF00B05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</font>
      <fill>
        <patternFill>
          <bgColor rgb="FF00B05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0000FF"/>
      </font>
      <fill>
        <patternFill>
          <bgColor rgb="FFFFFFCC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9EAF7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F0D9"/>
      <rgbColor rgb="FFFFF2CC"/>
      <rgbColor rgb="FF99CCFF"/>
      <rgbColor rgb="FFFF99CC"/>
      <rgbColor rgb="FFCC99FF"/>
      <rgbColor rgb="FFD9D9D9"/>
      <rgbColor rgb="FF4472C4"/>
      <rgbColor rgb="FF46B1E1"/>
      <rgbColor rgb="FF99CC00"/>
      <rgbColor rgb="FFFFCC00"/>
      <rgbColor rgb="FFFF9900"/>
      <rgbColor rgb="FFFF6600"/>
      <rgbColor rgb="FF666699"/>
      <rgbColor rgb="FF70AD47"/>
      <rgbColor rgb="FF17365D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None</author>
  </authors>
  <commentList>
    <comment ref="D64" authorId="0" shapeId="0">
      <text>
        <t>MG: 
- expected rate of return on new invested capital</t>
      </text>
    </comment>
  </commentList>
</comments>
</file>

<file path=xl/theme/theme1.xml><?xml version="1.0" encoding="utf-8"?>
<a:theme xmlns:a="http://schemas.openxmlformats.org/drawingml/2006/main" name="Tema do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00"/>
  <sheetViews>
    <sheetView showGridLines="0" zoomScaleNormal="100" workbookViewId="0">
      <pane xSplit="3" ySplit="2" topLeftCell="J3" activePane="bottomRight" state="frozen"/>
      <selection pane="topRight" activeCell="D1" sqref="D1"/>
      <selection pane="bottomLeft" activeCell="A3" sqref="A3"/>
      <selection pane="bottomRight" activeCell="B5" sqref="B5"/>
    </sheetView>
  </sheetViews>
  <sheetFormatPr baseColWidth="8" defaultColWidth="9.7109375" defaultRowHeight="12.75"/>
  <cols>
    <col width="47.7109375" customWidth="1" min="1" max="1"/>
    <col width="10.140625" customWidth="1" min="2" max="2"/>
    <col width="47.7109375" customWidth="1" min="3" max="3"/>
    <col width="12.42578125" customWidth="1" min="4" max="33"/>
  </cols>
  <sheetData>
    <row r="1" ht="14.25" customHeight="1">
      <c r="A1" s="1" t="inlineStr">
        <is>
          <t>Base histórica (R$ mil) - AUREN ENERGIA S.A. (AURE3) - CVM ITR/DFP consolidado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</row>
    <row r="2" ht="14.25" customHeight="1">
      <c r="A2" s="2" t="inlineStr">
        <is>
          <t>Fonte / conta original</t>
        </is>
      </c>
      <c r="B2" s="2" t="inlineStr">
        <is>
          <t>Código</t>
        </is>
      </c>
      <c r="C2" s="2" t="inlineStr">
        <is>
          <t>Conta padronizada</t>
        </is>
      </c>
      <c r="D2" s="2" t="inlineStr">
        <is>
          <t>1Q21</t>
        </is>
      </c>
      <c r="E2" s="2" t="inlineStr">
        <is>
          <t>2Q21</t>
        </is>
      </c>
      <c r="F2" s="2" t="inlineStr">
        <is>
          <t>3Q21</t>
        </is>
      </c>
      <c r="G2" s="2" t="inlineStr">
        <is>
          <t>4Q21</t>
        </is>
      </c>
      <c r="H2" s="2" t="inlineStr">
        <is>
          <t>2021</t>
        </is>
      </c>
      <c r="I2" s="2" t="inlineStr">
        <is>
          <t>1Q22</t>
        </is>
      </c>
      <c r="J2" s="2" t="inlineStr">
        <is>
          <t>2Q22</t>
        </is>
      </c>
      <c r="K2" s="2" t="inlineStr">
        <is>
          <t>3Q22</t>
        </is>
      </c>
      <c r="L2" s="2" t="inlineStr">
        <is>
          <t>4Q22</t>
        </is>
      </c>
      <c r="M2" s="2" t="inlineStr">
        <is>
          <t>2022</t>
        </is>
      </c>
      <c r="N2" s="2" t="inlineStr">
        <is>
          <t>1Q23</t>
        </is>
      </c>
      <c r="O2" s="2" t="inlineStr">
        <is>
          <t>2Q23</t>
        </is>
      </c>
      <c r="P2" s="2" t="inlineStr">
        <is>
          <t>3Q23</t>
        </is>
      </c>
      <c r="Q2" s="2" t="inlineStr">
        <is>
          <t>4Q23</t>
        </is>
      </c>
      <c r="R2" s="2" t="inlineStr">
        <is>
          <t>2023</t>
        </is>
      </c>
      <c r="S2" s="2" t="inlineStr">
        <is>
          <t>1Q24</t>
        </is>
      </c>
      <c r="T2" s="2" t="inlineStr">
        <is>
          <t>2Q24</t>
        </is>
      </c>
      <c r="U2" s="2" t="inlineStr">
        <is>
          <t>3Q24</t>
        </is>
      </c>
      <c r="V2" s="2" t="inlineStr">
        <is>
          <t>4Q24</t>
        </is>
      </c>
      <c r="W2" s="2" t="inlineStr">
        <is>
          <t>2024</t>
        </is>
      </c>
      <c r="X2" s="2" t="inlineStr">
        <is>
          <t>1Q25</t>
        </is>
      </c>
      <c r="Y2" s="2" t="inlineStr">
        <is>
          <t>2Q25</t>
        </is>
      </c>
      <c r="Z2" s="2" t="inlineStr">
        <is>
          <t>3Q25</t>
        </is>
      </c>
      <c r="AA2" s="2" t="inlineStr">
        <is>
          <t>4Q25</t>
        </is>
      </c>
      <c r="AB2" s="2" t="inlineStr">
        <is>
          <t>2025</t>
        </is>
      </c>
      <c r="AC2" s="2" t="inlineStr">
        <is>
          <t>1Q26</t>
        </is>
      </c>
      <c r="AD2" s="2" t="inlineStr">
        <is>
          <t>2Q26</t>
        </is>
      </c>
      <c r="AE2" s="2" t="inlineStr">
        <is>
          <t>3Q26</t>
        </is>
      </c>
      <c r="AF2" s="2" t="inlineStr">
        <is>
          <t>4Q26</t>
        </is>
      </c>
      <c r="AG2" s="2" t="inlineStr">
        <is>
          <t>2026</t>
        </is>
      </c>
    </row>
    <row r="3">
      <c r="A3" t="inlineStr">
        <is>
          <t>Fonte: CVM dados abertos (ITR/DFP consolidado, CVM 026620) - R$ mil, trimestre isolado</t>
        </is>
      </c>
      <c r="C3" t="inlineStr">
        <is>
          <t>Unidade original: R$ mil | a Inputs (2) divide por 1.000 -&gt; R$ milhões</t>
        </is>
      </c>
    </row>
    <row r="4">
      <c r="A4" s="294" t="inlineStr">
        <is>
          <t>DRE - CVM ITR/DFP consolidado (Auren Energia S.A., CVM 026620), R$ mil, trimestre isolado (4T = ano - 9M)</t>
        </is>
      </c>
      <c r="N4" s="250" t="n"/>
      <c r="O4" s="250" t="n"/>
      <c r="P4" s="250" t="n"/>
      <c r="Q4" s="250" t="n"/>
      <c r="R4" s="251" t="n"/>
      <c r="S4" s="250" t="n"/>
      <c r="T4" s="250" t="n"/>
      <c r="U4" s="250" t="n"/>
      <c r="V4" s="250" t="n"/>
      <c r="W4" s="251" t="n"/>
      <c r="X4" s="250" t="n"/>
      <c r="Y4" s="250" t="n"/>
      <c r="Z4" s="250" t="n"/>
      <c r="AA4" s="250" t="n"/>
      <c r="AB4" s="251" t="n"/>
      <c r="AC4" s="250" t="n"/>
      <c r="AD4" s="250" t="n"/>
    </row>
    <row r="5">
      <c r="A5" t="inlineStr">
        <is>
          <t>CVM DRE 3.01 Receita de venda de bens e/ou serviços</t>
        </is>
      </c>
      <c r="B5" t="n">
        <v>1</v>
      </c>
      <c r="C5" t="inlineStr">
        <is>
          <t>Net Revenues</t>
        </is>
      </c>
      <c r="D5" t="n">
        <v>552151</v>
      </c>
      <c r="E5" t="n">
        <v>581104</v>
      </c>
      <c r="F5" t="n">
        <v>616194</v>
      </c>
      <c r="G5" t="n">
        <v>767313</v>
      </c>
      <c r="H5">
        <f>SUM(D5:G5)</f>
        <v>2516762</v>
      </c>
      <c r="I5" t="n">
        <v>1145258</v>
      </c>
      <c r="J5" t="n">
        <v>1346655</v>
      </c>
      <c r="K5" t="n">
        <v>1538901</v>
      </c>
      <c r="L5" t="n">
        <v>1484892</v>
      </c>
      <c r="M5">
        <f>SUM(I5:L5)</f>
        <v>5515706</v>
      </c>
      <c r="N5" t="n">
        <v>1414510</v>
      </c>
      <c r="O5" t="n">
        <v>1437088</v>
      </c>
      <c r="P5" t="n">
        <v>1626590</v>
      </c>
      <c r="Q5" t="n">
        <v>1703702</v>
      </c>
      <c r="R5">
        <f>SUM(N5:Q5)</f>
        <v>6181890</v>
      </c>
      <c r="S5" t="n">
        <v>1397531</v>
      </c>
      <c r="T5" t="n">
        <v>1450045</v>
      </c>
      <c r="U5" t="n">
        <v>2046511</v>
      </c>
      <c r="V5" t="n">
        <v>3165864</v>
      </c>
      <c r="W5">
        <f>SUM(S5:V5)</f>
        <v>8059951</v>
      </c>
      <c r="X5" t="n">
        <v>2952303</v>
      </c>
      <c r="Y5" t="n">
        <v>2885529</v>
      </c>
      <c r="Z5" t="n">
        <v>3537391</v>
      </c>
      <c r="AA5" t="n">
        <v>3801729</v>
      </c>
      <c r="AB5">
        <f>SUM(X5:AA5)</f>
        <v>13176952</v>
      </c>
      <c r="AC5" t="n">
        <v>3074535</v>
      </c>
      <c r="AD5" t="n">
        <v>3055499</v>
      </c>
    </row>
    <row r="6">
      <c r="A6" t="inlineStr">
        <is>
          <t>CVM DRE 3.02 Custo dos bens e serviços vendidos (inclui D&amp;A)</t>
        </is>
      </c>
      <c r="B6" t="n">
        <v>2</v>
      </c>
      <c r="C6" t="inlineStr">
        <is>
          <t>COGS (cash)</t>
        </is>
      </c>
      <c r="D6" t="n">
        <v>-277630</v>
      </c>
      <c r="E6" t="n">
        <v>-402476</v>
      </c>
      <c r="F6" t="n">
        <v>189049</v>
      </c>
      <c r="G6" t="n">
        <v>-592360</v>
      </c>
      <c r="H6">
        <f>SUM(D6:G6)</f>
        <v>-1083417</v>
      </c>
      <c r="I6" t="n">
        <v>-863207</v>
      </c>
      <c r="J6" t="n">
        <v>-1046341</v>
      </c>
      <c r="K6" t="n">
        <v>-1234077</v>
      </c>
      <c r="L6" t="n">
        <v>-1228998</v>
      </c>
      <c r="M6">
        <f>SUM(I6:L6)</f>
        <v>-4372623</v>
      </c>
      <c r="N6" t="n">
        <v>-1081144</v>
      </c>
      <c r="O6" t="n">
        <v>-1095526</v>
      </c>
      <c r="P6" t="n">
        <v>-1299153</v>
      </c>
      <c r="Q6" t="n">
        <v>-1373123</v>
      </c>
      <c r="R6">
        <f>SUM(N6:Q6)</f>
        <v>-4848946</v>
      </c>
      <c r="S6" t="n">
        <v>-1106505</v>
      </c>
      <c r="T6" t="n">
        <v>-1128505</v>
      </c>
      <c r="U6" t="n">
        <v>-1726989</v>
      </c>
      <c r="V6" t="n">
        <v>-2668949</v>
      </c>
      <c r="W6">
        <f>SUM(S6:V6)</f>
        <v>-6630948</v>
      </c>
      <c r="X6" t="n">
        <v>-2116034</v>
      </c>
      <c r="Y6" t="n">
        <v>-2390092</v>
      </c>
      <c r="Z6" t="n">
        <v>-3200700</v>
      </c>
      <c r="AA6" t="n">
        <v>-3319390</v>
      </c>
      <c r="AB6">
        <f>SUM(X6:AA6)</f>
        <v>-11026216</v>
      </c>
      <c r="AC6" t="n">
        <v>-2587081</v>
      </c>
      <c r="AD6" t="n">
        <v>-2603261</v>
      </c>
    </row>
    <row r="7">
      <c r="A7" t="inlineStr">
        <is>
          <t>(+) estorno da D&amp;A embutida no custo, relançada no código 4 (a CVM não separa D&amp;A entre custo e despesa; toda a D&amp;A sai do custo)</t>
        </is>
      </c>
      <c r="B7" t="n">
        <v>2</v>
      </c>
      <c r="C7" t="inlineStr">
        <is>
          <t>COGS (cash)</t>
        </is>
      </c>
      <c r="D7" t="n">
        <v>132593</v>
      </c>
      <c r="E7" t="n">
        <v>131573</v>
      </c>
      <c r="F7" t="n">
        <v>145397</v>
      </c>
      <c r="G7" t="n">
        <v>149432</v>
      </c>
      <c r="H7">
        <f>SUM(D7:G7)</f>
        <v>558995</v>
      </c>
      <c r="I7" t="n">
        <v>157304</v>
      </c>
      <c r="J7" t="n">
        <v>161190</v>
      </c>
      <c r="K7" t="n">
        <v>161353</v>
      </c>
      <c r="L7" t="n">
        <v>117907</v>
      </c>
      <c r="M7">
        <f>SUM(I7:L7)</f>
        <v>597754</v>
      </c>
      <c r="N7" t="n">
        <v>168327</v>
      </c>
      <c r="O7" t="n">
        <v>169666</v>
      </c>
      <c r="P7" t="n">
        <v>169643</v>
      </c>
      <c r="Q7" t="n">
        <v>169639</v>
      </c>
      <c r="R7">
        <f>SUM(N7:Q7)</f>
        <v>677275</v>
      </c>
      <c r="S7" t="n">
        <v>166381</v>
      </c>
      <c r="T7" t="n">
        <v>175177</v>
      </c>
      <c r="U7" t="n">
        <v>182611</v>
      </c>
      <c r="V7" t="n">
        <v>189021</v>
      </c>
      <c r="W7">
        <f>SUM(S7:V7)</f>
        <v>713190</v>
      </c>
      <c r="X7" t="n">
        <v>458196</v>
      </c>
      <c r="Y7" t="n">
        <v>521747</v>
      </c>
      <c r="Z7" t="n">
        <v>465553</v>
      </c>
      <c r="AA7" t="n">
        <v>477467</v>
      </c>
      <c r="AB7">
        <f>SUM(X7:AA7)</f>
        <v>1922963</v>
      </c>
      <c r="AC7" t="n">
        <v>466831</v>
      </c>
      <c r="AD7" t="n">
        <v>465443</v>
      </c>
    </row>
    <row r="8">
      <c r="A8" t="inlineStr">
        <is>
          <t>CVM DRE 3.04 Despesas/receitas operacionais (G&amp;A + outras receitas e despesas)</t>
        </is>
      </c>
      <c r="B8" t="n">
        <v>3</v>
      </c>
      <c r="C8" t="inlineStr">
        <is>
          <t>SG&amp;A and Other (cash)</t>
        </is>
      </c>
      <c r="D8" t="n">
        <v>-37007</v>
      </c>
      <c r="E8" t="n">
        <v>-72009</v>
      </c>
      <c r="F8" t="n">
        <v>-98542</v>
      </c>
      <c r="G8" t="n">
        <v>-5338</v>
      </c>
      <c r="H8">
        <f>SUM(D8:G8)</f>
        <v>-212896</v>
      </c>
      <c r="I8" t="n">
        <v>-105652</v>
      </c>
      <c r="J8" t="n">
        <v>-117078</v>
      </c>
      <c r="K8" t="n">
        <v>89362</v>
      </c>
      <c r="L8" t="n">
        <v>381350</v>
      </c>
      <c r="M8">
        <f>SUM(I8:L8)</f>
        <v>247982</v>
      </c>
      <c r="N8" t="n">
        <v>-19582</v>
      </c>
      <c r="O8" t="n">
        <v>-65205</v>
      </c>
      <c r="P8" t="n">
        <v>-101973</v>
      </c>
      <c r="Q8" t="n">
        <v>-72270</v>
      </c>
      <c r="R8">
        <f>SUM(N8:Q8)</f>
        <v>-259030</v>
      </c>
      <c r="S8" t="n">
        <v>208815</v>
      </c>
      <c r="T8" t="n">
        <v>-45123</v>
      </c>
      <c r="U8" t="n">
        <v>189880</v>
      </c>
      <c r="V8" t="n">
        <v>-490910</v>
      </c>
      <c r="W8">
        <f>SUM(S8:V8)</f>
        <v>-137338</v>
      </c>
      <c r="X8" t="n">
        <v>155190</v>
      </c>
      <c r="Y8" t="n">
        <v>-485413</v>
      </c>
      <c r="Z8" t="n">
        <v>-79727</v>
      </c>
      <c r="AA8" t="n">
        <v>575338</v>
      </c>
      <c r="AB8">
        <f>SUM(X8:AA8)</f>
        <v>165388</v>
      </c>
      <c r="AC8" t="n">
        <v>-582682</v>
      </c>
      <c r="AD8" t="n">
        <v>-67320</v>
      </c>
    </row>
    <row r="9">
      <c r="A9" t="inlineStr">
        <is>
          <t>(-) estorno da equivalência patrimonial (3.04.06), lançada no código 8</t>
        </is>
      </c>
      <c r="B9" t="n">
        <v>3</v>
      </c>
      <c r="C9" t="inlineStr">
        <is>
          <t>SG&amp;A and Other (cash)</t>
        </is>
      </c>
      <c r="D9" t="n">
        <v>-0</v>
      </c>
      <c r="E9" t="n">
        <v>-0</v>
      </c>
      <c r="F9" t="n">
        <v>-0</v>
      </c>
      <c r="G9" t="n">
        <v>-0</v>
      </c>
      <c r="H9">
        <f>SUM(D9:G9)</f>
        <v>0</v>
      </c>
      <c r="I9" t="n">
        <v>-29051</v>
      </c>
      <c r="J9" t="n">
        <v>-54940</v>
      </c>
      <c r="K9" t="n">
        <v>-52300</v>
      </c>
      <c r="L9" t="n">
        <v>5632</v>
      </c>
      <c r="M9">
        <f>SUM(I9:L9)</f>
        <v>-130659</v>
      </c>
      <c r="N9" t="n">
        <v>-30229</v>
      </c>
      <c r="O9" t="n">
        <v>11887</v>
      </c>
      <c r="P9" t="n">
        <v>-45027</v>
      </c>
      <c r="Q9" t="n">
        <v>-9943</v>
      </c>
      <c r="R9">
        <f>SUM(N9:Q9)</f>
        <v>-73312</v>
      </c>
      <c r="S9" t="n">
        <v>-66578</v>
      </c>
      <c r="T9" t="n">
        <v>-53524</v>
      </c>
      <c r="U9" t="n">
        <v>-58434</v>
      </c>
      <c r="V9" t="n">
        <v>14152</v>
      </c>
      <c r="W9">
        <f>SUM(S9:V9)</f>
        <v>-164384</v>
      </c>
      <c r="X9" t="n">
        <v>-72147</v>
      </c>
      <c r="Y9" t="n">
        <v>-14758</v>
      </c>
      <c r="Z9" t="n">
        <v>-58193</v>
      </c>
      <c r="AA9" t="n">
        <v>-60249</v>
      </c>
      <c r="AB9">
        <f>SUM(X9:AA9)</f>
        <v>-205347</v>
      </c>
      <c r="AC9" t="n">
        <v>-71487</v>
      </c>
      <c r="AD9" t="n">
        <v>-39594</v>
      </c>
    </row>
    <row r="10">
      <c r="A10" t="inlineStr">
        <is>
          <t>D&amp;A - DVA 7.04.01 até 2T22; DFC 6.01.01 (depreciação e amortização + amortização de mais-valia/ágio) a partir de 3T22</t>
        </is>
      </c>
      <c r="B10" t="n">
        <v>4</v>
      </c>
      <c r="C10" t="inlineStr">
        <is>
          <t>D&amp;A</t>
        </is>
      </c>
      <c r="D10" t="n">
        <v>-132593</v>
      </c>
      <c r="E10" t="n">
        <v>-131573</v>
      </c>
      <c r="F10" t="n">
        <v>-145397</v>
      </c>
      <c r="G10" t="n">
        <v>-149432</v>
      </c>
      <c r="H10">
        <f>SUM(D10:G10)</f>
        <v>-558995</v>
      </c>
      <c r="I10" t="n">
        <v>-157304</v>
      </c>
      <c r="J10" t="n">
        <v>-161190</v>
      </c>
      <c r="K10" t="n">
        <v>-161353</v>
      </c>
      <c r="L10" t="n">
        <v>-117907</v>
      </c>
      <c r="M10">
        <f>SUM(I10:L10)</f>
        <v>-597754</v>
      </c>
      <c r="N10" t="n">
        <v>-168327</v>
      </c>
      <c r="O10" t="n">
        <v>-169666</v>
      </c>
      <c r="P10" t="n">
        <v>-169643</v>
      </c>
      <c r="Q10" t="n">
        <v>-169639</v>
      </c>
      <c r="R10">
        <f>SUM(N10:Q10)</f>
        <v>-677275</v>
      </c>
      <c r="S10" t="n">
        <v>-166381</v>
      </c>
      <c r="T10" t="n">
        <v>-175177</v>
      </c>
      <c r="U10" t="n">
        <v>-182611</v>
      </c>
      <c r="V10" t="n">
        <v>-189021</v>
      </c>
      <c r="W10">
        <f>SUM(S10:V10)</f>
        <v>-713190</v>
      </c>
      <c r="X10" t="n">
        <v>-458196</v>
      </c>
      <c r="Y10" t="n">
        <v>-521747</v>
      </c>
      <c r="Z10" t="n">
        <v>-465553</v>
      </c>
      <c r="AA10" t="n">
        <v>-477467</v>
      </c>
      <c r="AB10">
        <f>SUM(X10:AA10)</f>
        <v>-1922963</v>
      </c>
      <c r="AC10" t="n">
        <v>-466831</v>
      </c>
      <c r="AD10" t="n">
        <v>-465443</v>
      </c>
    </row>
    <row r="11">
      <c r="A11" t="inlineStr">
        <is>
          <t>CVM DRE 3.06.02 Despesas financeiras</t>
        </is>
      </c>
      <c r="B11" t="n">
        <v>5</v>
      </c>
      <c r="C11" t="inlineStr">
        <is>
          <t>Interest Expense</t>
        </is>
      </c>
      <c r="D11" t="n">
        <v>-164756</v>
      </c>
      <c r="E11" t="n">
        <v>-211669</v>
      </c>
      <c r="F11" t="n">
        <v>-193237</v>
      </c>
      <c r="G11" t="n">
        <v>-238999</v>
      </c>
      <c r="H11">
        <f>SUM(D11:G11)</f>
        <v>-808661</v>
      </c>
      <c r="I11" t="n">
        <v>-250510</v>
      </c>
      <c r="J11" t="n">
        <v>-291340</v>
      </c>
      <c r="K11" t="n">
        <v>-165812</v>
      </c>
      <c r="L11" t="n">
        <v>-468975</v>
      </c>
      <c r="M11">
        <f>SUM(I11:L11)</f>
        <v>-1176637</v>
      </c>
      <c r="N11" t="n">
        <v>-272035</v>
      </c>
      <c r="O11" t="n">
        <v>-497689</v>
      </c>
      <c r="P11" t="n">
        <v>-194621</v>
      </c>
      <c r="Q11" t="n">
        <v>-215024</v>
      </c>
      <c r="R11">
        <f>SUM(N11:Q11)</f>
        <v>-1179369</v>
      </c>
      <c r="S11" t="n">
        <v>-258839</v>
      </c>
      <c r="T11" t="n">
        <v>-255757</v>
      </c>
      <c r="U11" t="n">
        <v>-243887</v>
      </c>
      <c r="V11" t="n">
        <v>-717696</v>
      </c>
      <c r="W11">
        <f>SUM(S11:V11)</f>
        <v>-1476179</v>
      </c>
      <c r="X11" t="n">
        <v>-1008815</v>
      </c>
      <c r="Y11" t="n">
        <v>-879279</v>
      </c>
      <c r="Z11" t="n">
        <v>-869780</v>
      </c>
      <c r="AA11" t="n">
        <v>-783788</v>
      </c>
      <c r="AB11">
        <f>SUM(X11:AA11)</f>
        <v>-3541662</v>
      </c>
      <c r="AC11" t="n">
        <v>-867481</v>
      </c>
      <c r="AD11" t="n">
        <v>-1018168</v>
      </c>
    </row>
    <row r="12">
      <c r="A12" t="inlineStr">
        <is>
          <t>CVM DRE 3.06.01 Receitas financeiras</t>
        </is>
      </c>
      <c r="B12" t="n">
        <v>6</v>
      </c>
      <c r="C12" t="inlineStr">
        <is>
          <t>Nonoperating Income / (Loss)</t>
        </is>
      </c>
      <c r="D12" t="n">
        <v>13753</v>
      </c>
      <c r="E12" t="n">
        <v>11716</v>
      </c>
      <c r="F12" t="n">
        <v>41663</v>
      </c>
      <c r="G12" t="n">
        <v>33412</v>
      </c>
      <c r="H12">
        <f>SUM(D12:G12)</f>
        <v>100544</v>
      </c>
      <c r="I12" t="n">
        <v>86074</v>
      </c>
      <c r="J12" t="n">
        <v>103888</v>
      </c>
      <c r="K12" t="n">
        <v>112759</v>
      </c>
      <c r="L12" t="n">
        <v>2536191</v>
      </c>
      <c r="M12">
        <f>SUM(I12:L12)</f>
        <v>2838912</v>
      </c>
      <c r="N12" t="n">
        <v>254848</v>
      </c>
      <c r="O12" t="n">
        <v>473238</v>
      </c>
      <c r="P12" t="n">
        <v>74493</v>
      </c>
      <c r="Q12" t="n">
        <v>138783</v>
      </c>
      <c r="R12">
        <f>SUM(N12:Q12)</f>
        <v>941362</v>
      </c>
      <c r="S12" t="n">
        <v>149860</v>
      </c>
      <c r="T12" t="n">
        <v>119705</v>
      </c>
      <c r="U12" t="n">
        <v>141262</v>
      </c>
      <c r="V12" t="n">
        <v>304060</v>
      </c>
      <c r="W12">
        <f>SUM(S12:V12)</f>
        <v>714887</v>
      </c>
      <c r="X12" t="n">
        <v>276738</v>
      </c>
      <c r="Y12" t="n">
        <v>234752</v>
      </c>
      <c r="Z12" t="n">
        <v>244490</v>
      </c>
      <c r="AA12" t="n">
        <v>351744</v>
      </c>
      <c r="AB12">
        <f>SUM(X12:AA12)</f>
        <v>1107724</v>
      </c>
      <c r="AC12" t="n">
        <v>277650</v>
      </c>
      <c r="AD12" t="n">
        <v>286022</v>
      </c>
    </row>
    <row r="13">
      <c r="A13" t="inlineStr">
        <is>
          <t>CVM DRE 3.08 IR e CS sobre o lucro</t>
        </is>
      </c>
      <c r="B13" t="n">
        <v>7</v>
      </c>
      <c r="C13" t="inlineStr">
        <is>
          <t>Taxes</t>
        </is>
      </c>
      <c r="D13" t="n">
        <v>-46947</v>
      </c>
      <c r="E13" t="n">
        <v>7108</v>
      </c>
      <c r="F13" t="n">
        <v>-238601</v>
      </c>
      <c r="G13" t="n">
        <v>16235</v>
      </c>
      <c r="H13">
        <f>SUM(D13:G13)</f>
        <v>-262205</v>
      </c>
      <c r="I13" t="n">
        <v>-14548</v>
      </c>
      <c r="J13" t="n">
        <v>2189</v>
      </c>
      <c r="K13" t="n">
        <v>-111046</v>
      </c>
      <c r="L13" t="n">
        <v>-251321</v>
      </c>
      <c r="M13">
        <f>SUM(I13:L13)</f>
        <v>-374726</v>
      </c>
      <c r="N13" t="n">
        <v>-66645</v>
      </c>
      <c r="O13" t="n">
        <v>-69024</v>
      </c>
      <c r="P13" t="n">
        <v>-943452</v>
      </c>
      <c r="Q13" t="n">
        <v>-74475</v>
      </c>
      <c r="R13">
        <f>SUM(N13:Q13)</f>
        <v>-1153596</v>
      </c>
      <c r="S13" t="n">
        <v>-137244</v>
      </c>
      <c r="T13" t="n">
        <v>-49276</v>
      </c>
      <c r="U13" t="n">
        <v>-135947</v>
      </c>
      <c r="V13" t="n">
        <v>63963</v>
      </c>
      <c r="W13">
        <f>SUM(S13:V13)</f>
        <v>-258504</v>
      </c>
      <c r="X13" t="n">
        <v>-205385</v>
      </c>
      <c r="Y13" t="n">
        <v>71650</v>
      </c>
      <c r="Z13" t="n">
        <v>-35369</v>
      </c>
      <c r="AA13" t="n">
        <v>-270957</v>
      </c>
      <c r="AB13">
        <f>SUM(X13:AA13)</f>
        <v>-440061</v>
      </c>
      <c r="AC13" t="n">
        <v>83453</v>
      </c>
      <c r="AD13" t="n">
        <v>-31833</v>
      </c>
    </row>
    <row r="14">
      <c r="A14" t="inlineStr">
        <is>
          <t>CVM DRE 3.04.06 Resultado de equivalência patrimonial</t>
        </is>
      </c>
      <c r="B14" t="n">
        <v>8</v>
      </c>
      <c r="C14" t="inlineStr">
        <is>
          <t>Equity in Income of Affiliates, after tax (enter as +)</t>
        </is>
      </c>
      <c r="D14" t="n">
        <v>0</v>
      </c>
      <c r="E14" t="n">
        <v>0</v>
      </c>
      <c r="F14" t="n">
        <v>0</v>
      </c>
      <c r="G14" t="n">
        <v>0</v>
      </c>
      <c r="H14">
        <f>SUM(D14:G14)</f>
        <v>0</v>
      </c>
      <c r="I14" t="n">
        <v>29051</v>
      </c>
      <c r="J14" t="n">
        <v>54940</v>
      </c>
      <c r="K14" t="n">
        <v>52300</v>
      </c>
      <c r="L14" t="n">
        <v>-5632</v>
      </c>
      <c r="M14">
        <f>SUM(I14:L14)</f>
        <v>130659</v>
      </c>
      <c r="N14" t="n">
        <v>30229</v>
      </c>
      <c r="O14" t="n">
        <v>-11887</v>
      </c>
      <c r="P14" t="n">
        <v>45027</v>
      </c>
      <c r="Q14" t="n">
        <v>9943</v>
      </c>
      <c r="R14">
        <f>SUM(N14:Q14)</f>
        <v>73312</v>
      </c>
      <c r="S14" t="n">
        <v>66578</v>
      </c>
      <c r="T14" t="n">
        <v>53524</v>
      </c>
      <c r="U14" t="n">
        <v>58434</v>
      </c>
      <c r="V14" t="n">
        <v>-14152</v>
      </c>
      <c r="W14">
        <f>SUM(S14:V14)</f>
        <v>164384</v>
      </c>
      <c r="X14" t="n">
        <v>72147</v>
      </c>
      <c r="Y14" t="n">
        <v>14758</v>
      </c>
      <c r="Z14" t="n">
        <v>58193</v>
      </c>
      <c r="AA14" t="n">
        <v>60249</v>
      </c>
      <c r="AB14">
        <f>SUM(X14:AA14)</f>
        <v>205347</v>
      </c>
      <c r="AC14" t="n">
        <v>71487</v>
      </c>
      <c r="AD14" t="n">
        <v>39594</v>
      </c>
    </row>
    <row r="15">
      <c r="A15" t="inlineStr">
        <is>
          <t>CVM DRE 3.11.02 Lucro atribuído a não controladores (sinal invertido)</t>
        </is>
      </c>
      <c r="B15" t="n">
        <v>9</v>
      </c>
      <c r="C15" t="inlineStr">
        <is>
          <t>Minority Interest Expense, after tax (enter as - )</t>
        </is>
      </c>
      <c r="D15" t="n">
        <v>-29436</v>
      </c>
      <c r="E15" t="n">
        <v>15169</v>
      </c>
      <c r="F15" t="n">
        <v>-234281</v>
      </c>
      <c r="G15" t="n">
        <v>34187</v>
      </c>
      <c r="H15">
        <f>SUM(D15:G15)</f>
        <v>-214361</v>
      </c>
      <c r="I15" t="n">
        <v>-4214</v>
      </c>
      <c r="J15" t="n">
        <v>-0</v>
      </c>
      <c r="K15" t="n">
        <v>-0</v>
      </c>
      <c r="L15" t="n">
        <v>-0</v>
      </c>
      <c r="M15">
        <f>SUM(I15:L15)</f>
        <v>-4214</v>
      </c>
      <c r="N15" t="n">
        <v>-0</v>
      </c>
      <c r="O15" t="n">
        <v>-0</v>
      </c>
      <c r="P15" t="n">
        <v>-0</v>
      </c>
      <c r="Q15" t="n">
        <v>-0</v>
      </c>
      <c r="R15">
        <f>SUM(N15:Q15)</f>
        <v>0</v>
      </c>
      <c r="S15" t="n">
        <v>-0</v>
      </c>
      <c r="T15" t="n">
        <v>-0</v>
      </c>
      <c r="U15" t="n">
        <v>-0</v>
      </c>
      <c r="V15" t="n">
        <v>-20931</v>
      </c>
      <c r="W15">
        <f>SUM(S15:V15)</f>
        <v>-20931</v>
      </c>
      <c r="X15" t="n">
        <v>-45501</v>
      </c>
      <c r="Y15" t="n">
        <v>-52537</v>
      </c>
      <c r="Z15" t="n">
        <v>6661</v>
      </c>
      <c r="AA15" t="n">
        <v>-14780</v>
      </c>
      <c r="AB15">
        <f>SUM(X15:AA15)</f>
        <v>-106157</v>
      </c>
      <c r="AC15" t="n">
        <v>-19732</v>
      </c>
      <c r="AD15" t="n">
        <v>-31886</v>
      </c>
    </row>
    <row r="16">
      <c r="A16" t="inlineStr">
        <is>
          <t>CVM DFC 6.03 Pagamento de dividendos e JCP (caixa)</t>
        </is>
      </c>
      <c r="B16" t="n">
        <v>10</v>
      </c>
      <c r="C16" t="inlineStr">
        <is>
          <t>Common Dividends</t>
        </is>
      </c>
      <c r="D16" t="n">
        <v>-3475</v>
      </c>
      <c r="E16" t="n">
        <v>-352302</v>
      </c>
      <c r="F16" t="n">
        <v>-146582</v>
      </c>
      <c r="G16" t="n">
        <v>-3</v>
      </c>
      <c r="H16">
        <f>SUM(D16:G16)</f>
        <v>-502362</v>
      </c>
      <c r="I16" t="n">
        <v>0</v>
      </c>
      <c r="J16" t="n">
        <v>-99991</v>
      </c>
      <c r="K16" t="n">
        <v>0</v>
      </c>
      <c r="L16" t="n">
        <v>-3</v>
      </c>
      <c r="M16">
        <f>SUM(I16:L16)</f>
        <v>-99994</v>
      </c>
      <c r="N16" t="n">
        <v>0</v>
      </c>
      <c r="O16" t="n">
        <v>-1499809</v>
      </c>
      <c r="P16" t="n">
        <v>0</v>
      </c>
      <c r="Q16" t="n">
        <v>-1499817</v>
      </c>
      <c r="R16">
        <f>SUM(N16:Q16)</f>
        <v>-2999626</v>
      </c>
      <c r="S16" t="n">
        <v>-399948</v>
      </c>
      <c r="T16" t="n">
        <v>-1</v>
      </c>
      <c r="U16" t="n">
        <v>-1</v>
      </c>
      <c r="V16" t="n">
        <v>0</v>
      </c>
      <c r="W16">
        <f>SUM(S16:V16)</f>
        <v>-399950</v>
      </c>
      <c r="X16" t="n">
        <v>-99648</v>
      </c>
      <c r="Y16" t="n">
        <v>-61408</v>
      </c>
      <c r="Z16" t="n">
        <v>-89327</v>
      </c>
      <c r="AA16" t="n">
        <v>8548</v>
      </c>
      <c r="AB16">
        <f>SUM(X16:AA16)</f>
        <v>-241835</v>
      </c>
      <c r="AC16" t="n">
        <v>-42966</v>
      </c>
      <c r="AD16" t="n">
        <v>148</v>
      </c>
    </row>
    <row r="17">
      <c r="A17" t="inlineStr">
        <is>
          <t>CVM DRE 3.11.01 Lucro atribuído aos controladores (1T24-3T24: 3.11, pois a ITR não separou e não havia minoritários)</t>
        </is>
      </c>
      <c r="B17" t="n">
        <v>44</v>
      </c>
      <c r="C17" t="inlineStr">
        <is>
          <t>Net income reported (controladores) - memo p/ check</t>
        </is>
      </c>
      <c r="D17" t="n">
        <v>10128</v>
      </c>
      <c r="E17" t="n">
        <v>-71057</v>
      </c>
      <c r="F17" t="n">
        <v>82245</v>
      </c>
      <c r="G17" t="n">
        <v>14450</v>
      </c>
      <c r="H17">
        <f>SUM(D17:G17)</f>
        <v>35766</v>
      </c>
      <c r="I17" t="n">
        <v>-6799</v>
      </c>
      <c r="J17" t="n">
        <v>-2027</v>
      </c>
      <c r="K17" t="n">
        <v>230086</v>
      </c>
      <c r="L17" t="n">
        <v>2453140</v>
      </c>
      <c r="M17">
        <f>SUM(I17:L17)</f>
        <v>2674400</v>
      </c>
      <c r="N17" t="n">
        <v>229952</v>
      </c>
      <c r="O17" t="n">
        <v>182882</v>
      </c>
      <c r="P17" t="n">
        <v>-838116</v>
      </c>
      <c r="Q17" t="n">
        <v>107593</v>
      </c>
      <c r="R17">
        <f>SUM(N17:Q17)</f>
        <v>-317689</v>
      </c>
      <c r="S17" t="n">
        <v>253618</v>
      </c>
      <c r="T17" t="n">
        <v>91089</v>
      </c>
      <c r="U17" t="n">
        <v>270830</v>
      </c>
      <c r="V17" t="n">
        <v>-364599</v>
      </c>
      <c r="W17">
        <f>SUM(S17:V17)</f>
        <v>250938</v>
      </c>
      <c r="X17" t="n">
        <v>8496</v>
      </c>
      <c r="Y17" t="n">
        <v>-615390</v>
      </c>
      <c r="Z17" t="n">
        <v>-397034</v>
      </c>
      <c r="AA17" t="n">
        <v>339896</v>
      </c>
      <c r="AB17">
        <f>SUM(X17:AA17)</f>
        <v>-664032</v>
      </c>
      <c r="AC17" t="n">
        <v>-621338</v>
      </c>
      <c r="AD17" t="n">
        <v>-410947</v>
      </c>
    </row>
    <row r="18">
      <c r="A18" s="294" t="inlineStr">
        <is>
          <t>DRE - memória (sem código)</t>
        </is>
      </c>
    </row>
    <row r="19">
      <c r="A19" t="inlineStr">
        <is>
          <t>CVM DRE 3.03 Resultado bruto</t>
        </is>
      </c>
      <c r="D19" t="n">
        <v>274521</v>
      </c>
      <c r="E19" t="n">
        <v>178628</v>
      </c>
      <c r="F19" t="n">
        <v>805243</v>
      </c>
      <c r="G19" t="n">
        <v>174953</v>
      </c>
      <c r="H19">
        <f>SUM(D19:G19)</f>
        <v>1433345</v>
      </c>
      <c r="I19" t="n">
        <v>282051</v>
      </c>
      <c r="J19" t="n">
        <v>300314</v>
      </c>
      <c r="K19" t="n">
        <v>304824</v>
      </c>
      <c r="L19" t="n">
        <v>255894</v>
      </c>
      <c r="M19">
        <f>SUM(I19:L19)</f>
        <v>1143083</v>
      </c>
      <c r="N19" t="n">
        <v>333366</v>
      </c>
      <c r="O19" t="n">
        <v>341562</v>
      </c>
      <c r="P19" t="n">
        <v>327437</v>
      </c>
      <c r="Q19" t="n">
        <v>330579</v>
      </c>
      <c r="R19">
        <f>SUM(N19:Q19)</f>
        <v>1332944</v>
      </c>
      <c r="S19" t="n">
        <v>291026</v>
      </c>
      <c r="T19" t="n">
        <v>321540</v>
      </c>
      <c r="U19" t="n">
        <v>319522</v>
      </c>
      <c r="V19" t="n">
        <v>496915</v>
      </c>
      <c r="W19">
        <f>SUM(S19:V19)</f>
        <v>1429003</v>
      </c>
      <c r="X19" t="n">
        <v>836269</v>
      </c>
      <c r="Y19" t="n">
        <v>495437</v>
      </c>
      <c r="Z19" t="n">
        <v>336691</v>
      </c>
      <c r="AA19" t="n">
        <v>482339</v>
      </c>
      <c r="AB19">
        <f>SUM(X19:AA19)</f>
        <v>2150736</v>
      </c>
      <c r="AC19" t="n">
        <v>487454</v>
      </c>
      <c r="AD19" t="n">
        <v>452238</v>
      </c>
    </row>
    <row r="20">
      <c r="A20" t="inlineStr">
        <is>
          <t>CVM DRE 3.05 Resultado antes do resultado financeiro (EBIT)</t>
        </is>
      </c>
      <c r="D20" t="n">
        <v>237514</v>
      </c>
      <c r="E20" t="n">
        <v>106619</v>
      </c>
      <c r="F20" t="n">
        <v>706701</v>
      </c>
      <c r="G20" t="n">
        <v>169615</v>
      </c>
      <c r="H20">
        <f>SUM(D20:G20)</f>
        <v>1220449</v>
      </c>
      <c r="I20" t="n">
        <v>176399</v>
      </c>
      <c r="J20" t="n">
        <v>183236</v>
      </c>
      <c r="K20" t="n">
        <v>394186</v>
      </c>
      <c r="L20" t="n">
        <v>637244</v>
      </c>
      <c r="M20">
        <f>SUM(I20:L20)</f>
        <v>1391065</v>
      </c>
      <c r="N20" t="n">
        <v>313784</v>
      </c>
      <c r="O20" t="n">
        <v>276357</v>
      </c>
      <c r="P20" t="n">
        <v>225464</v>
      </c>
      <c r="Q20" t="n">
        <v>258309</v>
      </c>
      <c r="R20">
        <f>SUM(N20:Q20)</f>
        <v>1073914</v>
      </c>
      <c r="S20" t="n">
        <v>499841</v>
      </c>
      <c r="T20" t="n">
        <v>276417</v>
      </c>
      <c r="U20" t="n">
        <v>509402</v>
      </c>
      <c r="V20" t="n">
        <v>6005</v>
      </c>
      <c r="W20">
        <f>SUM(S20:V20)</f>
        <v>1291665</v>
      </c>
      <c r="X20" t="n">
        <v>991459</v>
      </c>
      <c r="Y20" t="n">
        <v>10024</v>
      </c>
      <c r="Z20" t="n">
        <v>256964</v>
      </c>
      <c r="AA20" t="n">
        <v>1057677</v>
      </c>
      <c r="AB20">
        <f>SUM(X20:AA20)</f>
        <v>2316124</v>
      </c>
      <c r="AC20" t="n">
        <v>-95228</v>
      </c>
      <c r="AD20" t="n">
        <v>384918</v>
      </c>
    </row>
    <row r="21">
      <c r="A21" t="inlineStr">
        <is>
          <t>CVM DRE 3.07 Resultado antes dos tributos</t>
        </is>
      </c>
      <c r="D21" t="n">
        <v>86511</v>
      </c>
      <c r="E21" t="n">
        <v>-93334</v>
      </c>
      <c r="F21" t="n">
        <v>555127</v>
      </c>
      <c r="G21" t="n">
        <v>-35972</v>
      </c>
      <c r="H21">
        <f>SUM(D21:G21)</f>
        <v>512332</v>
      </c>
      <c r="I21" t="n">
        <v>11963</v>
      </c>
      <c r="J21" t="n">
        <v>-4216</v>
      </c>
      <c r="K21" t="n">
        <v>341133</v>
      </c>
      <c r="L21" t="n">
        <v>2704460</v>
      </c>
      <c r="M21">
        <f>SUM(I21:L21)</f>
        <v>3053340</v>
      </c>
      <c r="N21" t="n">
        <v>296597</v>
      </c>
      <c r="O21" t="n">
        <v>251906</v>
      </c>
      <c r="P21" t="n">
        <v>105336</v>
      </c>
      <c r="Q21" t="n">
        <v>182068</v>
      </c>
      <c r="R21">
        <f>SUM(N21:Q21)</f>
        <v>835907</v>
      </c>
      <c r="S21" t="n">
        <v>390862</v>
      </c>
      <c r="T21" t="n">
        <v>140365</v>
      </c>
      <c r="U21" t="n">
        <v>406777</v>
      </c>
      <c r="V21" t="n">
        <v>-407631</v>
      </c>
      <c r="W21">
        <f>SUM(S21:V21)</f>
        <v>530373</v>
      </c>
      <c r="X21" t="n">
        <v>259382</v>
      </c>
      <c r="Y21" t="n">
        <v>-634503</v>
      </c>
      <c r="Z21" t="n">
        <v>-368326</v>
      </c>
      <c r="AA21" t="n">
        <v>625633</v>
      </c>
      <c r="AB21">
        <f>SUM(X21:AA21)</f>
        <v>-117814</v>
      </c>
      <c r="AC21" t="n">
        <v>-685059</v>
      </c>
      <c r="AD21" t="n">
        <v>-347228</v>
      </c>
    </row>
    <row r="22">
      <c r="A22" t="inlineStr">
        <is>
          <t>CVM DRE 3.11 Lucro consolidado do período</t>
        </is>
      </c>
      <c r="D22" t="n">
        <v>39564</v>
      </c>
      <c r="E22" t="n">
        <v>-86226</v>
      </c>
      <c r="F22" t="n">
        <v>316526</v>
      </c>
      <c r="G22" t="n">
        <v>-19737</v>
      </c>
      <c r="H22">
        <f>SUM(D22:G22)</f>
        <v>250127</v>
      </c>
      <c r="I22" t="n">
        <v>-2585</v>
      </c>
      <c r="J22" t="n">
        <v>-2027</v>
      </c>
      <c r="K22" t="n">
        <v>230087</v>
      </c>
      <c r="L22" t="n">
        <v>2453139</v>
      </c>
      <c r="M22">
        <f>SUM(I22:L22)</f>
        <v>2678614</v>
      </c>
      <c r="N22" t="n">
        <v>229952</v>
      </c>
      <c r="O22" t="n">
        <v>182882</v>
      </c>
      <c r="P22" t="n">
        <v>-838116</v>
      </c>
      <c r="Q22" t="n">
        <v>107593</v>
      </c>
      <c r="R22">
        <f>SUM(N22:Q22)</f>
        <v>-317689</v>
      </c>
      <c r="S22" t="n">
        <v>253618</v>
      </c>
      <c r="T22" t="n">
        <v>91089</v>
      </c>
      <c r="U22" t="n">
        <v>270830</v>
      </c>
      <c r="V22" t="n">
        <v>-343668</v>
      </c>
      <c r="W22">
        <f>SUM(S22:V22)</f>
        <v>271869</v>
      </c>
      <c r="X22" t="n">
        <v>53997</v>
      </c>
      <c r="Y22" t="n">
        <v>-562853</v>
      </c>
      <c r="Z22" t="n">
        <v>-403695</v>
      </c>
      <c r="AA22" t="n">
        <v>354676</v>
      </c>
      <c r="AB22">
        <f>SUM(X22:AA22)</f>
        <v>-557875</v>
      </c>
      <c r="AC22" t="n">
        <v>-601606</v>
      </c>
      <c r="AD22" t="n">
        <v>-379061</v>
      </c>
    </row>
    <row r="23">
      <c r="A23" t="inlineStr">
        <is>
          <t>Receita líquida PRO FORMA (Auren + AES Brasil) - Planilha Interativa da RI; base antiga do modelo, só comparação</t>
        </is>
      </c>
      <c r="H23">
        <f>SUM(D23:G23)</f>
        <v>0</v>
      </c>
      <c r="M23">
        <f>SUM(I23:L23)</f>
        <v>0</v>
      </c>
      <c r="N23" t="n">
        <v>2180778.371</v>
      </c>
      <c r="O23" t="n">
        <v>2186623.619</v>
      </c>
      <c r="P23" t="n">
        <v>2523976.181</v>
      </c>
      <c r="Q23" t="n">
        <v>2666055.31</v>
      </c>
      <c r="R23">
        <f>SUM(N23:Q23)</f>
        <v>9557433.481</v>
      </c>
      <c r="S23" t="n">
        <v>2209357.162</v>
      </c>
      <c r="T23" t="n">
        <v>2307884.529</v>
      </c>
      <c r="U23" t="n">
        <v>3134682.385</v>
      </c>
      <c r="V23" t="n">
        <v>3598924.968</v>
      </c>
      <c r="W23">
        <f>SUM(S23:V23)</f>
        <v>11250849.044</v>
      </c>
      <c r="AB23">
        <f>SUM(X23:AA23)</f>
        <v>0</v>
      </c>
    </row>
    <row r="24">
      <c r="A24" s="294" t="inlineStr">
        <is>
          <t>BALANÇO - CVM ITR/DFP consolidado, R$ mil, saldo no fim do trimestre</t>
        </is>
      </c>
      <c r="R24" s="251" t="n"/>
      <c r="V24" s="250" t="n"/>
      <c r="W24" s="251" t="n"/>
      <c r="X24" s="250" t="n"/>
      <c r="Y24" s="250" t="n"/>
      <c r="Z24" s="250" t="n"/>
      <c r="AA24" s="250" t="n"/>
      <c r="AB24" s="251" t="n"/>
      <c r="AC24" s="250" t="n"/>
      <c r="AD24" s="250" t="n"/>
    </row>
    <row r="25">
      <c r="A25" t="inlineStr">
        <is>
          <t>CVM BPA 1.01.01 Caixa e Equivalentes de Caixa</t>
        </is>
      </c>
      <c r="B25" t="n">
        <v>11</v>
      </c>
      <c r="C25" t="inlineStr">
        <is>
          <t>Cash and equivalents (inc. investment securities)</t>
        </is>
      </c>
      <c r="D25" t="n">
        <v>1292369</v>
      </c>
      <c r="E25" t="n">
        <v>1189841</v>
      </c>
      <c r="F25" t="n">
        <v>1376313</v>
      </c>
      <c r="G25" t="n">
        <v>1595818</v>
      </c>
      <c r="H25">
        <f>G25</f>
        <v>1595818</v>
      </c>
      <c r="I25" t="n">
        <v>3049185</v>
      </c>
      <c r="J25" t="n">
        <v>3211067</v>
      </c>
      <c r="K25" t="n">
        <v>2881084</v>
      </c>
      <c r="L25" t="n">
        <v>3125959</v>
      </c>
      <c r="M25">
        <f>L25</f>
        <v>3125959</v>
      </c>
      <c r="N25" t="n">
        <v>3344668</v>
      </c>
      <c r="O25" t="n">
        <v>6225732</v>
      </c>
      <c r="P25" t="n">
        <v>4904741</v>
      </c>
      <c r="Q25" t="n">
        <v>3238394</v>
      </c>
      <c r="R25">
        <f>Q25</f>
        <v>3238394</v>
      </c>
      <c r="S25" t="n">
        <v>3094615</v>
      </c>
      <c r="T25" t="n">
        <v>4992046</v>
      </c>
      <c r="U25" t="n">
        <v>5281323</v>
      </c>
      <c r="V25" t="n">
        <v>7200549</v>
      </c>
      <c r="W25">
        <f>V25</f>
        <v>7200549</v>
      </c>
      <c r="X25" t="n">
        <v>6131027</v>
      </c>
      <c r="Y25" t="n">
        <v>4907414</v>
      </c>
      <c r="Z25" t="n">
        <v>4479368</v>
      </c>
      <c r="AA25" t="n">
        <v>3826127</v>
      </c>
      <c r="AB25">
        <f>AA25</f>
        <v>3826127</v>
      </c>
      <c r="AC25" t="n">
        <v>2959416</v>
      </c>
      <c r="AD25" t="n">
        <v>2949774</v>
      </c>
    </row>
    <row r="26">
      <c r="A26" t="inlineStr">
        <is>
          <t>CVM BPA 1.01.02 Aplicações Financeiras</t>
        </is>
      </c>
      <c r="B26" t="n">
        <v>11</v>
      </c>
      <c r="C26" t="inlineStr">
        <is>
          <t>Cash and equivalents (inc. investment securities)</t>
        </is>
      </c>
      <c r="D26" t="n">
        <v>0</v>
      </c>
      <c r="E26" t="n">
        <v>0</v>
      </c>
      <c r="F26" t="n">
        <v>0</v>
      </c>
      <c r="G26" t="n">
        <v>77751</v>
      </c>
      <c r="H26">
        <f>G26</f>
        <v>77751</v>
      </c>
      <c r="I26" t="n">
        <v>124662</v>
      </c>
      <c r="J26" t="n">
        <v>142899</v>
      </c>
      <c r="K26" t="n">
        <v>102612</v>
      </c>
      <c r="L26" t="n">
        <v>105347</v>
      </c>
      <c r="M26">
        <f>L26</f>
        <v>105347</v>
      </c>
      <c r="N26" t="n">
        <v>57999</v>
      </c>
      <c r="O26" t="n">
        <v>59610</v>
      </c>
      <c r="P26" t="n">
        <v>0</v>
      </c>
      <c r="Q26" t="n">
        <v>0</v>
      </c>
      <c r="R26">
        <f>Q26</f>
        <v>0</v>
      </c>
      <c r="S26" t="n">
        <v>0</v>
      </c>
      <c r="T26" t="n">
        <v>0</v>
      </c>
      <c r="U26" t="n">
        <v>14398</v>
      </c>
      <c r="V26" t="n">
        <v>2629</v>
      </c>
      <c r="W26">
        <f>V26</f>
        <v>2629</v>
      </c>
      <c r="X26" t="n">
        <v>31449</v>
      </c>
      <c r="Y26" t="n">
        <v>25754</v>
      </c>
      <c r="Z26" t="n">
        <v>596314</v>
      </c>
      <c r="AA26" t="n">
        <v>556295</v>
      </c>
      <c r="AB26">
        <f>AA26</f>
        <v>556295</v>
      </c>
      <c r="AC26" t="n">
        <v>612466</v>
      </c>
      <c r="AD26" t="n">
        <v>689034</v>
      </c>
    </row>
    <row r="27">
      <c r="A27" t="inlineStr">
        <is>
          <t>CVM BPA 1.01.03 Contas a Receber</t>
        </is>
      </c>
      <c r="B27" t="n">
        <v>12</v>
      </c>
      <c r="C27" t="inlineStr">
        <is>
          <t>Accounts receivable</t>
        </is>
      </c>
      <c r="D27" t="n">
        <v>382854</v>
      </c>
      <c r="E27" t="n">
        <v>325707</v>
      </c>
      <c r="F27" t="n">
        <v>330258</v>
      </c>
      <c r="G27" t="n">
        <v>328631</v>
      </c>
      <c r="H27">
        <f>G27</f>
        <v>328631</v>
      </c>
      <c r="I27" t="n">
        <v>556035</v>
      </c>
      <c r="J27" t="n">
        <v>549634</v>
      </c>
      <c r="K27" t="n">
        <v>625916</v>
      </c>
      <c r="L27" t="n">
        <v>617860</v>
      </c>
      <c r="M27">
        <f>L27</f>
        <v>617860</v>
      </c>
      <c r="N27" t="n">
        <v>577274</v>
      </c>
      <c r="O27" t="n">
        <v>569731</v>
      </c>
      <c r="P27" t="n">
        <v>656783</v>
      </c>
      <c r="Q27" t="n">
        <v>679476</v>
      </c>
      <c r="R27">
        <f>Q27</f>
        <v>679476</v>
      </c>
      <c r="S27" t="n">
        <v>569252</v>
      </c>
      <c r="T27" t="n">
        <v>575060</v>
      </c>
      <c r="U27" t="n">
        <v>919196</v>
      </c>
      <c r="V27" t="n">
        <v>1492867</v>
      </c>
      <c r="W27">
        <f>V27</f>
        <v>1492867</v>
      </c>
      <c r="X27" t="n">
        <v>1404559</v>
      </c>
      <c r="Y27" t="n">
        <v>1229784</v>
      </c>
      <c r="Z27" t="n">
        <v>1543172</v>
      </c>
      <c r="AA27" t="n">
        <v>1712414</v>
      </c>
      <c r="AB27">
        <f>AA27</f>
        <v>1712414</v>
      </c>
      <c r="AC27" t="n">
        <v>1637335</v>
      </c>
      <c r="AD27" t="n">
        <v>1408699</v>
      </c>
    </row>
    <row r="28">
      <c r="A28" t="inlineStr">
        <is>
          <t>CVM BPA 1.01.06 Tributos a Recuperar</t>
        </is>
      </c>
      <c r="B28" t="n">
        <v>16</v>
      </c>
      <c r="C28" t="inlineStr">
        <is>
          <t>Other current assets</t>
        </is>
      </c>
      <c r="D28" t="n">
        <v>75820</v>
      </c>
      <c r="E28" t="n">
        <v>83320</v>
      </c>
      <c r="F28" t="n">
        <v>80249</v>
      </c>
      <c r="G28" t="n">
        <v>36714</v>
      </c>
      <c r="H28">
        <f>G28</f>
        <v>36714</v>
      </c>
      <c r="I28" t="n">
        <v>72760</v>
      </c>
      <c r="J28" t="n">
        <v>92617</v>
      </c>
      <c r="K28" t="n">
        <v>111149</v>
      </c>
      <c r="L28" t="n">
        <v>105993</v>
      </c>
      <c r="M28">
        <f>L28</f>
        <v>105993</v>
      </c>
      <c r="N28" t="n">
        <v>129838</v>
      </c>
      <c r="O28" t="n">
        <v>175907</v>
      </c>
      <c r="P28" t="n">
        <v>225719</v>
      </c>
      <c r="Q28" t="n">
        <v>139249</v>
      </c>
      <c r="R28">
        <f>Q28</f>
        <v>139249</v>
      </c>
      <c r="S28" t="n">
        <v>162883</v>
      </c>
      <c r="T28" t="n">
        <v>176234</v>
      </c>
      <c r="U28" t="n">
        <v>220418</v>
      </c>
      <c r="V28" t="n">
        <v>261258</v>
      </c>
      <c r="W28">
        <f>V28</f>
        <v>261258</v>
      </c>
      <c r="X28" t="n">
        <v>255502</v>
      </c>
      <c r="Y28" t="n">
        <v>305604</v>
      </c>
      <c r="Z28" t="n">
        <v>331172</v>
      </c>
      <c r="AA28" t="n">
        <v>289189</v>
      </c>
      <c r="AB28">
        <f>AA28</f>
        <v>289189</v>
      </c>
      <c r="AC28" t="n">
        <v>304052</v>
      </c>
      <c r="AD28" t="n">
        <v>346199</v>
      </c>
    </row>
    <row r="29">
      <c r="A29" t="inlineStr">
        <is>
          <t>CVM BPA 1.01.08 Outros Ativos Circulantes</t>
        </is>
      </c>
      <c r="B29" t="n">
        <v>16</v>
      </c>
      <c r="C29" t="inlineStr">
        <is>
          <t>Other current assets</t>
        </is>
      </c>
      <c r="D29" t="n">
        <v>77884</v>
      </c>
      <c r="E29" t="n">
        <v>86212</v>
      </c>
      <c r="F29" t="n">
        <v>91761</v>
      </c>
      <c r="G29" t="n">
        <v>313085</v>
      </c>
      <c r="H29">
        <f>G29</f>
        <v>313085</v>
      </c>
      <c r="I29" t="n">
        <v>1663133</v>
      </c>
      <c r="J29" t="n">
        <v>1954073</v>
      </c>
      <c r="K29" t="n">
        <v>1779248</v>
      </c>
      <c r="L29" t="n">
        <v>2313337</v>
      </c>
      <c r="M29">
        <f>L29</f>
        <v>2313337</v>
      </c>
      <c r="N29" t="n">
        <v>2790493</v>
      </c>
      <c r="O29" t="n">
        <v>2161634</v>
      </c>
      <c r="P29" t="n">
        <v>2002402</v>
      </c>
      <c r="Q29" t="n">
        <v>1880742</v>
      </c>
      <c r="R29">
        <f>Q29</f>
        <v>1880742</v>
      </c>
      <c r="S29" t="n">
        <v>1521179</v>
      </c>
      <c r="T29" t="n">
        <v>1572587</v>
      </c>
      <c r="U29" t="n">
        <v>3241231</v>
      </c>
      <c r="V29" t="n">
        <v>2180491</v>
      </c>
      <c r="W29">
        <f>V29</f>
        <v>2180491</v>
      </c>
      <c r="X29" t="n">
        <v>3271444</v>
      </c>
      <c r="Y29" t="n">
        <v>2264697</v>
      </c>
      <c r="Z29" t="n">
        <v>1869303</v>
      </c>
      <c r="AA29" t="n">
        <v>2076082</v>
      </c>
      <c r="AB29">
        <f>AA29</f>
        <v>2076082</v>
      </c>
      <c r="AC29" t="n">
        <v>1896154</v>
      </c>
      <c r="AD29" t="n">
        <v>1735662</v>
      </c>
    </row>
    <row r="30">
      <c r="A30" t="inlineStr">
        <is>
          <t>CVM BPA 1.02.01 Ativo Realizável a Longo Prazo</t>
        </is>
      </c>
      <c r="B30" t="n">
        <v>22</v>
      </c>
      <c r="C30" t="inlineStr">
        <is>
          <t>Other non-current assets</t>
        </is>
      </c>
      <c r="D30" t="n">
        <v>5953955</v>
      </c>
      <c r="E30" t="n">
        <v>5970796</v>
      </c>
      <c r="F30" t="n">
        <v>5566187</v>
      </c>
      <c r="G30" t="n">
        <v>5858557</v>
      </c>
      <c r="H30">
        <f>G30</f>
        <v>5858557</v>
      </c>
      <c r="I30" t="n">
        <v>8838579</v>
      </c>
      <c r="J30" t="n">
        <v>8847640</v>
      </c>
      <c r="K30" t="n">
        <v>8821900</v>
      </c>
      <c r="L30" t="n">
        <v>10824096</v>
      </c>
      <c r="M30">
        <f>L30</f>
        <v>10824096</v>
      </c>
      <c r="N30" t="n">
        <v>11362362</v>
      </c>
      <c r="O30" t="n">
        <v>7910031</v>
      </c>
      <c r="P30" t="n">
        <v>6898457</v>
      </c>
      <c r="Q30" t="n">
        <v>6626900</v>
      </c>
      <c r="R30">
        <f>Q30</f>
        <v>6626900</v>
      </c>
      <c r="S30" t="n">
        <v>5996230</v>
      </c>
      <c r="T30" t="n">
        <v>5739551</v>
      </c>
      <c r="U30" t="n">
        <v>5553418</v>
      </c>
      <c r="V30" t="n">
        <v>5665802</v>
      </c>
      <c r="W30">
        <f>V30</f>
        <v>5665802</v>
      </c>
      <c r="X30" t="n">
        <v>5493592</v>
      </c>
      <c r="Y30" t="n">
        <v>5187745</v>
      </c>
      <c r="Z30" t="n">
        <v>4903780</v>
      </c>
      <c r="AA30" t="n">
        <v>5364266</v>
      </c>
      <c r="AB30">
        <f>AA30</f>
        <v>5364266</v>
      </c>
      <c r="AC30" t="n">
        <v>5437925</v>
      </c>
      <c r="AD30" t="n">
        <v>5429087</v>
      </c>
    </row>
    <row r="31">
      <c r="A31" t="inlineStr">
        <is>
          <t>(-) estorno IR e CS diferidos (1.02.01.07), lançado no código 14</t>
        </is>
      </c>
      <c r="B31" t="n">
        <v>22</v>
      </c>
      <c r="C31" t="inlineStr">
        <is>
          <t>Other non-current assets</t>
        </is>
      </c>
      <c r="D31" t="n">
        <v>-3908905</v>
      </c>
      <c r="E31" t="n">
        <v>-3908192</v>
      </c>
      <c r="F31" t="n">
        <v>-3444995</v>
      </c>
      <c r="G31" t="n">
        <v>-3408893</v>
      </c>
      <c r="H31">
        <f>G31</f>
        <v>-3408893</v>
      </c>
      <c r="I31" t="n">
        <v>-3416808</v>
      </c>
      <c r="J31" t="n">
        <v>-3430877</v>
      </c>
      <c r="K31" t="n">
        <v>-3370826</v>
      </c>
      <c r="L31" t="n">
        <v>-3000824</v>
      </c>
      <c r="M31">
        <f>L31</f>
        <v>-3000824</v>
      </c>
      <c r="N31" t="n">
        <v>-2992037</v>
      </c>
      <c r="O31" t="n">
        <v>-2922766</v>
      </c>
      <c r="P31" t="n">
        <v>-2601196</v>
      </c>
      <c r="Q31" t="n">
        <v>-2698782</v>
      </c>
      <c r="R31">
        <f>Q31</f>
        <v>-2698782</v>
      </c>
      <c r="S31" t="n">
        <v>-2697332</v>
      </c>
      <c r="T31" t="n">
        <v>-2660554</v>
      </c>
      <c r="U31" t="n">
        <v>-2642872</v>
      </c>
      <c r="V31" t="n">
        <v>-2172103</v>
      </c>
      <c r="W31">
        <f>V31</f>
        <v>-2172103</v>
      </c>
      <c r="X31" t="n">
        <v>-2129196</v>
      </c>
      <c r="Y31" t="n">
        <v>-1964087</v>
      </c>
      <c r="Z31" t="n">
        <v>-1995197</v>
      </c>
      <c r="AA31" t="n">
        <v>-1942725</v>
      </c>
      <c r="AB31">
        <f>AA31</f>
        <v>-1942725</v>
      </c>
      <c r="AC31" t="n">
        <v>-1956126</v>
      </c>
      <c r="AD31" t="n">
        <v>-1997881</v>
      </c>
    </row>
    <row r="32">
      <c r="A32" t="inlineStr">
        <is>
          <t>CVM BPA 1.02.01.07 Tributos Diferidos</t>
        </is>
      </c>
      <c r="B32" t="n">
        <v>14</v>
      </c>
      <c r="C32" t="inlineStr">
        <is>
          <t>Deferred income taxes</t>
        </is>
      </c>
      <c r="D32" t="n">
        <v>3908905</v>
      </c>
      <c r="E32" t="n">
        <v>3908192</v>
      </c>
      <c r="F32" t="n">
        <v>3444995</v>
      </c>
      <c r="G32" t="n">
        <v>3408893</v>
      </c>
      <c r="H32">
        <f>G32</f>
        <v>3408893</v>
      </c>
      <c r="I32" t="n">
        <v>3416808</v>
      </c>
      <c r="J32" t="n">
        <v>3430877</v>
      </c>
      <c r="K32" t="n">
        <v>3370826</v>
      </c>
      <c r="L32" t="n">
        <v>3000824</v>
      </c>
      <c r="M32">
        <f>L32</f>
        <v>3000824</v>
      </c>
      <c r="N32" t="n">
        <v>2992037</v>
      </c>
      <c r="O32" t="n">
        <v>2922766</v>
      </c>
      <c r="P32" t="n">
        <v>2601196</v>
      </c>
      <c r="Q32" t="n">
        <v>2698782</v>
      </c>
      <c r="R32">
        <f>Q32</f>
        <v>2698782</v>
      </c>
      <c r="S32" t="n">
        <v>2697332</v>
      </c>
      <c r="T32" t="n">
        <v>2660554</v>
      </c>
      <c r="U32" t="n">
        <v>2642872</v>
      </c>
      <c r="V32" t="n">
        <v>2172103</v>
      </c>
      <c r="W32">
        <f>V32</f>
        <v>2172103</v>
      </c>
      <c r="X32" t="n">
        <v>2129196</v>
      </c>
      <c r="Y32" t="n">
        <v>1964087</v>
      </c>
      <c r="Z32" t="n">
        <v>1995197</v>
      </c>
      <c r="AA32" t="n">
        <v>1942725</v>
      </c>
      <c r="AB32">
        <f>AA32</f>
        <v>1942725</v>
      </c>
      <c r="AC32" t="n">
        <v>1956126</v>
      </c>
      <c r="AD32" t="n">
        <v>1997881</v>
      </c>
    </row>
    <row r="33">
      <c r="A33" t="inlineStr">
        <is>
          <t>CVM BPA 1.02.02 Investimentos</t>
        </is>
      </c>
      <c r="B33" t="n">
        <v>17</v>
      </c>
      <c r="C33" t="inlineStr">
        <is>
          <t>Equity in affiliates</t>
        </is>
      </c>
      <c r="D33" t="n">
        <v>0</v>
      </c>
      <c r="E33" t="n">
        <v>0</v>
      </c>
      <c r="F33" t="n">
        <v>0</v>
      </c>
      <c r="G33" t="n">
        <v>0</v>
      </c>
      <c r="H33">
        <f>G33</f>
        <v>0</v>
      </c>
      <c r="I33" t="n">
        <v>1101829</v>
      </c>
      <c r="J33" t="n">
        <v>1015723</v>
      </c>
      <c r="K33" t="n">
        <v>1077880</v>
      </c>
      <c r="L33" t="n">
        <v>2161751</v>
      </c>
      <c r="M33">
        <f>L33</f>
        <v>2161751</v>
      </c>
      <c r="N33" t="n">
        <v>2192011</v>
      </c>
      <c r="O33" t="n">
        <v>2127074</v>
      </c>
      <c r="P33" t="n">
        <v>2111609</v>
      </c>
      <c r="Q33" t="n">
        <v>2057307</v>
      </c>
      <c r="R33">
        <f>Q33</f>
        <v>2057307</v>
      </c>
      <c r="S33" t="n">
        <v>2111899</v>
      </c>
      <c r="T33" t="n">
        <v>2047967</v>
      </c>
      <c r="U33" t="n">
        <v>2105551</v>
      </c>
      <c r="V33" t="n">
        <v>2261558</v>
      </c>
      <c r="W33">
        <f>V33</f>
        <v>2261558</v>
      </c>
      <c r="X33" t="n">
        <v>2299011</v>
      </c>
      <c r="Y33" t="n">
        <v>2216541</v>
      </c>
      <c r="Z33" t="n">
        <v>2133085</v>
      </c>
      <c r="AA33" t="n">
        <v>2131020</v>
      </c>
      <c r="AB33">
        <f>AA33</f>
        <v>2131020</v>
      </c>
      <c r="AC33" t="n">
        <v>2113512</v>
      </c>
      <c r="AD33" t="n">
        <v>2043198</v>
      </c>
    </row>
    <row r="34">
      <c r="A34" t="inlineStr">
        <is>
          <t>CVM BPA 1.02.03 Imobilizado</t>
        </is>
      </c>
      <c r="B34" t="n">
        <v>18</v>
      </c>
      <c r="C34" t="inlineStr">
        <is>
          <t>PP&amp;E</t>
        </is>
      </c>
      <c r="D34" t="n">
        <v>8724325</v>
      </c>
      <c r="E34" t="n">
        <v>8631332</v>
      </c>
      <c r="F34" t="n">
        <v>8896198</v>
      </c>
      <c r="G34" t="n">
        <v>8985565</v>
      </c>
      <c r="H34">
        <f>G34</f>
        <v>8985565</v>
      </c>
      <c r="I34" t="n">
        <v>9177205</v>
      </c>
      <c r="J34" t="n">
        <v>9748982</v>
      </c>
      <c r="K34" t="n">
        <v>10149734</v>
      </c>
      <c r="L34" t="n">
        <v>10440742</v>
      </c>
      <c r="M34">
        <f>L34</f>
        <v>10440742</v>
      </c>
      <c r="N34" t="n">
        <v>10664521</v>
      </c>
      <c r="O34" t="n">
        <v>11223531</v>
      </c>
      <c r="P34" t="n">
        <v>11879298</v>
      </c>
      <c r="Q34" t="n">
        <v>11914036</v>
      </c>
      <c r="R34">
        <f>Q34</f>
        <v>11914036</v>
      </c>
      <c r="S34" t="n">
        <v>11795286</v>
      </c>
      <c r="T34" t="n">
        <v>11729447</v>
      </c>
      <c r="U34" t="n">
        <v>11641070</v>
      </c>
      <c r="V34" t="n">
        <v>26353080</v>
      </c>
      <c r="W34">
        <f>V34</f>
        <v>26353080</v>
      </c>
      <c r="X34" t="n">
        <v>26150092</v>
      </c>
      <c r="Y34" t="n">
        <v>25955934</v>
      </c>
      <c r="Z34" t="n">
        <v>25867570</v>
      </c>
      <c r="AA34" t="n">
        <v>25570358</v>
      </c>
      <c r="AB34">
        <f>AA34</f>
        <v>25570358</v>
      </c>
      <c r="AC34" t="n">
        <v>25348441</v>
      </c>
      <c r="AD34" t="n">
        <v>25157620</v>
      </c>
    </row>
    <row r="35">
      <c r="A35" t="inlineStr">
        <is>
          <t>(-) estorno direito de uso (1.02.03.02), lançado no código 19</t>
        </is>
      </c>
      <c r="B35" t="n">
        <v>18</v>
      </c>
      <c r="C35" t="inlineStr">
        <is>
          <t>PP&amp;E</t>
        </is>
      </c>
      <c r="D35" t="n">
        <v>-6068</v>
      </c>
      <c r="E35" t="n">
        <v>-6051</v>
      </c>
      <c r="F35" t="n">
        <v>-5670</v>
      </c>
      <c r="G35" t="n">
        <v>-5283</v>
      </c>
      <c r="H35">
        <f>G35</f>
        <v>-5283</v>
      </c>
      <c r="I35" t="n">
        <v>-6519</v>
      </c>
      <c r="J35" t="n">
        <v>-5425</v>
      </c>
      <c r="K35" t="n">
        <v>-80327</v>
      </c>
      <c r="L35" t="n">
        <v>-43707</v>
      </c>
      <c r="M35">
        <f>L35</f>
        <v>-43707</v>
      </c>
      <c r="N35" t="n">
        <v>-44522</v>
      </c>
      <c r="O35" t="n">
        <v>-45236</v>
      </c>
      <c r="P35" t="n">
        <v>-65324</v>
      </c>
      <c r="Q35" t="n">
        <v>-64689</v>
      </c>
      <c r="R35">
        <f>Q35</f>
        <v>-64689</v>
      </c>
      <c r="S35" t="n">
        <v>-62706</v>
      </c>
      <c r="T35" t="n">
        <v>-60861</v>
      </c>
      <c r="U35" t="n">
        <v>-69260</v>
      </c>
      <c r="V35" t="n">
        <v>-149284</v>
      </c>
      <c r="W35">
        <f>V35</f>
        <v>-149284</v>
      </c>
      <c r="X35" t="n">
        <v>-149110</v>
      </c>
      <c r="Y35" t="n">
        <v>-145660</v>
      </c>
      <c r="Z35" t="n">
        <v>-142547</v>
      </c>
      <c r="AA35" t="n">
        <v>-140111</v>
      </c>
      <c r="AB35">
        <f>AA35</f>
        <v>-140111</v>
      </c>
      <c r="AC35" t="n">
        <v>-141310</v>
      </c>
      <c r="AD35" t="n">
        <v>-136850</v>
      </c>
    </row>
    <row r="36">
      <c r="A36" t="inlineStr">
        <is>
          <t>CVM BPA 1.02.03.02 Direito de Uso em Arrendamento</t>
        </is>
      </c>
      <c r="B36" t="n">
        <v>19</v>
      </c>
      <c r="C36" t="inlineStr">
        <is>
          <t>Right-of-use-assets</t>
        </is>
      </c>
      <c r="D36" t="n">
        <v>6068</v>
      </c>
      <c r="E36" t="n">
        <v>6051</v>
      </c>
      <c r="F36" t="n">
        <v>5670</v>
      </c>
      <c r="G36" t="n">
        <v>5283</v>
      </c>
      <c r="H36">
        <f>G36</f>
        <v>5283</v>
      </c>
      <c r="I36" t="n">
        <v>6519</v>
      </c>
      <c r="J36" t="n">
        <v>5425</v>
      </c>
      <c r="K36" t="n">
        <v>80327</v>
      </c>
      <c r="L36" t="n">
        <v>43707</v>
      </c>
      <c r="M36">
        <f>L36</f>
        <v>43707</v>
      </c>
      <c r="N36" t="n">
        <v>44522</v>
      </c>
      <c r="O36" t="n">
        <v>45236</v>
      </c>
      <c r="P36" t="n">
        <v>65324</v>
      </c>
      <c r="Q36" t="n">
        <v>64689</v>
      </c>
      <c r="R36">
        <f>Q36</f>
        <v>64689</v>
      </c>
      <c r="S36" t="n">
        <v>62706</v>
      </c>
      <c r="T36" t="n">
        <v>60861</v>
      </c>
      <c r="U36" t="n">
        <v>69260</v>
      </c>
      <c r="V36" t="n">
        <v>149284</v>
      </c>
      <c r="W36">
        <f>V36</f>
        <v>149284</v>
      </c>
      <c r="X36" t="n">
        <v>149110</v>
      </c>
      <c r="Y36" t="n">
        <v>145660</v>
      </c>
      <c r="Z36" t="n">
        <v>142547</v>
      </c>
      <c r="AA36" t="n">
        <v>140111</v>
      </c>
      <c r="AB36">
        <f>AA36</f>
        <v>140111</v>
      </c>
      <c r="AC36" t="n">
        <v>141310</v>
      </c>
      <c r="AD36" t="n">
        <v>136850</v>
      </c>
    </row>
    <row r="37">
      <c r="A37" t="inlineStr">
        <is>
          <t>CVM BPA 1.02.04 Intangível</t>
        </is>
      </c>
      <c r="B37" t="n">
        <v>21</v>
      </c>
      <c r="C37" t="inlineStr">
        <is>
          <t>Intangibles</t>
        </is>
      </c>
      <c r="D37" t="n">
        <v>1753735</v>
      </c>
      <c r="E37" t="n">
        <v>1739751</v>
      </c>
      <c r="F37" t="n">
        <v>2184980</v>
      </c>
      <c r="G37" t="n">
        <v>2366432</v>
      </c>
      <c r="H37">
        <f>G37</f>
        <v>2366432</v>
      </c>
      <c r="I37" t="n">
        <v>3868918</v>
      </c>
      <c r="J37" t="n">
        <v>3828735</v>
      </c>
      <c r="K37" t="n">
        <v>3788372</v>
      </c>
      <c r="L37" t="n">
        <v>2587808</v>
      </c>
      <c r="M37">
        <f>L37</f>
        <v>2587808</v>
      </c>
      <c r="N37" t="n">
        <v>2574991</v>
      </c>
      <c r="O37" t="n">
        <v>2557102</v>
      </c>
      <c r="P37" t="n">
        <v>2540211</v>
      </c>
      <c r="Q37" t="n">
        <v>2458453</v>
      </c>
      <c r="R37">
        <f>Q37</f>
        <v>2458453</v>
      </c>
      <c r="S37" t="n">
        <v>2443013</v>
      </c>
      <c r="T37" t="n">
        <v>2426557</v>
      </c>
      <c r="U37" t="n">
        <v>2515652</v>
      </c>
      <c r="V37" t="n">
        <v>7335883</v>
      </c>
      <c r="W37">
        <f>V37</f>
        <v>7335883</v>
      </c>
      <c r="X37" t="n">
        <v>7230020</v>
      </c>
      <c r="Y37" t="n">
        <v>7109327</v>
      </c>
      <c r="Z37" t="n">
        <v>7109713</v>
      </c>
      <c r="AA37" t="n">
        <v>7201637</v>
      </c>
      <c r="AB37">
        <f>AA37</f>
        <v>7201637</v>
      </c>
      <c r="AC37" t="n">
        <v>7072185</v>
      </c>
      <c r="AD37" t="n">
        <v>6950832</v>
      </c>
    </row>
    <row r="38">
      <c r="A38" t="inlineStr">
        <is>
          <t>CVM BPP 2.01.01 Obrigações Sociais e Trabalhistas</t>
        </is>
      </c>
      <c r="B38" t="n">
        <v>24</v>
      </c>
      <c r="C38" t="inlineStr">
        <is>
          <t>Accrued expenses</t>
        </is>
      </c>
      <c r="D38" t="n">
        <v>14160</v>
      </c>
      <c r="E38" t="n">
        <v>17478</v>
      </c>
      <c r="F38" t="n">
        <v>22230</v>
      </c>
      <c r="G38" t="n">
        <v>23893</v>
      </c>
      <c r="H38">
        <f>G38</f>
        <v>23893</v>
      </c>
      <c r="I38" t="n">
        <v>36529</v>
      </c>
      <c r="J38" t="n">
        <v>43529</v>
      </c>
      <c r="K38" t="n">
        <v>49129</v>
      </c>
      <c r="L38" t="n">
        <v>66359</v>
      </c>
      <c r="M38">
        <f>L38</f>
        <v>66359</v>
      </c>
      <c r="N38" t="n">
        <v>37400</v>
      </c>
      <c r="O38" t="n">
        <v>64283</v>
      </c>
      <c r="P38" t="n">
        <v>77379</v>
      </c>
      <c r="Q38" t="n">
        <v>98872</v>
      </c>
      <c r="R38">
        <f>Q38</f>
        <v>98872</v>
      </c>
      <c r="S38" t="n">
        <v>63019</v>
      </c>
      <c r="T38" t="n">
        <v>48744</v>
      </c>
      <c r="U38" t="n">
        <v>69081</v>
      </c>
      <c r="V38" t="n">
        <v>116781</v>
      </c>
      <c r="W38">
        <f>V38</f>
        <v>116781</v>
      </c>
      <c r="X38" t="n">
        <v>74994</v>
      </c>
      <c r="Y38" t="n">
        <v>85199</v>
      </c>
      <c r="Z38" t="n">
        <v>108796</v>
      </c>
      <c r="AA38" t="n">
        <v>118193</v>
      </c>
      <c r="AB38">
        <f>AA38</f>
        <v>118193</v>
      </c>
      <c r="AC38" t="n">
        <v>72033</v>
      </c>
      <c r="AD38" t="n">
        <v>90994</v>
      </c>
    </row>
    <row r="39">
      <c r="A39" t="inlineStr">
        <is>
          <t>CVM BPP 2.01.02 Fornecedores</t>
        </is>
      </c>
      <c r="B39" t="n">
        <v>23</v>
      </c>
      <c r="C39" t="inlineStr">
        <is>
          <t>Accounts payable</t>
        </is>
      </c>
      <c r="D39" t="n">
        <v>149588</v>
      </c>
      <c r="E39" t="n">
        <v>160161</v>
      </c>
      <c r="F39" t="n">
        <v>290400</v>
      </c>
      <c r="G39" t="n">
        <v>225578</v>
      </c>
      <c r="H39">
        <f>G39</f>
        <v>225578</v>
      </c>
      <c r="I39" t="n">
        <v>431421</v>
      </c>
      <c r="J39" t="n">
        <v>431882</v>
      </c>
      <c r="K39" t="n">
        <v>467973</v>
      </c>
      <c r="L39" t="n">
        <v>549019</v>
      </c>
      <c r="M39">
        <f>L39</f>
        <v>549019</v>
      </c>
      <c r="N39" t="n">
        <v>574057</v>
      </c>
      <c r="O39" t="n">
        <v>736374</v>
      </c>
      <c r="P39" t="n">
        <v>935016</v>
      </c>
      <c r="Q39" t="n">
        <v>572321</v>
      </c>
      <c r="R39">
        <f>Q39</f>
        <v>572321</v>
      </c>
      <c r="S39" t="n">
        <v>410719</v>
      </c>
      <c r="T39" t="n">
        <v>422944</v>
      </c>
      <c r="U39" t="n">
        <v>784734</v>
      </c>
      <c r="V39" t="n">
        <v>1305510</v>
      </c>
      <c r="W39">
        <f>V39</f>
        <v>1305510</v>
      </c>
      <c r="X39" t="n">
        <v>1037407</v>
      </c>
      <c r="Y39" t="n">
        <v>1016284</v>
      </c>
      <c r="Z39" t="n">
        <v>1352896</v>
      </c>
      <c r="AA39" t="n">
        <v>1461984</v>
      </c>
      <c r="AB39">
        <f>AA39</f>
        <v>1461984</v>
      </c>
      <c r="AC39" t="n">
        <v>1257711</v>
      </c>
      <c r="AD39" t="n">
        <v>1130416</v>
      </c>
    </row>
    <row r="40">
      <c r="A40" t="inlineStr">
        <is>
          <t>CVM BPP 2.01.03 Obrigações Fiscais</t>
        </is>
      </c>
      <c r="B40" t="n">
        <v>25</v>
      </c>
      <c r="C40" t="inlineStr">
        <is>
          <t>Taxes payable</t>
        </is>
      </c>
      <c r="D40" t="n">
        <v>112573</v>
      </c>
      <c r="E40" t="n">
        <v>123464</v>
      </c>
      <c r="F40" t="n">
        <v>103801</v>
      </c>
      <c r="G40" t="n">
        <v>37709</v>
      </c>
      <c r="H40">
        <f>G40</f>
        <v>37709</v>
      </c>
      <c r="I40" t="n">
        <v>57394</v>
      </c>
      <c r="J40" t="n">
        <v>98958</v>
      </c>
      <c r="K40" t="n">
        <v>80666</v>
      </c>
      <c r="L40" t="n">
        <v>107461</v>
      </c>
      <c r="M40">
        <f>L40</f>
        <v>107461</v>
      </c>
      <c r="N40" t="n">
        <v>97302</v>
      </c>
      <c r="O40" t="n">
        <v>112320</v>
      </c>
      <c r="P40" t="n">
        <v>286466</v>
      </c>
      <c r="Q40" t="n">
        <v>76628</v>
      </c>
      <c r="R40">
        <f>Q40</f>
        <v>76628</v>
      </c>
      <c r="S40" t="n">
        <v>92244</v>
      </c>
      <c r="T40" t="n">
        <v>113933</v>
      </c>
      <c r="U40" t="n">
        <v>163946</v>
      </c>
      <c r="V40" t="n">
        <v>150061</v>
      </c>
      <c r="W40">
        <f>V40</f>
        <v>150061</v>
      </c>
      <c r="X40" t="n">
        <v>215710</v>
      </c>
      <c r="Y40" t="n">
        <v>221789</v>
      </c>
      <c r="Z40" t="n">
        <v>238061</v>
      </c>
      <c r="AA40" t="n">
        <v>163314</v>
      </c>
      <c r="AB40">
        <f>AA40</f>
        <v>163314</v>
      </c>
      <c r="AC40" t="n">
        <v>229279</v>
      </c>
      <c r="AD40" t="n">
        <v>220779</v>
      </c>
    </row>
    <row r="41">
      <c r="A41" t="inlineStr">
        <is>
          <t>CVM BPP 2.01.04 Empréstimos e Financiamentos</t>
        </is>
      </c>
      <c r="B41" t="n">
        <v>27</v>
      </c>
      <c r="C41" t="inlineStr">
        <is>
          <t>Current portion of long-term debt</t>
        </is>
      </c>
      <c r="D41" t="n">
        <v>115487</v>
      </c>
      <c r="E41" t="n">
        <v>128703</v>
      </c>
      <c r="F41" t="n">
        <v>114712</v>
      </c>
      <c r="G41" t="n">
        <v>210783</v>
      </c>
      <c r="H41">
        <f>G41</f>
        <v>210783</v>
      </c>
      <c r="I41" t="n">
        <v>207850</v>
      </c>
      <c r="J41" t="n">
        <v>229576</v>
      </c>
      <c r="K41" t="n">
        <v>240036</v>
      </c>
      <c r="L41" t="n">
        <v>278526</v>
      </c>
      <c r="M41">
        <f>L41</f>
        <v>278526</v>
      </c>
      <c r="N41" t="n">
        <v>286578</v>
      </c>
      <c r="O41" t="n">
        <v>954455</v>
      </c>
      <c r="P41" t="n">
        <v>439863</v>
      </c>
      <c r="Q41" t="n">
        <v>857866</v>
      </c>
      <c r="R41">
        <f>Q41</f>
        <v>857866</v>
      </c>
      <c r="S41" t="n">
        <v>865022</v>
      </c>
      <c r="T41" t="n">
        <v>775334</v>
      </c>
      <c r="U41" t="n">
        <v>807102</v>
      </c>
      <c r="V41" t="n">
        <v>2709622</v>
      </c>
      <c r="W41">
        <f>V41</f>
        <v>2709622</v>
      </c>
      <c r="X41" t="n">
        <v>2438563</v>
      </c>
      <c r="Y41" t="n">
        <v>2162500</v>
      </c>
      <c r="Z41" t="n">
        <v>2246050</v>
      </c>
      <c r="AA41" t="n">
        <v>1949605</v>
      </c>
      <c r="AB41">
        <f>AA41</f>
        <v>1949605</v>
      </c>
      <c r="AC41" t="n">
        <v>2130102</v>
      </c>
      <c r="AD41" t="n">
        <v>1936154</v>
      </c>
    </row>
    <row r="42">
      <c r="A42" t="inlineStr">
        <is>
          <t>(-) estorno arrendamento CP (2.01.04.03), lançado no código 29</t>
        </is>
      </c>
      <c r="B42" t="n">
        <v>27</v>
      </c>
      <c r="C42" t="inlineStr">
        <is>
          <t>Current portion of long-term debt</t>
        </is>
      </c>
      <c r="D42" t="n">
        <v>-1789</v>
      </c>
      <c r="E42" t="n">
        <v>-1868</v>
      </c>
      <c r="F42" t="n">
        <v>-1845</v>
      </c>
      <c r="G42" t="n">
        <v>-1824</v>
      </c>
      <c r="H42">
        <f>G42</f>
        <v>-1824</v>
      </c>
      <c r="I42" t="n">
        <v>-3461</v>
      </c>
      <c r="J42" t="n">
        <v>-2640</v>
      </c>
      <c r="K42" t="n">
        <v>-3448</v>
      </c>
      <c r="L42" t="n">
        <v>-1911</v>
      </c>
      <c r="M42">
        <f>L42</f>
        <v>-1911</v>
      </c>
      <c r="N42" t="n">
        <v>-1066</v>
      </c>
      <c r="O42" t="n">
        <v>-1798</v>
      </c>
      <c r="P42" t="n">
        <v>-5075</v>
      </c>
      <c r="Q42" t="n">
        <v>-6080</v>
      </c>
      <c r="R42">
        <f>Q42</f>
        <v>-6080</v>
      </c>
      <c r="S42" t="n">
        <v>-6235</v>
      </c>
      <c r="T42" t="n">
        <v>-6481</v>
      </c>
      <c r="U42" t="n">
        <v>-7566</v>
      </c>
      <c r="V42" t="n">
        <v>-10902</v>
      </c>
      <c r="W42">
        <f>V42</f>
        <v>-10902</v>
      </c>
      <c r="X42" t="n">
        <v>-10555</v>
      </c>
      <c r="Y42" t="n">
        <v>-10567</v>
      </c>
      <c r="Z42" t="n">
        <v>-10953</v>
      </c>
      <c r="AA42" t="n">
        <v>-11265</v>
      </c>
      <c r="AB42">
        <f>AA42</f>
        <v>-11265</v>
      </c>
      <c r="AC42" t="n">
        <v>-13795</v>
      </c>
      <c r="AD42" t="n">
        <v>-13608</v>
      </c>
    </row>
    <row r="43">
      <c r="A43" t="inlineStr">
        <is>
          <t>CVM BPP 2.01.04.03 Financiamento por Arrendamento</t>
        </is>
      </c>
      <c r="B43" t="n">
        <v>29</v>
      </c>
      <c r="C43" t="inlineStr">
        <is>
          <t>Short term operating leases</t>
        </is>
      </c>
      <c r="D43" t="n">
        <v>1789</v>
      </c>
      <c r="E43" t="n">
        <v>1868</v>
      </c>
      <c r="F43" t="n">
        <v>1845</v>
      </c>
      <c r="G43" t="n">
        <v>1824</v>
      </c>
      <c r="H43">
        <f>G43</f>
        <v>1824</v>
      </c>
      <c r="I43" t="n">
        <v>3461</v>
      </c>
      <c r="J43" t="n">
        <v>2640</v>
      </c>
      <c r="K43" t="n">
        <v>3448</v>
      </c>
      <c r="L43" t="n">
        <v>1911</v>
      </c>
      <c r="M43">
        <f>L43</f>
        <v>1911</v>
      </c>
      <c r="N43" t="n">
        <v>1066</v>
      </c>
      <c r="O43" t="n">
        <v>1798</v>
      </c>
      <c r="P43" t="n">
        <v>5075</v>
      </c>
      <c r="Q43" t="n">
        <v>6080</v>
      </c>
      <c r="R43">
        <f>Q43</f>
        <v>6080</v>
      </c>
      <c r="S43" t="n">
        <v>6235</v>
      </c>
      <c r="T43" t="n">
        <v>6481</v>
      </c>
      <c r="U43" t="n">
        <v>7566</v>
      </c>
      <c r="V43" t="n">
        <v>10902</v>
      </c>
      <c r="W43">
        <f>V43</f>
        <v>10902</v>
      </c>
      <c r="X43" t="n">
        <v>10555</v>
      </c>
      <c r="Y43" t="n">
        <v>10567</v>
      </c>
      <c r="Z43" t="n">
        <v>10953</v>
      </c>
      <c r="AA43" t="n">
        <v>11265</v>
      </c>
      <c r="AB43">
        <f>AA43</f>
        <v>11265</v>
      </c>
      <c r="AC43" t="n">
        <v>13795</v>
      </c>
      <c r="AD43" t="n">
        <v>13608</v>
      </c>
    </row>
    <row r="44">
      <c r="A44" t="inlineStr">
        <is>
          <t>CVM BPP 2.01.05 Outras Obrigações</t>
        </is>
      </c>
      <c r="B44" t="n">
        <v>26</v>
      </c>
      <c r="C44" t="inlineStr">
        <is>
          <t>Other current liabilities (non-debt)</t>
        </is>
      </c>
      <c r="D44" t="n">
        <v>940361</v>
      </c>
      <c r="E44" t="n">
        <v>259194</v>
      </c>
      <c r="F44" t="n">
        <v>146031</v>
      </c>
      <c r="G44" t="n">
        <v>778435</v>
      </c>
      <c r="H44">
        <f>G44</f>
        <v>778435</v>
      </c>
      <c r="I44" t="n">
        <v>2023265</v>
      </c>
      <c r="J44" t="n">
        <v>2189630</v>
      </c>
      <c r="K44" t="n">
        <v>1916945</v>
      </c>
      <c r="L44" t="n">
        <v>3197639</v>
      </c>
      <c r="M44">
        <f>L44</f>
        <v>3197639</v>
      </c>
      <c r="N44" t="n">
        <v>3047076</v>
      </c>
      <c r="O44" t="n">
        <v>2469267</v>
      </c>
      <c r="P44" t="n">
        <v>2328480</v>
      </c>
      <c r="Q44" t="n">
        <v>2245064</v>
      </c>
      <c r="R44">
        <f>Q44</f>
        <v>2245064</v>
      </c>
      <c r="S44" t="n">
        <v>1752321</v>
      </c>
      <c r="T44" t="n">
        <v>1627855</v>
      </c>
      <c r="U44" t="n">
        <v>3201676</v>
      </c>
      <c r="V44" t="n">
        <v>2866402</v>
      </c>
      <c r="W44">
        <f>V44</f>
        <v>2866402</v>
      </c>
      <c r="X44" t="n">
        <v>3877238</v>
      </c>
      <c r="Y44" t="n">
        <v>2918857</v>
      </c>
      <c r="Z44" t="n">
        <v>2835048</v>
      </c>
      <c r="AA44" t="n">
        <v>2708083</v>
      </c>
      <c r="AB44">
        <f>AA44</f>
        <v>2708083</v>
      </c>
      <c r="AC44" t="n">
        <v>2982104</v>
      </c>
      <c r="AD44" t="n">
        <v>2959695</v>
      </c>
    </row>
    <row r="45">
      <c r="A45" t="inlineStr">
        <is>
          <t>CVM BPP 2.01.06 Provisões</t>
        </is>
      </c>
      <c r="B45" t="n">
        <v>26</v>
      </c>
      <c r="C45" t="inlineStr">
        <is>
          <t>Other current liabilities (non-debt)</t>
        </is>
      </c>
      <c r="D45" t="n">
        <v>228900</v>
      </c>
      <c r="E45" t="n">
        <v>300688</v>
      </c>
      <c r="F45" t="n">
        <v>388641</v>
      </c>
      <c r="G45" t="n">
        <v>325557</v>
      </c>
      <c r="H45">
        <f>G45</f>
        <v>325557</v>
      </c>
      <c r="I45" t="n">
        <v>337075</v>
      </c>
      <c r="J45" t="n">
        <v>344861</v>
      </c>
      <c r="K45" t="n">
        <v>350527</v>
      </c>
      <c r="L45" t="n">
        <v>0</v>
      </c>
      <c r="M45">
        <f>L45</f>
        <v>0</v>
      </c>
      <c r="N45" t="n">
        <v>0</v>
      </c>
      <c r="O45" t="n">
        <v>0</v>
      </c>
      <c r="P45" t="n">
        <v>0</v>
      </c>
      <c r="Q45" t="n">
        <v>0</v>
      </c>
      <c r="R45">
        <f>Q45</f>
        <v>0</v>
      </c>
      <c r="S45" t="n">
        <v>0</v>
      </c>
      <c r="T45" t="n">
        <v>0</v>
      </c>
      <c r="U45" t="n">
        <v>0</v>
      </c>
      <c r="V45" t="n">
        <v>0</v>
      </c>
      <c r="W45">
        <f>V45</f>
        <v>0</v>
      </c>
      <c r="X45" t="n">
        <v>0</v>
      </c>
      <c r="Y45" t="n">
        <v>0</v>
      </c>
      <c r="Z45" t="n">
        <v>0</v>
      </c>
      <c r="AA45" t="n">
        <v>0</v>
      </c>
      <c r="AB45">
        <f>AA45</f>
        <v>0</v>
      </c>
      <c r="AC45" t="n">
        <v>0</v>
      </c>
      <c r="AD45" t="n">
        <v>0</v>
      </c>
    </row>
    <row r="46">
      <c r="A46" t="inlineStr">
        <is>
          <t>CVM BPP 2.02.01 Empréstimos e Financiamentos</t>
        </is>
      </c>
      <c r="B46" t="n">
        <v>30</v>
      </c>
      <c r="C46" t="inlineStr">
        <is>
          <t>Long term debt</t>
        </is>
      </c>
      <c r="D46" t="n">
        <v>3647225</v>
      </c>
      <c r="E46" t="n">
        <v>3664107</v>
      </c>
      <c r="F46" t="n">
        <v>4213530</v>
      </c>
      <c r="G46" t="n">
        <v>4505589</v>
      </c>
      <c r="H46">
        <f>G46</f>
        <v>4505589</v>
      </c>
      <c r="I46" t="n">
        <v>4627237</v>
      </c>
      <c r="J46" t="n">
        <v>5361653</v>
      </c>
      <c r="K46" t="n">
        <v>5569414</v>
      </c>
      <c r="L46" t="n">
        <v>5595995</v>
      </c>
      <c r="M46">
        <f>L46</f>
        <v>5595995</v>
      </c>
      <c r="N46" t="n">
        <v>5879553</v>
      </c>
      <c r="O46" t="n">
        <v>5772909</v>
      </c>
      <c r="P46" t="n">
        <v>5772805</v>
      </c>
      <c r="Q46" t="n">
        <v>5560697</v>
      </c>
      <c r="R46">
        <f>Q46</f>
        <v>5560697</v>
      </c>
      <c r="S46" t="n">
        <v>5673472</v>
      </c>
      <c r="T46" t="n">
        <v>7534370</v>
      </c>
      <c r="U46" t="n">
        <v>7577280</v>
      </c>
      <c r="V46" t="n">
        <v>24505677</v>
      </c>
      <c r="W46">
        <f>V46</f>
        <v>24505677</v>
      </c>
      <c r="X46" t="n">
        <v>23723201</v>
      </c>
      <c r="Y46" t="n">
        <v>22508266</v>
      </c>
      <c r="Z46" t="n">
        <v>22748838</v>
      </c>
      <c r="AA46" t="n">
        <v>22735718</v>
      </c>
      <c r="AB46">
        <f>AA46</f>
        <v>22735718</v>
      </c>
      <c r="AC46" t="n">
        <v>21726208</v>
      </c>
      <c r="AD46" t="n">
        <v>21718070</v>
      </c>
    </row>
    <row r="47">
      <c r="A47" t="inlineStr">
        <is>
          <t>(-) estorno arrendamento LP (2.02.01.03), lançado no código 31</t>
        </is>
      </c>
      <c r="B47" t="n">
        <v>30</v>
      </c>
      <c r="C47" t="inlineStr">
        <is>
          <t>Long term debt</t>
        </is>
      </c>
      <c r="D47" t="n">
        <v>-4476</v>
      </c>
      <c r="E47" t="n">
        <v>-4516</v>
      </c>
      <c r="F47" t="n">
        <v>-4024</v>
      </c>
      <c r="G47" t="n">
        <v>-3674</v>
      </c>
      <c r="H47">
        <f>G47</f>
        <v>-3674</v>
      </c>
      <c r="I47" t="n">
        <v>-3321</v>
      </c>
      <c r="J47" t="n">
        <v>-2963</v>
      </c>
      <c r="K47" t="n">
        <v>-77214</v>
      </c>
      <c r="L47" t="n">
        <v>-42393</v>
      </c>
      <c r="M47">
        <f>L47</f>
        <v>-42393</v>
      </c>
      <c r="N47" t="n">
        <v>-44305</v>
      </c>
      <c r="O47" t="n">
        <v>-44217</v>
      </c>
      <c r="P47" t="n">
        <v>-61769</v>
      </c>
      <c r="Q47" t="n">
        <v>-60649</v>
      </c>
      <c r="R47">
        <f>Q47</f>
        <v>-60649</v>
      </c>
      <c r="S47" t="n">
        <v>-59065</v>
      </c>
      <c r="T47" t="n">
        <v>-57520</v>
      </c>
      <c r="U47" t="n">
        <v>-65516</v>
      </c>
      <c r="V47" t="n">
        <v>-159661</v>
      </c>
      <c r="W47">
        <f>V47</f>
        <v>-159661</v>
      </c>
      <c r="X47" t="n">
        <v>-158928</v>
      </c>
      <c r="Y47" t="n">
        <v>-156710</v>
      </c>
      <c r="Z47" t="n">
        <v>-155042</v>
      </c>
      <c r="AA47" t="n">
        <v>-152805</v>
      </c>
      <c r="AB47">
        <f>AA47</f>
        <v>-152805</v>
      </c>
      <c r="AC47" t="n">
        <v>-151453</v>
      </c>
      <c r="AD47" t="n">
        <v>-149083</v>
      </c>
    </row>
    <row r="48">
      <c r="A48" t="inlineStr">
        <is>
          <t>CVM BPP 2.02.01.03 Financiamento por Arrendamento</t>
        </is>
      </c>
      <c r="B48" t="n">
        <v>31</v>
      </c>
      <c r="C48" t="inlineStr">
        <is>
          <t>Long term operating leases</t>
        </is>
      </c>
      <c r="D48" t="n">
        <v>4476</v>
      </c>
      <c r="E48" t="n">
        <v>4516</v>
      </c>
      <c r="F48" t="n">
        <v>4024</v>
      </c>
      <c r="G48" t="n">
        <v>3674</v>
      </c>
      <c r="H48">
        <f>G48</f>
        <v>3674</v>
      </c>
      <c r="I48" t="n">
        <v>3321</v>
      </c>
      <c r="J48" t="n">
        <v>2963</v>
      </c>
      <c r="K48" t="n">
        <v>77214</v>
      </c>
      <c r="L48" t="n">
        <v>42393</v>
      </c>
      <c r="M48">
        <f>L48</f>
        <v>42393</v>
      </c>
      <c r="N48" t="n">
        <v>44305</v>
      </c>
      <c r="O48" t="n">
        <v>44217</v>
      </c>
      <c r="P48" t="n">
        <v>61769</v>
      </c>
      <c r="Q48" t="n">
        <v>60649</v>
      </c>
      <c r="R48">
        <f>Q48</f>
        <v>60649</v>
      </c>
      <c r="S48" t="n">
        <v>59065</v>
      </c>
      <c r="T48" t="n">
        <v>57520</v>
      </c>
      <c r="U48" t="n">
        <v>65516</v>
      </c>
      <c r="V48" t="n">
        <v>159661</v>
      </c>
      <c r="W48">
        <f>V48</f>
        <v>159661</v>
      </c>
      <c r="X48" t="n">
        <v>158928</v>
      </c>
      <c r="Y48" t="n">
        <v>156710</v>
      </c>
      <c r="Z48" t="n">
        <v>155042</v>
      </c>
      <c r="AA48" t="n">
        <v>152805</v>
      </c>
      <c r="AB48">
        <f>AA48</f>
        <v>152805</v>
      </c>
      <c r="AC48" t="n">
        <v>151453</v>
      </c>
      <c r="AD48" t="n">
        <v>149083</v>
      </c>
    </row>
    <row r="49">
      <c r="A49" t="inlineStr">
        <is>
          <t>CVM BPP 2.02.02 Outras Obrigações</t>
        </is>
      </c>
      <c r="B49" t="n">
        <v>34</v>
      </c>
      <c r="C49" t="inlineStr">
        <is>
          <t>Other non-current liabilities</t>
        </is>
      </c>
      <c r="D49" t="n">
        <v>117120</v>
      </c>
      <c r="E49" t="n">
        <v>126724</v>
      </c>
      <c r="F49" t="n">
        <v>165935</v>
      </c>
      <c r="G49" t="n">
        <v>2719088</v>
      </c>
      <c r="H49">
        <f>G49</f>
        <v>2719088</v>
      </c>
      <c r="I49" t="n">
        <v>5771546</v>
      </c>
      <c r="J49" t="n">
        <v>5798616</v>
      </c>
      <c r="K49" t="n">
        <v>5496191</v>
      </c>
      <c r="L49" t="n">
        <v>5463449</v>
      </c>
      <c r="M49">
        <f>L49</f>
        <v>5463449</v>
      </c>
      <c r="N49" t="n">
        <v>6275624</v>
      </c>
      <c r="O49" t="n">
        <v>6395084</v>
      </c>
      <c r="P49" t="n">
        <v>5721395</v>
      </c>
      <c r="Q49" t="n">
        <v>5541193</v>
      </c>
      <c r="R49">
        <f>Q49</f>
        <v>5541193</v>
      </c>
      <c r="S49" t="n">
        <v>4828855</v>
      </c>
      <c r="T49" t="n">
        <v>4698154</v>
      </c>
      <c r="U49" t="n">
        <v>4580964</v>
      </c>
      <c r="V49" t="n">
        <v>3954401</v>
      </c>
      <c r="W49">
        <f>V49</f>
        <v>3954401</v>
      </c>
      <c r="X49" t="n">
        <v>3683619</v>
      </c>
      <c r="Y49" t="n">
        <v>3501378</v>
      </c>
      <c r="Z49" t="n">
        <v>3145477</v>
      </c>
      <c r="AA49" t="n">
        <v>3143316</v>
      </c>
      <c r="AB49">
        <f>AA49</f>
        <v>3143316</v>
      </c>
      <c r="AC49" t="n">
        <v>3208277</v>
      </c>
      <c r="AD49" t="n">
        <v>3180937</v>
      </c>
    </row>
    <row r="50">
      <c r="A50" t="inlineStr">
        <is>
          <t>CVM BPP 2.02.03 Tributos Diferidos</t>
        </is>
      </c>
      <c r="B50" t="n">
        <v>33</v>
      </c>
      <c r="C50" t="inlineStr">
        <is>
          <t>Deferred income taxes</t>
        </is>
      </c>
      <c r="D50" t="n">
        <v>355516</v>
      </c>
      <c r="E50" t="n">
        <v>352302</v>
      </c>
      <c r="F50" t="n">
        <v>353857</v>
      </c>
      <c r="G50" t="n">
        <v>352024</v>
      </c>
      <c r="H50">
        <f>G50</f>
        <v>352024</v>
      </c>
      <c r="I50" t="n">
        <v>730579</v>
      </c>
      <c r="J50" t="n">
        <v>719608</v>
      </c>
      <c r="K50" t="n">
        <v>773683</v>
      </c>
      <c r="L50" t="n">
        <v>712979</v>
      </c>
      <c r="M50">
        <f>L50</f>
        <v>712979</v>
      </c>
      <c r="N50" t="n">
        <v>726521</v>
      </c>
      <c r="O50" t="n">
        <v>694393</v>
      </c>
      <c r="P50" t="n">
        <v>690523</v>
      </c>
      <c r="Q50" t="n">
        <v>707181</v>
      </c>
      <c r="R50">
        <f>Q50</f>
        <v>707181</v>
      </c>
      <c r="S50" t="n">
        <v>805368</v>
      </c>
      <c r="T50" t="n">
        <v>771541</v>
      </c>
      <c r="U50" t="n">
        <v>824509</v>
      </c>
      <c r="V50" t="n">
        <v>1408699</v>
      </c>
      <c r="W50">
        <f>V50</f>
        <v>1408699</v>
      </c>
      <c r="X50" t="n">
        <v>1488030</v>
      </c>
      <c r="Y50" t="n">
        <v>1193332</v>
      </c>
      <c r="Z50" t="n">
        <v>1187480</v>
      </c>
      <c r="AA50" t="n">
        <v>1279815</v>
      </c>
      <c r="AB50">
        <f>AA50</f>
        <v>1279815</v>
      </c>
      <c r="AC50" t="n">
        <v>1090587</v>
      </c>
      <c r="AD50" t="n">
        <v>1089261</v>
      </c>
    </row>
    <row r="51">
      <c r="A51" t="inlineStr">
        <is>
          <t>CVM BPP 2.02.04 Provisões</t>
        </is>
      </c>
      <c r="B51" t="n">
        <v>34</v>
      </c>
      <c r="C51" t="inlineStr">
        <is>
          <t>Other non-current liabilities</t>
        </is>
      </c>
      <c r="D51" t="n">
        <v>4397165</v>
      </c>
      <c r="E51" t="n">
        <v>4466143</v>
      </c>
      <c r="F51" t="n">
        <v>3581518</v>
      </c>
      <c r="G51" t="n">
        <v>1337382</v>
      </c>
      <c r="H51">
        <f>G51</f>
        <v>1337382</v>
      </c>
      <c r="I51" t="n">
        <v>1409133</v>
      </c>
      <c r="J51" t="n">
        <v>1440855</v>
      </c>
      <c r="K51" t="n">
        <v>1442804</v>
      </c>
      <c r="L51" t="n">
        <v>1058388</v>
      </c>
      <c r="M51">
        <f>L51</f>
        <v>1058388</v>
      </c>
      <c r="N51" t="n">
        <v>1286535</v>
      </c>
      <c r="O51" t="n">
        <v>1025305</v>
      </c>
      <c r="P51" t="n">
        <v>1004893</v>
      </c>
      <c r="Q51" t="n">
        <v>965782</v>
      </c>
      <c r="R51">
        <f>Q51</f>
        <v>965782</v>
      </c>
      <c r="S51" t="n">
        <v>979872</v>
      </c>
      <c r="T51" t="n">
        <v>951040</v>
      </c>
      <c r="U51" t="n">
        <v>895680</v>
      </c>
      <c r="V51" t="n">
        <v>1253610</v>
      </c>
      <c r="W51">
        <f>V51</f>
        <v>1253610</v>
      </c>
      <c r="X51" t="n">
        <v>1149186</v>
      </c>
      <c r="Y51" t="n">
        <v>1531592</v>
      </c>
      <c r="Z51" t="n">
        <v>1406548</v>
      </c>
      <c r="AA51" t="n">
        <v>1391897</v>
      </c>
      <c r="AB51">
        <f>AA51</f>
        <v>1391897</v>
      </c>
      <c r="AC51" t="n">
        <v>1561992</v>
      </c>
      <c r="AD51" t="n">
        <v>1630949</v>
      </c>
    </row>
    <row r="52">
      <c r="A52" t="inlineStr">
        <is>
          <t>CVM BPP 2.03.01 Capital Social Realizado</t>
        </is>
      </c>
      <c r="B52" t="n">
        <v>37</v>
      </c>
      <c r="C52" t="inlineStr">
        <is>
          <t>Common Stock and APIC</t>
        </is>
      </c>
      <c r="D52" t="n">
        <v>2977983</v>
      </c>
      <c r="E52" t="n">
        <v>2977983</v>
      </c>
      <c r="F52" t="n">
        <v>2977983</v>
      </c>
      <c r="G52" t="n">
        <v>3000836</v>
      </c>
      <c r="H52">
        <f>G52</f>
        <v>3000836</v>
      </c>
      <c r="I52" t="n">
        <v>5940137</v>
      </c>
      <c r="J52" t="n">
        <v>5940137</v>
      </c>
      <c r="K52" t="n">
        <v>5940137</v>
      </c>
      <c r="L52" t="n">
        <v>5940137</v>
      </c>
      <c r="M52">
        <f>L52</f>
        <v>5940137</v>
      </c>
      <c r="N52" t="n">
        <v>5940137</v>
      </c>
      <c r="O52" t="n">
        <v>5940137</v>
      </c>
      <c r="P52" t="n">
        <v>5940137</v>
      </c>
      <c r="Q52" t="n">
        <v>5940137</v>
      </c>
      <c r="R52">
        <f>Q52</f>
        <v>5940137</v>
      </c>
      <c r="S52" t="n">
        <v>5940137</v>
      </c>
      <c r="T52" t="n">
        <v>5940137</v>
      </c>
      <c r="U52" t="n">
        <v>5940137</v>
      </c>
      <c r="V52" t="n">
        <v>6187772</v>
      </c>
      <c r="W52">
        <f>V52</f>
        <v>6187772</v>
      </c>
      <c r="X52" t="n">
        <v>6187772</v>
      </c>
      <c r="Y52" t="n">
        <v>6187772</v>
      </c>
      <c r="Z52" t="n">
        <v>6187772</v>
      </c>
      <c r="AA52" t="n">
        <v>6187772</v>
      </c>
      <c r="AB52">
        <f>AA52</f>
        <v>6187772</v>
      </c>
      <c r="AC52" t="n">
        <v>6187772</v>
      </c>
      <c r="AD52" t="n">
        <v>6187772</v>
      </c>
    </row>
    <row r="53">
      <c r="A53" t="inlineStr">
        <is>
          <t>CVM BPP 2.03.02 Reservas de Capital</t>
        </is>
      </c>
      <c r="B53" t="n">
        <v>37</v>
      </c>
      <c r="C53" t="inlineStr">
        <is>
          <t>Common Stock and APIC</t>
        </is>
      </c>
      <c r="D53" t="n">
        <v>0</v>
      </c>
      <c r="E53" t="n">
        <v>0</v>
      </c>
      <c r="F53" t="n">
        <v>0</v>
      </c>
      <c r="G53" t="n">
        <v>0</v>
      </c>
      <c r="H53">
        <f>G53</f>
        <v>0</v>
      </c>
      <c r="I53" t="n">
        <v>5430372</v>
      </c>
      <c r="J53" t="n">
        <v>5430372</v>
      </c>
      <c r="K53" t="n">
        <v>5430372</v>
      </c>
      <c r="L53" t="n">
        <v>5703189</v>
      </c>
      <c r="M53">
        <f>L53</f>
        <v>5703189</v>
      </c>
      <c r="N53" t="n">
        <v>5703189</v>
      </c>
      <c r="O53" t="n">
        <v>5703450</v>
      </c>
      <c r="P53" t="n">
        <v>5704301</v>
      </c>
      <c r="Q53" t="n">
        <v>5705533</v>
      </c>
      <c r="R53">
        <f>Q53</f>
        <v>5705533</v>
      </c>
      <c r="S53" t="n">
        <v>5706393</v>
      </c>
      <c r="T53" t="n">
        <v>5707715</v>
      </c>
      <c r="U53" t="n">
        <v>5709485</v>
      </c>
      <c r="V53" t="n">
        <v>5926300</v>
      </c>
      <c r="W53">
        <f>V53</f>
        <v>5926300</v>
      </c>
      <c r="X53" t="n">
        <v>5929029</v>
      </c>
      <c r="Y53" t="n">
        <v>5931705</v>
      </c>
      <c r="Z53" t="n">
        <v>5932616</v>
      </c>
      <c r="AA53" t="n">
        <v>5931974</v>
      </c>
      <c r="AB53">
        <f>AA53</f>
        <v>5931974</v>
      </c>
      <c r="AC53" t="n">
        <v>5935317</v>
      </c>
      <c r="AD53" t="n">
        <v>5939566</v>
      </c>
    </row>
    <row r="54">
      <c r="A54" t="inlineStr">
        <is>
          <t>(-) estorno ações em tesouraria (2.03.02.05), lançado no código 38</t>
        </is>
      </c>
      <c r="B54" t="n">
        <v>37</v>
      </c>
      <c r="C54" t="inlineStr">
        <is>
          <t>Common Stock and APIC</t>
        </is>
      </c>
      <c r="D54" t="n">
        <v>-0</v>
      </c>
      <c r="E54" t="n">
        <v>-0</v>
      </c>
      <c r="F54" t="n">
        <v>-0</v>
      </c>
      <c r="G54" t="n">
        <v>-0</v>
      </c>
      <c r="H54">
        <f>G54</f>
        <v>0</v>
      </c>
      <c r="I54" t="n">
        <v>-0</v>
      </c>
      <c r="J54" t="n">
        <v>-0</v>
      </c>
      <c r="K54" t="n">
        <v>-0</v>
      </c>
      <c r="L54" t="n">
        <v>-0</v>
      </c>
      <c r="M54">
        <f>L54</f>
        <v>0</v>
      </c>
      <c r="N54" t="n">
        <v>-0</v>
      </c>
      <c r="O54" t="n">
        <v>-0</v>
      </c>
      <c r="P54" t="n">
        <v>-0</v>
      </c>
      <c r="Q54" t="n">
        <v>-0</v>
      </c>
      <c r="R54">
        <f>Q54</f>
        <v>0</v>
      </c>
      <c r="S54" t="n">
        <v>-0</v>
      </c>
      <c r="T54" t="n">
        <v>-0</v>
      </c>
      <c r="U54" t="n">
        <v>-0</v>
      </c>
      <c r="V54" t="n">
        <v>53617</v>
      </c>
      <c r="W54">
        <f>V54</f>
        <v>53617</v>
      </c>
      <c r="X54" t="n">
        <v>53617</v>
      </c>
      <c r="Y54" t="n">
        <v>53617</v>
      </c>
      <c r="Z54" t="n">
        <v>53617</v>
      </c>
      <c r="AA54" t="n">
        <v>59160</v>
      </c>
      <c r="AB54">
        <f>AA54</f>
        <v>59160</v>
      </c>
      <c r="AC54" t="n">
        <v>59160</v>
      </c>
      <c r="AD54" t="n">
        <v>57109</v>
      </c>
    </row>
    <row r="55">
      <c r="A55" t="inlineStr">
        <is>
          <t>CVM BPP 2.03.02.05 Ações em Tesouraria</t>
        </is>
      </c>
      <c r="B55" t="n">
        <v>38</v>
      </c>
      <c r="C55" t="inlineStr">
        <is>
          <t>Treasury stock (contra account)</t>
        </is>
      </c>
      <c r="D55" t="n">
        <v>0</v>
      </c>
      <c r="E55" t="n">
        <v>0</v>
      </c>
      <c r="F55" t="n">
        <v>0</v>
      </c>
      <c r="G55" t="n">
        <v>0</v>
      </c>
      <c r="H55">
        <f>G55</f>
        <v>0</v>
      </c>
      <c r="I55" t="n">
        <v>0</v>
      </c>
      <c r="J55" t="n">
        <v>0</v>
      </c>
      <c r="K55" t="n">
        <v>0</v>
      </c>
      <c r="L55" t="n">
        <v>0</v>
      </c>
      <c r="M55">
        <f>L55</f>
        <v>0</v>
      </c>
      <c r="N55" t="n">
        <v>0</v>
      </c>
      <c r="O55" t="n">
        <v>0</v>
      </c>
      <c r="P55" t="n">
        <v>0</v>
      </c>
      <c r="Q55" t="n">
        <v>0</v>
      </c>
      <c r="R55">
        <f>Q55</f>
        <v>0</v>
      </c>
      <c r="S55" t="n">
        <v>0</v>
      </c>
      <c r="T55" t="n">
        <v>0</v>
      </c>
      <c r="U55" t="n">
        <v>0</v>
      </c>
      <c r="V55" t="n">
        <v>-53617</v>
      </c>
      <c r="W55">
        <f>V55</f>
        <v>-53617</v>
      </c>
      <c r="X55" t="n">
        <v>-53617</v>
      </c>
      <c r="Y55" t="n">
        <v>-53617</v>
      </c>
      <c r="Z55" t="n">
        <v>-53617</v>
      </c>
      <c r="AA55" t="n">
        <v>-59160</v>
      </c>
      <c r="AB55">
        <f>AA55</f>
        <v>-59160</v>
      </c>
      <c r="AC55" t="n">
        <v>-59160</v>
      </c>
      <c r="AD55" t="n">
        <v>-57109</v>
      </c>
    </row>
    <row r="56">
      <c r="A56" t="inlineStr">
        <is>
          <t>CVM BPP 2.03.04 Reservas de Lucros</t>
        </is>
      </c>
      <c r="B56" t="n">
        <v>41</v>
      </c>
      <c r="C56" t="inlineStr">
        <is>
          <t>Retained earnings</t>
        </is>
      </c>
      <c r="D56" t="n">
        <v>1537852</v>
      </c>
      <c r="E56" t="n">
        <v>1817154</v>
      </c>
      <c r="F56" t="n">
        <v>1817154</v>
      </c>
      <c r="G56" t="n">
        <v>1861941</v>
      </c>
      <c r="H56">
        <f>G56</f>
        <v>1861941</v>
      </c>
      <c r="I56" t="n">
        <v>1861941</v>
      </c>
      <c r="J56" t="n">
        <v>1775893</v>
      </c>
      <c r="K56" t="n">
        <v>1997153</v>
      </c>
      <c r="L56" t="n">
        <v>3815124</v>
      </c>
      <c r="M56">
        <f>L56</f>
        <v>3815124</v>
      </c>
      <c r="N56" t="n">
        <v>3815124</v>
      </c>
      <c r="O56" t="n">
        <v>2950293</v>
      </c>
      <c r="P56" t="n">
        <v>2950293</v>
      </c>
      <c r="Q56" t="n">
        <v>1132604</v>
      </c>
      <c r="R56">
        <f>Q56</f>
        <v>1132604</v>
      </c>
      <c r="S56" t="n">
        <v>732604</v>
      </c>
      <c r="T56" t="n">
        <v>732604</v>
      </c>
      <c r="U56" t="n">
        <v>732604</v>
      </c>
      <c r="V56" t="n">
        <v>923944</v>
      </c>
      <c r="W56">
        <f>V56</f>
        <v>923944</v>
      </c>
      <c r="X56" t="n">
        <v>923944</v>
      </c>
      <c r="Y56" t="n">
        <v>923944</v>
      </c>
      <c r="Z56" t="n">
        <v>923944</v>
      </c>
      <c r="AA56" t="n">
        <v>259912</v>
      </c>
      <c r="AB56">
        <f>AA56</f>
        <v>259912</v>
      </c>
      <c r="AC56" t="n">
        <v>259912</v>
      </c>
      <c r="AD56" t="n">
        <v>259912</v>
      </c>
    </row>
    <row r="57">
      <c r="A57" t="inlineStr">
        <is>
          <t>CVM BPP 2.03.05 Lucros/Prejuízos Acumulados</t>
        </is>
      </c>
      <c r="B57" t="n">
        <v>41</v>
      </c>
      <c r="C57" t="inlineStr">
        <is>
          <t>Retained earnings</t>
        </is>
      </c>
      <c r="D57" t="n">
        <v>33101</v>
      </c>
      <c r="E57" t="n">
        <v>-37956</v>
      </c>
      <c r="F57" t="n">
        <v>44289</v>
      </c>
      <c r="G57" t="n">
        <v>0</v>
      </c>
      <c r="H57">
        <f>G57</f>
        <v>0</v>
      </c>
      <c r="I57" t="n">
        <v>-6799</v>
      </c>
      <c r="J57" t="n">
        <v>-8826</v>
      </c>
      <c r="K57" t="n">
        <v>0</v>
      </c>
      <c r="L57" t="n">
        <v>0</v>
      </c>
      <c r="M57">
        <f>L57</f>
        <v>0</v>
      </c>
      <c r="N57" t="n">
        <v>229952</v>
      </c>
      <c r="O57" t="n">
        <v>412834</v>
      </c>
      <c r="P57" t="n">
        <v>-425282</v>
      </c>
      <c r="Q57" t="n">
        <v>0</v>
      </c>
      <c r="R57">
        <f>Q57</f>
        <v>0</v>
      </c>
      <c r="S57" t="n">
        <v>253618</v>
      </c>
      <c r="T57" t="n">
        <v>344707</v>
      </c>
      <c r="U57" t="n">
        <v>615537</v>
      </c>
      <c r="V57" t="n">
        <v>0</v>
      </c>
      <c r="W57">
        <f>V57</f>
        <v>0</v>
      </c>
      <c r="X57" t="n">
        <v>8496</v>
      </c>
      <c r="Y57" t="n">
        <v>-606894</v>
      </c>
      <c r="Z57" t="n">
        <v>-1003928</v>
      </c>
      <c r="AA57" t="n">
        <v>0</v>
      </c>
      <c r="AB57">
        <f>AA57</f>
        <v>0</v>
      </c>
      <c r="AC57" t="n">
        <v>-621338</v>
      </c>
      <c r="AD57" t="n">
        <v>-1032285</v>
      </c>
    </row>
    <row r="58">
      <c r="A58" t="inlineStr">
        <is>
          <t>CVM BPP 2.03.06 Ajustes de Avaliação Patrimonial</t>
        </is>
      </c>
      <c r="B58" t="n">
        <v>39</v>
      </c>
      <c r="C58" t="inlineStr">
        <is>
          <t>Comprehensive (accumulated) loss</t>
        </is>
      </c>
      <c r="D58" t="n">
        <v>-644044</v>
      </c>
      <c r="E58" t="n">
        <v>-622896</v>
      </c>
      <c r="F58" t="n">
        <v>-462533</v>
      </c>
      <c r="G58" t="n">
        <v>-405374</v>
      </c>
      <c r="H58">
        <f>G58</f>
        <v>-405374</v>
      </c>
      <c r="I58" t="n">
        <v>-405374</v>
      </c>
      <c r="J58" t="n">
        <v>-405374</v>
      </c>
      <c r="K58" t="n">
        <v>-417135</v>
      </c>
      <c r="L58" t="n">
        <v>-205372</v>
      </c>
      <c r="M58">
        <f>L58</f>
        <v>-205372</v>
      </c>
      <c r="N58" t="n">
        <v>-204891</v>
      </c>
      <c r="O58" t="n">
        <v>-220752</v>
      </c>
      <c r="P58" t="n">
        <v>-207049</v>
      </c>
      <c r="Q58" t="n">
        <v>-409321</v>
      </c>
      <c r="R58">
        <f>Q58</f>
        <v>-409321</v>
      </c>
      <c r="S58" t="n">
        <v>-409287</v>
      </c>
      <c r="T58" t="n">
        <v>-409629</v>
      </c>
      <c r="U58" t="n">
        <v>-410478</v>
      </c>
      <c r="V58" t="n">
        <v>163680</v>
      </c>
      <c r="W58">
        <f>V58</f>
        <v>163680</v>
      </c>
      <c r="X58" t="n">
        <v>202276</v>
      </c>
      <c r="Y58" t="n">
        <v>247237</v>
      </c>
      <c r="Z58" t="n">
        <v>235128</v>
      </c>
      <c r="AA58" t="n">
        <v>129104</v>
      </c>
      <c r="AB58">
        <f>AA58</f>
        <v>129104</v>
      </c>
      <c r="AC58" t="n">
        <v>147898</v>
      </c>
      <c r="AD58" t="n">
        <v>152368</v>
      </c>
    </row>
    <row r="59">
      <c r="A59" t="inlineStr">
        <is>
          <t>CVM BPP 2.03.09 Participação dos Acionistas Não Controladores</t>
        </is>
      </c>
      <c r="B59" t="n">
        <v>35</v>
      </c>
      <c r="C59" t="inlineStr">
        <is>
          <t>Minority interest</t>
        </is>
      </c>
      <c r="D59" t="n">
        <v>4277955</v>
      </c>
      <c r="E59" t="n">
        <v>4293710</v>
      </c>
      <c r="F59" t="n">
        <v>4768398</v>
      </c>
      <c r="G59" t="n">
        <v>4589112</v>
      </c>
      <c r="H59">
        <f>G59</f>
        <v>4589112</v>
      </c>
      <c r="I59" t="n">
        <v>0</v>
      </c>
      <c r="J59" t="n">
        <v>0</v>
      </c>
      <c r="K59" t="n">
        <v>0</v>
      </c>
      <c r="L59" t="n">
        <v>0</v>
      </c>
      <c r="M59">
        <f>L59</f>
        <v>0</v>
      </c>
      <c r="N59" t="n">
        <v>0</v>
      </c>
      <c r="O59" t="n">
        <v>0</v>
      </c>
      <c r="P59" t="n">
        <v>0</v>
      </c>
      <c r="Q59" t="n">
        <v>0</v>
      </c>
      <c r="R59">
        <f>Q59</f>
        <v>0</v>
      </c>
      <c r="S59" t="n">
        <v>0</v>
      </c>
      <c r="T59" t="n">
        <v>0</v>
      </c>
      <c r="U59" t="n">
        <v>0</v>
      </c>
      <c r="V59" t="n">
        <v>1281658</v>
      </c>
      <c r="W59">
        <f>V59</f>
        <v>1281658</v>
      </c>
      <c r="X59" t="n">
        <v>1327231</v>
      </c>
      <c r="Y59" t="n">
        <v>1379839</v>
      </c>
      <c r="Z59" t="n">
        <v>1288751</v>
      </c>
      <c r="AA59" t="n">
        <v>1266701</v>
      </c>
      <c r="AB59">
        <f>AA59</f>
        <v>1266701</v>
      </c>
      <c r="AC59" t="n">
        <v>1213632</v>
      </c>
      <c r="AD59" t="n">
        <v>1245517</v>
      </c>
    </row>
    <row r="60">
      <c r="A60" s="294" t="inlineStr">
        <is>
          <t>BALANÇO - totais divulgados (memória)</t>
        </is>
      </c>
      <c r="R60" s="251" t="n"/>
      <c r="V60" s="250" t="n"/>
      <c r="W60" s="251" t="n"/>
      <c r="X60" s="250" t="n"/>
      <c r="Y60" s="250" t="n"/>
      <c r="Z60" s="250" t="n"/>
      <c r="AA60" s="250" t="n"/>
      <c r="AB60" s="251" t="n"/>
      <c r="AC60" s="250" t="n"/>
      <c r="AD60" s="250" t="n"/>
    </row>
    <row r="61">
      <c r="A61" t="inlineStr">
        <is>
          <t>CVM BPA 1 Ativo total</t>
        </is>
      </c>
      <c r="D61" t="n">
        <v>18260942</v>
      </c>
      <c r="E61" t="n">
        <v>18026959</v>
      </c>
      <c r="F61" t="n">
        <v>18525946</v>
      </c>
      <c r="G61" t="n">
        <v>19562553</v>
      </c>
      <c r="H61">
        <f>G61</f>
        <v>19562553</v>
      </c>
      <c r="I61" t="n">
        <v>28452306</v>
      </c>
      <c r="J61" t="n">
        <v>29391370</v>
      </c>
      <c r="K61" t="n">
        <v>29337895</v>
      </c>
      <c r="L61" t="n">
        <v>32282893</v>
      </c>
      <c r="M61">
        <f>L61</f>
        <v>32282893</v>
      </c>
      <c r="N61" t="n">
        <v>33694157</v>
      </c>
      <c r="O61" t="n">
        <v>33010352</v>
      </c>
      <c r="P61" t="n">
        <v>31219220</v>
      </c>
      <c r="Q61" t="n">
        <v>28994557</v>
      </c>
      <c r="R61">
        <f>Q61</f>
        <v>28994557</v>
      </c>
      <c r="S61" t="n">
        <v>27694357</v>
      </c>
      <c r="T61" t="n">
        <v>29259449</v>
      </c>
      <c r="U61" t="n">
        <v>31492257</v>
      </c>
      <c r="V61" t="n">
        <v>52754117</v>
      </c>
      <c r="W61">
        <f>V61</f>
        <v>52754117</v>
      </c>
      <c r="X61" t="n">
        <v>52266696</v>
      </c>
      <c r="Y61" t="n">
        <v>49202800</v>
      </c>
      <c r="Z61" t="n">
        <v>48833477</v>
      </c>
      <c r="AA61" t="n">
        <v>48727388</v>
      </c>
      <c r="AB61">
        <f>AA61</f>
        <v>48727388</v>
      </c>
      <c r="AC61" t="n">
        <v>47381486</v>
      </c>
      <c r="AD61" t="n">
        <v>46710105</v>
      </c>
    </row>
    <row r="62">
      <c r="A62" t="inlineStr">
        <is>
          <t>CVM BPP 2.01 + 2.02 Passivo circulante + não circulante (reconstruído pelas contas)</t>
        </is>
      </c>
      <c r="D62" t="n">
        <v>10078095</v>
      </c>
      <c r="E62" t="n">
        <v>9598964</v>
      </c>
      <c r="F62" t="n">
        <v>9380655</v>
      </c>
      <c r="G62" t="n">
        <v>10516038</v>
      </c>
      <c r="H62">
        <f>G62</f>
        <v>10516038</v>
      </c>
      <c r="I62" t="n">
        <v>15632029</v>
      </c>
      <c r="J62" t="n">
        <v>16659168</v>
      </c>
      <c r="K62" t="n">
        <v>16387368</v>
      </c>
      <c r="L62" t="n">
        <v>17029815</v>
      </c>
      <c r="M62">
        <f>L62</f>
        <v>17029815</v>
      </c>
      <c r="N62" t="n">
        <v>18210646</v>
      </c>
      <c r="O62" t="n">
        <v>18224390</v>
      </c>
      <c r="P62" t="n">
        <v>17256820</v>
      </c>
      <c r="Q62" t="n">
        <v>16625604</v>
      </c>
      <c r="R62">
        <f>Q62</f>
        <v>16625604</v>
      </c>
      <c r="S62" t="n">
        <v>15470892</v>
      </c>
      <c r="T62" t="n">
        <v>16943915</v>
      </c>
      <c r="U62" t="n">
        <v>18904972</v>
      </c>
      <c r="V62" t="n">
        <v>38270763</v>
      </c>
      <c r="W62">
        <f>V62</f>
        <v>38270763</v>
      </c>
      <c r="X62" t="n">
        <v>37687948</v>
      </c>
      <c r="Y62" t="n">
        <v>35139197</v>
      </c>
      <c r="Z62" t="n">
        <v>35269194</v>
      </c>
      <c r="AA62" t="n">
        <v>34951925</v>
      </c>
      <c r="AB62">
        <f>AA62</f>
        <v>34951925</v>
      </c>
      <c r="AC62" t="n">
        <v>34258293</v>
      </c>
      <c r="AD62" t="n">
        <v>33957255</v>
      </c>
    </row>
    <row r="63">
      <c r="A63" t="inlineStr">
        <is>
          <t>CVM BPP 2.03 Patrimônio líquido consolidado</t>
        </is>
      </c>
      <c r="D63" t="n">
        <v>8182847</v>
      </c>
      <c r="E63" t="n">
        <v>8427995</v>
      </c>
      <c r="F63" t="n">
        <v>9145291</v>
      </c>
      <c r="G63" t="n">
        <v>9046515</v>
      </c>
      <c r="H63">
        <f>G63</f>
        <v>9046515</v>
      </c>
      <c r="I63" t="n">
        <v>12820277</v>
      </c>
      <c r="J63" t="n">
        <v>12732202</v>
      </c>
      <c r="K63" t="n">
        <v>12950527</v>
      </c>
      <c r="L63" t="n">
        <v>15253078</v>
      </c>
      <c r="M63">
        <f>L63</f>
        <v>15253078</v>
      </c>
      <c r="N63" t="n">
        <v>15483511</v>
      </c>
      <c r="O63" t="n">
        <v>14785962</v>
      </c>
      <c r="P63" t="n">
        <v>13962400</v>
      </c>
      <c r="Q63" t="n">
        <v>12368953</v>
      </c>
      <c r="R63">
        <f>Q63</f>
        <v>12368953</v>
      </c>
      <c r="S63" t="n">
        <v>12223465</v>
      </c>
      <c r="T63" t="n">
        <v>12315534</v>
      </c>
      <c r="U63" t="n">
        <v>12587285</v>
      </c>
      <c r="V63" t="n">
        <v>14483354</v>
      </c>
      <c r="W63">
        <f>V63</f>
        <v>14483354</v>
      </c>
      <c r="X63" t="n">
        <v>14578748</v>
      </c>
      <c r="Y63" t="n">
        <v>14063603</v>
      </c>
      <c r="Z63" t="n">
        <v>13564283</v>
      </c>
      <c r="AA63" t="n">
        <v>13775463</v>
      </c>
      <c r="AB63">
        <f>AA63</f>
        <v>13775463</v>
      </c>
      <c r="AC63" t="n">
        <v>13123193</v>
      </c>
      <c r="AD63" t="n">
        <v>12752850</v>
      </c>
    </row>
    <row r="64">
      <c r="R64" s="251" t="n"/>
      <c r="W64" s="251" t="n"/>
      <c r="X64" s="250" t="n"/>
      <c r="Y64" s="250" t="n"/>
      <c r="Z64" s="250" t="n"/>
      <c r="AA64" s="250" t="n"/>
      <c r="AB64" s="251" t="n"/>
      <c r="AC64" s="250" t="n"/>
      <c r="AD64" s="250" t="n"/>
    </row>
    <row r="65">
      <c r="A65" t="inlineStr">
        <is>
          <t>Notas:</t>
        </is>
      </c>
      <c r="R65" s="251" t="n"/>
      <c r="V65" s="250" t="n"/>
      <c r="W65" s="251" t="n"/>
      <c r="X65" s="250" t="n"/>
      <c r="Y65" s="250" t="n"/>
      <c r="Z65" s="250" t="n"/>
      <c r="AA65" s="250" t="n"/>
      <c r="AB65" s="251" t="n"/>
      <c r="AC65" s="250" t="n"/>
      <c r="AD65" s="250" t="n"/>
    </row>
    <row r="66">
      <c r="A66" t="inlineStr">
        <is>
          <t>1) Fonte única: ITR/DFP consolidados da CVM (dados abertos), R$ mil; a Inputs (2) divide por 1.000 (R$ milhões). Trimestres de fluxo: 3M quando a ITR traz, senão acumulado do ano menos o trimestre anterior.</t>
        </is>
      </c>
      <c r="R66" s="251" t="n"/>
      <c r="V66" s="250" t="n"/>
      <c r="W66" s="251" t="n"/>
      <c r="X66" s="250" t="n"/>
      <c r="AB66" s="251" t="n"/>
      <c r="AC66" s="250" t="n"/>
      <c r="AD66" s="250" t="n"/>
    </row>
    <row r="67">
      <c r="A67" t="inlineStr">
        <is>
          <t>2) 2023-2024 são o REPORTADO (sem AES Brasil até out/24). O pro forma da RI (Auren + AES) ficou só como memória acima e na linha 41 do Model (base do bloco de receita).</t>
        </is>
      </c>
      <c r="R67" s="251" t="n"/>
      <c r="V67" s="250" t="n"/>
      <c r="W67" s="251" t="n"/>
      <c r="X67" s="250" t="n"/>
      <c r="Y67" s="250" t="n"/>
      <c r="Z67" s="250" t="n"/>
      <c r="AA67" s="250" t="n"/>
      <c r="AB67" s="251" t="n"/>
      <c r="AC67" s="250" t="n"/>
      <c r="AD67" s="250" t="n"/>
    </row>
    <row r="68">
      <c r="A68" t="inlineStr">
        <is>
          <t>3) 2T22: a ITR veio sem as contas-mãe 2.01.05, 2.01.06 e 2.02.04 e com 2.02.02 incompleta; os saldos foram reconstruídos pela soma das contas filhas (o total bate com o passivo total divulgado).</t>
        </is>
      </c>
      <c r="R68" s="251" t="n"/>
      <c r="V68" s="250" t="n"/>
      <c r="W68" s="251" t="n"/>
      <c r="X68" s="250" t="n"/>
      <c r="Y68" s="250" t="n"/>
      <c r="Z68" s="250" t="n"/>
      <c r="AA68" s="250" t="n"/>
      <c r="AB68" s="251" t="n"/>
      <c r="AC68" s="250" t="n"/>
      <c r="AD68" s="250" t="n"/>
    </row>
    <row r="69">
      <c r="A69" t="inlineStr">
        <is>
          <t>4) Caixa (código 11) = caixa e equivalentes + aplicações financeiras. Fundo de liquidez/conta reserva de longo prazo fica em outros ativos (restrito).</t>
        </is>
      </c>
      <c r="R69" s="251" t="n"/>
      <c r="V69" s="250" t="n"/>
      <c r="W69" s="251" t="n"/>
      <c r="X69" s="250" t="n"/>
      <c r="Y69" s="250" t="n"/>
      <c r="Z69" s="250" t="n"/>
      <c r="AA69" s="250" t="n"/>
      <c r="AB69" s="251" t="n"/>
      <c r="AC69" s="250" t="n"/>
      <c r="AD69" s="250" t="n"/>
    </row>
    <row r="70">
      <c r="A70" t="inlineStr">
        <is>
          <t>5) Fluxo de caixa de 1T21 sem saldo inicial (dez/20 fora da grade): as variações do 1T21 no Model não são interpretáveis.</t>
        </is>
      </c>
      <c r="R70" s="251" t="n"/>
      <c r="V70" s="250" t="n"/>
      <c r="W70" s="251" t="n"/>
      <c r="X70" s="250" t="n"/>
      <c r="Y70" s="250" t="n"/>
      <c r="Z70" s="250" t="n"/>
      <c r="AA70" s="250" t="n"/>
      <c r="AB70" s="251" t="n"/>
      <c r="AD70" s="250" t="n"/>
    </row>
    <row r="71">
      <c r="R71" s="251" t="n"/>
      <c r="V71" s="250" t="n"/>
      <c r="W71" s="251" t="n"/>
      <c r="X71" s="250" t="n"/>
      <c r="Y71" s="250" t="n"/>
      <c r="Z71" s="250" t="n"/>
      <c r="AA71" s="250" t="n"/>
      <c r="AB71" s="251" t="n"/>
      <c r="AC71" s="250" t="n"/>
      <c r="AD71" s="250" t="n"/>
    </row>
    <row r="72">
      <c r="R72" s="251" t="n"/>
      <c r="V72" s="250" t="n"/>
      <c r="W72" s="251" t="n"/>
      <c r="X72" s="250" t="n"/>
      <c r="AB72" s="251" t="n"/>
      <c r="AC72" s="250" t="n"/>
      <c r="AD72" s="250" t="n"/>
    </row>
    <row r="73">
      <c r="R73" s="251" t="n"/>
      <c r="V73" s="250" t="n"/>
      <c r="W73" s="251" t="n"/>
      <c r="X73" s="250" t="n"/>
      <c r="Y73" s="250" t="n"/>
      <c r="Z73" s="250" t="n"/>
      <c r="AA73" s="250" t="n"/>
      <c r="AB73" s="251" t="n"/>
      <c r="AC73" s="250" t="n"/>
      <c r="AD73" s="250" t="n"/>
    </row>
    <row r="74">
      <c r="R74" s="251" t="n"/>
      <c r="V74" s="250" t="n"/>
      <c r="W74" s="251" t="n"/>
      <c r="X74" s="250" t="n"/>
      <c r="Y74" s="250" t="n"/>
      <c r="Z74" s="250" t="n"/>
      <c r="AA74" s="250" t="n"/>
      <c r="AB74" s="251" t="n"/>
      <c r="AC74" s="250" t="n"/>
      <c r="AD74" s="250" t="n"/>
    </row>
    <row r="75">
      <c r="R75" s="251" t="n"/>
      <c r="V75" s="250" t="n"/>
      <c r="W75" s="251" t="n"/>
      <c r="X75" s="250" t="n"/>
      <c r="Y75" s="250" t="n"/>
      <c r="Z75" s="250" t="n"/>
      <c r="AA75" s="250" t="n"/>
      <c r="AB75" s="251" t="n"/>
      <c r="AC75" s="250" t="n"/>
      <c r="AD75" s="250" t="n"/>
    </row>
    <row r="76">
      <c r="R76" s="251" t="n"/>
      <c r="V76" s="250" t="n"/>
      <c r="W76" s="251" t="n"/>
      <c r="X76" s="250" t="n"/>
      <c r="Y76" s="250" t="n"/>
      <c r="Z76" s="250" t="n"/>
      <c r="AA76" s="250" t="n"/>
      <c r="AB76" s="251" t="n"/>
      <c r="AC76" s="250" t="n"/>
      <c r="AD76" s="250" t="n"/>
    </row>
    <row r="77">
      <c r="R77" s="251" t="n"/>
      <c r="V77" s="250" t="n"/>
      <c r="W77" s="251" t="n"/>
      <c r="X77" s="250" t="n"/>
      <c r="Y77" s="250" t="n"/>
      <c r="Z77" s="250" t="n"/>
      <c r="AA77" s="250" t="n"/>
      <c r="AB77" s="251" t="n"/>
      <c r="AC77" s="250" t="n"/>
      <c r="AD77" s="250" t="n"/>
    </row>
    <row r="78">
      <c r="R78" s="251" t="n"/>
      <c r="V78" s="250" t="n"/>
      <c r="W78" s="251" t="n"/>
      <c r="X78" s="250" t="n"/>
      <c r="Y78" s="250" t="n"/>
      <c r="Z78" s="250" t="n"/>
      <c r="AA78" s="250" t="n"/>
      <c r="AB78" s="251" t="n"/>
      <c r="AC78" s="250" t="n"/>
      <c r="AD78" s="250" t="n"/>
    </row>
    <row r="79">
      <c r="R79" s="251" t="n"/>
      <c r="V79" s="250" t="n"/>
      <c r="W79" s="251" t="n"/>
      <c r="X79" s="250" t="n"/>
      <c r="Y79" s="250" t="n"/>
      <c r="Z79" s="250" t="n"/>
      <c r="AA79" s="250" t="n"/>
      <c r="AB79" s="251" t="n"/>
      <c r="AC79" s="250" t="n"/>
      <c r="AD79" s="250" t="n"/>
    </row>
    <row r="80">
      <c r="R80" s="251" t="n"/>
      <c r="V80" s="250" t="n"/>
      <c r="W80" s="251" t="n"/>
      <c r="X80" s="250" t="n"/>
      <c r="Y80" s="250" t="n"/>
      <c r="Z80" s="250" t="n"/>
      <c r="AA80" s="250" t="n"/>
      <c r="AB80" s="251" t="n"/>
      <c r="AC80" s="250" t="n"/>
      <c r="AD80" s="250" t="n"/>
    </row>
    <row r="81">
      <c r="R81" s="251" t="n"/>
      <c r="V81" s="250" t="n"/>
      <c r="W81" s="251" t="n"/>
      <c r="X81" s="250" t="n"/>
      <c r="Y81" s="250" t="n"/>
      <c r="Z81" s="250" t="n"/>
      <c r="AA81" s="250" t="n"/>
      <c r="AB81" s="251" t="n"/>
      <c r="AC81" s="250" t="n"/>
      <c r="AD81" s="250" t="n"/>
    </row>
    <row r="82">
      <c r="R82" s="251" t="n"/>
      <c r="V82" s="250" t="n"/>
      <c r="W82" s="251" t="n"/>
      <c r="X82" s="250" t="n"/>
      <c r="Y82" s="250" t="n"/>
      <c r="Z82" s="250" t="n"/>
      <c r="AA82" s="250" t="n"/>
      <c r="AB82" s="251" t="n"/>
      <c r="AC82" s="250" t="n"/>
      <c r="AD82" s="250" t="n"/>
    </row>
    <row r="83">
      <c r="R83" s="251" t="n"/>
      <c r="V83" s="250" t="n"/>
      <c r="W83" s="251" t="n"/>
      <c r="X83" s="250" t="n"/>
      <c r="Y83" s="250" t="n"/>
      <c r="Z83" s="250" t="n"/>
      <c r="AA83" s="250" t="n"/>
      <c r="AB83" s="251" t="n"/>
      <c r="AC83" s="250" t="n"/>
      <c r="AD83" s="250" t="n"/>
    </row>
    <row r="84">
      <c r="R84" s="251" t="n"/>
      <c r="V84" s="250" t="n"/>
      <c r="W84" s="251" t="n"/>
      <c r="X84" s="250" t="n"/>
      <c r="Y84" s="250" t="n"/>
      <c r="Z84" s="250" t="n"/>
      <c r="AA84" s="250" t="n"/>
      <c r="AB84" s="251" t="n"/>
      <c r="AC84" s="250" t="n"/>
      <c r="AD84" s="250" t="n"/>
    </row>
    <row r="85">
      <c r="R85" s="251" t="n"/>
      <c r="V85" s="250" t="n"/>
      <c r="W85" s="251" t="n"/>
      <c r="X85" s="250" t="n"/>
      <c r="Y85" s="250" t="n"/>
      <c r="Z85" s="250" t="n"/>
      <c r="AA85" s="250" t="n"/>
      <c r="AB85" s="251" t="n"/>
      <c r="AC85" s="250" t="n"/>
      <c r="AD85" s="250" t="n"/>
    </row>
    <row r="86"/>
    <row r="87"/>
    <row r="88"/>
    <row r="89"/>
    <row r="90"/>
    <row r="91"/>
    <row r="92"/>
    <row r="93"/>
    <row r="94"/>
    <row r="95"/>
    <row r="96"/>
    <row r="97"/>
    <row r="98"/>
    <row r="99"/>
    <row r="100"/>
  </sheetData>
  <pageMargins left="0.7" right="0.7" top="0.75" bottom="0.75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49"/>
  <sheetViews>
    <sheetView showGridLines="0" zoomScaleNormal="10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L3" sqref="L3"/>
    </sheetView>
  </sheetViews>
  <sheetFormatPr baseColWidth="8" defaultColWidth="10.42578125" defaultRowHeight="12.75"/>
  <cols>
    <col width="14.7109375" customWidth="1" style="3" min="1" max="1"/>
    <col width="10.140625" customWidth="1" style="3" min="2" max="2"/>
    <col width="50" customWidth="1" style="4" min="3" max="3"/>
    <col width="12.42578125" customWidth="1" style="3" min="4" max="33"/>
    <col width="10.42578125" customWidth="1" style="4" min="34" max="54"/>
    <col width="11" customWidth="1" style="4" min="55" max="55"/>
    <col width="10.42578125" customWidth="1" style="4" min="56" max="57"/>
    <col width="10.42578125" customWidth="1" style="4" min="58" max="16384"/>
  </cols>
  <sheetData>
    <row r="1" ht="14.25" customFormat="1" customHeight="1" s="3">
      <c r="A1" s="5" t="str">
        <f>IF(Control!B3="","EMPRESA",Control!B3)</f>
        <v>Auren Energia S.A.</v>
      </c>
      <c r="B1" s="5" t="inlineStr">
        <is>
          <t>Código</t>
        </is>
      </c>
      <c r="C1" s="1" t="inlineStr">
        <is>
          <t>Conta padronizada</t>
        </is>
      </c>
      <c r="D1" s="1" t="n">
        <v>2021</v>
      </c>
      <c r="E1" s="1" t="n">
        <v>2021</v>
      </c>
      <c r="F1" s="1" t="n">
        <v>2021</v>
      </c>
      <c r="G1" s="1" t="n">
        <v>2021</v>
      </c>
      <c r="H1" s="1" t="n">
        <v>2021</v>
      </c>
      <c r="I1" s="1" t="n">
        <v>2022</v>
      </c>
      <c r="J1" s="1" t="n">
        <v>2022</v>
      </c>
      <c r="K1" s="1" t="n">
        <v>2022</v>
      </c>
      <c r="L1" s="1" t="n">
        <v>2022</v>
      </c>
      <c r="M1" s="1" t="n">
        <v>2022</v>
      </c>
      <c r="N1" s="1" t="n">
        <v>2023</v>
      </c>
      <c r="O1" s="1" t="n">
        <v>2023</v>
      </c>
      <c r="P1" s="1" t="n">
        <v>2023</v>
      </c>
      <c r="Q1" s="1" t="n">
        <v>2023</v>
      </c>
      <c r="R1" s="1" t="n">
        <v>2023</v>
      </c>
      <c r="S1" s="1" t="n">
        <v>2024</v>
      </c>
      <c r="T1" s="1" t="n">
        <v>2024</v>
      </c>
      <c r="U1" s="1" t="n">
        <v>2024</v>
      </c>
      <c r="V1" s="1" t="n">
        <v>2024</v>
      </c>
      <c r="W1" s="1" t="n">
        <v>2024</v>
      </c>
      <c r="X1" s="1" t="n">
        <v>2025</v>
      </c>
      <c r="Y1" s="1" t="n">
        <v>2025</v>
      </c>
      <c r="Z1" s="1" t="n">
        <v>2025</v>
      </c>
      <c r="AA1" s="1" t="n">
        <v>2025</v>
      </c>
      <c r="AB1" s="1" t="n">
        <v>2025</v>
      </c>
      <c r="AC1" s="1" t="n">
        <v>2026</v>
      </c>
      <c r="AD1" s="1" t="n">
        <v>2026</v>
      </c>
      <c r="AE1" s="1" t="n">
        <v>2026</v>
      </c>
      <c r="AF1" s="1" t="n">
        <v>2026</v>
      </c>
      <c r="AG1" s="1" t="n">
        <v>2026</v>
      </c>
    </row>
    <row r="2" ht="14.25" customHeight="1">
      <c r="A2" s="1" t="inlineStr">
        <is>
          <t>R$ milhões</t>
        </is>
      </c>
      <c r="B2" s="1" t="n"/>
      <c r="C2" s="1" t="inlineStr">
        <is>
          <t>Período</t>
        </is>
      </c>
      <c r="D2" s="6" t="inlineStr">
        <is>
          <t>1Q21</t>
        </is>
      </c>
      <c r="E2" s="6" t="inlineStr">
        <is>
          <t>2Q21</t>
        </is>
      </c>
      <c r="F2" s="6" t="inlineStr">
        <is>
          <t>3Q21</t>
        </is>
      </c>
      <c r="G2" s="6" t="inlineStr">
        <is>
          <t>4Q21</t>
        </is>
      </c>
      <c r="H2" s="7" t="inlineStr">
        <is>
          <t>2021</t>
        </is>
      </c>
      <c r="I2" s="6" t="inlineStr">
        <is>
          <t>1Q22</t>
        </is>
      </c>
      <c r="J2" s="6" t="inlineStr">
        <is>
          <t>2Q22</t>
        </is>
      </c>
      <c r="K2" s="6" t="inlineStr">
        <is>
          <t>3Q22</t>
        </is>
      </c>
      <c r="L2" s="6" t="inlineStr">
        <is>
          <t>4Q22</t>
        </is>
      </c>
      <c r="M2" s="7" t="inlineStr">
        <is>
          <t>2022</t>
        </is>
      </c>
      <c r="N2" s="6" t="inlineStr">
        <is>
          <t>1Q23</t>
        </is>
      </c>
      <c r="O2" s="6" t="inlineStr">
        <is>
          <t>2Q23</t>
        </is>
      </c>
      <c r="P2" s="6" t="inlineStr">
        <is>
          <t>3Q23</t>
        </is>
      </c>
      <c r="Q2" s="6" t="inlineStr">
        <is>
          <t>4Q23</t>
        </is>
      </c>
      <c r="R2" s="7" t="inlineStr">
        <is>
          <t>2023</t>
        </is>
      </c>
      <c r="S2" s="6" t="inlineStr">
        <is>
          <t>1Q24</t>
        </is>
      </c>
      <c r="T2" s="6" t="inlineStr">
        <is>
          <t>2Q24</t>
        </is>
      </c>
      <c r="U2" s="6" t="inlineStr">
        <is>
          <t>3Q24</t>
        </is>
      </c>
      <c r="V2" s="6" t="inlineStr">
        <is>
          <t>4Q24</t>
        </is>
      </c>
      <c r="W2" s="7" t="inlineStr">
        <is>
          <t>2024</t>
        </is>
      </c>
      <c r="X2" s="6" t="inlineStr">
        <is>
          <t>1Q25</t>
        </is>
      </c>
      <c r="Y2" s="6" t="inlineStr">
        <is>
          <t>2Q25</t>
        </is>
      </c>
      <c r="Z2" s="6" t="inlineStr">
        <is>
          <t>3Q25</t>
        </is>
      </c>
      <c r="AA2" s="6" t="inlineStr">
        <is>
          <t>4Q25</t>
        </is>
      </c>
      <c r="AB2" s="7" t="inlineStr">
        <is>
          <t>2025</t>
        </is>
      </c>
      <c r="AC2" s="6" t="inlineStr">
        <is>
          <t>1Q26</t>
        </is>
      </c>
      <c r="AD2" s="6" t="inlineStr">
        <is>
          <t>2Q26</t>
        </is>
      </c>
      <c r="AE2" s="6" t="inlineStr">
        <is>
          <t>3Q26</t>
        </is>
      </c>
      <c r="AF2" s="6" t="inlineStr">
        <is>
          <t>4Q26</t>
        </is>
      </c>
      <c r="AG2" s="7" t="inlineStr">
        <is>
          <t>2026</t>
        </is>
      </c>
    </row>
    <row r="3" ht="15" customHeight="1">
      <c r="A3" s="8" t="inlineStr">
        <is>
          <t>Actual flag</t>
        </is>
      </c>
      <c r="B3" s="8" t="n"/>
      <c r="C3" s="8" t="inlineStr">
        <is>
          <t>0 = sem dados / 1 = realizado</t>
        </is>
      </c>
      <c r="D3" s="8" t="n">
        <v>1</v>
      </c>
      <c r="E3" s="8" t="n">
        <v>1</v>
      </c>
      <c r="F3" s="8" t="n">
        <v>1</v>
      </c>
      <c r="G3" s="8" t="n">
        <v>1</v>
      </c>
      <c r="H3" s="8" t="n">
        <v>1</v>
      </c>
      <c r="I3" s="8" t="n">
        <v>1</v>
      </c>
      <c r="J3" s="8" t="n">
        <v>1</v>
      </c>
      <c r="K3" s="8" t="n">
        <v>1</v>
      </c>
      <c r="L3" s="8" t="n">
        <v>1</v>
      </c>
      <c r="M3" s="8" t="n">
        <v>1</v>
      </c>
      <c r="N3" s="8" t="n">
        <v>1</v>
      </c>
      <c r="O3" s="8" t="n">
        <v>1</v>
      </c>
      <c r="P3" s="8" t="n">
        <v>1</v>
      </c>
      <c r="Q3" s="8" t="n">
        <v>1</v>
      </c>
      <c r="R3" s="8" t="n">
        <v>1</v>
      </c>
      <c r="S3" s="8" t="n">
        <v>1</v>
      </c>
      <c r="T3" s="8" t="n">
        <v>1</v>
      </c>
      <c r="U3" s="8" t="n">
        <v>1</v>
      </c>
      <c r="V3" s="8" t="n">
        <v>1</v>
      </c>
      <c r="W3" s="8" t="n">
        <v>1</v>
      </c>
      <c r="X3" s="8" t="n">
        <v>1</v>
      </c>
      <c r="Y3" s="8" t="n">
        <v>1</v>
      </c>
      <c r="Z3" s="8" t="n">
        <v>1</v>
      </c>
      <c r="AA3" s="8" t="n">
        <v>1</v>
      </c>
      <c r="AB3" s="8" t="n">
        <v>1</v>
      </c>
      <c r="AC3" s="8" t="n">
        <v>1</v>
      </c>
      <c r="AD3" s="8" t="n">
        <v>1</v>
      </c>
      <c r="AE3" s="8" t="n">
        <v>0</v>
      </c>
      <c r="AF3" s="8" t="n">
        <v>0</v>
      </c>
      <c r="AG3" s="8" t="n">
        <v>0</v>
      </c>
    </row>
    <row r="4">
      <c r="B4" s="9" t="n">
        <v>1</v>
      </c>
      <c r="C4" s="10" t="inlineStr">
        <is>
          <t>Net Revenues</t>
        </is>
      </c>
      <c r="D4" s="11">
        <f>IF(D$3=0,"",SUMIFS(INDEX(Inputs!$D$4:$AG$100,0,MATCH(D$2,Inputs!$D$2:$AG$2,0)),Inputs!$B$4:$B$100,$B4)/1000)</f>
        <v>552.151</v>
      </c>
      <c r="E4" s="11">
        <f>IF(E$3=0,"",SUMIFS(INDEX(Inputs!$D$4:$AG$100,0,MATCH(E$2,Inputs!$D$2:$AG$2,0)),Inputs!$B$4:$B$100,$B4)/1000)</f>
        <v>581.104</v>
      </c>
      <c r="F4" s="11">
        <f>IF(F$3=0,"",SUMIFS(INDEX(Inputs!$D$4:$AG$100,0,MATCH(F$2,Inputs!$D$2:$AG$2,0)),Inputs!$B$4:$B$100,$B4)/1000)</f>
        <v>616.194</v>
      </c>
      <c r="G4" s="11">
        <f>IF(G$3=0,"",SUMIFS(INDEX(Inputs!$D$4:$AG$100,0,MATCH(G$2,Inputs!$D$2:$AG$2,0)),Inputs!$B$4:$B$100,$B4)/1000)</f>
        <v>767.313</v>
      </c>
      <c r="H4" s="12">
        <f>IF(COUNT(D4:G4)=4,SUM(D4:G4),"")</f>
        <v>2516.762</v>
      </c>
      <c r="I4" s="11">
        <f>IF(I$3=0,"",SUMIFS(INDEX(Inputs!$D$4:$AG$100,0,MATCH(I$2,Inputs!$D$2:$AG$2,0)),Inputs!$B$4:$B$100,$B4)/1000)</f>
        <v>1145.258</v>
      </c>
      <c r="J4" s="11">
        <f>IF(J$3=0,"",SUMIFS(INDEX(Inputs!$D$4:$AG$100,0,MATCH(J$2,Inputs!$D$2:$AG$2,0)),Inputs!$B$4:$B$100,$B4)/1000)</f>
        <v>1346.655</v>
      </c>
      <c r="K4" s="11">
        <f>IF(K$3=0,"",SUMIFS(INDEX(Inputs!$D$4:$AG$100,0,MATCH(K$2,Inputs!$D$2:$AG$2,0)),Inputs!$B$4:$B$100,$B4)/1000)</f>
        <v>1538.901</v>
      </c>
      <c r="L4" s="11">
        <f>IF(L$3=0,"",SUMIFS(INDEX(Inputs!$D$4:$AG$100,0,MATCH(L$2,Inputs!$D$2:$AG$2,0)),Inputs!$B$4:$B$100,$B4)/1000)</f>
        <v>1484.892</v>
      </c>
      <c r="M4" s="12">
        <f>IF(COUNT(I4:L4)=4,SUM(I4:L4),"")</f>
        <v>5515.706</v>
      </c>
      <c r="N4" s="11">
        <f>IF(N$3=0,"",SUMIFS(INDEX(Inputs!$D$4:$AG$100,0,MATCH(N$2,Inputs!$D$2:$AG$2,0)),Inputs!$B$4:$B$100,$B4)/1000)</f>
        <v>1414.51</v>
      </c>
      <c r="O4" s="11">
        <f>IF(O$3=0,"",SUMIFS(INDEX(Inputs!$D$4:$AG$100,0,MATCH(O$2,Inputs!$D$2:$AG$2,0)),Inputs!$B$4:$B$100,$B4)/1000)</f>
        <v>1437.088</v>
      </c>
      <c r="P4" s="11">
        <f>IF(P$3=0,"",SUMIFS(INDEX(Inputs!$D$4:$AG$100,0,MATCH(P$2,Inputs!$D$2:$AG$2,0)),Inputs!$B$4:$B$100,$B4)/1000)</f>
        <v>1626.59</v>
      </c>
      <c r="Q4" s="11">
        <f>IF(Q$3=0,"",SUMIFS(INDEX(Inputs!$D$4:$AG$100,0,MATCH(Q$2,Inputs!$D$2:$AG$2,0)),Inputs!$B$4:$B$100,$B4)/1000)</f>
        <v>1703.702</v>
      </c>
      <c r="R4" s="12">
        <f>IF(COUNT(N4:Q4)=4,SUM(N4:Q4),"")</f>
        <v>6181.89</v>
      </c>
      <c r="S4" s="11">
        <f>IF(S$3=0,"",SUMIFS(INDEX(Inputs!$D$4:$AG$100,0,MATCH(S$2,Inputs!$D$2:$AG$2,0)),Inputs!$B$4:$B$100,$B4)/1000)</f>
        <v>1397.531</v>
      </c>
      <c r="T4" s="11">
        <f>IF(T$3=0,"",SUMIFS(INDEX(Inputs!$D$4:$AG$100,0,MATCH(T$2,Inputs!$D$2:$AG$2,0)),Inputs!$B$4:$B$100,$B4)/1000)</f>
        <v>1450.045</v>
      </c>
      <c r="U4" s="11">
        <f>IF(U$3=0,"",SUMIFS(INDEX(Inputs!$D$4:$AG$100,0,MATCH(U$2,Inputs!$D$2:$AG$2,0)),Inputs!$B$4:$B$100,$B4)/1000)</f>
        <v>2046.511</v>
      </c>
      <c r="V4" s="11">
        <f>IF(V$3=0,"",SUMIFS(INDEX(Inputs!$D$4:$AG$100,0,MATCH(V$2,Inputs!$D$2:$AG$2,0)),Inputs!$B$4:$B$100,$B4)/1000)</f>
        <v>3165.864</v>
      </c>
      <c r="W4" s="12">
        <f>IF(COUNT(S4:V4)=4,SUM(S4:V4),"")</f>
        <v>8059.951</v>
      </c>
      <c r="X4" s="11">
        <f>IF(X$3=0,"",SUMIFS(INDEX(Inputs!$D$4:$AG$100,0,MATCH(X$2,Inputs!$D$2:$AG$2,0)),Inputs!$B$4:$B$100,$B4)/1000)</f>
        <v>2952.303</v>
      </c>
      <c r="Y4" s="11">
        <f>IF(Y$3=0,"",SUMIFS(INDEX(Inputs!$D$4:$AG$100,0,MATCH(Y$2,Inputs!$D$2:$AG$2,0)),Inputs!$B$4:$B$100,$B4)/1000)</f>
        <v>2885.529</v>
      </c>
      <c r="Z4" s="11">
        <f>IF(Z$3=0,"",SUMIFS(INDEX(Inputs!$D$4:$AG$100,0,MATCH(Z$2,Inputs!$D$2:$AG$2,0)),Inputs!$B$4:$B$100,$B4)/1000)</f>
        <v>3537.391</v>
      </c>
      <c r="AA4" s="11">
        <f>IF(AA$3=0,"",SUMIFS(INDEX(Inputs!$D$4:$AG$100,0,MATCH(AA$2,Inputs!$D$2:$AG$2,0)),Inputs!$B$4:$B$100,$B4)/1000)</f>
        <v>3801.729</v>
      </c>
      <c r="AB4" s="12">
        <f>IF(COUNT(X4:AA4)=4,SUM(X4:AA4),"")</f>
        <v>13176.952</v>
      </c>
      <c r="AC4" s="11">
        <f>IF(AC$3=0,"",SUMIFS(INDEX(Inputs!$D$4:$AG$100,0,MATCH(AC$2,Inputs!$D$2:$AG$2,0)),Inputs!$B$4:$B$100,$B4)/1000)</f>
        <v>3074.535</v>
      </c>
      <c r="AD4" s="11">
        <f>IF(AD$3=0,"",SUMIFS(INDEX(Inputs!$D$4:$AG$100,0,MATCH(AD$2,Inputs!$D$2:$AG$2,0)),Inputs!$B$4:$B$100,$B4)/1000)</f>
        <v>3055.499</v>
      </c>
      <c r="AE4" s="11" t="str">
        <f>IF(AE$3=0,"",SUMIFS(INDEX(Inputs!$D$4:$AG$100,0,MATCH(AE$2,Inputs!$D$2:$AG$2,0)),Inputs!$B$4:$B$100,$B4)/1000)</f>
        <v/>
      </c>
      <c r="AF4" s="11" t="str">
        <f>IF(AF$3=0,"",SUMIFS(INDEX(Inputs!$D$4:$AG$100,0,MATCH(AF$2,Inputs!$D$2:$AG$2,0)),Inputs!$B$4:$B$100,$B4)/1000)</f>
        <v/>
      </c>
      <c r="AG4" s="12" t="str">
        <f>IF(COUNT(AC4:AF4)=4,SUM(AC4:AF4),"")</f>
        <v/>
      </c>
    </row>
    <row r="5">
      <c r="B5" s="9" t="n">
        <v>2</v>
      </c>
      <c r="C5" s="13" t="inlineStr">
        <is>
          <t>COGS (cash)</t>
        </is>
      </c>
      <c r="D5" s="11">
        <f>IF(D$3=0,"",SUMIFS(INDEX(Inputs!$D$4:$AG$100,0,MATCH(D$2,Inputs!$D$2:$AG$2,0)),Inputs!$B$4:$B$100,$B5)/1000)</f>
        <v>-145.037</v>
      </c>
      <c r="E5" s="11">
        <f>IF(E$3=0,"",SUMIFS(INDEX(Inputs!$D$4:$AG$100,0,MATCH(E$2,Inputs!$D$2:$AG$2,0)),Inputs!$B$4:$B$100,$B5)/1000)</f>
        <v>-270.903</v>
      </c>
      <c r="F5" s="11">
        <f>IF(F$3=0,"",SUMIFS(INDEX(Inputs!$D$4:$AG$100,0,MATCH(F$2,Inputs!$D$2:$AG$2,0)),Inputs!$B$4:$B$100,$B5)/1000)</f>
        <v>334.446</v>
      </c>
      <c r="G5" s="11">
        <f>IF(G$3=0,"",SUMIFS(INDEX(Inputs!$D$4:$AG$100,0,MATCH(G$2,Inputs!$D$2:$AG$2,0)),Inputs!$B$4:$B$100,$B5)/1000)</f>
        <v>-442.928</v>
      </c>
      <c r="H5" s="12">
        <f>IF(COUNT(D5:G5)=4,SUM(D5:G5),"")</f>
        <v>-524.422</v>
      </c>
      <c r="I5" s="11">
        <f>IF(I$3=0,"",SUMIFS(INDEX(Inputs!$D$4:$AG$100,0,MATCH(I$2,Inputs!$D$2:$AG$2,0)),Inputs!$B$4:$B$100,$B5)/1000)</f>
        <v>-705.903</v>
      </c>
      <c r="J5" s="11">
        <f>IF(J$3=0,"",SUMIFS(INDEX(Inputs!$D$4:$AG$100,0,MATCH(J$2,Inputs!$D$2:$AG$2,0)),Inputs!$B$4:$B$100,$B5)/1000)</f>
        <v>-885.151</v>
      </c>
      <c r="K5" s="11">
        <f>IF(K$3=0,"",SUMIFS(INDEX(Inputs!$D$4:$AG$100,0,MATCH(K$2,Inputs!$D$2:$AG$2,0)),Inputs!$B$4:$B$100,$B5)/1000)</f>
        <v>-1072.724</v>
      </c>
      <c r="L5" s="11">
        <f>IF(L$3=0,"",SUMIFS(INDEX(Inputs!$D$4:$AG$100,0,MATCH(L$2,Inputs!$D$2:$AG$2,0)),Inputs!$B$4:$B$100,$B5)/1000)</f>
        <v>-1111.091</v>
      </c>
      <c r="M5" s="12">
        <f>IF(COUNT(I5:L5)=4,SUM(I5:L5),"")</f>
        <v>-3774.869</v>
      </c>
      <c r="N5" s="11">
        <f>IF(N$3=0,"",SUMIFS(INDEX(Inputs!$D$4:$AG$100,0,MATCH(N$2,Inputs!$D$2:$AG$2,0)),Inputs!$B$4:$B$100,$B5)/1000)</f>
        <v>-912.817</v>
      </c>
      <c r="O5" s="11">
        <f>IF(O$3=0,"",SUMIFS(INDEX(Inputs!$D$4:$AG$100,0,MATCH(O$2,Inputs!$D$2:$AG$2,0)),Inputs!$B$4:$B$100,$B5)/1000)</f>
        <v>-925.86</v>
      </c>
      <c r="P5" s="11">
        <f>IF(P$3=0,"",SUMIFS(INDEX(Inputs!$D$4:$AG$100,0,MATCH(P$2,Inputs!$D$2:$AG$2,0)),Inputs!$B$4:$B$100,$B5)/1000)</f>
        <v>-1129.51</v>
      </c>
      <c r="Q5" s="11">
        <f>IF(Q$3=0,"",SUMIFS(INDEX(Inputs!$D$4:$AG$100,0,MATCH(Q$2,Inputs!$D$2:$AG$2,0)),Inputs!$B$4:$B$100,$B5)/1000)</f>
        <v>-1203.484</v>
      </c>
      <c r="R5" s="12">
        <f>IF(COUNT(N5:Q5)=4,SUM(N5:Q5),"")</f>
        <v>-4171.671</v>
      </c>
      <c r="S5" s="11">
        <f>IF(S$3=0,"",SUMIFS(INDEX(Inputs!$D$4:$AG$100,0,MATCH(S$2,Inputs!$D$2:$AG$2,0)),Inputs!$B$4:$B$100,$B5)/1000)</f>
        <v>-940.124</v>
      </c>
      <c r="T5" s="11">
        <f>IF(T$3=0,"",SUMIFS(INDEX(Inputs!$D$4:$AG$100,0,MATCH(T$2,Inputs!$D$2:$AG$2,0)),Inputs!$B$4:$B$100,$B5)/1000)</f>
        <v>-953.328</v>
      </c>
      <c r="U5" s="11">
        <f>IF(U$3=0,"",SUMIFS(INDEX(Inputs!$D$4:$AG$100,0,MATCH(U$2,Inputs!$D$2:$AG$2,0)),Inputs!$B$4:$B$100,$B5)/1000)</f>
        <v>-1544.378</v>
      </c>
      <c r="V5" s="11">
        <f>IF(V$3=0,"",SUMIFS(INDEX(Inputs!$D$4:$AG$100,0,MATCH(V$2,Inputs!$D$2:$AG$2,0)),Inputs!$B$4:$B$100,$B5)/1000)</f>
        <v>-2479.928</v>
      </c>
      <c r="W5" s="12">
        <f>IF(COUNT(S5:V5)=4,SUM(S5:V5),"")</f>
        <v>-5917.758</v>
      </c>
      <c r="X5" s="11">
        <f>IF(X$3=0,"",SUMIFS(INDEX(Inputs!$D$4:$AG$100,0,MATCH(X$2,Inputs!$D$2:$AG$2,0)),Inputs!$B$4:$B$100,$B5)/1000)</f>
        <v>-1657.838</v>
      </c>
      <c r="Y5" s="11">
        <f>IF(Y$3=0,"",SUMIFS(INDEX(Inputs!$D$4:$AG$100,0,MATCH(Y$2,Inputs!$D$2:$AG$2,0)),Inputs!$B$4:$B$100,$B5)/1000)</f>
        <v>-1868.345</v>
      </c>
      <c r="Z5" s="11">
        <f>IF(Z$3=0,"",SUMIFS(INDEX(Inputs!$D$4:$AG$100,0,MATCH(Z$2,Inputs!$D$2:$AG$2,0)),Inputs!$B$4:$B$100,$B5)/1000)</f>
        <v>-2735.147</v>
      </c>
      <c r="AA5" s="11">
        <f>IF(AA$3=0,"",SUMIFS(INDEX(Inputs!$D$4:$AG$100,0,MATCH(AA$2,Inputs!$D$2:$AG$2,0)),Inputs!$B$4:$B$100,$B5)/1000)</f>
        <v>-2841.923</v>
      </c>
      <c r="AB5" s="12">
        <f>IF(COUNT(X5:AA5)=4,SUM(X5:AA5),"")</f>
        <v>-9103.253</v>
      </c>
      <c r="AC5" s="11">
        <f>IF(AC$3=0,"",SUMIFS(INDEX(Inputs!$D$4:$AG$100,0,MATCH(AC$2,Inputs!$D$2:$AG$2,0)),Inputs!$B$4:$B$100,$B5)/1000)</f>
        <v>-2120.25</v>
      </c>
      <c r="AD5" s="11">
        <f>IF(AD$3=0,"",SUMIFS(INDEX(Inputs!$D$4:$AG$100,0,MATCH(AD$2,Inputs!$D$2:$AG$2,0)),Inputs!$B$4:$B$100,$B5)/1000)</f>
        <v>-2137.818</v>
      </c>
      <c r="AE5" s="11" t="str">
        <f>IF(AE$3=0,"",SUMIFS(INDEX(Inputs!$D$4:$AG$100,0,MATCH(AE$2,Inputs!$D$2:$AG$2,0)),Inputs!$B$4:$B$100,$B5)/1000)</f>
        <v/>
      </c>
      <c r="AF5" s="11" t="str">
        <f>IF(AF$3=0,"",SUMIFS(INDEX(Inputs!$D$4:$AG$100,0,MATCH(AF$2,Inputs!$D$2:$AG$2,0)),Inputs!$B$4:$B$100,$B5)/1000)</f>
        <v/>
      </c>
      <c r="AG5" s="12" t="str">
        <f>IF(COUNT(AC5:AF5)=4,SUM(AC5:AF5),"")</f>
        <v/>
      </c>
    </row>
    <row r="6">
      <c r="B6" s="9" t="n">
        <v>3</v>
      </c>
      <c r="C6" s="13" t="inlineStr">
        <is>
          <t>SG&amp;A and Other (cash)</t>
        </is>
      </c>
      <c r="D6" s="11">
        <f>IF(D$3=0,"",SUMIFS(INDEX(Inputs!$D$4:$AG$100,0,MATCH(D$2,Inputs!$D$2:$AG$2,0)),Inputs!$B$4:$B$100,$B6)/1000)</f>
        <v>-37.007</v>
      </c>
      <c r="E6" s="11">
        <f>IF(E$3=0,"",SUMIFS(INDEX(Inputs!$D$4:$AG$100,0,MATCH(E$2,Inputs!$D$2:$AG$2,0)),Inputs!$B$4:$B$100,$B6)/1000)</f>
        <v>-72.009</v>
      </c>
      <c r="F6" s="11">
        <f>IF(F$3=0,"",SUMIFS(INDEX(Inputs!$D$4:$AG$100,0,MATCH(F$2,Inputs!$D$2:$AG$2,0)),Inputs!$B$4:$B$100,$B6)/1000)</f>
        <v>-98.542</v>
      </c>
      <c r="G6" s="11">
        <f>IF(G$3=0,"",SUMIFS(INDEX(Inputs!$D$4:$AG$100,0,MATCH(G$2,Inputs!$D$2:$AG$2,0)),Inputs!$B$4:$B$100,$B6)/1000)</f>
        <v>-5.338</v>
      </c>
      <c r="H6" s="12">
        <f>IF(COUNT(D6:G6)=4,SUM(D6:G6),"")</f>
        <v>-212.896</v>
      </c>
      <c r="I6" s="11">
        <f>IF(I$3=0,"",SUMIFS(INDEX(Inputs!$D$4:$AG$100,0,MATCH(I$2,Inputs!$D$2:$AG$2,0)),Inputs!$B$4:$B$100,$B6)/1000)</f>
        <v>-134.703</v>
      </c>
      <c r="J6" s="11">
        <f>IF(J$3=0,"",SUMIFS(INDEX(Inputs!$D$4:$AG$100,0,MATCH(J$2,Inputs!$D$2:$AG$2,0)),Inputs!$B$4:$B$100,$B6)/1000)</f>
        <v>-172.018</v>
      </c>
      <c r="K6" s="11">
        <f>IF(K$3=0,"",SUMIFS(INDEX(Inputs!$D$4:$AG$100,0,MATCH(K$2,Inputs!$D$2:$AG$2,0)),Inputs!$B$4:$B$100,$B6)/1000)</f>
        <v>37.062</v>
      </c>
      <c r="L6" s="11">
        <f>IF(L$3=0,"",SUMIFS(INDEX(Inputs!$D$4:$AG$100,0,MATCH(L$2,Inputs!$D$2:$AG$2,0)),Inputs!$B$4:$B$100,$B6)/1000)</f>
        <v>386.982</v>
      </c>
      <c r="M6" s="12">
        <f>IF(COUNT(I6:L6)=4,SUM(I6:L6),"")</f>
        <v>117.323</v>
      </c>
      <c r="N6" s="11">
        <f>IF(N$3=0,"",SUMIFS(INDEX(Inputs!$D$4:$AG$100,0,MATCH(N$2,Inputs!$D$2:$AG$2,0)),Inputs!$B$4:$B$100,$B6)/1000)</f>
        <v>-49.811</v>
      </c>
      <c r="O6" s="11">
        <f>IF(O$3=0,"",SUMIFS(INDEX(Inputs!$D$4:$AG$100,0,MATCH(O$2,Inputs!$D$2:$AG$2,0)),Inputs!$B$4:$B$100,$B6)/1000)</f>
        <v>-53.318</v>
      </c>
      <c r="P6" s="11">
        <f>IF(P$3=0,"",SUMIFS(INDEX(Inputs!$D$4:$AG$100,0,MATCH(P$2,Inputs!$D$2:$AG$2,0)),Inputs!$B$4:$B$100,$B6)/1000)</f>
        <v>-147</v>
      </c>
      <c r="Q6" s="11">
        <f>IF(Q$3=0,"",SUMIFS(INDEX(Inputs!$D$4:$AG$100,0,MATCH(Q$2,Inputs!$D$2:$AG$2,0)),Inputs!$B$4:$B$100,$B6)/1000)</f>
        <v>-82.213</v>
      </c>
      <c r="R6" s="12">
        <f>IF(COUNT(N6:Q6)=4,SUM(N6:Q6),"")</f>
        <v>-332.342</v>
      </c>
      <c r="S6" s="11">
        <f>IF(S$3=0,"",SUMIFS(INDEX(Inputs!$D$4:$AG$100,0,MATCH(S$2,Inputs!$D$2:$AG$2,0)),Inputs!$B$4:$B$100,$B6)/1000)</f>
        <v>142.237</v>
      </c>
      <c r="T6" s="11">
        <f>IF(T$3=0,"",SUMIFS(INDEX(Inputs!$D$4:$AG$100,0,MATCH(T$2,Inputs!$D$2:$AG$2,0)),Inputs!$B$4:$B$100,$B6)/1000)</f>
        <v>-98.647</v>
      </c>
      <c r="U6" s="11">
        <f>IF(U$3=0,"",SUMIFS(INDEX(Inputs!$D$4:$AG$100,0,MATCH(U$2,Inputs!$D$2:$AG$2,0)),Inputs!$B$4:$B$100,$B6)/1000)</f>
        <v>131.446</v>
      </c>
      <c r="V6" s="11">
        <f>IF(V$3=0,"",SUMIFS(INDEX(Inputs!$D$4:$AG$100,0,MATCH(V$2,Inputs!$D$2:$AG$2,0)),Inputs!$B$4:$B$100,$B6)/1000)</f>
        <v>-476.758</v>
      </c>
      <c r="W6" s="12">
        <f>IF(COUNT(S6:V6)=4,SUM(S6:V6),"")</f>
        <v>-301.722</v>
      </c>
      <c r="X6" s="11">
        <f>IF(X$3=0,"",SUMIFS(INDEX(Inputs!$D$4:$AG$100,0,MATCH(X$2,Inputs!$D$2:$AG$2,0)),Inputs!$B$4:$B$100,$B6)/1000)</f>
        <v>83.043</v>
      </c>
      <c r="Y6" s="11">
        <f>IF(Y$3=0,"",SUMIFS(INDEX(Inputs!$D$4:$AG$100,0,MATCH(Y$2,Inputs!$D$2:$AG$2,0)),Inputs!$B$4:$B$100,$B6)/1000)</f>
        <v>-500.171</v>
      </c>
      <c r="Z6" s="11">
        <f>IF(Z$3=0,"",SUMIFS(INDEX(Inputs!$D$4:$AG$100,0,MATCH(Z$2,Inputs!$D$2:$AG$2,0)),Inputs!$B$4:$B$100,$B6)/1000)</f>
        <v>-137.92</v>
      </c>
      <c r="AA6" s="11">
        <f>IF(AA$3=0,"",SUMIFS(INDEX(Inputs!$D$4:$AG$100,0,MATCH(AA$2,Inputs!$D$2:$AG$2,0)),Inputs!$B$4:$B$100,$B6)/1000)</f>
        <v>515.089</v>
      </c>
      <c r="AB6" s="12">
        <f>IF(COUNT(X6:AA6)=4,SUM(X6:AA6),"")</f>
        <v>-39.9589999999999</v>
      </c>
      <c r="AC6" s="11">
        <f>IF(AC$3=0,"",SUMIFS(INDEX(Inputs!$D$4:$AG$100,0,MATCH(AC$2,Inputs!$D$2:$AG$2,0)),Inputs!$B$4:$B$100,$B6)/1000)</f>
        <v>-654.169</v>
      </c>
      <c r="AD6" s="11">
        <f>IF(AD$3=0,"",SUMIFS(INDEX(Inputs!$D$4:$AG$100,0,MATCH(AD$2,Inputs!$D$2:$AG$2,0)),Inputs!$B$4:$B$100,$B6)/1000)</f>
        <v>-106.914</v>
      </c>
      <c r="AE6" s="11" t="str">
        <f>IF(AE$3=0,"",SUMIFS(INDEX(Inputs!$D$4:$AG$100,0,MATCH(AE$2,Inputs!$D$2:$AG$2,0)),Inputs!$B$4:$B$100,$B6)/1000)</f>
        <v/>
      </c>
      <c r="AF6" s="11" t="str">
        <f>IF(AF$3=0,"",SUMIFS(INDEX(Inputs!$D$4:$AG$100,0,MATCH(AF$2,Inputs!$D$2:$AG$2,0)),Inputs!$B$4:$B$100,$B6)/1000)</f>
        <v/>
      </c>
      <c r="AG6" s="12" t="str">
        <f>IF(COUNT(AC6:AF6)=4,SUM(AC6:AF6),"")</f>
        <v/>
      </c>
    </row>
    <row r="7">
      <c r="B7" s="9" t="n">
        <v>4</v>
      </c>
      <c r="C7" s="13" t="inlineStr">
        <is>
          <t>D&amp;A</t>
        </is>
      </c>
      <c r="D7" s="11">
        <f>IF(D$3=0,"",SUMIFS(INDEX(Inputs!$D$4:$AG$100,0,MATCH(D$2,Inputs!$D$2:$AG$2,0)),Inputs!$B$4:$B$100,$B7)/1000)</f>
        <v>-132.593</v>
      </c>
      <c r="E7" s="11">
        <f>IF(E$3=0,"",SUMIFS(INDEX(Inputs!$D$4:$AG$100,0,MATCH(E$2,Inputs!$D$2:$AG$2,0)),Inputs!$B$4:$B$100,$B7)/1000)</f>
        <v>-131.573</v>
      </c>
      <c r="F7" s="11">
        <f>IF(F$3=0,"",SUMIFS(INDEX(Inputs!$D$4:$AG$100,0,MATCH(F$2,Inputs!$D$2:$AG$2,0)),Inputs!$B$4:$B$100,$B7)/1000)</f>
        <v>-145.397</v>
      </c>
      <c r="G7" s="11">
        <f>IF(G$3=0,"",SUMIFS(INDEX(Inputs!$D$4:$AG$100,0,MATCH(G$2,Inputs!$D$2:$AG$2,0)),Inputs!$B$4:$B$100,$B7)/1000)</f>
        <v>-149.432</v>
      </c>
      <c r="H7" s="12">
        <f>IF(COUNT(D7:G7)=4,SUM(D7:G7),"")</f>
        <v>-558.995</v>
      </c>
      <c r="I7" s="11">
        <f>IF(I$3=0,"",SUMIFS(INDEX(Inputs!$D$4:$AG$100,0,MATCH(I$2,Inputs!$D$2:$AG$2,0)),Inputs!$B$4:$B$100,$B7)/1000)</f>
        <v>-157.304</v>
      </c>
      <c r="J7" s="11">
        <f>IF(J$3=0,"",SUMIFS(INDEX(Inputs!$D$4:$AG$100,0,MATCH(J$2,Inputs!$D$2:$AG$2,0)),Inputs!$B$4:$B$100,$B7)/1000)</f>
        <v>-161.19</v>
      </c>
      <c r="K7" s="11">
        <f>IF(K$3=0,"",SUMIFS(INDEX(Inputs!$D$4:$AG$100,0,MATCH(K$2,Inputs!$D$2:$AG$2,0)),Inputs!$B$4:$B$100,$B7)/1000)</f>
        <v>-161.353</v>
      </c>
      <c r="L7" s="11">
        <f>IF(L$3=0,"",SUMIFS(INDEX(Inputs!$D$4:$AG$100,0,MATCH(L$2,Inputs!$D$2:$AG$2,0)),Inputs!$B$4:$B$100,$B7)/1000)</f>
        <v>-117.907</v>
      </c>
      <c r="M7" s="12">
        <f>IF(COUNT(I7:L7)=4,SUM(I7:L7),"")</f>
        <v>-597.754</v>
      </c>
      <c r="N7" s="11">
        <f>IF(N$3=0,"",SUMIFS(INDEX(Inputs!$D$4:$AG$100,0,MATCH(N$2,Inputs!$D$2:$AG$2,0)),Inputs!$B$4:$B$100,$B7)/1000)</f>
        <v>-168.327</v>
      </c>
      <c r="O7" s="11">
        <f>IF(O$3=0,"",SUMIFS(INDEX(Inputs!$D$4:$AG$100,0,MATCH(O$2,Inputs!$D$2:$AG$2,0)),Inputs!$B$4:$B$100,$B7)/1000)</f>
        <v>-169.666</v>
      </c>
      <c r="P7" s="11">
        <f>IF(P$3=0,"",SUMIFS(INDEX(Inputs!$D$4:$AG$100,0,MATCH(P$2,Inputs!$D$2:$AG$2,0)),Inputs!$B$4:$B$100,$B7)/1000)</f>
        <v>-169.643</v>
      </c>
      <c r="Q7" s="11">
        <f>IF(Q$3=0,"",SUMIFS(INDEX(Inputs!$D$4:$AG$100,0,MATCH(Q$2,Inputs!$D$2:$AG$2,0)),Inputs!$B$4:$B$100,$B7)/1000)</f>
        <v>-169.639</v>
      </c>
      <c r="R7" s="12">
        <f>IF(COUNT(N7:Q7)=4,SUM(N7:Q7),"")</f>
        <v>-677.275</v>
      </c>
      <c r="S7" s="11">
        <f>IF(S$3=0,"",SUMIFS(INDEX(Inputs!$D$4:$AG$100,0,MATCH(S$2,Inputs!$D$2:$AG$2,0)),Inputs!$B$4:$B$100,$B7)/1000)</f>
        <v>-166.381</v>
      </c>
      <c r="T7" s="11">
        <f>IF(T$3=0,"",SUMIFS(INDEX(Inputs!$D$4:$AG$100,0,MATCH(T$2,Inputs!$D$2:$AG$2,0)),Inputs!$B$4:$B$100,$B7)/1000)</f>
        <v>-175.177</v>
      </c>
      <c r="U7" s="11">
        <f>IF(U$3=0,"",SUMIFS(INDEX(Inputs!$D$4:$AG$100,0,MATCH(U$2,Inputs!$D$2:$AG$2,0)),Inputs!$B$4:$B$100,$B7)/1000)</f>
        <v>-182.611</v>
      </c>
      <c r="V7" s="11">
        <f>IF(V$3=0,"",SUMIFS(INDEX(Inputs!$D$4:$AG$100,0,MATCH(V$2,Inputs!$D$2:$AG$2,0)),Inputs!$B$4:$B$100,$B7)/1000)</f>
        <v>-189.021</v>
      </c>
      <c r="W7" s="12">
        <f>IF(COUNT(S7:V7)=4,SUM(S7:V7),"")</f>
        <v>-713.19</v>
      </c>
      <c r="X7" s="11">
        <f>IF(X$3=0,"",SUMIFS(INDEX(Inputs!$D$4:$AG$100,0,MATCH(X$2,Inputs!$D$2:$AG$2,0)),Inputs!$B$4:$B$100,$B7)/1000)</f>
        <v>-458.196</v>
      </c>
      <c r="Y7" s="11">
        <f>IF(Y$3=0,"",SUMIFS(INDEX(Inputs!$D$4:$AG$100,0,MATCH(Y$2,Inputs!$D$2:$AG$2,0)),Inputs!$B$4:$B$100,$B7)/1000)</f>
        <v>-521.747</v>
      </c>
      <c r="Z7" s="11">
        <f>IF(Z$3=0,"",SUMIFS(INDEX(Inputs!$D$4:$AG$100,0,MATCH(Z$2,Inputs!$D$2:$AG$2,0)),Inputs!$B$4:$B$100,$B7)/1000)</f>
        <v>-465.553</v>
      </c>
      <c r="AA7" s="11">
        <f>IF(AA$3=0,"",SUMIFS(INDEX(Inputs!$D$4:$AG$100,0,MATCH(AA$2,Inputs!$D$2:$AG$2,0)),Inputs!$B$4:$B$100,$B7)/1000)</f>
        <v>-477.467</v>
      </c>
      <c r="AB7" s="12">
        <f>IF(COUNT(X7:AA7)=4,SUM(X7:AA7),"")</f>
        <v>-1922.963</v>
      </c>
      <c r="AC7" s="11">
        <f>IF(AC$3=0,"",SUMIFS(INDEX(Inputs!$D$4:$AG$100,0,MATCH(AC$2,Inputs!$D$2:$AG$2,0)),Inputs!$B$4:$B$100,$B7)/1000)</f>
        <v>-466.831</v>
      </c>
      <c r="AD7" s="11">
        <f>IF(AD$3=0,"",SUMIFS(INDEX(Inputs!$D$4:$AG$100,0,MATCH(AD$2,Inputs!$D$2:$AG$2,0)),Inputs!$B$4:$B$100,$B7)/1000)</f>
        <v>-465.443</v>
      </c>
      <c r="AE7" s="11" t="str">
        <f>IF(AE$3=0,"",SUMIFS(INDEX(Inputs!$D$4:$AG$100,0,MATCH(AE$2,Inputs!$D$2:$AG$2,0)),Inputs!$B$4:$B$100,$B7)/1000)</f>
        <v/>
      </c>
      <c r="AF7" s="11" t="str">
        <f>IF(AF$3=0,"",SUMIFS(INDEX(Inputs!$D$4:$AG$100,0,MATCH(AF$2,Inputs!$D$2:$AG$2,0)),Inputs!$B$4:$B$100,$B7)/1000)</f>
        <v/>
      </c>
      <c r="AG7" s="12" t="str">
        <f>IF(COUNT(AC7:AF7)=4,SUM(AC7:AF7),"")</f>
        <v/>
      </c>
    </row>
    <row r="8">
      <c r="B8" s="9" t="n">
        <v>5</v>
      </c>
      <c r="C8" s="14" t="inlineStr">
        <is>
          <t>Interest Expense</t>
        </is>
      </c>
      <c r="D8" s="11">
        <f>IF(D$3=0,"",SUMIFS(INDEX(Inputs!$D$4:$AG$100,0,MATCH(D$2,Inputs!$D$2:$AG$2,0)),Inputs!$B$4:$B$100,$B8)/1000)</f>
        <v>-164.756</v>
      </c>
      <c r="E8" s="11">
        <f>IF(E$3=0,"",SUMIFS(INDEX(Inputs!$D$4:$AG$100,0,MATCH(E$2,Inputs!$D$2:$AG$2,0)),Inputs!$B$4:$B$100,$B8)/1000)</f>
        <v>-211.669</v>
      </c>
      <c r="F8" s="11">
        <f>IF(F$3=0,"",SUMIFS(INDEX(Inputs!$D$4:$AG$100,0,MATCH(F$2,Inputs!$D$2:$AG$2,0)),Inputs!$B$4:$B$100,$B8)/1000)</f>
        <v>-193.237</v>
      </c>
      <c r="G8" s="11">
        <f>IF(G$3=0,"",SUMIFS(INDEX(Inputs!$D$4:$AG$100,0,MATCH(G$2,Inputs!$D$2:$AG$2,0)),Inputs!$B$4:$B$100,$B8)/1000)</f>
        <v>-238.999</v>
      </c>
      <c r="H8" s="12">
        <f>IF(COUNT(D8:G8)=4,SUM(D8:G8),"")</f>
        <v>-808.661</v>
      </c>
      <c r="I8" s="11">
        <f>IF(I$3=0,"",SUMIFS(INDEX(Inputs!$D$4:$AG$100,0,MATCH(I$2,Inputs!$D$2:$AG$2,0)),Inputs!$B$4:$B$100,$B8)/1000)</f>
        <v>-250.51</v>
      </c>
      <c r="J8" s="11">
        <f>IF(J$3=0,"",SUMIFS(INDEX(Inputs!$D$4:$AG$100,0,MATCH(J$2,Inputs!$D$2:$AG$2,0)),Inputs!$B$4:$B$100,$B8)/1000)</f>
        <v>-291.34</v>
      </c>
      <c r="K8" s="11">
        <f>IF(K$3=0,"",SUMIFS(INDEX(Inputs!$D$4:$AG$100,0,MATCH(K$2,Inputs!$D$2:$AG$2,0)),Inputs!$B$4:$B$100,$B8)/1000)</f>
        <v>-165.812</v>
      </c>
      <c r="L8" s="11">
        <f>IF(L$3=0,"",SUMIFS(INDEX(Inputs!$D$4:$AG$100,0,MATCH(L$2,Inputs!$D$2:$AG$2,0)),Inputs!$B$4:$B$100,$B8)/1000)</f>
        <v>-468.975</v>
      </c>
      <c r="M8" s="12">
        <f>IF(COUNT(I8:L8)=4,SUM(I8:L8),"")</f>
        <v>-1176.637</v>
      </c>
      <c r="N8" s="11">
        <f>IF(N$3=0,"",SUMIFS(INDEX(Inputs!$D$4:$AG$100,0,MATCH(N$2,Inputs!$D$2:$AG$2,0)),Inputs!$B$4:$B$100,$B8)/1000)</f>
        <v>-272.035</v>
      </c>
      <c r="O8" s="11">
        <f>IF(O$3=0,"",SUMIFS(INDEX(Inputs!$D$4:$AG$100,0,MATCH(O$2,Inputs!$D$2:$AG$2,0)),Inputs!$B$4:$B$100,$B8)/1000)</f>
        <v>-497.689</v>
      </c>
      <c r="P8" s="11">
        <f>IF(P$3=0,"",SUMIFS(INDEX(Inputs!$D$4:$AG$100,0,MATCH(P$2,Inputs!$D$2:$AG$2,0)),Inputs!$B$4:$B$100,$B8)/1000)</f>
        <v>-194.621</v>
      </c>
      <c r="Q8" s="11">
        <f>IF(Q$3=0,"",SUMIFS(INDEX(Inputs!$D$4:$AG$100,0,MATCH(Q$2,Inputs!$D$2:$AG$2,0)),Inputs!$B$4:$B$100,$B8)/1000)</f>
        <v>-215.024</v>
      </c>
      <c r="R8" s="12">
        <f>IF(COUNT(N8:Q8)=4,SUM(N8:Q8),"")</f>
        <v>-1179.369</v>
      </c>
      <c r="S8" s="11">
        <f>IF(S$3=0,"",SUMIFS(INDEX(Inputs!$D$4:$AG$100,0,MATCH(S$2,Inputs!$D$2:$AG$2,0)),Inputs!$B$4:$B$100,$B8)/1000)</f>
        <v>-258.839</v>
      </c>
      <c r="T8" s="11">
        <f>IF(T$3=0,"",SUMIFS(INDEX(Inputs!$D$4:$AG$100,0,MATCH(T$2,Inputs!$D$2:$AG$2,0)),Inputs!$B$4:$B$100,$B8)/1000)</f>
        <v>-255.757</v>
      </c>
      <c r="U8" s="11">
        <f>IF(U$3=0,"",SUMIFS(INDEX(Inputs!$D$4:$AG$100,0,MATCH(U$2,Inputs!$D$2:$AG$2,0)),Inputs!$B$4:$B$100,$B8)/1000)</f>
        <v>-243.887</v>
      </c>
      <c r="V8" s="11">
        <f>IF(V$3=0,"",SUMIFS(INDEX(Inputs!$D$4:$AG$100,0,MATCH(V$2,Inputs!$D$2:$AG$2,0)),Inputs!$B$4:$B$100,$B8)/1000)</f>
        <v>-717.696</v>
      </c>
      <c r="W8" s="12">
        <f>IF(COUNT(S8:V8)=4,SUM(S8:V8),"")</f>
        <v>-1476.179</v>
      </c>
      <c r="X8" s="11">
        <f>IF(X$3=0,"",SUMIFS(INDEX(Inputs!$D$4:$AG$100,0,MATCH(X$2,Inputs!$D$2:$AG$2,0)),Inputs!$B$4:$B$100,$B8)/1000)</f>
        <v>-1008.815</v>
      </c>
      <c r="Y8" s="11">
        <f>IF(Y$3=0,"",SUMIFS(INDEX(Inputs!$D$4:$AG$100,0,MATCH(Y$2,Inputs!$D$2:$AG$2,0)),Inputs!$B$4:$B$100,$B8)/1000)</f>
        <v>-879.279</v>
      </c>
      <c r="Z8" s="11">
        <f>IF(Z$3=0,"",SUMIFS(INDEX(Inputs!$D$4:$AG$100,0,MATCH(Z$2,Inputs!$D$2:$AG$2,0)),Inputs!$B$4:$B$100,$B8)/1000)</f>
        <v>-869.78</v>
      </c>
      <c r="AA8" s="11">
        <f>IF(AA$3=0,"",SUMIFS(INDEX(Inputs!$D$4:$AG$100,0,MATCH(AA$2,Inputs!$D$2:$AG$2,0)),Inputs!$B$4:$B$100,$B8)/1000)</f>
        <v>-783.788</v>
      </c>
      <c r="AB8" s="12">
        <f>IF(COUNT(X8:AA8)=4,SUM(X8:AA8),"")</f>
        <v>-3541.662</v>
      </c>
      <c r="AC8" s="11">
        <f>IF(AC$3=0,"",SUMIFS(INDEX(Inputs!$D$4:$AG$100,0,MATCH(AC$2,Inputs!$D$2:$AG$2,0)),Inputs!$B$4:$B$100,$B8)/1000)</f>
        <v>-867.481</v>
      </c>
      <c r="AD8" s="11">
        <f>IF(AD$3=0,"",SUMIFS(INDEX(Inputs!$D$4:$AG$100,0,MATCH(AD$2,Inputs!$D$2:$AG$2,0)),Inputs!$B$4:$B$100,$B8)/1000)</f>
        <v>-1018.168</v>
      </c>
      <c r="AE8" s="11" t="str">
        <f>IF(AE$3=0,"",SUMIFS(INDEX(Inputs!$D$4:$AG$100,0,MATCH(AE$2,Inputs!$D$2:$AG$2,0)),Inputs!$B$4:$B$100,$B8)/1000)</f>
        <v/>
      </c>
      <c r="AF8" s="11" t="str">
        <f>IF(AF$3=0,"",SUMIFS(INDEX(Inputs!$D$4:$AG$100,0,MATCH(AF$2,Inputs!$D$2:$AG$2,0)),Inputs!$B$4:$B$100,$B8)/1000)</f>
        <v/>
      </c>
      <c r="AG8" s="12" t="str">
        <f>IF(COUNT(AC8:AF8)=4,SUM(AC8:AF8),"")</f>
        <v/>
      </c>
    </row>
    <row r="9">
      <c r="B9" s="9" t="n">
        <v>6</v>
      </c>
      <c r="C9" s="14" t="inlineStr">
        <is>
          <t>Nonoperating Income / (Loss)</t>
        </is>
      </c>
      <c r="D9" s="11">
        <f>IF(D$3=0,"",SUMIFS(INDEX(Inputs!$D$4:$AG$100,0,MATCH(D$2,Inputs!$D$2:$AG$2,0)),Inputs!$B$4:$B$100,$B9)/1000)</f>
        <v>13.753</v>
      </c>
      <c r="E9" s="11">
        <f>IF(E$3=0,"",SUMIFS(INDEX(Inputs!$D$4:$AG$100,0,MATCH(E$2,Inputs!$D$2:$AG$2,0)),Inputs!$B$4:$B$100,$B9)/1000)</f>
        <v>11.716</v>
      </c>
      <c r="F9" s="11">
        <f>IF(F$3=0,"",SUMIFS(INDEX(Inputs!$D$4:$AG$100,0,MATCH(F$2,Inputs!$D$2:$AG$2,0)),Inputs!$B$4:$B$100,$B9)/1000)</f>
        <v>41.663</v>
      </c>
      <c r="G9" s="11">
        <f>IF(G$3=0,"",SUMIFS(INDEX(Inputs!$D$4:$AG$100,0,MATCH(G$2,Inputs!$D$2:$AG$2,0)),Inputs!$B$4:$B$100,$B9)/1000)</f>
        <v>33.412</v>
      </c>
      <c r="H9" s="12">
        <f>IF(COUNT(D9:G9)=4,SUM(D9:G9),"")</f>
        <v>100.544</v>
      </c>
      <c r="I9" s="11">
        <f>IF(I$3=0,"",SUMIFS(INDEX(Inputs!$D$4:$AG$100,0,MATCH(I$2,Inputs!$D$2:$AG$2,0)),Inputs!$B$4:$B$100,$B9)/1000)</f>
        <v>86.074</v>
      </c>
      <c r="J9" s="11">
        <f>IF(J$3=0,"",SUMIFS(INDEX(Inputs!$D$4:$AG$100,0,MATCH(J$2,Inputs!$D$2:$AG$2,0)),Inputs!$B$4:$B$100,$B9)/1000)</f>
        <v>103.888</v>
      </c>
      <c r="K9" s="11">
        <f>IF(K$3=0,"",SUMIFS(INDEX(Inputs!$D$4:$AG$100,0,MATCH(K$2,Inputs!$D$2:$AG$2,0)),Inputs!$B$4:$B$100,$B9)/1000)</f>
        <v>112.759</v>
      </c>
      <c r="L9" s="11">
        <f>IF(L$3=0,"",SUMIFS(INDEX(Inputs!$D$4:$AG$100,0,MATCH(L$2,Inputs!$D$2:$AG$2,0)),Inputs!$B$4:$B$100,$B9)/1000)</f>
        <v>2536.191</v>
      </c>
      <c r="M9" s="12">
        <f>IF(COUNT(I9:L9)=4,SUM(I9:L9),"")</f>
        <v>2838.912</v>
      </c>
      <c r="N9" s="11">
        <f>IF(N$3=0,"",SUMIFS(INDEX(Inputs!$D$4:$AG$100,0,MATCH(N$2,Inputs!$D$2:$AG$2,0)),Inputs!$B$4:$B$100,$B9)/1000)</f>
        <v>254.848</v>
      </c>
      <c r="O9" s="11">
        <f>IF(O$3=0,"",SUMIFS(INDEX(Inputs!$D$4:$AG$100,0,MATCH(O$2,Inputs!$D$2:$AG$2,0)),Inputs!$B$4:$B$100,$B9)/1000)</f>
        <v>473.238</v>
      </c>
      <c r="P9" s="11">
        <f>IF(P$3=0,"",SUMIFS(INDEX(Inputs!$D$4:$AG$100,0,MATCH(P$2,Inputs!$D$2:$AG$2,0)),Inputs!$B$4:$B$100,$B9)/1000)</f>
        <v>74.493</v>
      </c>
      <c r="Q9" s="11">
        <f>IF(Q$3=0,"",SUMIFS(INDEX(Inputs!$D$4:$AG$100,0,MATCH(Q$2,Inputs!$D$2:$AG$2,0)),Inputs!$B$4:$B$100,$B9)/1000)</f>
        <v>138.783</v>
      </c>
      <c r="R9" s="12">
        <f>IF(COUNT(N9:Q9)=4,SUM(N9:Q9),"")</f>
        <v>941.362</v>
      </c>
      <c r="S9" s="11">
        <f>IF(S$3=0,"",SUMIFS(INDEX(Inputs!$D$4:$AG$100,0,MATCH(S$2,Inputs!$D$2:$AG$2,0)),Inputs!$B$4:$B$100,$B9)/1000)</f>
        <v>149.86</v>
      </c>
      <c r="T9" s="11">
        <f>IF(T$3=0,"",SUMIFS(INDEX(Inputs!$D$4:$AG$100,0,MATCH(T$2,Inputs!$D$2:$AG$2,0)),Inputs!$B$4:$B$100,$B9)/1000)</f>
        <v>119.705</v>
      </c>
      <c r="U9" s="11">
        <f>IF(U$3=0,"",SUMIFS(INDEX(Inputs!$D$4:$AG$100,0,MATCH(U$2,Inputs!$D$2:$AG$2,0)),Inputs!$B$4:$B$100,$B9)/1000)</f>
        <v>141.262</v>
      </c>
      <c r="V9" s="11">
        <f>IF(V$3=0,"",SUMIFS(INDEX(Inputs!$D$4:$AG$100,0,MATCH(V$2,Inputs!$D$2:$AG$2,0)),Inputs!$B$4:$B$100,$B9)/1000)</f>
        <v>304.06</v>
      </c>
      <c r="W9" s="12">
        <f>IF(COUNT(S9:V9)=4,SUM(S9:V9),"")</f>
        <v>714.887</v>
      </c>
      <c r="X9" s="11">
        <f>IF(X$3=0,"",SUMIFS(INDEX(Inputs!$D$4:$AG$100,0,MATCH(X$2,Inputs!$D$2:$AG$2,0)),Inputs!$B$4:$B$100,$B9)/1000)</f>
        <v>276.738</v>
      </c>
      <c r="Y9" s="11">
        <f>IF(Y$3=0,"",SUMIFS(INDEX(Inputs!$D$4:$AG$100,0,MATCH(Y$2,Inputs!$D$2:$AG$2,0)),Inputs!$B$4:$B$100,$B9)/1000)</f>
        <v>234.752</v>
      </c>
      <c r="Z9" s="11">
        <f>IF(Z$3=0,"",SUMIFS(INDEX(Inputs!$D$4:$AG$100,0,MATCH(Z$2,Inputs!$D$2:$AG$2,0)),Inputs!$B$4:$B$100,$B9)/1000)</f>
        <v>244.49</v>
      </c>
      <c r="AA9" s="11">
        <f>IF(AA$3=0,"",SUMIFS(INDEX(Inputs!$D$4:$AG$100,0,MATCH(AA$2,Inputs!$D$2:$AG$2,0)),Inputs!$B$4:$B$100,$B9)/1000)</f>
        <v>351.744</v>
      </c>
      <c r="AB9" s="12">
        <f>IF(COUNT(X9:AA9)=4,SUM(X9:AA9),"")</f>
        <v>1107.724</v>
      </c>
      <c r="AC9" s="11">
        <f>IF(AC$3=0,"",SUMIFS(INDEX(Inputs!$D$4:$AG$100,0,MATCH(AC$2,Inputs!$D$2:$AG$2,0)),Inputs!$B$4:$B$100,$B9)/1000)</f>
        <v>277.65</v>
      </c>
      <c r="AD9" s="11">
        <f>IF(AD$3=0,"",SUMIFS(INDEX(Inputs!$D$4:$AG$100,0,MATCH(AD$2,Inputs!$D$2:$AG$2,0)),Inputs!$B$4:$B$100,$B9)/1000)</f>
        <v>286.022</v>
      </c>
      <c r="AE9" s="11" t="str">
        <f>IF(AE$3=0,"",SUMIFS(INDEX(Inputs!$D$4:$AG$100,0,MATCH(AE$2,Inputs!$D$2:$AG$2,0)),Inputs!$B$4:$B$100,$B9)/1000)</f>
        <v/>
      </c>
      <c r="AF9" s="11" t="str">
        <f>IF(AF$3=0,"",SUMIFS(INDEX(Inputs!$D$4:$AG$100,0,MATCH(AF$2,Inputs!$D$2:$AG$2,0)),Inputs!$B$4:$B$100,$B9)/1000)</f>
        <v/>
      </c>
      <c r="AG9" s="12" t="str">
        <f>IF(COUNT(AC9:AF9)=4,SUM(AC9:AF9),"")</f>
        <v/>
      </c>
    </row>
    <row r="10">
      <c r="B10" s="9" t="n">
        <v>7</v>
      </c>
      <c r="C10" s="14" t="inlineStr">
        <is>
          <t>Taxes</t>
        </is>
      </c>
      <c r="D10" s="11">
        <f>IF(D$3=0,"",SUMIFS(INDEX(Inputs!$D$4:$AG$100,0,MATCH(D$2,Inputs!$D$2:$AG$2,0)),Inputs!$B$4:$B$100,$B10)/1000)</f>
        <v>-46.947</v>
      </c>
      <c r="E10" s="11">
        <f>IF(E$3=0,"",SUMIFS(INDEX(Inputs!$D$4:$AG$100,0,MATCH(E$2,Inputs!$D$2:$AG$2,0)),Inputs!$B$4:$B$100,$B10)/1000)</f>
        <v>7.108</v>
      </c>
      <c r="F10" s="11">
        <f>IF(F$3=0,"",SUMIFS(INDEX(Inputs!$D$4:$AG$100,0,MATCH(F$2,Inputs!$D$2:$AG$2,0)),Inputs!$B$4:$B$100,$B10)/1000)</f>
        <v>-238.601</v>
      </c>
      <c r="G10" s="11">
        <f>IF(G$3=0,"",SUMIFS(INDEX(Inputs!$D$4:$AG$100,0,MATCH(G$2,Inputs!$D$2:$AG$2,0)),Inputs!$B$4:$B$100,$B10)/1000)</f>
        <v>16.235</v>
      </c>
      <c r="H10" s="12">
        <f>IF(COUNT(D10:G10)=4,SUM(D10:G10),"")</f>
        <v>-262.205</v>
      </c>
      <c r="I10" s="11">
        <f>IF(I$3=0,"",SUMIFS(INDEX(Inputs!$D$4:$AG$100,0,MATCH(I$2,Inputs!$D$2:$AG$2,0)),Inputs!$B$4:$B$100,$B10)/1000)</f>
        <v>-14.548</v>
      </c>
      <c r="J10" s="11">
        <f>IF(J$3=0,"",SUMIFS(INDEX(Inputs!$D$4:$AG$100,0,MATCH(J$2,Inputs!$D$2:$AG$2,0)),Inputs!$B$4:$B$100,$B10)/1000)</f>
        <v>2.189</v>
      </c>
      <c r="K10" s="11">
        <f>IF(K$3=0,"",SUMIFS(INDEX(Inputs!$D$4:$AG$100,0,MATCH(K$2,Inputs!$D$2:$AG$2,0)),Inputs!$B$4:$B$100,$B10)/1000)</f>
        <v>-111.046</v>
      </c>
      <c r="L10" s="11">
        <f>IF(L$3=0,"",SUMIFS(INDEX(Inputs!$D$4:$AG$100,0,MATCH(L$2,Inputs!$D$2:$AG$2,0)),Inputs!$B$4:$B$100,$B10)/1000)</f>
        <v>-251.321</v>
      </c>
      <c r="M10" s="12">
        <f>IF(COUNT(I10:L10)=4,SUM(I10:L10),"")</f>
        <v>-374.726</v>
      </c>
      <c r="N10" s="11">
        <f>IF(N$3=0,"",SUMIFS(INDEX(Inputs!$D$4:$AG$100,0,MATCH(N$2,Inputs!$D$2:$AG$2,0)),Inputs!$B$4:$B$100,$B10)/1000)</f>
        <v>-66.645</v>
      </c>
      <c r="O10" s="11">
        <f>IF(O$3=0,"",SUMIFS(INDEX(Inputs!$D$4:$AG$100,0,MATCH(O$2,Inputs!$D$2:$AG$2,0)),Inputs!$B$4:$B$100,$B10)/1000)</f>
        <v>-69.024</v>
      </c>
      <c r="P10" s="11">
        <f>IF(P$3=0,"",SUMIFS(INDEX(Inputs!$D$4:$AG$100,0,MATCH(P$2,Inputs!$D$2:$AG$2,0)),Inputs!$B$4:$B$100,$B10)/1000)</f>
        <v>-943.452</v>
      </c>
      <c r="Q10" s="11">
        <f>IF(Q$3=0,"",SUMIFS(INDEX(Inputs!$D$4:$AG$100,0,MATCH(Q$2,Inputs!$D$2:$AG$2,0)),Inputs!$B$4:$B$100,$B10)/1000)</f>
        <v>-74.475</v>
      </c>
      <c r="R10" s="12">
        <f>IF(COUNT(N10:Q10)=4,SUM(N10:Q10),"")</f>
        <v>-1153.596</v>
      </c>
      <c r="S10" s="11">
        <f>IF(S$3=0,"",SUMIFS(INDEX(Inputs!$D$4:$AG$100,0,MATCH(S$2,Inputs!$D$2:$AG$2,0)),Inputs!$B$4:$B$100,$B10)/1000)</f>
        <v>-137.244</v>
      </c>
      <c r="T10" s="11">
        <f>IF(T$3=0,"",SUMIFS(INDEX(Inputs!$D$4:$AG$100,0,MATCH(T$2,Inputs!$D$2:$AG$2,0)),Inputs!$B$4:$B$100,$B10)/1000)</f>
        <v>-49.276</v>
      </c>
      <c r="U10" s="11">
        <f>IF(U$3=0,"",SUMIFS(INDEX(Inputs!$D$4:$AG$100,0,MATCH(U$2,Inputs!$D$2:$AG$2,0)),Inputs!$B$4:$B$100,$B10)/1000)</f>
        <v>-135.947</v>
      </c>
      <c r="V10" s="11">
        <f>IF(V$3=0,"",SUMIFS(INDEX(Inputs!$D$4:$AG$100,0,MATCH(V$2,Inputs!$D$2:$AG$2,0)),Inputs!$B$4:$B$100,$B10)/1000)</f>
        <v>63.963</v>
      </c>
      <c r="W10" s="12">
        <f>IF(COUNT(S10:V10)=4,SUM(S10:V10),"")</f>
        <v>-258.504</v>
      </c>
      <c r="X10" s="11">
        <f>IF(X$3=0,"",SUMIFS(INDEX(Inputs!$D$4:$AG$100,0,MATCH(X$2,Inputs!$D$2:$AG$2,0)),Inputs!$B$4:$B$100,$B10)/1000)</f>
        <v>-205.385</v>
      </c>
      <c r="Y10" s="11">
        <f>IF(Y$3=0,"",SUMIFS(INDEX(Inputs!$D$4:$AG$100,0,MATCH(Y$2,Inputs!$D$2:$AG$2,0)),Inputs!$B$4:$B$100,$B10)/1000)</f>
        <v>71.65</v>
      </c>
      <c r="Z10" s="11">
        <f>IF(Z$3=0,"",SUMIFS(INDEX(Inputs!$D$4:$AG$100,0,MATCH(Z$2,Inputs!$D$2:$AG$2,0)),Inputs!$B$4:$B$100,$B10)/1000)</f>
        <v>-35.369</v>
      </c>
      <c r="AA10" s="11">
        <f>IF(AA$3=0,"",SUMIFS(INDEX(Inputs!$D$4:$AG$100,0,MATCH(AA$2,Inputs!$D$2:$AG$2,0)),Inputs!$B$4:$B$100,$B10)/1000)</f>
        <v>-270.957</v>
      </c>
      <c r="AB10" s="12">
        <f>IF(COUNT(X10:AA10)=4,SUM(X10:AA10),"")</f>
        <v>-440.061</v>
      </c>
      <c r="AC10" s="11">
        <f>IF(AC$3=0,"",SUMIFS(INDEX(Inputs!$D$4:$AG$100,0,MATCH(AC$2,Inputs!$D$2:$AG$2,0)),Inputs!$B$4:$B$100,$B10)/1000)</f>
        <v>83.453</v>
      </c>
      <c r="AD10" s="11">
        <f>IF(AD$3=0,"",SUMIFS(INDEX(Inputs!$D$4:$AG$100,0,MATCH(AD$2,Inputs!$D$2:$AG$2,0)),Inputs!$B$4:$B$100,$B10)/1000)</f>
        <v>-31.833</v>
      </c>
      <c r="AE10" s="11" t="str">
        <f>IF(AE$3=0,"",SUMIFS(INDEX(Inputs!$D$4:$AG$100,0,MATCH(AE$2,Inputs!$D$2:$AG$2,0)),Inputs!$B$4:$B$100,$B10)/1000)</f>
        <v/>
      </c>
      <c r="AF10" s="11" t="str">
        <f>IF(AF$3=0,"",SUMIFS(INDEX(Inputs!$D$4:$AG$100,0,MATCH(AF$2,Inputs!$D$2:$AG$2,0)),Inputs!$B$4:$B$100,$B10)/1000)</f>
        <v/>
      </c>
      <c r="AG10" s="12" t="str">
        <f>IF(COUNT(AC10:AF10)=4,SUM(AC10:AF10),"")</f>
        <v/>
      </c>
    </row>
    <row r="11">
      <c r="B11" s="9" t="n">
        <v>8</v>
      </c>
      <c r="C11" s="14" t="inlineStr">
        <is>
          <t>Equity in Income of Affiliates, after tax (enter as +)</t>
        </is>
      </c>
      <c r="D11" s="11">
        <f>IF(D$3=0,"",SUMIFS(INDEX(Inputs!$D$4:$AG$100,0,MATCH(D$2,Inputs!$D$2:$AG$2,0)),Inputs!$B$4:$B$100,$B11)/1000)</f>
        <v>0</v>
      </c>
      <c r="E11" s="11">
        <f>IF(E$3=0,"",SUMIFS(INDEX(Inputs!$D$4:$AG$100,0,MATCH(E$2,Inputs!$D$2:$AG$2,0)),Inputs!$B$4:$B$100,$B11)/1000)</f>
        <v>0</v>
      </c>
      <c r="F11" s="11">
        <f>IF(F$3=0,"",SUMIFS(INDEX(Inputs!$D$4:$AG$100,0,MATCH(F$2,Inputs!$D$2:$AG$2,0)),Inputs!$B$4:$B$100,$B11)/1000)</f>
        <v>0</v>
      </c>
      <c r="G11" s="11">
        <f>IF(G$3=0,"",SUMIFS(INDEX(Inputs!$D$4:$AG$100,0,MATCH(G$2,Inputs!$D$2:$AG$2,0)),Inputs!$B$4:$B$100,$B11)/1000)</f>
        <v>0</v>
      </c>
      <c r="H11" s="12">
        <f>IF(COUNT(D11:G11)=4,SUM(D11:G11),"")</f>
        <v>0</v>
      </c>
      <c r="I11" s="11">
        <f>IF(I$3=0,"",SUMIFS(INDEX(Inputs!$D$4:$AG$100,0,MATCH(I$2,Inputs!$D$2:$AG$2,0)),Inputs!$B$4:$B$100,$B11)/1000)</f>
        <v>29.051</v>
      </c>
      <c r="J11" s="11">
        <f>IF(J$3=0,"",SUMIFS(INDEX(Inputs!$D$4:$AG$100,0,MATCH(J$2,Inputs!$D$2:$AG$2,0)),Inputs!$B$4:$B$100,$B11)/1000)</f>
        <v>54.94</v>
      </c>
      <c r="K11" s="11">
        <f>IF(K$3=0,"",SUMIFS(INDEX(Inputs!$D$4:$AG$100,0,MATCH(K$2,Inputs!$D$2:$AG$2,0)),Inputs!$B$4:$B$100,$B11)/1000)</f>
        <v>52.3</v>
      </c>
      <c r="L11" s="11">
        <f>IF(L$3=0,"",SUMIFS(INDEX(Inputs!$D$4:$AG$100,0,MATCH(L$2,Inputs!$D$2:$AG$2,0)),Inputs!$B$4:$B$100,$B11)/1000)</f>
        <v>-5.632</v>
      </c>
      <c r="M11" s="12">
        <f>IF(COUNT(I11:L11)=4,SUM(I11:L11),"")</f>
        <v>130.659</v>
      </c>
      <c r="N11" s="11">
        <f>IF(N$3=0,"",SUMIFS(INDEX(Inputs!$D$4:$AG$100,0,MATCH(N$2,Inputs!$D$2:$AG$2,0)),Inputs!$B$4:$B$100,$B11)/1000)</f>
        <v>30.229</v>
      </c>
      <c r="O11" s="11">
        <f>IF(O$3=0,"",SUMIFS(INDEX(Inputs!$D$4:$AG$100,0,MATCH(O$2,Inputs!$D$2:$AG$2,0)),Inputs!$B$4:$B$100,$B11)/1000)</f>
        <v>-11.887</v>
      </c>
      <c r="P11" s="11">
        <f>IF(P$3=0,"",SUMIFS(INDEX(Inputs!$D$4:$AG$100,0,MATCH(P$2,Inputs!$D$2:$AG$2,0)),Inputs!$B$4:$B$100,$B11)/1000)</f>
        <v>45.027</v>
      </c>
      <c r="Q11" s="11">
        <f>IF(Q$3=0,"",SUMIFS(INDEX(Inputs!$D$4:$AG$100,0,MATCH(Q$2,Inputs!$D$2:$AG$2,0)),Inputs!$B$4:$B$100,$B11)/1000)</f>
        <v>9.943</v>
      </c>
      <c r="R11" s="12">
        <f>IF(COUNT(N11:Q11)=4,SUM(N11:Q11),"")</f>
        <v>73.312</v>
      </c>
      <c r="S11" s="11">
        <f>IF(S$3=0,"",SUMIFS(INDEX(Inputs!$D$4:$AG$100,0,MATCH(S$2,Inputs!$D$2:$AG$2,0)),Inputs!$B$4:$B$100,$B11)/1000)</f>
        <v>66.578</v>
      </c>
      <c r="T11" s="11">
        <f>IF(T$3=0,"",SUMIFS(INDEX(Inputs!$D$4:$AG$100,0,MATCH(T$2,Inputs!$D$2:$AG$2,0)),Inputs!$B$4:$B$100,$B11)/1000)</f>
        <v>53.524</v>
      </c>
      <c r="U11" s="11">
        <f>IF(U$3=0,"",SUMIFS(INDEX(Inputs!$D$4:$AG$100,0,MATCH(U$2,Inputs!$D$2:$AG$2,0)),Inputs!$B$4:$B$100,$B11)/1000)</f>
        <v>58.434</v>
      </c>
      <c r="V11" s="11">
        <f>IF(V$3=0,"",SUMIFS(INDEX(Inputs!$D$4:$AG$100,0,MATCH(V$2,Inputs!$D$2:$AG$2,0)),Inputs!$B$4:$B$100,$B11)/1000)</f>
        <v>-14.152</v>
      </c>
      <c r="W11" s="12">
        <f>IF(COUNT(S11:V11)=4,SUM(S11:V11),"")</f>
        <v>164.384</v>
      </c>
      <c r="X11" s="11">
        <f>IF(X$3=0,"",SUMIFS(INDEX(Inputs!$D$4:$AG$100,0,MATCH(X$2,Inputs!$D$2:$AG$2,0)),Inputs!$B$4:$B$100,$B11)/1000)</f>
        <v>72.147</v>
      </c>
      <c r="Y11" s="11">
        <f>IF(Y$3=0,"",SUMIFS(INDEX(Inputs!$D$4:$AG$100,0,MATCH(Y$2,Inputs!$D$2:$AG$2,0)),Inputs!$B$4:$B$100,$B11)/1000)</f>
        <v>14.758</v>
      </c>
      <c r="Z11" s="11">
        <f>IF(Z$3=0,"",SUMIFS(INDEX(Inputs!$D$4:$AG$100,0,MATCH(Z$2,Inputs!$D$2:$AG$2,0)),Inputs!$B$4:$B$100,$B11)/1000)</f>
        <v>58.193</v>
      </c>
      <c r="AA11" s="11">
        <f>IF(AA$3=0,"",SUMIFS(INDEX(Inputs!$D$4:$AG$100,0,MATCH(AA$2,Inputs!$D$2:$AG$2,0)),Inputs!$B$4:$B$100,$B11)/1000)</f>
        <v>60.249</v>
      </c>
      <c r="AB11" s="12">
        <f>IF(COUNT(X11:AA11)=4,SUM(X11:AA11),"")</f>
        <v>205.347</v>
      </c>
      <c r="AC11" s="11">
        <f>IF(AC$3=0,"",SUMIFS(INDEX(Inputs!$D$4:$AG$100,0,MATCH(AC$2,Inputs!$D$2:$AG$2,0)),Inputs!$B$4:$B$100,$B11)/1000)</f>
        <v>71.487</v>
      </c>
      <c r="AD11" s="11">
        <f>IF(AD$3=0,"",SUMIFS(INDEX(Inputs!$D$4:$AG$100,0,MATCH(AD$2,Inputs!$D$2:$AG$2,0)),Inputs!$B$4:$B$100,$B11)/1000)</f>
        <v>39.594</v>
      </c>
      <c r="AE11" s="11" t="str">
        <f>IF(AE$3=0,"",SUMIFS(INDEX(Inputs!$D$4:$AG$100,0,MATCH(AE$2,Inputs!$D$2:$AG$2,0)),Inputs!$B$4:$B$100,$B11)/1000)</f>
        <v/>
      </c>
      <c r="AF11" s="11" t="str">
        <f>IF(AF$3=0,"",SUMIFS(INDEX(Inputs!$D$4:$AG$100,0,MATCH(AF$2,Inputs!$D$2:$AG$2,0)),Inputs!$B$4:$B$100,$B11)/1000)</f>
        <v/>
      </c>
      <c r="AG11" s="12" t="str">
        <f>IF(COUNT(AC11:AF11)=4,SUM(AC11:AF11),"")</f>
        <v/>
      </c>
    </row>
    <row r="12">
      <c r="B12" s="9" t="n">
        <v>9</v>
      </c>
      <c r="C12" s="14" t="inlineStr">
        <is>
          <t>Minority Interest Expense, after tax (enter as - )</t>
        </is>
      </c>
      <c r="D12" s="11">
        <f>IF(D$3=0,"",SUMIFS(INDEX(Inputs!$D$4:$AG$100,0,MATCH(D$2,Inputs!$D$2:$AG$2,0)),Inputs!$B$4:$B$100,$B12)/1000)</f>
        <v>-29.436</v>
      </c>
      <c r="E12" s="11">
        <f>IF(E$3=0,"",SUMIFS(INDEX(Inputs!$D$4:$AG$100,0,MATCH(E$2,Inputs!$D$2:$AG$2,0)),Inputs!$B$4:$B$100,$B12)/1000)</f>
        <v>15.169</v>
      </c>
      <c r="F12" s="11">
        <f>IF(F$3=0,"",SUMIFS(INDEX(Inputs!$D$4:$AG$100,0,MATCH(F$2,Inputs!$D$2:$AG$2,0)),Inputs!$B$4:$B$100,$B12)/1000)</f>
        <v>-234.281</v>
      </c>
      <c r="G12" s="11">
        <f>IF(G$3=0,"",SUMIFS(INDEX(Inputs!$D$4:$AG$100,0,MATCH(G$2,Inputs!$D$2:$AG$2,0)),Inputs!$B$4:$B$100,$B12)/1000)</f>
        <v>34.187</v>
      </c>
      <c r="H12" s="12">
        <f>IF(COUNT(D12:G12)=4,SUM(D12:G12),"")</f>
        <v>-214.361</v>
      </c>
      <c r="I12" s="11">
        <f>IF(I$3=0,"",SUMIFS(INDEX(Inputs!$D$4:$AG$100,0,MATCH(I$2,Inputs!$D$2:$AG$2,0)),Inputs!$B$4:$B$100,$B12)/1000)</f>
        <v>-4.214</v>
      </c>
      <c r="J12" s="11">
        <f>IF(J$3=0,"",SUMIFS(INDEX(Inputs!$D$4:$AG$100,0,MATCH(J$2,Inputs!$D$2:$AG$2,0)),Inputs!$B$4:$B$100,$B12)/1000)</f>
        <v>0</v>
      </c>
      <c r="K12" s="11">
        <f>IF(K$3=0,"",SUMIFS(INDEX(Inputs!$D$4:$AG$100,0,MATCH(K$2,Inputs!$D$2:$AG$2,0)),Inputs!$B$4:$B$100,$B12)/1000)</f>
        <v>0</v>
      </c>
      <c r="L12" s="11">
        <f>IF(L$3=0,"",SUMIFS(INDEX(Inputs!$D$4:$AG$100,0,MATCH(L$2,Inputs!$D$2:$AG$2,0)),Inputs!$B$4:$B$100,$B12)/1000)</f>
        <v>0</v>
      </c>
      <c r="M12" s="12">
        <f>IF(COUNT(I12:L12)=4,SUM(I12:L12),"")</f>
        <v>-4.214</v>
      </c>
      <c r="N12" s="11">
        <f>IF(N$3=0,"",SUMIFS(INDEX(Inputs!$D$4:$AG$100,0,MATCH(N$2,Inputs!$D$2:$AG$2,0)),Inputs!$B$4:$B$100,$B12)/1000)</f>
        <v>0</v>
      </c>
      <c r="O12" s="11">
        <f>IF(O$3=0,"",SUMIFS(INDEX(Inputs!$D$4:$AG$100,0,MATCH(O$2,Inputs!$D$2:$AG$2,0)),Inputs!$B$4:$B$100,$B12)/1000)</f>
        <v>0</v>
      </c>
      <c r="P12" s="11">
        <f>IF(P$3=0,"",SUMIFS(INDEX(Inputs!$D$4:$AG$100,0,MATCH(P$2,Inputs!$D$2:$AG$2,0)),Inputs!$B$4:$B$100,$B12)/1000)</f>
        <v>0</v>
      </c>
      <c r="Q12" s="11">
        <f>IF(Q$3=0,"",SUMIFS(INDEX(Inputs!$D$4:$AG$100,0,MATCH(Q$2,Inputs!$D$2:$AG$2,0)),Inputs!$B$4:$B$100,$B12)/1000)</f>
        <v>0</v>
      </c>
      <c r="R12" s="12">
        <f>IF(COUNT(N12:Q12)=4,SUM(N12:Q12),"")</f>
        <v>0</v>
      </c>
      <c r="S12" s="11">
        <f>IF(S$3=0,"",SUMIFS(INDEX(Inputs!$D$4:$AG$100,0,MATCH(S$2,Inputs!$D$2:$AG$2,0)),Inputs!$B$4:$B$100,$B12)/1000)</f>
        <v>0</v>
      </c>
      <c r="T12" s="11">
        <f>IF(T$3=0,"",SUMIFS(INDEX(Inputs!$D$4:$AG$100,0,MATCH(T$2,Inputs!$D$2:$AG$2,0)),Inputs!$B$4:$B$100,$B12)/1000)</f>
        <v>0</v>
      </c>
      <c r="U12" s="11">
        <f>IF(U$3=0,"",SUMIFS(INDEX(Inputs!$D$4:$AG$100,0,MATCH(U$2,Inputs!$D$2:$AG$2,0)),Inputs!$B$4:$B$100,$B12)/1000)</f>
        <v>0</v>
      </c>
      <c r="V12" s="11">
        <f>IF(V$3=0,"",SUMIFS(INDEX(Inputs!$D$4:$AG$100,0,MATCH(V$2,Inputs!$D$2:$AG$2,0)),Inputs!$B$4:$B$100,$B12)/1000)</f>
        <v>-20.931</v>
      </c>
      <c r="W12" s="12">
        <f>IF(COUNT(S12:V12)=4,SUM(S12:V12),"")</f>
        <v>-20.931</v>
      </c>
      <c r="X12" s="11">
        <f>IF(X$3=0,"",SUMIFS(INDEX(Inputs!$D$4:$AG$100,0,MATCH(X$2,Inputs!$D$2:$AG$2,0)),Inputs!$B$4:$B$100,$B12)/1000)</f>
        <v>-45.501</v>
      </c>
      <c r="Y12" s="11">
        <f>IF(Y$3=0,"",SUMIFS(INDEX(Inputs!$D$4:$AG$100,0,MATCH(Y$2,Inputs!$D$2:$AG$2,0)),Inputs!$B$4:$B$100,$B12)/1000)</f>
        <v>-52.537</v>
      </c>
      <c r="Z12" s="11">
        <f>IF(Z$3=0,"",SUMIFS(INDEX(Inputs!$D$4:$AG$100,0,MATCH(Z$2,Inputs!$D$2:$AG$2,0)),Inputs!$B$4:$B$100,$B12)/1000)</f>
        <v>6.661</v>
      </c>
      <c r="AA12" s="11">
        <f>IF(AA$3=0,"",SUMIFS(INDEX(Inputs!$D$4:$AG$100,0,MATCH(AA$2,Inputs!$D$2:$AG$2,0)),Inputs!$B$4:$B$100,$B12)/1000)</f>
        <v>-14.78</v>
      </c>
      <c r="AB12" s="12">
        <f>IF(COUNT(X12:AA12)=4,SUM(X12:AA12),"")</f>
        <v>-106.157</v>
      </c>
      <c r="AC12" s="11">
        <f>IF(AC$3=0,"",SUMIFS(INDEX(Inputs!$D$4:$AG$100,0,MATCH(AC$2,Inputs!$D$2:$AG$2,0)),Inputs!$B$4:$B$100,$B12)/1000)</f>
        <v>-19.732</v>
      </c>
      <c r="AD12" s="11">
        <f>IF(AD$3=0,"",SUMIFS(INDEX(Inputs!$D$4:$AG$100,0,MATCH(AD$2,Inputs!$D$2:$AG$2,0)),Inputs!$B$4:$B$100,$B12)/1000)</f>
        <v>-31.886</v>
      </c>
      <c r="AE12" s="11" t="str">
        <f>IF(AE$3=0,"",SUMIFS(INDEX(Inputs!$D$4:$AG$100,0,MATCH(AE$2,Inputs!$D$2:$AG$2,0)),Inputs!$B$4:$B$100,$B12)/1000)</f>
        <v/>
      </c>
      <c r="AF12" s="11" t="str">
        <f>IF(AF$3=0,"",SUMIFS(INDEX(Inputs!$D$4:$AG$100,0,MATCH(AF$2,Inputs!$D$2:$AG$2,0)),Inputs!$B$4:$B$100,$B12)/1000)</f>
        <v/>
      </c>
      <c r="AG12" s="12" t="str">
        <f>IF(COUNT(AC12:AF12)=4,SUM(AC12:AF12),"")</f>
        <v/>
      </c>
    </row>
    <row r="13">
      <c r="B13" s="9" t="n">
        <v>10</v>
      </c>
      <c r="C13" s="13" t="inlineStr">
        <is>
          <t>Common Dividends</t>
        </is>
      </c>
      <c r="D13" s="11">
        <f>IF(D$3=0,"",SUMIFS(INDEX(Inputs!$D$4:$AG$100,0,MATCH(D$2,Inputs!$D$2:$AG$2,0)),Inputs!$B$4:$B$100,$B13)/1000)</f>
        <v>-3.475</v>
      </c>
      <c r="E13" s="11">
        <f>IF(E$3=0,"",SUMIFS(INDEX(Inputs!$D$4:$AG$100,0,MATCH(E$2,Inputs!$D$2:$AG$2,0)),Inputs!$B$4:$B$100,$B13)/1000)</f>
        <v>-352.302</v>
      </c>
      <c r="F13" s="11">
        <f>IF(F$3=0,"",SUMIFS(INDEX(Inputs!$D$4:$AG$100,0,MATCH(F$2,Inputs!$D$2:$AG$2,0)),Inputs!$B$4:$B$100,$B13)/1000)</f>
        <v>-146.582</v>
      </c>
      <c r="G13" s="11">
        <f>IF(G$3=0,"",SUMIFS(INDEX(Inputs!$D$4:$AG$100,0,MATCH(G$2,Inputs!$D$2:$AG$2,0)),Inputs!$B$4:$B$100,$B13)/1000)</f>
        <v>-0.003</v>
      </c>
      <c r="H13" s="12">
        <f>IF(COUNT(D13:G13)=4,SUM(D13:G13),"")</f>
        <v>-502.362</v>
      </c>
      <c r="I13" s="11">
        <f>IF(I$3=0,"",SUMIFS(INDEX(Inputs!$D$4:$AG$100,0,MATCH(I$2,Inputs!$D$2:$AG$2,0)),Inputs!$B$4:$B$100,$B13)/1000)</f>
        <v>0</v>
      </c>
      <c r="J13" s="11">
        <f>IF(J$3=0,"",SUMIFS(INDEX(Inputs!$D$4:$AG$100,0,MATCH(J$2,Inputs!$D$2:$AG$2,0)),Inputs!$B$4:$B$100,$B13)/1000)</f>
        <v>-99.991</v>
      </c>
      <c r="K13" s="11">
        <f>IF(K$3=0,"",SUMIFS(INDEX(Inputs!$D$4:$AG$100,0,MATCH(K$2,Inputs!$D$2:$AG$2,0)),Inputs!$B$4:$B$100,$B13)/1000)</f>
        <v>0</v>
      </c>
      <c r="L13" s="11">
        <f>IF(L$3=0,"",SUMIFS(INDEX(Inputs!$D$4:$AG$100,0,MATCH(L$2,Inputs!$D$2:$AG$2,0)),Inputs!$B$4:$B$100,$B13)/1000)</f>
        <v>-0.003</v>
      </c>
      <c r="M13" s="12">
        <f>IF(COUNT(I13:L13)=4,SUM(I13:L13),"")</f>
        <v>-99.994</v>
      </c>
      <c r="N13" s="11">
        <f>IF(N$3=0,"",SUMIFS(INDEX(Inputs!$D$4:$AG$100,0,MATCH(N$2,Inputs!$D$2:$AG$2,0)),Inputs!$B$4:$B$100,$B13)/1000)</f>
        <v>0</v>
      </c>
      <c r="O13" s="11">
        <f>IF(O$3=0,"",SUMIFS(INDEX(Inputs!$D$4:$AG$100,0,MATCH(O$2,Inputs!$D$2:$AG$2,0)),Inputs!$B$4:$B$100,$B13)/1000)</f>
        <v>-1499.809</v>
      </c>
      <c r="P13" s="11">
        <f>IF(P$3=0,"",SUMIFS(INDEX(Inputs!$D$4:$AG$100,0,MATCH(P$2,Inputs!$D$2:$AG$2,0)),Inputs!$B$4:$B$100,$B13)/1000)</f>
        <v>0</v>
      </c>
      <c r="Q13" s="11">
        <f>IF(Q$3=0,"",SUMIFS(INDEX(Inputs!$D$4:$AG$100,0,MATCH(Q$2,Inputs!$D$2:$AG$2,0)),Inputs!$B$4:$B$100,$B13)/1000)</f>
        <v>-1499.817</v>
      </c>
      <c r="R13" s="12">
        <f>IF(COUNT(N13:Q13)=4,SUM(N13:Q13),"")</f>
        <v>-2999.626</v>
      </c>
      <c r="S13" s="11">
        <f>IF(S$3=0,"",SUMIFS(INDEX(Inputs!$D$4:$AG$100,0,MATCH(S$2,Inputs!$D$2:$AG$2,0)),Inputs!$B$4:$B$100,$B13)/1000)</f>
        <v>-399.948</v>
      </c>
      <c r="T13" s="11">
        <f>IF(T$3=0,"",SUMIFS(INDEX(Inputs!$D$4:$AG$100,0,MATCH(T$2,Inputs!$D$2:$AG$2,0)),Inputs!$B$4:$B$100,$B13)/1000)</f>
        <v>-0.001</v>
      </c>
      <c r="U13" s="11">
        <f>IF(U$3=0,"",SUMIFS(INDEX(Inputs!$D$4:$AG$100,0,MATCH(U$2,Inputs!$D$2:$AG$2,0)),Inputs!$B$4:$B$100,$B13)/1000)</f>
        <v>-0.001</v>
      </c>
      <c r="V13" s="11">
        <f>IF(V$3=0,"",SUMIFS(INDEX(Inputs!$D$4:$AG$100,0,MATCH(V$2,Inputs!$D$2:$AG$2,0)),Inputs!$B$4:$B$100,$B13)/1000)</f>
        <v>0</v>
      </c>
      <c r="W13" s="12">
        <f>IF(COUNT(S13:V13)=4,SUM(S13:V13),"")</f>
        <v>-399.95</v>
      </c>
      <c r="X13" s="11">
        <f>IF(X$3=0,"",SUMIFS(INDEX(Inputs!$D$4:$AG$100,0,MATCH(X$2,Inputs!$D$2:$AG$2,0)),Inputs!$B$4:$B$100,$B13)/1000)</f>
        <v>-99.648</v>
      </c>
      <c r="Y13" s="11">
        <f>IF(Y$3=0,"",SUMIFS(INDEX(Inputs!$D$4:$AG$100,0,MATCH(Y$2,Inputs!$D$2:$AG$2,0)),Inputs!$B$4:$B$100,$B13)/1000)</f>
        <v>-61.408</v>
      </c>
      <c r="Z13" s="11">
        <f>IF(Z$3=0,"",SUMIFS(INDEX(Inputs!$D$4:$AG$100,0,MATCH(Z$2,Inputs!$D$2:$AG$2,0)),Inputs!$B$4:$B$100,$B13)/1000)</f>
        <v>-89.327</v>
      </c>
      <c r="AA13" s="11">
        <f>IF(AA$3=0,"",SUMIFS(INDEX(Inputs!$D$4:$AG$100,0,MATCH(AA$2,Inputs!$D$2:$AG$2,0)),Inputs!$B$4:$B$100,$B13)/1000)</f>
        <v>8.548</v>
      </c>
      <c r="AB13" s="12">
        <f>IF(COUNT(X13:AA13)=4,SUM(X13:AA13),"")</f>
        <v>-241.835</v>
      </c>
      <c r="AC13" s="11">
        <f>IF(AC$3=0,"",SUMIFS(INDEX(Inputs!$D$4:$AG$100,0,MATCH(AC$2,Inputs!$D$2:$AG$2,0)),Inputs!$B$4:$B$100,$B13)/1000)</f>
        <v>-42.966</v>
      </c>
      <c r="AD13" s="11">
        <f>IF(AD$3=0,"",SUMIFS(INDEX(Inputs!$D$4:$AG$100,0,MATCH(AD$2,Inputs!$D$2:$AG$2,0)),Inputs!$B$4:$B$100,$B13)/1000)</f>
        <v>0.148</v>
      </c>
      <c r="AE13" s="11" t="str">
        <f>IF(AE$3=0,"",SUMIFS(INDEX(Inputs!$D$4:$AG$100,0,MATCH(AE$2,Inputs!$D$2:$AG$2,0)),Inputs!$B$4:$B$100,$B13)/1000)</f>
        <v/>
      </c>
      <c r="AF13" s="11" t="str">
        <f>IF(AF$3=0,"",SUMIFS(INDEX(Inputs!$D$4:$AG$100,0,MATCH(AF$2,Inputs!$D$2:$AG$2,0)),Inputs!$B$4:$B$100,$B13)/1000)</f>
        <v/>
      </c>
      <c r="AG13" s="12" t="str">
        <f>IF(COUNT(AC13:AF13)=4,SUM(AC13:AF13),"")</f>
        <v/>
      </c>
    </row>
    <row r="14">
      <c r="D14" s="12" t="n"/>
    </row>
    <row r="15">
      <c r="B15" s="9" t="n">
        <v>11</v>
      </c>
      <c r="C15" s="13" t="inlineStr">
        <is>
          <t>Cash and equivalents (inc. investment securities)</t>
        </is>
      </c>
      <c r="D15" s="11">
        <f>IF(D$3=0,"",SUMIFS(INDEX(Inputs!$D$4:$AG$100,0,MATCH(D$2,Inputs!$D$2:$AG$2,0)),Inputs!$B$4:$B$100,$B15)/1000)</f>
        <v>1292.369</v>
      </c>
      <c r="E15" s="11">
        <f>IF(E$3=0,"",SUMIFS(INDEX(Inputs!$D$4:$AG$100,0,MATCH(E$2,Inputs!$D$2:$AG$2,0)),Inputs!$B$4:$B$100,$B15)/1000)</f>
        <v>1189.841</v>
      </c>
      <c r="F15" s="11">
        <f>IF(F$3=0,"",SUMIFS(INDEX(Inputs!$D$4:$AG$100,0,MATCH(F$2,Inputs!$D$2:$AG$2,0)),Inputs!$B$4:$B$100,$B15)/1000)</f>
        <v>1376.313</v>
      </c>
      <c r="G15" s="11">
        <f>IF(G$3=0,"",SUMIFS(INDEX(Inputs!$D$4:$AG$100,0,MATCH(G$2,Inputs!$D$2:$AG$2,0)),Inputs!$B$4:$B$100,$B15)/1000)</f>
        <v>1673.569</v>
      </c>
      <c r="H15" s="12">
        <f>IF(G15="","",G15)</f>
        <v>1673.569</v>
      </c>
      <c r="I15" s="11">
        <f>IF(I$3=0,"",SUMIFS(INDEX(Inputs!$D$4:$AG$100,0,MATCH(I$2,Inputs!$D$2:$AG$2,0)),Inputs!$B$4:$B$100,$B15)/1000)</f>
        <v>3173.847</v>
      </c>
      <c r="J15" s="11">
        <f>IF(J$3=0,"",SUMIFS(INDEX(Inputs!$D$4:$AG$100,0,MATCH(J$2,Inputs!$D$2:$AG$2,0)),Inputs!$B$4:$B$100,$B15)/1000)</f>
        <v>3353.966</v>
      </c>
      <c r="K15" s="11">
        <f>IF(K$3=0,"",SUMIFS(INDEX(Inputs!$D$4:$AG$100,0,MATCH(K$2,Inputs!$D$2:$AG$2,0)),Inputs!$B$4:$B$100,$B15)/1000)</f>
        <v>2983.696</v>
      </c>
      <c r="L15" s="11">
        <f>IF(L$3=0,"",SUMIFS(INDEX(Inputs!$D$4:$AG$100,0,MATCH(L$2,Inputs!$D$2:$AG$2,0)),Inputs!$B$4:$B$100,$B15)/1000)</f>
        <v>3231.306</v>
      </c>
      <c r="M15" s="12">
        <f>IF(L15="","",L15)</f>
        <v>3231.306</v>
      </c>
      <c r="N15" s="11">
        <f>IF(N$3=0,"",SUMIFS(INDEX(Inputs!$D$4:$AG$100,0,MATCH(N$2,Inputs!$D$2:$AG$2,0)),Inputs!$B$4:$B$100,$B15)/1000)</f>
        <v>3402.667</v>
      </c>
      <c r="O15" s="11">
        <f>IF(O$3=0,"",SUMIFS(INDEX(Inputs!$D$4:$AG$100,0,MATCH(O$2,Inputs!$D$2:$AG$2,0)),Inputs!$B$4:$B$100,$B15)/1000)</f>
        <v>6285.342</v>
      </c>
      <c r="P15" s="11">
        <f>IF(P$3=0,"",SUMIFS(INDEX(Inputs!$D$4:$AG$100,0,MATCH(P$2,Inputs!$D$2:$AG$2,0)),Inputs!$B$4:$B$100,$B15)/1000)</f>
        <v>4904.741</v>
      </c>
      <c r="Q15" s="11">
        <f>IF(Q$3=0,"",SUMIFS(INDEX(Inputs!$D$4:$AG$100,0,MATCH(Q$2,Inputs!$D$2:$AG$2,0)),Inputs!$B$4:$B$100,$B15)/1000)</f>
        <v>3238.394</v>
      </c>
      <c r="R15" s="12">
        <f>IF(Q15="","",Q15)</f>
        <v>3238.394</v>
      </c>
      <c r="S15" s="11">
        <f>IF(S$3=0,"",SUMIFS(INDEX(Inputs!$D$4:$AG$100,0,MATCH(S$2,Inputs!$D$2:$AG$2,0)),Inputs!$B$4:$B$100,$B15)/1000)</f>
        <v>3094.615</v>
      </c>
      <c r="T15" s="11">
        <f>IF(T$3=0,"",SUMIFS(INDEX(Inputs!$D$4:$AG$100,0,MATCH(T$2,Inputs!$D$2:$AG$2,0)),Inputs!$B$4:$B$100,$B15)/1000)</f>
        <v>4992.046</v>
      </c>
      <c r="U15" s="11">
        <f>IF(U$3=0,"",SUMIFS(INDEX(Inputs!$D$4:$AG$100,0,MATCH(U$2,Inputs!$D$2:$AG$2,0)),Inputs!$B$4:$B$100,$B15)/1000)</f>
        <v>5295.721</v>
      </c>
      <c r="V15" s="11">
        <f>IF(V$3=0,"",SUMIFS(INDEX(Inputs!$D$4:$AG$100,0,MATCH(V$2,Inputs!$D$2:$AG$2,0)),Inputs!$B$4:$B$100,$B15)/1000)</f>
        <v>7203.178</v>
      </c>
      <c r="W15" s="12">
        <f>IF(V15="","",V15)</f>
        <v>7203.178</v>
      </c>
      <c r="X15" s="11">
        <f>IF(X$3=0,"",SUMIFS(INDEX(Inputs!$D$4:$AG$100,0,MATCH(X$2,Inputs!$D$2:$AG$2,0)),Inputs!$B$4:$B$100,$B15)/1000)</f>
        <v>6162.476</v>
      </c>
      <c r="Y15" s="11">
        <f>IF(Y$3=0,"",SUMIFS(INDEX(Inputs!$D$4:$AG$100,0,MATCH(Y$2,Inputs!$D$2:$AG$2,0)),Inputs!$B$4:$B$100,$B15)/1000)</f>
        <v>4933.168</v>
      </c>
      <c r="Z15" s="11">
        <f>IF(Z$3=0,"",SUMIFS(INDEX(Inputs!$D$4:$AG$100,0,MATCH(Z$2,Inputs!$D$2:$AG$2,0)),Inputs!$B$4:$B$100,$B15)/1000)</f>
        <v>5075.682</v>
      </c>
      <c r="AA15" s="11">
        <f>IF(AA$3=0,"",SUMIFS(INDEX(Inputs!$D$4:$AG$100,0,MATCH(AA$2,Inputs!$D$2:$AG$2,0)),Inputs!$B$4:$B$100,$B15)/1000)</f>
        <v>4382.422</v>
      </c>
      <c r="AB15" s="12">
        <f>IF(AA15="","",AA15)</f>
        <v>4382.422</v>
      </c>
      <c r="AC15" s="11">
        <f>IF(AC$3=0,"",SUMIFS(INDEX(Inputs!$D$4:$AG$100,0,MATCH(AC$2,Inputs!$D$2:$AG$2,0)),Inputs!$B$4:$B$100,$B15)/1000)</f>
        <v>3571.882</v>
      </c>
      <c r="AD15" s="11">
        <f>IF(AD$3=0,"",SUMIFS(INDEX(Inputs!$D$4:$AG$100,0,MATCH(AD$2,Inputs!$D$2:$AG$2,0)),Inputs!$B$4:$B$100,$B15)/1000)</f>
        <v>3638.808</v>
      </c>
      <c r="AE15" s="11" t="str">
        <f>IF(AE$3=0,"",SUMIFS(INDEX(Inputs!$D$4:$AG$100,0,MATCH(AE$2,Inputs!$D$2:$AG$2,0)),Inputs!$B$4:$B$100,$B15)/1000)</f>
        <v/>
      </c>
      <c r="AF15" s="11" t="str">
        <f>IF(AF$3=0,"",SUMIFS(INDEX(Inputs!$D$4:$AG$100,0,MATCH(AF$2,Inputs!$D$2:$AG$2,0)),Inputs!$B$4:$B$100,$B15)/1000)</f>
        <v/>
      </c>
      <c r="AG15" s="12" t="str">
        <f>IF(AF15="","",AF15)</f>
        <v/>
      </c>
    </row>
    <row r="16">
      <c r="B16" s="9" t="n">
        <v>12</v>
      </c>
      <c r="C16" s="14" t="inlineStr">
        <is>
          <t>Accounts receivable</t>
        </is>
      </c>
      <c r="D16" s="11">
        <f>IF(D$3=0,"",SUMIFS(INDEX(Inputs!$D$4:$AG$100,0,MATCH(D$2,Inputs!$D$2:$AG$2,0)),Inputs!$B$4:$B$100,$B16)/1000)</f>
        <v>382.854</v>
      </c>
      <c r="E16" s="11">
        <f>IF(E$3=0,"",SUMIFS(INDEX(Inputs!$D$4:$AG$100,0,MATCH(E$2,Inputs!$D$2:$AG$2,0)),Inputs!$B$4:$B$100,$B16)/1000)</f>
        <v>325.707</v>
      </c>
      <c r="F16" s="11">
        <f>IF(F$3=0,"",SUMIFS(INDEX(Inputs!$D$4:$AG$100,0,MATCH(F$2,Inputs!$D$2:$AG$2,0)),Inputs!$B$4:$B$100,$B16)/1000)</f>
        <v>330.258</v>
      </c>
      <c r="G16" s="11">
        <f>IF(G$3=0,"",SUMIFS(INDEX(Inputs!$D$4:$AG$100,0,MATCH(G$2,Inputs!$D$2:$AG$2,0)),Inputs!$B$4:$B$100,$B16)/1000)</f>
        <v>328.631</v>
      </c>
      <c r="H16" s="12">
        <f>IF(G16="","",G16)</f>
        <v>328.631</v>
      </c>
      <c r="I16" s="11">
        <f>IF(I$3=0,"",SUMIFS(INDEX(Inputs!$D$4:$AG$100,0,MATCH(I$2,Inputs!$D$2:$AG$2,0)),Inputs!$B$4:$B$100,$B16)/1000)</f>
        <v>556.035</v>
      </c>
      <c r="J16" s="11">
        <f>IF(J$3=0,"",SUMIFS(INDEX(Inputs!$D$4:$AG$100,0,MATCH(J$2,Inputs!$D$2:$AG$2,0)),Inputs!$B$4:$B$100,$B16)/1000)</f>
        <v>549.634</v>
      </c>
      <c r="K16" s="11">
        <f>IF(K$3=0,"",SUMIFS(INDEX(Inputs!$D$4:$AG$100,0,MATCH(K$2,Inputs!$D$2:$AG$2,0)),Inputs!$B$4:$B$100,$B16)/1000)</f>
        <v>625.916</v>
      </c>
      <c r="L16" s="11">
        <f>IF(L$3=0,"",SUMIFS(INDEX(Inputs!$D$4:$AG$100,0,MATCH(L$2,Inputs!$D$2:$AG$2,0)),Inputs!$B$4:$B$100,$B16)/1000)</f>
        <v>617.86</v>
      </c>
      <c r="M16" s="12">
        <f>IF(L16="","",L16)</f>
        <v>617.86</v>
      </c>
      <c r="N16" s="11">
        <f>IF(N$3=0,"",SUMIFS(INDEX(Inputs!$D$4:$AG$100,0,MATCH(N$2,Inputs!$D$2:$AG$2,0)),Inputs!$B$4:$B$100,$B16)/1000)</f>
        <v>577.274</v>
      </c>
      <c r="O16" s="11">
        <f>IF(O$3=0,"",SUMIFS(INDEX(Inputs!$D$4:$AG$100,0,MATCH(O$2,Inputs!$D$2:$AG$2,0)),Inputs!$B$4:$B$100,$B16)/1000)</f>
        <v>569.731</v>
      </c>
      <c r="P16" s="11">
        <f>IF(P$3=0,"",SUMIFS(INDEX(Inputs!$D$4:$AG$100,0,MATCH(P$2,Inputs!$D$2:$AG$2,0)),Inputs!$B$4:$B$100,$B16)/1000)</f>
        <v>656.783</v>
      </c>
      <c r="Q16" s="11">
        <f>IF(Q$3=0,"",SUMIFS(INDEX(Inputs!$D$4:$AG$100,0,MATCH(Q$2,Inputs!$D$2:$AG$2,0)),Inputs!$B$4:$B$100,$B16)/1000)</f>
        <v>679.476</v>
      </c>
      <c r="R16" s="12">
        <f>IF(Q16="","",Q16)</f>
        <v>679.476</v>
      </c>
      <c r="S16" s="11">
        <f>IF(S$3=0,"",SUMIFS(INDEX(Inputs!$D$4:$AG$100,0,MATCH(S$2,Inputs!$D$2:$AG$2,0)),Inputs!$B$4:$B$100,$B16)/1000)</f>
        <v>569.252</v>
      </c>
      <c r="T16" s="11">
        <f>IF(T$3=0,"",SUMIFS(INDEX(Inputs!$D$4:$AG$100,0,MATCH(T$2,Inputs!$D$2:$AG$2,0)),Inputs!$B$4:$B$100,$B16)/1000)</f>
        <v>575.06</v>
      </c>
      <c r="U16" s="11">
        <f>IF(U$3=0,"",SUMIFS(INDEX(Inputs!$D$4:$AG$100,0,MATCH(U$2,Inputs!$D$2:$AG$2,0)),Inputs!$B$4:$B$100,$B16)/1000)</f>
        <v>919.196</v>
      </c>
      <c r="V16" s="11">
        <f>IF(V$3=0,"",SUMIFS(INDEX(Inputs!$D$4:$AG$100,0,MATCH(V$2,Inputs!$D$2:$AG$2,0)),Inputs!$B$4:$B$100,$B16)/1000)</f>
        <v>1492.867</v>
      </c>
      <c r="W16" s="12">
        <f>IF(V16="","",V16)</f>
        <v>1492.867</v>
      </c>
      <c r="X16" s="11">
        <f>IF(X$3=0,"",SUMIFS(INDEX(Inputs!$D$4:$AG$100,0,MATCH(X$2,Inputs!$D$2:$AG$2,0)),Inputs!$B$4:$B$100,$B16)/1000)</f>
        <v>1404.559</v>
      </c>
      <c r="Y16" s="11">
        <f>IF(Y$3=0,"",SUMIFS(INDEX(Inputs!$D$4:$AG$100,0,MATCH(Y$2,Inputs!$D$2:$AG$2,0)),Inputs!$B$4:$B$100,$B16)/1000)</f>
        <v>1229.784</v>
      </c>
      <c r="Z16" s="11">
        <f>IF(Z$3=0,"",SUMIFS(INDEX(Inputs!$D$4:$AG$100,0,MATCH(Z$2,Inputs!$D$2:$AG$2,0)),Inputs!$B$4:$B$100,$B16)/1000)</f>
        <v>1543.172</v>
      </c>
      <c r="AA16" s="11">
        <f>IF(AA$3=0,"",SUMIFS(INDEX(Inputs!$D$4:$AG$100,0,MATCH(AA$2,Inputs!$D$2:$AG$2,0)),Inputs!$B$4:$B$100,$B16)/1000)</f>
        <v>1712.414</v>
      </c>
      <c r="AB16" s="12">
        <f>IF(AA16="","",AA16)</f>
        <v>1712.414</v>
      </c>
      <c r="AC16" s="11">
        <f>IF(AC$3=0,"",SUMIFS(INDEX(Inputs!$D$4:$AG$100,0,MATCH(AC$2,Inputs!$D$2:$AG$2,0)),Inputs!$B$4:$B$100,$B16)/1000)</f>
        <v>1637.335</v>
      </c>
      <c r="AD16" s="11">
        <f>IF(AD$3=0,"",SUMIFS(INDEX(Inputs!$D$4:$AG$100,0,MATCH(AD$2,Inputs!$D$2:$AG$2,0)),Inputs!$B$4:$B$100,$B16)/1000)</f>
        <v>1408.699</v>
      </c>
      <c r="AE16" s="11" t="str">
        <f>IF(AE$3=0,"",SUMIFS(INDEX(Inputs!$D$4:$AG$100,0,MATCH(AE$2,Inputs!$D$2:$AG$2,0)),Inputs!$B$4:$B$100,$B16)/1000)</f>
        <v/>
      </c>
      <c r="AF16" s="11" t="str">
        <f>IF(AF$3=0,"",SUMIFS(INDEX(Inputs!$D$4:$AG$100,0,MATCH(AF$2,Inputs!$D$2:$AG$2,0)),Inputs!$B$4:$B$100,$B16)/1000)</f>
        <v/>
      </c>
      <c r="AG16" s="12" t="str">
        <f>IF(AF16="","",AF16)</f>
        <v/>
      </c>
    </row>
    <row r="17">
      <c r="B17" s="9" t="n">
        <v>13</v>
      </c>
      <c r="C17" s="14" t="inlineStr">
        <is>
          <t>Inventories</t>
        </is>
      </c>
      <c r="D17" s="11">
        <f>IF(D$3=0,"",SUMIFS(INDEX(Inputs!$D$4:$AG$100,0,MATCH(D$2,Inputs!$D$2:$AG$2,0)),Inputs!$B$4:$B$100,$B17)/1000)</f>
        <v>0</v>
      </c>
      <c r="E17" s="11">
        <f>IF(E$3=0,"",SUMIFS(INDEX(Inputs!$D$4:$AG$100,0,MATCH(E$2,Inputs!$D$2:$AG$2,0)),Inputs!$B$4:$B$100,$B17)/1000)</f>
        <v>0</v>
      </c>
      <c r="F17" s="11">
        <f>IF(F$3=0,"",SUMIFS(INDEX(Inputs!$D$4:$AG$100,0,MATCH(F$2,Inputs!$D$2:$AG$2,0)),Inputs!$B$4:$B$100,$B17)/1000)</f>
        <v>0</v>
      </c>
      <c r="G17" s="11">
        <f>IF(G$3=0,"",SUMIFS(INDEX(Inputs!$D$4:$AG$100,0,MATCH(G$2,Inputs!$D$2:$AG$2,0)),Inputs!$B$4:$B$100,$B17)/1000)</f>
        <v>0</v>
      </c>
      <c r="H17" s="12">
        <f>IF(G17="","",G17)</f>
        <v>0</v>
      </c>
      <c r="I17" s="11">
        <f>IF(I$3=0,"",SUMIFS(INDEX(Inputs!$D$4:$AG$100,0,MATCH(I$2,Inputs!$D$2:$AG$2,0)),Inputs!$B$4:$B$100,$B17)/1000)</f>
        <v>0</v>
      </c>
      <c r="J17" s="11">
        <f>IF(J$3=0,"",SUMIFS(INDEX(Inputs!$D$4:$AG$100,0,MATCH(J$2,Inputs!$D$2:$AG$2,0)),Inputs!$B$4:$B$100,$B17)/1000)</f>
        <v>0</v>
      </c>
      <c r="K17" s="11">
        <f>IF(K$3=0,"",SUMIFS(INDEX(Inputs!$D$4:$AG$100,0,MATCH(K$2,Inputs!$D$2:$AG$2,0)),Inputs!$B$4:$B$100,$B17)/1000)</f>
        <v>0</v>
      </c>
      <c r="L17" s="11">
        <f>IF(L$3=0,"",SUMIFS(INDEX(Inputs!$D$4:$AG$100,0,MATCH(L$2,Inputs!$D$2:$AG$2,0)),Inputs!$B$4:$B$100,$B17)/1000)</f>
        <v>0</v>
      </c>
      <c r="M17" s="12">
        <f>IF(L17="","",L17)</f>
        <v>0</v>
      </c>
      <c r="N17" s="11">
        <f>IF(N$3=0,"",SUMIFS(INDEX(Inputs!$D$4:$AG$100,0,MATCH(N$2,Inputs!$D$2:$AG$2,0)),Inputs!$B$4:$B$100,$B17)/1000)</f>
        <v>0</v>
      </c>
      <c r="O17" s="11">
        <f>IF(O$3=0,"",SUMIFS(INDEX(Inputs!$D$4:$AG$100,0,MATCH(O$2,Inputs!$D$2:$AG$2,0)),Inputs!$B$4:$B$100,$B17)/1000)</f>
        <v>0</v>
      </c>
      <c r="P17" s="11">
        <f>IF(P$3=0,"",SUMIFS(INDEX(Inputs!$D$4:$AG$100,0,MATCH(P$2,Inputs!$D$2:$AG$2,0)),Inputs!$B$4:$B$100,$B17)/1000)</f>
        <v>0</v>
      </c>
      <c r="Q17" s="11">
        <f>IF(Q$3=0,"",SUMIFS(INDEX(Inputs!$D$4:$AG$100,0,MATCH(Q$2,Inputs!$D$2:$AG$2,0)),Inputs!$B$4:$B$100,$B17)/1000)</f>
        <v>0</v>
      </c>
      <c r="R17" s="12">
        <f>IF(Q17="","",Q17)</f>
        <v>0</v>
      </c>
      <c r="S17" s="11">
        <f>IF(S$3=0,"",SUMIFS(INDEX(Inputs!$D$4:$AG$100,0,MATCH(S$2,Inputs!$D$2:$AG$2,0)),Inputs!$B$4:$B$100,$B17)/1000)</f>
        <v>0</v>
      </c>
      <c r="T17" s="11">
        <f>IF(T$3=0,"",SUMIFS(INDEX(Inputs!$D$4:$AG$100,0,MATCH(T$2,Inputs!$D$2:$AG$2,0)),Inputs!$B$4:$B$100,$B17)/1000)</f>
        <v>0</v>
      </c>
      <c r="U17" s="11">
        <f>IF(U$3=0,"",SUMIFS(INDEX(Inputs!$D$4:$AG$100,0,MATCH(U$2,Inputs!$D$2:$AG$2,0)),Inputs!$B$4:$B$100,$B17)/1000)</f>
        <v>0</v>
      </c>
      <c r="V17" s="11">
        <f>IF(V$3=0,"",SUMIFS(INDEX(Inputs!$D$4:$AG$100,0,MATCH(V$2,Inputs!$D$2:$AG$2,0)),Inputs!$B$4:$B$100,$B17)/1000)</f>
        <v>0</v>
      </c>
      <c r="W17" s="12">
        <f>IF(V17="","",V17)</f>
        <v>0</v>
      </c>
      <c r="X17" s="11">
        <f>IF(X$3=0,"",SUMIFS(INDEX(Inputs!$D$4:$AG$100,0,MATCH(X$2,Inputs!$D$2:$AG$2,0)),Inputs!$B$4:$B$100,$B17)/1000)</f>
        <v>0</v>
      </c>
      <c r="Y17" s="11">
        <f>IF(Y$3=0,"",SUMIFS(INDEX(Inputs!$D$4:$AG$100,0,MATCH(Y$2,Inputs!$D$2:$AG$2,0)),Inputs!$B$4:$B$100,$B17)/1000)</f>
        <v>0</v>
      </c>
      <c r="Z17" s="11">
        <f>IF(Z$3=0,"",SUMIFS(INDEX(Inputs!$D$4:$AG$100,0,MATCH(Z$2,Inputs!$D$2:$AG$2,0)),Inputs!$B$4:$B$100,$B17)/1000)</f>
        <v>0</v>
      </c>
      <c r="AA17" s="11">
        <f>IF(AA$3=0,"",SUMIFS(INDEX(Inputs!$D$4:$AG$100,0,MATCH(AA$2,Inputs!$D$2:$AG$2,0)),Inputs!$B$4:$B$100,$B17)/1000)</f>
        <v>0</v>
      </c>
      <c r="AB17" s="12">
        <f>IF(AA17="","",AA17)</f>
        <v>0</v>
      </c>
      <c r="AC17" s="11">
        <f>IF(AC$3=0,"",SUMIFS(INDEX(Inputs!$D$4:$AG$100,0,MATCH(AC$2,Inputs!$D$2:$AG$2,0)),Inputs!$B$4:$B$100,$B17)/1000)</f>
        <v>0</v>
      </c>
      <c r="AD17" s="11">
        <f>IF(AD$3=0,"",SUMIFS(INDEX(Inputs!$D$4:$AG$100,0,MATCH(AD$2,Inputs!$D$2:$AG$2,0)),Inputs!$B$4:$B$100,$B17)/1000)</f>
        <v>0</v>
      </c>
      <c r="AE17" s="11" t="str">
        <f>IF(AE$3=0,"",SUMIFS(INDEX(Inputs!$D$4:$AG$100,0,MATCH(AE$2,Inputs!$D$2:$AG$2,0)),Inputs!$B$4:$B$100,$B17)/1000)</f>
        <v/>
      </c>
      <c r="AF17" s="11" t="str">
        <f>IF(AF$3=0,"",SUMIFS(INDEX(Inputs!$D$4:$AG$100,0,MATCH(AF$2,Inputs!$D$2:$AG$2,0)),Inputs!$B$4:$B$100,$B17)/1000)</f>
        <v/>
      </c>
      <c r="AG17" s="12" t="str">
        <f>IF(AF17="","",AF17)</f>
        <v/>
      </c>
    </row>
    <row r="18">
      <c r="B18" s="9" t="n">
        <v>14</v>
      </c>
      <c r="C18" s="14" t="inlineStr">
        <is>
          <t>Deferred income taxes</t>
        </is>
      </c>
      <c r="D18" s="11">
        <f>IF(D$3=0,"",SUMIFS(INDEX(Inputs!$D$4:$AG$100,0,MATCH(D$2,Inputs!$D$2:$AG$2,0)),Inputs!$B$4:$B$100,$B18)/1000)</f>
        <v>3908.905</v>
      </c>
      <c r="E18" s="11">
        <f>IF(E$3=0,"",SUMIFS(INDEX(Inputs!$D$4:$AG$100,0,MATCH(E$2,Inputs!$D$2:$AG$2,0)),Inputs!$B$4:$B$100,$B18)/1000)</f>
        <v>3908.192</v>
      </c>
      <c r="F18" s="11">
        <f>IF(F$3=0,"",SUMIFS(INDEX(Inputs!$D$4:$AG$100,0,MATCH(F$2,Inputs!$D$2:$AG$2,0)),Inputs!$B$4:$B$100,$B18)/1000)</f>
        <v>3444.995</v>
      </c>
      <c r="G18" s="11">
        <f>IF(G$3=0,"",SUMIFS(INDEX(Inputs!$D$4:$AG$100,0,MATCH(G$2,Inputs!$D$2:$AG$2,0)),Inputs!$B$4:$B$100,$B18)/1000)</f>
        <v>3408.893</v>
      </c>
      <c r="H18" s="12">
        <f>IF(G18="","",G18)</f>
        <v>3408.893</v>
      </c>
      <c r="I18" s="11">
        <f>IF(I$3=0,"",SUMIFS(INDEX(Inputs!$D$4:$AG$100,0,MATCH(I$2,Inputs!$D$2:$AG$2,0)),Inputs!$B$4:$B$100,$B18)/1000)</f>
        <v>3416.808</v>
      </c>
      <c r="J18" s="11">
        <f>IF(J$3=0,"",SUMIFS(INDEX(Inputs!$D$4:$AG$100,0,MATCH(J$2,Inputs!$D$2:$AG$2,0)),Inputs!$B$4:$B$100,$B18)/1000)</f>
        <v>3430.877</v>
      </c>
      <c r="K18" s="11">
        <f>IF(K$3=0,"",SUMIFS(INDEX(Inputs!$D$4:$AG$100,0,MATCH(K$2,Inputs!$D$2:$AG$2,0)),Inputs!$B$4:$B$100,$B18)/1000)</f>
        <v>3370.826</v>
      </c>
      <c r="L18" s="11">
        <f>IF(L$3=0,"",SUMIFS(INDEX(Inputs!$D$4:$AG$100,0,MATCH(L$2,Inputs!$D$2:$AG$2,0)),Inputs!$B$4:$B$100,$B18)/1000)</f>
        <v>3000.824</v>
      </c>
      <c r="M18" s="12">
        <f>IF(L18="","",L18)</f>
        <v>3000.824</v>
      </c>
      <c r="N18" s="11">
        <f>IF(N$3=0,"",SUMIFS(INDEX(Inputs!$D$4:$AG$100,0,MATCH(N$2,Inputs!$D$2:$AG$2,0)),Inputs!$B$4:$B$100,$B18)/1000)</f>
        <v>2992.037</v>
      </c>
      <c r="O18" s="11">
        <f>IF(O$3=0,"",SUMIFS(INDEX(Inputs!$D$4:$AG$100,0,MATCH(O$2,Inputs!$D$2:$AG$2,0)),Inputs!$B$4:$B$100,$B18)/1000)</f>
        <v>2922.766</v>
      </c>
      <c r="P18" s="11">
        <f>IF(P$3=0,"",SUMIFS(INDEX(Inputs!$D$4:$AG$100,0,MATCH(P$2,Inputs!$D$2:$AG$2,0)),Inputs!$B$4:$B$100,$B18)/1000)</f>
        <v>2601.196</v>
      </c>
      <c r="Q18" s="11">
        <f>IF(Q$3=0,"",SUMIFS(INDEX(Inputs!$D$4:$AG$100,0,MATCH(Q$2,Inputs!$D$2:$AG$2,0)),Inputs!$B$4:$B$100,$B18)/1000)</f>
        <v>2698.782</v>
      </c>
      <c r="R18" s="12">
        <f>IF(Q18="","",Q18)</f>
        <v>2698.782</v>
      </c>
      <c r="S18" s="11">
        <f>IF(S$3=0,"",SUMIFS(INDEX(Inputs!$D$4:$AG$100,0,MATCH(S$2,Inputs!$D$2:$AG$2,0)),Inputs!$B$4:$B$100,$B18)/1000)</f>
        <v>2697.332</v>
      </c>
      <c r="T18" s="11">
        <f>IF(T$3=0,"",SUMIFS(INDEX(Inputs!$D$4:$AG$100,0,MATCH(T$2,Inputs!$D$2:$AG$2,0)),Inputs!$B$4:$B$100,$B18)/1000)</f>
        <v>2660.554</v>
      </c>
      <c r="U18" s="11">
        <f>IF(U$3=0,"",SUMIFS(INDEX(Inputs!$D$4:$AG$100,0,MATCH(U$2,Inputs!$D$2:$AG$2,0)),Inputs!$B$4:$B$100,$B18)/1000)</f>
        <v>2642.872</v>
      </c>
      <c r="V18" s="11">
        <f>IF(V$3=0,"",SUMIFS(INDEX(Inputs!$D$4:$AG$100,0,MATCH(V$2,Inputs!$D$2:$AG$2,0)),Inputs!$B$4:$B$100,$B18)/1000)</f>
        <v>2172.103</v>
      </c>
      <c r="W18" s="12">
        <f>IF(V18="","",V18)</f>
        <v>2172.103</v>
      </c>
      <c r="X18" s="11">
        <f>IF(X$3=0,"",SUMIFS(INDEX(Inputs!$D$4:$AG$100,0,MATCH(X$2,Inputs!$D$2:$AG$2,0)),Inputs!$B$4:$B$100,$B18)/1000)</f>
        <v>2129.196</v>
      </c>
      <c r="Y18" s="11">
        <f>IF(Y$3=0,"",SUMIFS(INDEX(Inputs!$D$4:$AG$100,0,MATCH(Y$2,Inputs!$D$2:$AG$2,0)),Inputs!$B$4:$B$100,$B18)/1000)</f>
        <v>1964.087</v>
      </c>
      <c r="Z18" s="11">
        <f>IF(Z$3=0,"",SUMIFS(INDEX(Inputs!$D$4:$AG$100,0,MATCH(Z$2,Inputs!$D$2:$AG$2,0)),Inputs!$B$4:$B$100,$B18)/1000)</f>
        <v>1995.197</v>
      </c>
      <c r="AA18" s="11">
        <f>IF(AA$3=0,"",SUMIFS(INDEX(Inputs!$D$4:$AG$100,0,MATCH(AA$2,Inputs!$D$2:$AG$2,0)),Inputs!$B$4:$B$100,$B18)/1000)</f>
        <v>1942.725</v>
      </c>
      <c r="AB18" s="12">
        <f>IF(AA18="","",AA18)</f>
        <v>1942.725</v>
      </c>
      <c r="AC18" s="11">
        <f>IF(AC$3=0,"",SUMIFS(INDEX(Inputs!$D$4:$AG$100,0,MATCH(AC$2,Inputs!$D$2:$AG$2,0)),Inputs!$B$4:$B$100,$B18)/1000)</f>
        <v>1956.126</v>
      </c>
      <c r="AD18" s="11">
        <f>IF(AD$3=0,"",SUMIFS(INDEX(Inputs!$D$4:$AG$100,0,MATCH(AD$2,Inputs!$D$2:$AG$2,0)),Inputs!$B$4:$B$100,$B18)/1000)</f>
        <v>1997.881</v>
      </c>
      <c r="AE18" s="11" t="str">
        <f>IF(AE$3=0,"",SUMIFS(INDEX(Inputs!$D$4:$AG$100,0,MATCH(AE$2,Inputs!$D$2:$AG$2,0)),Inputs!$B$4:$B$100,$B18)/1000)</f>
        <v/>
      </c>
      <c r="AF18" s="11" t="str">
        <f>IF(AF$3=0,"",SUMIFS(INDEX(Inputs!$D$4:$AG$100,0,MATCH(AF$2,Inputs!$D$2:$AG$2,0)),Inputs!$B$4:$B$100,$B18)/1000)</f>
        <v/>
      </c>
      <c r="AG18" s="12" t="str">
        <f>IF(AF18="","",AF18)</f>
        <v/>
      </c>
    </row>
    <row r="19">
      <c r="B19" s="9" t="n">
        <v>15</v>
      </c>
      <c r="C19" s="14" t="inlineStr">
        <is>
          <t>Prepaid expenses</t>
        </is>
      </c>
      <c r="D19" s="11">
        <f>IF(D$3=0,"",SUMIFS(INDEX(Inputs!$D$4:$AG$100,0,MATCH(D$2,Inputs!$D$2:$AG$2,0)),Inputs!$B$4:$B$100,$B19)/1000)</f>
        <v>0</v>
      </c>
      <c r="E19" s="11">
        <f>IF(E$3=0,"",SUMIFS(INDEX(Inputs!$D$4:$AG$100,0,MATCH(E$2,Inputs!$D$2:$AG$2,0)),Inputs!$B$4:$B$100,$B19)/1000)</f>
        <v>0</v>
      </c>
      <c r="F19" s="11">
        <f>IF(F$3=0,"",SUMIFS(INDEX(Inputs!$D$4:$AG$100,0,MATCH(F$2,Inputs!$D$2:$AG$2,0)),Inputs!$B$4:$B$100,$B19)/1000)</f>
        <v>0</v>
      </c>
      <c r="G19" s="11">
        <f>IF(G$3=0,"",SUMIFS(INDEX(Inputs!$D$4:$AG$100,0,MATCH(G$2,Inputs!$D$2:$AG$2,0)),Inputs!$B$4:$B$100,$B19)/1000)</f>
        <v>0</v>
      </c>
      <c r="H19" s="12">
        <f>IF(G19="","",G19)</f>
        <v>0</v>
      </c>
      <c r="I19" s="11">
        <f>IF(I$3=0,"",SUMIFS(INDEX(Inputs!$D$4:$AG$100,0,MATCH(I$2,Inputs!$D$2:$AG$2,0)),Inputs!$B$4:$B$100,$B19)/1000)</f>
        <v>0</v>
      </c>
      <c r="J19" s="11">
        <f>IF(J$3=0,"",SUMIFS(INDEX(Inputs!$D$4:$AG$100,0,MATCH(J$2,Inputs!$D$2:$AG$2,0)),Inputs!$B$4:$B$100,$B19)/1000)</f>
        <v>0</v>
      </c>
      <c r="K19" s="11">
        <f>IF(K$3=0,"",SUMIFS(INDEX(Inputs!$D$4:$AG$100,0,MATCH(K$2,Inputs!$D$2:$AG$2,0)),Inputs!$B$4:$B$100,$B19)/1000)</f>
        <v>0</v>
      </c>
      <c r="L19" s="11">
        <f>IF(L$3=0,"",SUMIFS(INDEX(Inputs!$D$4:$AG$100,0,MATCH(L$2,Inputs!$D$2:$AG$2,0)),Inputs!$B$4:$B$100,$B19)/1000)</f>
        <v>0</v>
      </c>
      <c r="M19" s="12">
        <f>IF(L19="","",L19)</f>
        <v>0</v>
      </c>
      <c r="N19" s="11">
        <f>IF(N$3=0,"",SUMIFS(INDEX(Inputs!$D$4:$AG$100,0,MATCH(N$2,Inputs!$D$2:$AG$2,0)),Inputs!$B$4:$B$100,$B19)/1000)</f>
        <v>0</v>
      </c>
      <c r="O19" s="11">
        <f>IF(O$3=0,"",SUMIFS(INDEX(Inputs!$D$4:$AG$100,0,MATCH(O$2,Inputs!$D$2:$AG$2,0)),Inputs!$B$4:$B$100,$B19)/1000)</f>
        <v>0</v>
      </c>
      <c r="P19" s="11">
        <f>IF(P$3=0,"",SUMIFS(INDEX(Inputs!$D$4:$AG$100,0,MATCH(P$2,Inputs!$D$2:$AG$2,0)),Inputs!$B$4:$B$100,$B19)/1000)</f>
        <v>0</v>
      </c>
      <c r="Q19" s="11">
        <f>IF(Q$3=0,"",SUMIFS(INDEX(Inputs!$D$4:$AG$100,0,MATCH(Q$2,Inputs!$D$2:$AG$2,0)),Inputs!$B$4:$B$100,$B19)/1000)</f>
        <v>0</v>
      </c>
      <c r="R19" s="12">
        <f>IF(Q19="","",Q19)</f>
        <v>0</v>
      </c>
      <c r="S19" s="11">
        <f>IF(S$3=0,"",SUMIFS(INDEX(Inputs!$D$4:$AG$100,0,MATCH(S$2,Inputs!$D$2:$AG$2,0)),Inputs!$B$4:$B$100,$B19)/1000)</f>
        <v>0</v>
      </c>
      <c r="T19" s="11">
        <f>IF(T$3=0,"",SUMIFS(INDEX(Inputs!$D$4:$AG$100,0,MATCH(T$2,Inputs!$D$2:$AG$2,0)),Inputs!$B$4:$B$100,$B19)/1000)</f>
        <v>0</v>
      </c>
      <c r="U19" s="11">
        <f>IF(U$3=0,"",SUMIFS(INDEX(Inputs!$D$4:$AG$100,0,MATCH(U$2,Inputs!$D$2:$AG$2,0)),Inputs!$B$4:$B$100,$B19)/1000)</f>
        <v>0</v>
      </c>
      <c r="V19" s="11">
        <f>IF(V$3=0,"",SUMIFS(INDEX(Inputs!$D$4:$AG$100,0,MATCH(V$2,Inputs!$D$2:$AG$2,0)),Inputs!$B$4:$B$100,$B19)/1000)</f>
        <v>0</v>
      </c>
      <c r="W19" s="12">
        <f>IF(V19="","",V19)</f>
        <v>0</v>
      </c>
      <c r="X19" s="11">
        <f>IF(X$3=0,"",SUMIFS(INDEX(Inputs!$D$4:$AG$100,0,MATCH(X$2,Inputs!$D$2:$AG$2,0)),Inputs!$B$4:$B$100,$B19)/1000)</f>
        <v>0</v>
      </c>
      <c r="Y19" s="11">
        <f>IF(Y$3=0,"",SUMIFS(INDEX(Inputs!$D$4:$AG$100,0,MATCH(Y$2,Inputs!$D$2:$AG$2,0)),Inputs!$B$4:$B$100,$B19)/1000)</f>
        <v>0</v>
      </c>
      <c r="Z19" s="11">
        <f>IF(Z$3=0,"",SUMIFS(INDEX(Inputs!$D$4:$AG$100,0,MATCH(Z$2,Inputs!$D$2:$AG$2,0)),Inputs!$B$4:$B$100,$B19)/1000)</f>
        <v>0</v>
      </c>
      <c r="AA19" s="11">
        <f>IF(AA$3=0,"",SUMIFS(INDEX(Inputs!$D$4:$AG$100,0,MATCH(AA$2,Inputs!$D$2:$AG$2,0)),Inputs!$B$4:$B$100,$B19)/1000)</f>
        <v>0</v>
      </c>
      <c r="AB19" s="12">
        <f>IF(AA19="","",AA19)</f>
        <v>0</v>
      </c>
      <c r="AC19" s="11">
        <f>IF(AC$3=0,"",SUMIFS(INDEX(Inputs!$D$4:$AG$100,0,MATCH(AC$2,Inputs!$D$2:$AG$2,0)),Inputs!$B$4:$B$100,$B19)/1000)</f>
        <v>0</v>
      </c>
      <c r="AD19" s="11">
        <f>IF(AD$3=0,"",SUMIFS(INDEX(Inputs!$D$4:$AG$100,0,MATCH(AD$2,Inputs!$D$2:$AG$2,0)),Inputs!$B$4:$B$100,$B19)/1000)</f>
        <v>0</v>
      </c>
      <c r="AE19" s="11" t="str">
        <f>IF(AE$3=0,"",SUMIFS(INDEX(Inputs!$D$4:$AG$100,0,MATCH(AE$2,Inputs!$D$2:$AG$2,0)),Inputs!$B$4:$B$100,$B19)/1000)</f>
        <v/>
      </c>
      <c r="AF19" s="11" t="str">
        <f>IF(AF$3=0,"",SUMIFS(INDEX(Inputs!$D$4:$AG$100,0,MATCH(AF$2,Inputs!$D$2:$AG$2,0)),Inputs!$B$4:$B$100,$B19)/1000)</f>
        <v/>
      </c>
      <c r="AG19" s="12" t="str">
        <f>IF(AF19="","",AF19)</f>
        <v/>
      </c>
    </row>
    <row r="20">
      <c r="B20" s="9" t="n">
        <v>16</v>
      </c>
      <c r="C20" s="14" t="inlineStr">
        <is>
          <t>Other current assets</t>
        </is>
      </c>
      <c r="D20" s="11">
        <f>IF(D$3=0,"",SUMIFS(INDEX(Inputs!$D$4:$AG$100,0,MATCH(D$2,Inputs!$D$2:$AG$2,0)),Inputs!$B$4:$B$100,$B20)/1000)</f>
        <v>153.704</v>
      </c>
      <c r="E20" s="11">
        <f>IF(E$3=0,"",SUMIFS(INDEX(Inputs!$D$4:$AG$100,0,MATCH(E$2,Inputs!$D$2:$AG$2,0)),Inputs!$B$4:$B$100,$B20)/1000)</f>
        <v>169.532</v>
      </c>
      <c r="F20" s="11">
        <f>IF(F$3=0,"",SUMIFS(INDEX(Inputs!$D$4:$AG$100,0,MATCH(F$2,Inputs!$D$2:$AG$2,0)),Inputs!$B$4:$B$100,$B20)/1000)</f>
        <v>172.01</v>
      </c>
      <c r="G20" s="11">
        <f>IF(G$3=0,"",SUMIFS(INDEX(Inputs!$D$4:$AG$100,0,MATCH(G$2,Inputs!$D$2:$AG$2,0)),Inputs!$B$4:$B$100,$B20)/1000)</f>
        <v>349.799</v>
      </c>
      <c r="H20" s="12">
        <f>IF(G20="","",G20)</f>
        <v>349.799</v>
      </c>
      <c r="I20" s="11">
        <f>IF(I$3=0,"",SUMIFS(INDEX(Inputs!$D$4:$AG$100,0,MATCH(I$2,Inputs!$D$2:$AG$2,0)),Inputs!$B$4:$B$100,$B20)/1000)</f>
        <v>1735.893</v>
      </c>
      <c r="J20" s="11">
        <f>IF(J$3=0,"",SUMIFS(INDEX(Inputs!$D$4:$AG$100,0,MATCH(J$2,Inputs!$D$2:$AG$2,0)),Inputs!$B$4:$B$100,$B20)/1000)</f>
        <v>2046.69</v>
      </c>
      <c r="K20" s="11">
        <f>IF(K$3=0,"",SUMIFS(INDEX(Inputs!$D$4:$AG$100,0,MATCH(K$2,Inputs!$D$2:$AG$2,0)),Inputs!$B$4:$B$100,$B20)/1000)</f>
        <v>1890.397</v>
      </c>
      <c r="L20" s="11">
        <f>IF(L$3=0,"",SUMIFS(INDEX(Inputs!$D$4:$AG$100,0,MATCH(L$2,Inputs!$D$2:$AG$2,0)),Inputs!$B$4:$B$100,$B20)/1000)</f>
        <v>2419.33</v>
      </c>
      <c r="M20" s="12">
        <f>IF(L20="","",L20)</f>
        <v>2419.33</v>
      </c>
      <c r="N20" s="11">
        <f>IF(N$3=0,"",SUMIFS(INDEX(Inputs!$D$4:$AG$100,0,MATCH(N$2,Inputs!$D$2:$AG$2,0)),Inputs!$B$4:$B$100,$B20)/1000)</f>
        <v>2920.331</v>
      </c>
      <c r="O20" s="11">
        <f>IF(O$3=0,"",SUMIFS(INDEX(Inputs!$D$4:$AG$100,0,MATCH(O$2,Inputs!$D$2:$AG$2,0)),Inputs!$B$4:$B$100,$B20)/1000)</f>
        <v>2337.541</v>
      </c>
      <c r="P20" s="11">
        <f>IF(P$3=0,"",SUMIFS(INDEX(Inputs!$D$4:$AG$100,0,MATCH(P$2,Inputs!$D$2:$AG$2,0)),Inputs!$B$4:$B$100,$B20)/1000)</f>
        <v>2228.121</v>
      </c>
      <c r="Q20" s="11">
        <f>IF(Q$3=0,"",SUMIFS(INDEX(Inputs!$D$4:$AG$100,0,MATCH(Q$2,Inputs!$D$2:$AG$2,0)),Inputs!$B$4:$B$100,$B20)/1000)</f>
        <v>2019.991</v>
      </c>
      <c r="R20" s="12">
        <f>IF(Q20="","",Q20)</f>
        <v>2019.991</v>
      </c>
      <c r="S20" s="11">
        <f>IF(S$3=0,"",SUMIFS(INDEX(Inputs!$D$4:$AG$100,0,MATCH(S$2,Inputs!$D$2:$AG$2,0)),Inputs!$B$4:$B$100,$B20)/1000)</f>
        <v>1684.062</v>
      </c>
      <c r="T20" s="11">
        <f>IF(T$3=0,"",SUMIFS(INDEX(Inputs!$D$4:$AG$100,0,MATCH(T$2,Inputs!$D$2:$AG$2,0)),Inputs!$B$4:$B$100,$B20)/1000)</f>
        <v>1748.821</v>
      </c>
      <c r="U20" s="11">
        <f>IF(U$3=0,"",SUMIFS(INDEX(Inputs!$D$4:$AG$100,0,MATCH(U$2,Inputs!$D$2:$AG$2,0)),Inputs!$B$4:$B$100,$B20)/1000)</f>
        <v>3461.649</v>
      </c>
      <c r="V20" s="11">
        <f>IF(V$3=0,"",SUMIFS(INDEX(Inputs!$D$4:$AG$100,0,MATCH(V$2,Inputs!$D$2:$AG$2,0)),Inputs!$B$4:$B$100,$B20)/1000)</f>
        <v>2441.749</v>
      </c>
      <c r="W20" s="12">
        <f>IF(V20="","",V20)</f>
        <v>2441.749</v>
      </c>
      <c r="X20" s="11">
        <f>IF(X$3=0,"",SUMIFS(INDEX(Inputs!$D$4:$AG$100,0,MATCH(X$2,Inputs!$D$2:$AG$2,0)),Inputs!$B$4:$B$100,$B20)/1000)</f>
        <v>3526.946</v>
      </c>
      <c r="Y20" s="11">
        <f>IF(Y$3=0,"",SUMIFS(INDEX(Inputs!$D$4:$AG$100,0,MATCH(Y$2,Inputs!$D$2:$AG$2,0)),Inputs!$B$4:$B$100,$B20)/1000)</f>
        <v>2570.301</v>
      </c>
      <c r="Z20" s="11">
        <f>IF(Z$3=0,"",SUMIFS(INDEX(Inputs!$D$4:$AG$100,0,MATCH(Z$2,Inputs!$D$2:$AG$2,0)),Inputs!$B$4:$B$100,$B20)/1000)</f>
        <v>2200.475</v>
      </c>
      <c r="AA20" s="11">
        <f>IF(AA$3=0,"",SUMIFS(INDEX(Inputs!$D$4:$AG$100,0,MATCH(AA$2,Inputs!$D$2:$AG$2,0)),Inputs!$B$4:$B$100,$B20)/1000)</f>
        <v>2365.271</v>
      </c>
      <c r="AB20" s="12">
        <f>IF(AA20="","",AA20)</f>
        <v>2365.271</v>
      </c>
      <c r="AC20" s="11">
        <f>IF(AC$3=0,"",SUMIFS(INDEX(Inputs!$D$4:$AG$100,0,MATCH(AC$2,Inputs!$D$2:$AG$2,0)),Inputs!$B$4:$B$100,$B20)/1000)</f>
        <v>2200.206</v>
      </c>
      <c r="AD20" s="11">
        <f>IF(AD$3=0,"",SUMIFS(INDEX(Inputs!$D$4:$AG$100,0,MATCH(AD$2,Inputs!$D$2:$AG$2,0)),Inputs!$B$4:$B$100,$B20)/1000)</f>
        <v>2081.861</v>
      </c>
      <c r="AE20" s="11" t="str">
        <f>IF(AE$3=0,"",SUMIFS(INDEX(Inputs!$D$4:$AG$100,0,MATCH(AE$2,Inputs!$D$2:$AG$2,0)),Inputs!$B$4:$B$100,$B20)/1000)</f>
        <v/>
      </c>
      <c r="AF20" s="11" t="str">
        <f>IF(AF$3=0,"",SUMIFS(INDEX(Inputs!$D$4:$AG$100,0,MATCH(AF$2,Inputs!$D$2:$AG$2,0)),Inputs!$B$4:$B$100,$B20)/1000)</f>
        <v/>
      </c>
      <c r="AG20" s="12" t="str">
        <f>IF(AF20="","",AF20)</f>
        <v/>
      </c>
    </row>
    <row r="21">
      <c r="B21" s="9" t="n">
        <v>17</v>
      </c>
      <c r="C21" s="14" t="inlineStr">
        <is>
          <t>Equity in affiliates</t>
        </is>
      </c>
      <c r="D21" s="11">
        <f>IF(D$3=0,"",SUMIFS(INDEX(Inputs!$D$4:$AG$100,0,MATCH(D$2,Inputs!$D$2:$AG$2,0)),Inputs!$B$4:$B$100,$B21)/1000)</f>
        <v>0</v>
      </c>
      <c r="E21" s="11">
        <f>IF(E$3=0,"",SUMIFS(INDEX(Inputs!$D$4:$AG$100,0,MATCH(E$2,Inputs!$D$2:$AG$2,0)),Inputs!$B$4:$B$100,$B21)/1000)</f>
        <v>0</v>
      </c>
      <c r="F21" s="11">
        <f>IF(F$3=0,"",SUMIFS(INDEX(Inputs!$D$4:$AG$100,0,MATCH(F$2,Inputs!$D$2:$AG$2,0)),Inputs!$B$4:$B$100,$B21)/1000)</f>
        <v>0</v>
      </c>
      <c r="G21" s="11">
        <f>IF(G$3=0,"",SUMIFS(INDEX(Inputs!$D$4:$AG$100,0,MATCH(G$2,Inputs!$D$2:$AG$2,0)),Inputs!$B$4:$B$100,$B21)/1000)</f>
        <v>0</v>
      </c>
      <c r="H21" s="12">
        <f>IF(G21="","",G21)</f>
        <v>0</v>
      </c>
      <c r="I21" s="11">
        <f>IF(I$3=0,"",SUMIFS(INDEX(Inputs!$D$4:$AG$100,0,MATCH(I$2,Inputs!$D$2:$AG$2,0)),Inputs!$B$4:$B$100,$B21)/1000)</f>
        <v>1101.829</v>
      </c>
      <c r="J21" s="11">
        <f>IF(J$3=0,"",SUMIFS(INDEX(Inputs!$D$4:$AG$100,0,MATCH(J$2,Inputs!$D$2:$AG$2,0)),Inputs!$B$4:$B$100,$B21)/1000)</f>
        <v>1015.723</v>
      </c>
      <c r="K21" s="11">
        <f>IF(K$3=0,"",SUMIFS(INDEX(Inputs!$D$4:$AG$100,0,MATCH(K$2,Inputs!$D$2:$AG$2,0)),Inputs!$B$4:$B$100,$B21)/1000)</f>
        <v>1077.88</v>
      </c>
      <c r="L21" s="11">
        <f>IF(L$3=0,"",SUMIFS(INDEX(Inputs!$D$4:$AG$100,0,MATCH(L$2,Inputs!$D$2:$AG$2,0)),Inputs!$B$4:$B$100,$B21)/1000)</f>
        <v>2161.751</v>
      </c>
      <c r="M21" s="12">
        <f>IF(L21="","",L21)</f>
        <v>2161.751</v>
      </c>
      <c r="N21" s="11">
        <f>IF(N$3=0,"",SUMIFS(INDEX(Inputs!$D$4:$AG$100,0,MATCH(N$2,Inputs!$D$2:$AG$2,0)),Inputs!$B$4:$B$100,$B21)/1000)</f>
        <v>2192.011</v>
      </c>
      <c r="O21" s="11">
        <f>IF(O$3=0,"",SUMIFS(INDEX(Inputs!$D$4:$AG$100,0,MATCH(O$2,Inputs!$D$2:$AG$2,0)),Inputs!$B$4:$B$100,$B21)/1000)</f>
        <v>2127.074</v>
      </c>
      <c r="P21" s="11">
        <f>IF(P$3=0,"",SUMIFS(INDEX(Inputs!$D$4:$AG$100,0,MATCH(P$2,Inputs!$D$2:$AG$2,0)),Inputs!$B$4:$B$100,$B21)/1000)</f>
        <v>2111.609</v>
      </c>
      <c r="Q21" s="11">
        <f>IF(Q$3=0,"",SUMIFS(INDEX(Inputs!$D$4:$AG$100,0,MATCH(Q$2,Inputs!$D$2:$AG$2,0)),Inputs!$B$4:$B$100,$B21)/1000)</f>
        <v>2057.307</v>
      </c>
      <c r="R21" s="12">
        <f>IF(Q21="","",Q21)</f>
        <v>2057.307</v>
      </c>
      <c r="S21" s="11">
        <f>IF(S$3=0,"",SUMIFS(INDEX(Inputs!$D$4:$AG$100,0,MATCH(S$2,Inputs!$D$2:$AG$2,0)),Inputs!$B$4:$B$100,$B21)/1000)</f>
        <v>2111.899</v>
      </c>
      <c r="T21" s="11">
        <f>IF(T$3=0,"",SUMIFS(INDEX(Inputs!$D$4:$AG$100,0,MATCH(T$2,Inputs!$D$2:$AG$2,0)),Inputs!$B$4:$B$100,$B21)/1000)</f>
        <v>2047.967</v>
      </c>
      <c r="U21" s="11">
        <f>IF(U$3=0,"",SUMIFS(INDEX(Inputs!$D$4:$AG$100,0,MATCH(U$2,Inputs!$D$2:$AG$2,0)),Inputs!$B$4:$B$100,$B21)/1000)</f>
        <v>2105.551</v>
      </c>
      <c r="V21" s="11">
        <f>IF(V$3=0,"",SUMIFS(INDEX(Inputs!$D$4:$AG$100,0,MATCH(V$2,Inputs!$D$2:$AG$2,0)),Inputs!$B$4:$B$100,$B21)/1000)</f>
        <v>2261.558</v>
      </c>
      <c r="W21" s="12">
        <f>IF(V21="","",V21)</f>
        <v>2261.558</v>
      </c>
      <c r="X21" s="11">
        <f>IF(X$3=0,"",SUMIFS(INDEX(Inputs!$D$4:$AG$100,0,MATCH(X$2,Inputs!$D$2:$AG$2,0)),Inputs!$B$4:$B$100,$B21)/1000)</f>
        <v>2299.011</v>
      </c>
      <c r="Y21" s="11">
        <f>IF(Y$3=0,"",SUMIFS(INDEX(Inputs!$D$4:$AG$100,0,MATCH(Y$2,Inputs!$D$2:$AG$2,0)),Inputs!$B$4:$B$100,$B21)/1000)</f>
        <v>2216.541</v>
      </c>
      <c r="Z21" s="11">
        <f>IF(Z$3=0,"",SUMIFS(INDEX(Inputs!$D$4:$AG$100,0,MATCH(Z$2,Inputs!$D$2:$AG$2,0)),Inputs!$B$4:$B$100,$B21)/1000)</f>
        <v>2133.085</v>
      </c>
      <c r="AA21" s="11">
        <f>IF(AA$3=0,"",SUMIFS(INDEX(Inputs!$D$4:$AG$100,0,MATCH(AA$2,Inputs!$D$2:$AG$2,0)),Inputs!$B$4:$B$100,$B21)/1000)</f>
        <v>2131.02</v>
      </c>
      <c r="AB21" s="12">
        <f>IF(AA21="","",AA21)</f>
        <v>2131.02</v>
      </c>
      <c r="AC21" s="11">
        <f>IF(AC$3=0,"",SUMIFS(INDEX(Inputs!$D$4:$AG$100,0,MATCH(AC$2,Inputs!$D$2:$AG$2,0)),Inputs!$B$4:$B$100,$B21)/1000)</f>
        <v>2113.512</v>
      </c>
      <c r="AD21" s="11">
        <f>IF(AD$3=0,"",SUMIFS(INDEX(Inputs!$D$4:$AG$100,0,MATCH(AD$2,Inputs!$D$2:$AG$2,0)),Inputs!$B$4:$B$100,$B21)/1000)</f>
        <v>2043.198</v>
      </c>
      <c r="AE21" s="11" t="str">
        <f>IF(AE$3=0,"",SUMIFS(INDEX(Inputs!$D$4:$AG$100,0,MATCH(AE$2,Inputs!$D$2:$AG$2,0)),Inputs!$B$4:$B$100,$B21)/1000)</f>
        <v/>
      </c>
      <c r="AF21" s="11" t="str">
        <f>IF(AF$3=0,"",SUMIFS(INDEX(Inputs!$D$4:$AG$100,0,MATCH(AF$2,Inputs!$D$2:$AG$2,0)),Inputs!$B$4:$B$100,$B21)/1000)</f>
        <v/>
      </c>
      <c r="AG21" s="12" t="str">
        <f>IF(AF21="","",AF21)</f>
        <v/>
      </c>
    </row>
    <row r="22">
      <c r="B22" s="9" t="n">
        <v>18</v>
      </c>
      <c r="C22" s="14" t="inlineStr">
        <is>
          <t>PP&amp;E</t>
        </is>
      </c>
      <c r="D22" s="11">
        <f>IF(D$3=0,"",SUMIFS(INDEX(Inputs!$D$4:$AG$100,0,MATCH(D$2,Inputs!$D$2:$AG$2,0)),Inputs!$B$4:$B$100,$B22)/1000)</f>
        <v>8718.257</v>
      </c>
      <c r="E22" s="11">
        <f>IF(E$3=0,"",SUMIFS(INDEX(Inputs!$D$4:$AG$100,0,MATCH(E$2,Inputs!$D$2:$AG$2,0)),Inputs!$B$4:$B$100,$B22)/1000)</f>
        <v>8625.281</v>
      </c>
      <c r="F22" s="11">
        <f>IF(F$3=0,"",SUMIFS(INDEX(Inputs!$D$4:$AG$100,0,MATCH(F$2,Inputs!$D$2:$AG$2,0)),Inputs!$B$4:$B$100,$B22)/1000)</f>
        <v>8890.528</v>
      </c>
      <c r="G22" s="11">
        <f>IF(G$3=0,"",SUMIFS(INDEX(Inputs!$D$4:$AG$100,0,MATCH(G$2,Inputs!$D$2:$AG$2,0)),Inputs!$B$4:$B$100,$B22)/1000)</f>
        <v>8980.282</v>
      </c>
      <c r="H22" s="12">
        <f>IF(G22="","",G22)</f>
        <v>8980.282</v>
      </c>
      <c r="I22" s="11">
        <f>IF(I$3=0,"",SUMIFS(INDEX(Inputs!$D$4:$AG$100,0,MATCH(I$2,Inputs!$D$2:$AG$2,0)),Inputs!$B$4:$B$100,$B22)/1000)</f>
        <v>9170.686</v>
      </c>
      <c r="J22" s="11">
        <f>IF(J$3=0,"",SUMIFS(INDEX(Inputs!$D$4:$AG$100,0,MATCH(J$2,Inputs!$D$2:$AG$2,0)),Inputs!$B$4:$B$100,$B22)/1000)</f>
        <v>9743.557</v>
      </c>
      <c r="K22" s="11">
        <f>IF(K$3=0,"",SUMIFS(INDEX(Inputs!$D$4:$AG$100,0,MATCH(K$2,Inputs!$D$2:$AG$2,0)),Inputs!$B$4:$B$100,$B22)/1000)</f>
        <v>10069.407</v>
      </c>
      <c r="L22" s="11">
        <f>IF(L$3=0,"",SUMIFS(INDEX(Inputs!$D$4:$AG$100,0,MATCH(L$2,Inputs!$D$2:$AG$2,0)),Inputs!$B$4:$B$100,$B22)/1000)</f>
        <v>10397.035</v>
      </c>
      <c r="M22" s="12">
        <f>IF(L22="","",L22)</f>
        <v>10397.035</v>
      </c>
      <c r="N22" s="11">
        <f>IF(N$3=0,"",SUMIFS(INDEX(Inputs!$D$4:$AG$100,0,MATCH(N$2,Inputs!$D$2:$AG$2,0)),Inputs!$B$4:$B$100,$B22)/1000)</f>
        <v>10619.999</v>
      </c>
      <c r="O22" s="11">
        <f>IF(O$3=0,"",SUMIFS(INDEX(Inputs!$D$4:$AG$100,0,MATCH(O$2,Inputs!$D$2:$AG$2,0)),Inputs!$B$4:$B$100,$B22)/1000)</f>
        <v>11178.295</v>
      </c>
      <c r="P22" s="11">
        <f>IF(P$3=0,"",SUMIFS(INDEX(Inputs!$D$4:$AG$100,0,MATCH(P$2,Inputs!$D$2:$AG$2,0)),Inputs!$B$4:$B$100,$B22)/1000)</f>
        <v>11813.974</v>
      </c>
      <c r="Q22" s="11">
        <f>IF(Q$3=0,"",SUMIFS(INDEX(Inputs!$D$4:$AG$100,0,MATCH(Q$2,Inputs!$D$2:$AG$2,0)),Inputs!$B$4:$B$100,$B22)/1000)</f>
        <v>11849.347</v>
      </c>
      <c r="R22" s="12">
        <f>IF(Q22="","",Q22)</f>
        <v>11849.347</v>
      </c>
      <c r="S22" s="11">
        <f>IF(S$3=0,"",SUMIFS(INDEX(Inputs!$D$4:$AG$100,0,MATCH(S$2,Inputs!$D$2:$AG$2,0)),Inputs!$B$4:$B$100,$B22)/1000)</f>
        <v>11732.58</v>
      </c>
      <c r="T22" s="11">
        <f>IF(T$3=0,"",SUMIFS(INDEX(Inputs!$D$4:$AG$100,0,MATCH(T$2,Inputs!$D$2:$AG$2,0)),Inputs!$B$4:$B$100,$B22)/1000)</f>
        <v>11668.586</v>
      </c>
      <c r="U22" s="11">
        <f>IF(U$3=0,"",SUMIFS(INDEX(Inputs!$D$4:$AG$100,0,MATCH(U$2,Inputs!$D$2:$AG$2,0)),Inputs!$B$4:$B$100,$B22)/1000)</f>
        <v>11571.81</v>
      </c>
      <c r="V22" s="11">
        <f>IF(V$3=0,"",SUMIFS(INDEX(Inputs!$D$4:$AG$100,0,MATCH(V$2,Inputs!$D$2:$AG$2,0)),Inputs!$B$4:$B$100,$B22)/1000)</f>
        <v>26203.796</v>
      </c>
      <c r="W22" s="12">
        <f>IF(V22="","",V22)</f>
        <v>26203.796</v>
      </c>
      <c r="X22" s="11">
        <f>IF(X$3=0,"",SUMIFS(INDEX(Inputs!$D$4:$AG$100,0,MATCH(X$2,Inputs!$D$2:$AG$2,0)),Inputs!$B$4:$B$100,$B22)/1000)</f>
        <v>26000.982</v>
      </c>
      <c r="Y22" s="11">
        <f>IF(Y$3=0,"",SUMIFS(INDEX(Inputs!$D$4:$AG$100,0,MATCH(Y$2,Inputs!$D$2:$AG$2,0)),Inputs!$B$4:$B$100,$B22)/1000)</f>
        <v>25810.274</v>
      </c>
      <c r="Z22" s="11">
        <f>IF(Z$3=0,"",SUMIFS(INDEX(Inputs!$D$4:$AG$100,0,MATCH(Z$2,Inputs!$D$2:$AG$2,0)),Inputs!$B$4:$B$100,$B22)/1000)</f>
        <v>25725.023</v>
      </c>
      <c r="AA22" s="11">
        <f>IF(AA$3=0,"",SUMIFS(INDEX(Inputs!$D$4:$AG$100,0,MATCH(AA$2,Inputs!$D$2:$AG$2,0)),Inputs!$B$4:$B$100,$B22)/1000)</f>
        <v>25430.247</v>
      </c>
      <c r="AB22" s="12">
        <f>IF(AA22="","",AA22)</f>
        <v>25430.247</v>
      </c>
      <c r="AC22" s="11">
        <f>IF(AC$3=0,"",SUMIFS(INDEX(Inputs!$D$4:$AG$100,0,MATCH(AC$2,Inputs!$D$2:$AG$2,0)),Inputs!$B$4:$B$100,$B22)/1000)</f>
        <v>25207.131</v>
      </c>
      <c r="AD22" s="11">
        <f>IF(AD$3=0,"",SUMIFS(INDEX(Inputs!$D$4:$AG$100,0,MATCH(AD$2,Inputs!$D$2:$AG$2,0)),Inputs!$B$4:$B$100,$B22)/1000)</f>
        <v>25020.77</v>
      </c>
      <c r="AE22" s="11" t="str">
        <f>IF(AE$3=0,"",SUMIFS(INDEX(Inputs!$D$4:$AG$100,0,MATCH(AE$2,Inputs!$D$2:$AG$2,0)),Inputs!$B$4:$B$100,$B22)/1000)</f>
        <v/>
      </c>
      <c r="AF22" s="11" t="str">
        <f>IF(AF$3=0,"",SUMIFS(INDEX(Inputs!$D$4:$AG$100,0,MATCH(AF$2,Inputs!$D$2:$AG$2,0)),Inputs!$B$4:$B$100,$B22)/1000)</f>
        <v/>
      </c>
      <c r="AG22" s="12" t="str">
        <f>IF(AF22="","",AF22)</f>
        <v/>
      </c>
    </row>
    <row r="23">
      <c r="B23" s="9" t="n">
        <v>19</v>
      </c>
      <c r="C23" s="14" t="inlineStr">
        <is>
          <t>Right-of-use-assets</t>
        </is>
      </c>
      <c r="D23" s="11">
        <f>IF(D$3=0,"",SUMIFS(INDEX(Inputs!$D$4:$AG$100,0,MATCH(D$2,Inputs!$D$2:$AG$2,0)),Inputs!$B$4:$B$100,$B23)/1000)</f>
        <v>6.068</v>
      </c>
      <c r="E23" s="11">
        <f>IF(E$3=0,"",SUMIFS(INDEX(Inputs!$D$4:$AG$100,0,MATCH(E$2,Inputs!$D$2:$AG$2,0)),Inputs!$B$4:$B$100,$B23)/1000)</f>
        <v>6.051</v>
      </c>
      <c r="F23" s="11">
        <f>IF(F$3=0,"",SUMIFS(INDEX(Inputs!$D$4:$AG$100,0,MATCH(F$2,Inputs!$D$2:$AG$2,0)),Inputs!$B$4:$B$100,$B23)/1000)</f>
        <v>5.67</v>
      </c>
      <c r="G23" s="11">
        <f>IF(G$3=0,"",SUMIFS(INDEX(Inputs!$D$4:$AG$100,0,MATCH(G$2,Inputs!$D$2:$AG$2,0)),Inputs!$B$4:$B$100,$B23)/1000)</f>
        <v>5.283</v>
      </c>
      <c r="H23" s="12">
        <f>IF(G23="","",G23)</f>
        <v>5.283</v>
      </c>
      <c r="I23" s="11">
        <f>IF(I$3=0,"",SUMIFS(INDEX(Inputs!$D$4:$AG$100,0,MATCH(I$2,Inputs!$D$2:$AG$2,0)),Inputs!$B$4:$B$100,$B23)/1000)</f>
        <v>6.519</v>
      </c>
      <c r="J23" s="11">
        <f>IF(J$3=0,"",SUMIFS(INDEX(Inputs!$D$4:$AG$100,0,MATCH(J$2,Inputs!$D$2:$AG$2,0)),Inputs!$B$4:$B$100,$B23)/1000)</f>
        <v>5.425</v>
      </c>
      <c r="K23" s="11">
        <f>IF(K$3=0,"",SUMIFS(INDEX(Inputs!$D$4:$AG$100,0,MATCH(K$2,Inputs!$D$2:$AG$2,0)),Inputs!$B$4:$B$100,$B23)/1000)</f>
        <v>80.327</v>
      </c>
      <c r="L23" s="11">
        <f>IF(L$3=0,"",SUMIFS(INDEX(Inputs!$D$4:$AG$100,0,MATCH(L$2,Inputs!$D$2:$AG$2,0)),Inputs!$B$4:$B$100,$B23)/1000)</f>
        <v>43.707</v>
      </c>
      <c r="M23" s="12">
        <f>IF(L23="","",L23)</f>
        <v>43.707</v>
      </c>
      <c r="N23" s="11">
        <f>IF(N$3=0,"",SUMIFS(INDEX(Inputs!$D$4:$AG$100,0,MATCH(N$2,Inputs!$D$2:$AG$2,0)),Inputs!$B$4:$B$100,$B23)/1000)</f>
        <v>44.522</v>
      </c>
      <c r="O23" s="11">
        <f>IF(O$3=0,"",SUMIFS(INDEX(Inputs!$D$4:$AG$100,0,MATCH(O$2,Inputs!$D$2:$AG$2,0)),Inputs!$B$4:$B$100,$B23)/1000)</f>
        <v>45.236</v>
      </c>
      <c r="P23" s="11">
        <f>IF(P$3=0,"",SUMIFS(INDEX(Inputs!$D$4:$AG$100,0,MATCH(P$2,Inputs!$D$2:$AG$2,0)),Inputs!$B$4:$B$100,$B23)/1000)</f>
        <v>65.324</v>
      </c>
      <c r="Q23" s="11">
        <f>IF(Q$3=0,"",SUMIFS(INDEX(Inputs!$D$4:$AG$100,0,MATCH(Q$2,Inputs!$D$2:$AG$2,0)),Inputs!$B$4:$B$100,$B23)/1000)</f>
        <v>64.689</v>
      </c>
      <c r="R23" s="12">
        <f>IF(Q23="","",Q23)</f>
        <v>64.689</v>
      </c>
      <c r="S23" s="11">
        <f>IF(S$3=0,"",SUMIFS(INDEX(Inputs!$D$4:$AG$100,0,MATCH(S$2,Inputs!$D$2:$AG$2,0)),Inputs!$B$4:$B$100,$B23)/1000)</f>
        <v>62.706</v>
      </c>
      <c r="T23" s="11">
        <f>IF(T$3=0,"",SUMIFS(INDEX(Inputs!$D$4:$AG$100,0,MATCH(T$2,Inputs!$D$2:$AG$2,0)),Inputs!$B$4:$B$100,$B23)/1000)</f>
        <v>60.861</v>
      </c>
      <c r="U23" s="11">
        <f>IF(U$3=0,"",SUMIFS(INDEX(Inputs!$D$4:$AG$100,0,MATCH(U$2,Inputs!$D$2:$AG$2,0)),Inputs!$B$4:$B$100,$B23)/1000)</f>
        <v>69.26</v>
      </c>
      <c r="V23" s="11">
        <f>IF(V$3=0,"",SUMIFS(INDEX(Inputs!$D$4:$AG$100,0,MATCH(V$2,Inputs!$D$2:$AG$2,0)),Inputs!$B$4:$B$100,$B23)/1000)</f>
        <v>149.284</v>
      </c>
      <c r="W23" s="12">
        <f>IF(V23="","",V23)</f>
        <v>149.284</v>
      </c>
      <c r="X23" s="11">
        <f>IF(X$3=0,"",SUMIFS(INDEX(Inputs!$D$4:$AG$100,0,MATCH(X$2,Inputs!$D$2:$AG$2,0)),Inputs!$B$4:$B$100,$B23)/1000)</f>
        <v>149.11</v>
      </c>
      <c r="Y23" s="11">
        <f>IF(Y$3=0,"",SUMIFS(INDEX(Inputs!$D$4:$AG$100,0,MATCH(Y$2,Inputs!$D$2:$AG$2,0)),Inputs!$B$4:$B$100,$B23)/1000)</f>
        <v>145.66</v>
      </c>
      <c r="Z23" s="11">
        <f>IF(Z$3=0,"",SUMIFS(INDEX(Inputs!$D$4:$AG$100,0,MATCH(Z$2,Inputs!$D$2:$AG$2,0)),Inputs!$B$4:$B$100,$B23)/1000)</f>
        <v>142.547</v>
      </c>
      <c r="AA23" s="11">
        <f>IF(AA$3=0,"",SUMIFS(INDEX(Inputs!$D$4:$AG$100,0,MATCH(AA$2,Inputs!$D$2:$AG$2,0)),Inputs!$B$4:$B$100,$B23)/1000)</f>
        <v>140.111</v>
      </c>
      <c r="AB23" s="12">
        <f>IF(AA23="","",AA23)</f>
        <v>140.111</v>
      </c>
      <c r="AC23" s="11">
        <f>IF(AC$3=0,"",SUMIFS(INDEX(Inputs!$D$4:$AG$100,0,MATCH(AC$2,Inputs!$D$2:$AG$2,0)),Inputs!$B$4:$B$100,$B23)/1000)</f>
        <v>141.31</v>
      </c>
      <c r="AD23" s="11">
        <f>IF(AD$3=0,"",SUMIFS(INDEX(Inputs!$D$4:$AG$100,0,MATCH(AD$2,Inputs!$D$2:$AG$2,0)),Inputs!$B$4:$B$100,$B23)/1000)</f>
        <v>136.85</v>
      </c>
      <c r="AE23" s="11" t="str">
        <f>IF(AE$3=0,"",SUMIFS(INDEX(Inputs!$D$4:$AG$100,0,MATCH(AE$2,Inputs!$D$2:$AG$2,0)),Inputs!$B$4:$B$100,$B23)/1000)</f>
        <v/>
      </c>
      <c r="AF23" s="11" t="str">
        <f>IF(AF$3=0,"",SUMIFS(INDEX(Inputs!$D$4:$AG$100,0,MATCH(AF$2,Inputs!$D$2:$AG$2,0)),Inputs!$B$4:$B$100,$B23)/1000)</f>
        <v/>
      </c>
      <c r="AG23" s="12" t="str">
        <f>IF(AF23="","",AF23)</f>
        <v/>
      </c>
    </row>
    <row r="24">
      <c r="B24" s="9" t="n">
        <v>20</v>
      </c>
      <c r="C24" s="14" t="inlineStr">
        <is>
          <t>Goodwill</t>
        </is>
      </c>
      <c r="D24" s="11">
        <f>IF(D$3=0,"",SUMIFS(INDEX(Inputs!$D$4:$AG$100,0,MATCH(D$2,Inputs!$D$2:$AG$2,0)),Inputs!$B$4:$B$100,$B24)/1000)</f>
        <v>0</v>
      </c>
      <c r="E24" s="11">
        <f>IF(E$3=0,"",SUMIFS(INDEX(Inputs!$D$4:$AG$100,0,MATCH(E$2,Inputs!$D$2:$AG$2,0)),Inputs!$B$4:$B$100,$B24)/1000)</f>
        <v>0</v>
      </c>
      <c r="F24" s="11">
        <f>IF(F$3=0,"",SUMIFS(INDEX(Inputs!$D$4:$AG$100,0,MATCH(F$2,Inputs!$D$2:$AG$2,0)),Inputs!$B$4:$B$100,$B24)/1000)</f>
        <v>0</v>
      </c>
      <c r="G24" s="11">
        <f>IF(G$3=0,"",SUMIFS(INDEX(Inputs!$D$4:$AG$100,0,MATCH(G$2,Inputs!$D$2:$AG$2,0)),Inputs!$B$4:$B$100,$B24)/1000)</f>
        <v>0</v>
      </c>
      <c r="H24" s="12">
        <f>IF(G24="","",G24)</f>
        <v>0</v>
      </c>
      <c r="I24" s="11">
        <f>IF(I$3=0,"",SUMIFS(INDEX(Inputs!$D$4:$AG$100,0,MATCH(I$2,Inputs!$D$2:$AG$2,0)),Inputs!$B$4:$B$100,$B24)/1000)</f>
        <v>0</v>
      </c>
      <c r="J24" s="11">
        <f>IF(J$3=0,"",SUMIFS(INDEX(Inputs!$D$4:$AG$100,0,MATCH(J$2,Inputs!$D$2:$AG$2,0)),Inputs!$B$4:$B$100,$B24)/1000)</f>
        <v>0</v>
      </c>
      <c r="K24" s="11">
        <f>IF(K$3=0,"",SUMIFS(INDEX(Inputs!$D$4:$AG$100,0,MATCH(K$2,Inputs!$D$2:$AG$2,0)),Inputs!$B$4:$B$100,$B24)/1000)</f>
        <v>0</v>
      </c>
      <c r="L24" s="11">
        <f>IF(L$3=0,"",SUMIFS(INDEX(Inputs!$D$4:$AG$100,0,MATCH(L$2,Inputs!$D$2:$AG$2,0)),Inputs!$B$4:$B$100,$B24)/1000)</f>
        <v>0</v>
      </c>
      <c r="M24" s="12">
        <f>IF(L24="","",L24)</f>
        <v>0</v>
      </c>
      <c r="N24" s="11">
        <f>IF(N$3=0,"",SUMIFS(INDEX(Inputs!$D$4:$AG$100,0,MATCH(N$2,Inputs!$D$2:$AG$2,0)),Inputs!$B$4:$B$100,$B24)/1000)</f>
        <v>0</v>
      </c>
      <c r="O24" s="11">
        <f>IF(O$3=0,"",SUMIFS(INDEX(Inputs!$D$4:$AG$100,0,MATCH(O$2,Inputs!$D$2:$AG$2,0)),Inputs!$B$4:$B$100,$B24)/1000)</f>
        <v>0</v>
      </c>
      <c r="P24" s="11">
        <f>IF(P$3=0,"",SUMIFS(INDEX(Inputs!$D$4:$AG$100,0,MATCH(P$2,Inputs!$D$2:$AG$2,0)),Inputs!$B$4:$B$100,$B24)/1000)</f>
        <v>0</v>
      </c>
      <c r="Q24" s="11">
        <f>IF(Q$3=0,"",SUMIFS(INDEX(Inputs!$D$4:$AG$100,0,MATCH(Q$2,Inputs!$D$2:$AG$2,0)),Inputs!$B$4:$B$100,$B24)/1000)</f>
        <v>0</v>
      </c>
      <c r="R24" s="12">
        <f>IF(Q24="","",Q24)</f>
        <v>0</v>
      </c>
      <c r="S24" s="11">
        <f>IF(S$3=0,"",SUMIFS(INDEX(Inputs!$D$4:$AG$100,0,MATCH(S$2,Inputs!$D$2:$AG$2,0)),Inputs!$B$4:$B$100,$B24)/1000)</f>
        <v>0</v>
      </c>
      <c r="T24" s="11">
        <f>IF(T$3=0,"",SUMIFS(INDEX(Inputs!$D$4:$AG$100,0,MATCH(T$2,Inputs!$D$2:$AG$2,0)),Inputs!$B$4:$B$100,$B24)/1000)</f>
        <v>0</v>
      </c>
      <c r="U24" s="11">
        <f>IF(U$3=0,"",SUMIFS(INDEX(Inputs!$D$4:$AG$100,0,MATCH(U$2,Inputs!$D$2:$AG$2,0)),Inputs!$B$4:$B$100,$B24)/1000)</f>
        <v>0</v>
      </c>
      <c r="V24" s="11">
        <f>IF(V$3=0,"",SUMIFS(INDEX(Inputs!$D$4:$AG$100,0,MATCH(V$2,Inputs!$D$2:$AG$2,0)),Inputs!$B$4:$B$100,$B24)/1000)</f>
        <v>0</v>
      </c>
      <c r="W24" s="12">
        <f>IF(V24="","",V24)</f>
        <v>0</v>
      </c>
      <c r="X24" s="11">
        <f>IF(X$3=0,"",SUMIFS(INDEX(Inputs!$D$4:$AG$100,0,MATCH(X$2,Inputs!$D$2:$AG$2,0)),Inputs!$B$4:$B$100,$B24)/1000)</f>
        <v>0</v>
      </c>
      <c r="Y24" s="11">
        <f>IF(Y$3=0,"",SUMIFS(INDEX(Inputs!$D$4:$AG$100,0,MATCH(Y$2,Inputs!$D$2:$AG$2,0)),Inputs!$B$4:$B$100,$B24)/1000)</f>
        <v>0</v>
      </c>
      <c r="Z24" s="11">
        <f>IF(Z$3=0,"",SUMIFS(INDEX(Inputs!$D$4:$AG$100,0,MATCH(Z$2,Inputs!$D$2:$AG$2,0)),Inputs!$B$4:$B$100,$B24)/1000)</f>
        <v>0</v>
      </c>
      <c r="AA24" s="11">
        <f>IF(AA$3=0,"",SUMIFS(INDEX(Inputs!$D$4:$AG$100,0,MATCH(AA$2,Inputs!$D$2:$AG$2,0)),Inputs!$B$4:$B$100,$B24)/1000)</f>
        <v>0</v>
      </c>
      <c r="AB24" s="12">
        <f>IF(AA24="","",AA24)</f>
        <v>0</v>
      </c>
      <c r="AC24" s="11">
        <f>IF(AC$3=0,"",SUMIFS(INDEX(Inputs!$D$4:$AG$100,0,MATCH(AC$2,Inputs!$D$2:$AG$2,0)),Inputs!$B$4:$B$100,$B24)/1000)</f>
        <v>0</v>
      </c>
      <c r="AD24" s="11">
        <f>IF(AD$3=0,"",SUMIFS(INDEX(Inputs!$D$4:$AG$100,0,MATCH(AD$2,Inputs!$D$2:$AG$2,0)),Inputs!$B$4:$B$100,$B24)/1000)</f>
        <v>0</v>
      </c>
      <c r="AE24" s="11" t="str">
        <f>IF(AE$3=0,"",SUMIFS(INDEX(Inputs!$D$4:$AG$100,0,MATCH(AE$2,Inputs!$D$2:$AG$2,0)),Inputs!$B$4:$B$100,$B24)/1000)</f>
        <v/>
      </c>
      <c r="AF24" s="11" t="str">
        <f>IF(AF$3=0,"",SUMIFS(INDEX(Inputs!$D$4:$AG$100,0,MATCH(AF$2,Inputs!$D$2:$AG$2,0)),Inputs!$B$4:$B$100,$B24)/1000)</f>
        <v/>
      </c>
      <c r="AG24" s="12" t="str">
        <f>IF(AF24="","",AF24)</f>
        <v/>
      </c>
    </row>
    <row r="25">
      <c r="B25" s="9" t="n">
        <v>21</v>
      </c>
      <c r="C25" s="14" t="inlineStr">
        <is>
          <t>Intangibles</t>
        </is>
      </c>
      <c r="D25" s="11">
        <f>IF(D$3=0,"",SUMIFS(INDEX(Inputs!$D$4:$AG$100,0,MATCH(D$2,Inputs!$D$2:$AG$2,0)),Inputs!$B$4:$B$100,$B25)/1000)</f>
        <v>1753.735</v>
      </c>
      <c r="E25" s="11">
        <f>IF(E$3=0,"",SUMIFS(INDEX(Inputs!$D$4:$AG$100,0,MATCH(E$2,Inputs!$D$2:$AG$2,0)),Inputs!$B$4:$B$100,$B25)/1000)</f>
        <v>1739.751</v>
      </c>
      <c r="F25" s="11">
        <f>IF(F$3=0,"",SUMIFS(INDEX(Inputs!$D$4:$AG$100,0,MATCH(F$2,Inputs!$D$2:$AG$2,0)),Inputs!$B$4:$B$100,$B25)/1000)</f>
        <v>2184.98</v>
      </c>
      <c r="G25" s="11">
        <f>IF(G$3=0,"",SUMIFS(INDEX(Inputs!$D$4:$AG$100,0,MATCH(G$2,Inputs!$D$2:$AG$2,0)),Inputs!$B$4:$B$100,$B25)/1000)</f>
        <v>2366.432</v>
      </c>
      <c r="H25" s="12">
        <f>IF(G25="","",G25)</f>
        <v>2366.432</v>
      </c>
      <c r="I25" s="11">
        <f>IF(I$3=0,"",SUMIFS(INDEX(Inputs!$D$4:$AG$100,0,MATCH(I$2,Inputs!$D$2:$AG$2,0)),Inputs!$B$4:$B$100,$B25)/1000)</f>
        <v>3868.918</v>
      </c>
      <c r="J25" s="11">
        <f>IF(J$3=0,"",SUMIFS(INDEX(Inputs!$D$4:$AG$100,0,MATCH(J$2,Inputs!$D$2:$AG$2,0)),Inputs!$B$4:$B$100,$B25)/1000)</f>
        <v>3828.735</v>
      </c>
      <c r="K25" s="11">
        <f>IF(K$3=0,"",SUMIFS(INDEX(Inputs!$D$4:$AG$100,0,MATCH(K$2,Inputs!$D$2:$AG$2,0)),Inputs!$B$4:$B$100,$B25)/1000)</f>
        <v>3788.372</v>
      </c>
      <c r="L25" s="11">
        <f>IF(L$3=0,"",SUMIFS(INDEX(Inputs!$D$4:$AG$100,0,MATCH(L$2,Inputs!$D$2:$AG$2,0)),Inputs!$B$4:$B$100,$B25)/1000)</f>
        <v>2587.808</v>
      </c>
      <c r="M25" s="12">
        <f>IF(L25="","",L25)</f>
        <v>2587.808</v>
      </c>
      <c r="N25" s="11">
        <f>IF(N$3=0,"",SUMIFS(INDEX(Inputs!$D$4:$AG$100,0,MATCH(N$2,Inputs!$D$2:$AG$2,0)),Inputs!$B$4:$B$100,$B25)/1000)</f>
        <v>2574.991</v>
      </c>
      <c r="O25" s="11">
        <f>IF(O$3=0,"",SUMIFS(INDEX(Inputs!$D$4:$AG$100,0,MATCH(O$2,Inputs!$D$2:$AG$2,0)),Inputs!$B$4:$B$100,$B25)/1000)</f>
        <v>2557.102</v>
      </c>
      <c r="P25" s="11">
        <f>IF(P$3=0,"",SUMIFS(INDEX(Inputs!$D$4:$AG$100,0,MATCH(P$2,Inputs!$D$2:$AG$2,0)),Inputs!$B$4:$B$100,$B25)/1000)</f>
        <v>2540.211</v>
      </c>
      <c r="Q25" s="11">
        <f>IF(Q$3=0,"",SUMIFS(INDEX(Inputs!$D$4:$AG$100,0,MATCH(Q$2,Inputs!$D$2:$AG$2,0)),Inputs!$B$4:$B$100,$B25)/1000)</f>
        <v>2458.453</v>
      </c>
      <c r="R25" s="12">
        <f>IF(Q25="","",Q25)</f>
        <v>2458.453</v>
      </c>
      <c r="S25" s="11">
        <f>IF(S$3=0,"",SUMIFS(INDEX(Inputs!$D$4:$AG$100,0,MATCH(S$2,Inputs!$D$2:$AG$2,0)),Inputs!$B$4:$B$100,$B25)/1000)</f>
        <v>2443.013</v>
      </c>
      <c r="T25" s="11">
        <f>IF(T$3=0,"",SUMIFS(INDEX(Inputs!$D$4:$AG$100,0,MATCH(T$2,Inputs!$D$2:$AG$2,0)),Inputs!$B$4:$B$100,$B25)/1000)</f>
        <v>2426.557</v>
      </c>
      <c r="U25" s="11">
        <f>IF(U$3=0,"",SUMIFS(INDEX(Inputs!$D$4:$AG$100,0,MATCH(U$2,Inputs!$D$2:$AG$2,0)),Inputs!$B$4:$B$100,$B25)/1000)</f>
        <v>2515.652</v>
      </c>
      <c r="V25" s="11">
        <f>IF(V$3=0,"",SUMIFS(INDEX(Inputs!$D$4:$AG$100,0,MATCH(V$2,Inputs!$D$2:$AG$2,0)),Inputs!$B$4:$B$100,$B25)/1000)</f>
        <v>7335.883</v>
      </c>
      <c r="W25" s="12">
        <f>IF(V25="","",V25)</f>
        <v>7335.883</v>
      </c>
      <c r="X25" s="11">
        <f>IF(X$3=0,"",SUMIFS(INDEX(Inputs!$D$4:$AG$100,0,MATCH(X$2,Inputs!$D$2:$AG$2,0)),Inputs!$B$4:$B$100,$B25)/1000)</f>
        <v>7230.02</v>
      </c>
      <c r="Y25" s="11">
        <f>IF(Y$3=0,"",SUMIFS(INDEX(Inputs!$D$4:$AG$100,0,MATCH(Y$2,Inputs!$D$2:$AG$2,0)),Inputs!$B$4:$B$100,$B25)/1000)</f>
        <v>7109.327</v>
      </c>
      <c r="Z25" s="11">
        <f>IF(Z$3=0,"",SUMIFS(INDEX(Inputs!$D$4:$AG$100,0,MATCH(Z$2,Inputs!$D$2:$AG$2,0)),Inputs!$B$4:$B$100,$B25)/1000)</f>
        <v>7109.713</v>
      </c>
      <c r="AA25" s="11">
        <f>IF(AA$3=0,"",SUMIFS(INDEX(Inputs!$D$4:$AG$100,0,MATCH(AA$2,Inputs!$D$2:$AG$2,0)),Inputs!$B$4:$B$100,$B25)/1000)</f>
        <v>7201.637</v>
      </c>
      <c r="AB25" s="12">
        <f>IF(AA25="","",AA25)</f>
        <v>7201.637</v>
      </c>
      <c r="AC25" s="11">
        <f>IF(AC$3=0,"",SUMIFS(INDEX(Inputs!$D$4:$AG$100,0,MATCH(AC$2,Inputs!$D$2:$AG$2,0)),Inputs!$B$4:$B$100,$B25)/1000)</f>
        <v>7072.185</v>
      </c>
      <c r="AD25" s="11">
        <f>IF(AD$3=0,"",SUMIFS(INDEX(Inputs!$D$4:$AG$100,0,MATCH(AD$2,Inputs!$D$2:$AG$2,0)),Inputs!$B$4:$B$100,$B25)/1000)</f>
        <v>6950.832</v>
      </c>
      <c r="AE25" s="11" t="str">
        <f>IF(AE$3=0,"",SUMIFS(INDEX(Inputs!$D$4:$AG$100,0,MATCH(AE$2,Inputs!$D$2:$AG$2,0)),Inputs!$B$4:$B$100,$B25)/1000)</f>
        <v/>
      </c>
      <c r="AF25" s="11" t="str">
        <f>IF(AF$3=0,"",SUMIFS(INDEX(Inputs!$D$4:$AG$100,0,MATCH(AF$2,Inputs!$D$2:$AG$2,0)),Inputs!$B$4:$B$100,$B25)/1000)</f>
        <v/>
      </c>
      <c r="AG25" s="12" t="str">
        <f>IF(AF25="","",AF25)</f>
        <v/>
      </c>
    </row>
    <row r="26">
      <c r="B26" s="9" t="n">
        <v>22</v>
      </c>
      <c r="C26" s="14" t="inlineStr">
        <is>
          <t>Other non-current assets</t>
        </is>
      </c>
      <c r="D26" s="11">
        <f>IF(D$3=0,"",SUMIFS(INDEX(Inputs!$D$4:$AG$100,0,MATCH(D$2,Inputs!$D$2:$AG$2,0)),Inputs!$B$4:$B$100,$B26)/1000)</f>
        <v>2045.05</v>
      </c>
      <c r="E26" s="11">
        <f>IF(E$3=0,"",SUMIFS(INDEX(Inputs!$D$4:$AG$100,0,MATCH(E$2,Inputs!$D$2:$AG$2,0)),Inputs!$B$4:$B$100,$B26)/1000)</f>
        <v>2062.604</v>
      </c>
      <c r="F26" s="11">
        <f>IF(F$3=0,"",SUMIFS(INDEX(Inputs!$D$4:$AG$100,0,MATCH(F$2,Inputs!$D$2:$AG$2,0)),Inputs!$B$4:$B$100,$B26)/1000)</f>
        <v>2121.192</v>
      </c>
      <c r="G26" s="11">
        <f>IF(G$3=0,"",SUMIFS(INDEX(Inputs!$D$4:$AG$100,0,MATCH(G$2,Inputs!$D$2:$AG$2,0)),Inputs!$B$4:$B$100,$B26)/1000)</f>
        <v>2449.664</v>
      </c>
      <c r="H26" s="12">
        <f>IF(G26="","",G26)</f>
        <v>2449.664</v>
      </c>
      <c r="I26" s="11">
        <f>IF(I$3=0,"",SUMIFS(INDEX(Inputs!$D$4:$AG$100,0,MATCH(I$2,Inputs!$D$2:$AG$2,0)),Inputs!$B$4:$B$100,$B26)/1000)</f>
        <v>5421.771</v>
      </c>
      <c r="J26" s="11">
        <f>IF(J$3=0,"",SUMIFS(INDEX(Inputs!$D$4:$AG$100,0,MATCH(J$2,Inputs!$D$2:$AG$2,0)),Inputs!$B$4:$B$100,$B26)/1000)</f>
        <v>5416.763</v>
      </c>
      <c r="K26" s="11">
        <f>IF(K$3=0,"",SUMIFS(INDEX(Inputs!$D$4:$AG$100,0,MATCH(K$2,Inputs!$D$2:$AG$2,0)),Inputs!$B$4:$B$100,$B26)/1000)</f>
        <v>5451.074</v>
      </c>
      <c r="L26" s="11">
        <f>IF(L$3=0,"",SUMIFS(INDEX(Inputs!$D$4:$AG$100,0,MATCH(L$2,Inputs!$D$2:$AG$2,0)),Inputs!$B$4:$B$100,$B26)/1000)</f>
        <v>7823.272</v>
      </c>
      <c r="M26" s="12">
        <f>IF(L26="","",L26)</f>
        <v>7823.272</v>
      </c>
      <c r="N26" s="11">
        <f>IF(N$3=0,"",SUMIFS(INDEX(Inputs!$D$4:$AG$100,0,MATCH(N$2,Inputs!$D$2:$AG$2,0)),Inputs!$B$4:$B$100,$B26)/1000)</f>
        <v>8370.325</v>
      </c>
      <c r="O26" s="11">
        <f>IF(O$3=0,"",SUMIFS(INDEX(Inputs!$D$4:$AG$100,0,MATCH(O$2,Inputs!$D$2:$AG$2,0)),Inputs!$B$4:$B$100,$B26)/1000)</f>
        <v>4987.265</v>
      </c>
      <c r="P26" s="11">
        <f>IF(P$3=0,"",SUMIFS(INDEX(Inputs!$D$4:$AG$100,0,MATCH(P$2,Inputs!$D$2:$AG$2,0)),Inputs!$B$4:$B$100,$B26)/1000)</f>
        <v>4297.261</v>
      </c>
      <c r="Q26" s="11">
        <f>IF(Q$3=0,"",SUMIFS(INDEX(Inputs!$D$4:$AG$100,0,MATCH(Q$2,Inputs!$D$2:$AG$2,0)),Inputs!$B$4:$B$100,$B26)/1000)</f>
        <v>3928.118</v>
      </c>
      <c r="R26" s="12">
        <f>IF(Q26="","",Q26)</f>
        <v>3928.118</v>
      </c>
      <c r="S26" s="11">
        <f>IF(S$3=0,"",SUMIFS(INDEX(Inputs!$D$4:$AG$100,0,MATCH(S$2,Inputs!$D$2:$AG$2,0)),Inputs!$B$4:$B$100,$B26)/1000)</f>
        <v>3298.898</v>
      </c>
      <c r="T26" s="11">
        <f>IF(T$3=0,"",SUMIFS(INDEX(Inputs!$D$4:$AG$100,0,MATCH(T$2,Inputs!$D$2:$AG$2,0)),Inputs!$B$4:$B$100,$B26)/1000)</f>
        <v>3078.997</v>
      </c>
      <c r="U26" s="11">
        <f>IF(U$3=0,"",SUMIFS(INDEX(Inputs!$D$4:$AG$100,0,MATCH(U$2,Inputs!$D$2:$AG$2,0)),Inputs!$B$4:$B$100,$B26)/1000)</f>
        <v>2910.546</v>
      </c>
      <c r="V26" s="11">
        <f>IF(V$3=0,"",SUMIFS(INDEX(Inputs!$D$4:$AG$100,0,MATCH(V$2,Inputs!$D$2:$AG$2,0)),Inputs!$B$4:$B$100,$B26)/1000)</f>
        <v>3493.699</v>
      </c>
      <c r="W26" s="12">
        <f>IF(V26="","",V26)</f>
        <v>3493.699</v>
      </c>
      <c r="X26" s="11">
        <f>IF(X$3=0,"",SUMIFS(INDEX(Inputs!$D$4:$AG$100,0,MATCH(X$2,Inputs!$D$2:$AG$2,0)),Inputs!$B$4:$B$100,$B26)/1000)</f>
        <v>3364.396</v>
      </c>
      <c r="Y26" s="11">
        <f>IF(Y$3=0,"",SUMIFS(INDEX(Inputs!$D$4:$AG$100,0,MATCH(Y$2,Inputs!$D$2:$AG$2,0)),Inputs!$B$4:$B$100,$B26)/1000)</f>
        <v>3223.658</v>
      </c>
      <c r="Z26" s="11">
        <f>IF(Z$3=0,"",SUMIFS(INDEX(Inputs!$D$4:$AG$100,0,MATCH(Z$2,Inputs!$D$2:$AG$2,0)),Inputs!$B$4:$B$100,$B26)/1000)</f>
        <v>2908.583</v>
      </c>
      <c r="AA26" s="11">
        <f>IF(AA$3=0,"",SUMIFS(INDEX(Inputs!$D$4:$AG$100,0,MATCH(AA$2,Inputs!$D$2:$AG$2,0)),Inputs!$B$4:$B$100,$B26)/1000)</f>
        <v>3421.541</v>
      </c>
      <c r="AB26" s="12">
        <f>IF(AA26="","",AA26)</f>
        <v>3421.541</v>
      </c>
      <c r="AC26" s="11">
        <f>IF(AC$3=0,"",SUMIFS(INDEX(Inputs!$D$4:$AG$100,0,MATCH(AC$2,Inputs!$D$2:$AG$2,0)),Inputs!$B$4:$B$100,$B26)/1000)</f>
        <v>3481.799</v>
      </c>
      <c r="AD26" s="11">
        <f>IF(AD$3=0,"",SUMIFS(INDEX(Inputs!$D$4:$AG$100,0,MATCH(AD$2,Inputs!$D$2:$AG$2,0)),Inputs!$B$4:$B$100,$B26)/1000)</f>
        <v>3431.206</v>
      </c>
      <c r="AE26" s="11" t="str">
        <f>IF(AE$3=0,"",SUMIFS(INDEX(Inputs!$D$4:$AG$100,0,MATCH(AE$2,Inputs!$D$2:$AG$2,0)),Inputs!$B$4:$B$100,$B26)/1000)</f>
        <v/>
      </c>
      <c r="AF26" s="11" t="str">
        <f>IF(AF$3=0,"",SUMIFS(INDEX(Inputs!$D$4:$AG$100,0,MATCH(AF$2,Inputs!$D$2:$AG$2,0)),Inputs!$B$4:$B$100,$B26)/1000)</f>
        <v/>
      </c>
      <c r="AG26" s="12" t="str">
        <f>IF(AF26="","",AF26)</f>
        <v/>
      </c>
    </row>
    <row r="27">
      <c r="C27" s="3" t="n"/>
    </row>
    <row r="28">
      <c r="B28" s="9" t="n">
        <v>23</v>
      </c>
      <c r="C28" s="14" t="inlineStr">
        <is>
          <t>Accounts payable</t>
        </is>
      </c>
      <c r="D28" s="11">
        <f>IF(D$3=0,"",SUMIFS(INDEX(Inputs!$D$4:$AG$100,0,MATCH(D$2,Inputs!$D$2:$AG$2,0)),Inputs!$B$4:$B$100,$B28)/1000)</f>
        <v>149.588</v>
      </c>
      <c r="E28" s="11">
        <f>IF(E$3=0,"",SUMIFS(INDEX(Inputs!$D$4:$AG$100,0,MATCH(E$2,Inputs!$D$2:$AG$2,0)),Inputs!$B$4:$B$100,$B28)/1000)</f>
        <v>160.161</v>
      </c>
      <c r="F28" s="11">
        <f>IF(F$3=0,"",SUMIFS(INDEX(Inputs!$D$4:$AG$100,0,MATCH(F$2,Inputs!$D$2:$AG$2,0)),Inputs!$B$4:$B$100,$B28)/1000)</f>
        <v>290.4</v>
      </c>
      <c r="G28" s="11">
        <f>IF(G$3=0,"",SUMIFS(INDEX(Inputs!$D$4:$AG$100,0,MATCH(G$2,Inputs!$D$2:$AG$2,0)),Inputs!$B$4:$B$100,$B28)/1000)</f>
        <v>225.578</v>
      </c>
      <c r="H28" s="12">
        <f>IF(G28="","",G28)</f>
        <v>225.578</v>
      </c>
      <c r="I28" s="11">
        <f>IF(I$3=0,"",SUMIFS(INDEX(Inputs!$D$4:$AG$100,0,MATCH(I$2,Inputs!$D$2:$AG$2,0)),Inputs!$B$4:$B$100,$B28)/1000)</f>
        <v>431.421</v>
      </c>
      <c r="J28" s="11">
        <f>IF(J$3=0,"",SUMIFS(INDEX(Inputs!$D$4:$AG$100,0,MATCH(J$2,Inputs!$D$2:$AG$2,0)),Inputs!$B$4:$B$100,$B28)/1000)</f>
        <v>431.882</v>
      </c>
      <c r="K28" s="11">
        <f>IF(K$3=0,"",SUMIFS(INDEX(Inputs!$D$4:$AG$100,0,MATCH(K$2,Inputs!$D$2:$AG$2,0)),Inputs!$B$4:$B$100,$B28)/1000)</f>
        <v>467.973</v>
      </c>
      <c r="L28" s="11">
        <f>IF(L$3=0,"",SUMIFS(INDEX(Inputs!$D$4:$AG$100,0,MATCH(L$2,Inputs!$D$2:$AG$2,0)),Inputs!$B$4:$B$100,$B28)/1000)</f>
        <v>549.019</v>
      </c>
      <c r="M28" s="12">
        <f>IF(L28="","",L28)</f>
        <v>549.019</v>
      </c>
      <c r="N28" s="11">
        <f>IF(N$3=0,"",SUMIFS(INDEX(Inputs!$D$4:$AG$100,0,MATCH(N$2,Inputs!$D$2:$AG$2,0)),Inputs!$B$4:$B$100,$B28)/1000)</f>
        <v>574.057</v>
      </c>
      <c r="O28" s="11">
        <f>IF(O$3=0,"",SUMIFS(INDEX(Inputs!$D$4:$AG$100,0,MATCH(O$2,Inputs!$D$2:$AG$2,0)),Inputs!$B$4:$B$100,$B28)/1000)</f>
        <v>736.374</v>
      </c>
      <c r="P28" s="11">
        <f>IF(P$3=0,"",SUMIFS(INDEX(Inputs!$D$4:$AG$100,0,MATCH(P$2,Inputs!$D$2:$AG$2,0)),Inputs!$B$4:$B$100,$B28)/1000)</f>
        <v>935.016</v>
      </c>
      <c r="Q28" s="11">
        <f>IF(Q$3=0,"",SUMIFS(INDEX(Inputs!$D$4:$AG$100,0,MATCH(Q$2,Inputs!$D$2:$AG$2,0)),Inputs!$B$4:$B$100,$B28)/1000)</f>
        <v>572.321</v>
      </c>
      <c r="R28" s="12">
        <f>IF(Q28="","",Q28)</f>
        <v>572.321</v>
      </c>
      <c r="S28" s="11">
        <f>IF(S$3=0,"",SUMIFS(INDEX(Inputs!$D$4:$AG$100,0,MATCH(S$2,Inputs!$D$2:$AG$2,0)),Inputs!$B$4:$B$100,$B28)/1000)</f>
        <v>410.719</v>
      </c>
      <c r="T28" s="11">
        <f>IF(T$3=0,"",SUMIFS(INDEX(Inputs!$D$4:$AG$100,0,MATCH(T$2,Inputs!$D$2:$AG$2,0)),Inputs!$B$4:$B$100,$B28)/1000)</f>
        <v>422.944</v>
      </c>
      <c r="U28" s="11">
        <f>IF(U$3=0,"",SUMIFS(INDEX(Inputs!$D$4:$AG$100,0,MATCH(U$2,Inputs!$D$2:$AG$2,0)),Inputs!$B$4:$B$100,$B28)/1000)</f>
        <v>784.734</v>
      </c>
      <c r="V28" s="11">
        <f>IF(V$3=0,"",SUMIFS(INDEX(Inputs!$D$4:$AG$100,0,MATCH(V$2,Inputs!$D$2:$AG$2,0)),Inputs!$B$4:$B$100,$B28)/1000)</f>
        <v>1305.51</v>
      </c>
      <c r="W28" s="12">
        <f>IF(V28="","",V28)</f>
        <v>1305.51</v>
      </c>
      <c r="X28" s="11">
        <f>IF(X$3=0,"",SUMIFS(INDEX(Inputs!$D$4:$AG$100,0,MATCH(X$2,Inputs!$D$2:$AG$2,0)),Inputs!$B$4:$B$100,$B28)/1000)</f>
        <v>1037.407</v>
      </c>
      <c r="Y28" s="11">
        <f>IF(Y$3=0,"",SUMIFS(INDEX(Inputs!$D$4:$AG$100,0,MATCH(Y$2,Inputs!$D$2:$AG$2,0)),Inputs!$B$4:$B$100,$B28)/1000)</f>
        <v>1016.284</v>
      </c>
      <c r="Z28" s="11">
        <f>IF(Z$3=0,"",SUMIFS(INDEX(Inputs!$D$4:$AG$100,0,MATCH(Z$2,Inputs!$D$2:$AG$2,0)),Inputs!$B$4:$B$100,$B28)/1000)</f>
        <v>1352.896</v>
      </c>
      <c r="AA28" s="11">
        <f>IF(AA$3=0,"",SUMIFS(INDEX(Inputs!$D$4:$AG$100,0,MATCH(AA$2,Inputs!$D$2:$AG$2,0)),Inputs!$B$4:$B$100,$B28)/1000)</f>
        <v>1461.984</v>
      </c>
      <c r="AB28" s="12">
        <f>IF(AA28="","",AA28)</f>
        <v>1461.984</v>
      </c>
      <c r="AC28" s="11">
        <f>IF(AC$3=0,"",SUMIFS(INDEX(Inputs!$D$4:$AG$100,0,MATCH(AC$2,Inputs!$D$2:$AG$2,0)),Inputs!$B$4:$B$100,$B28)/1000)</f>
        <v>1257.711</v>
      </c>
      <c r="AD28" s="11">
        <f>IF(AD$3=0,"",SUMIFS(INDEX(Inputs!$D$4:$AG$100,0,MATCH(AD$2,Inputs!$D$2:$AG$2,0)),Inputs!$B$4:$B$100,$B28)/1000)</f>
        <v>1130.416</v>
      </c>
      <c r="AE28" s="11" t="str">
        <f>IF(AE$3=0,"",SUMIFS(INDEX(Inputs!$D$4:$AG$100,0,MATCH(AE$2,Inputs!$D$2:$AG$2,0)),Inputs!$B$4:$B$100,$B28)/1000)</f>
        <v/>
      </c>
      <c r="AF28" s="11" t="str">
        <f>IF(AF$3=0,"",SUMIFS(INDEX(Inputs!$D$4:$AG$100,0,MATCH(AF$2,Inputs!$D$2:$AG$2,0)),Inputs!$B$4:$B$100,$B28)/1000)</f>
        <v/>
      </c>
      <c r="AG28" s="12" t="str">
        <f>IF(AF28="","",AF28)</f>
        <v/>
      </c>
    </row>
    <row r="29">
      <c r="B29" s="9" t="n">
        <v>24</v>
      </c>
      <c r="C29" s="14" t="inlineStr">
        <is>
          <t>Accrued expenses</t>
        </is>
      </c>
      <c r="D29" s="11">
        <f>IF(D$3=0,"",SUMIFS(INDEX(Inputs!$D$4:$AG$100,0,MATCH(D$2,Inputs!$D$2:$AG$2,0)),Inputs!$B$4:$B$100,$B29)/1000)</f>
        <v>14.16</v>
      </c>
      <c r="E29" s="11">
        <f>IF(E$3=0,"",SUMIFS(INDEX(Inputs!$D$4:$AG$100,0,MATCH(E$2,Inputs!$D$2:$AG$2,0)),Inputs!$B$4:$B$100,$B29)/1000)</f>
        <v>17.478</v>
      </c>
      <c r="F29" s="11">
        <f>IF(F$3=0,"",SUMIFS(INDEX(Inputs!$D$4:$AG$100,0,MATCH(F$2,Inputs!$D$2:$AG$2,0)),Inputs!$B$4:$B$100,$B29)/1000)</f>
        <v>22.23</v>
      </c>
      <c r="G29" s="11">
        <f>IF(G$3=0,"",SUMIFS(INDEX(Inputs!$D$4:$AG$100,0,MATCH(G$2,Inputs!$D$2:$AG$2,0)),Inputs!$B$4:$B$100,$B29)/1000)</f>
        <v>23.893</v>
      </c>
      <c r="H29" s="12">
        <f>IF(G29="","",G29)</f>
        <v>23.893</v>
      </c>
      <c r="I29" s="11">
        <f>IF(I$3=0,"",SUMIFS(INDEX(Inputs!$D$4:$AG$100,0,MATCH(I$2,Inputs!$D$2:$AG$2,0)),Inputs!$B$4:$B$100,$B29)/1000)</f>
        <v>36.529</v>
      </c>
      <c r="J29" s="11">
        <f>IF(J$3=0,"",SUMIFS(INDEX(Inputs!$D$4:$AG$100,0,MATCH(J$2,Inputs!$D$2:$AG$2,0)),Inputs!$B$4:$B$100,$B29)/1000)</f>
        <v>43.529</v>
      </c>
      <c r="K29" s="11">
        <f>IF(K$3=0,"",SUMIFS(INDEX(Inputs!$D$4:$AG$100,0,MATCH(K$2,Inputs!$D$2:$AG$2,0)),Inputs!$B$4:$B$100,$B29)/1000)</f>
        <v>49.129</v>
      </c>
      <c r="L29" s="11">
        <f>IF(L$3=0,"",SUMIFS(INDEX(Inputs!$D$4:$AG$100,0,MATCH(L$2,Inputs!$D$2:$AG$2,0)),Inputs!$B$4:$B$100,$B29)/1000)</f>
        <v>66.359</v>
      </c>
      <c r="M29" s="12">
        <f>IF(L29="","",L29)</f>
        <v>66.359</v>
      </c>
      <c r="N29" s="11">
        <f>IF(N$3=0,"",SUMIFS(INDEX(Inputs!$D$4:$AG$100,0,MATCH(N$2,Inputs!$D$2:$AG$2,0)),Inputs!$B$4:$B$100,$B29)/1000)</f>
        <v>37.4</v>
      </c>
      <c r="O29" s="11">
        <f>IF(O$3=0,"",SUMIFS(INDEX(Inputs!$D$4:$AG$100,0,MATCH(O$2,Inputs!$D$2:$AG$2,0)),Inputs!$B$4:$B$100,$B29)/1000)</f>
        <v>64.283</v>
      </c>
      <c r="P29" s="11">
        <f>IF(P$3=0,"",SUMIFS(INDEX(Inputs!$D$4:$AG$100,0,MATCH(P$2,Inputs!$D$2:$AG$2,0)),Inputs!$B$4:$B$100,$B29)/1000)</f>
        <v>77.379</v>
      </c>
      <c r="Q29" s="11">
        <f>IF(Q$3=0,"",SUMIFS(INDEX(Inputs!$D$4:$AG$100,0,MATCH(Q$2,Inputs!$D$2:$AG$2,0)),Inputs!$B$4:$B$100,$B29)/1000)</f>
        <v>98.872</v>
      </c>
      <c r="R29" s="12">
        <f>IF(Q29="","",Q29)</f>
        <v>98.872</v>
      </c>
      <c r="S29" s="11">
        <f>IF(S$3=0,"",SUMIFS(INDEX(Inputs!$D$4:$AG$100,0,MATCH(S$2,Inputs!$D$2:$AG$2,0)),Inputs!$B$4:$B$100,$B29)/1000)</f>
        <v>63.019</v>
      </c>
      <c r="T29" s="11">
        <f>IF(T$3=0,"",SUMIFS(INDEX(Inputs!$D$4:$AG$100,0,MATCH(T$2,Inputs!$D$2:$AG$2,0)),Inputs!$B$4:$B$100,$B29)/1000)</f>
        <v>48.744</v>
      </c>
      <c r="U29" s="11">
        <f>IF(U$3=0,"",SUMIFS(INDEX(Inputs!$D$4:$AG$100,0,MATCH(U$2,Inputs!$D$2:$AG$2,0)),Inputs!$B$4:$B$100,$B29)/1000)</f>
        <v>69.081</v>
      </c>
      <c r="V29" s="11">
        <f>IF(V$3=0,"",SUMIFS(INDEX(Inputs!$D$4:$AG$100,0,MATCH(V$2,Inputs!$D$2:$AG$2,0)),Inputs!$B$4:$B$100,$B29)/1000)</f>
        <v>116.781</v>
      </c>
      <c r="W29" s="12">
        <f>IF(V29="","",V29)</f>
        <v>116.781</v>
      </c>
      <c r="X29" s="11">
        <f>IF(X$3=0,"",SUMIFS(INDEX(Inputs!$D$4:$AG$100,0,MATCH(X$2,Inputs!$D$2:$AG$2,0)),Inputs!$B$4:$B$100,$B29)/1000)</f>
        <v>74.994</v>
      </c>
      <c r="Y29" s="11">
        <f>IF(Y$3=0,"",SUMIFS(INDEX(Inputs!$D$4:$AG$100,0,MATCH(Y$2,Inputs!$D$2:$AG$2,0)),Inputs!$B$4:$B$100,$B29)/1000)</f>
        <v>85.199</v>
      </c>
      <c r="Z29" s="11">
        <f>IF(Z$3=0,"",SUMIFS(INDEX(Inputs!$D$4:$AG$100,0,MATCH(Z$2,Inputs!$D$2:$AG$2,0)),Inputs!$B$4:$B$100,$B29)/1000)</f>
        <v>108.796</v>
      </c>
      <c r="AA29" s="11">
        <f>IF(AA$3=0,"",SUMIFS(INDEX(Inputs!$D$4:$AG$100,0,MATCH(AA$2,Inputs!$D$2:$AG$2,0)),Inputs!$B$4:$B$100,$B29)/1000)</f>
        <v>118.193</v>
      </c>
      <c r="AB29" s="12">
        <f>IF(AA29="","",AA29)</f>
        <v>118.193</v>
      </c>
      <c r="AC29" s="11">
        <f>IF(AC$3=0,"",SUMIFS(INDEX(Inputs!$D$4:$AG$100,0,MATCH(AC$2,Inputs!$D$2:$AG$2,0)),Inputs!$B$4:$B$100,$B29)/1000)</f>
        <v>72.033</v>
      </c>
      <c r="AD29" s="11">
        <f>IF(AD$3=0,"",SUMIFS(INDEX(Inputs!$D$4:$AG$100,0,MATCH(AD$2,Inputs!$D$2:$AG$2,0)),Inputs!$B$4:$B$100,$B29)/1000)</f>
        <v>90.994</v>
      </c>
      <c r="AE29" s="11" t="str">
        <f>IF(AE$3=0,"",SUMIFS(INDEX(Inputs!$D$4:$AG$100,0,MATCH(AE$2,Inputs!$D$2:$AG$2,0)),Inputs!$B$4:$B$100,$B29)/1000)</f>
        <v/>
      </c>
      <c r="AF29" s="11" t="str">
        <f>IF(AF$3=0,"",SUMIFS(INDEX(Inputs!$D$4:$AG$100,0,MATCH(AF$2,Inputs!$D$2:$AG$2,0)),Inputs!$B$4:$B$100,$B29)/1000)</f>
        <v/>
      </c>
      <c r="AG29" s="12" t="str">
        <f>IF(AF29="","",AF29)</f>
        <v/>
      </c>
    </row>
    <row r="30">
      <c r="B30" s="9" t="n">
        <v>25</v>
      </c>
      <c r="C30" s="14" t="inlineStr">
        <is>
          <t>Taxes payable</t>
        </is>
      </c>
      <c r="D30" s="11">
        <f>IF(D$3=0,"",SUMIFS(INDEX(Inputs!$D$4:$AG$100,0,MATCH(D$2,Inputs!$D$2:$AG$2,0)),Inputs!$B$4:$B$100,$B30)/1000)</f>
        <v>112.573</v>
      </c>
      <c r="E30" s="11">
        <f>IF(E$3=0,"",SUMIFS(INDEX(Inputs!$D$4:$AG$100,0,MATCH(E$2,Inputs!$D$2:$AG$2,0)),Inputs!$B$4:$B$100,$B30)/1000)</f>
        <v>123.464</v>
      </c>
      <c r="F30" s="11">
        <f>IF(F$3=0,"",SUMIFS(INDEX(Inputs!$D$4:$AG$100,0,MATCH(F$2,Inputs!$D$2:$AG$2,0)),Inputs!$B$4:$B$100,$B30)/1000)</f>
        <v>103.801</v>
      </c>
      <c r="G30" s="11">
        <f>IF(G$3=0,"",SUMIFS(INDEX(Inputs!$D$4:$AG$100,0,MATCH(G$2,Inputs!$D$2:$AG$2,0)),Inputs!$B$4:$B$100,$B30)/1000)</f>
        <v>37.709</v>
      </c>
      <c r="H30" s="12">
        <f>IF(G30="","",G30)</f>
        <v>37.709</v>
      </c>
      <c r="I30" s="11">
        <f>IF(I$3=0,"",SUMIFS(INDEX(Inputs!$D$4:$AG$100,0,MATCH(I$2,Inputs!$D$2:$AG$2,0)),Inputs!$B$4:$B$100,$B30)/1000)</f>
        <v>57.394</v>
      </c>
      <c r="J30" s="11">
        <f>IF(J$3=0,"",SUMIFS(INDEX(Inputs!$D$4:$AG$100,0,MATCH(J$2,Inputs!$D$2:$AG$2,0)),Inputs!$B$4:$B$100,$B30)/1000)</f>
        <v>98.958</v>
      </c>
      <c r="K30" s="11">
        <f>IF(K$3=0,"",SUMIFS(INDEX(Inputs!$D$4:$AG$100,0,MATCH(K$2,Inputs!$D$2:$AG$2,0)),Inputs!$B$4:$B$100,$B30)/1000)</f>
        <v>80.666</v>
      </c>
      <c r="L30" s="11">
        <f>IF(L$3=0,"",SUMIFS(INDEX(Inputs!$D$4:$AG$100,0,MATCH(L$2,Inputs!$D$2:$AG$2,0)),Inputs!$B$4:$B$100,$B30)/1000)</f>
        <v>107.461</v>
      </c>
      <c r="M30" s="12">
        <f>IF(L30="","",L30)</f>
        <v>107.461</v>
      </c>
      <c r="N30" s="11">
        <f>IF(N$3=0,"",SUMIFS(INDEX(Inputs!$D$4:$AG$100,0,MATCH(N$2,Inputs!$D$2:$AG$2,0)),Inputs!$B$4:$B$100,$B30)/1000)</f>
        <v>97.302</v>
      </c>
      <c r="O30" s="11">
        <f>IF(O$3=0,"",SUMIFS(INDEX(Inputs!$D$4:$AG$100,0,MATCH(O$2,Inputs!$D$2:$AG$2,0)),Inputs!$B$4:$B$100,$B30)/1000)</f>
        <v>112.32</v>
      </c>
      <c r="P30" s="11">
        <f>IF(P$3=0,"",SUMIFS(INDEX(Inputs!$D$4:$AG$100,0,MATCH(P$2,Inputs!$D$2:$AG$2,0)),Inputs!$B$4:$B$100,$B30)/1000)</f>
        <v>286.466</v>
      </c>
      <c r="Q30" s="11">
        <f>IF(Q$3=0,"",SUMIFS(INDEX(Inputs!$D$4:$AG$100,0,MATCH(Q$2,Inputs!$D$2:$AG$2,0)),Inputs!$B$4:$B$100,$B30)/1000)</f>
        <v>76.628</v>
      </c>
      <c r="R30" s="12">
        <f>IF(Q30="","",Q30)</f>
        <v>76.628</v>
      </c>
      <c r="S30" s="11">
        <f>IF(S$3=0,"",SUMIFS(INDEX(Inputs!$D$4:$AG$100,0,MATCH(S$2,Inputs!$D$2:$AG$2,0)),Inputs!$B$4:$B$100,$B30)/1000)</f>
        <v>92.244</v>
      </c>
      <c r="T30" s="11">
        <f>IF(T$3=0,"",SUMIFS(INDEX(Inputs!$D$4:$AG$100,0,MATCH(T$2,Inputs!$D$2:$AG$2,0)),Inputs!$B$4:$B$100,$B30)/1000)</f>
        <v>113.933</v>
      </c>
      <c r="U30" s="11">
        <f>IF(U$3=0,"",SUMIFS(INDEX(Inputs!$D$4:$AG$100,0,MATCH(U$2,Inputs!$D$2:$AG$2,0)),Inputs!$B$4:$B$100,$B30)/1000)</f>
        <v>163.946</v>
      </c>
      <c r="V30" s="11">
        <f>IF(V$3=0,"",SUMIFS(INDEX(Inputs!$D$4:$AG$100,0,MATCH(V$2,Inputs!$D$2:$AG$2,0)),Inputs!$B$4:$B$100,$B30)/1000)</f>
        <v>150.061</v>
      </c>
      <c r="W30" s="12">
        <f>IF(V30="","",V30)</f>
        <v>150.061</v>
      </c>
      <c r="X30" s="11">
        <f>IF(X$3=0,"",SUMIFS(INDEX(Inputs!$D$4:$AG$100,0,MATCH(X$2,Inputs!$D$2:$AG$2,0)),Inputs!$B$4:$B$100,$B30)/1000)</f>
        <v>215.71</v>
      </c>
      <c r="Y30" s="11">
        <f>IF(Y$3=0,"",SUMIFS(INDEX(Inputs!$D$4:$AG$100,0,MATCH(Y$2,Inputs!$D$2:$AG$2,0)),Inputs!$B$4:$B$100,$B30)/1000)</f>
        <v>221.789</v>
      </c>
      <c r="Z30" s="11">
        <f>IF(Z$3=0,"",SUMIFS(INDEX(Inputs!$D$4:$AG$100,0,MATCH(Z$2,Inputs!$D$2:$AG$2,0)),Inputs!$B$4:$B$100,$B30)/1000)</f>
        <v>238.061</v>
      </c>
      <c r="AA30" s="11">
        <f>IF(AA$3=0,"",SUMIFS(INDEX(Inputs!$D$4:$AG$100,0,MATCH(AA$2,Inputs!$D$2:$AG$2,0)),Inputs!$B$4:$B$100,$B30)/1000)</f>
        <v>163.314</v>
      </c>
      <c r="AB30" s="12">
        <f>IF(AA30="","",AA30)</f>
        <v>163.314</v>
      </c>
      <c r="AC30" s="11">
        <f>IF(AC$3=0,"",SUMIFS(INDEX(Inputs!$D$4:$AG$100,0,MATCH(AC$2,Inputs!$D$2:$AG$2,0)),Inputs!$B$4:$B$100,$B30)/1000)</f>
        <v>229.279</v>
      </c>
      <c r="AD30" s="11">
        <f>IF(AD$3=0,"",SUMIFS(INDEX(Inputs!$D$4:$AG$100,0,MATCH(AD$2,Inputs!$D$2:$AG$2,0)),Inputs!$B$4:$B$100,$B30)/1000)</f>
        <v>220.779</v>
      </c>
      <c r="AE30" s="11" t="str">
        <f>IF(AE$3=0,"",SUMIFS(INDEX(Inputs!$D$4:$AG$100,0,MATCH(AE$2,Inputs!$D$2:$AG$2,0)),Inputs!$B$4:$B$100,$B30)/1000)</f>
        <v/>
      </c>
      <c r="AF30" s="11" t="str">
        <f>IF(AF$3=0,"",SUMIFS(INDEX(Inputs!$D$4:$AG$100,0,MATCH(AF$2,Inputs!$D$2:$AG$2,0)),Inputs!$B$4:$B$100,$B30)/1000)</f>
        <v/>
      </c>
      <c r="AG30" s="12" t="str">
        <f>IF(AF30="","",AF30)</f>
        <v/>
      </c>
    </row>
    <row r="31">
      <c r="B31" s="9" t="n">
        <v>26</v>
      </c>
      <c r="C31" s="14" t="inlineStr">
        <is>
          <t>Other current liabilities (non-debt)</t>
        </is>
      </c>
      <c r="D31" s="11">
        <f>IF(D$3=0,"",SUMIFS(INDEX(Inputs!$D$4:$AG$100,0,MATCH(D$2,Inputs!$D$2:$AG$2,0)),Inputs!$B$4:$B$100,$B31)/1000)</f>
        <v>1169.261</v>
      </c>
      <c r="E31" s="11">
        <f>IF(E$3=0,"",SUMIFS(INDEX(Inputs!$D$4:$AG$100,0,MATCH(E$2,Inputs!$D$2:$AG$2,0)),Inputs!$B$4:$B$100,$B31)/1000)</f>
        <v>559.882</v>
      </c>
      <c r="F31" s="11">
        <f>IF(F$3=0,"",SUMIFS(INDEX(Inputs!$D$4:$AG$100,0,MATCH(F$2,Inputs!$D$2:$AG$2,0)),Inputs!$B$4:$B$100,$B31)/1000)</f>
        <v>534.672</v>
      </c>
      <c r="G31" s="11">
        <f>IF(G$3=0,"",SUMIFS(INDEX(Inputs!$D$4:$AG$100,0,MATCH(G$2,Inputs!$D$2:$AG$2,0)),Inputs!$B$4:$B$100,$B31)/1000)</f>
        <v>1103.992</v>
      </c>
      <c r="H31" s="12">
        <f>IF(G31="","",G31)</f>
        <v>1103.992</v>
      </c>
      <c r="I31" s="11">
        <f>IF(I$3=0,"",SUMIFS(INDEX(Inputs!$D$4:$AG$100,0,MATCH(I$2,Inputs!$D$2:$AG$2,0)),Inputs!$B$4:$B$100,$B31)/1000)</f>
        <v>2360.34</v>
      </c>
      <c r="J31" s="11">
        <f>IF(J$3=0,"",SUMIFS(INDEX(Inputs!$D$4:$AG$100,0,MATCH(J$2,Inputs!$D$2:$AG$2,0)),Inputs!$B$4:$B$100,$B31)/1000)</f>
        <v>2534.491</v>
      </c>
      <c r="K31" s="11">
        <f>IF(K$3=0,"",SUMIFS(INDEX(Inputs!$D$4:$AG$100,0,MATCH(K$2,Inputs!$D$2:$AG$2,0)),Inputs!$B$4:$B$100,$B31)/1000)</f>
        <v>2267.472</v>
      </c>
      <c r="L31" s="11">
        <f>IF(L$3=0,"",SUMIFS(INDEX(Inputs!$D$4:$AG$100,0,MATCH(L$2,Inputs!$D$2:$AG$2,0)),Inputs!$B$4:$B$100,$B31)/1000)</f>
        <v>3197.639</v>
      </c>
      <c r="M31" s="12">
        <f>IF(L31="","",L31)</f>
        <v>3197.639</v>
      </c>
      <c r="N31" s="11">
        <f>IF(N$3=0,"",SUMIFS(INDEX(Inputs!$D$4:$AG$100,0,MATCH(N$2,Inputs!$D$2:$AG$2,0)),Inputs!$B$4:$B$100,$B31)/1000)</f>
        <v>3047.076</v>
      </c>
      <c r="O31" s="11">
        <f>IF(O$3=0,"",SUMIFS(INDEX(Inputs!$D$4:$AG$100,0,MATCH(O$2,Inputs!$D$2:$AG$2,0)),Inputs!$B$4:$B$100,$B31)/1000)</f>
        <v>2469.267</v>
      </c>
      <c r="P31" s="11">
        <f>IF(P$3=0,"",SUMIFS(INDEX(Inputs!$D$4:$AG$100,0,MATCH(P$2,Inputs!$D$2:$AG$2,0)),Inputs!$B$4:$B$100,$B31)/1000)</f>
        <v>2328.48</v>
      </c>
      <c r="Q31" s="11">
        <f>IF(Q$3=0,"",SUMIFS(INDEX(Inputs!$D$4:$AG$100,0,MATCH(Q$2,Inputs!$D$2:$AG$2,0)),Inputs!$B$4:$B$100,$B31)/1000)</f>
        <v>2245.064</v>
      </c>
      <c r="R31" s="12">
        <f>IF(Q31="","",Q31)</f>
        <v>2245.064</v>
      </c>
      <c r="S31" s="11">
        <f>IF(S$3=0,"",SUMIFS(INDEX(Inputs!$D$4:$AG$100,0,MATCH(S$2,Inputs!$D$2:$AG$2,0)),Inputs!$B$4:$B$100,$B31)/1000)</f>
        <v>1752.321</v>
      </c>
      <c r="T31" s="11">
        <f>IF(T$3=0,"",SUMIFS(INDEX(Inputs!$D$4:$AG$100,0,MATCH(T$2,Inputs!$D$2:$AG$2,0)),Inputs!$B$4:$B$100,$B31)/1000)</f>
        <v>1627.855</v>
      </c>
      <c r="U31" s="11">
        <f>IF(U$3=0,"",SUMIFS(INDEX(Inputs!$D$4:$AG$100,0,MATCH(U$2,Inputs!$D$2:$AG$2,0)),Inputs!$B$4:$B$100,$B31)/1000)</f>
        <v>3201.676</v>
      </c>
      <c r="V31" s="11">
        <f>IF(V$3=0,"",SUMIFS(INDEX(Inputs!$D$4:$AG$100,0,MATCH(V$2,Inputs!$D$2:$AG$2,0)),Inputs!$B$4:$B$100,$B31)/1000)</f>
        <v>2866.402</v>
      </c>
      <c r="W31" s="12">
        <f>IF(V31="","",V31)</f>
        <v>2866.402</v>
      </c>
      <c r="X31" s="11">
        <f>IF(X$3=0,"",SUMIFS(INDEX(Inputs!$D$4:$AG$100,0,MATCH(X$2,Inputs!$D$2:$AG$2,0)),Inputs!$B$4:$B$100,$B31)/1000)</f>
        <v>3877.238</v>
      </c>
      <c r="Y31" s="11">
        <f>IF(Y$3=0,"",SUMIFS(INDEX(Inputs!$D$4:$AG$100,0,MATCH(Y$2,Inputs!$D$2:$AG$2,0)),Inputs!$B$4:$B$100,$B31)/1000)</f>
        <v>2918.857</v>
      </c>
      <c r="Z31" s="11">
        <f>IF(Z$3=0,"",SUMIFS(INDEX(Inputs!$D$4:$AG$100,0,MATCH(Z$2,Inputs!$D$2:$AG$2,0)),Inputs!$B$4:$B$100,$B31)/1000)</f>
        <v>2835.048</v>
      </c>
      <c r="AA31" s="11">
        <f>IF(AA$3=0,"",SUMIFS(INDEX(Inputs!$D$4:$AG$100,0,MATCH(AA$2,Inputs!$D$2:$AG$2,0)),Inputs!$B$4:$B$100,$B31)/1000)</f>
        <v>2708.083</v>
      </c>
      <c r="AB31" s="12">
        <f>IF(AA31="","",AA31)</f>
        <v>2708.083</v>
      </c>
      <c r="AC31" s="11">
        <f>IF(AC$3=0,"",SUMIFS(INDEX(Inputs!$D$4:$AG$100,0,MATCH(AC$2,Inputs!$D$2:$AG$2,0)),Inputs!$B$4:$B$100,$B31)/1000)</f>
        <v>2982.104</v>
      </c>
      <c r="AD31" s="11">
        <f>IF(AD$3=0,"",SUMIFS(INDEX(Inputs!$D$4:$AG$100,0,MATCH(AD$2,Inputs!$D$2:$AG$2,0)),Inputs!$B$4:$B$100,$B31)/1000)</f>
        <v>2959.695</v>
      </c>
      <c r="AE31" s="11" t="str">
        <f>IF(AE$3=0,"",SUMIFS(INDEX(Inputs!$D$4:$AG$100,0,MATCH(AE$2,Inputs!$D$2:$AG$2,0)),Inputs!$B$4:$B$100,$B31)/1000)</f>
        <v/>
      </c>
      <c r="AF31" s="11" t="str">
        <f>IF(AF$3=0,"",SUMIFS(INDEX(Inputs!$D$4:$AG$100,0,MATCH(AF$2,Inputs!$D$2:$AG$2,0)),Inputs!$B$4:$B$100,$B31)/1000)</f>
        <v/>
      </c>
      <c r="AG31" s="12" t="str">
        <f>IF(AF31="","",AF31)</f>
        <v/>
      </c>
    </row>
    <row r="32">
      <c r="B32" s="9" t="n">
        <v>27</v>
      </c>
      <c r="C32" s="14" t="inlineStr">
        <is>
          <t>Current portion of long-term debt</t>
        </is>
      </c>
      <c r="D32" s="11">
        <f>IF(D$3=0,"",SUMIFS(INDEX(Inputs!$D$4:$AG$100,0,MATCH(D$2,Inputs!$D$2:$AG$2,0)),Inputs!$B$4:$B$100,$B32)/1000)</f>
        <v>113.698</v>
      </c>
      <c r="E32" s="11">
        <f>IF(E$3=0,"",SUMIFS(INDEX(Inputs!$D$4:$AG$100,0,MATCH(E$2,Inputs!$D$2:$AG$2,0)),Inputs!$B$4:$B$100,$B32)/1000)</f>
        <v>126.835</v>
      </c>
      <c r="F32" s="11">
        <f>IF(F$3=0,"",SUMIFS(INDEX(Inputs!$D$4:$AG$100,0,MATCH(F$2,Inputs!$D$2:$AG$2,0)),Inputs!$B$4:$B$100,$B32)/1000)</f>
        <v>112.867</v>
      </c>
      <c r="G32" s="11">
        <f>IF(G$3=0,"",SUMIFS(INDEX(Inputs!$D$4:$AG$100,0,MATCH(G$2,Inputs!$D$2:$AG$2,0)),Inputs!$B$4:$B$100,$B32)/1000)</f>
        <v>208.959</v>
      </c>
      <c r="H32" s="12">
        <f>IF(G32="","",G32)</f>
        <v>208.959</v>
      </c>
      <c r="I32" s="11">
        <f>IF(I$3=0,"",SUMIFS(INDEX(Inputs!$D$4:$AG$100,0,MATCH(I$2,Inputs!$D$2:$AG$2,0)),Inputs!$B$4:$B$100,$B32)/1000)</f>
        <v>204.389</v>
      </c>
      <c r="J32" s="11">
        <f>IF(J$3=0,"",SUMIFS(INDEX(Inputs!$D$4:$AG$100,0,MATCH(J$2,Inputs!$D$2:$AG$2,0)),Inputs!$B$4:$B$100,$B32)/1000)</f>
        <v>226.936</v>
      </c>
      <c r="K32" s="11">
        <f>IF(K$3=0,"",SUMIFS(INDEX(Inputs!$D$4:$AG$100,0,MATCH(K$2,Inputs!$D$2:$AG$2,0)),Inputs!$B$4:$B$100,$B32)/1000)</f>
        <v>236.588</v>
      </c>
      <c r="L32" s="11">
        <f>IF(L$3=0,"",SUMIFS(INDEX(Inputs!$D$4:$AG$100,0,MATCH(L$2,Inputs!$D$2:$AG$2,0)),Inputs!$B$4:$B$100,$B32)/1000)</f>
        <v>276.615</v>
      </c>
      <c r="M32" s="12">
        <f>IF(L32="","",L32)</f>
        <v>276.615</v>
      </c>
      <c r="N32" s="11">
        <f>IF(N$3=0,"",SUMIFS(INDEX(Inputs!$D$4:$AG$100,0,MATCH(N$2,Inputs!$D$2:$AG$2,0)),Inputs!$B$4:$B$100,$B32)/1000)</f>
        <v>285.512</v>
      </c>
      <c r="O32" s="11">
        <f>IF(O$3=0,"",SUMIFS(INDEX(Inputs!$D$4:$AG$100,0,MATCH(O$2,Inputs!$D$2:$AG$2,0)),Inputs!$B$4:$B$100,$B32)/1000)</f>
        <v>952.657</v>
      </c>
      <c r="P32" s="11">
        <f>IF(P$3=0,"",SUMIFS(INDEX(Inputs!$D$4:$AG$100,0,MATCH(P$2,Inputs!$D$2:$AG$2,0)),Inputs!$B$4:$B$100,$B32)/1000)</f>
        <v>434.788</v>
      </c>
      <c r="Q32" s="11">
        <f>IF(Q$3=0,"",SUMIFS(INDEX(Inputs!$D$4:$AG$100,0,MATCH(Q$2,Inputs!$D$2:$AG$2,0)),Inputs!$B$4:$B$100,$B32)/1000)</f>
        <v>851.786</v>
      </c>
      <c r="R32" s="12">
        <f>IF(Q32="","",Q32)</f>
        <v>851.786</v>
      </c>
      <c r="S32" s="11">
        <f>IF(S$3=0,"",SUMIFS(INDEX(Inputs!$D$4:$AG$100,0,MATCH(S$2,Inputs!$D$2:$AG$2,0)),Inputs!$B$4:$B$100,$B32)/1000)</f>
        <v>858.787</v>
      </c>
      <c r="T32" s="11">
        <f>IF(T$3=0,"",SUMIFS(INDEX(Inputs!$D$4:$AG$100,0,MATCH(T$2,Inputs!$D$2:$AG$2,0)),Inputs!$B$4:$B$100,$B32)/1000)</f>
        <v>768.853</v>
      </c>
      <c r="U32" s="11">
        <f>IF(U$3=0,"",SUMIFS(INDEX(Inputs!$D$4:$AG$100,0,MATCH(U$2,Inputs!$D$2:$AG$2,0)),Inputs!$B$4:$B$100,$B32)/1000)</f>
        <v>799.536</v>
      </c>
      <c r="V32" s="11">
        <f>IF(V$3=0,"",SUMIFS(INDEX(Inputs!$D$4:$AG$100,0,MATCH(V$2,Inputs!$D$2:$AG$2,0)),Inputs!$B$4:$B$100,$B32)/1000)</f>
        <v>2698.72</v>
      </c>
      <c r="W32" s="12">
        <f>IF(V32="","",V32)</f>
        <v>2698.72</v>
      </c>
      <c r="X32" s="11">
        <f>IF(X$3=0,"",SUMIFS(INDEX(Inputs!$D$4:$AG$100,0,MATCH(X$2,Inputs!$D$2:$AG$2,0)),Inputs!$B$4:$B$100,$B32)/1000)</f>
        <v>2428.008</v>
      </c>
      <c r="Y32" s="11">
        <f>IF(Y$3=0,"",SUMIFS(INDEX(Inputs!$D$4:$AG$100,0,MATCH(Y$2,Inputs!$D$2:$AG$2,0)),Inputs!$B$4:$B$100,$B32)/1000)</f>
        <v>2151.933</v>
      </c>
      <c r="Z32" s="11">
        <f>IF(Z$3=0,"",SUMIFS(INDEX(Inputs!$D$4:$AG$100,0,MATCH(Z$2,Inputs!$D$2:$AG$2,0)),Inputs!$B$4:$B$100,$B32)/1000)</f>
        <v>2235.097</v>
      </c>
      <c r="AA32" s="11">
        <f>IF(AA$3=0,"",SUMIFS(INDEX(Inputs!$D$4:$AG$100,0,MATCH(AA$2,Inputs!$D$2:$AG$2,0)),Inputs!$B$4:$B$100,$B32)/1000)</f>
        <v>1938.34</v>
      </c>
      <c r="AB32" s="12">
        <f>IF(AA32="","",AA32)</f>
        <v>1938.34</v>
      </c>
      <c r="AC32" s="11">
        <f>IF(AC$3=0,"",SUMIFS(INDEX(Inputs!$D$4:$AG$100,0,MATCH(AC$2,Inputs!$D$2:$AG$2,0)),Inputs!$B$4:$B$100,$B32)/1000)</f>
        <v>2116.307</v>
      </c>
      <c r="AD32" s="11">
        <f>IF(AD$3=0,"",SUMIFS(INDEX(Inputs!$D$4:$AG$100,0,MATCH(AD$2,Inputs!$D$2:$AG$2,0)),Inputs!$B$4:$B$100,$B32)/1000)</f>
        <v>1922.546</v>
      </c>
      <c r="AE32" s="11" t="str">
        <f>IF(AE$3=0,"",SUMIFS(INDEX(Inputs!$D$4:$AG$100,0,MATCH(AE$2,Inputs!$D$2:$AG$2,0)),Inputs!$B$4:$B$100,$B32)/1000)</f>
        <v/>
      </c>
      <c r="AF32" s="11" t="str">
        <f>IF(AF$3=0,"",SUMIFS(INDEX(Inputs!$D$4:$AG$100,0,MATCH(AF$2,Inputs!$D$2:$AG$2,0)),Inputs!$B$4:$B$100,$B32)/1000)</f>
        <v/>
      </c>
      <c r="AG32" s="12" t="str">
        <f>IF(AF32="","",AF32)</f>
        <v/>
      </c>
    </row>
    <row r="33">
      <c r="B33" s="9" t="n">
        <v>28</v>
      </c>
      <c r="C33" s="14" t="inlineStr">
        <is>
          <t>Short term debt (Revolving credit facility)</t>
        </is>
      </c>
      <c r="D33" s="11">
        <f>IF(D$3=0,"",SUMIFS(INDEX(Inputs!$D$4:$AG$100,0,MATCH(D$2,Inputs!$D$2:$AG$2,0)),Inputs!$B$4:$B$100,$B33)/1000)</f>
        <v>0</v>
      </c>
      <c r="E33" s="11">
        <f>IF(E$3=0,"",SUMIFS(INDEX(Inputs!$D$4:$AG$100,0,MATCH(E$2,Inputs!$D$2:$AG$2,0)),Inputs!$B$4:$B$100,$B33)/1000)</f>
        <v>0</v>
      </c>
      <c r="F33" s="11">
        <f>IF(F$3=0,"",SUMIFS(INDEX(Inputs!$D$4:$AG$100,0,MATCH(F$2,Inputs!$D$2:$AG$2,0)),Inputs!$B$4:$B$100,$B33)/1000)</f>
        <v>0</v>
      </c>
      <c r="G33" s="11">
        <f>IF(G$3=0,"",SUMIFS(INDEX(Inputs!$D$4:$AG$100,0,MATCH(G$2,Inputs!$D$2:$AG$2,0)),Inputs!$B$4:$B$100,$B33)/1000)</f>
        <v>0</v>
      </c>
      <c r="H33" s="12">
        <f>IF(G33="","",G33)</f>
        <v>0</v>
      </c>
      <c r="I33" s="11">
        <f>IF(I$3=0,"",SUMIFS(INDEX(Inputs!$D$4:$AG$100,0,MATCH(I$2,Inputs!$D$2:$AG$2,0)),Inputs!$B$4:$B$100,$B33)/1000)</f>
        <v>0</v>
      </c>
      <c r="J33" s="11">
        <f>IF(J$3=0,"",SUMIFS(INDEX(Inputs!$D$4:$AG$100,0,MATCH(J$2,Inputs!$D$2:$AG$2,0)),Inputs!$B$4:$B$100,$B33)/1000)</f>
        <v>0</v>
      </c>
      <c r="K33" s="11">
        <f>IF(K$3=0,"",SUMIFS(INDEX(Inputs!$D$4:$AG$100,0,MATCH(K$2,Inputs!$D$2:$AG$2,0)),Inputs!$B$4:$B$100,$B33)/1000)</f>
        <v>0</v>
      </c>
      <c r="L33" s="11">
        <f>IF(L$3=0,"",SUMIFS(INDEX(Inputs!$D$4:$AG$100,0,MATCH(L$2,Inputs!$D$2:$AG$2,0)),Inputs!$B$4:$B$100,$B33)/1000)</f>
        <v>0</v>
      </c>
      <c r="M33" s="12">
        <f>IF(L33="","",L33)</f>
        <v>0</v>
      </c>
      <c r="N33" s="11">
        <f>IF(N$3=0,"",SUMIFS(INDEX(Inputs!$D$4:$AG$100,0,MATCH(N$2,Inputs!$D$2:$AG$2,0)),Inputs!$B$4:$B$100,$B33)/1000)</f>
        <v>0</v>
      </c>
      <c r="O33" s="11">
        <f>IF(O$3=0,"",SUMIFS(INDEX(Inputs!$D$4:$AG$100,0,MATCH(O$2,Inputs!$D$2:$AG$2,0)),Inputs!$B$4:$B$100,$B33)/1000)</f>
        <v>0</v>
      </c>
      <c r="P33" s="11">
        <f>IF(P$3=0,"",SUMIFS(INDEX(Inputs!$D$4:$AG$100,0,MATCH(P$2,Inputs!$D$2:$AG$2,0)),Inputs!$B$4:$B$100,$B33)/1000)</f>
        <v>0</v>
      </c>
      <c r="Q33" s="11">
        <f>IF(Q$3=0,"",SUMIFS(INDEX(Inputs!$D$4:$AG$100,0,MATCH(Q$2,Inputs!$D$2:$AG$2,0)),Inputs!$B$4:$B$100,$B33)/1000)</f>
        <v>0</v>
      </c>
      <c r="R33" s="12">
        <f>IF(Q33="","",Q33)</f>
        <v>0</v>
      </c>
      <c r="S33" s="11">
        <f>IF(S$3=0,"",SUMIFS(INDEX(Inputs!$D$4:$AG$100,0,MATCH(S$2,Inputs!$D$2:$AG$2,0)),Inputs!$B$4:$B$100,$B33)/1000)</f>
        <v>0</v>
      </c>
      <c r="T33" s="11">
        <f>IF(T$3=0,"",SUMIFS(INDEX(Inputs!$D$4:$AG$100,0,MATCH(T$2,Inputs!$D$2:$AG$2,0)),Inputs!$B$4:$B$100,$B33)/1000)</f>
        <v>0</v>
      </c>
      <c r="U33" s="11">
        <f>IF(U$3=0,"",SUMIFS(INDEX(Inputs!$D$4:$AG$100,0,MATCH(U$2,Inputs!$D$2:$AG$2,0)),Inputs!$B$4:$B$100,$B33)/1000)</f>
        <v>0</v>
      </c>
      <c r="V33" s="11">
        <f>IF(V$3=0,"",SUMIFS(INDEX(Inputs!$D$4:$AG$100,0,MATCH(V$2,Inputs!$D$2:$AG$2,0)),Inputs!$B$4:$B$100,$B33)/1000)</f>
        <v>0</v>
      </c>
      <c r="W33" s="12">
        <f>IF(V33="","",V33)</f>
        <v>0</v>
      </c>
      <c r="X33" s="11">
        <f>IF(X$3=0,"",SUMIFS(INDEX(Inputs!$D$4:$AG$100,0,MATCH(X$2,Inputs!$D$2:$AG$2,0)),Inputs!$B$4:$B$100,$B33)/1000)</f>
        <v>0</v>
      </c>
      <c r="Y33" s="11">
        <f>IF(Y$3=0,"",SUMIFS(INDEX(Inputs!$D$4:$AG$100,0,MATCH(Y$2,Inputs!$D$2:$AG$2,0)),Inputs!$B$4:$B$100,$B33)/1000)</f>
        <v>0</v>
      </c>
      <c r="Z33" s="11">
        <f>IF(Z$3=0,"",SUMIFS(INDEX(Inputs!$D$4:$AG$100,0,MATCH(Z$2,Inputs!$D$2:$AG$2,0)),Inputs!$B$4:$B$100,$B33)/1000)</f>
        <v>0</v>
      </c>
      <c r="AA33" s="11">
        <f>IF(AA$3=0,"",SUMIFS(INDEX(Inputs!$D$4:$AG$100,0,MATCH(AA$2,Inputs!$D$2:$AG$2,0)),Inputs!$B$4:$B$100,$B33)/1000)</f>
        <v>0</v>
      </c>
      <c r="AB33" s="12">
        <f>IF(AA33="","",AA33)</f>
        <v>0</v>
      </c>
      <c r="AC33" s="11">
        <f>IF(AC$3=0,"",SUMIFS(INDEX(Inputs!$D$4:$AG$100,0,MATCH(AC$2,Inputs!$D$2:$AG$2,0)),Inputs!$B$4:$B$100,$B33)/1000)</f>
        <v>0</v>
      </c>
      <c r="AD33" s="11">
        <f>IF(AD$3=0,"",SUMIFS(INDEX(Inputs!$D$4:$AG$100,0,MATCH(AD$2,Inputs!$D$2:$AG$2,0)),Inputs!$B$4:$B$100,$B33)/1000)</f>
        <v>0</v>
      </c>
      <c r="AE33" s="11" t="str">
        <f>IF(AE$3=0,"",SUMIFS(INDEX(Inputs!$D$4:$AG$100,0,MATCH(AE$2,Inputs!$D$2:$AG$2,0)),Inputs!$B$4:$B$100,$B33)/1000)</f>
        <v/>
      </c>
      <c r="AF33" s="11" t="str">
        <f>IF(AF$3=0,"",SUMIFS(INDEX(Inputs!$D$4:$AG$100,0,MATCH(AF$2,Inputs!$D$2:$AG$2,0)),Inputs!$B$4:$B$100,$B33)/1000)</f>
        <v/>
      </c>
      <c r="AG33" s="12" t="str">
        <f>IF(AF33="","",AF33)</f>
        <v/>
      </c>
    </row>
    <row r="34">
      <c r="B34" s="9" t="n">
        <v>29</v>
      </c>
      <c r="C34" s="14" t="inlineStr">
        <is>
          <t>Short term operating leases</t>
        </is>
      </c>
      <c r="D34" s="11">
        <f>IF(D$3=0,"",SUMIFS(INDEX(Inputs!$D$4:$AG$100,0,MATCH(D$2,Inputs!$D$2:$AG$2,0)),Inputs!$B$4:$B$100,$B34)/1000)</f>
        <v>1.789</v>
      </c>
      <c r="E34" s="11">
        <f>IF(E$3=0,"",SUMIFS(INDEX(Inputs!$D$4:$AG$100,0,MATCH(E$2,Inputs!$D$2:$AG$2,0)),Inputs!$B$4:$B$100,$B34)/1000)</f>
        <v>1.868</v>
      </c>
      <c r="F34" s="11">
        <f>IF(F$3=0,"",SUMIFS(INDEX(Inputs!$D$4:$AG$100,0,MATCH(F$2,Inputs!$D$2:$AG$2,0)),Inputs!$B$4:$B$100,$B34)/1000)</f>
        <v>1.845</v>
      </c>
      <c r="G34" s="11">
        <f>IF(G$3=0,"",SUMIFS(INDEX(Inputs!$D$4:$AG$100,0,MATCH(G$2,Inputs!$D$2:$AG$2,0)),Inputs!$B$4:$B$100,$B34)/1000)</f>
        <v>1.824</v>
      </c>
      <c r="H34" s="12">
        <f>IF(G34="","",G34)</f>
        <v>1.824</v>
      </c>
      <c r="I34" s="11">
        <f>IF(I$3=0,"",SUMIFS(INDEX(Inputs!$D$4:$AG$100,0,MATCH(I$2,Inputs!$D$2:$AG$2,0)),Inputs!$B$4:$B$100,$B34)/1000)</f>
        <v>3.461</v>
      </c>
      <c r="J34" s="11">
        <f>IF(J$3=0,"",SUMIFS(INDEX(Inputs!$D$4:$AG$100,0,MATCH(J$2,Inputs!$D$2:$AG$2,0)),Inputs!$B$4:$B$100,$B34)/1000)</f>
        <v>2.64</v>
      </c>
      <c r="K34" s="11">
        <f>IF(K$3=0,"",SUMIFS(INDEX(Inputs!$D$4:$AG$100,0,MATCH(K$2,Inputs!$D$2:$AG$2,0)),Inputs!$B$4:$B$100,$B34)/1000)</f>
        <v>3.448</v>
      </c>
      <c r="L34" s="11">
        <f>IF(L$3=0,"",SUMIFS(INDEX(Inputs!$D$4:$AG$100,0,MATCH(L$2,Inputs!$D$2:$AG$2,0)),Inputs!$B$4:$B$100,$B34)/1000)</f>
        <v>1.911</v>
      </c>
      <c r="M34" s="12">
        <f>IF(L34="","",L34)</f>
        <v>1.911</v>
      </c>
      <c r="N34" s="11">
        <f>IF(N$3=0,"",SUMIFS(INDEX(Inputs!$D$4:$AG$100,0,MATCH(N$2,Inputs!$D$2:$AG$2,0)),Inputs!$B$4:$B$100,$B34)/1000)</f>
        <v>1.066</v>
      </c>
      <c r="O34" s="11">
        <f>IF(O$3=0,"",SUMIFS(INDEX(Inputs!$D$4:$AG$100,0,MATCH(O$2,Inputs!$D$2:$AG$2,0)),Inputs!$B$4:$B$100,$B34)/1000)</f>
        <v>1.798</v>
      </c>
      <c r="P34" s="11">
        <f>IF(P$3=0,"",SUMIFS(INDEX(Inputs!$D$4:$AG$100,0,MATCH(P$2,Inputs!$D$2:$AG$2,0)),Inputs!$B$4:$B$100,$B34)/1000)</f>
        <v>5.075</v>
      </c>
      <c r="Q34" s="11">
        <f>IF(Q$3=0,"",SUMIFS(INDEX(Inputs!$D$4:$AG$100,0,MATCH(Q$2,Inputs!$D$2:$AG$2,0)),Inputs!$B$4:$B$100,$B34)/1000)</f>
        <v>6.08</v>
      </c>
      <c r="R34" s="12">
        <f>IF(Q34="","",Q34)</f>
        <v>6.08</v>
      </c>
      <c r="S34" s="11">
        <f>IF(S$3=0,"",SUMIFS(INDEX(Inputs!$D$4:$AG$100,0,MATCH(S$2,Inputs!$D$2:$AG$2,0)),Inputs!$B$4:$B$100,$B34)/1000)</f>
        <v>6.235</v>
      </c>
      <c r="T34" s="11">
        <f>IF(T$3=0,"",SUMIFS(INDEX(Inputs!$D$4:$AG$100,0,MATCH(T$2,Inputs!$D$2:$AG$2,0)),Inputs!$B$4:$B$100,$B34)/1000)</f>
        <v>6.481</v>
      </c>
      <c r="U34" s="11">
        <f>IF(U$3=0,"",SUMIFS(INDEX(Inputs!$D$4:$AG$100,0,MATCH(U$2,Inputs!$D$2:$AG$2,0)),Inputs!$B$4:$B$100,$B34)/1000)</f>
        <v>7.566</v>
      </c>
      <c r="V34" s="11">
        <f>IF(V$3=0,"",SUMIFS(INDEX(Inputs!$D$4:$AG$100,0,MATCH(V$2,Inputs!$D$2:$AG$2,0)),Inputs!$B$4:$B$100,$B34)/1000)</f>
        <v>10.902</v>
      </c>
      <c r="W34" s="12">
        <f>IF(V34="","",V34)</f>
        <v>10.902</v>
      </c>
      <c r="X34" s="11">
        <f>IF(X$3=0,"",SUMIFS(INDEX(Inputs!$D$4:$AG$100,0,MATCH(X$2,Inputs!$D$2:$AG$2,0)),Inputs!$B$4:$B$100,$B34)/1000)</f>
        <v>10.555</v>
      </c>
      <c r="Y34" s="11">
        <f>IF(Y$3=0,"",SUMIFS(INDEX(Inputs!$D$4:$AG$100,0,MATCH(Y$2,Inputs!$D$2:$AG$2,0)),Inputs!$B$4:$B$100,$B34)/1000)</f>
        <v>10.567</v>
      </c>
      <c r="Z34" s="11">
        <f>IF(Z$3=0,"",SUMIFS(INDEX(Inputs!$D$4:$AG$100,0,MATCH(Z$2,Inputs!$D$2:$AG$2,0)),Inputs!$B$4:$B$100,$B34)/1000)</f>
        <v>10.953</v>
      </c>
      <c r="AA34" s="11">
        <f>IF(AA$3=0,"",SUMIFS(INDEX(Inputs!$D$4:$AG$100,0,MATCH(AA$2,Inputs!$D$2:$AG$2,0)),Inputs!$B$4:$B$100,$B34)/1000)</f>
        <v>11.265</v>
      </c>
      <c r="AB34" s="12">
        <f>IF(AA34="","",AA34)</f>
        <v>11.265</v>
      </c>
      <c r="AC34" s="11">
        <f>IF(AC$3=0,"",SUMIFS(INDEX(Inputs!$D$4:$AG$100,0,MATCH(AC$2,Inputs!$D$2:$AG$2,0)),Inputs!$B$4:$B$100,$B34)/1000)</f>
        <v>13.795</v>
      </c>
      <c r="AD34" s="11">
        <f>IF(AD$3=0,"",SUMIFS(INDEX(Inputs!$D$4:$AG$100,0,MATCH(AD$2,Inputs!$D$2:$AG$2,0)),Inputs!$B$4:$B$100,$B34)/1000)</f>
        <v>13.608</v>
      </c>
      <c r="AE34" s="11" t="str">
        <f>IF(AE$3=0,"",SUMIFS(INDEX(Inputs!$D$4:$AG$100,0,MATCH(AE$2,Inputs!$D$2:$AG$2,0)),Inputs!$B$4:$B$100,$B34)/1000)</f>
        <v/>
      </c>
      <c r="AF34" s="11" t="str">
        <f>IF(AF$3=0,"",SUMIFS(INDEX(Inputs!$D$4:$AG$100,0,MATCH(AF$2,Inputs!$D$2:$AG$2,0)),Inputs!$B$4:$B$100,$B34)/1000)</f>
        <v/>
      </c>
      <c r="AG34" s="12" t="str">
        <f>IF(AF34="","",AF34)</f>
        <v/>
      </c>
    </row>
    <row r="35">
      <c r="B35" s="9" t="n">
        <v>30</v>
      </c>
      <c r="C35" s="14" t="inlineStr">
        <is>
          <t>Long term debt</t>
        </is>
      </c>
      <c r="D35" s="11">
        <f>IF(D$3=0,"",SUMIFS(INDEX(Inputs!$D$4:$AG$100,0,MATCH(D$2,Inputs!$D$2:$AG$2,0)),Inputs!$B$4:$B$100,$B35)/1000)</f>
        <v>3642.749</v>
      </c>
      <c r="E35" s="11">
        <f>IF(E$3=0,"",SUMIFS(INDEX(Inputs!$D$4:$AG$100,0,MATCH(E$2,Inputs!$D$2:$AG$2,0)),Inputs!$B$4:$B$100,$B35)/1000)</f>
        <v>3659.591</v>
      </c>
      <c r="F35" s="11">
        <f>IF(F$3=0,"",SUMIFS(INDEX(Inputs!$D$4:$AG$100,0,MATCH(F$2,Inputs!$D$2:$AG$2,0)),Inputs!$B$4:$B$100,$B35)/1000)</f>
        <v>4209.506</v>
      </c>
      <c r="G35" s="11">
        <f>IF(G$3=0,"",SUMIFS(INDEX(Inputs!$D$4:$AG$100,0,MATCH(G$2,Inputs!$D$2:$AG$2,0)),Inputs!$B$4:$B$100,$B35)/1000)</f>
        <v>4501.915</v>
      </c>
      <c r="H35" s="12">
        <f>IF(G35="","",G35)</f>
        <v>4501.915</v>
      </c>
      <c r="I35" s="11">
        <f>IF(I$3=0,"",SUMIFS(INDEX(Inputs!$D$4:$AG$100,0,MATCH(I$2,Inputs!$D$2:$AG$2,0)),Inputs!$B$4:$B$100,$B35)/1000)</f>
        <v>4623.916</v>
      </c>
      <c r="J35" s="11">
        <f>IF(J$3=0,"",SUMIFS(INDEX(Inputs!$D$4:$AG$100,0,MATCH(J$2,Inputs!$D$2:$AG$2,0)),Inputs!$B$4:$B$100,$B35)/1000)</f>
        <v>5358.69</v>
      </c>
      <c r="K35" s="11">
        <f>IF(K$3=0,"",SUMIFS(INDEX(Inputs!$D$4:$AG$100,0,MATCH(K$2,Inputs!$D$2:$AG$2,0)),Inputs!$B$4:$B$100,$B35)/1000)</f>
        <v>5492.2</v>
      </c>
      <c r="L35" s="11">
        <f>IF(L$3=0,"",SUMIFS(INDEX(Inputs!$D$4:$AG$100,0,MATCH(L$2,Inputs!$D$2:$AG$2,0)),Inputs!$B$4:$B$100,$B35)/1000)</f>
        <v>5553.602</v>
      </c>
      <c r="M35" s="12">
        <f>IF(L35="","",L35)</f>
        <v>5553.602</v>
      </c>
      <c r="N35" s="11">
        <f>IF(N$3=0,"",SUMIFS(INDEX(Inputs!$D$4:$AG$100,0,MATCH(N$2,Inputs!$D$2:$AG$2,0)),Inputs!$B$4:$B$100,$B35)/1000)</f>
        <v>5835.248</v>
      </c>
      <c r="O35" s="11">
        <f>IF(O$3=0,"",SUMIFS(INDEX(Inputs!$D$4:$AG$100,0,MATCH(O$2,Inputs!$D$2:$AG$2,0)),Inputs!$B$4:$B$100,$B35)/1000)</f>
        <v>5728.692</v>
      </c>
      <c r="P35" s="11">
        <f>IF(P$3=0,"",SUMIFS(INDEX(Inputs!$D$4:$AG$100,0,MATCH(P$2,Inputs!$D$2:$AG$2,0)),Inputs!$B$4:$B$100,$B35)/1000)</f>
        <v>5711.036</v>
      </c>
      <c r="Q35" s="11">
        <f>IF(Q$3=0,"",SUMIFS(INDEX(Inputs!$D$4:$AG$100,0,MATCH(Q$2,Inputs!$D$2:$AG$2,0)),Inputs!$B$4:$B$100,$B35)/1000)</f>
        <v>5500.048</v>
      </c>
      <c r="R35" s="12">
        <f>IF(Q35="","",Q35)</f>
        <v>5500.048</v>
      </c>
      <c r="S35" s="11">
        <f>IF(S$3=0,"",SUMIFS(INDEX(Inputs!$D$4:$AG$100,0,MATCH(S$2,Inputs!$D$2:$AG$2,0)),Inputs!$B$4:$B$100,$B35)/1000)</f>
        <v>5614.407</v>
      </c>
      <c r="T35" s="11">
        <f>IF(T$3=0,"",SUMIFS(INDEX(Inputs!$D$4:$AG$100,0,MATCH(T$2,Inputs!$D$2:$AG$2,0)),Inputs!$B$4:$B$100,$B35)/1000)</f>
        <v>7476.85</v>
      </c>
      <c r="U35" s="11">
        <f>IF(U$3=0,"",SUMIFS(INDEX(Inputs!$D$4:$AG$100,0,MATCH(U$2,Inputs!$D$2:$AG$2,0)),Inputs!$B$4:$B$100,$B35)/1000)</f>
        <v>7511.764</v>
      </c>
      <c r="V35" s="11">
        <f>IF(V$3=0,"",SUMIFS(INDEX(Inputs!$D$4:$AG$100,0,MATCH(V$2,Inputs!$D$2:$AG$2,0)),Inputs!$B$4:$B$100,$B35)/1000)</f>
        <v>24346.016</v>
      </c>
      <c r="W35" s="12">
        <f>IF(V35="","",V35)</f>
        <v>24346.016</v>
      </c>
      <c r="X35" s="11">
        <f>IF(X$3=0,"",SUMIFS(INDEX(Inputs!$D$4:$AG$100,0,MATCH(X$2,Inputs!$D$2:$AG$2,0)),Inputs!$B$4:$B$100,$B35)/1000)</f>
        <v>23564.273</v>
      </c>
      <c r="Y35" s="11">
        <f>IF(Y$3=0,"",SUMIFS(INDEX(Inputs!$D$4:$AG$100,0,MATCH(Y$2,Inputs!$D$2:$AG$2,0)),Inputs!$B$4:$B$100,$B35)/1000)</f>
        <v>22351.556</v>
      </c>
      <c r="Z35" s="11">
        <f>IF(Z$3=0,"",SUMIFS(INDEX(Inputs!$D$4:$AG$100,0,MATCH(Z$2,Inputs!$D$2:$AG$2,0)),Inputs!$B$4:$B$100,$B35)/1000)</f>
        <v>22593.796</v>
      </c>
      <c r="AA35" s="11">
        <f>IF(AA$3=0,"",SUMIFS(INDEX(Inputs!$D$4:$AG$100,0,MATCH(AA$2,Inputs!$D$2:$AG$2,0)),Inputs!$B$4:$B$100,$B35)/1000)</f>
        <v>22582.913</v>
      </c>
      <c r="AB35" s="12">
        <f>IF(AA35="","",AA35)</f>
        <v>22582.913</v>
      </c>
      <c r="AC35" s="11">
        <f>IF(AC$3=0,"",SUMIFS(INDEX(Inputs!$D$4:$AG$100,0,MATCH(AC$2,Inputs!$D$2:$AG$2,0)),Inputs!$B$4:$B$100,$B35)/1000)</f>
        <v>21574.755</v>
      </c>
      <c r="AD35" s="11">
        <f>IF(AD$3=0,"",SUMIFS(INDEX(Inputs!$D$4:$AG$100,0,MATCH(AD$2,Inputs!$D$2:$AG$2,0)),Inputs!$B$4:$B$100,$B35)/1000)</f>
        <v>21568.987</v>
      </c>
      <c r="AE35" s="11" t="str">
        <f>IF(AE$3=0,"",SUMIFS(INDEX(Inputs!$D$4:$AG$100,0,MATCH(AE$2,Inputs!$D$2:$AG$2,0)),Inputs!$B$4:$B$100,$B35)/1000)</f>
        <v/>
      </c>
      <c r="AF35" s="11" t="str">
        <f>IF(AF$3=0,"",SUMIFS(INDEX(Inputs!$D$4:$AG$100,0,MATCH(AF$2,Inputs!$D$2:$AG$2,0)),Inputs!$B$4:$B$100,$B35)/1000)</f>
        <v/>
      </c>
      <c r="AG35" s="12" t="str">
        <f>IF(AF35="","",AF35)</f>
        <v/>
      </c>
    </row>
    <row r="36">
      <c r="B36" s="9" t="n">
        <v>31</v>
      </c>
      <c r="C36" s="14" t="inlineStr">
        <is>
          <t>Long term operating leases</t>
        </is>
      </c>
      <c r="D36" s="11">
        <f>IF(D$3=0,"",SUMIFS(INDEX(Inputs!$D$4:$AG$100,0,MATCH(D$2,Inputs!$D$2:$AG$2,0)),Inputs!$B$4:$B$100,$B36)/1000)</f>
        <v>4.476</v>
      </c>
      <c r="E36" s="11">
        <f>IF(E$3=0,"",SUMIFS(INDEX(Inputs!$D$4:$AG$100,0,MATCH(E$2,Inputs!$D$2:$AG$2,0)),Inputs!$B$4:$B$100,$B36)/1000)</f>
        <v>4.516</v>
      </c>
      <c r="F36" s="11">
        <f>IF(F$3=0,"",SUMIFS(INDEX(Inputs!$D$4:$AG$100,0,MATCH(F$2,Inputs!$D$2:$AG$2,0)),Inputs!$B$4:$B$100,$B36)/1000)</f>
        <v>4.024</v>
      </c>
      <c r="G36" s="11">
        <f>IF(G$3=0,"",SUMIFS(INDEX(Inputs!$D$4:$AG$100,0,MATCH(G$2,Inputs!$D$2:$AG$2,0)),Inputs!$B$4:$B$100,$B36)/1000)</f>
        <v>3.674</v>
      </c>
      <c r="H36" s="12">
        <f>IF(G36="","",G36)</f>
        <v>3.674</v>
      </c>
      <c r="I36" s="11">
        <f>IF(I$3=0,"",SUMIFS(INDEX(Inputs!$D$4:$AG$100,0,MATCH(I$2,Inputs!$D$2:$AG$2,0)),Inputs!$B$4:$B$100,$B36)/1000)</f>
        <v>3.321</v>
      </c>
      <c r="J36" s="11">
        <f>IF(J$3=0,"",SUMIFS(INDEX(Inputs!$D$4:$AG$100,0,MATCH(J$2,Inputs!$D$2:$AG$2,0)),Inputs!$B$4:$B$100,$B36)/1000)</f>
        <v>2.963</v>
      </c>
      <c r="K36" s="11">
        <f>IF(K$3=0,"",SUMIFS(INDEX(Inputs!$D$4:$AG$100,0,MATCH(K$2,Inputs!$D$2:$AG$2,0)),Inputs!$B$4:$B$100,$B36)/1000)</f>
        <v>77.214</v>
      </c>
      <c r="L36" s="11">
        <f>IF(L$3=0,"",SUMIFS(INDEX(Inputs!$D$4:$AG$100,0,MATCH(L$2,Inputs!$D$2:$AG$2,0)),Inputs!$B$4:$B$100,$B36)/1000)</f>
        <v>42.393</v>
      </c>
      <c r="M36" s="12">
        <f>IF(L36="","",L36)</f>
        <v>42.393</v>
      </c>
      <c r="N36" s="11">
        <f>IF(N$3=0,"",SUMIFS(INDEX(Inputs!$D$4:$AG$100,0,MATCH(N$2,Inputs!$D$2:$AG$2,0)),Inputs!$B$4:$B$100,$B36)/1000)</f>
        <v>44.305</v>
      </c>
      <c r="O36" s="11">
        <f>IF(O$3=0,"",SUMIFS(INDEX(Inputs!$D$4:$AG$100,0,MATCH(O$2,Inputs!$D$2:$AG$2,0)),Inputs!$B$4:$B$100,$B36)/1000)</f>
        <v>44.217</v>
      </c>
      <c r="P36" s="11">
        <f>IF(P$3=0,"",SUMIFS(INDEX(Inputs!$D$4:$AG$100,0,MATCH(P$2,Inputs!$D$2:$AG$2,0)),Inputs!$B$4:$B$100,$B36)/1000)</f>
        <v>61.769</v>
      </c>
      <c r="Q36" s="11">
        <f>IF(Q$3=0,"",SUMIFS(INDEX(Inputs!$D$4:$AG$100,0,MATCH(Q$2,Inputs!$D$2:$AG$2,0)),Inputs!$B$4:$B$100,$B36)/1000)</f>
        <v>60.649</v>
      </c>
      <c r="R36" s="12">
        <f>IF(Q36="","",Q36)</f>
        <v>60.649</v>
      </c>
      <c r="S36" s="11">
        <f>IF(S$3=0,"",SUMIFS(INDEX(Inputs!$D$4:$AG$100,0,MATCH(S$2,Inputs!$D$2:$AG$2,0)),Inputs!$B$4:$B$100,$B36)/1000)</f>
        <v>59.065</v>
      </c>
      <c r="T36" s="11">
        <f>IF(T$3=0,"",SUMIFS(INDEX(Inputs!$D$4:$AG$100,0,MATCH(T$2,Inputs!$D$2:$AG$2,0)),Inputs!$B$4:$B$100,$B36)/1000)</f>
        <v>57.52</v>
      </c>
      <c r="U36" s="11">
        <f>IF(U$3=0,"",SUMIFS(INDEX(Inputs!$D$4:$AG$100,0,MATCH(U$2,Inputs!$D$2:$AG$2,0)),Inputs!$B$4:$B$100,$B36)/1000)</f>
        <v>65.516</v>
      </c>
      <c r="V36" s="11">
        <f>IF(V$3=0,"",SUMIFS(INDEX(Inputs!$D$4:$AG$100,0,MATCH(V$2,Inputs!$D$2:$AG$2,0)),Inputs!$B$4:$B$100,$B36)/1000)</f>
        <v>159.661</v>
      </c>
      <c r="W36" s="12">
        <f>IF(V36="","",V36)</f>
        <v>159.661</v>
      </c>
      <c r="X36" s="11">
        <f>IF(X$3=0,"",SUMIFS(INDEX(Inputs!$D$4:$AG$100,0,MATCH(X$2,Inputs!$D$2:$AG$2,0)),Inputs!$B$4:$B$100,$B36)/1000)</f>
        <v>158.928</v>
      </c>
      <c r="Y36" s="11">
        <f>IF(Y$3=0,"",SUMIFS(INDEX(Inputs!$D$4:$AG$100,0,MATCH(Y$2,Inputs!$D$2:$AG$2,0)),Inputs!$B$4:$B$100,$B36)/1000)</f>
        <v>156.71</v>
      </c>
      <c r="Z36" s="11">
        <f>IF(Z$3=0,"",SUMIFS(INDEX(Inputs!$D$4:$AG$100,0,MATCH(Z$2,Inputs!$D$2:$AG$2,0)),Inputs!$B$4:$B$100,$B36)/1000)</f>
        <v>155.042</v>
      </c>
      <c r="AA36" s="11">
        <f>IF(AA$3=0,"",SUMIFS(INDEX(Inputs!$D$4:$AG$100,0,MATCH(AA$2,Inputs!$D$2:$AG$2,0)),Inputs!$B$4:$B$100,$B36)/1000)</f>
        <v>152.805</v>
      </c>
      <c r="AB36" s="12">
        <f>IF(AA36="","",AA36)</f>
        <v>152.805</v>
      </c>
      <c r="AC36" s="11">
        <f>IF(AC$3=0,"",SUMIFS(INDEX(Inputs!$D$4:$AG$100,0,MATCH(AC$2,Inputs!$D$2:$AG$2,0)),Inputs!$B$4:$B$100,$B36)/1000)</f>
        <v>151.453</v>
      </c>
      <c r="AD36" s="11">
        <f>IF(AD$3=0,"",SUMIFS(INDEX(Inputs!$D$4:$AG$100,0,MATCH(AD$2,Inputs!$D$2:$AG$2,0)),Inputs!$B$4:$B$100,$B36)/1000)</f>
        <v>149.083</v>
      </c>
      <c r="AE36" s="11" t="str">
        <f>IF(AE$3=0,"",SUMIFS(INDEX(Inputs!$D$4:$AG$100,0,MATCH(AE$2,Inputs!$D$2:$AG$2,0)),Inputs!$B$4:$B$100,$B36)/1000)</f>
        <v/>
      </c>
      <c r="AF36" s="11" t="str">
        <f>IF(AF$3=0,"",SUMIFS(INDEX(Inputs!$D$4:$AG$100,0,MATCH(AF$2,Inputs!$D$2:$AG$2,0)),Inputs!$B$4:$B$100,$B36)/1000)</f>
        <v/>
      </c>
      <c r="AG36" s="12" t="str">
        <f>IF(AF36="","",AF36)</f>
        <v/>
      </c>
    </row>
    <row r="37">
      <c r="B37" s="9" t="n">
        <v>32</v>
      </c>
      <c r="C37" s="14" t="inlineStr">
        <is>
          <t>Convertible debt</t>
        </is>
      </c>
      <c r="D37" s="11">
        <f>IF(D$3=0,"",SUMIFS(INDEX(Inputs!$D$4:$AG$100,0,MATCH(D$2,Inputs!$D$2:$AG$2,0)),Inputs!$B$4:$B$100,$B37)/1000)</f>
        <v>0</v>
      </c>
      <c r="E37" s="11">
        <f>IF(E$3=0,"",SUMIFS(INDEX(Inputs!$D$4:$AG$100,0,MATCH(E$2,Inputs!$D$2:$AG$2,0)),Inputs!$B$4:$B$100,$B37)/1000)</f>
        <v>0</v>
      </c>
      <c r="F37" s="11">
        <f>IF(F$3=0,"",SUMIFS(INDEX(Inputs!$D$4:$AG$100,0,MATCH(F$2,Inputs!$D$2:$AG$2,0)),Inputs!$B$4:$B$100,$B37)/1000)</f>
        <v>0</v>
      </c>
      <c r="G37" s="11">
        <f>IF(G$3=0,"",SUMIFS(INDEX(Inputs!$D$4:$AG$100,0,MATCH(G$2,Inputs!$D$2:$AG$2,0)),Inputs!$B$4:$B$100,$B37)/1000)</f>
        <v>0</v>
      </c>
      <c r="H37" s="12">
        <f>IF(G37="","",G37)</f>
        <v>0</v>
      </c>
      <c r="I37" s="11">
        <f>IF(I$3=0,"",SUMIFS(INDEX(Inputs!$D$4:$AG$100,0,MATCH(I$2,Inputs!$D$2:$AG$2,0)),Inputs!$B$4:$B$100,$B37)/1000)</f>
        <v>0</v>
      </c>
      <c r="J37" s="11">
        <f>IF(J$3=0,"",SUMIFS(INDEX(Inputs!$D$4:$AG$100,0,MATCH(J$2,Inputs!$D$2:$AG$2,0)),Inputs!$B$4:$B$100,$B37)/1000)</f>
        <v>0</v>
      </c>
      <c r="K37" s="11">
        <f>IF(K$3=0,"",SUMIFS(INDEX(Inputs!$D$4:$AG$100,0,MATCH(K$2,Inputs!$D$2:$AG$2,0)),Inputs!$B$4:$B$100,$B37)/1000)</f>
        <v>0</v>
      </c>
      <c r="L37" s="11">
        <f>IF(L$3=0,"",SUMIFS(INDEX(Inputs!$D$4:$AG$100,0,MATCH(L$2,Inputs!$D$2:$AG$2,0)),Inputs!$B$4:$B$100,$B37)/1000)</f>
        <v>0</v>
      </c>
      <c r="M37" s="12">
        <f>IF(L37="","",L37)</f>
        <v>0</v>
      </c>
      <c r="N37" s="11">
        <f>IF(N$3=0,"",SUMIFS(INDEX(Inputs!$D$4:$AG$100,0,MATCH(N$2,Inputs!$D$2:$AG$2,0)),Inputs!$B$4:$B$100,$B37)/1000)</f>
        <v>0</v>
      </c>
      <c r="O37" s="11">
        <f>IF(O$3=0,"",SUMIFS(INDEX(Inputs!$D$4:$AG$100,0,MATCH(O$2,Inputs!$D$2:$AG$2,0)),Inputs!$B$4:$B$100,$B37)/1000)</f>
        <v>0</v>
      </c>
      <c r="P37" s="11">
        <f>IF(P$3=0,"",SUMIFS(INDEX(Inputs!$D$4:$AG$100,0,MATCH(P$2,Inputs!$D$2:$AG$2,0)),Inputs!$B$4:$B$100,$B37)/1000)</f>
        <v>0</v>
      </c>
      <c r="Q37" s="11">
        <f>IF(Q$3=0,"",SUMIFS(INDEX(Inputs!$D$4:$AG$100,0,MATCH(Q$2,Inputs!$D$2:$AG$2,0)),Inputs!$B$4:$B$100,$B37)/1000)</f>
        <v>0</v>
      </c>
      <c r="R37" s="12">
        <f>IF(Q37="","",Q37)</f>
        <v>0</v>
      </c>
      <c r="S37" s="11">
        <f>IF(S$3=0,"",SUMIFS(INDEX(Inputs!$D$4:$AG$100,0,MATCH(S$2,Inputs!$D$2:$AG$2,0)),Inputs!$B$4:$B$100,$B37)/1000)</f>
        <v>0</v>
      </c>
      <c r="T37" s="11">
        <f>IF(T$3=0,"",SUMIFS(INDEX(Inputs!$D$4:$AG$100,0,MATCH(T$2,Inputs!$D$2:$AG$2,0)),Inputs!$B$4:$B$100,$B37)/1000)</f>
        <v>0</v>
      </c>
      <c r="U37" s="11">
        <f>IF(U$3=0,"",SUMIFS(INDEX(Inputs!$D$4:$AG$100,0,MATCH(U$2,Inputs!$D$2:$AG$2,0)),Inputs!$B$4:$B$100,$B37)/1000)</f>
        <v>0</v>
      </c>
      <c r="V37" s="11">
        <f>IF(V$3=0,"",SUMIFS(INDEX(Inputs!$D$4:$AG$100,0,MATCH(V$2,Inputs!$D$2:$AG$2,0)),Inputs!$B$4:$B$100,$B37)/1000)</f>
        <v>0</v>
      </c>
      <c r="W37" s="12">
        <f>IF(V37="","",V37)</f>
        <v>0</v>
      </c>
      <c r="X37" s="11">
        <f>IF(X$3=0,"",SUMIFS(INDEX(Inputs!$D$4:$AG$100,0,MATCH(X$2,Inputs!$D$2:$AG$2,0)),Inputs!$B$4:$B$100,$B37)/1000)</f>
        <v>0</v>
      </c>
      <c r="Y37" s="11">
        <f>IF(Y$3=0,"",SUMIFS(INDEX(Inputs!$D$4:$AG$100,0,MATCH(Y$2,Inputs!$D$2:$AG$2,0)),Inputs!$B$4:$B$100,$B37)/1000)</f>
        <v>0</v>
      </c>
      <c r="Z37" s="11">
        <f>IF(Z$3=0,"",SUMIFS(INDEX(Inputs!$D$4:$AG$100,0,MATCH(Z$2,Inputs!$D$2:$AG$2,0)),Inputs!$B$4:$B$100,$B37)/1000)</f>
        <v>0</v>
      </c>
      <c r="AA37" s="11">
        <f>IF(AA$3=0,"",SUMIFS(INDEX(Inputs!$D$4:$AG$100,0,MATCH(AA$2,Inputs!$D$2:$AG$2,0)),Inputs!$B$4:$B$100,$B37)/1000)</f>
        <v>0</v>
      </c>
      <c r="AB37" s="12">
        <f>IF(AA37="","",AA37)</f>
        <v>0</v>
      </c>
      <c r="AC37" s="11">
        <f>IF(AC$3=0,"",SUMIFS(INDEX(Inputs!$D$4:$AG$100,0,MATCH(AC$2,Inputs!$D$2:$AG$2,0)),Inputs!$B$4:$B$100,$B37)/1000)</f>
        <v>0</v>
      </c>
      <c r="AD37" s="11">
        <f>IF(AD$3=0,"",SUMIFS(INDEX(Inputs!$D$4:$AG$100,0,MATCH(AD$2,Inputs!$D$2:$AG$2,0)),Inputs!$B$4:$B$100,$B37)/1000)</f>
        <v>0</v>
      </c>
      <c r="AE37" s="11" t="str">
        <f>IF(AE$3=0,"",SUMIFS(INDEX(Inputs!$D$4:$AG$100,0,MATCH(AE$2,Inputs!$D$2:$AG$2,0)),Inputs!$B$4:$B$100,$B37)/1000)</f>
        <v/>
      </c>
      <c r="AF37" s="11" t="str">
        <f>IF(AF$3=0,"",SUMIFS(INDEX(Inputs!$D$4:$AG$100,0,MATCH(AF$2,Inputs!$D$2:$AG$2,0)),Inputs!$B$4:$B$100,$B37)/1000)</f>
        <v/>
      </c>
      <c r="AG37" s="12" t="str">
        <f>IF(AF37="","",AF37)</f>
        <v/>
      </c>
    </row>
    <row r="38">
      <c r="B38" s="9" t="n">
        <v>33</v>
      </c>
      <c r="C38" s="14" t="inlineStr">
        <is>
          <t>Deferred income taxes</t>
        </is>
      </c>
      <c r="D38" s="11">
        <f>IF(D$3=0,"",SUMIFS(INDEX(Inputs!$D$4:$AG$100,0,MATCH(D$2,Inputs!$D$2:$AG$2,0)),Inputs!$B$4:$B$100,$B38)/1000)</f>
        <v>355.516</v>
      </c>
      <c r="E38" s="11">
        <f>IF(E$3=0,"",SUMIFS(INDEX(Inputs!$D$4:$AG$100,0,MATCH(E$2,Inputs!$D$2:$AG$2,0)),Inputs!$B$4:$B$100,$B38)/1000)</f>
        <v>352.302</v>
      </c>
      <c r="F38" s="11">
        <f>IF(F$3=0,"",SUMIFS(INDEX(Inputs!$D$4:$AG$100,0,MATCH(F$2,Inputs!$D$2:$AG$2,0)),Inputs!$B$4:$B$100,$B38)/1000)</f>
        <v>353.857</v>
      </c>
      <c r="G38" s="11">
        <f>IF(G$3=0,"",SUMIFS(INDEX(Inputs!$D$4:$AG$100,0,MATCH(G$2,Inputs!$D$2:$AG$2,0)),Inputs!$B$4:$B$100,$B38)/1000)</f>
        <v>352.024</v>
      </c>
      <c r="H38" s="12">
        <f>IF(G38="","",G38)</f>
        <v>352.024</v>
      </c>
      <c r="I38" s="11">
        <f>IF(I$3=0,"",SUMIFS(INDEX(Inputs!$D$4:$AG$100,0,MATCH(I$2,Inputs!$D$2:$AG$2,0)),Inputs!$B$4:$B$100,$B38)/1000)</f>
        <v>730.579</v>
      </c>
      <c r="J38" s="11">
        <f>IF(J$3=0,"",SUMIFS(INDEX(Inputs!$D$4:$AG$100,0,MATCH(J$2,Inputs!$D$2:$AG$2,0)),Inputs!$B$4:$B$100,$B38)/1000)</f>
        <v>719.608</v>
      </c>
      <c r="K38" s="11">
        <f>IF(K$3=0,"",SUMIFS(INDEX(Inputs!$D$4:$AG$100,0,MATCH(K$2,Inputs!$D$2:$AG$2,0)),Inputs!$B$4:$B$100,$B38)/1000)</f>
        <v>773.683</v>
      </c>
      <c r="L38" s="11">
        <f>IF(L$3=0,"",SUMIFS(INDEX(Inputs!$D$4:$AG$100,0,MATCH(L$2,Inputs!$D$2:$AG$2,0)),Inputs!$B$4:$B$100,$B38)/1000)</f>
        <v>712.979</v>
      </c>
      <c r="M38" s="12">
        <f>IF(L38="","",L38)</f>
        <v>712.979</v>
      </c>
      <c r="N38" s="11">
        <f>IF(N$3=0,"",SUMIFS(INDEX(Inputs!$D$4:$AG$100,0,MATCH(N$2,Inputs!$D$2:$AG$2,0)),Inputs!$B$4:$B$100,$B38)/1000)</f>
        <v>726.521</v>
      </c>
      <c r="O38" s="11">
        <f>IF(O$3=0,"",SUMIFS(INDEX(Inputs!$D$4:$AG$100,0,MATCH(O$2,Inputs!$D$2:$AG$2,0)),Inputs!$B$4:$B$100,$B38)/1000)</f>
        <v>694.393</v>
      </c>
      <c r="P38" s="11">
        <f>IF(P$3=0,"",SUMIFS(INDEX(Inputs!$D$4:$AG$100,0,MATCH(P$2,Inputs!$D$2:$AG$2,0)),Inputs!$B$4:$B$100,$B38)/1000)</f>
        <v>690.523</v>
      </c>
      <c r="Q38" s="11">
        <f>IF(Q$3=0,"",SUMIFS(INDEX(Inputs!$D$4:$AG$100,0,MATCH(Q$2,Inputs!$D$2:$AG$2,0)),Inputs!$B$4:$B$100,$B38)/1000)</f>
        <v>707.181</v>
      </c>
      <c r="R38" s="12">
        <f>IF(Q38="","",Q38)</f>
        <v>707.181</v>
      </c>
      <c r="S38" s="11">
        <f>IF(S$3=0,"",SUMIFS(INDEX(Inputs!$D$4:$AG$100,0,MATCH(S$2,Inputs!$D$2:$AG$2,0)),Inputs!$B$4:$B$100,$B38)/1000)</f>
        <v>805.368</v>
      </c>
      <c r="T38" s="11">
        <f>IF(T$3=0,"",SUMIFS(INDEX(Inputs!$D$4:$AG$100,0,MATCH(T$2,Inputs!$D$2:$AG$2,0)),Inputs!$B$4:$B$100,$B38)/1000)</f>
        <v>771.541</v>
      </c>
      <c r="U38" s="11">
        <f>IF(U$3=0,"",SUMIFS(INDEX(Inputs!$D$4:$AG$100,0,MATCH(U$2,Inputs!$D$2:$AG$2,0)),Inputs!$B$4:$B$100,$B38)/1000)</f>
        <v>824.509</v>
      </c>
      <c r="V38" s="11">
        <f>IF(V$3=0,"",SUMIFS(INDEX(Inputs!$D$4:$AG$100,0,MATCH(V$2,Inputs!$D$2:$AG$2,0)),Inputs!$B$4:$B$100,$B38)/1000)</f>
        <v>1408.699</v>
      </c>
      <c r="W38" s="12">
        <f>IF(V38="","",V38)</f>
        <v>1408.699</v>
      </c>
      <c r="X38" s="11">
        <f>IF(X$3=0,"",SUMIFS(INDEX(Inputs!$D$4:$AG$100,0,MATCH(X$2,Inputs!$D$2:$AG$2,0)),Inputs!$B$4:$B$100,$B38)/1000)</f>
        <v>1488.03</v>
      </c>
      <c r="Y38" s="11">
        <f>IF(Y$3=0,"",SUMIFS(INDEX(Inputs!$D$4:$AG$100,0,MATCH(Y$2,Inputs!$D$2:$AG$2,0)),Inputs!$B$4:$B$100,$B38)/1000)</f>
        <v>1193.332</v>
      </c>
      <c r="Z38" s="11">
        <f>IF(Z$3=0,"",SUMIFS(INDEX(Inputs!$D$4:$AG$100,0,MATCH(Z$2,Inputs!$D$2:$AG$2,0)),Inputs!$B$4:$B$100,$B38)/1000)</f>
        <v>1187.48</v>
      </c>
      <c r="AA38" s="11">
        <f>IF(AA$3=0,"",SUMIFS(INDEX(Inputs!$D$4:$AG$100,0,MATCH(AA$2,Inputs!$D$2:$AG$2,0)),Inputs!$B$4:$B$100,$B38)/1000)</f>
        <v>1279.815</v>
      </c>
      <c r="AB38" s="12">
        <f>IF(AA38="","",AA38)</f>
        <v>1279.815</v>
      </c>
      <c r="AC38" s="11">
        <f>IF(AC$3=0,"",SUMIFS(INDEX(Inputs!$D$4:$AG$100,0,MATCH(AC$2,Inputs!$D$2:$AG$2,0)),Inputs!$B$4:$B$100,$B38)/1000)</f>
        <v>1090.587</v>
      </c>
      <c r="AD38" s="11">
        <f>IF(AD$3=0,"",SUMIFS(INDEX(Inputs!$D$4:$AG$100,0,MATCH(AD$2,Inputs!$D$2:$AG$2,0)),Inputs!$B$4:$B$100,$B38)/1000)</f>
        <v>1089.261</v>
      </c>
      <c r="AE38" s="11" t="str">
        <f>IF(AE$3=0,"",SUMIFS(INDEX(Inputs!$D$4:$AG$100,0,MATCH(AE$2,Inputs!$D$2:$AG$2,0)),Inputs!$B$4:$B$100,$B38)/1000)</f>
        <v/>
      </c>
      <c r="AF38" s="11" t="str">
        <f>IF(AF$3=0,"",SUMIFS(INDEX(Inputs!$D$4:$AG$100,0,MATCH(AF$2,Inputs!$D$2:$AG$2,0)),Inputs!$B$4:$B$100,$B38)/1000)</f>
        <v/>
      </c>
      <c r="AG38" s="12" t="str">
        <f>IF(AF38="","",AF38)</f>
        <v/>
      </c>
    </row>
    <row r="39">
      <c r="B39" s="9" t="n">
        <v>34</v>
      </c>
      <c r="C39" s="14" t="inlineStr">
        <is>
          <t>Other non-current liabilities</t>
        </is>
      </c>
      <c r="D39" s="11">
        <f>IF(D$3=0,"",SUMIFS(INDEX(Inputs!$D$4:$AG$100,0,MATCH(D$2,Inputs!$D$2:$AG$2,0)),Inputs!$B$4:$B$100,$B39)/1000)</f>
        <v>4514.285</v>
      </c>
      <c r="E39" s="11">
        <f>IF(E$3=0,"",SUMIFS(INDEX(Inputs!$D$4:$AG$100,0,MATCH(E$2,Inputs!$D$2:$AG$2,0)),Inputs!$B$4:$B$100,$B39)/1000)</f>
        <v>4592.867</v>
      </c>
      <c r="F39" s="11">
        <f>IF(F$3=0,"",SUMIFS(INDEX(Inputs!$D$4:$AG$100,0,MATCH(F$2,Inputs!$D$2:$AG$2,0)),Inputs!$B$4:$B$100,$B39)/1000)</f>
        <v>3747.453</v>
      </c>
      <c r="G39" s="11">
        <f>IF(G$3=0,"",SUMIFS(INDEX(Inputs!$D$4:$AG$100,0,MATCH(G$2,Inputs!$D$2:$AG$2,0)),Inputs!$B$4:$B$100,$B39)/1000)</f>
        <v>4056.47</v>
      </c>
      <c r="H39" s="12">
        <f>IF(G39="","",G39)</f>
        <v>4056.47</v>
      </c>
      <c r="I39" s="11">
        <f>IF(I$3=0,"",SUMIFS(INDEX(Inputs!$D$4:$AG$100,0,MATCH(I$2,Inputs!$D$2:$AG$2,0)),Inputs!$B$4:$B$100,$B39)/1000)</f>
        <v>7180.679</v>
      </c>
      <c r="J39" s="11">
        <f>IF(J$3=0,"",SUMIFS(INDEX(Inputs!$D$4:$AG$100,0,MATCH(J$2,Inputs!$D$2:$AG$2,0)),Inputs!$B$4:$B$100,$B39)/1000)</f>
        <v>7239.471</v>
      </c>
      <c r="K39" s="11">
        <f>IF(K$3=0,"",SUMIFS(INDEX(Inputs!$D$4:$AG$100,0,MATCH(K$2,Inputs!$D$2:$AG$2,0)),Inputs!$B$4:$B$100,$B39)/1000)</f>
        <v>6938.995</v>
      </c>
      <c r="L39" s="11">
        <f>IF(L$3=0,"",SUMIFS(INDEX(Inputs!$D$4:$AG$100,0,MATCH(L$2,Inputs!$D$2:$AG$2,0)),Inputs!$B$4:$B$100,$B39)/1000)</f>
        <v>6521.837</v>
      </c>
      <c r="M39" s="12">
        <f>IF(L39="","",L39)</f>
        <v>6521.837</v>
      </c>
      <c r="N39" s="11">
        <f>IF(N$3=0,"",SUMIFS(INDEX(Inputs!$D$4:$AG$100,0,MATCH(N$2,Inputs!$D$2:$AG$2,0)),Inputs!$B$4:$B$100,$B39)/1000)</f>
        <v>7562.159</v>
      </c>
      <c r="O39" s="11">
        <f>IF(O$3=0,"",SUMIFS(INDEX(Inputs!$D$4:$AG$100,0,MATCH(O$2,Inputs!$D$2:$AG$2,0)),Inputs!$B$4:$B$100,$B39)/1000)</f>
        <v>7420.389</v>
      </c>
      <c r="P39" s="11">
        <f>IF(P$3=0,"",SUMIFS(INDEX(Inputs!$D$4:$AG$100,0,MATCH(P$2,Inputs!$D$2:$AG$2,0)),Inputs!$B$4:$B$100,$B39)/1000)</f>
        <v>6726.288</v>
      </c>
      <c r="Q39" s="11">
        <f>IF(Q$3=0,"",SUMIFS(INDEX(Inputs!$D$4:$AG$100,0,MATCH(Q$2,Inputs!$D$2:$AG$2,0)),Inputs!$B$4:$B$100,$B39)/1000)</f>
        <v>6506.975</v>
      </c>
      <c r="R39" s="12">
        <f>IF(Q39="","",Q39)</f>
        <v>6506.975</v>
      </c>
      <c r="S39" s="11">
        <f>IF(S$3=0,"",SUMIFS(INDEX(Inputs!$D$4:$AG$100,0,MATCH(S$2,Inputs!$D$2:$AG$2,0)),Inputs!$B$4:$B$100,$B39)/1000)</f>
        <v>5808.727</v>
      </c>
      <c r="T39" s="11">
        <f>IF(T$3=0,"",SUMIFS(INDEX(Inputs!$D$4:$AG$100,0,MATCH(T$2,Inputs!$D$2:$AG$2,0)),Inputs!$B$4:$B$100,$B39)/1000)</f>
        <v>5649.194</v>
      </c>
      <c r="U39" s="11">
        <f>IF(U$3=0,"",SUMIFS(INDEX(Inputs!$D$4:$AG$100,0,MATCH(U$2,Inputs!$D$2:$AG$2,0)),Inputs!$B$4:$B$100,$B39)/1000)</f>
        <v>5476.644</v>
      </c>
      <c r="V39" s="11">
        <f>IF(V$3=0,"",SUMIFS(INDEX(Inputs!$D$4:$AG$100,0,MATCH(V$2,Inputs!$D$2:$AG$2,0)),Inputs!$B$4:$B$100,$B39)/1000)</f>
        <v>5208.011</v>
      </c>
      <c r="W39" s="12">
        <f>IF(V39="","",V39)</f>
        <v>5208.011</v>
      </c>
      <c r="X39" s="11">
        <f>IF(X$3=0,"",SUMIFS(INDEX(Inputs!$D$4:$AG$100,0,MATCH(X$2,Inputs!$D$2:$AG$2,0)),Inputs!$B$4:$B$100,$B39)/1000)</f>
        <v>4832.805</v>
      </c>
      <c r="Y39" s="11">
        <f>IF(Y$3=0,"",SUMIFS(INDEX(Inputs!$D$4:$AG$100,0,MATCH(Y$2,Inputs!$D$2:$AG$2,0)),Inputs!$B$4:$B$100,$B39)/1000)</f>
        <v>5032.97</v>
      </c>
      <c r="Z39" s="11">
        <f>IF(Z$3=0,"",SUMIFS(INDEX(Inputs!$D$4:$AG$100,0,MATCH(Z$2,Inputs!$D$2:$AG$2,0)),Inputs!$B$4:$B$100,$B39)/1000)</f>
        <v>4552.025</v>
      </c>
      <c r="AA39" s="11">
        <f>IF(AA$3=0,"",SUMIFS(INDEX(Inputs!$D$4:$AG$100,0,MATCH(AA$2,Inputs!$D$2:$AG$2,0)),Inputs!$B$4:$B$100,$B39)/1000)</f>
        <v>4535.213</v>
      </c>
      <c r="AB39" s="12">
        <f>IF(AA39="","",AA39)</f>
        <v>4535.213</v>
      </c>
      <c r="AC39" s="11">
        <f>IF(AC$3=0,"",SUMIFS(INDEX(Inputs!$D$4:$AG$100,0,MATCH(AC$2,Inputs!$D$2:$AG$2,0)),Inputs!$B$4:$B$100,$B39)/1000)</f>
        <v>4770.269</v>
      </c>
      <c r="AD39" s="11">
        <f>IF(AD$3=0,"",SUMIFS(INDEX(Inputs!$D$4:$AG$100,0,MATCH(AD$2,Inputs!$D$2:$AG$2,0)),Inputs!$B$4:$B$100,$B39)/1000)</f>
        <v>4811.886</v>
      </c>
      <c r="AE39" s="11" t="str">
        <f>IF(AE$3=0,"",SUMIFS(INDEX(Inputs!$D$4:$AG$100,0,MATCH(AE$2,Inputs!$D$2:$AG$2,0)),Inputs!$B$4:$B$100,$B39)/1000)</f>
        <v/>
      </c>
      <c r="AF39" s="11" t="str">
        <f>IF(AF$3=0,"",SUMIFS(INDEX(Inputs!$D$4:$AG$100,0,MATCH(AF$2,Inputs!$D$2:$AG$2,0)),Inputs!$B$4:$B$100,$B39)/1000)</f>
        <v/>
      </c>
      <c r="AG39" s="12" t="str">
        <f>IF(AF39="","",AF39)</f>
        <v/>
      </c>
    </row>
    <row r="40">
      <c r="C40" s="3" t="n"/>
    </row>
    <row r="41">
      <c r="B41" s="9" t="n">
        <v>35</v>
      </c>
      <c r="C41" s="14" t="inlineStr">
        <is>
          <t>Minority interest</t>
        </is>
      </c>
      <c r="D41" s="11">
        <f>IF(D$3=0,"",SUMIFS(INDEX(Inputs!$D$4:$AG$100,0,MATCH(D$2,Inputs!$D$2:$AG$2,0)),Inputs!$B$4:$B$100,$B41)/1000)</f>
        <v>4277.955</v>
      </c>
      <c r="E41" s="11">
        <f>IF(E$3=0,"",SUMIFS(INDEX(Inputs!$D$4:$AG$100,0,MATCH(E$2,Inputs!$D$2:$AG$2,0)),Inputs!$B$4:$B$100,$B41)/1000)</f>
        <v>4293.71</v>
      </c>
      <c r="F41" s="11">
        <f>IF(F$3=0,"",SUMIFS(INDEX(Inputs!$D$4:$AG$100,0,MATCH(F$2,Inputs!$D$2:$AG$2,0)),Inputs!$B$4:$B$100,$B41)/1000)</f>
        <v>4768.398</v>
      </c>
      <c r="G41" s="11">
        <f>IF(G$3=0,"",SUMIFS(INDEX(Inputs!$D$4:$AG$100,0,MATCH(G$2,Inputs!$D$2:$AG$2,0)),Inputs!$B$4:$B$100,$B41)/1000)</f>
        <v>4589.112</v>
      </c>
      <c r="H41" s="12">
        <f>IF(G41="","",G41)</f>
        <v>4589.112</v>
      </c>
      <c r="I41" s="11">
        <f>IF(I$3=0,"",SUMIFS(INDEX(Inputs!$D$4:$AG$100,0,MATCH(I$2,Inputs!$D$2:$AG$2,0)),Inputs!$B$4:$B$100,$B41)/1000)</f>
        <v>0</v>
      </c>
      <c r="J41" s="11">
        <f>IF(J$3=0,"",SUMIFS(INDEX(Inputs!$D$4:$AG$100,0,MATCH(J$2,Inputs!$D$2:$AG$2,0)),Inputs!$B$4:$B$100,$B41)/1000)</f>
        <v>0</v>
      </c>
      <c r="K41" s="11">
        <f>IF(K$3=0,"",SUMIFS(INDEX(Inputs!$D$4:$AG$100,0,MATCH(K$2,Inputs!$D$2:$AG$2,0)),Inputs!$B$4:$B$100,$B41)/1000)</f>
        <v>0</v>
      </c>
      <c r="L41" s="11">
        <f>IF(L$3=0,"",SUMIFS(INDEX(Inputs!$D$4:$AG$100,0,MATCH(L$2,Inputs!$D$2:$AG$2,0)),Inputs!$B$4:$B$100,$B41)/1000)</f>
        <v>0</v>
      </c>
      <c r="M41" s="12">
        <f>IF(L41="","",L41)</f>
        <v>0</v>
      </c>
      <c r="N41" s="11">
        <f>IF(N$3=0,"",SUMIFS(INDEX(Inputs!$D$4:$AG$100,0,MATCH(N$2,Inputs!$D$2:$AG$2,0)),Inputs!$B$4:$B$100,$B41)/1000)</f>
        <v>0</v>
      </c>
      <c r="O41" s="11">
        <f>IF(O$3=0,"",SUMIFS(INDEX(Inputs!$D$4:$AG$100,0,MATCH(O$2,Inputs!$D$2:$AG$2,0)),Inputs!$B$4:$B$100,$B41)/1000)</f>
        <v>0</v>
      </c>
      <c r="P41" s="11">
        <f>IF(P$3=0,"",SUMIFS(INDEX(Inputs!$D$4:$AG$100,0,MATCH(P$2,Inputs!$D$2:$AG$2,0)),Inputs!$B$4:$B$100,$B41)/1000)</f>
        <v>0</v>
      </c>
      <c r="Q41" s="11">
        <f>IF(Q$3=0,"",SUMIFS(INDEX(Inputs!$D$4:$AG$100,0,MATCH(Q$2,Inputs!$D$2:$AG$2,0)),Inputs!$B$4:$B$100,$B41)/1000)</f>
        <v>0</v>
      </c>
      <c r="R41" s="12">
        <f>IF(Q41="","",Q41)</f>
        <v>0</v>
      </c>
      <c r="S41" s="11">
        <f>IF(S$3=0,"",SUMIFS(INDEX(Inputs!$D$4:$AG$100,0,MATCH(S$2,Inputs!$D$2:$AG$2,0)),Inputs!$B$4:$B$100,$B41)/1000)</f>
        <v>0</v>
      </c>
      <c r="T41" s="11">
        <f>IF(T$3=0,"",SUMIFS(INDEX(Inputs!$D$4:$AG$100,0,MATCH(T$2,Inputs!$D$2:$AG$2,0)),Inputs!$B$4:$B$100,$B41)/1000)</f>
        <v>0</v>
      </c>
      <c r="U41" s="11">
        <f>IF(U$3=0,"",SUMIFS(INDEX(Inputs!$D$4:$AG$100,0,MATCH(U$2,Inputs!$D$2:$AG$2,0)),Inputs!$B$4:$B$100,$B41)/1000)</f>
        <v>0</v>
      </c>
      <c r="V41" s="11">
        <f>IF(V$3=0,"",SUMIFS(INDEX(Inputs!$D$4:$AG$100,0,MATCH(V$2,Inputs!$D$2:$AG$2,0)),Inputs!$B$4:$B$100,$B41)/1000)</f>
        <v>1281.658</v>
      </c>
      <c r="W41" s="12">
        <f>IF(V41="","",V41)</f>
        <v>1281.658</v>
      </c>
      <c r="X41" s="11">
        <f>IF(X$3=0,"",SUMIFS(INDEX(Inputs!$D$4:$AG$100,0,MATCH(X$2,Inputs!$D$2:$AG$2,0)),Inputs!$B$4:$B$100,$B41)/1000)</f>
        <v>1327.231</v>
      </c>
      <c r="Y41" s="11">
        <f>IF(Y$3=0,"",SUMIFS(INDEX(Inputs!$D$4:$AG$100,0,MATCH(Y$2,Inputs!$D$2:$AG$2,0)),Inputs!$B$4:$B$100,$B41)/1000)</f>
        <v>1379.839</v>
      </c>
      <c r="Z41" s="11">
        <f>IF(Z$3=0,"",SUMIFS(INDEX(Inputs!$D$4:$AG$100,0,MATCH(Z$2,Inputs!$D$2:$AG$2,0)),Inputs!$B$4:$B$100,$B41)/1000)</f>
        <v>1288.751</v>
      </c>
      <c r="AA41" s="11">
        <f>IF(AA$3=0,"",SUMIFS(INDEX(Inputs!$D$4:$AG$100,0,MATCH(AA$2,Inputs!$D$2:$AG$2,0)),Inputs!$B$4:$B$100,$B41)/1000)</f>
        <v>1266.701</v>
      </c>
      <c r="AB41" s="12">
        <f>IF(AA41="","",AA41)</f>
        <v>1266.701</v>
      </c>
      <c r="AC41" s="11">
        <f>IF(AC$3=0,"",SUMIFS(INDEX(Inputs!$D$4:$AG$100,0,MATCH(AC$2,Inputs!$D$2:$AG$2,0)),Inputs!$B$4:$B$100,$B41)/1000)</f>
        <v>1213.632</v>
      </c>
      <c r="AD41" s="11">
        <f>IF(AD$3=0,"",SUMIFS(INDEX(Inputs!$D$4:$AG$100,0,MATCH(AD$2,Inputs!$D$2:$AG$2,0)),Inputs!$B$4:$B$100,$B41)/1000)</f>
        <v>1245.517</v>
      </c>
      <c r="AE41" s="11" t="str">
        <f>IF(AE$3=0,"",SUMIFS(INDEX(Inputs!$D$4:$AG$100,0,MATCH(AE$2,Inputs!$D$2:$AG$2,0)),Inputs!$B$4:$B$100,$B41)/1000)</f>
        <v/>
      </c>
      <c r="AF41" s="11" t="str">
        <f>IF(AF$3=0,"",SUMIFS(INDEX(Inputs!$D$4:$AG$100,0,MATCH(AF$2,Inputs!$D$2:$AG$2,0)),Inputs!$B$4:$B$100,$B41)/1000)</f>
        <v/>
      </c>
      <c r="AG41" s="12" t="str">
        <f>IF(AF41="","",AF41)</f>
        <v/>
      </c>
    </row>
    <row r="42">
      <c r="B42" s="9" t="n">
        <v>36</v>
      </c>
      <c r="C42" s="14" t="inlineStr">
        <is>
          <t>Convertible Preferred Stock</t>
        </is>
      </c>
      <c r="D42" s="11">
        <f>IF(D$3=0,"",SUMIFS(INDEX(Inputs!$D$4:$AG$100,0,MATCH(D$2,Inputs!$D$2:$AG$2,0)),Inputs!$B$4:$B$100,$B42)/1000)</f>
        <v>0</v>
      </c>
      <c r="E42" s="11">
        <f>IF(E$3=0,"",SUMIFS(INDEX(Inputs!$D$4:$AG$100,0,MATCH(E$2,Inputs!$D$2:$AG$2,0)),Inputs!$B$4:$B$100,$B42)/1000)</f>
        <v>0</v>
      </c>
      <c r="F42" s="11">
        <f>IF(F$3=0,"",SUMIFS(INDEX(Inputs!$D$4:$AG$100,0,MATCH(F$2,Inputs!$D$2:$AG$2,0)),Inputs!$B$4:$B$100,$B42)/1000)</f>
        <v>0</v>
      </c>
      <c r="G42" s="11">
        <f>IF(G$3=0,"",SUMIFS(INDEX(Inputs!$D$4:$AG$100,0,MATCH(G$2,Inputs!$D$2:$AG$2,0)),Inputs!$B$4:$B$100,$B42)/1000)</f>
        <v>0</v>
      </c>
      <c r="H42" s="12">
        <f>IF(G42="","",G42)</f>
        <v>0</v>
      </c>
      <c r="I42" s="11">
        <f>IF(I$3=0,"",SUMIFS(INDEX(Inputs!$D$4:$AG$100,0,MATCH(I$2,Inputs!$D$2:$AG$2,0)),Inputs!$B$4:$B$100,$B42)/1000)</f>
        <v>0</v>
      </c>
      <c r="J42" s="11">
        <f>IF(J$3=0,"",SUMIFS(INDEX(Inputs!$D$4:$AG$100,0,MATCH(J$2,Inputs!$D$2:$AG$2,0)),Inputs!$B$4:$B$100,$B42)/1000)</f>
        <v>0</v>
      </c>
      <c r="K42" s="11">
        <f>IF(K$3=0,"",SUMIFS(INDEX(Inputs!$D$4:$AG$100,0,MATCH(K$2,Inputs!$D$2:$AG$2,0)),Inputs!$B$4:$B$100,$B42)/1000)</f>
        <v>0</v>
      </c>
      <c r="L42" s="11">
        <f>IF(L$3=0,"",SUMIFS(INDEX(Inputs!$D$4:$AG$100,0,MATCH(L$2,Inputs!$D$2:$AG$2,0)),Inputs!$B$4:$B$100,$B42)/1000)</f>
        <v>0</v>
      </c>
      <c r="M42" s="12">
        <f>IF(L42="","",L42)</f>
        <v>0</v>
      </c>
      <c r="N42" s="11">
        <f>IF(N$3=0,"",SUMIFS(INDEX(Inputs!$D$4:$AG$100,0,MATCH(N$2,Inputs!$D$2:$AG$2,0)),Inputs!$B$4:$B$100,$B42)/1000)</f>
        <v>0</v>
      </c>
      <c r="O42" s="11">
        <f>IF(O$3=0,"",SUMIFS(INDEX(Inputs!$D$4:$AG$100,0,MATCH(O$2,Inputs!$D$2:$AG$2,0)),Inputs!$B$4:$B$100,$B42)/1000)</f>
        <v>0</v>
      </c>
      <c r="P42" s="11">
        <f>IF(P$3=0,"",SUMIFS(INDEX(Inputs!$D$4:$AG$100,0,MATCH(P$2,Inputs!$D$2:$AG$2,0)),Inputs!$B$4:$B$100,$B42)/1000)</f>
        <v>0</v>
      </c>
      <c r="Q42" s="11">
        <f>IF(Q$3=0,"",SUMIFS(INDEX(Inputs!$D$4:$AG$100,0,MATCH(Q$2,Inputs!$D$2:$AG$2,0)),Inputs!$B$4:$B$100,$B42)/1000)</f>
        <v>0</v>
      </c>
      <c r="R42" s="12">
        <f>IF(Q42="","",Q42)</f>
        <v>0</v>
      </c>
      <c r="S42" s="11">
        <f>IF(S$3=0,"",SUMIFS(INDEX(Inputs!$D$4:$AG$100,0,MATCH(S$2,Inputs!$D$2:$AG$2,0)),Inputs!$B$4:$B$100,$B42)/1000)</f>
        <v>0</v>
      </c>
      <c r="T42" s="11">
        <f>IF(T$3=0,"",SUMIFS(INDEX(Inputs!$D$4:$AG$100,0,MATCH(T$2,Inputs!$D$2:$AG$2,0)),Inputs!$B$4:$B$100,$B42)/1000)</f>
        <v>0</v>
      </c>
      <c r="U42" s="11">
        <f>IF(U$3=0,"",SUMIFS(INDEX(Inputs!$D$4:$AG$100,0,MATCH(U$2,Inputs!$D$2:$AG$2,0)),Inputs!$B$4:$B$100,$B42)/1000)</f>
        <v>0</v>
      </c>
      <c r="V42" s="11">
        <f>IF(V$3=0,"",SUMIFS(INDEX(Inputs!$D$4:$AG$100,0,MATCH(V$2,Inputs!$D$2:$AG$2,0)),Inputs!$B$4:$B$100,$B42)/1000)</f>
        <v>0</v>
      </c>
      <c r="W42" s="12">
        <f>IF(V42="","",V42)</f>
        <v>0</v>
      </c>
      <c r="X42" s="11">
        <f>IF(X$3=0,"",SUMIFS(INDEX(Inputs!$D$4:$AG$100,0,MATCH(X$2,Inputs!$D$2:$AG$2,0)),Inputs!$B$4:$B$100,$B42)/1000)</f>
        <v>0</v>
      </c>
      <c r="Y42" s="11">
        <f>IF(Y$3=0,"",SUMIFS(INDEX(Inputs!$D$4:$AG$100,0,MATCH(Y$2,Inputs!$D$2:$AG$2,0)),Inputs!$B$4:$B$100,$B42)/1000)</f>
        <v>0</v>
      </c>
      <c r="Z42" s="11">
        <f>IF(Z$3=0,"",SUMIFS(INDEX(Inputs!$D$4:$AG$100,0,MATCH(Z$2,Inputs!$D$2:$AG$2,0)),Inputs!$B$4:$B$100,$B42)/1000)</f>
        <v>0</v>
      </c>
      <c r="AA42" s="11">
        <f>IF(AA$3=0,"",SUMIFS(INDEX(Inputs!$D$4:$AG$100,0,MATCH(AA$2,Inputs!$D$2:$AG$2,0)),Inputs!$B$4:$B$100,$B42)/1000)</f>
        <v>0</v>
      </c>
      <c r="AB42" s="12">
        <f>IF(AA42="","",AA42)</f>
        <v>0</v>
      </c>
      <c r="AC42" s="11">
        <f>IF(AC$3=0,"",SUMIFS(INDEX(Inputs!$D$4:$AG$100,0,MATCH(AC$2,Inputs!$D$2:$AG$2,0)),Inputs!$B$4:$B$100,$B42)/1000)</f>
        <v>0</v>
      </c>
      <c r="AD42" s="11">
        <f>IF(AD$3=0,"",SUMIFS(INDEX(Inputs!$D$4:$AG$100,0,MATCH(AD$2,Inputs!$D$2:$AG$2,0)),Inputs!$B$4:$B$100,$B42)/1000)</f>
        <v>0</v>
      </c>
      <c r="AE42" s="11" t="str">
        <f>IF(AE$3=0,"",SUMIFS(INDEX(Inputs!$D$4:$AG$100,0,MATCH(AE$2,Inputs!$D$2:$AG$2,0)),Inputs!$B$4:$B$100,$B42)/1000)</f>
        <v/>
      </c>
      <c r="AF42" s="11" t="str">
        <f>IF(AF$3=0,"",SUMIFS(INDEX(Inputs!$D$4:$AG$100,0,MATCH(AF$2,Inputs!$D$2:$AG$2,0)),Inputs!$B$4:$B$100,$B42)/1000)</f>
        <v/>
      </c>
      <c r="AG42" s="12" t="str">
        <f>IF(AF42="","",AF42)</f>
        <v/>
      </c>
    </row>
    <row r="43">
      <c r="B43" s="9" t="n">
        <v>37</v>
      </c>
      <c r="C43" s="13" t="inlineStr">
        <is>
          <t>Common Stock and APIC</t>
        </is>
      </c>
      <c r="D43" s="11">
        <f>IF(D$3=0,"",SUMIFS(INDEX(Inputs!$D$4:$AG$100,0,MATCH(D$2,Inputs!$D$2:$AG$2,0)),Inputs!$B$4:$B$100,$B43)/1000)</f>
        <v>2977.983</v>
      </c>
      <c r="E43" s="11">
        <f>IF(E$3=0,"",SUMIFS(INDEX(Inputs!$D$4:$AG$100,0,MATCH(E$2,Inputs!$D$2:$AG$2,0)),Inputs!$B$4:$B$100,$B43)/1000)</f>
        <v>2977.983</v>
      </c>
      <c r="F43" s="11">
        <f>IF(F$3=0,"",SUMIFS(INDEX(Inputs!$D$4:$AG$100,0,MATCH(F$2,Inputs!$D$2:$AG$2,0)),Inputs!$B$4:$B$100,$B43)/1000)</f>
        <v>2977.983</v>
      </c>
      <c r="G43" s="11">
        <f>IF(G$3=0,"",SUMIFS(INDEX(Inputs!$D$4:$AG$100,0,MATCH(G$2,Inputs!$D$2:$AG$2,0)),Inputs!$B$4:$B$100,$B43)/1000)</f>
        <v>3000.836</v>
      </c>
      <c r="H43" s="12">
        <f>IF(G43="","",G43)</f>
        <v>3000.836</v>
      </c>
      <c r="I43" s="11">
        <f>IF(I$3=0,"",SUMIFS(INDEX(Inputs!$D$4:$AG$100,0,MATCH(I$2,Inputs!$D$2:$AG$2,0)),Inputs!$B$4:$B$100,$B43)/1000)</f>
        <v>11370.509</v>
      </c>
      <c r="J43" s="11">
        <f>IF(J$3=0,"",SUMIFS(INDEX(Inputs!$D$4:$AG$100,0,MATCH(J$2,Inputs!$D$2:$AG$2,0)),Inputs!$B$4:$B$100,$B43)/1000)</f>
        <v>11370.509</v>
      </c>
      <c r="K43" s="11">
        <f>IF(K$3=0,"",SUMIFS(INDEX(Inputs!$D$4:$AG$100,0,MATCH(K$2,Inputs!$D$2:$AG$2,0)),Inputs!$B$4:$B$100,$B43)/1000)</f>
        <v>11370.509</v>
      </c>
      <c r="L43" s="11">
        <f>IF(L$3=0,"",SUMIFS(INDEX(Inputs!$D$4:$AG$100,0,MATCH(L$2,Inputs!$D$2:$AG$2,0)),Inputs!$B$4:$B$100,$B43)/1000)</f>
        <v>11643.326</v>
      </c>
      <c r="M43" s="12">
        <f>IF(L43="","",L43)</f>
        <v>11643.326</v>
      </c>
      <c r="N43" s="11">
        <f>IF(N$3=0,"",SUMIFS(INDEX(Inputs!$D$4:$AG$100,0,MATCH(N$2,Inputs!$D$2:$AG$2,0)),Inputs!$B$4:$B$100,$B43)/1000)</f>
        <v>11643.326</v>
      </c>
      <c r="O43" s="11">
        <f>IF(O$3=0,"",SUMIFS(INDEX(Inputs!$D$4:$AG$100,0,MATCH(O$2,Inputs!$D$2:$AG$2,0)),Inputs!$B$4:$B$100,$B43)/1000)</f>
        <v>11643.587</v>
      </c>
      <c r="P43" s="11">
        <f>IF(P$3=0,"",SUMIFS(INDEX(Inputs!$D$4:$AG$100,0,MATCH(P$2,Inputs!$D$2:$AG$2,0)),Inputs!$B$4:$B$100,$B43)/1000)</f>
        <v>11644.438</v>
      </c>
      <c r="Q43" s="11">
        <f>IF(Q$3=0,"",SUMIFS(INDEX(Inputs!$D$4:$AG$100,0,MATCH(Q$2,Inputs!$D$2:$AG$2,0)),Inputs!$B$4:$B$100,$B43)/1000)</f>
        <v>11645.67</v>
      </c>
      <c r="R43" s="12">
        <f>IF(Q43="","",Q43)</f>
        <v>11645.67</v>
      </c>
      <c r="S43" s="11">
        <f>IF(S$3=0,"",SUMIFS(INDEX(Inputs!$D$4:$AG$100,0,MATCH(S$2,Inputs!$D$2:$AG$2,0)),Inputs!$B$4:$B$100,$B43)/1000)</f>
        <v>11646.53</v>
      </c>
      <c r="T43" s="11">
        <f>IF(T$3=0,"",SUMIFS(INDEX(Inputs!$D$4:$AG$100,0,MATCH(T$2,Inputs!$D$2:$AG$2,0)),Inputs!$B$4:$B$100,$B43)/1000)</f>
        <v>11647.852</v>
      </c>
      <c r="U43" s="11">
        <f>IF(U$3=0,"",SUMIFS(INDEX(Inputs!$D$4:$AG$100,0,MATCH(U$2,Inputs!$D$2:$AG$2,0)),Inputs!$B$4:$B$100,$B43)/1000)</f>
        <v>11649.622</v>
      </c>
      <c r="V43" s="11">
        <f>IF(V$3=0,"",SUMIFS(INDEX(Inputs!$D$4:$AG$100,0,MATCH(V$2,Inputs!$D$2:$AG$2,0)),Inputs!$B$4:$B$100,$B43)/1000)</f>
        <v>12167.689</v>
      </c>
      <c r="W43" s="12">
        <f>IF(V43="","",V43)</f>
        <v>12167.689</v>
      </c>
      <c r="X43" s="11">
        <f>IF(X$3=0,"",SUMIFS(INDEX(Inputs!$D$4:$AG$100,0,MATCH(X$2,Inputs!$D$2:$AG$2,0)),Inputs!$B$4:$B$100,$B43)/1000)</f>
        <v>12170.418</v>
      </c>
      <c r="Y43" s="11">
        <f>IF(Y$3=0,"",SUMIFS(INDEX(Inputs!$D$4:$AG$100,0,MATCH(Y$2,Inputs!$D$2:$AG$2,0)),Inputs!$B$4:$B$100,$B43)/1000)</f>
        <v>12173.094</v>
      </c>
      <c r="Z43" s="11">
        <f>IF(Z$3=0,"",SUMIFS(INDEX(Inputs!$D$4:$AG$100,0,MATCH(Z$2,Inputs!$D$2:$AG$2,0)),Inputs!$B$4:$B$100,$B43)/1000)</f>
        <v>12174.005</v>
      </c>
      <c r="AA43" s="11">
        <f>IF(AA$3=0,"",SUMIFS(INDEX(Inputs!$D$4:$AG$100,0,MATCH(AA$2,Inputs!$D$2:$AG$2,0)),Inputs!$B$4:$B$100,$B43)/1000)</f>
        <v>12178.906</v>
      </c>
      <c r="AB43" s="12">
        <f>IF(AA43="","",AA43)</f>
        <v>12178.906</v>
      </c>
      <c r="AC43" s="11">
        <f>IF(AC$3=0,"",SUMIFS(INDEX(Inputs!$D$4:$AG$100,0,MATCH(AC$2,Inputs!$D$2:$AG$2,0)),Inputs!$B$4:$B$100,$B43)/1000)</f>
        <v>12182.249</v>
      </c>
      <c r="AD43" s="11">
        <f>IF(AD$3=0,"",SUMIFS(INDEX(Inputs!$D$4:$AG$100,0,MATCH(AD$2,Inputs!$D$2:$AG$2,0)),Inputs!$B$4:$B$100,$B43)/1000)</f>
        <v>12184.447</v>
      </c>
      <c r="AE43" s="11" t="str">
        <f>IF(AE$3=0,"",SUMIFS(INDEX(Inputs!$D$4:$AG$100,0,MATCH(AE$2,Inputs!$D$2:$AG$2,0)),Inputs!$B$4:$B$100,$B43)/1000)</f>
        <v/>
      </c>
      <c r="AF43" s="11" t="str">
        <f>IF(AF$3=0,"",SUMIFS(INDEX(Inputs!$D$4:$AG$100,0,MATCH(AF$2,Inputs!$D$2:$AG$2,0)),Inputs!$B$4:$B$100,$B43)/1000)</f>
        <v/>
      </c>
      <c r="AG43" s="12" t="str">
        <f>IF(AF43="","",AF43)</f>
        <v/>
      </c>
    </row>
    <row r="44">
      <c r="B44" s="9" t="n">
        <v>38</v>
      </c>
      <c r="C44" s="14" t="inlineStr">
        <is>
          <t>Treasury stock (contra account)</t>
        </is>
      </c>
      <c r="D44" s="11">
        <f>IF(D$3=0,"",SUMIFS(INDEX(Inputs!$D$4:$AG$100,0,MATCH(D$2,Inputs!$D$2:$AG$2,0)),Inputs!$B$4:$B$100,$B44)/1000)</f>
        <v>0</v>
      </c>
      <c r="E44" s="11">
        <f>IF(E$3=0,"",SUMIFS(INDEX(Inputs!$D$4:$AG$100,0,MATCH(E$2,Inputs!$D$2:$AG$2,0)),Inputs!$B$4:$B$100,$B44)/1000)</f>
        <v>0</v>
      </c>
      <c r="F44" s="11">
        <f>IF(F$3=0,"",SUMIFS(INDEX(Inputs!$D$4:$AG$100,0,MATCH(F$2,Inputs!$D$2:$AG$2,0)),Inputs!$B$4:$B$100,$B44)/1000)</f>
        <v>0</v>
      </c>
      <c r="G44" s="11">
        <f>IF(G$3=0,"",SUMIFS(INDEX(Inputs!$D$4:$AG$100,0,MATCH(G$2,Inputs!$D$2:$AG$2,0)),Inputs!$B$4:$B$100,$B44)/1000)</f>
        <v>0</v>
      </c>
      <c r="H44" s="12">
        <f>IF(G44="","",G44)</f>
        <v>0</v>
      </c>
      <c r="I44" s="11">
        <f>IF(I$3=0,"",SUMIFS(INDEX(Inputs!$D$4:$AG$100,0,MATCH(I$2,Inputs!$D$2:$AG$2,0)),Inputs!$B$4:$B$100,$B44)/1000)</f>
        <v>0</v>
      </c>
      <c r="J44" s="11">
        <f>IF(J$3=0,"",SUMIFS(INDEX(Inputs!$D$4:$AG$100,0,MATCH(J$2,Inputs!$D$2:$AG$2,0)),Inputs!$B$4:$B$100,$B44)/1000)</f>
        <v>0</v>
      </c>
      <c r="K44" s="11">
        <f>IF(K$3=0,"",SUMIFS(INDEX(Inputs!$D$4:$AG$100,0,MATCH(K$2,Inputs!$D$2:$AG$2,0)),Inputs!$B$4:$B$100,$B44)/1000)</f>
        <v>0</v>
      </c>
      <c r="L44" s="11">
        <f>IF(L$3=0,"",SUMIFS(INDEX(Inputs!$D$4:$AG$100,0,MATCH(L$2,Inputs!$D$2:$AG$2,0)),Inputs!$B$4:$B$100,$B44)/1000)</f>
        <v>0</v>
      </c>
      <c r="M44" s="12">
        <f>IF(L44="","",L44)</f>
        <v>0</v>
      </c>
      <c r="N44" s="11">
        <f>IF(N$3=0,"",SUMIFS(INDEX(Inputs!$D$4:$AG$100,0,MATCH(N$2,Inputs!$D$2:$AG$2,0)),Inputs!$B$4:$B$100,$B44)/1000)</f>
        <v>0</v>
      </c>
      <c r="O44" s="11">
        <f>IF(O$3=0,"",SUMIFS(INDEX(Inputs!$D$4:$AG$100,0,MATCH(O$2,Inputs!$D$2:$AG$2,0)),Inputs!$B$4:$B$100,$B44)/1000)</f>
        <v>0</v>
      </c>
      <c r="P44" s="11">
        <f>IF(P$3=0,"",SUMIFS(INDEX(Inputs!$D$4:$AG$100,0,MATCH(P$2,Inputs!$D$2:$AG$2,0)),Inputs!$B$4:$B$100,$B44)/1000)</f>
        <v>0</v>
      </c>
      <c r="Q44" s="11">
        <f>IF(Q$3=0,"",SUMIFS(INDEX(Inputs!$D$4:$AG$100,0,MATCH(Q$2,Inputs!$D$2:$AG$2,0)),Inputs!$B$4:$B$100,$B44)/1000)</f>
        <v>0</v>
      </c>
      <c r="R44" s="12">
        <f>IF(Q44="","",Q44)</f>
        <v>0</v>
      </c>
      <c r="S44" s="11">
        <f>IF(S$3=0,"",SUMIFS(INDEX(Inputs!$D$4:$AG$100,0,MATCH(S$2,Inputs!$D$2:$AG$2,0)),Inputs!$B$4:$B$100,$B44)/1000)</f>
        <v>0</v>
      </c>
      <c r="T44" s="11">
        <f>IF(T$3=0,"",SUMIFS(INDEX(Inputs!$D$4:$AG$100,0,MATCH(T$2,Inputs!$D$2:$AG$2,0)),Inputs!$B$4:$B$100,$B44)/1000)</f>
        <v>0</v>
      </c>
      <c r="U44" s="11">
        <f>IF(U$3=0,"",SUMIFS(INDEX(Inputs!$D$4:$AG$100,0,MATCH(U$2,Inputs!$D$2:$AG$2,0)),Inputs!$B$4:$B$100,$B44)/1000)</f>
        <v>0</v>
      </c>
      <c r="V44" s="11">
        <f>IF(V$3=0,"",SUMIFS(INDEX(Inputs!$D$4:$AG$100,0,MATCH(V$2,Inputs!$D$2:$AG$2,0)),Inputs!$B$4:$B$100,$B44)/1000)</f>
        <v>-53.617</v>
      </c>
      <c r="W44" s="12">
        <f>IF(V44="","",V44)</f>
        <v>-53.617</v>
      </c>
      <c r="X44" s="11">
        <f>IF(X$3=0,"",SUMIFS(INDEX(Inputs!$D$4:$AG$100,0,MATCH(X$2,Inputs!$D$2:$AG$2,0)),Inputs!$B$4:$B$100,$B44)/1000)</f>
        <v>-53.617</v>
      </c>
      <c r="Y44" s="11">
        <f>IF(Y$3=0,"",SUMIFS(INDEX(Inputs!$D$4:$AG$100,0,MATCH(Y$2,Inputs!$D$2:$AG$2,0)),Inputs!$B$4:$B$100,$B44)/1000)</f>
        <v>-53.617</v>
      </c>
      <c r="Z44" s="11">
        <f>IF(Z$3=0,"",SUMIFS(INDEX(Inputs!$D$4:$AG$100,0,MATCH(Z$2,Inputs!$D$2:$AG$2,0)),Inputs!$B$4:$B$100,$B44)/1000)</f>
        <v>-53.617</v>
      </c>
      <c r="AA44" s="11">
        <f>IF(AA$3=0,"",SUMIFS(INDEX(Inputs!$D$4:$AG$100,0,MATCH(AA$2,Inputs!$D$2:$AG$2,0)),Inputs!$B$4:$B$100,$B44)/1000)</f>
        <v>-59.16</v>
      </c>
      <c r="AB44" s="12">
        <f>IF(AA44="","",AA44)</f>
        <v>-59.16</v>
      </c>
      <c r="AC44" s="11">
        <f>IF(AC$3=0,"",SUMIFS(INDEX(Inputs!$D$4:$AG$100,0,MATCH(AC$2,Inputs!$D$2:$AG$2,0)),Inputs!$B$4:$B$100,$B44)/1000)</f>
        <v>-59.16</v>
      </c>
      <c r="AD44" s="11">
        <f>IF(AD$3=0,"",SUMIFS(INDEX(Inputs!$D$4:$AG$100,0,MATCH(AD$2,Inputs!$D$2:$AG$2,0)),Inputs!$B$4:$B$100,$B44)/1000)</f>
        <v>-57.109</v>
      </c>
      <c r="AE44" s="11" t="str">
        <f>IF(AE$3=0,"",SUMIFS(INDEX(Inputs!$D$4:$AG$100,0,MATCH(AE$2,Inputs!$D$2:$AG$2,0)),Inputs!$B$4:$B$100,$B44)/1000)</f>
        <v/>
      </c>
      <c r="AF44" s="11" t="str">
        <f>IF(AF$3=0,"",SUMIFS(INDEX(Inputs!$D$4:$AG$100,0,MATCH(AF$2,Inputs!$D$2:$AG$2,0)),Inputs!$B$4:$B$100,$B44)/1000)</f>
        <v/>
      </c>
      <c r="AG44" s="12" t="str">
        <f>IF(AF44="","",AF44)</f>
        <v/>
      </c>
    </row>
    <row r="45">
      <c r="B45" s="9" t="n">
        <v>39</v>
      </c>
      <c r="C45" s="14" t="inlineStr">
        <is>
          <t>Comprehensive (accumulated) loss</t>
        </is>
      </c>
      <c r="D45" s="11">
        <f>IF(D$3=0,"",SUMIFS(INDEX(Inputs!$D$4:$AG$100,0,MATCH(D$2,Inputs!$D$2:$AG$2,0)),Inputs!$B$4:$B$100,$B45)/1000)</f>
        <v>-644.044</v>
      </c>
      <c r="E45" s="11">
        <f>IF(E$3=0,"",SUMIFS(INDEX(Inputs!$D$4:$AG$100,0,MATCH(E$2,Inputs!$D$2:$AG$2,0)),Inputs!$B$4:$B$100,$B45)/1000)</f>
        <v>-622.896</v>
      </c>
      <c r="F45" s="11">
        <f>IF(F$3=0,"",SUMIFS(INDEX(Inputs!$D$4:$AG$100,0,MATCH(F$2,Inputs!$D$2:$AG$2,0)),Inputs!$B$4:$B$100,$B45)/1000)</f>
        <v>-462.533</v>
      </c>
      <c r="G45" s="11">
        <f>IF(G$3=0,"",SUMIFS(INDEX(Inputs!$D$4:$AG$100,0,MATCH(G$2,Inputs!$D$2:$AG$2,0)),Inputs!$B$4:$B$100,$B45)/1000)</f>
        <v>-405.374</v>
      </c>
      <c r="H45" s="12">
        <f>IF(G45="","",G45)</f>
        <v>-405.374</v>
      </c>
      <c r="I45" s="11">
        <f>IF(I$3=0,"",SUMIFS(INDEX(Inputs!$D$4:$AG$100,0,MATCH(I$2,Inputs!$D$2:$AG$2,0)),Inputs!$B$4:$B$100,$B45)/1000)</f>
        <v>-405.374</v>
      </c>
      <c r="J45" s="11">
        <f>IF(J$3=0,"",SUMIFS(INDEX(Inputs!$D$4:$AG$100,0,MATCH(J$2,Inputs!$D$2:$AG$2,0)),Inputs!$B$4:$B$100,$B45)/1000)</f>
        <v>-405.374</v>
      </c>
      <c r="K45" s="11">
        <f>IF(K$3=0,"",SUMIFS(INDEX(Inputs!$D$4:$AG$100,0,MATCH(K$2,Inputs!$D$2:$AG$2,0)),Inputs!$B$4:$B$100,$B45)/1000)</f>
        <v>-417.135</v>
      </c>
      <c r="L45" s="11">
        <f>IF(L$3=0,"",SUMIFS(INDEX(Inputs!$D$4:$AG$100,0,MATCH(L$2,Inputs!$D$2:$AG$2,0)),Inputs!$B$4:$B$100,$B45)/1000)</f>
        <v>-205.372</v>
      </c>
      <c r="M45" s="12">
        <f>IF(L45="","",L45)</f>
        <v>-205.372</v>
      </c>
      <c r="N45" s="11">
        <f>IF(N$3=0,"",SUMIFS(INDEX(Inputs!$D$4:$AG$100,0,MATCH(N$2,Inputs!$D$2:$AG$2,0)),Inputs!$B$4:$B$100,$B45)/1000)</f>
        <v>-204.891</v>
      </c>
      <c r="O45" s="11">
        <f>IF(O$3=0,"",SUMIFS(INDEX(Inputs!$D$4:$AG$100,0,MATCH(O$2,Inputs!$D$2:$AG$2,0)),Inputs!$B$4:$B$100,$B45)/1000)</f>
        <v>-220.752</v>
      </c>
      <c r="P45" s="11">
        <f>IF(P$3=0,"",SUMIFS(INDEX(Inputs!$D$4:$AG$100,0,MATCH(P$2,Inputs!$D$2:$AG$2,0)),Inputs!$B$4:$B$100,$B45)/1000)</f>
        <v>-207.049</v>
      </c>
      <c r="Q45" s="11">
        <f>IF(Q$3=0,"",SUMIFS(INDEX(Inputs!$D$4:$AG$100,0,MATCH(Q$2,Inputs!$D$2:$AG$2,0)),Inputs!$B$4:$B$100,$B45)/1000)</f>
        <v>-409.321</v>
      </c>
      <c r="R45" s="12">
        <f>IF(Q45="","",Q45)</f>
        <v>-409.321</v>
      </c>
      <c r="S45" s="11">
        <f>IF(S$3=0,"",SUMIFS(INDEX(Inputs!$D$4:$AG$100,0,MATCH(S$2,Inputs!$D$2:$AG$2,0)),Inputs!$B$4:$B$100,$B45)/1000)</f>
        <v>-409.287</v>
      </c>
      <c r="T45" s="11">
        <f>IF(T$3=0,"",SUMIFS(INDEX(Inputs!$D$4:$AG$100,0,MATCH(T$2,Inputs!$D$2:$AG$2,0)),Inputs!$B$4:$B$100,$B45)/1000)</f>
        <v>-409.629</v>
      </c>
      <c r="U45" s="11">
        <f>IF(U$3=0,"",SUMIFS(INDEX(Inputs!$D$4:$AG$100,0,MATCH(U$2,Inputs!$D$2:$AG$2,0)),Inputs!$B$4:$B$100,$B45)/1000)</f>
        <v>-410.478</v>
      </c>
      <c r="V45" s="11">
        <f>IF(V$3=0,"",SUMIFS(INDEX(Inputs!$D$4:$AG$100,0,MATCH(V$2,Inputs!$D$2:$AG$2,0)),Inputs!$B$4:$B$100,$B45)/1000)</f>
        <v>163.68</v>
      </c>
      <c r="W45" s="12">
        <f>IF(V45="","",V45)</f>
        <v>163.68</v>
      </c>
      <c r="X45" s="11">
        <f>IF(X$3=0,"",SUMIFS(INDEX(Inputs!$D$4:$AG$100,0,MATCH(X$2,Inputs!$D$2:$AG$2,0)),Inputs!$B$4:$B$100,$B45)/1000)</f>
        <v>202.276</v>
      </c>
      <c r="Y45" s="11">
        <f>IF(Y$3=0,"",SUMIFS(INDEX(Inputs!$D$4:$AG$100,0,MATCH(Y$2,Inputs!$D$2:$AG$2,0)),Inputs!$B$4:$B$100,$B45)/1000)</f>
        <v>247.237</v>
      </c>
      <c r="Z45" s="11">
        <f>IF(Z$3=0,"",SUMIFS(INDEX(Inputs!$D$4:$AG$100,0,MATCH(Z$2,Inputs!$D$2:$AG$2,0)),Inputs!$B$4:$B$100,$B45)/1000)</f>
        <v>235.128</v>
      </c>
      <c r="AA45" s="11">
        <f>IF(AA$3=0,"",SUMIFS(INDEX(Inputs!$D$4:$AG$100,0,MATCH(AA$2,Inputs!$D$2:$AG$2,0)),Inputs!$B$4:$B$100,$B45)/1000)</f>
        <v>129.104</v>
      </c>
      <c r="AB45" s="12">
        <f>IF(AA45="","",AA45)</f>
        <v>129.104</v>
      </c>
      <c r="AC45" s="11">
        <f>IF(AC$3=0,"",SUMIFS(INDEX(Inputs!$D$4:$AG$100,0,MATCH(AC$2,Inputs!$D$2:$AG$2,0)),Inputs!$B$4:$B$100,$B45)/1000)</f>
        <v>147.898</v>
      </c>
      <c r="AD45" s="11">
        <f>IF(AD$3=0,"",SUMIFS(INDEX(Inputs!$D$4:$AG$100,0,MATCH(AD$2,Inputs!$D$2:$AG$2,0)),Inputs!$B$4:$B$100,$B45)/1000)</f>
        <v>152.368</v>
      </c>
      <c r="AE45" s="11" t="str">
        <f>IF(AE$3=0,"",SUMIFS(INDEX(Inputs!$D$4:$AG$100,0,MATCH(AE$2,Inputs!$D$2:$AG$2,0)),Inputs!$B$4:$B$100,$B45)/1000)</f>
        <v/>
      </c>
      <c r="AF45" s="11" t="str">
        <f>IF(AF$3=0,"",SUMIFS(INDEX(Inputs!$D$4:$AG$100,0,MATCH(AF$2,Inputs!$D$2:$AG$2,0)),Inputs!$B$4:$B$100,$B45)/1000)</f>
        <v/>
      </c>
      <c r="AG45" s="12" t="str">
        <f>IF(AF45="","",AF45)</f>
        <v/>
      </c>
    </row>
    <row r="46">
      <c r="B46" s="9" t="n">
        <v>40</v>
      </c>
      <c r="C46" s="14" t="inlineStr">
        <is>
          <t>Other equity account</t>
        </is>
      </c>
      <c r="D46" s="11">
        <f>IF(D$3=0,"",SUMIFS(INDEX(Inputs!$D$4:$AG$100,0,MATCH(D$2,Inputs!$D$2:$AG$2,0)),Inputs!$B$4:$B$100,$B46)/1000)</f>
        <v>0</v>
      </c>
      <c r="E46" s="11">
        <f>IF(E$3=0,"",SUMIFS(INDEX(Inputs!$D$4:$AG$100,0,MATCH(E$2,Inputs!$D$2:$AG$2,0)),Inputs!$B$4:$B$100,$B46)/1000)</f>
        <v>0</v>
      </c>
      <c r="F46" s="11">
        <f>IF(F$3=0,"",SUMIFS(INDEX(Inputs!$D$4:$AG$100,0,MATCH(F$2,Inputs!$D$2:$AG$2,0)),Inputs!$B$4:$B$100,$B46)/1000)</f>
        <v>0</v>
      </c>
      <c r="G46" s="11">
        <f>IF(G$3=0,"",SUMIFS(INDEX(Inputs!$D$4:$AG$100,0,MATCH(G$2,Inputs!$D$2:$AG$2,0)),Inputs!$B$4:$B$100,$B46)/1000)</f>
        <v>0</v>
      </c>
      <c r="H46" s="12">
        <f>IF(G46="","",G46)</f>
        <v>0</v>
      </c>
      <c r="I46" s="11">
        <f>IF(I$3=0,"",SUMIFS(INDEX(Inputs!$D$4:$AG$100,0,MATCH(I$2,Inputs!$D$2:$AG$2,0)),Inputs!$B$4:$B$100,$B46)/1000)</f>
        <v>0</v>
      </c>
      <c r="J46" s="11">
        <f>IF(J$3=0,"",SUMIFS(INDEX(Inputs!$D$4:$AG$100,0,MATCH(J$2,Inputs!$D$2:$AG$2,0)),Inputs!$B$4:$B$100,$B46)/1000)</f>
        <v>0</v>
      </c>
      <c r="K46" s="11">
        <f>IF(K$3=0,"",SUMIFS(INDEX(Inputs!$D$4:$AG$100,0,MATCH(K$2,Inputs!$D$2:$AG$2,0)),Inputs!$B$4:$B$100,$B46)/1000)</f>
        <v>0</v>
      </c>
      <c r="L46" s="11">
        <f>IF(L$3=0,"",SUMIFS(INDEX(Inputs!$D$4:$AG$100,0,MATCH(L$2,Inputs!$D$2:$AG$2,0)),Inputs!$B$4:$B$100,$B46)/1000)</f>
        <v>0</v>
      </c>
      <c r="M46" s="12">
        <f>IF(L46="","",L46)</f>
        <v>0</v>
      </c>
      <c r="N46" s="11">
        <f>IF(N$3=0,"",SUMIFS(INDEX(Inputs!$D$4:$AG$100,0,MATCH(N$2,Inputs!$D$2:$AG$2,0)),Inputs!$B$4:$B$100,$B46)/1000)</f>
        <v>0</v>
      </c>
      <c r="O46" s="11">
        <f>IF(O$3=0,"",SUMIFS(INDEX(Inputs!$D$4:$AG$100,0,MATCH(O$2,Inputs!$D$2:$AG$2,0)),Inputs!$B$4:$B$100,$B46)/1000)</f>
        <v>0</v>
      </c>
      <c r="P46" s="11">
        <f>IF(P$3=0,"",SUMIFS(INDEX(Inputs!$D$4:$AG$100,0,MATCH(P$2,Inputs!$D$2:$AG$2,0)),Inputs!$B$4:$B$100,$B46)/1000)</f>
        <v>0</v>
      </c>
      <c r="Q46" s="11">
        <f>IF(Q$3=0,"",SUMIFS(INDEX(Inputs!$D$4:$AG$100,0,MATCH(Q$2,Inputs!$D$2:$AG$2,0)),Inputs!$B$4:$B$100,$B46)/1000)</f>
        <v>0</v>
      </c>
      <c r="R46" s="12">
        <f>IF(Q46="","",Q46)</f>
        <v>0</v>
      </c>
      <c r="S46" s="11">
        <f>IF(S$3=0,"",SUMIFS(INDEX(Inputs!$D$4:$AG$100,0,MATCH(S$2,Inputs!$D$2:$AG$2,0)),Inputs!$B$4:$B$100,$B46)/1000)</f>
        <v>0</v>
      </c>
      <c r="T46" s="11">
        <f>IF(T$3=0,"",SUMIFS(INDEX(Inputs!$D$4:$AG$100,0,MATCH(T$2,Inputs!$D$2:$AG$2,0)),Inputs!$B$4:$B$100,$B46)/1000)</f>
        <v>0</v>
      </c>
      <c r="U46" s="11">
        <f>IF(U$3=0,"",SUMIFS(INDEX(Inputs!$D$4:$AG$100,0,MATCH(U$2,Inputs!$D$2:$AG$2,0)),Inputs!$B$4:$B$100,$B46)/1000)</f>
        <v>0</v>
      </c>
      <c r="V46" s="11">
        <f>IF(V$3=0,"",SUMIFS(INDEX(Inputs!$D$4:$AG$100,0,MATCH(V$2,Inputs!$D$2:$AG$2,0)),Inputs!$B$4:$B$100,$B46)/1000)</f>
        <v>0</v>
      </c>
      <c r="W46" s="12">
        <f>IF(V46="","",V46)</f>
        <v>0</v>
      </c>
      <c r="X46" s="11">
        <f>IF(X$3=0,"",SUMIFS(INDEX(Inputs!$D$4:$AG$100,0,MATCH(X$2,Inputs!$D$2:$AG$2,0)),Inputs!$B$4:$B$100,$B46)/1000)</f>
        <v>0</v>
      </c>
      <c r="Y46" s="11">
        <f>IF(Y$3=0,"",SUMIFS(INDEX(Inputs!$D$4:$AG$100,0,MATCH(Y$2,Inputs!$D$2:$AG$2,0)),Inputs!$B$4:$B$100,$B46)/1000)</f>
        <v>0</v>
      </c>
      <c r="Z46" s="11">
        <f>IF(Z$3=0,"",SUMIFS(INDEX(Inputs!$D$4:$AG$100,0,MATCH(Z$2,Inputs!$D$2:$AG$2,0)),Inputs!$B$4:$B$100,$B46)/1000)</f>
        <v>0</v>
      </c>
      <c r="AA46" s="11">
        <f>IF(AA$3=0,"",SUMIFS(INDEX(Inputs!$D$4:$AG$100,0,MATCH(AA$2,Inputs!$D$2:$AG$2,0)),Inputs!$B$4:$B$100,$B46)/1000)</f>
        <v>0</v>
      </c>
      <c r="AB46" s="12">
        <f>IF(AA46="","",AA46)</f>
        <v>0</v>
      </c>
      <c r="AC46" s="11">
        <f>IF(AC$3=0,"",SUMIFS(INDEX(Inputs!$D$4:$AG$100,0,MATCH(AC$2,Inputs!$D$2:$AG$2,0)),Inputs!$B$4:$B$100,$B46)/1000)</f>
        <v>0</v>
      </c>
      <c r="AD46" s="11">
        <f>IF(AD$3=0,"",SUMIFS(INDEX(Inputs!$D$4:$AG$100,0,MATCH(AD$2,Inputs!$D$2:$AG$2,0)),Inputs!$B$4:$B$100,$B46)/1000)</f>
        <v>0</v>
      </c>
      <c r="AE46" s="11" t="str">
        <f>IF(AE$3=0,"",SUMIFS(INDEX(Inputs!$D$4:$AG$100,0,MATCH(AE$2,Inputs!$D$2:$AG$2,0)),Inputs!$B$4:$B$100,$B46)/1000)</f>
        <v/>
      </c>
      <c r="AF46" s="11" t="str">
        <f>IF(AF$3=0,"",SUMIFS(INDEX(Inputs!$D$4:$AG$100,0,MATCH(AF$2,Inputs!$D$2:$AG$2,0)),Inputs!$B$4:$B$100,$B46)/1000)</f>
        <v/>
      </c>
      <c r="AG46" s="12" t="str">
        <f>IF(AF46="","",AF46)</f>
        <v/>
      </c>
    </row>
    <row r="47">
      <c r="B47" s="9" t="n">
        <v>41</v>
      </c>
      <c r="C47" s="15" t="inlineStr">
        <is>
          <t>Retained earnings</t>
        </is>
      </c>
      <c r="D47" s="11">
        <f>IF(D$3=0,"",SUMIFS(INDEX(Inputs!$D$4:$AG$100,0,MATCH(D$2,Inputs!$D$2:$AG$2,0)),Inputs!$B$4:$B$100,$B47)/1000)</f>
        <v>1570.953</v>
      </c>
      <c r="E47" s="11">
        <f>IF(E$3=0,"",SUMIFS(INDEX(Inputs!$D$4:$AG$100,0,MATCH(E$2,Inputs!$D$2:$AG$2,0)),Inputs!$B$4:$B$100,$B47)/1000)</f>
        <v>1779.198</v>
      </c>
      <c r="F47" s="11">
        <f>IF(F$3=0,"",SUMIFS(INDEX(Inputs!$D$4:$AG$100,0,MATCH(F$2,Inputs!$D$2:$AG$2,0)),Inputs!$B$4:$B$100,$B47)/1000)</f>
        <v>1861.443</v>
      </c>
      <c r="G47" s="11">
        <f>IF(G$3=0,"",SUMIFS(INDEX(Inputs!$D$4:$AG$100,0,MATCH(G$2,Inputs!$D$2:$AG$2,0)),Inputs!$B$4:$B$100,$B47)/1000)</f>
        <v>1861.941</v>
      </c>
      <c r="H47" s="12">
        <f>IF(G47="","",G47)</f>
        <v>1861.941</v>
      </c>
      <c r="I47" s="11">
        <f>IF(I$3=0,"",SUMIFS(INDEX(Inputs!$D$4:$AG$100,0,MATCH(I$2,Inputs!$D$2:$AG$2,0)),Inputs!$B$4:$B$100,$B47)/1000)</f>
        <v>1855.142</v>
      </c>
      <c r="J47" s="11">
        <f>IF(J$3=0,"",SUMIFS(INDEX(Inputs!$D$4:$AG$100,0,MATCH(J$2,Inputs!$D$2:$AG$2,0)),Inputs!$B$4:$B$100,$B47)/1000)</f>
        <v>1767.067</v>
      </c>
      <c r="K47" s="11">
        <f>IF(K$3=0,"",SUMIFS(INDEX(Inputs!$D$4:$AG$100,0,MATCH(K$2,Inputs!$D$2:$AG$2,0)),Inputs!$B$4:$B$100,$B47)/1000)</f>
        <v>1997.153</v>
      </c>
      <c r="L47" s="11">
        <f>IF(L$3=0,"",SUMIFS(INDEX(Inputs!$D$4:$AG$100,0,MATCH(L$2,Inputs!$D$2:$AG$2,0)),Inputs!$B$4:$B$100,$B47)/1000)</f>
        <v>3815.124</v>
      </c>
      <c r="M47" s="12">
        <f>IF(L47="","",L47)</f>
        <v>3815.124</v>
      </c>
      <c r="N47" s="11">
        <f>IF(N$3=0,"",SUMIFS(INDEX(Inputs!$D$4:$AG$100,0,MATCH(N$2,Inputs!$D$2:$AG$2,0)),Inputs!$B$4:$B$100,$B47)/1000)</f>
        <v>4045.076</v>
      </c>
      <c r="O47" s="11">
        <f>IF(O$3=0,"",SUMIFS(INDEX(Inputs!$D$4:$AG$100,0,MATCH(O$2,Inputs!$D$2:$AG$2,0)),Inputs!$B$4:$B$100,$B47)/1000)</f>
        <v>3363.127</v>
      </c>
      <c r="P47" s="11">
        <f>IF(P$3=0,"",SUMIFS(INDEX(Inputs!$D$4:$AG$100,0,MATCH(P$2,Inputs!$D$2:$AG$2,0)),Inputs!$B$4:$B$100,$B47)/1000)</f>
        <v>2525.011</v>
      </c>
      <c r="Q47" s="11">
        <f>IF(Q$3=0,"",SUMIFS(INDEX(Inputs!$D$4:$AG$100,0,MATCH(Q$2,Inputs!$D$2:$AG$2,0)),Inputs!$B$4:$B$100,$B47)/1000)</f>
        <v>1132.604</v>
      </c>
      <c r="R47" s="12">
        <f>IF(Q47="","",Q47)</f>
        <v>1132.604</v>
      </c>
      <c r="S47" s="11">
        <f>IF(S$3=0,"",SUMIFS(INDEX(Inputs!$D$4:$AG$100,0,MATCH(S$2,Inputs!$D$2:$AG$2,0)),Inputs!$B$4:$B$100,$B47)/1000)</f>
        <v>986.222</v>
      </c>
      <c r="T47" s="11">
        <f>IF(T$3=0,"",SUMIFS(INDEX(Inputs!$D$4:$AG$100,0,MATCH(T$2,Inputs!$D$2:$AG$2,0)),Inputs!$B$4:$B$100,$B47)/1000)</f>
        <v>1077.311</v>
      </c>
      <c r="U47" s="11">
        <f>IF(U$3=0,"",SUMIFS(INDEX(Inputs!$D$4:$AG$100,0,MATCH(U$2,Inputs!$D$2:$AG$2,0)),Inputs!$B$4:$B$100,$B47)/1000)</f>
        <v>1348.141</v>
      </c>
      <c r="V47" s="11">
        <f>IF(V$3=0,"",SUMIFS(INDEX(Inputs!$D$4:$AG$100,0,MATCH(V$2,Inputs!$D$2:$AG$2,0)),Inputs!$B$4:$B$100,$B47)/1000)</f>
        <v>923.944</v>
      </c>
      <c r="W47" s="12">
        <f>IF(V47="","",V47)</f>
        <v>923.944</v>
      </c>
      <c r="X47" s="11">
        <f>IF(X$3=0,"",SUMIFS(INDEX(Inputs!$D$4:$AG$100,0,MATCH(X$2,Inputs!$D$2:$AG$2,0)),Inputs!$B$4:$B$100,$B47)/1000)</f>
        <v>932.44</v>
      </c>
      <c r="Y47" s="11">
        <f>IF(Y$3=0,"",SUMIFS(INDEX(Inputs!$D$4:$AG$100,0,MATCH(Y$2,Inputs!$D$2:$AG$2,0)),Inputs!$B$4:$B$100,$B47)/1000)</f>
        <v>317.05</v>
      </c>
      <c r="Z47" s="11">
        <f>IF(Z$3=0,"",SUMIFS(INDEX(Inputs!$D$4:$AG$100,0,MATCH(Z$2,Inputs!$D$2:$AG$2,0)),Inputs!$B$4:$B$100,$B47)/1000)</f>
        <v>-79.984</v>
      </c>
      <c r="AA47" s="11">
        <f>IF(AA$3=0,"",SUMIFS(INDEX(Inputs!$D$4:$AG$100,0,MATCH(AA$2,Inputs!$D$2:$AG$2,0)),Inputs!$B$4:$B$100,$B47)/1000)</f>
        <v>259.912</v>
      </c>
      <c r="AB47" s="12">
        <f>IF(AA47="","",AA47)</f>
        <v>259.912</v>
      </c>
      <c r="AC47" s="11">
        <f>IF(AC$3=0,"",SUMIFS(INDEX(Inputs!$D$4:$AG$100,0,MATCH(AC$2,Inputs!$D$2:$AG$2,0)),Inputs!$B$4:$B$100,$B47)/1000)</f>
        <v>-361.426</v>
      </c>
      <c r="AD47" s="11">
        <f>IF(AD$3=0,"",SUMIFS(INDEX(Inputs!$D$4:$AG$100,0,MATCH(AD$2,Inputs!$D$2:$AG$2,0)),Inputs!$B$4:$B$100,$B47)/1000)</f>
        <v>-772.373</v>
      </c>
      <c r="AE47" s="11" t="str">
        <f>IF(AE$3=0,"",SUMIFS(INDEX(Inputs!$D$4:$AG$100,0,MATCH(AE$2,Inputs!$D$2:$AG$2,0)),Inputs!$B$4:$B$100,$B47)/1000)</f>
        <v/>
      </c>
      <c r="AF47" s="11" t="str">
        <f>IF(AF$3=0,"",SUMIFS(INDEX(Inputs!$D$4:$AG$100,0,MATCH(AF$2,Inputs!$D$2:$AG$2,0)),Inputs!$B$4:$B$100,$B47)/1000)</f>
        <v/>
      </c>
      <c r="AG47" s="12" t="str">
        <f>IF(AF47="","",AF47)</f>
        <v/>
      </c>
    </row>
    <row r="48">
      <c r="B48" s="9" t="n">
        <v>44</v>
      </c>
      <c r="C48" s="13" t="inlineStr">
        <is>
          <t>Net income reported (controladores) - memo p/ check IS [Model linha 4]</t>
        </is>
      </c>
      <c r="D48" s="11">
        <f>IF(D$3=0,"",SUMIFS(INDEX(Inputs!$D$4:$AG$100,0,MATCH(D$2,Inputs!$D$2:$AG$2,0)),Inputs!$B$4:$B$100,$B48)/1000)</f>
        <v>10.128</v>
      </c>
      <c r="E48" s="11">
        <f>IF(E$3=0,"",SUMIFS(INDEX(Inputs!$D$4:$AG$100,0,MATCH(E$2,Inputs!$D$2:$AG$2,0)),Inputs!$B$4:$B$100,$B48)/1000)</f>
        <v>-71.057</v>
      </c>
      <c r="F48" s="11">
        <f>IF(F$3=0,"",SUMIFS(INDEX(Inputs!$D$4:$AG$100,0,MATCH(F$2,Inputs!$D$2:$AG$2,0)),Inputs!$B$4:$B$100,$B48)/1000)</f>
        <v>82.245</v>
      </c>
      <c r="G48" s="11">
        <f>IF(G$3=0,"",SUMIFS(INDEX(Inputs!$D$4:$AG$100,0,MATCH(G$2,Inputs!$D$2:$AG$2,0)),Inputs!$B$4:$B$100,$B48)/1000)</f>
        <v>14.45</v>
      </c>
      <c r="H48" s="12">
        <f>IF(COUNT(D48:G48)=4,SUM(D48:G48),"")</f>
        <v>35.766</v>
      </c>
      <c r="I48" s="11">
        <f>IF(I$3=0,"",SUMIFS(INDEX(Inputs!$D$4:$AG$100,0,MATCH(I$2,Inputs!$D$2:$AG$2,0)),Inputs!$B$4:$B$100,$B48)/1000)</f>
        <v>-6.799</v>
      </c>
      <c r="J48" s="11">
        <f>IF(J$3=0,"",SUMIFS(INDEX(Inputs!$D$4:$AG$100,0,MATCH(J$2,Inputs!$D$2:$AG$2,0)),Inputs!$B$4:$B$100,$B48)/1000)</f>
        <v>-2.027</v>
      </c>
      <c r="K48" s="11">
        <f>IF(K$3=0,"",SUMIFS(INDEX(Inputs!$D$4:$AG$100,0,MATCH(K$2,Inputs!$D$2:$AG$2,0)),Inputs!$B$4:$B$100,$B48)/1000)</f>
        <v>230.086</v>
      </c>
      <c r="L48" s="11">
        <f>IF(L$3=0,"",SUMIFS(INDEX(Inputs!$D$4:$AG$100,0,MATCH(L$2,Inputs!$D$2:$AG$2,0)),Inputs!$B$4:$B$100,$B48)/1000)</f>
        <v>2453.14</v>
      </c>
      <c r="M48" s="12">
        <f>IF(COUNT(I48:L48)=4,SUM(I48:L48),"")</f>
        <v>2674.4</v>
      </c>
      <c r="N48" s="11">
        <f>IF(N$3=0,"",SUMIFS(INDEX(Inputs!$D$4:$AG$100,0,MATCH(N$2,Inputs!$D$2:$AG$2,0)),Inputs!$B$4:$B$100,$B48)/1000)</f>
        <v>229.952</v>
      </c>
      <c r="O48" s="11">
        <f>IF(O$3=0,"",SUMIFS(INDEX(Inputs!$D$4:$AG$100,0,MATCH(O$2,Inputs!$D$2:$AG$2,0)),Inputs!$B$4:$B$100,$B48)/1000)</f>
        <v>182.882</v>
      </c>
      <c r="P48" s="11">
        <f>IF(P$3=0,"",SUMIFS(INDEX(Inputs!$D$4:$AG$100,0,MATCH(P$2,Inputs!$D$2:$AG$2,0)),Inputs!$B$4:$B$100,$B48)/1000)</f>
        <v>-838.116</v>
      </c>
      <c r="Q48" s="11">
        <f>IF(Q$3=0,"",SUMIFS(INDEX(Inputs!$D$4:$AG$100,0,MATCH(Q$2,Inputs!$D$2:$AG$2,0)),Inputs!$B$4:$B$100,$B48)/1000)</f>
        <v>107.593</v>
      </c>
      <c r="R48" s="12">
        <f>IF(COUNT(N48:Q48)=4,SUM(N48:Q48),"")</f>
        <v>-317.689</v>
      </c>
      <c r="S48" s="11">
        <f>IF(S$3=0,"",SUMIFS(INDEX(Inputs!$D$4:$AG$100,0,MATCH(S$2,Inputs!$D$2:$AG$2,0)),Inputs!$B$4:$B$100,$B48)/1000)</f>
        <v>253.618</v>
      </c>
      <c r="T48" s="11">
        <f>IF(T$3=0,"",SUMIFS(INDEX(Inputs!$D$4:$AG$100,0,MATCH(T$2,Inputs!$D$2:$AG$2,0)),Inputs!$B$4:$B$100,$B48)/1000)</f>
        <v>91.089</v>
      </c>
      <c r="U48" s="11">
        <f>IF(U$3=0,"",SUMIFS(INDEX(Inputs!$D$4:$AG$100,0,MATCH(U$2,Inputs!$D$2:$AG$2,0)),Inputs!$B$4:$B$100,$B48)/1000)</f>
        <v>270.83</v>
      </c>
      <c r="V48" s="11">
        <f>IF(V$3=0,"",SUMIFS(INDEX(Inputs!$D$4:$AG$100,0,MATCH(V$2,Inputs!$D$2:$AG$2,0)),Inputs!$B$4:$B$100,$B48)/1000)</f>
        <v>-364.599</v>
      </c>
      <c r="W48" s="12">
        <f>IF(COUNT(S48:V48)=4,SUM(S48:V48),"")</f>
        <v>250.938</v>
      </c>
      <c r="X48" s="11">
        <f>IF(X$3=0,"",SUMIFS(INDEX(Inputs!$D$4:$AG$100,0,MATCH(X$2,Inputs!$D$2:$AG$2,0)),Inputs!$B$4:$B$100,$B48)/1000)</f>
        <v>8.496</v>
      </c>
      <c r="Y48" s="11">
        <f>IF(Y$3=0,"",SUMIFS(INDEX(Inputs!$D$4:$AG$100,0,MATCH(Y$2,Inputs!$D$2:$AG$2,0)),Inputs!$B$4:$B$100,$B48)/1000)</f>
        <v>-615.39</v>
      </c>
      <c r="Z48" s="11">
        <f>IF(Z$3=0,"",SUMIFS(INDEX(Inputs!$D$4:$AG$100,0,MATCH(Z$2,Inputs!$D$2:$AG$2,0)),Inputs!$B$4:$B$100,$B48)/1000)</f>
        <v>-397.034</v>
      </c>
      <c r="AA48" s="11">
        <f>IF(AA$3=0,"",SUMIFS(INDEX(Inputs!$D$4:$AG$100,0,MATCH(AA$2,Inputs!$D$2:$AG$2,0)),Inputs!$B$4:$B$100,$B48)/1000)</f>
        <v>339.896</v>
      </c>
      <c r="AB48" s="12">
        <f>IF(COUNT(X48:AA48)=4,SUM(X48:AA48),"")</f>
        <v>-664.032</v>
      </c>
      <c r="AC48" s="11">
        <f>IF(AC$3=0,"",SUMIFS(INDEX(Inputs!$D$4:$AG$100,0,MATCH(AC$2,Inputs!$D$2:$AG$2,0)),Inputs!$B$4:$B$100,$B48)/1000)</f>
        <v>-621.338</v>
      </c>
      <c r="AD48" s="11">
        <f>IF(AD$3=0,"",SUMIFS(INDEX(Inputs!$D$4:$AG$100,0,MATCH(AD$2,Inputs!$D$2:$AG$2,0)),Inputs!$B$4:$B$100,$B48)/1000)</f>
        <v>-410.947</v>
      </c>
      <c r="AE48" s="11" t="str">
        <f>IF(AE$3=0,"",SUMIFS(INDEX(Inputs!$D$4:$AG$100,0,MATCH(AE$2,Inputs!$D$2:$AG$2,0)),Inputs!$B$4:$B$100,$B48)/1000)</f>
        <v/>
      </c>
      <c r="AF48" s="11" t="str">
        <f>IF(AF$3=0,"",SUMIFS(INDEX(Inputs!$D$4:$AG$100,0,MATCH(AF$2,Inputs!$D$2:$AG$2,0)),Inputs!$B$4:$B$100,$B48)/1000)</f>
        <v/>
      </c>
      <c r="AG48" s="12" t="str">
        <f>IF(COUNT(AC48:AF48)=4,SUM(AC48:AF48),"")</f>
        <v/>
      </c>
    </row>
    <row r="49" customFormat="1" s="3">
      <c r="C49" s="4" t="n"/>
      <c r="D49" s="16" t="n"/>
      <c r="E49" s="16" t="n"/>
      <c r="F49" s="16" t="n"/>
      <c r="G49" s="16" t="n"/>
      <c r="H49" s="12" t="n"/>
      <c r="I49" s="16" t="n"/>
      <c r="J49" s="16" t="n"/>
      <c r="K49" s="16" t="n"/>
      <c r="L49" s="16" t="n"/>
      <c r="M49" s="12" t="n"/>
      <c r="N49" s="16" t="n"/>
      <c r="O49" s="16" t="n"/>
      <c r="P49" s="16" t="n"/>
      <c r="Q49" s="16" t="n"/>
      <c r="R49" s="12" t="n"/>
      <c r="S49" s="16" t="n"/>
      <c r="T49" s="16" t="n"/>
      <c r="U49" s="16" t="n"/>
      <c r="V49" s="16" t="n"/>
      <c r="W49" s="12" t="n"/>
      <c r="X49" s="16" t="n"/>
      <c r="Y49" s="16" t="n"/>
      <c r="Z49" s="16" t="n"/>
      <c r="AA49" s="16" t="n"/>
      <c r="AC49" s="16" t="n"/>
      <c r="AD49" s="16" t="n"/>
      <c r="AE49" s="16" t="n"/>
      <c r="AF49" s="16" t="n"/>
    </row>
  </sheetData>
  <pageMargins left="0.7" right="0.7" top="0.75" bottom="0.75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C391"/>
  <sheetViews>
    <sheetView showGridLines="0" tabSelected="1" zoomScaleNormal="100" workbookViewId="0">
      <pane xSplit="3" ySplit="11" topLeftCell="D12" activePane="bottomRight" state="frozen"/>
      <selection pane="topRight" activeCell="D1" sqref="D1"/>
      <selection pane="bottomLeft" activeCell="A12" sqref="A12"/>
      <selection pane="bottomRight" activeCell="I3" sqref="I3"/>
    </sheetView>
  </sheetViews>
  <sheetFormatPr baseColWidth="8" defaultColWidth="10.42578125" defaultRowHeight="12.75" outlineLevelRow="1"/>
  <cols>
    <col width="2" customWidth="1" style="3" min="1" max="1"/>
    <col width="8.85546875" customWidth="1" style="3" min="2" max="2"/>
    <col width="96.140625" customWidth="1" style="4" min="3" max="3"/>
    <col width="13" customWidth="1" style="4" min="4" max="24"/>
    <col width="12.7109375" customWidth="1" style="4" min="25" max="25"/>
    <col width="13" customWidth="1" style="4" min="26" max="27"/>
    <col width="12.7109375" customWidth="1" style="4" min="28" max="28"/>
    <col width="14" customWidth="1" style="4" min="29" max="29"/>
    <col width="15.140625" customWidth="1" style="4" min="30" max="30"/>
    <col width="12.42578125" customWidth="1" style="4" min="31" max="31"/>
    <col width="11.5703125" customWidth="1" style="4" min="32" max="32"/>
    <col width="12.42578125" customWidth="1" style="4" min="33" max="33"/>
    <col width="11.5703125" customWidth="1" style="4" min="34" max="34"/>
    <col width="12.7109375" customWidth="1" style="4" min="35" max="35"/>
    <col width="11.5703125" customWidth="1" style="4" min="36" max="37"/>
    <col width="11.28515625" customWidth="1" style="4" min="38" max="38"/>
    <col width="11.5703125" customWidth="1" style="4" min="39" max="39"/>
    <col width="12.7109375" customWidth="1" style="4" min="40" max="40"/>
    <col width="11.5703125" customWidth="1" style="4" min="41" max="42"/>
    <col width="11.28515625" customWidth="1" style="4" min="43" max="43"/>
    <col width="11.5703125" customWidth="1" style="4" min="44" max="44"/>
    <col width="12.7109375" customWidth="1" style="4" min="45" max="45"/>
    <col width="11.5703125" customWidth="1" style="4" min="46" max="47"/>
    <col width="11.28515625" customWidth="1" style="4" min="48" max="48"/>
    <col width="11.5703125" customWidth="1" style="4" min="49" max="49"/>
    <col width="12.7109375" customWidth="1" style="4" min="50" max="50"/>
    <col width="11.5703125" customWidth="1" style="4" min="51" max="52"/>
    <col width="11.28515625" customWidth="1" style="4" min="53" max="53"/>
    <col width="11.5703125" customWidth="1" style="4" min="54" max="54"/>
    <col width="12.7109375" customWidth="1" style="4" min="55" max="55"/>
    <col width="11.5703125" customWidth="1" style="4" min="56" max="57"/>
    <col width="11.28515625" customWidth="1" style="4" min="58" max="58"/>
    <col width="11.5703125" customWidth="1" style="4" min="59" max="59"/>
    <col width="12.7109375" customWidth="1" style="4" min="60" max="60"/>
    <col width="11.5703125" customWidth="1" style="4" min="61" max="62"/>
    <col width="11.28515625" customWidth="1" style="4" min="63" max="63"/>
    <col width="11.5703125" customWidth="1" style="4" min="64" max="64"/>
    <col width="12.7109375" customWidth="1" style="4" min="65" max="65"/>
    <col width="11.5703125" customWidth="1" style="4" min="66" max="67"/>
    <col width="11.28515625" customWidth="1" style="4" min="68" max="68"/>
    <col width="11.5703125" customWidth="1" style="4" min="69" max="69"/>
    <col width="12.7109375" customWidth="1" style="4" min="70" max="70"/>
    <col width="11.5703125" customWidth="1" style="4" min="71" max="72"/>
    <col width="11.28515625" customWidth="1" style="4" min="73" max="73"/>
    <col width="11.5703125" customWidth="1" style="4" min="74" max="74"/>
    <col width="12.7109375" customWidth="1" style="4" min="75" max="75"/>
    <col width="11.5703125" customWidth="1" style="4" min="76" max="77"/>
    <col width="11.28515625" customWidth="1" style="4" min="78" max="78"/>
    <col width="11.5703125" customWidth="1" style="4" min="79" max="79"/>
    <col width="12.7109375" customWidth="1" style="4" min="80" max="80"/>
    <col width="11.5703125" customWidth="1" style="4" min="81" max="82"/>
    <col width="11.28515625" customWidth="1" style="4" min="83" max="83"/>
    <col width="11.5703125" customWidth="1" style="4" min="84" max="84"/>
    <col width="12.7109375" customWidth="1" style="4" min="85" max="85"/>
    <col width="11.5703125" customWidth="1" style="4" min="86" max="87"/>
    <col width="11.28515625" customWidth="1" style="4" min="88" max="88"/>
    <col width="11.5703125" customWidth="1" style="4" min="89" max="89"/>
    <col width="12.7109375" customWidth="1" style="4" min="90" max="90"/>
    <col width="11.5703125" customWidth="1" style="4" min="91" max="92"/>
    <col width="11.28515625" customWidth="1" style="4" min="93" max="93"/>
    <col width="11.5703125" customWidth="1" style="4" min="94" max="94"/>
    <col width="12.7109375" customWidth="1" style="4" min="95" max="95"/>
    <col width="11.5703125" customWidth="1" style="4" min="96" max="97"/>
    <col width="11.28515625" customWidth="1" style="4" min="98" max="98"/>
    <col width="11.5703125" customWidth="1" style="4" min="99" max="99"/>
    <col width="12.7109375" customWidth="1" style="4" min="100" max="100"/>
    <col width="11.5703125" customWidth="1" style="4" min="101" max="102"/>
    <col width="11.28515625" customWidth="1" style="4" min="103" max="103"/>
    <col width="10.42578125" customWidth="1" style="4" min="104" max="105"/>
    <col width="10.42578125" customWidth="1" style="4" min="106" max="16384"/>
  </cols>
  <sheetData>
    <row r="1">
      <c r="C1" s="17" t="inlineStr">
        <is>
          <t>CHECKS</t>
        </is>
      </c>
      <c r="D1" s="12" t="n"/>
      <c r="E1" s="12" t="n"/>
      <c r="F1" s="12" t="n"/>
      <c r="G1" s="12" t="n"/>
      <c r="H1" s="12" t="n"/>
      <c r="I1" s="12">
        <f>IF(I2="","",SUM(I2,I3))</f>
        <v>0</v>
      </c>
      <c r="J1" s="12">
        <f>IF(J2="","",SUM(J2,J3))</f>
        <v>0</v>
      </c>
      <c r="K1" s="12">
        <f>IF(K2="","",SUM(K2,K3))</f>
        <v>0</v>
      </c>
      <c r="L1" s="12">
        <f>IF(L2="","",SUM(L2,L3))</f>
        <v>0</v>
      </c>
      <c r="M1" s="12">
        <f>IF(M2="","",SUM(M2,M3))</f>
        <v>0</v>
      </c>
      <c r="N1" s="12">
        <f>IF(N2="","",SUM(N2,N3))</f>
        <v>4.70734562441066e-14</v>
      </c>
      <c r="O1" s="12">
        <f>IF(O2="","",SUM(O2,O3))</f>
        <v>2.04281036531029e-14</v>
      </c>
      <c r="P1" s="12">
        <f>IF(P2="","",SUM(P2,P3))</f>
        <v>0.00100000000011846</v>
      </c>
      <c r="Q1" s="12">
        <f>IF(Q2="","",SUM(Q2,Q3))</f>
        <v>0.00100000000020373</v>
      </c>
      <c r="R1" s="12">
        <f>IF(R2="","",SUM(R2,R3))</f>
        <v>0</v>
      </c>
      <c r="S1" s="12">
        <f>IF(S2="","",SUM(S2,S3))</f>
        <v>0</v>
      </c>
      <c r="T1" s="12">
        <f>IF(T2="","",SUM(T2,T3))</f>
        <v>0</v>
      </c>
      <c r="U1" s="12">
        <f>IF(U2="","",SUM(U2,U3))</f>
        <v>0</v>
      </c>
      <c r="V1" s="12">
        <f>IF(V2="","",SUM(V2,V3))</f>
        <v>0</v>
      </c>
      <c r="W1" s="12">
        <f>IF(W2="","",SUM(W2,W3))</f>
        <v>0</v>
      </c>
      <c r="X1" s="12">
        <f>IF(X2="","",SUM(X2,X3))</f>
        <v>0</v>
      </c>
      <c r="Y1" s="12">
        <f>IF(Y2="","",SUM(Y2,Y3))</f>
        <v>0</v>
      </c>
      <c r="Z1" s="12">
        <f>IF(Z2="","",SUM(Z2,Z3))</f>
        <v>0</v>
      </c>
      <c r="AA1" s="12">
        <f>IF(AA2="","",SUM(AA2,AA3))</f>
        <v>0</v>
      </c>
      <c r="AB1" s="12">
        <f>IF(AB2="","",SUM(AB2,AB3))</f>
        <v>0</v>
      </c>
      <c r="AC1" s="12">
        <f>IF(AC2="","",SUM(AC2,AC3))</f>
        <v>2.54019028034236e-13</v>
      </c>
      <c r="AD1" s="12">
        <f>IF(AD2="","",SUM(AD2,AD3))</f>
        <v>0</v>
      </c>
      <c r="AE1" s="12">
        <f>IF(AE2="","",SUM(AE2,AE3))</f>
        <v>0</v>
      </c>
      <c r="AF1" s="12">
        <f>IF(AF2="","",SUM(AF2,AF3))</f>
        <v>0</v>
      </c>
      <c r="AG1" s="12">
        <f>IF(AG2="","",SUM(AG2,AG3))</f>
        <v>0</v>
      </c>
      <c r="AH1" s="12">
        <f>IF(AH2="","",SUM(AH2,AH3))</f>
        <v>0</v>
      </c>
      <c r="AI1" s="12">
        <f>IF(AI2="","",SUM(AI2,AI3))</f>
        <v>0</v>
      </c>
      <c r="AJ1" s="12">
        <f>IF(AJ2="","",SUM(AJ2,AJ3))</f>
        <v>0</v>
      </c>
      <c r="AK1" s="12">
        <f>IF(AK2="","",SUM(AK2,AK3))</f>
        <v>0</v>
      </c>
      <c r="AL1" s="12">
        <f>IF(AL2="","",SUM(AL2,AL3))</f>
        <v>0</v>
      </c>
      <c r="AM1" s="12">
        <f>IF(AM2="","",SUM(AM2,AM3))</f>
        <v>0</v>
      </c>
      <c r="AN1" s="12">
        <f>IF(AN2="","",SUM(AN2,AN3))</f>
        <v>0</v>
      </c>
      <c r="AO1" s="12">
        <f>IF(AO2="","",SUM(AO2,AO3))</f>
        <v>0</v>
      </c>
      <c r="AP1" s="12">
        <f>IF(AP2="","",SUM(AP2,AP3))</f>
        <v>0</v>
      </c>
      <c r="AQ1" s="12">
        <f>IF(AQ2="","",SUM(AQ2,AQ3))</f>
        <v>0</v>
      </c>
      <c r="AR1" s="12">
        <f>IF(AR2="","",SUM(AR2,AR3))</f>
        <v>0</v>
      </c>
      <c r="AS1" s="12">
        <f>IF(AS2="","",SUM(AS2,AS3))</f>
        <v>0</v>
      </c>
      <c r="AT1" s="12">
        <f>IF(AT2="","",SUM(AT2,AT3))</f>
        <v>0</v>
      </c>
      <c r="AU1" s="12">
        <f>IF(AU2="","",SUM(AU2,AU3))</f>
        <v>0</v>
      </c>
      <c r="AV1" s="12">
        <f>IF(AV2="","",SUM(AV2,AV3))</f>
        <v>0</v>
      </c>
      <c r="AW1" s="12">
        <f>IF(AW2="","",SUM(AW2,AW3))</f>
        <v>0</v>
      </c>
      <c r="AX1" s="12">
        <f>IF(AX2="","",SUM(AX2,AX3))</f>
        <v>0</v>
      </c>
      <c r="AY1" s="12">
        <f>IF(AY2="","",SUM(AY2,AY3))</f>
        <v>0</v>
      </c>
      <c r="AZ1" s="12">
        <f>IF(AZ2="","",SUM(AZ2,AZ3))</f>
        <v>0</v>
      </c>
      <c r="BA1" s="12">
        <f>IF(BA2="","",SUM(BA2,BA3))</f>
        <v>0</v>
      </c>
      <c r="BB1" s="12">
        <f>IF(BB2="","",SUM(BB2,BB3))</f>
        <v>0</v>
      </c>
      <c r="BC1" s="12">
        <f>IF(BC2="","",SUM(BC2,BC3))</f>
        <v>0</v>
      </c>
      <c r="BD1" s="12">
        <f>IF(BD2="","",SUM(BD2,BD3))</f>
        <v>0</v>
      </c>
      <c r="BE1" s="12">
        <f>IF(BE2="","",SUM(BE2,BE3))</f>
        <v>0</v>
      </c>
      <c r="BF1" s="12">
        <f>IF(BF2="","",SUM(BF2,BF3))</f>
        <v>0</v>
      </c>
      <c r="BG1" s="12" t="n"/>
      <c r="BH1" s="12" t="n"/>
      <c r="BI1" s="12" t="n"/>
      <c r="BJ1" s="12" t="n"/>
      <c r="BK1" s="12" t="n"/>
      <c r="BL1" s="12" t="n"/>
      <c r="BM1" s="12" t="n"/>
      <c r="BN1" s="12" t="n"/>
      <c r="BO1" s="12" t="n"/>
      <c r="BP1" s="12" t="n"/>
      <c r="BQ1" s="12" t="n"/>
      <c r="BR1" s="12" t="n"/>
      <c r="BS1" s="12" t="n"/>
      <c r="BT1" s="12" t="n"/>
      <c r="BU1" s="12" t="n"/>
      <c r="BV1" s="12" t="n"/>
      <c r="BW1" s="12" t="n"/>
      <c r="BX1" s="12" t="n"/>
      <c r="BY1" s="12" t="n"/>
      <c r="BZ1" s="12" t="n"/>
      <c r="CA1" s="12" t="n"/>
      <c r="CB1" s="12" t="n"/>
      <c r="CC1" s="12" t="n"/>
      <c r="CD1" s="12" t="n"/>
      <c r="CE1" s="12" t="n"/>
      <c r="CF1" s="12" t="n"/>
      <c r="CG1" s="12" t="n"/>
      <c r="CH1" s="12" t="n"/>
      <c r="CI1" s="12" t="n"/>
      <c r="CJ1" s="12" t="n"/>
      <c r="CK1" s="12" t="n"/>
      <c r="CL1" s="12" t="n"/>
      <c r="CM1" s="12" t="n"/>
      <c r="CN1" s="12" t="n"/>
      <c r="CO1" s="12" t="n"/>
      <c r="CP1" s="12" t="n"/>
      <c r="CQ1" s="12" t="n"/>
      <c r="CR1" s="12" t="n"/>
      <c r="CS1" s="12" t="n"/>
      <c r="CT1" s="12" t="n"/>
      <c r="CU1" s="12" t="n"/>
      <c r="CV1" s="12" t="n"/>
      <c r="CW1" s="12" t="n"/>
      <c r="CX1" s="12" t="n"/>
      <c r="CY1" s="12" t="n"/>
    </row>
    <row r="2">
      <c r="C2" s="18" t="inlineStr">
        <is>
          <t>BS</t>
        </is>
      </c>
      <c r="D2" s="12" t="n"/>
      <c r="E2" s="12" t="n"/>
      <c r="F2" s="12" t="n"/>
      <c r="G2" s="12" t="n"/>
      <c r="H2" s="12" t="n"/>
      <c r="I2" s="12">
        <f>IF(COUNT(I196,I272)&lt;2,"",ABS(I196-I272))</f>
        <v>0</v>
      </c>
      <c r="J2" s="12">
        <f>IF(COUNT(J196,J272)&lt;2,"",ABS(J196-J272))</f>
        <v>0</v>
      </c>
      <c r="K2" s="12">
        <f>IF(COUNT(K196,K272)&lt;2,"",ABS(K196-K272))</f>
        <v>0</v>
      </c>
      <c r="L2" s="12">
        <f>IF(COUNT(L196,L272)&lt;2,"",ABS(L196-L272))</f>
        <v>0</v>
      </c>
      <c r="M2" s="12">
        <f>IF(COUNT(M196,M272)&lt;2,"",ABS(M196-M272))</f>
        <v>0</v>
      </c>
      <c r="N2" s="12">
        <f>IF(COUNT(N196,N272)&lt;2,"",ABS(N196-N272))</f>
        <v>0</v>
      </c>
      <c r="O2" s="12">
        <f>IF(COUNT(O196,O272)&lt;2,"",ABS(O196-O272))</f>
        <v>0</v>
      </c>
      <c r="P2" s="12">
        <f>IF(COUNT(P196,P272)&lt;2,"",ABS(P196-P272))</f>
        <v>0</v>
      </c>
      <c r="Q2" s="12">
        <f>IF(COUNT(Q196,Q272)&lt;2,"",ABS(Q196-Q272))</f>
        <v>0</v>
      </c>
      <c r="R2" s="12">
        <f>IF(COUNT(R196,R272)&lt;2,"",ABS(R196-R272))</f>
        <v>0</v>
      </c>
      <c r="S2" s="12">
        <f>IF(COUNT(S196,S272)&lt;2,"",ABS(S196-S272))</f>
        <v>0</v>
      </c>
      <c r="T2" s="12">
        <f>IF(COUNT(T196,T272)&lt;2,"",ABS(T196-T272))</f>
        <v>0</v>
      </c>
      <c r="U2" s="12">
        <f>IF(COUNT(U196,U272)&lt;2,"",ABS(U196-U272))</f>
        <v>0</v>
      </c>
      <c r="V2" s="12">
        <f>IF(COUNT(V196,V272)&lt;2,"",ABS(V196-V272))</f>
        <v>0</v>
      </c>
      <c r="W2" s="12">
        <f>IF(COUNT(W196,W272)&lt;2,"",ABS(W196-W272))</f>
        <v>0</v>
      </c>
      <c r="X2" s="12">
        <f>IF(COUNT(X196,X272)&lt;2,"",ABS(X196-X272))</f>
        <v>0</v>
      </c>
      <c r="Y2" s="12">
        <f>IF(COUNT(Y196,Y272)&lt;2,"",ABS(Y196-Y272))</f>
        <v>0</v>
      </c>
      <c r="Z2" s="12">
        <f>IF(COUNT(Z196,Z272)&lt;2,"",ABS(Z196-Z272))</f>
        <v>0</v>
      </c>
      <c r="AA2" s="12">
        <f>IF(COUNT(AA196,AA272)&lt;2,"",ABS(AA196-AA272))</f>
        <v>0</v>
      </c>
      <c r="AB2" s="12">
        <f>IF(COUNT(AB196,AB272)&lt;2,"",ABS(AB196-AB272))</f>
        <v>0</v>
      </c>
      <c r="AC2" s="12">
        <f>IF(COUNT(AC196,AC272)&lt;2,"",ABS(AC196-AC272))</f>
        <v>0</v>
      </c>
      <c r="AD2" s="12">
        <f>IF(COUNT(AD196,AD272)&lt;2,"",ABS(AD196-AD272))</f>
        <v>0</v>
      </c>
      <c r="AE2" s="12">
        <f>IF(COUNT(AE196,AE272)&lt;2,"",ABS(AE196-AE272))</f>
        <v>0</v>
      </c>
      <c r="AF2" s="12">
        <f>IF(COUNT(AF196,AF272)&lt;2,"",ABS(AF196-AF272))</f>
        <v>0</v>
      </c>
      <c r="AG2" s="12">
        <f>IF(COUNT(AG196,AG272)&lt;2,"",ABS(AG196-AG272))</f>
        <v>0</v>
      </c>
      <c r="AH2" s="12">
        <f>IF(COUNT(AH196,AH272)&lt;2,"",ABS(AH196-AH272))</f>
        <v>0</v>
      </c>
      <c r="AI2" s="12">
        <f>IF(COUNT(AI196,AI272)&lt;2,"",ABS(AI196-AI272))</f>
        <v>0</v>
      </c>
      <c r="AJ2" s="12">
        <f>IF(COUNT(AJ196,AJ272)&lt;2,"",ABS(AJ196-AJ272))</f>
        <v>0</v>
      </c>
      <c r="AK2" s="12">
        <f>IF(COUNT(AK196,AK272)&lt;2,"",ABS(AK196-AK272))</f>
        <v>0</v>
      </c>
      <c r="AL2" s="12">
        <f>IF(COUNT(AL196,AL272)&lt;2,"",ABS(AL196-AL272))</f>
        <v>0</v>
      </c>
      <c r="AM2" s="12">
        <f>IF(COUNT(AM196,AM272)&lt;2,"",ABS(AM196-AM272))</f>
        <v>0</v>
      </c>
      <c r="AN2" s="12">
        <f>IF(COUNT(AN196,AN272)&lt;2,"",ABS(AN196-AN272))</f>
        <v>0</v>
      </c>
      <c r="AO2" s="12">
        <f>IF(COUNT(AO196,AO272)&lt;2,"",ABS(AO196-AO272))</f>
        <v>0</v>
      </c>
      <c r="AP2" s="12">
        <f>IF(COUNT(AP196,AP272)&lt;2,"",ABS(AP196-AP272))</f>
        <v>0</v>
      </c>
      <c r="AQ2" s="12">
        <f>IF(COUNT(AQ196,AQ272)&lt;2,"",ABS(AQ196-AQ272))</f>
        <v>0</v>
      </c>
      <c r="AR2" s="12">
        <f>IF(COUNT(AR196,AR272)&lt;2,"",ABS(AR196-AR272))</f>
        <v>0</v>
      </c>
      <c r="AS2" s="12">
        <f>IF(COUNT(AS196,AS272)&lt;2,"",ABS(AS196-AS272))</f>
        <v>0</v>
      </c>
      <c r="AT2" s="12">
        <f>IF(COUNT(AT196,AT272)&lt;2,"",ABS(AT196-AT272))</f>
        <v>0</v>
      </c>
      <c r="AU2" s="12">
        <f>IF(COUNT(AU196,AU272)&lt;2,"",ABS(AU196-AU272))</f>
        <v>0</v>
      </c>
      <c r="AV2" s="12">
        <f>IF(COUNT(AV196,AV272)&lt;2,"",ABS(AV196-AV272))</f>
        <v>0</v>
      </c>
      <c r="AW2" s="12">
        <f>IF(COUNT(AW196,AW272)&lt;2,"",ABS(AW196-AW272))</f>
        <v>0</v>
      </c>
      <c r="AX2" s="12">
        <f>IF(COUNT(AX196,AX272)&lt;2,"",ABS(AX196-AX272))</f>
        <v>0</v>
      </c>
      <c r="AY2" s="12">
        <f>IF(COUNT(AY196,AY272)&lt;2,"",ABS(AY196-AY272))</f>
        <v>0</v>
      </c>
      <c r="AZ2" s="12">
        <f>IF(COUNT(AZ196,AZ272)&lt;2,"",ABS(AZ196-AZ272))</f>
        <v>0</v>
      </c>
      <c r="BA2" s="12">
        <f>IF(COUNT(BA196,BA272)&lt;2,"",ABS(BA196-BA272))</f>
        <v>0</v>
      </c>
      <c r="BB2" s="12">
        <f>IF(COUNT(BB196,BB272)&lt;2,"",ABS(BB196-BB272))</f>
        <v>0</v>
      </c>
      <c r="BC2" s="12">
        <f>IF(COUNT(BC196,BC272)&lt;2,"",ABS(BC196-BC272))</f>
        <v>0</v>
      </c>
      <c r="BD2" s="12">
        <f>IF(COUNT(BD196,BD272)&lt;2,"",ABS(BD196-BD272))</f>
        <v>0</v>
      </c>
      <c r="BE2" s="12">
        <f>IF(COUNT(BE196,BE272)&lt;2,"",ABS(BE196-BE272))</f>
        <v>0</v>
      </c>
      <c r="BF2" s="12">
        <f>IF(COUNT(BF196,BF272)&lt;2,"",ABS(BF196-BF272))</f>
        <v>0</v>
      </c>
      <c r="BG2" s="12" t="n"/>
      <c r="BH2" s="12" t="n"/>
      <c r="BI2" s="12" t="n"/>
      <c r="BJ2" s="12" t="n"/>
      <c r="BK2" s="12" t="n"/>
      <c r="BL2" s="12" t="n"/>
      <c r="BM2" s="12" t="n"/>
      <c r="BN2" s="12" t="n"/>
      <c r="BO2" s="12" t="n"/>
      <c r="BP2" s="12" t="n"/>
      <c r="BQ2" s="12" t="n"/>
      <c r="BR2" s="12" t="n"/>
      <c r="BS2" s="12" t="n"/>
      <c r="BT2" s="12" t="n"/>
      <c r="BU2" s="12" t="n"/>
      <c r="BV2" s="12" t="n"/>
      <c r="BW2" s="12" t="n"/>
      <c r="BX2" s="12" t="n"/>
      <c r="BY2" s="12" t="n"/>
      <c r="BZ2" s="12" t="n"/>
      <c r="CA2" s="12" t="n"/>
      <c r="CB2" s="12" t="n"/>
      <c r="CC2" s="12" t="n"/>
      <c r="CD2" s="12" t="n"/>
      <c r="CE2" s="12" t="n"/>
      <c r="CF2" s="12" t="n"/>
      <c r="CG2" s="12" t="n"/>
      <c r="CH2" s="12" t="n"/>
      <c r="CI2" s="12" t="n"/>
      <c r="CJ2" s="12" t="n"/>
      <c r="CK2" s="12" t="n"/>
      <c r="CL2" s="12" t="n"/>
      <c r="CM2" s="12" t="n"/>
      <c r="CN2" s="12" t="n"/>
      <c r="CO2" s="12" t="n"/>
      <c r="CP2" s="12" t="n"/>
      <c r="CQ2" s="12" t="n"/>
      <c r="CR2" s="12" t="n"/>
      <c r="CS2" s="12" t="n"/>
      <c r="CT2" s="12" t="n"/>
      <c r="CU2" s="12" t="n"/>
      <c r="CV2" s="12" t="n"/>
      <c r="CW2" s="12" t="n"/>
      <c r="CX2" s="12" t="n"/>
      <c r="CY2" s="12" t="n"/>
    </row>
    <row r="3">
      <c r="C3" s="18" t="inlineStr">
        <is>
          <t>IS</t>
        </is>
      </c>
      <c r="D3" s="12" t="n"/>
      <c r="E3" s="12" t="n"/>
      <c r="F3" s="12" t="n"/>
      <c r="G3" s="12" t="n"/>
      <c r="H3" s="12" t="n"/>
      <c r="I3" s="12">
        <f>IF(COUNT(I4,I136)&lt;2,"",ABS(I136-I4))</f>
        <v>0</v>
      </c>
      <c r="J3" s="12">
        <f>IF(COUNT(J4,J136)&lt;2,"",ABS(J136-J4))</f>
        <v>0</v>
      </c>
      <c r="K3" s="12">
        <f>IF(COUNT(K4,K136)&lt;2,"",ABS(K136-K4))</f>
        <v>0</v>
      </c>
      <c r="L3" s="12">
        <f>IF(COUNT(L4,L136)&lt;2,"",ABS(L136-L4))</f>
        <v>0</v>
      </c>
      <c r="M3" s="12">
        <f>IF(COUNT(M4,M136)&lt;2,"",ABS(M136-M4))</f>
        <v>0</v>
      </c>
      <c r="N3" s="12">
        <f>IF(COUNT(N4,N136)&lt;2,"",ABS(N136-N4))</f>
        <v>4.70734562441066e-14</v>
      </c>
      <c r="O3" s="12">
        <f>IF(COUNT(O4,O136)&lt;2,"",ABS(O136-O4))</f>
        <v>2.04281036531029e-14</v>
      </c>
      <c r="P3" s="12">
        <f>IF(COUNT(P4,P136)&lt;2,"",ABS(P136-P4))</f>
        <v>0.00100000000011846</v>
      </c>
      <c r="Q3" s="12">
        <f>IF(COUNT(Q4,Q136)&lt;2,"",ABS(Q136-Q4))</f>
        <v>0.00100000000020373</v>
      </c>
      <c r="R3" s="12">
        <f>IF(COUNT(R4,R136)&lt;2,"",ABS(R136-R4))</f>
        <v>0</v>
      </c>
      <c r="S3" s="12">
        <f>IF(COUNT(S4,S136)&lt;2,"",ABS(S136-S4))</f>
        <v>0</v>
      </c>
      <c r="T3" s="12">
        <f>IF(COUNT(T4,T136)&lt;2,"",ABS(T136-T4))</f>
        <v>0</v>
      </c>
      <c r="U3" s="12">
        <f>IF(COUNT(U4,U136)&lt;2,"",ABS(U136-U4))</f>
        <v>0</v>
      </c>
      <c r="V3" s="12">
        <f>IF(COUNT(V4,V136)&lt;2,"",ABS(V136-V4))</f>
        <v>0</v>
      </c>
      <c r="W3" s="12">
        <f>IF(COUNT(W4,W136)&lt;2,"",ABS(W136-W4))</f>
        <v>0</v>
      </c>
      <c r="X3" s="12">
        <f>IF(COUNT(X4,X136)&lt;2,"",ABS(X136-X4))</f>
        <v>0</v>
      </c>
      <c r="Y3" s="12">
        <f>IF(COUNT(Y4,Y136)&lt;2,"",ABS(Y136-Y4))</f>
        <v>0</v>
      </c>
      <c r="Z3" s="12">
        <f>IF(COUNT(Z4,Z136)&lt;2,"",ABS(Z136-Z4))</f>
        <v>0</v>
      </c>
      <c r="AA3" s="12">
        <f>IF(COUNT(AA4,AA136)&lt;2,"",ABS(AA136-AA4))</f>
        <v>0</v>
      </c>
      <c r="AB3" s="12">
        <f>IF(COUNT(AB4,AB136)&lt;2,"",ABS(AB136-AB4))</f>
        <v>0</v>
      </c>
      <c r="AC3" s="12">
        <f>IF(COUNT(AC4,AC136)&lt;2,"",ABS(AC136-AC4))</f>
        <v>2.54019028034236e-13</v>
      </c>
      <c r="AD3" s="12">
        <f>IF(COUNT(AD4,AD136)&lt;2,"",ABS(AD136-AD4))</f>
        <v>0</v>
      </c>
      <c r="AE3" s="12">
        <f>IF(COUNT(AE4,AE136)&lt;2,"",ABS(AE136-AE4))</f>
        <v>0</v>
      </c>
      <c r="AF3" s="12">
        <f>IF(COUNT(AF4,AF136)&lt;2,"",ABS(AF136-AF4))</f>
        <v>0</v>
      </c>
      <c r="AG3" s="12">
        <f>IF(COUNT(AG4,AG136)&lt;2,"",ABS(AG136-AG4))</f>
        <v>0</v>
      </c>
      <c r="AH3" s="12">
        <f>IF(COUNT(AH4,AH136)&lt;2,"",ABS(AH136-AH4))</f>
        <v>0</v>
      </c>
      <c r="AI3" s="12">
        <f>IF(COUNT(AI4,AI136)&lt;2,"",ABS(AI136-AI4))</f>
        <v>0</v>
      </c>
      <c r="AJ3" s="12" t="n"/>
      <c r="AK3" s="12" t="n"/>
      <c r="AL3" s="12" t="n"/>
      <c r="AM3" s="12" t="n"/>
      <c r="AN3" s="12" t="n"/>
      <c r="AO3" s="12" t="n"/>
      <c r="AP3" s="12" t="n"/>
      <c r="AQ3" s="12" t="n"/>
      <c r="AR3" s="12" t="n"/>
      <c r="AS3" s="12" t="n"/>
      <c r="AT3" s="12" t="n"/>
      <c r="AU3" s="12" t="n"/>
      <c r="AV3" s="12" t="n"/>
      <c r="AW3" s="12" t="n"/>
      <c r="AX3" s="12" t="n"/>
      <c r="AY3" s="12" t="n"/>
      <c r="AZ3" s="12" t="n"/>
      <c r="BA3" s="12" t="n"/>
      <c r="BB3" s="12" t="n"/>
      <c r="BC3" s="12" t="n"/>
      <c r="BD3" s="12" t="n"/>
      <c r="BE3" s="12" t="n"/>
      <c r="BF3" s="12" t="n"/>
      <c r="BG3" s="12" t="n"/>
      <c r="BH3" s="12" t="n"/>
      <c r="BI3" s="12" t="n"/>
      <c r="BJ3" s="12" t="n"/>
      <c r="BK3" s="12" t="n"/>
      <c r="BL3" s="12" t="n"/>
      <c r="BM3" s="12" t="n"/>
      <c r="BN3" s="12" t="n"/>
      <c r="BO3" s="12" t="n"/>
      <c r="BP3" s="12" t="n"/>
      <c r="BQ3" s="12" t="n"/>
      <c r="BR3" s="12" t="n"/>
      <c r="BS3" s="12" t="n"/>
      <c r="BT3" s="12" t="n"/>
      <c r="BU3" s="12" t="n"/>
      <c r="BV3" s="12" t="n"/>
      <c r="BW3" s="12" t="n"/>
      <c r="BX3" s="12" t="n"/>
      <c r="BY3" s="12" t="n"/>
      <c r="BZ3" s="12" t="n"/>
      <c r="CA3" s="12" t="n"/>
      <c r="CB3" s="12" t="n"/>
      <c r="CC3" s="12" t="n"/>
      <c r="CD3" s="12" t="n"/>
      <c r="CE3" s="12" t="n"/>
      <c r="CF3" s="12" t="n"/>
      <c r="CG3" s="12" t="n"/>
      <c r="CH3" s="12" t="n"/>
      <c r="CI3" s="12" t="n"/>
      <c r="CJ3" s="12" t="n"/>
      <c r="CK3" s="12" t="n"/>
      <c r="CL3" s="12" t="n"/>
      <c r="CM3" s="12" t="n"/>
      <c r="CN3" s="12" t="n"/>
      <c r="CO3" s="12" t="n"/>
      <c r="CP3" s="12" t="n"/>
      <c r="CQ3" s="12" t="n"/>
      <c r="CR3" s="12" t="n"/>
      <c r="CS3" s="12" t="n"/>
      <c r="CT3" s="12" t="n"/>
      <c r="CU3" s="12" t="n"/>
      <c r="CV3" s="12" t="n"/>
      <c r="CW3" s="12" t="n"/>
      <c r="CX3" s="12" t="n"/>
      <c r="CY3" s="12" t="n"/>
    </row>
    <row r="4">
      <c r="C4" s="17" t="inlineStr">
        <is>
          <t>Net Income reportado (controladores, CVM) - base do check IS</t>
        </is>
      </c>
      <c r="H4" s="11" t="n"/>
      <c r="I4" s="295">
        <f>'Inputs (2)'!D48</f>
        <v>10.128</v>
      </c>
      <c r="J4" s="295">
        <f>'Inputs (2)'!E48</f>
        <v>-71.057</v>
      </c>
      <c r="K4" s="295">
        <f>'Inputs (2)'!F48</f>
        <v>82.245</v>
      </c>
      <c r="L4" s="295">
        <f>'Inputs (2)'!G48</f>
        <v>14.45</v>
      </c>
      <c r="M4" s="11">
        <f>'Inputs (2)'!H48</f>
        <v>35.766</v>
      </c>
      <c r="N4" s="295">
        <f>'Inputs (2)'!I48</f>
        <v>-6.799</v>
      </c>
      <c r="O4" s="295">
        <f>'Inputs (2)'!J48</f>
        <v>-2.027</v>
      </c>
      <c r="P4" s="295">
        <f>'Inputs (2)'!K48</f>
        <v>230.086</v>
      </c>
      <c r="Q4" s="295">
        <f>'Inputs (2)'!L48</f>
        <v>2453.14</v>
      </c>
      <c r="R4" s="11">
        <f>'Inputs (2)'!M48</f>
        <v>2674.4</v>
      </c>
      <c r="S4" s="295">
        <f>'Inputs (2)'!N48</f>
        <v>229.952</v>
      </c>
      <c r="T4" s="295">
        <f>'Inputs (2)'!O48</f>
        <v>182.882</v>
      </c>
      <c r="U4" s="295">
        <f>'Inputs (2)'!P48</f>
        <v>-838.116</v>
      </c>
      <c r="V4" s="295">
        <f>'Inputs (2)'!Q48</f>
        <v>107.593</v>
      </c>
      <c r="W4" s="11">
        <f>'Inputs (2)'!R48</f>
        <v>-317.689</v>
      </c>
      <c r="X4" s="295">
        <f>'Inputs (2)'!S48</f>
        <v>253.618</v>
      </c>
      <c r="Y4" s="295">
        <f>'Inputs (2)'!T48</f>
        <v>91.089</v>
      </c>
      <c r="Z4" s="295">
        <f>'Inputs (2)'!U48</f>
        <v>270.83</v>
      </c>
      <c r="AA4" s="295">
        <f>'Inputs (2)'!V48</f>
        <v>-364.599</v>
      </c>
      <c r="AB4" s="11">
        <f>'Inputs (2)'!W48</f>
        <v>250.938</v>
      </c>
      <c r="AC4" s="295">
        <f>'Inputs (2)'!X48</f>
        <v>8.496</v>
      </c>
      <c r="AD4" s="295">
        <f>'Inputs (2)'!Y48</f>
        <v>-615.39</v>
      </c>
      <c r="AE4" s="295">
        <f>'Inputs (2)'!Z48</f>
        <v>-397.034</v>
      </c>
      <c r="AF4" s="295">
        <f>'Inputs (2)'!AA48</f>
        <v>339.896</v>
      </c>
      <c r="AG4" s="11">
        <f>'Inputs (2)'!AB48</f>
        <v>-664.032</v>
      </c>
      <c r="AH4" s="11">
        <f>'Inputs (2)'!AC48</f>
        <v>-621.338</v>
      </c>
      <c r="AI4" s="11">
        <f>'Inputs (2)'!AD48</f>
        <v>-410.947</v>
      </c>
      <c r="AJ4" s="11" t="n"/>
      <c r="AK4" s="11" t="n"/>
      <c r="AL4" s="11" t="n"/>
      <c r="AM4" s="11" t="n"/>
      <c r="AN4" s="11" t="n"/>
      <c r="AO4" s="11" t="n"/>
      <c r="AP4" s="11" t="n"/>
      <c r="AQ4" s="11" t="n"/>
      <c r="AR4" s="11" t="n"/>
      <c r="AS4" s="11" t="n"/>
      <c r="AT4" s="11" t="n"/>
      <c r="AU4" s="11" t="n"/>
      <c r="AV4" s="11" t="n"/>
      <c r="AW4" s="11" t="n"/>
      <c r="AX4" s="11" t="n"/>
      <c r="AY4" s="11" t="n"/>
      <c r="AZ4" s="11" t="n"/>
      <c r="BA4" s="11" t="n"/>
      <c r="BB4" s="11" t="n"/>
      <c r="BC4" s="11" t="n"/>
      <c r="BD4" s="11" t="n"/>
      <c r="BE4" s="11" t="n"/>
      <c r="BF4" s="11" t="n"/>
      <c r="BG4" s="11" t="n"/>
      <c r="BH4" s="11" t="n"/>
      <c r="BI4" s="11" t="n"/>
      <c r="BJ4" s="11" t="n"/>
      <c r="BK4" s="11" t="n"/>
      <c r="BL4" s="11" t="n"/>
      <c r="BM4" s="11" t="n"/>
      <c r="BN4" s="11" t="n"/>
      <c r="BO4" s="11" t="n"/>
      <c r="BP4" s="11" t="n"/>
      <c r="BQ4" s="11" t="n"/>
      <c r="BR4" s="11" t="n"/>
      <c r="BS4" s="11" t="n"/>
      <c r="BT4" s="11" t="n"/>
      <c r="BU4" s="11" t="n"/>
      <c r="BV4" s="11" t="n"/>
      <c r="BW4" s="11" t="n"/>
      <c r="BX4" s="11" t="n"/>
      <c r="BY4" s="11" t="n"/>
      <c r="BZ4" s="11" t="n"/>
      <c r="CA4" s="11" t="n"/>
      <c r="CB4" s="11" t="n"/>
      <c r="CC4" s="11" t="n"/>
      <c r="CD4" s="11" t="n"/>
      <c r="CE4" s="11" t="n"/>
      <c r="CF4" s="11" t="n"/>
      <c r="CG4" s="11" t="n"/>
      <c r="CH4" s="11" t="n"/>
      <c r="CI4" s="11" t="n"/>
      <c r="CJ4" s="11" t="n"/>
      <c r="CK4" s="11" t="n"/>
      <c r="CL4" s="11" t="n"/>
      <c r="CM4" s="11" t="n"/>
      <c r="CN4" s="11" t="n"/>
      <c r="CO4" s="11" t="n"/>
      <c r="CP4" s="11" t="n"/>
      <c r="CQ4" s="11" t="n"/>
      <c r="CR4" s="11" t="n"/>
      <c r="CS4" s="11" t="n"/>
      <c r="CT4" s="11" t="n"/>
      <c r="CU4" s="11" t="n"/>
      <c r="CV4" s="11" t="n"/>
      <c r="CW4" s="11" t="n"/>
      <c r="CX4" s="11" t="n"/>
      <c r="CY4" s="11" t="n"/>
    </row>
    <row r="5">
      <c r="B5" s="19" t="n">
        <v>45930</v>
      </c>
      <c r="D5" s="20" t="n"/>
      <c r="E5" s="21" t="n"/>
      <c r="F5" s="21" t="n"/>
      <c r="G5" s="21" t="n"/>
      <c r="H5" s="22" t="n"/>
      <c r="I5" s="20" t="n">
        <v>44286</v>
      </c>
      <c r="J5" s="21">
        <f>DATE(YEAR(I5),MONTH(I5)+3,DAY(I5)-1)</f>
        <v>44377.0</v>
      </c>
      <c r="K5" s="21">
        <f>DATE(YEAR(J5),MONTH(J5)+3,DAY(J5))</f>
        <v>44469.0</v>
      </c>
      <c r="L5" s="21">
        <f>DATE(YEAR(K5),MONTH(K5)+3,DAY(K5)+1)</f>
        <v>44561.0</v>
      </c>
      <c r="M5" s="22">
        <f>L5</f>
        <v>44561.0</v>
      </c>
      <c r="N5" s="21">
        <f>DATE(YEAR(M5),MONTH(M5)+3,DAY(M5))</f>
        <v>44651.0</v>
      </c>
      <c r="O5" s="21">
        <f>DATE(YEAR(N5),MONTH(N5)+3,DAY(N5)-1)</f>
        <v>44742.0</v>
      </c>
      <c r="P5" s="21">
        <f>DATE(YEAR(O5),MONTH(O5)+3,DAY(O5))</f>
        <v>44834.0</v>
      </c>
      <c r="Q5" s="21">
        <f>DATE(YEAR(P5),MONTH(P5)+3,DAY(P5)+1)</f>
        <v>44926.0</v>
      </c>
      <c r="R5" s="22">
        <f>Q5</f>
        <v>44926.0</v>
      </c>
      <c r="S5" s="21">
        <f>DATE(YEAR(R5),MONTH(R5)+3,DAY(R5))</f>
        <v>45016.0</v>
      </c>
      <c r="T5" s="21">
        <f>DATE(YEAR(S5),MONTH(S5)+3,DAY(S5))-1</f>
        <v>45107.0</v>
      </c>
      <c r="U5" s="21">
        <f>DATE(YEAR(T5),MONTH(T5)+3,DAY(T5))</f>
        <v>45199.0</v>
      </c>
      <c r="V5" s="21">
        <f>DATE(YEAR(U5),MONTH(U5)+3,DAY(U5))+1</f>
        <v>45291.0</v>
      </c>
      <c r="W5" s="22">
        <f>V5</f>
        <v>45291.0</v>
      </c>
      <c r="X5" s="21">
        <f>DATE(YEAR(W5),MONTH(W5)+3,DAY(W5))</f>
        <v>45382.0</v>
      </c>
      <c r="Y5" s="21">
        <f>DATE(YEAR(X5),MONTH(X5)+3,DAY(X5))-1</f>
        <v>45473.0</v>
      </c>
      <c r="Z5" s="21">
        <f>DATE(YEAR(Y5),MONTH(Y5)+3,DAY(Y5))</f>
        <v>45565.0</v>
      </c>
      <c r="AA5" s="21">
        <f>DATE(YEAR(Z5),MONTH(Z5)+3,DAY(Z5))+1</f>
        <v>45657.0</v>
      </c>
      <c r="AB5" s="22">
        <f>AA5</f>
        <v>45657.0</v>
      </c>
      <c r="AC5" s="21">
        <f>DATE(YEAR(AB5),MONTH(AB5)+3,DAY(AB5))</f>
        <v>45747.0</v>
      </c>
      <c r="AD5" s="21">
        <f>DATE(YEAR(AC5),MONTH(AC5)+3,DAY(AC5))-1</f>
        <v>45838.0</v>
      </c>
      <c r="AE5" s="21">
        <f>DATE(YEAR(AD5),MONTH(AD5)+3,DAY(AD5))</f>
        <v>45930.0</v>
      </c>
      <c r="AF5" s="21">
        <f>DATE(YEAR(AE5),MONTH(AE5)+3,DAY(AE5))+1</f>
        <v>46022.0</v>
      </c>
      <c r="AG5" s="22">
        <f>AF5</f>
        <v>46022.0</v>
      </c>
      <c r="AH5" s="21">
        <f>DATE(YEAR(AG5),MONTH(AG5)+3,DAY(AG5))</f>
        <v>46112.0</v>
      </c>
      <c r="AI5" s="21">
        <f>DATE(YEAR(AH5),MONTH(AH5)+3,DAY(AH5))-1</f>
        <v>46203.0</v>
      </c>
      <c r="AJ5" s="21">
        <f>DATE(YEAR(AI5),MONTH(AI5)+3,DAY(AI5))</f>
        <v>46295.0</v>
      </c>
      <c r="AK5" s="21">
        <f>DATE(YEAR(AJ5),MONTH(AJ5)+3,DAY(AJ5))+1</f>
        <v>46387.0</v>
      </c>
      <c r="AL5" s="22">
        <f>AK5</f>
        <v>46387.0</v>
      </c>
      <c r="AM5" s="21">
        <f>DATE(YEAR(AL5),MONTH(AL5)+3,DAY(AL5))</f>
        <v>46477.0</v>
      </c>
      <c r="AN5" s="21">
        <f>DATE(YEAR(AM5),MONTH(AM5)+3,DAY(AM5))-1</f>
        <v>46568.0</v>
      </c>
      <c r="AO5" s="21">
        <f>DATE(YEAR(AN5),MONTH(AN5)+3,DAY(AN5))</f>
        <v>46660.0</v>
      </c>
      <c r="AP5" s="21">
        <f>DATE(YEAR(AO5),MONTH(AO5)+3,DAY(AO5))+1</f>
        <v>46752.0</v>
      </c>
      <c r="AQ5" s="22">
        <f>AP5</f>
        <v>46752.0</v>
      </c>
      <c r="AR5" s="21">
        <f>DATE(YEAR(AQ5),MONTH(AQ5)+3,DAY(AQ5))</f>
        <v>46843.0</v>
      </c>
      <c r="AS5" s="21">
        <f>DATE(YEAR(AR5),MONTH(AR5)+3,DAY(AR5))-1</f>
        <v>46934.0</v>
      </c>
      <c r="AT5" s="21">
        <f>DATE(YEAR(AS5),MONTH(AS5)+3,DAY(AS5))</f>
        <v>47026.0</v>
      </c>
      <c r="AU5" s="21">
        <f>DATE(YEAR(AT5),MONTH(AT5)+3,DAY(AT5))+1</f>
        <v>47118.0</v>
      </c>
      <c r="AV5" s="22">
        <f>AU5</f>
        <v>47118.0</v>
      </c>
      <c r="AW5" s="21">
        <f>DATE(YEAR(AV5),MONTH(AV5)+3,DAY(AV5))</f>
        <v>47208.0</v>
      </c>
      <c r="AX5" s="21">
        <f>DATE(YEAR(AW5),MONTH(AW5)+3,DAY(AW5))-1</f>
        <v>47299.0</v>
      </c>
      <c r="AY5" s="21">
        <f>DATE(YEAR(AX5),MONTH(AX5)+3,DAY(AX5))</f>
        <v>47391.0</v>
      </c>
      <c r="AZ5" s="21">
        <f>DATE(YEAR(AY5),MONTH(AY5)+3,DAY(AY5))+1</f>
        <v>47483.0</v>
      </c>
      <c r="BA5" s="22">
        <f>AZ5</f>
        <v>47483.0</v>
      </c>
      <c r="BB5" s="21">
        <f>DATE(YEAR(BA5),MONTH(BA5)+3,DAY(BA5))</f>
        <v>47573.0</v>
      </c>
      <c r="BC5" s="21">
        <f>DATE(YEAR(BB5),MONTH(BB5)+3,DAY(BB5))-1</f>
        <v>47664.0</v>
      </c>
      <c r="BD5" s="21">
        <f>DATE(YEAR(BC5),MONTH(BC5)+3,DAY(BC5))</f>
        <v>47756.0</v>
      </c>
      <c r="BE5" s="21">
        <f>DATE(YEAR(BD5),MONTH(BD5)+3,DAY(BD5))+1</f>
        <v>47848.0</v>
      </c>
      <c r="BF5" s="22">
        <f>BE5</f>
        <v>47848.0</v>
      </c>
      <c r="BG5" s="21" t="n"/>
      <c r="BH5" s="21" t="n"/>
      <c r="BI5" s="21" t="n"/>
      <c r="BJ5" s="21" t="n"/>
      <c r="BK5" s="22" t="n"/>
      <c r="BL5" s="21" t="n"/>
      <c r="BM5" s="21" t="n"/>
      <c r="BN5" s="21" t="n"/>
      <c r="BO5" s="21" t="n"/>
      <c r="BP5" s="22" t="n"/>
      <c r="BQ5" s="21" t="n"/>
      <c r="BR5" s="21" t="n"/>
      <c r="BS5" s="21" t="n"/>
      <c r="BT5" s="21" t="n"/>
      <c r="BU5" s="22" t="n"/>
      <c r="BV5" s="21" t="n"/>
      <c r="BW5" s="21" t="n"/>
      <c r="BX5" s="21" t="n"/>
      <c r="BY5" s="21" t="n"/>
      <c r="BZ5" s="22" t="n"/>
      <c r="CA5" s="21" t="n"/>
      <c r="CB5" s="21" t="n"/>
      <c r="CC5" s="21" t="n"/>
      <c r="CD5" s="21" t="n"/>
      <c r="CE5" s="22" t="n"/>
      <c r="CF5" s="21" t="n"/>
      <c r="CG5" s="21" t="n"/>
      <c r="CH5" s="21" t="n"/>
      <c r="CI5" s="21" t="n"/>
      <c r="CJ5" s="22" t="n"/>
      <c r="CK5" s="21" t="n"/>
      <c r="CL5" s="21" t="n"/>
      <c r="CM5" s="21" t="n"/>
      <c r="CN5" s="21" t="n"/>
      <c r="CO5" s="22" t="n"/>
      <c r="CP5" s="21" t="n"/>
      <c r="CQ5" s="21" t="n"/>
      <c r="CR5" s="21" t="n"/>
      <c r="CS5" s="21" t="n"/>
      <c r="CT5" s="22" t="n"/>
      <c r="CU5" s="21" t="n"/>
      <c r="CV5" s="21" t="n"/>
      <c r="CW5" s="21" t="n"/>
      <c r="CX5" s="21" t="n"/>
      <c r="CY5" s="22" t="n"/>
    </row>
    <row r="6">
      <c r="B6" s="23" t="n"/>
      <c r="D6" s="24" t="n"/>
      <c r="E6" s="24" t="n"/>
      <c r="F6" s="24" t="n"/>
      <c r="G6" s="24" t="n"/>
      <c r="H6" s="24" t="n"/>
      <c r="I6" s="24">
        <f>YEAR(I5)</f>
        <v>2021</v>
      </c>
      <c r="J6" s="24">
        <f>YEAR(J5)</f>
        <v>2021</v>
      </c>
      <c r="K6" s="24">
        <f>YEAR(K5)</f>
        <v>2021</v>
      </c>
      <c r="L6" s="24">
        <f>YEAR(L5)</f>
        <v>2021</v>
      </c>
      <c r="M6" s="24">
        <f>YEAR(M5)</f>
        <v>2021</v>
      </c>
      <c r="N6" s="24">
        <f>YEAR(N5)</f>
        <v>2022</v>
      </c>
      <c r="O6" s="24">
        <f>YEAR(O5)</f>
        <v>2022</v>
      </c>
      <c r="P6" s="24">
        <f>YEAR(P5)</f>
        <v>2022</v>
      </c>
      <c r="Q6" s="24">
        <f>YEAR(Q5)</f>
        <v>2022</v>
      </c>
      <c r="R6" s="24">
        <f>YEAR(R5)</f>
        <v>2022</v>
      </c>
      <c r="S6" s="24">
        <f>YEAR(S5)</f>
        <v>2023</v>
      </c>
      <c r="T6" s="24">
        <f>YEAR(T5)</f>
        <v>2023</v>
      </c>
      <c r="U6" s="24">
        <f>YEAR(U5)</f>
        <v>2023</v>
      </c>
      <c r="V6" s="24">
        <f>YEAR(V5)</f>
        <v>2023</v>
      </c>
      <c r="W6" s="24">
        <f>YEAR(W5)</f>
        <v>2023</v>
      </c>
      <c r="X6" s="24">
        <f>YEAR(X5)</f>
        <v>2024</v>
      </c>
      <c r="Y6" s="24">
        <f>YEAR(Y5)</f>
        <v>2024</v>
      </c>
      <c r="Z6" s="24">
        <f>YEAR(Z5)</f>
        <v>2024</v>
      </c>
      <c r="AA6" s="24">
        <f>YEAR(AA5)</f>
        <v>2024</v>
      </c>
      <c r="AB6" s="24">
        <f>YEAR(AB5)</f>
        <v>2024</v>
      </c>
      <c r="AC6" s="24">
        <f>YEAR(AC5)</f>
        <v>2025</v>
      </c>
      <c r="AD6" s="24">
        <f>YEAR(AD5)</f>
        <v>2025</v>
      </c>
      <c r="AE6" s="24">
        <f>YEAR(AE5)</f>
        <v>2025</v>
      </c>
      <c r="AF6" s="24">
        <f>YEAR(AF5)</f>
        <v>2025</v>
      </c>
      <c r="AG6" s="24">
        <f>YEAR(AG5)</f>
        <v>2025</v>
      </c>
      <c r="AH6" s="24">
        <f>YEAR(AH5)</f>
        <v>2026</v>
      </c>
      <c r="AI6" s="24">
        <f>YEAR(AI5)</f>
        <v>2026</v>
      </c>
      <c r="AJ6" s="24">
        <f>YEAR(AJ5)</f>
        <v>2026</v>
      </c>
      <c r="AK6" s="24">
        <f>YEAR(AK5)</f>
        <v>2026</v>
      </c>
      <c r="AL6" s="24">
        <f>YEAR(AL5)</f>
        <v>2026</v>
      </c>
      <c r="AM6" s="24">
        <f>YEAR(AM5)</f>
        <v>2027</v>
      </c>
      <c r="AN6" s="24">
        <f>YEAR(AN5)</f>
        <v>2027</v>
      </c>
      <c r="AO6" s="24">
        <f>YEAR(AO5)</f>
        <v>2027</v>
      </c>
      <c r="AP6" s="24">
        <f>YEAR(AP5)</f>
        <v>2027</v>
      </c>
      <c r="AQ6" s="24">
        <f>YEAR(AQ5)</f>
        <v>2027</v>
      </c>
      <c r="AR6" s="24">
        <f>YEAR(AR5)</f>
        <v>2028</v>
      </c>
      <c r="AS6" s="24">
        <f>YEAR(AS5)</f>
        <v>2028</v>
      </c>
      <c r="AT6" s="24">
        <f>YEAR(AT5)</f>
        <v>2028</v>
      </c>
      <c r="AU6" s="24">
        <f>YEAR(AU5)</f>
        <v>2028</v>
      </c>
      <c r="AV6" s="24">
        <f>YEAR(AV5)</f>
        <v>2028</v>
      </c>
      <c r="AW6" s="24">
        <f>YEAR(AW5)</f>
        <v>2029</v>
      </c>
      <c r="AX6" s="24">
        <f>YEAR(AX5)</f>
        <v>2029</v>
      </c>
      <c r="AY6" s="24">
        <f>YEAR(AY5)</f>
        <v>2029</v>
      </c>
      <c r="AZ6" s="24">
        <f>YEAR(AZ5)</f>
        <v>2029</v>
      </c>
      <c r="BA6" s="24">
        <f>YEAR(BA5)</f>
        <v>2029</v>
      </c>
      <c r="BB6" s="24">
        <f>YEAR(BB5)</f>
        <v>2030</v>
      </c>
      <c r="BC6" s="24">
        <f>YEAR(BC5)</f>
        <v>2030</v>
      </c>
      <c r="BD6" s="24">
        <f>YEAR(BD5)</f>
        <v>2030</v>
      </c>
      <c r="BE6" s="24">
        <f>YEAR(BE5)</f>
        <v>2030</v>
      </c>
      <c r="BF6" s="24">
        <f>YEAR(BF5)</f>
        <v>2030</v>
      </c>
      <c r="BG6" s="24" t="n"/>
      <c r="BH6" s="24" t="n"/>
      <c r="BI6" s="24" t="n"/>
      <c r="BJ6" s="24" t="n"/>
      <c r="BK6" s="24" t="n"/>
      <c r="BL6" s="24" t="n"/>
      <c r="BM6" s="24" t="n"/>
      <c r="BN6" s="24" t="n"/>
      <c r="BO6" s="24" t="n"/>
      <c r="BP6" s="24" t="n"/>
      <c r="BQ6" s="24" t="n"/>
      <c r="BR6" s="24" t="n"/>
      <c r="BS6" s="24" t="n"/>
      <c r="BT6" s="24" t="n"/>
      <c r="BU6" s="24" t="n"/>
      <c r="BV6" s="24" t="n"/>
      <c r="BW6" s="24" t="n"/>
      <c r="BX6" s="24" t="n"/>
      <c r="BY6" s="24" t="n"/>
      <c r="BZ6" s="24" t="n"/>
      <c r="CA6" s="24" t="n"/>
      <c r="CB6" s="24" t="n"/>
      <c r="CC6" s="24" t="n"/>
      <c r="CD6" s="24" t="n"/>
      <c r="CE6" s="24" t="n"/>
      <c r="CF6" s="24" t="n"/>
      <c r="CG6" s="24" t="n"/>
      <c r="CH6" s="24" t="n"/>
      <c r="CI6" s="24" t="n"/>
      <c r="CJ6" s="24" t="n"/>
      <c r="CK6" s="24" t="n"/>
      <c r="CL6" s="24" t="n"/>
      <c r="CM6" s="24" t="n"/>
      <c r="CN6" s="24" t="n"/>
      <c r="CO6" s="24" t="n"/>
      <c r="CP6" s="24" t="n"/>
      <c r="CQ6" s="24" t="n"/>
      <c r="CR6" s="24" t="n"/>
      <c r="CS6" s="24" t="n"/>
      <c r="CT6" s="24" t="n"/>
      <c r="CU6" s="24" t="n"/>
      <c r="CV6" s="24" t="n"/>
      <c r="CW6" s="24" t="n"/>
      <c r="CX6" s="24" t="n"/>
      <c r="CY6" s="24" t="n"/>
    </row>
    <row r="7">
      <c r="B7" s="4" t="n"/>
      <c r="D7" s="25" t="n"/>
      <c r="E7" s="25" t="n"/>
      <c r="F7" s="25" t="n"/>
      <c r="G7" s="25" t="n"/>
      <c r="H7" s="26" t="n">
        <v>2020</v>
      </c>
      <c r="I7" s="25" t="str">
        <f>"1Q"&amp;RIGHT(I6,2)</f>
        <v>1Q21</v>
      </c>
      <c r="J7" s="25" t="str">
        <f>"2Q"&amp;RIGHT(J6,2)</f>
        <v>2Q21</v>
      </c>
      <c r="K7" s="25" t="str">
        <f>"3Q"&amp;RIGHT(K6,2)</f>
        <v>3Q21</v>
      </c>
      <c r="L7" s="25" t="str">
        <f>"4Q"&amp;RIGHT(L6,2)</f>
        <v>4Q21</v>
      </c>
      <c r="M7" s="26">
        <f>H7+1</f>
        <v>2021</v>
      </c>
      <c r="N7" s="25" t="str">
        <f>"1Q"&amp;RIGHT(N6,2)</f>
        <v>1Q22</v>
      </c>
      <c r="O7" s="25" t="str">
        <f>"2Q"&amp;RIGHT(O6,2)</f>
        <v>2Q22</v>
      </c>
      <c r="P7" s="25" t="str">
        <f>"3Q"&amp;RIGHT(P6,2)</f>
        <v>3Q22</v>
      </c>
      <c r="Q7" s="25" t="str">
        <f>"4Q"&amp;RIGHT(Q6,2)</f>
        <v>4Q22</v>
      </c>
      <c r="R7" s="26">
        <f>M7+1</f>
        <v>2022</v>
      </c>
      <c r="S7" s="25" t="str">
        <f>"1Q"&amp;RIGHT(S6,2)</f>
        <v>1Q23</v>
      </c>
      <c r="T7" s="25" t="str">
        <f>"2Q"&amp;RIGHT(T6,2)</f>
        <v>2Q23</v>
      </c>
      <c r="U7" s="25" t="str">
        <f>"3Q"&amp;RIGHT(U6,2)</f>
        <v>3Q23</v>
      </c>
      <c r="V7" s="25" t="str">
        <f>"4Q"&amp;RIGHT(V6,2)</f>
        <v>4Q23</v>
      </c>
      <c r="W7" s="26">
        <f>R7+1</f>
        <v>2023</v>
      </c>
      <c r="X7" s="25" t="str">
        <f>"1Q"&amp;RIGHT(X6,2)</f>
        <v>1Q24</v>
      </c>
      <c r="Y7" s="25" t="str">
        <f>"2Q"&amp;RIGHT(Y6,2)</f>
        <v>2Q24</v>
      </c>
      <c r="Z7" s="25" t="str">
        <f>"3Q"&amp;RIGHT(Z6,2)</f>
        <v>3Q24</v>
      </c>
      <c r="AA7" s="25" t="str">
        <f>"4Q"&amp;RIGHT(AA6,2)</f>
        <v>4Q24</v>
      </c>
      <c r="AB7" s="26">
        <f>W7+1</f>
        <v>2024</v>
      </c>
      <c r="AC7" s="25" t="str">
        <f>"1Q"&amp;RIGHT(AC6,2)</f>
        <v>1Q25</v>
      </c>
      <c r="AD7" s="25" t="str">
        <f>"2Q"&amp;RIGHT(AD6,2)</f>
        <v>2Q25</v>
      </c>
      <c r="AE7" s="25" t="str">
        <f>"3Q"&amp;RIGHT(AE6,2)</f>
        <v>3Q25</v>
      </c>
      <c r="AF7" s="25" t="str">
        <f>"4Q"&amp;RIGHT(AF6,2)</f>
        <v>4Q25</v>
      </c>
      <c r="AG7" s="26">
        <f>AB7+1</f>
        <v>2025</v>
      </c>
      <c r="AH7" s="25" t="str">
        <f>"1Q"&amp;RIGHT(AH6,2)</f>
        <v>1Q26</v>
      </c>
      <c r="AI7" s="25" t="str">
        <f>"2Q"&amp;RIGHT(AI6,2)</f>
        <v>2Q26</v>
      </c>
      <c r="AJ7" s="25" t="str">
        <f>"3Q"&amp;RIGHT(AJ6,2)</f>
        <v>3Q26</v>
      </c>
      <c r="AK7" s="25" t="str">
        <f>"4Q"&amp;RIGHT(AK6,2)</f>
        <v>4Q26</v>
      </c>
      <c r="AL7" s="26">
        <f>AG7+1</f>
        <v>2026</v>
      </c>
      <c r="AM7" s="25" t="str">
        <f>"1Q"&amp;RIGHT(AM6,2)</f>
        <v>1Q27</v>
      </c>
      <c r="AN7" s="25" t="str">
        <f>"2Q"&amp;RIGHT(AN6,2)</f>
        <v>2Q27</v>
      </c>
      <c r="AO7" s="25" t="str">
        <f>"3Q"&amp;RIGHT(AO6,2)</f>
        <v>3Q27</v>
      </c>
      <c r="AP7" s="25" t="str">
        <f>"4Q"&amp;RIGHT(AP6,2)</f>
        <v>4Q27</v>
      </c>
      <c r="AQ7" s="26">
        <f>AL7+1</f>
        <v>2027</v>
      </c>
      <c r="AR7" s="25" t="str">
        <f>"1Q"&amp;RIGHT(AR6,2)</f>
        <v>1Q28</v>
      </c>
      <c r="AS7" s="25" t="str">
        <f>"2Q"&amp;RIGHT(AS6,2)</f>
        <v>2Q28</v>
      </c>
      <c r="AT7" s="25" t="str">
        <f>"3Q"&amp;RIGHT(AT6,2)</f>
        <v>3Q28</v>
      </c>
      <c r="AU7" s="25" t="str">
        <f>"4Q"&amp;RIGHT(AU6,2)</f>
        <v>4Q28</v>
      </c>
      <c r="AV7" s="26">
        <f>AQ7+1</f>
        <v>2028</v>
      </c>
      <c r="AW7" s="25" t="str">
        <f>"1Q"&amp;RIGHT(AW6,2)</f>
        <v>1Q29</v>
      </c>
      <c r="AX7" s="25" t="str">
        <f>"2Q"&amp;RIGHT(AX6,2)</f>
        <v>2Q29</v>
      </c>
      <c r="AY7" s="25" t="str">
        <f>"3Q"&amp;RIGHT(AY6,2)</f>
        <v>3Q29</v>
      </c>
      <c r="AZ7" s="25" t="str">
        <f>"4Q"&amp;RIGHT(AZ6,2)</f>
        <v>4Q29</v>
      </c>
      <c r="BA7" s="26">
        <f>AV7+1</f>
        <v>2029</v>
      </c>
      <c r="BB7" s="25" t="str">
        <f>"1Q"&amp;RIGHT(BB6,2)</f>
        <v>1Q30</v>
      </c>
      <c r="BC7" s="25" t="str">
        <f>"2Q"&amp;RIGHT(BC6,2)</f>
        <v>2Q30</v>
      </c>
      <c r="BD7" s="25" t="str">
        <f>"3Q"&amp;RIGHT(BD6,2)</f>
        <v>3Q30</v>
      </c>
      <c r="BE7" s="25" t="str">
        <f>"4Q"&amp;RIGHT(BE6,2)</f>
        <v>4Q30</v>
      </c>
      <c r="BF7" s="26">
        <f>BA7+1</f>
        <v>2030</v>
      </c>
      <c r="BG7" s="25" t="n"/>
      <c r="BH7" s="25" t="n"/>
      <c r="BI7" s="25" t="n"/>
      <c r="BJ7" s="25" t="n"/>
      <c r="BK7" s="26" t="n"/>
      <c r="BL7" s="25" t="n"/>
      <c r="BM7" s="25" t="n"/>
      <c r="BN7" s="25" t="n"/>
      <c r="BO7" s="25" t="n"/>
      <c r="BP7" s="26" t="n"/>
      <c r="BQ7" s="25" t="n"/>
      <c r="BR7" s="25" t="n"/>
      <c r="BS7" s="25" t="n"/>
      <c r="BT7" s="25" t="n"/>
      <c r="BU7" s="26" t="n"/>
      <c r="BV7" s="25" t="n"/>
      <c r="BW7" s="25" t="n"/>
      <c r="BX7" s="25" t="n"/>
      <c r="BY7" s="25" t="n"/>
      <c r="BZ7" s="26" t="n"/>
      <c r="CA7" s="25" t="n"/>
      <c r="CB7" s="25" t="n"/>
      <c r="CC7" s="25" t="n"/>
      <c r="CD7" s="25" t="n"/>
      <c r="CE7" s="26" t="n"/>
      <c r="CF7" s="25" t="n"/>
      <c r="CG7" s="25" t="n"/>
      <c r="CH7" s="25" t="n"/>
      <c r="CI7" s="25" t="n"/>
      <c r="CJ7" s="26" t="n"/>
      <c r="CK7" s="25" t="n"/>
      <c r="CL7" s="25" t="n"/>
      <c r="CM7" s="25" t="n"/>
      <c r="CN7" s="25" t="n"/>
      <c r="CO7" s="26" t="n"/>
      <c r="CP7" s="25" t="n"/>
      <c r="CQ7" s="25" t="n"/>
      <c r="CR7" s="25" t="n"/>
      <c r="CS7" s="25" t="n"/>
      <c r="CT7" s="26" t="n"/>
      <c r="CU7" s="25" t="n"/>
      <c r="CV7" s="25" t="n"/>
      <c r="CW7" s="25" t="n"/>
      <c r="CX7" s="25" t="n"/>
      <c r="CY7" s="26" t="n"/>
    </row>
    <row r="8">
      <c r="B8" s="4" t="n"/>
      <c r="C8" s="4" t="inlineStr">
        <is>
          <t>IPCA</t>
        </is>
      </c>
      <c r="D8" s="25" t="n"/>
      <c r="E8" s="25" t="n"/>
      <c r="F8" s="25" t="n"/>
      <c r="G8" s="25" t="n"/>
      <c r="H8" s="27" t="n"/>
      <c r="I8" s="25" t="n"/>
      <c r="J8" s="25" t="n"/>
      <c r="K8" s="25" t="n"/>
      <c r="L8" s="25" t="n"/>
      <c r="M8" s="27" t="n">
        <v>0.1006</v>
      </c>
      <c r="N8" s="25" t="n"/>
      <c r="O8" s="25" t="n"/>
      <c r="P8" s="25" t="n"/>
      <c r="Q8" s="25" t="n"/>
      <c r="R8" s="27" t="n">
        <v>0.0579</v>
      </c>
      <c r="S8" s="25" t="n"/>
      <c r="T8" s="25" t="n"/>
      <c r="U8" s="25" t="n"/>
      <c r="V8" s="25" t="n"/>
      <c r="W8" s="27" t="n">
        <v>0.0468</v>
      </c>
      <c r="X8" s="25" t="n"/>
      <c r="Y8" s="25" t="n"/>
      <c r="Z8" s="25" t="n"/>
      <c r="AA8" s="25" t="n"/>
      <c r="AB8" s="27" t="n">
        <v>0.0483</v>
      </c>
      <c r="AC8" s="25" t="n"/>
      <c r="AD8" s="25" t="n"/>
      <c r="AE8" s="25" t="n"/>
      <c r="AF8" s="25" t="n"/>
      <c r="AG8" s="27" t="n">
        <v>0.0468</v>
      </c>
      <c r="AH8" s="25" t="n"/>
      <c r="AI8" s="25" t="n"/>
      <c r="AJ8" s="25" t="n"/>
      <c r="AK8" s="25" t="n"/>
      <c r="AL8" s="28" t="n"/>
      <c r="AM8" s="25" t="n"/>
      <c r="AN8" s="25" t="n"/>
      <c r="AO8" s="25" t="n"/>
      <c r="AP8" s="25" t="n"/>
      <c r="AQ8" s="28" t="n"/>
      <c r="AR8" s="25" t="n"/>
      <c r="AS8" s="25" t="n"/>
      <c r="AT8" s="25" t="n"/>
      <c r="AU8" s="25" t="n"/>
      <c r="AV8" s="28" t="n"/>
      <c r="AW8" s="25" t="n"/>
      <c r="AX8" s="25" t="n"/>
      <c r="AY8" s="25" t="n"/>
      <c r="AZ8" s="25" t="n"/>
      <c r="BA8" s="28" t="n"/>
      <c r="BB8" s="25" t="n"/>
      <c r="BC8" s="25" t="n"/>
      <c r="BD8" s="25" t="n"/>
      <c r="BE8" s="25" t="n"/>
      <c r="BF8" s="28" t="n"/>
      <c r="BG8" s="25" t="n"/>
      <c r="BH8" s="25" t="n"/>
      <c r="BI8" s="25" t="n"/>
      <c r="BJ8" s="25" t="n"/>
      <c r="BK8" s="28" t="n"/>
      <c r="BL8" s="25" t="n"/>
      <c r="BM8" s="25" t="n"/>
      <c r="BN8" s="25" t="n"/>
      <c r="BO8" s="25" t="n"/>
      <c r="BP8" s="28" t="n"/>
      <c r="BQ8" s="25" t="n"/>
      <c r="BR8" s="25" t="n"/>
      <c r="BS8" s="25" t="n"/>
      <c r="BT8" s="25" t="n"/>
      <c r="BU8" s="28" t="n"/>
      <c r="BV8" s="25" t="n"/>
      <c r="BW8" s="25" t="n"/>
      <c r="BX8" s="25" t="n"/>
      <c r="BY8" s="25" t="n"/>
      <c r="BZ8" s="28" t="n"/>
      <c r="CA8" s="25" t="n"/>
      <c r="CB8" s="25" t="n"/>
      <c r="CC8" s="25" t="n"/>
      <c r="CD8" s="25" t="n"/>
      <c r="CE8" s="28" t="n"/>
      <c r="CF8" s="25" t="n"/>
      <c r="CG8" s="25" t="n"/>
      <c r="CH8" s="25" t="n"/>
      <c r="CI8" s="25" t="n"/>
      <c r="CJ8" s="28" t="n"/>
      <c r="CK8" s="25" t="n"/>
      <c r="CL8" s="25" t="n"/>
      <c r="CM8" s="25" t="n"/>
      <c r="CN8" s="25" t="n"/>
      <c r="CO8" s="28" t="n"/>
      <c r="CP8" s="25" t="n"/>
      <c r="CQ8" s="25" t="n"/>
      <c r="CR8" s="25" t="n"/>
      <c r="CS8" s="25" t="n"/>
      <c r="CT8" s="28" t="n"/>
      <c r="CU8" s="25" t="n"/>
      <c r="CV8" s="25" t="n"/>
      <c r="CW8" s="25" t="n"/>
      <c r="CX8" s="25" t="n"/>
      <c r="CY8" s="28" t="n"/>
    </row>
    <row r="9">
      <c r="B9" s="4" t="n"/>
      <c r="C9" s="4" t="inlineStr">
        <is>
          <t>GDP BRAZIL</t>
        </is>
      </c>
      <c r="D9" s="25" t="n"/>
      <c r="E9" s="25" t="n"/>
      <c r="F9" s="25" t="n"/>
      <c r="G9" s="25" t="n"/>
      <c r="H9" s="29" t="n"/>
      <c r="I9" s="25" t="n"/>
      <c r="J9" s="25" t="n"/>
      <c r="K9" s="25" t="n"/>
      <c r="L9" s="25" t="n"/>
      <c r="M9" s="29" t="n">
        <v>0.046</v>
      </c>
      <c r="N9" s="25" t="n"/>
      <c r="O9" s="25" t="n"/>
      <c r="P9" s="25" t="n"/>
      <c r="Q9" s="25" t="n"/>
      <c r="R9" s="29" t="n"/>
      <c r="S9" s="25" t="n"/>
      <c r="T9" s="25" t="n"/>
      <c r="U9" s="25" t="n"/>
      <c r="V9" s="25" t="n"/>
      <c r="W9" s="29" t="n"/>
      <c r="X9" s="25" t="n"/>
      <c r="Y9" s="25" t="n"/>
      <c r="Z9" s="25" t="n"/>
      <c r="AA9" s="25" t="n"/>
      <c r="AB9" s="29" t="n"/>
      <c r="AC9" s="25" t="n"/>
      <c r="AD9" s="25" t="n"/>
      <c r="AE9" s="25" t="n"/>
      <c r="AF9" s="25" t="n"/>
      <c r="AG9" s="29" t="n"/>
      <c r="AH9" s="25" t="n"/>
      <c r="AI9" s="25" t="n"/>
      <c r="AJ9" s="25" t="n"/>
      <c r="AK9" s="25" t="n"/>
      <c r="AL9" s="28" t="n"/>
      <c r="AM9" s="25" t="n"/>
      <c r="AN9" s="25" t="n"/>
      <c r="AO9" s="25" t="n"/>
      <c r="AP9" s="25" t="n"/>
      <c r="AQ9" s="28" t="n"/>
      <c r="AR9" s="25" t="n"/>
      <c r="AS9" s="25" t="n"/>
      <c r="AT9" s="25" t="n"/>
      <c r="AU9" s="25" t="n"/>
      <c r="AV9" s="28" t="n"/>
      <c r="AW9" s="25" t="n"/>
      <c r="AX9" s="25" t="n"/>
      <c r="AY9" s="25" t="n"/>
      <c r="AZ9" s="25" t="n"/>
      <c r="BA9" s="28" t="n"/>
      <c r="BB9" s="25" t="n"/>
      <c r="BC9" s="25" t="n"/>
      <c r="BD9" s="25" t="n"/>
      <c r="BE9" s="25" t="n"/>
      <c r="BF9" s="28" t="n"/>
      <c r="BG9" s="25" t="n"/>
      <c r="BH9" s="25" t="n"/>
      <c r="BI9" s="25" t="n"/>
      <c r="BJ9" s="25" t="n"/>
      <c r="BK9" s="28" t="n"/>
      <c r="BL9" s="25" t="n"/>
      <c r="BM9" s="25" t="n"/>
      <c r="BN9" s="25" t="n"/>
      <c r="BO9" s="25" t="n"/>
      <c r="BP9" s="28" t="n"/>
      <c r="BQ9" s="25" t="n"/>
      <c r="BR9" s="25" t="n"/>
      <c r="BS9" s="25" t="n"/>
      <c r="BT9" s="25" t="n"/>
      <c r="BU9" s="28" t="n"/>
      <c r="BV9" s="25" t="n"/>
      <c r="BW9" s="25" t="n"/>
      <c r="BX9" s="25" t="n"/>
      <c r="BY9" s="25" t="n"/>
      <c r="BZ9" s="28" t="n"/>
      <c r="CA9" s="25" t="n"/>
      <c r="CB9" s="25" t="n"/>
      <c r="CC9" s="25" t="n"/>
      <c r="CD9" s="25" t="n"/>
      <c r="CE9" s="28" t="n"/>
      <c r="CF9" s="25" t="n"/>
      <c r="CG9" s="25" t="n"/>
      <c r="CH9" s="25" t="n"/>
      <c r="CI9" s="25" t="n"/>
      <c r="CJ9" s="28" t="n"/>
      <c r="CK9" s="25" t="n"/>
      <c r="CL9" s="25" t="n"/>
      <c r="CM9" s="25" t="n"/>
      <c r="CN9" s="25" t="n"/>
      <c r="CO9" s="28" t="n"/>
      <c r="CP9" s="25" t="n"/>
      <c r="CQ9" s="25" t="n"/>
      <c r="CR9" s="25" t="n"/>
      <c r="CS9" s="25" t="n"/>
      <c r="CT9" s="28" t="n"/>
      <c r="CU9" s="25" t="n"/>
      <c r="CV9" s="25" t="n"/>
      <c r="CW9" s="25" t="n"/>
      <c r="CX9" s="25" t="n"/>
      <c r="CY9" s="28" t="n"/>
    </row>
    <row r="10">
      <c r="C10" s="4" t="inlineStr">
        <is>
          <t>CDI</t>
        </is>
      </c>
      <c r="H10" s="29" t="n"/>
      <c r="M10" s="29" t="n">
        <v>0.0442</v>
      </c>
      <c r="R10" s="29" t="n">
        <v>0.1239</v>
      </c>
      <c r="W10" s="29" t="n">
        <v>0.1304</v>
      </c>
      <c r="AB10" s="29" t="n">
        <v>0.1064</v>
      </c>
      <c r="AG10" s="29" t="n">
        <v>0.1464</v>
      </c>
    </row>
    <row r="13" customFormat="1" s="32">
      <c r="A13" s="30" t="n"/>
      <c r="B13" s="30" t="n"/>
      <c r="C13" s="31" t="inlineStr">
        <is>
          <t>Income Statement</t>
        </is>
      </c>
      <c r="D13" s="31" t="n"/>
      <c r="E13" s="31" t="n"/>
      <c r="F13" s="31" t="n"/>
      <c r="G13" s="31" t="n"/>
      <c r="H13" s="31" t="n"/>
      <c r="I13" s="31" t="str">
        <f>I7</f>
        <v>1Q21</v>
      </c>
      <c r="J13" s="31" t="str">
        <f>J7</f>
        <v>2Q21</v>
      </c>
      <c r="K13" s="31" t="str">
        <f>K7</f>
        <v>3Q21</v>
      </c>
      <c r="L13" s="31" t="str">
        <f>L7</f>
        <v>4Q21</v>
      </c>
      <c r="M13" s="31">
        <f>M7</f>
        <v>2021</v>
      </c>
      <c r="N13" s="31" t="str">
        <f>N7</f>
        <v>1Q22</v>
      </c>
      <c r="O13" s="31" t="str">
        <f>O7</f>
        <v>2Q22</v>
      </c>
      <c r="P13" s="31" t="str">
        <f>P7</f>
        <v>3Q22</v>
      </c>
      <c r="Q13" s="31" t="str">
        <f>Q7</f>
        <v>4Q22</v>
      </c>
      <c r="R13" s="31">
        <f>R7</f>
        <v>2022</v>
      </c>
      <c r="S13" s="31" t="str">
        <f>S7</f>
        <v>1Q23</v>
      </c>
      <c r="T13" s="31" t="str">
        <f>T7</f>
        <v>2Q23</v>
      </c>
      <c r="U13" s="31" t="str">
        <f>U7</f>
        <v>3Q23</v>
      </c>
      <c r="V13" s="31" t="str">
        <f>V7</f>
        <v>4Q23</v>
      </c>
      <c r="W13" s="31">
        <f>W7</f>
        <v>2023</v>
      </c>
      <c r="X13" s="31" t="str">
        <f>X7</f>
        <v>1Q24</v>
      </c>
      <c r="Y13" s="31" t="str">
        <f>Y7</f>
        <v>2Q24</v>
      </c>
      <c r="Z13" s="31" t="str">
        <f>Z7</f>
        <v>3Q24</v>
      </c>
      <c r="AA13" s="31" t="str">
        <f>AA7</f>
        <v>4Q24</v>
      </c>
      <c r="AB13" s="31">
        <f>AB7</f>
        <v>2024</v>
      </c>
      <c r="AC13" s="31" t="str">
        <f>AC7</f>
        <v>1Q25</v>
      </c>
      <c r="AD13" s="31" t="str">
        <f>AD7</f>
        <v>2Q25</v>
      </c>
      <c r="AE13" s="31" t="str">
        <f>AE7</f>
        <v>3Q25</v>
      </c>
      <c r="AF13" s="31" t="str">
        <f>AF7</f>
        <v>4Q25</v>
      </c>
      <c r="AG13" s="31">
        <f>AG7</f>
        <v>2025</v>
      </c>
      <c r="AH13" s="31" t="str">
        <f>AH7</f>
        <v>1Q26</v>
      </c>
      <c r="AI13" s="31" t="str">
        <f>AI7</f>
        <v>2Q26</v>
      </c>
      <c r="AJ13" s="31" t="str">
        <f>AJ7</f>
        <v>3Q26</v>
      </c>
      <c r="AK13" s="31" t="str">
        <f>AK7</f>
        <v>4Q26</v>
      </c>
      <c r="AL13" s="31">
        <f>AL7</f>
        <v>2026</v>
      </c>
      <c r="AM13" s="31" t="str">
        <f>AM7</f>
        <v>1Q27</v>
      </c>
      <c r="AN13" s="31" t="str">
        <f>AN7</f>
        <v>2Q27</v>
      </c>
      <c r="AO13" s="31" t="str">
        <f>AO7</f>
        <v>3Q27</v>
      </c>
      <c r="AP13" s="31" t="str">
        <f>AP7</f>
        <v>4Q27</v>
      </c>
      <c r="AQ13" s="31">
        <f>AQ7</f>
        <v>2027</v>
      </c>
      <c r="AR13" s="31" t="str">
        <f>AR7</f>
        <v>1Q28</v>
      </c>
      <c r="AS13" s="31" t="str">
        <f>AS7</f>
        <v>2Q28</v>
      </c>
      <c r="AT13" s="31" t="str">
        <f>AT7</f>
        <v>3Q28</v>
      </c>
      <c r="AU13" s="31" t="str">
        <f>AU7</f>
        <v>4Q28</v>
      </c>
      <c r="AV13" s="31">
        <f>AV7</f>
        <v>2028</v>
      </c>
      <c r="AW13" s="31" t="str">
        <f>AW7</f>
        <v>1Q29</v>
      </c>
      <c r="AX13" s="31" t="str">
        <f>AX7</f>
        <v>2Q29</v>
      </c>
      <c r="AY13" s="31" t="str">
        <f>AY7</f>
        <v>3Q29</v>
      </c>
      <c r="AZ13" s="31" t="str">
        <f>AZ7</f>
        <v>4Q29</v>
      </c>
      <c r="BA13" s="31">
        <f>BA7</f>
        <v>2029</v>
      </c>
      <c r="BB13" s="31" t="str">
        <f>BB7</f>
        <v>1Q30</v>
      </c>
      <c r="BC13" s="31" t="str">
        <f>BC7</f>
        <v>2Q30</v>
      </c>
      <c r="BD13" s="31" t="str">
        <f>BD7</f>
        <v>3Q30</v>
      </c>
      <c r="BE13" s="31" t="str">
        <f>BE7</f>
        <v>4Q30</v>
      </c>
      <c r="BF13" s="31">
        <f>BF7</f>
        <v>2030</v>
      </c>
      <c r="BG13" s="31" t="n"/>
      <c r="BH13" s="31" t="n"/>
      <c r="BI13" s="31" t="n"/>
      <c r="BJ13" s="31" t="n"/>
      <c r="BK13" s="31" t="n"/>
      <c r="BL13" s="31" t="n"/>
      <c r="BM13" s="31" t="n"/>
      <c r="BN13" s="31" t="n"/>
      <c r="BO13" s="31" t="n"/>
      <c r="BP13" s="31" t="n"/>
      <c r="BQ13" s="31" t="n"/>
      <c r="BR13" s="31" t="n"/>
      <c r="BS13" s="31" t="n"/>
      <c r="BT13" s="31" t="n"/>
      <c r="BU13" s="31" t="n"/>
      <c r="BV13" s="31" t="n"/>
      <c r="BW13" s="31" t="n"/>
      <c r="BX13" s="31" t="n"/>
      <c r="BY13" s="31" t="n"/>
      <c r="BZ13" s="31" t="n"/>
      <c r="CA13" s="31" t="n"/>
      <c r="CB13" s="31" t="n"/>
      <c r="CC13" s="31" t="n"/>
      <c r="CD13" s="31" t="n"/>
      <c r="CE13" s="31" t="n"/>
      <c r="CF13" s="31" t="n"/>
      <c r="CG13" s="31" t="n"/>
      <c r="CH13" s="31" t="n"/>
      <c r="CI13" s="31" t="n"/>
      <c r="CJ13" s="31" t="n"/>
      <c r="CK13" s="31" t="n"/>
      <c r="CL13" s="31" t="n"/>
      <c r="CM13" s="31" t="n"/>
      <c r="CN13" s="31" t="n"/>
      <c r="CO13" s="31" t="n"/>
      <c r="CP13" s="31" t="n"/>
      <c r="CQ13" s="31" t="n"/>
      <c r="CR13" s="31" t="n"/>
      <c r="CS13" s="31" t="n"/>
      <c r="CT13" s="31" t="n"/>
      <c r="CU13" s="31" t="n"/>
      <c r="CV13" s="31" t="n"/>
      <c r="CW13" s="31" t="n"/>
      <c r="CX13" s="31" t="n"/>
      <c r="CY13" s="31" t="n"/>
    </row>
    <row r="14">
      <c r="C14" s="17" t="n"/>
    </row>
    <row r="15" customFormat="1" s="32">
      <c r="A15" s="30" t="n"/>
      <c r="B15" s="3" t="n"/>
      <c r="C15" s="33" t="inlineStr">
        <is>
          <t>Net Revenues</t>
        </is>
      </c>
      <c r="D15" s="34" t="n"/>
      <c r="E15" s="34" t="n"/>
      <c r="F15" s="34" t="n"/>
      <c r="G15" s="34" t="n"/>
      <c r="H15" s="35" t="n"/>
      <c r="I15" s="34">
        <f>'Inputs (2)'!D4</f>
        <v>552.151</v>
      </c>
      <c r="J15" s="34">
        <f>'Inputs (2)'!E4</f>
        <v>581.104</v>
      </c>
      <c r="K15" s="34">
        <f>'Inputs (2)'!F4</f>
        <v>616.194</v>
      </c>
      <c r="L15" s="34">
        <f>'Inputs (2)'!G4</f>
        <v>767.313</v>
      </c>
      <c r="M15" s="35">
        <f>'Inputs (2)'!H4</f>
        <v>2516.762</v>
      </c>
      <c r="N15" s="34">
        <f>'Inputs (2)'!I4</f>
        <v>1145.258</v>
      </c>
      <c r="O15" s="34">
        <f>'Inputs (2)'!J4</f>
        <v>1346.655</v>
      </c>
      <c r="P15" s="34">
        <f>'Inputs (2)'!K4</f>
        <v>1538.901</v>
      </c>
      <c r="Q15" s="34">
        <f>'Inputs (2)'!L4</f>
        <v>1484.892</v>
      </c>
      <c r="R15" s="35">
        <f>'Inputs (2)'!M4</f>
        <v>5515.706</v>
      </c>
      <c r="S15" s="34">
        <f>'Inputs (2)'!N4</f>
        <v>1414.51</v>
      </c>
      <c r="T15" s="34">
        <f>'Inputs (2)'!O4</f>
        <v>1437.088</v>
      </c>
      <c r="U15" s="34">
        <f>'Inputs (2)'!P4</f>
        <v>1626.59</v>
      </c>
      <c r="V15" s="34">
        <f>'Inputs (2)'!Q4</f>
        <v>1703.702</v>
      </c>
      <c r="W15" s="35">
        <f>'Inputs (2)'!R4</f>
        <v>6181.89</v>
      </c>
      <c r="X15" s="34">
        <f>'Inputs (2)'!S4</f>
        <v>1397.531</v>
      </c>
      <c r="Y15" s="34">
        <f>'Inputs (2)'!T4</f>
        <v>1450.045</v>
      </c>
      <c r="Z15" s="34">
        <f>'Inputs (2)'!U4</f>
        <v>2046.511</v>
      </c>
      <c r="AA15" s="34">
        <f>'Inputs (2)'!V4</f>
        <v>3165.864</v>
      </c>
      <c r="AB15" s="35">
        <f>'Inputs (2)'!W4</f>
        <v>8059.951</v>
      </c>
      <c r="AC15" s="34">
        <f>'Inputs (2)'!X4</f>
        <v>2952.303</v>
      </c>
      <c r="AD15" s="34">
        <f>'Inputs (2)'!Y4</f>
        <v>2885.529</v>
      </c>
      <c r="AE15" s="34">
        <f>'Inputs (2)'!Z4</f>
        <v>3537.391</v>
      </c>
      <c r="AF15" s="34">
        <f>'Inputs (2)'!AA4</f>
        <v>3801.729</v>
      </c>
      <c r="AG15" s="35">
        <f>'Inputs (2)'!AB4</f>
        <v>13176.952</v>
      </c>
      <c r="AH15" s="35">
        <f>'Inputs (2)'!AC4</f>
        <v>3074.535</v>
      </c>
      <c r="AI15" s="35">
        <f>'Inputs (2)'!AD4</f>
        <v>3055.499</v>
      </c>
      <c r="AJ15" s="35">
        <f>IF(ISNUMBER(AJ40),AJ40,AE15*(1+AJ16))</f>
        <v>4051.30944670315</v>
      </c>
      <c r="AK15" s="35">
        <f>IF(ISNUMBER(AK40),AK40,AF15*(1+AK16))</f>
        <v>4354.05094079374</v>
      </c>
      <c r="AL15" s="35">
        <f>SUM(AH15:AK15)</f>
        <v>14535.3943874969</v>
      </c>
      <c r="AM15" s="35">
        <f>IF(ISNUMBER(AM40),AM40,AH15*(1+AM16))</f>
        <v>3521.20890501487</v>
      </c>
      <c r="AN15" s="35">
        <f>IF(ISNUMBER(AN40),AN40,AI15*(1+AN16))</f>
        <v>3499.40732112792</v>
      </c>
      <c r="AO15" s="35">
        <f>IF(ISNUMBER(AO40),AO40,AJ15*(1+AO16))</f>
        <v>4639.89087803587</v>
      </c>
      <c r="AP15" s="35">
        <f>IF(ISNUMBER(AP40),AP40,AK15*(1+AP16))</f>
        <v>4986.61519404115</v>
      </c>
      <c r="AQ15" s="35">
        <f>SUM(AM15:AP15)</f>
        <v>16647.1222982198</v>
      </c>
      <c r="AR15" s="35">
        <f>IF(ISNUMBER(AR40),AR40,AM15*(1+AR16))</f>
        <v>4015.17034369495</v>
      </c>
      <c r="AS15" s="35">
        <f>IF(ISNUMBER(AS40),AS40,AN15*(1+AS16))</f>
        <v>3990.31039490185</v>
      </c>
      <c r="AT15" s="35">
        <f>IF(ISNUMBER(AT40),AT40,AO15*(1+AT16))</f>
        <v>5290.78301061255</v>
      </c>
      <c r="AU15" s="35">
        <f>IF(ISNUMBER(AU40),AU40,AP15*(1+AU16))</f>
        <v>5686.14642943148</v>
      </c>
      <c r="AV15" s="35">
        <f>SUM(AR15:AU15)</f>
        <v>18982.4101786408</v>
      </c>
      <c r="AW15" s="35">
        <f>IF(ISNUMBER(AW40),AW40,AR15*(1+AW16))</f>
        <v>4558.34971852451</v>
      </c>
      <c r="AX15" s="35">
        <f>IF(ISNUMBER(AX40),AX40,AS15*(1+AX16))</f>
        <v>4530.1266717087</v>
      </c>
      <c r="AY15" s="35">
        <f>IF(ISNUMBER(AY40),AY40,AT15*(1+AY16))</f>
        <v>6006.52953244474</v>
      </c>
      <c r="AZ15" s="35">
        <f>IF(ISNUMBER(AZ40),AZ40,AU15*(1+AZ16))</f>
        <v>6455.37841670644</v>
      </c>
      <c r="BA15" s="35">
        <f>SUM(AW15:AZ15)</f>
        <v>21550.3843393844</v>
      </c>
      <c r="BB15" s="35">
        <f>IF(ISNUMBER(BB40),BB40,AW15*(1+BB16))</f>
        <v>5152.21961524682</v>
      </c>
      <c r="BC15" s="35">
        <f>IF(ISNUMBER(BC40),BC40,AX15*(1+BC16))</f>
        <v>5120.31961976918</v>
      </c>
      <c r="BD15" s="35">
        <f>IF(ISNUMBER(BD40),BD40,AY15*(1+BD16))</f>
        <v>6789.0708672169</v>
      </c>
      <c r="BE15" s="35">
        <f>IF(ISNUMBER(BE40),BE40,AZ15*(1+BE16))</f>
        <v>7296.39658125258</v>
      </c>
      <c r="BF15" s="35">
        <f>SUM(BB15:BE15)</f>
        <v>24358.0066834855</v>
      </c>
      <c r="BG15" s="35" t="n"/>
      <c r="BH15" s="35" t="n"/>
      <c r="BI15" s="35" t="n"/>
      <c r="BJ15" s="35" t="n"/>
      <c r="BK15" s="35" t="n"/>
      <c r="BL15" s="35" t="n"/>
      <c r="BM15" s="35" t="n"/>
      <c r="BN15" s="35" t="n"/>
      <c r="BO15" s="35" t="n"/>
      <c r="BP15" s="35" t="n"/>
      <c r="BQ15" s="35" t="n"/>
      <c r="BR15" s="35" t="n"/>
      <c r="BS15" s="35" t="n"/>
      <c r="BT15" s="35" t="n"/>
      <c r="BU15" s="35" t="n"/>
      <c r="BV15" s="35" t="n"/>
      <c r="BW15" s="35" t="n"/>
      <c r="BX15" s="35" t="n"/>
      <c r="BY15" s="35" t="n"/>
      <c r="BZ15" s="35" t="n"/>
      <c r="CA15" s="35" t="n"/>
      <c r="CB15" s="35" t="n"/>
      <c r="CC15" s="35" t="n"/>
      <c r="CD15" s="35" t="n"/>
      <c r="CE15" s="35" t="n"/>
      <c r="CF15" s="35" t="n"/>
      <c r="CG15" s="35" t="n"/>
      <c r="CH15" s="35" t="n"/>
      <c r="CI15" s="35" t="n"/>
      <c r="CJ15" s="35" t="n"/>
      <c r="CK15" s="35" t="n"/>
      <c r="CL15" s="35" t="n"/>
      <c r="CM15" s="35" t="n"/>
      <c r="CN15" s="35" t="n"/>
      <c r="CO15" s="35" t="n"/>
      <c r="CP15" s="35" t="n"/>
      <c r="CQ15" s="35" t="n"/>
      <c r="CR15" s="35" t="n"/>
      <c r="CS15" s="35" t="n"/>
      <c r="CT15" s="35" t="n"/>
      <c r="CU15" s="35" t="n"/>
      <c r="CV15" s="35" t="n"/>
      <c r="CW15" s="35" t="n"/>
      <c r="CX15" s="35" t="n"/>
      <c r="CY15" s="35" t="n"/>
    </row>
    <row r="16" outlineLevel="1" customFormat="1" s="43">
      <c r="A16" s="36" t="n"/>
      <c r="B16" s="37" t="n"/>
      <c r="C16" s="38" t="inlineStr">
        <is>
          <t>% YoY (2025: contra 2024 pro forma com AES, linha 41)</t>
        </is>
      </c>
      <c r="D16" s="39" t="n"/>
      <c r="E16" s="40" t="n"/>
      <c r="F16" s="40" t="n"/>
      <c r="G16" s="40" t="n"/>
      <c r="H16" s="39" t="n"/>
      <c r="I16" s="39" t="n"/>
      <c r="J16" s="40" t="n"/>
      <c r="K16" s="40" t="n"/>
      <c r="L16" s="40" t="n"/>
      <c r="M16" s="39" t="n"/>
      <c r="N16" s="40">
        <f>IFERROR(N15/I15-1,"")</f>
        <v>1.07417536145004</v>
      </c>
      <c r="O16" s="40">
        <f>IFERROR(O15/J15-1,"")</f>
        <v>1.31740789944657</v>
      </c>
      <c r="P16" s="40">
        <f>IFERROR(P15/K15-1,"")</f>
        <v>1.49742938100663</v>
      </c>
      <c r="Q16" s="40">
        <f>IFERROR(Q15/L15-1,"")</f>
        <v>0.935184207748337</v>
      </c>
      <c r="R16" s="40">
        <f>IFERROR(R15/M15-1,"")</f>
        <v>1.19158823917399</v>
      </c>
      <c r="S16" s="40">
        <f>IFERROR(S15/N15-1,"")</f>
        <v>0.235101610292179</v>
      </c>
      <c r="T16" s="40">
        <f>IFERROR(T15/O15-1,"")</f>
        <v>0.0671537995997491</v>
      </c>
      <c r="U16" s="40">
        <f>IFERROR(U15/P15-1,"")</f>
        <v>0.0569815732136114</v>
      </c>
      <c r="V16" s="40">
        <f>IFERROR(V15/Q15-1,"")</f>
        <v>0.14735751825722</v>
      </c>
      <c r="W16" s="40">
        <f>IFERROR(W15/R15-1,"")</f>
        <v>0.120779461414368</v>
      </c>
      <c r="X16" s="40">
        <f>IFERROR(X15/S15-1,"")</f>
        <v>-0.012003449957936</v>
      </c>
      <c r="Y16" s="40">
        <f>IFERROR(Y15/T15-1,"")</f>
        <v>0.00901614932418893</v>
      </c>
      <c r="Z16" s="40">
        <f>IFERROR(Z15/U15-1,"")</f>
        <v>0.258160323129984</v>
      </c>
      <c r="AA16" s="40">
        <f>IFERROR(AA15/V15-1,"")</f>
        <v>0.85822637996551</v>
      </c>
      <c r="AB16" s="40">
        <f>IFERROR(AB15/W15-1,"")</f>
        <v>0.303800455847645</v>
      </c>
      <c r="AC16" s="40">
        <f>IFERROR(AC15/X41-1,"")</f>
        <v>0.336272499193204</v>
      </c>
      <c r="AD16" s="40">
        <f>IFERROR(AD15/Y41-1,"")</f>
        <v>0.250291500659695</v>
      </c>
      <c r="AE16" s="40">
        <f>IFERROR(AE15/Z41-1,"")</f>
        <v>0.128468852661929</v>
      </c>
      <c r="AF16" s="40">
        <f>IFERROR(AF15/AA41-1,"")</f>
        <v>0.0563512715602574</v>
      </c>
      <c r="AG16" s="40">
        <f>IFERROR(AG15/AB41-1,"")</f>
        <v>0.171196235946283</v>
      </c>
      <c r="AH16" s="40">
        <f>IFERROR(AH15/AC15-1,"")</f>
        <v>0.0414022544433956</v>
      </c>
      <c r="AI16" s="40">
        <f>IFERROR(AI15/AD15-1,"")</f>
        <v>0.0589042771706678</v>
      </c>
      <c r="AJ16" s="41">
        <f>Control!$B$18</f>
        <v>0.145281775948191</v>
      </c>
      <c r="AK16" s="41">
        <f>Control!$B$18</f>
        <v>0.145281775948191</v>
      </c>
      <c r="AL16" s="42">
        <f>IFERROR(AL15/AG15-1,"")</f>
        <v>0.103092307500011</v>
      </c>
      <c r="AM16" s="41">
        <f>Control!$C$18</f>
        <v>0.145281775948191</v>
      </c>
      <c r="AN16" s="41">
        <f>Control!$C$18</f>
        <v>0.145281775948191</v>
      </c>
      <c r="AO16" s="41">
        <f>Control!$C$18</f>
        <v>0.145281775948191</v>
      </c>
      <c r="AP16" s="41">
        <f>Control!$C$18</f>
        <v>0.145281775948191</v>
      </c>
      <c r="AQ16" s="42">
        <f>IFERROR(AQ15/AL15-1,"")</f>
        <v>0.145281775948191</v>
      </c>
      <c r="AR16" s="41">
        <f>Control!$D$18</f>
        <v>0.140281775948191</v>
      </c>
      <c r="AS16" s="41">
        <f>Control!$D$18</f>
        <v>0.140281775948191</v>
      </c>
      <c r="AT16" s="41">
        <f>Control!$D$18</f>
        <v>0.140281775948191</v>
      </c>
      <c r="AU16" s="41">
        <f>Control!$D$18</f>
        <v>0.140281775948191</v>
      </c>
      <c r="AV16" s="42">
        <f>IFERROR(AV15/AQ15-1,"")</f>
        <v>0.140281775948192</v>
      </c>
      <c r="AW16" s="41">
        <f>Control!$E$18</f>
        <v>0.135281775948191</v>
      </c>
      <c r="AX16" s="41">
        <f>Control!$E$18</f>
        <v>0.135281775948191</v>
      </c>
      <c r="AY16" s="41">
        <f>Control!$E$18</f>
        <v>0.135281775948191</v>
      </c>
      <c r="AZ16" s="41">
        <f>Control!$E$18</f>
        <v>0.135281775948191</v>
      </c>
      <c r="BA16" s="42">
        <f>IFERROR(BA15/AV15-1,"")</f>
        <v>0.135281775948191</v>
      </c>
      <c r="BB16" s="41">
        <f>Control!$F$18</f>
        <v>0.130281775948191</v>
      </c>
      <c r="BC16" s="41">
        <f>Control!$F$18</f>
        <v>0.130281775948191</v>
      </c>
      <c r="BD16" s="41">
        <f>Control!$F$18</f>
        <v>0.130281775948191</v>
      </c>
      <c r="BE16" s="41">
        <f>Control!$F$18</f>
        <v>0.130281775948191</v>
      </c>
      <c r="BF16" s="42">
        <f>IFERROR(BF15/BA15-1,"")</f>
        <v>0.130281775948192</v>
      </c>
      <c r="BG16" s="41" t="n"/>
      <c r="BH16" s="41" t="n"/>
      <c r="BI16" s="41" t="n"/>
      <c r="BJ16" s="41" t="n"/>
      <c r="BK16" s="42" t="n"/>
      <c r="BL16" s="41" t="n"/>
      <c r="BM16" s="41" t="n"/>
      <c r="BN16" s="41" t="n"/>
      <c r="BO16" s="41" t="n"/>
      <c r="BP16" s="42" t="n"/>
      <c r="BQ16" s="41" t="n"/>
      <c r="BR16" s="41" t="n"/>
      <c r="BS16" s="41" t="n"/>
      <c r="BT16" s="41" t="n"/>
      <c r="BU16" s="42" t="n"/>
      <c r="BV16" s="41" t="n"/>
      <c r="BW16" s="41" t="n"/>
      <c r="BX16" s="41" t="n"/>
      <c r="BY16" s="41" t="n"/>
      <c r="BZ16" s="42" t="n"/>
      <c r="CA16" s="41" t="n"/>
      <c r="CB16" s="41" t="n"/>
      <c r="CC16" s="41" t="n"/>
      <c r="CD16" s="41" t="n"/>
      <c r="CE16" s="42" t="n"/>
      <c r="CF16" s="41" t="n"/>
      <c r="CG16" s="41" t="n"/>
      <c r="CH16" s="41" t="n"/>
      <c r="CI16" s="41" t="n"/>
      <c r="CJ16" s="42" t="n"/>
      <c r="CK16" s="41" t="n"/>
      <c r="CL16" s="41" t="n"/>
      <c r="CM16" s="41" t="n"/>
      <c r="CN16" s="41" t="n"/>
      <c r="CO16" s="42" t="n"/>
      <c r="CP16" s="41" t="n"/>
      <c r="CQ16" s="41" t="n"/>
      <c r="CR16" s="41" t="n"/>
      <c r="CS16" s="41" t="n"/>
      <c r="CT16" s="42" t="n"/>
      <c r="CU16" s="41" t="n"/>
      <c r="CV16" s="41" t="n"/>
      <c r="CW16" s="41" t="n"/>
      <c r="CX16" s="41" t="n"/>
      <c r="CY16" s="42" t="n"/>
    </row>
    <row r="17" outlineLevel="1" customFormat="1" s="43">
      <c r="A17" s="36" t="n"/>
      <c r="B17" s="37" t="n"/>
      <c r="C17" s="44" t="inlineStr">
        <is>
          <t>Check Receita (só de 1T25 em diante; até 4T24 o build é pro forma e a receita reportada é a CVM)</t>
        </is>
      </c>
      <c r="D17" s="39" t="n"/>
      <c r="E17" s="40" t="n"/>
      <c r="F17" s="40" t="n"/>
      <c r="G17" s="40" t="n"/>
      <c r="H17" s="39" t="n"/>
      <c r="I17" s="39" t="n"/>
      <c r="J17" s="281" t="n"/>
      <c r="K17" s="281" t="n"/>
      <c r="L17" s="281" t="n"/>
      <c r="M17" s="39" t="n"/>
      <c r="N17" s="281" t="n"/>
      <c r="O17" s="281" t="n"/>
      <c r="P17" s="281" t="n"/>
      <c r="Q17" s="281" t="n"/>
      <c r="R17" s="281" t="n"/>
      <c r="S17" s="281" t="n"/>
      <c r="T17" s="281" t="n"/>
      <c r="U17" s="281" t="n"/>
      <c r="V17" s="281" t="n"/>
      <c r="W17" s="281" t="n"/>
      <c r="X17" s="281" t="n"/>
      <c r="Y17" s="281" t="n"/>
      <c r="Z17" s="281" t="n"/>
      <c r="AA17" s="281" t="n"/>
      <c r="AB17" s="281" t="n"/>
      <c r="AC17" s="281">
        <f>IF(AND(ISNUMBER(AC15),ISNUMBER(AC40)),IF(AC15&lt;&gt;0,ROUND(AC15-AC40,3),""),"")</f>
        <v>0</v>
      </c>
      <c r="AD17" s="281">
        <f>IF(AND(ISNUMBER(AD15),ISNUMBER(AD40)),IF(AD15&lt;&gt;0,ROUND(AD15-AD40,3),""),"")</f>
        <v>0</v>
      </c>
      <c r="AE17" s="281">
        <f>IF(AND(ISNUMBER(AE15),ISNUMBER(AE40)),IF(AE15&lt;&gt;0,ROUND(AE15-AE40,3),""),"")</f>
        <v>0</v>
      </c>
      <c r="AF17" s="281">
        <f>IF(AND(ISNUMBER(AF15),ISNUMBER(AF40)),IF(AF15&lt;&gt;0,ROUND(AF15-AF40,3),""),"")</f>
        <v>0</v>
      </c>
      <c r="AG17" s="281">
        <f>IF(AND(ISNUMBER(AG15),ISNUMBER(AG40)),IF(AG15&lt;&gt;0,ROUND(AG15-AG40,3),""),"")</f>
        <v>0</v>
      </c>
      <c r="AH17" s="11">
        <f>IF(AND(ISNUMBER(AH15),ISNUMBER(AH40)),IF(AH15&lt;&gt;0,ROUND(AH15-AH40,3),""),"")</f>
        <v>0</v>
      </c>
      <c r="AI17" s="11">
        <f>IF(AND(ISNUMBER(AI15),ISNUMBER(AI40)),IF(AI15&lt;&gt;0,ROUND(AI15-AI40,3),""),"")</f>
        <v>0</v>
      </c>
      <c r="AJ17" s="11" t="str">
        <f>IF(AND(ISNUMBER(AJ15),ISNUMBER(AJ40)),IF(AJ15&lt;&gt;0,ROUND(AJ15-AJ40,3),""),"")</f>
        <v/>
      </c>
      <c r="AK17" s="11" t="str">
        <f>IF(AND(ISNUMBER(AK15),ISNUMBER(AK40)),IF(AK15&lt;&gt;0,ROUND(AK15-AK40,3),""),"")</f>
        <v/>
      </c>
      <c r="AL17" s="42" t="str">
        <f>IF(AND(ISNUMBER(AL15),ISNUMBER(AL40)),IF(AL15&lt;&gt;0,ROUND(AL15-AL40,3),""),"")</f>
        <v/>
      </c>
      <c r="AM17" s="11" t="str">
        <f>IF(AND(ISNUMBER(AM15),ISNUMBER(AM40)),IF(AM15&lt;&gt;0,ROUND(AM15-AM40,3),""),"")</f>
        <v/>
      </c>
      <c r="AN17" s="11" t="str">
        <f>IF(AND(ISNUMBER(AN15),ISNUMBER(AN40)),IF(AN15&lt;&gt;0,ROUND(AN15-AN40,3),""),"")</f>
        <v/>
      </c>
      <c r="AO17" s="11" t="str">
        <f>IF(AND(ISNUMBER(AO15),ISNUMBER(AO40)),IF(AO15&lt;&gt;0,ROUND(AO15-AO40,3),""),"")</f>
        <v/>
      </c>
      <c r="AP17" s="11" t="str">
        <f>IF(AND(ISNUMBER(AP15),ISNUMBER(AP40)),IF(AP15&lt;&gt;0,ROUND(AP15-AP40,3),""),"")</f>
        <v/>
      </c>
      <c r="AQ17" s="42" t="str">
        <f>IF(AND(ISNUMBER(AQ15),ISNUMBER(AQ40)),IF(AQ15&lt;&gt;0,ROUND(AQ15-AQ40,3),""),"")</f>
        <v/>
      </c>
      <c r="AR17" s="11" t="str">
        <f>IF(AND(ISNUMBER(AR15),ISNUMBER(AR40)),IF(AR15&lt;&gt;0,ROUND(AR15-AR40,3),""),"")</f>
        <v/>
      </c>
      <c r="AS17" s="11" t="str">
        <f>IF(AND(ISNUMBER(AS15),ISNUMBER(AS40)),IF(AS15&lt;&gt;0,ROUND(AS15-AS40,3),""),"")</f>
        <v/>
      </c>
      <c r="AT17" s="11" t="str">
        <f>IF(AND(ISNUMBER(AT15),ISNUMBER(AT40)),IF(AT15&lt;&gt;0,ROUND(AT15-AT40,3),""),"")</f>
        <v/>
      </c>
      <c r="AU17" s="11" t="str">
        <f>IF(AND(ISNUMBER(AU15),ISNUMBER(AU40)),IF(AU15&lt;&gt;0,ROUND(AU15-AU40,3),""),"")</f>
        <v/>
      </c>
      <c r="AV17" s="42" t="str">
        <f>IF(AND(ISNUMBER(AV15),ISNUMBER(AV40)),IF(AV15&lt;&gt;0,ROUND(AV15-AV40,3),""),"")</f>
        <v/>
      </c>
      <c r="AW17" s="11" t="str">
        <f>IF(AND(ISNUMBER(AW15),ISNUMBER(AW40)),IF(AW15&lt;&gt;0,ROUND(AW15-AW40,3),""),"")</f>
        <v/>
      </c>
      <c r="AX17" s="11" t="str">
        <f>IF(AND(ISNUMBER(AX15),ISNUMBER(AX40)),IF(AX15&lt;&gt;0,ROUND(AX15-AX40,3),""),"")</f>
        <v/>
      </c>
      <c r="AY17" s="11" t="str">
        <f>IF(AND(ISNUMBER(AY15),ISNUMBER(AY40)),IF(AY15&lt;&gt;0,ROUND(AY15-AY40,3),""),"")</f>
        <v/>
      </c>
      <c r="AZ17" s="11" t="str">
        <f>IF(AND(ISNUMBER(AZ15),ISNUMBER(AZ40)),IF(AZ15&lt;&gt;0,ROUND(AZ15-AZ40,3),""),"")</f>
        <v/>
      </c>
      <c r="BA17" s="42" t="str">
        <f>IF(AND(ISNUMBER(BA15),ISNUMBER(BA40)),IF(BA15&lt;&gt;0,ROUND(BA15-BA40,3),""),"")</f>
        <v/>
      </c>
      <c r="BB17" s="11" t="str">
        <f>IF(AND(ISNUMBER(BB15),ISNUMBER(BB40)),IF(BB15&lt;&gt;0,ROUND(BB15-BB40,3),""),"")</f>
        <v/>
      </c>
      <c r="BC17" s="11" t="str">
        <f>IF(AND(ISNUMBER(BC15),ISNUMBER(BC40)),IF(BC15&lt;&gt;0,ROUND(BC15-BC40,3),""),"")</f>
        <v/>
      </c>
      <c r="BD17" s="11" t="str">
        <f>IF(AND(ISNUMBER(BD15),ISNUMBER(BD40)),IF(BD15&lt;&gt;0,ROUND(BD15-BD40,3),""),"")</f>
        <v/>
      </c>
      <c r="BE17" s="11" t="str">
        <f>IF(AND(ISNUMBER(BE15),ISNUMBER(BE40)),IF(BE15&lt;&gt;0,ROUND(BE15-BE40,3),""),"")</f>
        <v/>
      </c>
      <c r="BF17" s="42" t="str">
        <f>IF(AND(ISNUMBER(BF15),ISNUMBER(BF40)),IF(BF15&lt;&gt;0,ROUND(BF15-BF40,3),""),"")</f>
        <v/>
      </c>
      <c r="BG17" s="41" t="n"/>
      <c r="BH17" s="41" t="n"/>
      <c r="BI17" s="41" t="n"/>
      <c r="BJ17" s="41" t="n"/>
      <c r="BK17" s="42" t="n"/>
      <c r="BL17" s="41" t="n"/>
      <c r="BM17" s="41" t="n"/>
      <c r="BN17" s="41" t="n"/>
      <c r="BO17" s="41" t="n"/>
      <c r="BP17" s="42" t="n"/>
      <c r="BQ17" s="41" t="n"/>
      <c r="BR17" s="41" t="n"/>
      <c r="BS17" s="41" t="n"/>
      <c r="BT17" s="41" t="n"/>
      <c r="BU17" s="42" t="n"/>
      <c r="BV17" s="41" t="n"/>
      <c r="BW17" s="41" t="n"/>
      <c r="BX17" s="41" t="n"/>
      <c r="BY17" s="41" t="n"/>
      <c r="BZ17" s="42" t="n"/>
      <c r="CA17" s="41" t="n"/>
      <c r="CB17" s="41" t="n"/>
      <c r="CC17" s="41" t="n"/>
      <c r="CD17" s="41" t="n"/>
      <c r="CE17" s="42" t="n"/>
      <c r="CF17" s="41" t="n"/>
      <c r="CG17" s="41" t="n"/>
      <c r="CH17" s="41" t="n"/>
      <c r="CI17" s="41" t="n"/>
      <c r="CJ17" s="42" t="n"/>
      <c r="CK17" s="41" t="n"/>
      <c r="CL17" s="41" t="n"/>
      <c r="CM17" s="41" t="n"/>
      <c r="CN17" s="41" t="n"/>
      <c r="CO17" s="42" t="n"/>
      <c r="CP17" s="41" t="n"/>
      <c r="CQ17" s="41" t="n"/>
      <c r="CR17" s="41" t="n"/>
      <c r="CS17" s="41" t="n"/>
      <c r="CT17" s="42" t="n"/>
      <c r="CU17" s="41" t="n"/>
      <c r="CV17" s="41" t="n"/>
      <c r="CW17" s="41" t="n"/>
      <c r="CX17" s="41" t="n"/>
      <c r="CY17" s="42" t="n"/>
    </row>
    <row r="18" outlineLevel="1" customFormat="1" s="43">
      <c r="A18" s="36" t="n"/>
      <c r="B18" s="37" t="n"/>
      <c r="C18" s="45" t="n"/>
      <c r="D18" s="39" t="n"/>
      <c r="E18" s="39" t="n"/>
      <c r="F18" s="39" t="n"/>
      <c r="G18" s="39" t="n"/>
      <c r="H18" s="39" t="n"/>
      <c r="I18" s="39" t="n"/>
      <c r="J18" s="39" t="n"/>
      <c r="K18" s="39" t="n"/>
      <c r="L18" s="39" t="n"/>
      <c r="M18" s="39" t="n"/>
      <c r="N18" s="39" t="n"/>
      <c r="O18" s="39" t="n"/>
      <c r="P18" s="39" t="n"/>
      <c r="Q18" s="39" t="n"/>
      <c r="R18" s="39" t="n"/>
      <c r="S18" s="39" t="n"/>
      <c r="T18" s="39" t="n"/>
      <c r="U18" s="39" t="n"/>
      <c r="V18" s="39" t="n"/>
      <c r="W18" s="39" t="n"/>
      <c r="X18" s="39" t="n"/>
      <c r="Y18" s="39" t="n"/>
      <c r="Z18" s="39" t="n"/>
      <c r="AA18" s="39" t="n"/>
      <c r="AB18" s="39" t="n"/>
      <c r="AC18" s="39" t="n"/>
      <c r="AD18" s="39" t="n"/>
      <c r="AE18" s="39" t="n"/>
      <c r="AF18" s="39" t="n"/>
      <c r="AG18" s="39" t="n"/>
      <c r="AH18" s="39" t="n"/>
      <c r="AI18" s="39" t="n"/>
      <c r="AJ18" s="39" t="n"/>
      <c r="AK18" s="39" t="n"/>
      <c r="AL18" s="39" t="n"/>
      <c r="AM18" s="39" t="n"/>
      <c r="AN18" s="39" t="n"/>
      <c r="AO18" s="39" t="n"/>
      <c r="AP18" s="39" t="n"/>
      <c r="AQ18" s="39" t="n"/>
      <c r="AR18" s="39" t="n"/>
      <c r="AS18" s="39" t="n"/>
      <c r="AT18" s="39" t="n"/>
      <c r="AU18" s="39" t="n"/>
      <c r="AV18" s="39" t="n"/>
      <c r="AW18" s="39" t="n"/>
      <c r="AX18" s="39" t="n"/>
      <c r="AY18" s="39" t="n"/>
      <c r="AZ18" s="39" t="n"/>
      <c r="BA18" s="39" t="n"/>
      <c r="BB18" s="39" t="n"/>
      <c r="BC18" s="39" t="n"/>
      <c r="BD18" s="39" t="n"/>
      <c r="BE18" s="39" t="n"/>
      <c r="BF18" s="39" t="n"/>
      <c r="BG18" s="39" t="n"/>
      <c r="BH18" s="39" t="n"/>
      <c r="BI18" s="39" t="n"/>
      <c r="BJ18" s="39" t="n"/>
      <c r="BK18" s="39" t="n"/>
      <c r="BL18" s="39" t="n"/>
      <c r="BM18" s="39" t="n"/>
      <c r="BN18" s="39" t="n"/>
      <c r="BO18" s="39" t="n"/>
      <c r="BP18" s="39" t="n"/>
      <c r="BQ18" s="39" t="n"/>
      <c r="BR18" s="39" t="n"/>
      <c r="BS18" s="39" t="n"/>
      <c r="BT18" s="39" t="n"/>
      <c r="BU18" s="39" t="n"/>
      <c r="BV18" s="39" t="n"/>
      <c r="BW18" s="39" t="n"/>
      <c r="BX18" s="39" t="n"/>
      <c r="BY18" s="39" t="n"/>
      <c r="BZ18" s="39" t="n"/>
      <c r="CA18" s="39" t="n"/>
      <c r="CB18" s="39" t="n"/>
      <c r="CC18" s="39" t="n"/>
      <c r="CD18" s="39" t="n"/>
      <c r="CE18" s="39" t="n"/>
      <c r="CF18" s="39" t="n"/>
      <c r="CG18" s="39" t="n"/>
      <c r="CH18" s="39" t="n"/>
      <c r="CI18" s="39" t="n"/>
      <c r="CJ18" s="39" t="n"/>
      <c r="CK18" s="39" t="n"/>
      <c r="CL18" s="39" t="n"/>
      <c r="CM18" s="39" t="n"/>
      <c r="CN18" s="39" t="n"/>
      <c r="CO18" s="39" t="n"/>
      <c r="CP18" s="39" t="n"/>
      <c r="CQ18" s="39" t="n"/>
      <c r="CR18" s="39" t="n"/>
      <c r="CS18" s="39" t="n"/>
      <c r="CT18" s="39" t="n"/>
      <c r="CU18" s="39" t="n"/>
      <c r="CV18" s="39" t="n"/>
      <c r="CW18" s="39" t="n"/>
      <c r="CX18" s="39" t="n"/>
      <c r="CY18" s="39" t="n"/>
    </row>
    <row r="19" outlineLevel="1" collapsed="1" customFormat="1" s="43">
      <c r="A19" s="36" t="n"/>
      <c r="B19" s="37" t="n"/>
      <c r="C19" s="263" t="inlineStr">
        <is>
          <t>Revenue Build - por segmento (R$ mn) - 2021-22: Auren sem AES | 2023 em diante: proforma com AES Brasil</t>
        </is>
      </c>
      <c r="D19" s="264" t="n"/>
      <c r="E19" s="264" t="n"/>
      <c r="F19" s="264" t="n"/>
      <c r="G19" s="264" t="n"/>
      <c r="H19" s="264" t="n"/>
      <c r="I19" s="264" t="n"/>
      <c r="J19" s="264" t="n"/>
      <c r="K19" s="264" t="n"/>
      <c r="L19" s="264" t="n"/>
      <c r="M19" s="264" t="n"/>
      <c r="N19" s="264" t="n"/>
      <c r="O19" s="264" t="n"/>
      <c r="P19" s="264" t="n"/>
      <c r="Q19" s="264" t="n"/>
      <c r="R19" s="264" t="n"/>
      <c r="S19" s="273" t="n"/>
      <c r="T19" s="264" t="n"/>
      <c r="U19" s="264" t="n"/>
      <c r="V19" s="264" t="n"/>
      <c r="W19" s="264" t="n"/>
      <c r="X19" s="264" t="n"/>
      <c r="Y19" s="264" t="n"/>
      <c r="Z19" s="264" t="n"/>
      <c r="AA19" s="264" t="n"/>
      <c r="AB19" s="264" t="n"/>
      <c r="AC19" s="264" t="n"/>
      <c r="AD19" s="264" t="n"/>
      <c r="AE19" s="264" t="n"/>
      <c r="AF19" s="264" t="n"/>
      <c r="AG19" s="264" t="n"/>
      <c r="AH19" s="264" t="n"/>
      <c r="AI19" s="264" t="n"/>
      <c r="AJ19" s="264" t="n"/>
      <c r="AK19" s="264" t="n"/>
      <c r="AL19" s="264" t="n"/>
      <c r="AM19" s="264" t="n"/>
      <c r="AN19" s="264" t="n"/>
      <c r="AO19" s="264" t="n"/>
      <c r="AP19" s="264" t="n"/>
      <c r="AQ19" s="264" t="n"/>
      <c r="AR19" s="264" t="n"/>
      <c r="AS19" s="264" t="n"/>
      <c r="AT19" s="264" t="n"/>
      <c r="AU19" s="264" t="n"/>
      <c r="AV19" s="264" t="n"/>
      <c r="AW19" s="264" t="n"/>
      <c r="AX19" s="264" t="n"/>
      <c r="AY19" s="264" t="n"/>
      <c r="AZ19" s="264" t="n"/>
      <c r="BA19" s="264" t="n"/>
      <c r="BB19" s="264" t="n"/>
      <c r="BC19" s="264" t="n"/>
      <c r="BD19" s="264" t="n"/>
      <c r="BE19" s="264" t="n"/>
      <c r="BF19" s="264" t="n"/>
      <c r="BG19" s="39" t="n"/>
      <c r="BH19" s="39" t="n"/>
      <c r="BI19" s="39" t="n"/>
      <c r="BJ19" s="39" t="n"/>
      <c r="BK19" s="39" t="n"/>
      <c r="BL19" s="39" t="n"/>
      <c r="BM19" s="39" t="n"/>
      <c r="BN19" s="39" t="n"/>
      <c r="BO19" s="39" t="n"/>
      <c r="BP19" s="39" t="n"/>
      <c r="BQ19" s="39" t="n"/>
      <c r="BR19" s="39" t="n"/>
      <c r="BS19" s="39" t="n"/>
      <c r="BT19" s="39" t="n"/>
      <c r="BU19" s="39" t="n"/>
      <c r="BV19" s="39" t="n"/>
      <c r="BW19" s="39" t="n"/>
      <c r="BX19" s="39" t="n"/>
      <c r="BY19" s="39" t="n"/>
      <c r="BZ19" s="39" t="n"/>
      <c r="CA19" s="39" t="n"/>
      <c r="CB19" s="39" t="n"/>
      <c r="CC19" s="39" t="n"/>
      <c r="CD19" s="39" t="n"/>
      <c r="CE19" s="39" t="n"/>
      <c r="CF19" s="39" t="n"/>
      <c r="CG19" s="39" t="n"/>
      <c r="CH19" s="39" t="n"/>
      <c r="CI19" s="39" t="n"/>
      <c r="CJ19" s="39" t="n"/>
      <c r="CK19" s="39" t="n"/>
      <c r="CL19" s="39" t="n"/>
      <c r="CM19" s="39" t="n"/>
      <c r="CN19" s="39" t="n"/>
      <c r="CO19" s="39" t="n"/>
      <c r="CP19" s="39" t="n"/>
      <c r="CQ19" s="39" t="n"/>
      <c r="CR19" s="39" t="n"/>
      <c r="CS19" s="39" t="n"/>
      <c r="CT19" s="39" t="n"/>
      <c r="CU19" s="39" t="n"/>
      <c r="CV19" s="39" t="n"/>
      <c r="CW19" s="39" t="n"/>
      <c r="CX19" s="39" t="n"/>
      <c r="CY19" s="39" t="n"/>
    </row>
    <row r="20" outlineLevel="1" customFormat="1" s="43">
      <c r="A20" s="36" t="n"/>
      <c r="B20" s="37" t="n"/>
      <c r="C20" s="263" t="inlineStr">
        <is>
          <t>Geração</t>
        </is>
      </c>
      <c r="D20" s="264" t="n"/>
      <c r="E20" s="264" t="n"/>
      <c r="F20" s="264" t="n"/>
      <c r="G20" s="264" t="n"/>
      <c r="H20" s="264" t="n"/>
      <c r="I20" s="264" t="n"/>
      <c r="J20" s="264" t="n"/>
      <c r="K20" s="264" t="n"/>
      <c r="L20" s="264" t="n"/>
      <c r="M20" s="264" t="n"/>
      <c r="N20" s="264" t="n"/>
      <c r="O20" s="264" t="n"/>
      <c r="P20" s="264" t="n"/>
      <c r="Q20" s="264" t="n"/>
      <c r="R20" s="264" t="n"/>
      <c r="S20" s="273" t="n"/>
      <c r="T20" s="264" t="n"/>
      <c r="U20" s="264" t="n"/>
      <c r="V20" s="264" t="n"/>
      <c r="W20" s="264" t="n"/>
      <c r="X20" s="264" t="n"/>
      <c r="Y20" s="264" t="n"/>
      <c r="Z20" s="264" t="n"/>
      <c r="AA20" s="264" t="n"/>
      <c r="AB20" s="264" t="n"/>
      <c r="AC20" s="264" t="n"/>
      <c r="AD20" s="264" t="n"/>
      <c r="AE20" s="264" t="n"/>
      <c r="AF20" s="264" t="n"/>
      <c r="AG20" s="264" t="n"/>
      <c r="AH20" s="264" t="n"/>
      <c r="AI20" s="264" t="n"/>
      <c r="AJ20" s="264" t="n"/>
      <c r="AK20" s="264" t="n"/>
      <c r="AL20" s="264" t="n"/>
      <c r="AM20" s="264" t="n"/>
      <c r="AN20" s="264" t="n"/>
      <c r="AO20" s="264" t="n"/>
      <c r="AP20" s="264" t="n"/>
      <c r="AQ20" s="264" t="n"/>
      <c r="AR20" s="264" t="n"/>
      <c r="AS20" s="264" t="n"/>
      <c r="AT20" s="264" t="n"/>
      <c r="AU20" s="264" t="n"/>
      <c r="AV20" s="264" t="n"/>
      <c r="AW20" s="264" t="n"/>
      <c r="AX20" s="264" t="n"/>
      <c r="AY20" s="264" t="n"/>
      <c r="AZ20" s="264" t="n"/>
      <c r="BA20" s="264" t="n"/>
      <c r="BB20" s="264" t="n"/>
      <c r="BC20" s="264" t="n"/>
      <c r="BD20" s="264" t="n"/>
      <c r="BE20" s="264" t="n"/>
      <c r="BF20" s="264" t="n"/>
      <c r="BG20" s="39" t="n"/>
      <c r="BH20" s="39" t="n"/>
      <c r="BI20" s="39" t="n"/>
      <c r="BJ20" s="39" t="n"/>
      <c r="BK20" s="39" t="n"/>
      <c r="BL20" s="39" t="n"/>
      <c r="BM20" s="39" t="n"/>
      <c r="BN20" s="39" t="n"/>
      <c r="BO20" s="39" t="n"/>
      <c r="BP20" s="39" t="n"/>
      <c r="BQ20" s="39" t="n"/>
      <c r="BR20" s="39" t="n"/>
      <c r="BS20" s="39" t="n"/>
      <c r="BT20" s="39" t="n"/>
      <c r="BU20" s="39" t="n"/>
      <c r="BV20" s="39" t="n"/>
      <c r="BW20" s="39" t="n"/>
      <c r="BX20" s="39" t="n"/>
      <c r="BY20" s="39" t="n"/>
      <c r="BZ20" s="39" t="n"/>
      <c r="CA20" s="39" t="n"/>
      <c r="CB20" s="39" t="n"/>
      <c r="CC20" s="39" t="n"/>
      <c r="CD20" s="39" t="n"/>
      <c r="CE20" s="39" t="n"/>
      <c r="CF20" s="39" t="n"/>
      <c r="CG20" s="39" t="n"/>
      <c r="CH20" s="39" t="n"/>
      <c r="CI20" s="39" t="n"/>
      <c r="CJ20" s="39" t="n"/>
      <c r="CK20" s="39" t="n"/>
      <c r="CL20" s="39" t="n"/>
      <c r="CM20" s="39" t="n"/>
      <c r="CN20" s="39" t="n"/>
      <c r="CO20" s="39" t="n"/>
      <c r="CP20" s="39" t="n"/>
      <c r="CQ20" s="39" t="n"/>
      <c r="CR20" s="39" t="n"/>
      <c r="CS20" s="39" t="n"/>
      <c r="CT20" s="39" t="n"/>
      <c r="CU20" s="39" t="n"/>
      <c r="CV20" s="39" t="n"/>
      <c r="CW20" s="39" t="n"/>
      <c r="CX20" s="39" t="n"/>
      <c r="CY20" s="39" t="n"/>
    </row>
    <row r="21" outlineLevel="1" customFormat="1" s="43">
      <c r="A21" s="36" t="n"/>
      <c r="B21" s="37" t="n"/>
      <c r="C21" s="267" t="inlineStr">
        <is>
          <t>Geração hidrelétrica (MW médios)</t>
        </is>
      </c>
      <c r="D21" s="257" t="n"/>
      <c r="E21" s="257" t="n"/>
      <c r="F21" s="257" t="n"/>
      <c r="G21" s="257" t="n"/>
      <c r="H21" s="257" t="n"/>
      <c r="I21" s="258" t="n">
        <v>870</v>
      </c>
      <c r="J21" s="258" t="n">
        <v>768</v>
      </c>
      <c r="K21" s="258" t="n">
        <v>750</v>
      </c>
      <c r="L21" s="258" t="n">
        <v>766</v>
      </c>
      <c r="M21" s="257">
        <f>IF(COUNT(I21:L21)=4,SUMPRODUCT(I21:L21,I25:L25)/M25,"")</f>
        <v>788.109589041096</v>
      </c>
      <c r="N21" s="258" t="n">
        <v>821</v>
      </c>
      <c r="O21" s="258" t="n">
        <v>728</v>
      </c>
      <c r="P21" s="258" t="n">
        <v>835</v>
      </c>
      <c r="Q21" s="258" t="n">
        <v>825</v>
      </c>
      <c r="R21" s="257">
        <f>IF(COUNT(N21:Q21)=4,SUMPRODUCT(N21:Q21,N25:Q25)/R25,"")</f>
        <v>802.350684931507</v>
      </c>
      <c r="S21" s="274" t="n"/>
      <c r="T21" s="257" t="n"/>
      <c r="U21" s="257" t="n"/>
      <c r="V21" s="258" t="n">
        <v>2463</v>
      </c>
      <c r="W21" s="258" t="n">
        <v>2333</v>
      </c>
      <c r="X21" s="258" t="n">
        <v>2087</v>
      </c>
      <c r="Y21" s="258" t="n">
        <v>1534</v>
      </c>
      <c r="Z21" s="258" t="n">
        <v>1663.7</v>
      </c>
      <c r="AA21" s="258" t="n">
        <v>2033.1</v>
      </c>
      <c r="AB21" s="257">
        <f>IF(COUNT(X21:AA21)=4,SUMPRODUCT(X21:AA21,X25:AA25)/AB25,"")</f>
        <v>1829.55355191257</v>
      </c>
      <c r="AC21" s="258" t="n">
        <v>2576.8</v>
      </c>
      <c r="AD21" s="258" t="n">
        <v>1784.4</v>
      </c>
      <c r="AE21" s="258" t="n">
        <v>1589.4</v>
      </c>
      <c r="AF21" s="258" t="n">
        <v>1812.6</v>
      </c>
      <c r="AG21" s="257">
        <f>IF(COUNT(AC21:AF21)=4,SUMPRODUCT(AC21:AF21,AC25:AF25)/AG25,"")</f>
        <v>1937.74356164384</v>
      </c>
      <c r="AH21" s="258" t="n">
        <v>2062.2</v>
      </c>
      <c r="AI21" s="258" t="n">
        <v>1943.3</v>
      </c>
      <c r="AJ21" s="259" t="n"/>
      <c r="AK21" s="259" t="n"/>
      <c r="AL21" s="257" t="str">
        <f>IF(COUNT(AH21:AK21)=4,SUMPRODUCT(AH21:AK21,AH25:AK25)/AL25,"")</f>
        <v/>
      </c>
      <c r="AM21" s="259" t="n"/>
      <c r="AN21" s="259" t="n"/>
      <c r="AO21" s="259" t="n"/>
      <c r="AP21" s="259" t="n"/>
      <c r="AQ21" s="257" t="str">
        <f>IF(COUNT(AM21:AP21)=4,SUMPRODUCT(AM21:AP21,AM25:AP25)/AQ25,"")</f>
        <v/>
      </c>
      <c r="AR21" s="259" t="n"/>
      <c r="AS21" s="259" t="n"/>
      <c r="AT21" s="259" t="n"/>
      <c r="AU21" s="259" t="n"/>
      <c r="AV21" s="257" t="str">
        <f>IF(COUNT(AR21:AU21)=4,SUMPRODUCT(AR21:AU21,AR25:AU25)/AV25,"")</f>
        <v/>
      </c>
      <c r="AW21" s="259" t="n"/>
      <c r="AX21" s="259" t="n"/>
      <c r="AY21" s="259" t="n"/>
      <c r="AZ21" s="259" t="n"/>
      <c r="BA21" s="257" t="str">
        <f>IF(COUNT(AW21:AZ21)=4,SUMPRODUCT(AW21:AZ21,AW25:AZ25)/BA25,"")</f>
        <v/>
      </c>
      <c r="BB21" s="259" t="n"/>
      <c r="BC21" s="259" t="n"/>
      <c r="BD21" s="259" t="n"/>
      <c r="BE21" s="259" t="n"/>
      <c r="BF21" s="257" t="str">
        <f>IF(COUNT(BB21:BE21)=4,SUMPRODUCT(BB21:BE21,BB25:BE25)/BF25,"")</f>
        <v/>
      </c>
      <c r="BG21" s="39" t="n"/>
      <c r="BH21" s="39" t="n"/>
      <c r="BI21" s="39" t="n"/>
      <c r="BJ21" s="39" t="n"/>
      <c r="BK21" s="39" t="n"/>
      <c r="BL21" s="39" t="n"/>
      <c r="BM21" s="39" t="n"/>
      <c r="BN21" s="39" t="n"/>
      <c r="BO21" s="39" t="n"/>
      <c r="BP21" s="39" t="n"/>
      <c r="BQ21" s="39" t="n"/>
      <c r="BR21" s="39" t="n"/>
      <c r="BS21" s="39" t="n"/>
      <c r="BT21" s="39" t="n"/>
      <c r="BU21" s="39" t="n"/>
      <c r="BV21" s="39" t="n"/>
      <c r="BW21" s="39" t="n"/>
      <c r="BX21" s="39" t="n"/>
      <c r="BY21" s="39" t="n"/>
      <c r="BZ21" s="39" t="n"/>
      <c r="CA21" s="39" t="n"/>
      <c r="CB21" s="39" t="n"/>
      <c r="CC21" s="39" t="n"/>
      <c r="CD21" s="39" t="n"/>
      <c r="CE21" s="39" t="n"/>
      <c r="CF21" s="39" t="n"/>
      <c r="CG21" s="39" t="n"/>
      <c r="CH21" s="39" t="n"/>
      <c r="CI21" s="39" t="n"/>
      <c r="CJ21" s="39" t="n"/>
      <c r="CK21" s="39" t="n"/>
      <c r="CL21" s="39" t="n"/>
      <c r="CM21" s="39" t="n"/>
      <c r="CN21" s="39" t="n"/>
      <c r="CO21" s="39" t="n"/>
      <c r="CP21" s="39" t="n"/>
      <c r="CQ21" s="39" t="n"/>
      <c r="CR21" s="39" t="n"/>
      <c r="CS21" s="39" t="n"/>
      <c r="CT21" s="39" t="n"/>
      <c r="CU21" s="39" t="n"/>
      <c r="CV21" s="39" t="n"/>
      <c r="CW21" s="39" t="n"/>
      <c r="CX21" s="39" t="n"/>
      <c r="CY21" s="39" t="n"/>
    </row>
    <row r="22" outlineLevel="1" customFormat="1" s="43">
      <c r="A22" s="36" t="n"/>
      <c r="B22" s="37" t="n"/>
      <c r="C22" s="267" t="inlineStr">
        <is>
          <t>Geração eólica (MW médios)</t>
        </is>
      </c>
      <c r="D22" s="257" t="n"/>
      <c r="E22" s="257" t="n"/>
      <c r="F22" s="257" t="n"/>
      <c r="G22" s="257" t="n"/>
      <c r="H22" s="257" t="n"/>
      <c r="I22" s="258" t="n">
        <v>108</v>
      </c>
      <c r="J22" s="258" t="n">
        <v>199</v>
      </c>
      <c r="K22" s="258" t="n">
        <v>302</v>
      </c>
      <c r="L22" s="258" t="n">
        <v>155</v>
      </c>
      <c r="M22" s="257">
        <f>IF(COUNT(I22:L22)=4,SUMPRODUCT(I22:L22,I25:L25)/M25,"")</f>
        <v>191.432876712329</v>
      </c>
      <c r="N22" s="258" t="n">
        <v>132</v>
      </c>
      <c r="O22" s="258" t="n">
        <v>294</v>
      </c>
      <c r="P22" s="258" t="n">
        <v>540</v>
      </c>
      <c r="Q22" s="258" t="n">
        <v>348</v>
      </c>
      <c r="R22" s="257">
        <f>IF(COUNT(N22:Q22)=4,SUMPRODUCT(N22:Q22,N25:Q25)/R25,"")</f>
        <v>329.671232876712</v>
      </c>
      <c r="S22" s="274" t="n"/>
      <c r="T22" s="257" t="n"/>
      <c r="U22" s="257" t="n"/>
      <c r="V22" s="258" t="n">
        <v>1074</v>
      </c>
      <c r="W22" s="258" t="n">
        <v>998</v>
      </c>
      <c r="X22" s="258" t="n">
        <v>704.3</v>
      </c>
      <c r="Y22" s="258" t="n">
        <v>1137</v>
      </c>
      <c r="Z22" s="258" t="n">
        <v>1473.7</v>
      </c>
      <c r="AA22" s="258" t="n">
        <v>1238.6</v>
      </c>
      <c r="AB22" s="257">
        <f>IF(COUNT(X22:AA22)=4,SUMPRODUCT(X22:AA22,X25:AA25)/AB25,"")</f>
        <v>1139.58989071038</v>
      </c>
      <c r="AC22" s="258" t="n">
        <v>994.9</v>
      </c>
      <c r="AD22" s="258" t="n">
        <v>1279.2</v>
      </c>
      <c r="AE22" s="258" t="n">
        <v>1510.5</v>
      </c>
      <c r="AF22" s="258" t="n">
        <v>1178.2</v>
      </c>
      <c r="AG22" s="257">
        <f>IF(COUNT(AC22:AF22)=4,SUMPRODUCT(AC22:AF22,AC25:AF25)/AG25,"")</f>
        <v>1241.94136986301</v>
      </c>
      <c r="AH22" s="258" t="n">
        <v>835.2</v>
      </c>
      <c r="AI22" s="258" t="n">
        <v>1152.5</v>
      </c>
      <c r="AJ22" s="259" t="n"/>
      <c r="AK22" s="259" t="n"/>
      <c r="AL22" s="257" t="str">
        <f>IF(COUNT(AH22:AK22)=4,SUMPRODUCT(AH22:AK22,AH25:AK25)/AL25,"")</f>
        <v/>
      </c>
      <c r="AM22" s="259" t="n"/>
      <c r="AN22" s="259" t="n"/>
      <c r="AO22" s="259" t="n"/>
      <c r="AP22" s="259" t="n"/>
      <c r="AQ22" s="257" t="str">
        <f>IF(COUNT(AM22:AP22)=4,SUMPRODUCT(AM22:AP22,AM25:AP25)/AQ25,"")</f>
        <v/>
      </c>
      <c r="AR22" s="259" t="n"/>
      <c r="AS22" s="259" t="n"/>
      <c r="AT22" s="259" t="n"/>
      <c r="AU22" s="259" t="n"/>
      <c r="AV22" s="257" t="str">
        <f>IF(COUNT(AR22:AU22)=4,SUMPRODUCT(AR22:AU22,AR25:AU25)/AV25,"")</f>
        <v/>
      </c>
      <c r="AW22" s="259" t="n"/>
      <c r="AX22" s="259" t="n"/>
      <c r="AY22" s="259" t="n"/>
      <c r="AZ22" s="259" t="n"/>
      <c r="BA22" s="257" t="str">
        <f>IF(COUNT(AW22:AZ22)=4,SUMPRODUCT(AW22:AZ22,AW25:AZ25)/BA25,"")</f>
        <v/>
      </c>
      <c r="BB22" s="259" t="n"/>
      <c r="BC22" s="259" t="n"/>
      <c r="BD22" s="259" t="n"/>
      <c r="BE22" s="259" t="n"/>
      <c r="BF22" s="257" t="str">
        <f>IF(COUNT(BB22:BE22)=4,SUMPRODUCT(BB22:BE22,BB25:BE25)/BF25,"")</f>
        <v/>
      </c>
      <c r="BG22" s="39" t="n"/>
      <c r="BH22" s="39" t="n"/>
      <c r="BI22" s="39" t="n"/>
      <c r="BJ22" s="39" t="n"/>
      <c r="BK22" s="39" t="n"/>
      <c r="BL22" s="39" t="n"/>
      <c r="BM22" s="39" t="n"/>
      <c r="BN22" s="39" t="n"/>
      <c r="BO22" s="39" t="n"/>
      <c r="BP22" s="39" t="n"/>
      <c r="BQ22" s="39" t="n"/>
      <c r="BR22" s="39" t="n"/>
      <c r="BS22" s="39" t="n"/>
      <c r="BT22" s="39" t="n"/>
      <c r="BU22" s="39" t="n"/>
      <c r="BV22" s="39" t="n"/>
      <c r="BW22" s="39" t="n"/>
      <c r="BX22" s="39" t="n"/>
      <c r="BY22" s="39" t="n"/>
      <c r="BZ22" s="39" t="n"/>
      <c r="CA22" s="39" t="n"/>
      <c r="CB22" s="39" t="n"/>
      <c r="CC22" s="39" t="n"/>
      <c r="CD22" s="39" t="n"/>
      <c r="CE22" s="39" t="n"/>
      <c r="CF22" s="39" t="n"/>
      <c r="CG22" s="39" t="n"/>
      <c r="CH22" s="39" t="n"/>
      <c r="CI22" s="39" t="n"/>
      <c r="CJ22" s="39" t="n"/>
      <c r="CK22" s="39" t="n"/>
      <c r="CL22" s="39" t="n"/>
      <c r="CM22" s="39" t="n"/>
      <c r="CN22" s="39" t="n"/>
      <c r="CO22" s="39" t="n"/>
      <c r="CP22" s="39" t="n"/>
      <c r="CQ22" s="39" t="n"/>
      <c r="CR22" s="39" t="n"/>
      <c r="CS22" s="39" t="n"/>
      <c r="CT22" s="39" t="n"/>
      <c r="CU22" s="39" t="n"/>
      <c r="CV22" s="39" t="n"/>
      <c r="CW22" s="39" t="n"/>
      <c r="CX22" s="39" t="n"/>
      <c r="CY22" s="39" t="n"/>
    </row>
    <row r="23" outlineLevel="1" customFormat="1" s="43">
      <c r="A23" s="36" t="n"/>
      <c r="B23" s="37" t="n"/>
      <c r="C23" s="267" t="inlineStr">
        <is>
          <t>Geração solar (MW médios)</t>
        </is>
      </c>
      <c r="D23" s="257" t="n"/>
      <c r="E23" s="257" t="n"/>
      <c r="F23" s="257" t="n"/>
      <c r="G23" s="257" t="n"/>
      <c r="H23" s="257" t="n"/>
      <c r="I23" s="257" t="n"/>
      <c r="J23" s="257" t="n"/>
      <c r="K23" s="257" t="n"/>
      <c r="L23" s="257" t="n"/>
      <c r="M23" s="257" t="str">
        <f>IF(COUNT(I23:L23)=4,SUMPRODUCT(I23:L23,I25:L25)/M25,"")</f>
        <v/>
      </c>
      <c r="N23" s="257" t="n"/>
      <c r="O23" s="257" t="n"/>
      <c r="P23" s="257" t="n"/>
      <c r="Q23" s="257" t="n"/>
      <c r="R23" s="257" t="str">
        <f>IF(COUNT(N23:Q23)=4,SUMPRODUCT(N23:Q23,N25:Q25)/R25,"")</f>
        <v/>
      </c>
      <c r="S23" s="274" t="n"/>
      <c r="T23" s="257" t="n"/>
      <c r="U23" s="257" t="n"/>
      <c r="V23" s="258" t="n">
        <v>70</v>
      </c>
      <c r="W23" s="258" t="n">
        <v>64</v>
      </c>
      <c r="X23" s="258" t="n">
        <v>93.09999999999999</v>
      </c>
      <c r="Y23" s="258" t="n">
        <v>112</v>
      </c>
      <c r="Z23" s="258" t="n">
        <v>168.8</v>
      </c>
      <c r="AA23" s="258" t="n">
        <v>189.4</v>
      </c>
      <c r="AB23" s="257">
        <f>IF(COUNT(X23:AA23)=4,SUMPRODUCT(X23:AA23,X25:AA25)/AB25,"")</f>
        <v>141.034153005464</v>
      </c>
      <c r="AC23" s="258" t="n">
        <v>205.2</v>
      </c>
      <c r="AD23" s="258" t="n">
        <v>144.3</v>
      </c>
      <c r="AE23" s="258" t="n">
        <v>163.2</v>
      </c>
      <c r="AF23" s="258" t="n">
        <v>178.2</v>
      </c>
      <c r="AG23" s="257">
        <f>IF(COUNT(AC23:AF23)=4,SUMPRODUCT(AC23:AF23,AC25:AF25)/AG25,"")</f>
        <v>172.624931506849</v>
      </c>
      <c r="AH23" s="258" t="n">
        <v>186.9</v>
      </c>
      <c r="AI23" s="258" t="n">
        <v>154.6</v>
      </c>
      <c r="AJ23" s="259" t="n"/>
      <c r="AK23" s="259" t="n"/>
      <c r="AL23" s="257" t="str">
        <f>IF(COUNT(AH23:AK23)=4,SUMPRODUCT(AH23:AK23,AH25:AK25)/AL25,"")</f>
        <v/>
      </c>
      <c r="AM23" s="259" t="n"/>
      <c r="AN23" s="259" t="n"/>
      <c r="AO23" s="259" t="n"/>
      <c r="AP23" s="259" t="n"/>
      <c r="AQ23" s="257" t="str">
        <f>IF(COUNT(AM23:AP23)=4,SUMPRODUCT(AM23:AP23,AM25:AP25)/AQ25,"")</f>
        <v/>
      </c>
      <c r="AR23" s="259" t="n"/>
      <c r="AS23" s="259" t="n"/>
      <c r="AT23" s="259" t="n"/>
      <c r="AU23" s="259" t="n"/>
      <c r="AV23" s="257" t="str">
        <f>IF(COUNT(AR23:AU23)=4,SUMPRODUCT(AR23:AU23,AR25:AU25)/AV25,"")</f>
        <v/>
      </c>
      <c r="AW23" s="259" t="n"/>
      <c r="AX23" s="259" t="n"/>
      <c r="AY23" s="259" t="n"/>
      <c r="AZ23" s="259" t="n"/>
      <c r="BA23" s="257" t="str">
        <f>IF(COUNT(AW23:AZ23)=4,SUMPRODUCT(AW23:AZ23,AW25:AZ25)/BA25,"")</f>
        <v/>
      </c>
      <c r="BB23" s="259" t="n"/>
      <c r="BC23" s="259" t="n"/>
      <c r="BD23" s="259" t="n"/>
      <c r="BE23" s="259" t="n"/>
      <c r="BF23" s="257" t="str">
        <f>IF(COUNT(BB23:BE23)=4,SUMPRODUCT(BB23:BE23,BB25:BE25)/BF25,"")</f>
        <v/>
      </c>
      <c r="BG23" s="39" t="n"/>
      <c r="BH23" s="39" t="n"/>
      <c r="BI23" s="39" t="n"/>
      <c r="BJ23" s="39" t="n"/>
      <c r="BK23" s="39" t="n"/>
      <c r="BL23" s="39" t="n"/>
      <c r="BM23" s="39" t="n"/>
      <c r="BN23" s="39" t="n"/>
      <c r="BO23" s="39" t="n"/>
      <c r="BP23" s="39" t="n"/>
      <c r="BQ23" s="39" t="n"/>
      <c r="BR23" s="39" t="n"/>
      <c r="BS23" s="39" t="n"/>
      <c r="BT23" s="39" t="n"/>
      <c r="BU23" s="39" t="n"/>
      <c r="BV23" s="39" t="n"/>
      <c r="BW23" s="39" t="n"/>
      <c r="BX23" s="39" t="n"/>
      <c r="BY23" s="39" t="n"/>
      <c r="BZ23" s="39" t="n"/>
      <c r="CA23" s="39" t="n"/>
      <c r="CB23" s="39" t="n"/>
      <c r="CC23" s="39" t="n"/>
      <c r="CD23" s="39" t="n"/>
      <c r="CE23" s="39" t="n"/>
      <c r="CF23" s="39" t="n"/>
      <c r="CG23" s="39" t="n"/>
      <c r="CH23" s="39" t="n"/>
      <c r="CI23" s="39" t="n"/>
      <c r="CJ23" s="39" t="n"/>
      <c r="CK23" s="39" t="n"/>
      <c r="CL23" s="39" t="n"/>
      <c r="CM23" s="39" t="n"/>
      <c r="CN23" s="39" t="n"/>
      <c r="CO23" s="39" t="n"/>
      <c r="CP23" s="39" t="n"/>
      <c r="CQ23" s="39" t="n"/>
      <c r="CR23" s="39" t="n"/>
      <c r="CS23" s="39" t="n"/>
      <c r="CT23" s="39" t="n"/>
      <c r="CU23" s="39" t="n"/>
      <c r="CV23" s="39" t="n"/>
      <c r="CW23" s="39" t="n"/>
      <c r="CX23" s="39" t="n"/>
      <c r="CY23" s="39" t="n"/>
    </row>
    <row r="24" outlineLevel="1" customFormat="1" s="43">
      <c r="A24" s="36" t="n"/>
      <c r="B24" s="37" t="n"/>
      <c r="C24" s="267" t="inlineStr">
        <is>
          <t>Geração total (MW médios)</t>
        </is>
      </c>
      <c r="D24" s="257" t="n"/>
      <c r="E24" s="257" t="n"/>
      <c r="F24" s="257" t="n"/>
      <c r="G24" s="257" t="n"/>
      <c r="H24" s="257" t="n"/>
      <c r="I24" s="257">
        <f>IF(COUNT(I21,I22)=2,SUM(I21:I23),"")</f>
        <v>978</v>
      </c>
      <c r="J24" s="257">
        <f>IF(COUNT(J21,J22)=2,SUM(J21:J23),"")</f>
        <v>967</v>
      </c>
      <c r="K24" s="257">
        <f>IF(COUNT(K21,K22)=2,SUM(K21:K23),"")</f>
        <v>1052</v>
      </c>
      <c r="L24" s="257">
        <f>IF(COUNT(L21,L22)=2,SUM(L21:L23),"")</f>
        <v>921</v>
      </c>
      <c r="M24" s="257">
        <f>IF(COUNT(M21,M22)=2,SUM(M21:M23),"")</f>
        <v>979.542465753425</v>
      </c>
      <c r="N24" s="257">
        <f>IF(COUNT(N21,N22)=2,SUM(N21:N23),"")</f>
        <v>953</v>
      </c>
      <c r="O24" s="257">
        <f>IF(COUNT(O21,O22)=2,SUM(O21:O23),"")</f>
        <v>1022</v>
      </c>
      <c r="P24" s="257">
        <f>IF(COUNT(P21,P22)=2,SUM(P21:P23),"")</f>
        <v>1375</v>
      </c>
      <c r="Q24" s="257">
        <f>IF(COUNT(Q21,Q22)=2,SUM(Q21:Q23),"")</f>
        <v>1173</v>
      </c>
      <c r="R24" s="257">
        <f>IF(COUNT(R21,R22)=2,SUM(R21:R23),"")</f>
        <v>1132.02191780822</v>
      </c>
      <c r="S24" s="274" t="str">
        <f>IF(COUNT(S21,S22)=2,SUM(S21:S23),"")</f>
        <v/>
      </c>
      <c r="T24" s="257" t="str">
        <f>IF(COUNT(T21,T22)=2,SUM(T21:T23),"")</f>
        <v/>
      </c>
      <c r="U24" s="257" t="str">
        <f>IF(COUNT(U21,U22)=2,SUM(U21:U23),"")</f>
        <v/>
      </c>
      <c r="V24" s="257">
        <f>IF(COUNT(V21,V22)=2,SUM(V21:V23),"")</f>
        <v>3607</v>
      </c>
      <c r="W24" s="257">
        <f>SUM(W21:W23)</f>
        <v>3395</v>
      </c>
      <c r="X24" s="257">
        <f>IF(COUNT(X21,X22)=2,SUM(X21:X23),"")</f>
        <v>2884.4</v>
      </c>
      <c r="Y24" s="257">
        <f>IF(COUNT(Y21,Y22)=2,SUM(Y21:Y23),"")</f>
        <v>2783</v>
      </c>
      <c r="Z24" s="257">
        <f>IF(COUNT(Z21,Z22)=2,SUM(Z21:Z23),"")</f>
        <v>3306.2</v>
      </c>
      <c r="AA24" s="257">
        <f>IF(COUNT(AA21,AA22)=2,SUM(AA21:AA23),"")</f>
        <v>3461.1</v>
      </c>
      <c r="AB24" s="257">
        <f>IF(COUNT(AB21,AB22)=2,SUM(AB21:AB23),"")</f>
        <v>3110.17759562842</v>
      </c>
      <c r="AC24" s="257">
        <f>IF(COUNT(AC21,AC22)=2,SUM(AC21:AC23),"")</f>
        <v>3776.9</v>
      </c>
      <c r="AD24" s="257">
        <f>IF(COUNT(AD21,AD22)=2,SUM(AD21:AD23),"")</f>
        <v>3207.9</v>
      </c>
      <c r="AE24" s="257">
        <f>IF(COUNT(AE21,AE22)=2,SUM(AE21:AE23),"")</f>
        <v>3263.1</v>
      </c>
      <c r="AF24" s="257">
        <f>IF(COUNT(AF21,AF22)=2,SUM(AF21:AF23),"")</f>
        <v>3169</v>
      </c>
      <c r="AG24" s="257">
        <f>IF(COUNT(AG21,AG22)=2,SUM(AG21:AG23),"")</f>
        <v>3352.3098630137</v>
      </c>
      <c r="AH24" s="257">
        <f>IF(COUNT(AH21,AH22)=2,SUM(AH21:AH23),"")</f>
        <v>3084.3</v>
      </c>
      <c r="AI24" s="257">
        <f>IF(COUNT(AI21,AI22)=2,SUM(AI21:AI23),"")</f>
        <v>3250.4</v>
      </c>
      <c r="AJ24" s="257" t="str">
        <f>IF(COUNT(AJ21,AJ22)=2,SUM(AJ21:AJ23),"")</f>
        <v/>
      </c>
      <c r="AK24" s="257" t="str">
        <f>IF(COUNT(AK21,AK22)=2,SUM(AK21:AK23),"")</f>
        <v/>
      </c>
      <c r="AL24" s="257" t="str">
        <f>IF(COUNT(AL21,AL22)=2,SUM(AL21:AL23),"")</f>
        <v/>
      </c>
      <c r="AM24" s="257" t="str">
        <f>IF(COUNT(AM21,AM22)=2,SUM(AM21:AM23),"")</f>
        <v/>
      </c>
      <c r="AN24" s="257" t="str">
        <f>IF(COUNT(AN21,AN22)=2,SUM(AN21:AN23),"")</f>
        <v/>
      </c>
      <c r="AO24" s="257" t="str">
        <f>IF(COUNT(AO21,AO22)=2,SUM(AO21:AO23),"")</f>
        <v/>
      </c>
      <c r="AP24" s="257" t="str">
        <f>IF(COUNT(AP21,AP22)=2,SUM(AP21:AP23),"")</f>
        <v/>
      </c>
      <c r="AQ24" s="257" t="str">
        <f>IF(COUNT(AQ21,AQ22)=2,SUM(AQ21:AQ23),"")</f>
        <v/>
      </c>
      <c r="AR24" s="257" t="str">
        <f>IF(COUNT(AR21,AR22)=2,SUM(AR21:AR23),"")</f>
        <v/>
      </c>
      <c r="AS24" s="257" t="str">
        <f>IF(COUNT(AS21,AS22)=2,SUM(AS21:AS23),"")</f>
        <v/>
      </c>
      <c r="AT24" s="257" t="str">
        <f>IF(COUNT(AT21,AT22)=2,SUM(AT21:AT23),"")</f>
        <v/>
      </c>
      <c r="AU24" s="257" t="str">
        <f>IF(COUNT(AU21,AU22)=2,SUM(AU21:AU23),"")</f>
        <v/>
      </c>
      <c r="AV24" s="257" t="str">
        <f>IF(COUNT(AV21,AV22)=2,SUM(AV21:AV23),"")</f>
        <v/>
      </c>
      <c r="AW24" s="257" t="str">
        <f>IF(COUNT(AW21,AW22)=2,SUM(AW21:AW23),"")</f>
        <v/>
      </c>
      <c r="AX24" s="257" t="str">
        <f>IF(COUNT(AX21,AX22)=2,SUM(AX21:AX23),"")</f>
        <v/>
      </c>
      <c r="AY24" s="257" t="str">
        <f>IF(COUNT(AY21,AY22)=2,SUM(AY21:AY23),"")</f>
        <v/>
      </c>
      <c r="AZ24" s="257" t="str">
        <f>IF(COUNT(AZ21,AZ22)=2,SUM(AZ21:AZ23),"")</f>
        <v/>
      </c>
      <c r="BA24" s="257" t="str">
        <f>IF(COUNT(BA21,BA22)=2,SUM(BA21:BA23),"")</f>
        <v/>
      </c>
      <c r="BB24" s="257" t="str">
        <f>IF(COUNT(BB21,BB22)=2,SUM(BB21:BB23),"")</f>
        <v/>
      </c>
      <c r="BC24" s="257" t="str">
        <f>IF(COUNT(BC21,BC22)=2,SUM(BC21:BC23),"")</f>
        <v/>
      </c>
      <c r="BD24" s="257" t="str">
        <f>IF(COUNT(BD21,BD22)=2,SUM(BD21:BD23),"")</f>
        <v/>
      </c>
      <c r="BE24" s="257" t="str">
        <f>IF(COUNT(BE21,BE22)=2,SUM(BE21:BE23),"")</f>
        <v/>
      </c>
      <c r="BF24" s="257" t="str">
        <f>IF(COUNT(BF21,BF22)=2,SUM(BF21:BF23),"")</f>
        <v/>
      </c>
      <c r="BG24" s="39" t="n"/>
      <c r="BH24" s="39" t="n"/>
      <c r="BI24" s="39" t="n"/>
      <c r="BJ24" s="39" t="n"/>
      <c r="BK24" s="39" t="n"/>
      <c r="BL24" s="39" t="n"/>
      <c r="BM24" s="39" t="n"/>
      <c r="BN24" s="39" t="n"/>
      <c r="BO24" s="39" t="n"/>
      <c r="BP24" s="39" t="n"/>
      <c r="BQ24" s="39" t="n"/>
      <c r="BR24" s="39" t="n"/>
      <c r="BS24" s="39" t="n"/>
      <c r="BT24" s="39" t="n"/>
      <c r="BU24" s="39" t="n"/>
      <c r="BV24" s="39" t="n"/>
      <c r="BW24" s="39" t="n"/>
      <c r="BX24" s="39" t="n"/>
      <c r="BY24" s="39" t="n"/>
      <c r="BZ24" s="39" t="n"/>
      <c r="CA24" s="39" t="n"/>
      <c r="CB24" s="39" t="n"/>
      <c r="CC24" s="39" t="n"/>
      <c r="CD24" s="39" t="n"/>
      <c r="CE24" s="39" t="n"/>
      <c r="CF24" s="39" t="n"/>
      <c r="CG24" s="39" t="n"/>
      <c r="CH24" s="39" t="n"/>
      <c r="CI24" s="39" t="n"/>
      <c r="CJ24" s="39" t="n"/>
      <c r="CK24" s="39" t="n"/>
      <c r="CL24" s="39" t="n"/>
      <c r="CM24" s="39" t="n"/>
      <c r="CN24" s="39" t="n"/>
      <c r="CO24" s="39" t="n"/>
      <c r="CP24" s="39" t="n"/>
      <c r="CQ24" s="39" t="n"/>
      <c r="CR24" s="39" t="n"/>
      <c r="CS24" s="39" t="n"/>
      <c r="CT24" s="39" t="n"/>
      <c r="CU24" s="39" t="n"/>
      <c r="CV24" s="39" t="n"/>
      <c r="CW24" s="39" t="n"/>
      <c r="CX24" s="39" t="n"/>
      <c r="CY24" s="39" t="n"/>
    </row>
    <row r="25" outlineLevel="1" customFormat="1" s="43">
      <c r="A25" s="36" t="n"/>
      <c r="B25" s="37" t="n"/>
      <c r="C25" s="267" t="inlineStr">
        <is>
          <t>Horas no período</t>
        </is>
      </c>
      <c r="D25" s="257" t="n"/>
      <c r="E25" s="257" t="n"/>
      <c r="F25" s="257" t="n"/>
      <c r="G25" s="257" t="n"/>
      <c r="H25" s="257" t="n"/>
      <c r="I25" s="257">
        <f>24*(I$5-EOMONTH(I$5,-3))</f>
        <v>2160</v>
      </c>
      <c r="J25" s="257">
        <f>24*(J$5-EOMONTH(J$5,-3))</f>
        <v>2184</v>
      </c>
      <c r="K25" s="257">
        <f>24*(K$5-EOMONTH(K$5,-3))</f>
        <v>2208</v>
      </c>
      <c r="L25" s="257">
        <f>24*(L$5-EOMONTH(L$5,-3))</f>
        <v>2208</v>
      </c>
      <c r="M25" s="257">
        <f>SUM(I25:L25)</f>
        <v>8760</v>
      </c>
      <c r="N25" s="257">
        <f>24*(N$5-EOMONTH(N$5,-3))</f>
        <v>2160</v>
      </c>
      <c r="O25" s="257">
        <f>24*(O$5-EOMONTH(O$5,-3))</f>
        <v>2184</v>
      </c>
      <c r="P25" s="257">
        <f>24*(P$5-EOMONTH(P$5,-3))</f>
        <v>2208</v>
      </c>
      <c r="Q25" s="257">
        <f>24*(Q$5-EOMONTH(Q$5,-3))</f>
        <v>2208</v>
      </c>
      <c r="R25" s="257">
        <f>SUM(N25:Q25)</f>
        <v>8760</v>
      </c>
      <c r="S25" s="274">
        <f>24*(S$5-EOMONTH(S$5,-3))</f>
        <v>2160</v>
      </c>
      <c r="T25" s="257">
        <f>24*(T$5-EOMONTH(T$5,-3))</f>
        <v>2184</v>
      </c>
      <c r="U25" s="257">
        <f>24*(U$5-EOMONTH(U$5,-3))</f>
        <v>2208</v>
      </c>
      <c r="V25" s="257">
        <f>24*(V$5-EOMONTH(V$5,-3))</f>
        <v>2208</v>
      </c>
      <c r="W25" s="257">
        <f>SUM(S25:V25)</f>
        <v>8760</v>
      </c>
      <c r="X25" s="257">
        <f>24*(X$5-EOMONTH(X$5,-3))</f>
        <v>2184</v>
      </c>
      <c r="Y25" s="257">
        <f>24*(Y$5-EOMONTH(Y$5,-3))</f>
        <v>2184</v>
      </c>
      <c r="Z25" s="257">
        <f>24*(Z$5-EOMONTH(Z$5,-3))</f>
        <v>2208</v>
      </c>
      <c r="AA25" s="257">
        <f>24*(AA$5-EOMONTH(AA$5,-3))</f>
        <v>2208</v>
      </c>
      <c r="AB25" s="257">
        <f>SUM(X25:AA25)</f>
        <v>8784</v>
      </c>
      <c r="AC25" s="257">
        <f>24*(AC$5-EOMONTH(AC$5,-3))</f>
        <v>2160</v>
      </c>
      <c r="AD25" s="257">
        <f>24*(AD$5-EOMONTH(AD$5,-3))</f>
        <v>2184</v>
      </c>
      <c r="AE25" s="257">
        <f>24*(AE$5-EOMONTH(AE$5,-3))</f>
        <v>2208</v>
      </c>
      <c r="AF25" s="257">
        <f>24*(AF$5-EOMONTH(AF$5,-3))</f>
        <v>2208</v>
      </c>
      <c r="AG25" s="257">
        <f>SUM(AC25:AF25)</f>
        <v>8760</v>
      </c>
      <c r="AH25" s="257">
        <f>24*(AH$5-EOMONTH(AH$5,-3))</f>
        <v>2160</v>
      </c>
      <c r="AI25" s="257">
        <f>24*(AI$5-EOMONTH(AI$5,-3))</f>
        <v>2184</v>
      </c>
      <c r="AJ25" s="257">
        <f>24*(AJ$5-EOMONTH(AJ$5,-3))</f>
        <v>2208</v>
      </c>
      <c r="AK25" s="257">
        <f>24*(AK$5-EOMONTH(AK$5,-3))</f>
        <v>2208</v>
      </c>
      <c r="AL25" s="257">
        <f>SUM(AH25:AK25)</f>
        <v>8760</v>
      </c>
      <c r="AM25" s="257">
        <f>24*(AM$5-EOMONTH(AM$5,-3))</f>
        <v>2160</v>
      </c>
      <c r="AN25" s="257">
        <f>24*(AN$5-EOMONTH(AN$5,-3))</f>
        <v>2184</v>
      </c>
      <c r="AO25" s="257">
        <f>24*(AO$5-EOMONTH(AO$5,-3))</f>
        <v>2208</v>
      </c>
      <c r="AP25" s="257">
        <f>24*(AP$5-EOMONTH(AP$5,-3))</f>
        <v>2208</v>
      </c>
      <c r="AQ25" s="257">
        <f>SUM(AM25:AP25)</f>
        <v>8760</v>
      </c>
      <c r="AR25" s="257">
        <f>24*(AR$5-EOMONTH(AR$5,-3))</f>
        <v>2184</v>
      </c>
      <c r="AS25" s="257">
        <f>24*(AS$5-EOMONTH(AS$5,-3))</f>
        <v>2184</v>
      </c>
      <c r="AT25" s="257">
        <f>24*(AT$5-EOMONTH(AT$5,-3))</f>
        <v>2208</v>
      </c>
      <c r="AU25" s="257">
        <f>24*(AU$5-EOMONTH(AU$5,-3))</f>
        <v>2208</v>
      </c>
      <c r="AV25" s="257">
        <f>SUM(AR25:AU25)</f>
        <v>8784</v>
      </c>
      <c r="AW25" s="257">
        <f>24*(AW$5-EOMONTH(AW$5,-3))</f>
        <v>2160</v>
      </c>
      <c r="AX25" s="257">
        <f>24*(AX$5-EOMONTH(AX$5,-3))</f>
        <v>2184</v>
      </c>
      <c r="AY25" s="257">
        <f>24*(AY$5-EOMONTH(AY$5,-3))</f>
        <v>2208</v>
      </c>
      <c r="AZ25" s="257">
        <f>24*(AZ$5-EOMONTH(AZ$5,-3))</f>
        <v>2208</v>
      </c>
      <c r="BA25" s="257">
        <f>SUM(AW25:AZ25)</f>
        <v>8760</v>
      </c>
      <c r="BB25" s="257">
        <f>24*(BB$5-EOMONTH(BB$5,-3))</f>
        <v>2160</v>
      </c>
      <c r="BC25" s="257">
        <f>24*(BC$5-EOMONTH(BC$5,-3))</f>
        <v>2184</v>
      </c>
      <c r="BD25" s="257">
        <f>24*(BD$5-EOMONTH(BD$5,-3))</f>
        <v>2208</v>
      </c>
      <c r="BE25" s="257">
        <f>24*(BE$5-EOMONTH(BE$5,-3))</f>
        <v>2208</v>
      </c>
      <c r="BF25" s="257">
        <f>SUM(BB25:BE25)</f>
        <v>8760</v>
      </c>
      <c r="BG25" s="39" t="n"/>
      <c r="BH25" s="39" t="n"/>
      <c r="BI25" s="39" t="n"/>
      <c r="BJ25" s="39" t="n"/>
      <c r="BK25" s="39" t="n"/>
      <c r="BL25" s="39" t="n"/>
      <c r="BM25" s="39" t="n"/>
      <c r="BN25" s="39" t="n"/>
      <c r="BO25" s="39" t="n"/>
      <c r="BP25" s="39" t="n"/>
      <c r="BQ25" s="39" t="n"/>
      <c r="BR25" s="39" t="n"/>
      <c r="BS25" s="39" t="n"/>
      <c r="BT25" s="39" t="n"/>
      <c r="BU25" s="39" t="n"/>
      <c r="BV25" s="39" t="n"/>
      <c r="BW25" s="39" t="n"/>
      <c r="BX25" s="39" t="n"/>
      <c r="BY25" s="39" t="n"/>
      <c r="BZ25" s="39" t="n"/>
      <c r="CA25" s="39" t="n"/>
      <c r="CB25" s="39" t="n"/>
      <c r="CC25" s="39" t="n"/>
      <c r="CD25" s="39" t="n"/>
      <c r="CE25" s="39" t="n"/>
      <c r="CF25" s="39" t="n"/>
      <c r="CG25" s="39" t="n"/>
      <c r="CH25" s="39" t="n"/>
      <c r="CI25" s="39" t="n"/>
      <c r="CJ25" s="39" t="n"/>
      <c r="CK25" s="39" t="n"/>
      <c r="CL25" s="39" t="n"/>
      <c r="CM25" s="39" t="n"/>
      <c r="CN25" s="39" t="n"/>
      <c r="CO25" s="39" t="n"/>
      <c r="CP25" s="39" t="n"/>
      <c r="CQ25" s="39" t="n"/>
      <c r="CR25" s="39" t="n"/>
      <c r="CS25" s="39" t="n"/>
      <c r="CT25" s="39" t="n"/>
      <c r="CU25" s="39" t="n"/>
      <c r="CV25" s="39" t="n"/>
      <c r="CW25" s="39" t="n"/>
      <c r="CX25" s="39" t="n"/>
      <c r="CY25" s="39" t="n"/>
    </row>
    <row r="26" outlineLevel="1" customFormat="1" s="43">
      <c r="A26" s="36" t="n"/>
      <c r="B26" s="37" t="n"/>
      <c r="C26" s="267" t="inlineStr">
        <is>
          <t>Energia gerada (GWh)</t>
        </is>
      </c>
      <c r="D26" s="257" t="n"/>
      <c r="E26" s="257" t="n"/>
      <c r="F26" s="257" t="n"/>
      <c r="G26" s="257" t="n"/>
      <c r="H26" s="257" t="n"/>
      <c r="I26" s="257">
        <f>IF(ISNUMBER(I24),I24*I25/1000,"")</f>
        <v>2112.48</v>
      </c>
      <c r="J26" s="257">
        <f>IF(ISNUMBER(J24),J24*J25/1000,"")</f>
        <v>2111.928</v>
      </c>
      <c r="K26" s="257">
        <f>IF(ISNUMBER(K24),K24*K25/1000,"")</f>
        <v>2322.816</v>
      </c>
      <c r="L26" s="257">
        <f>IF(ISNUMBER(L24),L24*L25/1000,"")</f>
        <v>2033.568</v>
      </c>
      <c r="M26" s="257">
        <f>IF(COUNT(I26:L26)=4,SUM(I26:L26),"")</f>
        <v>8580.792</v>
      </c>
      <c r="N26" s="257">
        <f>IF(ISNUMBER(N24),N24*N25/1000,"")</f>
        <v>2058.48</v>
      </c>
      <c r="O26" s="257">
        <f>IF(ISNUMBER(O24),O24*O25/1000,"")</f>
        <v>2232.048</v>
      </c>
      <c r="P26" s="257">
        <f>IF(ISNUMBER(P24),P24*P25/1000,"")</f>
        <v>3036</v>
      </c>
      <c r="Q26" s="257">
        <f>IF(ISNUMBER(Q24),Q24*Q25/1000,"")</f>
        <v>2589.984</v>
      </c>
      <c r="R26" s="257">
        <f>IF(COUNT(N26:Q26)=4,SUM(N26:Q26),"")</f>
        <v>9916.512</v>
      </c>
      <c r="S26" s="274" t="str">
        <f>IF(ISNUMBER(S24),S24*S25/1000,"")</f>
        <v/>
      </c>
      <c r="T26" s="257" t="str">
        <f>IF(ISNUMBER(T24),T24*T25/1000,"")</f>
        <v/>
      </c>
      <c r="U26" s="257" t="str">
        <f>IF(ISNUMBER(U24),U24*U25/1000,"")</f>
        <v/>
      </c>
      <c r="V26" s="257">
        <f>IF(ISNUMBER(V24),V24*V25/1000,"")</f>
        <v>7964.256</v>
      </c>
      <c r="W26" s="257">
        <f>W24*W25/1000</f>
        <v>29740.2</v>
      </c>
      <c r="X26" s="257">
        <f>IF(ISNUMBER(X24),X24*X25/1000,"")</f>
        <v>6299.5296</v>
      </c>
      <c r="Y26" s="257">
        <f>IF(ISNUMBER(Y24),Y24*Y25/1000,"")</f>
        <v>6078.072</v>
      </c>
      <c r="Z26" s="257">
        <f>IF(ISNUMBER(Z24),Z24*Z25/1000,"")</f>
        <v>7300.0896</v>
      </c>
      <c r="AA26" s="257">
        <f>IF(ISNUMBER(AA24),AA24*AA25/1000,"")</f>
        <v>7642.1088</v>
      </c>
      <c r="AB26" s="257">
        <f>IF(COUNT(X26:AA26)=4,SUM(X26:AA26),"")</f>
        <v>27319.8</v>
      </c>
      <c r="AC26" s="257">
        <f>IF(ISNUMBER(AC24),AC24*AC25/1000,"")</f>
        <v>8158.104</v>
      </c>
      <c r="AD26" s="257">
        <f>IF(ISNUMBER(AD24),AD24*AD25/1000,"")</f>
        <v>7006.0536</v>
      </c>
      <c r="AE26" s="257">
        <f>IF(ISNUMBER(AE24),AE24*AE25/1000,"")</f>
        <v>7204.9248</v>
      </c>
      <c r="AF26" s="257">
        <f>IF(ISNUMBER(AF24),AF24*AF25/1000,"")</f>
        <v>6997.152</v>
      </c>
      <c r="AG26" s="257">
        <f>IF(COUNT(AC26:AF26)=4,SUM(AC26:AF26),"")</f>
        <v>29366.2344</v>
      </c>
      <c r="AH26" s="257">
        <f>IF(ISNUMBER(AH24),AH24*AH25/1000,"")</f>
        <v>6662.088</v>
      </c>
      <c r="AI26" s="257">
        <f>IF(ISNUMBER(AI24),AI24*AI25/1000,"")</f>
        <v>7098.8736</v>
      </c>
      <c r="AJ26" s="257" t="str">
        <f>IF(ISNUMBER(AJ24),AJ24*AJ25/1000,"")</f>
        <v/>
      </c>
      <c r="AK26" s="257" t="str">
        <f>IF(ISNUMBER(AK24),AK24*AK25/1000,"")</f>
        <v/>
      </c>
      <c r="AL26" s="257" t="str">
        <f>IF(COUNT(AH26:AK26)=4,SUM(AH26:AK26),"")</f>
        <v/>
      </c>
      <c r="AM26" s="257" t="str">
        <f>IF(ISNUMBER(AM24),AM24*AM25/1000,"")</f>
        <v/>
      </c>
      <c r="AN26" s="257" t="str">
        <f>IF(ISNUMBER(AN24),AN24*AN25/1000,"")</f>
        <v/>
      </c>
      <c r="AO26" s="257" t="str">
        <f>IF(ISNUMBER(AO24),AO24*AO25/1000,"")</f>
        <v/>
      </c>
      <c r="AP26" s="257" t="str">
        <f>IF(ISNUMBER(AP24),AP24*AP25/1000,"")</f>
        <v/>
      </c>
      <c r="AQ26" s="257" t="str">
        <f>IF(COUNT(AM26:AP26)=4,SUM(AM26:AP26),"")</f>
        <v/>
      </c>
      <c r="AR26" s="257" t="str">
        <f>IF(ISNUMBER(AR24),AR24*AR25/1000,"")</f>
        <v/>
      </c>
      <c r="AS26" s="257" t="str">
        <f>IF(ISNUMBER(AS24),AS24*AS25/1000,"")</f>
        <v/>
      </c>
      <c r="AT26" s="257" t="str">
        <f>IF(ISNUMBER(AT24),AT24*AT25/1000,"")</f>
        <v/>
      </c>
      <c r="AU26" s="257" t="str">
        <f>IF(ISNUMBER(AU24),AU24*AU25/1000,"")</f>
        <v/>
      </c>
      <c r="AV26" s="257" t="str">
        <f>IF(COUNT(AR26:AU26)=4,SUM(AR26:AU26),"")</f>
        <v/>
      </c>
      <c r="AW26" s="257" t="str">
        <f>IF(ISNUMBER(AW24),AW24*AW25/1000,"")</f>
        <v/>
      </c>
      <c r="AX26" s="257" t="str">
        <f>IF(ISNUMBER(AX24),AX24*AX25/1000,"")</f>
        <v/>
      </c>
      <c r="AY26" s="257" t="str">
        <f>IF(ISNUMBER(AY24),AY24*AY25/1000,"")</f>
        <v/>
      </c>
      <c r="AZ26" s="257" t="str">
        <f>IF(ISNUMBER(AZ24),AZ24*AZ25/1000,"")</f>
        <v/>
      </c>
      <c r="BA26" s="257" t="str">
        <f>IF(COUNT(AW26:AZ26)=4,SUM(AW26:AZ26),"")</f>
        <v/>
      </c>
      <c r="BB26" s="257" t="str">
        <f>IF(ISNUMBER(BB24),BB24*BB25/1000,"")</f>
        <v/>
      </c>
      <c r="BC26" s="257" t="str">
        <f>IF(ISNUMBER(BC24),BC24*BC25/1000,"")</f>
        <v/>
      </c>
      <c r="BD26" s="257" t="str">
        <f>IF(ISNUMBER(BD24),BD24*BD25/1000,"")</f>
        <v/>
      </c>
      <c r="BE26" s="257" t="str">
        <f>IF(ISNUMBER(BE24),BE24*BE25/1000,"")</f>
        <v/>
      </c>
      <c r="BF26" s="257" t="str">
        <f>IF(COUNT(BB26:BE26)=4,SUM(BB26:BE26),"")</f>
        <v/>
      </c>
      <c r="BG26" s="39" t="n"/>
      <c r="BH26" s="39" t="n"/>
      <c r="BI26" s="39" t="n"/>
      <c r="BJ26" s="39" t="n"/>
      <c r="BK26" s="39" t="n"/>
      <c r="BL26" s="39" t="n"/>
      <c r="BM26" s="39" t="n"/>
      <c r="BN26" s="39" t="n"/>
      <c r="BO26" s="39" t="n"/>
      <c r="BP26" s="39" t="n"/>
      <c r="BQ26" s="39" t="n"/>
      <c r="BR26" s="39" t="n"/>
      <c r="BS26" s="39" t="n"/>
      <c r="BT26" s="39" t="n"/>
      <c r="BU26" s="39" t="n"/>
      <c r="BV26" s="39" t="n"/>
      <c r="BW26" s="39" t="n"/>
      <c r="BX26" s="39" t="n"/>
      <c r="BY26" s="39" t="n"/>
      <c r="BZ26" s="39" t="n"/>
      <c r="CA26" s="39" t="n"/>
      <c r="CB26" s="39" t="n"/>
      <c r="CC26" s="39" t="n"/>
      <c r="CD26" s="39" t="n"/>
      <c r="CE26" s="39" t="n"/>
      <c r="CF26" s="39" t="n"/>
      <c r="CG26" s="39" t="n"/>
      <c r="CH26" s="39" t="n"/>
      <c r="CI26" s="39" t="n"/>
      <c r="CJ26" s="39" t="n"/>
      <c r="CK26" s="39" t="n"/>
      <c r="CL26" s="39" t="n"/>
      <c r="CM26" s="39" t="n"/>
      <c r="CN26" s="39" t="n"/>
      <c r="CO26" s="39" t="n"/>
      <c r="CP26" s="39" t="n"/>
      <c r="CQ26" s="39" t="n"/>
      <c r="CR26" s="39" t="n"/>
      <c r="CS26" s="39" t="n"/>
      <c r="CT26" s="39" t="n"/>
      <c r="CU26" s="39" t="n"/>
      <c r="CV26" s="39" t="n"/>
      <c r="CW26" s="39" t="n"/>
      <c r="CX26" s="39" t="n"/>
      <c r="CY26" s="39" t="n"/>
    </row>
    <row r="27" outlineLevel="1" customFormat="1" s="43">
      <c r="A27" s="36" t="n"/>
      <c r="B27" s="37" t="n"/>
      <c r="C27" s="267" t="inlineStr">
        <is>
          <t>Receita líquida de geração por MWh gerado (R$/MWh)</t>
        </is>
      </c>
      <c r="D27" s="260" t="n"/>
      <c r="E27" s="260" t="n"/>
      <c r="F27" s="260" t="n"/>
      <c r="G27" s="260" t="n"/>
      <c r="H27" s="260" t="n"/>
      <c r="I27" s="260">
        <f>IFERROR(I28/I26*1000,"")</f>
        <v>239.339544043021</v>
      </c>
      <c r="J27" s="260">
        <f>IFERROR(J28/J26*1000,"")</f>
        <v>193.803955437875</v>
      </c>
      <c r="K27" s="260">
        <f>IFERROR(K28/K26*1000,"")</f>
        <v>176.650238331405</v>
      </c>
      <c r="L27" s="260">
        <f>IFERROR(L28/L26*1000,"")</f>
        <v>255.265621803648</v>
      </c>
      <c r="M27" s="260">
        <f>IFERROR(M28/M26*1000,"")</f>
        <v>214.936569957645</v>
      </c>
      <c r="N27" s="260">
        <f>IFERROR(N28/N26*1000,"")</f>
        <v>266.7011581361</v>
      </c>
      <c r="O27" s="260">
        <f>IFERROR(O28/O26*1000,"")</f>
        <v>244.259980072113</v>
      </c>
      <c r="P27" s="260">
        <f>IFERROR(P28/P26*1000,"")</f>
        <v>188.937417654809</v>
      </c>
      <c r="Q27" s="260">
        <f>IFERROR(Q28/Q26*1000,"")</f>
        <v>227.067039796385</v>
      </c>
      <c r="R27" s="260">
        <f>IFERROR(R28/R26*1000,"")</f>
        <v>227.490573298353</v>
      </c>
      <c r="S27" s="275" t="str">
        <f>IFERROR(S28/S26*1000,"")</f>
        <v/>
      </c>
      <c r="T27" s="260" t="str">
        <f>IFERROR(T28/T26*1000,"")</f>
        <v/>
      </c>
      <c r="U27" s="260" t="str">
        <f>IFERROR(U28/U26*1000,"")</f>
        <v/>
      </c>
      <c r="V27" s="260">
        <f>IFERROR(V28/V26*1000,"")</f>
        <v>192.743430919348</v>
      </c>
      <c r="W27" s="260">
        <f>IFERROR(W28/W26*1000,"")</f>
        <v>185.455593894123</v>
      </c>
      <c r="X27" s="260">
        <f>IFERROR(X28/X26*1000,"")</f>
        <v>210.519109682412</v>
      </c>
      <c r="Y27" s="260">
        <f>IFERROR(Y28/Y26*1000,"")</f>
        <v>224.383185307775</v>
      </c>
      <c r="Z27" s="260">
        <f>IFERROR(Z28/Z26*1000,"")</f>
        <v>219.603428885311</v>
      </c>
      <c r="AA27" s="260">
        <f>IFERROR(AA28/AA26*1000,"")</f>
        <v>234.951289293343</v>
      </c>
      <c r="AB27" s="260">
        <f>IFERROR(AB28/AB26*1000,"")</f>
        <v>222.865340943565</v>
      </c>
      <c r="AC27" s="260">
        <f>IFERROR(AC28/AC26*1000,"")</f>
        <v>198.698251456466</v>
      </c>
      <c r="AD27" s="260">
        <f>IFERROR(AD28/AD26*1000,"")</f>
        <v>227.913614591815</v>
      </c>
      <c r="AE27" s="260">
        <f>IFERROR(AE28/AE26*1000,"")</f>
        <v>227.073848154529</v>
      </c>
      <c r="AF27" s="260">
        <f>IFERROR(AF28/AF26*1000,"")</f>
        <v>243.281695181125</v>
      </c>
      <c r="AG27" s="260">
        <f>IFERROR(AG28/AG26*1000,"")</f>
        <v>223.253172698233</v>
      </c>
      <c r="AH27" s="260">
        <f>IFERROR(AH28/AH26*1000,"")</f>
        <v>260.343303781037</v>
      </c>
      <c r="AI27" s="260">
        <f>IFERROR(AI28/AI26*1000,"")</f>
        <v>248.722839634727</v>
      </c>
      <c r="AJ27" s="261" t="n"/>
      <c r="AK27" s="261" t="n"/>
      <c r="AL27" s="260" t="str">
        <f>IFERROR(AL28/AL26*1000,"")</f>
        <v/>
      </c>
      <c r="AM27" s="261" t="n"/>
      <c r="AN27" s="261" t="n"/>
      <c r="AO27" s="261" t="n"/>
      <c r="AP27" s="261" t="n"/>
      <c r="AQ27" s="260" t="str">
        <f>IFERROR(AQ28/AQ26*1000,"")</f>
        <v/>
      </c>
      <c r="AR27" s="261" t="n"/>
      <c r="AS27" s="261" t="n"/>
      <c r="AT27" s="261" t="n"/>
      <c r="AU27" s="261" t="n"/>
      <c r="AV27" s="260" t="str">
        <f>IFERROR(AV28/AV26*1000,"")</f>
        <v/>
      </c>
      <c r="AW27" s="261" t="n"/>
      <c r="AX27" s="261" t="n"/>
      <c r="AY27" s="261" t="n"/>
      <c r="AZ27" s="261" t="n"/>
      <c r="BA27" s="260" t="str">
        <f>IFERROR(BA28/BA26*1000,"")</f>
        <v/>
      </c>
      <c r="BB27" s="261" t="n"/>
      <c r="BC27" s="261" t="n"/>
      <c r="BD27" s="261" t="n"/>
      <c r="BE27" s="261" t="n"/>
      <c r="BF27" s="260" t="str">
        <f>IFERROR(BF28/BF26*1000,"")</f>
        <v/>
      </c>
      <c r="BG27" s="39" t="n"/>
      <c r="BH27" s="39" t="n"/>
      <c r="BI27" s="39" t="n"/>
      <c r="BJ27" s="39" t="n"/>
      <c r="BK27" s="39" t="n"/>
      <c r="BL27" s="39" t="n"/>
      <c r="BM27" s="39" t="n"/>
      <c r="BN27" s="39" t="n"/>
      <c r="BO27" s="39" t="n"/>
      <c r="BP27" s="39" t="n"/>
      <c r="BQ27" s="39" t="n"/>
      <c r="BR27" s="39" t="n"/>
      <c r="BS27" s="39" t="n"/>
      <c r="BT27" s="39" t="n"/>
      <c r="BU27" s="39" t="n"/>
      <c r="BV27" s="39" t="n"/>
      <c r="BW27" s="39" t="n"/>
      <c r="BX27" s="39" t="n"/>
      <c r="BY27" s="39" t="n"/>
      <c r="BZ27" s="39" t="n"/>
      <c r="CA27" s="39" t="n"/>
      <c r="CB27" s="39" t="n"/>
      <c r="CC27" s="39" t="n"/>
      <c r="CD27" s="39" t="n"/>
      <c r="CE27" s="39" t="n"/>
      <c r="CF27" s="39" t="n"/>
      <c r="CG27" s="39" t="n"/>
      <c r="CH27" s="39" t="n"/>
      <c r="CI27" s="39" t="n"/>
      <c r="CJ27" s="39" t="n"/>
      <c r="CK27" s="39" t="n"/>
      <c r="CL27" s="39" t="n"/>
      <c r="CM27" s="39" t="n"/>
      <c r="CN27" s="39" t="n"/>
      <c r="CO27" s="39" t="n"/>
      <c r="CP27" s="39" t="n"/>
      <c r="CQ27" s="39" t="n"/>
      <c r="CR27" s="39" t="n"/>
      <c r="CS27" s="39" t="n"/>
      <c r="CT27" s="39" t="n"/>
      <c r="CU27" s="39" t="n"/>
      <c r="CV27" s="39" t="n"/>
      <c r="CW27" s="39" t="n"/>
      <c r="CX27" s="39" t="n"/>
      <c r="CY27" s="39" t="n"/>
    </row>
    <row r="28" outlineLevel="1" customFormat="1" s="43">
      <c r="A28" s="36" t="n"/>
      <c r="B28" s="37" t="n"/>
      <c r="C28" s="268" t="inlineStr">
        <is>
          <t>Receita líquida - Geração</t>
        </is>
      </c>
      <c r="D28" s="264" t="n"/>
      <c r="E28" s="264" t="n"/>
      <c r="F28" s="264" t="n"/>
      <c r="G28" s="264" t="n"/>
      <c r="H28" s="264" t="n"/>
      <c r="I28" s="264">
        <f>I29+I30</f>
        <v>505.6</v>
      </c>
      <c r="J28" s="264">
        <f>J29+J30</f>
        <v>409.3</v>
      </c>
      <c r="K28" s="264">
        <f>K29+K30</f>
        <v>410.326</v>
      </c>
      <c r="L28" s="264">
        <f>L29+L30</f>
        <v>519.1</v>
      </c>
      <c r="M28" s="264">
        <f>IF(COUNT(I28:L28)=4,SUM(I28:L28),"")</f>
        <v>1844.326</v>
      </c>
      <c r="N28" s="264">
        <f>N29+N30</f>
        <v>548.999</v>
      </c>
      <c r="O28" s="264">
        <f>O29+O30</f>
        <v>545.2</v>
      </c>
      <c r="P28" s="264">
        <f>P29+P30</f>
        <v>573.614</v>
      </c>
      <c r="Q28" s="264">
        <f>Q29+Q30</f>
        <v>588.1</v>
      </c>
      <c r="R28" s="264">
        <f>IF(COUNT(N28:Q28)=4,SUM(N28:Q28),"")</f>
        <v>2255.913</v>
      </c>
      <c r="S28" s="276" t="n">
        <v>1251.79668348</v>
      </c>
      <c r="T28" s="265" t="n">
        <v>1296.79528463</v>
      </c>
      <c r="U28" s="265" t="n">
        <v>1431.83645926</v>
      </c>
      <c r="V28" s="265" t="n">
        <v>1535.05802616</v>
      </c>
      <c r="W28" s="264">
        <f>IF(COUNT(S28:V28)=4,SUM(S28:V28),"")</f>
        <v>5515.48645353</v>
      </c>
      <c r="X28" s="265" t="n">
        <v>1326.17136281</v>
      </c>
      <c r="Y28" s="265" t="n">
        <v>1363.81715589</v>
      </c>
      <c r="Z28" s="265" t="n">
        <v>1603.12470733</v>
      </c>
      <c r="AA28" s="265" t="n">
        <v>1795.52331548</v>
      </c>
      <c r="AB28" s="264">
        <f>IF(COUNT(X28:AA28)=4,SUM(X28:AA28),"")</f>
        <v>6088.63654151</v>
      </c>
      <c r="AC28" s="265" t="n">
        <v>1621.001</v>
      </c>
      <c r="AD28" s="265" t="n">
        <v>1596.775</v>
      </c>
      <c r="AE28" s="265" t="n">
        <v>1636.05</v>
      </c>
      <c r="AF28" s="265" t="n">
        <v>1702.279</v>
      </c>
      <c r="AG28" s="264">
        <f>IF(COUNT(AC28:AF28)=4,SUM(AC28:AF28),"")</f>
        <v>6556.105</v>
      </c>
      <c r="AH28" s="265" t="n">
        <v>1734.43</v>
      </c>
      <c r="AI28" s="265" t="n">
        <v>1765.652</v>
      </c>
      <c r="AJ28" s="264" t="str">
        <f>IF(COUNT(AJ26,AJ27)=2,AJ26*AJ27/1000,"")</f>
        <v/>
      </c>
      <c r="AK28" s="264" t="str">
        <f>IF(COUNT(AK26,AK27)=2,AK26*AK27/1000,"")</f>
        <v/>
      </c>
      <c r="AL28" s="264" t="str">
        <f>IF(COUNT(AH28:AK28)=4,SUM(AH28:AK28),"")</f>
        <v/>
      </c>
      <c r="AM28" s="264" t="str">
        <f>IF(COUNT(AM26,AM27)=2,AM26*AM27/1000,"")</f>
        <v/>
      </c>
      <c r="AN28" s="264" t="str">
        <f>IF(COUNT(AN26,AN27)=2,AN26*AN27/1000,"")</f>
        <v/>
      </c>
      <c r="AO28" s="264" t="str">
        <f>IF(COUNT(AO26,AO27)=2,AO26*AO27/1000,"")</f>
        <v/>
      </c>
      <c r="AP28" s="264" t="str">
        <f>IF(COUNT(AP26,AP27)=2,AP26*AP27/1000,"")</f>
        <v/>
      </c>
      <c r="AQ28" s="264" t="str">
        <f>IF(COUNT(AM28:AP28)=4,SUM(AM28:AP28),"")</f>
        <v/>
      </c>
      <c r="AR28" s="264" t="str">
        <f>IF(COUNT(AR26,AR27)=2,AR26*AR27/1000,"")</f>
        <v/>
      </c>
      <c r="AS28" s="264" t="str">
        <f>IF(COUNT(AS26,AS27)=2,AS26*AS27/1000,"")</f>
        <v/>
      </c>
      <c r="AT28" s="264" t="str">
        <f>IF(COUNT(AT26,AT27)=2,AT26*AT27/1000,"")</f>
        <v/>
      </c>
      <c r="AU28" s="264" t="str">
        <f>IF(COUNT(AU26,AU27)=2,AU26*AU27/1000,"")</f>
        <v/>
      </c>
      <c r="AV28" s="264" t="str">
        <f>IF(COUNT(AR28:AU28)=4,SUM(AR28:AU28),"")</f>
        <v/>
      </c>
      <c r="AW28" s="264" t="str">
        <f>IF(COUNT(AW26,AW27)=2,AW26*AW27/1000,"")</f>
        <v/>
      </c>
      <c r="AX28" s="264" t="str">
        <f>IF(COUNT(AX26,AX27)=2,AX26*AX27/1000,"")</f>
        <v/>
      </c>
      <c r="AY28" s="264" t="str">
        <f>IF(COUNT(AY26,AY27)=2,AY26*AY27/1000,"")</f>
        <v/>
      </c>
      <c r="AZ28" s="264" t="str">
        <f>IF(COUNT(AZ26,AZ27)=2,AZ26*AZ27/1000,"")</f>
        <v/>
      </c>
      <c r="BA28" s="264" t="str">
        <f>IF(COUNT(AW28:AZ28)=4,SUM(AW28:AZ28),"")</f>
        <v/>
      </c>
      <c r="BB28" s="264" t="str">
        <f>IF(COUNT(BB26,BB27)=2,BB26*BB27/1000,"")</f>
        <v/>
      </c>
      <c r="BC28" s="264" t="str">
        <f>IF(COUNT(BC26,BC27)=2,BC26*BC27/1000,"")</f>
        <v/>
      </c>
      <c r="BD28" s="264" t="str">
        <f>IF(COUNT(BD26,BD27)=2,BD26*BD27/1000,"")</f>
        <v/>
      </c>
      <c r="BE28" s="264" t="str">
        <f>IF(COUNT(BE26,BE27)=2,BE26*BE27/1000,"")</f>
        <v/>
      </c>
      <c r="BF28" s="264" t="str">
        <f>IF(COUNT(BB28:BE28)=4,SUM(BB28:BE28),"")</f>
        <v/>
      </c>
      <c r="BG28" s="39" t="n"/>
      <c r="BH28" s="39" t="n"/>
      <c r="BI28" s="39" t="n"/>
      <c r="BJ28" s="39" t="n"/>
      <c r="BK28" s="39" t="n"/>
      <c r="BL28" s="39" t="n"/>
      <c r="BM28" s="39" t="n"/>
      <c r="BN28" s="39" t="n"/>
      <c r="BO28" s="39" t="n"/>
      <c r="BP28" s="39" t="n"/>
      <c r="BQ28" s="39" t="n"/>
      <c r="BR28" s="39" t="n"/>
      <c r="BS28" s="39" t="n"/>
      <c r="BT28" s="39" t="n"/>
      <c r="BU28" s="39" t="n"/>
      <c r="BV28" s="39" t="n"/>
      <c r="BW28" s="39" t="n"/>
      <c r="BX28" s="39" t="n"/>
      <c r="BY28" s="39" t="n"/>
      <c r="BZ28" s="39" t="n"/>
      <c r="CA28" s="39" t="n"/>
      <c r="CB28" s="39" t="n"/>
      <c r="CC28" s="39" t="n"/>
      <c r="CD28" s="39" t="n"/>
      <c r="CE28" s="39" t="n"/>
      <c r="CF28" s="39" t="n"/>
      <c r="CG28" s="39" t="n"/>
      <c r="CH28" s="39" t="n"/>
      <c r="CI28" s="39" t="n"/>
      <c r="CJ28" s="39" t="n"/>
      <c r="CK28" s="39" t="n"/>
      <c r="CL28" s="39" t="n"/>
      <c r="CM28" s="39" t="n"/>
      <c r="CN28" s="39" t="n"/>
      <c r="CO28" s="39" t="n"/>
      <c r="CP28" s="39" t="n"/>
      <c r="CQ28" s="39" t="n"/>
      <c r="CR28" s="39" t="n"/>
      <c r="CS28" s="39" t="n"/>
      <c r="CT28" s="39" t="n"/>
      <c r="CU28" s="39" t="n"/>
      <c r="CV28" s="39" t="n"/>
      <c r="CW28" s="39" t="n"/>
      <c r="CX28" s="39" t="n"/>
      <c r="CY28" s="39" t="n"/>
    </row>
    <row r="29" outlineLevel="1" customFormat="1" s="43">
      <c r="A29" s="36" t="n"/>
      <c r="B29" s="37" t="n"/>
      <c r="C29" s="269" t="inlineStr">
        <is>
          <t>Hidrelétrica</t>
        </is>
      </c>
      <c r="D29" s="253" t="n"/>
      <c r="E29" s="253" t="n"/>
      <c r="F29" s="253" t="n"/>
      <c r="G29" s="253" t="n"/>
      <c r="H29" s="253" t="n"/>
      <c r="I29" s="255" t="n">
        <v>402.9</v>
      </c>
      <c r="J29" s="254" t="n">
        <v>353.4</v>
      </c>
      <c r="K29" s="254" t="n">
        <v>366.194</v>
      </c>
      <c r="L29" s="254" t="n">
        <v>390.5</v>
      </c>
      <c r="M29" s="253">
        <f>IF(COUNT(I29:L29)=4,SUM(I29:L29),"")</f>
        <v>1512.994</v>
      </c>
      <c r="N29" s="254" t="n">
        <v>434.56</v>
      </c>
      <c r="O29" s="254" t="n">
        <v>409.8</v>
      </c>
      <c r="P29" s="254" t="n">
        <v>424.63</v>
      </c>
      <c r="Q29" s="254" t="n">
        <v>436.1</v>
      </c>
      <c r="R29" s="253">
        <f>IF(COUNT(N29:Q29)=4,SUM(N29:Q29),"")</f>
        <v>1705.09</v>
      </c>
      <c r="S29" s="277" t="n"/>
      <c r="T29" s="253" t="n"/>
      <c r="U29" s="253" t="n"/>
      <c r="V29" s="253" t="n"/>
      <c r="W29" s="253" t="str">
        <f>IF(COUNT(S29:V29)=4,SUM(S29:V29),"")</f>
        <v/>
      </c>
      <c r="X29" s="253" t="n"/>
      <c r="Y29" s="253" t="n"/>
      <c r="Z29" s="253" t="n"/>
      <c r="AA29" s="253" t="n"/>
      <c r="AB29" s="253" t="str">
        <f>IF(COUNT(X29:AA29)=4,SUM(X29:AA29),"")</f>
        <v/>
      </c>
      <c r="AC29" s="254" t="n">
        <v>989.3150000000001</v>
      </c>
      <c r="AD29" s="254" t="n">
        <v>1025.678</v>
      </c>
      <c r="AE29" s="254" t="n">
        <v>1036.118</v>
      </c>
      <c r="AF29" s="254" t="n">
        <v>1146.635</v>
      </c>
      <c r="AG29" s="253">
        <f>IF(COUNT(AC29:AF29)=4,SUM(AC29:AF29),"")</f>
        <v>4197.746</v>
      </c>
      <c r="AH29" s="254" t="n">
        <v>1026.504</v>
      </c>
      <c r="AI29" s="254" t="n">
        <v>1001.865</v>
      </c>
      <c r="AJ29" s="253" t="n"/>
      <c r="AK29" s="253" t="n"/>
      <c r="AL29" s="253" t="str">
        <f>IF(COUNT(AH29:AK29)=4,SUM(AH29:AK29),"")</f>
        <v/>
      </c>
      <c r="AM29" s="253" t="n"/>
      <c r="AN29" s="253" t="n"/>
      <c r="AO29" s="253" t="n"/>
      <c r="AP29" s="253" t="n"/>
      <c r="AQ29" s="253" t="str">
        <f>IF(COUNT(AM29:AP29)=4,SUM(AM29:AP29),"")</f>
        <v/>
      </c>
      <c r="AR29" s="253" t="n"/>
      <c r="AS29" s="253" t="n"/>
      <c r="AT29" s="253" t="n"/>
      <c r="AU29" s="253" t="n"/>
      <c r="AV29" s="253" t="str">
        <f>IF(COUNT(AR29:AU29)=4,SUM(AR29:AU29),"")</f>
        <v/>
      </c>
      <c r="AW29" s="253" t="n"/>
      <c r="AX29" s="253" t="n"/>
      <c r="AY29" s="253" t="n"/>
      <c r="AZ29" s="253" t="n"/>
      <c r="BA29" s="253" t="str">
        <f>IF(COUNT(AW29:AZ29)=4,SUM(AW29:AZ29),"")</f>
        <v/>
      </c>
      <c r="BB29" s="253" t="n"/>
      <c r="BC29" s="253" t="n"/>
      <c r="BD29" s="253" t="n"/>
      <c r="BE29" s="253" t="n"/>
      <c r="BF29" s="253" t="str">
        <f>IF(COUNT(BB29:BE29)=4,SUM(BB29:BE29),"")</f>
        <v/>
      </c>
      <c r="BG29" s="39" t="n"/>
      <c r="BH29" s="39" t="n"/>
      <c r="BI29" s="39" t="n"/>
      <c r="BJ29" s="39" t="n"/>
      <c r="BK29" s="39" t="n"/>
      <c r="BL29" s="39" t="n"/>
      <c r="BM29" s="39" t="n"/>
      <c r="BN29" s="39" t="n"/>
      <c r="BO29" s="39" t="n"/>
      <c r="BP29" s="39" t="n"/>
      <c r="BQ29" s="39" t="n"/>
      <c r="BR29" s="39" t="n"/>
      <c r="BS29" s="39" t="n"/>
      <c r="BT29" s="39" t="n"/>
      <c r="BU29" s="39" t="n"/>
      <c r="BV29" s="39" t="n"/>
      <c r="BW29" s="39" t="n"/>
      <c r="BX29" s="39" t="n"/>
      <c r="BY29" s="39" t="n"/>
      <c r="BZ29" s="39" t="n"/>
      <c r="CA29" s="39" t="n"/>
      <c r="CB29" s="39" t="n"/>
      <c r="CC29" s="39" t="n"/>
      <c r="CD29" s="39" t="n"/>
      <c r="CE29" s="39" t="n"/>
      <c r="CF29" s="39" t="n"/>
      <c r="CG29" s="39" t="n"/>
      <c r="CH29" s="39" t="n"/>
      <c r="CI29" s="39" t="n"/>
      <c r="CJ29" s="39" t="n"/>
      <c r="CK29" s="39" t="n"/>
      <c r="CL29" s="39" t="n"/>
      <c r="CM29" s="39" t="n"/>
      <c r="CN29" s="39" t="n"/>
      <c r="CO29" s="39" t="n"/>
      <c r="CP29" s="39" t="n"/>
      <c r="CQ29" s="39" t="n"/>
      <c r="CR29" s="39" t="n"/>
      <c r="CS29" s="39" t="n"/>
      <c r="CT29" s="39" t="n"/>
      <c r="CU29" s="39" t="n"/>
      <c r="CV29" s="39" t="n"/>
      <c r="CW29" s="39" t="n"/>
      <c r="CX29" s="39" t="n"/>
      <c r="CY29" s="39" t="n"/>
    </row>
    <row r="30" outlineLevel="1" customFormat="1" s="43">
      <c r="A30" s="36" t="n"/>
      <c r="B30" s="37" t="n"/>
      <c r="C30" s="269" t="inlineStr">
        <is>
          <t>Eólica</t>
        </is>
      </c>
      <c r="D30" s="253" t="n"/>
      <c r="E30" s="253" t="n"/>
      <c r="F30" s="253" t="n"/>
      <c r="G30" s="253" t="n"/>
      <c r="H30" s="253" t="n"/>
      <c r="I30" s="255" t="n">
        <v>102.7</v>
      </c>
      <c r="J30" s="254" t="n">
        <v>55.9</v>
      </c>
      <c r="K30" s="254" t="n">
        <v>44.132</v>
      </c>
      <c r="L30" s="254" t="n">
        <v>128.6</v>
      </c>
      <c r="M30" s="253">
        <f>IF(COUNT(I30:L30)=4,SUM(I30:L30),"")</f>
        <v>331.332</v>
      </c>
      <c r="N30" s="254" t="n">
        <v>114.439</v>
      </c>
      <c r="O30" s="254" t="n">
        <v>135.4</v>
      </c>
      <c r="P30" s="254" t="n">
        <v>148.984</v>
      </c>
      <c r="Q30" s="254" t="n">
        <v>152</v>
      </c>
      <c r="R30" s="253">
        <f>IF(COUNT(N30:Q30)=4,SUM(N30:Q30),"")</f>
        <v>550.823</v>
      </c>
      <c r="S30" s="277" t="n"/>
      <c r="T30" s="253" t="n"/>
      <c r="U30" s="253" t="n"/>
      <c r="V30" s="253" t="n"/>
      <c r="W30" s="253" t="str">
        <f>IF(COUNT(S30:V30)=4,SUM(S30:V30),"")</f>
        <v/>
      </c>
      <c r="X30" s="253" t="n"/>
      <c r="Y30" s="253" t="n"/>
      <c r="Z30" s="253" t="n"/>
      <c r="AA30" s="253" t="n"/>
      <c r="AB30" s="253" t="str">
        <f>IF(COUNT(X30:AA30)=4,SUM(X30:AA30),"")</f>
        <v/>
      </c>
      <c r="AC30" s="254" t="n">
        <v>598.287</v>
      </c>
      <c r="AD30" s="254" t="n">
        <v>638.558</v>
      </c>
      <c r="AE30" s="254" t="n">
        <v>625.168</v>
      </c>
      <c r="AF30" s="254" t="n">
        <v>619.044</v>
      </c>
      <c r="AG30" s="253">
        <f>IF(COUNT(AC30:AF30)=4,SUM(AC30:AF30),"")</f>
        <v>2481.057</v>
      </c>
      <c r="AH30" s="254" t="n">
        <v>620.8680000000001</v>
      </c>
      <c r="AI30" s="254" t="n">
        <v>697.722</v>
      </c>
      <c r="AJ30" s="253" t="n"/>
      <c r="AK30" s="253" t="n"/>
      <c r="AL30" s="253" t="str">
        <f>IF(COUNT(AH30:AK30)=4,SUM(AH30:AK30),"")</f>
        <v/>
      </c>
      <c r="AM30" s="253" t="n"/>
      <c r="AN30" s="253" t="n"/>
      <c r="AO30" s="253" t="n"/>
      <c r="AP30" s="253" t="n"/>
      <c r="AQ30" s="253" t="str">
        <f>IF(COUNT(AM30:AP30)=4,SUM(AM30:AP30),"")</f>
        <v/>
      </c>
      <c r="AR30" s="253" t="n"/>
      <c r="AS30" s="253" t="n"/>
      <c r="AT30" s="253" t="n"/>
      <c r="AU30" s="253" t="n"/>
      <c r="AV30" s="253" t="str">
        <f>IF(COUNT(AR30:AU30)=4,SUM(AR30:AU30),"")</f>
        <v/>
      </c>
      <c r="AW30" s="253" t="n"/>
      <c r="AX30" s="253" t="n"/>
      <c r="AY30" s="253" t="n"/>
      <c r="AZ30" s="253" t="n"/>
      <c r="BA30" s="253" t="str">
        <f>IF(COUNT(AW30:AZ30)=4,SUM(AW30:AZ30),"")</f>
        <v/>
      </c>
      <c r="BB30" s="253" t="n"/>
      <c r="BC30" s="253" t="n"/>
      <c r="BD30" s="253" t="n"/>
      <c r="BE30" s="253" t="n"/>
      <c r="BF30" s="253" t="str">
        <f>IF(COUNT(BB30:BE30)=4,SUM(BB30:BE30),"")</f>
        <v/>
      </c>
      <c r="BG30" s="39" t="n"/>
      <c r="BH30" s="39" t="n"/>
      <c r="BI30" s="39" t="n"/>
      <c r="BJ30" s="39" t="n"/>
      <c r="BK30" s="39" t="n"/>
      <c r="BL30" s="39" t="n"/>
      <c r="BM30" s="39" t="n"/>
      <c r="BN30" s="39" t="n"/>
      <c r="BO30" s="39" t="n"/>
      <c r="BP30" s="39" t="n"/>
      <c r="BQ30" s="39" t="n"/>
      <c r="BR30" s="39" t="n"/>
      <c r="BS30" s="39" t="n"/>
      <c r="BT30" s="39" t="n"/>
      <c r="BU30" s="39" t="n"/>
      <c r="BV30" s="39" t="n"/>
      <c r="BW30" s="39" t="n"/>
      <c r="BX30" s="39" t="n"/>
      <c r="BY30" s="39" t="n"/>
      <c r="BZ30" s="39" t="n"/>
      <c r="CA30" s="39" t="n"/>
      <c r="CB30" s="39" t="n"/>
      <c r="CC30" s="39" t="n"/>
      <c r="CD30" s="39" t="n"/>
      <c r="CE30" s="39" t="n"/>
      <c r="CF30" s="39" t="n"/>
      <c r="CG30" s="39" t="n"/>
      <c r="CH30" s="39" t="n"/>
      <c r="CI30" s="39" t="n"/>
      <c r="CJ30" s="39" t="n"/>
      <c r="CK30" s="39" t="n"/>
      <c r="CL30" s="39" t="n"/>
      <c r="CM30" s="39" t="n"/>
      <c r="CN30" s="39" t="n"/>
      <c r="CO30" s="39" t="n"/>
      <c r="CP30" s="39" t="n"/>
      <c r="CQ30" s="39" t="n"/>
      <c r="CR30" s="39" t="n"/>
      <c r="CS30" s="39" t="n"/>
      <c r="CT30" s="39" t="n"/>
      <c r="CU30" s="39" t="n"/>
      <c r="CV30" s="39" t="n"/>
      <c r="CW30" s="39" t="n"/>
      <c r="CX30" s="39" t="n"/>
      <c r="CY30" s="39" t="n"/>
    </row>
    <row r="31" outlineLevel="1" customFormat="1" s="43">
      <c r="A31" s="36" t="n"/>
      <c r="B31" s="37" t="n"/>
      <c r="C31" s="269" t="inlineStr">
        <is>
          <t>Solar</t>
        </is>
      </c>
      <c r="D31" s="253" t="n"/>
      <c r="E31" s="253" t="n"/>
      <c r="F31" s="253" t="n"/>
      <c r="G31" s="253" t="n"/>
      <c r="H31" s="253" t="n"/>
      <c r="I31" s="253" t="n"/>
      <c r="J31" s="253" t="n"/>
      <c r="K31" s="253" t="n"/>
      <c r="L31" s="253" t="n"/>
      <c r="M31" s="253" t="str">
        <f>IF(COUNT(I31:L31)=4,SUM(I31:L31),"")</f>
        <v/>
      </c>
      <c r="N31" s="253" t="n"/>
      <c r="O31" s="253" t="n"/>
      <c r="P31" s="253" t="n"/>
      <c r="Q31" s="253" t="n"/>
      <c r="R31" s="253" t="str">
        <f>IF(COUNT(N31:Q31)=4,SUM(N31:Q31),"")</f>
        <v/>
      </c>
      <c r="S31" s="277" t="n"/>
      <c r="T31" s="253" t="n"/>
      <c r="U31" s="253" t="n"/>
      <c r="V31" s="253" t="n"/>
      <c r="W31" s="253" t="str">
        <f>IF(COUNT(S31:V31)=4,SUM(S31:V31),"")</f>
        <v/>
      </c>
      <c r="X31" s="253" t="n"/>
      <c r="Y31" s="253" t="n"/>
      <c r="Z31" s="253" t="n"/>
      <c r="AA31" s="253" t="n"/>
      <c r="AB31" s="253" t="str">
        <f>IF(COUNT(X31:AA31)=4,SUM(X31:AA31),"")</f>
        <v/>
      </c>
      <c r="AC31" s="254" t="n">
        <v>130.587</v>
      </c>
      <c r="AD31" s="254" t="n">
        <v>107.332</v>
      </c>
      <c r="AE31" s="254" t="n">
        <v>134.956</v>
      </c>
      <c r="AF31" s="254" t="n">
        <v>112.189</v>
      </c>
      <c r="AG31" s="253">
        <f>IF(COUNT(AC31:AF31)=4,SUM(AC31:AF31),"")</f>
        <v>485.064</v>
      </c>
      <c r="AH31" s="254" t="n">
        <v>133.372</v>
      </c>
      <c r="AI31" s="254" t="n">
        <v>101.595</v>
      </c>
      <c r="AJ31" s="253" t="n"/>
      <c r="AK31" s="253" t="n"/>
      <c r="AL31" s="253" t="str">
        <f>IF(COUNT(AH31:AK31)=4,SUM(AH31:AK31),"")</f>
        <v/>
      </c>
      <c r="AM31" s="253" t="n"/>
      <c r="AN31" s="253" t="n"/>
      <c r="AO31" s="253" t="n"/>
      <c r="AP31" s="253" t="n"/>
      <c r="AQ31" s="253" t="str">
        <f>IF(COUNT(AM31:AP31)=4,SUM(AM31:AP31),"")</f>
        <v/>
      </c>
      <c r="AR31" s="253" t="n"/>
      <c r="AS31" s="253" t="n"/>
      <c r="AT31" s="253" t="n"/>
      <c r="AU31" s="253" t="n"/>
      <c r="AV31" s="253" t="str">
        <f>IF(COUNT(AR31:AU31)=4,SUM(AR31:AU31),"")</f>
        <v/>
      </c>
      <c r="AW31" s="253" t="n"/>
      <c r="AX31" s="253" t="n"/>
      <c r="AY31" s="253" t="n"/>
      <c r="AZ31" s="253" t="n"/>
      <c r="BA31" s="253" t="str">
        <f>IF(COUNT(AW31:AZ31)=4,SUM(AW31:AZ31),"")</f>
        <v/>
      </c>
      <c r="BB31" s="253" t="n"/>
      <c r="BC31" s="253" t="n"/>
      <c r="BD31" s="253" t="n"/>
      <c r="BE31" s="253" t="n"/>
      <c r="BF31" s="253" t="str">
        <f>IF(COUNT(BB31:BE31)=4,SUM(BB31:BE31),"")</f>
        <v/>
      </c>
      <c r="BG31" s="39" t="n"/>
      <c r="BH31" s="39" t="n"/>
      <c r="BI31" s="39" t="n"/>
      <c r="BJ31" s="39" t="n"/>
      <c r="BK31" s="39" t="n"/>
      <c r="BL31" s="39" t="n"/>
      <c r="BM31" s="39" t="n"/>
      <c r="BN31" s="39" t="n"/>
      <c r="BO31" s="39" t="n"/>
      <c r="BP31" s="39" t="n"/>
      <c r="BQ31" s="39" t="n"/>
      <c r="BR31" s="39" t="n"/>
      <c r="BS31" s="39" t="n"/>
      <c r="BT31" s="39" t="n"/>
      <c r="BU31" s="39" t="n"/>
      <c r="BV31" s="39" t="n"/>
      <c r="BW31" s="39" t="n"/>
      <c r="BX31" s="39" t="n"/>
      <c r="BY31" s="39" t="n"/>
      <c r="BZ31" s="39" t="n"/>
      <c r="CA31" s="39" t="n"/>
      <c r="CB31" s="39" t="n"/>
      <c r="CC31" s="39" t="n"/>
      <c r="CD31" s="39" t="n"/>
      <c r="CE31" s="39" t="n"/>
      <c r="CF31" s="39" t="n"/>
      <c r="CG31" s="39" t="n"/>
      <c r="CH31" s="39" t="n"/>
      <c r="CI31" s="39" t="n"/>
      <c r="CJ31" s="39" t="n"/>
      <c r="CK31" s="39" t="n"/>
      <c r="CL31" s="39" t="n"/>
      <c r="CM31" s="39" t="n"/>
      <c r="CN31" s="39" t="n"/>
      <c r="CO31" s="39" t="n"/>
      <c r="CP31" s="39" t="n"/>
      <c r="CQ31" s="39" t="n"/>
      <c r="CR31" s="39" t="n"/>
      <c r="CS31" s="39" t="n"/>
      <c r="CT31" s="39" t="n"/>
      <c r="CU31" s="39" t="n"/>
      <c r="CV31" s="39" t="n"/>
      <c r="CW31" s="39" t="n"/>
      <c r="CX31" s="39" t="n"/>
      <c r="CY31" s="39" t="n"/>
    </row>
    <row r="32" outlineLevel="1" customFormat="1" s="43">
      <c r="A32" s="36" t="n"/>
      <c r="B32" s="37" t="n"/>
      <c r="C32" s="269" t="inlineStr">
        <is>
          <t>Eliminações da geração</t>
        </is>
      </c>
      <c r="D32" s="253" t="n"/>
      <c r="E32" s="253" t="n"/>
      <c r="F32" s="253" t="n"/>
      <c r="G32" s="253" t="n"/>
      <c r="H32" s="253" t="n"/>
      <c r="I32" s="253" t="n"/>
      <c r="J32" s="253" t="n"/>
      <c r="K32" s="253" t="n"/>
      <c r="L32" s="253" t="n"/>
      <c r="M32" s="253" t="str">
        <f>IF(COUNT(I32:L32)=4,SUM(I32:L32),"")</f>
        <v/>
      </c>
      <c r="N32" s="253" t="n"/>
      <c r="O32" s="253" t="n"/>
      <c r="P32" s="253" t="n"/>
      <c r="Q32" s="253" t="n"/>
      <c r="R32" s="253" t="str">
        <f>IF(COUNT(N32:Q32)=4,SUM(N32:Q32),"")</f>
        <v/>
      </c>
      <c r="S32" s="277" t="n"/>
      <c r="T32" s="253" t="n"/>
      <c r="U32" s="253" t="n"/>
      <c r="V32" s="253" t="n"/>
      <c r="W32" s="253" t="str">
        <f>IF(COUNT(S32:V32)=4,SUM(S32:V32),"")</f>
        <v/>
      </c>
      <c r="X32" s="253" t="n"/>
      <c r="Y32" s="253" t="n"/>
      <c r="Z32" s="253" t="n"/>
      <c r="AA32" s="253" t="n"/>
      <c r="AB32" s="253" t="str">
        <f>IF(COUNT(X32:AA32)=4,SUM(X32:AA32),"")</f>
        <v/>
      </c>
      <c r="AC32" s="253">
        <f>AC28-AC29-AC30-AC31</f>
        <v>-97.1880000000001</v>
      </c>
      <c r="AD32" s="253">
        <f>AD28-AD29-AD30-AD31</f>
        <v>-174.793</v>
      </c>
      <c r="AE32" s="253">
        <f>AE28-AE29-AE30-AE31</f>
        <v>-160.192</v>
      </c>
      <c r="AF32" s="253">
        <f>AF28-AF29-AF30-AF31</f>
        <v>-175.589</v>
      </c>
      <c r="AG32" s="253">
        <f>IF(COUNT(AC32:AF32)=4,SUM(AC32:AF32),"")</f>
        <v>-607.762</v>
      </c>
      <c r="AH32" s="253">
        <f>AH28-AH29-AH30-AH31</f>
        <v>-46.3139999999999</v>
      </c>
      <c r="AI32" s="253">
        <f>AI28-AI29-AI30-AI31</f>
        <v>-35.5299999999999</v>
      </c>
      <c r="AJ32" s="253" t="n"/>
      <c r="AK32" s="253" t="n"/>
      <c r="AL32" s="253" t="str">
        <f>IF(COUNT(AH32:AK32)=4,SUM(AH32:AK32),"")</f>
        <v/>
      </c>
      <c r="AM32" s="253" t="n"/>
      <c r="AN32" s="253" t="n"/>
      <c r="AO32" s="253" t="n"/>
      <c r="AP32" s="253" t="n"/>
      <c r="AQ32" s="253" t="str">
        <f>IF(COUNT(AM32:AP32)=4,SUM(AM32:AP32),"")</f>
        <v/>
      </c>
      <c r="AR32" s="253" t="n"/>
      <c r="AS32" s="253" t="n"/>
      <c r="AT32" s="253" t="n"/>
      <c r="AU32" s="253" t="n"/>
      <c r="AV32" s="253" t="str">
        <f>IF(COUNT(AR32:AU32)=4,SUM(AR32:AU32),"")</f>
        <v/>
      </c>
      <c r="AW32" s="253" t="n"/>
      <c r="AX32" s="253" t="n"/>
      <c r="AY32" s="253" t="n"/>
      <c r="AZ32" s="253" t="n"/>
      <c r="BA32" s="253" t="str">
        <f>IF(COUNT(AW32:AZ32)=4,SUM(AW32:AZ32),"")</f>
        <v/>
      </c>
      <c r="BB32" s="253" t="n"/>
      <c r="BC32" s="253" t="n"/>
      <c r="BD32" s="253" t="n"/>
      <c r="BE32" s="253" t="n"/>
      <c r="BF32" s="253" t="str">
        <f>IF(COUNT(BB32:BE32)=4,SUM(BB32:BE32),"")</f>
        <v/>
      </c>
      <c r="BG32" s="39" t="n"/>
      <c r="BH32" s="39" t="n"/>
      <c r="BI32" s="39" t="n"/>
      <c r="BJ32" s="39" t="n"/>
      <c r="BK32" s="39" t="n"/>
      <c r="BL32" s="39" t="n"/>
      <c r="BM32" s="39" t="n"/>
      <c r="BN32" s="39" t="n"/>
      <c r="BO32" s="39" t="n"/>
      <c r="BP32" s="39" t="n"/>
      <c r="BQ32" s="39" t="n"/>
      <c r="BR32" s="39" t="n"/>
      <c r="BS32" s="39" t="n"/>
      <c r="BT32" s="39" t="n"/>
      <c r="BU32" s="39" t="n"/>
      <c r="BV32" s="39" t="n"/>
      <c r="BW32" s="39" t="n"/>
      <c r="BX32" s="39" t="n"/>
      <c r="BY32" s="39" t="n"/>
      <c r="BZ32" s="39" t="n"/>
      <c r="CA32" s="39" t="n"/>
      <c r="CB32" s="39" t="n"/>
      <c r="CC32" s="39" t="n"/>
      <c r="CD32" s="39" t="n"/>
      <c r="CE32" s="39" t="n"/>
      <c r="CF32" s="39" t="n"/>
      <c r="CG32" s="39" t="n"/>
      <c r="CH32" s="39" t="n"/>
      <c r="CI32" s="39" t="n"/>
      <c r="CJ32" s="39" t="n"/>
      <c r="CK32" s="39" t="n"/>
      <c r="CL32" s="39" t="n"/>
      <c r="CM32" s="39" t="n"/>
      <c r="CN32" s="39" t="n"/>
      <c r="CO32" s="39" t="n"/>
      <c r="CP32" s="39" t="n"/>
      <c r="CQ32" s="39" t="n"/>
      <c r="CR32" s="39" t="n"/>
      <c r="CS32" s="39" t="n"/>
      <c r="CT32" s="39" t="n"/>
      <c r="CU32" s="39" t="n"/>
      <c r="CV32" s="39" t="n"/>
      <c r="CW32" s="39" t="n"/>
      <c r="CX32" s="39" t="n"/>
      <c r="CY32" s="39" t="n"/>
    </row>
    <row r="33" outlineLevel="1" customFormat="1" s="43">
      <c r="A33" s="36" t="n"/>
      <c r="B33" s="37" t="n"/>
      <c r="C33" s="263" t="inlineStr">
        <is>
          <t>Comercialização</t>
        </is>
      </c>
      <c r="D33" s="264" t="n"/>
      <c r="E33" s="264" t="n"/>
      <c r="F33" s="264" t="n"/>
      <c r="G33" s="264" t="n"/>
      <c r="H33" s="264" t="n"/>
      <c r="I33" s="264" t="n"/>
      <c r="J33" s="264" t="n"/>
      <c r="K33" s="264" t="n"/>
      <c r="L33" s="264" t="n"/>
      <c r="M33" s="264" t="n"/>
      <c r="N33" s="264" t="n"/>
      <c r="O33" s="264" t="n"/>
      <c r="P33" s="264" t="n"/>
      <c r="Q33" s="264" t="n"/>
      <c r="R33" s="264" t="n"/>
      <c r="S33" s="273" t="n"/>
      <c r="T33" s="264" t="n"/>
      <c r="U33" s="264" t="n"/>
      <c r="V33" s="264" t="n"/>
      <c r="W33" s="264" t="n"/>
      <c r="X33" s="264" t="n"/>
      <c r="Y33" s="264" t="n"/>
      <c r="Z33" s="264" t="n"/>
      <c r="AA33" s="264" t="n"/>
      <c r="AB33" s="264" t="n"/>
      <c r="AC33" s="264" t="n"/>
      <c r="AD33" s="264" t="n"/>
      <c r="AE33" s="264" t="n"/>
      <c r="AF33" s="264" t="n"/>
      <c r="AG33" s="264" t="n"/>
      <c r="AH33" s="264" t="n"/>
      <c r="AI33" s="264" t="n"/>
      <c r="AJ33" s="264" t="n"/>
      <c r="AK33" s="264" t="n"/>
      <c r="AL33" s="264" t="n"/>
      <c r="AM33" s="264" t="n"/>
      <c r="AN33" s="264" t="n"/>
      <c r="AO33" s="264" t="n"/>
      <c r="AP33" s="264" t="n"/>
      <c r="AQ33" s="264" t="n"/>
      <c r="AR33" s="264" t="n"/>
      <c r="AS33" s="264" t="n"/>
      <c r="AT33" s="264" t="n"/>
      <c r="AU33" s="264" t="n"/>
      <c r="AV33" s="264" t="n"/>
      <c r="AW33" s="264" t="n"/>
      <c r="AX33" s="264" t="n"/>
      <c r="AY33" s="264" t="n"/>
      <c r="AZ33" s="264" t="n"/>
      <c r="BA33" s="264" t="n"/>
      <c r="BB33" s="264" t="n"/>
      <c r="BC33" s="264" t="n"/>
      <c r="BD33" s="264" t="n"/>
      <c r="BE33" s="264" t="n"/>
      <c r="BF33" s="264" t="n"/>
      <c r="BG33" s="39" t="n"/>
      <c r="BH33" s="39" t="n"/>
      <c r="BI33" s="39" t="n"/>
      <c r="BJ33" s="39" t="n"/>
      <c r="BK33" s="39" t="n"/>
      <c r="BL33" s="39" t="n"/>
      <c r="BM33" s="39" t="n"/>
      <c r="BN33" s="39" t="n"/>
      <c r="BO33" s="39" t="n"/>
      <c r="BP33" s="39" t="n"/>
      <c r="BQ33" s="39" t="n"/>
      <c r="BR33" s="39" t="n"/>
      <c r="BS33" s="39" t="n"/>
      <c r="BT33" s="39" t="n"/>
      <c r="BU33" s="39" t="n"/>
      <c r="BV33" s="39" t="n"/>
      <c r="BW33" s="39" t="n"/>
      <c r="BX33" s="39" t="n"/>
      <c r="BY33" s="39" t="n"/>
      <c r="BZ33" s="39" t="n"/>
      <c r="CA33" s="39" t="n"/>
      <c r="CB33" s="39" t="n"/>
      <c r="CC33" s="39" t="n"/>
      <c r="CD33" s="39" t="n"/>
      <c r="CE33" s="39" t="n"/>
      <c r="CF33" s="39" t="n"/>
      <c r="CG33" s="39" t="n"/>
      <c r="CH33" s="39" t="n"/>
      <c r="CI33" s="39" t="n"/>
      <c r="CJ33" s="39" t="n"/>
      <c r="CK33" s="39" t="n"/>
      <c r="CL33" s="39" t="n"/>
      <c r="CM33" s="39" t="n"/>
      <c r="CN33" s="39" t="n"/>
      <c r="CO33" s="39" t="n"/>
      <c r="CP33" s="39" t="n"/>
      <c r="CQ33" s="39" t="n"/>
      <c r="CR33" s="39" t="n"/>
      <c r="CS33" s="39" t="n"/>
      <c r="CT33" s="39" t="n"/>
      <c r="CU33" s="39" t="n"/>
      <c r="CV33" s="39" t="n"/>
      <c r="CW33" s="39" t="n"/>
      <c r="CX33" s="39" t="n"/>
      <c r="CY33" s="39" t="n"/>
    </row>
    <row r="34" outlineLevel="1" customFormat="1" s="43">
      <c r="A34" s="36" t="n"/>
      <c r="B34" s="37" t="n"/>
      <c r="C34" s="267" t="inlineStr">
        <is>
          <t>Volume de vendas (MW médios)</t>
        </is>
      </c>
      <c r="D34" s="257" t="n"/>
      <c r="E34" s="257" t="n"/>
      <c r="F34" s="257" t="n"/>
      <c r="G34" s="257" t="n"/>
      <c r="H34" s="257" t="n"/>
      <c r="I34" s="257" t="n"/>
      <c r="J34" s="257" t="n"/>
      <c r="K34" s="257" t="n"/>
      <c r="L34" s="257" t="n"/>
      <c r="M34" s="257" t="str">
        <f>IF(COUNT(I34:L34)=4,SUMPRODUCT(I34:L34,I25:L25)/M25,"")</f>
        <v/>
      </c>
      <c r="N34" s="257" t="n"/>
      <c r="O34" s="257" t="n"/>
      <c r="P34" s="257" t="n"/>
      <c r="Q34" s="257" t="n"/>
      <c r="R34" s="257" t="str">
        <f>IF(COUNT(N34:Q34)=4,SUMPRODUCT(N34:Q34,N25:Q25)/R25,"")</f>
        <v/>
      </c>
      <c r="S34" s="274" t="n"/>
      <c r="T34" s="257" t="n"/>
      <c r="U34" s="257" t="n"/>
      <c r="V34" s="257" t="n"/>
      <c r="W34" s="257" t="str">
        <f>IF(COUNT(S34:V34)=4,SUMPRODUCT(S34:V34,S25:V25)/W25,"")</f>
        <v/>
      </c>
      <c r="X34" s="257" t="n"/>
      <c r="Y34" s="257" t="n"/>
      <c r="Z34" s="257" t="n"/>
      <c r="AA34" s="257" t="n"/>
      <c r="AB34" s="257" t="str">
        <f>IF(COUNT(X34:AA34)=4,SUMPRODUCT(X34:AA34,X25:AA25)/AB25,"")</f>
        <v/>
      </c>
      <c r="AC34" s="257" t="n"/>
      <c r="AD34" s="257" t="n"/>
      <c r="AE34" s="257" t="n"/>
      <c r="AF34" s="257" t="n"/>
      <c r="AG34" s="257" t="str">
        <f>IF(COUNT(AC34:AF34)=4,SUMPRODUCT(AC34:AF34,AC25:AF25)/AG25,"")</f>
        <v/>
      </c>
      <c r="AH34" s="257" t="n"/>
      <c r="AI34" s="257" t="n"/>
      <c r="AJ34" s="259" t="n"/>
      <c r="AK34" s="259" t="n"/>
      <c r="AL34" s="257" t="str">
        <f>IF(COUNT(AH34:AK34)=4,SUMPRODUCT(AH34:AK34,AH25:AK25)/AL25,"")</f>
        <v/>
      </c>
      <c r="AM34" s="259" t="n"/>
      <c r="AN34" s="259" t="n"/>
      <c r="AO34" s="259" t="n"/>
      <c r="AP34" s="259" t="n"/>
      <c r="AQ34" s="257" t="str">
        <f>IF(COUNT(AM34:AP34)=4,SUMPRODUCT(AM34:AP34,AM25:AP25)/AQ25,"")</f>
        <v/>
      </c>
      <c r="AR34" s="259" t="n"/>
      <c r="AS34" s="259" t="n"/>
      <c r="AT34" s="259" t="n"/>
      <c r="AU34" s="259" t="n"/>
      <c r="AV34" s="257" t="str">
        <f>IF(COUNT(AR34:AU34)=4,SUMPRODUCT(AR34:AU34,AR25:AU25)/AV25,"")</f>
        <v/>
      </c>
      <c r="AW34" s="259" t="n"/>
      <c r="AX34" s="259" t="n"/>
      <c r="AY34" s="259" t="n"/>
      <c r="AZ34" s="259" t="n"/>
      <c r="BA34" s="257" t="str">
        <f>IF(COUNT(AW34:AZ34)=4,SUMPRODUCT(AW34:AZ34,AW25:AZ25)/BA25,"")</f>
        <v/>
      </c>
      <c r="BB34" s="259" t="n"/>
      <c r="BC34" s="259" t="n"/>
      <c r="BD34" s="259" t="n"/>
      <c r="BE34" s="259" t="n"/>
      <c r="BF34" s="257" t="str">
        <f>IF(COUNT(BB34:BE34)=4,SUMPRODUCT(BB34:BE34,BB25:BE25)/BF25,"")</f>
        <v/>
      </c>
      <c r="BG34" s="39" t="n"/>
      <c r="BH34" s="39" t="n"/>
      <c r="BI34" s="39" t="n"/>
      <c r="BJ34" s="39" t="n"/>
      <c r="BK34" s="39" t="n"/>
      <c r="BL34" s="39" t="n"/>
      <c r="BM34" s="39" t="n"/>
      <c r="BN34" s="39" t="n"/>
      <c r="BO34" s="39" t="n"/>
      <c r="BP34" s="39" t="n"/>
      <c r="BQ34" s="39" t="n"/>
      <c r="BR34" s="39" t="n"/>
      <c r="BS34" s="39" t="n"/>
      <c r="BT34" s="39" t="n"/>
      <c r="BU34" s="39" t="n"/>
      <c r="BV34" s="39" t="n"/>
      <c r="BW34" s="39" t="n"/>
      <c r="BX34" s="39" t="n"/>
      <c r="BY34" s="39" t="n"/>
      <c r="BZ34" s="39" t="n"/>
      <c r="CA34" s="39" t="n"/>
      <c r="CB34" s="39" t="n"/>
      <c r="CC34" s="39" t="n"/>
      <c r="CD34" s="39" t="n"/>
      <c r="CE34" s="39" t="n"/>
      <c r="CF34" s="39" t="n"/>
      <c r="CG34" s="39" t="n"/>
      <c r="CH34" s="39" t="n"/>
      <c r="CI34" s="39" t="n"/>
      <c r="CJ34" s="39" t="n"/>
      <c r="CK34" s="39" t="n"/>
      <c r="CL34" s="39" t="n"/>
      <c r="CM34" s="39" t="n"/>
      <c r="CN34" s="39" t="n"/>
      <c r="CO34" s="39" t="n"/>
      <c r="CP34" s="39" t="n"/>
      <c r="CQ34" s="39" t="n"/>
      <c r="CR34" s="39" t="n"/>
      <c r="CS34" s="39" t="n"/>
      <c r="CT34" s="39" t="n"/>
      <c r="CU34" s="39" t="n"/>
      <c r="CV34" s="39" t="n"/>
      <c r="CW34" s="39" t="n"/>
      <c r="CX34" s="39" t="n"/>
      <c r="CY34" s="39" t="n"/>
    </row>
    <row r="35" outlineLevel="1" customFormat="1" s="43">
      <c r="A35" s="36" t="n"/>
      <c r="B35" s="37" t="n"/>
      <c r="C35" s="267" t="inlineStr">
        <is>
          <t>Preço médio de venda (R$/MWh)</t>
        </is>
      </c>
      <c r="D35" s="260" t="n"/>
      <c r="E35" s="260" t="n"/>
      <c r="F35" s="260" t="n"/>
      <c r="G35" s="260" t="n"/>
      <c r="H35" s="260" t="n"/>
      <c r="I35" s="260" t="n"/>
      <c r="J35" s="260" t="n"/>
      <c r="K35" s="260" t="n"/>
      <c r="L35" s="260" t="n"/>
      <c r="M35" s="260" t="str">
        <f>IFERROR(M36/(M34*M25)*1000000,"")</f>
        <v/>
      </c>
      <c r="N35" s="260" t="n"/>
      <c r="O35" s="260" t="n"/>
      <c r="P35" s="260" t="n"/>
      <c r="Q35" s="260" t="n"/>
      <c r="R35" s="260" t="str">
        <f>IFERROR(R36/(R34*R25)*1000000,"")</f>
        <v/>
      </c>
      <c r="S35" s="275" t="n"/>
      <c r="T35" s="260" t="n"/>
      <c r="U35" s="260" t="n"/>
      <c r="V35" s="260" t="n"/>
      <c r="W35" s="260" t="str">
        <f>IFERROR(W36/(W34*W25)*1000000,"")</f>
        <v/>
      </c>
      <c r="X35" s="260" t="n"/>
      <c r="Y35" s="260" t="n"/>
      <c r="Z35" s="260" t="n"/>
      <c r="AA35" s="260" t="n"/>
      <c r="AB35" s="260" t="str">
        <f>IFERROR(AB36/(AB34*AB25)*1000000,"")</f>
        <v/>
      </c>
      <c r="AC35" s="260" t="n"/>
      <c r="AD35" s="260" t="n"/>
      <c r="AE35" s="260" t="n"/>
      <c r="AF35" s="260" t="n"/>
      <c r="AG35" s="260" t="str">
        <f>IFERROR(AG36/(AG34*AG25)*1000000,"")</f>
        <v/>
      </c>
      <c r="AH35" s="260" t="n"/>
      <c r="AI35" s="260" t="n"/>
      <c r="AJ35" s="261" t="n"/>
      <c r="AK35" s="261" t="n"/>
      <c r="AL35" s="260" t="str">
        <f>IFERROR(AL36/(AL34*AL25)*1000000,"")</f>
        <v/>
      </c>
      <c r="AM35" s="261" t="n"/>
      <c r="AN35" s="261" t="n"/>
      <c r="AO35" s="261" t="n"/>
      <c r="AP35" s="261" t="n"/>
      <c r="AQ35" s="260" t="str">
        <f>IFERROR(AQ36/(AQ34*AQ25)*1000000,"")</f>
        <v/>
      </c>
      <c r="AR35" s="261" t="n"/>
      <c r="AS35" s="261" t="n"/>
      <c r="AT35" s="261" t="n"/>
      <c r="AU35" s="261" t="n"/>
      <c r="AV35" s="260" t="str">
        <f>IFERROR(AV36/(AV34*AV25)*1000000,"")</f>
        <v/>
      </c>
      <c r="AW35" s="261" t="n"/>
      <c r="AX35" s="261" t="n"/>
      <c r="AY35" s="261" t="n"/>
      <c r="AZ35" s="261" t="n"/>
      <c r="BA35" s="260" t="str">
        <f>IFERROR(BA36/(BA34*BA25)*1000000,"")</f>
        <v/>
      </c>
      <c r="BB35" s="261" t="n"/>
      <c r="BC35" s="261" t="n"/>
      <c r="BD35" s="261" t="n"/>
      <c r="BE35" s="261" t="n"/>
      <c r="BF35" s="260" t="str">
        <f>IFERROR(BF36/(BF34*BF25)*1000000,"")</f>
        <v/>
      </c>
      <c r="BG35" s="39" t="n"/>
      <c r="BH35" s="39" t="n"/>
      <c r="BI35" s="39" t="n"/>
      <c r="BJ35" s="39" t="n"/>
      <c r="BK35" s="39" t="n"/>
      <c r="BL35" s="39" t="n"/>
      <c r="BM35" s="39" t="n"/>
      <c r="BN35" s="39" t="n"/>
      <c r="BO35" s="39" t="n"/>
      <c r="BP35" s="39" t="n"/>
      <c r="BQ35" s="39" t="n"/>
      <c r="BR35" s="39" t="n"/>
      <c r="BS35" s="39" t="n"/>
      <c r="BT35" s="39" t="n"/>
      <c r="BU35" s="39" t="n"/>
      <c r="BV35" s="39" t="n"/>
      <c r="BW35" s="39" t="n"/>
      <c r="BX35" s="39" t="n"/>
      <c r="BY35" s="39" t="n"/>
      <c r="BZ35" s="39" t="n"/>
      <c r="CA35" s="39" t="n"/>
      <c r="CB35" s="39" t="n"/>
      <c r="CC35" s="39" t="n"/>
      <c r="CD35" s="39" t="n"/>
      <c r="CE35" s="39" t="n"/>
      <c r="CF35" s="39" t="n"/>
      <c r="CG35" s="39" t="n"/>
      <c r="CH35" s="39" t="n"/>
      <c r="CI35" s="39" t="n"/>
      <c r="CJ35" s="39" t="n"/>
      <c r="CK35" s="39" t="n"/>
      <c r="CL35" s="39" t="n"/>
      <c r="CM35" s="39" t="n"/>
      <c r="CN35" s="39" t="n"/>
      <c r="CO35" s="39" t="n"/>
      <c r="CP35" s="39" t="n"/>
      <c r="CQ35" s="39" t="n"/>
      <c r="CR35" s="39" t="n"/>
      <c r="CS35" s="39" t="n"/>
      <c r="CT35" s="39" t="n"/>
      <c r="CU35" s="39" t="n"/>
      <c r="CV35" s="39" t="n"/>
      <c r="CW35" s="39" t="n"/>
      <c r="CX35" s="39" t="n"/>
      <c r="CY35" s="39" t="n"/>
    </row>
    <row r="36" outlineLevel="1" customFormat="1" s="43">
      <c r="A36" s="36" t="n"/>
      <c r="B36" s="37" t="n"/>
      <c r="C36" s="268" t="inlineStr">
        <is>
          <t>Receita líquida - Comercialização</t>
        </is>
      </c>
      <c r="D36" s="264" t="n"/>
      <c r="E36" s="264" t="n"/>
      <c r="F36" s="264" t="n"/>
      <c r="G36" s="264" t="n"/>
      <c r="H36" s="264" t="n"/>
      <c r="I36" s="266" t="n">
        <v>1002.4</v>
      </c>
      <c r="J36" s="265" t="n">
        <v>999.8</v>
      </c>
      <c r="K36" s="265" t="n">
        <v>1599.608</v>
      </c>
      <c r="L36" s="265" t="n">
        <v>1462.9</v>
      </c>
      <c r="M36" s="264">
        <f>IF(COUNT(I36:L36)=4,SUM(I36:L36),"")</f>
        <v>5064.708</v>
      </c>
      <c r="N36" s="265" t="n">
        <v>1015.193</v>
      </c>
      <c r="O36" s="265" t="n">
        <v>956.7</v>
      </c>
      <c r="P36" s="265" t="n">
        <v>1218.969</v>
      </c>
      <c r="Q36" s="265" t="n">
        <v>1181</v>
      </c>
      <c r="R36" s="264">
        <f>IF(COUNT(N36:Q36)=4,SUM(N36:Q36),"")</f>
        <v>4371.862</v>
      </c>
      <c r="S36" s="276" t="n">
        <v>1074.1613712</v>
      </c>
      <c r="T36" s="265" t="n">
        <v>1089.08261923</v>
      </c>
      <c r="U36" s="265" t="n">
        <v>1328.44018125</v>
      </c>
      <c r="V36" s="265" t="n">
        <v>1416.61930635</v>
      </c>
      <c r="W36" s="264">
        <f>IF(COUNT(S36:V36)=4,SUM(S36:V36),"")</f>
        <v>4908.30347803</v>
      </c>
      <c r="X36" s="265" t="n">
        <v>1205.37616247</v>
      </c>
      <c r="Y36" s="265" t="n">
        <v>1231.04752943</v>
      </c>
      <c r="Z36" s="265" t="n">
        <v>2040.51438469</v>
      </c>
      <c r="AA36" s="265" t="n">
        <v>2602.85996758</v>
      </c>
      <c r="AB36" s="264">
        <f>IF(COUNT(X36:AA36)=4,SUM(X36:AA36),"")</f>
        <v>7079.79804417</v>
      </c>
      <c r="AC36" s="265" t="n">
        <v>1787.787</v>
      </c>
      <c r="AD36" s="265" t="n">
        <v>1894.174</v>
      </c>
      <c r="AE36" s="265" t="n">
        <v>2646.332</v>
      </c>
      <c r="AF36" s="265" t="n">
        <v>2916.108</v>
      </c>
      <c r="AG36" s="264">
        <f>IF(COUNT(AC36:AF36)=4,SUM(AC36:AF36),"")</f>
        <v>9244.401</v>
      </c>
      <c r="AH36" s="265" t="n">
        <v>2025.027</v>
      </c>
      <c r="AI36" s="265" t="n">
        <v>1999.532</v>
      </c>
      <c r="AJ36" s="264" t="str">
        <f>IF(COUNT(AJ34,AJ35)=2,AJ34*AJ25*AJ35/1000000,"")</f>
        <v/>
      </c>
      <c r="AK36" s="264" t="str">
        <f>IF(COUNT(AK34,AK35)=2,AK34*AK25*AK35/1000000,"")</f>
        <v/>
      </c>
      <c r="AL36" s="264" t="str">
        <f>IF(COUNT(AH36:AK36)=4,SUM(AH36:AK36),"")</f>
        <v/>
      </c>
      <c r="AM36" s="264" t="str">
        <f>IF(COUNT(AM34,AM35)=2,AM34*AM25*AM35/1000000,"")</f>
        <v/>
      </c>
      <c r="AN36" s="264" t="str">
        <f>IF(COUNT(AN34,AN35)=2,AN34*AN25*AN35/1000000,"")</f>
        <v/>
      </c>
      <c r="AO36" s="264" t="str">
        <f>IF(COUNT(AO34,AO35)=2,AO34*AO25*AO35/1000000,"")</f>
        <v/>
      </c>
      <c r="AP36" s="264" t="str">
        <f>IF(COUNT(AP34,AP35)=2,AP34*AP25*AP35/1000000,"")</f>
        <v/>
      </c>
      <c r="AQ36" s="264" t="str">
        <f>IF(COUNT(AM36:AP36)=4,SUM(AM36:AP36),"")</f>
        <v/>
      </c>
      <c r="AR36" s="264" t="str">
        <f>IF(COUNT(AR34,AR35)=2,AR34*AR25*AR35/1000000,"")</f>
        <v/>
      </c>
      <c r="AS36" s="264" t="str">
        <f>IF(COUNT(AS34,AS35)=2,AS34*AS25*AS35/1000000,"")</f>
        <v/>
      </c>
      <c r="AT36" s="264" t="str">
        <f>IF(COUNT(AT34,AT35)=2,AT34*AT25*AT35/1000000,"")</f>
        <v/>
      </c>
      <c r="AU36" s="264" t="str">
        <f>IF(COUNT(AU34,AU35)=2,AU34*AU25*AU35/1000000,"")</f>
        <v/>
      </c>
      <c r="AV36" s="264" t="str">
        <f>IF(COUNT(AR36:AU36)=4,SUM(AR36:AU36),"")</f>
        <v/>
      </c>
      <c r="AW36" s="264" t="str">
        <f>IF(COUNT(AW34,AW35)=2,AW34*AW25*AW35/1000000,"")</f>
        <v/>
      </c>
      <c r="AX36" s="264" t="str">
        <f>IF(COUNT(AX34,AX35)=2,AX34*AX25*AX35/1000000,"")</f>
        <v/>
      </c>
      <c r="AY36" s="264" t="str">
        <f>IF(COUNT(AY34,AY35)=2,AY34*AY25*AY35/1000000,"")</f>
        <v/>
      </c>
      <c r="AZ36" s="264" t="str">
        <f>IF(COUNT(AZ34,AZ35)=2,AZ34*AZ25*AZ35/1000000,"")</f>
        <v/>
      </c>
      <c r="BA36" s="264" t="str">
        <f>IF(COUNT(AW36:AZ36)=4,SUM(AW36:AZ36),"")</f>
        <v/>
      </c>
      <c r="BB36" s="264" t="str">
        <f>IF(COUNT(BB34,BB35)=2,BB34*BB25*BB35/1000000,"")</f>
        <v/>
      </c>
      <c r="BC36" s="264" t="str">
        <f>IF(COUNT(BC34,BC35)=2,BC34*BC25*BC35/1000000,"")</f>
        <v/>
      </c>
      <c r="BD36" s="264" t="str">
        <f>IF(COUNT(BD34,BD35)=2,BD34*BD25*BD35/1000000,"")</f>
        <v/>
      </c>
      <c r="BE36" s="264" t="str">
        <f>IF(COUNT(BE34,BE35)=2,BE34*BE25*BE35/1000000,"")</f>
        <v/>
      </c>
      <c r="BF36" s="264" t="str">
        <f>IF(COUNT(BB36:BE36)=4,SUM(BB36:BE36),"")</f>
        <v/>
      </c>
      <c r="BG36" s="39" t="n"/>
      <c r="BH36" s="39" t="n"/>
      <c r="BI36" s="39" t="n"/>
      <c r="BJ36" s="39" t="n"/>
      <c r="BK36" s="39" t="n"/>
      <c r="BL36" s="39" t="n"/>
      <c r="BM36" s="39" t="n"/>
      <c r="BN36" s="39" t="n"/>
      <c r="BO36" s="39" t="n"/>
      <c r="BP36" s="39" t="n"/>
      <c r="BQ36" s="39" t="n"/>
      <c r="BR36" s="39" t="n"/>
      <c r="BS36" s="39" t="n"/>
      <c r="BT36" s="39" t="n"/>
      <c r="BU36" s="39" t="n"/>
      <c r="BV36" s="39" t="n"/>
      <c r="BW36" s="39" t="n"/>
      <c r="BX36" s="39" t="n"/>
      <c r="BY36" s="39" t="n"/>
      <c r="BZ36" s="39" t="n"/>
      <c r="CA36" s="39" t="n"/>
      <c r="CB36" s="39" t="n"/>
      <c r="CC36" s="39" t="n"/>
      <c r="CD36" s="39" t="n"/>
      <c r="CE36" s="39" t="n"/>
      <c r="CF36" s="39" t="n"/>
      <c r="CG36" s="39" t="n"/>
      <c r="CH36" s="39" t="n"/>
      <c r="CI36" s="39" t="n"/>
      <c r="CJ36" s="39" t="n"/>
      <c r="CK36" s="39" t="n"/>
      <c r="CL36" s="39" t="n"/>
      <c r="CM36" s="39" t="n"/>
      <c r="CN36" s="39" t="n"/>
      <c r="CO36" s="39" t="n"/>
      <c r="CP36" s="39" t="n"/>
      <c r="CQ36" s="39" t="n"/>
      <c r="CR36" s="39" t="n"/>
      <c r="CS36" s="39" t="n"/>
      <c r="CT36" s="39" t="n"/>
      <c r="CU36" s="39" t="n"/>
      <c r="CV36" s="39" t="n"/>
      <c r="CW36" s="39" t="n"/>
      <c r="CX36" s="39" t="n"/>
      <c r="CY36" s="39" t="n"/>
    </row>
    <row r="37" outlineLevel="1" customFormat="1" s="43">
      <c r="A37" s="36" t="n"/>
      <c r="B37" s="37" t="n"/>
      <c r="C37" s="252" t="inlineStr">
        <is>
          <t>Holding e Pipeline (receita líquida)</t>
        </is>
      </c>
      <c r="D37" s="253" t="n"/>
      <c r="E37" s="253" t="n"/>
      <c r="F37" s="253" t="n"/>
      <c r="G37" s="253" t="n"/>
      <c r="H37" s="253" t="n"/>
      <c r="I37" s="253" t="n"/>
      <c r="J37" s="253" t="n"/>
      <c r="K37" s="253" t="n"/>
      <c r="L37" s="253" t="n"/>
      <c r="M37" s="253" t="str">
        <f>IF(COUNT(I37:L37)&gt;0,SUM(I37:L37),"")</f>
        <v/>
      </c>
      <c r="N37" s="253" t="n"/>
      <c r="O37" s="253" t="n"/>
      <c r="P37" s="253" t="n"/>
      <c r="Q37" s="253" t="n"/>
      <c r="R37" s="253" t="str">
        <f>IF(COUNT(N37:Q37)&gt;0,SUM(N37:Q37),"")</f>
        <v/>
      </c>
      <c r="S37" s="278" t="n">
        <v>18.236</v>
      </c>
      <c r="T37" s="254" t="n">
        <v>20.464</v>
      </c>
      <c r="U37" s="254" t="n">
        <v>20.352</v>
      </c>
      <c r="V37" s="254" t="n">
        <v>22.701</v>
      </c>
      <c r="W37" s="253">
        <f>IF(COUNT(S37:V37)&gt;0,SUM(S37:V37),"")</f>
        <v>81.753</v>
      </c>
      <c r="X37" s="253" t="n"/>
      <c r="Y37" s="253" t="n"/>
      <c r="Z37" s="253" t="n"/>
      <c r="AA37" s="253" t="n"/>
      <c r="AB37" s="253" t="str">
        <f>IF(COUNT(X37:AA37)&gt;0,SUM(X37:AA37),"")</f>
        <v/>
      </c>
      <c r="AC37" s="253" t="n"/>
      <c r="AD37" s="253" t="n"/>
      <c r="AE37" s="253" t="n"/>
      <c r="AF37" s="253" t="n"/>
      <c r="AG37" s="253" t="str">
        <f>IF(COUNT(AC37:AF37)&gt;0,SUM(AC37:AF37),"")</f>
        <v/>
      </c>
      <c r="AH37" s="253" t="n"/>
      <c r="AI37" s="253" t="n"/>
      <c r="AJ37" s="256" t="n"/>
      <c r="AK37" s="256" t="n"/>
      <c r="AL37" s="253" t="str">
        <f>IF(COUNT(AH37:AK37)&gt;0,SUM(AH37:AK37),"")</f>
        <v/>
      </c>
      <c r="AM37" s="256" t="n"/>
      <c r="AN37" s="256" t="n"/>
      <c r="AO37" s="256" t="n"/>
      <c r="AP37" s="256" t="n"/>
      <c r="AQ37" s="253" t="str">
        <f>IF(COUNT(AM37:AP37)&gt;0,SUM(AM37:AP37),"")</f>
        <v/>
      </c>
      <c r="AR37" s="256" t="n"/>
      <c r="AS37" s="256" t="n"/>
      <c r="AT37" s="256" t="n"/>
      <c r="AU37" s="256" t="n"/>
      <c r="AV37" s="253" t="str">
        <f>IF(COUNT(AR37:AU37)&gt;0,SUM(AR37:AU37),"")</f>
        <v/>
      </c>
      <c r="AW37" s="256" t="n"/>
      <c r="AX37" s="256" t="n"/>
      <c r="AY37" s="256" t="n"/>
      <c r="AZ37" s="256" t="n"/>
      <c r="BA37" s="253" t="str">
        <f>IF(COUNT(AW37:AZ37)&gt;0,SUM(AW37:AZ37),"")</f>
        <v/>
      </c>
      <c r="BB37" s="256" t="n"/>
      <c r="BC37" s="256" t="n"/>
      <c r="BD37" s="256" t="n"/>
      <c r="BE37" s="256" t="n"/>
      <c r="BF37" s="253" t="str">
        <f>IF(COUNT(BB37:BE37)&gt;0,SUM(BB37:BE37),"")</f>
        <v/>
      </c>
      <c r="BG37" s="39" t="n"/>
      <c r="BH37" s="39" t="n"/>
      <c r="BI37" s="39" t="n"/>
      <c r="BJ37" s="39" t="n"/>
      <c r="BK37" s="39" t="n"/>
      <c r="BL37" s="39" t="n"/>
      <c r="BM37" s="39" t="n"/>
      <c r="BN37" s="39" t="n"/>
      <c r="BO37" s="39" t="n"/>
      <c r="BP37" s="39" t="n"/>
      <c r="BQ37" s="39" t="n"/>
      <c r="BR37" s="39" t="n"/>
      <c r="BS37" s="39" t="n"/>
      <c r="BT37" s="39" t="n"/>
      <c r="BU37" s="39" t="n"/>
      <c r="BV37" s="39" t="n"/>
      <c r="BW37" s="39" t="n"/>
      <c r="BX37" s="39" t="n"/>
      <c r="BY37" s="39" t="n"/>
      <c r="BZ37" s="39" t="n"/>
      <c r="CA37" s="39" t="n"/>
      <c r="CB37" s="39" t="n"/>
      <c r="CC37" s="39" t="n"/>
      <c r="CD37" s="39" t="n"/>
      <c r="CE37" s="39" t="n"/>
      <c r="CF37" s="39" t="n"/>
      <c r="CG37" s="39" t="n"/>
      <c r="CH37" s="39" t="n"/>
      <c r="CI37" s="39" t="n"/>
      <c r="CJ37" s="39" t="n"/>
      <c r="CK37" s="39" t="n"/>
      <c r="CL37" s="39" t="n"/>
      <c r="CM37" s="39" t="n"/>
      <c r="CN37" s="39" t="n"/>
      <c r="CO37" s="39" t="n"/>
      <c r="CP37" s="39" t="n"/>
      <c r="CQ37" s="39" t="n"/>
      <c r="CR37" s="39" t="n"/>
      <c r="CS37" s="39" t="n"/>
      <c r="CT37" s="39" t="n"/>
      <c r="CU37" s="39" t="n"/>
      <c r="CV37" s="39" t="n"/>
      <c r="CW37" s="39" t="n"/>
      <c r="CX37" s="39" t="n"/>
      <c r="CY37" s="39" t="n"/>
    </row>
    <row r="38" outlineLevel="1" customFormat="1" s="43">
      <c r="A38" s="36" t="n"/>
      <c r="B38" s="37" t="n"/>
      <c r="C38" s="267" t="inlineStr">
        <is>
          <t>Eliminações (% da receita de comercialização)</t>
        </is>
      </c>
      <c r="D38" s="262" t="n"/>
      <c r="E38" s="262" t="n"/>
      <c r="F38" s="262" t="n"/>
      <c r="G38" s="262" t="n"/>
      <c r="H38" s="262" t="n"/>
      <c r="I38" s="262">
        <f>IFERROR(I39/I36,"")</f>
        <v>-0.111931364724661</v>
      </c>
      <c r="J38" s="262">
        <f>IFERROR(J39/J36,"")</f>
        <v>-0.0794158831766353</v>
      </c>
      <c r="K38" s="262">
        <f>IFERROR(K39/K36,"")</f>
        <v>-0.0812992933268651</v>
      </c>
      <c r="L38" s="262">
        <f>IFERROR(L39/L36,"")</f>
        <v>-0.0751931095768679</v>
      </c>
      <c r="M38" s="262">
        <f>IFERROR(M39/M36,"")</f>
        <v>-0.0852264335870893</v>
      </c>
      <c r="N38" s="262">
        <f>IFERROR(N39/N36,"")</f>
        <v>-0.177311112271263</v>
      </c>
      <c r="O38" s="262">
        <f>IFERROR(O39/O36,"")</f>
        <v>-0.162328838716421</v>
      </c>
      <c r="P38" s="262">
        <f>IFERROR(P39/P36,"")</f>
        <v>-0.208111937219076</v>
      </c>
      <c r="Q38" s="262">
        <f>IFERROR(Q39/Q36,"")</f>
        <v>-0.240643522438611</v>
      </c>
      <c r="R38" s="262">
        <f>IFERROR(R39/R36,"")</f>
        <v>-0.199728856949282</v>
      </c>
      <c r="S38" s="279">
        <f>IFERROR(S39/S36,"")</f>
        <v>-0.152133271463151</v>
      </c>
      <c r="T38" s="262">
        <f>IFERROR(T39/T36,"")</f>
        <v>-0.20174620432869</v>
      </c>
      <c r="U38" s="262">
        <f>IFERROR(U39/U36,"")</f>
        <v>-0.193198356149166</v>
      </c>
      <c r="V38" s="262">
        <f>IFERROR(V39/V36,"")</f>
        <v>-0.217647059289635</v>
      </c>
      <c r="W38" s="262">
        <f>IFERROR(W39/W36,"")</f>
        <v>-0.193164391275687</v>
      </c>
      <c r="X38" s="262">
        <f>IFERROR(X39/X36,"")</f>
        <v>-0.267294453666466</v>
      </c>
      <c r="Y38" s="262">
        <f>IFERROR(Y39/Y36,"")</f>
        <v>-0.233118664413288</v>
      </c>
      <c r="Z38" s="262">
        <f>IFERROR(Z39/Z36,"")</f>
        <v>-0.249425689497074</v>
      </c>
      <c r="AA38" s="262">
        <f>IFERROR(AA39/AA36,"")</f>
        <v>-0.307146110600523</v>
      </c>
      <c r="AB38" s="262">
        <f>IFERROR(AB39/AB36,"")</f>
        <v>-0.270853141508616</v>
      </c>
      <c r="AC38" s="262">
        <f>IFERROR(AC39/AC36,"")</f>
        <v>-0.255335227294974</v>
      </c>
      <c r="AD38" s="262">
        <f>IFERROR(AD39/AD36,"")</f>
        <v>-0.319622167762835</v>
      </c>
      <c r="AE38" s="262">
        <f>IFERROR(AE39/AE36,"")</f>
        <v>-0.281518343125504</v>
      </c>
      <c r="AF38" s="262">
        <f>IFERROR(AF39/AF36,"")</f>
        <v>-0.280050670276958</v>
      </c>
      <c r="AG38" s="262">
        <f>IFERROR(AG39/AG36,"")</f>
        <v>-0.283799242373843</v>
      </c>
      <c r="AH38" s="262">
        <f>IFERROR(AH39/AH36,"")</f>
        <v>-0.338228576705397</v>
      </c>
      <c r="AI38" s="262">
        <f>IFERROR(AI39/AI36,"")</f>
        <v>-0.354925552579304</v>
      </c>
      <c r="AJ38" s="262">
        <f>IF(ISNUMBER(AI38),AI38,"")</f>
        <v>-0.354925552579304</v>
      </c>
      <c r="AK38" s="262">
        <f>IF(ISNUMBER(AJ38),AJ38,"")</f>
        <v>-0.354925552579304</v>
      </c>
      <c r="AL38" s="262" t="str">
        <f>IFERROR(AL39/AL36,"")</f>
        <v/>
      </c>
      <c r="AM38" s="262">
        <f>IF(ISNUMBER(AK38),AK38,"")</f>
        <v>-0.354925552579304</v>
      </c>
      <c r="AN38" s="262">
        <f>IF(ISNUMBER(AM38),AM38,"")</f>
        <v>-0.354925552579304</v>
      </c>
      <c r="AO38" s="262">
        <f>IF(ISNUMBER(AN38),AN38,"")</f>
        <v>-0.354925552579304</v>
      </c>
      <c r="AP38" s="262">
        <f>IF(ISNUMBER(AO38),AO38,"")</f>
        <v>-0.354925552579304</v>
      </c>
      <c r="AQ38" s="262" t="str">
        <f>IFERROR(AQ39/AQ36,"")</f>
        <v/>
      </c>
      <c r="AR38" s="262">
        <f>IF(ISNUMBER(AP38),AP38,"")</f>
        <v>-0.354925552579304</v>
      </c>
      <c r="AS38" s="262">
        <f>IF(ISNUMBER(AR38),AR38,"")</f>
        <v>-0.354925552579304</v>
      </c>
      <c r="AT38" s="262">
        <f>IF(ISNUMBER(AS38),AS38,"")</f>
        <v>-0.354925552579304</v>
      </c>
      <c r="AU38" s="262">
        <f>IF(ISNUMBER(AT38),AT38,"")</f>
        <v>-0.354925552579304</v>
      </c>
      <c r="AV38" s="262" t="str">
        <f>IFERROR(AV39/AV36,"")</f>
        <v/>
      </c>
      <c r="AW38" s="262">
        <f>IF(ISNUMBER(AU38),AU38,"")</f>
        <v>-0.354925552579304</v>
      </c>
      <c r="AX38" s="262">
        <f>IF(ISNUMBER(AW38),AW38,"")</f>
        <v>-0.354925552579304</v>
      </c>
      <c r="AY38" s="262">
        <f>IF(ISNUMBER(AX38),AX38,"")</f>
        <v>-0.354925552579304</v>
      </c>
      <c r="AZ38" s="262">
        <f>IF(ISNUMBER(AY38),AY38,"")</f>
        <v>-0.354925552579304</v>
      </c>
      <c r="BA38" s="262" t="str">
        <f>IFERROR(BA39/BA36,"")</f>
        <v/>
      </c>
      <c r="BB38" s="262">
        <f>IF(ISNUMBER(AZ38),AZ38,"")</f>
        <v>-0.354925552579304</v>
      </c>
      <c r="BC38" s="262">
        <f>IF(ISNUMBER(BB38),BB38,"")</f>
        <v>-0.354925552579304</v>
      </c>
      <c r="BD38" s="262">
        <f>IF(ISNUMBER(BC38),BC38,"")</f>
        <v>-0.354925552579304</v>
      </c>
      <c r="BE38" s="262">
        <f>IF(ISNUMBER(BD38),BD38,"")</f>
        <v>-0.354925552579304</v>
      </c>
      <c r="BF38" s="262" t="str">
        <f>IFERROR(BF39/BF36,"")</f>
        <v/>
      </c>
      <c r="BG38" s="39" t="n"/>
      <c r="BH38" s="39" t="n"/>
      <c r="BI38" s="39" t="n"/>
      <c r="BJ38" s="39" t="n"/>
      <c r="BK38" s="39" t="n"/>
      <c r="BL38" s="39" t="n"/>
      <c r="BM38" s="39" t="n"/>
      <c r="BN38" s="39" t="n"/>
      <c r="BO38" s="39" t="n"/>
      <c r="BP38" s="39" t="n"/>
      <c r="BQ38" s="39" t="n"/>
      <c r="BR38" s="39" t="n"/>
      <c r="BS38" s="39" t="n"/>
      <c r="BT38" s="39" t="n"/>
      <c r="BU38" s="39" t="n"/>
      <c r="BV38" s="39" t="n"/>
      <c r="BW38" s="39" t="n"/>
      <c r="BX38" s="39" t="n"/>
      <c r="BY38" s="39" t="n"/>
      <c r="BZ38" s="39" t="n"/>
      <c r="CA38" s="39" t="n"/>
      <c r="CB38" s="39" t="n"/>
      <c r="CC38" s="39" t="n"/>
      <c r="CD38" s="39" t="n"/>
      <c r="CE38" s="39" t="n"/>
      <c r="CF38" s="39" t="n"/>
      <c r="CG38" s="39" t="n"/>
      <c r="CH38" s="39" t="n"/>
      <c r="CI38" s="39" t="n"/>
      <c r="CJ38" s="39" t="n"/>
      <c r="CK38" s="39" t="n"/>
      <c r="CL38" s="39" t="n"/>
      <c r="CM38" s="39" t="n"/>
      <c r="CN38" s="39" t="n"/>
      <c r="CO38" s="39" t="n"/>
      <c r="CP38" s="39" t="n"/>
      <c r="CQ38" s="39" t="n"/>
      <c r="CR38" s="39" t="n"/>
      <c r="CS38" s="39" t="n"/>
      <c r="CT38" s="39" t="n"/>
      <c r="CU38" s="39" t="n"/>
      <c r="CV38" s="39" t="n"/>
      <c r="CW38" s="39" t="n"/>
      <c r="CX38" s="39" t="n"/>
      <c r="CY38" s="39" t="n"/>
    </row>
    <row r="39" outlineLevel="1" customFormat="1" s="43">
      <c r="A39" s="36" t="n"/>
      <c r="B39" s="37" t="n"/>
      <c r="C39" s="252" t="inlineStr">
        <is>
          <t>Eliminações</t>
        </is>
      </c>
      <c r="D39" s="253" t="n"/>
      <c r="E39" s="253" t="n"/>
      <c r="F39" s="253" t="n"/>
      <c r="G39" s="253" t="n"/>
      <c r="H39" s="253" t="n"/>
      <c r="I39" s="255" t="n">
        <v>-112.2</v>
      </c>
      <c r="J39" s="254" t="n">
        <v>-79.40000000000001</v>
      </c>
      <c r="K39" s="254" t="n">
        <v>-130.047</v>
      </c>
      <c r="L39" s="254" t="n">
        <v>-110</v>
      </c>
      <c r="M39" s="253">
        <f>IF(COUNT(I39:L39)=4,SUM(I39:L39),"")</f>
        <v>-431.647</v>
      </c>
      <c r="N39" s="254" t="n">
        <v>-180.005</v>
      </c>
      <c r="O39" s="254" t="n">
        <v>-155.3</v>
      </c>
      <c r="P39" s="254" t="n">
        <v>-253.682</v>
      </c>
      <c r="Q39" s="254" t="n">
        <v>-284.2</v>
      </c>
      <c r="R39" s="253">
        <f>IF(COUNT(N39:Q39)=4,SUM(N39:Q39),"")</f>
        <v>-873.187</v>
      </c>
      <c r="S39" s="278" t="n">
        <v>-163.41568348</v>
      </c>
      <c r="T39" s="254" t="n">
        <v>-219.71828463</v>
      </c>
      <c r="U39" s="254" t="n">
        <v>-256.65245926</v>
      </c>
      <c r="V39" s="254" t="n">
        <v>-308.32302616</v>
      </c>
      <c r="W39" s="253">
        <f>IF(COUNT(S39:V39)=4,SUM(S39:V39),"")</f>
        <v>-948.10945353</v>
      </c>
      <c r="X39" s="254" t="n">
        <v>-322.19036281</v>
      </c>
      <c r="Y39" s="254" t="n">
        <v>-286.98015589</v>
      </c>
      <c r="Z39" s="254" t="n">
        <v>-508.95670733</v>
      </c>
      <c r="AA39" s="254" t="n">
        <v>-799.4583154800001</v>
      </c>
      <c r="AB39" s="253">
        <f>IF(COUNT(X39:AA39)=4,SUM(X39:AA39),"")</f>
        <v>-1917.58554151</v>
      </c>
      <c r="AC39" s="254" t="n">
        <v>-456.485</v>
      </c>
      <c r="AD39" s="254" t="n">
        <v>-605.42</v>
      </c>
      <c r="AE39" s="254" t="n">
        <v>-744.991</v>
      </c>
      <c r="AF39" s="254" t="n">
        <v>-816.658</v>
      </c>
      <c r="AG39" s="253">
        <f>IF(COUNT(AC39:AF39)=4,SUM(AC39:AF39),"")</f>
        <v>-2623.554</v>
      </c>
      <c r="AH39" s="254" t="n">
        <v>-684.922</v>
      </c>
      <c r="AI39" s="254" t="n">
        <v>-709.6849999999999</v>
      </c>
      <c r="AJ39" s="253" t="str">
        <f>IF(COUNT(AJ36,AJ38)=2,AJ36*AJ38,"")</f>
        <v/>
      </c>
      <c r="AK39" s="253" t="str">
        <f>IF(COUNT(AK36,AK38)=2,AK36*AK38,"")</f>
        <v/>
      </c>
      <c r="AL39" s="253" t="str">
        <f>IF(COUNT(AH39:AK39)=4,SUM(AH39:AK39),"")</f>
        <v/>
      </c>
      <c r="AM39" s="253" t="str">
        <f>IF(COUNT(AM36,AM38)=2,AM36*AM38,"")</f>
        <v/>
      </c>
      <c r="AN39" s="253" t="str">
        <f>IF(COUNT(AN36,AN38)=2,AN36*AN38,"")</f>
        <v/>
      </c>
      <c r="AO39" s="253" t="str">
        <f>IF(COUNT(AO36,AO38)=2,AO36*AO38,"")</f>
        <v/>
      </c>
      <c r="AP39" s="253" t="str">
        <f>IF(COUNT(AP36,AP38)=2,AP36*AP38,"")</f>
        <v/>
      </c>
      <c r="AQ39" s="253" t="str">
        <f>IF(COUNT(AM39:AP39)=4,SUM(AM39:AP39),"")</f>
        <v/>
      </c>
      <c r="AR39" s="253" t="str">
        <f>IF(COUNT(AR36,AR38)=2,AR36*AR38,"")</f>
        <v/>
      </c>
      <c r="AS39" s="253" t="str">
        <f>IF(COUNT(AS36,AS38)=2,AS36*AS38,"")</f>
        <v/>
      </c>
      <c r="AT39" s="253" t="str">
        <f>IF(COUNT(AT36,AT38)=2,AT36*AT38,"")</f>
        <v/>
      </c>
      <c r="AU39" s="253" t="str">
        <f>IF(COUNT(AU36,AU38)=2,AU36*AU38,"")</f>
        <v/>
      </c>
      <c r="AV39" s="253" t="str">
        <f>IF(COUNT(AR39:AU39)=4,SUM(AR39:AU39),"")</f>
        <v/>
      </c>
      <c r="AW39" s="253" t="str">
        <f>IF(COUNT(AW36,AW38)=2,AW36*AW38,"")</f>
        <v/>
      </c>
      <c r="AX39" s="253" t="str">
        <f>IF(COUNT(AX36,AX38)=2,AX36*AX38,"")</f>
        <v/>
      </c>
      <c r="AY39" s="253" t="str">
        <f>IF(COUNT(AY36,AY38)=2,AY36*AY38,"")</f>
        <v/>
      </c>
      <c r="AZ39" s="253" t="str">
        <f>IF(COUNT(AZ36,AZ38)=2,AZ36*AZ38,"")</f>
        <v/>
      </c>
      <c r="BA39" s="253" t="str">
        <f>IF(COUNT(AW39:AZ39)=4,SUM(AW39:AZ39),"")</f>
        <v/>
      </c>
      <c r="BB39" s="253" t="str">
        <f>IF(COUNT(BB36,BB38)=2,BB36*BB38,"")</f>
        <v/>
      </c>
      <c r="BC39" s="253" t="str">
        <f>IF(COUNT(BC36,BC38)=2,BC36*BC38,"")</f>
        <v/>
      </c>
      <c r="BD39" s="253" t="str">
        <f>IF(COUNT(BD36,BD38)=2,BD36*BD38,"")</f>
        <v/>
      </c>
      <c r="BE39" s="253" t="str">
        <f>IF(COUNT(BE36,BE38)=2,BE36*BE38,"")</f>
        <v/>
      </c>
      <c r="BF39" s="253" t="str">
        <f>IF(COUNT(BB39:BE39)=4,SUM(BB39:BE39),"")</f>
        <v/>
      </c>
      <c r="BG39" s="39" t="n"/>
      <c r="BH39" s="39" t="n"/>
      <c r="BI39" s="39" t="n"/>
      <c r="BJ39" s="39" t="n"/>
      <c r="BK39" s="39" t="n"/>
      <c r="BL39" s="39" t="n"/>
      <c r="BM39" s="39" t="n"/>
      <c r="BN39" s="39" t="n"/>
      <c r="BO39" s="39" t="n"/>
      <c r="BP39" s="39" t="n"/>
      <c r="BQ39" s="39" t="n"/>
      <c r="BR39" s="39" t="n"/>
      <c r="BS39" s="39" t="n"/>
      <c r="BT39" s="39" t="n"/>
      <c r="BU39" s="39" t="n"/>
      <c r="BV39" s="39" t="n"/>
      <c r="BW39" s="39" t="n"/>
      <c r="BX39" s="39" t="n"/>
      <c r="BY39" s="39" t="n"/>
      <c r="BZ39" s="39" t="n"/>
      <c r="CA39" s="39" t="n"/>
      <c r="CB39" s="39" t="n"/>
      <c r="CC39" s="39" t="n"/>
      <c r="CD39" s="39" t="n"/>
      <c r="CE39" s="39" t="n"/>
      <c r="CF39" s="39" t="n"/>
      <c r="CG39" s="39" t="n"/>
      <c r="CH39" s="39" t="n"/>
      <c r="CI39" s="39" t="n"/>
      <c r="CJ39" s="39" t="n"/>
      <c r="CK39" s="39" t="n"/>
      <c r="CL39" s="39" t="n"/>
      <c r="CM39" s="39" t="n"/>
      <c r="CN39" s="39" t="n"/>
      <c r="CO39" s="39" t="n"/>
      <c r="CP39" s="39" t="n"/>
      <c r="CQ39" s="39" t="n"/>
      <c r="CR39" s="39" t="n"/>
      <c r="CS39" s="39" t="n"/>
      <c r="CT39" s="39" t="n"/>
      <c r="CU39" s="39" t="n"/>
      <c r="CV39" s="39" t="n"/>
      <c r="CW39" s="39" t="n"/>
      <c r="CX39" s="39" t="n"/>
      <c r="CY39" s="39" t="n"/>
    </row>
    <row r="40" outlineLevel="1" customFormat="1" s="43">
      <c r="A40" s="36" t="n"/>
      <c r="B40" s="37" t="n"/>
      <c r="C40" s="271" t="inlineStr">
        <is>
          <t>Receita líquida construída</t>
        </is>
      </c>
      <c r="D40" s="272" t="n"/>
      <c r="E40" s="272" t="n"/>
      <c r="F40" s="272" t="n"/>
      <c r="G40" s="272" t="n"/>
      <c r="H40" s="272" t="n"/>
      <c r="I40" s="272">
        <f>I28+I36+N(I37)+I39</f>
        <v>1395.8</v>
      </c>
      <c r="J40" s="272">
        <f>J28+J36+N(J37)+J39</f>
        <v>1329.7</v>
      </c>
      <c r="K40" s="272">
        <f>K28+K36+N(K37)+K39</f>
        <v>1879.887</v>
      </c>
      <c r="L40" s="272">
        <f>L28+L36+N(L37)+L39</f>
        <v>1872</v>
      </c>
      <c r="M40" s="272">
        <f>IF(COUNT(I40:L40)=4,SUM(I40:L40),"")</f>
        <v>6477.387</v>
      </c>
      <c r="N40" s="272">
        <f>N28+N36+N(N37)+N39</f>
        <v>1384.187</v>
      </c>
      <c r="O40" s="272">
        <f>O28+O36+N(O37)+O39</f>
        <v>1346.6</v>
      </c>
      <c r="P40" s="272">
        <f>P28+P36+N(P37)+P39</f>
        <v>1538.901</v>
      </c>
      <c r="Q40" s="272">
        <f>Q28+Q36+N(Q37)+Q39</f>
        <v>1484.9</v>
      </c>
      <c r="R40" s="272">
        <f>IF(COUNT(N40:Q40)=4,SUM(N40:Q40),"")</f>
        <v>5754.588</v>
      </c>
      <c r="S40" s="280">
        <f>S28+S36+N(S37)+S39</f>
        <v>2180.7783712</v>
      </c>
      <c r="T40" s="272">
        <f>T28+T36+N(T37)+T39</f>
        <v>2186.62361923</v>
      </c>
      <c r="U40" s="272">
        <f>U28+U36+N(U37)+U39</f>
        <v>2523.97618125</v>
      </c>
      <c r="V40" s="272">
        <f>V28+V36+N(V37)+V39</f>
        <v>2666.05530635</v>
      </c>
      <c r="W40" s="272">
        <f>IF(COUNT(S40:V40)=4,SUM(S40:V40),"")</f>
        <v>9557.43347803</v>
      </c>
      <c r="X40" s="272">
        <f>X28+X36+N(X37)+X39</f>
        <v>2209.35716247</v>
      </c>
      <c r="Y40" s="272">
        <f>Y28+Y36+N(Y37)+Y39</f>
        <v>2307.88452943</v>
      </c>
      <c r="Z40" s="272">
        <f>Z28+Z36+N(Z37)+Z39</f>
        <v>3134.68238469</v>
      </c>
      <c r="AA40" s="272">
        <f>AA28+AA36+N(AA37)+AA39</f>
        <v>3598.92496758</v>
      </c>
      <c r="AB40" s="272">
        <f>IF(COUNT(X40:AA40)=4,SUM(X40:AA40),"")</f>
        <v>11250.84904417</v>
      </c>
      <c r="AC40" s="272">
        <f>AC28+AC36+N(AC37)+AC39</f>
        <v>2952.303</v>
      </c>
      <c r="AD40" s="272">
        <f>AD28+AD36+N(AD37)+AD39</f>
        <v>2885.529</v>
      </c>
      <c r="AE40" s="272">
        <f>AE28+AE36+N(AE37)+AE39</f>
        <v>3537.391</v>
      </c>
      <c r="AF40" s="272">
        <f>AF28+AF36+N(AF37)+AF39</f>
        <v>3801.729</v>
      </c>
      <c r="AG40" s="272">
        <f>IF(COUNT(AC40:AF40)=4,SUM(AC40:AF40),"")</f>
        <v>13176.952</v>
      </c>
      <c r="AH40" s="272">
        <f>AH28+AH36+N(AH37)+AH39</f>
        <v>3074.535</v>
      </c>
      <c r="AI40" s="272">
        <f>AI28+AI36+N(AI37)+AI39</f>
        <v>3055.499</v>
      </c>
      <c r="AJ40" s="272" t="str">
        <f>IF(COUNT(AJ28,AJ36,AJ39)=3,AJ28+AJ36+N(AJ37)+AJ39,"")</f>
        <v/>
      </c>
      <c r="AK40" s="272" t="str">
        <f>IF(COUNT(AK28,AK36,AK39)=3,AK28+AK36+N(AK37)+AK39,"")</f>
        <v/>
      </c>
      <c r="AL40" s="272" t="str">
        <f>IF(COUNT(AH40:AK40)=4,SUM(AH40:AK40),"")</f>
        <v/>
      </c>
      <c r="AM40" s="272" t="str">
        <f>IF(COUNT(AM28,AM36,AM39)=3,AM28+AM36+N(AM37)+AM39,"")</f>
        <v/>
      </c>
      <c r="AN40" s="272" t="str">
        <f>IF(COUNT(AN28,AN36,AN39)=3,AN28+AN36+N(AN37)+AN39,"")</f>
        <v/>
      </c>
      <c r="AO40" s="272" t="str">
        <f>IF(COUNT(AO28,AO36,AO39)=3,AO28+AO36+N(AO37)+AO39,"")</f>
        <v/>
      </c>
      <c r="AP40" s="272" t="str">
        <f>IF(COUNT(AP28,AP36,AP39)=3,AP28+AP36+N(AP37)+AP39,"")</f>
        <v/>
      </c>
      <c r="AQ40" s="272" t="str">
        <f>IF(COUNT(AM40:AP40)=4,SUM(AM40:AP40),"")</f>
        <v/>
      </c>
      <c r="AR40" s="272" t="str">
        <f>IF(COUNT(AR28,AR36,AR39)=3,AR28+AR36+N(AR37)+AR39,"")</f>
        <v/>
      </c>
      <c r="AS40" s="272" t="str">
        <f>IF(COUNT(AS28,AS36,AS39)=3,AS28+AS36+N(AS37)+AS39,"")</f>
        <v/>
      </c>
      <c r="AT40" s="272" t="str">
        <f>IF(COUNT(AT28,AT36,AT39)=3,AT28+AT36+N(AT37)+AT39,"")</f>
        <v/>
      </c>
      <c r="AU40" s="272" t="str">
        <f>IF(COUNT(AU28,AU36,AU39)=3,AU28+AU36+N(AU37)+AU39,"")</f>
        <v/>
      </c>
      <c r="AV40" s="272" t="str">
        <f>IF(COUNT(AR40:AU40)=4,SUM(AR40:AU40),"")</f>
        <v/>
      </c>
      <c r="AW40" s="272" t="str">
        <f>IF(COUNT(AW28,AW36,AW39)=3,AW28+AW36+N(AW37)+AW39,"")</f>
        <v/>
      </c>
      <c r="AX40" s="272" t="str">
        <f>IF(COUNT(AX28,AX36,AX39)=3,AX28+AX36+N(AX37)+AX39,"")</f>
        <v/>
      </c>
      <c r="AY40" s="272" t="str">
        <f>IF(COUNT(AY28,AY36,AY39)=3,AY28+AY36+N(AY37)+AY39,"")</f>
        <v/>
      </c>
      <c r="AZ40" s="272" t="str">
        <f>IF(COUNT(AZ28,AZ36,AZ39)=3,AZ28+AZ36+N(AZ37)+AZ39,"")</f>
        <v/>
      </c>
      <c r="BA40" s="272" t="str">
        <f>IF(COUNT(AW40:AZ40)=4,SUM(AW40:AZ40),"")</f>
        <v/>
      </c>
      <c r="BB40" s="272" t="str">
        <f>IF(COUNT(BB28,BB36,BB39)=3,BB28+BB36+N(BB37)+BB39,"")</f>
        <v/>
      </c>
      <c r="BC40" s="272" t="str">
        <f>IF(COUNT(BC28,BC36,BC39)=3,BC28+BC36+N(BC37)+BC39,"")</f>
        <v/>
      </c>
      <c r="BD40" s="272" t="str">
        <f>IF(COUNT(BD28,BD36,BD39)=3,BD28+BD36+N(BD37)+BD39,"")</f>
        <v/>
      </c>
      <c r="BE40" s="272" t="str">
        <f>IF(COUNT(BE28,BE36,BE39)=3,BE28+BE36+N(BE37)+BE39,"")</f>
        <v/>
      </c>
      <c r="BF40" s="272" t="str">
        <f>IF(COUNT(BB40:BE40)=4,SUM(BB40:BE40),"")</f>
        <v/>
      </c>
      <c r="BG40" s="39" t="n"/>
      <c r="BH40" s="39" t="n"/>
      <c r="BI40" s="39" t="n"/>
      <c r="BJ40" s="39" t="n"/>
      <c r="BK40" s="39" t="n"/>
      <c r="BL40" s="39" t="n"/>
      <c r="BM40" s="39" t="n"/>
      <c r="BN40" s="39" t="n"/>
      <c r="BO40" s="39" t="n"/>
      <c r="BP40" s="39" t="n"/>
      <c r="BQ40" s="39" t="n"/>
      <c r="BR40" s="39" t="n"/>
      <c r="BS40" s="39" t="n"/>
      <c r="BT40" s="39" t="n"/>
      <c r="BU40" s="39" t="n"/>
      <c r="BV40" s="39" t="n"/>
      <c r="BW40" s="39" t="n"/>
      <c r="BX40" s="39" t="n"/>
      <c r="BY40" s="39" t="n"/>
      <c r="BZ40" s="39" t="n"/>
      <c r="CA40" s="39" t="n"/>
      <c r="CB40" s="39" t="n"/>
      <c r="CC40" s="39" t="n"/>
      <c r="CD40" s="39" t="n"/>
      <c r="CE40" s="39" t="n"/>
      <c r="CF40" s="39" t="n"/>
      <c r="CG40" s="39" t="n"/>
      <c r="CH40" s="39" t="n"/>
      <c r="CI40" s="39" t="n"/>
      <c r="CJ40" s="39" t="n"/>
      <c r="CK40" s="39" t="n"/>
      <c r="CL40" s="39" t="n"/>
      <c r="CM40" s="39" t="n"/>
      <c r="CN40" s="39" t="n"/>
      <c r="CO40" s="39" t="n"/>
      <c r="CP40" s="39" t="n"/>
      <c r="CQ40" s="39" t="n"/>
      <c r="CR40" s="39" t="n"/>
      <c r="CS40" s="39" t="n"/>
      <c r="CT40" s="39" t="n"/>
      <c r="CU40" s="39" t="n"/>
      <c r="CV40" s="39" t="n"/>
      <c r="CW40" s="39" t="n"/>
      <c r="CX40" s="39" t="n"/>
      <c r="CY40" s="39" t="n"/>
    </row>
    <row r="41" outlineLevel="1" customFormat="1" s="43">
      <c r="A41" s="36" t="n"/>
      <c r="B41" s="37" t="n"/>
      <c r="C41" s="267" t="inlineStr">
        <is>
          <t>Receita líquida da base do build (pro forma Auren + CESP/VGE em 2021-1T22 e Auren + AES em 2023-4T24, releases/RI; reportada a partir de 1T25)</t>
        </is>
      </c>
      <c r="D41" s="253" t="n"/>
      <c r="E41" s="253" t="n"/>
      <c r="F41" s="253" t="n"/>
      <c r="G41" s="253" t="n"/>
      <c r="H41" s="253" t="n"/>
      <c r="I41" s="254" t="n">
        <v>1395.6</v>
      </c>
      <c r="J41" s="254" t="n">
        <v>1329.8</v>
      </c>
      <c r="K41" s="254" t="n">
        <v>1879.887</v>
      </c>
      <c r="L41" s="254" t="n">
        <v>1872.1</v>
      </c>
      <c r="M41" s="254" t="n">
        <v>6477.4</v>
      </c>
      <c r="N41" s="254" t="n">
        <v>1384.187</v>
      </c>
      <c r="O41" s="254" t="n">
        <v>1346.7</v>
      </c>
      <c r="P41" s="254" t="n">
        <v>1538.901</v>
      </c>
      <c r="Q41" s="254" t="n">
        <v>1484.9</v>
      </c>
      <c r="R41" s="254" t="n">
        <v>5754.6</v>
      </c>
      <c r="S41" s="253" t="n">
        <v>2180.778</v>
      </c>
      <c r="T41" s="253" t="n">
        <v>2186.624</v>
      </c>
      <c r="U41" s="253" t="n">
        <v>2523.976</v>
      </c>
      <c r="V41" s="253" t="n">
        <v>2666.055</v>
      </c>
      <c r="W41" s="253">
        <f>SUM(S41:V41)</f>
        <v>9557.433</v>
      </c>
      <c r="X41" s="253" t="n">
        <v>2209.357</v>
      </c>
      <c r="Y41" s="253" t="n">
        <v>2307.885</v>
      </c>
      <c r="Z41" s="253" t="n">
        <v>3134.682</v>
      </c>
      <c r="AA41" s="253" t="n">
        <v>3598.925</v>
      </c>
      <c r="AB41" s="253">
        <f>SUM(X41:AA41)</f>
        <v>11250.849</v>
      </c>
      <c r="AC41" s="253">
        <f>IF(ISNUMBER(AC15),AC15,"")</f>
        <v>2952.303</v>
      </c>
      <c r="AD41" s="253">
        <f>IF(ISNUMBER(AD15),AD15,"")</f>
        <v>2885.529</v>
      </c>
      <c r="AE41" s="253">
        <f>IF(ISNUMBER(AE15),AE15,"")</f>
        <v>3537.391</v>
      </c>
      <c r="AF41" s="253">
        <f>IF(ISNUMBER(AF15),AF15,"")</f>
        <v>3801.729</v>
      </c>
      <c r="AG41" s="253">
        <f>IF(ISNUMBER(AG15),AG15,"")</f>
        <v>13176.952</v>
      </c>
      <c r="AH41" s="253">
        <f>IF(ISNUMBER(AH15),AH15,"")</f>
        <v>3074.535</v>
      </c>
      <c r="AI41" s="253">
        <f>IF(ISNUMBER(AI15),AI15,"")</f>
        <v>3055.499</v>
      </c>
      <c r="AJ41" s="253">
        <f>IF(ISNUMBER(AJ15),AJ15,"")</f>
        <v>4051.30944670315</v>
      </c>
      <c r="AK41" s="253">
        <f>IF(ISNUMBER(AK15),AK15,"")</f>
        <v>4354.05094079374</v>
      </c>
      <c r="AL41" s="253">
        <f>IF(ISNUMBER(AL15),AL15,"")</f>
        <v>14535.3943874969</v>
      </c>
      <c r="AM41" s="253">
        <f>IF(ISNUMBER(AM15),AM15,"")</f>
        <v>3521.20890501487</v>
      </c>
      <c r="AN41" s="253">
        <f>IF(ISNUMBER(AN15),AN15,"")</f>
        <v>3499.40732112792</v>
      </c>
      <c r="AO41" s="253">
        <f>IF(ISNUMBER(AO15),AO15,"")</f>
        <v>4639.89087803587</v>
      </c>
      <c r="AP41" s="253">
        <f>IF(ISNUMBER(AP15),AP15,"")</f>
        <v>4986.61519404115</v>
      </c>
      <c r="AQ41" s="253">
        <f>IF(ISNUMBER(AQ15),AQ15,"")</f>
        <v>16647.1222982198</v>
      </c>
      <c r="AR41" s="253">
        <f>IF(ISNUMBER(AR15),AR15,"")</f>
        <v>4015.17034369495</v>
      </c>
      <c r="AS41" s="253">
        <f>IF(ISNUMBER(AS15),AS15,"")</f>
        <v>3990.31039490185</v>
      </c>
      <c r="AT41" s="253">
        <f>IF(ISNUMBER(AT15),AT15,"")</f>
        <v>5290.78301061255</v>
      </c>
      <c r="AU41" s="253">
        <f>IF(ISNUMBER(AU15),AU15,"")</f>
        <v>5686.14642943148</v>
      </c>
      <c r="AV41" s="253">
        <f>IF(ISNUMBER(AV15),AV15,"")</f>
        <v>18982.4101786408</v>
      </c>
      <c r="AW41" s="253">
        <f>IF(ISNUMBER(AW15),AW15,"")</f>
        <v>4558.34971852451</v>
      </c>
      <c r="AX41" s="253">
        <f>IF(ISNUMBER(AX15),AX15,"")</f>
        <v>4530.1266717087</v>
      </c>
      <c r="AY41" s="253">
        <f>IF(ISNUMBER(AY15),AY15,"")</f>
        <v>6006.52953244474</v>
      </c>
      <c r="AZ41" s="253">
        <f>IF(ISNUMBER(AZ15),AZ15,"")</f>
        <v>6455.37841670644</v>
      </c>
      <c r="BA41" s="253">
        <f>IF(ISNUMBER(BA15),BA15,"")</f>
        <v>21550.3843393844</v>
      </c>
      <c r="BB41" s="253">
        <f>IF(ISNUMBER(BB15),BB15,"")</f>
        <v>5152.21961524682</v>
      </c>
      <c r="BC41" s="253">
        <f>IF(ISNUMBER(BC15),BC15,"")</f>
        <v>5120.31961976918</v>
      </c>
      <c r="BD41" s="253">
        <f>IF(ISNUMBER(BD15),BD15,"")</f>
        <v>6789.0708672169</v>
      </c>
      <c r="BE41" s="253">
        <f>IF(ISNUMBER(BE15),BE15,"")</f>
        <v>7296.39658125258</v>
      </c>
      <c r="BF41" s="253">
        <f>IF(ISNUMBER(BF15),BF15,"")</f>
        <v>24358.0066834855</v>
      </c>
      <c r="BG41" s="39" t="n"/>
      <c r="BH41" s="39" t="n"/>
      <c r="BI41" s="39" t="n"/>
      <c r="BJ41" s="39" t="n"/>
      <c r="BK41" s="39" t="n"/>
      <c r="BL41" s="39" t="n"/>
      <c r="BM41" s="39" t="n"/>
      <c r="BN41" s="39" t="n"/>
      <c r="BO41" s="39" t="n"/>
      <c r="BP41" s="39" t="n"/>
      <c r="BQ41" s="39" t="n"/>
      <c r="BR41" s="39" t="n"/>
      <c r="BS41" s="39" t="n"/>
      <c r="BT41" s="39" t="n"/>
      <c r="BU41" s="39" t="n"/>
      <c r="BV41" s="39" t="n"/>
      <c r="BW41" s="39" t="n"/>
      <c r="BX41" s="39" t="n"/>
      <c r="BY41" s="39" t="n"/>
      <c r="BZ41" s="39" t="n"/>
      <c r="CA41" s="39" t="n"/>
      <c r="CB41" s="39" t="n"/>
      <c r="CC41" s="39" t="n"/>
      <c r="CD41" s="39" t="n"/>
      <c r="CE41" s="39" t="n"/>
      <c r="CF41" s="39" t="n"/>
      <c r="CG41" s="39" t="n"/>
      <c r="CH41" s="39" t="n"/>
      <c r="CI41" s="39" t="n"/>
      <c r="CJ41" s="39" t="n"/>
      <c r="CK41" s="39" t="n"/>
      <c r="CL41" s="39" t="n"/>
      <c r="CM41" s="39" t="n"/>
      <c r="CN41" s="39" t="n"/>
      <c r="CO41" s="39" t="n"/>
      <c r="CP41" s="39" t="n"/>
      <c r="CQ41" s="39" t="n"/>
      <c r="CR41" s="39" t="n"/>
      <c r="CS41" s="39" t="n"/>
      <c r="CT41" s="39" t="n"/>
      <c r="CU41" s="39" t="n"/>
      <c r="CV41" s="39" t="n"/>
      <c r="CW41" s="39" t="n"/>
      <c r="CX41" s="39" t="n"/>
      <c r="CY41" s="39" t="n"/>
    </row>
    <row r="42" outlineLevel="1" customFormat="1" s="43">
      <c r="A42" s="36" t="n"/>
      <c r="B42" s="37" t="n"/>
      <c r="C42" s="267" t="inlineStr">
        <is>
          <t>Check: reportada menos construída</t>
        </is>
      </c>
      <c r="D42" s="253" t="n"/>
      <c r="E42" s="253" t="n"/>
      <c r="F42" s="253" t="n"/>
      <c r="G42" s="253" t="n"/>
      <c r="H42" s="253" t="n"/>
      <c r="I42" s="253">
        <f>IF(AND(ISNUMBER(I41),ISNUMBER(I40)),ROUND(I41-I40,1),"")</f>
        <v>-0.2</v>
      </c>
      <c r="J42" s="253">
        <f>IF(AND(ISNUMBER(J41),ISNUMBER(J40)),ROUND(J41-J40,1),"")</f>
        <v>0.1</v>
      </c>
      <c r="K42" s="253">
        <f>IF(AND(ISNUMBER(K41),ISNUMBER(K40)),ROUND(K41-K40,1),"")</f>
        <v>0</v>
      </c>
      <c r="L42" s="253">
        <f>IF(AND(ISNUMBER(L41),ISNUMBER(L40)),ROUND(L41-L40,1),"")</f>
        <v>0.1</v>
      </c>
      <c r="M42" s="253">
        <f>IF(AND(ISNUMBER(M41),ISNUMBER(M40)),ROUND(M41-M40,1),"")</f>
        <v>0</v>
      </c>
      <c r="N42" s="253">
        <f>IF(AND(ISNUMBER(N41),ISNUMBER(N40)),ROUND(N41-N40,1),"")</f>
        <v>0</v>
      </c>
      <c r="O42" s="253">
        <f>IF(AND(ISNUMBER(O41),ISNUMBER(O40)),ROUND(O41-O40,1),"")</f>
        <v>0.1</v>
      </c>
      <c r="P42" s="253">
        <f>IF(AND(ISNUMBER(P41),ISNUMBER(P40)),ROUND(P41-P40,1),"")</f>
        <v>0</v>
      </c>
      <c r="Q42" s="253">
        <f>IF(AND(ISNUMBER(Q41),ISNUMBER(Q40)),ROUND(Q41-Q40,1),"")</f>
        <v>0</v>
      </c>
      <c r="R42" s="253">
        <f>IF(AND(ISNUMBER(R41),ISNUMBER(R40)),ROUND(R41-R40,1),"")</f>
        <v>0</v>
      </c>
      <c r="S42" s="253">
        <f>IF(AND(ISNUMBER(S41),ISNUMBER(S40)),ROUND(S41-S40,1),"")</f>
        <v>0</v>
      </c>
      <c r="T42" s="253">
        <f>IF(AND(ISNUMBER(T41),ISNUMBER(T40)),ROUND(T41-T40,1),"")</f>
        <v>0</v>
      </c>
      <c r="U42" s="253">
        <f>IF(AND(ISNUMBER(U41),ISNUMBER(U40)),ROUND(U41-U40,1),"")</f>
        <v>0</v>
      </c>
      <c r="V42" s="253">
        <f>IF(AND(ISNUMBER(V41),ISNUMBER(V40)),ROUND(V41-V40,1),"")</f>
        <v>0</v>
      </c>
      <c r="W42" s="253">
        <f>IF(AND(ISNUMBER(W41),ISNUMBER(W40)),ROUND(W41-W40,1),"")</f>
        <v>0</v>
      </c>
      <c r="X42" s="253">
        <f>IF(AND(ISNUMBER(X41),ISNUMBER(X40)),ROUND(X41-X40,1),"")</f>
        <v>0</v>
      </c>
      <c r="Y42" s="253">
        <f>IF(AND(ISNUMBER(Y41),ISNUMBER(Y40)),ROUND(Y41-Y40,1),"")</f>
        <v>0</v>
      </c>
      <c r="Z42" s="253">
        <f>IF(AND(ISNUMBER(Z41),ISNUMBER(Z40)),ROUND(Z41-Z40,1),"")</f>
        <v>0</v>
      </c>
      <c r="AA42" s="253">
        <f>IF(AND(ISNUMBER(AA41),ISNUMBER(AA40)),ROUND(AA41-AA40,1),"")</f>
        <v>0</v>
      </c>
      <c r="AB42" s="253">
        <f>IF(AND(ISNUMBER(AB41),ISNUMBER(AB40)),ROUND(AB41-AB40,1),"")</f>
        <v>0</v>
      </c>
      <c r="AC42" s="253">
        <f>IF(AND(ISNUMBER(AC41),ISNUMBER(AC40)),ROUND(AC41-AC40,1),"")</f>
        <v>0</v>
      </c>
      <c r="AD42" s="253">
        <f>IF(AND(ISNUMBER(AD41),ISNUMBER(AD40)),ROUND(AD41-AD40,1),"")</f>
        <v>0</v>
      </c>
      <c r="AE42" s="253">
        <f>IF(AND(ISNUMBER(AE41),ISNUMBER(AE40)),ROUND(AE41-AE40,1),"")</f>
        <v>0</v>
      </c>
      <c r="AF42" s="253">
        <f>IF(AND(ISNUMBER(AF41),ISNUMBER(AF40)),ROUND(AF41-AF40,1),"")</f>
        <v>0</v>
      </c>
      <c r="AG42" s="253">
        <f>IF(AND(ISNUMBER(AG41),ISNUMBER(AG40)),ROUND(AG41-AG40,1),"")</f>
        <v>0</v>
      </c>
      <c r="AH42" s="253">
        <f>IF(AND(ISNUMBER(AH41),ISNUMBER(AH40)),ROUND(AH41-AH40,1),"")</f>
        <v>0</v>
      </c>
      <c r="AI42" s="253">
        <f>IF(AND(ISNUMBER(AI41),ISNUMBER(AI40)),ROUND(AI41-AI40,1),"")</f>
        <v>0</v>
      </c>
      <c r="AJ42" s="253" t="str">
        <f>IF(AND(ISNUMBER(AJ41),ISNUMBER(AJ40)),ROUND(AJ41-AJ40,1),"")</f>
        <v/>
      </c>
      <c r="AK42" s="253" t="str">
        <f>IF(AND(ISNUMBER(AK41),ISNUMBER(AK40)),ROUND(AK41-AK40,1),"")</f>
        <v/>
      </c>
      <c r="AL42" s="253" t="str">
        <f>IF(AND(ISNUMBER(AL41),ISNUMBER(AL40)),ROUND(AL41-AL40,1),"")</f>
        <v/>
      </c>
      <c r="AM42" s="253" t="str">
        <f>IF(AND(ISNUMBER(AM41),ISNUMBER(AM40)),ROUND(AM41-AM40,1),"")</f>
        <v/>
      </c>
      <c r="AN42" s="253" t="str">
        <f>IF(AND(ISNUMBER(AN41),ISNUMBER(AN40)),ROUND(AN41-AN40,1),"")</f>
        <v/>
      </c>
      <c r="AO42" s="253" t="str">
        <f>IF(AND(ISNUMBER(AO41),ISNUMBER(AO40)),ROUND(AO41-AO40,1),"")</f>
        <v/>
      </c>
      <c r="AP42" s="253" t="str">
        <f>IF(AND(ISNUMBER(AP41),ISNUMBER(AP40)),ROUND(AP41-AP40,1),"")</f>
        <v/>
      </c>
      <c r="AQ42" s="253" t="str">
        <f>IF(AND(ISNUMBER(AQ41),ISNUMBER(AQ40)),ROUND(AQ41-AQ40,1),"")</f>
        <v/>
      </c>
      <c r="AR42" s="253" t="str">
        <f>IF(AND(ISNUMBER(AR41),ISNUMBER(AR40)),ROUND(AR41-AR40,1),"")</f>
        <v/>
      </c>
      <c r="AS42" s="253" t="str">
        <f>IF(AND(ISNUMBER(AS41),ISNUMBER(AS40)),ROUND(AS41-AS40,1),"")</f>
        <v/>
      </c>
      <c r="AT42" s="253" t="str">
        <f>IF(AND(ISNUMBER(AT41),ISNUMBER(AT40)),ROUND(AT41-AT40,1),"")</f>
        <v/>
      </c>
      <c r="AU42" s="253" t="str">
        <f>IF(AND(ISNUMBER(AU41),ISNUMBER(AU40)),ROUND(AU41-AU40,1),"")</f>
        <v/>
      </c>
      <c r="AV42" s="253" t="str">
        <f>IF(AND(ISNUMBER(AV41),ISNUMBER(AV40)),ROUND(AV41-AV40,1),"")</f>
        <v/>
      </c>
      <c r="AW42" s="253" t="str">
        <f>IF(AND(ISNUMBER(AW41),ISNUMBER(AW40)),ROUND(AW41-AW40,1),"")</f>
        <v/>
      </c>
      <c r="AX42" s="253" t="str">
        <f>IF(AND(ISNUMBER(AX41),ISNUMBER(AX40)),ROUND(AX41-AX40,1),"")</f>
        <v/>
      </c>
      <c r="AY42" s="253" t="str">
        <f>IF(AND(ISNUMBER(AY41),ISNUMBER(AY40)),ROUND(AY41-AY40,1),"")</f>
        <v/>
      </c>
      <c r="AZ42" s="253" t="str">
        <f>IF(AND(ISNUMBER(AZ41),ISNUMBER(AZ40)),ROUND(AZ41-AZ40,1),"")</f>
        <v/>
      </c>
      <c r="BA42" s="253" t="str">
        <f>IF(AND(ISNUMBER(BA41),ISNUMBER(BA40)),ROUND(BA41-BA40,1),"")</f>
        <v/>
      </c>
      <c r="BB42" s="253" t="str">
        <f>IF(AND(ISNUMBER(BB41),ISNUMBER(BB40)),ROUND(BB41-BB40,1),"")</f>
        <v/>
      </c>
      <c r="BC42" s="253" t="str">
        <f>IF(AND(ISNUMBER(BC41),ISNUMBER(BC40)),ROUND(BC41-BC40,1),"")</f>
        <v/>
      </c>
      <c r="BD42" s="253" t="str">
        <f>IF(AND(ISNUMBER(BD41),ISNUMBER(BD40)),ROUND(BD41-BD40,1),"")</f>
        <v/>
      </c>
      <c r="BE42" s="253" t="str">
        <f>IF(AND(ISNUMBER(BE41),ISNUMBER(BE40)),ROUND(BE41-BE40,1),"")</f>
        <v/>
      </c>
      <c r="BF42" s="253" t="str">
        <f>IF(AND(ISNUMBER(BF41),ISNUMBER(BF40)),ROUND(BF41-BF40,1),"")</f>
        <v/>
      </c>
      <c r="BG42" s="39" t="n"/>
      <c r="BH42" s="39" t="n"/>
      <c r="BI42" s="39" t="n"/>
      <c r="BJ42" s="39" t="n"/>
      <c r="BK42" s="39" t="n"/>
      <c r="BL42" s="39" t="n"/>
      <c r="BM42" s="39" t="n"/>
      <c r="BN42" s="39" t="n"/>
      <c r="BO42" s="39" t="n"/>
      <c r="BP42" s="39" t="n"/>
      <c r="BQ42" s="39" t="n"/>
      <c r="BR42" s="39" t="n"/>
      <c r="BS42" s="39" t="n"/>
      <c r="BT42" s="39" t="n"/>
      <c r="BU42" s="39" t="n"/>
      <c r="BV42" s="39" t="n"/>
      <c r="BW42" s="39" t="n"/>
      <c r="BX42" s="39" t="n"/>
      <c r="BY42" s="39" t="n"/>
      <c r="BZ42" s="39" t="n"/>
      <c r="CA42" s="39" t="n"/>
      <c r="CB42" s="39" t="n"/>
      <c r="CC42" s="39" t="n"/>
      <c r="CD42" s="39" t="n"/>
      <c r="CE42" s="39" t="n"/>
      <c r="CF42" s="39" t="n"/>
      <c r="CG42" s="39" t="n"/>
      <c r="CH42" s="39" t="n"/>
      <c r="CI42" s="39" t="n"/>
      <c r="CJ42" s="39" t="n"/>
      <c r="CK42" s="39" t="n"/>
      <c r="CL42" s="39" t="n"/>
      <c r="CM42" s="39" t="n"/>
      <c r="CN42" s="39" t="n"/>
      <c r="CO42" s="39" t="n"/>
      <c r="CP42" s="39" t="n"/>
      <c r="CQ42" s="39" t="n"/>
      <c r="CR42" s="39" t="n"/>
      <c r="CS42" s="39" t="n"/>
      <c r="CT42" s="39" t="n"/>
      <c r="CU42" s="39" t="n"/>
      <c r="CV42" s="39" t="n"/>
      <c r="CW42" s="39" t="n"/>
      <c r="CX42" s="39" t="n"/>
      <c r="CY42" s="39" t="n"/>
    </row>
    <row r="43" outlineLevel="1" customFormat="1" s="43">
      <c r="A43" s="36" t="n"/>
      <c r="B43" s="37" t="n"/>
      <c r="C43" s="263" t="inlineStr">
        <is>
          <t>Referência da empresa - balanço energético (release 2T26)</t>
        </is>
      </c>
      <c r="D43" s="264" t="n"/>
      <c r="E43" s="264" t="n"/>
      <c r="F43" s="264" t="n"/>
      <c r="G43" s="264" t="n"/>
      <c r="H43" s="264" t="n"/>
      <c r="I43" s="264" t="n"/>
      <c r="J43" s="264" t="n"/>
      <c r="K43" s="264" t="n"/>
      <c r="L43" s="264" t="n"/>
      <c r="M43" s="264" t="n"/>
      <c r="N43" s="264" t="n"/>
      <c r="O43" s="264" t="n"/>
      <c r="P43" s="264" t="n"/>
      <c r="Q43" s="264" t="n"/>
      <c r="R43" s="264" t="n"/>
      <c r="S43" s="264" t="n"/>
      <c r="T43" s="264" t="n"/>
      <c r="U43" s="264" t="n"/>
      <c r="V43" s="264" t="n"/>
      <c r="W43" s="264" t="n"/>
      <c r="X43" s="264" t="n"/>
      <c r="Y43" s="264" t="n"/>
      <c r="Z43" s="264" t="n"/>
      <c r="AA43" s="264" t="n"/>
      <c r="AB43" s="264" t="n"/>
      <c r="AC43" s="264" t="n"/>
      <c r="AD43" s="264" t="n"/>
      <c r="AE43" s="264" t="n"/>
      <c r="AF43" s="264" t="n"/>
      <c r="AG43" s="264" t="n"/>
      <c r="AH43" s="264" t="n"/>
      <c r="AI43" s="264" t="n"/>
      <c r="AJ43" s="264" t="n"/>
      <c r="AK43" s="264" t="n"/>
      <c r="AL43" s="264" t="n"/>
      <c r="AM43" s="264" t="n"/>
      <c r="AN43" s="264" t="n"/>
      <c r="AO43" s="264" t="n"/>
      <c r="AP43" s="264" t="n"/>
      <c r="AQ43" s="264" t="n"/>
      <c r="AR43" s="264" t="n"/>
      <c r="AS43" s="264" t="n"/>
      <c r="AT43" s="264" t="n"/>
      <c r="AU43" s="264" t="n"/>
      <c r="AV43" s="264" t="n"/>
      <c r="AW43" s="264" t="n"/>
      <c r="AX43" s="264" t="n"/>
      <c r="AY43" s="264" t="n"/>
      <c r="AZ43" s="264" t="n"/>
      <c r="BA43" s="264" t="n"/>
      <c r="BB43" s="264" t="n"/>
      <c r="BC43" s="264" t="n"/>
      <c r="BD43" s="264" t="n"/>
      <c r="BE43" s="264" t="n"/>
      <c r="BF43" s="264" t="n"/>
      <c r="BG43" s="39" t="n"/>
      <c r="BH43" s="39" t="n"/>
      <c r="BI43" s="39" t="n"/>
      <c r="BJ43" s="39" t="n"/>
      <c r="BK43" s="39" t="n"/>
      <c r="BL43" s="39" t="n"/>
      <c r="BM43" s="39" t="n"/>
      <c r="BN43" s="39" t="n"/>
      <c r="BO43" s="39" t="n"/>
      <c r="BP43" s="39" t="n"/>
      <c r="BQ43" s="39" t="n"/>
      <c r="BR43" s="39" t="n"/>
      <c r="BS43" s="39" t="n"/>
      <c r="BT43" s="39" t="n"/>
      <c r="BU43" s="39" t="n"/>
      <c r="BV43" s="39" t="n"/>
      <c r="BW43" s="39" t="n"/>
      <c r="BX43" s="39" t="n"/>
      <c r="BY43" s="39" t="n"/>
      <c r="BZ43" s="39" t="n"/>
      <c r="CA43" s="39" t="n"/>
      <c r="CB43" s="39" t="n"/>
      <c r="CC43" s="39" t="n"/>
      <c r="CD43" s="39" t="n"/>
      <c r="CE43" s="39" t="n"/>
      <c r="CF43" s="39" t="n"/>
      <c r="CG43" s="39" t="n"/>
      <c r="CH43" s="39" t="n"/>
      <c r="CI43" s="39" t="n"/>
      <c r="CJ43" s="39" t="n"/>
      <c r="CK43" s="39" t="n"/>
      <c r="CL43" s="39" t="n"/>
      <c r="CM43" s="39" t="n"/>
      <c r="CN43" s="39" t="n"/>
      <c r="CO43" s="39" t="n"/>
      <c r="CP43" s="39" t="n"/>
      <c r="CQ43" s="39" t="n"/>
      <c r="CR43" s="39" t="n"/>
      <c r="CS43" s="39" t="n"/>
      <c r="CT43" s="39" t="n"/>
      <c r="CU43" s="39" t="n"/>
      <c r="CV43" s="39" t="n"/>
      <c r="CW43" s="39" t="n"/>
      <c r="CX43" s="39" t="n"/>
      <c r="CY43" s="39" t="n"/>
    </row>
    <row r="44" outlineLevel="1" customFormat="1" s="43">
      <c r="A44" s="36" t="n"/>
      <c r="B44" s="37" t="n"/>
      <c r="C44" s="267" t="inlineStr">
        <is>
          <t>Geração: vendas totais ACR + ACL (MW médios)</t>
        </is>
      </c>
      <c r="D44" s="257" t="n"/>
      <c r="E44" s="257" t="n"/>
      <c r="F44" s="257" t="n"/>
      <c r="G44" s="257" t="n"/>
      <c r="H44" s="257" t="n"/>
      <c r="I44" s="257" t="n"/>
      <c r="J44" s="257" t="n"/>
      <c r="K44" s="257" t="n"/>
      <c r="L44" s="257" t="n"/>
      <c r="M44" s="257" t="n"/>
      <c r="N44" s="257" t="n"/>
      <c r="O44" s="257" t="n"/>
      <c r="P44" s="257" t="n"/>
      <c r="Q44" s="257" t="n"/>
      <c r="R44" s="257" t="n"/>
      <c r="S44" s="257" t="n"/>
      <c r="T44" s="257" t="n"/>
      <c r="U44" s="257" t="n"/>
      <c r="V44" s="257" t="n"/>
      <c r="W44" s="257" t="n"/>
      <c r="X44" s="257" t="n"/>
      <c r="Y44" s="257" t="n"/>
      <c r="Z44" s="257" t="n"/>
      <c r="AA44" s="257" t="n"/>
      <c r="AB44" s="257" t="n"/>
      <c r="AC44" s="257" t="n"/>
      <c r="AD44" s="257" t="n"/>
      <c r="AE44" s="257" t="n"/>
      <c r="AF44" s="257" t="n"/>
      <c r="AG44" s="257" t="n"/>
      <c r="AH44" s="257" t="n"/>
      <c r="AI44" s="257" t="n"/>
      <c r="AJ44" s="257" t="n"/>
      <c r="AK44" s="257" t="n"/>
      <c r="AL44" s="258" t="n">
        <v>4147</v>
      </c>
      <c r="AM44" s="257" t="n"/>
      <c r="AN44" s="257" t="n"/>
      <c r="AO44" s="257" t="n"/>
      <c r="AP44" s="257" t="n"/>
      <c r="AQ44" s="258" t="n">
        <v>3831</v>
      </c>
      <c r="AR44" s="257" t="n"/>
      <c r="AS44" s="257" t="n"/>
      <c r="AT44" s="257" t="n"/>
      <c r="AU44" s="257" t="n"/>
      <c r="AV44" s="258" t="n">
        <v>3674</v>
      </c>
      <c r="AW44" s="257" t="n"/>
      <c r="AX44" s="257" t="n"/>
      <c r="AY44" s="257" t="n"/>
      <c r="AZ44" s="257" t="n"/>
      <c r="BA44" s="258" t="n">
        <v>3063</v>
      </c>
      <c r="BB44" s="257" t="n"/>
      <c r="BC44" s="257" t="n"/>
      <c r="BD44" s="257" t="n"/>
      <c r="BE44" s="257" t="n"/>
      <c r="BF44" s="258" t="n">
        <v>2801</v>
      </c>
      <c r="BG44" s="39" t="n"/>
      <c r="BH44" s="39" t="n"/>
      <c r="BI44" s="39" t="n"/>
      <c r="BJ44" s="39" t="n"/>
      <c r="BK44" s="39" t="n"/>
      <c r="BL44" s="39" t="n"/>
      <c r="BM44" s="39" t="n"/>
      <c r="BN44" s="39" t="n"/>
      <c r="BO44" s="39" t="n"/>
      <c r="BP44" s="39" t="n"/>
      <c r="BQ44" s="39" t="n"/>
      <c r="BR44" s="39" t="n"/>
      <c r="BS44" s="39" t="n"/>
      <c r="BT44" s="39" t="n"/>
      <c r="BU44" s="39" t="n"/>
      <c r="BV44" s="39" t="n"/>
      <c r="BW44" s="39" t="n"/>
      <c r="BX44" s="39" t="n"/>
      <c r="BY44" s="39" t="n"/>
      <c r="BZ44" s="39" t="n"/>
      <c r="CA44" s="39" t="n"/>
      <c r="CB44" s="39" t="n"/>
      <c r="CC44" s="39" t="n"/>
      <c r="CD44" s="39" t="n"/>
      <c r="CE44" s="39" t="n"/>
      <c r="CF44" s="39" t="n"/>
      <c r="CG44" s="39" t="n"/>
      <c r="CH44" s="39" t="n"/>
      <c r="CI44" s="39" t="n"/>
      <c r="CJ44" s="39" t="n"/>
      <c r="CK44" s="39" t="n"/>
      <c r="CL44" s="39" t="n"/>
      <c r="CM44" s="39" t="n"/>
      <c r="CN44" s="39" t="n"/>
      <c r="CO44" s="39" t="n"/>
      <c r="CP44" s="39" t="n"/>
      <c r="CQ44" s="39" t="n"/>
      <c r="CR44" s="39" t="n"/>
      <c r="CS44" s="39" t="n"/>
      <c r="CT44" s="39" t="n"/>
      <c r="CU44" s="39" t="n"/>
      <c r="CV44" s="39" t="n"/>
      <c r="CW44" s="39" t="n"/>
      <c r="CX44" s="39" t="n"/>
      <c r="CY44" s="39" t="n"/>
    </row>
    <row r="45" outlineLevel="1" customFormat="1" s="43">
      <c r="A45" s="36" t="n"/>
      <c r="B45" s="37" t="n"/>
      <c r="C45" s="267" t="inlineStr">
        <is>
          <t>Geração: preço médio de venda (R$/MWh)</t>
        </is>
      </c>
      <c r="D45" s="257" t="n"/>
      <c r="E45" s="257" t="n"/>
      <c r="F45" s="257" t="n"/>
      <c r="G45" s="257" t="n"/>
      <c r="H45" s="257" t="n"/>
      <c r="I45" s="257" t="n"/>
      <c r="J45" s="257" t="n"/>
      <c r="K45" s="257" t="n"/>
      <c r="L45" s="257" t="n"/>
      <c r="M45" s="257" t="n"/>
      <c r="N45" s="257" t="n"/>
      <c r="O45" s="257" t="n"/>
      <c r="P45" s="257" t="n"/>
      <c r="Q45" s="257" t="n"/>
      <c r="R45" s="257" t="n"/>
      <c r="S45" s="257" t="n"/>
      <c r="T45" s="257" t="n"/>
      <c r="U45" s="257" t="n"/>
      <c r="V45" s="257" t="n"/>
      <c r="W45" s="257" t="n"/>
      <c r="X45" s="257" t="n"/>
      <c r="Y45" s="257" t="n"/>
      <c r="Z45" s="257" t="n"/>
      <c r="AA45" s="257" t="n"/>
      <c r="AB45" s="257" t="n"/>
      <c r="AC45" s="257" t="n"/>
      <c r="AD45" s="257" t="n"/>
      <c r="AE45" s="257" t="n"/>
      <c r="AF45" s="257" t="n"/>
      <c r="AG45" s="257" t="n"/>
      <c r="AH45" s="257" t="n"/>
      <c r="AI45" s="257" t="n"/>
      <c r="AJ45" s="257" t="n"/>
      <c r="AK45" s="257" t="n"/>
      <c r="AL45" s="258" t="n">
        <v>196</v>
      </c>
      <c r="AM45" s="257" t="n"/>
      <c r="AN45" s="257" t="n"/>
      <c r="AO45" s="257" t="n"/>
      <c r="AP45" s="257" t="n"/>
      <c r="AQ45" s="258" t="n">
        <v>212</v>
      </c>
      <c r="AR45" s="257" t="n"/>
      <c r="AS45" s="257" t="n"/>
      <c r="AT45" s="257" t="n"/>
      <c r="AU45" s="257" t="n"/>
      <c r="AV45" s="258" t="n">
        <v>210</v>
      </c>
      <c r="AW45" s="257" t="n"/>
      <c r="AX45" s="257" t="n"/>
      <c r="AY45" s="257" t="n"/>
      <c r="AZ45" s="257" t="n"/>
      <c r="BA45" s="258" t="n">
        <v>216</v>
      </c>
      <c r="BB45" s="257" t="n"/>
      <c r="BC45" s="257" t="n"/>
      <c r="BD45" s="257" t="n"/>
      <c r="BE45" s="257" t="n"/>
      <c r="BF45" s="258" t="n">
        <v>222</v>
      </c>
      <c r="BG45" s="39" t="n"/>
      <c r="BH45" s="39" t="n"/>
      <c r="BI45" s="39" t="n"/>
      <c r="BJ45" s="39" t="n"/>
      <c r="BK45" s="39" t="n"/>
      <c r="BL45" s="39" t="n"/>
      <c r="BM45" s="39" t="n"/>
      <c r="BN45" s="39" t="n"/>
      <c r="BO45" s="39" t="n"/>
      <c r="BP45" s="39" t="n"/>
      <c r="BQ45" s="39" t="n"/>
      <c r="BR45" s="39" t="n"/>
      <c r="BS45" s="39" t="n"/>
      <c r="BT45" s="39" t="n"/>
      <c r="BU45" s="39" t="n"/>
      <c r="BV45" s="39" t="n"/>
      <c r="BW45" s="39" t="n"/>
      <c r="BX45" s="39" t="n"/>
      <c r="BY45" s="39" t="n"/>
      <c r="BZ45" s="39" t="n"/>
      <c r="CA45" s="39" t="n"/>
      <c r="CB45" s="39" t="n"/>
      <c r="CC45" s="39" t="n"/>
      <c r="CD45" s="39" t="n"/>
      <c r="CE45" s="39" t="n"/>
      <c r="CF45" s="39" t="n"/>
      <c r="CG45" s="39" t="n"/>
      <c r="CH45" s="39" t="n"/>
      <c r="CI45" s="39" t="n"/>
      <c r="CJ45" s="39" t="n"/>
      <c r="CK45" s="39" t="n"/>
      <c r="CL45" s="39" t="n"/>
      <c r="CM45" s="39" t="n"/>
      <c r="CN45" s="39" t="n"/>
      <c r="CO45" s="39" t="n"/>
      <c r="CP45" s="39" t="n"/>
      <c r="CQ45" s="39" t="n"/>
      <c r="CR45" s="39" t="n"/>
      <c r="CS45" s="39" t="n"/>
      <c r="CT45" s="39" t="n"/>
      <c r="CU45" s="39" t="n"/>
      <c r="CV45" s="39" t="n"/>
      <c r="CW45" s="39" t="n"/>
      <c r="CX45" s="39" t="n"/>
      <c r="CY45" s="39" t="n"/>
    </row>
    <row r="46" outlineLevel="1" customFormat="1" s="43">
      <c r="A46" s="36" t="n"/>
      <c r="B46" s="37" t="n"/>
      <c r="C46" s="267" t="inlineStr">
        <is>
          <t>Geração: recursos próprios - garantia física (MW médios)</t>
        </is>
      </c>
      <c r="D46" s="257" t="n"/>
      <c r="E46" s="257" t="n"/>
      <c r="F46" s="257" t="n"/>
      <c r="G46" s="257" t="n"/>
      <c r="H46" s="257" t="n"/>
      <c r="I46" s="257" t="n"/>
      <c r="J46" s="257" t="n"/>
      <c r="K46" s="257" t="n"/>
      <c r="L46" s="257" t="n"/>
      <c r="M46" s="257" t="n"/>
      <c r="N46" s="257" t="n"/>
      <c r="O46" s="257" t="n"/>
      <c r="P46" s="257" t="n"/>
      <c r="Q46" s="257" t="n"/>
      <c r="R46" s="257" t="n"/>
      <c r="S46" s="257" t="n"/>
      <c r="T46" s="257" t="n"/>
      <c r="U46" s="257" t="n"/>
      <c r="V46" s="257" t="n"/>
      <c r="W46" s="257" t="n"/>
      <c r="X46" s="257" t="n"/>
      <c r="Y46" s="257" t="n"/>
      <c r="Z46" s="257" t="n"/>
      <c r="AA46" s="257" t="n"/>
      <c r="AB46" s="257" t="n"/>
      <c r="AC46" s="257" t="n"/>
      <c r="AD46" s="257" t="n"/>
      <c r="AE46" s="257" t="n"/>
      <c r="AF46" s="257" t="n"/>
      <c r="AG46" s="257" t="n"/>
      <c r="AH46" s="257" t="n"/>
      <c r="AI46" s="257" t="n"/>
      <c r="AJ46" s="257" t="n"/>
      <c r="AK46" s="257" t="n"/>
      <c r="AL46" s="258" t="n">
        <v>3678</v>
      </c>
      <c r="AM46" s="257" t="n"/>
      <c r="AN46" s="257" t="n"/>
      <c r="AO46" s="257" t="n"/>
      <c r="AP46" s="257" t="n"/>
      <c r="AQ46" s="258" t="n">
        <v>3777</v>
      </c>
      <c r="AR46" s="257" t="n"/>
      <c r="AS46" s="257" t="n"/>
      <c r="AT46" s="257" t="n"/>
      <c r="AU46" s="257" t="n"/>
      <c r="AV46" s="258" t="n">
        <v>3777</v>
      </c>
      <c r="AW46" s="257" t="n"/>
      <c r="AX46" s="257" t="n"/>
      <c r="AY46" s="257" t="n"/>
      <c r="AZ46" s="257" t="n"/>
      <c r="BA46" s="258" t="n">
        <v>3777</v>
      </c>
      <c r="BB46" s="257" t="n"/>
      <c r="BC46" s="257" t="n"/>
      <c r="BD46" s="257" t="n"/>
      <c r="BE46" s="257" t="n"/>
      <c r="BF46" s="258" t="n">
        <v>3777</v>
      </c>
      <c r="BG46" s="39" t="n"/>
      <c r="BH46" s="39" t="n"/>
      <c r="BI46" s="39" t="n"/>
      <c r="BJ46" s="39" t="n"/>
      <c r="BK46" s="39" t="n"/>
      <c r="BL46" s="39" t="n"/>
      <c r="BM46" s="39" t="n"/>
      <c r="BN46" s="39" t="n"/>
      <c r="BO46" s="39" t="n"/>
      <c r="BP46" s="39" t="n"/>
      <c r="BQ46" s="39" t="n"/>
      <c r="BR46" s="39" t="n"/>
      <c r="BS46" s="39" t="n"/>
      <c r="BT46" s="39" t="n"/>
      <c r="BU46" s="39" t="n"/>
      <c r="BV46" s="39" t="n"/>
      <c r="BW46" s="39" t="n"/>
      <c r="BX46" s="39" t="n"/>
      <c r="BY46" s="39" t="n"/>
      <c r="BZ46" s="39" t="n"/>
      <c r="CA46" s="39" t="n"/>
      <c r="CB46" s="39" t="n"/>
      <c r="CC46" s="39" t="n"/>
      <c r="CD46" s="39" t="n"/>
      <c r="CE46" s="39" t="n"/>
      <c r="CF46" s="39" t="n"/>
      <c r="CG46" s="39" t="n"/>
      <c r="CH46" s="39" t="n"/>
      <c r="CI46" s="39" t="n"/>
      <c r="CJ46" s="39" t="n"/>
      <c r="CK46" s="39" t="n"/>
      <c r="CL46" s="39" t="n"/>
      <c r="CM46" s="39" t="n"/>
      <c r="CN46" s="39" t="n"/>
      <c r="CO46" s="39" t="n"/>
      <c r="CP46" s="39" t="n"/>
      <c r="CQ46" s="39" t="n"/>
      <c r="CR46" s="39" t="n"/>
      <c r="CS46" s="39" t="n"/>
      <c r="CT46" s="39" t="n"/>
      <c r="CU46" s="39" t="n"/>
      <c r="CV46" s="39" t="n"/>
      <c r="CW46" s="39" t="n"/>
      <c r="CX46" s="39" t="n"/>
      <c r="CY46" s="39" t="n"/>
    </row>
    <row r="47" outlineLevel="1" customFormat="1" s="43">
      <c r="A47" s="36" t="n"/>
      <c r="B47" s="37" t="n"/>
      <c r="C47" s="267" t="inlineStr">
        <is>
          <t>Geração: compras para revenda (MW médios)</t>
        </is>
      </c>
      <c r="D47" s="257" t="n"/>
      <c r="E47" s="257" t="n"/>
      <c r="F47" s="257" t="n"/>
      <c r="G47" s="257" t="n"/>
      <c r="H47" s="257" t="n"/>
      <c r="I47" s="257" t="n"/>
      <c r="J47" s="257" t="n"/>
      <c r="K47" s="257" t="n"/>
      <c r="L47" s="257" t="n"/>
      <c r="M47" s="257" t="n"/>
      <c r="N47" s="257" t="n"/>
      <c r="O47" s="257" t="n"/>
      <c r="P47" s="257" t="n"/>
      <c r="Q47" s="257" t="n"/>
      <c r="R47" s="257" t="n"/>
      <c r="S47" s="257" t="n"/>
      <c r="T47" s="257" t="n"/>
      <c r="U47" s="257" t="n"/>
      <c r="V47" s="257" t="n"/>
      <c r="W47" s="257" t="n"/>
      <c r="X47" s="257" t="n"/>
      <c r="Y47" s="257" t="n"/>
      <c r="Z47" s="257" t="n"/>
      <c r="AA47" s="257" t="n"/>
      <c r="AB47" s="257" t="n"/>
      <c r="AC47" s="257" t="n"/>
      <c r="AD47" s="257" t="n"/>
      <c r="AE47" s="257" t="n"/>
      <c r="AF47" s="257" t="n"/>
      <c r="AG47" s="257" t="n"/>
      <c r="AH47" s="257" t="n"/>
      <c r="AI47" s="257" t="n"/>
      <c r="AJ47" s="257" t="n"/>
      <c r="AK47" s="257" t="n"/>
      <c r="AL47" s="258" t="n">
        <v>914</v>
      </c>
      <c r="AM47" s="257" t="n"/>
      <c r="AN47" s="257" t="n"/>
      <c r="AO47" s="257" t="n"/>
      <c r="AP47" s="257" t="n"/>
      <c r="AQ47" s="258" t="n">
        <v>596</v>
      </c>
      <c r="AR47" s="257" t="n"/>
      <c r="AS47" s="257" t="n"/>
      <c r="AT47" s="257" t="n"/>
      <c r="AU47" s="257" t="n"/>
      <c r="AV47" s="258" t="n">
        <v>485</v>
      </c>
      <c r="AW47" s="257" t="n"/>
      <c r="AX47" s="257" t="n"/>
      <c r="AY47" s="257" t="n"/>
      <c r="AZ47" s="257" t="n"/>
      <c r="BA47" s="258" t="n">
        <v>320</v>
      </c>
      <c r="BB47" s="257" t="n"/>
      <c r="BC47" s="257" t="n"/>
      <c r="BD47" s="257" t="n"/>
      <c r="BE47" s="257" t="n"/>
      <c r="BF47" s="258" t="n">
        <v>320</v>
      </c>
      <c r="BG47" s="39" t="n"/>
      <c r="BH47" s="39" t="n"/>
      <c r="BI47" s="39" t="n"/>
      <c r="BJ47" s="39" t="n"/>
      <c r="BK47" s="39" t="n"/>
      <c r="BL47" s="39" t="n"/>
      <c r="BM47" s="39" t="n"/>
      <c r="BN47" s="39" t="n"/>
      <c r="BO47" s="39" t="n"/>
      <c r="BP47" s="39" t="n"/>
      <c r="BQ47" s="39" t="n"/>
      <c r="BR47" s="39" t="n"/>
      <c r="BS47" s="39" t="n"/>
      <c r="BT47" s="39" t="n"/>
      <c r="BU47" s="39" t="n"/>
      <c r="BV47" s="39" t="n"/>
      <c r="BW47" s="39" t="n"/>
      <c r="BX47" s="39" t="n"/>
      <c r="BY47" s="39" t="n"/>
      <c r="BZ47" s="39" t="n"/>
      <c r="CA47" s="39" t="n"/>
      <c r="CB47" s="39" t="n"/>
      <c r="CC47" s="39" t="n"/>
      <c r="CD47" s="39" t="n"/>
      <c r="CE47" s="39" t="n"/>
      <c r="CF47" s="39" t="n"/>
      <c r="CG47" s="39" t="n"/>
      <c r="CH47" s="39" t="n"/>
      <c r="CI47" s="39" t="n"/>
      <c r="CJ47" s="39" t="n"/>
      <c r="CK47" s="39" t="n"/>
      <c r="CL47" s="39" t="n"/>
      <c r="CM47" s="39" t="n"/>
      <c r="CN47" s="39" t="n"/>
      <c r="CO47" s="39" t="n"/>
      <c r="CP47" s="39" t="n"/>
      <c r="CQ47" s="39" t="n"/>
      <c r="CR47" s="39" t="n"/>
      <c r="CS47" s="39" t="n"/>
      <c r="CT47" s="39" t="n"/>
      <c r="CU47" s="39" t="n"/>
      <c r="CV47" s="39" t="n"/>
      <c r="CW47" s="39" t="n"/>
      <c r="CX47" s="39" t="n"/>
      <c r="CY47" s="39" t="n"/>
    </row>
    <row r="48" outlineLevel="1" customFormat="1" s="43">
      <c r="A48" s="36" t="n"/>
      <c r="B48" s="37" t="n"/>
      <c r="C48" s="267" t="inlineStr">
        <is>
          <t>Geração: energia descontratada (MW médios)</t>
        </is>
      </c>
      <c r="D48" s="257" t="n"/>
      <c r="E48" s="257" t="n"/>
      <c r="F48" s="257" t="n"/>
      <c r="G48" s="257" t="n"/>
      <c r="H48" s="257" t="n"/>
      <c r="I48" s="257" t="n"/>
      <c r="J48" s="257" t="n"/>
      <c r="K48" s="257" t="n"/>
      <c r="L48" s="257" t="n"/>
      <c r="M48" s="257" t="n"/>
      <c r="N48" s="257" t="n"/>
      <c r="O48" s="257" t="n"/>
      <c r="P48" s="257" t="n"/>
      <c r="Q48" s="257" t="n"/>
      <c r="R48" s="257" t="n"/>
      <c r="S48" s="257" t="n"/>
      <c r="T48" s="257" t="n"/>
      <c r="U48" s="257" t="n"/>
      <c r="V48" s="257" t="n"/>
      <c r="W48" s="257" t="n"/>
      <c r="X48" s="257" t="n"/>
      <c r="Y48" s="257" t="n"/>
      <c r="Z48" s="257" t="n"/>
      <c r="AA48" s="257" t="n"/>
      <c r="AB48" s="257" t="n"/>
      <c r="AC48" s="257" t="n"/>
      <c r="AD48" s="257" t="n"/>
      <c r="AE48" s="257" t="n"/>
      <c r="AF48" s="257" t="n"/>
      <c r="AG48" s="257" t="n"/>
      <c r="AH48" s="257" t="n"/>
      <c r="AI48" s="257" t="n"/>
      <c r="AJ48" s="257" t="n"/>
      <c r="AK48" s="257" t="n"/>
      <c r="AL48" s="258" t="n">
        <v>445</v>
      </c>
      <c r="AM48" s="257" t="n"/>
      <c r="AN48" s="257" t="n"/>
      <c r="AO48" s="257" t="n"/>
      <c r="AP48" s="257" t="n"/>
      <c r="AQ48" s="258" t="n">
        <v>542</v>
      </c>
      <c r="AR48" s="257" t="n"/>
      <c r="AS48" s="257" t="n"/>
      <c r="AT48" s="257" t="n"/>
      <c r="AU48" s="257" t="n"/>
      <c r="AV48" s="258" t="n">
        <v>588</v>
      </c>
      <c r="AW48" s="257" t="n"/>
      <c r="AX48" s="257" t="n"/>
      <c r="AY48" s="257" t="n"/>
      <c r="AZ48" s="257" t="n"/>
      <c r="BA48" s="258" t="n">
        <v>1034</v>
      </c>
      <c r="BB48" s="257" t="n"/>
      <c r="BC48" s="257" t="n"/>
      <c r="BD48" s="257" t="n"/>
      <c r="BE48" s="257" t="n"/>
      <c r="BF48" s="258" t="n">
        <v>1296</v>
      </c>
      <c r="BG48" s="39" t="n"/>
      <c r="BH48" s="39" t="n"/>
      <c r="BI48" s="39" t="n"/>
      <c r="BJ48" s="39" t="n"/>
      <c r="BK48" s="39" t="n"/>
      <c r="BL48" s="39" t="n"/>
      <c r="BM48" s="39" t="n"/>
      <c r="BN48" s="39" t="n"/>
      <c r="BO48" s="39" t="n"/>
      <c r="BP48" s="39" t="n"/>
      <c r="BQ48" s="39" t="n"/>
      <c r="BR48" s="39" t="n"/>
      <c r="BS48" s="39" t="n"/>
      <c r="BT48" s="39" t="n"/>
      <c r="BU48" s="39" t="n"/>
      <c r="BV48" s="39" t="n"/>
      <c r="BW48" s="39" t="n"/>
      <c r="BX48" s="39" t="n"/>
      <c r="BY48" s="39" t="n"/>
      <c r="BZ48" s="39" t="n"/>
      <c r="CA48" s="39" t="n"/>
      <c r="CB48" s="39" t="n"/>
      <c r="CC48" s="39" t="n"/>
      <c r="CD48" s="39" t="n"/>
      <c r="CE48" s="39" t="n"/>
      <c r="CF48" s="39" t="n"/>
      <c r="CG48" s="39" t="n"/>
      <c r="CH48" s="39" t="n"/>
      <c r="CI48" s="39" t="n"/>
      <c r="CJ48" s="39" t="n"/>
      <c r="CK48" s="39" t="n"/>
      <c r="CL48" s="39" t="n"/>
      <c r="CM48" s="39" t="n"/>
      <c r="CN48" s="39" t="n"/>
      <c r="CO48" s="39" t="n"/>
      <c r="CP48" s="39" t="n"/>
      <c r="CQ48" s="39" t="n"/>
      <c r="CR48" s="39" t="n"/>
      <c r="CS48" s="39" t="n"/>
      <c r="CT48" s="39" t="n"/>
      <c r="CU48" s="39" t="n"/>
      <c r="CV48" s="39" t="n"/>
      <c r="CW48" s="39" t="n"/>
      <c r="CX48" s="39" t="n"/>
      <c r="CY48" s="39" t="n"/>
    </row>
    <row r="49" outlineLevel="1" customFormat="1" s="43">
      <c r="A49" s="36" t="n"/>
      <c r="B49" s="37" t="n"/>
      <c r="C49" s="267" t="inlineStr">
        <is>
          <t>Comercialização: vendas (MW médios)</t>
        </is>
      </c>
      <c r="D49" s="257" t="n"/>
      <c r="E49" s="257" t="n"/>
      <c r="F49" s="257" t="n"/>
      <c r="G49" s="257" t="n"/>
      <c r="H49" s="257" t="n"/>
      <c r="I49" s="257" t="n"/>
      <c r="J49" s="257" t="n"/>
      <c r="K49" s="257" t="n"/>
      <c r="L49" s="257" t="n"/>
      <c r="M49" s="257" t="n"/>
      <c r="N49" s="257" t="n"/>
      <c r="O49" s="257" t="n"/>
      <c r="P49" s="257" t="n"/>
      <c r="Q49" s="257" t="n"/>
      <c r="R49" s="257" t="n"/>
      <c r="S49" s="257" t="n"/>
      <c r="T49" s="257" t="n"/>
      <c r="U49" s="257" t="n"/>
      <c r="V49" s="257" t="n"/>
      <c r="W49" s="257" t="n"/>
      <c r="X49" s="257" t="n"/>
      <c r="Y49" s="257" t="n"/>
      <c r="Z49" s="257" t="n"/>
      <c r="AA49" s="257" t="n"/>
      <c r="AB49" s="257" t="n"/>
      <c r="AC49" s="257" t="n"/>
      <c r="AD49" s="257" t="n"/>
      <c r="AE49" s="257" t="n"/>
      <c r="AF49" s="257" t="n"/>
      <c r="AG49" s="257" t="n"/>
      <c r="AH49" s="257" t="n"/>
      <c r="AI49" s="257" t="n"/>
      <c r="AJ49" s="257" t="n"/>
      <c r="AK49" s="257" t="n"/>
      <c r="AL49" s="258" t="n">
        <v>5177</v>
      </c>
      <c r="AM49" s="257" t="n"/>
      <c r="AN49" s="257" t="n"/>
      <c r="AO49" s="257" t="n"/>
      <c r="AP49" s="257" t="n"/>
      <c r="AQ49" s="258" t="n">
        <v>2923</v>
      </c>
      <c r="AR49" s="257" t="n"/>
      <c r="AS49" s="257" t="n"/>
      <c r="AT49" s="257" t="n"/>
      <c r="AU49" s="257" t="n"/>
      <c r="AV49" s="258" t="n">
        <v>2121</v>
      </c>
      <c r="AW49" s="257" t="n"/>
      <c r="AX49" s="257" t="n"/>
      <c r="AY49" s="257" t="n"/>
      <c r="AZ49" s="257" t="n"/>
      <c r="BA49" s="258" t="n">
        <v>1230</v>
      </c>
      <c r="BB49" s="257" t="n"/>
      <c r="BC49" s="257" t="n"/>
      <c r="BD49" s="257" t="n"/>
      <c r="BE49" s="257" t="n"/>
      <c r="BF49" s="258" t="n">
        <v>962</v>
      </c>
      <c r="BG49" s="39" t="n"/>
      <c r="BH49" s="39" t="n"/>
      <c r="BI49" s="39" t="n"/>
      <c r="BJ49" s="39" t="n"/>
      <c r="BK49" s="39" t="n"/>
      <c r="BL49" s="39" t="n"/>
      <c r="BM49" s="39" t="n"/>
      <c r="BN49" s="39" t="n"/>
      <c r="BO49" s="39" t="n"/>
      <c r="BP49" s="39" t="n"/>
      <c r="BQ49" s="39" t="n"/>
      <c r="BR49" s="39" t="n"/>
      <c r="BS49" s="39" t="n"/>
      <c r="BT49" s="39" t="n"/>
      <c r="BU49" s="39" t="n"/>
      <c r="BV49" s="39" t="n"/>
      <c r="BW49" s="39" t="n"/>
      <c r="BX49" s="39" t="n"/>
      <c r="BY49" s="39" t="n"/>
      <c r="BZ49" s="39" t="n"/>
      <c r="CA49" s="39" t="n"/>
      <c r="CB49" s="39" t="n"/>
      <c r="CC49" s="39" t="n"/>
      <c r="CD49" s="39" t="n"/>
      <c r="CE49" s="39" t="n"/>
      <c r="CF49" s="39" t="n"/>
      <c r="CG49" s="39" t="n"/>
      <c r="CH49" s="39" t="n"/>
      <c r="CI49" s="39" t="n"/>
      <c r="CJ49" s="39" t="n"/>
      <c r="CK49" s="39" t="n"/>
      <c r="CL49" s="39" t="n"/>
      <c r="CM49" s="39" t="n"/>
      <c r="CN49" s="39" t="n"/>
      <c r="CO49" s="39" t="n"/>
      <c r="CP49" s="39" t="n"/>
      <c r="CQ49" s="39" t="n"/>
      <c r="CR49" s="39" t="n"/>
      <c r="CS49" s="39" t="n"/>
      <c r="CT49" s="39" t="n"/>
      <c r="CU49" s="39" t="n"/>
      <c r="CV49" s="39" t="n"/>
      <c r="CW49" s="39" t="n"/>
      <c r="CX49" s="39" t="n"/>
      <c r="CY49" s="39" t="n"/>
    </row>
    <row r="50" outlineLevel="1" customFormat="1" s="43">
      <c r="A50" s="36" t="n"/>
      <c r="B50" s="37" t="n"/>
      <c r="C50" s="267" t="inlineStr">
        <is>
          <t>Geração: receita contratada implícita (R$ mn) = vendas x preço x horas</t>
        </is>
      </c>
      <c r="D50" s="253" t="n"/>
      <c r="E50" s="253" t="n"/>
      <c r="F50" s="253" t="n"/>
      <c r="G50" s="253" t="n"/>
      <c r="H50" s="253" t="n"/>
      <c r="I50" s="253" t="n"/>
      <c r="J50" s="253" t="n"/>
      <c r="K50" s="253" t="n"/>
      <c r="L50" s="253" t="n"/>
      <c r="M50" s="253" t="n"/>
      <c r="N50" s="253" t="n"/>
      <c r="O50" s="253" t="n"/>
      <c r="P50" s="253" t="n"/>
      <c r="Q50" s="253" t="n"/>
      <c r="R50" s="253" t="n"/>
      <c r="S50" s="253" t="n"/>
      <c r="T50" s="253" t="n"/>
      <c r="U50" s="253" t="n"/>
      <c r="V50" s="253" t="n"/>
      <c r="W50" s="253" t="n"/>
      <c r="X50" s="253" t="n"/>
      <c r="Y50" s="253" t="n"/>
      <c r="Z50" s="253" t="n"/>
      <c r="AA50" s="253" t="n"/>
      <c r="AB50" s="253" t="n"/>
      <c r="AC50" s="253" t="n"/>
      <c r="AD50" s="253" t="n"/>
      <c r="AE50" s="253" t="n"/>
      <c r="AF50" s="253" t="n"/>
      <c r="AG50" s="253" t="n"/>
      <c r="AH50" s="253" t="n"/>
      <c r="AI50" s="253" t="n"/>
      <c r="AJ50" s="253" t="n"/>
      <c r="AK50" s="253" t="n"/>
      <c r="AL50" s="253">
        <f>AL44*AL45*AL25/1000000</f>
        <v>7120.23312</v>
      </c>
      <c r="AM50" s="253" t="n"/>
      <c r="AN50" s="253" t="n"/>
      <c r="AO50" s="253" t="n"/>
      <c r="AP50" s="253" t="n"/>
      <c r="AQ50" s="253">
        <f>AQ44*AQ45*AQ25/1000000</f>
        <v>7114.62672</v>
      </c>
      <c r="AR50" s="253" t="n"/>
      <c r="AS50" s="253" t="n"/>
      <c r="AT50" s="253" t="n"/>
      <c r="AU50" s="253" t="n"/>
      <c r="AV50" s="253">
        <f>AV44*AV45*AV25/1000000</f>
        <v>6777.20736</v>
      </c>
      <c r="AW50" s="253" t="n"/>
      <c r="AX50" s="253" t="n"/>
      <c r="AY50" s="253" t="n"/>
      <c r="AZ50" s="253" t="n"/>
      <c r="BA50" s="253">
        <f>BA44*BA45*BA25/1000000</f>
        <v>5795.68608</v>
      </c>
      <c r="BB50" s="253" t="n"/>
      <c r="BC50" s="253" t="n"/>
      <c r="BD50" s="253" t="n"/>
      <c r="BE50" s="253" t="n"/>
      <c r="BF50" s="253">
        <f>BF44*BF45*BF25/1000000</f>
        <v>5447.16072</v>
      </c>
      <c r="BG50" s="39" t="n"/>
      <c r="BH50" s="39" t="n"/>
      <c r="BI50" s="39" t="n"/>
      <c r="BJ50" s="39" t="n"/>
      <c r="BK50" s="39" t="n"/>
      <c r="BL50" s="39" t="n"/>
      <c r="BM50" s="39" t="n"/>
      <c r="BN50" s="39" t="n"/>
      <c r="BO50" s="39" t="n"/>
      <c r="BP50" s="39" t="n"/>
      <c r="BQ50" s="39" t="n"/>
      <c r="BR50" s="39" t="n"/>
      <c r="BS50" s="39" t="n"/>
      <c r="BT50" s="39" t="n"/>
      <c r="BU50" s="39" t="n"/>
      <c r="BV50" s="39" t="n"/>
      <c r="BW50" s="39" t="n"/>
      <c r="BX50" s="39" t="n"/>
      <c r="BY50" s="39" t="n"/>
      <c r="BZ50" s="39" t="n"/>
      <c r="CA50" s="39" t="n"/>
      <c r="CB50" s="39" t="n"/>
      <c r="CC50" s="39" t="n"/>
      <c r="CD50" s="39" t="n"/>
      <c r="CE50" s="39" t="n"/>
      <c r="CF50" s="39" t="n"/>
      <c r="CG50" s="39" t="n"/>
      <c r="CH50" s="39" t="n"/>
      <c r="CI50" s="39" t="n"/>
      <c r="CJ50" s="39" t="n"/>
      <c r="CK50" s="39" t="n"/>
      <c r="CL50" s="39" t="n"/>
      <c r="CM50" s="39" t="n"/>
      <c r="CN50" s="39" t="n"/>
      <c r="CO50" s="39" t="n"/>
      <c r="CP50" s="39" t="n"/>
      <c r="CQ50" s="39" t="n"/>
      <c r="CR50" s="39" t="n"/>
      <c r="CS50" s="39" t="n"/>
      <c r="CT50" s="39" t="n"/>
      <c r="CU50" s="39" t="n"/>
      <c r="CV50" s="39" t="n"/>
      <c r="CW50" s="39" t="n"/>
      <c r="CX50" s="39" t="n"/>
      <c r="CY50" s="39" t="n"/>
    </row>
    <row r="51" outlineLevel="1" customFormat="1" s="43">
      <c r="A51" s="36" t="n"/>
      <c r="B51" s="37" t="n"/>
      <c r="C51" s="270" t="inlineStr">
        <is>
          <t>Fonte: 2021-2022 = releases 1T22 a 4T22 da Auren (CESP + Votorantim Energia, proforma desde jan/21, sem AES Brasil); 2023 em diante = Planilha Interativa 2T26 (proforma com AES Brasil) e releases 4T24 a 2T26 (geração). Quebra de perímetro em 1T23. Geração proforma de 1T23 a 3T23 não foi publicada por trimestre. Volume e preço da Comercialização não são divulgados por trimestre. Azul = fonte | verde = derivado de dois números da fonte | preto = fórmula | amarelo = premissa a preencher</t>
        </is>
      </c>
      <c r="D51" s="253" t="n"/>
      <c r="E51" s="253" t="n"/>
      <c r="F51" s="253" t="n"/>
      <c r="G51" s="253" t="n"/>
      <c r="H51" s="253" t="n"/>
      <c r="I51" s="253" t="n"/>
      <c r="J51" s="253" t="n"/>
      <c r="K51" s="253" t="n"/>
      <c r="L51" s="253" t="n"/>
      <c r="M51" s="253" t="n"/>
      <c r="N51" s="253" t="n"/>
      <c r="O51" s="253" t="n"/>
      <c r="P51" s="253" t="n"/>
      <c r="Q51" s="253" t="n"/>
      <c r="R51" s="253" t="n"/>
      <c r="S51" s="253" t="n"/>
      <c r="T51" s="253" t="n"/>
      <c r="U51" s="253" t="n"/>
      <c r="V51" s="253" t="n"/>
      <c r="W51" s="253" t="n"/>
      <c r="X51" s="253" t="n"/>
      <c r="Y51" s="253" t="n"/>
      <c r="Z51" s="253" t="n"/>
      <c r="AA51" s="253" t="n"/>
      <c r="AB51" s="253" t="n"/>
      <c r="AC51" s="253" t="n"/>
      <c r="AD51" s="253" t="n"/>
      <c r="AE51" s="253" t="n"/>
      <c r="AF51" s="253" t="n"/>
      <c r="AG51" s="253" t="n"/>
      <c r="AH51" s="253" t="n"/>
      <c r="AI51" s="253" t="n"/>
      <c r="AJ51" s="253" t="n"/>
      <c r="AK51" s="253" t="n"/>
      <c r="AL51" s="253" t="n"/>
      <c r="AM51" s="253" t="n"/>
      <c r="AN51" s="253" t="n"/>
      <c r="AO51" s="253" t="n"/>
      <c r="AP51" s="253" t="n"/>
      <c r="AQ51" s="253" t="n"/>
      <c r="AR51" s="253" t="n"/>
      <c r="AS51" s="253" t="n"/>
      <c r="AT51" s="253" t="n"/>
      <c r="AU51" s="253" t="n"/>
      <c r="AV51" s="253" t="n"/>
      <c r="AW51" s="253" t="n"/>
      <c r="AX51" s="253" t="n"/>
      <c r="AY51" s="253" t="n"/>
      <c r="AZ51" s="253" t="n"/>
      <c r="BA51" s="253" t="n"/>
      <c r="BB51" s="253" t="n"/>
      <c r="BC51" s="253" t="n"/>
      <c r="BD51" s="253" t="n"/>
      <c r="BE51" s="253" t="n"/>
      <c r="BF51" s="253" t="n"/>
      <c r="BG51" s="39" t="n"/>
      <c r="BH51" s="39" t="n"/>
      <c r="BI51" s="39" t="n"/>
      <c r="BJ51" s="39" t="n"/>
      <c r="BK51" s="39" t="n"/>
      <c r="BL51" s="39" t="n"/>
      <c r="BM51" s="39" t="n"/>
      <c r="BN51" s="39" t="n"/>
      <c r="BO51" s="39" t="n"/>
      <c r="BP51" s="39" t="n"/>
      <c r="BQ51" s="39" t="n"/>
      <c r="BR51" s="39" t="n"/>
      <c r="BS51" s="39" t="n"/>
      <c r="BT51" s="39" t="n"/>
      <c r="BU51" s="39" t="n"/>
      <c r="BV51" s="39" t="n"/>
      <c r="BW51" s="39" t="n"/>
      <c r="BX51" s="39" t="n"/>
      <c r="BY51" s="39" t="n"/>
      <c r="BZ51" s="39" t="n"/>
      <c r="CA51" s="39" t="n"/>
      <c r="CB51" s="39" t="n"/>
      <c r="CC51" s="39" t="n"/>
      <c r="CD51" s="39" t="n"/>
      <c r="CE51" s="39" t="n"/>
      <c r="CF51" s="39" t="n"/>
      <c r="CG51" s="39" t="n"/>
      <c r="CH51" s="39" t="n"/>
      <c r="CI51" s="39" t="n"/>
      <c r="CJ51" s="39" t="n"/>
      <c r="CK51" s="39" t="n"/>
      <c r="CL51" s="39" t="n"/>
      <c r="CM51" s="39" t="n"/>
      <c r="CN51" s="39" t="n"/>
      <c r="CO51" s="39" t="n"/>
      <c r="CP51" s="39" t="n"/>
      <c r="CQ51" s="39" t="n"/>
      <c r="CR51" s="39" t="n"/>
      <c r="CS51" s="39" t="n"/>
      <c r="CT51" s="39" t="n"/>
      <c r="CU51" s="39" t="n"/>
      <c r="CV51" s="39" t="n"/>
      <c r="CW51" s="39" t="n"/>
      <c r="CX51" s="39" t="n"/>
      <c r="CY51" s="39" t="n"/>
    </row>
    <row r="52" outlineLevel="1" customFormat="1" s="43">
      <c r="A52" s="36" t="n"/>
      <c r="B52" s="37" t="n"/>
      <c r="C52" s="45" t="n"/>
      <c r="D52" s="39" t="n"/>
      <c r="E52" s="39" t="n"/>
      <c r="F52" s="39" t="n"/>
      <c r="G52" s="39" t="n"/>
      <c r="H52" s="39" t="n"/>
      <c r="I52" s="39" t="n"/>
      <c r="J52" s="39" t="n"/>
      <c r="K52" s="39" t="n"/>
      <c r="L52" s="39" t="n"/>
      <c r="M52" s="39" t="n"/>
      <c r="N52" s="39" t="n"/>
      <c r="O52" s="39" t="n"/>
      <c r="P52" s="39" t="n"/>
      <c r="Q52" s="39" t="n"/>
      <c r="R52" s="39" t="n"/>
      <c r="S52" s="39" t="n"/>
      <c r="T52" s="39" t="n"/>
      <c r="U52" s="39" t="n"/>
      <c r="V52" s="39" t="n"/>
      <c r="W52" s="39" t="n"/>
      <c r="X52" s="39" t="n"/>
      <c r="Y52" s="39" t="n"/>
      <c r="Z52" s="39" t="n"/>
      <c r="AA52" s="39" t="n"/>
      <c r="AB52" s="39" t="n"/>
      <c r="AC52" s="39" t="n"/>
      <c r="AD52" s="39" t="n"/>
      <c r="AE52" s="39" t="n"/>
      <c r="AF52" s="39" t="n"/>
      <c r="AG52" s="39" t="n"/>
      <c r="AH52" s="39" t="n"/>
      <c r="AI52" s="39" t="n"/>
      <c r="AJ52" s="39" t="n"/>
      <c r="AK52" s="39" t="n"/>
      <c r="AL52" s="39" t="n"/>
      <c r="AM52" s="39" t="n"/>
      <c r="AN52" s="39" t="n"/>
      <c r="AO52" s="39" t="n"/>
      <c r="AP52" s="39" t="n"/>
      <c r="AQ52" s="39" t="n"/>
      <c r="AR52" s="39" t="n"/>
      <c r="AS52" s="39" t="n"/>
      <c r="AT52" s="39" t="n"/>
      <c r="AU52" s="39" t="n"/>
      <c r="AV52" s="39" t="n"/>
      <c r="AW52" s="39" t="n"/>
      <c r="AX52" s="39" t="n"/>
      <c r="AY52" s="39" t="n"/>
      <c r="AZ52" s="39" t="n"/>
      <c r="BA52" s="39" t="n"/>
      <c r="BB52" s="39" t="n"/>
      <c r="BC52" s="39" t="n"/>
      <c r="BD52" s="39" t="n"/>
      <c r="BE52" s="39" t="n"/>
      <c r="BF52" s="39" t="n"/>
      <c r="BG52" s="39" t="n"/>
      <c r="BH52" s="39" t="n"/>
      <c r="BI52" s="39" t="n"/>
      <c r="BJ52" s="39" t="n"/>
      <c r="BK52" s="39" t="n"/>
      <c r="BL52" s="39" t="n"/>
      <c r="BM52" s="39" t="n"/>
      <c r="BN52" s="39" t="n"/>
      <c r="BO52" s="39" t="n"/>
      <c r="BP52" s="39" t="n"/>
      <c r="BQ52" s="39" t="n"/>
      <c r="BR52" s="39" t="n"/>
      <c r="BS52" s="39" t="n"/>
      <c r="BT52" s="39" t="n"/>
      <c r="BU52" s="39" t="n"/>
      <c r="BV52" s="39" t="n"/>
      <c r="BW52" s="39" t="n"/>
      <c r="BX52" s="39" t="n"/>
      <c r="BY52" s="39" t="n"/>
      <c r="BZ52" s="39" t="n"/>
      <c r="CA52" s="39" t="n"/>
      <c r="CB52" s="39" t="n"/>
      <c r="CC52" s="39" t="n"/>
      <c r="CD52" s="39" t="n"/>
      <c r="CE52" s="39" t="n"/>
      <c r="CF52" s="39" t="n"/>
      <c r="CG52" s="39" t="n"/>
      <c r="CH52" s="39" t="n"/>
      <c r="CI52" s="39" t="n"/>
      <c r="CJ52" s="39" t="n"/>
      <c r="CK52" s="39" t="n"/>
      <c r="CL52" s="39" t="n"/>
      <c r="CM52" s="39" t="n"/>
      <c r="CN52" s="39" t="n"/>
      <c r="CO52" s="39" t="n"/>
      <c r="CP52" s="39" t="n"/>
      <c r="CQ52" s="39" t="n"/>
      <c r="CR52" s="39" t="n"/>
      <c r="CS52" s="39" t="n"/>
      <c r="CT52" s="39" t="n"/>
      <c r="CU52" s="39" t="n"/>
      <c r="CV52" s="39" t="n"/>
      <c r="CW52" s="39" t="n"/>
      <c r="CX52" s="39" t="n"/>
      <c r="CY52" s="39" t="n"/>
    </row>
    <row r="53">
      <c r="C53" s="13" t="inlineStr">
        <is>
          <t>COGS (cash)</t>
        </is>
      </c>
      <c r="D53" s="46" t="n"/>
      <c r="E53" s="46" t="n"/>
      <c r="F53" s="46" t="n"/>
      <c r="G53" s="46" t="n"/>
      <c r="H53" s="12" t="n"/>
      <c r="I53" s="46">
        <f>'Inputs (2)'!D5</f>
        <v>-145.037</v>
      </c>
      <c r="J53" s="46">
        <f>'Inputs (2)'!E5</f>
        <v>-270.903</v>
      </c>
      <c r="K53" s="46">
        <f>'Inputs (2)'!F5</f>
        <v>334.446</v>
      </c>
      <c r="L53" s="46">
        <f>'Inputs (2)'!G5</f>
        <v>-442.928</v>
      </c>
      <c r="M53" s="12">
        <f>'Inputs (2)'!H5</f>
        <v>-524.422</v>
      </c>
      <c r="N53" s="46">
        <f>'Inputs (2)'!I5</f>
        <v>-705.903</v>
      </c>
      <c r="O53" s="46">
        <f>'Inputs (2)'!J5</f>
        <v>-885.151</v>
      </c>
      <c r="P53" s="46">
        <f>'Inputs (2)'!K5</f>
        <v>-1072.724</v>
      </c>
      <c r="Q53" s="46">
        <f>'Inputs (2)'!L5</f>
        <v>-1111.091</v>
      </c>
      <c r="R53" s="12">
        <f>'Inputs (2)'!M5</f>
        <v>-3774.869</v>
      </c>
      <c r="S53" s="46">
        <f>'Inputs (2)'!N5</f>
        <v>-912.817</v>
      </c>
      <c r="T53" s="46">
        <f>'Inputs (2)'!O5</f>
        <v>-925.86</v>
      </c>
      <c r="U53" s="46">
        <f>'Inputs (2)'!P5</f>
        <v>-1129.51</v>
      </c>
      <c r="V53" s="46">
        <f>'Inputs (2)'!Q5</f>
        <v>-1203.484</v>
      </c>
      <c r="W53" s="12">
        <f>'Inputs (2)'!R5</f>
        <v>-4171.671</v>
      </c>
      <c r="X53" s="46">
        <f>'Inputs (2)'!S5</f>
        <v>-940.124</v>
      </c>
      <c r="Y53" s="46">
        <f>'Inputs (2)'!T5</f>
        <v>-953.328</v>
      </c>
      <c r="Z53" s="46">
        <f>'Inputs (2)'!U5</f>
        <v>-1544.378</v>
      </c>
      <c r="AA53" s="46">
        <f>'Inputs (2)'!V5</f>
        <v>-2479.928</v>
      </c>
      <c r="AB53" s="12">
        <f>'Inputs (2)'!W5</f>
        <v>-5917.758</v>
      </c>
      <c r="AC53" s="46">
        <f>'Inputs (2)'!X5</f>
        <v>-1657.838</v>
      </c>
      <c r="AD53" s="46">
        <f>'Inputs (2)'!Y5</f>
        <v>-1868.345</v>
      </c>
      <c r="AE53" s="46">
        <f>'Inputs (2)'!Z5</f>
        <v>-2735.147</v>
      </c>
      <c r="AF53" s="46">
        <f>'Inputs (2)'!AA5</f>
        <v>-2841.923</v>
      </c>
      <c r="AG53" s="12">
        <f>'Inputs (2)'!AB5</f>
        <v>-9103.253</v>
      </c>
      <c r="AH53" s="12">
        <f>'Inputs (2)'!AC5</f>
        <v>-2120.25</v>
      </c>
      <c r="AI53" s="12">
        <f>'Inputs (2)'!AD5</f>
        <v>-2137.818</v>
      </c>
      <c r="AJ53" s="12">
        <f>-(1-AJ54)*AJ15</f>
        <v>-2781.25905933775</v>
      </c>
      <c r="AK53" s="12">
        <f>-(1-AK54)*AK15</f>
        <v>-2989.09371974912</v>
      </c>
      <c r="AL53" s="12">
        <f>SUM(AH53:AK53)</f>
        <v>-10028.4207790869</v>
      </c>
      <c r="AM53" s="12">
        <f>-(1-AM54)*AM15</f>
        <v>-2417.34044158562</v>
      </c>
      <c r="AN53" s="12">
        <f>-(1-AN54)*AN15</f>
        <v>-2402.37346523114</v>
      </c>
      <c r="AO53" s="12">
        <f>-(1-AO54)*AO15</f>
        <v>-3185.32531485034</v>
      </c>
      <c r="AP53" s="12">
        <f>-(1-AP54)*AP15</f>
        <v>-3423.35456382985</v>
      </c>
      <c r="AQ53" s="12">
        <f>SUM(AM53:AP53)</f>
        <v>-11428.3937854969</v>
      </c>
      <c r="AR53" s="12">
        <f>-(1-AR54)*AR15</f>
        <v>-2756.44925180263</v>
      </c>
      <c r="AS53" s="12">
        <f>-(1-AS54)*AS15</f>
        <v>-2739.38268142457</v>
      </c>
      <c r="AT53" s="12">
        <f>-(1-AT54)*AT15</f>
        <v>-3632.16840699027</v>
      </c>
      <c r="AU53" s="12">
        <f>-(1-AU54)*AU15</f>
        <v>-3903.58882174425</v>
      </c>
      <c r="AV53" s="12">
        <f>SUM(AR53:AU53)</f>
        <v>-13031.5891619617</v>
      </c>
      <c r="AW53" s="12">
        <f>-(1-AW54)*AW15</f>
        <v>-3129.34660189756</v>
      </c>
      <c r="AX53" s="12">
        <f>-(1-AX54)*AX15</f>
        <v>-3109.97123556941</v>
      </c>
      <c r="AY53" s="12">
        <f>-(1-AY54)*AY15</f>
        <v>-4123.53459963083</v>
      </c>
      <c r="AZ53" s="12">
        <f>-(1-AZ54)*AZ15</f>
        <v>-4431.67325012132</v>
      </c>
      <c r="BA53" s="12">
        <f>SUM(AW53:AZ53)</f>
        <v>-14794.5256872191</v>
      </c>
      <c r="BB53" s="12">
        <f>-(1-BB54)*BB15</f>
        <v>-3537.04343475021</v>
      </c>
      <c r="BC53" s="12">
        <f>-(1-BC54)*BC15</f>
        <v>-3515.14381128718</v>
      </c>
      <c r="BD53" s="12">
        <f>-(1-BD54)*BD15</f>
        <v>-4660.75601045455</v>
      </c>
      <c r="BE53" s="12">
        <f>-(1-BE54)*BE15</f>
        <v>-5009.03951156922</v>
      </c>
      <c r="BF53" s="12">
        <f>SUM(BB53:BE53)</f>
        <v>-16721.9827680612</v>
      </c>
      <c r="BG53" s="12" t="n"/>
      <c r="BH53" s="12" t="n"/>
      <c r="BI53" s="12" t="n"/>
      <c r="BJ53" s="12" t="n"/>
      <c r="BK53" s="12" t="n"/>
      <c r="BL53" s="12" t="n"/>
      <c r="BM53" s="12" t="n"/>
      <c r="BN53" s="12" t="n"/>
      <c r="BO53" s="12" t="n"/>
      <c r="BP53" s="12" t="n"/>
      <c r="BQ53" s="12" t="n"/>
      <c r="BR53" s="12" t="n"/>
      <c r="BS53" s="12" t="n"/>
      <c r="BT53" s="12" t="n"/>
      <c r="BU53" s="12" t="n"/>
      <c r="BV53" s="12" t="n"/>
      <c r="BW53" s="12" t="n"/>
      <c r="BX53" s="12" t="n"/>
      <c r="BY53" s="12" t="n"/>
      <c r="BZ53" s="12" t="n"/>
      <c r="CA53" s="12" t="n"/>
      <c r="CB53" s="12" t="n"/>
      <c r="CC53" s="12" t="n"/>
      <c r="CD53" s="12" t="n"/>
      <c r="CE53" s="12" t="n"/>
      <c r="CF53" s="12" t="n"/>
      <c r="CG53" s="12" t="n"/>
      <c r="CH53" s="12" t="n"/>
      <c r="CI53" s="12" t="n"/>
      <c r="CJ53" s="12" t="n"/>
      <c r="CK53" s="12" t="n"/>
      <c r="CL53" s="12" t="n"/>
      <c r="CM53" s="12" t="n"/>
      <c r="CN53" s="12" t="n"/>
      <c r="CO53" s="12" t="n"/>
      <c r="CP53" s="12" t="n"/>
      <c r="CQ53" s="12" t="n"/>
      <c r="CR53" s="12" t="n"/>
      <c r="CS53" s="12" t="n"/>
      <c r="CT53" s="12" t="n"/>
      <c r="CU53" s="12" t="n"/>
      <c r="CV53" s="12" t="n"/>
      <c r="CW53" s="12" t="n"/>
      <c r="CX53" s="12" t="n"/>
      <c r="CY53" s="12" t="n"/>
    </row>
    <row r="54" outlineLevel="1" customFormat="1" s="3">
      <c r="C54" s="47" t="inlineStr">
        <is>
          <t>% Gross Margin</t>
        </is>
      </c>
      <c r="D54" s="48" t="n"/>
      <c r="E54" s="48" t="n"/>
      <c r="F54" s="48" t="n"/>
      <c r="G54" s="48" t="n"/>
      <c r="H54" s="48" t="n"/>
      <c r="I54" s="48">
        <f>IFERROR((I15+I53)/I$15,"")</f>
        <v>0.737323666895469</v>
      </c>
      <c r="J54" s="48">
        <f>IFERROR((J15+J53)/J$15,"")</f>
        <v>0.533813224483053</v>
      </c>
      <c r="K54" s="48">
        <f>IFERROR((K15+K53)/K$15,"")</f>
        <v>1.54276088374765</v>
      </c>
      <c r="L54" s="48">
        <f>IFERROR((L15+L53)/L$15,"")</f>
        <v>0.42275446916708</v>
      </c>
      <c r="M54" s="48">
        <f>IFERROR((M15+M53)/M$15,"")</f>
        <v>0.791628290636938</v>
      </c>
      <c r="N54" s="48">
        <f>IFERROR((N15+N53)/N$15,"")</f>
        <v>0.383629714876473</v>
      </c>
      <c r="O54" s="48">
        <f>IFERROR((O15+O53)/O$15,"")</f>
        <v>0.342703959068952</v>
      </c>
      <c r="P54" s="48">
        <f>IFERROR((P15+P53)/P$15,"")</f>
        <v>0.3029285184687</v>
      </c>
      <c r="Q54" s="48">
        <f>IFERROR((Q15+Q53)/Q$15,"")</f>
        <v>0.251736153201714</v>
      </c>
      <c r="R54" s="48">
        <f>IFERROR((R15+R53)/R$15,"")</f>
        <v>0.315614537830697</v>
      </c>
      <c r="S54" s="48">
        <f>IFERROR((S15+S53)/S$15,"")</f>
        <v>0.354676177616277</v>
      </c>
      <c r="T54" s="48">
        <f>IFERROR((T15+T53)/T$15,"")</f>
        <v>0.355738827406533</v>
      </c>
      <c r="U54" s="48">
        <f>IFERROR((U15+U53)/U$15,"")</f>
        <v>0.305596370320732</v>
      </c>
      <c r="V54" s="48">
        <f>IFERROR((V15+V53)/V$15,"")</f>
        <v>0.293606510997815</v>
      </c>
      <c r="W54" s="48">
        <f>IFERROR((W15+W53)/W$15,"")</f>
        <v>0.325178707482663</v>
      </c>
      <c r="X54" s="48">
        <f>IFERROR((X15+X53)/X$15,"")</f>
        <v>0.327296496464121</v>
      </c>
      <c r="Y54" s="48">
        <f>IFERROR((Y15+Y53)/Y$15,"")</f>
        <v>0.342552817326359</v>
      </c>
      <c r="Z54" s="48">
        <f>IFERROR((Z15+Z53)/Z$15,"")</f>
        <v>0.245360518462886</v>
      </c>
      <c r="AA54" s="48">
        <f>IFERROR((AA15+AA53)/AA$15,"")</f>
        <v>0.216666287623221</v>
      </c>
      <c r="AB54" s="48">
        <f>IFERROR((AB15+AB53)/AB$15,"")</f>
        <v>0.265782385029388</v>
      </c>
      <c r="AC54" s="48">
        <f>IFERROR((AC15+AC53)/AC$15,"")</f>
        <v>0.438459399323172</v>
      </c>
      <c r="AD54" s="48">
        <f>IFERROR((AD15+AD53)/AD$15,"")</f>
        <v>0.352512139021996</v>
      </c>
      <c r="AE54" s="48">
        <f>IFERROR((AE15+AE53)/AE$15,"")</f>
        <v>0.226789744192825</v>
      </c>
      <c r="AF54" s="48">
        <f>IFERROR((AF15+AF53)/AF$15,"")</f>
        <v>0.252465654443018</v>
      </c>
      <c r="AG54" s="48">
        <f>IFERROR((AG15+AG53)/AG$15,"")</f>
        <v>0.309153361111128</v>
      </c>
      <c r="AH54" s="48">
        <f>IFERROR((AH15+AH53)/AH$15,"")</f>
        <v>0.310383521410555</v>
      </c>
      <c r="AI54" s="48">
        <f>IFERROR((AI15+AI53)/AI$15,"")</f>
        <v>0.300337522610873</v>
      </c>
      <c r="AJ54" s="49">
        <f>Control!$B$19</f>
        <v>0.313491330167073</v>
      </c>
      <c r="AK54" s="49">
        <f>Control!$B$19</f>
        <v>0.313491330167073</v>
      </c>
      <c r="AL54" s="48">
        <f>IFERROR((AL15+AL53)/AL$15,"")</f>
        <v>0.310068890341692</v>
      </c>
      <c r="AM54" s="49">
        <f>Control!$C$19</f>
        <v>0.313491330167073</v>
      </c>
      <c r="AN54" s="49">
        <f>Control!$C$19</f>
        <v>0.313491330167073</v>
      </c>
      <c r="AO54" s="49">
        <f>Control!$C$19</f>
        <v>0.313491330167073</v>
      </c>
      <c r="AP54" s="49">
        <f>Control!$C$19</f>
        <v>0.313491330167073</v>
      </c>
      <c r="AQ54" s="48">
        <f>IFERROR((AQ15+AQ53)/AQ$15,"")</f>
        <v>0.313491330167073</v>
      </c>
      <c r="AR54" s="49">
        <f>Control!$D$19</f>
        <v>0.313491330167073</v>
      </c>
      <c r="AS54" s="49">
        <f>Control!$D$19</f>
        <v>0.313491330167073</v>
      </c>
      <c r="AT54" s="49">
        <f>Control!$D$19</f>
        <v>0.313491330167073</v>
      </c>
      <c r="AU54" s="49">
        <f>Control!$D$19</f>
        <v>0.313491330167073</v>
      </c>
      <c r="AV54" s="48">
        <f>IFERROR((AV15+AV53)/AV$15,"")</f>
        <v>0.313491330167073</v>
      </c>
      <c r="AW54" s="49">
        <f>Control!$E$19</f>
        <v>0.313491330167073</v>
      </c>
      <c r="AX54" s="49">
        <f>Control!$E$19</f>
        <v>0.313491330167073</v>
      </c>
      <c r="AY54" s="49">
        <f>Control!$E$19</f>
        <v>0.313491330167073</v>
      </c>
      <c r="AZ54" s="49">
        <f>Control!$E$19</f>
        <v>0.313491330167073</v>
      </c>
      <c r="BA54" s="48">
        <f>IFERROR((BA15+BA53)/BA$15,"")</f>
        <v>0.313491330167073</v>
      </c>
      <c r="BB54" s="49">
        <f>Control!$F$19</f>
        <v>0.313491330167073</v>
      </c>
      <c r="BC54" s="49">
        <f>Control!$F$19</f>
        <v>0.313491330167073</v>
      </c>
      <c r="BD54" s="49">
        <f>Control!$F$19</f>
        <v>0.313491330167073</v>
      </c>
      <c r="BE54" s="49">
        <f>Control!$F$19</f>
        <v>0.313491330167073</v>
      </c>
      <c r="BF54" s="48">
        <f>IFERROR((BF15+BF53)/BF$15,"")</f>
        <v>0.313491330167073</v>
      </c>
      <c r="BG54" s="49" t="n"/>
      <c r="BH54" s="49" t="n"/>
      <c r="BI54" s="49" t="n"/>
      <c r="BJ54" s="49" t="n"/>
      <c r="BK54" s="48" t="n"/>
      <c r="BL54" s="49" t="n"/>
      <c r="BM54" s="49" t="n"/>
      <c r="BN54" s="49" t="n"/>
      <c r="BO54" s="49" t="n"/>
      <c r="BP54" s="48" t="n"/>
      <c r="BQ54" s="49" t="n"/>
      <c r="BR54" s="49" t="n"/>
      <c r="BS54" s="49" t="n"/>
      <c r="BT54" s="49" t="n"/>
      <c r="BU54" s="48" t="n"/>
      <c r="BV54" s="49" t="n"/>
      <c r="BW54" s="49" t="n"/>
      <c r="BX54" s="49" t="n"/>
      <c r="BY54" s="49" t="n"/>
      <c r="BZ54" s="48" t="n"/>
      <c r="CA54" s="49" t="n"/>
      <c r="CB54" s="49" t="n"/>
      <c r="CC54" s="49" t="n"/>
      <c r="CD54" s="49" t="n"/>
      <c r="CE54" s="48" t="n"/>
      <c r="CF54" s="49" t="n"/>
      <c r="CG54" s="49" t="n"/>
      <c r="CH54" s="49" t="n"/>
      <c r="CI54" s="49" t="n"/>
      <c r="CJ54" s="48" t="n"/>
      <c r="CK54" s="49" t="n"/>
      <c r="CL54" s="49" t="n"/>
      <c r="CM54" s="49" t="n"/>
      <c r="CN54" s="49" t="n"/>
      <c r="CO54" s="48" t="n"/>
      <c r="CP54" s="49" t="n"/>
      <c r="CQ54" s="49" t="n"/>
      <c r="CR54" s="49" t="n"/>
      <c r="CS54" s="49" t="n"/>
      <c r="CT54" s="48" t="n"/>
      <c r="CU54" s="49" t="n"/>
      <c r="CV54" s="49" t="n"/>
      <c r="CW54" s="49" t="n"/>
      <c r="CX54" s="49" t="n"/>
      <c r="CY54" s="48" t="n"/>
    </row>
    <row r="55" hidden="1" outlineLevel="1">
      <c r="C55" s="50" t="n"/>
      <c r="D55" s="50" t="n"/>
      <c r="E55" s="50" t="n"/>
      <c r="F55" s="50" t="n"/>
      <c r="G55" s="50" t="n"/>
      <c r="H55" s="50" t="n"/>
      <c r="I55" s="50" t="n"/>
      <c r="J55" s="50" t="n"/>
      <c r="K55" s="50" t="n"/>
      <c r="L55" s="50" t="n"/>
      <c r="M55" s="50" t="n"/>
      <c r="N55" s="50" t="n"/>
      <c r="O55" s="50" t="n"/>
      <c r="P55" s="50" t="n"/>
      <c r="Q55" s="50" t="n"/>
      <c r="R55" s="50" t="n"/>
      <c r="S55" s="50" t="n"/>
      <c r="T55" s="50" t="n"/>
      <c r="U55" s="50" t="n"/>
      <c r="V55" s="50" t="n"/>
      <c r="W55" s="50" t="n"/>
      <c r="X55" s="50" t="n"/>
      <c r="Y55" s="50" t="n"/>
      <c r="Z55" s="50" t="n"/>
      <c r="AA55" s="50" t="n"/>
      <c r="AB55" s="50" t="n"/>
      <c r="AC55" s="50" t="n"/>
      <c r="AD55" s="50" t="n"/>
      <c r="AE55" s="50" t="n"/>
      <c r="AF55" s="50" t="n"/>
      <c r="AG55" s="50" t="n"/>
      <c r="AH55" s="50" t="n"/>
      <c r="AI55" s="50" t="n"/>
      <c r="AJ55" s="50" t="n"/>
      <c r="AK55" s="50" t="n"/>
      <c r="AL55" s="50" t="n"/>
      <c r="AM55" s="50" t="n"/>
      <c r="AN55" s="50" t="n"/>
      <c r="AO55" s="50" t="n"/>
      <c r="AP55" s="50" t="n"/>
      <c r="AQ55" s="50" t="n"/>
      <c r="AR55" s="50" t="n"/>
      <c r="AS55" s="50" t="n"/>
      <c r="AT55" s="50" t="n"/>
      <c r="AU55" s="50" t="n"/>
      <c r="AV55" s="50" t="n"/>
      <c r="AW55" s="50" t="n"/>
      <c r="AX55" s="50" t="n"/>
      <c r="AY55" s="50" t="n"/>
      <c r="AZ55" s="50" t="n"/>
      <c r="BA55" s="50" t="n"/>
      <c r="BB55" s="50" t="n"/>
      <c r="BC55" s="50" t="n"/>
      <c r="BD55" s="50" t="n"/>
      <c r="BE55" s="50" t="n"/>
      <c r="BF55" s="50" t="n"/>
      <c r="BG55" s="50" t="n"/>
      <c r="BH55" s="50" t="n"/>
      <c r="BI55" s="50" t="n"/>
      <c r="BJ55" s="50" t="n"/>
      <c r="BK55" s="50" t="n"/>
      <c r="BL55" s="50" t="n"/>
      <c r="BM55" s="50" t="n"/>
      <c r="BN55" s="50" t="n"/>
      <c r="BO55" s="50" t="n"/>
      <c r="BP55" s="50" t="n"/>
      <c r="BQ55" s="50" t="n"/>
      <c r="BR55" s="50" t="n"/>
      <c r="BS55" s="50" t="n"/>
      <c r="BT55" s="50" t="n"/>
      <c r="BU55" s="50" t="n"/>
      <c r="BV55" s="50" t="n"/>
      <c r="BW55" s="50" t="n"/>
      <c r="BX55" s="50" t="n"/>
      <c r="BY55" s="50" t="n"/>
      <c r="BZ55" s="50" t="n"/>
      <c r="CA55" s="50" t="n"/>
      <c r="CB55" s="50" t="n"/>
      <c r="CC55" s="50" t="n"/>
      <c r="CD55" s="50" t="n"/>
      <c r="CE55" s="50" t="n"/>
      <c r="CF55" s="50" t="n"/>
      <c r="CG55" s="50" t="n"/>
      <c r="CH55" s="50" t="n"/>
      <c r="CI55" s="50" t="n"/>
      <c r="CJ55" s="50" t="n"/>
      <c r="CK55" s="50" t="n"/>
      <c r="CL55" s="50" t="n"/>
      <c r="CM55" s="50" t="n"/>
      <c r="CN55" s="50" t="n"/>
      <c r="CO55" s="50" t="n"/>
      <c r="CP55" s="50" t="n"/>
      <c r="CQ55" s="50" t="n"/>
      <c r="CR55" s="50" t="n"/>
      <c r="CS55" s="50" t="n"/>
      <c r="CT55" s="50" t="n"/>
      <c r="CU55" s="50" t="n"/>
      <c r="CV55" s="50" t="n"/>
      <c r="CW55" s="50" t="n"/>
      <c r="CX55" s="50" t="n"/>
      <c r="CY55" s="50" t="n"/>
    </row>
    <row r="56" hidden="1" outlineLevel="1">
      <c r="C56" s="50" t="n"/>
      <c r="D56" s="50" t="n"/>
      <c r="E56" s="50" t="n"/>
      <c r="F56" s="50" t="n"/>
      <c r="G56" s="50" t="n"/>
      <c r="H56" s="50" t="n"/>
      <c r="I56" s="50" t="n"/>
      <c r="J56" s="50" t="n"/>
      <c r="K56" s="50" t="n"/>
      <c r="L56" s="50" t="n"/>
      <c r="M56" s="50" t="n"/>
      <c r="N56" s="50" t="n"/>
      <c r="O56" s="50" t="n"/>
      <c r="P56" s="50" t="n"/>
      <c r="Q56" s="50" t="n"/>
      <c r="R56" s="50" t="n"/>
      <c r="S56" s="50" t="n"/>
      <c r="T56" s="50" t="n"/>
      <c r="U56" s="50" t="n"/>
      <c r="V56" s="50" t="n"/>
      <c r="W56" s="50" t="n"/>
      <c r="X56" s="50" t="n"/>
      <c r="Y56" s="50" t="n"/>
      <c r="Z56" s="50" t="n"/>
      <c r="AA56" s="50" t="n"/>
      <c r="AB56" s="50" t="n"/>
      <c r="AC56" s="50" t="n"/>
      <c r="AD56" s="50" t="n"/>
      <c r="AE56" s="50" t="n"/>
      <c r="AF56" s="50" t="n"/>
      <c r="AG56" s="50" t="n"/>
      <c r="AH56" s="50" t="n"/>
      <c r="AI56" s="50" t="n"/>
      <c r="AJ56" s="50" t="n"/>
      <c r="AK56" s="50" t="n"/>
      <c r="AL56" s="50" t="n"/>
      <c r="AM56" s="50" t="n"/>
      <c r="AN56" s="50" t="n"/>
      <c r="AO56" s="50" t="n"/>
      <c r="AP56" s="50" t="n"/>
      <c r="AQ56" s="50" t="n"/>
      <c r="AR56" s="50" t="n"/>
      <c r="AS56" s="50" t="n"/>
      <c r="AT56" s="50" t="n"/>
      <c r="AU56" s="50" t="n"/>
      <c r="AV56" s="50" t="n"/>
      <c r="AW56" s="50" t="n"/>
      <c r="AX56" s="50" t="n"/>
      <c r="AY56" s="50" t="n"/>
      <c r="AZ56" s="50" t="n"/>
      <c r="BA56" s="50" t="n"/>
      <c r="BB56" s="50" t="n"/>
      <c r="BC56" s="50" t="n"/>
      <c r="BD56" s="50" t="n"/>
      <c r="BE56" s="50" t="n"/>
      <c r="BF56" s="50" t="n"/>
      <c r="BG56" s="50" t="n"/>
      <c r="BH56" s="50" t="n"/>
      <c r="BI56" s="50" t="n"/>
      <c r="BJ56" s="50" t="n"/>
      <c r="BK56" s="50" t="n"/>
      <c r="BL56" s="50" t="n"/>
      <c r="BM56" s="50" t="n"/>
      <c r="BN56" s="50" t="n"/>
      <c r="BO56" s="50" t="n"/>
      <c r="BP56" s="50" t="n"/>
      <c r="BQ56" s="50" t="n"/>
      <c r="BR56" s="50" t="n"/>
      <c r="BS56" s="50" t="n"/>
      <c r="BT56" s="50" t="n"/>
      <c r="BU56" s="50" t="n"/>
      <c r="BV56" s="50" t="n"/>
      <c r="BW56" s="50" t="n"/>
      <c r="BX56" s="50" t="n"/>
      <c r="BY56" s="50" t="n"/>
      <c r="BZ56" s="50" t="n"/>
      <c r="CA56" s="50" t="n"/>
      <c r="CB56" s="50" t="n"/>
      <c r="CC56" s="50" t="n"/>
      <c r="CD56" s="50" t="n"/>
      <c r="CE56" s="50" t="n"/>
      <c r="CF56" s="50" t="n"/>
      <c r="CG56" s="50" t="n"/>
      <c r="CH56" s="50" t="n"/>
      <c r="CI56" s="50" t="n"/>
      <c r="CJ56" s="50" t="n"/>
      <c r="CK56" s="50" t="n"/>
      <c r="CL56" s="50" t="n"/>
      <c r="CM56" s="50" t="n"/>
      <c r="CN56" s="50" t="n"/>
      <c r="CO56" s="50" t="n"/>
      <c r="CP56" s="50" t="n"/>
      <c r="CQ56" s="50" t="n"/>
      <c r="CR56" s="50" t="n"/>
      <c r="CS56" s="50" t="n"/>
      <c r="CT56" s="50" t="n"/>
      <c r="CU56" s="50" t="n"/>
      <c r="CV56" s="50" t="n"/>
      <c r="CW56" s="50" t="n"/>
      <c r="CX56" s="50" t="n"/>
      <c r="CY56" s="50" t="n"/>
    </row>
    <row r="57" collapsed="1">
      <c r="C57" s="13" t="inlineStr">
        <is>
          <t>SG&amp;A and Other (cash)</t>
        </is>
      </c>
      <c r="D57" s="46" t="n"/>
      <c r="E57" s="46" t="n"/>
      <c r="F57" s="46" t="n"/>
      <c r="G57" s="46" t="n"/>
      <c r="H57" s="12" t="n"/>
      <c r="I57" s="46">
        <f>'Inputs (2)'!D6</f>
        <v>-37.007</v>
      </c>
      <c r="J57" s="46">
        <f>'Inputs (2)'!E6</f>
        <v>-72.009</v>
      </c>
      <c r="K57" s="46">
        <f>'Inputs (2)'!F6</f>
        <v>-98.542</v>
      </c>
      <c r="L57" s="46">
        <f>'Inputs (2)'!G6</f>
        <v>-5.338</v>
      </c>
      <c r="M57" s="12">
        <f>'Inputs (2)'!H6</f>
        <v>-212.896</v>
      </c>
      <c r="N57" s="46">
        <f>'Inputs (2)'!I6</f>
        <v>-134.703</v>
      </c>
      <c r="O57" s="46">
        <f>'Inputs (2)'!J6</f>
        <v>-172.018</v>
      </c>
      <c r="P57" s="46">
        <f>'Inputs (2)'!K6</f>
        <v>37.062</v>
      </c>
      <c r="Q57" s="46">
        <f>'Inputs (2)'!L6</f>
        <v>386.982</v>
      </c>
      <c r="R57" s="12">
        <f>'Inputs (2)'!M6</f>
        <v>117.323</v>
      </c>
      <c r="S57" s="46">
        <f>'Inputs (2)'!N6</f>
        <v>-49.811</v>
      </c>
      <c r="T57" s="46">
        <f>'Inputs (2)'!O6</f>
        <v>-53.318</v>
      </c>
      <c r="U57" s="46">
        <f>'Inputs (2)'!P6</f>
        <v>-147</v>
      </c>
      <c r="V57" s="46">
        <f>'Inputs (2)'!Q6</f>
        <v>-82.213</v>
      </c>
      <c r="W57" s="12">
        <f>'Inputs (2)'!R6</f>
        <v>-332.342</v>
      </c>
      <c r="X57" s="46">
        <f>'Inputs (2)'!S6</f>
        <v>142.237</v>
      </c>
      <c r="Y57" s="46">
        <f>'Inputs (2)'!T6</f>
        <v>-98.647</v>
      </c>
      <c r="Z57" s="46">
        <f>'Inputs (2)'!U6</f>
        <v>131.446</v>
      </c>
      <c r="AA57" s="46">
        <f>'Inputs (2)'!V6</f>
        <v>-476.758</v>
      </c>
      <c r="AB57" s="12">
        <f>'Inputs (2)'!W6</f>
        <v>-301.722</v>
      </c>
      <c r="AC57" s="46">
        <f>'Inputs (2)'!X6</f>
        <v>83.043</v>
      </c>
      <c r="AD57" s="46">
        <f>'Inputs (2)'!Y6</f>
        <v>-500.171</v>
      </c>
      <c r="AE57" s="46">
        <f>'Inputs (2)'!Z6</f>
        <v>-137.92</v>
      </c>
      <c r="AF57" s="46">
        <f>'Inputs (2)'!AA6</f>
        <v>515.089</v>
      </c>
      <c r="AG57" s="12">
        <f>'Inputs (2)'!AB6</f>
        <v>-39.9589999999999</v>
      </c>
      <c r="AH57" s="12">
        <f>'Inputs (2)'!AC6</f>
        <v>-654.169</v>
      </c>
      <c r="AI57" s="12">
        <f>'Inputs (2)'!AD6</f>
        <v>-106.914</v>
      </c>
      <c r="AJ57" s="12">
        <f>-AJ15*AJ58</f>
        <v>-200.182860811871</v>
      </c>
      <c r="AK57" s="12">
        <f>-AK15*AK58</f>
        <v>-215.141890520854</v>
      </c>
      <c r="AL57" s="12">
        <f>SUM(AH57:AK57)</f>
        <v>-1176.40775133272</v>
      </c>
      <c r="AM57" s="12">
        <f>-AM15*AM58</f>
        <v>-173.989590623775</v>
      </c>
      <c r="AN57" s="12">
        <f>-AN15*AN58</f>
        <v>-172.912333136996</v>
      </c>
      <c r="AO57" s="12">
        <f>-AO15*AO58</f>
        <v>-229.265782345009</v>
      </c>
      <c r="AP57" s="12">
        <f>-AP15*AP58</f>
        <v>-246.398086456575</v>
      </c>
      <c r="AQ57" s="12">
        <f>SUM(AM57:AP57)</f>
        <v>-822.565792562354</v>
      </c>
      <c r="AR57" s="12">
        <f>-AR15*AR58</f>
        <v>-198.397159392977</v>
      </c>
      <c r="AS57" s="12">
        <f>-AS15*AS58</f>
        <v>-197.168782312799</v>
      </c>
      <c r="AT57" s="12">
        <f>-AT15*AT58</f>
        <v>-261.427593456519</v>
      </c>
      <c r="AU57" s="12">
        <f>-AU15*AU58</f>
        <v>-280.963247614939</v>
      </c>
      <c r="AV57" s="12">
        <f>SUM(AR57:AU57)</f>
        <v>-937.956782777233</v>
      </c>
      <c r="AW57" s="12">
        <f>-AW15*AW58</f>
        <v>-225.236679458735</v>
      </c>
      <c r="AX57" s="12">
        <f>-AX15*AX58</f>
        <v>-223.842125345617</v>
      </c>
      <c r="AY57" s="12">
        <f>-AY15*AY58</f>
        <v>-296.793982581178</v>
      </c>
      <c r="AZ57" s="12">
        <f>-AZ15*AZ58</f>
        <v>-318.972454728459</v>
      </c>
      <c r="BA57" s="12">
        <f>SUM(AW57:AZ57)</f>
        <v>-1064.84524211399</v>
      </c>
      <c r="BB57" s="12">
        <f>-BB15*BB58</f>
        <v>-254.580914067293</v>
      </c>
      <c r="BC57" s="12">
        <f>-BC15*BC58</f>
        <v>-253.004674967661</v>
      </c>
      <c r="BD57" s="12">
        <f>-BD15*BD58</f>
        <v>-335.460829722591</v>
      </c>
      <c r="BE57" s="12">
        <f>-BE15*BE58</f>
        <v>-360.528752609037</v>
      </c>
      <c r="BF57" s="12">
        <f>SUM(BB57:BE57)</f>
        <v>-1203.57517136658</v>
      </c>
      <c r="BG57" s="12" t="n"/>
      <c r="BH57" s="12" t="n"/>
      <c r="BI57" s="12" t="n"/>
      <c r="BJ57" s="12" t="n"/>
      <c r="BK57" s="12" t="n"/>
      <c r="BL57" s="12" t="n"/>
      <c r="BM57" s="12" t="n"/>
      <c r="BN57" s="12" t="n"/>
      <c r="BO57" s="12" t="n"/>
      <c r="BP57" s="12" t="n"/>
      <c r="BQ57" s="12" t="n"/>
      <c r="BR57" s="12" t="n"/>
      <c r="BS57" s="12" t="n"/>
      <c r="BT57" s="12" t="n"/>
      <c r="BU57" s="12" t="n"/>
      <c r="BV57" s="12" t="n"/>
      <c r="BW57" s="12" t="n"/>
      <c r="BX57" s="12" t="n"/>
      <c r="BY57" s="12" t="n"/>
      <c r="BZ57" s="12" t="n"/>
      <c r="CA57" s="12" t="n"/>
      <c r="CB57" s="12" t="n"/>
      <c r="CC57" s="12" t="n"/>
      <c r="CD57" s="12" t="n"/>
      <c r="CE57" s="12" t="n"/>
      <c r="CF57" s="12" t="n"/>
      <c r="CG57" s="12" t="n"/>
      <c r="CH57" s="12" t="n"/>
      <c r="CI57" s="12" t="n"/>
      <c r="CJ57" s="12" t="n"/>
      <c r="CK57" s="12" t="n"/>
      <c r="CL57" s="12" t="n"/>
      <c r="CM57" s="12" t="n"/>
      <c r="CN57" s="12" t="n"/>
      <c r="CO57" s="12" t="n"/>
      <c r="CP57" s="12" t="n"/>
      <c r="CQ57" s="12" t="n"/>
      <c r="CR57" s="12" t="n"/>
      <c r="CS57" s="12" t="n"/>
      <c r="CT57" s="12" t="n"/>
      <c r="CU57" s="12" t="n"/>
      <c r="CV57" s="12" t="n"/>
      <c r="CW57" s="12" t="n"/>
      <c r="CX57" s="12" t="n"/>
      <c r="CY57" s="12" t="n"/>
    </row>
    <row r="58" outlineLevel="1">
      <c r="C58" s="38" t="inlineStr">
        <is>
          <t>% SG&amp;A and Other Margin</t>
        </is>
      </c>
      <c r="D58" s="51" t="n"/>
      <c r="E58" s="51" t="n"/>
      <c r="F58" s="51" t="n"/>
      <c r="G58" s="51" t="n"/>
      <c r="H58" s="51" t="n"/>
      <c r="I58" s="51">
        <f>IFERROR(-(I57/I$15),"")</f>
        <v>0.067023332385525</v>
      </c>
      <c r="J58" s="51">
        <f>IFERROR(-(J57/J$15),"")</f>
        <v>0.123917577576475</v>
      </c>
      <c r="K58" s="51">
        <f>IFERROR(-(K57/K$15),"")</f>
        <v>0.159920414674599</v>
      </c>
      <c r="L58" s="51">
        <f>IFERROR(-(L57/L$15),"")</f>
        <v>0.00695674385811266</v>
      </c>
      <c r="M58" s="51">
        <f>IFERROR(-(M57/M$15),"")</f>
        <v>0.0845912327029731</v>
      </c>
      <c r="N58" s="51">
        <f>IFERROR(-(N57/N$15),"")</f>
        <v>0.117618038904771</v>
      </c>
      <c r="O58" s="51">
        <f>IFERROR(-(O57/O$15),"")</f>
        <v>0.127737245248412</v>
      </c>
      <c r="P58" s="51">
        <f>IFERROR(-(P57/P$15),"")</f>
        <v>-0.0240834205709139</v>
      </c>
      <c r="Q58" s="51">
        <f>IFERROR(-(Q57/Q$15),"")</f>
        <v>-0.260612893058889</v>
      </c>
      <c r="R58" s="51">
        <f>IFERROR(-(R57/R$15),"")</f>
        <v>-0.0212707131235784</v>
      </c>
      <c r="S58" s="51">
        <f>IFERROR(-(S57/S$15),"")</f>
        <v>0.0352143144975999</v>
      </c>
      <c r="T58" s="51">
        <f>IFERROR(-(T57/T$15),"")</f>
        <v>0.0371014161971988</v>
      </c>
      <c r="U58" s="51">
        <f>IFERROR(-(U57/U$15),"")</f>
        <v>0.0903731118474846</v>
      </c>
      <c r="V58" s="51">
        <f>IFERROR(-(V57/V$15),"")</f>
        <v>0.0482555047772439</v>
      </c>
      <c r="W58" s="51">
        <f>IFERROR(-(W57/W$15),"")</f>
        <v>0.0537605813108936</v>
      </c>
      <c r="X58" s="51">
        <f>IFERROR(-(X57/X$15),"")</f>
        <v>-0.101777348767219</v>
      </c>
      <c r="Y58" s="51">
        <f>IFERROR(-(Y57/Y$15),"")</f>
        <v>0.0680303025078532</v>
      </c>
      <c r="Z58" s="51">
        <f>IFERROR(-(Z57/Z$15),"")</f>
        <v>-0.0642293151612672</v>
      </c>
      <c r="AA58" s="51">
        <f>IFERROR(-(AA57/AA$15),"")</f>
        <v>0.150593329340742</v>
      </c>
      <c r="AB58" s="51">
        <f>IFERROR(-(AB57/AB$15),"")</f>
        <v>0.0374347188959337</v>
      </c>
      <c r="AC58" s="51">
        <f>IFERROR(-(AC57/AC$15),"")</f>
        <v>-0.0281282104174267</v>
      </c>
      <c r="AD58" s="51">
        <f>IFERROR(-(AD57/AD$15),"")</f>
        <v>0.173337713812615</v>
      </c>
      <c r="AE58" s="51">
        <f>IFERROR(-(AE57/AE$15),"")</f>
        <v>0.0389891872286665</v>
      </c>
      <c r="AF58" s="51">
        <f>IFERROR(-(AF57/AF$15),"")</f>
        <v>-0.135488089761264</v>
      </c>
      <c r="AG58" s="51">
        <f>IFERROR(-(AG57/AG$15),"")</f>
        <v>0.00303249188431437</v>
      </c>
      <c r="AH58" s="51">
        <f>IFERROR(-(AH57/AH$15),"")</f>
        <v>0.212770061163721</v>
      </c>
      <c r="AI58" s="51">
        <f>IFERROR(-(AI57/AI$15),"")</f>
        <v>0.0349906840093877</v>
      </c>
      <c r="AJ58" s="52">
        <f>Control!$B$20</f>
        <v>0.0494118910059498</v>
      </c>
      <c r="AK58" s="52">
        <f>Control!$B$20</f>
        <v>0.0494118910059498</v>
      </c>
      <c r="AL58" s="51">
        <f>IFERROR(-(AL57/AL$15),"")</f>
        <v>0.0809340097675404</v>
      </c>
      <c r="AM58" s="52">
        <f>Control!$C$20</f>
        <v>0.0494118910059498</v>
      </c>
      <c r="AN58" s="52">
        <f>Control!$C$20</f>
        <v>0.0494118910059498</v>
      </c>
      <c r="AO58" s="52">
        <f>Control!$C$20</f>
        <v>0.0494118910059498</v>
      </c>
      <c r="AP58" s="52">
        <f>Control!$C$20</f>
        <v>0.0494118910059498</v>
      </c>
      <c r="AQ58" s="51">
        <f>IFERROR(-(AQ57/AQ$15),"")</f>
        <v>0.0494118910059498</v>
      </c>
      <c r="AR58" s="52">
        <f>Control!$D$20</f>
        <v>0.0494118910059498</v>
      </c>
      <c r="AS58" s="52">
        <f>Control!$D$20</f>
        <v>0.0494118910059498</v>
      </c>
      <c r="AT58" s="52">
        <f>Control!$D$20</f>
        <v>0.0494118910059498</v>
      </c>
      <c r="AU58" s="52">
        <f>Control!$D$20</f>
        <v>0.0494118910059498</v>
      </c>
      <c r="AV58" s="51">
        <f>IFERROR(-(AV57/AV$15),"")</f>
        <v>0.0494118910059498</v>
      </c>
      <c r="AW58" s="52">
        <f>Control!$E$20</f>
        <v>0.0494118910059498</v>
      </c>
      <c r="AX58" s="52">
        <f>Control!$E$20</f>
        <v>0.0494118910059498</v>
      </c>
      <c r="AY58" s="52">
        <f>Control!$E$20</f>
        <v>0.0494118910059498</v>
      </c>
      <c r="AZ58" s="52">
        <f>Control!$E$20</f>
        <v>0.0494118910059498</v>
      </c>
      <c r="BA58" s="51">
        <f>IFERROR(-(BA57/BA$15),"")</f>
        <v>0.0494118910059498</v>
      </c>
      <c r="BB58" s="52">
        <f>Control!$F$20</f>
        <v>0.0494118910059498</v>
      </c>
      <c r="BC58" s="52">
        <f>Control!$F$20</f>
        <v>0.0494118910059498</v>
      </c>
      <c r="BD58" s="52">
        <f>Control!$F$20</f>
        <v>0.0494118910059498</v>
      </c>
      <c r="BE58" s="52">
        <f>Control!$F$20</f>
        <v>0.0494118910059498</v>
      </c>
      <c r="BF58" s="51">
        <f>IFERROR(-(BF57/BF$15),"")</f>
        <v>0.0494118910059498</v>
      </c>
      <c r="BG58" s="52" t="n"/>
      <c r="BH58" s="52" t="n"/>
      <c r="BI58" s="52" t="n"/>
      <c r="BJ58" s="52" t="n"/>
      <c r="BK58" s="51" t="n"/>
      <c r="BL58" s="52" t="n"/>
      <c r="BM58" s="52" t="n"/>
      <c r="BN58" s="52" t="n"/>
      <c r="BO58" s="52" t="n"/>
      <c r="BP58" s="51" t="n"/>
      <c r="BQ58" s="52" t="n"/>
      <c r="BR58" s="52" t="n"/>
      <c r="BS58" s="52" t="n"/>
      <c r="BT58" s="52" t="n"/>
      <c r="BU58" s="51" t="n"/>
      <c r="BV58" s="52" t="n"/>
      <c r="BW58" s="52" t="n"/>
      <c r="BX58" s="52" t="n"/>
      <c r="BY58" s="52" t="n"/>
      <c r="BZ58" s="51" t="n"/>
      <c r="CA58" s="52" t="n"/>
      <c r="CB58" s="52" t="n"/>
      <c r="CC58" s="52" t="n"/>
      <c r="CD58" s="52" t="n"/>
      <c r="CE58" s="51" t="n"/>
      <c r="CF58" s="52" t="n"/>
      <c r="CG58" s="52" t="n"/>
      <c r="CH58" s="52" t="n"/>
      <c r="CI58" s="52" t="n"/>
      <c r="CJ58" s="51" t="n"/>
      <c r="CK58" s="52" t="n"/>
      <c r="CL58" s="52" t="n"/>
      <c r="CM58" s="52" t="n"/>
      <c r="CN58" s="52" t="n"/>
      <c r="CO58" s="51" t="n"/>
      <c r="CP58" s="52" t="n"/>
      <c r="CQ58" s="52" t="n"/>
      <c r="CR58" s="52" t="n"/>
      <c r="CS58" s="52" t="n"/>
      <c r="CT58" s="51" t="n"/>
      <c r="CU58" s="52" t="n"/>
      <c r="CV58" s="52" t="n"/>
      <c r="CW58" s="52" t="n"/>
      <c r="CX58" s="52" t="n"/>
      <c r="CY58" s="51" t="n"/>
    </row>
    <row r="59" hidden="1" outlineLevel="1">
      <c r="C59" s="50" t="n"/>
      <c r="D59" s="50" t="n"/>
      <c r="E59" s="50" t="n"/>
      <c r="F59" s="50" t="n"/>
      <c r="G59" s="50" t="n"/>
      <c r="H59" s="50" t="n"/>
      <c r="I59" s="50" t="n"/>
      <c r="J59" s="50" t="n"/>
      <c r="K59" s="50" t="n"/>
      <c r="L59" s="50" t="n"/>
      <c r="M59" s="50" t="n"/>
      <c r="N59" s="50" t="n"/>
      <c r="O59" s="50" t="n"/>
      <c r="P59" s="50" t="n"/>
      <c r="Q59" s="50" t="n"/>
      <c r="R59" s="50" t="n"/>
      <c r="S59" s="50" t="n"/>
      <c r="T59" s="50" t="n"/>
      <c r="U59" s="50" t="n"/>
      <c r="V59" s="50" t="n"/>
      <c r="W59" s="50" t="n"/>
      <c r="X59" s="50" t="n"/>
      <c r="Y59" s="50" t="n"/>
      <c r="Z59" s="50" t="n"/>
      <c r="AA59" s="50" t="n"/>
      <c r="AB59" s="50" t="n"/>
      <c r="AC59" s="50" t="n"/>
      <c r="AD59" s="50" t="n"/>
      <c r="AE59" s="50" t="n"/>
      <c r="AF59" s="50" t="n"/>
      <c r="AG59" s="50" t="n"/>
      <c r="AH59" s="50" t="n"/>
      <c r="AI59" s="50" t="n"/>
      <c r="AJ59" s="50" t="n"/>
      <c r="AK59" s="50" t="n"/>
      <c r="AL59" s="50" t="n"/>
      <c r="AM59" s="50" t="n"/>
      <c r="AN59" s="50" t="n"/>
      <c r="AO59" s="50" t="n"/>
      <c r="AP59" s="50" t="n"/>
      <c r="AQ59" s="50" t="n"/>
      <c r="AR59" s="50" t="n"/>
      <c r="AS59" s="50" t="n"/>
      <c r="AT59" s="50" t="n"/>
      <c r="AU59" s="50" t="n"/>
      <c r="AV59" s="50" t="n"/>
      <c r="AW59" s="50" t="n"/>
      <c r="AX59" s="50" t="n"/>
      <c r="AY59" s="50" t="n"/>
      <c r="AZ59" s="50" t="n"/>
      <c r="BA59" s="50" t="n"/>
      <c r="BB59" s="50" t="n"/>
      <c r="BC59" s="50" t="n"/>
      <c r="BD59" s="50" t="n"/>
      <c r="BE59" s="50" t="n"/>
      <c r="BF59" s="50" t="n"/>
      <c r="BG59" s="50" t="n"/>
      <c r="BH59" s="50" t="n"/>
      <c r="BI59" s="50" t="n"/>
      <c r="BJ59" s="50" t="n"/>
      <c r="BK59" s="50" t="n"/>
      <c r="BL59" s="50" t="n"/>
      <c r="BM59" s="50" t="n"/>
      <c r="BN59" s="50" t="n"/>
      <c r="BO59" s="50" t="n"/>
      <c r="BP59" s="50" t="n"/>
      <c r="BQ59" s="50" t="n"/>
      <c r="BR59" s="50" t="n"/>
      <c r="BS59" s="50" t="n"/>
      <c r="BT59" s="50" t="n"/>
      <c r="BU59" s="50" t="n"/>
      <c r="BV59" s="50" t="n"/>
      <c r="BW59" s="50" t="n"/>
      <c r="BX59" s="50" t="n"/>
      <c r="BY59" s="50" t="n"/>
      <c r="BZ59" s="50" t="n"/>
      <c r="CA59" s="50" t="n"/>
      <c r="CB59" s="50" t="n"/>
      <c r="CC59" s="50" t="n"/>
      <c r="CD59" s="50" t="n"/>
      <c r="CE59" s="50" t="n"/>
      <c r="CF59" s="50" t="n"/>
      <c r="CG59" s="50" t="n"/>
      <c r="CH59" s="50" t="n"/>
      <c r="CI59" s="50" t="n"/>
      <c r="CJ59" s="50" t="n"/>
      <c r="CK59" s="50" t="n"/>
      <c r="CL59" s="50" t="n"/>
      <c r="CM59" s="50" t="n"/>
      <c r="CN59" s="50" t="n"/>
      <c r="CO59" s="50" t="n"/>
      <c r="CP59" s="50" t="n"/>
      <c r="CQ59" s="50" t="n"/>
      <c r="CR59" s="50" t="n"/>
      <c r="CS59" s="50" t="n"/>
      <c r="CT59" s="50" t="n"/>
      <c r="CU59" s="50" t="n"/>
      <c r="CV59" s="50" t="n"/>
      <c r="CW59" s="50" t="n"/>
      <c r="CX59" s="50" t="n"/>
      <c r="CY59" s="50" t="n"/>
    </row>
    <row r="60" hidden="1" outlineLevel="1">
      <c r="C60" s="50" t="inlineStr">
        <is>
          <t>Com Vendas</t>
        </is>
      </c>
      <c r="D60" s="11" t="n"/>
      <c r="E60" s="11" t="n"/>
      <c r="F60" s="11" t="n"/>
      <c r="G60" s="11" t="n"/>
      <c r="H60" s="50" t="n"/>
      <c r="I60" s="11" t="n"/>
      <c r="J60" s="11" t="n"/>
      <c r="K60" s="11" t="n"/>
      <c r="L60" s="11" t="n"/>
      <c r="M60" s="50" t="n"/>
      <c r="N60" s="11" t="n"/>
      <c r="O60" s="11" t="n"/>
      <c r="P60" s="11" t="n"/>
      <c r="Q60" s="11" t="n"/>
      <c r="R60" s="50" t="n"/>
      <c r="S60" s="11" t="n"/>
      <c r="T60" s="11" t="n"/>
      <c r="U60" s="11" t="n"/>
      <c r="V60" s="11" t="n"/>
      <c r="W60" s="50" t="n"/>
      <c r="X60" s="11" t="n"/>
      <c r="Y60" s="11" t="n"/>
      <c r="Z60" s="11" t="n"/>
      <c r="AA60" s="11" t="n"/>
      <c r="AB60" s="50" t="n"/>
      <c r="AC60" s="11" t="n"/>
      <c r="AD60" s="11" t="n"/>
      <c r="AE60" s="11" t="n"/>
      <c r="AF60" s="11" t="n"/>
      <c r="AG60" s="50" t="n"/>
      <c r="AH60" s="50" t="n"/>
      <c r="AI60" s="50" t="n"/>
      <c r="AJ60" s="50" t="n"/>
      <c r="AK60" s="50" t="n"/>
      <c r="AL60" s="50" t="n"/>
      <c r="AM60" s="50" t="n"/>
      <c r="AN60" s="50" t="n"/>
      <c r="AO60" s="50" t="n"/>
      <c r="AP60" s="50" t="n"/>
      <c r="AQ60" s="50" t="n"/>
      <c r="AR60" s="50" t="n"/>
      <c r="AS60" s="50" t="n"/>
      <c r="AT60" s="50" t="n"/>
      <c r="AU60" s="50" t="n"/>
      <c r="AV60" s="50" t="n"/>
      <c r="AW60" s="50" t="n"/>
      <c r="AX60" s="50" t="n"/>
      <c r="AY60" s="50" t="n"/>
      <c r="AZ60" s="50" t="n"/>
      <c r="BA60" s="50" t="n"/>
      <c r="BB60" s="50" t="n"/>
      <c r="BC60" s="50" t="n"/>
      <c r="BD60" s="50" t="n"/>
      <c r="BE60" s="50" t="n"/>
      <c r="BF60" s="50" t="n"/>
      <c r="BG60" s="50" t="n"/>
      <c r="BH60" s="50" t="n"/>
      <c r="BI60" s="50" t="n"/>
      <c r="BJ60" s="50" t="n"/>
      <c r="BK60" s="50" t="n"/>
      <c r="BL60" s="50" t="n"/>
      <c r="BM60" s="50" t="n"/>
      <c r="BN60" s="50" t="n"/>
      <c r="BO60" s="50" t="n"/>
      <c r="BP60" s="50" t="n"/>
      <c r="BQ60" s="50" t="n"/>
      <c r="BR60" s="50" t="n"/>
      <c r="BS60" s="50" t="n"/>
      <c r="BT60" s="50" t="n"/>
      <c r="BU60" s="50" t="n"/>
      <c r="BV60" s="50" t="n"/>
      <c r="BW60" s="50" t="n"/>
      <c r="BX60" s="50" t="n"/>
      <c r="BY60" s="50" t="n"/>
      <c r="BZ60" s="50" t="n"/>
      <c r="CA60" s="50" t="n"/>
      <c r="CB60" s="50" t="n"/>
      <c r="CC60" s="50" t="n"/>
      <c r="CD60" s="50" t="n"/>
      <c r="CE60" s="50" t="n"/>
      <c r="CF60" s="50" t="n"/>
      <c r="CG60" s="50" t="n"/>
      <c r="CH60" s="50" t="n"/>
      <c r="CI60" s="50" t="n"/>
      <c r="CJ60" s="50" t="n"/>
      <c r="CK60" s="50" t="n"/>
      <c r="CL60" s="50" t="n"/>
      <c r="CM60" s="50" t="n"/>
      <c r="CN60" s="50" t="n"/>
      <c r="CO60" s="50" t="n"/>
      <c r="CP60" s="50" t="n"/>
      <c r="CQ60" s="50" t="n"/>
      <c r="CR60" s="50" t="n"/>
      <c r="CS60" s="50" t="n"/>
      <c r="CT60" s="50" t="n"/>
      <c r="CU60" s="50" t="n"/>
      <c r="CV60" s="50" t="n"/>
      <c r="CW60" s="50" t="n"/>
      <c r="CX60" s="50" t="n"/>
      <c r="CY60" s="50" t="n"/>
    </row>
    <row r="61" hidden="1" outlineLevel="1">
      <c r="C61" s="50" t="inlineStr">
        <is>
          <t>Gerais &amp; Administrativas</t>
        </is>
      </c>
      <c r="D61" s="11" t="n"/>
      <c r="E61" s="11" t="n"/>
      <c r="F61" s="11" t="n"/>
      <c r="G61" s="11" t="n"/>
      <c r="H61" s="50" t="n"/>
      <c r="I61" s="11" t="n"/>
      <c r="J61" s="11" t="n"/>
      <c r="K61" s="11" t="n"/>
      <c r="L61" s="11" t="n"/>
      <c r="M61" s="50" t="n"/>
      <c r="N61" s="11" t="n"/>
      <c r="O61" s="11" t="n"/>
      <c r="P61" s="11" t="n"/>
      <c r="Q61" s="11" t="n"/>
      <c r="R61" s="50" t="n"/>
      <c r="S61" s="11" t="n"/>
      <c r="T61" s="11" t="n"/>
      <c r="U61" s="11" t="n"/>
      <c r="V61" s="11" t="n"/>
      <c r="W61" s="50" t="n"/>
      <c r="X61" s="11" t="n"/>
      <c r="Y61" s="11" t="n"/>
      <c r="Z61" s="11" t="n"/>
      <c r="AA61" s="11" t="n"/>
      <c r="AB61" s="50" t="n"/>
      <c r="AC61" s="11" t="n"/>
      <c r="AD61" s="11" t="n"/>
      <c r="AE61" s="11" t="n"/>
      <c r="AF61" s="11" t="n"/>
      <c r="AG61" s="50" t="n"/>
      <c r="AH61" s="50" t="n"/>
      <c r="AI61" s="50" t="n"/>
      <c r="AJ61" s="50" t="n"/>
      <c r="AK61" s="50" t="n"/>
      <c r="AL61" s="50" t="n"/>
      <c r="AM61" s="50" t="n"/>
      <c r="AN61" s="50" t="n"/>
      <c r="AO61" s="50" t="n"/>
      <c r="AP61" s="50" t="n"/>
      <c r="AQ61" s="50" t="n"/>
      <c r="AR61" s="50" t="n"/>
      <c r="AS61" s="50" t="n"/>
      <c r="AT61" s="50" t="n"/>
      <c r="AU61" s="50" t="n"/>
      <c r="AV61" s="50" t="n"/>
      <c r="AW61" s="50" t="n"/>
      <c r="AX61" s="50" t="n"/>
      <c r="AY61" s="50" t="n"/>
      <c r="AZ61" s="50" t="n"/>
      <c r="BA61" s="50" t="n"/>
      <c r="BB61" s="50" t="n"/>
      <c r="BC61" s="50" t="n"/>
      <c r="BD61" s="50" t="n"/>
      <c r="BE61" s="50" t="n"/>
      <c r="BF61" s="50" t="n"/>
      <c r="BG61" s="50" t="n"/>
      <c r="BH61" s="50" t="n"/>
      <c r="BI61" s="50" t="n"/>
      <c r="BJ61" s="50" t="n"/>
      <c r="BK61" s="50" t="n"/>
      <c r="BL61" s="50" t="n"/>
      <c r="BM61" s="50" t="n"/>
      <c r="BN61" s="50" t="n"/>
      <c r="BO61" s="50" t="n"/>
      <c r="BP61" s="50" t="n"/>
      <c r="BQ61" s="50" t="n"/>
      <c r="BR61" s="50" t="n"/>
      <c r="BS61" s="50" t="n"/>
      <c r="BT61" s="50" t="n"/>
      <c r="BU61" s="50" t="n"/>
      <c r="BV61" s="50" t="n"/>
      <c r="BW61" s="50" t="n"/>
      <c r="BX61" s="50" t="n"/>
      <c r="BY61" s="50" t="n"/>
      <c r="BZ61" s="50" t="n"/>
      <c r="CA61" s="50" t="n"/>
      <c r="CB61" s="50" t="n"/>
      <c r="CC61" s="50" t="n"/>
      <c r="CD61" s="50" t="n"/>
      <c r="CE61" s="50" t="n"/>
      <c r="CF61" s="50" t="n"/>
      <c r="CG61" s="50" t="n"/>
      <c r="CH61" s="50" t="n"/>
      <c r="CI61" s="50" t="n"/>
      <c r="CJ61" s="50" t="n"/>
      <c r="CK61" s="50" t="n"/>
      <c r="CL61" s="50" t="n"/>
      <c r="CM61" s="50" t="n"/>
      <c r="CN61" s="50" t="n"/>
      <c r="CO61" s="50" t="n"/>
      <c r="CP61" s="50" t="n"/>
      <c r="CQ61" s="50" t="n"/>
      <c r="CR61" s="50" t="n"/>
      <c r="CS61" s="50" t="n"/>
      <c r="CT61" s="50" t="n"/>
      <c r="CU61" s="50" t="n"/>
      <c r="CV61" s="50" t="n"/>
      <c r="CW61" s="50" t="n"/>
      <c r="CX61" s="50" t="n"/>
      <c r="CY61" s="50" t="n"/>
    </row>
    <row r="62" hidden="1" outlineLevel="1">
      <c r="C62" s="50" t="inlineStr">
        <is>
          <t>Outras Receitas (Despesas) Operacionais, Líquidas</t>
        </is>
      </c>
      <c r="D62" s="11" t="n"/>
      <c r="E62" s="11" t="n"/>
      <c r="F62" s="11" t="n"/>
      <c r="G62" s="11" t="n"/>
      <c r="H62" s="50" t="n"/>
      <c r="I62" s="11" t="n"/>
      <c r="J62" s="11" t="n"/>
      <c r="K62" s="11" t="n"/>
      <c r="L62" s="11" t="n"/>
      <c r="M62" s="50" t="n"/>
      <c r="N62" s="11" t="n"/>
      <c r="O62" s="11" t="n"/>
      <c r="P62" s="11" t="n"/>
      <c r="Q62" s="11" t="n"/>
      <c r="R62" s="50" t="n"/>
      <c r="S62" s="11" t="n"/>
      <c r="T62" s="11" t="n"/>
      <c r="U62" s="11" t="n"/>
      <c r="V62" s="11" t="n"/>
      <c r="W62" s="50" t="n"/>
      <c r="X62" s="11" t="n"/>
      <c r="Y62" s="11" t="n"/>
      <c r="Z62" s="11" t="n"/>
      <c r="AA62" s="11" t="n"/>
      <c r="AB62" s="50" t="n"/>
      <c r="AC62" s="11" t="n"/>
      <c r="AD62" s="11" t="n"/>
      <c r="AE62" s="11" t="n"/>
      <c r="AF62" s="11" t="n"/>
      <c r="AG62" s="50" t="n"/>
      <c r="AH62" s="50" t="n"/>
      <c r="AI62" s="50" t="n"/>
      <c r="AJ62" s="50" t="n"/>
      <c r="AK62" s="50" t="n"/>
      <c r="AL62" s="50" t="n"/>
      <c r="AM62" s="50" t="n"/>
      <c r="AN62" s="50" t="n"/>
      <c r="AO62" s="50" t="n"/>
      <c r="AP62" s="50" t="n"/>
      <c r="AQ62" s="50" t="n"/>
      <c r="AR62" s="50" t="n"/>
      <c r="AS62" s="50" t="n"/>
      <c r="AT62" s="50" t="n"/>
      <c r="AU62" s="50" t="n"/>
      <c r="AV62" s="50" t="n"/>
      <c r="AW62" s="50" t="n"/>
      <c r="AX62" s="50" t="n"/>
      <c r="AY62" s="50" t="n"/>
      <c r="AZ62" s="50" t="n"/>
      <c r="BA62" s="50" t="n"/>
      <c r="BB62" s="50" t="n"/>
      <c r="BC62" s="50" t="n"/>
      <c r="BD62" s="50" t="n"/>
      <c r="BE62" s="50" t="n"/>
      <c r="BF62" s="50" t="n"/>
      <c r="BG62" s="50" t="n"/>
      <c r="BH62" s="50" t="n"/>
      <c r="BI62" s="50" t="n"/>
      <c r="BJ62" s="50" t="n"/>
      <c r="BK62" s="50" t="n"/>
      <c r="BL62" s="50" t="n"/>
      <c r="BM62" s="50" t="n"/>
      <c r="BN62" s="50" t="n"/>
      <c r="BO62" s="50" t="n"/>
      <c r="BP62" s="50" t="n"/>
      <c r="BQ62" s="50" t="n"/>
      <c r="BR62" s="50" t="n"/>
      <c r="BS62" s="50" t="n"/>
      <c r="BT62" s="50" t="n"/>
      <c r="BU62" s="50" t="n"/>
      <c r="BV62" s="50" t="n"/>
      <c r="BW62" s="50" t="n"/>
      <c r="BX62" s="50" t="n"/>
      <c r="BY62" s="50" t="n"/>
      <c r="BZ62" s="50" t="n"/>
      <c r="CA62" s="50" t="n"/>
      <c r="CB62" s="50" t="n"/>
      <c r="CC62" s="50" t="n"/>
      <c r="CD62" s="50" t="n"/>
      <c r="CE62" s="50" t="n"/>
      <c r="CF62" s="50" t="n"/>
      <c r="CG62" s="50" t="n"/>
      <c r="CH62" s="50" t="n"/>
      <c r="CI62" s="50" t="n"/>
      <c r="CJ62" s="50" t="n"/>
      <c r="CK62" s="50" t="n"/>
      <c r="CL62" s="50" t="n"/>
      <c r="CM62" s="50" t="n"/>
      <c r="CN62" s="50" t="n"/>
      <c r="CO62" s="50" t="n"/>
      <c r="CP62" s="50" t="n"/>
      <c r="CQ62" s="50" t="n"/>
      <c r="CR62" s="50" t="n"/>
      <c r="CS62" s="50" t="n"/>
      <c r="CT62" s="50" t="n"/>
      <c r="CU62" s="50" t="n"/>
      <c r="CV62" s="50" t="n"/>
      <c r="CW62" s="50" t="n"/>
      <c r="CX62" s="50" t="n"/>
      <c r="CY62" s="50" t="n"/>
    </row>
    <row r="63" hidden="1" outlineLevel="1">
      <c r="C63" s="50" t="n"/>
      <c r="D63" s="50" t="n"/>
      <c r="E63" s="50" t="n"/>
      <c r="F63" s="50" t="n"/>
      <c r="G63" s="50" t="n"/>
      <c r="H63" s="50" t="n"/>
      <c r="I63" s="50" t="n"/>
      <c r="J63" s="50" t="n"/>
      <c r="K63" s="50" t="n"/>
      <c r="L63" s="50" t="n"/>
      <c r="M63" s="50" t="n"/>
      <c r="N63" s="50" t="n"/>
      <c r="O63" s="50" t="n"/>
      <c r="P63" s="50" t="n"/>
      <c r="Q63" s="50" t="n"/>
      <c r="R63" s="50" t="n"/>
      <c r="S63" s="50" t="n"/>
      <c r="T63" s="50" t="n"/>
      <c r="U63" s="50" t="n"/>
      <c r="V63" s="50" t="n"/>
      <c r="W63" s="50" t="n"/>
      <c r="X63" s="50" t="n"/>
      <c r="Y63" s="50" t="n"/>
      <c r="Z63" s="50" t="n"/>
      <c r="AA63" s="50" t="n"/>
      <c r="AB63" s="50" t="n"/>
      <c r="AC63" s="50" t="n"/>
      <c r="AD63" s="50" t="n"/>
      <c r="AE63" s="50" t="n"/>
      <c r="AF63" s="50" t="n"/>
      <c r="AG63" s="50" t="n"/>
      <c r="AH63" s="50" t="n"/>
      <c r="AI63" s="50" t="n"/>
      <c r="AJ63" s="50" t="n"/>
      <c r="AK63" s="50" t="n"/>
      <c r="AL63" s="50" t="n"/>
      <c r="AM63" s="50" t="n"/>
      <c r="AN63" s="50" t="n"/>
      <c r="AO63" s="50" t="n"/>
      <c r="AP63" s="50" t="n"/>
      <c r="AQ63" s="50" t="n"/>
      <c r="AR63" s="50" t="n"/>
      <c r="AS63" s="50" t="n"/>
      <c r="AT63" s="50" t="n"/>
      <c r="AU63" s="50" t="n"/>
      <c r="AV63" s="50" t="n"/>
      <c r="AW63" s="50" t="n"/>
      <c r="AX63" s="50" t="n"/>
      <c r="AY63" s="50" t="n"/>
      <c r="AZ63" s="50" t="n"/>
      <c r="BA63" s="50" t="n"/>
      <c r="BB63" s="50" t="n"/>
      <c r="BC63" s="50" t="n"/>
      <c r="BD63" s="50" t="n"/>
      <c r="BE63" s="50" t="n"/>
      <c r="BF63" s="50" t="n"/>
      <c r="BG63" s="50" t="n"/>
      <c r="BH63" s="50" t="n"/>
      <c r="BI63" s="50" t="n"/>
      <c r="BJ63" s="50" t="n"/>
      <c r="BK63" s="50" t="n"/>
      <c r="BL63" s="50" t="n"/>
      <c r="BM63" s="50" t="n"/>
      <c r="BN63" s="50" t="n"/>
      <c r="BO63" s="50" t="n"/>
      <c r="BP63" s="50" t="n"/>
      <c r="BQ63" s="50" t="n"/>
      <c r="BR63" s="50" t="n"/>
      <c r="BS63" s="50" t="n"/>
      <c r="BT63" s="50" t="n"/>
      <c r="BU63" s="50" t="n"/>
      <c r="BV63" s="50" t="n"/>
      <c r="BW63" s="50" t="n"/>
      <c r="BX63" s="50" t="n"/>
      <c r="BY63" s="50" t="n"/>
      <c r="BZ63" s="50" t="n"/>
      <c r="CA63" s="50" t="n"/>
      <c r="CB63" s="50" t="n"/>
      <c r="CC63" s="50" t="n"/>
      <c r="CD63" s="50" t="n"/>
      <c r="CE63" s="50" t="n"/>
      <c r="CF63" s="50" t="n"/>
      <c r="CG63" s="50" t="n"/>
      <c r="CH63" s="50" t="n"/>
      <c r="CI63" s="50" t="n"/>
      <c r="CJ63" s="50" t="n"/>
      <c r="CK63" s="50" t="n"/>
      <c r="CL63" s="50" t="n"/>
      <c r="CM63" s="50" t="n"/>
      <c r="CN63" s="50" t="n"/>
      <c r="CO63" s="50" t="n"/>
      <c r="CP63" s="50" t="n"/>
      <c r="CQ63" s="50" t="n"/>
      <c r="CR63" s="50" t="n"/>
      <c r="CS63" s="50" t="n"/>
      <c r="CT63" s="50" t="n"/>
      <c r="CU63" s="50" t="n"/>
      <c r="CV63" s="50" t="n"/>
      <c r="CW63" s="50" t="n"/>
      <c r="CX63" s="50" t="n"/>
      <c r="CY63" s="50" t="n"/>
    </row>
    <row r="64" hidden="1" outlineLevel="1">
      <c r="C64" s="50" t="inlineStr">
        <is>
          <t>Com Vendas (%)</t>
        </is>
      </c>
      <c r="D64" s="50" t="n"/>
      <c r="E64" s="50" t="n"/>
      <c r="F64" s="50" t="n"/>
      <c r="G64" s="50" t="n"/>
      <c r="H64" s="50" t="n"/>
      <c r="I64" s="50" t="n"/>
      <c r="J64" s="50" t="n"/>
      <c r="K64" s="50" t="n"/>
      <c r="L64" s="50" t="n"/>
      <c r="M64" s="50" t="n"/>
      <c r="N64" s="50" t="n"/>
      <c r="O64" s="50" t="n"/>
      <c r="P64" s="50" t="n"/>
      <c r="Q64" s="50" t="n"/>
      <c r="R64" s="50" t="n"/>
      <c r="S64" s="50" t="n"/>
      <c r="T64" s="50" t="n"/>
      <c r="U64" s="50" t="n"/>
      <c r="V64" s="50" t="n"/>
      <c r="W64" s="50" t="n"/>
      <c r="X64" s="50" t="n"/>
      <c r="Y64" s="50" t="n"/>
      <c r="Z64" s="50" t="n"/>
      <c r="AA64" s="50" t="n"/>
      <c r="AB64" s="50" t="n"/>
      <c r="AC64" s="50" t="n"/>
      <c r="AD64" s="50" t="n"/>
      <c r="AE64" s="50" t="n"/>
      <c r="AF64" s="50" t="n"/>
      <c r="AG64" s="50" t="n"/>
      <c r="AH64" s="50" t="n"/>
      <c r="AI64" s="50" t="n"/>
      <c r="AJ64" s="50" t="n"/>
      <c r="AK64" s="50" t="n"/>
      <c r="AL64" s="50" t="n"/>
      <c r="AM64" s="50" t="n"/>
      <c r="AN64" s="50" t="n"/>
      <c r="AO64" s="50" t="n"/>
      <c r="AP64" s="50" t="n"/>
      <c r="AQ64" s="50" t="n"/>
      <c r="AR64" s="50" t="n"/>
      <c r="AS64" s="50" t="n"/>
      <c r="AT64" s="50" t="n"/>
      <c r="AU64" s="50" t="n"/>
      <c r="AV64" s="50" t="n"/>
      <c r="AW64" s="50" t="n"/>
      <c r="AX64" s="50" t="n"/>
      <c r="AY64" s="50" t="n"/>
      <c r="AZ64" s="50" t="n"/>
      <c r="BA64" s="50" t="n"/>
      <c r="BB64" s="50" t="n"/>
      <c r="BC64" s="50" t="n"/>
      <c r="BD64" s="50" t="n"/>
      <c r="BE64" s="50" t="n"/>
      <c r="BF64" s="50" t="n"/>
      <c r="BG64" s="50" t="n"/>
      <c r="BH64" s="50" t="n"/>
      <c r="BI64" s="50" t="n"/>
      <c r="BJ64" s="50" t="n"/>
      <c r="BK64" s="50" t="n"/>
      <c r="BL64" s="50" t="n"/>
      <c r="BM64" s="50" t="n"/>
      <c r="BN64" s="50" t="n"/>
      <c r="BO64" s="50" t="n"/>
      <c r="BP64" s="50" t="n"/>
      <c r="BQ64" s="50" t="n"/>
      <c r="BR64" s="50" t="n"/>
      <c r="BS64" s="50" t="n"/>
      <c r="BT64" s="50" t="n"/>
      <c r="BU64" s="50" t="n"/>
      <c r="BV64" s="50" t="n"/>
      <c r="BW64" s="50" t="n"/>
      <c r="BX64" s="50" t="n"/>
      <c r="BY64" s="50" t="n"/>
      <c r="BZ64" s="50" t="n"/>
      <c r="CA64" s="50" t="n"/>
      <c r="CB64" s="50" t="n"/>
      <c r="CC64" s="50" t="n"/>
      <c r="CD64" s="50" t="n"/>
      <c r="CE64" s="50" t="n"/>
      <c r="CF64" s="50" t="n"/>
      <c r="CG64" s="50" t="n"/>
      <c r="CH64" s="50" t="n"/>
      <c r="CI64" s="50" t="n"/>
      <c r="CJ64" s="50" t="n"/>
      <c r="CK64" s="50" t="n"/>
      <c r="CL64" s="50" t="n"/>
      <c r="CM64" s="50" t="n"/>
      <c r="CN64" s="50" t="n"/>
      <c r="CO64" s="50" t="n"/>
      <c r="CP64" s="50" t="n"/>
      <c r="CQ64" s="50" t="n"/>
      <c r="CR64" s="50" t="n"/>
      <c r="CS64" s="50" t="n"/>
      <c r="CT64" s="50" t="n"/>
      <c r="CU64" s="50" t="n"/>
      <c r="CV64" s="50" t="n"/>
      <c r="CW64" s="50" t="n"/>
      <c r="CX64" s="50" t="n"/>
      <c r="CY64" s="50" t="n"/>
    </row>
    <row r="65" hidden="1" outlineLevel="1">
      <c r="C65" s="50" t="inlineStr">
        <is>
          <t>Gerais &amp; Administrativas (%)</t>
        </is>
      </c>
      <c r="D65" s="50" t="n"/>
      <c r="E65" s="50" t="n"/>
      <c r="F65" s="50" t="n"/>
      <c r="G65" s="50" t="n"/>
      <c r="H65" s="50" t="n"/>
      <c r="I65" s="50" t="n"/>
      <c r="J65" s="50" t="n"/>
      <c r="K65" s="50" t="n"/>
      <c r="L65" s="50" t="n"/>
      <c r="M65" s="50" t="n"/>
      <c r="N65" s="50" t="n"/>
      <c r="O65" s="50" t="n"/>
      <c r="P65" s="50" t="n"/>
      <c r="Q65" s="50" t="n"/>
      <c r="R65" s="50" t="n"/>
      <c r="S65" s="50" t="n"/>
      <c r="T65" s="50" t="n"/>
      <c r="U65" s="50" t="n"/>
      <c r="V65" s="50" t="n"/>
      <c r="W65" s="50" t="n"/>
      <c r="X65" s="50" t="n"/>
      <c r="Y65" s="50" t="n"/>
      <c r="Z65" s="50" t="n"/>
      <c r="AA65" s="50" t="n"/>
      <c r="AB65" s="50" t="n"/>
      <c r="AC65" s="50" t="n"/>
      <c r="AD65" s="50" t="n"/>
      <c r="AE65" s="50" t="n"/>
      <c r="AF65" s="50" t="n"/>
      <c r="AG65" s="50" t="n"/>
      <c r="AH65" s="50" t="n"/>
      <c r="AI65" s="50" t="n"/>
      <c r="AJ65" s="50" t="n"/>
      <c r="AK65" s="50" t="n"/>
      <c r="AL65" s="50" t="n"/>
      <c r="AM65" s="50" t="n"/>
      <c r="AN65" s="50" t="n"/>
      <c r="AO65" s="50" t="n"/>
      <c r="AP65" s="50" t="n"/>
      <c r="AQ65" s="50" t="n"/>
      <c r="AR65" s="50" t="n"/>
      <c r="AS65" s="50" t="n"/>
      <c r="AT65" s="50" t="n"/>
      <c r="AU65" s="50" t="n"/>
      <c r="AV65" s="50" t="n"/>
      <c r="AW65" s="50" t="n"/>
      <c r="AX65" s="50" t="n"/>
      <c r="AY65" s="50" t="n"/>
      <c r="AZ65" s="50" t="n"/>
      <c r="BA65" s="50" t="n"/>
      <c r="BB65" s="50" t="n"/>
      <c r="BC65" s="50" t="n"/>
      <c r="BD65" s="50" t="n"/>
      <c r="BE65" s="50" t="n"/>
      <c r="BF65" s="50" t="n"/>
      <c r="BG65" s="50" t="n"/>
      <c r="BH65" s="50" t="n"/>
      <c r="BI65" s="50" t="n"/>
      <c r="BJ65" s="50" t="n"/>
      <c r="BK65" s="50" t="n"/>
      <c r="BL65" s="50" t="n"/>
      <c r="BM65" s="50" t="n"/>
      <c r="BN65" s="50" t="n"/>
      <c r="BO65" s="50" t="n"/>
      <c r="BP65" s="50" t="n"/>
      <c r="BQ65" s="50" t="n"/>
      <c r="BR65" s="50" t="n"/>
      <c r="BS65" s="50" t="n"/>
      <c r="BT65" s="50" t="n"/>
      <c r="BU65" s="50" t="n"/>
      <c r="BV65" s="50" t="n"/>
      <c r="BW65" s="50" t="n"/>
      <c r="BX65" s="50" t="n"/>
      <c r="BY65" s="50" t="n"/>
      <c r="BZ65" s="50" t="n"/>
      <c r="CA65" s="50" t="n"/>
      <c r="CB65" s="50" t="n"/>
      <c r="CC65" s="50" t="n"/>
      <c r="CD65" s="50" t="n"/>
      <c r="CE65" s="50" t="n"/>
      <c r="CF65" s="50" t="n"/>
      <c r="CG65" s="50" t="n"/>
      <c r="CH65" s="50" t="n"/>
      <c r="CI65" s="50" t="n"/>
      <c r="CJ65" s="50" t="n"/>
      <c r="CK65" s="50" t="n"/>
      <c r="CL65" s="50" t="n"/>
      <c r="CM65" s="50" t="n"/>
      <c r="CN65" s="50" t="n"/>
      <c r="CO65" s="50" t="n"/>
      <c r="CP65" s="50" t="n"/>
      <c r="CQ65" s="50" t="n"/>
      <c r="CR65" s="50" t="n"/>
      <c r="CS65" s="50" t="n"/>
      <c r="CT65" s="50" t="n"/>
      <c r="CU65" s="50" t="n"/>
      <c r="CV65" s="50" t="n"/>
      <c r="CW65" s="50" t="n"/>
      <c r="CX65" s="50" t="n"/>
      <c r="CY65" s="50" t="n"/>
    </row>
    <row r="66" hidden="1" outlineLevel="1">
      <c r="C66" s="50" t="inlineStr">
        <is>
          <t>Outras Receitas (Despesas) Operacionais, Líquidas (%)</t>
        </is>
      </c>
      <c r="D66" s="50" t="n"/>
      <c r="E66" s="50" t="n"/>
      <c r="F66" s="50" t="n"/>
      <c r="G66" s="50" t="n"/>
      <c r="H66" s="50" t="n"/>
      <c r="I66" s="50" t="n"/>
      <c r="J66" s="50" t="n"/>
      <c r="K66" s="50" t="n"/>
      <c r="L66" s="50" t="n"/>
      <c r="M66" s="50" t="n"/>
      <c r="N66" s="50" t="n"/>
      <c r="O66" s="50" t="n"/>
      <c r="P66" s="50" t="n"/>
      <c r="Q66" s="50" t="n"/>
      <c r="R66" s="50" t="n"/>
      <c r="S66" s="50" t="n"/>
      <c r="T66" s="50" t="n"/>
      <c r="U66" s="50" t="n"/>
      <c r="V66" s="50" t="n"/>
      <c r="W66" s="50" t="n"/>
      <c r="X66" s="50" t="n"/>
      <c r="Y66" s="50" t="n"/>
      <c r="Z66" s="50" t="n"/>
      <c r="AA66" s="50" t="n"/>
      <c r="AB66" s="50" t="n"/>
      <c r="AC66" s="50" t="n"/>
      <c r="AD66" s="50" t="n"/>
      <c r="AE66" s="50" t="n"/>
      <c r="AF66" s="50" t="n"/>
      <c r="AG66" s="50" t="n"/>
      <c r="AH66" s="50" t="n"/>
      <c r="AI66" s="50" t="n"/>
      <c r="AJ66" s="50" t="n"/>
      <c r="AK66" s="50" t="n"/>
      <c r="AL66" s="50" t="n"/>
      <c r="AM66" s="50" t="n"/>
      <c r="AN66" s="50" t="n"/>
      <c r="AO66" s="50" t="n"/>
      <c r="AP66" s="50" t="n"/>
      <c r="AQ66" s="50" t="n"/>
      <c r="AR66" s="50" t="n"/>
      <c r="AS66" s="50" t="n"/>
      <c r="AT66" s="50" t="n"/>
      <c r="AU66" s="50" t="n"/>
      <c r="AV66" s="50" t="n"/>
      <c r="AW66" s="50" t="n"/>
      <c r="AX66" s="50" t="n"/>
      <c r="AY66" s="50" t="n"/>
      <c r="AZ66" s="50" t="n"/>
      <c r="BA66" s="50" t="n"/>
      <c r="BB66" s="50" t="n"/>
      <c r="BC66" s="50" t="n"/>
      <c r="BD66" s="50" t="n"/>
      <c r="BE66" s="50" t="n"/>
      <c r="BF66" s="50" t="n"/>
      <c r="BG66" s="50" t="n"/>
      <c r="BH66" s="50" t="n"/>
      <c r="BI66" s="50" t="n"/>
      <c r="BJ66" s="50" t="n"/>
      <c r="BK66" s="50" t="n"/>
      <c r="BL66" s="50" t="n"/>
      <c r="BM66" s="50" t="n"/>
      <c r="BN66" s="50" t="n"/>
      <c r="BO66" s="50" t="n"/>
      <c r="BP66" s="50" t="n"/>
      <c r="BQ66" s="50" t="n"/>
      <c r="BR66" s="50" t="n"/>
      <c r="BS66" s="50" t="n"/>
      <c r="BT66" s="50" t="n"/>
      <c r="BU66" s="50" t="n"/>
      <c r="BV66" s="50" t="n"/>
      <c r="BW66" s="50" t="n"/>
      <c r="BX66" s="50" t="n"/>
      <c r="BY66" s="50" t="n"/>
      <c r="BZ66" s="50" t="n"/>
      <c r="CA66" s="50" t="n"/>
      <c r="CB66" s="50" t="n"/>
      <c r="CC66" s="50" t="n"/>
      <c r="CD66" s="50" t="n"/>
      <c r="CE66" s="50" t="n"/>
      <c r="CF66" s="50" t="n"/>
      <c r="CG66" s="50" t="n"/>
      <c r="CH66" s="50" t="n"/>
      <c r="CI66" s="50" t="n"/>
      <c r="CJ66" s="50" t="n"/>
      <c r="CK66" s="50" t="n"/>
      <c r="CL66" s="50" t="n"/>
      <c r="CM66" s="50" t="n"/>
      <c r="CN66" s="50" t="n"/>
      <c r="CO66" s="50" t="n"/>
      <c r="CP66" s="50" t="n"/>
      <c r="CQ66" s="50" t="n"/>
      <c r="CR66" s="50" t="n"/>
      <c r="CS66" s="50" t="n"/>
      <c r="CT66" s="50" t="n"/>
      <c r="CU66" s="50" t="n"/>
      <c r="CV66" s="50" t="n"/>
      <c r="CW66" s="50" t="n"/>
      <c r="CX66" s="50" t="n"/>
      <c r="CY66" s="50" t="n"/>
    </row>
    <row r="67" hidden="1" outlineLevel="1">
      <c r="C67" s="50" t="n"/>
      <c r="D67" s="50" t="n"/>
      <c r="E67" s="50" t="n"/>
      <c r="F67" s="50" t="n"/>
      <c r="G67" s="50" t="n"/>
      <c r="H67" s="50" t="n"/>
      <c r="I67" s="50" t="n"/>
      <c r="J67" s="50" t="n"/>
      <c r="K67" s="50" t="n"/>
      <c r="L67" s="50" t="n"/>
      <c r="M67" s="50" t="n"/>
      <c r="N67" s="50" t="n"/>
      <c r="O67" s="50" t="n"/>
      <c r="P67" s="50" t="n"/>
      <c r="Q67" s="50" t="n"/>
      <c r="R67" s="50" t="n"/>
      <c r="S67" s="50" t="n"/>
      <c r="T67" s="50" t="n"/>
      <c r="U67" s="50" t="n"/>
      <c r="V67" s="50" t="n"/>
      <c r="W67" s="50" t="n"/>
      <c r="X67" s="50" t="n"/>
      <c r="Y67" s="50" t="n"/>
      <c r="Z67" s="50" t="n"/>
      <c r="AA67" s="50" t="n"/>
      <c r="AB67" s="50" t="n"/>
      <c r="AC67" s="50" t="n"/>
      <c r="AD67" s="50" t="n"/>
      <c r="AE67" s="50" t="n"/>
      <c r="AF67" s="50" t="n"/>
      <c r="AG67" s="50" t="n"/>
      <c r="AH67" s="50" t="n"/>
      <c r="AI67" s="50" t="n"/>
      <c r="AJ67" s="50" t="n"/>
      <c r="AK67" s="50" t="n"/>
      <c r="AL67" s="50" t="n"/>
      <c r="AM67" s="50" t="n"/>
      <c r="AN67" s="50" t="n"/>
      <c r="AO67" s="50" t="n"/>
      <c r="AP67" s="50" t="n"/>
      <c r="AQ67" s="50" t="n"/>
      <c r="AR67" s="50" t="n"/>
      <c r="AS67" s="50" t="n"/>
      <c r="AT67" s="50" t="n"/>
      <c r="AU67" s="50" t="n"/>
      <c r="AV67" s="50" t="n"/>
      <c r="AW67" s="50" t="n"/>
      <c r="AX67" s="50" t="n"/>
      <c r="AY67" s="50" t="n"/>
      <c r="AZ67" s="50" t="n"/>
      <c r="BA67" s="50" t="n"/>
      <c r="BB67" s="50" t="n"/>
      <c r="BC67" s="50" t="n"/>
      <c r="BD67" s="50" t="n"/>
      <c r="BE67" s="50" t="n"/>
      <c r="BF67" s="50" t="n"/>
      <c r="BG67" s="50" t="n"/>
      <c r="BH67" s="50" t="n"/>
      <c r="BI67" s="50" t="n"/>
      <c r="BJ67" s="50" t="n"/>
      <c r="BK67" s="50" t="n"/>
      <c r="BL67" s="50" t="n"/>
      <c r="BM67" s="50" t="n"/>
      <c r="BN67" s="50" t="n"/>
      <c r="BO67" s="50" t="n"/>
      <c r="BP67" s="50" t="n"/>
      <c r="BQ67" s="50" t="n"/>
      <c r="BR67" s="50" t="n"/>
      <c r="BS67" s="50" t="n"/>
      <c r="BT67" s="50" t="n"/>
      <c r="BU67" s="50" t="n"/>
      <c r="BV67" s="50" t="n"/>
      <c r="BW67" s="50" t="n"/>
      <c r="BX67" s="50" t="n"/>
      <c r="BY67" s="50" t="n"/>
      <c r="BZ67" s="50" t="n"/>
      <c r="CA67" s="50" t="n"/>
      <c r="CB67" s="50" t="n"/>
      <c r="CC67" s="50" t="n"/>
      <c r="CD67" s="50" t="n"/>
      <c r="CE67" s="50" t="n"/>
      <c r="CF67" s="50" t="n"/>
      <c r="CG67" s="50" t="n"/>
      <c r="CH67" s="50" t="n"/>
      <c r="CI67" s="50" t="n"/>
      <c r="CJ67" s="50" t="n"/>
      <c r="CK67" s="50" t="n"/>
      <c r="CL67" s="50" t="n"/>
      <c r="CM67" s="50" t="n"/>
      <c r="CN67" s="50" t="n"/>
      <c r="CO67" s="50" t="n"/>
      <c r="CP67" s="50" t="n"/>
      <c r="CQ67" s="50" t="n"/>
      <c r="CR67" s="50" t="n"/>
      <c r="CS67" s="50" t="n"/>
      <c r="CT67" s="50" t="n"/>
      <c r="CU67" s="50" t="n"/>
      <c r="CV67" s="50" t="n"/>
      <c r="CW67" s="50" t="n"/>
      <c r="CX67" s="50" t="n"/>
      <c r="CY67" s="50" t="n"/>
    </row>
    <row r="68" collapsed="1" customFormat="1" s="32">
      <c r="A68" s="30" t="n"/>
      <c r="B68" s="3" t="n"/>
      <c r="C68" s="33" t="inlineStr">
        <is>
          <t>EBITDA</t>
        </is>
      </c>
      <c r="D68" s="35" t="n"/>
      <c r="E68" s="35" t="n"/>
      <c r="F68" s="35" t="n"/>
      <c r="G68" s="35" t="n"/>
      <c r="H68" s="35" t="n"/>
      <c r="I68" s="35">
        <f>SUM(I15,I53,I57)</f>
        <v>370.107</v>
      </c>
      <c r="J68" s="35">
        <f>SUM(J15,J53,J57)</f>
        <v>238.192</v>
      </c>
      <c r="K68" s="35">
        <f>SUM(K15,K53,K57)</f>
        <v>852.098</v>
      </c>
      <c r="L68" s="35">
        <f>SUM(L15,L53,L57)</f>
        <v>319.047</v>
      </c>
      <c r="M68" s="35">
        <f>SUM(I68:L68)</f>
        <v>1779.444</v>
      </c>
      <c r="N68" s="35">
        <f>SUM(N15,N53,N57)</f>
        <v>304.652</v>
      </c>
      <c r="O68" s="35">
        <f>SUM(O15,O53,O57)</f>
        <v>289.486</v>
      </c>
      <c r="P68" s="35">
        <f>SUM(P15,P53,P57)</f>
        <v>503.239</v>
      </c>
      <c r="Q68" s="35">
        <f>SUM(Q15,Q53,Q57)</f>
        <v>760.783</v>
      </c>
      <c r="R68" s="35">
        <f>SUM(N68:Q68)</f>
        <v>1858.16</v>
      </c>
      <c r="S68" s="35">
        <f>SUM(S15,S53,S57)</f>
        <v>451.882</v>
      </c>
      <c r="T68" s="35">
        <f>SUM(T15,T53,T57)</f>
        <v>457.91</v>
      </c>
      <c r="U68" s="35">
        <f>SUM(U15,U53,U57)</f>
        <v>350.08</v>
      </c>
      <c r="V68" s="35">
        <f>SUM(V15,V53,V57)</f>
        <v>418.005</v>
      </c>
      <c r="W68" s="35">
        <f>SUM(S68:V68)</f>
        <v>1677.877</v>
      </c>
      <c r="X68" s="35">
        <f>SUM(X15,X53,X57)</f>
        <v>599.644</v>
      </c>
      <c r="Y68" s="35">
        <f>SUM(Y15,Y53,Y57)</f>
        <v>398.07</v>
      </c>
      <c r="Z68" s="35">
        <f>SUM(Z15,Z53,Z57)</f>
        <v>633.579</v>
      </c>
      <c r="AA68" s="35">
        <f>SUM(AA15,AA53,AA57)</f>
        <v>209.178</v>
      </c>
      <c r="AB68" s="35">
        <f>SUM(X68:AA68)</f>
        <v>1840.471</v>
      </c>
      <c r="AC68" s="35">
        <f>SUM(AC15,AC53,AC57)</f>
        <v>1377.508</v>
      </c>
      <c r="AD68" s="35">
        <f>SUM(AD15,AD53,AD57)</f>
        <v>517.013</v>
      </c>
      <c r="AE68" s="35">
        <f>SUM(AE15,AE53,AE57)</f>
        <v>664.324</v>
      </c>
      <c r="AF68" s="35">
        <f>SUM(AF15,AF53,AF57)</f>
        <v>1474.895</v>
      </c>
      <c r="AG68" s="35">
        <f>SUM(AC68:AF68)</f>
        <v>4033.74</v>
      </c>
      <c r="AH68" s="35">
        <f>SUM(AH15,AH53,AH57)</f>
        <v>300.116</v>
      </c>
      <c r="AI68" s="35">
        <f>SUM(AI15,AI53,AI57)</f>
        <v>810.767</v>
      </c>
      <c r="AJ68" s="35">
        <f>SUM(AJ15,AJ53,AJ57)</f>
        <v>1069.86752655353</v>
      </c>
      <c r="AK68" s="35">
        <f>SUM(AK15,AK53,AK57)</f>
        <v>1149.81533052377</v>
      </c>
      <c r="AL68" s="35">
        <f>SUM(AH68:AK68)</f>
        <v>3330.5658570773</v>
      </c>
      <c r="AM68" s="35">
        <f>SUM(AM15,AM53,AM57)</f>
        <v>929.87887280548</v>
      </c>
      <c r="AN68" s="35">
        <f>SUM(AN15,AN53,AN57)</f>
        <v>924.12152275979</v>
      </c>
      <c r="AO68" s="35">
        <f>SUM(AO15,AO53,AO57)</f>
        <v>1225.29978084052</v>
      </c>
      <c r="AP68" s="35">
        <f>SUM(AP15,AP53,AP57)</f>
        <v>1316.86254375472</v>
      </c>
      <c r="AQ68" s="35">
        <f>SUM(AM68:AP68)</f>
        <v>4396.16272016052</v>
      </c>
      <c r="AR68" s="35">
        <f>SUM(AR15,AR53,AR57)</f>
        <v>1060.32393249934</v>
      </c>
      <c r="AS68" s="35">
        <f>SUM(AS15,AS53,AS57)</f>
        <v>1053.75893116448</v>
      </c>
      <c r="AT68" s="35">
        <f>SUM(AT15,AT53,AT57)</f>
        <v>1397.18701016576</v>
      </c>
      <c r="AU68" s="35">
        <f>SUM(AU15,AU53,AU57)</f>
        <v>1501.59436007229</v>
      </c>
      <c r="AV68" s="35">
        <f>SUM(AR68:AU68)</f>
        <v>5012.86423390186</v>
      </c>
      <c r="AW68" s="35">
        <f>SUM(AW15,AW53,AW57)</f>
        <v>1203.76643716822</v>
      </c>
      <c r="AX68" s="35">
        <f>SUM(AX15,AX53,AX57)</f>
        <v>1196.31331079368</v>
      </c>
      <c r="AY68" s="35">
        <f>SUM(AY15,AY53,AY57)</f>
        <v>1586.20095023273</v>
      </c>
      <c r="AZ68" s="35">
        <f>SUM(AZ15,AZ53,AZ57)</f>
        <v>1704.73271185665</v>
      </c>
      <c r="BA68" s="35">
        <f>SUM(AW68:AZ68)</f>
        <v>5691.01341005128</v>
      </c>
      <c r="BB68" s="35">
        <f>SUM(BB15,BB53,BB57)</f>
        <v>1360.59526642932</v>
      </c>
      <c r="BC68" s="35">
        <f>SUM(BC15,BC53,BC57)</f>
        <v>1352.17113351434</v>
      </c>
      <c r="BD68" s="35">
        <f>SUM(BD15,BD53,BD57)</f>
        <v>1792.85402703976</v>
      </c>
      <c r="BE68" s="35">
        <f>SUM(BE15,BE53,BE57)</f>
        <v>1926.82831707432</v>
      </c>
      <c r="BF68" s="35">
        <f>SUM(BB68:BE68)</f>
        <v>6432.44874405773</v>
      </c>
      <c r="BG68" s="35" t="n"/>
      <c r="BH68" s="35" t="n"/>
      <c r="BI68" s="35" t="n"/>
      <c r="BJ68" s="35" t="n"/>
      <c r="BK68" s="35" t="n"/>
      <c r="BL68" s="35" t="n"/>
      <c r="BM68" s="35" t="n"/>
      <c r="BN68" s="35" t="n"/>
      <c r="BO68" s="35" t="n"/>
      <c r="BP68" s="35" t="n"/>
      <c r="BQ68" s="35" t="n"/>
      <c r="BR68" s="35" t="n"/>
      <c r="BS68" s="35" t="n"/>
      <c r="BT68" s="35" t="n"/>
      <c r="BU68" s="35" t="n"/>
      <c r="BV68" s="35" t="n"/>
      <c r="BW68" s="35" t="n"/>
      <c r="BX68" s="35" t="n"/>
      <c r="BY68" s="35" t="n"/>
      <c r="BZ68" s="35" t="n"/>
      <c r="CA68" s="35" t="n"/>
      <c r="CB68" s="35" t="n"/>
      <c r="CC68" s="35" t="n"/>
      <c r="CD68" s="35" t="n"/>
      <c r="CE68" s="35" t="n"/>
      <c r="CF68" s="35" t="n"/>
      <c r="CG68" s="35" t="n"/>
      <c r="CH68" s="35" t="n"/>
      <c r="CI68" s="35" t="n"/>
      <c r="CJ68" s="35" t="n"/>
      <c r="CK68" s="35" t="n"/>
      <c r="CL68" s="35" t="n"/>
      <c r="CM68" s="35" t="n"/>
      <c r="CN68" s="35" t="n"/>
      <c r="CO68" s="35" t="n"/>
      <c r="CP68" s="35" t="n"/>
      <c r="CQ68" s="35" t="n"/>
      <c r="CR68" s="35" t="n"/>
      <c r="CS68" s="35" t="n"/>
      <c r="CT68" s="35" t="n"/>
      <c r="CU68" s="35" t="n"/>
      <c r="CV68" s="35" t="n"/>
      <c r="CW68" s="35" t="n"/>
      <c r="CX68" s="35" t="n"/>
      <c r="CY68" s="35" t="n"/>
    </row>
    <row r="69" ht="13.5" customHeight="1">
      <c r="C69" s="13" t="inlineStr">
        <is>
          <t>D&amp;A</t>
        </is>
      </c>
      <c r="D69" s="46" t="n"/>
      <c r="E69" s="46" t="n"/>
      <c r="F69" s="46" t="n"/>
      <c r="G69" s="46" t="n"/>
      <c r="H69" s="12" t="n"/>
      <c r="I69" s="46">
        <f>'Inputs (2)'!D7</f>
        <v>-132.593</v>
      </c>
      <c r="J69" s="46">
        <f>'Inputs (2)'!E7</f>
        <v>-131.573</v>
      </c>
      <c r="K69" s="46">
        <f>'Inputs (2)'!F7</f>
        <v>-145.397</v>
      </c>
      <c r="L69" s="46">
        <f>'Inputs (2)'!G7</f>
        <v>-149.432</v>
      </c>
      <c r="M69" s="12">
        <f>'Inputs (2)'!H7</f>
        <v>-558.995</v>
      </c>
      <c r="N69" s="46">
        <f>'Inputs (2)'!I7</f>
        <v>-157.304</v>
      </c>
      <c r="O69" s="46">
        <f>'Inputs (2)'!J7</f>
        <v>-161.19</v>
      </c>
      <c r="P69" s="46">
        <f>'Inputs (2)'!K7</f>
        <v>-161.353</v>
      </c>
      <c r="Q69" s="46">
        <f>'Inputs (2)'!L7</f>
        <v>-117.907</v>
      </c>
      <c r="R69" s="12">
        <f>'Inputs (2)'!M7</f>
        <v>-597.754</v>
      </c>
      <c r="S69" s="46">
        <f>'Inputs (2)'!N7</f>
        <v>-168.327</v>
      </c>
      <c r="T69" s="46">
        <f>'Inputs (2)'!O7</f>
        <v>-169.666</v>
      </c>
      <c r="U69" s="46">
        <f>'Inputs (2)'!P7</f>
        <v>-169.643</v>
      </c>
      <c r="V69" s="46">
        <f>'Inputs (2)'!Q7</f>
        <v>-169.639</v>
      </c>
      <c r="W69" s="12">
        <f>'Inputs (2)'!R7</f>
        <v>-677.275</v>
      </c>
      <c r="X69" s="46">
        <f>'Inputs (2)'!S7</f>
        <v>-166.381</v>
      </c>
      <c r="Y69" s="46">
        <f>'Inputs (2)'!T7</f>
        <v>-175.177</v>
      </c>
      <c r="Z69" s="46">
        <f>'Inputs (2)'!U7</f>
        <v>-182.611</v>
      </c>
      <c r="AA69" s="46">
        <f>'Inputs (2)'!V7</f>
        <v>-189.021</v>
      </c>
      <c r="AB69" s="12">
        <f>'Inputs (2)'!W7</f>
        <v>-713.19</v>
      </c>
      <c r="AC69" s="46">
        <f>'Inputs (2)'!X7</f>
        <v>-458.196</v>
      </c>
      <c r="AD69" s="46">
        <f>'Inputs (2)'!Y7</f>
        <v>-521.747</v>
      </c>
      <c r="AE69" s="46">
        <f>'Inputs (2)'!Z7</f>
        <v>-465.553</v>
      </c>
      <c r="AF69" s="46">
        <f>'Inputs (2)'!AA7</f>
        <v>-477.467</v>
      </c>
      <c r="AG69" s="12">
        <f>'Inputs (2)'!AB7</f>
        <v>-1922.963</v>
      </c>
      <c r="AH69" s="12">
        <f>'Inputs (2)'!AC7</f>
        <v>-466.831</v>
      </c>
      <c r="AI69" s="12">
        <f>'Inputs (2)'!AD7</f>
        <v>-465.443</v>
      </c>
      <c r="AJ69" s="12">
        <f>-AJ70*AJ15</f>
        <v>-605.929568113899</v>
      </c>
      <c r="AK69" s="12">
        <f>-AK70*AK15</f>
        <v>-651.208761218673</v>
      </c>
      <c r="AL69" s="12">
        <f>SUM(AH69:AK69)</f>
        <v>-2189.41232933257</v>
      </c>
      <c r="AM69" s="12">
        <f>-AM70*AM15</f>
        <v>-526.645673238007</v>
      </c>
      <c r="AN69" s="12">
        <f>-AN70*AN15</f>
        <v>-523.384943717686</v>
      </c>
      <c r="AO69" s="12">
        <f>-AO70*AO15</f>
        <v>-693.960091869007</v>
      </c>
      <c r="AP69" s="12">
        <f>-AP70*AP15</f>
        <v>-745.817526561544</v>
      </c>
      <c r="AQ69" s="12">
        <f>SUM(AM69:AP69)</f>
        <v>-2489.80823538624</v>
      </c>
      <c r="AR69" s="12">
        <f>-AR70*AR15</f>
        <v>-600.524463575265</v>
      </c>
      <c r="AS69" s="12">
        <f>-AS70*AS15</f>
        <v>-596.806313126947</v>
      </c>
      <c r="AT69" s="12">
        <f>-AT70*AT15</f>
        <v>-791.310045993561</v>
      </c>
      <c r="AU69" s="12">
        <f>-AU70*AU15</f>
        <v>-850.442133720885</v>
      </c>
      <c r="AV69" s="12">
        <f>SUM(AR69:AU69)</f>
        <v>-2839.08295641666</v>
      </c>
      <c r="AW69" s="12">
        <f>-AW70*AW15</f>
        <v>-681.764479508062</v>
      </c>
      <c r="AX69" s="12">
        <f>-AX70*AX15</f>
        <v>-677.543331063853</v>
      </c>
      <c r="AY69" s="12">
        <f>-AY70*AY15</f>
        <v>-898.359874341215</v>
      </c>
      <c r="AZ69" s="12">
        <f>-AZ70*AZ15</f>
        <v>-965.491455911815</v>
      </c>
      <c r="BA69" s="12">
        <f>SUM(AW69:AZ69)</f>
        <v>-3223.15914082495</v>
      </c>
      <c r="BB69" s="12">
        <f>-BB70*BB15</f>
        <v>-770.585966676767</v>
      </c>
      <c r="BC69" s="12">
        <f>-BC70*BC15</f>
        <v>-765.814879516706</v>
      </c>
      <c r="BD69" s="12">
        <f>-BD70*BD15</f>
        <v>-1015.39979421098</v>
      </c>
      <c r="BE69" s="12">
        <f>-BE70*BE15</f>
        <v>-1091.27739745081</v>
      </c>
      <c r="BF69" s="12">
        <f>SUM(BB69:BE69)</f>
        <v>-3643.07803785527</v>
      </c>
      <c r="BG69" s="12" t="n"/>
      <c r="BH69" s="12" t="n"/>
      <c r="BI69" s="12" t="n"/>
      <c r="BJ69" s="12" t="n"/>
      <c r="BK69" s="12" t="n"/>
      <c r="BL69" s="12" t="n"/>
      <c r="BM69" s="12" t="n"/>
      <c r="BN69" s="12" t="n"/>
      <c r="BO69" s="12" t="n"/>
      <c r="BP69" s="12" t="n"/>
      <c r="BQ69" s="12" t="n"/>
      <c r="BR69" s="12" t="n"/>
      <c r="BS69" s="12" t="n"/>
      <c r="BT69" s="12" t="n"/>
      <c r="BU69" s="12" t="n"/>
      <c r="BV69" s="12" t="n"/>
      <c r="BW69" s="12" t="n"/>
      <c r="BX69" s="12" t="n"/>
      <c r="BY69" s="12" t="n"/>
      <c r="BZ69" s="12" t="n"/>
      <c r="CA69" s="12" t="n"/>
      <c r="CB69" s="12" t="n"/>
      <c r="CC69" s="12" t="n"/>
      <c r="CD69" s="12" t="n"/>
      <c r="CE69" s="12" t="n"/>
      <c r="CF69" s="12" t="n"/>
      <c r="CG69" s="12" t="n"/>
      <c r="CH69" s="12" t="n"/>
      <c r="CI69" s="12" t="n"/>
      <c r="CJ69" s="12" t="n"/>
      <c r="CK69" s="12" t="n"/>
      <c r="CL69" s="12" t="n"/>
      <c r="CM69" s="12" t="n"/>
      <c r="CN69" s="12" t="n"/>
      <c r="CO69" s="12" t="n"/>
      <c r="CP69" s="12" t="n"/>
      <c r="CQ69" s="12" t="n"/>
      <c r="CR69" s="12" t="n"/>
      <c r="CS69" s="12" t="n"/>
      <c r="CT69" s="12" t="n"/>
      <c r="CU69" s="12" t="n"/>
      <c r="CV69" s="12" t="n"/>
      <c r="CW69" s="12" t="n"/>
      <c r="CX69" s="12" t="n"/>
      <c r="CY69" s="12" t="n"/>
    </row>
    <row r="70" outlineLevel="1" customFormat="1" s="56">
      <c r="A70" s="53" t="n"/>
      <c r="B70" s="53" t="n"/>
      <c r="C70" s="54" t="inlineStr">
        <is>
          <t>% of Revenue</t>
        </is>
      </c>
      <c r="D70" s="53" t="n"/>
      <c r="E70" s="53" t="n"/>
      <c r="F70" s="53" t="n"/>
      <c r="G70" s="53" t="n"/>
      <c r="H70" s="53" t="n"/>
      <c r="I70" s="53">
        <f>IFERROR(-I69/I15,"")</f>
        <v>0.240139019942009</v>
      </c>
      <c r="J70" s="53">
        <f>IFERROR(-J69/J15,"")</f>
        <v>0.226419023100856</v>
      </c>
      <c r="K70" s="53">
        <f>IFERROR(-K69/K15,"")</f>
        <v>0.235959778900801</v>
      </c>
      <c r="L70" s="53">
        <f>IFERROR(-L69/L15,"")</f>
        <v>0.194747124054981</v>
      </c>
      <c r="M70" s="53" t="n"/>
      <c r="N70" s="53">
        <f>IFERROR(-N69/N15,"")</f>
        <v>0.137352456826322</v>
      </c>
      <c r="O70" s="53">
        <f>IFERROR(-O69/O15,"")</f>
        <v>0.11969658152979</v>
      </c>
      <c r="P70" s="53">
        <f>IFERROR(-P69/P15,"")</f>
        <v>0.104849499740399</v>
      </c>
      <c r="Q70" s="53">
        <f>IFERROR(-Q69/Q15,"")</f>
        <v>0.0794044280661489</v>
      </c>
      <c r="R70" s="53" t="n"/>
      <c r="S70" s="53">
        <f>IFERROR(-S69/S15,"")</f>
        <v>0.119000219157164</v>
      </c>
      <c r="T70" s="53">
        <f>IFERROR(-T69/T15,"")</f>
        <v>0.118062359437975</v>
      </c>
      <c r="U70" s="53">
        <f>IFERROR(-U69/U15,"")</f>
        <v>0.104293644987366</v>
      </c>
      <c r="V70" s="53">
        <f>IFERROR(-V69/V15,"")</f>
        <v>0.0995708169621213</v>
      </c>
      <c r="W70" s="53" t="n"/>
      <c r="X70" s="53">
        <f>IFERROR(-X69/X15,"")</f>
        <v>0.119053530834021</v>
      </c>
      <c r="Y70" s="53">
        <f>IFERROR(-Y69/Y15,"")</f>
        <v>0.120807974924916</v>
      </c>
      <c r="Z70" s="53">
        <f>IFERROR(-Z69/Z15,"")</f>
        <v>0.0892304023775098</v>
      </c>
      <c r="AA70" s="53">
        <f>IFERROR(-AA69/AA15,"")</f>
        <v>0.059705975998969</v>
      </c>
      <c r="AB70" s="53" t="n"/>
      <c r="AC70" s="53">
        <f>IFERROR(-AC69/AC15,"")</f>
        <v>0.155199517122734</v>
      </c>
      <c r="AD70" s="53">
        <f>IFERROR(-AD69/AD15,"")</f>
        <v>0.180815025598426</v>
      </c>
      <c r="AE70" s="53">
        <f>IFERROR(-AE69/AE15,"")</f>
        <v>0.131609143575025</v>
      </c>
      <c r="AF70" s="53">
        <f>IFERROR(-AF69/AF15,"")</f>
        <v>0.125592066136224</v>
      </c>
      <c r="AG70" s="53" t="n"/>
      <c r="AH70" s="53">
        <f>IFERROR(-AH69/AH15,"")</f>
        <v>0.15183792020582</v>
      </c>
      <c r="AI70" s="53">
        <f>IFERROR(-AI69/AI15,"")</f>
        <v>0.152329619482775</v>
      </c>
      <c r="AJ70" s="55">
        <f>Control!$B$21</f>
        <v>0.149563882020167</v>
      </c>
      <c r="AK70" s="55">
        <f>Control!$B$21</f>
        <v>0.149563882020167</v>
      </c>
      <c r="AL70" s="53" t="n"/>
      <c r="AM70" s="55">
        <f>Control!$C$21</f>
        <v>0.149563882020167</v>
      </c>
      <c r="AN70" s="55">
        <f>Control!$C$21</f>
        <v>0.149563882020167</v>
      </c>
      <c r="AO70" s="55">
        <f>Control!$C$21</f>
        <v>0.149563882020167</v>
      </c>
      <c r="AP70" s="55">
        <f>Control!$C$21</f>
        <v>0.149563882020167</v>
      </c>
      <c r="AQ70" s="53" t="n"/>
      <c r="AR70" s="55">
        <f>Control!$D$21</f>
        <v>0.149563882020167</v>
      </c>
      <c r="AS70" s="55">
        <f>Control!$D$21</f>
        <v>0.149563882020167</v>
      </c>
      <c r="AT70" s="55">
        <f>Control!$D$21</f>
        <v>0.149563882020167</v>
      </c>
      <c r="AU70" s="55">
        <f>Control!$D$21</f>
        <v>0.149563882020167</v>
      </c>
      <c r="AV70" s="53" t="n"/>
      <c r="AW70" s="55">
        <f>Control!$E$21</f>
        <v>0.149563882020167</v>
      </c>
      <c r="AX70" s="55">
        <f>Control!$E$21</f>
        <v>0.149563882020167</v>
      </c>
      <c r="AY70" s="55">
        <f>Control!$E$21</f>
        <v>0.149563882020167</v>
      </c>
      <c r="AZ70" s="55">
        <f>Control!$E$21</f>
        <v>0.149563882020167</v>
      </c>
      <c r="BA70" s="53" t="n"/>
      <c r="BB70" s="55">
        <f>Control!$F$21</f>
        <v>0.149563882020167</v>
      </c>
      <c r="BC70" s="55">
        <f>Control!$F$21</f>
        <v>0.149563882020167</v>
      </c>
      <c r="BD70" s="55">
        <f>Control!$F$21</f>
        <v>0.149563882020167</v>
      </c>
      <c r="BE70" s="55">
        <f>Control!$F$21</f>
        <v>0.149563882020167</v>
      </c>
      <c r="BF70" s="53" t="n"/>
      <c r="BG70" s="55" t="n"/>
      <c r="BH70" s="55" t="n"/>
      <c r="BI70" s="55" t="n"/>
      <c r="BJ70" s="55" t="n"/>
      <c r="BK70" s="53" t="n"/>
      <c r="BL70" s="55" t="n"/>
      <c r="BM70" s="55" t="n"/>
      <c r="BN70" s="55" t="n"/>
      <c r="BO70" s="55" t="n"/>
      <c r="BP70" s="53" t="n"/>
      <c r="BQ70" s="55" t="n"/>
      <c r="BR70" s="55" t="n"/>
      <c r="BS70" s="55" t="n"/>
      <c r="BT70" s="55" t="n"/>
      <c r="BU70" s="53" t="n"/>
      <c r="BV70" s="55" t="n"/>
      <c r="BW70" s="55" t="n"/>
      <c r="BX70" s="55" t="n"/>
      <c r="BY70" s="55" t="n"/>
      <c r="BZ70" s="53" t="n"/>
      <c r="CA70" s="55" t="n"/>
      <c r="CB70" s="55" t="n"/>
      <c r="CC70" s="55" t="n"/>
      <c r="CD70" s="55" t="n"/>
      <c r="CE70" s="53" t="n"/>
      <c r="CF70" s="55" t="n"/>
      <c r="CG70" s="55" t="n"/>
      <c r="CH70" s="55" t="n"/>
      <c r="CI70" s="55" t="n"/>
      <c r="CJ70" s="53" t="n"/>
      <c r="CK70" s="55" t="n"/>
      <c r="CL70" s="55" t="n"/>
      <c r="CM70" s="55" t="n"/>
      <c r="CN70" s="55" t="n"/>
      <c r="CO70" s="53" t="n"/>
      <c r="CP70" s="55" t="n"/>
      <c r="CQ70" s="55" t="n"/>
      <c r="CR70" s="55" t="n"/>
      <c r="CS70" s="55" t="n"/>
      <c r="CT70" s="53" t="n"/>
      <c r="CU70" s="55" t="n"/>
      <c r="CV70" s="55" t="n"/>
      <c r="CW70" s="55" t="n"/>
      <c r="CX70" s="55" t="n"/>
      <c r="CY70" s="53" t="n"/>
    </row>
    <row r="71" hidden="1" outlineLevel="1">
      <c r="C71" s="50" t="n"/>
      <c r="D71" s="12" t="n"/>
      <c r="E71" s="12" t="n"/>
      <c r="F71" s="12" t="n"/>
      <c r="G71" s="12" t="n"/>
      <c r="H71" s="12" t="n"/>
      <c r="I71" s="12" t="n"/>
      <c r="J71" s="12" t="n"/>
      <c r="K71" s="12" t="n"/>
      <c r="L71" s="12" t="n"/>
      <c r="M71" s="12" t="n"/>
      <c r="N71" s="12" t="n"/>
      <c r="O71" s="12" t="n"/>
      <c r="P71" s="12" t="n"/>
      <c r="Q71" s="12" t="n"/>
      <c r="R71" s="12" t="n"/>
      <c r="S71" s="12" t="n"/>
      <c r="T71" s="12" t="n"/>
      <c r="U71" s="12" t="n"/>
      <c r="V71" s="12" t="n"/>
      <c r="W71" s="12" t="n"/>
      <c r="X71" s="12" t="n"/>
      <c r="Y71" s="12" t="n"/>
      <c r="Z71" s="12" t="n"/>
      <c r="AA71" s="12" t="n"/>
      <c r="AB71" s="12" t="n"/>
      <c r="AC71" s="12" t="n"/>
      <c r="AD71" s="12" t="n"/>
      <c r="AE71" s="12" t="n"/>
      <c r="AF71" s="12" t="n"/>
      <c r="AG71" s="12" t="n"/>
      <c r="AH71" s="12" t="n"/>
      <c r="AI71" s="12" t="n"/>
      <c r="AJ71" s="12" t="n"/>
      <c r="AK71" s="12" t="n"/>
      <c r="AL71" s="12" t="n"/>
      <c r="AM71" s="12" t="n"/>
      <c r="AN71" s="12" t="n"/>
      <c r="AO71" s="12" t="n"/>
      <c r="AP71" s="12" t="n"/>
      <c r="AQ71" s="12" t="n"/>
      <c r="AR71" s="12" t="n"/>
      <c r="AS71" s="12" t="n"/>
      <c r="AT71" s="12" t="n"/>
      <c r="AU71" s="12" t="n"/>
      <c r="AV71" s="12" t="n"/>
      <c r="AW71" s="12" t="n"/>
      <c r="AX71" s="12" t="n"/>
      <c r="AY71" s="12" t="n"/>
      <c r="AZ71" s="12" t="n"/>
      <c r="BA71" s="12" t="n"/>
      <c r="BB71" s="12" t="n"/>
      <c r="BC71" s="12" t="n"/>
      <c r="BD71" s="12" t="n"/>
      <c r="BE71" s="12" t="n"/>
      <c r="BF71" s="12" t="n"/>
      <c r="BG71" s="12" t="n"/>
      <c r="BH71" s="12" t="n"/>
      <c r="BI71" s="12" t="n"/>
      <c r="BJ71" s="12" t="n"/>
      <c r="BK71" s="12" t="n"/>
      <c r="BL71" s="12" t="n"/>
      <c r="BM71" s="12" t="n"/>
      <c r="BN71" s="12" t="n"/>
      <c r="BO71" s="12" t="n"/>
      <c r="BP71" s="12" t="n"/>
      <c r="BQ71" s="12" t="n"/>
      <c r="BR71" s="12" t="n"/>
      <c r="BS71" s="12" t="n"/>
      <c r="BT71" s="12" t="n"/>
      <c r="BU71" s="12" t="n"/>
      <c r="BV71" s="12" t="n"/>
      <c r="BW71" s="12" t="n"/>
      <c r="BX71" s="12" t="n"/>
      <c r="BY71" s="12" t="n"/>
      <c r="BZ71" s="12" t="n"/>
      <c r="CA71" s="12" t="n"/>
      <c r="CB71" s="12" t="n"/>
      <c r="CC71" s="12" t="n"/>
      <c r="CD71" s="12" t="n"/>
      <c r="CE71" s="12" t="n"/>
      <c r="CF71" s="12" t="n"/>
      <c r="CG71" s="12" t="n"/>
      <c r="CH71" s="12" t="n"/>
      <c r="CI71" s="12" t="n"/>
      <c r="CJ71" s="12" t="n"/>
      <c r="CK71" s="12" t="n"/>
      <c r="CL71" s="12" t="n"/>
      <c r="CM71" s="12" t="n"/>
      <c r="CN71" s="12" t="n"/>
      <c r="CO71" s="12" t="n"/>
      <c r="CP71" s="12" t="n"/>
      <c r="CQ71" s="12" t="n"/>
      <c r="CR71" s="12" t="n"/>
      <c r="CS71" s="12" t="n"/>
      <c r="CT71" s="12" t="n"/>
      <c r="CU71" s="12" t="n"/>
      <c r="CV71" s="12" t="n"/>
      <c r="CW71" s="12" t="n"/>
      <c r="CX71" s="12" t="n"/>
      <c r="CY71" s="12" t="n"/>
    </row>
    <row r="72" collapsed="1" customFormat="1" s="32">
      <c r="A72" s="30" t="n"/>
      <c r="B72" s="3" t="n"/>
      <c r="C72" s="33" t="inlineStr">
        <is>
          <t>Operating Profit - EBIT</t>
        </is>
      </c>
      <c r="D72" s="35" t="n"/>
      <c r="E72" s="35" t="n"/>
      <c r="F72" s="35" t="n"/>
      <c r="G72" s="35" t="n"/>
      <c r="H72" s="35" t="n"/>
      <c r="I72" s="35">
        <f>SUM(I68,I69)</f>
        <v>237.514</v>
      </c>
      <c r="J72" s="35">
        <f>SUM(J68,J69)</f>
        <v>106.619</v>
      </c>
      <c r="K72" s="35">
        <f>SUM(K68,K69)</f>
        <v>706.701</v>
      </c>
      <c r="L72" s="35">
        <f>SUM(L68,L69)</f>
        <v>169.615</v>
      </c>
      <c r="M72" s="35">
        <f>SUM(I72:L72)</f>
        <v>1220.449</v>
      </c>
      <c r="N72" s="35">
        <f>SUM(N68,N69)</f>
        <v>147.348</v>
      </c>
      <c r="O72" s="35">
        <f>SUM(O68,O69)</f>
        <v>128.296</v>
      </c>
      <c r="P72" s="35">
        <f>SUM(P68,P69)</f>
        <v>341.886</v>
      </c>
      <c r="Q72" s="35">
        <f>SUM(Q68,Q69)</f>
        <v>642.876</v>
      </c>
      <c r="R72" s="35">
        <f>SUM(N72:Q72)</f>
        <v>1260.406</v>
      </c>
      <c r="S72" s="35">
        <f>SUM(S68,S69)</f>
        <v>283.555</v>
      </c>
      <c r="T72" s="35">
        <f>SUM(T68,T69)</f>
        <v>288.244</v>
      </c>
      <c r="U72" s="35">
        <f>SUM(U68,U69)</f>
        <v>180.437</v>
      </c>
      <c r="V72" s="35">
        <f>SUM(V68,V69)</f>
        <v>248.366</v>
      </c>
      <c r="W72" s="35">
        <f>SUM(S72:V72)</f>
        <v>1000.602</v>
      </c>
      <c r="X72" s="35">
        <f>SUM(X68,X69)</f>
        <v>433.263</v>
      </c>
      <c r="Y72" s="35">
        <f>SUM(Y68,Y69)</f>
        <v>222.893</v>
      </c>
      <c r="Z72" s="35">
        <f>SUM(Z68,Z69)</f>
        <v>450.968</v>
      </c>
      <c r="AA72" s="35">
        <f>SUM(AA68,AA69)</f>
        <v>20.1570000000002</v>
      </c>
      <c r="AB72" s="35">
        <f>SUM(X72:AA72)</f>
        <v>1127.281</v>
      </c>
      <c r="AC72" s="35">
        <f>SUM(AC68,AC69)</f>
        <v>919.312</v>
      </c>
      <c r="AD72" s="35">
        <f>SUM(AD68,AD69)</f>
        <v>-4.73400000000004</v>
      </c>
      <c r="AE72" s="35">
        <f>SUM(AE68,AE69)</f>
        <v>198.771</v>
      </c>
      <c r="AF72" s="35">
        <f>SUM(AF68,AF69)</f>
        <v>997.428</v>
      </c>
      <c r="AG72" s="35">
        <f>SUM(AC72:AF72)</f>
        <v>2110.777</v>
      </c>
      <c r="AH72" s="35">
        <f>SUM(AH68,AH69)</f>
        <v>-166.715</v>
      </c>
      <c r="AI72" s="35">
        <f>SUM(AI68,AI69)</f>
        <v>345.324</v>
      </c>
      <c r="AJ72" s="35">
        <f>SUM(AJ68,AJ69)</f>
        <v>463.937958439629</v>
      </c>
      <c r="AK72" s="35">
        <f>SUM(AK68,AK69)</f>
        <v>498.606569305098</v>
      </c>
      <c r="AL72" s="35">
        <f>SUM(AL68,AL69)</f>
        <v>1141.15352774473</v>
      </c>
      <c r="AM72" s="35">
        <f>SUM(AM68,AM69)</f>
        <v>403.233199567473</v>
      </c>
      <c r="AN72" s="35">
        <f>SUM(AN68,AN69)</f>
        <v>400.736579042104</v>
      </c>
      <c r="AO72" s="35">
        <f>SUM(AO68,AO69)</f>
        <v>531.339688971517</v>
      </c>
      <c r="AP72" s="35">
        <f>SUM(AP68,AP69)</f>
        <v>571.045017193178</v>
      </c>
      <c r="AQ72" s="35">
        <f>SUM(AQ68,AQ69)</f>
        <v>1906.35448477427</v>
      </c>
      <c r="AR72" s="35">
        <f>SUM(AR68,AR69)</f>
        <v>459.79946892407</v>
      </c>
      <c r="AS72" s="35">
        <f>SUM(AS68,AS69)</f>
        <v>456.952618037533</v>
      </c>
      <c r="AT72" s="35">
        <f>SUM(AT68,AT69)</f>
        <v>605.8769641722</v>
      </c>
      <c r="AU72" s="35">
        <f>SUM(AU68,AU69)</f>
        <v>651.152226351403</v>
      </c>
      <c r="AV72" s="35">
        <f>SUM(AV68,AV69)</f>
        <v>2173.78127748521</v>
      </c>
      <c r="AW72" s="35">
        <f>SUM(AW68,AW69)</f>
        <v>522.001957660153</v>
      </c>
      <c r="AX72" s="35">
        <f>SUM(AX68,AX69)</f>
        <v>518.769979729826</v>
      </c>
      <c r="AY72" s="35">
        <f>SUM(AY68,AY69)</f>
        <v>687.841075891514</v>
      </c>
      <c r="AZ72" s="35">
        <f>SUM(AZ68,AZ69)</f>
        <v>739.241255944839</v>
      </c>
      <c r="BA72" s="35">
        <f>SUM(BA68,BA69)</f>
        <v>2467.85426922633</v>
      </c>
      <c r="BB72" s="35">
        <f>SUM(BB68,BB69)</f>
        <v>590.009299752551</v>
      </c>
      <c r="BC72" s="35">
        <f>SUM(BC68,BC69)</f>
        <v>586.356253997635</v>
      </c>
      <c r="BD72" s="35">
        <f>SUM(BD68,BD69)</f>
        <v>777.454232828776</v>
      </c>
      <c r="BE72" s="35">
        <f>SUM(BE68,BE69)</f>
        <v>835.550919623504</v>
      </c>
      <c r="BF72" s="35">
        <f>SUM(BF68,BF69)</f>
        <v>2789.37070620247</v>
      </c>
      <c r="BG72" s="35" t="n"/>
      <c r="BH72" s="35" t="n"/>
      <c r="BI72" s="35" t="n"/>
      <c r="BJ72" s="35" t="n"/>
      <c r="BK72" s="35" t="n"/>
      <c r="BL72" s="35" t="n"/>
      <c r="BM72" s="35" t="n"/>
      <c r="BN72" s="35" t="n"/>
      <c r="BO72" s="35" t="n"/>
      <c r="BP72" s="35" t="n"/>
      <c r="BQ72" s="35" t="n"/>
      <c r="BR72" s="35" t="n"/>
      <c r="BS72" s="35" t="n"/>
      <c r="BT72" s="35" t="n"/>
      <c r="BU72" s="35" t="n"/>
      <c r="BV72" s="35" t="n"/>
      <c r="BW72" s="35" t="n"/>
      <c r="BX72" s="35" t="n"/>
      <c r="BY72" s="35" t="n"/>
      <c r="BZ72" s="35" t="n"/>
      <c r="CA72" s="35" t="n"/>
      <c r="CB72" s="35" t="n"/>
      <c r="CC72" s="35" t="n"/>
      <c r="CD72" s="35" t="n"/>
      <c r="CE72" s="35" t="n"/>
      <c r="CF72" s="35" t="n"/>
      <c r="CG72" s="35" t="n"/>
      <c r="CH72" s="35" t="n"/>
      <c r="CI72" s="35" t="n"/>
      <c r="CJ72" s="35" t="n"/>
      <c r="CK72" s="35" t="n"/>
      <c r="CL72" s="35" t="n"/>
      <c r="CM72" s="35" t="n"/>
      <c r="CN72" s="35" t="n"/>
      <c r="CO72" s="35" t="n"/>
      <c r="CP72" s="35" t="n"/>
      <c r="CQ72" s="35" t="n"/>
      <c r="CR72" s="35" t="n"/>
      <c r="CS72" s="35" t="n"/>
      <c r="CT72" s="35" t="n"/>
      <c r="CU72" s="35" t="n"/>
      <c r="CV72" s="35" t="n"/>
      <c r="CW72" s="35" t="n"/>
      <c r="CX72" s="35" t="n"/>
      <c r="CY72" s="35" t="n"/>
    </row>
    <row r="73">
      <c r="C73" s="14" t="inlineStr">
        <is>
          <t>Interest Expense</t>
        </is>
      </c>
      <c r="D73" s="46" t="n"/>
      <c r="E73" s="46" t="n"/>
      <c r="F73" s="46" t="n"/>
      <c r="G73" s="46" t="n"/>
      <c r="H73" s="12" t="n"/>
      <c r="I73" s="46">
        <f>'Inputs (2)'!D8</f>
        <v>-164.756</v>
      </c>
      <c r="J73" s="46">
        <f>'Inputs (2)'!E8</f>
        <v>-211.669</v>
      </c>
      <c r="K73" s="46">
        <f>'Inputs (2)'!F8</f>
        <v>-193.237</v>
      </c>
      <c r="L73" s="46">
        <f>'Inputs (2)'!G8</f>
        <v>-238.999</v>
      </c>
      <c r="M73" s="12">
        <f>'Inputs (2)'!H8</f>
        <v>-808.661</v>
      </c>
      <c r="N73" s="46">
        <f>'Inputs (2)'!I8</f>
        <v>-250.51</v>
      </c>
      <c r="O73" s="46">
        <f>'Inputs (2)'!J8</f>
        <v>-291.34</v>
      </c>
      <c r="P73" s="46">
        <f>'Inputs (2)'!K8</f>
        <v>-165.812</v>
      </c>
      <c r="Q73" s="46">
        <f>'Inputs (2)'!L8</f>
        <v>-468.975</v>
      </c>
      <c r="R73" s="12">
        <f>'Inputs (2)'!M8</f>
        <v>-1176.637</v>
      </c>
      <c r="S73" s="46">
        <f>'Inputs (2)'!N8</f>
        <v>-272.035</v>
      </c>
      <c r="T73" s="46">
        <f>'Inputs (2)'!O8</f>
        <v>-497.689</v>
      </c>
      <c r="U73" s="46">
        <f>'Inputs (2)'!P8</f>
        <v>-194.621</v>
      </c>
      <c r="V73" s="46">
        <f>'Inputs (2)'!Q8</f>
        <v>-215.024</v>
      </c>
      <c r="W73" s="12">
        <f>'Inputs (2)'!R8</f>
        <v>-1179.369</v>
      </c>
      <c r="X73" s="46">
        <f>'Inputs (2)'!S8</f>
        <v>-258.839</v>
      </c>
      <c r="Y73" s="46">
        <f>'Inputs (2)'!T8</f>
        <v>-255.757</v>
      </c>
      <c r="Z73" s="46">
        <f>'Inputs (2)'!U8</f>
        <v>-243.887</v>
      </c>
      <c r="AA73" s="46">
        <f>'Inputs (2)'!V8</f>
        <v>-717.696</v>
      </c>
      <c r="AB73" s="12">
        <f>'Inputs (2)'!W8</f>
        <v>-1476.179</v>
      </c>
      <c r="AC73" s="46">
        <f>'Inputs (2)'!X8</f>
        <v>-1008.815</v>
      </c>
      <c r="AD73" s="46">
        <f>'Inputs (2)'!Y8</f>
        <v>-879.279</v>
      </c>
      <c r="AE73" s="46">
        <f>'Inputs (2)'!Z8</f>
        <v>-869.78</v>
      </c>
      <c r="AF73" s="46">
        <f>'Inputs (2)'!AA8</f>
        <v>-783.788</v>
      </c>
      <c r="AG73" s="12">
        <f>'Inputs (2)'!AB8</f>
        <v>-3541.662</v>
      </c>
      <c r="AH73" s="12">
        <f>'Inputs (2)'!AC8</f>
        <v>-867.481</v>
      </c>
      <c r="AI73" s="12">
        <f>'Inputs (2)'!AD8</f>
        <v>-1018.168</v>
      </c>
      <c r="AJ73" s="12">
        <f>IF(Control!$E$9="","",-AI91*Control!$E$9/4)</f>
        <v>-806.724270796454</v>
      </c>
      <c r="AK73" s="12">
        <f>IF(Control!$E$9="","",-AJ91*Control!$E$9/4)</f>
        <v>-806.724270796454</v>
      </c>
      <c r="AL73" s="12">
        <f>SUM(AH73:AK73)</f>
        <v>-3499.09754159291</v>
      </c>
      <c r="AM73" s="12">
        <f>IF(Control!$E$9="","",-AL91*Control!$E$9/4)</f>
        <v>-806.724270796454</v>
      </c>
      <c r="AN73" s="12">
        <f>IF(Control!$E$9="","",-AM91*Control!$E$9/4)</f>
        <v>-806.724270796454</v>
      </c>
      <c r="AO73" s="12">
        <f>IF(Control!$E$9="","",-AN91*Control!$E$9/4)</f>
        <v>-806.724270796454</v>
      </c>
      <c r="AP73" s="12">
        <f>IF(Control!$E$9="","",-AO91*Control!$E$9/4)</f>
        <v>-806.724270796454</v>
      </c>
      <c r="AQ73" s="12">
        <f>SUM(AM73:AP73)</f>
        <v>-3226.89708318582</v>
      </c>
      <c r="AR73" s="12">
        <f>IF(Control!$E$9="","",-AQ91*Control!$E$9/4)</f>
        <v>-806.724270796454</v>
      </c>
      <c r="AS73" s="12">
        <f>IF(Control!$E$9="","",-AR91*Control!$E$9/4)</f>
        <v>-806.724270796454</v>
      </c>
      <c r="AT73" s="12">
        <f>IF(Control!$E$9="","",-AS91*Control!$E$9/4)</f>
        <v>-806.724270796454</v>
      </c>
      <c r="AU73" s="12">
        <f>IF(Control!$E$9="","",-AT91*Control!$E$9/4)</f>
        <v>-806.724270796454</v>
      </c>
      <c r="AV73" s="12">
        <f>SUM(AR73:AU73)</f>
        <v>-3226.89708318582</v>
      </c>
      <c r="AW73" s="12">
        <f>IF(Control!$E$9="","",-AV91*Control!$E$9/4)</f>
        <v>-806.724270796454</v>
      </c>
      <c r="AX73" s="12">
        <f>IF(Control!$E$9="","",-AW91*Control!$E$9/4)</f>
        <v>-806.724270796454</v>
      </c>
      <c r="AY73" s="12">
        <f>IF(Control!$E$9="","",-AX91*Control!$E$9/4)</f>
        <v>-806.724270796454</v>
      </c>
      <c r="AZ73" s="12">
        <f>IF(Control!$E$9="","",-AY91*Control!$E$9/4)</f>
        <v>-806.724270796454</v>
      </c>
      <c r="BA73" s="12">
        <f>SUM(AW73:AZ73)</f>
        <v>-3226.89708318582</v>
      </c>
      <c r="BB73" s="12">
        <f>IF(Control!$E$9="","",-BA91*Control!$E$9/4)</f>
        <v>-806.724270796454</v>
      </c>
      <c r="BC73" s="12">
        <f>IF(Control!$E$9="","",-BB91*Control!$E$9/4)</f>
        <v>-806.724270796454</v>
      </c>
      <c r="BD73" s="12">
        <f>IF(Control!$E$9="","",-BC91*Control!$E$9/4)</f>
        <v>-806.724270796454</v>
      </c>
      <c r="BE73" s="12">
        <f>IF(Control!$E$9="","",-BD91*Control!$E$9/4)</f>
        <v>-806.724270796454</v>
      </c>
      <c r="BF73" s="12">
        <f>SUM(BB73:BE73)</f>
        <v>-3226.89708318582</v>
      </c>
      <c r="BG73" s="12" t="n"/>
      <c r="BH73" s="12" t="n"/>
      <c r="BI73" s="12" t="n"/>
      <c r="BJ73" s="12" t="n"/>
      <c r="BK73" s="12" t="n"/>
      <c r="BL73" s="12" t="n"/>
      <c r="BM73" s="12" t="n"/>
      <c r="BN73" s="12" t="n"/>
      <c r="BO73" s="12" t="n"/>
      <c r="BP73" s="12" t="n"/>
      <c r="BQ73" s="12" t="n"/>
      <c r="BR73" s="12" t="n"/>
      <c r="BS73" s="12" t="n"/>
      <c r="BT73" s="12" t="n"/>
      <c r="BU73" s="12" t="n"/>
      <c r="BV73" s="12" t="n"/>
      <c r="BW73" s="12" t="n"/>
      <c r="BX73" s="12" t="n"/>
      <c r="BY73" s="12" t="n"/>
      <c r="BZ73" s="12" t="n"/>
      <c r="CA73" s="12" t="n"/>
      <c r="CB73" s="12" t="n"/>
      <c r="CC73" s="12" t="n"/>
      <c r="CD73" s="12" t="n"/>
      <c r="CE73" s="12" t="n"/>
      <c r="CF73" s="12" t="n"/>
      <c r="CG73" s="12" t="n"/>
      <c r="CH73" s="12" t="n"/>
      <c r="CI73" s="12" t="n"/>
      <c r="CJ73" s="12" t="n"/>
      <c r="CK73" s="12" t="n"/>
      <c r="CL73" s="12" t="n"/>
      <c r="CM73" s="12" t="n"/>
      <c r="CN73" s="12" t="n"/>
      <c r="CO73" s="12" t="n"/>
      <c r="CP73" s="12" t="n"/>
      <c r="CQ73" s="12" t="n"/>
      <c r="CR73" s="12" t="n"/>
      <c r="CS73" s="12" t="n"/>
      <c r="CT73" s="12" t="n"/>
      <c r="CU73" s="12" t="n"/>
      <c r="CV73" s="12" t="n"/>
      <c r="CW73" s="12" t="n"/>
      <c r="CX73" s="12" t="n"/>
      <c r="CY73" s="12" t="n"/>
    </row>
    <row r="74" outlineLevel="1">
      <c r="C74" s="50" t="inlineStr">
        <is>
          <t>% of Debt</t>
        </is>
      </c>
      <c r="D74" s="53" t="n"/>
      <c r="E74" s="53" t="n"/>
      <c r="F74" s="53" t="n"/>
      <c r="G74" s="53" t="n"/>
      <c r="H74" s="12" t="n"/>
      <c r="I74" s="53">
        <f>IFERROR(-I73/SUM(I211+I216),"")</f>
        <v>0.043859530029307</v>
      </c>
      <c r="J74" s="53">
        <f>IFERROR(-J73/SUM(J211+J216),"")</f>
        <v>0.055902056451123</v>
      </c>
      <c r="K74" s="53">
        <f>IFERROR(-K73/SUM(K211+K216),"")</f>
        <v>0.0447062296567187</v>
      </c>
      <c r="L74" s="53">
        <f>IFERROR(-L73/SUM(L211+L216),"")</f>
        <v>0.0507334732366011</v>
      </c>
      <c r="M74" s="12" t="n"/>
      <c r="N74" s="53">
        <f>IFERROR(-N73/SUM(N211+N216),"")</f>
        <v>0.0518836320406437</v>
      </c>
      <c r="O74" s="53">
        <f>IFERROR(-O73/SUM(O211+O216),"")</f>
        <v>0.0521588806697763</v>
      </c>
      <c r="P74" s="53">
        <f>IFERROR(-P73/SUM(P211+P216),"")</f>
        <v>0.02894364392608</v>
      </c>
      <c r="Q74" s="53">
        <f>IFERROR(-Q73/SUM(Q211+Q216),"")</f>
        <v>0.0804386869305208</v>
      </c>
      <c r="R74" s="12" t="n"/>
      <c r="S74" s="53">
        <f>IFERROR(-S73/SUM(S211+S216),"")</f>
        <v>0.0444446441291604</v>
      </c>
      <c r="T74" s="53">
        <f>IFERROR(-T73/SUM(T211+T216),"")</f>
        <v>0.0744892984934629</v>
      </c>
      <c r="U74" s="53">
        <f>IFERROR(-U73/SUM(U211+U216),"")</f>
        <v>0.031667193853908</v>
      </c>
      <c r="V74" s="53">
        <f>IFERROR(-V73/SUM(V211+V216),"")</f>
        <v>0.0338522700687707</v>
      </c>
      <c r="W74" s="12" t="n"/>
      <c r="X74" s="53">
        <f>IFERROR(-X73/SUM(X211+X216),"")</f>
        <v>0.0399862880673745</v>
      </c>
      <c r="Y74" s="53">
        <f>IFERROR(-Y73/SUM(Y211+Y216),"")</f>
        <v>0.0310170036442011</v>
      </c>
      <c r="Z74" s="53">
        <f>IFERROR(-Z73/SUM(Z211+Z216),"")</f>
        <v>0.0293440256036962</v>
      </c>
      <c r="AA74" s="53">
        <f>IFERROR(-AA73/SUM(AA211+AA216),"")</f>
        <v>0.0265373638699967</v>
      </c>
      <c r="AB74" s="12" t="n"/>
      <c r="AC74" s="53">
        <f>IFERROR(-AC73/SUM(AC211+AC216),"")</f>
        <v>0.0388120996383503</v>
      </c>
      <c r="AD74" s="53">
        <f>IFERROR(-AD73/SUM(AD211+AD216),"")</f>
        <v>0.0358838286253847</v>
      </c>
      <c r="AE74" s="53">
        <f>IFERROR(-AE73/SUM(AE211+AE216),"")</f>
        <v>0.0350309617106167</v>
      </c>
      <c r="AF74" s="53">
        <f>IFERROR(-AF73/SUM(AF211+AF216),"")</f>
        <v>0.0319636194773571</v>
      </c>
      <c r="AG74" s="12" t="n"/>
      <c r="AH74" s="53">
        <f>IFERROR(-AH73/SUM(AH211+AH216),"")</f>
        <v>0.0366163830055402</v>
      </c>
      <c r="AI74" s="53">
        <f>IFERROR(-AI73/SUM(AI211+AI216),"")</f>
        <v>0.0433419138716916</v>
      </c>
      <c r="AJ74" s="11">
        <f>IFERROR(Control!$E$9,0)</f>
        <v>0.13736426154844</v>
      </c>
      <c r="AK74" s="11">
        <f>IFERROR(Control!$E$9,0)</f>
        <v>0.13736426154844</v>
      </c>
      <c r="AL74" s="12" t="n"/>
      <c r="AM74" s="11">
        <f>IFERROR(Control!$E$9,0)</f>
        <v>0.13736426154844</v>
      </c>
      <c r="AN74" s="11">
        <f>IFERROR(Control!$E$9,0)</f>
        <v>0.13736426154844</v>
      </c>
      <c r="AO74" s="11">
        <f>IFERROR(Control!$E$9,0)</f>
        <v>0.13736426154844</v>
      </c>
      <c r="AP74" s="11">
        <f>IFERROR(Control!$E$9,0)</f>
        <v>0.13736426154844</v>
      </c>
      <c r="AQ74" s="12" t="n"/>
      <c r="AR74" s="11">
        <f>IFERROR(Control!$E$9,0)</f>
        <v>0.13736426154844</v>
      </c>
      <c r="AS74" s="11">
        <f>IFERROR(Control!$E$9,0)</f>
        <v>0.13736426154844</v>
      </c>
      <c r="AT74" s="11">
        <f>IFERROR(Control!$E$9,0)</f>
        <v>0.13736426154844</v>
      </c>
      <c r="AU74" s="11">
        <f>IFERROR(Control!$E$9,0)</f>
        <v>0.13736426154844</v>
      </c>
      <c r="AV74" s="12" t="n"/>
      <c r="AW74" s="11">
        <f>IFERROR(Control!$E$9,0)</f>
        <v>0.13736426154844</v>
      </c>
      <c r="AX74" s="11">
        <f>IFERROR(Control!$E$9,0)</f>
        <v>0.13736426154844</v>
      </c>
      <c r="AY74" s="11">
        <f>IFERROR(Control!$E$9,0)</f>
        <v>0.13736426154844</v>
      </c>
      <c r="AZ74" s="11">
        <f>IFERROR(Control!$E$9,0)</f>
        <v>0.13736426154844</v>
      </c>
      <c r="BA74" s="12" t="n"/>
      <c r="BB74" s="11">
        <f>IFERROR(Control!$E$9,0)</f>
        <v>0.13736426154844</v>
      </c>
      <c r="BC74" s="11">
        <f>IFERROR(Control!$E$9,0)</f>
        <v>0.13736426154844</v>
      </c>
      <c r="BD74" s="11">
        <f>IFERROR(Control!$E$9,0)</f>
        <v>0.13736426154844</v>
      </c>
      <c r="BE74" s="11">
        <f>IFERROR(Control!$E$9,0)</f>
        <v>0.13736426154844</v>
      </c>
      <c r="BF74" s="12" t="n"/>
      <c r="BG74" s="11" t="n"/>
      <c r="BH74" s="11" t="n"/>
      <c r="BI74" s="11" t="n"/>
      <c r="BJ74" s="11" t="n"/>
      <c r="BK74" s="12" t="n"/>
      <c r="BL74" s="11" t="n"/>
      <c r="BM74" s="11" t="n"/>
      <c r="BN74" s="11" t="n"/>
      <c r="BO74" s="11" t="n"/>
      <c r="BP74" s="12" t="n"/>
      <c r="BQ74" s="11" t="n"/>
      <c r="BR74" s="11" t="n"/>
      <c r="BS74" s="11" t="n"/>
      <c r="BT74" s="11" t="n"/>
      <c r="BU74" s="12" t="n"/>
      <c r="BV74" s="11" t="n"/>
      <c r="BW74" s="11" t="n"/>
      <c r="BX74" s="11" t="n"/>
      <c r="BY74" s="11" t="n"/>
      <c r="BZ74" s="12" t="n"/>
      <c r="CA74" s="11" t="n"/>
      <c r="CB74" s="11" t="n"/>
      <c r="CC74" s="11" t="n"/>
      <c r="CD74" s="11" t="n"/>
      <c r="CE74" s="12" t="n"/>
      <c r="CF74" s="11" t="n"/>
      <c r="CG74" s="11" t="n"/>
      <c r="CH74" s="11" t="n"/>
      <c r="CI74" s="11" t="n"/>
      <c r="CJ74" s="12" t="n"/>
      <c r="CK74" s="11" t="n"/>
      <c r="CL74" s="11" t="n"/>
      <c r="CM74" s="11" t="n"/>
      <c r="CN74" s="11" t="n"/>
      <c r="CO74" s="12" t="n"/>
      <c r="CP74" s="11" t="n"/>
      <c r="CQ74" s="11" t="n"/>
      <c r="CR74" s="11" t="n"/>
      <c r="CS74" s="11" t="n"/>
      <c r="CT74" s="12" t="n"/>
      <c r="CU74" s="11" t="n"/>
      <c r="CV74" s="11" t="n"/>
      <c r="CW74" s="11" t="n"/>
      <c r="CX74" s="11" t="n"/>
      <c r="CY74" s="12" t="n"/>
    </row>
    <row r="75" hidden="1" outlineLevel="1">
      <c r="C75" s="50" t="inlineStr">
        <is>
          <t>%CDI</t>
        </is>
      </c>
      <c r="D75" s="11" t="n"/>
      <c r="E75" s="11" t="n"/>
      <c r="F75" s="11" t="n"/>
      <c r="G75" s="11" t="n"/>
      <c r="H75" s="12" t="n"/>
      <c r="I75" s="11" t="n"/>
      <c r="J75" s="11" t="n"/>
      <c r="K75" s="11" t="n"/>
      <c r="L75" s="11" t="n"/>
      <c r="M75" s="12" t="n"/>
      <c r="N75" s="11" t="n"/>
      <c r="O75" s="11" t="n"/>
      <c r="P75" s="11" t="n"/>
      <c r="Q75" s="11" t="n"/>
      <c r="R75" s="12" t="n"/>
      <c r="S75" s="11" t="n"/>
      <c r="T75" s="11" t="n"/>
      <c r="U75" s="11" t="n"/>
      <c r="V75" s="11" t="n"/>
      <c r="W75" s="12" t="n"/>
      <c r="X75" s="11" t="n"/>
      <c r="Y75" s="11" t="n"/>
      <c r="Z75" s="11" t="n"/>
      <c r="AA75" s="11" t="n"/>
      <c r="AB75" s="12" t="n"/>
      <c r="AC75" s="11" t="n"/>
      <c r="AD75" s="11" t="n"/>
      <c r="AE75" s="11" t="n"/>
      <c r="AF75" s="11" t="n"/>
      <c r="AG75" s="12" t="n"/>
      <c r="AH75" s="11" t="n"/>
      <c r="AI75" s="11" t="n"/>
      <c r="AJ75" s="11" t="n"/>
      <c r="AK75" s="11" t="n"/>
      <c r="AL75" s="12" t="n"/>
      <c r="AM75" s="11" t="n"/>
      <c r="AN75" s="11" t="n"/>
      <c r="AO75" s="11" t="n"/>
      <c r="AP75" s="11" t="n"/>
      <c r="AQ75" s="12" t="n"/>
      <c r="AR75" s="11" t="n"/>
      <c r="AS75" s="11" t="n"/>
      <c r="AT75" s="11" t="n"/>
      <c r="AU75" s="11" t="n"/>
      <c r="AV75" s="12" t="n"/>
      <c r="AW75" s="11" t="n"/>
      <c r="AX75" s="11" t="n"/>
      <c r="AY75" s="11" t="n"/>
      <c r="AZ75" s="11" t="n"/>
      <c r="BA75" s="12" t="n"/>
      <c r="BB75" s="11" t="n"/>
      <c r="BC75" s="11" t="n"/>
      <c r="BD75" s="11" t="n"/>
      <c r="BE75" s="11" t="n"/>
      <c r="BF75" s="12" t="n"/>
      <c r="BG75" s="11" t="n"/>
      <c r="BH75" s="11" t="n"/>
      <c r="BI75" s="11" t="n"/>
      <c r="BJ75" s="11" t="n"/>
      <c r="BK75" s="12" t="n"/>
      <c r="BL75" s="11" t="n"/>
      <c r="BM75" s="11" t="n"/>
      <c r="BN75" s="11" t="n"/>
      <c r="BO75" s="11" t="n"/>
      <c r="BP75" s="12" t="n"/>
      <c r="BQ75" s="11" t="n"/>
      <c r="BR75" s="11" t="n"/>
      <c r="BS75" s="11" t="n"/>
      <c r="BT75" s="11" t="n"/>
      <c r="BU75" s="12" t="n"/>
      <c r="BV75" s="11" t="n"/>
      <c r="BW75" s="11" t="n"/>
      <c r="BX75" s="11" t="n"/>
      <c r="BY75" s="11" t="n"/>
      <c r="BZ75" s="12" t="n"/>
      <c r="CA75" s="11" t="n"/>
      <c r="CB75" s="11" t="n"/>
      <c r="CC75" s="11" t="n"/>
      <c r="CD75" s="11" t="n"/>
      <c r="CE75" s="12" t="n"/>
      <c r="CF75" s="11" t="n"/>
      <c r="CG75" s="11" t="n"/>
      <c r="CH75" s="11" t="n"/>
      <c r="CI75" s="11" t="n"/>
      <c r="CJ75" s="12" t="n"/>
      <c r="CK75" s="11" t="n"/>
      <c r="CL75" s="11" t="n"/>
      <c r="CM75" s="11" t="n"/>
      <c r="CN75" s="11" t="n"/>
      <c r="CO75" s="12" t="n"/>
      <c r="CP75" s="11" t="n"/>
      <c r="CQ75" s="11" t="n"/>
      <c r="CR75" s="11" t="n"/>
      <c r="CS75" s="11" t="n"/>
      <c r="CT75" s="12" t="n"/>
      <c r="CU75" s="11" t="n"/>
      <c r="CV75" s="11" t="n"/>
      <c r="CW75" s="11" t="n"/>
      <c r="CX75" s="11" t="n"/>
      <c r="CY75" s="12" t="n"/>
    </row>
    <row r="76" hidden="1" outlineLevel="1">
      <c r="C76" s="57" t="n"/>
      <c r="D76" s="12" t="n"/>
      <c r="E76" s="12" t="n"/>
      <c r="F76" s="12" t="n"/>
      <c r="G76" s="12" t="n"/>
      <c r="H76" s="12" t="n"/>
      <c r="I76" s="12" t="n"/>
      <c r="J76" s="12" t="n"/>
      <c r="K76" s="12" t="n"/>
      <c r="L76" s="12" t="n"/>
      <c r="M76" s="12" t="n"/>
      <c r="N76" s="12" t="n"/>
      <c r="O76" s="12" t="n"/>
      <c r="P76" s="12" t="n"/>
      <c r="Q76" s="12" t="n"/>
      <c r="R76" s="12" t="n"/>
      <c r="S76" s="12" t="n"/>
      <c r="T76" s="12" t="n"/>
      <c r="U76" s="12" t="n"/>
      <c r="V76" s="12" t="n"/>
      <c r="W76" s="12" t="n"/>
      <c r="X76" s="12" t="n"/>
      <c r="Y76" s="12" t="n"/>
      <c r="Z76" s="12" t="n"/>
      <c r="AA76" s="12" t="n"/>
      <c r="AB76" s="12" t="n"/>
      <c r="AC76" s="12" t="n"/>
      <c r="AD76" s="12" t="n"/>
      <c r="AE76" s="12" t="n"/>
      <c r="AF76" s="12" t="n"/>
      <c r="AG76" s="12" t="n"/>
      <c r="AH76" s="12" t="n"/>
      <c r="AI76" s="12" t="n"/>
      <c r="AJ76" s="12" t="n"/>
      <c r="AK76" s="12" t="n"/>
      <c r="AL76" s="12" t="n"/>
      <c r="AM76" s="12" t="n"/>
      <c r="AN76" s="12" t="n"/>
      <c r="AO76" s="12" t="n"/>
      <c r="AP76" s="12" t="n"/>
      <c r="AQ76" s="12" t="n"/>
      <c r="AR76" s="12" t="n"/>
      <c r="AS76" s="12" t="n"/>
      <c r="AT76" s="12" t="n"/>
      <c r="AU76" s="12" t="n"/>
      <c r="AV76" s="12" t="n"/>
      <c r="AW76" s="12" t="n"/>
      <c r="AX76" s="12" t="n"/>
      <c r="AY76" s="12" t="n"/>
      <c r="AZ76" s="12" t="n"/>
      <c r="BA76" s="12" t="n"/>
      <c r="BB76" s="12" t="n"/>
      <c r="BC76" s="12" t="n"/>
      <c r="BD76" s="12" t="n"/>
      <c r="BE76" s="12" t="n"/>
      <c r="BF76" s="12" t="n"/>
      <c r="BG76" s="12" t="n"/>
      <c r="BH76" s="12" t="n"/>
      <c r="BI76" s="12" t="n"/>
      <c r="BJ76" s="12" t="n"/>
      <c r="BK76" s="12" t="n"/>
      <c r="BL76" s="12" t="n"/>
      <c r="BM76" s="12" t="n"/>
      <c r="BN76" s="12" t="n"/>
      <c r="BO76" s="12" t="n"/>
      <c r="BP76" s="12" t="n"/>
      <c r="BQ76" s="12" t="n"/>
      <c r="BR76" s="12" t="n"/>
      <c r="BS76" s="12" t="n"/>
      <c r="BT76" s="12" t="n"/>
      <c r="BU76" s="12" t="n"/>
      <c r="BV76" s="12" t="n"/>
      <c r="BW76" s="12" t="n"/>
      <c r="BX76" s="12" t="n"/>
      <c r="BY76" s="12" t="n"/>
      <c r="BZ76" s="12" t="n"/>
      <c r="CA76" s="12" t="n"/>
      <c r="CB76" s="12" t="n"/>
      <c r="CC76" s="12" t="n"/>
      <c r="CD76" s="12" t="n"/>
      <c r="CE76" s="12" t="n"/>
      <c r="CF76" s="12" t="n"/>
      <c r="CG76" s="12" t="n"/>
      <c r="CH76" s="12" t="n"/>
      <c r="CI76" s="12" t="n"/>
      <c r="CJ76" s="12" t="n"/>
      <c r="CK76" s="12" t="n"/>
      <c r="CL76" s="12" t="n"/>
      <c r="CM76" s="12" t="n"/>
      <c r="CN76" s="12" t="n"/>
      <c r="CO76" s="12" t="n"/>
      <c r="CP76" s="12" t="n"/>
      <c r="CQ76" s="12" t="n"/>
      <c r="CR76" s="12" t="n"/>
      <c r="CS76" s="12" t="n"/>
      <c r="CT76" s="12" t="n"/>
      <c r="CU76" s="12" t="n"/>
      <c r="CV76" s="12" t="n"/>
      <c r="CW76" s="12" t="n"/>
      <c r="CX76" s="12" t="n"/>
      <c r="CY76" s="12" t="n"/>
    </row>
    <row r="77" hidden="1" outlineLevel="1">
      <c r="C77" s="57" t="n"/>
      <c r="D77" s="12" t="n"/>
      <c r="E77" s="12" t="n"/>
      <c r="F77" s="12" t="n"/>
      <c r="G77" s="12" t="n"/>
      <c r="H77" s="12" t="n"/>
      <c r="I77" s="12" t="n"/>
      <c r="J77" s="12" t="n"/>
      <c r="K77" s="12" t="n"/>
      <c r="L77" s="12" t="n"/>
      <c r="M77" s="12" t="n"/>
      <c r="N77" s="12" t="n"/>
      <c r="O77" s="12" t="n"/>
      <c r="P77" s="12" t="n"/>
      <c r="Q77" s="12" t="n"/>
      <c r="R77" s="12" t="n"/>
      <c r="S77" s="12" t="n"/>
      <c r="T77" s="12" t="n"/>
      <c r="U77" s="12" t="n"/>
      <c r="V77" s="12" t="n"/>
      <c r="W77" s="12" t="n"/>
      <c r="X77" s="12" t="n"/>
      <c r="Y77" s="12" t="n"/>
      <c r="Z77" s="12" t="n"/>
      <c r="AA77" s="12" t="n"/>
      <c r="AB77" s="12" t="n"/>
      <c r="AC77" s="12" t="n"/>
      <c r="AD77" s="12" t="n"/>
      <c r="AE77" s="12" t="n"/>
      <c r="AF77" s="12" t="n"/>
      <c r="AG77" s="12" t="n"/>
      <c r="AH77" s="12" t="n"/>
      <c r="AI77" s="12" t="n"/>
      <c r="AJ77" s="12" t="n"/>
      <c r="AK77" s="12" t="n"/>
      <c r="AL77" s="12" t="n"/>
      <c r="AM77" s="12" t="n"/>
      <c r="AN77" s="12" t="n"/>
      <c r="AO77" s="12" t="n"/>
      <c r="AP77" s="12" t="n"/>
      <c r="AQ77" s="12" t="n"/>
      <c r="AR77" s="12" t="n"/>
      <c r="AS77" s="12" t="n"/>
      <c r="AT77" s="12" t="n"/>
      <c r="AU77" s="12" t="n"/>
      <c r="AV77" s="12" t="n"/>
      <c r="AW77" s="12" t="n"/>
      <c r="AX77" s="12" t="n"/>
      <c r="AY77" s="12" t="n"/>
      <c r="AZ77" s="12" t="n"/>
      <c r="BA77" s="12" t="n"/>
      <c r="BB77" s="12" t="n"/>
      <c r="BC77" s="12" t="n"/>
      <c r="BD77" s="12" t="n"/>
      <c r="BE77" s="12" t="n"/>
      <c r="BF77" s="12" t="n"/>
      <c r="BG77" s="12" t="n"/>
      <c r="BH77" s="12" t="n"/>
      <c r="BI77" s="12" t="n"/>
      <c r="BJ77" s="12" t="n"/>
      <c r="BK77" s="12" t="n"/>
      <c r="BL77" s="12" t="n"/>
      <c r="BM77" s="12" t="n"/>
      <c r="BN77" s="12" t="n"/>
      <c r="BO77" s="12" t="n"/>
      <c r="BP77" s="12" t="n"/>
      <c r="BQ77" s="12" t="n"/>
      <c r="BR77" s="12" t="n"/>
      <c r="BS77" s="12" t="n"/>
      <c r="BT77" s="12" t="n"/>
      <c r="BU77" s="12" t="n"/>
      <c r="BV77" s="12" t="n"/>
      <c r="BW77" s="12" t="n"/>
      <c r="BX77" s="12" t="n"/>
      <c r="BY77" s="12" t="n"/>
      <c r="BZ77" s="12" t="n"/>
      <c r="CA77" s="12" t="n"/>
      <c r="CB77" s="12" t="n"/>
      <c r="CC77" s="12" t="n"/>
      <c r="CD77" s="12" t="n"/>
      <c r="CE77" s="12" t="n"/>
      <c r="CF77" s="12" t="n"/>
      <c r="CG77" s="12" t="n"/>
      <c r="CH77" s="12" t="n"/>
      <c r="CI77" s="12" t="n"/>
      <c r="CJ77" s="12" t="n"/>
      <c r="CK77" s="12" t="n"/>
      <c r="CL77" s="12" t="n"/>
      <c r="CM77" s="12" t="n"/>
      <c r="CN77" s="12" t="n"/>
      <c r="CO77" s="12" t="n"/>
      <c r="CP77" s="12" t="n"/>
      <c r="CQ77" s="12" t="n"/>
      <c r="CR77" s="12" t="n"/>
      <c r="CS77" s="12" t="n"/>
      <c r="CT77" s="12" t="n"/>
      <c r="CU77" s="12" t="n"/>
      <c r="CV77" s="12" t="n"/>
      <c r="CW77" s="12" t="n"/>
      <c r="CX77" s="12" t="n"/>
      <c r="CY77" s="12" t="n"/>
    </row>
    <row r="78" hidden="1" outlineLevel="1">
      <c r="C78" s="57" t="inlineStr">
        <is>
          <t>RECEITA FINANCEIRA</t>
        </is>
      </c>
      <c r="D78" s="12" t="n"/>
      <c r="E78" s="12" t="n"/>
      <c r="F78" s="12" t="n"/>
      <c r="G78" s="12" t="n"/>
      <c r="H78" s="12" t="n"/>
      <c r="I78" s="12" t="n"/>
      <c r="J78" s="12" t="n"/>
      <c r="K78" s="12" t="n"/>
      <c r="L78" s="12" t="n"/>
      <c r="M78" s="12" t="n"/>
      <c r="N78" s="12" t="n"/>
      <c r="O78" s="12" t="n"/>
      <c r="P78" s="12" t="n"/>
      <c r="Q78" s="12" t="n"/>
      <c r="R78" s="12" t="n"/>
      <c r="S78" s="12" t="n"/>
      <c r="T78" s="12" t="n"/>
      <c r="U78" s="12" t="n"/>
      <c r="V78" s="12" t="n"/>
      <c r="W78" s="12" t="n"/>
      <c r="X78" s="12" t="n"/>
      <c r="Y78" s="12" t="n"/>
      <c r="Z78" s="12" t="n"/>
      <c r="AA78" s="12" t="n"/>
      <c r="AB78" s="12" t="n"/>
      <c r="AC78" s="12" t="n"/>
      <c r="AD78" s="12" t="n"/>
      <c r="AE78" s="12" t="n"/>
      <c r="AF78" s="12" t="n"/>
      <c r="AG78" s="12" t="n"/>
      <c r="AH78" s="12" t="n"/>
      <c r="AI78" s="12" t="n"/>
      <c r="AJ78" s="12" t="n"/>
      <c r="AK78" s="12" t="n"/>
      <c r="AL78" s="12" t="n"/>
      <c r="AM78" s="12" t="n"/>
      <c r="AN78" s="12" t="n"/>
      <c r="AO78" s="12" t="n"/>
      <c r="AP78" s="12" t="n"/>
      <c r="AQ78" s="12" t="n"/>
      <c r="AR78" s="12" t="n"/>
      <c r="AS78" s="12" t="n"/>
      <c r="AT78" s="12" t="n"/>
      <c r="AU78" s="12" t="n"/>
      <c r="AV78" s="12" t="n"/>
      <c r="AW78" s="12" t="n"/>
      <c r="AX78" s="12" t="n"/>
      <c r="AY78" s="12" t="n"/>
      <c r="AZ78" s="12" t="n"/>
      <c r="BA78" s="12" t="n"/>
      <c r="BB78" s="12" t="n"/>
      <c r="BC78" s="12" t="n"/>
      <c r="BD78" s="12" t="n"/>
      <c r="BE78" s="12" t="n"/>
      <c r="BF78" s="12" t="n"/>
      <c r="BG78" s="12" t="n"/>
      <c r="BH78" s="12" t="n"/>
      <c r="BI78" s="12" t="n"/>
      <c r="BJ78" s="12" t="n"/>
      <c r="BK78" s="12" t="n"/>
      <c r="BL78" s="12" t="n"/>
      <c r="BM78" s="12" t="n"/>
      <c r="BN78" s="12" t="n"/>
      <c r="BO78" s="12" t="n"/>
      <c r="BP78" s="12" t="n"/>
      <c r="BQ78" s="12" t="n"/>
      <c r="BR78" s="12" t="n"/>
      <c r="BS78" s="12" t="n"/>
      <c r="BT78" s="12" t="n"/>
      <c r="BU78" s="12" t="n"/>
      <c r="BV78" s="12" t="n"/>
      <c r="BW78" s="12" t="n"/>
      <c r="BX78" s="12" t="n"/>
      <c r="BY78" s="12" t="n"/>
      <c r="BZ78" s="12" t="n"/>
      <c r="CA78" s="12" t="n"/>
      <c r="CB78" s="12" t="n"/>
      <c r="CC78" s="12" t="n"/>
      <c r="CD78" s="12" t="n"/>
      <c r="CE78" s="12" t="n"/>
      <c r="CF78" s="12" t="n"/>
      <c r="CG78" s="12" t="n"/>
      <c r="CH78" s="12" t="n"/>
      <c r="CI78" s="12" t="n"/>
      <c r="CJ78" s="12" t="n"/>
      <c r="CK78" s="12" t="n"/>
      <c r="CL78" s="12" t="n"/>
      <c r="CM78" s="12" t="n"/>
      <c r="CN78" s="12" t="n"/>
      <c r="CO78" s="12" t="n"/>
      <c r="CP78" s="12" t="n"/>
      <c r="CQ78" s="12" t="n"/>
      <c r="CR78" s="12" t="n"/>
      <c r="CS78" s="12" t="n"/>
      <c r="CT78" s="12" t="n"/>
      <c r="CU78" s="12" t="n"/>
      <c r="CV78" s="12" t="n"/>
      <c r="CW78" s="12" t="n"/>
      <c r="CX78" s="12" t="n"/>
      <c r="CY78" s="12" t="n"/>
    </row>
    <row r="79" hidden="1" outlineLevel="1">
      <c r="C79" s="57" t="inlineStr">
        <is>
          <t>DESPESA FINANCEIRA</t>
        </is>
      </c>
      <c r="D79" s="12" t="n"/>
      <c r="E79" s="12" t="n"/>
      <c r="F79" s="12" t="n"/>
      <c r="G79" s="12" t="n"/>
      <c r="H79" s="12" t="n"/>
      <c r="I79" s="12" t="n"/>
      <c r="J79" s="12" t="n"/>
      <c r="K79" s="12" t="n"/>
      <c r="L79" s="12" t="n"/>
      <c r="M79" s="12" t="n"/>
      <c r="N79" s="12" t="n"/>
      <c r="O79" s="12" t="n"/>
      <c r="P79" s="12" t="n"/>
      <c r="Q79" s="12" t="n"/>
      <c r="R79" s="12" t="n"/>
      <c r="S79" s="12" t="n"/>
      <c r="T79" s="12" t="n"/>
      <c r="U79" s="12" t="n"/>
      <c r="V79" s="12" t="n"/>
      <c r="W79" s="12" t="n"/>
      <c r="X79" s="12" t="n"/>
      <c r="Y79" s="12" t="n"/>
      <c r="Z79" s="12" t="n"/>
      <c r="AA79" s="12" t="n"/>
      <c r="AB79" s="12" t="n"/>
      <c r="AC79" s="12" t="n"/>
      <c r="AD79" s="12" t="n"/>
      <c r="AE79" s="12" t="n"/>
      <c r="AF79" s="12" t="n"/>
      <c r="AG79" s="12" t="n"/>
      <c r="AH79" s="12" t="n"/>
      <c r="AI79" s="12" t="n"/>
      <c r="AJ79" s="12" t="n"/>
      <c r="AK79" s="12" t="n"/>
      <c r="AL79" s="12" t="n"/>
      <c r="AM79" s="12" t="n"/>
      <c r="AN79" s="12" t="n"/>
      <c r="AO79" s="12" t="n"/>
      <c r="AP79" s="12" t="n"/>
      <c r="AQ79" s="12" t="n"/>
      <c r="AR79" s="12" t="n"/>
      <c r="AS79" s="12" t="n"/>
      <c r="AT79" s="12" t="n"/>
      <c r="AU79" s="12" t="n"/>
      <c r="AV79" s="12" t="n"/>
      <c r="AW79" s="12" t="n"/>
      <c r="AX79" s="12" t="n"/>
      <c r="AY79" s="12" t="n"/>
      <c r="AZ79" s="12" t="n"/>
      <c r="BA79" s="12" t="n"/>
      <c r="BB79" s="12" t="n"/>
      <c r="BC79" s="12" t="n"/>
      <c r="BD79" s="12" t="n"/>
      <c r="BE79" s="12" t="n"/>
      <c r="BF79" s="12" t="n"/>
      <c r="BG79" s="12" t="n"/>
      <c r="BH79" s="12" t="n"/>
      <c r="BI79" s="12" t="n"/>
      <c r="BJ79" s="12" t="n"/>
      <c r="BK79" s="12" t="n"/>
      <c r="BL79" s="12" t="n"/>
      <c r="BM79" s="12" t="n"/>
      <c r="BN79" s="12" t="n"/>
      <c r="BO79" s="12" t="n"/>
      <c r="BP79" s="12" t="n"/>
      <c r="BQ79" s="12" t="n"/>
      <c r="BR79" s="12" t="n"/>
      <c r="BS79" s="12" t="n"/>
      <c r="BT79" s="12" t="n"/>
      <c r="BU79" s="12" t="n"/>
      <c r="BV79" s="12" t="n"/>
      <c r="BW79" s="12" t="n"/>
      <c r="BX79" s="12" t="n"/>
      <c r="BY79" s="12" t="n"/>
      <c r="BZ79" s="12" t="n"/>
      <c r="CA79" s="12" t="n"/>
      <c r="CB79" s="12" t="n"/>
      <c r="CC79" s="12" t="n"/>
      <c r="CD79" s="12" t="n"/>
      <c r="CE79" s="12" t="n"/>
      <c r="CF79" s="12" t="n"/>
      <c r="CG79" s="12" t="n"/>
      <c r="CH79" s="12" t="n"/>
      <c r="CI79" s="12" t="n"/>
      <c r="CJ79" s="12" t="n"/>
      <c r="CK79" s="12" t="n"/>
      <c r="CL79" s="12" t="n"/>
      <c r="CM79" s="12" t="n"/>
      <c r="CN79" s="12" t="n"/>
      <c r="CO79" s="12" t="n"/>
      <c r="CP79" s="12" t="n"/>
      <c r="CQ79" s="12" t="n"/>
      <c r="CR79" s="12" t="n"/>
      <c r="CS79" s="12" t="n"/>
      <c r="CT79" s="12" t="n"/>
      <c r="CU79" s="12" t="n"/>
      <c r="CV79" s="12" t="n"/>
      <c r="CW79" s="12" t="n"/>
      <c r="CX79" s="12" t="n"/>
      <c r="CY79" s="12" t="n"/>
    </row>
    <row r="80" hidden="1" outlineLevel="1">
      <c r="C80" s="57" t="inlineStr">
        <is>
          <t>OUTROS</t>
        </is>
      </c>
      <c r="D80" s="12" t="n"/>
      <c r="E80" s="12" t="n"/>
      <c r="F80" s="12" t="n"/>
      <c r="G80" s="12" t="n"/>
      <c r="H80" s="12" t="n"/>
      <c r="I80" s="12" t="n"/>
      <c r="J80" s="12" t="n"/>
      <c r="K80" s="12" t="n"/>
      <c r="L80" s="12" t="n"/>
      <c r="M80" s="12" t="n"/>
      <c r="N80" s="12" t="n"/>
      <c r="O80" s="12" t="n"/>
      <c r="P80" s="12" t="n"/>
      <c r="Q80" s="12" t="n"/>
      <c r="R80" s="12" t="n"/>
      <c r="S80" s="12" t="n"/>
      <c r="T80" s="12" t="n"/>
      <c r="U80" s="12" t="n"/>
      <c r="V80" s="12" t="n"/>
      <c r="W80" s="12" t="n"/>
      <c r="X80" s="12" t="n"/>
      <c r="Y80" s="12" t="n"/>
      <c r="Z80" s="12" t="n"/>
      <c r="AA80" s="12" t="n"/>
      <c r="AB80" s="12" t="n"/>
      <c r="AC80" s="12" t="n"/>
      <c r="AD80" s="12" t="n"/>
      <c r="AE80" s="12" t="n"/>
      <c r="AF80" s="12" t="n"/>
      <c r="AG80" s="12" t="n"/>
      <c r="AH80" s="12" t="n"/>
      <c r="AI80" s="12" t="n"/>
      <c r="AJ80" s="12" t="n"/>
      <c r="AK80" s="12" t="n"/>
      <c r="AL80" s="12" t="n"/>
      <c r="AM80" s="12" t="n"/>
      <c r="AN80" s="12" t="n"/>
      <c r="AO80" s="12" t="n"/>
      <c r="AP80" s="12" t="n"/>
      <c r="AQ80" s="12" t="n"/>
      <c r="AR80" s="12" t="n"/>
      <c r="AS80" s="12" t="n"/>
      <c r="AT80" s="12" t="n"/>
      <c r="AU80" s="12" t="n"/>
      <c r="AV80" s="12" t="n"/>
      <c r="AW80" s="12" t="n"/>
      <c r="AX80" s="12" t="n"/>
      <c r="AY80" s="12" t="n"/>
      <c r="AZ80" s="12" t="n"/>
      <c r="BA80" s="12" t="n"/>
      <c r="BB80" s="12" t="n"/>
      <c r="BC80" s="12" t="n"/>
      <c r="BD80" s="12" t="n"/>
      <c r="BE80" s="12" t="n"/>
      <c r="BF80" s="12" t="n"/>
      <c r="BG80" s="12" t="n"/>
      <c r="BH80" s="12" t="n"/>
      <c r="BI80" s="12" t="n"/>
      <c r="BJ80" s="12" t="n"/>
      <c r="BK80" s="12" t="n"/>
      <c r="BL80" s="12" t="n"/>
      <c r="BM80" s="12" t="n"/>
      <c r="BN80" s="12" t="n"/>
      <c r="BO80" s="12" t="n"/>
      <c r="BP80" s="12" t="n"/>
      <c r="BQ80" s="12" t="n"/>
      <c r="BR80" s="12" t="n"/>
      <c r="BS80" s="12" t="n"/>
      <c r="BT80" s="12" t="n"/>
      <c r="BU80" s="12" t="n"/>
      <c r="BV80" s="12" t="n"/>
      <c r="BW80" s="12" t="n"/>
      <c r="BX80" s="12" t="n"/>
      <c r="BY80" s="12" t="n"/>
      <c r="BZ80" s="12" t="n"/>
      <c r="CA80" s="12" t="n"/>
      <c r="CB80" s="12" t="n"/>
      <c r="CC80" s="12" t="n"/>
      <c r="CD80" s="12" t="n"/>
      <c r="CE80" s="12" t="n"/>
      <c r="CF80" s="12" t="n"/>
      <c r="CG80" s="12" t="n"/>
      <c r="CH80" s="12" t="n"/>
      <c r="CI80" s="12" t="n"/>
      <c r="CJ80" s="12" t="n"/>
      <c r="CK80" s="12" t="n"/>
      <c r="CL80" s="12" t="n"/>
      <c r="CM80" s="12" t="n"/>
      <c r="CN80" s="12" t="n"/>
      <c r="CO80" s="12" t="n"/>
      <c r="CP80" s="12" t="n"/>
      <c r="CQ80" s="12" t="n"/>
      <c r="CR80" s="12" t="n"/>
      <c r="CS80" s="12" t="n"/>
      <c r="CT80" s="12" t="n"/>
      <c r="CU80" s="12" t="n"/>
      <c r="CV80" s="12" t="n"/>
      <c r="CW80" s="12" t="n"/>
      <c r="CX80" s="12" t="n"/>
      <c r="CY80" s="12" t="n"/>
    </row>
    <row r="81" hidden="1" outlineLevel="1">
      <c r="C81" s="57" t="n"/>
      <c r="D81" s="12" t="n"/>
      <c r="E81" s="12" t="n"/>
      <c r="F81" s="12" t="n"/>
      <c r="G81" s="12" t="n"/>
      <c r="H81" s="12" t="n"/>
      <c r="I81" s="12" t="n"/>
      <c r="J81" s="12" t="n"/>
      <c r="K81" s="12" t="n"/>
      <c r="L81" s="12" t="n"/>
      <c r="M81" s="12" t="n"/>
      <c r="N81" s="12" t="n"/>
      <c r="O81" s="12" t="n"/>
      <c r="P81" s="12" t="n"/>
      <c r="Q81" s="12" t="n"/>
      <c r="R81" s="12" t="n"/>
      <c r="S81" s="12" t="n"/>
      <c r="T81" s="12" t="n"/>
      <c r="U81" s="12" t="n"/>
      <c r="V81" s="12" t="n"/>
      <c r="W81" s="12" t="n"/>
      <c r="X81" s="12" t="n"/>
      <c r="Y81" s="12" t="n"/>
      <c r="Z81" s="12" t="n"/>
      <c r="AA81" s="12" t="n"/>
      <c r="AB81" s="12" t="n"/>
      <c r="AC81" s="12" t="n"/>
      <c r="AD81" s="12" t="n"/>
      <c r="AE81" s="12" t="n"/>
      <c r="AF81" s="12" t="n"/>
      <c r="AG81" s="12" t="n"/>
      <c r="AH81" s="12" t="n"/>
      <c r="AI81" s="12" t="n"/>
      <c r="AJ81" s="12" t="n"/>
      <c r="AK81" s="12" t="n"/>
      <c r="AL81" s="12" t="n"/>
      <c r="AM81" s="12" t="n"/>
      <c r="AN81" s="12" t="n"/>
      <c r="AO81" s="12" t="n"/>
      <c r="AP81" s="12" t="n"/>
      <c r="AQ81" s="12" t="n"/>
      <c r="AR81" s="12" t="n"/>
      <c r="AS81" s="12" t="n"/>
      <c r="AT81" s="12" t="n"/>
      <c r="AU81" s="12" t="n"/>
      <c r="AV81" s="12" t="n"/>
      <c r="AW81" s="12" t="n"/>
      <c r="AX81" s="12" t="n"/>
      <c r="AY81" s="12" t="n"/>
      <c r="AZ81" s="12" t="n"/>
      <c r="BA81" s="12" t="n"/>
      <c r="BB81" s="12" t="n"/>
      <c r="BC81" s="12" t="n"/>
      <c r="BD81" s="12" t="n"/>
      <c r="BE81" s="12" t="n"/>
      <c r="BF81" s="12" t="n"/>
      <c r="BG81" s="12" t="n"/>
      <c r="BH81" s="12" t="n"/>
      <c r="BI81" s="12" t="n"/>
      <c r="BJ81" s="12" t="n"/>
      <c r="BK81" s="12" t="n"/>
      <c r="BL81" s="12" t="n"/>
      <c r="BM81" s="12" t="n"/>
      <c r="BN81" s="12" t="n"/>
      <c r="BO81" s="12" t="n"/>
      <c r="BP81" s="12" t="n"/>
      <c r="BQ81" s="12" t="n"/>
      <c r="BR81" s="12" t="n"/>
      <c r="BS81" s="12" t="n"/>
      <c r="BT81" s="12" t="n"/>
      <c r="BU81" s="12" t="n"/>
      <c r="BV81" s="12" t="n"/>
      <c r="BW81" s="12" t="n"/>
      <c r="BX81" s="12" t="n"/>
      <c r="BY81" s="12" t="n"/>
      <c r="BZ81" s="12" t="n"/>
      <c r="CA81" s="12" t="n"/>
      <c r="CB81" s="12" t="n"/>
      <c r="CC81" s="12" t="n"/>
      <c r="CD81" s="12" t="n"/>
      <c r="CE81" s="12" t="n"/>
      <c r="CF81" s="12" t="n"/>
      <c r="CG81" s="12" t="n"/>
      <c r="CH81" s="12" t="n"/>
      <c r="CI81" s="12" t="n"/>
      <c r="CJ81" s="12" t="n"/>
      <c r="CK81" s="12" t="n"/>
      <c r="CL81" s="12" t="n"/>
      <c r="CM81" s="12" t="n"/>
      <c r="CN81" s="12" t="n"/>
      <c r="CO81" s="12" t="n"/>
      <c r="CP81" s="12" t="n"/>
      <c r="CQ81" s="12" t="n"/>
      <c r="CR81" s="12" t="n"/>
      <c r="CS81" s="12" t="n"/>
      <c r="CT81" s="12" t="n"/>
      <c r="CU81" s="12" t="n"/>
      <c r="CV81" s="12" t="n"/>
      <c r="CW81" s="12" t="n"/>
      <c r="CX81" s="12" t="n"/>
      <c r="CY81" s="12" t="n"/>
    </row>
    <row r="82" hidden="1" outlineLevel="1">
      <c r="C82" s="57" t="inlineStr">
        <is>
          <t>Cash and equivalents (inc. investment securities)</t>
        </is>
      </c>
      <c r="D82" s="12" t="n"/>
      <c r="E82" s="12" t="n"/>
      <c r="F82" s="12" t="n"/>
      <c r="G82" s="12" t="n"/>
      <c r="H82" s="12" t="n"/>
      <c r="I82" s="12" t="n"/>
      <c r="J82" s="12" t="n"/>
      <c r="K82" s="12" t="n"/>
      <c r="L82" s="12" t="n"/>
      <c r="M82" s="12" t="n"/>
      <c r="N82" s="12" t="n"/>
      <c r="O82" s="12" t="n"/>
      <c r="P82" s="12" t="n"/>
      <c r="Q82" s="12" t="n"/>
      <c r="R82" s="12" t="n"/>
      <c r="S82" s="12" t="n"/>
      <c r="T82" s="12" t="n"/>
      <c r="U82" s="12" t="n"/>
      <c r="V82" s="12" t="n"/>
      <c r="W82" s="12" t="n"/>
      <c r="X82" s="12" t="n"/>
      <c r="Y82" s="12" t="n"/>
      <c r="Z82" s="12" t="n"/>
      <c r="AA82" s="12" t="n"/>
      <c r="AB82" s="12" t="n"/>
      <c r="AC82" s="12" t="n"/>
      <c r="AD82" s="12" t="n"/>
      <c r="AE82" s="12" t="n"/>
      <c r="AF82" s="12" t="n"/>
      <c r="AG82" s="12" t="n"/>
      <c r="AH82" s="12" t="n"/>
      <c r="AI82" s="12" t="n"/>
      <c r="AJ82" s="12" t="n"/>
      <c r="AK82" s="12" t="n"/>
      <c r="AL82" s="12" t="n"/>
      <c r="AM82" s="12" t="n"/>
      <c r="AN82" s="12" t="n"/>
      <c r="AO82" s="12" t="n"/>
      <c r="AP82" s="12" t="n"/>
      <c r="AQ82" s="12" t="n"/>
      <c r="AR82" s="12" t="n"/>
      <c r="AS82" s="12" t="n"/>
      <c r="AT82" s="12" t="n"/>
      <c r="AU82" s="12" t="n"/>
      <c r="AV82" s="12" t="n"/>
      <c r="AW82" s="12" t="n"/>
      <c r="AX82" s="12" t="n"/>
      <c r="AY82" s="12" t="n"/>
      <c r="AZ82" s="12" t="n"/>
      <c r="BA82" s="12" t="n"/>
      <c r="BB82" s="12" t="n"/>
      <c r="BC82" s="12" t="n"/>
      <c r="BD82" s="12" t="n"/>
      <c r="BE82" s="12" t="n"/>
      <c r="BF82" s="12" t="n"/>
      <c r="BG82" s="12" t="n"/>
      <c r="BH82" s="12" t="n"/>
      <c r="BI82" s="12" t="n"/>
      <c r="BJ82" s="12" t="n"/>
      <c r="BK82" s="12" t="n"/>
      <c r="BL82" s="12" t="n"/>
      <c r="BM82" s="12" t="n"/>
      <c r="BN82" s="12" t="n"/>
      <c r="BO82" s="12" t="n"/>
      <c r="BP82" s="12" t="n"/>
      <c r="BQ82" s="12" t="n"/>
      <c r="BR82" s="12" t="n"/>
      <c r="BS82" s="12" t="n"/>
      <c r="BT82" s="12" t="n"/>
      <c r="BU82" s="12" t="n"/>
      <c r="BV82" s="12" t="n"/>
      <c r="BW82" s="12" t="n"/>
      <c r="BX82" s="12" t="n"/>
      <c r="BY82" s="12" t="n"/>
      <c r="BZ82" s="12" t="n"/>
      <c r="CA82" s="12" t="n"/>
      <c r="CB82" s="12" t="n"/>
      <c r="CC82" s="12" t="n"/>
      <c r="CD82" s="12" t="n"/>
      <c r="CE82" s="12" t="n"/>
      <c r="CF82" s="12" t="n"/>
      <c r="CG82" s="12" t="n"/>
      <c r="CH82" s="12" t="n"/>
      <c r="CI82" s="12" t="n"/>
      <c r="CJ82" s="12" t="n"/>
      <c r="CK82" s="12" t="n"/>
      <c r="CL82" s="12" t="n"/>
      <c r="CM82" s="12" t="n"/>
      <c r="CN82" s="12" t="n"/>
      <c r="CO82" s="12" t="n"/>
      <c r="CP82" s="12" t="n"/>
      <c r="CQ82" s="12" t="n"/>
      <c r="CR82" s="12" t="n"/>
      <c r="CS82" s="12" t="n"/>
      <c r="CT82" s="12" t="n"/>
      <c r="CU82" s="12" t="n"/>
      <c r="CV82" s="12" t="n"/>
      <c r="CW82" s="12" t="n"/>
      <c r="CX82" s="12" t="n"/>
      <c r="CY82" s="12" t="n"/>
    </row>
    <row r="83" hidden="1" outlineLevel="1">
      <c r="C83" s="57" t="inlineStr">
        <is>
          <t>Interest on cash</t>
        </is>
      </c>
      <c r="D83" s="12" t="n"/>
      <c r="E83" s="12" t="n"/>
      <c r="F83" s="12" t="n"/>
      <c r="G83" s="12" t="n"/>
      <c r="H83" s="12" t="n"/>
      <c r="I83" s="12" t="n"/>
      <c r="J83" s="12" t="n"/>
      <c r="K83" s="12" t="n"/>
      <c r="L83" s="12" t="n"/>
      <c r="M83" s="12" t="n"/>
      <c r="N83" s="12" t="n"/>
      <c r="O83" s="12" t="n"/>
      <c r="P83" s="12" t="n"/>
      <c r="Q83" s="12" t="n"/>
      <c r="R83" s="12" t="n"/>
      <c r="S83" s="12" t="n"/>
      <c r="T83" s="12" t="n"/>
      <c r="U83" s="12" t="n"/>
      <c r="V83" s="12" t="n"/>
      <c r="W83" s="12" t="n"/>
      <c r="X83" s="12" t="n"/>
      <c r="Y83" s="12" t="n"/>
      <c r="Z83" s="12" t="n"/>
      <c r="AA83" s="12" t="n"/>
      <c r="AB83" s="12" t="n"/>
      <c r="AC83" s="12" t="n"/>
      <c r="AD83" s="12" t="n"/>
      <c r="AE83" s="12" t="n"/>
      <c r="AF83" s="12" t="n"/>
      <c r="AG83" s="12" t="n"/>
      <c r="AH83" s="12" t="n"/>
      <c r="AI83" s="12" t="n"/>
      <c r="AJ83" s="12" t="n"/>
      <c r="AK83" s="12" t="n"/>
      <c r="AL83" s="12" t="n"/>
      <c r="AM83" s="12" t="n"/>
      <c r="AN83" s="12" t="n"/>
      <c r="AO83" s="12" t="n"/>
      <c r="AP83" s="12" t="n"/>
      <c r="AQ83" s="12" t="n"/>
      <c r="AR83" s="12" t="n"/>
      <c r="AS83" s="12" t="n"/>
      <c r="AT83" s="12" t="n"/>
      <c r="AU83" s="12" t="n"/>
      <c r="AV83" s="12" t="n"/>
      <c r="AW83" s="12" t="n"/>
      <c r="AX83" s="12" t="n"/>
      <c r="AY83" s="12" t="n"/>
      <c r="AZ83" s="12" t="n"/>
      <c r="BA83" s="12" t="n"/>
      <c r="BB83" s="12" t="n"/>
      <c r="BC83" s="12" t="n"/>
      <c r="BD83" s="12" t="n"/>
      <c r="BE83" s="12" t="n"/>
      <c r="BF83" s="12" t="n"/>
      <c r="BG83" s="12" t="n"/>
      <c r="BH83" s="12" t="n"/>
      <c r="BI83" s="12" t="n"/>
      <c r="BJ83" s="12" t="n"/>
      <c r="BK83" s="12" t="n"/>
      <c r="BL83" s="12" t="n"/>
      <c r="BM83" s="12" t="n"/>
      <c r="BN83" s="12" t="n"/>
      <c r="BO83" s="12" t="n"/>
      <c r="BP83" s="12" t="n"/>
      <c r="BQ83" s="12" t="n"/>
      <c r="BR83" s="12" t="n"/>
      <c r="BS83" s="12" t="n"/>
      <c r="BT83" s="12" t="n"/>
      <c r="BU83" s="12" t="n"/>
      <c r="BV83" s="12" t="n"/>
      <c r="BW83" s="12" t="n"/>
      <c r="BX83" s="12" t="n"/>
      <c r="BY83" s="12" t="n"/>
      <c r="BZ83" s="12" t="n"/>
      <c r="CA83" s="12" t="n"/>
      <c r="CB83" s="12" t="n"/>
      <c r="CC83" s="12" t="n"/>
      <c r="CD83" s="12" t="n"/>
      <c r="CE83" s="12" t="n"/>
      <c r="CF83" s="12" t="n"/>
      <c r="CG83" s="12" t="n"/>
      <c r="CH83" s="12" t="n"/>
      <c r="CI83" s="12" t="n"/>
      <c r="CJ83" s="12" t="n"/>
      <c r="CK83" s="12" t="n"/>
      <c r="CL83" s="12" t="n"/>
      <c r="CM83" s="12" t="n"/>
      <c r="CN83" s="12" t="n"/>
      <c r="CO83" s="12" t="n"/>
      <c r="CP83" s="12" t="n"/>
      <c r="CQ83" s="12" t="n"/>
      <c r="CR83" s="12" t="n"/>
      <c r="CS83" s="12" t="n"/>
      <c r="CT83" s="12" t="n"/>
      <c r="CU83" s="12" t="n"/>
      <c r="CV83" s="12" t="n"/>
      <c r="CW83" s="12" t="n"/>
      <c r="CX83" s="12" t="n"/>
      <c r="CY83" s="12" t="n"/>
    </row>
    <row r="84" hidden="1" outlineLevel="1">
      <c r="C84" s="57" t="inlineStr">
        <is>
          <t>Average interest rate</t>
        </is>
      </c>
      <c r="D84" s="12" t="n"/>
      <c r="E84" s="12" t="n"/>
      <c r="F84" s="12" t="n"/>
      <c r="G84" s="12" t="n"/>
      <c r="H84" s="12" t="n"/>
      <c r="I84" s="12" t="n"/>
      <c r="J84" s="12" t="n"/>
      <c r="K84" s="12" t="n"/>
      <c r="L84" s="12" t="n"/>
      <c r="M84" s="12" t="n"/>
      <c r="N84" s="12" t="n"/>
      <c r="O84" s="12" t="n"/>
      <c r="P84" s="12" t="n"/>
      <c r="Q84" s="12" t="n"/>
      <c r="R84" s="12" t="n"/>
      <c r="S84" s="12" t="n"/>
      <c r="T84" s="12" t="n"/>
      <c r="U84" s="12" t="n"/>
      <c r="V84" s="12" t="n"/>
      <c r="W84" s="12" t="n"/>
      <c r="X84" s="12" t="n"/>
      <c r="Y84" s="12" t="n"/>
      <c r="Z84" s="12" t="n"/>
      <c r="AA84" s="12" t="n"/>
      <c r="AB84" s="12" t="n"/>
      <c r="AC84" s="12" t="n"/>
      <c r="AD84" s="12" t="n"/>
      <c r="AE84" s="12" t="n"/>
      <c r="AF84" s="12" t="n"/>
      <c r="AG84" s="12" t="n"/>
      <c r="AH84" s="12" t="n"/>
      <c r="AI84" s="12" t="n"/>
      <c r="AJ84" s="12" t="n"/>
      <c r="AK84" s="12" t="n"/>
      <c r="AL84" s="12" t="n"/>
      <c r="AM84" s="12" t="n"/>
      <c r="AN84" s="12" t="n"/>
      <c r="AO84" s="12" t="n"/>
      <c r="AP84" s="12" t="n"/>
      <c r="AQ84" s="12" t="n"/>
      <c r="AR84" s="12" t="n"/>
      <c r="AS84" s="12" t="n"/>
      <c r="AT84" s="12" t="n"/>
      <c r="AU84" s="12" t="n"/>
      <c r="AV84" s="12" t="n"/>
      <c r="AW84" s="12" t="n"/>
      <c r="AX84" s="12" t="n"/>
      <c r="AY84" s="12" t="n"/>
      <c r="AZ84" s="12" t="n"/>
      <c r="BA84" s="12" t="n"/>
      <c r="BB84" s="12" t="n"/>
      <c r="BC84" s="12" t="n"/>
      <c r="BD84" s="12" t="n"/>
      <c r="BE84" s="12" t="n"/>
      <c r="BF84" s="12" t="n"/>
      <c r="BG84" s="12" t="n"/>
      <c r="BH84" s="12" t="n"/>
      <c r="BI84" s="12" t="n"/>
      <c r="BJ84" s="12" t="n"/>
      <c r="BK84" s="12" t="n"/>
      <c r="BL84" s="12" t="n"/>
      <c r="BM84" s="12" t="n"/>
      <c r="BN84" s="12" t="n"/>
      <c r="BO84" s="12" t="n"/>
      <c r="BP84" s="12" t="n"/>
      <c r="BQ84" s="12" t="n"/>
      <c r="BR84" s="12" t="n"/>
      <c r="BS84" s="12" t="n"/>
      <c r="BT84" s="12" t="n"/>
      <c r="BU84" s="12" t="n"/>
      <c r="BV84" s="12" t="n"/>
      <c r="BW84" s="12" t="n"/>
      <c r="BX84" s="12" t="n"/>
      <c r="BY84" s="12" t="n"/>
      <c r="BZ84" s="12" t="n"/>
      <c r="CA84" s="12" t="n"/>
      <c r="CB84" s="12" t="n"/>
      <c r="CC84" s="12" t="n"/>
      <c r="CD84" s="12" t="n"/>
      <c r="CE84" s="12" t="n"/>
      <c r="CF84" s="12" t="n"/>
      <c r="CG84" s="12" t="n"/>
      <c r="CH84" s="12" t="n"/>
      <c r="CI84" s="12" t="n"/>
      <c r="CJ84" s="12" t="n"/>
      <c r="CK84" s="12" t="n"/>
      <c r="CL84" s="12" t="n"/>
      <c r="CM84" s="12" t="n"/>
      <c r="CN84" s="12" t="n"/>
      <c r="CO84" s="12" t="n"/>
      <c r="CP84" s="12" t="n"/>
      <c r="CQ84" s="12" t="n"/>
      <c r="CR84" s="12" t="n"/>
      <c r="CS84" s="12" t="n"/>
      <c r="CT84" s="12" t="n"/>
      <c r="CU84" s="12" t="n"/>
      <c r="CV84" s="12" t="n"/>
      <c r="CW84" s="12" t="n"/>
      <c r="CX84" s="12" t="n"/>
      <c r="CY84" s="12" t="n"/>
    </row>
    <row r="85" hidden="1" outlineLevel="1">
      <c r="C85" s="57" t="inlineStr">
        <is>
          <t>% CDI</t>
        </is>
      </c>
      <c r="D85" s="12" t="n"/>
      <c r="E85" s="12" t="n"/>
      <c r="F85" s="12" t="n"/>
      <c r="G85" s="12" t="n"/>
      <c r="H85" s="12" t="n"/>
      <c r="I85" s="12" t="n"/>
      <c r="J85" s="12" t="n"/>
      <c r="K85" s="12" t="n"/>
      <c r="L85" s="12" t="n"/>
      <c r="M85" s="12" t="n"/>
      <c r="N85" s="12" t="n"/>
      <c r="O85" s="12" t="n"/>
      <c r="P85" s="12" t="n"/>
      <c r="Q85" s="12" t="n"/>
      <c r="R85" s="12" t="n"/>
      <c r="S85" s="12" t="n"/>
      <c r="T85" s="12" t="n"/>
      <c r="U85" s="12" t="n"/>
      <c r="V85" s="12" t="n"/>
      <c r="W85" s="12" t="n"/>
      <c r="X85" s="12" t="n"/>
      <c r="Y85" s="12" t="n"/>
      <c r="Z85" s="12" t="n"/>
      <c r="AA85" s="12" t="n"/>
      <c r="AB85" s="12" t="n"/>
      <c r="AC85" s="12" t="n"/>
      <c r="AD85" s="12" t="n"/>
      <c r="AE85" s="12" t="n"/>
      <c r="AF85" s="12" t="n"/>
      <c r="AG85" s="12" t="n"/>
      <c r="AH85" s="12" t="n"/>
      <c r="AI85" s="12" t="n"/>
      <c r="AJ85" s="12" t="n"/>
      <c r="AK85" s="12" t="n"/>
      <c r="AL85" s="12" t="n"/>
      <c r="AM85" s="12" t="n"/>
      <c r="AN85" s="12" t="n"/>
      <c r="AO85" s="12" t="n"/>
      <c r="AP85" s="12" t="n"/>
      <c r="AQ85" s="12" t="n"/>
      <c r="AR85" s="12" t="n"/>
      <c r="AS85" s="12" t="n"/>
      <c r="AT85" s="12" t="n"/>
      <c r="AU85" s="12" t="n"/>
      <c r="AV85" s="12" t="n"/>
      <c r="AW85" s="12" t="n"/>
      <c r="AX85" s="12" t="n"/>
      <c r="AY85" s="12" t="n"/>
      <c r="AZ85" s="12" t="n"/>
      <c r="BA85" s="12" t="n"/>
      <c r="BB85" s="12" t="n"/>
      <c r="BC85" s="12" t="n"/>
      <c r="BD85" s="12" t="n"/>
      <c r="BE85" s="12" t="n"/>
      <c r="BF85" s="12" t="n"/>
      <c r="BG85" s="12" t="n"/>
      <c r="BH85" s="12" t="n"/>
      <c r="BI85" s="12" t="n"/>
      <c r="BJ85" s="12" t="n"/>
      <c r="BK85" s="12" t="n"/>
      <c r="BL85" s="12" t="n"/>
      <c r="BM85" s="12" t="n"/>
      <c r="BN85" s="12" t="n"/>
      <c r="BO85" s="12" t="n"/>
      <c r="BP85" s="12" t="n"/>
      <c r="BQ85" s="12" t="n"/>
      <c r="BR85" s="12" t="n"/>
      <c r="BS85" s="12" t="n"/>
      <c r="BT85" s="12" t="n"/>
      <c r="BU85" s="12" t="n"/>
      <c r="BV85" s="12" t="n"/>
      <c r="BW85" s="12" t="n"/>
      <c r="BX85" s="12" t="n"/>
      <c r="BY85" s="12" t="n"/>
      <c r="BZ85" s="12" t="n"/>
      <c r="CA85" s="12" t="n"/>
      <c r="CB85" s="12" t="n"/>
      <c r="CC85" s="12" t="n"/>
      <c r="CD85" s="12" t="n"/>
      <c r="CE85" s="12" t="n"/>
      <c r="CF85" s="12" t="n"/>
      <c r="CG85" s="12" t="n"/>
      <c r="CH85" s="12" t="n"/>
      <c r="CI85" s="12" t="n"/>
      <c r="CJ85" s="12" t="n"/>
      <c r="CK85" s="12" t="n"/>
      <c r="CL85" s="12" t="n"/>
      <c r="CM85" s="12" t="n"/>
      <c r="CN85" s="12" t="n"/>
      <c r="CO85" s="12" t="n"/>
      <c r="CP85" s="12" t="n"/>
      <c r="CQ85" s="12" t="n"/>
      <c r="CR85" s="12" t="n"/>
      <c r="CS85" s="12" t="n"/>
      <c r="CT85" s="12" t="n"/>
      <c r="CU85" s="12" t="n"/>
      <c r="CV85" s="12" t="n"/>
      <c r="CW85" s="12" t="n"/>
      <c r="CX85" s="12" t="n"/>
      <c r="CY85" s="12" t="n"/>
    </row>
    <row r="86" hidden="1" outlineLevel="1">
      <c r="C86" s="57" t="n"/>
      <c r="D86" s="12" t="n"/>
      <c r="E86" s="12" t="n"/>
      <c r="F86" s="12" t="n"/>
      <c r="G86" s="12" t="n"/>
      <c r="H86" s="12" t="n"/>
      <c r="I86" s="12" t="n"/>
      <c r="J86" s="12" t="n"/>
      <c r="K86" s="12" t="n"/>
      <c r="L86" s="12" t="n"/>
      <c r="M86" s="12" t="n"/>
      <c r="N86" s="12" t="n"/>
      <c r="O86" s="12" t="n"/>
      <c r="P86" s="12" t="n"/>
      <c r="Q86" s="12" t="n"/>
      <c r="R86" s="12" t="n"/>
      <c r="S86" s="12" t="n"/>
      <c r="T86" s="12" t="n"/>
      <c r="U86" s="12" t="n"/>
      <c r="V86" s="12" t="n"/>
      <c r="W86" s="12" t="n"/>
      <c r="X86" s="12" t="n"/>
      <c r="Y86" s="12" t="n"/>
      <c r="Z86" s="12" t="n"/>
      <c r="AA86" s="12" t="n"/>
      <c r="AB86" s="12" t="n"/>
      <c r="AC86" s="12" t="n"/>
      <c r="AD86" s="12" t="n"/>
      <c r="AE86" s="12" t="n"/>
      <c r="AF86" s="12" t="n"/>
      <c r="AG86" s="12" t="n"/>
      <c r="AH86" s="12" t="n"/>
      <c r="AI86" s="12" t="n"/>
      <c r="AJ86" s="12" t="n"/>
      <c r="AK86" s="12" t="n"/>
      <c r="AL86" s="12" t="n"/>
      <c r="AM86" s="12" t="n"/>
      <c r="AN86" s="12" t="n"/>
      <c r="AO86" s="12" t="n"/>
      <c r="AP86" s="12" t="n"/>
      <c r="AQ86" s="12" t="n"/>
      <c r="AR86" s="12" t="n"/>
      <c r="AS86" s="12" t="n"/>
      <c r="AT86" s="12" t="n"/>
      <c r="AU86" s="12" t="n"/>
      <c r="AV86" s="12" t="n"/>
      <c r="AW86" s="12" t="n"/>
      <c r="AX86" s="12" t="n"/>
      <c r="AY86" s="12" t="n"/>
      <c r="AZ86" s="12" t="n"/>
      <c r="BA86" s="12" t="n"/>
      <c r="BB86" s="12" t="n"/>
      <c r="BC86" s="12" t="n"/>
      <c r="BD86" s="12" t="n"/>
      <c r="BE86" s="12" t="n"/>
      <c r="BF86" s="12" t="n"/>
      <c r="BG86" s="12" t="n"/>
      <c r="BH86" s="12" t="n"/>
      <c r="BI86" s="12" t="n"/>
      <c r="BJ86" s="12" t="n"/>
      <c r="BK86" s="12" t="n"/>
      <c r="BL86" s="12" t="n"/>
      <c r="BM86" s="12" t="n"/>
      <c r="BN86" s="12" t="n"/>
      <c r="BO86" s="12" t="n"/>
      <c r="BP86" s="12" t="n"/>
      <c r="BQ86" s="12" t="n"/>
      <c r="BR86" s="12" t="n"/>
      <c r="BS86" s="12" t="n"/>
      <c r="BT86" s="12" t="n"/>
      <c r="BU86" s="12" t="n"/>
      <c r="BV86" s="12" t="n"/>
      <c r="BW86" s="12" t="n"/>
      <c r="BX86" s="12" t="n"/>
      <c r="BY86" s="12" t="n"/>
      <c r="BZ86" s="12" t="n"/>
      <c r="CA86" s="12" t="n"/>
      <c r="CB86" s="12" t="n"/>
      <c r="CC86" s="12" t="n"/>
      <c r="CD86" s="12" t="n"/>
      <c r="CE86" s="12" t="n"/>
      <c r="CF86" s="12" t="n"/>
      <c r="CG86" s="12" t="n"/>
      <c r="CH86" s="12" t="n"/>
      <c r="CI86" s="12" t="n"/>
      <c r="CJ86" s="12" t="n"/>
      <c r="CK86" s="12" t="n"/>
      <c r="CL86" s="12" t="n"/>
      <c r="CM86" s="12" t="n"/>
      <c r="CN86" s="12" t="n"/>
      <c r="CO86" s="12" t="n"/>
      <c r="CP86" s="12" t="n"/>
      <c r="CQ86" s="12" t="n"/>
      <c r="CR86" s="12" t="n"/>
      <c r="CS86" s="12" t="n"/>
      <c r="CT86" s="12" t="n"/>
      <c r="CU86" s="12" t="n"/>
      <c r="CV86" s="12" t="n"/>
      <c r="CW86" s="12" t="n"/>
      <c r="CX86" s="12" t="n"/>
      <c r="CY86" s="12" t="n"/>
    </row>
    <row r="87" hidden="1" outlineLevel="1">
      <c r="C87" s="57" t="inlineStr">
        <is>
          <t>Current portion of long-term debt</t>
        </is>
      </c>
      <c r="D87" s="12" t="n"/>
      <c r="E87" s="12" t="n"/>
      <c r="F87" s="12" t="n"/>
      <c r="G87" s="12" t="n"/>
      <c r="H87" s="12" t="n"/>
      <c r="I87" s="296">
        <f>I211</f>
        <v>113.698</v>
      </c>
      <c r="J87" s="296">
        <f>J211</f>
        <v>126.835</v>
      </c>
      <c r="K87" s="296">
        <f>K211</f>
        <v>112.867</v>
      </c>
      <c r="L87" s="296">
        <f>L211</f>
        <v>208.959</v>
      </c>
      <c r="M87" s="296">
        <f>M211</f>
        <v>208.959</v>
      </c>
      <c r="N87" s="296">
        <f>N211</f>
        <v>204.389</v>
      </c>
      <c r="O87" s="296">
        <f>O211</f>
        <v>226.936</v>
      </c>
      <c r="P87" s="296">
        <f>P211</f>
        <v>236.588</v>
      </c>
      <c r="Q87" s="296">
        <f>Q211</f>
        <v>276.615</v>
      </c>
      <c r="R87" s="296">
        <f>R211</f>
        <v>276.615</v>
      </c>
      <c r="S87" s="296">
        <f>S211</f>
        <v>285.512</v>
      </c>
      <c r="T87" s="296">
        <f>T211</f>
        <v>952.657</v>
      </c>
      <c r="U87" s="296">
        <f>U211</f>
        <v>434.788</v>
      </c>
      <c r="V87" s="296">
        <f>V211</f>
        <v>851.786</v>
      </c>
      <c r="W87" s="296">
        <f>W211</f>
        <v>851.786</v>
      </c>
      <c r="X87" s="296">
        <f>X211</f>
        <v>858.787</v>
      </c>
      <c r="Y87" s="296">
        <f>Y211</f>
        <v>768.853</v>
      </c>
      <c r="Z87" s="296">
        <f>Z211</f>
        <v>799.536</v>
      </c>
      <c r="AA87" s="296">
        <f>AA211</f>
        <v>2698.72</v>
      </c>
      <c r="AB87" s="296">
        <f>AB211</f>
        <v>2698.72</v>
      </c>
      <c r="AC87" s="296">
        <f>AC211</f>
        <v>2428.008</v>
      </c>
      <c r="AD87" s="296">
        <f>AD211</f>
        <v>2151.933</v>
      </c>
      <c r="AE87" s="296">
        <f>AE211</f>
        <v>2235.097</v>
      </c>
      <c r="AF87" s="296">
        <f>AF211</f>
        <v>1938.34</v>
      </c>
      <c r="AG87" s="296">
        <f>AG211</f>
        <v>1938.34</v>
      </c>
      <c r="AH87" s="296">
        <f>AH211</f>
        <v>2116.307</v>
      </c>
      <c r="AI87" s="296">
        <f>AI211</f>
        <v>1922.546</v>
      </c>
      <c r="AJ87" s="296">
        <f>AJ211</f>
        <v>1922.546</v>
      </c>
      <c r="AK87" s="296">
        <f>AK211</f>
        <v>1922.546</v>
      </c>
      <c r="AL87" s="296">
        <f>AL211</f>
        <v>1922.546</v>
      </c>
      <c r="AM87" s="296">
        <f>AM211</f>
        <v>1922.546</v>
      </c>
      <c r="AN87" s="296">
        <f>AN211</f>
        <v>1922.546</v>
      </c>
      <c r="AO87" s="296">
        <f>AO211</f>
        <v>1922.546</v>
      </c>
      <c r="AP87" s="296">
        <f>AP211</f>
        <v>1922.546</v>
      </c>
      <c r="AQ87" s="296">
        <f>AQ211</f>
        <v>1922.546</v>
      </c>
      <c r="AR87" s="296">
        <f>AR211</f>
        <v>1922.546</v>
      </c>
      <c r="AS87" s="296">
        <f>AS211</f>
        <v>1922.546</v>
      </c>
      <c r="AT87" s="296">
        <f>AT211</f>
        <v>1922.546</v>
      </c>
      <c r="AU87" s="296">
        <f>AU211</f>
        <v>1922.546</v>
      </c>
      <c r="AV87" s="296">
        <f>AV211</f>
        <v>1922.546</v>
      </c>
      <c r="AW87" s="296">
        <f>AW211</f>
        <v>1922.546</v>
      </c>
      <c r="AX87" s="296">
        <f>AX211</f>
        <v>1922.546</v>
      </c>
      <c r="AY87" s="296">
        <f>AY211</f>
        <v>1922.546</v>
      </c>
      <c r="AZ87" s="296">
        <f>AZ211</f>
        <v>1922.546</v>
      </c>
      <c r="BA87" s="296">
        <f>BA211</f>
        <v>1922.546</v>
      </c>
      <c r="BB87" s="296">
        <f>BB211</f>
        <v>1922.546</v>
      </c>
      <c r="BC87" s="296">
        <f>BC211</f>
        <v>1922.546</v>
      </c>
      <c r="BD87" s="296">
        <f>BD211</f>
        <v>1922.546</v>
      </c>
      <c r="BE87" s="296">
        <f>BE211</f>
        <v>1922.546</v>
      </c>
      <c r="BF87" s="296">
        <f>BF211</f>
        <v>1922.546</v>
      </c>
      <c r="BG87" s="12" t="n"/>
      <c r="BH87" s="12" t="n"/>
      <c r="BI87" s="12" t="n"/>
      <c r="BJ87" s="12" t="n"/>
      <c r="BK87" s="12" t="n"/>
      <c r="BL87" s="12" t="n"/>
      <c r="BM87" s="12" t="n"/>
      <c r="BN87" s="12" t="n"/>
      <c r="BO87" s="12" t="n"/>
      <c r="BP87" s="12" t="n"/>
      <c r="BQ87" s="12" t="n"/>
      <c r="BR87" s="12" t="n"/>
      <c r="BS87" s="12" t="n"/>
      <c r="BT87" s="12" t="n"/>
      <c r="BU87" s="12" t="n"/>
      <c r="BV87" s="12" t="n"/>
      <c r="BW87" s="12" t="n"/>
      <c r="BX87" s="12" t="n"/>
      <c r="BY87" s="12" t="n"/>
      <c r="BZ87" s="12" t="n"/>
      <c r="CA87" s="12" t="n"/>
      <c r="CB87" s="12" t="n"/>
      <c r="CC87" s="12" t="n"/>
      <c r="CD87" s="12" t="n"/>
      <c r="CE87" s="12" t="n"/>
      <c r="CF87" s="12" t="n"/>
      <c r="CG87" s="12" t="n"/>
      <c r="CH87" s="12" t="n"/>
      <c r="CI87" s="12" t="n"/>
      <c r="CJ87" s="12" t="n"/>
      <c r="CK87" s="12" t="n"/>
      <c r="CL87" s="12" t="n"/>
      <c r="CM87" s="12" t="n"/>
      <c r="CN87" s="12" t="n"/>
      <c r="CO87" s="12" t="n"/>
      <c r="CP87" s="12" t="n"/>
      <c r="CQ87" s="12" t="n"/>
      <c r="CR87" s="12" t="n"/>
      <c r="CS87" s="12" t="n"/>
      <c r="CT87" s="12" t="n"/>
      <c r="CU87" s="12" t="n"/>
      <c r="CV87" s="12" t="n"/>
      <c r="CW87" s="12" t="n"/>
      <c r="CX87" s="12" t="n"/>
      <c r="CY87" s="12" t="n"/>
    </row>
    <row r="88" hidden="1" outlineLevel="1">
      <c r="C88" s="57" t="inlineStr">
        <is>
          <t>Short term debt (Revolving credit facility)</t>
        </is>
      </c>
      <c r="D88" s="12" t="n"/>
      <c r="E88" s="12" t="n"/>
      <c r="F88" s="12" t="n"/>
      <c r="G88" s="12" t="n"/>
      <c r="H88" s="12" t="n"/>
      <c r="I88" s="296">
        <f>I212</f>
        <v>0</v>
      </c>
      <c r="J88" s="296">
        <f>J212</f>
        <v>0</v>
      </c>
      <c r="K88" s="296">
        <f>K212</f>
        <v>0</v>
      </c>
      <c r="L88" s="296">
        <f>L212</f>
        <v>0</v>
      </c>
      <c r="M88" s="296">
        <f>M212</f>
        <v>0</v>
      </c>
      <c r="N88" s="296">
        <f>N212</f>
        <v>0</v>
      </c>
      <c r="O88" s="296">
        <f>O212</f>
        <v>0</v>
      </c>
      <c r="P88" s="296">
        <f>P212</f>
        <v>0</v>
      </c>
      <c r="Q88" s="296">
        <f>Q212</f>
        <v>0</v>
      </c>
      <c r="R88" s="296">
        <f>R212</f>
        <v>0</v>
      </c>
      <c r="S88" s="296">
        <f>S212</f>
        <v>0</v>
      </c>
      <c r="T88" s="296">
        <f>T212</f>
        <v>0</v>
      </c>
      <c r="U88" s="296">
        <f>U212</f>
        <v>0</v>
      </c>
      <c r="V88" s="296">
        <f>V212</f>
        <v>0</v>
      </c>
      <c r="W88" s="296">
        <f>W212</f>
        <v>0</v>
      </c>
      <c r="X88" s="296">
        <f>X212</f>
        <v>0</v>
      </c>
      <c r="Y88" s="296">
        <f>Y212</f>
        <v>0</v>
      </c>
      <c r="Z88" s="296">
        <f>Z212</f>
        <v>0</v>
      </c>
      <c r="AA88" s="296">
        <f>AA212</f>
        <v>0</v>
      </c>
      <c r="AB88" s="296">
        <f>AB212</f>
        <v>0</v>
      </c>
      <c r="AC88" s="296">
        <f>AC212</f>
        <v>0</v>
      </c>
      <c r="AD88" s="296">
        <f>AD212</f>
        <v>0</v>
      </c>
      <c r="AE88" s="296">
        <f>AE212</f>
        <v>0</v>
      </c>
      <c r="AF88" s="296">
        <f>AF212</f>
        <v>0</v>
      </c>
      <c r="AG88" s="296">
        <f>AG212</f>
        <v>0</v>
      </c>
      <c r="AH88" s="296">
        <f>AH212</f>
        <v>0</v>
      </c>
      <c r="AI88" s="296">
        <f>AI212</f>
        <v>0</v>
      </c>
      <c r="AJ88" s="296">
        <f>AJ212</f>
        <v>0</v>
      </c>
      <c r="AK88" s="296">
        <f>AK212</f>
        <v>0</v>
      </c>
      <c r="AL88" s="296">
        <f>AL212</f>
        <v>0</v>
      </c>
      <c r="AM88" s="296">
        <f>AM212</f>
        <v>0</v>
      </c>
      <c r="AN88" s="296">
        <f>AN212</f>
        <v>0</v>
      </c>
      <c r="AO88" s="296">
        <f>AO212</f>
        <v>0</v>
      </c>
      <c r="AP88" s="296">
        <f>AP212</f>
        <v>0</v>
      </c>
      <c r="AQ88" s="296">
        <f>AQ212</f>
        <v>0</v>
      </c>
      <c r="AR88" s="296">
        <f>AR212</f>
        <v>0</v>
      </c>
      <c r="AS88" s="296">
        <f>AS212</f>
        <v>0</v>
      </c>
      <c r="AT88" s="296">
        <f>AT212</f>
        <v>0</v>
      </c>
      <c r="AU88" s="296">
        <f>AU212</f>
        <v>0</v>
      </c>
      <c r="AV88" s="296">
        <f>AV212</f>
        <v>0</v>
      </c>
      <c r="AW88" s="296">
        <f>AW212</f>
        <v>0</v>
      </c>
      <c r="AX88" s="296">
        <f>AX212</f>
        <v>0</v>
      </c>
      <c r="AY88" s="296">
        <f>AY212</f>
        <v>0</v>
      </c>
      <c r="AZ88" s="296">
        <f>AZ212</f>
        <v>0</v>
      </c>
      <c r="BA88" s="296">
        <f>BA212</f>
        <v>0</v>
      </c>
      <c r="BB88" s="296">
        <f>BB212</f>
        <v>0</v>
      </c>
      <c r="BC88" s="296">
        <f>BC212</f>
        <v>0</v>
      </c>
      <c r="BD88" s="296">
        <f>BD212</f>
        <v>0</v>
      </c>
      <c r="BE88" s="296">
        <f>BE212</f>
        <v>0</v>
      </c>
      <c r="BF88" s="296">
        <f>BF212</f>
        <v>0</v>
      </c>
      <c r="BG88" s="12" t="n"/>
      <c r="BH88" s="12" t="n"/>
      <c r="BI88" s="12" t="n"/>
      <c r="BJ88" s="12" t="n"/>
      <c r="BK88" s="12" t="n"/>
      <c r="BL88" s="12" t="n"/>
      <c r="BM88" s="12" t="n"/>
      <c r="BN88" s="12" t="n"/>
      <c r="BO88" s="12" t="n"/>
      <c r="BP88" s="12" t="n"/>
      <c r="BQ88" s="12" t="n"/>
      <c r="BR88" s="12" t="n"/>
      <c r="BS88" s="12" t="n"/>
      <c r="BT88" s="12" t="n"/>
      <c r="BU88" s="12" t="n"/>
      <c r="BV88" s="12" t="n"/>
      <c r="BW88" s="12" t="n"/>
      <c r="BX88" s="12" t="n"/>
      <c r="BY88" s="12" t="n"/>
      <c r="BZ88" s="12" t="n"/>
      <c r="CA88" s="12" t="n"/>
      <c r="CB88" s="12" t="n"/>
      <c r="CC88" s="12" t="n"/>
      <c r="CD88" s="12" t="n"/>
      <c r="CE88" s="12" t="n"/>
      <c r="CF88" s="12" t="n"/>
      <c r="CG88" s="12" t="n"/>
      <c r="CH88" s="12" t="n"/>
      <c r="CI88" s="12" t="n"/>
      <c r="CJ88" s="12" t="n"/>
      <c r="CK88" s="12" t="n"/>
      <c r="CL88" s="12" t="n"/>
      <c r="CM88" s="12" t="n"/>
      <c r="CN88" s="12" t="n"/>
      <c r="CO88" s="12" t="n"/>
      <c r="CP88" s="12" t="n"/>
      <c r="CQ88" s="12" t="n"/>
      <c r="CR88" s="12" t="n"/>
      <c r="CS88" s="12" t="n"/>
      <c r="CT88" s="12" t="n"/>
      <c r="CU88" s="12" t="n"/>
      <c r="CV88" s="12" t="n"/>
      <c r="CW88" s="12" t="n"/>
      <c r="CX88" s="12" t="n"/>
      <c r="CY88" s="12" t="n"/>
    </row>
    <row r="89" hidden="1" outlineLevel="1">
      <c r="C89" s="57" t="inlineStr">
        <is>
          <t>Long term debt</t>
        </is>
      </c>
      <c r="D89" s="12" t="n"/>
      <c r="E89" s="12" t="n"/>
      <c r="F89" s="12" t="n"/>
      <c r="G89" s="12" t="n"/>
      <c r="H89" s="12" t="n"/>
      <c r="I89" s="296">
        <f>I216</f>
        <v>3642.749</v>
      </c>
      <c r="J89" s="296">
        <f>J216</f>
        <v>3659.591</v>
      </c>
      <c r="K89" s="296">
        <f>K216</f>
        <v>4209.506</v>
      </c>
      <c r="L89" s="296">
        <f>L216</f>
        <v>4501.915</v>
      </c>
      <c r="M89" s="296">
        <f>M216</f>
        <v>4501.915</v>
      </c>
      <c r="N89" s="296">
        <f>N216</f>
        <v>4623.916</v>
      </c>
      <c r="O89" s="296">
        <f>O216</f>
        <v>5358.69</v>
      </c>
      <c r="P89" s="296">
        <f>P216</f>
        <v>5492.2</v>
      </c>
      <c r="Q89" s="296">
        <f>Q216</f>
        <v>5553.602</v>
      </c>
      <c r="R89" s="296">
        <f>R216</f>
        <v>5553.602</v>
      </c>
      <c r="S89" s="296">
        <f>S216</f>
        <v>5835.248</v>
      </c>
      <c r="T89" s="296">
        <f>T216</f>
        <v>5728.692</v>
      </c>
      <c r="U89" s="296">
        <f>U216</f>
        <v>5711.036</v>
      </c>
      <c r="V89" s="296">
        <f>V216</f>
        <v>5500.048</v>
      </c>
      <c r="W89" s="296">
        <f>W216</f>
        <v>5500.048</v>
      </c>
      <c r="X89" s="296">
        <f>X216</f>
        <v>5614.407</v>
      </c>
      <c r="Y89" s="296">
        <f>Y216</f>
        <v>7476.85</v>
      </c>
      <c r="Z89" s="296">
        <f>Z216</f>
        <v>7511.764</v>
      </c>
      <c r="AA89" s="296">
        <f>AA216</f>
        <v>24346.016</v>
      </c>
      <c r="AB89" s="296">
        <f>AB216</f>
        <v>24346.016</v>
      </c>
      <c r="AC89" s="296">
        <f>AC216</f>
        <v>23564.273</v>
      </c>
      <c r="AD89" s="296">
        <f>AD216</f>
        <v>22351.556</v>
      </c>
      <c r="AE89" s="296">
        <f>AE216</f>
        <v>22593.796</v>
      </c>
      <c r="AF89" s="296">
        <f>AF216</f>
        <v>22582.913</v>
      </c>
      <c r="AG89" s="296">
        <f>AG216</f>
        <v>22582.913</v>
      </c>
      <c r="AH89" s="296">
        <f>AH216</f>
        <v>21574.755</v>
      </c>
      <c r="AI89" s="296">
        <f>AI216</f>
        <v>21568.987</v>
      </c>
      <c r="AJ89" s="296">
        <f>AJ216</f>
        <v>21568.987</v>
      </c>
      <c r="AK89" s="296">
        <f>AK216</f>
        <v>21568.987</v>
      </c>
      <c r="AL89" s="296">
        <f>AL216</f>
        <v>21568.987</v>
      </c>
      <c r="AM89" s="296">
        <f>AM216</f>
        <v>21568.987</v>
      </c>
      <c r="AN89" s="296">
        <f>AN216</f>
        <v>21568.987</v>
      </c>
      <c r="AO89" s="296">
        <f>AO216</f>
        <v>21568.987</v>
      </c>
      <c r="AP89" s="296">
        <f>AP216</f>
        <v>21568.987</v>
      </c>
      <c r="AQ89" s="296">
        <f>AQ216</f>
        <v>21568.987</v>
      </c>
      <c r="AR89" s="296">
        <f>AR216</f>
        <v>21568.987</v>
      </c>
      <c r="AS89" s="296">
        <f>AS216</f>
        <v>21568.987</v>
      </c>
      <c r="AT89" s="296">
        <f>AT216</f>
        <v>21568.987</v>
      </c>
      <c r="AU89" s="296">
        <f>AU216</f>
        <v>21568.987</v>
      </c>
      <c r="AV89" s="296">
        <f>AV216</f>
        <v>21568.987</v>
      </c>
      <c r="AW89" s="296">
        <f>AW216</f>
        <v>21568.987</v>
      </c>
      <c r="AX89" s="296">
        <f>AX216</f>
        <v>21568.987</v>
      </c>
      <c r="AY89" s="296">
        <f>AY216</f>
        <v>21568.987</v>
      </c>
      <c r="AZ89" s="296">
        <f>AZ216</f>
        <v>21568.987</v>
      </c>
      <c r="BA89" s="296">
        <f>BA216</f>
        <v>21568.987</v>
      </c>
      <c r="BB89" s="296">
        <f>BB216</f>
        <v>21568.987</v>
      </c>
      <c r="BC89" s="296">
        <f>BC216</f>
        <v>21568.987</v>
      </c>
      <c r="BD89" s="296">
        <f>BD216</f>
        <v>21568.987</v>
      </c>
      <c r="BE89" s="296">
        <f>BE216</f>
        <v>21568.987</v>
      </c>
      <c r="BF89" s="296">
        <f>BF216</f>
        <v>21568.987</v>
      </c>
      <c r="BG89" s="12" t="n"/>
      <c r="BH89" s="12" t="n"/>
      <c r="BI89" s="12" t="n"/>
      <c r="BJ89" s="12" t="n"/>
      <c r="BK89" s="12" t="n"/>
      <c r="BL89" s="12" t="n"/>
      <c r="BM89" s="12" t="n"/>
      <c r="BN89" s="12" t="n"/>
      <c r="BO89" s="12" t="n"/>
      <c r="BP89" s="12" t="n"/>
      <c r="BQ89" s="12" t="n"/>
      <c r="BR89" s="12" t="n"/>
      <c r="BS89" s="12" t="n"/>
      <c r="BT89" s="12" t="n"/>
      <c r="BU89" s="12" t="n"/>
      <c r="BV89" s="12" t="n"/>
      <c r="BW89" s="12" t="n"/>
      <c r="BX89" s="12" t="n"/>
      <c r="BY89" s="12" t="n"/>
      <c r="BZ89" s="12" t="n"/>
      <c r="CA89" s="12" t="n"/>
      <c r="CB89" s="12" t="n"/>
      <c r="CC89" s="12" t="n"/>
      <c r="CD89" s="12" t="n"/>
      <c r="CE89" s="12" t="n"/>
      <c r="CF89" s="12" t="n"/>
      <c r="CG89" s="12" t="n"/>
      <c r="CH89" s="12" t="n"/>
      <c r="CI89" s="12" t="n"/>
      <c r="CJ89" s="12" t="n"/>
      <c r="CK89" s="12" t="n"/>
      <c r="CL89" s="12" t="n"/>
      <c r="CM89" s="12" t="n"/>
      <c r="CN89" s="12" t="n"/>
      <c r="CO89" s="12" t="n"/>
      <c r="CP89" s="12" t="n"/>
      <c r="CQ89" s="12" t="n"/>
      <c r="CR89" s="12" t="n"/>
      <c r="CS89" s="12" t="n"/>
      <c r="CT89" s="12" t="n"/>
      <c r="CU89" s="12" t="n"/>
      <c r="CV89" s="12" t="n"/>
      <c r="CW89" s="12" t="n"/>
      <c r="CX89" s="12" t="n"/>
      <c r="CY89" s="12" t="n"/>
    </row>
    <row r="90" hidden="1" outlineLevel="1">
      <c r="C90" s="57" t="inlineStr">
        <is>
          <t>Convertible debt</t>
        </is>
      </c>
      <c r="D90" s="12" t="n"/>
      <c r="E90" s="12" t="n"/>
      <c r="F90" s="12" t="n"/>
      <c r="G90" s="12" t="n"/>
      <c r="H90" s="12" t="n"/>
      <c r="I90" s="296">
        <f>I237</f>
        <v>0</v>
      </c>
      <c r="J90" s="296">
        <f>J237</f>
        <v>0</v>
      </c>
      <c r="K90" s="296">
        <f>K237</f>
        <v>0</v>
      </c>
      <c r="L90" s="296">
        <f>L237</f>
        <v>0</v>
      </c>
      <c r="M90" s="296">
        <f>M237</f>
        <v>0</v>
      </c>
      <c r="N90" s="296">
        <f>N237</f>
        <v>0</v>
      </c>
      <c r="O90" s="296">
        <f>O237</f>
        <v>0</v>
      </c>
      <c r="P90" s="296">
        <f>P237</f>
        <v>0</v>
      </c>
      <c r="Q90" s="296">
        <f>Q237</f>
        <v>0</v>
      </c>
      <c r="R90" s="296">
        <f>R237</f>
        <v>0</v>
      </c>
      <c r="S90" s="296">
        <f>S237</f>
        <v>0</v>
      </c>
      <c r="T90" s="296">
        <f>T237</f>
        <v>0</v>
      </c>
      <c r="U90" s="296">
        <f>U237</f>
        <v>0</v>
      </c>
      <c r="V90" s="296">
        <f>V237</f>
        <v>0</v>
      </c>
      <c r="W90" s="296">
        <f>W237</f>
        <v>0</v>
      </c>
      <c r="X90" s="296">
        <f>X237</f>
        <v>0</v>
      </c>
      <c r="Y90" s="296">
        <f>Y237</f>
        <v>0</v>
      </c>
      <c r="Z90" s="296">
        <f>Z237</f>
        <v>0</v>
      </c>
      <c r="AA90" s="296">
        <f>AA237</f>
        <v>0</v>
      </c>
      <c r="AB90" s="296">
        <f>AB237</f>
        <v>0</v>
      </c>
      <c r="AC90" s="296">
        <f>AC237</f>
        <v>0</v>
      </c>
      <c r="AD90" s="296">
        <f>AD237</f>
        <v>0</v>
      </c>
      <c r="AE90" s="296">
        <f>AE237</f>
        <v>0</v>
      </c>
      <c r="AF90" s="296">
        <f>AF237</f>
        <v>0</v>
      </c>
      <c r="AG90" s="296">
        <f>AG237</f>
        <v>0</v>
      </c>
      <c r="AH90" s="296">
        <f>AH237</f>
        <v>0</v>
      </c>
      <c r="AI90" s="296">
        <f>AI237</f>
        <v>0</v>
      </c>
      <c r="AJ90" s="296">
        <f>AJ237</f>
        <v>0</v>
      </c>
      <c r="AK90" s="296">
        <f>AK237</f>
        <v>0</v>
      </c>
      <c r="AL90" s="296">
        <f>AL237</f>
        <v>0</v>
      </c>
      <c r="AM90" s="296">
        <f>AM237</f>
        <v>0</v>
      </c>
      <c r="AN90" s="296">
        <f>AN237</f>
        <v>0</v>
      </c>
      <c r="AO90" s="296">
        <f>AO237</f>
        <v>0</v>
      </c>
      <c r="AP90" s="296">
        <f>AP237</f>
        <v>0</v>
      </c>
      <c r="AQ90" s="296">
        <f>AQ237</f>
        <v>0</v>
      </c>
      <c r="AR90" s="296">
        <f>AR237</f>
        <v>0</v>
      </c>
      <c r="AS90" s="296">
        <f>AS237</f>
        <v>0</v>
      </c>
      <c r="AT90" s="296">
        <f>AT237</f>
        <v>0</v>
      </c>
      <c r="AU90" s="296">
        <f>AU237</f>
        <v>0</v>
      </c>
      <c r="AV90" s="296">
        <f>AV237</f>
        <v>0</v>
      </c>
      <c r="AW90" s="296">
        <f>AW237</f>
        <v>0</v>
      </c>
      <c r="AX90" s="296">
        <f>AX237</f>
        <v>0</v>
      </c>
      <c r="AY90" s="296">
        <f>AY237</f>
        <v>0</v>
      </c>
      <c r="AZ90" s="296">
        <f>AZ237</f>
        <v>0</v>
      </c>
      <c r="BA90" s="296">
        <f>BA237</f>
        <v>0</v>
      </c>
      <c r="BB90" s="296">
        <f>BB237</f>
        <v>0</v>
      </c>
      <c r="BC90" s="296">
        <f>BC237</f>
        <v>0</v>
      </c>
      <c r="BD90" s="296">
        <f>BD237</f>
        <v>0</v>
      </c>
      <c r="BE90" s="296">
        <f>BE237</f>
        <v>0</v>
      </c>
      <c r="BF90" s="296">
        <f>BF237</f>
        <v>0</v>
      </c>
      <c r="BG90" s="12" t="n"/>
      <c r="BH90" s="12" t="n"/>
      <c r="BI90" s="12" t="n"/>
      <c r="BJ90" s="12" t="n"/>
      <c r="BK90" s="12" t="n"/>
      <c r="BL90" s="12" t="n"/>
      <c r="BM90" s="12" t="n"/>
      <c r="BN90" s="12" t="n"/>
      <c r="BO90" s="12" t="n"/>
      <c r="BP90" s="12" t="n"/>
      <c r="BQ90" s="12" t="n"/>
      <c r="BR90" s="12" t="n"/>
      <c r="BS90" s="12" t="n"/>
      <c r="BT90" s="12" t="n"/>
      <c r="BU90" s="12" t="n"/>
      <c r="BV90" s="12" t="n"/>
      <c r="BW90" s="12" t="n"/>
      <c r="BX90" s="12" t="n"/>
      <c r="BY90" s="12" t="n"/>
      <c r="BZ90" s="12" t="n"/>
      <c r="CA90" s="12" t="n"/>
      <c r="CB90" s="12" t="n"/>
      <c r="CC90" s="12" t="n"/>
      <c r="CD90" s="12" t="n"/>
      <c r="CE90" s="12" t="n"/>
      <c r="CF90" s="12" t="n"/>
      <c r="CG90" s="12" t="n"/>
      <c r="CH90" s="12" t="n"/>
      <c r="CI90" s="12" t="n"/>
      <c r="CJ90" s="12" t="n"/>
      <c r="CK90" s="12" t="n"/>
      <c r="CL90" s="12" t="n"/>
      <c r="CM90" s="12" t="n"/>
      <c r="CN90" s="12" t="n"/>
      <c r="CO90" s="12" t="n"/>
      <c r="CP90" s="12" t="n"/>
      <c r="CQ90" s="12" t="n"/>
      <c r="CR90" s="12" t="n"/>
      <c r="CS90" s="12" t="n"/>
      <c r="CT90" s="12" t="n"/>
      <c r="CU90" s="12" t="n"/>
      <c r="CV90" s="12" t="n"/>
      <c r="CW90" s="12" t="n"/>
      <c r="CX90" s="12" t="n"/>
      <c r="CY90" s="12" t="n"/>
    </row>
    <row r="91" hidden="1" outlineLevel="1">
      <c r="C91" s="57" t="inlineStr">
        <is>
          <t>Total debt</t>
        </is>
      </c>
      <c r="D91" s="12" t="n"/>
      <c r="E91" s="12" t="n"/>
      <c r="F91" s="12" t="n"/>
      <c r="G91" s="12" t="n"/>
      <c r="H91" s="12" t="n"/>
      <c r="I91" s="296">
        <f>SUM(I87:I90)</f>
        <v>3756.447</v>
      </c>
      <c r="J91" s="296">
        <f>SUM(J87:J90)</f>
        <v>3786.426</v>
      </c>
      <c r="K91" s="296">
        <f>SUM(K87:K90)</f>
        <v>4322.373</v>
      </c>
      <c r="L91" s="296">
        <f>SUM(L87:L90)</f>
        <v>4710.874</v>
      </c>
      <c r="M91" s="296">
        <f>SUM(M87:M90)</f>
        <v>4710.874</v>
      </c>
      <c r="N91" s="296">
        <f>SUM(N87:N90)</f>
        <v>4828.305</v>
      </c>
      <c r="O91" s="296">
        <f>SUM(O87:O90)</f>
        <v>5585.626</v>
      </c>
      <c r="P91" s="296">
        <f>SUM(P87:P90)</f>
        <v>5728.788</v>
      </c>
      <c r="Q91" s="296">
        <f>SUM(Q87:Q90)</f>
        <v>5830.217</v>
      </c>
      <c r="R91" s="296">
        <f>SUM(R87:R90)</f>
        <v>5830.217</v>
      </c>
      <c r="S91" s="296">
        <f>SUM(S87:S90)</f>
        <v>6120.76</v>
      </c>
      <c r="T91" s="296">
        <f>SUM(T87:T90)</f>
        <v>6681.349</v>
      </c>
      <c r="U91" s="296">
        <f>SUM(U87:U90)</f>
        <v>6145.824</v>
      </c>
      <c r="V91" s="296">
        <f>SUM(V87:V90)</f>
        <v>6351.834</v>
      </c>
      <c r="W91" s="296">
        <f>SUM(W87:W90)</f>
        <v>6351.834</v>
      </c>
      <c r="X91" s="296">
        <f>SUM(X87:X90)</f>
        <v>6473.194</v>
      </c>
      <c r="Y91" s="296">
        <f>SUM(Y87:Y90)</f>
        <v>8245.703</v>
      </c>
      <c r="Z91" s="296">
        <f>SUM(Z87:Z90)</f>
        <v>8311.3</v>
      </c>
      <c r="AA91" s="296">
        <f>SUM(AA87:AA90)</f>
        <v>27044.736</v>
      </c>
      <c r="AB91" s="296">
        <f>SUM(AB87:AB90)</f>
        <v>27044.736</v>
      </c>
      <c r="AC91" s="296">
        <f>SUM(AC87:AC90)</f>
        <v>25992.281</v>
      </c>
      <c r="AD91" s="296">
        <f>SUM(AD87:AD90)</f>
        <v>24503.489</v>
      </c>
      <c r="AE91" s="296">
        <f>SUM(AE87:AE90)</f>
        <v>24828.893</v>
      </c>
      <c r="AF91" s="296">
        <f>SUM(AF87:AF90)</f>
        <v>24521.253</v>
      </c>
      <c r="AG91" s="296">
        <f>SUM(AG87:AG90)</f>
        <v>24521.253</v>
      </c>
      <c r="AH91" s="296">
        <f>SUM(AH87:AH90)</f>
        <v>23691.062</v>
      </c>
      <c r="AI91" s="296">
        <f>SUM(AI87:AI90)</f>
        <v>23491.533</v>
      </c>
      <c r="AJ91" s="296">
        <f>SUM(AJ87:AJ90)</f>
        <v>23491.533</v>
      </c>
      <c r="AK91" s="296">
        <f>SUM(AK87:AK90)</f>
        <v>23491.533</v>
      </c>
      <c r="AL91" s="296">
        <f>SUM(AL87:AL90)</f>
        <v>23491.533</v>
      </c>
      <c r="AM91" s="296">
        <f>SUM(AM87:AM90)</f>
        <v>23491.533</v>
      </c>
      <c r="AN91" s="296">
        <f>SUM(AN87:AN90)</f>
        <v>23491.533</v>
      </c>
      <c r="AO91" s="296">
        <f>SUM(AO87:AO90)</f>
        <v>23491.533</v>
      </c>
      <c r="AP91" s="296">
        <f>SUM(AP87:AP90)</f>
        <v>23491.533</v>
      </c>
      <c r="AQ91" s="296">
        <f>SUM(AQ87:AQ90)</f>
        <v>23491.533</v>
      </c>
      <c r="AR91" s="296">
        <f>SUM(AR87:AR90)</f>
        <v>23491.533</v>
      </c>
      <c r="AS91" s="296">
        <f>SUM(AS87:AS90)</f>
        <v>23491.533</v>
      </c>
      <c r="AT91" s="296">
        <f>SUM(AT87:AT90)</f>
        <v>23491.533</v>
      </c>
      <c r="AU91" s="296">
        <f>SUM(AU87:AU90)</f>
        <v>23491.533</v>
      </c>
      <c r="AV91" s="296">
        <f>SUM(AV87:AV90)</f>
        <v>23491.533</v>
      </c>
      <c r="AW91" s="296">
        <f>SUM(AW87:AW90)</f>
        <v>23491.533</v>
      </c>
      <c r="AX91" s="296">
        <f>SUM(AX87:AX90)</f>
        <v>23491.533</v>
      </c>
      <c r="AY91" s="296">
        <f>SUM(AY87:AY90)</f>
        <v>23491.533</v>
      </c>
      <c r="AZ91" s="296">
        <f>SUM(AZ87:AZ90)</f>
        <v>23491.533</v>
      </c>
      <c r="BA91" s="296">
        <f>SUM(BA87:BA90)</f>
        <v>23491.533</v>
      </c>
      <c r="BB91" s="296">
        <f>SUM(BB87:BB90)</f>
        <v>23491.533</v>
      </c>
      <c r="BC91" s="296">
        <f>SUM(BC87:BC90)</f>
        <v>23491.533</v>
      </c>
      <c r="BD91" s="296">
        <f>SUM(BD87:BD90)</f>
        <v>23491.533</v>
      </c>
      <c r="BE91" s="296">
        <f>SUM(BE87:BE90)</f>
        <v>23491.533</v>
      </c>
      <c r="BF91" s="296">
        <f>SUM(BF87:BF90)</f>
        <v>23491.533</v>
      </c>
      <c r="BG91" s="12" t="n"/>
      <c r="BH91" s="12" t="n"/>
      <c r="BI91" s="12" t="n"/>
      <c r="BJ91" s="12" t="n"/>
      <c r="BK91" s="12" t="n"/>
      <c r="BL91" s="12" t="n"/>
      <c r="BM91" s="12" t="n"/>
      <c r="BN91" s="12" t="n"/>
      <c r="BO91" s="12" t="n"/>
      <c r="BP91" s="12" t="n"/>
      <c r="BQ91" s="12" t="n"/>
      <c r="BR91" s="12" t="n"/>
      <c r="BS91" s="12" t="n"/>
      <c r="BT91" s="12" t="n"/>
      <c r="BU91" s="12" t="n"/>
      <c r="BV91" s="12" t="n"/>
      <c r="BW91" s="12" t="n"/>
      <c r="BX91" s="12" t="n"/>
      <c r="BY91" s="12" t="n"/>
      <c r="BZ91" s="12" t="n"/>
      <c r="CA91" s="12" t="n"/>
      <c r="CB91" s="12" t="n"/>
      <c r="CC91" s="12" t="n"/>
      <c r="CD91" s="12" t="n"/>
      <c r="CE91" s="12" t="n"/>
      <c r="CF91" s="12" t="n"/>
      <c r="CG91" s="12" t="n"/>
      <c r="CH91" s="12" t="n"/>
      <c r="CI91" s="12" t="n"/>
      <c r="CJ91" s="12" t="n"/>
      <c r="CK91" s="12" t="n"/>
      <c r="CL91" s="12" t="n"/>
      <c r="CM91" s="12" t="n"/>
      <c r="CN91" s="12" t="n"/>
      <c r="CO91" s="12" t="n"/>
      <c r="CP91" s="12" t="n"/>
      <c r="CQ91" s="12" t="n"/>
      <c r="CR91" s="12" t="n"/>
      <c r="CS91" s="12" t="n"/>
      <c r="CT91" s="12" t="n"/>
      <c r="CU91" s="12" t="n"/>
      <c r="CV91" s="12" t="n"/>
      <c r="CW91" s="12" t="n"/>
      <c r="CX91" s="12" t="n"/>
      <c r="CY91" s="12" t="n"/>
    </row>
    <row r="92" hidden="1" outlineLevel="1">
      <c r="C92" s="57" t="inlineStr">
        <is>
          <t>Interest expense</t>
        </is>
      </c>
      <c r="D92" s="12" t="n"/>
      <c r="E92" s="12" t="n"/>
      <c r="F92" s="12" t="n"/>
      <c r="G92" s="12" t="n"/>
      <c r="H92" s="12" t="n"/>
      <c r="I92" s="12" t="n"/>
      <c r="J92" s="12" t="n"/>
      <c r="K92" s="12" t="n"/>
      <c r="L92" s="12" t="n"/>
      <c r="M92" s="12" t="n"/>
      <c r="N92" s="12" t="n"/>
      <c r="O92" s="12" t="n"/>
      <c r="P92" s="12" t="n"/>
      <c r="Q92" s="12" t="n"/>
      <c r="R92" s="12" t="n"/>
      <c r="S92" s="12" t="n"/>
      <c r="T92" s="12" t="n"/>
      <c r="U92" s="12" t="n"/>
      <c r="V92" s="12" t="n"/>
      <c r="W92" s="12" t="n"/>
      <c r="X92" s="12" t="n"/>
      <c r="Y92" s="12" t="n"/>
      <c r="Z92" s="12" t="n"/>
      <c r="AA92" s="12" t="n"/>
      <c r="AB92" s="12" t="n"/>
      <c r="AC92" s="12" t="n"/>
      <c r="AD92" s="12" t="n"/>
      <c r="AE92" s="12" t="n"/>
      <c r="AF92" s="12" t="n"/>
      <c r="AG92" s="12" t="n"/>
      <c r="AH92" s="12" t="n"/>
      <c r="AI92" s="12" t="n"/>
      <c r="AJ92" s="12" t="n"/>
      <c r="AK92" s="12" t="n"/>
      <c r="AL92" s="12" t="n"/>
      <c r="AM92" s="12" t="n"/>
      <c r="AN92" s="12" t="n"/>
      <c r="AO92" s="12" t="n"/>
      <c r="AP92" s="12" t="n"/>
      <c r="AQ92" s="12" t="n"/>
      <c r="AR92" s="12" t="n"/>
      <c r="AS92" s="12" t="n"/>
      <c r="AT92" s="12" t="n"/>
      <c r="AU92" s="12" t="n"/>
      <c r="AV92" s="12" t="n"/>
      <c r="AW92" s="12" t="n"/>
      <c r="AX92" s="12" t="n"/>
      <c r="AY92" s="12" t="n"/>
      <c r="AZ92" s="12" t="n"/>
      <c r="BA92" s="12" t="n"/>
      <c r="BB92" s="12" t="n"/>
      <c r="BC92" s="12" t="n"/>
      <c r="BD92" s="12" t="n"/>
      <c r="BE92" s="12" t="n"/>
      <c r="BF92" s="12" t="n"/>
      <c r="BG92" s="12" t="n"/>
      <c r="BH92" s="12" t="n"/>
      <c r="BI92" s="12" t="n"/>
      <c r="BJ92" s="12" t="n"/>
      <c r="BK92" s="12" t="n"/>
      <c r="BL92" s="12" t="n"/>
      <c r="BM92" s="12" t="n"/>
      <c r="BN92" s="12" t="n"/>
      <c r="BO92" s="12" t="n"/>
      <c r="BP92" s="12" t="n"/>
      <c r="BQ92" s="12" t="n"/>
      <c r="BR92" s="12" t="n"/>
      <c r="BS92" s="12" t="n"/>
      <c r="BT92" s="12" t="n"/>
      <c r="BU92" s="12" t="n"/>
      <c r="BV92" s="12" t="n"/>
      <c r="BW92" s="12" t="n"/>
      <c r="BX92" s="12" t="n"/>
      <c r="BY92" s="12" t="n"/>
      <c r="BZ92" s="12" t="n"/>
      <c r="CA92" s="12" t="n"/>
      <c r="CB92" s="12" t="n"/>
      <c r="CC92" s="12" t="n"/>
      <c r="CD92" s="12" t="n"/>
      <c r="CE92" s="12" t="n"/>
      <c r="CF92" s="12" t="n"/>
      <c r="CG92" s="12" t="n"/>
      <c r="CH92" s="12" t="n"/>
      <c r="CI92" s="12" t="n"/>
      <c r="CJ92" s="12" t="n"/>
      <c r="CK92" s="12" t="n"/>
      <c r="CL92" s="12" t="n"/>
      <c r="CM92" s="12" t="n"/>
      <c r="CN92" s="12" t="n"/>
      <c r="CO92" s="12" t="n"/>
      <c r="CP92" s="12" t="n"/>
      <c r="CQ92" s="12" t="n"/>
      <c r="CR92" s="12" t="n"/>
      <c r="CS92" s="12" t="n"/>
      <c r="CT92" s="12" t="n"/>
      <c r="CU92" s="12" t="n"/>
      <c r="CV92" s="12" t="n"/>
      <c r="CW92" s="12" t="n"/>
      <c r="CX92" s="12" t="n"/>
      <c r="CY92" s="12" t="n"/>
    </row>
    <row r="93" hidden="1" outlineLevel="1">
      <c r="C93" s="57" t="inlineStr">
        <is>
          <t>Average interest rate</t>
        </is>
      </c>
      <c r="D93" s="12" t="n"/>
      <c r="E93" s="12" t="n"/>
      <c r="F93" s="12" t="n"/>
      <c r="G93" s="12" t="n"/>
      <c r="H93" s="12" t="n"/>
      <c r="I93" s="12" t="n"/>
      <c r="J93" s="12" t="n"/>
      <c r="K93" s="12" t="n"/>
      <c r="L93" s="12" t="n"/>
      <c r="M93" s="12" t="n"/>
      <c r="N93" s="12" t="n"/>
      <c r="O93" s="12" t="n"/>
      <c r="P93" s="12" t="n"/>
      <c r="Q93" s="12" t="n"/>
      <c r="R93" s="12" t="n"/>
      <c r="S93" s="12" t="n"/>
      <c r="T93" s="12" t="n"/>
      <c r="U93" s="12" t="n"/>
      <c r="V93" s="12" t="n"/>
      <c r="W93" s="12" t="n"/>
      <c r="X93" s="12" t="n"/>
      <c r="Y93" s="12" t="n"/>
      <c r="Z93" s="12" t="n"/>
      <c r="AA93" s="12" t="n"/>
      <c r="AB93" s="12" t="n"/>
      <c r="AC93" s="12" t="n"/>
      <c r="AD93" s="12" t="n"/>
      <c r="AE93" s="12" t="n"/>
      <c r="AF93" s="12" t="n"/>
      <c r="AG93" s="12" t="n"/>
      <c r="AH93" s="12" t="n"/>
      <c r="AI93" s="12" t="n"/>
      <c r="AJ93" s="12" t="n"/>
      <c r="AK93" s="12" t="n"/>
      <c r="AL93" s="12" t="n"/>
      <c r="AM93" s="12" t="n"/>
      <c r="AN93" s="12" t="n"/>
      <c r="AO93" s="12" t="n"/>
      <c r="AP93" s="12" t="n"/>
      <c r="AQ93" s="12" t="n"/>
      <c r="AR93" s="12" t="n"/>
      <c r="AS93" s="12" t="n"/>
      <c r="AT93" s="12" t="n"/>
      <c r="AU93" s="12" t="n"/>
      <c r="AV93" s="12" t="n"/>
      <c r="AW93" s="12" t="n"/>
      <c r="AX93" s="12" t="n"/>
      <c r="AY93" s="12" t="n"/>
      <c r="AZ93" s="12" t="n"/>
      <c r="BA93" s="12" t="n"/>
      <c r="BB93" s="12" t="n"/>
      <c r="BC93" s="12" t="n"/>
      <c r="BD93" s="12" t="n"/>
      <c r="BE93" s="12" t="n"/>
      <c r="BF93" s="12" t="n"/>
      <c r="BG93" s="12" t="n"/>
      <c r="BH93" s="12" t="n"/>
      <c r="BI93" s="12" t="n"/>
      <c r="BJ93" s="12" t="n"/>
      <c r="BK93" s="12" t="n"/>
      <c r="BL93" s="12" t="n"/>
      <c r="BM93" s="12" t="n"/>
      <c r="BN93" s="12" t="n"/>
      <c r="BO93" s="12" t="n"/>
      <c r="BP93" s="12" t="n"/>
      <c r="BQ93" s="12" t="n"/>
      <c r="BR93" s="12" t="n"/>
      <c r="BS93" s="12" t="n"/>
      <c r="BT93" s="12" t="n"/>
      <c r="BU93" s="12" t="n"/>
      <c r="BV93" s="12" t="n"/>
      <c r="BW93" s="12" t="n"/>
      <c r="BX93" s="12" t="n"/>
      <c r="BY93" s="12" t="n"/>
      <c r="BZ93" s="12" t="n"/>
      <c r="CA93" s="12" t="n"/>
      <c r="CB93" s="12" t="n"/>
      <c r="CC93" s="12" t="n"/>
      <c r="CD93" s="12" t="n"/>
      <c r="CE93" s="12" t="n"/>
      <c r="CF93" s="12" t="n"/>
      <c r="CG93" s="12" t="n"/>
      <c r="CH93" s="12" t="n"/>
      <c r="CI93" s="12" t="n"/>
      <c r="CJ93" s="12" t="n"/>
      <c r="CK93" s="12" t="n"/>
      <c r="CL93" s="12" t="n"/>
      <c r="CM93" s="12" t="n"/>
      <c r="CN93" s="12" t="n"/>
      <c r="CO93" s="12" t="n"/>
      <c r="CP93" s="12" t="n"/>
      <c r="CQ93" s="12" t="n"/>
      <c r="CR93" s="12" t="n"/>
      <c r="CS93" s="12" t="n"/>
      <c r="CT93" s="12" t="n"/>
      <c r="CU93" s="12" t="n"/>
      <c r="CV93" s="12" t="n"/>
      <c r="CW93" s="12" t="n"/>
      <c r="CX93" s="12" t="n"/>
      <c r="CY93" s="12" t="n"/>
    </row>
    <row r="94" hidden="1" outlineLevel="1">
      <c r="C94" s="57" t="n"/>
      <c r="D94" s="12" t="n"/>
      <c r="E94" s="12" t="n"/>
      <c r="F94" s="12" t="n"/>
      <c r="G94" s="12" t="n"/>
      <c r="H94" s="12" t="n"/>
      <c r="I94" s="12" t="n"/>
      <c r="J94" s="12" t="n"/>
      <c r="K94" s="12" t="n"/>
      <c r="L94" s="12" t="n"/>
      <c r="M94" s="12" t="n"/>
      <c r="N94" s="12" t="n"/>
      <c r="O94" s="12" t="n"/>
      <c r="P94" s="12" t="n"/>
      <c r="Q94" s="12" t="n"/>
      <c r="R94" s="12" t="n"/>
      <c r="S94" s="12" t="n"/>
      <c r="T94" s="12" t="n"/>
      <c r="U94" s="12" t="n"/>
      <c r="V94" s="12" t="n"/>
      <c r="W94" s="12" t="n"/>
      <c r="X94" s="12" t="n"/>
      <c r="Y94" s="12" t="n"/>
      <c r="Z94" s="12" t="n"/>
      <c r="AA94" s="12" t="n"/>
      <c r="AB94" s="12" t="n"/>
      <c r="AC94" s="12" t="n"/>
      <c r="AD94" s="12" t="n"/>
      <c r="AE94" s="12" t="n"/>
      <c r="AF94" s="12" t="n"/>
      <c r="AG94" s="12" t="n"/>
      <c r="AH94" s="12" t="n"/>
      <c r="AI94" s="12" t="n"/>
      <c r="AJ94" s="12" t="n"/>
      <c r="AK94" s="12" t="n"/>
      <c r="AL94" s="12" t="n"/>
      <c r="AM94" s="12" t="n"/>
      <c r="AN94" s="12" t="n"/>
      <c r="AO94" s="12" t="n"/>
      <c r="AP94" s="12" t="n"/>
      <c r="AQ94" s="12" t="n"/>
      <c r="AR94" s="12" t="n"/>
      <c r="AS94" s="12" t="n"/>
      <c r="AT94" s="12" t="n"/>
      <c r="AU94" s="12" t="n"/>
      <c r="AV94" s="12" t="n"/>
      <c r="AW94" s="12" t="n"/>
      <c r="AX94" s="12" t="n"/>
      <c r="AY94" s="12" t="n"/>
      <c r="AZ94" s="12" t="n"/>
      <c r="BA94" s="12" t="n"/>
      <c r="BB94" s="12" t="n"/>
      <c r="BC94" s="12" t="n"/>
      <c r="BD94" s="12" t="n"/>
      <c r="BE94" s="12" t="n"/>
      <c r="BF94" s="12" t="n"/>
      <c r="BG94" s="12" t="n"/>
      <c r="BH94" s="12" t="n"/>
      <c r="BI94" s="12" t="n"/>
      <c r="BJ94" s="12" t="n"/>
      <c r="BK94" s="12" t="n"/>
      <c r="BL94" s="12" t="n"/>
      <c r="BM94" s="12" t="n"/>
      <c r="BN94" s="12" t="n"/>
      <c r="BO94" s="12" t="n"/>
      <c r="BP94" s="12" t="n"/>
      <c r="BQ94" s="12" t="n"/>
      <c r="BR94" s="12" t="n"/>
      <c r="BS94" s="12" t="n"/>
      <c r="BT94" s="12" t="n"/>
      <c r="BU94" s="12" t="n"/>
      <c r="BV94" s="12" t="n"/>
      <c r="BW94" s="12" t="n"/>
      <c r="BX94" s="12" t="n"/>
      <c r="BY94" s="12" t="n"/>
      <c r="BZ94" s="12" t="n"/>
      <c r="CA94" s="12" t="n"/>
      <c r="CB94" s="12" t="n"/>
      <c r="CC94" s="12" t="n"/>
      <c r="CD94" s="12" t="n"/>
      <c r="CE94" s="12" t="n"/>
      <c r="CF94" s="12" t="n"/>
      <c r="CG94" s="12" t="n"/>
      <c r="CH94" s="12" t="n"/>
      <c r="CI94" s="12" t="n"/>
      <c r="CJ94" s="12" t="n"/>
      <c r="CK94" s="12" t="n"/>
      <c r="CL94" s="12" t="n"/>
      <c r="CM94" s="12" t="n"/>
      <c r="CN94" s="12" t="n"/>
      <c r="CO94" s="12" t="n"/>
      <c r="CP94" s="12" t="n"/>
      <c r="CQ94" s="12" t="n"/>
      <c r="CR94" s="12" t="n"/>
      <c r="CS94" s="12" t="n"/>
      <c r="CT94" s="12" t="n"/>
      <c r="CU94" s="12" t="n"/>
      <c r="CV94" s="12" t="n"/>
      <c r="CW94" s="12" t="n"/>
      <c r="CX94" s="12" t="n"/>
      <c r="CY94" s="12" t="n"/>
    </row>
    <row r="95" hidden="1" outlineLevel="1">
      <c r="C95" s="57" t="inlineStr">
        <is>
          <t>Stake</t>
        </is>
      </c>
      <c r="D95" s="12" t="n"/>
      <c r="E95" s="12" t="n"/>
      <c r="F95" s="12" t="n"/>
      <c r="G95" s="12" t="n"/>
      <c r="H95" s="12" t="n"/>
      <c r="I95" s="12" t="n"/>
      <c r="J95" s="12" t="n"/>
      <c r="K95" s="12" t="n"/>
      <c r="L95" s="12" t="n"/>
      <c r="M95" s="12" t="n"/>
      <c r="N95" s="12" t="n"/>
      <c r="O95" s="12" t="n"/>
      <c r="P95" s="12" t="n"/>
      <c r="Q95" s="12" t="n"/>
      <c r="R95" s="12" t="n"/>
      <c r="S95" s="12" t="n"/>
      <c r="T95" s="12" t="n"/>
      <c r="U95" s="12" t="n"/>
      <c r="V95" s="12" t="n"/>
      <c r="W95" s="12" t="n"/>
      <c r="X95" s="12" t="n"/>
      <c r="Y95" s="12" t="n"/>
      <c r="Z95" s="12" t="n"/>
      <c r="AA95" s="12" t="n"/>
      <c r="AB95" s="12" t="n"/>
      <c r="AC95" s="12" t="n"/>
      <c r="AD95" s="12" t="n"/>
      <c r="AE95" s="12" t="n"/>
      <c r="AF95" s="12" t="n"/>
      <c r="AG95" s="12" t="n"/>
      <c r="AH95" s="12" t="n"/>
      <c r="AI95" s="12" t="n"/>
      <c r="AJ95" s="12" t="n"/>
      <c r="AK95" s="12" t="n"/>
      <c r="AL95" s="12" t="n"/>
      <c r="AM95" s="12" t="n"/>
      <c r="AN95" s="12" t="n"/>
      <c r="AO95" s="12" t="n"/>
      <c r="AP95" s="12" t="n"/>
      <c r="AQ95" s="12" t="n"/>
      <c r="AR95" s="12" t="n"/>
      <c r="AS95" s="12" t="n"/>
      <c r="AT95" s="12" t="n"/>
      <c r="AU95" s="12" t="n"/>
      <c r="AV95" s="12" t="n"/>
      <c r="AW95" s="12" t="n"/>
      <c r="AX95" s="12" t="n"/>
      <c r="AY95" s="12" t="n"/>
      <c r="AZ95" s="12" t="n"/>
      <c r="BA95" s="12" t="n"/>
      <c r="BB95" s="12" t="n"/>
      <c r="BC95" s="12" t="n"/>
      <c r="BD95" s="12" t="n"/>
      <c r="BE95" s="12" t="n"/>
      <c r="BF95" s="12" t="n"/>
      <c r="BG95" s="12" t="n"/>
      <c r="BH95" s="12" t="n"/>
      <c r="BI95" s="12" t="n"/>
      <c r="BJ95" s="12" t="n"/>
      <c r="BK95" s="12" t="n"/>
      <c r="BL95" s="12" t="n"/>
      <c r="BM95" s="12" t="n"/>
      <c r="BN95" s="12" t="n"/>
      <c r="BO95" s="12" t="n"/>
      <c r="BP95" s="12" t="n"/>
      <c r="BQ95" s="12" t="n"/>
      <c r="BR95" s="12" t="n"/>
      <c r="BS95" s="12" t="n"/>
      <c r="BT95" s="12" t="n"/>
      <c r="BU95" s="12" t="n"/>
      <c r="BV95" s="12" t="n"/>
      <c r="BW95" s="12" t="n"/>
      <c r="BX95" s="12" t="n"/>
      <c r="BY95" s="12" t="n"/>
      <c r="BZ95" s="12" t="n"/>
      <c r="CA95" s="12" t="n"/>
      <c r="CB95" s="12" t="n"/>
      <c r="CC95" s="12" t="n"/>
      <c r="CD95" s="12" t="n"/>
      <c r="CE95" s="12" t="n"/>
      <c r="CF95" s="12" t="n"/>
      <c r="CG95" s="12" t="n"/>
      <c r="CH95" s="12" t="n"/>
      <c r="CI95" s="12" t="n"/>
      <c r="CJ95" s="12" t="n"/>
      <c r="CK95" s="12" t="n"/>
      <c r="CL95" s="12" t="n"/>
      <c r="CM95" s="12" t="n"/>
      <c r="CN95" s="12" t="n"/>
      <c r="CO95" s="12" t="n"/>
      <c r="CP95" s="12" t="n"/>
      <c r="CQ95" s="12" t="n"/>
      <c r="CR95" s="12" t="n"/>
      <c r="CS95" s="12" t="n"/>
      <c r="CT95" s="12" t="n"/>
      <c r="CU95" s="12" t="n"/>
      <c r="CV95" s="12" t="n"/>
      <c r="CW95" s="12" t="n"/>
      <c r="CX95" s="12" t="n"/>
      <c r="CY95" s="12" t="n"/>
    </row>
    <row r="96" hidden="1" outlineLevel="1">
      <c r="C96" s="57" t="inlineStr">
        <is>
          <t>PRE</t>
        </is>
      </c>
      <c r="D96" s="12" t="n"/>
      <c r="E96" s="12" t="n"/>
      <c r="F96" s="12" t="n"/>
      <c r="G96" s="12" t="n"/>
      <c r="H96" s="12" t="n"/>
      <c r="I96" s="12" t="n"/>
      <c r="J96" s="12" t="n"/>
      <c r="K96" s="12" t="n"/>
      <c r="L96" s="12" t="n"/>
      <c r="M96" s="12" t="n"/>
      <c r="N96" s="12" t="n"/>
      <c r="O96" s="12" t="n"/>
      <c r="P96" s="12" t="n"/>
      <c r="Q96" s="12" t="n"/>
      <c r="R96" s="12" t="n"/>
      <c r="S96" s="12" t="n"/>
      <c r="T96" s="12" t="n"/>
      <c r="U96" s="12" t="n"/>
      <c r="V96" s="12" t="n"/>
      <c r="W96" s="12" t="n"/>
      <c r="X96" s="12" t="n"/>
      <c r="Y96" s="12" t="n"/>
      <c r="Z96" s="12" t="n"/>
      <c r="AA96" s="12" t="n"/>
      <c r="AB96" s="12" t="n"/>
      <c r="AC96" s="12" t="n"/>
      <c r="AD96" s="12" t="n"/>
      <c r="AE96" s="12" t="n"/>
      <c r="AF96" s="12" t="n"/>
      <c r="AG96" s="12" t="n"/>
      <c r="AH96" s="12" t="n"/>
      <c r="AI96" s="12" t="n"/>
      <c r="AJ96" s="12" t="n"/>
      <c r="AK96" s="12" t="n"/>
      <c r="AL96" s="12" t="n"/>
      <c r="AM96" s="12" t="n"/>
      <c r="AN96" s="12" t="n"/>
      <c r="AO96" s="12" t="n"/>
      <c r="AP96" s="12" t="n"/>
      <c r="AQ96" s="12" t="n"/>
      <c r="AR96" s="12" t="n"/>
      <c r="AS96" s="12" t="n"/>
      <c r="AT96" s="12" t="n"/>
      <c r="AU96" s="12" t="n"/>
      <c r="AV96" s="12" t="n"/>
      <c r="AW96" s="12" t="n"/>
      <c r="AX96" s="12" t="n"/>
      <c r="AY96" s="12" t="n"/>
      <c r="AZ96" s="12" t="n"/>
      <c r="BA96" s="12" t="n"/>
      <c r="BB96" s="12" t="n"/>
      <c r="BC96" s="12" t="n"/>
      <c r="BD96" s="12" t="n"/>
      <c r="BE96" s="12" t="n"/>
      <c r="BF96" s="12" t="n"/>
      <c r="BG96" s="12" t="n"/>
      <c r="BH96" s="12" t="n"/>
      <c r="BI96" s="12" t="n"/>
      <c r="BJ96" s="12" t="n"/>
      <c r="BK96" s="12" t="n"/>
      <c r="BL96" s="12" t="n"/>
      <c r="BM96" s="12" t="n"/>
      <c r="BN96" s="12" t="n"/>
      <c r="BO96" s="12" t="n"/>
      <c r="BP96" s="12" t="n"/>
      <c r="BQ96" s="12" t="n"/>
      <c r="BR96" s="12" t="n"/>
      <c r="BS96" s="12" t="n"/>
      <c r="BT96" s="12" t="n"/>
      <c r="BU96" s="12" t="n"/>
      <c r="BV96" s="12" t="n"/>
      <c r="BW96" s="12" t="n"/>
      <c r="BX96" s="12" t="n"/>
      <c r="BY96" s="12" t="n"/>
      <c r="BZ96" s="12" t="n"/>
      <c r="CA96" s="12" t="n"/>
      <c r="CB96" s="12" t="n"/>
      <c r="CC96" s="12" t="n"/>
      <c r="CD96" s="12" t="n"/>
      <c r="CE96" s="12" t="n"/>
      <c r="CF96" s="12" t="n"/>
      <c r="CG96" s="12" t="n"/>
      <c r="CH96" s="12" t="n"/>
      <c r="CI96" s="12" t="n"/>
      <c r="CJ96" s="12" t="n"/>
      <c r="CK96" s="12" t="n"/>
      <c r="CL96" s="12" t="n"/>
      <c r="CM96" s="12" t="n"/>
      <c r="CN96" s="12" t="n"/>
      <c r="CO96" s="12" t="n"/>
      <c r="CP96" s="12" t="n"/>
      <c r="CQ96" s="12" t="n"/>
      <c r="CR96" s="12" t="n"/>
      <c r="CS96" s="12" t="n"/>
      <c r="CT96" s="12" t="n"/>
      <c r="CU96" s="12" t="n"/>
      <c r="CV96" s="12" t="n"/>
      <c r="CW96" s="12" t="n"/>
      <c r="CX96" s="12" t="n"/>
      <c r="CY96" s="12" t="n"/>
    </row>
    <row r="97" hidden="1" outlineLevel="1">
      <c r="C97" s="57" t="inlineStr">
        <is>
          <t>CDI+</t>
        </is>
      </c>
      <c r="D97" s="12" t="n"/>
      <c r="E97" s="12" t="n"/>
      <c r="F97" s="12" t="n"/>
      <c r="G97" s="12" t="n"/>
      <c r="H97" s="12" t="n"/>
      <c r="I97" s="12" t="n"/>
      <c r="J97" s="12" t="n"/>
      <c r="K97" s="12" t="n"/>
      <c r="L97" s="12" t="n"/>
      <c r="M97" s="12" t="n"/>
      <c r="N97" s="12" t="n"/>
      <c r="O97" s="12" t="n"/>
      <c r="P97" s="12" t="n"/>
      <c r="Q97" s="12" t="n"/>
      <c r="R97" s="12" t="n"/>
      <c r="S97" s="12" t="n"/>
      <c r="T97" s="12" t="n"/>
      <c r="U97" s="12" t="n"/>
      <c r="V97" s="12" t="n"/>
      <c r="W97" s="12" t="n"/>
      <c r="X97" s="12" t="n"/>
      <c r="Y97" s="12" t="n"/>
      <c r="Z97" s="12" t="n"/>
      <c r="AA97" s="12" t="n"/>
      <c r="AB97" s="12" t="n"/>
      <c r="AC97" s="12" t="n"/>
      <c r="AD97" s="12" t="n"/>
      <c r="AE97" s="12" t="n"/>
      <c r="AF97" s="12" t="n"/>
      <c r="AG97" s="12" t="n"/>
      <c r="AH97" s="12" t="n"/>
      <c r="AI97" s="12" t="n"/>
      <c r="AJ97" s="12" t="n"/>
      <c r="AK97" s="12" t="n"/>
      <c r="AL97" s="12" t="n"/>
      <c r="AM97" s="12" t="n"/>
      <c r="AN97" s="12" t="n"/>
      <c r="AO97" s="12" t="n"/>
      <c r="AP97" s="12" t="n"/>
      <c r="AQ97" s="12" t="n"/>
      <c r="AR97" s="12" t="n"/>
      <c r="AS97" s="12" t="n"/>
      <c r="AT97" s="12" t="n"/>
      <c r="AU97" s="12" t="n"/>
      <c r="AV97" s="12" t="n"/>
      <c r="AW97" s="12" t="n"/>
      <c r="AX97" s="12" t="n"/>
      <c r="AY97" s="12" t="n"/>
      <c r="AZ97" s="12" t="n"/>
      <c r="BA97" s="12" t="n"/>
      <c r="BB97" s="12" t="n"/>
      <c r="BC97" s="12" t="n"/>
      <c r="BD97" s="12" t="n"/>
      <c r="BE97" s="12" t="n"/>
      <c r="BF97" s="12" t="n"/>
      <c r="BG97" s="12" t="n"/>
      <c r="BH97" s="12" t="n"/>
      <c r="BI97" s="12" t="n"/>
      <c r="BJ97" s="12" t="n"/>
      <c r="BK97" s="12" t="n"/>
      <c r="BL97" s="12" t="n"/>
      <c r="BM97" s="12" t="n"/>
      <c r="BN97" s="12" t="n"/>
      <c r="BO97" s="12" t="n"/>
      <c r="BP97" s="12" t="n"/>
      <c r="BQ97" s="12" t="n"/>
      <c r="BR97" s="12" t="n"/>
      <c r="BS97" s="12" t="n"/>
      <c r="BT97" s="12" t="n"/>
      <c r="BU97" s="12" t="n"/>
      <c r="BV97" s="12" t="n"/>
      <c r="BW97" s="12" t="n"/>
      <c r="BX97" s="12" t="n"/>
      <c r="BY97" s="12" t="n"/>
      <c r="BZ97" s="12" t="n"/>
      <c r="CA97" s="12" t="n"/>
      <c r="CB97" s="12" t="n"/>
      <c r="CC97" s="12" t="n"/>
      <c r="CD97" s="12" t="n"/>
      <c r="CE97" s="12" t="n"/>
      <c r="CF97" s="12" t="n"/>
      <c r="CG97" s="12" t="n"/>
      <c r="CH97" s="12" t="n"/>
      <c r="CI97" s="12" t="n"/>
      <c r="CJ97" s="12" t="n"/>
      <c r="CK97" s="12" t="n"/>
      <c r="CL97" s="12" t="n"/>
      <c r="CM97" s="12" t="n"/>
      <c r="CN97" s="12" t="n"/>
      <c r="CO97" s="12" t="n"/>
      <c r="CP97" s="12" t="n"/>
      <c r="CQ97" s="12" t="n"/>
      <c r="CR97" s="12" t="n"/>
      <c r="CS97" s="12" t="n"/>
      <c r="CT97" s="12" t="n"/>
      <c r="CU97" s="12" t="n"/>
      <c r="CV97" s="12" t="n"/>
      <c r="CW97" s="12" t="n"/>
      <c r="CX97" s="12" t="n"/>
      <c r="CY97" s="12" t="n"/>
    </row>
    <row r="98" hidden="1" outlineLevel="1">
      <c r="C98" s="57" t="n"/>
      <c r="D98" s="12" t="n"/>
      <c r="E98" s="12" t="n"/>
      <c r="F98" s="12" t="n"/>
      <c r="G98" s="12" t="n"/>
      <c r="H98" s="12" t="n"/>
      <c r="I98" s="12" t="n"/>
      <c r="J98" s="12" t="n"/>
      <c r="K98" s="12" t="n"/>
      <c r="L98" s="12" t="n"/>
      <c r="M98" s="12" t="n"/>
      <c r="N98" s="12" t="n"/>
      <c r="O98" s="12" t="n"/>
      <c r="P98" s="12" t="n"/>
      <c r="Q98" s="12" t="n"/>
      <c r="R98" s="12" t="n"/>
      <c r="S98" s="12" t="n"/>
      <c r="T98" s="12" t="n"/>
      <c r="U98" s="12" t="n"/>
      <c r="V98" s="12" t="n"/>
      <c r="W98" s="12" t="n"/>
      <c r="X98" s="12" t="n"/>
      <c r="Y98" s="12" t="n"/>
      <c r="Z98" s="12" t="n"/>
      <c r="AA98" s="12" t="n"/>
      <c r="AB98" s="12" t="n"/>
      <c r="AC98" s="12" t="n"/>
      <c r="AD98" s="12" t="n"/>
      <c r="AE98" s="12" t="n"/>
      <c r="AF98" s="12" t="n"/>
      <c r="AG98" s="12" t="n"/>
      <c r="AH98" s="12" t="n"/>
      <c r="AI98" s="12" t="n"/>
      <c r="AJ98" s="12" t="n"/>
      <c r="AK98" s="12" t="n"/>
      <c r="AL98" s="12" t="n"/>
      <c r="AM98" s="12" t="n"/>
      <c r="AN98" s="12" t="n"/>
      <c r="AO98" s="12" t="n"/>
      <c r="AP98" s="12" t="n"/>
      <c r="AQ98" s="12" t="n"/>
      <c r="AR98" s="12" t="n"/>
      <c r="AS98" s="12" t="n"/>
      <c r="AT98" s="12" t="n"/>
      <c r="AU98" s="12" t="n"/>
      <c r="AV98" s="12" t="n"/>
      <c r="AW98" s="12" t="n"/>
      <c r="AX98" s="12" t="n"/>
      <c r="AY98" s="12" t="n"/>
      <c r="AZ98" s="12" t="n"/>
      <c r="BA98" s="12" t="n"/>
      <c r="BB98" s="12" t="n"/>
      <c r="BC98" s="12" t="n"/>
      <c r="BD98" s="12" t="n"/>
      <c r="BE98" s="12" t="n"/>
      <c r="BF98" s="12" t="n"/>
      <c r="BG98" s="12" t="n"/>
      <c r="BH98" s="12" t="n"/>
      <c r="BI98" s="12" t="n"/>
      <c r="BJ98" s="12" t="n"/>
      <c r="BK98" s="12" t="n"/>
      <c r="BL98" s="12" t="n"/>
      <c r="BM98" s="12" t="n"/>
      <c r="BN98" s="12" t="n"/>
      <c r="BO98" s="12" t="n"/>
      <c r="BP98" s="12" t="n"/>
      <c r="BQ98" s="12" t="n"/>
      <c r="BR98" s="12" t="n"/>
      <c r="BS98" s="12" t="n"/>
      <c r="BT98" s="12" t="n"/>
      <c r="BU98" s="12" t="n"/>
      <c r="BV98" s="12" t="n"/>
      <c r="BW98" s="12" t="n"/>
      <c r="BX98" s="12" t="n"/>
      <c r="BY98" s="12" t="n"/>
      <c r="BZ98" s="12" t="n"/>
      <c r="CA98" s="12" t="n"/>
      <c r="CB98" s="12" t="n"/>
      <c r="CC98" s="12" t="n"/>
      <c r="CD98" s="12" t="n"/>
      <c r="CE98" s="12" t="n"/>
      <c r="CF98" s="12" t="n"/>
      <c r="CG98" s="12" t="n"/>
      <c r="CH98" s="12" t="n"/>
      <c r="CI98" s="12" t="n"/>
      <c r="CJ98" s="12" t="n"/>
      <c r="CK98" s="12" t="n"/>
      <c r="CL98" s="12" t="n"/>
      <c r="CM98" s="12" t="n"/>
      <c r="CN98" s="12" t="n"/>
      <c r="CO98" s="12" t="n"/>
      <c r="CP98" s="12" t="n"/>
      <c r="CQ98" s="12" t="n"/>
      <c r="CR98" s="12" t="n"/>
      <c r="CS98" s="12" t="n"/>
      <c r="CT98" s="12" t="n"/>
      <c r="CU98" s="12" t="n"/>
      <c r="CV98" s="12" t="n"/>
      <c r="CW98" s="12" t="n"/>
      <c r="CX98" s="12" t="n"/>
      <c r="CY98" s="12" t="n"/>
    </row>
    <row r="99" hidden="1" outlineLevel="1">
      <c r="C99" s="57" t="inlineStr">
        <is>
          <t>Spread</t>
        </is>
      </c>
      <c r="D99" s="12" t="n"/>
      <c r="E99" s="12" t="n"/>
      <c r="F99" s="12" t="n"/>
      <c r="G99" s="12" t="n"/>
      <c r="H99" s="12" t="n"/>
      <c r="I99" s="12" t="n"/>
      <c r="J99" s="12" t="n"/>
      <c r="K99" s="12" t="n"/>
      <c r="L99" s="12" t="n"/>
      <c r="M99" s="12" t="n"/>
      <c r="N99" s="12" t="n"/>
      <c r="O99" s="12" t="n"/>
      <c r="P99" s="12" t="n"/>
      <c r="Q99" s="12" t="n"/>
      <c r="R99" s="12" t="n"/>
      <c r="S99" s="12" t="n"/>
      <c r="T99" s="12" t="n"/>
      <c r="U99" s="12" t="n"/>
      <c r="V99" s="12" t="n"/>
      <c r="W99" s="12" t="n"/>
      <c r="X99" s="12" t="n"/>
      <c r="Y99" s="12" t="n"/>
      <c r="Z99" s="12" t="n"/>
      <c r="AA99" s="12" t="n"/>
      <c r="AB99" s="12" t="n"/>
      <c r="AC99" s="12" t="n"/>
      <c r="AD99" s="12" t="n"/>
      <c r="AE99" s="12" t="n"/>
      <c r="AF99" s="12" t="n"/>
      <c r="AG99" s="12" t="n"/>
      <c r="AH99" s="12" t="n"/>
      <c r="AI99" s="12" t="n"/>
      <c r="AJ99" s="12" t="n"/>
      <c r="AK99" s="12" t="n"/>
      <c r="AL99" s="12" t="n"/>
      <c r="AM99" s="12" t="n"/>
      <c r="AN99" s="12" t="n"/>
      <c r="AO99" s="12" t="n"/>
      <c r="AP99" s="12" t="n"/>
      <c r="AQ99" s="12" t="n"/>
      <c r="AR99" s="12" t="n"/>
      <c r="AS99" s="12" t="n"/>
      <c r="AT99" s="12" t="n"/>
      <c r="AU99" s="12" t="n"/>
      <c r="AV99" s="12" t="n"/>
      <c r="AW99" s="12" t="n"/>
      <c r="AX99" s="12" t="n"/>
      <c r="AY99" s="12" t="n"/>
      <c r="AZ99" s="12" t="n"/>
      <c r="BA99" s="12" t="n"/>
      <c r="BB99" s="12" t="n"/>
      <c r="BC99" s="12" t="n"/>
      <c r="BD99" s="12" t="n"/>
      <c r="BE99" s="12" t="n"/>
      <c r="BF99" s="12" t="n"/>
      <c r="BG99" s="12" t="n"/>
      <c r="BH99" s="12" t="n"/>
      <c r="BI99" s="12" t="n"/>
      <c r="BJ99" s="12" t="n"/>
      <c r="BK99" s="12" t="n"/>
      <c r="BL99" s="12" t="n"/>
      <c r="BM99" s="12" t="n"/>
      <c r="BN99" s="12" t="n"/>
      <c r="BO99" s="12" t="n"/>
      <c r="BP99" s="12" t="n"/>
      <c r="BQ99" s="12" t="n"/>
      <c r="BR99" s="12" t="n"/>
      <c r="BS99" s="12" t="n"/>
      <c r="BT99" s="12" t="n"/>
      <c r="BU99" s="12" t="n"/>
      <c r="BV99" s="12" t="n"/>
      <c r="BW99" s="12" t="n"/>
      <c r="BX99" s="12" t="n"/>
      <c r="BY99" s="12" t="n"/>
      <c r="BZ99" s="12" t="n"/>
      <c r="CA99" s="12" t="n"/>
      <c r="CB99" s="12" t="n"/>
      <c r="CC99" s="12" t="n"/>
      <c r="CD99" s="12" t="n"/>
      <c r="CE99" s="12" t="n"/>
      <c r="CF99" s="12" t="n"/>
      <c r="CG99" s="12" t="n"/>
      <c r="CH99" s="12" t="n"/>
      <c r="CI99" s="12" t="n"/>
      <c r="CJ99" s="12" t="n"/>
      <c r="CK99" s="12" t="n"/>
      <c r="CL99" s="12" t="n"/>
      <c r="CM99" s="12" t="n"/>
      <c r="CN99" s="12" t="n"/>
      <c r="CO99" s="12" t="n"/>
      <c r="CP99" s="12" t="n"/>
      <c r="CQ99" s="12" t="n"/>
      <c r="CR99" s="12" t="n"/>
      <c r="CS99" s="12" t="n"/>
      <c r="CT99" s="12" t="n"/>
      <c r="CU99" s="12" t="n"/>
      <c r="CV99" s="12" t="n"/>
      <c r="CW99" s="12" t="n"/>
      <c r="CX99" s="12" t="n"/>
      <c r="CY99" s="12" t="n"/>
    </row>
    <row r="100" hidden="1" outlineLevel="1">
      <c r="C100" s="57" t="inlineStr">
        <is>
          <t>PRE</t>
        </is>
      </c>
      <c r="D100" s="12" t="n"/>
      <c r="E100" s="12" t="n"/>
      <c r="F100" s="12" t="n"/>
      <c r="G100" s="12" t="n"/>
      <c r="H100" s="12" t="n"/>
      <c r="I100" s="12" t="n"/>
      <c r="J100" s="12" t="n"/>
      <c r="K100" s="12" t="n"/>
      <c r="L100" s="12" t="n"/>
      <c r="M100" s="12" t="n"/>
      <c r="N100" s="12" t="n"/>
      <c r="O100" s="12" t="n"/>
      <c r="P100" s="12" t="n"/>
      <c r="Q100" s="12" t="n"/>
      <c r="R100" s="12" t="n"/>
      <c r="S100" s="12" t="n"/>
      <c r="T100" s="12" t="n"/>
      <c r="U100" s="12" t="n"/>
      <c r="V100" s="12" t="n"/>
      <c r="W100" s="12" t="n"/>
      <c r="X100" s="12" t="n"/>
      <c r="Y100" s="12" t="n"/>
      <c r="Z100" s="12" t="n"/>
      <c r="AA100" s="12" t="n"/>
      <c r="AB100" s="12" t="n"/>
      <c r="AC100" s="12" t="n"/>
      <c r="AD100" s="12" t="n"/>
      <c r="AE100" s="12" t="n"/>
      <c r="AF100" s="12" t="n"/>
      <c r="AG100" s="12" t="n"/>
      <c r="AH100" s="12" t="n"/>
      <c r="AI100" s="12" t="n"/>
      <c r="AJ100" s="12" t="n"/>
      <c r="AK100" s="12" t="n"/>
      <c r="AL100" s="12" t="n"/>
      <c r="AM100" s="12" t="n"/>
      <c r="AN100" s="12" t="n"/>
      <c r="AO100" s="12" t="n"/>
      <c r="AP100" s="12" t="n"/>
      <c r="AQ100" s="12" t="n"/>
      <c r="AR100" s="12" t="n"/>
      <c r="AS100" s="12" t="n"/>
      <c r="AT100" s="12" t="n"/>
      <c r="AU100" s="12" t="n"/>
      <c r="AV100" s="12" t="n"/>
      <c r="AW100" s="12" t="n"/>
      <c r="AX100" s="12" t="n"/>
      <c r="AY100" s="12" t="n"/>
      <c r="AZ100" s="12" t="n"/>
      <c r="BA100" s="12" t="n"/>
      <c r="BB100" s="12" t="n"/>
      <c r="BC100" s="12" t="n"/>
      <c r="BD100" s="12" t="n"/>
      <c r="BE100" s="12" t="n"/>
      <c r="BF100" s="12" t="n"/>
      <c r="BG100" s="12" t="n"/>
      <c r="BH100" s="12" t="n"/>
      <c r="BI100" s="12" t="n"/>
      <c r="BJ100" s="12" t="n"/>
      <c r="BK100" s="12" t="n"/>
      <c r="BL100" s="12" t="n"/>
      <c r="BM100" s="12" t="n"/>
      <c r="BN100" s="12" t="n"/>
      <c r="BO100" s="12" t="n"/>
      <c r="BP100" s="12" t="n"/>
      <c r="BQ100" s="12" t="n"/>
      <c r="BR100" s="12" t="n"/>
      <c r="BS100" s="12" t="n"/>
      <c r="BT100" s="12" t="n"/>
      <c r="BU100" s="12" t="n"/>
      <c r="BV100" s="12" t="n"/>
      <c r="BW100" s="12" t="n"/>
      <c r="BX100" s="12" t="n"/>
      <c r="BY100" s="12" t="n"/>
      <c r="BZ100" s="12" t="n"/>
      <c r="CA100" s="12" t="n"/>
      <c r="CB100" s="12" t="n"/>
      <c r="CC100" s="12" t="n"/>
      <c r="CD100" s="12" t="n"/>
      <c r="CE100" s="12" t="n"/>
      <c r="CF100" s="12" t="n"/>
      <c r="CG100" s="12" t="n"/>
      <c r="CH100" s="12" t="n"/>
      <c r="CI100" s="12" t="n"/>
      <c r="CJ100" s="12" t="n"/>
      <c r="CK100" s="12" t="n"/>
      <c r="CL100" s="12" t="n"/>
      <c r="CM100" s="12" t="n"/>
      <c r="CN100" s="12" t="n"/>
      <c r="CO100" s="12" t="n"/>
      <c r="CP100" s="12" t="n"/>
      <c r="CQ100" s="12" t="n"/>
      <c r="CR100" s="12" t="n"/>
      <c r="CS100" s="12" t="n"/>
      <c r="CT100" s="12" t="n"/>
      <c r="CU100" s="12" t="n"/>
      <c r="CV100" s="12" t="n"/>
      <c r="CW100" s="12" t="n"/>
      <c r="CX100" s="12" t="n"/>
      <c r="CY100" s="12" t="n"/>
    </row>
    <row r="101" hidden="1" outlineLevel="1">
      <c r="C101" s="57" t="inlineStr">
        <is>
          <t>CDI+</t>
        </is>
      </c>
      <c r="D101" s="12" t="n"/>
      <c r="E101" s="12" t="n"/>
      <c r="F101" s="12" t="n"/>
      <c r="G101" s="12" t="n"/>
      <c r="H101" s="12" t="n"/>
      <c r="I101" s="12" t="n"/>
      <c r="J101" s="12" t="n"/>
      <c r="K101" s="12" t="n"/>
      <c r="L101" s="12" t="n"/>
      <c r="M101" s="12" t="n"/>
      <c r="N101" s="12" t="n"/>
      <c r="O101" s="12" t="n"/>
      <c r="P101" s="12" t="n"/>
      <c r="Q101" s="12" t="n"/>
      <c r="R101" s="12" t="n"/>
      <c r="S101" s="12" t="n"/>
      <c r="T101" s="12" t="n"/>
      <c r="U101" s="12" t="n"/>
      <c r="V101" s="12" t="n"/>
      <c r="W101" s="12" t="n"/>
      <c r="X101" s="12" t="n"/>
      <c r="Y101" s="12" t="n"/>
      <c r="Z101" s="12" t="n"/>
      <c r="AA101" s="12" t="n"/>
      <c r="AB101" s="12" t="n"/>
      <c r="AC101" s="12" t="n"/>
      <c r="AD101" s="12" t="n"/>
      <c r="AE101" s="12" t="n"/>
      <c r="AF101" s="12" t="n"/>
      <c r="AG101" s="12" t="n"/>
      <c r="AH101" s="12" t="n"/>
      <c r="AI101" s="12" t="n"/>
      <c r="AJ101" s="12" t="n"/>
      <c r="AK101" s="12" t="n"/>
      <c r="AL101" s="12" t="n"/>
      <c r="AM101" s="12" t="n"/>
      <c r="AN101" s="12" t="n"/>
      <c r="AO101" s="12" t="n"/>
      <c r="AP101" s="12" t="n"/>
      <c r="AQ101" s="12" t="n"/>
      <c r="AR101" s="12" t="n"/>
      <c r="AS101" s="12" t="n"/>
      <c r="AT101" s="12" t="n"/>
      <c r="AU101" s="12" t="n"/>
      <c r="AV101" s="12" t="n"/>
      <c r="AW101" s="12" t="n"/>
      <c r="AX101" s="12" t="n"/>
      <c r="AY101" s="12" t="n"/>
      <c r="AZ101" s="12" t="n"/>
      <c r="BA101" s="12" t="n"/>
      <c r="BB101" s="12" t="n"/>
      <c r="BC101" s="12" t="n"/>
      <c r="BD101" s="12" t="n"/>
      <c r="BE101" s="12" t="n"/>
      <c r="BF101" s="12" t="n"/>
      <c r="BG101" s="12" t="n"/>
      <c r="BH101" s="12" t="n"/>
      <c r="BI101" s="12" t="n"/>
      <c r="BJ101" s="12" t="n"/>
      <c r="BK101" s="12" t="n"/>
      <c r="BL101" s="12" t="n"/>
      <c r="BM101" s="12" t="n"/>
      <c r="BN101" s="12" t="n"/>
      <c r="BO101" s="12" t="n"/>
      <c r="BP101" s="12" t="n"/>
      <c r="BQ101" s="12" t="n"/>
      <c r="BR101" s="12" t="n"/>
      <c r="BS101" s="12" t="n"/>
      <c r="BT101" s="12" t="n"/>
      <c r="BU101" s="12" t="n"/>
      <c r="BV101" s="12" t="n"/>
      <c r="BW101" s="12" t="n"/>
      <c r="BX101" s="12" t="n"/>
      <c r="BY101" s="12" t="n"/>
      <c r="BZ101" s="12" t="n"/>
      <c r="CA101" s="12" t="n"/>
      <c r="CB101" s="12" t="n"/>
      <c r="CC101" s="12" t="n"/>
      <c r="CD101" s="12" t="n"/>
      <c r="CE101" s="12" t="n"/>
      <c r="CF101" s="12" t="n"/>
      <c r="CG101" s="12" t="n"/>
      <c r="CH101" s="12" t="n"/>
      <c r="CI101" s="12" t="n"/>
      <c r="CJ101" s="12" t="n"/>
      <c r="CK101" s="12" t="n"/>
      <c r="CL101" s="12" t="n"/>
      <c r="CM101" s="12" t="n"/>
      <c r="CN101" s="12" t="n"/>
      <c r="CO101" s="12" t="n"/>
      <c r="CP101" s="12" t="n"/>
      <c r="CQ101" s="12" t="n"/>
      <c r="CR101" s="12" t="n"/>
      <c r="CS101" s="12" t="n"/>
      <c r="CT101" s="12" t="n"/>
      <c r="CU101" s="12" t="n"/>
      <c r="CV101" s="12" t="n"/>
      <c r="CW101" s="12" t="n"/>
      <c r="CX101" s="12" t="n"/>
      <c r="CY101" s="12" t="n"/>
    </row>
    <row r="102" hidden="1" outlineLevel="1">
      <c r="C102" s="57" t="n"/>
      <c r="D102" s="12" t="n"/>
      <c r="E102" s="12" t="n"/>
      <c r="F102" s="12" t="n"/>
      <c r="G102" s="12" t="n"/>
      <c r="H102" s="12" t="n"/>
      <c r="I102" s="12" t="n"/>
      <c r="J102" s="12" t="n"/>
      <c r="K102" s="12" t="n"/>
      <c r="L102" s="12" t="n"/>
      <c r="M102" s="12" t="n"/>
      <c r="N102" s="12" t="n"/>
      <c r="O102" s="12" t="n"/>
      <c r="P102" s="12" t="n"/>
      <c r="Q102" s="12" t="n"/>
      <c r="R102" s="12" t="n"/>
      <c r="S102" s="12" t="n"/>
      <c r="T102" s="12" t="n"/>
      <c r="U102" s="12" t="n"/>
      <c r="V102" s="12" t="n"/>
      <c r="W102" s="12" t="n"/>
      <c r="X102" s="12" t="n"/>
      <c r="Y102" s="12" t="n"/>
      <c r="Z102" s="12" t="n"/>
      <c r="AA102" s="12" t="n"/>
      <c r="AB102" s="12" t="n"/>
      <c r="AC102" s="12" t="n"/>
      <c r="AD102" s="12" t="n"/>
      <c r="AE102" s="12" t="n"/>
      <c r="AF102" s="12" t="n"/>
      <c r="AG102" s="12" t="n"/>
      <c r="AH102" s="12" t="n"/>
      <c r="AI102" s="12" t="n"/>
      <c r="AJ102" s="12" t="n"/>
      <c r="AK102" s="12" t="n"/>
      <c r="AL102" s="12" t="n"/>
      <c r="AM102" s="12" t="n"/>
      <c r="AN102" s="12" t="n"/>
      <c r="AO102" s="12" t="n"/>
      <c r="AP102" s="12" t="n"/>
      <c r="AQ102" s="12" t="n"/>
      <c r="AR102" s="12" t="n"/>
      <c r="AS102" s="12" t="n"/>
      <c r="AT102" s="12" t="n"/>
      <c r="AU102" s="12" t="n"/>
      <c r="AV102" s="12" t="n"/>
      <c r="AW102" s="12" t="n"/>
      <c r="AX102" s="12" t="n"/>
      <c r="AY102" s="12" t="n"/>
      <c r="AZ102" s="12" t="n"/>
      <c r="BA102" s="12" t="n"/>
      <c r="BB102" s="12" t="n"/>
      <c r="BC102" s="12" t="n"/>
      <c r="BD102" s="12" t="n"/>
      <c r="BE102" s="12" t="n"/>
      <c r="BF102" s="12" t="n"/>
      <c r="BG102" s="12" t="n"/>
      <c r="BH102" s="12" t="n"/>
      <c r="BI102" s="12" t="n"/>
      <c r="BJ102" s="12" t="n"/>
      <c r="BK102" s="12" t="n"/>
      <c r="BL102" s="12" t="n"/>
      <c r="BM102" s="12" t="n"/>
      <c r="BN102" s="12" t="n"/>
      <c r="BO102" s="12" t="n"/>
      <c r="BP102" s="12" t="n"/>
      <c r="BQ102" s="12" t="n"/>
      <c r="BR102" s="12" t="n"/>
      <c r="BS102" s="12" t="n"/>
      <c r="BT102" s="12" t="n"/>
      <c r="BU102" s="12" t="n"/>
      <c r="BV102" s="12" t="n"/>
      <c r="BW102" s="12" t="n"/>
      <c r="BX102" s="12" t="n"/>
      <c r="BY102" s="12" t="n"/>
      <c r="BZ102" s="12" t="n"/>
      <c r="CA102" s="12" t="n"/>
      <c r="CB102" s="12" t="n"/>
      <c r="CC102" s="12" t="n"/>
      <c r="CD102" s="12" t="n"/>
      <c r="CE102" s="12" t="n"/>
      <c r="CF102" s="12" t="n"/>
      <c r="CG102" s="12" t="n"/>
      <c r="CH102" s="12" t="n"/>
      <c r="CI102" s="12" t="n"/>
      <c r="CJ102" s="12" t="n"/>
      <c r="CK102" s="12" t="n"/>
      <c r="CL102" s="12" t="n"/>
      <c r="CM102" s="12" t="n"/>
      <c r="CN102" s="12" t="n"/>
      <c r="CO102" s="12" t="n"/>
      <c r="CP102" s="12" t="n"/>
      <c r="CQ102" s="12" t="n"/>
      <c r="CR102" s="12" t="n"/>
      <c r="CS102" s="12" t="n"/>
      <c r="CT102" s="12" t="n"/>
      <c r="CU102" s="12" t="n"/>
      <c r="CV102" s="12" t="n"/>
      <c r="CW102" s="12" t="n"/>
      <c r="CX102" s="12" t="n"/>
      <c r="CY102" s="12" t="n"/>
    </row>
    <row r="103" hidden="1" outlineLevel="1">
      <c r="C103" s="57" t="inlineStr">
        <is>
          <t>RECEITAS FINANCEIRAS - Rendimentos de aplicações financeiras</t>
        </is>
      </c>
      <c r="D103" s="12" t="n"/>
      <c r="E103" s="12" t="n"/>
      <c r="F103" s="12" t="n"/>
      <c r="G103" s="12" t="n"/>
      <c r="H103" s="12" t="n"/>
      <c r="I103" s="12" t="n"/>
      <c r="J103" s="12" t="n"/>
      <c r="K103" s="12" t="n"/>
      <c r="L103" s="12" t="n"/>
      <c r="M103" s="12" t="n"/>
      <c r="N103" s="12" t="n"/>
      <c r="O103" s="12" t="n"/>
      <c r="P103" s="12" t="n"/>
      <c r="Q103" s="12" t="n"/>
      <c r="R103" s="12" t="n"/>
      <c r="S103" s="12" t="n"/>
      <c r="T103" s="12" t="n"/>
      <c r="U103" s="12" t="n"/>
      <c r="V103" s="12" t="n"/>
      <c r="W103" s="12" t="n"/>
      <c r="X103" s="12" t="n"/>
      <c r="Y103" s="12" t="n"/>
      <c r="Z103" s="12" t="n"/>
      <c r="AA103" s="12" t="n"/>
      <c r="AB103" s="12" t="n"/>
      <c r="AC103" s="12" t="n"/>
      <c r="AD103" s="12" t="n"/>
      <c r="AE103" s="12" t="n"/>
      <c r="AF103" s="12" t="n"/>
      <c r="AG103" s="12" t="n"/>
      <c r="AH103" s="12" t="n"/>
      <c r="AI103" s="12" t="n"/>
      <c r="AJ103" s="12" t="n"/>
      <c r="AK103" s="12" t="n"/>
      <c r="AL103" s="12" t="n"/>
      <c r="AM103" s="12" t="n"/>
      <c r="AN103" s="12" t="n"/>
      <c r="AO103" s="12" t="n"/>
      <c r="AP103" s="12" t="n"/>
      <c r="AQ103" s="12" t="n"/>
      <c r="AR103" s="12" t="n"/>
      <c r="AS103" s="12" t="n"/>
      <c r="AT103" s="12" t="n"/>
      <c r="AU103" s="12" t="n"/>
      <c r="AV103" s="12" t="n"/>
      <c r="AW103" s="12" t="n"/>
      <c r="AX103" s="12" t="n"/>
      <c r="AY103" s="12" t="n"/>
      <c r="AZ103" s="12" t="n"/>
      <c r="BA103" s="12" t="n"/>
      <c r="BB103" s="12" t="n"/>
      <c r="BC103" s="12" t="n"/>
      <c r="BD103" s="12" t="n"/>
      <c r="BE103" s="12" t="n"/>
      <c r="BF103" s="12" t="n"/>
      <c r="BG103" s="12" t="n"/>
      <c r="BH103" s="12" t="n"/>
      <c r="BI103" s="12" t="n"/>
      <c r="BJ103" s="12" t="n"/>
      <c r="BK103" s="12" t="n"/>
      <c r="BL103" s="12" t="n"/>
      <c r="BM103" s="12" t="n"/>
      <c r="BN103" s="12" t="n"/>
      <c r="BO103" s="12" t="n"/>
      <c r="BP103" s="12" t="n"/>
      <c r="BQ103" s="12" t="n"/>
      <c r="BR103" s="12" t="n"/>
      <c r="BS103" s="12" t="n"/>
      <c r="BT103" s="12" t="n"/>
      <c r="BU103" s="12" t="n"/>
      <c r="BV103" s="12" t="n"/>
      <c r="BW103" s="12" t="n"/>
      <c r="BX103" s="12" t="n"/>
      <c r="BY103" s="12" t="n"/>
      <c r="BZ103" s="12" t="n"/>
      <c r="CA103" s="12" t="n"/>
      <c r="CB103" s="12" t="n"/>
      <c r="CC103" s="12" t="n"/>
      <c r="CD103" s="12" t="n"/>
      <c r="CE103" s="12" t="n"/>
      <c r="CF103" s="12" t="n"/>
      <c r="CG103" s="12" t="n"/>
      <c r="CH103" s="12" t="n"/>
      <c r="CI103" s="12" t="n"/>
      <c r="CJ103" s="12" t="n"/>
      <c r="CK103" s="12" t="n"/>
      <c r="CL103" s="12" t="n"/>
      <c r="CM103" s="12" t="n"/>
      <c r="CN103" s="12" t="n"/>
      <c r="CO103" s="12" t="n"/>
      <c r="CP103" s="12" t="n"/>
      <c r="CQ103" s="12" t="n"/>
      <c r="CR103" s="12" t="n"/>
      <c r="CS103" s="12" t="n"/>
      <c r="CT103" s="12" t="n"/>
      <c r="CU103" s="12" t="n"/>
      <c r="CV103" s="12" t="n"/>
      <c r="CW103" s="12" t="n"/>
      <c r="CX103" s="12" t="n"/>
      <c r="CY103" s="12" t="n"/>
    </row>
    <row r="104" hidden="1" outlineLevel="1">
      <c r="C104" s="57" t="inlineStr">
        <is>
          <t>RECEITAS FINANCEIRAS - Variação cambial ativa</t>
        </is>
      </c>
      <c r="D104" s="12" t="n"/>
      <c r="E104" s="12" t="n"/>
      <c r="F104" s="12" t="n"/>
      <c r="G104" s="12" t="n"/>
      <c r="H104" s="12" t="n"/>
      <c r="I104" s="12" t="n"/>
      <c r="J104" s="12" t="n"/>
      <c r="K104" s="12" t="n"/>
      <c r="L104" s="12" t="n"/>
      <c r="M104" s="12" t="n"/>
      <c r="N104" s="12" t="n"/>
      <c r="O104" s="12" t="n"/>
      <c r="P104" s="12" t="n"/>
      <c r="Q104" s="12" t="n"/>
      <c r="R104" s="12" t="n"/>
      <c r="S104" s="12" t="n"/>
      <c r="T104" s="12" t="n"/>
      <c r="U104" s="12" t="n"/>
      <c r="V104" s="12" t="n"/>
      <c r="W104" s="12" t="n"/>
      <c r="X104" s="12" t="n"/>
      <c r="Y104" s="12" t="n"/>
      <c r="Z104" s="12" t="n"/>
      <c r="AA104" s="12" t="n"/>
      <c r="AB104" s="12" t="n"/>
      <c r="AC104" s="12" t="n"/>
      <c r="AD104" s="12" t="n"/>
      <c r="AE104" s="12" t="n"/>
      <c r="AF104" s="12" t="n"/>
      <c r="AG104" s="12" t="n"/>
      <c r="AH104" s="12" t="n"/>
      <c r="AI104" s="12" t="n"/>
      <c r="AJ104" s="12" t="n"/>
      <c r="AK104" s="12" t="n"/>
      <c r="AL104" s="12" t="n"/>
      <c r="AM104" s="12" t="n"/>
      <c r="AN104" s="12" t="n"/>
      <c r="AO104" s="12" t="n"/>
      <c r="AP104" s="12" t="n"/>
      <c r="AQ104" s="12" t="n"/>
      <c r="AR104" s="12" t="n"/>
      <c r="AS104" s="12" t="n"/>
      <c r="AT104" s="12" t="n"/>
      <c r="AU104" s="12" t="n"/>
      <c r="AV104" s="12" t="n"/>
      <c r="AW104" s="12" t="n"/>
      <c r="AX104" s="12" t="n"/>
      <c r="AY104" s="12" t="n"/>
      <c r="AZ104" s="12" t="n"/>
      <c r="BA104" s="12" t="n"/>
      <c r="BB104" s="12" t="n"/>
      <c r="BC104" s="12" t="n"/>
      <c r="BD104" s="12" t="n"/>
      <c r="BE104" s="12" t="n"/>
      <c r="BF104" s="12" t="n"/>
      <c r="BG104" s="12" t="n"/>
      <c r="BH104" s="12" t="n"/>
      <c r="BI104" s="12" t="n"/>
      <c r="BJ104" s="12" t="n"/>
      <c r="BK104" s="12" t="n"/>
      <c r="BL104" s="12" t="n"/>
      <c r="BM104" s="12" t="n"/>
      <c r="BN104" s="12" t="n"/>
      <c r="BO104" s="12" t="n"/>
      <c r="BP104" s="12" t="n"/>
      <c r="BQ104" s="12" t="n"/>
      <c r="BR104" s="12" t="n"/>
      <c r="BS104" s="12" t="n"/>
      <c r="BT104" s="12" t="n"/>
      <c r="BU104" s="12" t="n"/>
      <c r="BV104" s="12" t="n"/>
      <c r="BW104" s="12" t="n"/>
      <c r="BX104" s="12" t="n"/>
      <c r="BY104" s="12" t="n"/>
      <c r="BZ104" s="12" t="n"/>
      <c r="CA104" s="12" t="n"/>
      <c r="CB104" s="12" t="n"/>
      <c r="CC104" s="12" t="n"/>
      <c r="CD104" s="12" t="n"/>
      <c r="CE104" s="12" t="n"/>
      <c r="CF104" s="12" t="n"/>
      <c r="CG104" s="12" t="n"/>
      <c r="CH104" s="12" t="n"/>
      <c r="CI104" s="12" t="n"/>
      <c r="CJ104" s="12" t="n"/>
      <c r="CK104" s="12" t="n"/>
      <c r="CL104" s="12" t="n"/>
      <c r="CM104" s="12" t="n"/>
      <c r="CN104" s="12" t="n"/>
      <c r="CO104" s="12" t="n"/>
      <c r="CP104" s="12" t="n"/>
      <c r="CQ104" s="12" t="n"/>
      <c r="CR104" s="12" t="n"/>
      <c r="CS104" s="12" t="n"/>
      <c r="CT104" s="12" t="n"/>
      <c r="CU104" s="12" t="n"/>
      <c r="CV104" s="12" t="n"/>
      <c r="CW104" s="12" t="n"/>
      <c r="CX104" s="12" t="n"/>
      <c r="CY104" s="12" t="n"/>
    </row>
    <row r="105" hidden="1" outlineLevel="1">
      <c r="C105" s="57" t="inlineStr">
        <is>
          <t>RECEITAS FINANCEIRAS - Atualização de contas a pagar por aquisição de empresas</t>
        </is>
      </c>
      <c r="D105" s="12" t="n"/>
      <c r="E105" s="12" t="n"/>
      <c r="F105" s="12" t="n"/>
      <c r="G105" s="12" t="n"/>
      <c r="H105" s="12" t="n"/>
      <c r="I105" s="12" t="n"/>
      <c r="J105" s="12" t="n"/>
      <c r="K105" s="12" t="n"/>
      <c r="L105" s="12" t="n"/>
      <c r="M105" s="12" t="n"/>
      <c r="N105" s="12" t="n"/>
      <c r="O105" s="12" t="n"/>
      <c r="P105" s="12" t="n"/>
      <c r="Q105" s="12" t="n"/>
      <c r="R105" s="12" t="n"/>
      <c r="S105" s="12" t="n"/>
      <c r="T105" s="12" t="n"/>
      <c r="U105" s="12" t="n"/>
      <c r="V105" s="12" t="n"/>
      <c r="W105" s="12" t="n"/>
      <c r="X105" s="12" t="n"/>
      <c r="Y105" s="12" t="n"/>
      <c r="Z105" s="12" t="n"/>
      <c r="AA105" s="12" t="n"/>
      <c r="AB105" s="12" t="n"/>
      <c r="AC105" s="12" t="n"/>
      <c r="AD105" s="12" t="n"/>
      <c r="AE105" s="12" t="n"/>
      <c r="AF105" s="12" t="n"/>
      <c r="AG105" s="12" t="n"/>
      <c r="AH105" s="12" t="n"/>
      <c r="AI105" s="12" t="n"/>
      <c r="AJ105" s="12" t="n"/>
      <c r="AK105" s="12" t="n"/>
      <c r="AL105" s="12" t="n"/>
      <c r="AM105" s="12" t="n"/>
      <c r="AN105" s="12" t="n"/>
      <c r="AO105" s="12" t="n"/>
      <c r="AP105" s="12" t="n"/>
      <c r="AQ105" s="12" t="n"/>
      <c r="AR105" s="12" t="n"/>
      <c r="AS105" s="12" t="n"/>
      <c r="AT105" s="12" t="n"/>
      <c r="AU105" s="12" t="n"/>
      <c r="AV105" s="12" t="n"/>
      <c r="AW105" s="12" t="n"/>
      <c r="AX105" s="12" t="n"/>
      <c r="AY105" s="12" t="n"/>
      <c r="AZ105" s="12" t="n"/>
      <c r="BA105" s="12" t="n"/>
      <c r="BB105" s="12" t="n"/>
      <c r="BC105" s="12" t="n"/>
      <c r="BD105" s="12" t="n"/>
      <c r="BE105" s="12" t="n"/>
      <c r="BF105" s="12" t="n"/>
      <c r="BG105" s="12" t="n"/>
      <c r="BH105" s="12" t="n"/>
      <c r="BI105" s="12" t="n"/>
      <c r="BJ105" s="12" t="n"/>
      <c r="BK105" s="12" t="n"/>
      <c r="BL105" s="12" t="n"/>
      <c r="BM105" s="12" t="n"/>
      <c r="BN105" s="12" t="n"/>
      <c r="BO105" s="12" t="n"/>
      <c r="BP105" s="12" t="n"/>
      <c r="BQ105" s="12" t="n"/>
      <c r="BR105" s="12" t="n"/>
      <c r="BS105" s="12" t="n"/>
      <c r="BT105" s="12" t="n"/>
      <c r="BU105" s="12" t="n"/>
      <c r="BV105" s="12" t="n"/>
      <c r="BW105" s="12" t="n"/>
      <c r="BX105" s="12" t="n"/>
      <c r="BY105" s="12" t="n"/>
      <c r="BZ105" s="12" t="n"/>
      <c r="CA105" s="12" t="n"/>
      <c r="CB105" s="12" t="n"/>
      <c r="CC105" s="12" t="n"/>
      <c r="CD105" s="12" t="n"/>
      <c r="CE105" s="12" t="n"/>
      <c r="CF105" s="12" t="n"/>
      <c r="CG105" s="12" t="n"/>
      <c r="CH105" s="12" t="n"/>
      <c r="CI105" s="12" t="n"/>
      <c r="CJ105" s="12" t="n"/>
      <c r="CK105" s="12" t="n"/>
      <c r="CL105" s="12" t="n"/>
      <c r="CM105" s="12" t="n"/>
      <c r="CN105" s="12" t="n"/>
      <c r="CO105" s="12" t="n"/>
      <c r="CP105" s="12" t="n"/>
      <c r="CQ105" s="12" t="n"/>
      <c r="CR105" s="12" t="n"/>
      <c r="CS105" s="12" t="n"/>
      <c r="CT105" s="12" t="n"/>
      <c r="CU105" s="12" t="n"/>
      <c r="CV105" s="12" t="n"/>
      <c r="CW105" s="12" t="n"/>
      <c r="CX105" s="12" t="n"/>
      <c r="CY105" s="12" t="n"/>
    </row>
    <row r="106" hidden="1" outlineLevel="1">
      <c r="C106" s="57" t="inlineStr">
        <is>
          <t>RECEITAS FINANCEIRAS - Resultado positivo com instrumentos derivativos</t>
        </is>
      </c>
      <c r="D106" s="12" t="n"/>
      <c r="E106" s="12" t="n"/>
      <c r="F106" s="12" t="n"/>
      <c r="G106" s="12" t="n"/>
      <c r="H106" s="12" t="n"/>
      <c r="I106" s="12" t="n"/>
      <c r="J106" s="12" t="n"/>
      <c r="K106" s="12" t="n"/>
      <c r="L106" s="12" t="n"/>
      <c r="M106" s="12" t="n"/>
      <c r="N106" s="12" t="n"/>
      <c r="O106" s="12" t="n"/>
      <c r="P106" s="12" t="n"/>
      <c r="Q106" s="12" t="n"/>
      <c r="R106" s="12" t="n"/>
      <c r="S106" s="12" t="n"/>
      <c r="T106" s="12" t="n"/>
      <c r="U106" s="12" t="n"/>
      <c r="V106" s="12" t="n"/>
      <c r="W106" s="12" t="n"/>
      <c r="X106" s="12" t="n"/>
      <c r="Y106" s="12" t="n"/>
      <c r="Z106" s="12" t="n"/>
      <c r="AA106" s="12" t="n"/>
      <c r="AB106" s="12" t="n"/>
      <c r="AC106" s="12" t="n"/>
      <c r="AD106" s="12" t="n"/>
      <c r="AE106" s="12" t="n"/>
      <c r="AF106" s="12" t="n"/>
      <c r="AG106" s="12" t="n"/>
      <c r="AH106" s="12" t="n"/>
      <c r="AI106" s="12" t="n"/>
      <c r="AJ106" s="12" t="n"/>
      <c r="AK106" s="12" t="n"/>
      <c r="AL106" s="12" t="n"/>
      <c r="AM106" s="12" t="n"/>
      <c r="AN106" s="12" t="n"/>
      <c r="AO106" s="12" t="n"/>
      <c r="AP106" s="12" t="n"/>
      <c r="AQ106" s="12" t="n"/>
      <c r="AR106" s="12" t="n"/>
      <c r="AS106" s="12" t="n"/>
      <c r="AT106" s="12" t="n"/>
      <c r="AU106" s="12" t="n"/>
      <c r="AV106" s="12" t="n"/>
      <c r="AW106" s="12" t="n"/>
      <c r="AX106" s="12" t="n"/>
      <c r="AY106" s="12" t="n"/>
      <c r="AZ106" s="12" t="n"/>
      <c r="BA106" s="12" t="n"/>
      <c r="BB106" s="12" t="n"/>
      <c r="BC106" s="12" t="n"/>
      <c r="BD106" s="12" t="n"/>
      <c r="BE106" s="12" t="n"/>
      <c r="BF106" s="12" t="n"/>
      <c r="BG106" s="12" t="n"/>
      <c r="BH106" s="12" t="n"/>
      <c r="BI106" s="12" t="n"/>
      <c r="BJ106" s="12" t="n"/>
      <c r="BK106" s="12" t="n"/>
      <c r="BL106" s="12" t="n"/>
      <c r="BM106" s="12" t="n"/>
      <c r="BN106" s="12" t="n"/>
      <c r="BO106" s="12" t="n"/>
      <c r="BP106" s="12" t="n"/>
      <c r="BQ106" s="12" t="n"/>
      <c r="BR106" s="12" t="n"/>
      <c r="BS106" s="12" t="n"/>
      <c r="BT106" s="12" t="n"/>
      <c r="BU106" s="12" t="n"/>
      <c r="BV106" s="12" t="n"/>
      <c r="BW106" s="12" t="n"/>
      <c r="BX106" s="12" t="n"/>
      <c r="BY106" s="12" t="n"/>
      <c r="BZ106" s="12" t="n"/>
      <c r="CA106" s="12" t="n"/>
      <c r="CB106" s="12" t="n"/>
      <c r="CC106" s="12" t="n"/>
      <c r="CD106" s="12" t="n"/>
      <c r="CE106" s="12" t="n"/>
      <c r="CF106" s="12" t="n"/>
      <c r="CG106" s="12" t="n"/>
      <c r="CH106" s="12" t="n"/>
      <c r="CI106" s="12" t="n"/>
      <c r="CJ106" s="12" t="n"/>
      <c r="CK106" s="12" t="n"/>
      <c r="CL106" s="12" t="n"/>
      <c r="CM106" s="12" t="n"/>
      <c r="CN106" s="12" t="n"/>
      <c r="CO106" s="12" t="n"/>
      <c r="CP106" s="12" t="n"/>
      <c r="CQ106" s="12" t="n"/>
      <c r="CR106" s="12" t="n"/>
      <c r="CS106" s="12" t="n"/>
      <c r="CT106" s="12" t="n"/>
      <c r="CU106" s="12" t="n"/>
      <c r="CV106" s="12" t="n"/>
      <c r="CW106" s="12" t="n"/>
      <c r="CX106" s="12" t="n"/>
      <c r="CY106" s="12" t="n"/>
    </row>
    <row r="107" hidden="1" outlineLevel="1">
      <c r="C107" s="57" t="inlineStr">
        <is>
          <t>RECEITAS FINANCEIRAS - Descontos obtidos de fornecedores por antecipação</t>
        </is>
      </c>
      <c r="D107" s="12" t="n"/>
      <c r="E107" s="12" t="n"/>
      <c r="F107" s="12" t="n"/>
      <c r="G107" s="12" t="n"/>
      <c r="H107" s="12" t="n"/>
      <c r="I107" s="12" t="n"/>
      <c r="J107" s="12" t="n"/>
      <c r="K107" s="12" t="n"/>
      <c r="L107" s="12" t="n"/>
      <c r="M107" s="12" t="n"/>
      <c r="N107" s="12" t="n"/>
      <c r="O107" s="12" t="n"/>
      <c r="P107" s="12" t="n"/>
      <c r="Q107" s="12" t="n"/>
      <c r="R107" s="12" t="n"/>
      <c r="S107" s="12" t="n"/>
      <c r="T107" s="12" t="n"/>
      <c r="U107" s="12" t="n"/>
      <c r="V107" s="12" t="n"/>
      <c r="W107" s="12" t="n"/>
      <c r="X107" s="12" t="n"/>
      <c r="Y107" s="12" t="n"/>
      <c r="Z107" s="12" t="n"/>
      <c r="AA107" s="12" t="n"/>
      <c r="AB107" s="12" t="n"/>
      <c r="AC107" s="12" t="n"/>
      <c r="AD107" s="12" t="n"/>
      <c r="AE107" s="12" t="n"/>
      <c r="AF107" s="12" t="n"/>
      <c r="AG107" s="12" t="n"/>
      <c r="AH107" s="12" t="n"/>
      <c r="AI107" s="12" t="n"/>
      <c r="AJ107" s="12" t="n"/>
      <c r="AK107" s="12" t="n"/>
      <c r="AL107" s="12" t="n"/>
      <c r="AM107" s="12" t="n"/>
      <c r="AN107" s="12" t="n"/>
      <c r="AO107" s="12" t="n"/>
      <c r="AP107" s="12" t="n"/>
      <c r="AQ107" s="12" t="n"/>
      <c r="AR107" s="12" t="n"/>
      <c r="AS107" s="12" t="n"/>
      <c r="AT107" s="12" t="n"/>
      <c r="AU107" s="12" t="n"/>
      <c r="AV107" s="12" t="n"/>
      <c r="AW107" s="12" t="n"/>
      <c r="AX107" s="12" t="n"/>
      <c r="AY107" s="12" t="n"/>
      <c r="AZ107" s="12" t="n"/>
      <c r="BA107" s="12" t="n"/>
      <c r="BB107" s="12" t="n"/>
      <c r="BC107" s="12" t="n"/>
      <c r="BD107" s="12" t="n"/>
      <c r="BE107" s="12" t="n"/>
      <c r="BF107" s="12" t="n"/>
      <c r="BG107" s="12" t="n"/>
      <c r="BH107" s="12" t="n"/>
      <c r="BI107" s="12" t="n"/>
      <c r="BJ107" s="12" t="n"/>
      <c r="BK107" s="12" t="n"/>
      <c r="BL107" s="12" t="n"/>
      <c r="BM107" s="12" t="n"/>
      <c r="BN107" s="12" t="n"/>
      <c r="BO107" s="12" t="n"/>
      <c r="BP107" s="12" t="n"/>
      <c r="BQ107" s="12" t="n"/>
      <c r="BR107" s="12" t="n"/>
      <c r="BS107" s="12" t="n"/>
      <c r="BT107" s="12" t="n"/>
      <c r="BU107" s="12" t="n"/>
      <c r="BV107" s="12" t="n"/>
      <c r="BW107" s="12" t="n"/>
      <c r="BX107" s="12" t="n"/>
      <c r="BY107" s="12" t="n"/>
      <c r="BZ107" s="12" t="n"/>
      <c r="CA107" s="12" t="n"/>
      <c r="CB107" s="12" t="n"/>
      <c r="CC107" s="12" t="n"/>
      <c r="CD107" s="12" t="n"/>
      <c r="CE107" s="12" t="n"/>
      <c r="CF107" s="12" t="n"/>
      <c r="CG107" s="12" t="n"/>
      <c r="CH107" s="12" t="n"/>
      <c r="CI107" s="12" t="n"/>
      <c r="CJ107" s="12" t="n"/>
      <c r="CK107" s="12" t="n"/>
      <c r="CL107" s="12" t="n"/>
      <c r="CM107" s="12" t="n"/>
      <c r="CN107" s="12" t="n"/>
      <c r="CO107" s="12" t="n"/>
      <c r="CP107" s="12" t="n"/>
      <c r="CQ107" s="12" t="n"/>
      <c r="CR107" s="12" t="n"/>
      <c r="CS107" s="12" t="n"/>
      <c r="CT107" s="12" t="n"/>
      <c r="CU107" s="12" t="n"/>
      <c r="CV107" s="12" t="n"/>
      <c r="CW107" s="12" t="n"/>
      <c r="CX107" s="12" t="n"/>
      <c r="CY107" s="12" t="n"/>
    </row>
    <row r="108" hidden="1" outlineLevel="1">
      <c r="C108" s="57" t="inlineStr">
        <is>
          <t>RECEITAS FINANCEIRAS - Atualização monetária sobre Exclusão ICMS da base de PIS/COFINS (nota explicativa nº 7)</t>
        </is>
      </c>
      <c r="D108" s="12" t="n"/>
      <c r="E108" s="12" t="n"/>
      <c r="F108" s="12" t="n"/>
      <c r="G108" s="12" t="n"/>
      <c r="H108" s="12" t="n"/>
      <c r="I108" s="12" t="n"/>
      <c r="J108" s="12" t="n"/>
      <c r="K108" s="12" t="n"/>
      <c r="L108" s="12" t="n"/>
      <c r="M108" s="12" t="n"/>
      <c r="N108" s="12" t="n"/>
      <c r="O108" s="12" t="n"/>
      <c r="P108" s="12" t="n"/>
      <c r="Q108" s="12" t="n"/>
      <c r="R108" s="12" t="n"/>
      <c r="S108" s="12" t="n"/>
      <c r="T108" s="12" t="n"/>
      <c r="U108" s="12" t="n"/>
      <c r="V108" s="12" t="n"/>
      <c r="W108" s="12" t="n"/>
      <c r="X108" s="12" t="n"/>
      <c r="Y108" s="12" t="n"/>
      <c r="Z108" s="12" t="n"/>
      <c r="AA108" s="12" t="n"/>
      <c r="AB108" s="12" t="n"/>
      <c r="AC108" s="12" t="n"/>
      <c r="AD108" s="12" t="n"/>
      <c r="AE108" s="12" t="n"/>
      <c r="AF108" s="12" t="n"/>
      <c r="AG108" s="12" t="n"/>
      <c r="AH108" s="12" t="n"/>
      <c r="AI108" s="12" t="n"/>
      <c r="AJ108" s="12" t="n"/>
      <c r="AK108" s="12" t="n"/>
      <c r="AL108" s="12" t="n"/>
      <c r="AM108" s="12" t="n"/>
      <c r="AN108" s="12" t="n"/>
      <c r="AO108" s="12" t="n"/>
      <c r="AP108" s="12" t="n"/>
      <c r="AQ108" s="12" t="n"/>
      <c r="AR108" s="12" t="n"/>
      <c r="AS108" s="12" t="n"/>
      <c r="AT108" s="12" t="n"/>
      <c r="AU108" s="12" t="n"/>
      <c r="AV108" s="12" t="n"/>
      <c r="AW108" s="12" t="n"/>
      <c r="AX108" s="12" t="n"/>
      <c r="AY108" s="12" t="n"/>
      <c r="AZ108" s="12" t="n"/>
      <c r="BA108" s="12" t="n"/>
      <c r="BB108" s="12" t="n"/>
      <c r="BC108" s="12" t="n"/>
      <c r="BD108" s="12" t="n"/>
      <c r="BE108" s="12" t="n"/>
      <c r="BF108" s="12" t="n"/>
      <c r="BG108" s="12" t="n"/>
      <c r="BH108" s="12" t="n"/>
      <c r="BI108" s="12" t="n"/>
      <c r="BJ108" s="12" t="n"/>
      <c r="BK108" s="12" t="n"/>
      <c r="BL108" s="12" t="n"/>
      <c r="BM108" s="12" t="n"/>
      <c r="BN108" s="12" t="n"/>
      <c r="BO108" s="12" t="n"/>
      <c r="BP108" s="12" t="n"/>
      <c r="BQ108" s="12" t="n"/>
      <c r="BR108" s="12" t="n"/>
      <c r="BS108" s="12" t="n"/>
      <c r="BT108" s="12" t="n"/>
      <c r="BU108" s="12" t="n"/>
      <c r="BV108" s="12" t="n"/>
      <c r="BW108" s="12" t="n"/>
      <c r="BX108" s="12" t="n"/>
      <c r="BY108" s="12" t="n"/>
      <c r="BZ108" s="12" t="n"/>
      <c r="CA108" s="12" t="n"/>
      <c r="CB108" s="12" t="n"/>
      <c r="CC108" s="12" t="n"/>
      <c r="CD108" s="12" t="n"/>
      <c r="CE108" s="12" t="n"/>
      <c r="CF108" s="12" t="n"/>
      <c r="CG108" s="12" t="n"/>
      <c r="CH108" s="12" t="n"/>
      <c r="CI108" s="12" t="n"/>
      <c r="CJ108" s="12" t="n"/>
      <c r="CK108" s="12" t="n"/>
      <c r="CL108" s="12" t="n"/>
      <c r="CM108" s="12" t="n"/>
      <c r="CN108" s="12" t="n"/>
      <c r="CO108" s="12" t="n"/>
      <c r="CP108" s="12" t="n"/>
      <c r="CQ108" s="12" t="n"/>
      <c r="CR108" s="12" t="n"/>
      <c r="CS108" s="12" t="n"/>
      <c r="CT108" s="12" t="n"/>
      <c r="CU108" s="12" t="n"/>
      <c r="CV108" s="12" t="n"/>
      <c r="CW108" s="12" t="n"/>
      <c r="CX108" s="12" t="n"/>
      <c r="CY108" s="12" t="n"/>
    </row>
    <row r="109" hidden="1" outlineLevel="1">
      <c r="C109" s="57" t="inlineStr">
        <is>
          <t>RECEITAS FINANCEIRAS - Outras</t>
        </is>
      </c>
      <c r="D109" s="12" t="n"/>
      <c r="E109" s="12" t="n"/>
      <c r="F109" s="12" t="n"/>
      <c r="G109" s="12" t="n"/>
      <c r="H109" s="12" t="n"/>
      <c r="I109" s="12" t="n"/>
      <c r="J109" s="12" t="n"/>
      <c r="K109" s="12" t="n"/>
      <c r="L109" s="12" t="n"/>
      <c r="M109" s="12" t="n"/>
      <c r="N109" s="12" t="n"/>
      <c r="O109" s="12" t="n"/>
      <c r="P109" s="12" t="n"/>
      <c r="Q109" s="12" t="n"/>
      <c r="R109" s="12" t="n"/>
      <c r="S109" s="12" t="n"/>
      <c r="T109" s="12" t="n"/>
      <c r="U109" s="12" t="n"/>
      <c r="V109" s="12" t="n"/>
      <c r="W109" s="12" t="n"/>
      <c r="X109" s="12" t="n"/>
      <c r="Y109" s="12" t="n"/>
      <c r="Z109" s="12" t="n"/>
      <c r="AA109" s="12" t="n"/>
      <c r="AB109" s="12" t="n"/>
      <c r="AC109" s="12" t="n"/>
      <c r="AD109" s="12" t="n"/>
      <c r="AE109" s="12" t="n"/>
      <c r="AF109" s="12" t="n"/>
      <c r="AG109" s="12" t="n"/>
      <c r="AH109" s="12" t="n"/>
      <c r="AI109" s="12" t="n"/>
      <c r="AJ109" s="12" t="n"/>
      <c r="AK109" s="12" t="n"/>
      <c r="AL109" s="12" t="n"/>
      <c r="AM109" s="12" t="n"/>
      <c r="AN109" s="12" t="n"/>
      <c r="AO109" s="12" t="n"/>
      <c r="AP109" s="12" t="n"/>
      <c r="AQ109" s="12" t="n"/>
      <c r="AR109" s="12" t="n"/>
      <c r="AS109" s="12" t="n"/>
      <c r="AT109" s="12" t="n"/>
      <c r="AU109" s="12" t="n"/>
      <c r="AV109" s="12" t="n"/>
      <c r="AW109" s="12" t="n"/>
      <c r="AX109" s="12" t="n"/>
      <c r="AY109" s="12" t="n"/>
      <c r="AZ109" s="12" t="n"/>
      <c r="BA109" s="12" t="n"/>
      <c r="BB109" s="12" t="n"/>
      <c r="BC109" s="12" t="n"/>
      <c r="BD109" s="12" t="n"/>
      <c r="BE109" s="12" t="n"/>
      <c r="BF109" s="12" t="n"/>
      <c r="BG109" s="12" t="n"/>
      <c r="BH109" s="12" t="n"/>
      <c r="BI109" s="12" t="n"/>
      <c r="BJ109" s="12" t="n"/>
      <c r="BK109" s="12" t="n"/>
      <c r="BL109" s="12" t="n"/>
      <c r="BM109" s="12" t="n"/>
      <c r="BN109" s="12" t="n"/>
      <c r="BO109" s="12" t="n"/>
      <c r="BP109" s="12" t="n"/>
      <c r="BQ109" s="12" t="n"/>
      <c r="BR109" s="12" t="n"/>
      <c r="BS109" s="12" t="n"/>
      <c r="BT109" s="12" t="n"/>
      <c r="BU109" s="12" t="n"/>
      <c r="BV109" s="12" t="n"/>
      <c r="BW109" s="12" t="n"/>
      <c r="BX109" s="12" t="n"/>
      <c r="BY109" s="12" t="n"/>
      <c r="BZ109" s="12" t="n"/>
      <c r="CA109" s="12" t="n"/>
      <c r="CB109" s="12" t="n"/>
      <c r="CC109" s="12" t="n"/>
      <c r="CD109" s="12" t="n"/>
      <c r="CE109" s="12" t="n"/>
      <c r="CF109" s="12" t="n"/>
      <c r="CG109" s="12" t="n"/>
      <c r="CH109" s="12" t="n"/>
      <c r="CI109" s="12" t="n"/>
      <c r="CJ109" s="12" t="n"/>
      <c r="CK109" s="12" t="n"/>
      <c r="CL109" s="12" t="n"/>
      <c r="CM109" s="12" t="n"/>
      <c r="CN109" s="12" t="n"/>
      <c r="CO109" s="12" t="n"/>
      <c r="CP109" s="12" t="n"/>
      <c r="CQ109" s="12" t="n"/>
      <c r="CR109" s="12" t="n"/>
      <c r="CS109" s="12" t="n"/>
      <c r="CT109" s="12" t="n"/>
      <c r="CU109" s="12" t="n"/>
      <c r="CV109" s="12" t="n"/>
      <c r="CW109" s="12" t="n"/>
      <c r="CX109" s="12" t="n"/>
      <c r="CY109" s="12" t="n"/>
    </row>
    <row r="110" hidden="1" outlineLevel="1">
      <c r="C110" s="57" t="n"/>
      <c r="D110" s="12" t="n"/>
      <c r="E110" s="12" t="n"/>
      <c r="F110" s="12" t="n"/>
      <c r="G110" s="12" t="n"/>
      <c r="H110" s="12" t="n"/>
      <c r="I110" s="12" t="n"/>
      <c r="J110" s="12" t="n"/>
      <c r="K110" s="12" t="n"/>
      <c r="L110" s="12" t="n"/>
      <c r="M110" s="12" t="n"/>
      <c r="N110" s="12" t="n"/>
      <c r="O110" s="12" t="n"/>
      <c r="P110" s="12" t="n"/>
      <c r="Q110" s="12" t="n"/>
      <c r="R110" s="12" t="n"/>
      <c r="S110" s="12" t="n"/>
      <c r="T110" s="12" t="n"/>
      <c r="U110" s="12" t="n"/>
      <c r="V110" s="12" t="n"/>
      <c r="W110" s="12" t="n"/>
      <c r="X110" s="12" t="n"/>
      <c r="Y110" s="12" t="n"/>
      <c r="Z110" s="12" t="n"/>
      <c r="AA110" s="12" t="n"/>
      <c r="AB110" s="12" t="n"/>
      <c r="AC110" s="12" t="n"/>
      <c r="AD110" s="12" t="n"/>
      <c r="AE110" s="12" t="n"/>
      <c r="AF110" s="12" t="n"/>
      <c r="AG110" s="12" t="n"/>
      <c r="AH110" s="12" t="n"/>
      <c r="AI110" s="12" t="n"/>
      <c r="AJ110" s="12" t="n"/>
      <c r="AK110" s="12" t="n"/>
      <c r="AL110" s="12" t="n"/>
      <c r="AM110" s="12" t="n"/>
      <c r="AN110" s="12" t="n"/>
      <c r="AO110" s="12" t="n"/>
      <c r="AP110" s="12" t="n"/>
      <c r="AQ110" s="12" t="n"/>
      <c r="AR110" s="12" t="n"/>
      <c r="AS110" s="12" t="n"/>
      <c r="AT110" s="12" t="n"/>
      <c r="AU110" s="12" t="n"/>
      <c r="AV110" s="12" t="n"/>
      <c r="AW110" s="12" t="n"/>
      <c r="AX110" s="12" t="n"/>
      <c r="AY110" s="12" t="n"/>
      <c r="AZ110" s="12" t="n"/>
      <c r="BA110" s="12" t="n"/>
      <c r="BB110" s="12" t="n"/>
      <c r="BC110" s="12" t="n"/>
      <c r="BD110" s="12" t="n"/>
      <c r="BE110" s="12" t="n"/>
      <c r="BF110" s="12" t="n"/>
      <c r="BG110" s="12" t="n"/>
      <c r="BH110" s="12" t="n"/>
      <c r="BI110" s="12" t="n"/>
      <c r="BJ110" s="12" t="n"/>
      <c r="BK110" s="12" t="n"/>
      <c r="BL110" s="12" t="n"/>
      <c r="BM110" s="12" t="n"/>
      <c r="BN110" s="12" t="n"/>
      <c r="BO110" s="12" t="n"/>
      <c r="BP110" s="12" t="n"/>
      <c r="BQ110" s="12" t="n"/>
      <c r="BR110" s="12" t="n"/>
      <c r="BS110" s="12" t="n"/>
      <c r="BT110" s="12" t="n"/>
      <c r="BU110" s="12" t="n"/>
      <c r="BV110" s="12" t="n"/>
      <c r="BW110" s="12" t="n"/>
      <c r="BX110" s="12" t="n"/>
      <c r="BY110" s="12" t="n"/>
      <c r="BZ110" s="12" t="n"/>
      <c r="CA110" s="12" t="n"/>
      <c r="CB110" s="12" t="n"/>
      <c r="CC110" s="12" t="n"/>
      <c r="CD110" s="12" t="n"/>
      <c r="CE110" s="12" t="n"/>
      <c r="CF110" s="12" t="n"/>
      <c r="CG110" s="12" t="n"/>
      <c r="CH110" s="12" t="n"/>
      <c r="CI110" s="12" t="n"/>
      <c r="CJ110" s="12" t="n"/>
      <c r="CK110" s="12" t="n"/>
      <c r="CL110" s="12" t="n"/>
      <c r="CM110" s="12" t="n"/>
      <c r="CN110" s="12" t="n"/>
      <c r="CO110" s="12" t="n"/>
      <c r="CP110" s="12" t="n"/>
      <c r="CQ110" s="12" t="n"/>
      <c r="CR110" s="12" t="n"/>
      <c r="CS110" s="12" t="n"/>
      <c r="CT110" s="12" t="n"/>
      <c r="CU110" s="12" t="n"/>
      <c r="CV110" s="12" t="n"/>
      <c r="CW110" s="12" t="n"/>
      <c r="CX110" s="12" t="n"/>
      <c r="CY110" s="12" t="n"/>
    </row>
    <row r="111" hidden="1" outlineLevel="1">
      <c r="C111" s="57" t="inlineStr">
        <is>
          <t>DESPESAS FINANCEIRAS - Encargos sobre empréstimos, financiamentos e debêntures</t>
        </is>
      </c>
      <c r="D111" s="12" t="n"/>
      <c r="E111" s="12" t="n"/>
      <c r="F111" s="12" t="n"/>
      <c r="G111" s="12" t="n"/>
      <c r="H111" s="12" t="n"/>
      <c r="I111" s="12" t="n"/>
      <c r="J111" s="12" t="n"/>
      <c r="K111" s="12" t="n"/>
      <c r="L111" s="12" t="n"/>
      <c r="M111" s="12" t="n"/>
      <c r="N111" s="12" t="n"/>
      <c r="O111" s="12" t="n"/>
      <c r="P111" s="12" t="n"/>
      <c r="Q111" s="12" t="n"/>
      <c r="R111" s="12" t="n"/>
      <c r="S111" s="12" t="n"/>
      <c r="T111" s="12" t="n"/>
      <c r="U111" s="12" t="n"/>
      <c r="V111" s="12" t="n"/>
      <c r="W111" s="12" t="n"/>
      <c r="X111" s="12" t="n"/>
      <c r="Y111" s="12" t="n"/>
      <c r="Z111" s="12" t="n"/>
      <c r="AA111" s="12" t="n"/>
      <c r="AB111" s="12" t="n"/>
      <c r="AC111" s="12" t="n"/>
      <c r="AD111" s="12" t="n"/>
      <c r="AE111" s="12" t="n"/>
      <c r="AF111" s="12" t="n"/>
      <c r="AG111" s="12" t="n"/>
      <c r="AH111" s="12" t="n"/>
      <c r="AI111" s="12" t="n"/>
      <c r="AJ111" s="12" t="n"/>
      <c r="AK111" s="12" t="n"/>
      <c r="AL111" s="12" t="n"/>
      <c r="AM111" s="12" t="n"/>
      <c r="AN111" s="12" t="n"/>
      <c r="AO111" s="12" t="n"/>
      <c r="AP111" s="12" t="n"/>
      <c r="AQ111" s="12" t="n"/>
      <c r="AR111" s="12" t="n"/>
      <c r="AS111" s="12" t="n"/>
      <c r="AT111" s="12" t="n"/>
      <c r="AU111" s="12" t="n"/>
      <c r="AV111" s="12" t="n"/>
      <c r="AW111" s="12" t="n"/>
      <c r="AX111" s="12" t="n"/>
      <c r="AY111" s="12" t="n"/>
      <c r="AZ111" s="12" t="n"/>
      <c r="BA111" s="12" t="n"/>
      <c r="BB111" s="12" t="n"/>
      <c r="BC111" s="12" t="n"/>
      <c r="BD111" s="12" t="n"/>
      <c r="BE111" s="12" t="n"/>
      <c r="BF111" s="12" t="n"/>
      <c r="BG111" s="12" t="n"/>
      <c r="BH111" s="12" t="n"/>
      <c r="BI111" s="12" t="n"/>
      <c r="BJ111" s="12" t="n"/>
      <c r="BK111" s="12" t="n"/>
      <c r="BL111" s="12" t="n"/>
      <c r="BM111" s="12" t="n"/>
      <c r="BN111" s="12" t="n"/>
      <c r="BO111" s="12" t="n"/>
      <c r="BP111" s="12" t="n"/>
      <c r="BQ111" s="12" t="n"/>
      <c r="BR111" s="12" t="n"/>
      <c r="BS111" s="12" t="n"/>
      <c r="BT111" s="12" t="n"/>
      <c r="BU111" s="12" t="n"/>
      <c r="BV111" s="12" t="n"/>
      <c r="BW111" s="12" t="n"/>
      <c r="BX111" s="12" t="n"/>
      <c r="BY111" s="12" t="n"/>
      <c r="BZ111" s="12" t="n"/>
      <c r="CA111" s="12" t="n"/>
      <c r="CB111" s="12" t="n"/>
      <c r="CC111" s="12" t="n"/>
      <c r="CD111" s="12" t="n"/>
      <c r="CE111" s="12" t="n"/>
      <c r="CF111" s="12" t="n"/>
      <c r="CG111" s="12" t="n"/>
      <c r="CH111" s="12" t="n"/>
      <c r="CI111" s="12" t="n"/>
      <c r="CJ111" s="12" t="n"/>
      <c r="CK111" s="12" t="n"/>
      <c r="CL111" s="12" t="n"/>
      <c r="CM111" s="12" t="n"/>
      <c r="CN111" s="12" t="n"/>
      <c r="CO111" s="12" t="n"/>
      <c r="CP111" s="12" t="n"/>
      <c r="CQ111" s="12" t="n"/>
      <c r="CR111" s="12" t="n"/>
      <c r="CS111" s="12" t="n"/>
      <c r="CT111" s="12" t="n"/>
      <c r="CU111" s="12" t="n"/>
      <c r="CV111" s="12" t="n"/>
      <c r="CW111" s="12" t="n"/>
      <c r="CX111" s="12" t="n"/>
      <c r="CY111" s="12" t="n"/>
    </row>
    <row r="112" hidden="1" outlineLevel="1">
      <c r="C112" s="57" t="inlineStr">
        <is>
          <t>DESPESAS FINANCEIRAS - Variação cambial passiva</t>
        </is>
      </c>
      <c r="D112" s="12" t="n"/>
      <c r="E112" s="12" t="n"/>
      <c r="F112" s="12" t="n"/>
      <c r="G112" s="12" t="n"/>
      <c r="H112" s="12" t="n"/>
      <c r="I112" s="12" t="n"/>
      <c r="J112" s="12" t="n"/>
      <c r="K112" s="12" t="n"/>
      <c r="L112" s="12" t="n"/>
      <c r="M112" s="12" t="n"/>
      <c r="N112" s="12" t="n"/>
      <c r="O112" s="12" t="n"/>
      <c r="P112" s="12" t="n"/>
      <c r="Q112" s="12" t="n"/>
      <c r="R112" s="12" t="n"/>
      <c r="S112" s="12" t="n"/>
      <c r="T112" s="12" t="n"/>
      <c r="U112" s="12" t="n"/>
      <c r="V112" s="12" t="n"/>
      <c r="W112" s="12" t="n"/>
      <c r="X112" s="12" t="n"/>
      <c r="Y112" s="12" t="n"/>
      <c r="Z112" s="12" t="n"/>
      <c r="AA112" s="12" t="n"/>
      <c r="AB112" s="12" t="n"/>
      <c r="AC112" s="12" t="n"/>
      <c r="AD112" s="12" t="n"/>
      <c r="AE112" s="12" t="n"/>
      <c r="AF112" s="12" t="n"/>
      <c r="AG112" s="12" t="n"/>
      <c r="AH112" s="12" t="n"/>
      <c r="AI112" s="12" t="n"/>
      <c r="AJ112" s="12" t="n"/>
      <c r="AK112" s="12" t="n"/>
      <c r="AL112" s="12" t="n"/>
      <c r="AM112" s="12" t="n"/>
      <c r="AN112" s="12" t="n"/>
      <c r="AO112" s="12" t="n"/>
      <c r="AP112" s="12" t="n"/>
      <c r="AQ112" s="12" t="n"/>
      <c r="AR112" s="12" t="n"/>
      <c r="AS112" s="12" t="n"/>
      <c r="AT112" s="12" t="n"/>
      <c r="AU112" s="12" t="n"/>
      <c r="AV112" s="12" t="n"/>
      <c r="AW112" s="12" t="n"/>
      <c r="AX112" s="12" t="n"/>
      <c r="AY112" s="12" t="n"/>
      <c r="AZ112" s="12" t="n"/>
      <c r="BA112" s="12" t="n"/>
      <c r="BB112" s="12" t="n"/>
      <c r="BC112" s="12" t="n"/>
      <c r="BD112" s="12" t="n"/>
      <c r="BE112" s="12" t="n"/>
      <c r="BF112" s="12" t="n"/>
      <c r="BG112" s="12" t="n"/>
      <c r="BH112" s="12" t="n"/>
      <c r="BI112" s="12" t="n"/>
      <c r="BJ112" s="12" t="n"/>
      <c r="BK112" s="12" t="n"/>
      <c r="BL112" s="12" t="n"/>
      <c r="BM112" s="12" t="n"/>
      <c r="BN112" s="12" t="n"/>
      <c r="BO112" s="12" t="n"/>
      <c r="BP112" s="12" t="n"/>
      <c r="BQ112" s="12" t="n"/>
      <c r="BR112" s="12" t="n"/>
      <c r="BS112" s="12" t="n"/>
      <c r="BT112" s="12" t="n"/>
      <c r="BU112" s="12" t="n"/>
      <c r="BV112" s="12" t="n"/>
      <c r="BW112" s="12" t="n"/>
      <c r="BX112" s="12" t="n"/>
      <c r="BY112" s="12" t="n"/>
      <c r="BZ112" s="12" t="n"/>
      <c r="CA112" s="12" t="n"/>
      <c r="CB112" s="12" t="n"/>
      <c r="CC112" s="12" t="n"/>
      <c r="CD112" s="12" t="n"/>
      <c r="CE112" s="12" t="n"/>
      <c r="CF112" s="12" t="n"/>
      <c r="CG112" s="12" t="n"/>
      <c r="CH112" s="12" t="n"/>
      <c r="CI112" s="12" t="n"/>
      <c r="CJ112" s="12" t="n"/>
      <c r="CK112" s="12" t="n"/>
      <c r="CL112" s="12" t="n"/>
      <c r="CM112" s="12" t="n"/>
      <c r="CN112" s="12" t="n"/>
      <c r="CO112" s="12" t="n"/>
      <c r="CP112" s="12" t="n"/>
      <c r="CQ112" s="12" t="n"/>
      <c r="CR112" s="12" t="n"/>
      <c r="CS112" s="12" t="n"/>
      <c r="CT112" s="12" t="n"/>
      <c r="CU112" s="12" t="n"/>
      <c r="CV112" s="12" t="n"/>
      <c r="CW112" s="12" t="n"/>
      <c r="CX112" s="12" t="n"/>
      <c r="CY112" s="12" t="n"/>
    </row>
    <row r="113" hidden="1" outlineLevel="1">
      <c r="C113" s="57" t="inlineStr">
        <is>
          <t>DESPESAS FINANCEIRAS - Resultado negativo com instrumentos derivativos</t>
        </is>
      </c>
      <c r="D113" s="12" t="n"/>
      <c r="E113" s="12" t="n"/>
      <c r="F113" s="12" t="n"/>
      <c r="G113" s="12" t="n"/>
      <c r="H113" s="12" t="n"/>
      <c r="I113" s="12" t="n"/>
      <c r="J113" s="12" t="n"/>
      <c r="K113" s="12" t="n"/>
      <c r="L113" s="12" t="n"/>
      <c r="M113" s="12" t="n"/>
      <c r="N113" s="12" t="n"/>
      <c r="O113" s="12" t="n"/>
      <c r="P113" s="12" t="n"/>
      <c r="Q113" s="12" t="n"/>
      <c r="R113" s="12" t="n"/>
      <c r="S113" s="12" t="n"/>
      <c r="T113" s="12" t="n"/>
      <c r="U113" s="12" t="n"/>
      <c r="V113" s="12" t="n"/>
      <c r="W113" s="12" t="n"/>
      <c r="X113" s="12" t="n"/>
      <c r="Y113" s="12" t="n"/>
      <c r="Z113" s="12" t="n"/>
      <c r="AA113" s="12" t="n"/>
      <c r="AB113" s="12" t="n"/>
      <c r="AC113" s="12" t="n"/>
      <c r="AD113" s="12" t="n"/>
      <c r="AE113" s="12" t="n"/>
      <c r="AF113" s="12" t="n"/>
      <c r="AG113" s="12" t="n"/>
      <c r="AH113" s="12" t="n"/>
      <c r="AI113" s="12" t="n"/>
      <c r="AJ113" s="12" t="n"/>
      <c r="AK113" s="12" t="n"/>
      <c r="AL113" s="12" t="n"/>
      <c r="AM113" s="12" t="n"/>
      <c r="AN113" s="12" t="n"/>
      <c r="AO113" s="12" t="n"/>
      <c r="AP113" s="12" t="n"/>
      <c r="AQ113" s="12" t="n"/>
      <c r="AR113" s="12" t="n"/>
      <c r="AS113" s="12" t="n"/>
      <c r="AT113" s="12" t="n"/>
      <c r="AU113" s="12" t="n"/>
      <c r="AV113" s="12" t="n"/>
      <c r="AW113" s="12" t="n"/>
      <c r="AX113" s="12" t="n"/>
      <c r="AY113" s="12" t="n"/>
      <c r="AZ113" s="12" t="n"/>
      <c r="BA113" s="12" t="n"/>
      <c r="BB113" s="12" t="n"/>
      <c r="BC113" s="12" t="n"/>
      <c r="BD113" s="12" t="n"/>
      <c r="BE113" s="12" t="n"/>
      <c r="BF113" s="12" t="n"/>
      <c r="BG113" s="12" t="n"/>
      <c r="BH113" s="12" t="n"/>
      <c r="BI113" s="12" t="n"/>
      <c r="BJ113" s="12" t="n"/>
      <c r="BK113" s="12" t="n"/>
      <c r="BL113" s="12" t="n"/>
      <c r="BM113" s="12" t="n"/>
      <c r="BN113" s="12" t="n"/>
      <c r="BO113" s="12" t="n"/>
      <c r="BP113" s="12" t="n"/>
      <c r="BQ113" s="12" t="n"/>
      <c r="BR113" s="12" t="n"/>
      <c r="BS113" s="12" t="n"/>
      <c r="BT113" s="12" t="n"/>
      <c r="BU113" s="12" t="n"/>
      <c r="BV113" s="12" t="n"/>
      <c r="BW113" s="12" t="n"/>
      <c r="BX113" s="12" t="n"/>
      <c r="BY113" s="12" t="n"/>
      <c r="BZ113" s="12" t="n"/>
      <c r="CA113" s="12" t="n"/>
      <c r="CB113" s="12" t="n"/>
      <c r="CC113" s="12" t="n"/>
      <c r="CD113" s="12" t="n"/>
      <c r="CE113" s="12" t="n"/>
      <c r="CF113" s="12" t="n"/>
      <c r="CG113" s="12" t="n"/>
      <c r="CH113" s="12" t="n"/>
      <c r="CI113" s="12" t="n"/>
      <c r="CJ113" s="12" t="n"/>
      <c r="CK113" s="12" t="n"/>
      <c r="CL113" s="12" t="n"/>
      <c r="CM113" s="12" t="n"/>
      <c r="CN113" s="12" t="n"/>
      <c r="CO113" s="12" t="n"/>
      <c r="CP113" s="12" t="n"/>
      <c r="CQ113" s="12" t="n"/>
      <c r="CR113" s="12" t="n"/>
      <c r="CS113" s="12" t="n"/>
      <c r="CT113" s="12" t="n"/>
      <c r="CU113" s="12" t="n"/>
      <c r="CV113" s="12" t="n"/>
      <c r="CW113" s="12" t="n"/>
      <c r="CX113" s="12" t="n"/>
      <c r="CY113" s="12" t="n"/>
    </row>
    <row r="114" hidden="1" outlineLevel="1">
      <c r="C114" s="57" t="inlineStr">
        <is>
          <t>DESPESAS FINANCEIRAS - Juros sobre arrendamento - IFRS16</t>
        </is>
      </c>
      <c r="D114" s="12" t="n"/>
      <c r="E114" s="12" t="n"/>
      <c r="F114" s="12" t="n"/>
      <c r="G114" s="12" t="n"/>
      <c r="H114" s="12" t="n"/>
      <c r="I114" s="12" t="n"/>
      <c r="J114" s="12" t="n"/>
      <c r="K114" s="12" t="n"/>
      <c r="L114" s="12" t="n"/>
      <c r="M114" s="12" t="n"/>
      <c r="N114" s="12" t="n"/>
      <c r="O114" s="12" t="n"/>
      <c r="P114" s="12" t="n"/>
      <c r="Q114" s="12" t="n"/>
      <c r="R114" s="12" t="n"/>
      <c r="S114" s="12" t="n"/>
      <c r="T114" s="12" t="n"/>
      <c r="U114" s="12" t="n"/>
      <c r="V114" s="12" t="n"/>
      <c r="W114" s="12" t="n"/>
      <c r="X114" s="12" t="n"/>
      <c r="Y114" s="12" t="n"/>
      <c r="Z114" s="12" t="n"/>
      <c r="AA114" s="12" t="n"/>
      <c r="AB114" s="12" t="n"/>
      <c r="AC114" s="12" t="n"/>
      <c r="AD114" s="12" t="n"/>
      <c r="AE114" s="12" t="n"/>
      <c r="AF114" s="12" t="n"/>
      <c r="AG114" s="12" t="n"/>
      <c r="AH114" s="12" t="n"/>
      <c r="AI114" s="12" t="n"/>
      <c r="AJ114" s="12" t="n"/>
      <c r="AK114" s="12" t="n"/>
      <c r="AL114" s="12" t="n"/>
      <c r="AM114" s="12" t="n"/>
      <c r="AN114" s="12" t="n"/>
      <c r="AO114" s="12" t="n"/>
      <c r="AP114" s="12" t="n"/>
      <c r="AQ114" s="12" t="n"/>
      <c r="AR114" s="12" t="n"/>
      <c r="AS114" s="12" t="n"/>
      <c r="AT114" s="12" t="n"/>
      <c r="AU114" s="12" t="n"/>
      <c r="AV114" s="12" t="n"/>
      <c r="AW114" s="12" t="n"/>
      <c r="AX114" s="12" t="n"/>
      <c r="AY114" s="12" t="n"/>
      <c r="AZ114" s="12" t="n"/>
      <c r="BA114" s="12" t="n"/>
      <c r="BB114" s="12" t="n"/>
      <c r="BC114" s="12" t="n"/>
      <c r="BD114" s="12" t="n"/>
      <c r="BE114" s="12" t="n"/>
      <c r="BF114" s="12" t="n"/>
      <c r="BG114" s="12" t="n"/>
      <c r="BH114" s="12" t="n"/>
      <c r="BI114" s="12" t="n"/>
      <c r="BJ114" s="12" t="n"/>
      <c r="BK114" s="12" t="n"/>
      <c r="BL114" s="12" t="n"/>
      <c r="BM114" s="12" t="n"/>
      <c r="BN114" s="12" t="n"/>
      <c r="BO114" s="12" t="n"/>
      <c r="BP114" s="12" t="n"/>
      <c r="BQ114" s="12" t="n"/>
      <c r="BR114" s="12" t="n"/>
      <c r="BS114" s="12" t="n"/>
      <c r="BT114" s="12" t="n"/>
      <c r="BU114" s="12" t="n"/>
      <c r="BV114" s="12" t="n"/>
      <c r="BW114" s="12" t="n"/>
      <c r="BX114" s="12" t="n"/>
      <c r="BY114" s="12" t="n"/>
      <c r="BZ114" s="12" t="n"/>
      <c r="CA114" s="12" t="n"/>
      <c r="CB114" s="12" t="n"/>
      <c r="CC114" s="12" t="n"/>
      <c r="CD114" s="12" t="n"/>
      <c r="CE114" s="12" t="n"/>
      <c r="CF114" s="12" t="n"/>
      <c r="CG114" s="12" t="n"/>
      <c r="CH114" s="12" t="n"/>
      <c r="CI114" s="12" t="n"/>
      <c r="CJ114" s="12" t="n"/>
      <c r="CK114" s="12" t="n"/>
      <c r="CL114" s="12" t="n"/>
      <c r="CM114" s="12" t="n"/>
      <c r="CN114" s="12" t="n"/>
      <c r="CO114" s="12" t="n"/>
      <c r="CP114" s="12" t="n"/>
      <c r="CQ114" s="12" t="n"/>
      <c r="CR114" s="12" t="n"/>
      <c r="CS114" s="12" t="n"/>
      <c r="CT114" s="12" t="n"/>
      <c r="CU114" s="12" t="n"/>
      <c r="CV114" s="12" t="n"/>
      <c r="CW114" s="12" t="n"/>
      <c r="CX114" s="12" t="n"/>
      <c r="CY114" s="12" t="n"/>
    </row>
    <row r="115" hidden="1" outlineLevel="1">
      <c r="C115" s="57" t="inlineStr">
        <is>
          <t>DESPESAS FINANCEIRAS - Despesas bancárias</t>
        </is>
      </c>
      <c r="D115" s="12" t="n"/>
      <c r="E115" s="12" t="n"/>
      <c r="F115" s="12" t="n"/>
      <c r="G115" s="12" t="n"/>
      <c r="H115" s="12" t="n"/>
      <c r="I115" s="12" t="n"/>
      <c r="J115" s="12" t="n"/>
      <c r="K115" s="12" t="n"/>
      <c r="L115" s="12" t="n"/>
      <c r="M115" s="12" t="n"/>
      <c r="N115" s="12" t="n"/>
      <c r="O115" s="12" t="n"/>
      <c r="P115" s="12" t="n"/>
      <c r="Q115" s="12" t="n"/>
      <c r="R115" s="12" t="n"/>
      <c r="S115" s="12" t="n"/>
      <c r="T115" s="12" t="n"/>
      <c r="U115" s="12" t="n"/>
      <c r="V115" s="12" t="n"/>
      <c r="W115" s="12" t="n"/>
      <c r="X115" s="12" t="n"/>
      <c r="Y115" s="12" t="n"/>
      <c r="Z115" s="12" t="n"/>
      <c r="AA115" s="12" t="n"/>
      <c r="AB115" s="12" t="n"/>
      <c r="AC115" s="12" t="n"/>
      <c r="AD115" s="12" t="n"/>
      <c r="AE115" s="12" t="n"/>
      <c r="AF115" s="12" t="n"/>
      <c r="AG115" s="12" t="n"/>
      <c r="AH115" s="12" t="n"/>
      <c r="AI115" s="12" t="n"/>
      <c r="AJ115" s="12" t="n"/>
      <c r="AK115" s="12" t="n"/>
      <c r="AL115" s="12" t="n"/>
      <c r="AM115" s="12" t="n"/>
      <c r="AN115" s="12" t="n"/>
      <c r="AO115" s="12" t="n"/>
      <c r="AP115" s="12" t="n"/>
      <c r="AQ115" s="12" t="n"/>
      <c r="AR115" s="12" t="n"/>
      <c r="AS115" s="12" t="n"/>
      <c r="AT115" s="12" t="n"/>
      <c r="AU115" s="12" t="n"/>
      <c r="AV115" s="12" t="n"/>
      <c r="AW115" s="12" t="n"/>
      <c r="AX115" s="12" t="n"/>
      <c r="AY115" s="12" t="n"/>
      <c r="AZ115" s="12" t="n"/>
      <c r="BA115" s="12" t="n"/>
      <c r="BB115" s="12" t="n"/>
      <c r="BC115" s="12" t="n"/>
      <c r="BD115" s="12" t="n"/>
      <c r="BE115" s="12" t="n"/>
      <c r="BF115" s="12" t="n"/>
      <c r="BG115" s="12" t="n"/>
      <c r="BH115" s="12" t="n"/>
      <c r="BI115" s="12" t="n"/>
      <c r="BJ115" s="12" t="n"/>
      <c r="BK115" s="12" t="n"/>
      <c r="BL115" s="12" t="n"/>
      <c r="BM115" s="12" t="n"/>
      <c r="BN115" s="12" t="n"/>
      <c r="BO115" s="12" t="n"/>
      <c r="BP115" s="12" t="n"/>
      <c r="BQ115" s="12" t="n"/>
      <c r="BR115" s="12" t="n"/>
      <c r="BS115" s="12" t="n"/>
      <c r="BT115" s="12" t="n"/>
      <c r="BU115" s="12" t="n"/>
      <c r="BV115" s="12" t="n"/>
      <c r="BW115" s="12" t="n"/>
      <c r="BX115" s="12" t="n"/>
      <c r="BY115" s="12" t="n"/>
      <c r="BZ115" s="12" t="n"/>
      <c r="CA115" s="12" t="n"/>
      <c r="CB115" s="12" t="n"/>
      <c r="CC115" s="12" t="n"/>
      <c r="CD115" s="12" t="n"/>
      <c r="CE115" s="12" t="n"/>
      <c r="CF115" s="12" t="n"/>
      <c r="CG115" s="12" t="n"/>
      <c r="CH115" s="12" t="n"/>
      <c r="CI115" s="12" t="n"/>
      <c r="CJ115" s="12" t="n"/>
      <c r="CK115" s="12" t="n"/>
      <c r="CL115" s="12" t="n"/>
      <c r="CM115" s="12" t="n"/>
      <c r="CN115" s="12" t="n"/>
      <c r="CO115" s="12" t="n"/>
      <c r="CP115" s="12" t="n"/>
      <c r="CQ115" s="12" t="n"/>
      <c r="CR115" s="12" t="n"/>
      <c r="CS115" s="12" t="n"/>
      <c r="CT115" s="12" t="n"/>
      <c r="CU115" s="12" t="n"/>
      <c r="CV115" s="12" t="n"/>
      <c r="CW115" s="12" t="n"/>
      <c r="CX115" s="12" t="n"/>
      <c r="CY115" s="12" t="n"/>
    </row>
    <row r="116" hidden="1" outlineLevel="1">
      <c r="C116" s="57" t="inlineStr">
        <is>
          <t>DESPESAS FINANCEIRAS - Despesas com obtenção de empréstimos e financiamentos</t>
        </is>
      </c>
      <c r="D116" s="12" t="n"/>
      <c r="E116" s="12" t="n"/>
      <c r="F116" s="12" t="n"/>
      <c r="G116" s="12" t="n"/>
      <c r="H116" s="12" t="n"/>
      <c r="I116" s="12" t="n"/>
      <c r="J116" s="12" t="n"/>
      <c r="K116" s="12" t="n"/>
      <c r="L116" s="12" t="n"/>
      <c r="M116" s="12" t="n"/>
      <c r="N116" s="12" t="n"/>
      <c r="O116" s="12" t="n"/>
      <c r="P116" s="12" t="n"/>
      <c r="Q116" s="12" t="n"/>
      <c r="R116" s="12" t="n"/>
      <c r="S116" s="12" t="n"/>
      <c r="T116" s="12" t="n"/>
      <c r="U116" s="12" t="n"/>
      <c r="V116" s="12" t="n"/>
      <c r="W116" s="12" t="n"/>
      <c r="X116" s="12" t="n"/>
      <c r="Y116" s="12" t="n"/>
      <c r="Z116" s="12" t="n"/>
      <c r="AA116" s="12" t="n"/>
      <c r="AB116" s="12" t="n"/>
      <c r="AC116" s="12" t="n"/>
      <c r="AD116" s="12" t="n"/>
      <c r="AE116" s="12" t="n"/>
      <c r="AF116" s="12" t="n"/>
      <c r="AG116" s="12" t="n"/>
      <c r="AH116" s="12" t="n"/>
      <c r="AI116" s="12" t="n"/>
      <c r="AJ116" s="12" t="n"/>
      <c r="AK116" s="12" t="n"/>
      <c r="AL116" s="12" t="n"/>
      <c r="AM116" s="12" t="n"/>
      <c r="AN116" s="12" t="n"/>
      <c r="AO116" s="12" t="n"/>
      <c r="AP116" s="12" t="n"/>
      <c r="AQ116" s="12" t="n"/>
      <c r="AR116" s="12" t="n"/>
      <c r="AS116" s="12" t="n"/>
      <c r="AT116" s="12" t="n"/>
      <c r="AU116" s="12" t="n"/>
      <c r="AV116" s="12" t="n"/>
      <c r="AW116" s="12" t="n"/>
      <c r="AX116" s="12" t="n"/>
      <c r="AY116" s="12" t="n"/>
      <c r="AZ116" s="12" t="n"/>
      <c r="BA116" s="12" t="n"/>
      <c r="BB116" s="12" t="n"/>
      <c r="BC116" s="12" t="n"/>
      <c r="BD116" s="12" t="n"/>
      <c r="BE116" s="12" t="n"/>
      <c r="BF116" s="12" t="n"/>
      <c r="BG116" s="12" t="n"/>
      <c r="BH116" s="12" t="n"/>
      <c r="BI116" s="12" t="n"/>
      <c r="BJ116" s="12" t="n"/>
      <c r="BK116" s="12" t="n"/>
      <c r="BL116" s="12" t="n"/>
      <c r="BM116" s="12" t="n"/>
      <c r="BN116" s="12" t="n"/>
      <c r="BO116" s="12" t="n"/>
      <c r="BP116" s="12" t="n"/>
      <c r="BQ116" s="12" t="n"/>
      <c r="BR116" s="12" t="n"/>
      <c r="BS116" s="12" t="n"/>
      <c r="BT116" s="12" t="n"/>
      <c r="BU116" s="12" t="n"/>
      <c r="BV116" s="12" t="n"/>
      <c r="BW116" s="12" t="n"/>
      <c r="BX116" s="12" t="n"/>
      <c r="BY116" s="12" t="n"/>
      <c r="BZ116" s="12" t="n"/>
      <c r="CA116" s="12" t="n"/>
      <c r="CB116" s="12" t="n"/>
      <c r="CC116" s="12" t="n"/>
      <c r="CD116" s="12" t="n"/>
      <c r="CE116" s="12" t="n"/>
      <c r="CF116" s="12" t="n"/>
      <c r="CG116" s="12" t="n"/>
      <c r="CH116" s="12" t="n"/>
      <c r="CI116" s="12" t="n"/>
      <c r="CJ116" s="12" t="n"/>
      <c r="CK116" s="12" t="n"/>
      <c r="CL116" s="12" t="n"/>
      <c r="CM116" s="12" t="n"/>
      <c r="CN116" s="12" t="n"/>
      <c r="CO116" s="12" t="n"/>
      <c r="CP116" s="12" t="n"/>
      <c r="CQ116" s="12" t="n"/>
      <c r="CR116" s="12" t="n"/>
      <c r="CS116" s="12" t="n"/>
      <c r="CT116" s="12" t="n"/>
      <c r="CU116" s="12" t="n"/>
      <c r="CV116" s="12" t="n"/>
      <c r="CW116" s="12" t="n"/>
      <c r="CX116" s="12" t="n"/>
      <c r="CY116" s="12" t="n"/>
    </row>
    <row r="117" hidden="1" outlineLevel="1">
      <c r="C117" s="57" t="inlineStr">
        <is>
          <t>DESPESAS FINANCEIRAS - Atualização de contas a pagar por aquisição de empresas</t>
        </is>
      </c>
      <c r="D117" s="12" t="n"/>
      <c r="E117" s="12" t="n"/>
      <c r="F117" s="12" t="n"/>
      <c r="G117" s="12" t="n"/>
      <c r="H117" s="12" t="n"/>
      <c r="I117" s="12" t="n"/>
      <c r="J117" s="12" t="n"/>
      <c r="K117" s="12" t="n"/>
      <c r="L117" s="12" t="n"/>
      <c r="M117" s="12" t="n"/>
      <c r="N117" s="12" t="n"/>
      <c r="O117" s="12" t="n"/>
      <c r="P117" s="12" t="n"/>
      <c r="Q117" s="12" t="n"/>
      <c r="R117" s="12" t="n"/>
      <c r="S117" s="12" t="n"/>
      <c r="T117" s="12" t="n"/>
      <c r="U117" s="12" t="n"/>
      <c r="V117" s="12" t="n"/>
      <c r="W117" s="12" t="n"/>
      <c r="X117" s="12" t="n"/>
      <c r="Y117" s="12" t="n"/>
      <c r="Z117" s="12" t="n"/>
      <c r="AA117" s="12" t="n"/>
      <c r="AB117" s="12" t="n"/>
      <c r="AC117" s="12" t="n"/>
      <c r="AD117" s="12" t="n"/>
      <c r="AE117" s="12" t="n"/>
      <c r="AF117" s="12" t="n"/>
      <c r="AG117" s="12" t="n"/>
      <c r="AH117" s="12" t="n"/>
      <c r="AI117" s="12" t="n"/>
      <c r="AJ117" s="12" t="n"/>
      <c r="AK117" s="12" t="n"/>
      <c r="AL117" s="12" t="n"/>
      <c r="AM117" s="12" t="n"/>
      <c r="AN117" s="12" t="n"/>
      <c r="AO117" s="12" t="n"/>
      <c r="AP117" s="12" t="n"/>
      <c r="AQ117" s="12" t="n"/>
      <c r="AR117" s="12" t="n"/>
      <c r="AS117" s="12" t="n"/>
      <c r="AT117" s="12" t="n"/>
      <c r="AU117" s="12" t="n"/>
      <c r="AV117" s="12" t="n"/>
      <c r="AW117" s="12" t="n"/>
      <c r="AX117" s="12" t="n"/>
      <c r="AY117" s="12" t="n"/>
      <c r="AZ117" s="12" t="n"/>
      <c r="BA117" s="12" t="n"/>
      <c r="BB117" s="12" t="n"/>
      <c r="BC117" s="12" t="n"/>
      <c r="BD117" s="12" t="n"/>
      <c r="BE117" s="12" t="n"/>
      <c r="BF117" s="12" t="n"/>
      <c r="BG117" s="12" t="n"/>
      <c r="BH117" s="12" t="n"/>
      <c r="BI117" s="12" t="n"/>
      <c r="BJ117" s="12" t="n"/>
      <c r="BK117" s="12" t="n"/>
      <c r="BL117" s="12" t="n"/>
      <c r="BM117" s="12" t="n"/>
      <c r="BN117" s="12" t="n"/>
      <c r="BO117" s="12" t="n"/>
      <c r="BP117" s="12" t="n"/>
      <c r="BQ117" s="12" t="n"/>
      <c r="BR117" s="12" t="n"/>
      <c r="BS117" s="12" t="n"/>
      <c r="BT117" s="12" t="n"/>
      <c r="BU117" s="12" t="n"/>
      <c r="BV117" s="12" t="n"/>
      <c r="BW117" s="12" t="n"/>
      <c r="BX117" s="12" t="n"/>
      <c r="BY117" s="12" t="n"/>
      <c r="BZ117" s="12" t="n"/>
      <c r="CA117" s="12" t="n"/>
      <c r="CB117" s="12" t="n"/>
      <c r="CC117" s="12" t="n"/>
      <c r="CD117" s="12" t="n"/>
      <c r="CE117" s="12" t="n"/>
      <c r="CF117" s="12" t="n"/>
      <c r="CG117" s="12" t="n"/>
      <c r="CH117" s="12" t="n"/>
      <c r="CI117" s="12" t="n"/>
      <c r="CJ117" s="12" t="n"/>
      <c r="CK117" s="12" t="n"/>
      <c r="CL117" s="12" t="n"/>
      <c r="CM117" s="12" t="n"/>
      <c r="CN117" s="12" t="n"/>
      <c r="CO117" s="12" t="n"/>
      <c r="CP117" s="12" t="n"/>
      <c r="CQ117" s="12" t="n"/>
      <c r="CR117" s="12" t="n"/>
      <c r="CS117" s="12" t="n"/>
      <c r="CT117" s="12" t="n"/>
      <c r="CU117" s="12" t="n"/>
      <c r="CV117" s="12" t="n"/>
      <c r="CW117" s="12" t="n"/>
      <c r="CX117" s="12" t="n"/>
      <c r="CY117" s="12" t="n"/>
    </row>
    <row r="118" hidden="1" outlineLevel="1">
      <c r="C118" s="57" t="inlineStr">
        <is>
          <t>DESPESAS FINANCEIRAS - Outras</t>
        </is>
      </c>
      <c r="D118" s="12" t="n"/>
      <c r="E118" s="12" t="n"/>
      <c r="F118" s="12" t="n"/>
      <c r="G118" s="12" t="n"/>
      <c r="H118" s="12" t="n"/>
      <c r="I118" s="12" t="n"/>
      <c r="J118" s="12" t="n"/>
      <c r="K118" s="12" t="n"/>
      <c r="L118" s="12" t="n"/>
      <c r="M118" s="12" t="n"/>
      <c r="N118" s="12" t="n"/>
      <c r="O118" s="12" t="n"/>
      <c r="P118" s="12" t="n"/>
      <c r="Q118" s="12" t="n"/>
      <c r="R118" s="12" t="n"/>
      <c r="S118" s="12" t="n"/>
      <c r="T118" s="12" t="n"/>
      <c r="U118" s="12" t="n"/>
      <c r="V118" s="12" t="n"/>
      <c r="W118" s="12" t="n"/>
      <c r="X118" s="12" t="n"/>
      <c r="Y118" s="12" t="n"/>
      <c r="Z118" s="12" t="n"/>
      <c r="AA118" s="12" t="n"/>
      <c r="AB118" s="12" t="n"/>
      <c r="AC118" s="12" t="n"/>
      <c r="AD118" s="12" t="n"/>
      <c r="AE118" s="12" t="n"/>
      <c r="AF118" s="12" t="n"/>
      <c r="AG118" s="12" t="n"/>
      <c r="AH118" s="12" t="n"/>
      <c r="AI118" s="12" t="n"/>
      <c r="AJ118" s="12" t="n"/>
      <c r="AK118" s="12" t="n"/>
      <c r="AL118" s="12" t="n"/>
      <c r="AM118" s="12" t="n"/>
      <c r="AN118" s="12" t="n"/>
      <c r="AO118" s="12" t="n"/>
      <c r="AP118" s="12" t="n"/>
      <c r="AQ118" s="12" t="n"/>
      <c r="AR118" s="12" t="n"/>
      <c r="AS118" s="12" t="n"/>
      <c r="AT118" s="12" t="n"/>
      <c r="AU118" s="12" t="n"/>
      <c r="AV118" s="12" t="n"/>
      <c r="AW118" s="12" t="n"/>
      <c r="AX118" s="12" t="n"/>
      <c r="AY118" s="12" t="n"/>
      <c r="AZ118" s="12" t="n"/>
      <c r="BA118" s="12" t="n"/>
      <c r="BB118" s="12" t="n"/>
      <c r="BC118" s="12" t="n"/>
      <c r="BD118" s="12" t="n"/>
      <c r="BE118" s="12" t="n"/>
      <c r="BF118" s="12" t="n"/>
      <c r="BG118" s="12" t="n"/>
      <c r="BH118" s="12" t="n"/>
      <c r="BI118" s="12" t="n"/>
      <c r="BJ118" s="12" t="n"/>
      <c r="BK118" s="12" t="n"/>
      <c r="BL118" s="12" t="n"/>
      <c r="BM118" s="12" t="n"/>
      <c r="BN118" s="12" t="n"/>
      <c r="BO118" s="12" t="n"/>
      <c r="BP118" s="12" t="n"/>
      <c r="BQ118" s="12" t="n"/>
      <c r="BR118" s="12" t="n"/>
      <c r="BS118" s="12" t="n"/>
      <c r="BT118" s="12" t="n"/>
      <c r="BU118" s="12" t="n"/>
      <c r="BV118" s="12" t="n"/>
      <c r="BW118" s="12" t="n"/>
      <c r="BX118" s="12" t="n"/>
      <c r="BY118" s="12" t="n"/>
      <c r="BZ118" s="12" t="n"/>
      <c r="CA118" s="12" t="n"/>
      <c r="CB118" s="12" t="n"/>
      <c r="CC118" s="12" t="n"/>
      <c r="CD118" s="12" t="n"/>
      <c r="CE118" s="12" t="n"/>
      <c r="CF118" s="12" t="n"/>
      <c r="CG118" s="12" t="n"/>
      <c r="CH118" s="12" t="n"/>
      <c r="CI118" s="12" t="n"/>
      <c r="CJ118" s="12" t="n"/>
      <c r="CK118" s="12" t="n"/>
      <c r="CL118" s="12" t="n"/>
      <c r="CM118" s="12" t="n"/>
      <c r="CN118" s="12" t="n"/>
      <c r="CO118" s="12" t="n"/>
      <c r="CP118" s="12" t="n"/>
      <c r="CQ118" s="12" t="n"/>
      <c r="CR118" s="12" t="n"/>
      <c r="CS118" s="12" t="n"/>
      <c r="CT118" s="12" t="n"/>
      <c r="CU118" s="12" t="n"/>
      <c r="CV118" s="12" t="n"/>
      <c r="CW118" s="12" t="n"/>
      <c r="CX118" s="12" t="n"/>
      <c r="CY118" s="12" t="n"/>
    </row>
    <row r="119" hidden="1" outlineLevel="1">
      <c r="C119" s="57" t="n"/>
      <c r="D119" s="12" t="n"/>
      <c r="E119" s="12" t="n"/>
      <c r="F119" s="12" t="n"/>
      <c r="G119" s="12" t="n"/>
      <c r="H119" s="12" t="n"/>
      <c r="I119" s="12" t="n"/>
      <c r="J119" s="12" t="n"/>
      <c r="K119" s="12" t="n"/>
      <c r="L119" s="12" t="n"/>
      <c r="M119" s="12" t="n"/>
      <c r="N119" s="12" t="n"/>
      <c r="O119" s="12" t="n"/>
      <c r="P119" s="12" t="n"/>
      <c r="Q119" s="12" t="n"/>
      <c r="R119" s="12" t="n"/>
      <c r="S119" s="12" t="n"/>
      <c r="T119" s="12" t="n"/>
      <c r="U119" s="12" t="n"/>
      <c r="V119" s="12" t="n"/>
      <c r="W119" s="12" t="n"/>
      <c r="X119" s="12" t="n"/>
      <c r="Y119" s="12" t="n"/>
      <c r="Z119" s="12" t="n"/>
      <c r="AA119" s="12" t="n"/>
      <c r="AB119" s="12" t="n"/>
      <c r="AC119" s="12" t="n"/>
      <c r="AD119" s="12" t="n"/>
      <c r="AE119" s="12" t="n"/>
      <c r="AF119" s="12" t="n"/>
      <c r="AG119" s="12" t="n"/>
      <c r="AH119" s="12" t="n"/>
      <c r="AI119" s="12" t="n"/>
      <c r="AJ119" s="12" t="n"/>
      <c r="AK119" s="12" t="n"/>
      <c r="AL119" s="12" t="n"/>
      <c r="AM119" s="12" t="n"/>
      <c r="AN119" s="12" t="n"/>
      <c r="AO119" s="12" t="n"/>
      <c r="AP119" s="12" t="n"/>
      <c r="AQ119" s="12" t="n"/>
      <c r="AR119" s="12" t="n"/>
      <c r="AS119" s="12" t="n"/>
      <c r="AT119" s="12" t="n"/>
      <c r="AU119" s="12" t="n"/>
      <c r="AV119" s="12" t="n"/>
      <c r="AW119" s="12" t="n"/>
      <c r="AX119" s="12" t="n"/>
      <c r="AY119" s="12" t="n"/>
      <c r="AZ119" s="12" t="n"/>
      <c r="BA119" s="12" t="n"/>
      <c r="BB119" s="12" t="n"/>
      <c r="BC119" s="12" t="n"/>
      <c r="BD119" s="12" t="n"/>
      <c r="BE119" s="12" t="n"/>
      <c r="BF119" s="12" t="n"/>
      <c r="BG119" s="12" t="n"/>
      <c r="BH119" s="12" t="n"/>
      <c r="BI119" s="12" t="n"/>
      <c r="BJ119" s="12" t="n"/>
      <c r="BK119" s="12" t="n"/>
      <c r="BL119" s="12" t="n"/>
      <c r="BM119" s="12" t="n"/>
      <c r="BN119" s="12" t="n"/>
      <c r="BO119" s="12" t="n"/>
      <c r="BP119" s="12" t="n"/>
      <c r="BQ119" s="12" t="n"/>
      <c r="BR119" s="12" t="n"/>
      <c r="BS119" s="12" t="n"/>
      <c r="BT119" s="12" t="n"/>
      <c r="BU119" s="12" t="n"/>
      <c r="BV119" s="12" t="n"/>
      <c r="BW119" s="12" t="n"/>
      <c r="BX119" s="12" t="n"/>
      <c r="BY119" s="12" t="n"/>
      <c r="BZ119" s="12" t="n"/>
      <c r="CA119" s="12" t="n"/>
      <c r="CB119" s="12" t="n"/>
      <c r="CC119" s="12" t="n"/>
      <c r="CD119" s="12" t="n"/>
      <c r="CE119" s="12" t="n"/>
      <c r="CF119" s="12" t="n"/>
      <c r="CG119" s="12" t="n"/>
      <c r="CH119" s="12" t="n"/>
      <c r="CI119" s="12" t="n"/>
      <c r="CJ119" s="12" t="n"/>
      <c r="CK119" s="12" t="n"/>
      <c r="CL119" s="12" t="n"/>
      <c r="CM119" s="12" t="n"/>
      <c r="CN119" s="12" t="n"/>
      <c r="CO119" s="12" t="n"/>
      <c r="CP119" s="12" t="n"/>
      <c r="CQ119" s="12" t="n"/>
      <c r="CR119" s="12" t="n"/>
      <c r="CS119" s="12" t="n"/>
      <c r="CT119" s="12" t="n"/>
      <c r="CU119" s="12" t="n"/>
      <c r="CV119" s="12" t="n"/>
      <c r="CW119" s="12" t="n"/>
      <c r="CX119" s="12" t="n"/>
      <c r="CY119" s="12" t="n"/>
    </row>
    <row r="120" hidden="1" outlineLevel="1">
      <c r="C120" s="57" t="inlineStr">
        <is>
          <t>CHECK [EX IFRS-16]</t>
        </is>
      </c>
      <c r="D120" s="12" t="n"/>
      <c r="E120" s="12" t="n"/>
      <c r="F120" s="12" t="n"/>
      <c r="G120" s="12" t="n"/>
      <c r="H120" s="12" t="n"/>
      <c r="I120" s="12" t="n"/>
      <c r="J120" s="12" t="n"/>
      <c r="K120" s="12" t="n"/>
      <c r="L120" s="12" t="n"/>
      <c r="M120" s="12" t="n"/>
      <c r="N120" s="12" t="n"/>
      <c r="O120" s="12" t="n"/>
      <c r="P120" s="12" t="n"/>
      <c r="Q120" s="12" t="n"/>
      <c r="R120" s="12" t="n"/>
      <c r="S120" s="12" t="n"/>
      <c r="T120" s="12" t="n"/>
      <c r="U120" s="12" t="n"/>
      <c r="V120" s="12" t="n"/>
      <c r="W120" s="12" t="n"/>
      <c r="X120" s="12" t="n"/>
      <c r="Y120" s="12" t="n"/>
      <c r="Z120" s="12" t="n"/>
      <c r="AA120" s="12" t="n"/>
      <c r="AB120" s="12" t="n"/>
      <c r="AC120" s="12" t="n"/>
      <c r="AD120" s="12" t="n"/>
      <c r="AE120" s="12" t="n"/>
      <c r="AF120" s="12" t="n"/>
      <c r="AG120" s="12" t="n"/>
      <c r="AH120" s="12" t="n"/>
      <c r="AI120" s="12" t="n"/>
      <c r="AJ120" s="12" t="n"/>
      <c r="AK120" s="12" t="n"/>
      <c r="AL120" s="12" t="n"/>
      <c r="AM120" s="12" t="n"/>
      <c r="AN120" s="12" t="n"/>
      <c r="AO120" s="12" t="n"/>
      <c r="AP120" s="12" t="n"/>
      <c r="AQ120" s="12" t="n"/>
      <c r="AR120" s="12" t="n"/>
      <c r="AS120" s="12" t="n"/>
      <c r="AT120" s="12" t="n"/>
      <c r="AU120" s="12" t="n"/>
      <c r="AV120" s="12" t="n"/>
      <c r="AW120" s="12" t="n"/>
      <c r="AX120" s="12" t="n"/>
      <c r="AY120" s="12" t="n"/>
      <c r="AZ120" s="12" t="n"/>
      <c r="BA120" s="12" t="n"/>
      <c r="BB120" s="12" t="n"/>
      <c r="BC120" s="12" t="n"/>
      <c r="BD120" s="12" t="n"/>
      <c r="BE120" s="12" t="n"/>
      <c r="BF120" s="12" t="n"/>
      <c r="BG120" s="12" t="n"/>
      <c r="BH120" s="12" t="n"/>
      <c r="BI120" s="12" t="n"/>
      <c r="BJ120" s="12" t="n"/>
      <c r="BK120" s="12" t="n"/>
      <c r="BL120" s="12" t="n"/>
      <c r="BM120" s="12" t="n"/>
      <c r="BN120" s="12" t="n"/>
      <c r="BO120" s="12" t="n"/>
      <c r="BP120" s="12" t="n"/>
      <c r="BQ120" s="12" t="n"/>
      <c r="BR120" s="12" t="n"/>
      <c r="BS120" s="12" t="n"/>
      <c r="BT120" s="12" t="n"/>
      <c r="BU120" s="12" t="n"/>
      <c r="BV120" s="12" t="n"/>
      <c r="BW120" s="12" t="n"/>
      <c r="BX120" s="12" t="n"/>
      <c r="BY120" s="12" t="n"/>
      <c r="BZ120" s="12" t="n"/>
      <c r="CA120" s="12" t="n"/>
      <c r="CB120" s="12" t="n"/>
      <c r="CC120" s="12" t="n"/>
      <c r="CD120" s="12" t="n"/>
      <c r="CE120" s="12" t="n"/>
      <c r="CF120" s="12" t="n"/>
      <c r="CG120" s="12" t="n"/>
      <c r="CH120" s="12" t="n"/>
      <c r="CI120" s="12" t="n"/>
      <c r="CJ120" s="12" t="n"/>
      <c r="CK120" s="12" t="n"/>
      <c r="CL120" s="12" t="n"/>
      <c r="CM120" s="12" t="n"/>
      <c r="CN120" s="12" t="n"/>
      <c r="CO120" s="12" t="n"/>
      <c r="CP120" s="12" t="n"/>
      <c r="CQ120" s="12" t="n"/>
      <c r="CR120" s="12" t="n"/>
      <c r="CS120" s="12" t="n"/>
      <c r="CT120" s="12" t="n"/>
      <c r="CU120" s="12" t="n"/>
      <c r="CV120" s="12" t="n"/>
      <c r="CW120" s="12" t="n"/>
      <c r="CX120" s="12" t="n"/>
      <c r="CY120" s="12" t="n"/>
    </row>
    <row r="121" hidden="1" outlineLevel="1">
      <c r="C121" s="57" t="n"/>
      <c r="D121" s="12" t="n"/>
      <c r="E121" s="12" t="n"/>
      <c r="F121" s="12" t="n"/>
      <c r="G121" s="12" t="n"/>
      <c r="H121" s="12" t="n"/>
      <c r="I121" s="12" t="n"/>
      <c r="J121" s="12" t="n"/>
      <c r="K121" s="12" t="n"/>
      <c r="L121" s="12" t="n"/>
      <c r="M121" s="12" t="n"/>
      <c r="N121" s="12" t="n"/>
      <c r="O121" s="12" t="n"/>
      <c r="P121" s="12" t="n"/>
      <c r="Q121" s="12" t="n"/>
      <c r="R121" s="12" t="n"/>
      <c r="S121" s="12" t="n"/>
      <c r="T121" s="12" t="n"/>
      <c r="U121" s="12" t="n"/>
      <c r="V121" s="12" t="n"/>
      <c r="W121" s="12" t="n"/>
      <c r="X121" s="12" t="n"/>
      <c r="Y121" s="12" t="n"/>
      <c r="Z121" s="12" t="n"/>
      <c r="AA121" s="12" t="n"/>
      <c r="AB121" s="12" t="n"/>
      <c r="AC121" s="12" t="n"/>
      <c r="AD121" s="12" t="n"/>
      <c r="AE121" s="12" t="n"/>
      <c r="AF121" s="12" t="n"/>
      <c r="AG121" s="12" t="n"/>
      <c r="AH121" s="12" t="n"/>
      <c r="AI121" s="12" t="n"/>
      <c r="AJ121" s="12" t="n"/>
      <c r="AK121" s="12" t="n"/>
      <c r="AL121" s="12" t="n"/>
      <c r="AM121" s="12" t="n"/>
      <c r="AN121" s="12" t="n"/>
      <c r="AO121" s="12" t="n"/>
      <c r="AP121" s="12" t="n"/>
      <c r="AQ121" s="12" t="n"/>
      <c r="AR121" s="12" t="n"/>
      <c r="AS121" s="12" t="n"/>
      <c r="AT121" s="12" t="n"/>
      <c r="AU121" s="12" t="n"/>
      <c r="AV121" s="12" t="n"/>
      <c r="AW121" s="12" t="n"/>
      <c r="AX121" s="12" t="n"/>
      <c r="AY121" s="12" t="n"/>
      <c r="AZ121" s="12" t="n"/>
      <c r="BA121" s="12" t="n"/>
      <c r="BB121" s="12" t="n"/>
      <c r="BC121" s="12" t="n"/>
      <c r="BD121" s="12" t="n"/>
      <c r="BE121" s="12" t="n"/>
      <c r="BF121" s="12" t="n"/>
      <c r="BG121" s="12" t="n"/>
      <c r="BH121" s="12" t="n"/>
      <c r="BI121" s="12" t="n"/>
      <c r="BJ121" s="12" t="n"/>
      <c r="BK121" s="12" t="n"/>
      <c r="BL121" s="12" t="n"/>
      <c r="BM121" s="12" t="n"/>
      <c r="BN121" s="12" t="n"/>
      <c r="BO121" s="12" t="n"/>
      <c r="BP121" s="12" t="n"/>
      <c r="BQ121" s="12" t="n"/>
      <c r="BR121" s="12" t="n"/>
      <c r="BS121" s="12" t="n"/>
      <c r="BT121" s="12" t="n"/>
      <c r="BU121" s="12" t="n"/>
      <c r="BV121" s="12" t="n"/>
      <c r="BW121" s="12" t="n"/>
      <c r="BX121" s="12" t="n"/>
      <c r="BY121" s="12" t="n"/>
      <c r="BZ121" s="12" t="n"/>
      <c r="CA121" s="12" t="n"/>
      <c r="CB121" s="12" t="n"/>
      <c r="CC121" s="12" t="n"/>
      <c r="CD121" s="12" t="n"/>
      <c r="CE121" s="12" t="n"/>
      <c r="CF121" s="12" t="n"/>
      <c r="CG121" s="12" t="n"/>
      <c r="CH121" s="12" t="n"/>
      <c r="CI121" s="12" t="n"/>
      <c r="CJ121" s="12" t="n"/>
      <c r="CK121" s="12" t="n"/>
      <c r="CL121" s="12" t="n"/>
      <c r="CM121" s="12" t="n"/>
      <c r="CN121" s="12" t="n"/>
      <c r="CO121" s="12" t="n"/>
      <c r="CP121" s="12" t="n"/>
      <c r="CQ121" s="12" t="n"/>
      <c r="CR121" s="12" t="n"/>
      <c r="CS121" s="12" t="n"/>
      <c r="CT121" s="12" t="n"/>
      <c r="CU121" s="12" t="n"/>
      <c r="CV121" s="12" t="n"/>
      <c r="CW121" s="12" t="n"/>
      <c r="CX121" s="12" t="n"/>
      <c r="CY121" s="12" t="n"/>
    </row>
    <row r="122" collapsed="1">
      <c r="C122" s="14" t="inlineStr">
        <is>
          <t>Nonoperating Income / (Loss)</t>
        </is>
      </c>
      <c r="D122" s="46" t="n"/>
      <c r="E122" s="46" t="n"/>
      <c r="F122" s="46" t="n"/>
      <c r="G122" s="46" t="n"/>
      <c r="H122" s="12" t="n"/>
      <c r="I122" s="46">
        <f>'Inputs (2)'!D9</f>
        <v>13.753</v>
      </c>
      <c r="J122" s="46">
        <f>'Inputs (2)'!E9</f>
        <v>11.716</v>
      </c>
      <c r="K122" s="46">
        <f>'Inputs (2)'!F9</f>
        <v>41.663</v>
      </c>
      <c r="L122" s="46">
        <f>'Inputs (2)'!G9</f>
        <v>33.412</v>
      </c>
      <c r="M122" s="12">
        <f>'Inputs (2)'!H9</f>
        <v>100.544</v>
      </c>
      <c r="N122" s="46">
        <f>'Inputs (2)'!I9</f>
        <v>86.074</v>
      </c>
      <c r="O122" s="46">
        <f>'Inputs (2)'!J9</f>
        <v>103.888</v>
      </c>
      <c r="P122" s="46">
        <f>'Inputs (2)'!K9</f>
        <v>112.759</v>
      </c>
      <c r="Q122" s="46">
        <f>'Inputs (2)'!L9</f>
        <v>2536.191</v>
      </c>
      <c r="R122" s="12">
        <f>'Inputs (2)'!M9</f>
        <v>2838.912</v>
      </c>
      <c r="S122" s="46">
        <f>'Inputs (2)'!N9</f>
        <v>254.848</v>
      </c>
      <c r="T122" s="46">
        <f>'Inputs (2)'!O9</f>
        <v>473.238</v>
      </c>
      <c r="U122" s="46">
        <f>'Inputs (2)'!P9</f>
        <v>74.493</v>
      </c>
      <c r="V122" s="46">
        <f>'Inputs (2)'!Q9</f>
        <v>138.783</v>
      </c>
      <c r="W122" s="12">
        <f>'Inputs (2)'!R9</f>
        <v>941.362</v>
      </c>
      <c r="X122" s="46">
        <f>'Inputs (2)'!S9</f>
        <v>149.86</v>
      </c>
      <c r="Y122" s="46">
        <f>'Inputs (2)'!T9</f>
        <v>119.705</v>
      </c>
      <c r="Z122" s="46">
        <f>'Inputs (2)'!U9</f>
        <v>141.262</v>
      </c>
      <c r="AA122" s="46">
        <f>'Inputs (2)'!V9</f>
        <v>304.06</v>
      </c>
      <c r="AB122" s="12">
        <f>'Inputs (2)'!W9</f>
        <v>714.887</v>
      </c>
      <c r="AC122" s="46">
        <f>'Inputs (2)'!X9</f>
        <v>276.738</v>
      </c>
      <c r="AD122" s="46">
        <f>'Inputs (2)'!Y9</f>
        <v>234.752</v>
      </c>
      <c r="AE122" s="46">
        <f>'Inputs (2)'!Z9</f>
        <v>244.49</v>
      </c>
      <c r="AF122" s="46">
        <f>'Inputs (2)'!AA9</f>
        <v>351.744</v>
      </c>
      <c r="AG122" s="12">
        <f>'Inputs (2)'!AB9</f>
        <v>1107.724</v>
      </c>
      <c r="AH122" s="12">
        <f>'Inputs (2)'!AC9</f>
        <v>277.65</v>
      </c>
      <c r="AI122" s="12">
        <f>'Inputs (2)'!AD9</f>
        <v>286.022</v>
      </c>
      <c r="AJ122" s="12">
        <f>AJ15*Control!$B$23</f>
        <v>350.719807016064</v>
      </c>
      <c r="AK122" s="12">
        <f>AK15*Control!$B$23</f>
        <v>376.927984836105</v>
      </c>
      <c r="AL122" s="12">
        <f>SUM(AH122:AK122)</f>
        <v>1291.31979185217</v>
      </c>
      <c r="AM122" s="12">
        <f>AM15*Control!$C$23</f>
        <v>304.829271591446</v>
      </c>
      <c r="AN122" s="12">
        <f>AN15*Control!$C$23</f>
        <v>302.941919515761</v>
      </c>
      <c r="AO122" s="12">
        <f>AO15*Control!$C$23</f>
        <v>401.673003439565</v>
      </c>
      <c r="AP122" s="12">
        <f>AP15*Control!$C$23</f>
        <v>431.688751877668</v>
      </c>
      <c r="AQ122" s="12">
        <f>SUM(AM122:AP122)</f>
        <v>1441.13294642444</v>
      </c>
      <c r="AR122" s="12">
        <f>AR15*Control!$D$23</f>
        <v>347.591263171287</v>
      </c>
      <c r="AS122" s="12">
        <f>AS15*Control!$D$23</f>
        <v>345.439149994586</v>
      </c>
      <c r="AT122" s="12">
        <f>AT15*Control!$D$23</f>
        <v>458.020405712511</v>
      </c>
      <c r="AU122" s="12">
        <f>AU15*Control!$D$23</f>
        <v>492.246816647925</v>
      </c>
      <c r="AV122" s="12">
        <f>SUM(AR122:AU122)</f>
        <v>1643.29763552631</v>
      </c>
      <c r="AW122" s="12">
        <f>AW15*Control!$E$23</f>
        <v>394.614026557174</v>
      </c>
      <c r="AX122" s="12">
        <f>AX15*Control!$E$23</f>
        <v>392.170771687887</v>
      </c>
      <c r="AY122" s="12">
        <f>AY15*Control!$E$23</f>
        <v>519.982219617811</v>
      </c>
      <c r="AZ122" s="12">
        <f>AZ15*Control!$E$23</f>
        <v>558.8388402089</v>
      </c>
      <c r="BA122" s="12">
        <f>SUM(AW122:AZ122)</f>
        <v>1865.60585807177</v>
      </c>
      <c r="BB122" s="12">
        <f>BB15*Control!$F$23</f>
        <v>446.025042751109</v>
      </c>
      <c r="BC122" s="12">
        <f>BC15*Control!$F$23</f>
        <v>443.263476298358</v>
      </c>
      <c r="BD122" s="12">
        <f>BD15*Control!$F$23</f>
        <v>587.726426651102</v>
      </c>
      <c r="BE122" s="12">
        <f>BE15*Control!$F$23</f>
        <v>631.645356780143</v>
      </c>
      <c r="BF122" s="12">
        <f>SUM(BB122:BE122)</f>
        <v>2108.66030248071</v>
      </c>
      <c r="BG122" s="12" t="n"/>
      <c r="BH122" s="12" t="n"/>
      <c r="BI122" s="12" t="n"/>
      <c r="BJ122" s="12" t="n"/>
      <c r="BK122" s="12" t="n"/>
      <c r="BL122" s="12" t="n"/>
      <c r="BM122" s="12" t="n"/>
      <c r="BN122" s="12" t="n"/>
      <c r="BO122" s="12" t="n"/>
      <c r="BP122" s="12" t="n"/>
      <c r="BQ122" s="12" t="n"/>
      <c r="BR122" s="12" t="n"/>
      <c r="BS122" s="12" t="n"/>
      <c r="BT122" s="12" t="n"/>
      <c r="BU122" s="12" t="n"/>
      <c r="BV122" s="12" t="n"/>
      <c r="BW122" s="12" t="n"/>
      <c r="BX122" s="12" t="n"/>
      <c r="BY122" s="12" t="n"/>
      <c r="BZ122" s="12" t="n"/>
      <c r="CA122" s="12" t="n"/>
      <c r="CB122" s="12" t="n"/>
      <c r="CC122" s="12" t="n"/>
      <c r="CD122" s="12" t="n"/>
      <c r="CE122" s="12" t="n"/>
      <c r="CF122" s="12" t="n"/>
      <c r="CG122" s="12" t="n"/>
      <c r="CH122" s="12" t="n"/>
      <c r="CI122" s="12" t="n"/>
      <c r="CJ122" s="12" t="n"/>
      <c r="CK122" s="12" t="n"/>
      <c r="CL122" s="12" t="n"/>
      <c r="CM122" s="12" t="n"/>
      <c r="CN122" s="12" t="n"/>
      <c r="CO122" s="12" t="n"/>
      <c r="CP122" s="12" t="n"/>
      <c r="CQ122" s="12" t="n"/>
      <c r="CR122" s="12" t="n"/>
      <c r="CS122" s="12" t="n"/>
      <c r="CT122" s="12" t="n"/>
      <c r="CU122" s="12" t="n"/>
      <c r="CV122" s="12" t="n"/>
      <c r="CW122" s="12" t="n"/>
      <c r="CX122" s="12" t="n"/>
      <c r="CY122" s="12" t="n"/>
    </row>
    <row r="123" hidden="1" outlineLevel="1">
      <c r="C123" s="57" t="n"/>
      <c r="D123" s="12" t="n"/>
      <c r="E123" s="12" t="n"/>
      <c r="F123" s="12" t="n"/>
      <c r="G123" s="12" t="n"/>
      <c r="H123" s="12" t="n"/>
      <c r="I123" s="12" t="n"/>
      <c r="J123" s="12" t="n"/>
      <c r="K123" s="12" t="n"/>
      <c r="L123" s="12" t="n"/>
      <c r="M123" s="12" t="n"/>
      <c r="N123" s="12" t="n"/>
      <c r="O123" s="12" t="n"/>
      <c r="P123" s="12" t="n"/>
      <c r="Q123" s="12" t="n"/>
      <c r="R123" s="12" t="n"/>
      <c r="S123" s="12" t="n"/>
      <c r="T123" s="12" t="n"/>
      <c r="U123" s="12" t="n"/>
      <c r="V123" s="12" t="n"/>
      <c r="W123" s="12" t="n"/>
      <c r="X123" s="12" t="n"/>
      <c r="Y123" s="12" t="n"/>
      <c r="Z123" s="12" t="n"/>
      <c r="AA123" s="12" t="n"/>
      <c r="AB123" s="12" t="n"/>
      <c r="AC123" s="12" t="n"/>
      <c r="AD123" s="12" t="n"/>
      <c r="AE123" s="12" t="n"/>
      <c r="AF123" s="12" t="n"/>
      <c r="AG123" s="12" t="n"/>
      <c r="AH123" s="12" t="n"/>
      <c r="AI123" s="12" t="n"/>
      <c r="AJ123" s="12" t="n"/>
      <c r="AK123" s="12" t="n"/>
      <c r="AL123" s="12" t="n"/>
      <c r="AM123" s="12" t="n"/>
      <c r="AN123" s="12" t="n"/>
      <c r="AO123" s="12" t="n"/>
      <c r="AP123" s="12" t="n"/>
      <c r="AQ123" s="12" t="n"/>
      <c r="AR123" s="12" t="n"/>
      <c r="AS123" s="12" t="n"/>
      <c r="AT123" s="12" t="n"/>
      <c r="AU123" s="12" t="n"/>
      <c r="AV123" s="12" t="n"/>
      <c r="AW123" s="12" t="n"/>
      <c r="AX123" s="12" t="n"/>
      <c r="AY123" s="12" t="n"/>
      <c r="AZ123" s="12" t="n"/>
      <c r="BA123" s="12" t="n"/>
      <c r="BB123" s="12" t="n"/>
      <c r="BC123" s="12" t="n"/>
      <c r="BD123" s="12" t="n"/>
      <c r="BE123" s="12" t="n"/>
      <c r="BF123" s="12" t="n"/>
      <c r="BG123" s="12" t="n"/>
      <c r="BH123" s="12" t="n"/>
      <c r="BI123" s="12" t="n"/>
      <c r="BJ123" s="12" t="n"/>
      <c r="BK123" s="12" t="n"/>
      <c r="BL123" s="12" t="n"/>
      <c r="BM123" s="12" t="n"/>
      <c r="BN123" s="12" t="n"/>
      <c r="BO123" s="12" t="n"/>
      <c r="BP123" s="12" t="n"/>
      <c r="BQ123" s="12" t="n"/>
      <c r="BR123" s="12" t="n"/>
      <c r="BS123" s="12" t="n"/>
      <c r="BT123" s="12" t="n"/>
      <c r="BU123" s="12" t="n"/>
      <c r="BV123" s="12" t="n"/>
      <c r="BW123" s="12" t="n"/>
      <c r="BX123" s="12" t="n"/>
      <c r="BY123" s="12" t="n"/>
      <c r="BZ123" s="12" t="n"/>
      <c r="CA123" s="12" t="n"/>
      <c r="CB123" s="12" t="n"/>
      <c r="CC123" s="12" t="n"/>
      <c r="CD123" s="12" t="n"/>
      <c r="CE123" s="12" t="n"/>
      <c r="CF123" s="12" t="n"/>
      <c r="CG123" s="12" t="n"/>
      <c r="CH123" s="12" t="n"/>
      <c r="CI123" s="12" t="n"/>
      <c r="CJ123" s="12" t="n"/>
      <c r="CK123" s="12" t="n"/>
      <c r="CL123" s="12" t="n"/>
      <c r="CM123" s="12" t="n"/>
      <c r="CN123" s="12" t="n"/>
      <c r="CO123" s="12" t="n"/>
      <c r="CP123" s="12" t="n"/>
      <c r="CQ123" s="12" t="n"/>
      <c r="CR123" s="12" t="n"/>
      <c r="CS123" s="12" t="n"/>
      <c r="CT123" s="12" t="n"/>
      <c r="CU123" s="12" t="n"/>
      <c r="CV123" s="12" t="n"/>
      <c r="CW123" s="12" t="n"/>
      <c r="CX123" s="12" t="n"/>
      <c r="CY123" s="12" t="n"/>
    </row>
    <row r="124" hidden="1" outlineLevel="1">
      <c r="C124" s="50" t="inlineStr">
        <is>
          <t>Resultado Não Recorrente</t>
        </is>
      </c>
      <c r="D124" s="11" t="n"/>
      <c r="E124" s="11" t="n"/>
      <c r="F124" s="11" t="n"/>
      <c r="G124" s="11" t="n"/>
      <c r="H124" s="12" t="n"/>
      <c r="I124" s="11" t="n"/>
      <c r="J124" s="11" t="n"/>
      <c r="K124" s="11" t="n"/>
      <c r="L124" s="11" t="n"/>
      <c r="M124" s="12" t="n"/>
      <c r="N124" s="11" t="n"/>
      <c r="O124" s="11" t="n"/>
      <c r="P124" s="11" t="n"/>
      <c r="Q124" s="11" t="n"/>
      <c r="R124" s="12" t="n"/>
      <c r="S124" s="11" t="n"/>
      <c r="T124" s="11" t="n"/>
      <c r="U124" s="11" t="n"/>
      <c r="V124" s="11" t="n"/>
      <c r="W124" s="12" t="n"/>
      <c r="X124" s="11" t="n"/>
      <c r="Y124" s="11" t="n"/>
      <c r="Z124" s="11" t="n"/>
      <c r="AA124" s="11" t="n"/>
      <c r="AB124" s="12" t="n"/>
      <c r="AC124" s="11" t="n"/>
      <c r="AD124" s="11" t="n"/>
      <c r="AE124" s="11" t="n"/>
      <c r="AF124" s="11" t="n"/>
      <c r="AG124" s="12" t="n"/>
      <c r="AH124" s="12" t="n"/>
      <c r="AI124" s="12" t="n"/>
      <c r="AJ124" s="12" t="n"/>
      <c r="AK124" s="12" t="n"/>
      <c r="AL124" s="12" t="n"/>
      <c r="AM124" s="12" t="n"/>
      <c r="AN124" s="12" t="n"/>
      <c r="AO124" s="12" t="n"/>
      <c r="AP124" s="12" t="n"/>
      <c r="AQ124" s="12" t="n"/>
      <c r="AR124" s="12" t="n"/>
      <c r="AS124" s="12" t="n"/>
      <c r="AT124" s="12" t="n"/>
      <c r="AU124" s="12" t="n"/>
      <c r="AV124" s="12" t="n"/>
      <c r="AW124" s="12" t="n"/>
      <c r="AX124" s="12" t="n"/>
      <c r="AY124" s="12" t="n"/>
      <c r="AZ124" s="12" t="n"/>
      <c r="BA124" s="12" t="n"/>
      <c r="BB124" s="12" t="n"/>
      <c r="BC124" s="12" t="n"/>
      <c r="BD124" s="12" t="n"/>
      <c r="BE124" s="12" t="n"/>
      <c r="BF124" s="12" t="n"/>
      <c r="BG124" s="12" t="n"/>
      <c r="BH124" s="12" t="n"/>
      <c r="BI124" s="12" t="n"/>
      <c r="BJ124" s="12" t="n"/>
      <c r="BK124" s="12" t="n"/>
      <c r="BL124" s="12" t="n"/>
      <c r="BM124" s="12" t="n"/>
      <c r="BN124" s="12" t="n"/>
      <c r="BO124" s="12" t="n"/>
      <c r="BP124" s="12" t="n"/>
      <c r="BQ124" s="12" t="n"/>
      <c r="BR124" s="12" t="n"/>
      <c r="BS124" s="12" t="n"/>
      <c r="BT124" s="12" t="n"/>
      <c r="BU124" s="12" t="n"/>
      <c r="BV124" s="12" t="n"/>
      <c r="BW124" s="12" t="n"/>
      <c r="BX124" s="12" t="n"/>
      <c r="BY124" s="12" t="n"/>
      <c r="BZ124" s="12" t="n"/>
      <c r="CA124" s="12" t="n"/>
      <c r="CB124" s="12" t="n"/>
      <c r="CC124" s="12" t="n"/>
      <c r="CD124" s="12" t="n"/>
      <c r="CE124" s="12" t="n"/>
      <c r="CF124" s="12" t="n"/>
      <c r="CG124" s="12" t="n"/>
      <c r="CH124" s="12" t="n"/>
      <c r="CI124" s="12" t="n"/>
      <c r="CJ124" s="12" t="n"/>
      <c r="CK124" s="12" t="n"/>
      <c r="CL124" s="12" t="n"/>
      <c r="CM124" s="12" t="n"/>
      <c r="CN124" s="12" t="n"/>
      <c r="CO124" s="12" t="n"/>
      <c r="CP124" s="12" t="n"/>
      <c r="CQ124" s="12" t="n"/>
      <c r="CR124" s="12" t="n"/>
      <c r="CS124" s="12" t="n"/>
      <c r="CT124" s="12" t="n"/>
      <c r="CU124" s="12" t="n"/>
      <c r="CV124" s="12" t="n"/>
      <c r="CW124" s="12" t="n"/>
      <c r="CX124" s="12" t="n"/>
      <c r="CY124" s="12" t="n"/>
    </row>
    <row r="125" hidden="1" outlineLevel="1">
      <c r="C125" s="50" t="inlineStr">
        <is>
          <t>Plano de Opção de Compra de Ações</t>
        </is>
      </c>
      <c r="D125" s="11" t="n"/>
      <c r="E125" s="11" t="n"/>
      <c r="F125" s="11" t="n"/>
      <c r="G125" s="11" t="n"/>
      <c r="H125" s="12" t="n"/>
      <c r="I125" s="11" t="n"/>
      <c r="J125" s="11" t="n"/>
      <c r="K125" s="11" t="n"/>
      <c r="L125" s="11" t="n"/>
      <c r="M125" s="12" t="n"/>
      <c r="N125" s="11" t="n"/>
      <c r="O125" s="11" t="n"/>
      <c r="P125" s="11" t="n"/>
      <c r="Q125" s="11" t="n"/>
      <c r="R125" s="12" t="n"/>
      <c r="S125" s="11" t="n"/>
      <c r="T125" s="11" t="n"/>
      <c r="U125" s="11" t="n"/>
      <c r="V125" s="11" t="n"/>
      <c r="W125" s="12" t="n"/>
      <c r="X125" s="11" t="n"/>
      <c r="Y125" s="11" t="n"/>
      <c r="Z125" s="11" t="n"/>
      <c r="AA125" s="11" t="n"/>
      <c r="AB125" s="12" t="n"/>
      <c r="AC125" s="11" t="n"/>
      <c r="AD125" s="11" t="n"/>
      <c r="AE125" s="11" t="n"/>
      <c r="AF125" s="11" t="n"/>
      <c r="AG125" s="12" t="n"/>
      <c r="AH125" s="12" t="n"/>
      <c r="AI125" s="12" t="n"/>
      <c r="AJ125" s="12" t="n"/>
      <c r="AK125" s="12" t="n"/>
      <c r="AL125" s="12" t="n"/>
      <c r="AM125" s="12" t="n"/>
      <c r="AN125" s="12" t="n"/>
      <c r="AO125" s="12" t="n"/>
      <c r="AP125" s="12" t="n"/>
      <c r="AQ125" s="12" t="n"/>
      <c r="AR125" s="12" t="n"/>
      <c r="AS125" s="12" t="n"/>
      <c r="AT125" s="12" t="n"/>
      <c r="AU125" s="12" t="n"/>
      <c r="AV125" s="12" t="n"/>
      <c r="AW125" s="12" t="n"/>
      <c r="AX125" s="12" t="n"/>
      <c r="AY125" s="12" t="n"/>
      <c r="AZ125" s="12" t="n"/>
      <c r="BA125" s="12" t="n"/>
      <c r="BB125" s="12" t="n"/>
      <c r="BC125" s="12" t="n"/>
      <c r="BD125" s="12" t="n"/>
      <c r="BE125" s="12" t="n"/>
      <c r="BF125" s="12" t="n"/>
      <c r="BG125" s="12" t="n"/>
      <c r="BH125" s="12" t="n"/>
      <c r="BI125" s="12" t="n"/>
      <c r="BJ125" s="12" t="n"/>
      <c r="BK125" s="12" t="n"/>
      <c r="BL125" s="12" t="n"/>
      <c r="BM125" s="12" t="n"/>
      <c r="BN125" s="12" t="n"/>
      <c r="BO125" s="12" t="n"/>
      <c r="BP125" s="12" t="n"/>
      <c r="BQ125" s="12" t="n"/>
      <c r="BR125" s="12" t="n"/>
      <c r="BS125" s="12" t="n"/>
      <c r="BT125" s="12" t="n"/>
      <c r="BU125" s="12" t="n"/>
      <c r="BV125" s="12" t="n"/>
      <c r="BW125" s="12" t="n"/>
      <c r="BX125" s="12" t="n"/>
      <c r="BY125" s="12" t="n"/>
      <c r="BZ125" s="12" t="n"/>
      <c r="CA125" s="12" t="n"/>
      <c r="CB125" s="12" t="n"/>
      <c r="CC125" s="12" t="n"/>
      <c r="CD125" s="12" t="n"/>
      <c r="CE125" s="12" t="n"/>
      <c r="CF125" s="12" t="n"/>
      <c r="CG125" s="12" t="n"/>
      <c r="CH125" s="12" t="n"/>
      <c r="CI125" s="12" t="n"/>
      <c r="CJ125" s="12" t="n"/>
      <c r="CK125" s="12" t="n"/>
      <c r="CL125" s="12" t="n"/>
      <c r="CM125" s="12" t="n"/>
      <c r="CN125" s="12" t="n"/>
      <c r="CO125" s="12" t="n"/>
      <c r="CP125" s="12" t="n"/>
      <c r="CQ125" s="12" t="n"/>
      <c r="CR125" s="12" t="n"/>
      <c r="CS125" s="12" t="n"/>
      <c r="CT125" s="12" t="n"/>
      <c r="CU125" s="12" t="n"/>
      <c r="CV125" s="12" t="n"/>
      <c r="CW125" s="12" t="n"/>
      <c r="CX125" s="12" t="n"/>
      <c r="CY125" s="12" t="n"/>
    </row>
    <row r="126" hidden="1" outlineLevel="1">
      <c r="C126" s="50" t="inlineStr">
        <is>
          <t>Baixa Imobilizado</t>
        </is>
      </c>
      <c r="D126" s="11" t="n"/>
      <c r="E126" s="11" t="n"/>
      <c r="F126" s="11" t="n"/>
      <c r="G126" s="11" t="n"/>
      <c r="H126" s="12" t="n"/>
      <c r="I126" s="11" t="n"/>
      <c r="J126" s="11" t="n"/>
      <c r="K126" s="11" t="n"/>
      <c r="L126" s="11" t="n"/>
      <c r="M126" s="12" t="n"/>
      <c r="N126" s="11" t="n"/>
      <c r="O126" s="11" t="n"/>
      <c r="P126" s="11" t="n"/>
      <c r="Q126" s="11" t="n"/>
      <c r="R126" s="12" t="n"/>
      <c r="S126" s="11" t="n"/>
      <c r="T126" s="11" t="n"/>
      <c r="U126" s="11" t="n"/>
      <c r="V126" s="11" t="n"/>
      <c r="W126" s="12" t="n"/>
      <c r="X126" s="11" t="n"/>
      <c r="Y126" s="11" t="n"/>
      <c r="Z126" s="11" t="n"/>
      <c r="AA126" s="11" t="n"/>
      <c r="AB126" s="12" t="n"/>
      <c r="AC126" s="11" t="n"/>
      <c r="AD126" s="11" t="n"/>
      <c r="AE126" s="11" t="n"/>
      <c r="AF126" s="11" t="n"/>
      <c r="AG126" s="12" t="n"/>
      <c r="AH126" s="12" t="n"/>
      <c r="AI126" s="12" t="n"/>
      <c r="AJ126" s="12" t="n"/>
      <c r="AK126" s="12" t="n"/>
      <c r="AL126" s="12" t="n"/>
      <c r="AM126" s="12" t="n"/>
      <c r="AN126" s="12" t="n"/>
      <c r="AO126" s="12" t="n"/>
      <c r="AP126" s="12" t="n"/>
      <c r="AQ126" s="12" t="n"/>
      <c r="AR126" s="12" t="n"/>
      <c r="AS126" s="12" t="n"/>
      <c r="AT126" s="12" t="n"/>
      <c r="AU126" s="12" t="n"/>
      <c r="AV126" s="12" t="n"/>
      <c r="AW126" s="12" t="n"/>
      <c r="AX126" s="12" t="n"/>
      <c r="AY126" s="12" t="n"/>
      <c r="AZ126" s="12" t="n"/>
      <c r="BA126" s="12" t="n"/>
      <c r="BB126" s="12" t="n"/>
      <c r="BC126" s="12" t="n"/>
      <c r="BD126" s="12" t="n"/>
      <c r="BE126" s="12" t="n"/>
      <c r="BF126" s="12" t="n"/>
      <c r="BG126" s="12" t="n"/>
      <c r="BH126" s="12" t="n"/>
      <c r="BI126" s="12" t="n"/>
      <c r="BJ126" s="12" t="n"/>
      <c r="BK126" s="12" t="n"/>
      <c r="BL126" s="12" t="n"/>
      <c r="BM126" s="12" t="n"/>
      <c r="BN126" s="12" t="n"/>
      <c r="BO126" s="12" t="n"/>
      <c r="BP126" s="12" t="n"/>
      <c r="BQ126" s="12" t="n"/>
      <c r="BR126" s="12" t="n"/>
      <c r="BS126" s="12" t="n"/>
      <c r="BT126" s="12" t="n"/>
      <c r="BU126" s="12" t="n"/>
      <c r="BV126" s="12" t="n"/>
      <c r="BW126" s="12" t="n"/>
      <c r="BX126" s="12" t="n"/>
      <c r="BY126" s="12" t="n"/>
      <c r="BZ126" s="12" t="n"/>
      <c r="CA126" s="12" t="n"/>
      <c r="CB126" s="12" t="n"/>
      <c r="CC126" s="12" t="n"/>
      <c r="CD126" s="12" t="n"/>
      <c r="CE126" s="12" t="n"/>
      <c r="CF126" s="12" t="n"/>
      <c r="CG126" s="12" t="n"/>
      <c r="CH126" s="12" t="n"/>
      <c r="CI126" s="12" t="n"/>
      <c r="CJ126" s="12" t="n"/>
      <c r="CK126" s="12" t="n"/>
      <c r="CL126" s="12" t="n"/>
      <c r="CM126" s="12" t="n"/>
      <c r="CN126" s="12" t="n"/>
      <c r="CO126" s="12" t="n"/>
      <c r="CP126" s="12" t="n"/>
      <c r="CQ126" s="12" t="n"/>
      <c r="CR126" s="12" t="n"/>
      <c r="CS126" s="12" t="n"/>
      <c r="CT126" s="12" t="n"/>
      <c r="CU126" s="12" t="n"/>
      <c r="CV126" s="12" t="n"/>
      <c r="CW126" s="12" t="n"/>
      <c r="CX126" s="12" t="n"/>
      <c r="CY126" s="12" t="n"/>
    </row>
    <row r="127" hidden="1" outlineLevel="1">
      <c r="C127" s="57" t="n"/>
      <c r="D127" s="12" t="n"/>
      <c r="E127" s="12" t="n"/>
      <c r="F127" s="12" t="n"/>
      <c r="G127" s="12" t="n"/>
      <c r="H127" s="12" t="n"/>
      <c r="I127" s="12" t="n"/>
      <c r="J127" s="12" t="n"/>
      <c r="K127" s="12" t="n"/>
      <c r="L127" s="12" t="n"/>
      <c r="M127" s="12" t="n"/>
      <c r="N127" s="12" t="n"/>
      <c r="O127" s="12" t="n"/>
      <c r="P127" s="12" t="n"/>
      <c r="Q127" s="12" t="n"/>
      <c r="R127" s="12" t="n"/>
      <c r="S127" s="12" t="n"/>
      <c r="T127" s="12" t="n"/>
      <c r="U127" s="12" t="n"/>
      <c r="V127" s="12" t="n"/>
      <c r="W127" s="12" t="n"/>
      <c r="X127" s="12" t="n"/>
      <c r="Y127" s="12" t="n"/>
      <c r="Z127" s="12" t="n"/>
      <c r="AA127" s="12" t="n"/>
      <c r="AB127" s="12" t="n"/>
      <c r="AC127" s="12" t="n"/>
      <c r="AD127" s="12" t="n"/>
      <c r="AE127" s="12" t="n"/>
      <c r="AF127" s="12" t="n"/>
      <c r="AG127" s="12" t="n"/>
      <c r="AH127" s="12" t="n"/>
      <c r="AI127" s="12" t="n"/>
      <c r="AJ127" s="12" t="n"/>
      <c r="AK127" s="12" t="n"/>
      <c r="AL127" s="12" t="n"/>
      <c r="AM127" s="12" t="n"/>
      <c r="AN127" s="12" t="n"/>
      <c r="AO127" s="12" t="n"/>
      <c r="AP127" s="12" t="n"/>
      <c r="AQ127" s="12" t="n"/>
      <c r="AR127" s="12" t="n"/>
      <c r="AS127" s="12" t="n"/>
      <c r="AT127" s="12" t="n"/>
      <c r="AU127" s="12" t="n"/>
      <c r="AV127" s="12" t="n"/>
      <c r="AW127" s="12" t="n"/>
      <c r="AX127" s="12" t="n"/>
      <c r="AY127" s="12" t="n"/>
      <c r="AZ127" s="12" t="n"/>
      <c r="BA127" s="12" t="n"/>
      <c r="BB127" s="12" t="n"/>
      <c r="BC127" s="12" t="n"/>
      <c r="BD127" s="12" t="n"/>
      <c r="BE127" s="12" t="n"/>
      <c r="BF127" s="12" t="n"/>
      <c r="BG127" s="12" t="n"/>
      <c r="BH127" s="12" t="n"/>
      <c r="BI127" s="12" t="n"/>
      <c r="BJ127" s="12" t="n"/>
      <c r="BK127" s="12" t="n"/>
      <c r="BL127" s="12" t="n"/>
      <c r="BM127" s="12" t="n"/>
      <c r="BN127" s="12" t="n"/>
      <c r="BO127" s="12" t="n"/>
      <c r="BP127" s="12" t="n"/>
      <c r="BQ127" s="12" t="n"/>
      <c r="BR127" s="12" t="n"/>
      <c r="BS127" s="12" t="n"/>
      <c r="BT127" s="12" t="n"/>
      <c r="BU127" s="12" t="n"/>
      <c r="BV127" s="12" t="n"/>
      <c r="BW127" s="12" t="n"/>
      <c r="BX127" s="12" t="n"/>
      <c r="BY127" s="12" t="n"/>
      <c r="BZ127" s="12" t="n"/>
      <c r="CA127" s="12" t="n"/>
      <c r="CB127" s="12" t="n"/>
      <c r="CC127" s="12" t="n"/>
      <c r="CD127" s="12" t="n"/>
      <c r="CE127" s="12" t="n"/>
      <c r="CF127" s="12" t="n"/>
      <c r="CG127" s="12" t="n"/>
      <c r="CH127" s="12" t="n"/>
      <c r="CI127" s="12" t="n"/>
      <c r="CJ127" s="12" t="n"/>
      <c r="CK127" s="12" t="n"/>
      <c r="CL127" s="12" t="n"/>
      <c r="CM127" s="12" t="n"/>
      <c r="CN127" s="12" t="n"/>
      <c r="CO127" s="12" t="n"/>
      <c r="CP127" s="12" t="n"/>
      <c r="CQ127" s="12" t="n"/>
      <c r="CR127" s="12" t="n"/>
      <c r="CS127" s="12" t="n"/>
      <c r="CT127" s="12" t="n"/>
      <c r="CU127" s="12" t="n"/>
      <c r="CV127" s="12" t="n"/>
      <c r="CW127" s="12" t="n"/>
      <c r="CX127" s="12" t="n"/>
      <c r="CY127" s="12" t="n"/>
    </row>
    <row r="128" hidden="1" outlineLevel="1">
      <c r="C128" s="57" t="n"/>
      <c r="D128" s="12" t="n"/>
      <c r="E128" s="12" t="n"/>
      <c r="F128" s="12" t="n"/>
      <c r="G128" s="12" t="n"/>
      <c r="H128" s="12" t="n"/>
      <c r="I128" s="12" t="n"/>
      <c r="J128" s="12" t="n"/>
      <c r="K128" s="12" t="n"/>
      <c r="L128" s="12" t="n"/>
      <c r="M128" s="12" t="n"/>
      <c r="N128" s="12" t="n"/>
      <c r="O128" s="12" t="n"/>
      <c r="P128" s="12" t="n"/>
      <c r="Q128" s="12" t="n"/>
      <c r="R128" s="12" t="n"/>
      <c r="S128" s="12" t="n"/>
      <c r="T128" s="12" t="n"/>
      <c r="U128" s="12" t="n"/>
      <c r="V128" s="12" t="n"/>
      <c r="W128" s="12" t="n"/>
      <c r="X128" s="12" t="n"/>
      <c r="Y128" s="12" t="n"/>
      <c r="Z128" s="12" t="n"/>
      <c r="AA128" s="12" t="n"/>
      <c r="AB128" s="12" t="n"/>
      <c r="AC128" s="12" t="n"/>
      <c r="AD128" s="12" t="n"/>
      <c r="AE128" s="12" t="n"/>
      <c r="AF128" s="12" t="n"/>
      <c r="AG128" s="12" t="n"/>
      <c r="AH128" s="12" t="n"/>
      <c r="AI128" s="12" t="n"/>
      <c r="AJ128" s="12" t="n"/>
      <c r="AK128" s="12" t="n"/>
      <c r="AL128" s="12" t="n"/>
      <c r="AM128" s="12" t="n"/>
      <c r="AN128" s="12" t="n"/>
      <c r="AO128" s="12" t="n"/>
      <c r="AP128" s="12" t="n"/>
      <c r="AQ128" s="12" t="n"/>
      <c r="AR128" s="12" t="n"/>
      <c r="AS128" s="12" t="n"/>
      <c r="AT128" s="12" t="n"/>
      <c r="AU128" s="12" t="n"/>
      <c r="AV128" s="12" t="n"/>
      <c r="AW128" s="12" t="n"/>
      <c r="AX128" s="12" t="n"/>
      <c r="AY128" s="12" t="n"/>
      <c r="AZ128" s="12" t="n"/>
      <c r="BA128" s="12" t="n"/>
      <c r="BB128" s="12" t="n"/>
      <c r="BC128" s="12" t="n"/>
      <c r="BD128" s="12" t="n"/>
      <c r="BE128" s="12" t="n"/>
      <c r="BF128" s="12" t="n"/>
      <c r="BG128" s="12" t="n"/>
      <c r="BH128" s="12" t="n"/>
      <c r="BI128" s="12" t="n"/>
      <c r="BJ128" s="12" t="n"/>
      <c r="BK128" s="12" t="n"/>
      <c r="BL128" s="12" t="n"/>
      <c r="BM128" s="12" t="n"/>
      <c r="BN128" s="12" t="n"/>
      <c r="BO128" s="12" t="n"/>
      <c r="BP128" s="12" t="n"/>
      <c r="BQ128" s="12" t="n"/>
      <c r="BR128" s="12" t="n"/>
      <c r="BS128" s="12" t="n"/>
      <c r="BT128" s="12" t="n"/>
      <c r="BU128" s="12" t="n"/>
      <c r="BV128" s="12" t="n"/>
      <c r="BW128" s="12" t="n"/>
      <c r="BX128" s="12" t="n"/>
      <c r="BY128" s="12" t="n"/>
      <c r="BZ128" s="12" t="n"/>
      <c r="CA128" s="12" t="n"/>
      <c r="CB128" s="12" t="n"/>
      <c r="CC128" s="12" t="n"/>
      <c r="CD128" s="12" t="n"/>
      <c r="CE128" s="12" t="n"/>
      <c r="CF128" s="12" t="n"/>
      <c r="CG128" s="12" t="n"/>
      <c r="CH128" s="12" t="n"/>
      <c r="CI128" s="12" t="n"/>
      <c r="CJ128" s="12" t="n"/>
      <c r="CK128" s="12" t="n"/>
      <c r="CL128" s="12" t="n"/>
      <c r="CM128" s="12" t="n"/>
      <c r="CN128" s="12" t="n"/>
      <c r="CO128" s="12" t="n"/>
      <c r="CP128" s="12" t="n"/>
      <c r="CQ128" s="12" t="n"/>
      <c r="CR128" s="12" t="n"/>
      <c r="CS128" s="12" t="n"/>
      <c r="CT128" s="12" t="n"/>
      <c r="CU128" s="12" t="n"/>
      <c r="CV128" s="12" t="n"/>
      <c r="CW128" s="12" t="n"/>
      <c r="CX128" s="12" t="n"/>
      <c r="CY128" s="12" t="n"/>
    </row>
    <row r="129" collapsed="1" customFormat="1" s="32">
      <c r="A129" s="30" t="n"/>
      <c r="B129" s="3" t="n"/>
      <c r="C129" s="33" t="inlineStr">
        <is>
          <t>Pretax Income - EBT</t>
        </is>
      </c>
      <c r="D129" s="35" t="n"/>
      <c r="E129" s="35" t="n"/>
      <c r="F129" s="35" t="n"/>
      <c r="G129" s="35" t="n"/>
      <c r="H129" s="35" t="n"/>
      <c r="I129" s="35">
        <f>SUM(I72,I73,I122)</f>
        <v>86.511</v>
      </c>
      <c r="J129" s="35">
        <f>SUM(J72,J73,J122)</f>
        <v>-93.334</v>
      </c>
      <c r="K129" s="35">
        <f>SUM(K72,K73,K122)</f>
        <v>555.127</v>
      </c>
      <c r="L129" s="35">
        <f>SUM(L72,L73,L122)</f>
        <v>-35.972</v>
      </c>
      <c r="M129" s="35">
        <f>SUM(I129:L129)</f>
        <v>512.332</v>
      </c>
      <c r="N129" s="35">
        <f>SUM(N72,N73,N122)</f>
        <v>-17.088</v>
      </c>
      <c r="O129" s="35">
        <f>SUM(O72,O73,O122)</f>
        <v>-59.156</v>
      </c>
      <c r="P129" s="35">
        <f>SUM(P72,P73,P122)</f>
        <v>288.833</v>
      </c>
      <c r="Q129" s="35">
        <f>SUM(Q72,Q73,Q122)</f>
        <v>2710.092</v>
      </c>
      <c r="R129" s="35">
        <f>SUM(N129:Q129)</f>
        <v>2922.681</v>
      </c>
      <c r="S129" s="35">
        <f>SUM(S72,S73,S122)</f>
        <v>266.368</v>
      </c>
      <c r="T129" s="35">
        <f>SUM(T72,T73,T122)</f>
        <v>263.793</v>
      </c>
      <c r="U129" s="35">
        <f>SUM(U72,U73,U122)</f>
        <v>60.3089999999999</v>
      </c>
      <c r="V129" s="35">
        <f>SUM(V72,V73,V122)</f>
        <v>172.125</v>
      </c>
      <c r="W129" s="35">
        <f>SUM(S129:V129)</f>
        <v>762.595</v>
      </c>
      <c r="X129" s="35">
        <f>SUM(X72,X73,X122)</f>
        <v>324.284</v>
      </c>
      <c r="Y129" s="35">
        <f>SUM(Y72,Y73,Y122)</f>
        <v>86.8410000000001</v>
      </c>
      <c r="Z129" s="35">
        <f>SUM(Z72,Z73,Z122)</f>
        <v>348.343</v>
      </c>
      <c r="AA129" s="35">
        <f>SUM(AA72,AA73,AA122)</f>
        <v>-393.479</v>
      </c>
      <c r="AB129" s="35">
        <f>SUM(X129:AA129)</f>
        <v>365.989</v>
      </c>
      <c r="AC129" s="35">
        <f>SUM(AC72,AC73,AC122)</f>
        <v>187.235</v>
      </c>
      <c r="AD129" s="35">
        <f>SUM(AD72,AD73,AD122)</f>
        <v>-649.261</v>
      </c>
      <c r="AE129" s="35">
        <f>SUM(AE72,AE73,AE122)</f>
        <v>-426.519</v>
      </c>
      <c r="AF129" s="35">
        <f>SUM(AF72,AF73,AF122)</f>
        <v>565.384</v>
      </c>
      <c r="AG129" s="35">
        <f>SUM(AC129:AF129)</f>
        <v>-323.161</v>
      </c>
      <c r="AH129" s="35">
        <f>SUM(AH72,AH73,AH122)</f>
        <v>-756.546</v>
      </c>
      <c r="AI129" s="35">
        <f>SUM(AI72,AI73,AI122)</f>
        <v>-386.822</v>
      </c>
      <c r="AJ129" s="35">
        <f>SUM(AJ72,AJ73,AJ122:AJ127)</f>
        <v>7.93349465923899</v>
      </c>
      <c r="AK129" s="35">
        <f>SUM(AK72,AK73,AK122:AK127)</f>
        <v>68.8102833447491</v>
      </c>
      <c r="AL129" s="35">
        <f>SUM(AH129:AK129)</f>
        <v>-1066.62422199601</v>
      </c>
      <c r="AM129" s="35">
        <f>SUM(AM72,AM73,AM122:AM127)</f>
        <v>-98.6617996375356</v>
      </c>
      <c r="AN129" s="35">
        <f>SUM(AN72,AN73,AN122:AN127)</f>
        <v>-103.04577223859</v>
      </c>
      <c r="AO129" s="35">
        <f>SUM(AO72,AO73,AO122:AO127)</f>
        <v>126.288421614627</v>
      </c>
      <c r="AP129" s="35">
        <f>SUM(AP72,AP73,AP122:AP127)</f>
        <v>196.009498274391</v>
      </c>
      <c r="AQ129" s="35">
        <f>SUM(AM129:AP129)</f>
        <v>120.590348012893</v>
      </c>
      <c r="AR129" s="35">
        <f>SUM(AR72,AR73,AR122:AR127)</f>
        <v>0.666461298902732</v>
      </c>
      <c r="AS129" s="35">
        <f>SUM(AS72,AS73,AS122:AS127)</f>
        <v>-4.33250276433552</v>
      </c>
      <c r="AT129" s="35">
        <f>SUM(AT72,AT73,AT122:AT127)</f>
        <v>257.173099088257</v>
      </c>
      <c r="AU129" s="35">
        <f>SUM(AU72,AU73,AU122:AU127)</f>
        <v>336.674772202873</v>
      </c>
      <c r="AV129" s="35">
        <f>SUM(AR129:AU129)</f>
        <v>590.181829825697</v>
      </c>
      <c r="AW129" s="35">
        <f>SUM(AW72,AW73,AW122:AW127)</f>
        <v>109.891713420873</v>
      </c>
      <c r="AX129" s="35">
        <f>SUM(AX72,AX73,AX122:AX127)</f>
        <v>104.216480621259</v>
      </c>
      <c r="AY129" s="35">
        <f>SUM(AY72,AY73,AY122:AY127)</f>
        <v>401.099024712871</v>
      </c>
      <c r="AZ129" s="35">
        <f>SUM(AZ72,AZ73,AZ122:AZ127)</f>
        <v>491.355825357285</v>
      </c>
      <c r="BA129" s="35">
        <f>SUM(AW129:AZ129)</f>
        <v>1106.56304411229</v>
      </c>
      <c r="BB129" s="35">
        <f>SUM(BB72,BB73,BB122:BB127)</f>
        <v>229.310071707206</v>
      </c>
      <c r="BC129" s="35">
        <f>SUM(BC72,BC73,BC122:BC127)</f>
        <v>222.895459499539</v>
      </c>
      <c r="BD129" s="35">
        <f>SUM(BD72,BD73,BD122:BD127)</f>
        <v>558.456388683424</v>
      </c>
      <c r="BE129" s="35">
        <f>SUM(BE72,BE73,BE122:BE127)</f>
        <v>660.472005607193</v>
      </c>
      <c r="BF129" s="35">
        <f>SUM(BB129:BE129)</f>
        <v>1671.13392549736</v>
      </c>
      <c r="BG129" s="35" t="n"/>
      <c r="BH129" s="35" t="n"/>
      <c r="BI129" s="35" t="n"/>
      <c r="BJ129" s="35" t="n"/>
      <c r="BK129" s="35" t="n"/>
      <c r="BL129" s="35" t="n"/>
      <c r="BM129" s="35" t="n"/>
      <c r="BN129" s="35" t="n"/>
      <c r="BO129" s="35" t="n"/>
      <c r="BP129" s="35" t="n"/>
      <c r="BQ129" s="35" t="n"/>
      <c r="BR129" s="35" t="n"/>
      <c r="BS129" s="35" t="n"/>
      <c r="BT129" s="35" t="n"/>
      <c r="BU129" s="35" t="n"/>
      <c r="BV129" s="35" t="n"/>
      <c r="BW129" s="35" t="n"/>
      <c r="BX129" s="35" t="n"/>
      <c r="BY129" s="35" t="n"/>
      <c r="BZ129" s="35" t="n"/>
      <c r="CA129" s="35" t="n"/>
      <c r="CB129" s="35" t="n"/>
      <c r="CC129" s="35" t="n"/>
      <c r="CD129" s="35" t="n"/>
      <c r="CE129" s="35" t="n"/>
      <c r="CF129" s="35" t="n"/>
      <c r="CG129" s="35" t="n"/>
      <c r="CH129" s="35" t="n"/>
      <c r="CI129" s="35" t="n"/>
      <c r="CJ129" s="35" t="n"/>
      <c r="CK129" s="35" t="n"/>
      <c r="CL129" s="35" t="n"/>
      <c r="CM129" s="35" t="n"/>
      <c r="CN129" s="35" t="n"/>
      <c r="CO129" s="35" t="n"/>
      <c r="CP129" s="35" t="n"/>
      <c r="CQ129" s="35" t="n"/>
      <c r="CR129" s="35" t="n"/>
      <c r="CS129" s="35" t="n"/>
      <c r="CT129" s="35" t="n"/>
      <c r="CU129" s="35" t="n"/>
      <c r="CV129" s="35" t="n"/>
      <c r="CW129" s="35" t="n"/>
      <c r="CX129" s="35" t="n"/>
      <c r="CY129" s="35" t="n"/>
    </row>
    <row r="130">
      <c r="C130" s="14" t="inlineStr">
        <is>
          <t>Taxes</t>
        </is>
      </c>
      <c r="D130" s="46" t="n"/>
      <c r="E130" s="46" t="n"/>
      <c r="F130" s="46" t="n"/>
      <c r="G130" s="46" t="n"/>
      <c r="H130" s="12" t="n"/>
      <c r="I130" s="46">
        <f>'Inputs (2)'!D10</f>
        <v>-46.947</v>
      </c>
      <c r="J130" s="46">
        <f>'Inputs (2)'!E10</f>
        <v>7.108</v>
      </c>
      <c r="K130" s="46">
        <f>'Inputs (2)'!F10</f>
        <v>-238.601</v>
      </c>
      <c r="L130" s="46">
        <f>'Inputs (2)'!G10</f>
        <v>16.235</v>
      </c>
      <c r="M130" s="12">
        <f>'Inputs (2)'!H10</f>
        <v>-262.205</v>
      </c>
      <c r="N130" s="46">
        <f>'Inputs (2)'!I10</f>
        <v>-14.548</v>
      </c>
      <c r="O130" s="46">
        <f>'Inputs (2)'!J10</f>
        <v>2.189</v>
      </c>
      <c r="P130" s="46">
        <f>'Inputs (2)'!K10</f>
        <v>-111.046</v>
      </c>
      <c r="Q130" s="46">
        <f>'Inputs (2)'!L10</f>
        <v>-251.321</v>
      </c>
      <c r="R130" s="12">
        <f>'Inputs (2)'!M10</f>
        <v>-374.726</v>
      </c>
      <c r="S130" s="46">
        <f>'Inputs (2)'!N10</f>
        <v>-66.645</v>
      </c>
      <c r="T130" s="46">
        <f>'Inputs (2)'!O10</f>
        <v>-69.024</v>
      </c>
      <c r="U130" s="46">
        <f>'Inputs (2)'!P10</f>
        <v>-943.452</v>
      </c>
      <c r="V130" s="46">
        <f>'Inputs (2)'!Q10</f>
        <v>-74.475</v>
      </c>
      <c r="W130" s="12">
        <f>'Inputs (2)'!R10</f>
        <v>-1153.596</v>
      </c>
      <c r="X130" s="46">
        <f>'Inputs (2)'!S10</f>
        <v>-137.244</v>
      </c>
      <c r="Y130" s="46">
        <f>'Inputs (2)'!T10</f>
        <v>-49.276</v>
      </c>
      <c r="Z130" s="46">
        <f>'Inputs (2)'!U10</f>
        <v>-135.947</v>
      </c>
      <c r="AA130" s="46">
        <f>'Inputs (2)'!V10</f>
        <v>63.963</v>
      </c>
      <c r="AB130" s="12">
        <f>'Inputs (2)'!W10</f>
        <v>-258.504</v>
      </c>
      <c r="AC130" s="46">
        <f>'Inputs (2)'!X10</f>
        <v>-205.385</v>
      </c>
      <c r="AD130" s="46">
        <f>'Inputs (2)'!Y10</f>
        <v>71.65</v>
      </c>
      <c r="AE130" s="46">
        <f>'Inputs (2)'!Z10</f>
        <v>-35.369</v>
      </c>
      <c r="AF130" s="46">
        <f>'Inputs (2)'!AA10</f>
        <v>-270.957</v>
      </c>
      <c r="AG130" s="12">
        <f>'Inputs (2)'!AB10</f>
        <v>-440.061</v>
      </c>
      <c r="AH130" s="12">
        <f>'Inputs (2)'!AC10</f>
        <v>83.453</v>
      </c>
      <c r="AI130" s="12">
        <f>'Inputs (2)'!AD10</f>
        <v>-31.833</v>
      </c>
      <c r="AJ130" s="12">
        <f>-AJ129*AJ131</f>
        <v>-2.15741718471288</v>
      </c>
      <c r="AK130" s="12">
        <f>-AK129*AK131</f>
        <v>-18.7121179441449</v>
      </c>
      <c r="AL130" s="12">
        <f>SUM(AH130:AK130)</f>
        <v>30.7504648711422</v>
      </c>
      <c r="AM130" s="12">
        <f>-AM129*AM131</f>
        <v>26.82987399063</v>
      </c>
      <c r="AN130" s="12">
        <f>-AN129*AN131</f>
        <v>28.0220419107041</v>
      </c>
      <c r="AO130" s="12">
        <f>-AO129*AO131</f>
        <v>-34.3425971434128</v>
      </c>
      <c r="AP130" s="12">
        <f>-AP129*AP131</f>
        <v>-53.3023942294661</v>
      </c>
      <c r="AQ130" s="12">
        <f>SUM(AM130:AP130)</f>
        <v>-32.7930754715449</v>
      </c>
      <c r="AR130" s="12">
        <f>-AR129*AR131</f>
        <v>-0.181236027873842</v>
      </c>
      <c r="AS130" s="12">
        <f>-AS129*AS131</f>
        <v>1.17817132525682</v>
      </c>
      <c r="AT130" s="12">
        <f>-AT129*AT131</f>
        <v>-69.9350900517395</v>
      </c>
      <c r="AU130" s="12">
        <f>-AU129*AU131</f>
        <v>-91.5546011446417</v>
      </c>
      <c r="AV130" s="12">
        <f>SUM(AR130:AU130)</f>
        <v>-160.492755898998</v>
      </c>
      <c r="AW130" s="12">
        <f>-AW129*AW131</f>
        <v>-29.8837121816977</v>
      </c>
      <c r="AX130" s="12">
        <f>-AX129*AX131</f>
        <v>-28.3404017875986</v>
      </c>
      <c r="AY130" s="12">
        <f>-AY129*AY131</f>
        <v>-109.073991457143</v>
      </c>
      <c r="AZ130" s="12">
        <f>-AZ129*AZ131</f>
        <v>-133.618228405825</v>
      </c>
      <c r="BA130" s="12">
        <f>SUM(AW130:AZ130)</f>
        <v>-300.916333832264</v>
      </c>
      <c r="BB130" s="12">
        <f>-BB129*BB131</f>
        <v>-62.3580793304931</v>
      </c>
      <c r="BC130" s="12">
        <f>-BC129*BC131</f>
        <v>-60.6137037174114</v>
      </c>
      <c r="BD130" s="12">
        <f>-BD129*BD131</f>
        <v>-151.865408827777</v>
      </c>
      <c r="BE130" s="12">
        <f>-BE129*BE131</f>
        <v>-179.607312555425</v>
      </c>
      <c r="BF130" s="12">
        <f>SUM(BB130:BE130)</f>
        <v>-454.444504431106</v>
      </c>
      <c r="BG130" s="12" t="n"/>
      <c r="BH130" s="12" t="n"/>
      <c r="BI130" s="12" t="n"/>
      <c r="BJ130" s="12" t="n"/>
      <c r="BK130" s="12" t="n"/>
      <c r="BL130" s="12" t="n"/>
      <c r="BM130" s="12" t="n"/>
      <c r="BN130" s="12" t="n"/>
      <c r="BO130" s="12" t="n"/>
      <c r="BP130" s="12" t="n"/>
      <c r="BQ130" s="12" t="n"/>
      <c r="BR130" s="12" t="n"/>
      <c r="BS130" s="12" t="n"/>
      <c r="BT130" s="12" t="n"/>
      <c r="BU130" s="12" t="n"/>
      <c r="BV130" s="12" t="n"/>
      <c r="BW130" s="12" t="n"/>
      <c r="BX130" s="12" t="n"/>
      <c r="BY130" s="12" t="n"/>
      <c r="BZ130" s="12" t="n"/>
      <c r="CA130" s="12" t="n"/>
      <c r="CB130" s="12" t="n"/>
      <c r="CC130" s="12" t="n"/>
      <c r="CD130" s="12" t="n"/>
      <c r="CE130" s="12" t="n"/>
      <c r="CF130" s="12" t="n"/>
      <c r="CG130" s="12" t="n"/>
      <c r="CH130" s="12" t="n"/>
      <c r="CI130" s="12" t="n"/>
      <c r="CJ130" s="12" t="n"/>
      <c r="CK130" s="12" t="n"/>
      <c r="CL130" s="12" t="n"/>
      <c r="CM130" s="12" t="n"/>
      <c r="CN130" s="12" t="n"/>
      <c r="CO130" s="12" t="n"/>
      <c r="CP130" s="12" t="n"/>
      <c r="CQ130" s="12" t="n"/>
      <c r="CR130" s="12" t="n"/>
      <c r="CS130" s="12" t="n"/>
      <c r="CT130" s="12" t="n"/>
      <c r="CU130" s="12" t="n"/>
      <c r="CV130" s="12" t="n"/>
      <c r="CW130" s="12" t="n"/>
      <c r="CX130" s="12" t="n"/>
      <c r="CY130" s="12" t="n"/>
    </row>
    <row r="131" outlineLevel="1">
      <c r="C131" s="57" t="inlineStr">
        <is>
          <t>% ETR</t>
        </is>
      </c>
      <c r="D131" s="53" t="n"/>
      <c r="E131" s="53" t="n"/>
      <c r="F131" s="53" t="n"/>
      <c r="G131" s="53" t="n"/>
      <c r="H131" s="53" t="n"/>
      <c r="I131" s="53">
        <f>IFERROR(-I130/I129,"")</f>
        <v>0.542670874224087</v>
      </c>
      <c r="J131" s="53">
        <f>IFERROR(-J130/J129,"")</f>
        <v>0.0761565988814365</v>
      </c>
      <c r="K131" s="53">
        <f>IFERROR(-K130/K129,"")</f>
        <v>0.42981335802438</v>
      </c>
      <c r="L131" s="53">
        <f>IFERROR(-L130/L129,"")</f>
        <v>0.451323251417769</v>
      </c>
      <c r="M131" s="53">
        <f>IFERROR(-M130/M129,"")</f>
        <v>0.511787278561558</v>
      </c>
      <c r="N131" s="53">
        <f>IFERROR(-N130/N129,"")</f>
        <v>-0.851357677902624</v>
      </c>
      <c r="O131" s="53">
        <f>IFERROR(-O130/O129,"")</f>
        <v>0.0370038542159714</v>
      </c>
      <c r="P131" s="53">
        <f>IFERROR(-P130/P129,"")</f>
        <v>0.384464379070258</v>
      </c>
      <c r="Q131" s="53">
        <f>IFERROR(-Q130/Q129,"")</f>
        <v>0.0927352281767556</v>
      </c>
      <c r="R131" s="53">
        <f>IFERROR(-R130/R129,"")</f>
        <v>0.1282131029695</v>
      </c>
      <c r="S131" s="53">
        <f>IFERROR(-S130/S129,"")</f>
        <v>0.250198972849592</v>
      </c>
      <c r="T131" s="53">
        <f>IFERROR(-T130/T129,"")</f>
        <v>0.261659710454789</v>
      </c>
      <c r="U131" s="53">
        <f>IFERROR(-U130/U129,"")</f>
        <v>15.6436352783167</v>
      </c>
      <c r="V131" s="53">
        <f>IFERROR(-V130/V129,"")</f>
        <v>0.432679738562091</v>
      </c>
      <c r="W131" s="53">
        <f>IFERROR(-W130/W129,"")</f>
        <v>1.51272431631469</v>
      </c>
      <c r="X131" s="53">
        <f>IFERROR(-X130/X129,"")</f>
        <v>0.423221620554822</v>
      </c>
      <c r="Y131" s="53">
        <f>IFERROR(-Y130/Y129,"")</f>
        <v>0.567427827869324</v>
      </c>
      <c r="Z131" s="53">
        <f>IFERROR(-Z130/Z129,"")</f>
        <v>0.390267638505726</v>
      </c>
      <c r="AA131" s="53">
        <f>IFERROR(-AA130/AA129,"")</f>
        <v>0.162557595195678</v>
      </c>
      <c r="AB131" s="53">
        <f>IFERROR(-AB130/AB129,"")</f>
        <v>0.706316310053034</v>
      </c>
      <c r="AC131" s="53">
        <f>IFERROR(-AC130/AC129,"")</f>
        <v>1.09693700429941</v>
      </c>
      <c r="AD131" s="53">
        <f>IFERROR(-AD130/AD129,"")</f>
        <v>0.110356235781912</v>
      </c>
      <c r="AE131" s="53">
        <f>IFERROR(-AE130/AE129,"")</f>
        <v>-0.0829247935027514</v>
      </c>
      <c r="AF131" s="53">
        <f>IFERROR(-AF130/AF129,"")</f>
        <v>0.479244195095723</v>
      </c>
      <c r="AG131" s="53">
        <f>IFERROR(-AG130/AG129,"")</f>
        <v>-1.36173919501425</v>
      </c>
      <c r="AH131" s="53">
        <f>IFERROR(-AH130/AH129,"")</f>
        <v>0.11030789932139</v>
      </c>
      <c r="AI131" s="53">
        <f>IFERROR(-AI130/AI129,"")</f>
        <v>-0.0822936647863874</v>
      </c>
      <c r="AJ131" s="41">
        <f>Control!$B$22</f>
        <v>0.271937812701549</v>
      </c>
      <c r="AK131" s="41">
        <f>Control!$B$22</f>
        <v>0.271937812701549</v>
      </c>
      <c r="AL131" s="53">
        <f>IFERROR(-AL130/AL129,"")</f>
        <v>0.0288297080049408</v>
      </c>
      <c r="AM131" s="41">
        <f>Control!$C$22</f>
        <v>0.271937812701549</v>
      </c>
      <c r="AN131" s="41">
        <f>Control!$C$22</f>
        <v>0.271937812701549</v>
      </c>
      <c r="AO131" s="41">
        <f>Control!$C$22</f>
        <v>0.271937812701549</v>
      </c>
      <c r="AP131" s="41">
        <f>Control!$C$22</f>
        <v>0.271937812701549</v>
      </c>
      <c r="AQ131" s="53">
        <f>IFERROR(-AQ130/AQ129,"")</f>
        <v>0.271937812701549</v>
      </c>
      <c r="AR131" s="41">
        <f>Control!$D$22</f>
        <v>0.271937812701549</v>
      </c>
      <c r="AS131" s="41">
        <f>Control!$D$22</f>
        <v>0.271937812701549</v>
      </c>
      <c r="AT131" s="41">
        <f>Control!$D$22</f>
        <v>0.271937812701549</v>
      </c>
      <c r="AU131" s="41">
        <f>Control!$D$22</f>
        <v>0.271937812701549</v>
      </c>
      <c r="AV131" s="53">
        <f>IFERROR(-AV130/AV129,"")</f>
        <v>0.271937812701549</v>
      </c>
      <c r="AW131" s="41">
        <f>Control!$E$22</f>
        <v>0.271937812701549</v>
      </c>
      <c r="AX131" s="41">
        <f>Control!$E$22</f>
        <v>0.271937812701549</v>
      </c>
      <c r="AY131" s="41">
        <f>Control!$E$22</f>
        <v>0.271937812701549</v>
      </c>
      <c r="AZ131" s="41">
        <f>Control!$E$22</f>
        <v>0.271937812701549</v>
      </c>
      <c r="BA131" s="53">
        <f>IFERROR(-BA130/BA129,"")</f>
        <v>0.271937812701549</v>
      </c>
      <c r="BB131" s="41">
        <f>Control!$F$22</f>
        <v>0.271937812701549</v>
      </c>
      <c r="BC131" s="41">
        <f>Control!$F$22</f>
        <v>0.271937812701549</v>
      </c>
      <c r="BD131" s="41">
        <f>Control!$F$22</f>
        <v>0.271937812701549</v>
      </c>
      <c r="BE131" s="41">
        <f>Control!$F$22</f>
        <v>0.271937812701549</v>
      </c>
      <c r="BF131" s="53">
        <f>IFERROR(-BF130/BF129,"")</f>
        <v>0.271937812701549</v>
      </c>
      <c r="BG131" s="41" t="n"/>
      <c r="BH131" s="41" t="n"/>
      <c r="BI131" s="41" t="n"/>
      <c r="BJ131" s="41" t="n"/>
      <c r="BK131" s="53" t="n"/>
      <c r="BL131" s="41" t="n"/>
      <c r="BM131" s="41" t="n"/>
      <c r="BN131" s="41" t="n"/>
      <c r="BO131" s="41" t="n"/>
      <c r="BP131" s="53" t="n"/>
      <c r="BQ131" s="41" t="n"/>
      <c r="BR131" s="41" t="n"/>
      <c r="BS131" s="41" t="n"/>
      <c r="BT131" s="41" t="n"/>
      <c r="BU131" s="53" t="n"/>
      <c r="BV131" s="41" t="n"/>
      <c r="BW131" s="41" t="n"/>
      <c r="BX131" s="41" t="n"/>
      <c r="BY131" s="41" t="n"/>
      <c r="BZ131" s="53" t="n"/>
      <c r="CA131" s="41" t="n"/>
      <c r="CB131" s="41" t="n"/>
      <c r="CC131" s="41" t="n"/>
      <c r="CD131" s="41" t="n"/>
      <c r="CE131" s="53" t="n"/>
      <c r="CF131" s="41" t="n"/>
      <c r="CG131" s="41" t="n"/>
      <c r="CH131" s="41" t="n"/>
      <c r="CI131" s="41" t="n"/>
      <c r="CJ131" s="53" t="n"/>
      <c r="CK131" s="41" t="n"/>
      <c r="CL131" s="41" t="n"/>
      <c r="CM131" s="41" t="n"/>
      <c r="CN131" s="41" t="n"/>
      <c r="CO131" s="53" t="n"/>
      <c r="CP131" s="41" t="n"/>
      <c r="CQ131" s="41" t="n"/>
      <c r="CR131" s="41" t="n"/>
      <c r="CS131" s="41" t="n"/>
      <c r="CT131" s="53" t="n"/>
      <c r="CU131" s="41" t="n"/>
      <c r="CV131" s="41" t="n"/>
      <c r="CW131" s="41" t="n"/>
      <c r="CX131" s="41" t="n"/>
      <c r="CY131" s="53" t="n"/>
    </row>
    <row r="132" hidden="1" outlineLevel="1">
      <c r="C132" s="57" t="n"/>
      <c r="D132" s="12" t="n"/>
      <c r="E132" s="12" t="n"/>
      <c r="F132" s="12" t="n"/>
      <c r="G132" s="12" t="n"/>
      <c r="H132" s="12" t="n"/>
      <c r="I132" s="12" t="n"/>
      <c r="J132" s="12" t="n"/>
      <c r="K132" s="12" t="n"/>
      <c r="L132" s="12" t="n"/>
      <c r="M132" s="12" t="n"/>
      <c r="N132" s="12" t="n"/>
      <c r="O132" s="12" t="n"/>
      <c r="P132" s="12" t="n"/>
      <c r="Q132" s="12" t="n"/>
      <c r="R132" s="12" t="n"/>
      <c r="S132" s="12" t="n"/>
      <c r="T132" s="12" t="n"/>
      <c r="U132" s="12" t="n"/>
      <c r="V132" s="12" t="n"/>
      <c r="W132" s="12" t="n"/>
      <c r="X132" s="12" t="n"/>
      <c r="Y132" s="12" t="n"/>
      <c r="Z132" s="12" t="n"/>
      <c r="AA132" s="12" t="n"/>
      <c r="AB132" s="12" t="n"/>
      <c r="AC132" s="12" t="n"/>
      <c r="AD132" s="12" t="n"/>
      <c r="AE132" s="12" t="n"/>
      <c r="AF132" s="12" t="n"/>
      <c r="AG132" s="12" t="n"/>
      <c r="AH132" s="12" t="n"/>
      <c r="AI132" s="12" t="n"/>
      <c r="AJ132" s="12" t="n"/>
      <c r="AK132" s="12" t="n"/>
      <c r="AL132" s="12" t="n"/>
      <c r="AM132" s="12" t="n"/>
      <c r="AN132" s="12" t="n"/>
      <c r="AO132" s="12" t="n"/>
      <c r="AP132" s="12" t="n"/>
      <c r="AQ132" s="12" t="n"/>
      <c r="AR132" s="12" t="n"/>
      <c r="AS132" s="12" t="n"/>
      <c r="AT132" s="12" t="n"/>
      <c r="AU132" s="12" t="n"/>
      <c r="AV132" s="12" t="n"/>
      <c r="AW132" s="12" t="n"/>
      <c r="AX132" s="12" t="n"/>
      <c r="AY132" s="12" t="n"/>
      <c r="AZ132" s="12" t="n"/>
      <c r="BA132" s="12" t="n"/>
      <c r="BB132" s="12" t="n"/>
      <c r="BC132" s="12" t="n"/>
      <c r="BD132" s="12" t="n"/>
      <c r="BE132" s="12" t="n"/>
      <c r="BF132" s="12" t="n"/>
      <c r="BG132" s="12" t="n"/>
      <c r="BH132" s="12" t="n"/>
      <c r="BI132" s="12" t="n"/>
      <c r="BJ132" s="12" t="n"/>
      <c r="BK132" s="12" t="n"/>
      <c r="BL132" s="12" t="n"/>
      <c r="BM132" s="12" t="n"/>
      <c r="BN132" s="12" t="n"/>
      <c r="BO132" s="12" t="n"/>
      <c r="BP132" s="12" t="n"/>
      <c r="BQ132" s="12" t="n"/>
      <c r="BR132" s="12" t="n"/>
      <c r="BS132" s="12" t="n"/>
      <c r="BT132" s="12" t="n"/>
      <c r="BU132" s="12" t="n"/>
      <c r="BV132" s="12" t="n"/>
      <c r="BW132" s="12" t="n"/>
      <c r="BX132" s="12" t="n"/>
      <c r="BY132" s="12" t="n"/>
      <c r="BZ132" s="12" t="n"/>
      <c r="CA132" s="12" t="n"/>
      <c r="CB132" s="12" t="n"/>
      <c r="CC132" s="12" t="n"/>
      <c r="CD132" s="12" t="n"/>
      <c r="CE132" s="12" t="n"/>
      <c r="CF132" s="12" t="n"/>
      <c r="CG132" s="12" t="n"/>
      <c r="CH132" s="12" t="n"/>
      <c r="CI132" s="12" t="n"/>
      <c r="CJ132" s="12" t="n"/>
      <c r="CK132" s="12" t="n"/>
      <c r="CL132" s="12" t="n"/>
      <c r="CM132" s="12" t="n"/>
      <c r="CN132" s="12" t="n"/>
      <c r="CO132" s="12" t="n"/>
      <c r="CP132" s="12" t="n"/>
      <c r="CQ132" s="12" t="n"/>
      <c r="CR132" s="12" t="n"/>
      <c r="CS132" s="12" t="n"/>
      <c r="CT132" s="12" t="n"/>
      <c r="CU132" s="12" t="n"/>
      <c r="CV132" s="12" t="n"/>
      <c r="CW132" s="12" t="n"/>
      <c r="CX132" s="12" t="n"/>
      <c r="CY132" s="12" t="n"/>
    </row>
    <row r="133" hidden="1" outlineLevel="1">
      <c r="C133" s="57" t="n"/>
      <c r="D133" s="12" t="n"/>
      <c r="E133" s="12" t="n"/>
      <c r="F133" s="12" t="n"/>
      <c r="G133" s="12" t="n"/>
      <c r="H133" s="12" t="n"/>
      <c r="I133" s="12" t="n"/>
      <c r="J133" s="12" t="n"/>
      <c r="K133" s="12" t="n"/>
      <c r="L133" s="12" t="n"/>
      <c r="M133" s="12" t="n"/>
      <c r="N133" s="12" t="n"/>
      <c r="O133" s="12" t="n"/>
      <c r="P133" s="12" t="n"/>
      <c r="Q133" s="12" t="n"/>
      <c r="R133" s="12" t="n"/>
      <c r="S133" s="12" t="n"/>
      <c r="T133" s="12" t="n"/>
      <c r="U133" s="12" t="n"/>
      <c r="V133" s="12" t="n"/>
      <c r="W133" s="12" t="n"/>
      <c r="X133" s="12" t="n"/>
      <c r="Y133" s="12" t="n"/>
      <c r="Z133" s="12" t="n"/>
      <c r="AA133" s="12" t="n"/>
      <c r="AB133" s="12" t="n"/>
      <c r="AC133" s="12" t="n"/>
      <c r="AD133" s="12" t="n"/>
      <c r="AE133" s="12" t="n"/>
      <c r="AF133" s="12" t="n"/>
      <c r="AG133" s="12" t="n"/>
      <c r="AH133" s="12" t="n"/>
      <c r="AI133" s="12" t="n"/>
      <c r="AJ133" s="12" t="n"/>
      <c r="AK133" s="12" t="n"/>
      <c r="AL133" s="12" t="n"/>
      <c r="AM133" s="12" t="n"/>
      <c r="AN133" s="12" t="n"/>
      <c r="AO133" s="12" t="n"/>
      <c r="AP133" s="12" t="n"/>
      <c r="AQ133" s="12" t="n"/>
      <c r="AR133" s="12" t="n"/>
      <c r="AS133" s="12" t="n"/>
      <c r="AT133" s="12" t="n"/>
      <c r="AU133" s="12" t="n"/>
      <c r="AV133" s="12" t="n"/>
      <c r="AW133" s="12" t="n"/>
      <c r="AX133" s="12" t="n"/>
      <c r="AY133" s="12" t="n"/>
      <c r="AZ133" s="12" t="n"/>
      <c r="BA133" s="12" t="n"/>
      <c r="BB133" s="12" t="n"/>
      <c r="BC133" s="12" t="n"/>
      <c r="BD133" s="12" t="n"/>
      <c r="BE133" s="12" t="n"/>
      <c r="BF133" s="12" t="n"/>
      <c r="BG133" s="12" t="n"/>
      <c r="BH133" s="12" t="n"/>
      <c r="BI133" s="12" t="n"/>
      <c r="BJ133" s="12" t="n"/>
      <c r="BK133" s="12" t="n"/>
      <c r="BL133" s="12" t="n"/>
      <c r="BM133" s="12" t="n"/>
      <c r="BN133" s="12" t="n"/>
      <c r="BO133" s="12" t="n"/>
      <c r="BP133" s="12" t="n"/>
      <c r="BQ133" s="12" t="n"/>
      <c r="BR133" s="12" t="n"/>
      <c r="BS133" s="12" t="n"/>
      <c r="BT133" s="12" t="n"/>
      <c r="BU133" s="12" t="n"/>
      <c r="BV133" s="12" t="n"/>
      <c r="BW133" s="12" t="n"/>
      <c r="BX133" s="12" t="n"/>
      <c r="BY133" s="12" t="n"/>
      <c r="BZ133" s="12" t="n"/>
      <c r="CA133" s="12" t="n"/>
      <c r="CB133" s="12" t="n"/>
      <c r="CC133" s="12" t="n"/>
      <c r="CD133" s="12" t="n"/>
      <c r="CE133" s="12" t="n"/>
      <c r="CF133" s="12" t="n"/>
      <c r="CG133" s="12" t="n"/>
      <c r="CH133" s="12" t="n"/>
      <c r="CI133" s="12" t="n"/>
      <c r="CJ133" s="12" t="n"/>
      <c r="CK133" s="12" t="n"/>
      <c r="CL133" s="12" t="n"/>
      <c r="CM133" s="12" t="n"/>
      <c r="CN133" s="12" t="n"/>
      <c r="CO133" s="12" t="n"/>
      <c r="CP133" s="12" t="n"/>
      <c r="CQ133" s="12" t="n"/>
      <c r="CR133" s="12" t="n"/>
      <c r="CS133" s="12" t="n"/>
      <c r="CT133" s="12" t="n"/>
      <c r="CU133" s="12" t="n"/>
      <c r="CV133" s="12" t="n"/>
      <c r="CW133" s="12" t="n"/>
      <c r="CX133" s="12" t="n"/>
      <c r="CY133" s="12" t="n"/>
    </row>
    <row r="134" collapsed="1">
      <c r="C134" s="14" t="inlineStr">
        <is>
          <t>Equity in Income of Affiliates, after tax (enter as +)</t>
        </is>
      </c>
      <c r="D134" s="46" t="n"/>
      <c r="E134" s="46" t="n"/>
      <c r="F134" s="46" t="n"/>
      <c r="G134" s="46" t="n"/>
      <c r="H134" s="12" t="n"/>
      <c r="I134" s="46">
        <f>'Inputs (2)'!D11</f>
        <v>0</v>
      </c>
      <c r="J134" s="46">
        <f>'Inputs (2)'!E11</f>
        <v>0</v>
      </c>
      <c r="K134" s="46">
        <f>'Inputs (2)'!F11</f>
        <v>0</v>
      </c>
      <c r="L134" s="46">
        <f>'Inputs (2)'!G11</f>
        <v>0</v>
      </c>
      <c r="M134" s="12">
        <f>'Inputs (2)'!H11</f>
        <v>0</v>
      </c>
      <c r="N134" s="46">
        <f>'Inputs (2)'!I11</f>
        <v>29.051</v>
      </c>
      <c r="O134" s="46">
        <f>'Inputs (2)'!J11</f>
        <v>54.94</v>
      </c>
      <c r="P134" s="46">
        <f>'Inputs (2)'!K11</f>
        <v>52.3</v>
      </c>
      <c r="Q134" s="46">
        <f>'Inputs (2)'!L11</f>
        <v>-5.632</v>
      </c>
      <c r="R134" s="12">
        <f>'Inputs (2)'!M11</f>
        <v>130.659</v>
      </c>
      <c r="S134" s="46">
        <f>'Inputs (2)'!N11</f>
        <v>30.229</v>
      </c>
      <c r="T134" s="46">
        <f>'Inputs (2)'!O11</f>
        <v>-11.887</v>
      </c>
      <c r="U134" s="46">
        <f>'Inputs (2)'!P11</f>
        <v>45.027</v>
      </c>
      <c r="V134" s="46">
        <f>'Inputs (2)'!Q11</f>
        <v>9.943</v>
      </c>
      <c r="W134" s="12">
        <f>'Inputs (2)'!R11</f>
        <v>73.312</v>
      </c>
      <c r="X134" s="46">
        <f>'Inputs (2)'!S11</f>
        <v>66.578</v>
      </c>
      <c r="Y134" s="46">
        <f>'Inputs (2)'!T11</f>
        <v>53.524</v>
      </c>
      <c r="Z134" s="46">
        <f>'Inputs (2)'!U11</f>
        <v>58.434</v>
      </c>
      <c r="AA134" s="46">
        <f>'Inputs (2)'!V11</f>
        <v>-14.152</v>
      </c>
      <c r="AB134" s="12">
        <f>'Inputs (2)'!W11</f>
        <v>164.384</v>
      </c>
      <c r="AC134" s="46">
        <f>'Inputs (2)'!X11</f>
        <v>72.147</v>
      </c>
      <c r="AD134" s="46">
        <f>'Inputs (2)'!Y11</f>
        <v>14.758</v>
      </c>
      <c r="AE134" s="46">
        <f>'Inputs (2)'!Z11</f>
        <v>58.193</v>
      </c>
      <c r="AF134" s="46">
        <f>'Inputs (2)'!AA11</f>
        <v>60.249</v>
      </c>
      <c r="AG134" s="12">
        <f>'Inputs (2)'!AB11</f>
        <v>205.347</v>
      </c>
      <c r="AH134" s="12">
        <f>'Inputs (2)'!AC11</f>
        <v>71.487</v>
      </c>
      <c r="AI134" s="12">
        <f>'Inputs (2)'!AD11</f>
        <v>39.594</v>
      </c>
      <c r="AJ134" s="12">
        <f>AVERAGE(AE134,AF134,AH134,AI134)</f>
        <v>57.38075</v>
      </c>
      <c r="AK134" s="12">
        <f>AJ134</f>
        <v>57.38075</v>
      </c>
      <c r="AL134" s="12">
        <f>SUM(AH134:AK134)</f>
        <v>225.8425</v>
      </c>
      <c r="AM134" s="12">
        <f>AK134</f>
        <v>57.38075</v>
      </c>
      <c r="AN134" s="12">
        <f>AM134</f>
        <v>57.38075</v>
      </c>
      <c r="AO134" s="12">
        <f>AN134</f>
        <v>57.38075</v>
      </c>
      <c r="AP134" s="12">
        <f>AO134</f>
        <v>57.38075</v>
      </c>
      <c r="AQ134" s="12">
        <f>SUM(AM134:AP134)</f>
        <v>229.523</v>
      </c>
      <c r="AR134" s="12">
        <f>AP134</f>
        <v>57.38075</v>
      </c>
      <c r="AS134" s="12">
        <f>AR134</f>
        <v>57.38075</v>
      </c>
      <c r="AT134" s="12">
        <f>AS134</f>
        <v>57.38075</v>
      </c>
      <c r="AU134" s="12">
        <f>AT134</f>
        <v>57.38075</v>
      </c>
      <c r="AV134" s="12">
        <f>SUM(AR134:AU134)</f>
        <v>229.523</v>
      </c>
      <c r="AW134" s="12">
        <f>AU134</f>
        <v>57.38075</v>
      </c>
      <c r="AX134" s="12">
        <f>AW134</f>
        <v>57.38075</v>
      </c>
      <c r="AY134" s="12">
        <f>AX134</f>
        <v>57.38075</v>
      </c>
      <c r="AZ134" s="12">
        <f>AY134</f>
        <v>57.38075</v>
      </c>
      <c r="BA134" s="12">
        <f>SUM(AW134:AZ134)</f>
        <v>229.523</v>
      </c>
      <c r="BB134" s="12">
        <f>AZ134</f>
        <v>57.38075</v>
      </c>
      <c r="BC134" s="12">
        <f>BB134</f>
        <v>57.38075</v>
      </c>
      <c r="BD134" s="12">
        <f>BC134</f>
        <v>57.38075</v>
      </c>
      <c r="BE134" s="12">
        <f>BD134</f>
        <v>57.38075</v>
      </c>
      <c r="BF134" s="12">
        <f>SUM(BB134:BE134)</f>
        <v>229.523</v>
      </c>
      <c r="BG134" s="12" t="n"/>
      <c r="BH134" s="12" t="n"/>
      <c r="BI134" s="12" t="n"/>
      <c r="BJ134" s="12" t="n"/>
      <c r="BK134" s="12" t="n"/>
      <c r="BL134" s="12" t="n"/>
      <c r="BM134" s="12" t="n"/>
      <c r="BN134" s="12" t="n"/>
      <c r="BO134" s="12" t="n"/>
      <c r="BP134" s="12" t="n"/>
      <c r="BQ134" s="12" t="n"/>
      <c r="BR134" s="12" t="n"/>
      <c r="BS134" s="12" t="n"/>
      <c r="BT134" s="12" t="n"/>
      <c r="BU134" s="12" t="n"/>
      <c r="BV134" s="12" t="n"/>
      <c r="BW134" s="12" t="n"/>
      <c r="BX134" s="12" t="n"/>
      <c r="BY134" s="12" t="n"/>
      <c r="BZ134" s="12" t="n"/>
      <c r="CA134" s="12" t="n"/>
      <c r="CB134" s="12" t="n"/>
      <c r="CC134" s="12" t="n"/>
      <c r="CD134" s="12" t="n"/>
      <c r="CE134" s="12" t="n"/>
      <c r="CF134" s="12" t="n"/>
      <c r="CG134" s="12" t="n"/>
      <c r="CH134" s="12" t="n"/>
      <c r="CI134" s="12" t="n"/>
      <c r="CJ134" s="12" t="n"/>
      <c r="CK134" s="12" t="n"/>
      <c r="CL134" s="12" t="n"/>
      <c r="CM134" s="12" t="n"/>
      <c r="CN134" s="12" t="n"/>
      <c r="CO134" s="12" t="n"/>
      <c r="CP134" s="12" t="n"/>
      <c r="CQ134" s="12" t="n"/>
      <c r="CR134" s="12" t="n"/>
      <c r="CS134" s="12" t="n"/>
      <c r="CT134" s="12" t="n"/>
      <c r="CU134" s="12" t="n"/>
      <c r="CV134" s="12" t="n"/>
      <c r="CW134" s="12" t="n"/>
      <c r="CX134" s="12" t="n"/>
      <c r="CY134" s="12" t="n"/>
    </row>
    <row r="135">
      <c r="C135" s="14" t="inlineStr">
        <is>
          <t>Minority Interest Expense, after tax (enter as - )</t>
        </is>
      </c>
      <c r="D135" s="46" t="n"/>
      <c r="E135" s="46" t="n"/>
      <c r="F135" s="46" t="n"/>
      <c r="G135" s="46" t="n"/>
      <c r="H135" s="12" t="n"/>
      <c r="I135" s="46">
        <f>'Inputs (2)'!D12</f>
        <v>-29.436</v>
      </c>
      <c r="J135" s="46">
        <f>'Inputs (2)'!E12</f>
        <v>15.169</v>
      </c>
      <c r="K135" s="46">
        <f>'Inputs (2)'!F12</f>
        <v>-234.281</v>
      </c>
      <c r="L135" s="46">
        <f>'Inputs (2)'!G12</f>
        <v>34.187</v>
      </c>
      <c r="M135" s="12">
        <f>'Inputs (2)'!H12</f>
        <v>-214.361</v>
      </c>
      <c r="N135" s="46">
        <f>'Inputs (2)'!I12</f>
        <v>-4.214</v>
      </c>
      <c r="O135" s="46">
        <f>'Inputs (2)'!J12</f>
        <v>0</v>
      </c>
      <c r="P135" s="46">
        <f>'Inputs (2)'!K12</f>
        <v>0</v>
      </c>
      <c r="Q135" s="46">
        <f>'Inputs (2)'!L12</f>
        <v>0</v>
      </c>
      <c r="R135" s="12">
        <f>'Inputs (2)'!M12</f>
        <v>-4.214</v>
      </c>
      <c r="S135" s="46">
        <f>'Inputs (2)'!N12</f>
        <v>0</v>
      </c>
      <c r="T135" s="46">
        <f>'Inputs (2)'!O12</f>
        <v>0</v>
      </c>
      <c r="U135" s="46">
        <f>'Inputs (2)'!P12</f>
        <v>0</v>
      </c>
      <c r="V135" s="46">
        <f>'Inputs (2)'!Q12</f>
        <v>0</v>
      </c>
      <c r="W135" s="12">
        <f>'Inputs (2)'!R12</f>
        <v>0</v>
      </c>
      <c r="X135" s="46">
        <f>'Inputs (2)'!S12</f>
        <v>0</v>
      </c>
      <c r="Y135" s="46">
        <f>'Inputs (2)'!T12</f>
        <v>0</v>
      </c>
      <c r="Z135" s="46">
        <f>'Inputs (2)'!U12</f>
        <v>0</v>
      </c>
      <c r="AA135" s="46">
        <f>'Inputs (2)'!V12</f>
        <v>-20.931</v>
      </c>
      <c r="AB135" s="12">
        <f>'Inputs (2)'!W12</f>
        <v>-20.931</v>
      </c>
      <c r="AC135" s="46">
        <f>'Inputs (2)'!X12</f>
        <v>-45.501</v>
      </c>
      <c r="AD135" s="46">
        <f>'Inputs (2)'!Y12</f>
        <v>-52.537</v>
      </c>
      <c r="AE135" s="46">
        <f>'Inputs (2)'!Z12</f>
        <v>6.661</v>
      </c>
      <c r="AF135" s="46">
        <f>'Inputs (2)'!AA12</f>
        <v>-14.78</v>
      </c>
      <c r="AG135" s="12">
        <f>'Inputs (2)'!AB12</f>
        <v>-106.157</v>
      </c>
      <c r="AH135" s="12">
        <f>'Inputs (2)'!AC12</f>
        <v>-19.732</v>
      </c>
      <c r="AI135" s="12">
        <f>'Inputs (2)'!AD12</f>
        <v>-31.886</v>
      </c>
      <c r="AJ135" s="12">
        <f>AVERAGE(AE135,AF135,AH135,AI135)</f>
        <v>-14.93425</v>
      </c>
      <c r="AK135" s="12">
        <f>AJ135</f>
        <v>-14.93425</v>
      </c>
      <c r="AL135" s="12">
        <f>SUM(AH135:AK135)</f>
        <v>-81.4865</v>
      </c>
      <c r="AM135" s="12">
        <f>AK135</f>
        <v>-14.93425</v>
      </c>
      <c r="AN135" s="12">
        <f>AM135</f>
        <v>-14.93425</v>
      </c>
      <c r="AO135" s="12">
        <f>AN135</f>
        <v>-14.93425</v>
      </c>
      <c r="AP135" s="12">
        <f>AO135</f>
        <v>-14.93425</v>
      </c>
      <c r="AQ135" s="12">
        <f>SUM(AM135:AP135)</f>
        <v>-59.737</v>
      </c>
      <c r="AR135" s="12">
        <f>AP135</f>
        <v>-14.93425</v>
      </c>
      <c r="AS135" s="12">
        <f>AR135</f>
        <v>-14.93425</v>
      </c>
      <c r="AT135" s="12">
        <f>AS135</f>
        <v>-14.93425</v>
      </c>
      <c r="AU135" s="12">
        <f>AT135</f>
        <v>-14.93425</v>
      </c>
      <c r="AV135" s="12">
        <f>SUM(AR135:AU135)</f>
        <v>-59.737</v>
      </c>
      <c r="AW135" s="12">
        <f>AU135</f>
        <v>-14.93425</v>
      </c>
      <c r="AX135" s="12">
        <f>AW135</f>
        <v>-14.93425</v>
      </c>
      <c r="AY135" s="12">
        <f>AX135</f>
        <v>-14.93425</v>
      </c>
      <c r="AZ135" s="12">
        <f>AY135</f>
        <v>-14.93425</v>
      </c>
      <c r="BA135" s="12">
        <f>SUM(AW135:AZ135)</f>
        <v>-59.737</v>
      </c>
      <c r="BB135" s="12">
        <f>AZ135</f>
        <v>-14.93425</v>
      </c>
      <c r="BC135" s="12">
        <f>BB135</f>
        <v>-14.93425</v>
      </c>
      <c r="BD135" s="12">
        <f>BC135</f>
        <v>-14.93425</v>
      </c>
      <c r="BE135" s="12">
        <f>BD135</f>
        <v>-14.93425</v>
      </c>
      <c r="BF135" s="12">
        <f>SUM(BB135:BE135)</f>
        <v>-59.737</v>
      </c>
      <c r="BG135" s="12" t="n"/>
      <c r="BH135" s="12" t="n"/>
      <c r="BI135" s="12" t="n"/>
      <c r="BJ135" s="12" t="n"/>
      <c r="BK135" s="12" t="n"/>
      <c r="BL135" s="12" t="n"/>
      <c r="BM135" s="12" t="n"/>
      <c r="BN135" s="12" t="n"/>
      <c r="BO135" s="12" t="n"/>
      <c r="BP135" s="12" t="n"/>
      <c r="BQ135" s="12" t="n"/>
      <c r="BR135" s="12" t="n"/>
      <c r="BS135" s="12" t="n"/>
      <c r="BT135" s="12" t="n"/>
      <c r="BU135" s="12" t="n"/>
      <c r="BV135" s="12" t="n"/>
      <c r="BW135" s="12" t="n"/>
      <c r="BX135" s="12" t="n"/>
      <c r="BY135" s="12" t="n"/>
      <c r="BZ135" s="12" t="n"/>
      <c r="CA135" s="12" t="n"/>
      <c r="CB135" s="12" t="n"/>
      <c r="CC135" s="12" t="n"/>
      <c r="CD135" s="12" t="n"/>
      <c r="CE135" s="12" t="n"/>
      <c r="CF135" s="12" t="n"/>
      <c r="CG135" s="12" t="n"/>
      <c r="CH135" s="12" t="n"/>
      <c r="CI135" s="12" t="n"/>
      <c r="CJ135" s="12" t="n"/>
      <c r="CK135" s="12" t="n"/>
      <c r="CL135" s="12" t="n"/>
      <c r="CM135" s="12" t="n"/>
      <c r="CN135" s="12" t="n"/>
      <c r="CO135" s="12" t="n"/>
      <c r="CP135" s="12" t="n"/>
      <c r="CQ135" s="12" t="n"/>
      <c r="CR135" s="12" t="n"/>
      <c r="CS135" s="12" t="n"/>
      <c r="CT135" s="12" t="n"/>
      <c r="CU135" s="12" t="n"/>
      <c r="CV135" s="12" t="n"/>
      <c r="CW135" s="12" t="n"/>
      <c r="CX135" s="12" t="n"/>
      <c r="CY135" s="12" t="n"/>
    </row>
    <row r="136" customFormat="1" s="32">
      <c r="A136" s="30" t="n"/>
      <c r="B136" s="3" t="n"/>
      <c r="C136" s="33" t="inlineStr">
        <is>
          <t>Net Income</t>
        </is>
      </c>
      <c r="D136" s="35" t="n"/>
      <c r="E136" s="35" t="n"/>
      <c r="F136" s="35" t="n"/>
      <c r="G136" s="35" t="n"/>
      <c r="H136" s="35" t="n"/>
      <c r="I136" s="35">
        <f>SUM(I129,I130,I134,I135)</f>
        <v>10.128</v>
      </c>
      <c r="J136" s="35">
        <f>SUM(J129,J130,J134,J135)</f>
        <v>-71.057</v>
      </c>
      <c r="K136" s="35">
        <f>SUM(K129,K130,K134,K135)</f>
        <v>82.2450000000001</v>
      </c>
      <c r="L136" s="35">
        <f>SUM(L129,L130,L134,L135)</f>
        <v>14.45</v>
      </c>
      <c r="M136" s="35">
        <f>SUM(I136:L136)</f>
        <v>35.766</v>
      </c>
      <c r="N136" s="35">
        <f>SUM(N129,N130,N134,N135)</f>
        <v>-6.79899999999995</v>
      </c>
      <c r="O136" s="35">
        <f>SUM(O129,O130,O134,O135)</f>
        <v>-2.02699999999998</v>
      </c>
      <c r="P136" s="35">
        <f>SUM(P129,P130,P134,P135)</f>
        <v>230.087</v>
      </c>
      <c r="Q136" s="35">
        <f>SUM(Q129,Q130,Q134,Q135)</f>
        <v>2453.139</v>
      </c>
      <c r="R136" s="35">
        <f>SUM(N136:Q136)</f>
        <v>2674.4</v>
      </c>
      <c r="S136" s="35">
        <f>SUM(S129,S130,S134,S135)</f>
        <v>229.952</v>
      </c>
      <c r="T136" s="35">
        <f>SUM(T129,T130,T134,T135)</f>
        <v>182.882</v>
      </c>
      <c r="U136" s="35">
        <f>SUM(U129,U130,U134,U135)</f>
        <v>-838.116</v>
      </c>
      <c r="V136" s="35">
        <f>SUM(V129,V130,V134,V135)</f>
        <v>107.593</v>
      </c>
      <c r="W136" s="35">
        <f>SUM(S136:V136)</f>
        <v>-317.689</v>
      </c>
      <c r="X136" s="35">
        <f>SUM(X129,X130,X134,X135)</f>
        <v>253.618</v>
      </c>
      <c r="Y136" s="35">
        <f>SUM(Y129,Y130,Y134,Y135)</f>
        <v>91.0890000000001</v>
      </c>
      <c r="Z136" s="35">
        <f>SUM(Z129,Z130,Z134,Z135)</f>
        <v>270.83</v>
      </c>
      <c r="AA136" s="35">
        <f>SUM(AA129,AA130,AA134,AA135)</f>
        <v>-364.599</v>
      </c>
      <c r="AB136" s="35">
        <f>SUM(X136:AA136)</f>
        <v>250.938</v>
      </c>
      <c r="AC136" s="35">
        <f>SUM(AC129,AC130,AC134,AC135)</f>
        <v>8.49599999999975</v>
      </c>
      <c r="AD136" s="35">
        <f>SUM(AD129,AD130,AD134,AD135)</f>
        <v>-615.39</v>
      </c>
      <c r="AE136" s="35">
        <f>SUM(AE129,AE130,AE134,AE135)</f>
        <v>-397.034</v>
      </c>
      <c r="AF136" s="35">
        <f>SUM(AF129,AF130,AF134,AF135)</f>
        <v>339.896</v>
      </c>
      <c r="AG136" s="35">
        <f>SUM(AC136:AF136)</f>
        <v>-664.032</v>
      </c>
      <c r="AH136" s="35">
        <f>SUM(AH129,AH130,AH134,AH135)</f>
        <v>-621.338</v>
      </c>
      <c r="AI136" s="35">
        <f>SUM(AI129,AI130,AI134,AI135)</f>
        <v>-410.947</v>
      </c>
      <c r="AJ136" s="35">
        <f>SUM(AJ129,AJ130,AJ134,AJ135)</f>
        <v>48.2225774745261</v>
      </c>
      <c r="AK136" s="35">
        <f>SUM(AK129,AK130,AK134,AK135)</f>
        <v>92.5446654006042</v>
      </c>
      <c r="AL136" s="35">
        <f>SUM(AH136:AK136)</f>
        <v>-891.51775712487</v>
      </c>
      <c r="AM136" s="35">
        <f>SUM(AM129,AM130,AM134,AM135)</f>
        <v>-29.3854256469056</v>
      </c>
      <c r="AN136" s="35">
        <f>SUM(AN129,AN130,AN134,AN135)</f>
        <v>-32.5772303278854</v>
      </c>
      <c r="AO136" s="35">
        <f>SUM(AO129,AO130,AO134,AO135)</f>
        <v>134.392324471214</v>
      </c>
      <c r="AP136" s="35">
        <f>SUM(AP129,AP130,AP134,AP135)</f>
        <v>185.153604044925</v>
      </c>
      <c r="AQ136" s="35">
        <f>SUM(AM136:AP136)</f>
        <v>257.583272541349</v>
      </c>
      <c r="AR136" s="35">
        <f>SUM(AR129,AR130,AR134,AR135)</f>
        <v>42.9317252710289</v>
      </c>
      <c r="AS136" s="35">
        <f>SUM(AS129,AS130,AS134,AS135)</f>
        <v>39.2921685609213</v>
      </c>
      <c r="AT136" s="35">
        <f>SUM(AT129,AT130,AT134,AT135)</f>
        <v>229.684509036518</v>
      </c>
      <c r="AU136" s="35">
        <f>SUM(AU129,AU130,AU134,AU135)</f>
        <v>287.566671058231</v>
      </c>
      <c r="AV136" s="35">
        <f>SUM(AR136:AU136)</f>
        <v>599.475073926699</v>
      </c>
      <c r="AW136" s="35">
        <f>SUM(AW129,AW130,AW134,AW135)</f>
        <v>122.454501239175</v>
      </c>
      <c r="AX136" s="35">
        <f>SUM(AX129,AX130,AX134,AX135)</f>
        <v>118.32257883366</v>
      </c>
      <c r="AY136" s="35">
        <f>SUM(AY129,AY130,AY134,AY135)</f>
        <v>334.471533255728</v>
      </c>
      <c r="AZ136" s="35">
        <f>SUM(AZ129,AZ130,AZ134,AZ135)</f>
        <v>400.18409695146</v>
      </c>
      <c r="BA136" s="35">
        <f>SUM(AW136:AZ136)</f>
        <v>975.432710280024</v>
      </c>
      <c r="BB136" s="35">
        <f>SUM(BB129,BB130,BB134,BB135)</f>
        <v>209.398492376713</v>
      </c>
      <c r="BC136" s="35">
        <f>SUM(BC129,BC130,BC134,BC135)</f>
        <v>204.728255782127</v>
      </c>
      <c r="BD136" s="35">
        <f>SUM(BD129,BD130,BD134,BD135)</f>
        <v>449.037479855647</v>
      </c>
      <c r="BE136" s="35">
        <f>SUM(BE129,BE130,BE134,BE135)</f>
        <v>523.311193051767</v>
      </c>
      <c r="BF136" s="35">
        <f>SUM(BB136:BE136)</f>
        <v>1386.47542106625</v>
      </c>
      <c r="BG136" s="35" t="n"/>
      <c r="BH136" s="35" t="n"/>
      <c r="BI136" s="35" t="n"/>
      <c r="BJ136" s="35" t="n"/>
      <c r="BK136" s="35" t="n"/>
      <c r="BL136" s="35" t="n"/>
      <c r="BM136" s="35" t="n"/>
      <c r="BN136" s="35" t="n"/>
      <c r="BO136" s="35" t="n"/>
      <c r="BP136" s="35" t="n"/>
      <c r="BQ136" s="35" t="n"/>
      <c r="BR136" s="35" t="n"/>
      <c r="BS136" s="35" t="n"/>
      <c r="BT136" s="35" t="n"/>
      <c r="BU136" s="35" t="n"/>
      <c r="BV136" s="35" t="n"/>
      <c r="BW136" s="35" t="n"/>
      <c r="BX136" s="35" t="n"/>
      <c r="BY136" s="35" t="n"/>
      <c r="BZ136" s="35" t="n"/>
      <c r="CA136" s="35" t="n"/>
      <c r="CB136" s="35" t="n"/>
      <c r="CC136" s="35" t="n"/>
      <c r="CD136" s="35" t="n"/>
      <c r="CE136" s="35" t="n"/>
      <c r="CF136" s="35" t="n"/>
      <c r="CG136" s="35" t="n"/>
      <c r="CH136" s="35" t="n"/>
      <c r="CI136" s="35" t="n"/>
      <c r="CJ136" s="35" t="n"/>
      <c r="CK136" s="35" t="n"/>
      <c r="CL136" s="35" t="n"/>
      <c r="CM136" s="35" t="n"/>
      <c r="CN136" s="35" t="n"/>
      <c r="CO136" s="35" t="n"/>
      <c r="CP136" s="35" t="n"/>
      <c r="CQ136" s="35" t="n"/>
      <c r="CR136" s="35" t="n"/>
      <c r="CS136" s="35" t="n"/>
      <c r="CT136" s="35" t="n"/>
      <c r="CU136" s="35" t="n"/>
      <c r="CV136" s="35" t="n"/>
      <c r="CW136" s="35" t="n"/>
      <c r="CX136" s="35" t="n"/>
      <c r="CY136" s="35" t="n"/>
    </row>
    <row r="137">
      <c r="C137" s="13" t="inlineStr">
        <is>
          <t>Common Dividends</t>
        </is>
      </c>
      <c r="D137" s="46" t="n"/>
      <c r="E137" s="46" t="n"/>
      <c r="F137" s="46" t="n"/>
      <c r="G137" s="46" t="n"/>
      <c r="H137" s="12" t="n"/>
      <c r="I137" s="46">
        <f>'Inputs (2)'!D13</f>
        <v>-3.475</v>
      </c>
      <c r="J137" s="46">
        <f>'Inputs (2)'!E13</f>
        <v>-352.302</v>
      </c>
      <c r="K137" s="46">
        <f>'Inputs (2)'!F13</f>
        <v>-146.582</v>
      </c>
      <c r="L137" s="46">
        <f>'Inputs (2)'!G13</f>
        <v>-0.003</v>
      </c>
      <c r="M137" s="12">
        <f>'Inputs (2)'!H13</f>
        <v>-502.362</v>
      </c>
      <c r="N137" s="46">
        <f>'Inputs (2)'!I13</f>
        <v>0</v>
      </c>
      <c r="O137" s="46">
        <f>'Inputs (2)'!J13</f>
        <v>-99.991</v>
      </c>
      <c r="P137" s="46">
        <f>'Inputs (2)'!K13</f>
        <v>0</v>
      </c>
      <c r="Q137" s="46">
        <f>'Inputs (2)'!L13</f>
        <v>-0.003</v>
      </c>
      <c r="R137" s="12">
        <f>'Inputs (2)'!M13</f>
        <v>-99.994</v>
      </c>
      <c r="S137" s="46">
        <f>'Inputs (2)'!N13</f>
        <v>0</v>
      </c>
      <c r="T137" s="46">
        <f>'Inputs (2)'!O13</f>
        <v>-1499.809</v>
      </c>
      <c r="U137" s="46">
        <f>'Inputs (2)'!P13</f>
        <v>0</v>
      </c>
      <c r="V137" s="46">
        <f>'Inputs (2)'!Q13</f>
        <v>-1499.817</v>
      </c>
      <c r="W137" s="12">
        <f>'Inputs (2)'!R13</f>
        <v>-2999.626</v>
      </c>
      <c r="X137" s="46">
        <f>'Inputs (2)'!S13</f>
        <v>-399.948</v>
      </c>
      <c r="Y137" s="46">
        <f>'Inputs (2)'!T13</f>
        <v>-0.001</v>
      </c>
      <c r="Z137" s="46">
        <f>'Inputs (2)'!U13</f>
        <v>-0.001</v>
      </c>
      <c r="AA137" s="46">
        <f>'Inputs (2)'!V13</f>
        <v>0</v>
      </c>
      <c r="AB137" s="12">
        <f>'Inputs (2)'!W13</f>
        <v>-399.95</v>
      </c>
      <c r="AC137" s="46">
        <f>'Inputs (2)'!X13</f>
        <v>-99.648</v>
      </c>
      <c r="AD137" s="46">
        <f>'Inputs (2)'!Y13</f>
        <v>-61.408</v>
      </c>
      <c r="AE137" s="46">
        <f>'Inputs (2)'!Z13</f>
        <v>-89.327</v>
      </c>
      <c r="AF137" s="46">
        <f>'Inputs (2)'!AA13</f>
        <v>8.548</v>
      </c>
      <c r="AG137" s="12">
        <f>'Inputs (2)'!AB13</f>
        <v>-241.835</v>
      </c>
      <c r="AH137" s="12">
        <f>'Inputs (2)'!AC13</f>
        <v>-42.966</v>
      </c>
      <c r="AI137" s="12">
        <f>'Inputs (2)'!AD13</f>
        <v>0.148</v>
      </c>
      <c r="AJ137" s="12">
        <f>-MAX(0,AJ136)*Control!$E$15</f>
        <v>0</v>
      </c>
      <c r="AK137" s="12">
        <f>-MAX(0,AK136)*Control!$E$15</f>
        <v>0</v>
      </c>
      <c r="AL137" s="12">
        <f>SUM(AH137:AK137)</f>
        <v>-42.818</v>
      </c>
      <c r="AM137" s="12">
        <f>-MAX(0,AM136)*Control!$E$15</f>
        <v>0</v>
      </c>
      <c r="AN137" s="12">
        <f>-MAX(0,AN136)*Control!$E$15</f>
        <v>0</v>
      </c>
      <c r="AO137" s="12">
        <f>-MAX(0,AO136)*Control!$E$15</f>
        <v>0</v>
      </c>
      <c r="AP137" s="12">
        <f>-MAX(0,AP136)*Control!$E$15</f>
        <v>0</v>
      </c>
      <c r="AQ137" s="12">
        <f>SUM(AM137:AP137)</f>
        <v>0</v>
      </c>
      <c r="AR137" s="12">
        <f>-MAX(0,AR136)*Control!$E$15</f>
        <v>0</v>
      </c>
      <c r="AS137" s="12">
        <f>-MAX(0,AS136)*Control!$E$15</f>
        <v>0</v>
      </c>
      <c r="AT137" s="12">
        <f>-MAX(0,AT136)*Control!$E$15</f>
        <v>0</v>
      </c>
      <c r="AU137" s="12">
        <f>-MAX(0,AU136)*Control!$E$15</f>
        <v>0</v>
      </c>
      <c r="AV137" s="12">
        <f>SUM(AR137:AU137)</f>
        <v>0</v>
      </c>
      <c r="AW137" s="12">
        <f>-MAX(0,AW136)*Control!$E$15</f>
        <v>0</v>
      </c>
      <c r="AX137" s="12">
        <f>-MAX(0,AX136)*Control!$E$15</f>
        <v>0</v>
      </c>
      <c r="AY137" s="12">
        <f>-MAX(0,AY136)*Control!$E$15</f>
        <v>0</v>
      </c>
      <c r="AZ137" s="12">
        <f>-MAX(0,AZ136)*Control!$E$15</f>
        <v>0</v>
      </c>
      <c r="BA137" s="12">
        <f>SUM(AW137:AZ137)</f>
        <v>0</v>
      </c>
      <c r="BB137" s="12">
        <f>-MAX(0,BB136)*Control!$E$15</f>
        <v>0</v>
      </c>
      <c r="BC137" s="12">
        <f>-MAX(0,BC136)*Control!$E$15</f>
        <v>0</v>
      </c>
      <c r="BD137" s="12">
        <f>-MAX(0,BD136)*Control!$E$15</f>
        <v>0</v>
      </c>
      <c r="BE137" s="12">
        <f>-MAX(0,BE136)*Control!$E$15</f>
        <v>0</v>
      </c>
      <c r="BF137" s="12">
        <f>SUM(BB137:BE137)</f>
        <v>0</v>
      </c>
      <c r="BG137" s="12" t="n"/>
      <c r="BH137" s="12" t="n"/>
      <c r="BI137" s="12" t="n"/>
      <c r="BJ137" s="12" t="n"/>
      <c r="BK137" s="12" t="n"/>
      <c r="BL137" s="12" t="n"/>
      <c r="BM137" s="12" t="n"/>
      <c r="BN137" s="12" t="n"/>
      <c r="BO137" s="12" t="n"/>
      <c r="BP137" s="12" t="n"/>
      <c r="BQ137" s="12" t="n"/>
      <c r="BR137" s="12" t="n"/>
      <c r="BS137" s="12" t="n"/>
      <c r="BT137" s="12" t="n"/>
      <c r="BU137" s="12" t="n"/>
      <c r="BV137" s="12" t="n"/>
      <c r="BW137" s="12" t="n"/>
      <c r="BX137" s="12" t="n"/>
      <c r="BY137" s="12" t="n"/>
      <c r="BZ137" s="12" t="n"/>
      <c r="CA137" s="12" t="n"/>
      <c r="CB137" s="12" t="n"/>
      <c r="CC137" s="12" t="n"/>
      <c r="CD137" s="12" t="n"/>
      <c r="CE137" s="12" t="n"/>
      <c r="CF137" s="12" t="n"/>
      <c r="CG137" s="12" t="n"/>
      <c r="CH137" s="12" t="n"/>
      <c r="CI137" s="12" t="n"/>
      <c r="CJ137" s="12" t="n"/>
      <c r="CK137" s="12" t="n"/>
      <c r="CL137" s="12" t="n"/>
      <c r="CM137" s="12" t="n"/>
      <c r="CN137" s="12" t="n"/>
      <c r="CO137" s="12" t="n"/>
      <c r="CP137" s="12" t="n"/>
      <c r="CQ137" s="12" t="n"/>
      <c r="CR137" s="12" t="n"/>
      <c r="CS137" s="12" t="n"/>
      <c r="CT137" s="12" t="n"/>
      <c r="CU137" s="12" t="n"/>
      <c r="CV137" s="12" t="n"/>
      <c r="CW137" s="12" t="n"/>
      <c r="CX137" s="12" t="n"/>
      <c r="CY137" s="12" t="n"/>
    </row>
    <row r="138" hidden="1" outlineLevel="1">
      <c r="C138" s="50" t="inlineStr">
        <is>
          <t>% DVD Payout</t>
        </is>
      </c>
      <c r="D138" s="58" t="n"/>
      <c r="E138" s="58" t="n"/>
      <c r="F138" s="58" t="n"/>
      <c r="G138" s="58" t="n"/>
      <c r="H138" s="58" t="n"/>
      <c r="I138" s="58">
        <f>IF(I136=0,"",-I137/I136)</f>
        <v>0.343108214849922</v>
      </c>
      <c r="J138" s="58">
        <f>IF(J136=0,"",-J137/J136)</f>
        <v>-4.95801961805311</v>
      </c>
      <c r="K138" s="58">
        <f>IF(K136=0,"",-K137/K136)</f>
        <v>1.78226031977628</v>
      </c>
      <c r="L138" s="58">
        <f>IF(L136=0,"",-L137/L136)</f>
        <v>0.000207612456747405</v>
      </c>
      <c r="M138" s="58">
        <f>IF(M136=0,"",-M137/M136)</f>
        <v>14.0457976849522</v>
      </c>
      <c r="N138" s="58">
        <f>IF(N136=0,"",-N137/N136)</f>
        <v>0</v>
      </c>
      <c r="O138" s="58">
        <f>IF(O136=0,"",-O137/O136)</f>
        <v>-49.3295510606813</v>
      </c>
      <c r="P138" s="58">
        <f>IF(P136=0,"",-P137/P136)</f>
        <v>0</v>
      </c>
      <c r="Q138" s="58">
        <f>IF(Q136=0,"",-Q137/Q136)</f>
        <v>1.22292295707663e-06</v>
      </c>
      <c r="R138" s="58">
        <f>IF(R136=0,"",-R137/R136)</f>
        <v>0.0373893209691894</v>
      </c>
      <c r="S138" s="58">
        <f>IF(S136=0,"",-S137/S136)</f>
        <v>0</v>
      </c>
      <c r="T138" s="58">
        <f>IF(T136=0,"",-T137/T136)</f>
        <v>8.20096564998196</v>
      </c>
      <c r="U138" s="58">
        <f>IF(U136=0,"",-U137/U136)</f>
        <v>0</v>
      </c>
      <c r="V138" s="58">
        <f>IF(V136=0,"",-V137/V136)</f>
        <v>13.9397265621369</v>
      </c>
      <c r="W138" s="58">
        <f>IF(W136=0,"",-W137/W136)</f>
        <v>-9.44202034064761</v>
      </c>
      <c r="X138" s="58">
        <f>IF(X136=0,"",-X137/X136)</f>
        <v>1.57697008887382</v>
      </c>
      <c r="Y138" s="58">
        <f>IF(Y136=0,"",-Y137/Y136)</f>
        <v>1.09782739957624e-05</v>
      </c>
      <c r="Z138" s="58">
        <f>IF(Z136=0,"",-Z137/Z136)</f>
        <v>3.69235313665399e-06</v>
      </c>
      <c r="AA138" s="58">
        <f>IF(AA136=0,"",-AA137/AA136)</f>
        <v>0</v>
      </c>
      <c r="AB138" s="58">
        <f>IF(AB136=0,"",-AB137/AB136)</f>
        <v>1.59381998740725</v>
      </c>
      <c r="AC138" s="58">
        <f>IF(AC136=0,"",-AC137/AC136)</f>
        <v>11.7288135593224</v>
      </c>
      <c r="AD138" s="58">
        <f>IF(AD136=0,"",-AD137/AD136)</f>
        <v>-0.09978712686264</v>
      </c>
      <c r="AE138" s="58">
        <f>IF(AE136=0,"",-AE137/AE136)</f>
        <v>-0.2249857694807</v>
      </c>
      <c r="AF138" s="41">
        <f>IF(AF136=0,"",-AF137/AF136)</f>
        <v>-0.0251488690658319</v>
      </c>
      <c r="AG138" s="12">
        <f>IF(AG136=0,"",-AG137/AG136)</f>
        <v>-0.364191785938027</v>
      </c>
      <c r="AH138" s="41">
        <f>IF(AH136=0,"",-AH137/AH136)</f>
        <v>-0.0691507681809257</v>
      </c>
      <c r="AI138" s="41">
        <f>IF(AI136=0,"",-AI137/AI136)</f>
        <v>0.00036014376549774</v>
      </c>
      <c r="AJ138" s="41">
        <f>IF(AJ136=0,"",-AJ137/AJ136)</f>
        <v>0</v>
      </c>
      <c r="AK138" s="41">
        <f>IF(AK136=0,"",-AK137/AK136)</f>
        <v>0</v>
      </c>
      <c r="AL138" s="12">
        <f>IF(AL136=0,"",-AL137/AL136)</f>
        <v>-0.0480282076916643</v>
      </c>
      <c r="AM138" s="41">
        <f>IF(AM136=0,"",-AM137/AM136)</f>
        <v>0</v>
      </c>
      <c r="AN138" s="41">
        <f>IF(AN136=0,"",-AN137/AN136)</f>
        <v>0</v>
      </c>
      <c r="AO138" s="41">
        <f>IF(AO136=0,"",-AO137/AO136)</f>
        <v>0</v>
      </c>
      <c r="AP138" s="41">
        <f>IF(AP136=0,"",-AP137/AP136)</f>
        <v>0</v>
      </c>
      <c r="AQ138" s="12">
        <f>IF(AQ136=0,"",-AQ137/AQ136)</f>
        <v>0</v>
      </c>
      <c r="AR138" s="41">
        <f>IF(AR136=0,"",-AR137/AR136)</f>
        <v>0</v>
      </c>
      <c r="AS138" s="41">
        <f>IF(AS136=0,"",-AS137/AS136)</f>
        <v>0</v>
      </c>
      <c r="AT138" s="41">
        <f>IF(AT136=0,"",-AT137/AT136)</f>
        <v>0</v>
      </c>
      <c r="AU138" s="41">
        <f>IF(AU136=0,"",-AU137/AU136)</f>
        <v>0</v>
      </c>
      <c r="AV138" s="12">
        <f>IF(AV136=0,"",-AV137/AV136)</f>
        <v>0</v>
      </c>
      <c r="AW138" s="41">
        <f>IF(AW136=0,"",-AW137/AW136)</f>
        <v>0</v>
      </c>
      <c r="AX138" s="41">
        <f>IF(AX136=0,"",-AX137/AX136)</f>
        <v>0</v>
      </c>
      <c r="AY138" s="41">
        <f>IF(AY136=0,"",-AY137/AY136)</f>
        <v>0</v>
      </c>
      <c r="AZ138" s="41">
        <f>IF(AZ136=0,"",-AZ137/AZ136)</f>
        <v>0</v>
      </c>
      <c r="BA138" s="12">
        <f>IF(BA136=0,"",-BA137/BA136)</f>
        <v>0</v>
      </c>
      <c r="BB138" s="41">
        <f>IF(BB136=0,"",-BB137/BB136)</f>
        <v>0</v>
      </c>
      <c r="BC138" s="41">
        <f>IF(BC136=0,"",-BC137/BC136)</f>
        <v>0</v>
      </c>
      <c r="BD138" s="41">
        <f>IF(BD136=0,"",-BD137/BD136)</f>
        <v>0</v>
      </c>
      <c r="BE138" s="41">
        <f>IF(BE136=0,"",-BE137/BE136)</f>
        <v>0</v>
      </c>
      <c r="BF138" s="12">
        <f>IF(BF136=0,"",-BF137/BF136)</f>
        <v>0</v>
      </c>
      <c r="BG138" s="41" t="n"/>
      <c r="BH138" s="41" t="n"/>
      <c r="BI138" s="41" t="n"/>
      <c r="BJ138" s="41" t="n"/>
      <c r="BK138" s="12" t="n"/>
      <c r="BL138" s="41" t="n"/>
      <c r="BM138" s="41" t="n"/>
      <c r="BN138" s="41" t="n"/>
      <c r="BO138" s="41" t="n"/>
      <c r="BP138" s="12" t="n"/>
      <c r="BQ138" s="41" t="n"/>
      <c r="BR138" s="41" t="n"/>
      <c r="BS138" s="41" t="n"/>
      <c r="BT138" s="41" t="n"/>
      <c r="BU138" s="12" t="n"/>
      <c r="BV138" s="41" t="n"/>
      <c r="BW138" s="41" t="n"/>
      <c r="BX138" s="41" t="n"/>
      <c r="BY138" s="41" t="n"/>
      <c r="BZ138" s="12" t="n"/>
      <c r="CA138" s="41" t="n"/>
      <c r="CB138" s="41" t="n"/>
      <c r="CC138" s="41" t="n"/>
      <c r="CD138" s="41" t="n"/>
      <c r="CE138" s="12" t="n"/>
      <c r="CF138" s="41" t="n"/>
      <c r="CG138" s="41" t="n"/>
      <c r="CH138" s="41" t="n"/>
      <c r="CI138" s="41" t="n"/>
      <c r="CJ138" s="12" t="n"/>
      <c r="CK138" s="41" t="n"/>
      <c r="CL138" s="41" t="n"/>
      <c r="CM138" s="41" t="n"/>
      <c r="CN138" s="41" t="n"/>
      <c r="CO138" s="12" t="n"/>
      <c r="CP138" s="41" t="n"/>
      <c r="CQ138" s="41" t="n"/>
      <c r="CR138" s="41" t="n"/>
      <c r="CS138" s="41" t="n"/>
      <c r="CT138" s="12" t="n"/>
      <c r="CU138" s="41" t="n"/>
      <c r="CV138" s="41" t="n"/>
      <c r="CW138" s="41" t="n"/>
      <c r="CX138" s="41" t="n"/>
      <c r="CY138" s="12" t="n"/>
    </row>
    <row r="139" hidden="1" outlineLevel="1">
      <c r="C139" s="18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  <c r="AA139" s="3" t="n"/>
      <c r="AB139" s="3" t="n"/>
      <c r="AC139" s="3" t="n"/>
      <c r="AD139" s="3" t="n"/>
      <c r="AE139" s="3" t="n"/>
      <c r="AF139" s="3" t="n"/>
      <c r="AG139" s="3" t="n"/>
      <c r="AH139" s="3" t="n"/>
      <c r="AI139" s="3" t="n"/>
      <c r="AJ139" s="3" t="n"/>
      <c r="AK139" s="3" t="n"/>
      <c r="AL139" s="3" t="n"/>
      <c r="AM139" s="3" t="n"/>
      <c r="AN139" s="3" t="n"/>
      <c r="AO139" s="3" t="n"/>
      <c r="AP139" s="3" t="n"/>
      <c r="AQ139" s="3" t="n"/>
      <c r="AR139" s="3" t="n"/>
      <c r="AS139" s="3" t="n"/>
      <c r="AT139" s="3" t="n"/>
      <c r="AU139" s="3" t="n"/>
      <c r="AV139" s="3" t="n"/>
      <c r="AW139" s="3" t="n"/>
      <c r="AX139" s="3" t="n"/>
      <c r="AY139" s="3" t="n"/>
      <c r="AZ139" s="3" t="n"/>
      <c r="BA139" s="3" t="n"/>
      <c r="BB139" s="3" t="n"/>
      <c r="BC139" s="3" t="n"/>
      <c r="BD139" s="3" t="n"/>
      <c r="BE139" s="3" t="n"/>
      <c r="BF139" s="3" t="n"/>
      <c r="BG139" s="3" t="n"/>
      <c r="BH139" s="3" t="n"/>
      <c r="BI139" s="3" t="n"/>
      <c r="BJ139" s="3" t="n"/>
      <c r="BK139" s="3" t="n"/>
      <c r="BL139" s="3" t="n"/>
      <c r="BM139" s="3" t="n"/>
      <c r="BN139" s="3" t="n"/>
      <c r="BO139" s="3" t="n"/>
      <c r="BP139" s="3" t="n"/>
      <c r="BQ139" s="3" t="n"/>
      <c r="BR139" s="3" t="n"/>
      <c r="BS139" s="3" t="n"/>
      <c r="BT139" s="3" t="n"/>
      <c r="BU139" s="3" t="n"/>
      <c r="BV139" s="3" t="n"/>
      <c r="BW139" s="3" t="n"/>
      <c r="BX139" s="3" t="n"/>
      <c r="BY139" s="3" t="n"/>
      <c r="BZ139" s="3" t="n"/>
      <c r="CA139" s="3" t="n"/>
      <c r="CB139" s="3" t="n"/>
      <c r="CC139" s="3" t="n"/>
      <c r="CD139" s="3" t="n"/>
      <c r="CE139" s="3" t="n"/>
      <c r="CF139" s="3" t="n"/>
      <c r="CG139" s="3" t="n"/>
      <c r="CH139" s="3" t="n"/>
      <c r="CI139" s="3" t="n"/>
      <c r="CJ139" s="3" t="n"/>
      <c r="CK139" s="3" t="n"/>
      <c r="CL139" s="3" t="n"/>
      <c r="CM139" s="3" t="n"/>
      <c r="CN139" s="3" t="n"/>
      <c r="CO139" s="3" t="n"/>
      <c r="CP139" s="3" t="n"/>
      <c r="CQ139" s="3" t="n"/>
      <c r="CR139" s="3" t="n"/>
      <c r="CS139" s="3" t="n"/>
      <c r="CT139" s="3" t="n"/>
      <c r="CU139" s="3" t="n"/>
      <c r="CV139" s="3" t="n"/>
      <c r="CW139" s="3" t="n"/>
      <c r="CX139" s="3" t="n"/>
      <c r="CY139" s="3" t="n"/>
    </row>
    <row r="140" hidden="1" outlineLevel="1">
      <c r="C140" s="18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  <c r="AA140" s="3" t="n"/>
      <c r="AB140" s="3" t="n"/>
      <c r="AC140" s="3" t="n"/>
      <c r="AD140" s="3" t="n"/>
      <c r="AE140" s="3" t="n"/>
      <c r="AF140" s="3" t="n"/>
      <c r="AG140" s="3" t="n"/>
      <c r="AH140" s="3" t="n"/>
      <c r="AI140" s="3" t="n"/>
      <c r="AJ140" s="3" t="n"/>
      <c r="AK140" s="3" t="n"/>
      <c r="AL140" s="3" t="n"/>
      <c r="AM140" s="3" t="n"/>
      <c r="AN140" s="3" t="n"/>
      <c r="AO140" s="3" t="n"/>
      <c r="AP140" s="3" t="n"/>
      <c r="AQ140" s="3" t="n"/>
      <c r="AR140" s="3" t="n"/>
      <c r="AS140" s="3" t="n"/>
      <c r="AT140" s="3" t="n"/>
      <c r="AU140" s="3" t="n"/>
      <c r="AV140" s="3" t="n"/>
      <c r="AW140" s="3" t="n"/>
      <c r="AX140" s="3" t="n"/>
      <c r="AY140" s="3" t="n"/>
      <c r="AZ140" s="3" t="n"/>
      <c r="BA140" s="3" t="n"/>
      <c r="BB140" s="3" t="n"/>
      <c r="BC140" s="3" t="n"/>
      <c r="BD140" s="3" t="n"/>
      <c r="BE140" s="3" t="n"/>
      <c r="BF140" s="3" t="n"/>
      <c r="BG140" s="3" t="n"/>
      <c r="BH140" s="3" t="n"/>
      <c r="BI140" s="3" t="n"/>
      <c r="BJ140" s="3" t="n"/>
      <c r="BK140" s="3" t="n"/>
      <c r="BL140" s="3" t="n"/>
      <c r="BM140" s="3" t="n"/>
      <c r="BN140" s="3" t="n"/>
      <c r="BO140" s="3" t="n"/>
      <c r="BP140" s="3" t="n"/>
      <c r="BQ140" s="3" t="n"/>
      <c r="BR140" s="3" t="n"/>
      <c r="BS140" s="3" t="n"/>
      <c r="BT140" s="3" t="n"/>
      <c r="BU140" s="3" t="n"/>
      <c r="BV140" s="3" t="n"/>
      <c r="BW140" s="3" t="n"/>
      <c r="BX140" s="3" t="n"/>
      <c r="BY140" s="3" t="n"/>
      <c r="BZ140" s="3" t="n"/>
      <c r="CA140" s="3" t="n"/>
      <c r="CB140" s="3" t="n"/>
      <c r="CC140" s="3" t="n"/>
      <c r="CD140" s="3" t="n"/>
      <c r="CE140" s="3" t="n"/>
      <c r="CF140" s="3" t="n"/>
      <c r="CG140" s="3" t="n"/>
      <c r="CH140" s="3" t="n"/>
      <c r="CI140" s="3" t="n"/>
      <c r="CJ140" s="3" t="n"/>
      <c r="CK140" s="3" t="n"/>
      <c r="CL140" s="3" t="n"/>
      <c r="CM140" s="3" t="n"/>
      <c r="CN140" s="3" t="n"/>
      <c r="CO140" s="3" t="n"/>
      <c r="CP140" s="3" t="n"/>
      <c r="CQ140" s="3" t="n"/>
      <c r="CR140" s="3" t="n"/>
      <c r="CS140" s="3" t="n"/>
      <c r="CT140" s="3" t="n"/>
      <c r="CU140" s="3" t="n"/>
      <c r="CV140" s="3" t="n"/>
      <c r="CW140" s="3" t="n"/>
      <c r="CX140" s="3" t="n"/>
      <c r="CY140" s="3" t="n"/>
    </row>
    <row r="141" collapsed="1" ht="11.25" customHeight="1">
      <c r="C141" s="31" t="inlineStr">
        <is>
          <t>Balance Sheet</t>
        </is>
      </c>
      <c r="D141" s="31" t="n"/>
      <c r="E141" s="31" t="n"/>
      <c r="F141" s="31" t="n"/>
      <c r="G141" s="31" t="n"/>
      <c r="H141" s="31" t="n"/>
      <c r="I141" s="31" t="str">
        <f>I13</f>
        <v>1Q21</v>
      </c>
      <c r="J141" s="31" t="str">
        <f>J13</f>
        <v>2Q21</v>
      </c>
      <c r="K141" s="31" t="str">
        <f>K13</f>
        <v>3Q21</v>
      </c>
      <c r="L141" s="31" t="str">
        <f>L13</f>
        <v>4Q21</v>
      </c>
      <c r="M141" s="31">
        <f>M13</f>
        <v>2021</v>
      </c>
      <c r="N141" s="31" t="str">
        <f>N13</f>
        <v>1Q22</v>
      </c>
      <c r="O141" s="31" t="str">
        <f>O13</f>
        <v>2Q22</v>
      </c>
      <c r="P141" s="31" t="str">
        <f>P13</f>
        <v>3Q22</v>
      </c>
      <c r="Q141" s="31" t="str">
        <f>Q13</f>
        <v>4Q22</v>
      </c>
      <c r="R141" s="31">
        <f>R13</f>
        <v>2022</v>
      </c>
      <c r="S141" s="31" t="str">
        <f>S13</f>
        <v>1Q23</v>
      </c>
      <c r="T141" s="31" t="str">
        <f>T13</f>
        <v>2Q23</v>
      </c>
      <c r="U141" s="31" t="str">
        <f>U13</f>
        <v>3Q23</v>
      </c>
      <c r="V141" s="31" t="str">
        <f>V13</f>
        <v>4Q23</v>
      </c>
      <c r="W141" s="31">
        <f>W13</f>
        <v>2023</v>
      </c>
      <c r="X141" s="31" t="str">
        <f>X13</f>
        <v>1Q24</v>
      </c>
      <c r="Y141" s="31" t="str">
        <f>Y13</f>
        <v>2Q24</v>
      </c>
      <c r="Z141" s="31" t="str">
        <f>Z13</f>
        <v>3Q24</v>
      </c>
      <c r="AA141" s="31" t="str">
        <f>AA13</f>
        <v>4Q24</v>
      </c>
      <c r="AB141" s="31">
        <f>AB13</f>
        <v>2024</v>
      </c>
      <c r="AC141" s="31" t="str">
        <f>AC13</f>
        <v>1Q25</v>
      </c>
      <c r="AD141" s="31" t="str">
        <f>AD13</f>
        <v>2Q25</v>
      </c>
      <c r="AE141" s="31" t="str">
        <f>AE13</f>
        <v>3Q25</v>
      </c>
      <c r="AF141" s="31" t="str">
        <f>AF13</f>
        <v>4Q25</v>
      </c>
      <c r="AG141" s="31">
        <f>AG13</f>
        <v>2025</v>
      </c>
      <c r="AH141" s="31" t="str">
        <f>AH13</f>
        <v>1Q26</v>
      </c>
      <c r="AI141" s="31" t="str">
        <f>AI13</f>
        <v>2Q26</v>
      </c>
      <c r="AJ141" s="31" t="str">
        <f>AJ13</f>
        <v>3Q26</v>
      </c>
      <c r="AK141" s="31" t="str">
        <f>AK13</f>
        <v>4Q26</v>
      </c>
      <c r="AL141" s="31">
        <f>AL13</f>
        <v>2026</v>
      </c>
      <c r="AM141" s="31" t="str">
        <f>AM13</f>
        <v>1Q27</v>
      </c>
      <c r="AN141" s="31" t="str">
        <f>AN13</f>
        <v>2Q27</v>
      </c>
      <c r="AO141" s="31" t="str">
        <f>AO13</f>
        <v>3Q27</v>
      </c>
      <c r="AP141" s="31" t="str">
        <f>AP13</f>
        <v>4Q27</v>
      </c>
      <c r="AQ141" s="31">
        <f>AQ13</f>
        <v>2027</v>
      </c>
      <c r="AR141" s="31" t="str">
        <f>AR13</f>
        <v>1Q28</v>
      </c>
      <c r="AS141" s="31" t="str">
        <f>AS13</f>
        <v>2Q28</v>
      </c>
      <c r="AT141" s="31" t="str">
        <f>AT13</f>
        <v>3Q28</v>
      </c>
      <c r="AU141" s="31" t="str">
        <f>AU13</f>
        <v>4Q28</v>
      </c>
      <c r="AV141" s="31">
        <f>AV13</f>
        <v>2028</v>
      </c>
      <c r="AW141" s="31" t="str">
        <f>AW13</f>
        <v>1Q29</v>
      </c>
      <c r="AX141" s="31" t="str">
        <f>AX13</f>
        <v>2Q29</v>
      </c>
      <c r="AY141" s="31" t="str">
        <f>AY13</f>
        <v>3Q29</v>
      </c>
      <c r="AZ141" s="31" t="str">
        <f>AZ13</f>
        <v>4Q29</v>
      </c>
      <c r="BA141" s="31">
        <f>BA13</f>
        <v>2029</v>
      </c>
      <c r="BB141" s="31" t="str">
        <f>BB13</f>
        <v>1Q30</v>
      </c>
      <c r="BC141" s="31" t="str">
        <f>BC13</f>
        <v>2Q30</v>
      </c>
      <c r="BD141" s="31" t="str">
        <f>BD13</f>
        <v>3Q30</v>
      </c>
      <c r="BE141" s="31" t="str">
        <f>BE13</f>
        <v>4Q30</v>
      </c>
      <c r="BF141" s="31">
        <f>BF13</f>
        <v>2030</v>
      </c>
      <c r="BG141" s="31" t="n"/>
      <c r="BH141" s="31" t="n"/>
      <c r="BI141" s="31" t="n"/>
      <c r="BJ141" s="31" t="n"/>
      <c r="BK141" s="31" t="n"/>
      <c r="BL141" s="31" t="n"/>
      <c r="BM141" s="31" t="n"/>
      <c r="BN141" s="31" t="n"/>
      <c r="BO141" s="31" t="n"/>
      <c r="BP141" s="31" t="n"/>
      <c r="BQ141" s="31" t="n"/>
      <c r="BR141" s="31" t="n"/>
      <c r="BS141" s="31" t="n"/>
      <c r="BT141" s="31" t="n"/>
      <c r="BU141" s="31" t="n"/>
      <c r="BV141" s="31" t="n"/>
      <c r="BW141" s="31" t="n"/>
      <c r="BX141" s="31" t="n"/>
      <c r="BY141" s="31" t="n"/>
      <c r="BZ141" s="31" t="n"/>
      <c r="CA141" s="31" t="n"/>
      <c r="CB141" s="31" t="n"/>
      <c r="CC141" s="31" t="n"/>
      <c r="CD141" s="31" t="n"/>
      <c r="CE141" s="31" t="n"/>
      <c r="CF141" s="31" t="n"/>
      <c r="CG141" s="31" t="n"/>
      <c r="CH141" s="31" t="n"/>
      <c r="CI141" s="31" t="n"/>
      <c r="CJ141" s="31" t="n"/>
      <c r="CK141" s="31" t="n"/>
      <c r="CL141" s="31" t="n"/>
      <c r="CM141" s="31" t="n"/>
      <c r="CN141" s="31" t="n"/>
      <c r="CO141" s="31" t="n"/>
      <c r="CP141" s="31" t="n"/>
      <c r="CQ141" s="31" t="n"/>
      <c r="CR141" s="31" t="n"/>
      <c r="CS141" s="31" t="n"/>
      <c r="CT141" s="31" t="n"/>
      <c r="CU141" s="31" t="n"/>
      <c r="CV141" s="31" t="n"/>
      <c r="CW141" s="31" t="n"/>
      <c r="CX141" s="31" t="n"/>
      <c r="CY141" s="31" t="n"/>
    </row>
    <row r="142">
      <c r="C142" s="18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  <c r="AA142" s="3" t="n"/>
      <c r="AB142" s="3" t="n"/>
      <c r="AC142" s="3" t="n"/>
      <c r="AD142" s="3" t="n"/>
      <c r="AE142" s="3" t="n"/>
      <c r="AF142" s="3" t="n"/>
      <c r="AG142" s="3" t="n"/>
      <c r="AH142" s="3" t="n"/>
      <c r="AI142" s="3" t="n"/>
      <c r="AJ142" s="3" t="n"/>
      <c r="AK142" s="3" t="n"/>
      <c r="AL142" s="3" t="n"/>
      <c r="AM142" s="3" t="n"/>
      <c r="AN142" s="3" t="n"/>
      <c r="AO142" s="3" t="n"/>
      <c r="AP142" s="3" t="n"/>
      <c r="AQ142" s="3" t="n"/>
      <c r="AR142" s="3" t="n"/>
      <c r="AS142" s="3" t="n"/>
      <c r="AT142" s="3" t="n"/>
      <c r="AU142" s="3" t="n"/>
      <c r="AV142" s="3" t="n"/>
      <c r="AW142" s="3" t="n"/>
      <c r="AX142" s="3" t="n"/>
      <c r="AY142" s="3" t="n"/>
      <c r="AZ142" s="3" t="n"/>
      <c r="BA142" s="3" t="n"/>
      <c r="BB142" s="3" t="n"/>
      <c r="BC142" s="3" t="n"/>
      <c r="BD142" s="3" t="n"/>
      <c r="BE142" s="3" t="n"/>
      <c r="BF142" s="3" t="n"/>
      <c r="BG142" s="3" t="n"/>
      <c r="BH142" s="3" t="n"/>
      <c r="BI142" s="3" t="n"/>
      <c r="BJ142" s="3" t="n"/>
      <c r="BK142" s="3" t="n"/>
      <c r="BL142" s="3" t="n"/>
      <c r="BM142" s="3" t="n"/>
      <c r="BN142" s="3" t="n"/>
      <c r="BO142" s="3" t="n"/>
      <c r="BP142" s="3" t="n"/>
      <c r="BQ142" s="3" t="n"/>
      <c r="BR142" s="3" t="n"/>
      <c r="BS142" s="3" t="n"/>
      <c r="BT142" s="3" t="n"/>
      <c r="BU142" s="3" t="n"/>
      <c r="BV142" s="3" t="n"/>
      <c r="BW142" s="3" t="n"/>
      <c r="BX142" s="3" t="n"/>
      <c r="BY142" s="3" t="n"/>
      <c r="BZ142" s="3" t="n"/>
      <c r="CA142" s="3" t="n"/>
      <c r="CB142" s="3" t="n"/>
      <c r="CC142" s="3" t="n"/>
      <c r="CD142" s="3" t="n"/>
      <c r="CE142" s="3" t="n"/>
      <c r="CF142" s="3" t="n"/>
      <c r="CG142" s="3" t="n"/>
      <c r="CH142" s="3" t="n"/>
      <c r="CI142" s="3" t="n"/>
      <c r="CJ142" s="3" t="n"/>
      <c r="CK142" s="3" t="n"/>
      <c r="CL142" s="3" t="n"/>
      <c r="CM142" s="3" t="n"/>
      <c r="CN142" s="3" t="n"/>
      <c r="CO142" s="3" t="n"/>
      <c r="CP142" s="3" t="n"/>
      <c r="CQ142" s="3" t="n"/>
      <c r="CR142" s="3" t="n"/>
      <c r="CS142" s="3" t="n"/>
      <c r="CT142" s="3" t="n"/>
      <c r="CU142" s="3" t="n"/>
      <c r="CV142" s="3" t="n"/>
      <c r="CW142" s="3" t="n"/>
      <c r="CX142" s="3" t="n"/>
      <c r="CY142" s="3" t="n"/>
    </row>
    <row r="143">
      <c r="C143" s="13" t="inlineStr">
        <is>
          <t>Cash and equivalents (inc. investment securities)</t>
        </is>
      </c>
      <c r="D143" s="46" t="n"/>
      <c r="E143" s="46" t="n"/>
      <c r="F143" s="46" t="n"/>
      <c r="G143" s="46" t="n"/>
      <c r="H143" s="12" t="n"/>
      <c r="I143" s="46">
        <f>'Inputs (2)'!D15</f>
        <v>1292.369</v>
      </c>
      <c r="J143" s="46">
        <f>'Inputs (2)'!E15</f>
        <v>1189.841</v>
      </c>
      <c r="K143" s="46">
        <f>'Inputs (2)'!F15</f>
        <v>1376.313</v>
      </c>
      <c r="L143" s="46">
        <f>'Inputs (2)'!G15</f>
        <v>1673.569</v>
      </c>
      <c r="M143" s="12">
        <f>'Inputs (2)'!H15</f>
        <v>1673.569</v>
      </c>
      <c r="N143" s="46">
        <f>'Inputs (2)'!I15</f>
        <v>3173.847</v>
      </c>
      <c r="O143" s="46">
        <f>'Inputs (2)'!J15</f>
        <v>3353.966</v>
      </c>
      <c r="P143" s="46">
        <f>'Inputs (2)'!K15</f>
        <v>2983.696</v>
      </c>
      <c r="Q143" s="46">
        <f>'Inputs (2)'!L15</f>
        <v>3231.306</v>
      </c>
      <c r="R143" s="12">
        <f>'Inputs (2)'!M15</f>
        <v>3231.306</v>
      </c>
      <c r="S143" s="46">
        <f>'Inputs (2)'!N15</f>
        <v>3402.667</v>
      </c>
      <c r="T143" s="46">
        <f>'Inputs (2)'!O15</f>
        <v>6285.342</v>
      </c>
      <c r="U143" s="46">
        <f>'Inputs (2)'!P15</f>
        <v>4904.741</v>
      </c>
      <c r="V143" s="46">
        <f>'Inputs (2)'!Q15</f>
        <v>3238.394</v>
      </c>
      <c r="W143" s="12">
        <f>'Inputs (2)'!R15</f>
        <v>3238.394</v>
      </c>
      <c r="X143" s="46">
        <f>'Inputs (2)'!S15</f>
        <v>3094.615</v>
      </c>
      <c r="Y143" s="46">
        <f>'Inputs (2)'!T15</f>
        <v>4992.046</v>
      </c>
      <c r="Z143" s="46">
        <f>'Inputs (2)'!U15</f>
        <v>5295.721</v>
      </c>
      <c r="AA143" s="46">
        <f>'Inputs (2)'!V15</f>
        <v>7203.178</v>
      </c>
      <c r="AB143" s="12">
        <f>'Inputs (2)'!W15</f>
        <v>7203.178</v>
      </c>
      <c r="AC143" s="46">
        <f>'Inputs (2)'!X15</f>
        <v>6162.476</v>
      </c>
      <c r="AD143" s="46">
        <f>'Inputs (2)'!Y15</f>
        <v>4933.168</v>
      </c>
      <c r="AE143" s="46">
        <f>'Inputs (2)'!Z15</f>
        <v>5075.682</v>
      </c>
      <c r="AF143" s="46">
        <f>'Inputs (2)'!AA15</f>
        <v>4382.422</v>
      </c>
      <c r="AG143" s="12">
        <f>'Inputs (2)'!AB15</f>
        <v>4382.422</v>
      </c>
      <c r="AH143" s="12">
        <f>'Inputs (2)'!AC15</f>
        <v>3571.882</v>
      </c>
      <c r="AI143" s="12">
        <f>'Inputs (2)'!AD15</f>
        <v>3638.808</v>
      </c>
      <c r="AJ143" s="12">
        <f>AJ272-SUM(AJ144,AJ148,AJ152,AJ153,AJ154,AJ160,AJ165,AJ175,AJ178,AJ179,AJ188)</f>
        <v>3863.33160912157</v>
      </c>
      <c r="AK143" s="12">
        <f>AK272-SUM(AK144,AK148,AK152,AK153,AK154,AK160,AK165,AK175,AK178,AK179,AK188)</f>
        <v>4198.69207848652</v>
      </c>
      <c r="AL143" s="12">
        <f>AK143</f>
        <v>4198.69207848652</v>
      </c>
      <c r="AM143" s="12">
        <f>AM272-SUM(AM144,AM148,AM152,AM153,AM154,AM160,AM165,AM175,AM178,AM179,AM188)</f>
        <v>4457.25292589753</v>
      </c>
      <c r="AN143" s="12">
        <f>AN272-SUM(AN144,AN148,AN152,AN153,AN154,AN160,AN165,AN175,AN178,AN179,AN188)</f>
        <v>4660.87810855403</v>
      </c>
      <c r="AO143" s="12">
        <f>AO272-SUM(AO144,AO148,AO152,AO153,AO154,AO160,AO165,AO175,AO178,AO179,AO188)</f>
        <v>5014.08144502092</v>
      </c>
      <c r="AP143" s="12">
        <f>AP272-SUM(AP144,AP148,AP152,AP153,AP154,AP160,AP165,AP175,AP178,AP179,AP188)</f>
        <v>5515.50256932254</v>
      </c>
      <c r="AQ143" s="12">
        <f>AP143</f>
        <v>5515.50256932254</v>
      </c>
      <c r="AR143" s="12">
        <f>AR272-SUM(AR144,AR148,AR152,AR153,AR154,AR160,AR165,AR175,AR178,AR179,AR188)</f>
        <v>5931.47017622032</v>
      </c>
      <c r="AS143" s="12">
        <f>AS272-SUM(AS144,AS148,AS152,AS153,AS154,AS160,AS165,AS175,AS178,AS179,AS188)</f>
        <v>6279.26514857974</v>
      </c>
      <c r="AT143" s="12">
        <f>AT272-SUM(AT144,AT148,AT152,AT153,AT154,AT160,AT165,AT175,AT178,AT179,AT188)</f>
        <v>6805.97729844727</v>
      </c>
      <c r="AU143" s="12">
        <f>AU272-SUM(AU144,AU148,AU152,AU153,AU154,AU160,AU165,AU175,AU178,AU179,AU188)</f>
        <v>7506.79238198639</v>
      </c>
      <c r="AV143" s="12">
        <f>AU143</f>
        <v>7506.79238198639</v>
      </c>
      <c r="AW143" s="12">
        <f>AW272-SUM(AW144,AW148,AW152,AW153,AW154,AW160,AW165,AW175,AW178,AW179,AW188)</f>
        <v>8107.13852504209</v>
      </c>
      <c r="AX143" s="12">
        <f>AX272-SUM(AX144,AX148,AX152,AX153,AX154,AX160,AX165,AX175,AX178,AX179,AX188)</f>
        <v>8642.73630493785</v>
      </c>
      <c r="AY143" s="12">
        <f>AY272-SUM(AY144,AY148,AY152,AY153,AY154,AY160,AY165,AY175,AY178,AY179,AY188)</f>
        <v>9383.88602456342</v>
      </c>
      <c r="AZ143" s="12">
        <f>AZ272-SUM(AZ144,AZ148,AZ152,AZ153,AZ154,AZ160,AZ165,AZ175,AZ178,AZ179,AZ188)</f>
        <v>10330.3107978054</v>
      </c>
      <c r="BA143" s="12">
        <f>AZ143</f>
        <v>10330.3107978054</v>
      </c>
      <c r="BB143" s="12">
        <f>BB272-SUM(BB144,BB148,BB152,BB153,BB154,BB160,BB165,BB175,BB178,BB179,BB188)</f>
        <v>11165.307102745</v>
      </c>
      <c r="BC143" s="12">
        <f>BC272-SUM(BC144,BC148,BC152,BC153,BC154,BC160,BC165,BC175,BC178,BC179,BC188)</f>
        <v>11933.6321665771</v>
      </c>
      <c r="BD143" s="12">
        <f>BD272-SUM(BD144,BD148,BD152,BD153,BD154,BD160,BD165,BD175,BD178,BD179,BD188)</f>
        <v>12944.262952349</v>
      </c>
      <c r="BE143" s="12">
        <f>BE272-SUM(BE144,BE148,BE152,BE153,BE154,BE160,BE165,BE175,BE178,BE179,BE188)</f>
        <v>14198.0462764593</v>
      </c>
      <c r="BF143" s="12">
        <f>BE143</f>
        <v>14198.0462764593</v>
      </c>
      <c r="BG143" s="12" t="n"/>
      <c r="BH143" s="12" t="n"/>
      <c r="BI143" s="12" t="n"/>
      <c r="BJ143" s="12" t="n"/>
      <c r="BK143" s="12" t="n"/>
      <c r="BL143" s="12" t="n"/>
      <c r="BM143" s="12" t="n"/>
      <c r="BN143" s="12" t="n"/>
      <c r="BO143" s="12" t="n"/>
      <c r="BP143" s="12" t="n"/>
      <c r="BQ143" s="12" t="n"/>
      <c r="BR143" s="12" t="n"/>
      <c r="BS143" s="12" t="n"/>
      <c r="BT143" s="12" t="n"/>
      <c r="BU143" s="12" t="n"/>
      <c r="BV143" s="12" t="n"/>
      <c r="BW143" s="12" t="n"/>
      <c r="BX143" s="12" t="n"/>
      <c r="BY143" s="12" t="n"/>
      <c r="BZ143" s="12" t="n"/>
      <c r="CA143" s="12" t="n"/>
      <c r="CB143" s="12" t="n"/>
      <c r="CC143" s="12" t="n"/>
      <c r="CD143" s="12" t="n"/>
      <c r="CE143" s="12" t="n"/>
      <c r="CF143" s="12" t="n"/>
      <c r="CG143" s="12" t="n"/>
      <c r="CH143" s="12" t="n"/>
      <c r="CI143" s="12" t="n"/>
      <c r="CJ143" s="12" t="n"/>
      <c r="CK143" s="12" t="n"/>
      <c r="CL143" s="12" t="n"/>
      <c r="CM143" s="12" t="n"/>
      <c r="CN143" s="12" t="n"/>
      <c r="CO143" s="12" t="n"/>
      <c r="CP143" s="12" t="n"/>
      <c r="CQ143" s="12" t="n"/>
      <c r="CR143" s="12" t="n"/>
      <c r="CS143" s="12" t="n"/>
      <c r="CT143" s="12" t="n"/>
      <c r="CU143" s="12" t="n"/>
      <c r="CV143" s="12" t="n"/>
      <c r="CW143" s="12" t="n"/>
      <c r="CX143" s="12" t="n"/>
      <c r="CY143" s="12" t="n"/>
    </row>
    <row r="144">
      <c r="C144" s="14" t="inlineStr">
        <is>
          <t>Accounts receivable</t>
        </is>
      </c>
      <c r="D144" s="46" t="n"/>
      <c r="E144" s="46" t="n"/>
      <c r="F144" s="46" t="n"/>
      <c r="G144" s="46" t="n"/>
      <c r="H144" s="12" t="n"/>
      <c r="I144" s="46">
        <f>'Inputs (2)'!D16</f>
        <v>382.854</v>
      </c>
      <c r="J144" s="46">
        <f>'Inputs (2)'!E16</f>
        <v>325.707</v>
      </c>
      <c r="K144" s="46">
        <f>'Inputs (2)'!F16</f>
        <v>330.258</v>
      </c>
      <c r="L144" s="46">
        <f>'Inputs (2)'!G16</f>
        <v>328.631</v>
      </c>
      <c r="M144" s="12">
        <f>'Inputs (2)'!H16</f>
        <v>328.631</v>
      </c>
      <c r="N144" s="46">
        <f>'Inputs (2)'!I16</f>
        <v>556.035</v>
      </c>
      <c r="O144" s="46">
        <f>'Inputs (2)'!J16</f>
        <v>549.634</v>
      </c>
      <c r="P144" s="46">
        <f>'Inputs (2)'!K16</f>
        <v>625.916</v>
      </c>
      <c r="Q144" s="46">
        <f>'Inputs (2)'!L16</f>
        <v>617.86</v>
      </c>
      <c r="R144" s="12">
        <f>'Inputs (2)'!M16</f>
        <v>617.86</v>
      </c>
      <c r="S144" s="46">
        <f>'Inputs (2)'!N16</f>
        <v>577.274</v>
      </c>
      <c r="T144" s="46">
        <f>'Inputs (2)'!O16</f>
        <v>569.731</v>
      </c>
      <c r="U144" s="46">
        <f>'Inputs (2)'!P16</f>
        <v>656.783</v>
      </c>
      <c r="V144" s="46">
        <f>'Inputs (2)'!Q16</f>
        <v>679.476</v>
      </c>
      <c r="W144" s="12">
        <f>'Inputs (2)'!R16</f>
        <v>679.476</v>
      </c>
      <c r="X144" s="46">
        <f>'Inputs (2)'!S16</f>
        <v>569.252</v>
      </c>
      <c r="Y144" s="46">
        <f>'Inputs (2)'!T16</f>
        <v>575.06</v>
      </c>
      <c r="Z144" s="46">
        <f>'Inputs (2)'!U16</f>
        <v>919.196</v>
      </c>
      <c r="AA144" s="46">
        <f>'Inputs (2)'!V16</f>
        <v>1492.867</v>
      </c>
      <c r="AB144" s="12">
        <f>'Inputs (2)'!W16</f>
        <v>1492.867</v>
      </c>
      <c r="AC144" s="46">
        <f>'Inputs (2)'!X16</f>
        <v>1404.559</v>
      </c>
      <c r="AD144" s="46">
        <f>'Inputs (2)'!Y16</f>
        <v>1229.784</v>
      </c>
      <c r="AE144" s="46">
        <f>'Inputs (2)'!Z16</f>
        <v>1543.172</v>
      </c>
      <c r="AF144" s="46">
        <f>'Inputs (2)'!AA16</f>
        <v>1712.414</v>
      </c>
      <c r="AG144" s="12">
        <f>'Inputs (2)'!AB16</f>
        <v>1712.414</v>
      </c>
      <c r="AH144" s="12">
        <f>'Inputs (2)'!AC16</f>
        <v>1637.335</v>
      </c>
      <c r="AI144" s="12">
        <f>'Inputs (2)'!AD16</f>
        <v>1408.699</v>
      </c>
      <c r="AJ144" s="12">
        <f>(AJ145/(AJ$5-AI$5))*AJ$15</f>
        <v>1857.28078970879</v>
      </c>
      <c r="AK144" s="12">
        <f>(AK145/(AK$5-AJ$5))*AK$15</f>
        <v>1996.06948719517</v>
      </c>
      <c r="AL144" s="12">
        <f>AK144</f>
        <v>1996.06948719517</v>
      </c>
      <c r="AM144" s="12">
        <f>(AM145/(AM$5-AL$5))*AM$15</f>
        <v>1650.13417747221</v>
      </c>
      <c r="AN144" s="12">
        <f>(AN145/(AN$5-AM$5))*AN$15</f>
        <v>1621.89629290996</v>
      </c>
      <c r="AO144" s="12">
        <f>(AO145/(AO$5-AN$5))*AO$15</f>
        <v>2127.10984127214</v>
      </c>
      <c r="AP144" s="12">
        <f>(AP145/(AP$5-AO$5))*AP$15</f>
        <v>2286.06200721088</v>
      </c>
      <c r="AQ144" s="12">
        <f>AP144</f>
        <v>2286.06200721088</v>
      </c>
      <c r="AR144" s="12">
        <f>(AR145/(AR$5-AQ$5))*AR$15</f>
        <v>1860.94081032608</v>
      </c>
      <c r="AS144" s="12">
        <f>(AS145/(AS$5-AR$5))*AS$15</f>
        <v>1849.41878528315</v>
      </c>
      <c r="AT144" s="12">
        <f>(AT145/(AT$5-AS$5))*AT$15</f>
        <v>2425.50458744268</v>
      </c>
      <c r="AU144" s="12">
        <f>(AU145/(AU$5-AT$5))*AU$15</f>
        <v>2606.75484551011</v>
      </c>
      <c r="AV144" s="12">
        <f>AU144</f>
        <v>2606.75484551011</v>
      </c>
      <c r="AW144" s="12">
        <f>(AW145/(AW$5-AV$5))*AW$15</f>
        <v>2136.16654572681</v>
      </c>
      <c r="AX144" s="12">
        <f>(AX145/(AX$5-AW$5))*AX$15</f>
        <v>2099.6114430282</v>
      </c>
      <c r="AY144" s="12">
        <f>(AY145/(AY$5-AX$5))*AY$15</f>
        <v>2753.63115560241</v>
      </c>
      <c r="AZ144" s="12">
        <f>(AZ145/(AZ$5-AY$5))*AZ$15</f>
        <v>2959.40127047227</v>
      </c>
      <c r="BA144" s="12">
        <f>AZ144</f>
        <v>2959.40127047227</v>
      </c>
      <c r="BB144" s="12">
        <f>(BB145/(BB$5-BA$5))*BB$15</f>
        <v>2414.47011702521</v>
      </c>
      <c r="BC144" s="12">
        <f>(BC145/(BC$5-BB$5))*BC$15</f>
        <v>2373.15255062706</v>
      </c>
      <c r="BD144" s="12">
        <f>(BD145/(BD$5-BC$5))*BD$15</f>
        <v>3112.37911286056</v>
      </c>
      <c r="BE144" s="12">
        <f>(BE145/(BE$5-BD$5))*BE$15</f>
        <v>3344.95732373273</v>
      </c>
      <c r="BF144" s="12">
        <f>BE144</f>
        <v>3344.95732373273</v>
      </c>
      <c r="BG144" s="12" t="n"/>
      <c r="BH144" s="12" t="n"/>
      <c r="BI144" s="12" t="n"/>
      <c r="BJ144" s="12" t="n"/>
      <c r="BK144" s="12" t="n"/>
      <c r="BL144" s="12" t="n"/>
      <c r="BM144" s="12" t="n"/>
      <c r="BN144" s="12" t="n"/>
      <c r="BO144" s="12" t="n"/>
      <c r="BP144" s="12" t="n"/>
      <c r="BQ144" s="12" t="n"/>
      <c r="BR144" s="12" t="n"/>
      <c r="BS144" s="12" t="n"/>
      <c r="BT144" s="12" t="n"/>
      <c r="BU144" s="12" t="n"/>
      <c r="BV144" s="12" t="n"/>
      <c r="BW144" s="12" t="n"/>
      <c r="BX144" s="12" t="n"/>
      <c r="BY144" s="12" t="n"/>
      <c r="BZ144" s="12" t="n"/>
      <c r="CA144" s="12" t="n"/>
      <c r="CB144" s="12" t="n"/>
      <c r="CC144" s="12" t="n"/>
      <c r="CD144" s="12" t="n"/>
      <c r="CE144" s="12" t="n"/>
      <c r="CF144" s="12" t="n"/>
      <c r="CG144" s="12" t="n"/>
      <c r="CH144" s="12" t="n"/>
      <c r="CI144" s="12" t="n"/>
      <c r="CJ144" s="12" t="n"/>
      <c r="CK144" s="12" t="n"/>
      <c r="CL144" s="12" t="n"/>
      <c r="CM144" s="12" t="n"/>
      <c r="CN144" s="12" t="n"/>
      <c r="CO144" s="12" t="n"/>
      <c r="CP144" s="12" t="n"/>
      <c r="CQ144" s="12" t="n"/>
      <c r="CR144" s="12" t="n"/>
      <c r="CS144" s="12" t="n"/>
      <c r="CT144" s="12" t="n"/>
      <c r="CU144" s="12" t="n"/>
      <c r="CV144" s="12" t="n"/>
      <c r="CW144" s="12" t="n"/>
      <c r="CX144" s="12" t="n"/>
      <c r="CY144" s="12" t="n"/>
    </row>
    <row r="145" outlineLevel="1">
      <c r="C145" s="57" t="inlineStr">
        <is>
          <t>DSO</t>
        </is>
      </c>
      <c r="D145" s="12" t="n"/>
      <c r="E145" s="12" t="n"/>
      <c r="F145" s="12" t="n"/>
      <c r="G145" s="12" t="n"/>
      <c r="H145" s="12" t="n"/>
      <c r="I145" s="12">
        <f>IFERROR((I144/I$15)*(I$5-H$5),"")</f>
        <v>30707.3105798957</v>
      </c>
      <c r="J145" s="12">
        <f>IFERROR((J144/J$15)*(J$5-I$5),"")</f>
        <v>51.0052193755335</v>
      </c>
      <c r="K145" s="12">
        <f>IFERROR((K144/K$15)*(K$5-J$5),"")</f>
        <v>49.3087177090332</v>
      </c>
      <c r="L145" s="12">
        <f>IFERROR((L144/L$15)*(L$5-K$5),"")</f>
        <v>39.4025019776806</v>
      </c>
      <c r="M145" s="12" t="n"/>
      <c r="N145" s="12">
        <f>IFERROR((N144/N$15)*(N$5-M$5),"")</f>
        <v>43.6959619579169</v>
      </c>
      <c r="O145" s="12">
        <f>IFERROR((O144/O$15)*(O$5-N$5),"")</f>
        <v>37.1414311757651</v>
      </c>
      <c r="P145" s="12">
        <f>IFERROR((P144/P$15)*(P$5-O$5),"")</f>
        <v>37.4190880375021</v>
      </c>
      <c r="Q145" s="12">
        <f>IFERROR((Q144/Q$15)*(Q$5-P$5),"")</f>
        <v>38.2809793574213</v>
      </c>
      <c r="R145" s="12" t="n"/>
      <c r="S145" s="12">
        <f>IFERROR((S144/S$15)*(S$5-R$5),"")</f>
        <v>36.7297933560031</v>
      </c>
      <c r="T145" s="12">
        <f>IFERROR((T144/T$15)*(T$5-S$5),"")</f>
        <v>36.0767893128326</v>
      </c>
      <c r="U145" s="12">
        <f>IFERROR((U144/U$15)*(U$5-T$5),"")</f>
        <v>37.1476745830234</v>
      </c>
      <c r="V145" s="12">
        <f>IFERROR((V144/V$15)*(V$5-U$5),"")</f>
        <v>36.6917406917407</v>
      </c>
      <c r="W145" s="12" t="n"/>
      <c r="X145" s="12">
        <f>IFERROR((X144/X$15)*(X$5-W$5),"")</f>
        <v>37.0667498610049</v>
      </c>
      <c r="Y145" s="12">
        <f>IFERROR((Y144/Y$15)*(Y$5-X$5),"")</f>
        <v>36.0888524149251</v>
      </c>
      <c r="Z145" s="12">
        <f>IFERROR((Z144/Z$15)*(Z$5-Y$5),"")</f>
        <v>41.3220510419929</v>
      </c>
      <c r="AA145" s="12">
        <f>IFERROR((AA144/AA$15)*(AA$5-Z$5),"")</f>
        <v>43.3827113230385</v>
      </c>
      <c r="AB145" s="12" t="n"/>
      <c r="AC145" s="12">
        <f>IFERROR((AC144/AC$15)*(AC$5-AB$5),"")</f>
        <v>42.817525843384</v>
      </c>
      <c r="AD145" s="12">
        <f>IFERROR((AD144/AD$15)*(AD$5-AC$5),"")</f>
        <v>38.7833024724409</v>
      </c>
      <c r="AE145" s="12">
        <f>IFERROR((AE144/AE$15)*(AE$5-AD$5),"")</f>
        <v>40.1346144658592</v>
      </c>
      <c r="AF145" s="12">
        <f>IFERROR((AF144/AF$15)*(AF$5-AE$5),"")</f>
        <v>41.4395891974415</v>
      </c>
      <c r="AG145" s="12" t="n"/>
      <c r="AH145" s="12">
        <f>IFERROR((AH144/AH$15)*(AH$5-AG$5),"")</f>
        <v>47.9292478374779</v>
      </c>
      <c r="AI145" s="12">
        <f>IFERROR((AI144/AI$15)*(AI$5-AH$5),"")</f>
        <v>41.9543940286022</v>
      </c>
      <c r="AJ145" s="11">
        <f>Control!$B$25</f>
        <v>42.1764456408676</v>
      </c>
      <c r="AK145" s="11">
        <f>Control!$B$25</f>
        <v>42.1764456408676</v>
      </c>
      <c r="AL145" s="12" t="n"/>
      <c r="AM145" s="11">
        <f>Control!$C$25</f>
        <v>42.1764456408676</v>
      </c>
      <c r="AN145" s="11">
        <f>Control!$C$25</f>
        <v>42.1764456408676</v>
      </c>
      <c r="AO145" s="11">
        <f>Control!$C$25</f>
        <v>42.1764456408676</v>
      </c>
      <c r="AP145" s="11">
        <f>Control!$C$25</f>
        <v>42.1764456408676</v>
      </c>
      <c r="AQ145" s="12" t="n"/>
      <c r="AR145" s="11">
        <f>Control!$D$25</f>
        <v>42.1764456408676</v>
      </c>
      <c r="AS145" s="11">
        <f>Control!$D$25</f>
        <v>42.1764456408676</v>
      </c>
      <c r="AT145" s="11">
        <f>Control!$D$25</f>
        <v>42.1764456408676</v>
      </c>
      <c r="AU145" s="11">
        <f>Control!$D$25</f>
        <v>42.1764456408676</v>
      </c>
      <c r="AV145" s="12" t="n"/>
      <c r="AW145" s="11">
        <f>Control!$E$25</f>
        <v>42.1764456408676</v>
      </c>
      <c r="AX145" s="11">
        <f>Control!$E$25</f>
        <v>42.1764456408676</v>
      </c>
      <c r="AY145" s="11">
        <f>Control!$E$25</f>
        <v>42.1764456408676</v>
      </c>
      <c r="AZ145" s="11">
        <f>Control!$E$25</f>
        <v>42.1764456408676</v>
      </c>
      <c r="BA145" s="12" t="n"/>
      <c r="BB145" s="11">
        <f>Control!$F$25</f>
        <v>42.1764456408676</v>
      </c>
      <c r="BC145" s="11">
        <f>Control!$F$25</f>
        <v>42.1764456408676</v>
      </c>
      <c r="BD145" s="11">
        <f>Control!$F$25</f>
        <v>42.1764456408676</v>
      </c>
      <c r="BE145" s="11">
        <f>Control!$F$25</f>
        <v>42.1764456408676</v>
      </c>
      <c r="BF145" s="12" t="n"/>
      <c r="BG145" s="11" t="n"/>
      <c r="BH145" s="11" t="n"/>
      <c r="BI145" s="11" t="n"/>
      <c r="BJ145" s="11" t="n"/>
      <c r="BK145" s="12" t="n"/>
      <c r="BL145" s="11" t="n"/>
      <c r="BM145" s="11" t="n"/>
      <c r="BN145" s="11" t="n"/>
      <c r="BO145" s="11" t="n"/>
      <c r="BP145" s="12" t="n"/>
      <c r="BQ145" s="11" t="n"/>
      <c r="BR145" s="11" t="n"/>
      <c r="BS145" s="11" t="n"/>
      <c r="BT145" s="11" t="n"/>
      <c r="BU145" s="12" t="n"/>
      <c r="BV145" s="11" t="n"/>
      <c r="BW145" s="11" t="n"/>
      <c r="BX145" s="11" t="n"/>
      <c r="BY145" s="11" t="n"/>
      <c r="BZ145" s="12" t="n"/>
      <c r="CA145" s="11" t="n"/>
      <c r="CB145" s="11" t="n"/>
      <c r="CC145" s="11" t="n"/>
      <c r="CD145" s="11" t="n"/>
      <c r="CE145" s="12" t="n"/>
      <c r="CF145" s="11" t="n"/>
      <c r="CG145" s="11" t="n"/>
      <c r="CH145" s="11" t="n"/>
      <c r="CI145" s="11" t="n"/>
      <c r="CJ145" s="12" t="n"/>
      <c r="CK145" s="11" t="n"/>
      <c r="CL145" s="11" t="n"/>
      <c r="CM145" s="11" t="n"/>
      <c r="CN145" s="11" t="n"/>
      <c r="CO145" s="12" t="n"/>
      <c r="CP145" s="11" t="n"/>
      <c r="CQ145" s="11" t="n"/>
      <c r="CR145" s="11" t="n"/>
      <c r="CS145" s="11" t="n"/>
      <c r="CT145" s="12" t="n"/>
      <c r="CU145" s="11" t="n"/>
      <c r="CV145" s="11" t="n"/>
      <c r="CW145" s="11" t="n"/>
      <c r="CX145" s="11" t="n"/>
      <c r="CY145" s="12" t="n"/>
    </row>
    <row r="146" hidden="1" outlineLevel="1">
      <c r="C146" s="57" t="n"/>
      <c r="D146" s="12" t="n"/>
      <c r="E146" s="12" t="n"/>
      <c r="F146" s="12" t="n"/>
      <c r="G146" s="12" t="n"/>
      <c r="H146" s="12" t="n"/>
      <c r="I146" s="12" t="n"/>
      <c r="J146" s="12" t="n"/>
      <c r="K146" s="12" t="n"/>
      <c r="L146" s="12" t="n"/>
      <c r="M146" s="12" t="n"/>
      <c r="N146" s="12" t="n"/>
      <c r="O146" s="12" t="n"/>
      <c r="P146" s="12" t="n"/>
      <c r="Q146" s="12" t="n"/>
      <c r="R146" s="12" t="n"/>
      <c r="S146" s="12" t="n"/>
      <c r="T146" s="12" t="n"/>
      <c r="U146" s="12" t="n"/>
      <c r="V146" s="12" t="n"/>
      <c r="W146" s="12" t="n"/>
      <c r="X146" s="12" t="n"/>
      <c r="Y146" s="12" t="n"/>
      <c r="Z146" s="12" t="n"/>
      <c r="AA146" s="12" t="n"/>
      <c r="AB146" s="12" t="n"/>
      <c r="AC146" s="12" t="n"/>
      <c r="AD146" s="12" t="n"/>
      <c r="AE146" s="12" t="n"/>
      <c r="AF146" s="12" t="n"/>
      <c r="AG146" s="12" t="n"/>
      <c r="AH146" s="12" t="n"/>
      <c r="AI146" s="12" t="n"/>
      <c r="AJ146" s="12" t="n"/>
      <c r="AK146" s="12" t="n"/>
      <c r="AL146" s="12" t="n"/>
      <c r="AM146" s="12" t="n"/>
      <c r="AN146" s="12" t="n"/>
      <c r="AO146" s="12" t="n"/>
      <c r="AP146" s="12" t="n"/>
      <c r="AQ146" s="12" t="n"/>
      <c r="AR146" s="12" t="n"/>
      <c r="AS146" s="12" t="n"/>
      <c r="AT146" s="12" t="n"/>
      <c r="AU146" s="12" t="n"/>
      <c r="AV146" s="12" t="n"/>
      <c r="AW146" s="12" t="n"/>
      <c r="AX146" s="12" t="n"/>
      <c r="AY146" s="12" t="n"/>
      <c r="AZ146" s="12" t="n"/>
      <c r="BA146" s="12" t="n"/>
      <c r="BB146" s="12" t="n"/>
      <c r="BC146" s="12" t="n"/>
      <c r="BD146" s="12" t="n"/>
      <c r="BE146" s="12" t="n"/>
      <c r="BF146" s="12" t="n"/>
      <c r="BG146" s="12" t="n"/>
      <c r="BH146" s="12" t="n"/>
      <c r="BI146" s="12" t="n"/>
      <c r="BJ146" s="12" t="n"/>
      <c r="BK146" s="12" t="n"/>
      <c r="BL146" s="12" t="n"/>
      <c r="BM146" s="12" t="n"/>
      <c r="BN146" s="12" t="n"/>
      <c r="BO146" s="12" t="n"/>
      <c r="BP146" s="12" t="n"/>
      <c r="BQ146" s="12" t="n"/>
      <c r="BR146" s="12" t="n"/>
      <c r="BS146" s="12" t="n"/>
      <c r="BT146" s="12" t="n"/>
      <c r="BU146" s="12" t="n"/>
      <c r="BV146" s="12" t="n"/>
      <c r="BW146" s="12" t="n"/>
      <c r="BX146" s="12" t="n"/>
      <c r="BY146" s="12" t="n"/>
      <c r="BZ146" s="12" t="n"/>
      <c r="CA146" s="12" t="n"/>
      <c r="CB146" s="12" t="n"/>
      <c r="CC146" s="12" t="n"/>
      <c r="CD146" s="12" t="n"/>
      <c r="CE146" s="12" t="n"/>
      <c r="CF146" s="12" t="n"/>
      <c r="CG146" s="12" t="n"/>
      <c r="CH146" s="12" t="n"/>
      <c r="CI146" s="12" t="n"/>
      <c r="CJ146" s="12" t="n"/>
      <c r="CK146" s="12" t="n"/>
      <c r="CL146" s="12" t="n"/>
      <c r="CM146" s="12" t="n"/>
      <c r="CN146" s="12" t="n"/>
      <c r="CO146" s="12" t="n"/>
      <c r="CP146" s="12" t="n"/>
      <c r="CQ146" s="12" t="n"/>
      <c r="CR146" s="12" t="n"/>
      <c r="CS146" s="12" t="n"/>
      <c r="CT146" s="12" t="n"/>
      <c r="CU146" s="12" t="n"/>
      <c r="CV146" s="12" t="n"/>
      <c r="CW146" s="12" t="n"/>
      <c r="CX146" s="12" t="n"/>
      <c r="CY146" s="12" t="n"/>
    </row>
    <row r="147" hidden="1" outlineLevel="1">
      <c r="C147" s="57" t="n"/>
      <c r="D147" s="12" t="n"/>
      <c r="E147" s="12" t="n"/>
      <c r="F147" s="12" t="n"/>
      <c r="G147" s="12" t="n"/>
      <c r="H147" s="12" t="n"/>
      <c r="I147" s="12" t="n"/>
      <c r="J147" s="12" t="n"/>
      <c r="K147" s="12" t="n"/>
      <c r="L147" s="12" t="n"/>
      <c r="M147" s="12" t="n"/>
      <c r="N147" s="12" t="n"/>
      <c r="O147" s="12" t="n"/>
      <c r="P147" s="12" t="n"/>
      <c r="Q147" s="12" t="n"/>
      <c r="R147" s="12" t="n"/>
      <c r="S147" s="12" t="n"/>
      <c r="T147" s="12" t="n"/>
      <c r="U147" s="12" t="n"/>
      <c r="V147" s="12" t="n"/>
      <c r="W147" s="12" t="n"/>
      <c r="X147" s="12" t="n"/>
      <c r="Y147" s="12" t="n"/>
      <c r="Z147" s="12" t="n"/>
      <c r="AA147" s="12" t="n"/>
      <c r="AB147" s="12" t="n"/>
      <c r="AC147" s="12" t="n"/>
      <c r="AD147" s="12" t="n"/>
      <c r="AE147" s="12" t="n"/>
      <c r="AF147" s="12" t="n"/>
      <c r="AG147" s="12" t="n"/>
      <c r="AH147" s="12" t="n"/>
      <c r="AI147" s="12" t="n"/>
      <c r="AJ147" s="12" t="n"/>
      <c r="AK147" s="12" t="n"/>
      <c r="AL147" s="12" t="n"/>
      <c r="AM147" s="12" t="n"/>
      <c r="AN147" s="12" t="n"/>
      <c r="AO147" s="12" t="n"/>
      <c r="AP147" s="12" t="n"/>
      <c r="AQ147" s="12" t="n"/>
      <c r="AR147" s="12" t="n"/>
      <c r="AS147" s="12" t="n"/>
      <c r="AT147" s="12" t="n"/>
      <c r="AU147" s="12" t="n"/>
      <c r="AV147" s="12" t="n"/>
      <c r="AW147" s="12" t="n"/>
      <c r="AX147" s="12" t="n"/>
      <c r="AY147" s="12" t="n"/>
      <c r="AZ147" s="12" t="n"/>
      <c r="BA147" s="12" t="n"/>
      <c r="BB147" s="12" t="n"/>
      <c r="BC147" s="12" t="n"/>
      <c r="BD147" s="12" t="n"/>
      <c r="BE147" s="12" t="n"/>
      <c r="BF147" s="12" t="n"/>
      <c r="BG147" s="12" t="n"/>
      <c r="BH147" s="12" t="n"/>
      <c r="BI147" s="12" t="n"/>
      <c r="BJ147" s="12" t="n"/>
      <c r="BK147" s="12" t="n"/>
      <c r="BL147" s="12" t="n"/>
      <c r="BM147" s="12" t="n"/>
      <c r="BN147" s="12" t="n"/>
      <c r="BO147" s="12" t="n"/>
      <c r="BP147" s="12" t="n"/>
      <c r="BQ147" s="12" t="n"/>
      <c r="BR147" s="12" t="n"/>
      <c r="BS147" s="12" t="n"/>
      <c r="BT147" s="12" t="n"/>
      <c r="BU147" s="12" t="n"/>
      <c r="BV147" s="12" t="n"/>
      <c r="BW147" s="12" t="n"/>
      <c r="BX147" s="12" t="n"/>
      <c r="BY147" s="12" t="n"/>
      <c r="BZ147" s="12" t="n"/>
      <c r="CA147" s="12" t="n"/>
      <c r="CB147" s="12" t="n"/>
      <c r="CC147" s="12" t="n"/>
      <c r="CD147" s="12" t="n"/>
      <c r="CE147" s="12" t="n"/>
      <c r="CF147" s="12" t="n"/>
      <c r="CG147" s="12" t="n"/>
      <c r="CH147" s="12" t="n"/>
      <c r="CI147" s="12" t="n"/>
      <c r="CJ147" s="12" t="n"/>
      <c r="CK147" s="12" t="n"/>
      <c r="CL147" s="12" t="n"/>
      <c r="CM147" s="12" t="n"/>
      <c r="CN147" s="12" t="n"/>
      <c r="CO147" s="12" t="n"/>
      <c r="CP147" s="12" t="n"/>
      <c r="CQ147" s="12" t="n"/>
      <c r="CR147" s="12" t="n"/>
      <c r="CS147" s="12" t="n"/>
      <c r="CT147" s="12" t="n"/>
      <c r="CU147" s="12" t="n"/>
      <c r="CV147" s="12" t="n"/>
      <c r="CW147" s="12" t="n"/>
      <c r="CX147" s="12" t="n"/>
      <c r="CY147" s="12" t="n"/>
    </row>
    <row r="148" collapsed="1">
      <c r="C148" s="14" t="inlineStr">
        <is>
          <t>Inventories</t>
        </is>
      </c>
      <c r="D148" s="46" t="n"/>
      <c r="E148" s="46" t="n"/>
      <c r="F148" s="46" t="n"/>
      <c r="G148" s="46" t="n"/>
      <c r="H148" s="12" t="n"/>
      <c r="I148" s="46">
        <f>'Inputs (2)'!D17</f>
        <v>0</v>
      </c>
      <c r="J148" s="46">
        <f>'Inputs (2)'!E17</f>
        <v>0</v>
      </c>
      <c r="K148" s="46">
        <f>'Inputs (2)'!F17</f>
        <v>0</v>
      </c>
      <c r="L148" s="46">
        <f>'Inputs (2)'!G17</f>
        <v>0</v>
      </c>
      <c r="M148" s="12">
        <f>'Inputs (2)'!H17</f>
        <v>0</v>
      </c>
      <c r="N148" s="46">
        <f>'Inputs (2)'!I17</f>
        <v>0</v>
      </c>
      <c r="O148" s="46">
        <f>'Inputs (2)'!J17</f>
        <v>0</v>
      </c>
      <c r="P148" s="46">
        <f>'Inputs (2)'!K17</f>
        <v>0</v>
      </c>
      <c r="Q148" s="46">
        <f>'Inputs (2)'!L17</f>
        <v>0</v>
      </c>
      <c r="R148" s="12">
        <f>'Inputs (2)'!M17</f>
        <v>0</v>
      </c>
      <c r="S148" s="46">
        <f>'Inputs (2)'!N17</f>
        <v>0</v>
      </c>
      <c r="T148" s="46">
        <f>'Inputs (2)'!O17</f>
        <v>0</v>
      </c>
      <c r="U148" s="46">
        <f>'Inputs (2)'!P17</f>
        <v>0</v>
      </c>
      <c r="V148" s="46">
        <f>'Inputs (2)'!Q17</f>
        <v>0</v>
      </c>
      <c r="W148" s="12">
        <f>'Inputs (2)'!R17</f>
        <v>0</v>
      </c>
      <c r="X148" s="46">
        <f>'Inputs (2)'!S17</f>
        <v>0</v>
      </c>
      <c r="Y148" s="46">
        <f>'Inputs (2)'!T17</f>
        <v>0</v>
      </c>
      <c r="Z148" s="46">
        <f>'Inputs (2)'!U17</f>
        <v>0</v>
      </c>
      <c r="AA148" s="46">
        <f>'Inputs (2)'!V17</f>
        <v>0</v>
      </c>
      <c r="AB148" s="12">
        <f>'Inputs (2)'!W17</f>
        <v>0</v>
      </c>
      <c r="AC148" s="46">
        <f>'Inputs (2)'!X17</f>
        <v>0</v>
      </c>
      <c r="AD148" s="46">
        <f>'Inputs (2)'!Y17</f>
        <v>0</v>
      </c>
      <c r="AE148" s="46">
        <f>'Inputs (2)'!Z17</f>
        <v>0</v>
      </c>
      <c r="AF148" s="46">
        <f>'Inputs (2)'!AA17</f>
        <v>0</v>
      </c>
      <c r="AG148" s="12">
        <f>'Inputs (2)'!AB17</f>
        <v>0</v>
      </c>
      <c r="AH148" s="12">
        <f>'Inputs (2)'!AC17</f>
        <v>0</v>
      </c>
      <c r="AI148" s="12">
        <f>'Inputs (2)'!AD17</f>
        <v>0</v>
      </c>
      <c r="AJ148" s="12">
        <f>(AJ149/(AJ$5-AI$5))*-AJ$53</f>
        <v>0</v>
      </c>
      <c r="AK148" s="12">
        <f>(AK149/(AK$5-AJ$5))*-AK$53</f>
        <v>0</v>
      </c>
      <c r="AL148" s="12">
        <f>AK148</f>
        <v>0</v>
      </c>
      <c r="AM148" s="12">
        <f>(AM149/(AM$5-AL$5))*-AM$53</f>
        <v>0</v>
      </c>
      <c r="AN148" s="12">
        <f>(AN149/(AN$5-AM$5))*-AN$53</f>
        <v>0</v>
      </c>
      <c r="AO148" s="12">
        <f>(AO149/(AO$5-AN$5))*-AO$53</f>
        <v>0</v>
      </c>
      <c r="AP148" s="12">
        <f>(AP149/(AP$5-AO$5))*-AP$53</f>
        <v>0</v>
      </c>
      <c r="AQ148" s="12">
        <f>AP148</f>
        <v>0</v>
      </c>
      <c r="AR148" s="12">
        <f>(AR149/(AR$5-AQ$5))*-AR$53</f>
        <v>0</v>
      </c>
      <c r="AS148" s="12">
        <f>(AS149/(AS$5-AR$5))*-AS$53</f>
        <v>0</v>
      </c>
      <c r="AT148" s="12">
        <f>(AT149/(AT$5-AS$5))*-AT$53</f>
        <v>0</v>
      </c>
      <c r="AU148" s="12">
        <f>(AU149/(AU$5-AT$5))*-AU$53</f>
        <v>0</v>
      </c>
      <c r="AV148" s="12">
        <f>AU148</f>
        <v>0</v>
      </c>
      <c r="AW148" s="12">
        <f>(AW149/(AW$5-AV$5))*-AW$53</f>
        <v>0</v>
      </c>
      <c r="AX148" s="12">
        <f>(AX149/(AX$5-AW$5))*-AX$53</f>
        <v>0</v>
      </c>
      <c r="AY148" s="12">
        <f>(AY149/(AY$5-AX$5))*-AY$53</f>
        <v>0</v>
      </c>
      <c r="AZ148" s="12">
        <f>(AZ149/(AZ$5-AY$5))*-AZ$53</f>
        <v>0</v>
      </c>
      <c r="BA148" s="12">
        <f>AZ148</f>
        <v>0</v>
      </c>
      <c r="BB148" s="12">
        <f>(BB149/(BB$5-BA$5))*-BB$53</f>
        <v>0</v>
      </c>
      <c r="BC148" s="12">
        <f>(BC149/(BC$5-BB$5))*-BC$53</f>
        <v>0</v>
      </c>
      <c r="BD148" s="12">
        <f>(BD149/(BD$5-BC$5))*-BD$53</f>
        <v>0</v>
      </c>
      <c r="BE148" s="12">
        <f>(BE149/(BE$5-BD$5))*-BE$53</f>
        <v>0</v>
      </c>
      <c r="BF148" s="12">
        <f>BE148</f>
        <v>0</v>
      </c>
      <c r="BG148" s="12" t="n"/>
      <c r="BH148" s="12" t="n"/>
      <c r="BI148" s="12" t="n"/>
      <c r="BJ148" s="12" t="n"/>
      <c r="BK148" s="12" t="n"/>
      <c r="BL148" s="12" t="n"/>
      <c r="BM148" s="12" t="n"/>
      <c r="BN148" s="12" t="n"/>
      <c r="BO148" s="12" t="n"/>
      <c r="BP148" s="12" t="n"/>
      <c r="BQ148" s="12" t="n"/>
      <c r="BR148" s="12" t="n"/>
      <c r="BS148" s="12" t="n"/>
      <c r="BT148" s="12" t="n"/>
      <c r="BU148" s="12" t="n"/>
      <c r="BV148" s="12" t="n"/>
      <c r="BW148" s="12" t="n"/>
      <c r="BX148" s="12" t="n"/>
      <c r="BY148" s="12" t="n"/>
      <c r="BZ148" s="12" t="n"/>
      <c r="CA148" s="12" t="n"/>
      <c r="CB148" s="12" t="n"/>
      <c r="CC148" s="12" t="n"/>
      <c r="CD148" s="12" t="n"/>
      <c r="CE148" s="12" t="n"/>
      <c r="CF148" s="12" t="n"/>
      <c r="CG148" s="12" t="n"/>
      <c r="CH148" s="12" t="n"/>
      <c r="CI148" s="12" t="n"/>
      <c r="CJ148" s="12" t="n"/>
      <c r="CK148" s="12" t="n"/>
      <c r="CL148" s="12" t="n"/>
      <c r="CM148" s="12" t="n"/>
      <c r="CN148" s="12" t="n"/>
      <c r="CO148" s="12" t="n"/>
      <c r="CP148" s="12" t="n"/>
      <c r="CQ148" s="12" t="n"/>
      <c r="CR148" s="12" t="n"/>
      <c r="CS148" s="12" t="n"/>
      <c r="CT148" s="12" t="n"/>
      <c r="CU148" s="12" t="n"/>
      <c r="CV148" s="12" t="n"/>
      <c r="CW148" s="12" t="n"/>
      <c r="CX148" s="12" t="n"/>
      <c r="CY148" s="12" t="n"/>
    </row>
    <row r="149" outlineLevel="1">
      <c r="C149" s="57" t="inlineStr">
        <is>
          <t>DIO</t>
        </is>
      </c>
      <c r="D149" s="12" t="n"/>
      <c r="E149" s="12" t="n"/>
      <c r="F149" s="12" t="n"/>
      <c r="G149" s="12" t="n"/>
      <c r="H149" s="12" t="n"/>
      <c r="I149" s="12">
        <f>IFERROR(((I148/I$53)*(I$5-H$5))*-1,"")</f>
        <v>0</v>
      </c>
      <c r="J149" s="12">
        <f>IFERROR(((J148/J$53)*(J$5-I$5))*-1,"")</f>
        <v>0</v>
      </c>
      <c r="K149" s="12">
        <f>IFERROR(((K148/K$53)*(K$5-J$5))*-1,"")</f>
        <v>0</v>
      </c>
      <c r="L149" s="12">
        <f>IFERROR(((L148/L$53)*(L$5-K$5))*-1,"")</f>
        <v>0</v>
      </c>
      <c r="M149" s="12" t="n"/>
      <c r="N149" s="12">
        <f>IFERROR(((N148/N$53)*(N$5-M$5))*-1,"")</f>
        <v>0</v>
      </c>
      <c r="O149" s="12">
        <f>IFERROR(((O148/O$53)*(O$5-N$5))*-1,"")</f>
        <v>0</v>
      </c>
      <c r="P149" s="12">
        <f>IFERROR(((P148/P$53)*(P$5-O$5))*-1,"")</f>
        <v>0</v>
      </c>
      <c r="Q149" s="12">
        <f>IFERROR(((Q148/Q$53)*(Q$5-P$5))*-1,"")</f>
        <v>0</v>
      </c>
      <c r="R149" s="12" t="n"/>
      <c r="S149" s="12">
        <f>IFERROR(((S148/S$53)*(S$5-R$5))*-1,"")</f>
        <v>0</v>
      </c>
      <c r="T149" s="12">
        <f>IFERROR(((T148/T$53)*(T$5-S$5))*-1,"")</f>
        <v>0</v>
      </c>
      <c r="U149" s="12">
        <f>IFERROR(((U148/U$53)*(U$5-T$5))*-1,"")</f>
        <v>0</v>
      </c>
      <c r="V149" s="12">
        <f>IFERROR(((V148/V$53)*(V$5-U$5))*-1,"")</f>
        <v>0</v>
      </c>
      <c r="W149" s="12" t="n"/>
      <c r="X149" s="12">
        <f>IFERROR(((X148/X$53)*(X$5-W$5))*-1,"")</f>
        <v>0</v>
      </c>
      <c r="Y149" s="12">
        <f>IFERROR(((Y148/Y$53)*(Y$5-X$5))*-1,"")</f>
        <v>0</v>
      </c>
      <c r="Z149" s="12">
        <f>IFERROR(((Z148/Z$53)*(Z$5-Y$5))*-1,"")</f>
        <v>0</v>
      </c>
      <c r="AA149" s="12">
        <f>IFERROR(((AA148/AA$53)*(AA$5-Z$5))*-1,"")</f>
        <v>0</v>
      </c>
      <c r="AB149" s="12" t="n"/>
      <c r="AC149" s="12">
        <f>IFERROR(((AC148/AC$53)*(AC$5-AB$5))*-1,"")</f>
        <v>0</v>
      </c>
      <c r="AD149" s="12">
        <f>IFERROR(((AD148/AD$53)*(AD$5-AC$5))*-1,"")</f>
        <v>0</v>
      </c>
      <c r="AE149" s="12">
        <f>IFERROR(((AE148/AE$53)*(AE$5-AD$5))*-1,"")</f>
        <v>0</v>
      </c>
      <c r="AF149" s="12">
        <f>IFERROR(((AF148/AF$53)*(AF$5-AE$5))*-1,"")</f>
        <v>0</v>
      </c>
      <c r="AG149" s="12" t="n"/>
      <c r="AH149" s="12">
        <f>IFERROR(((AH148/AH$53)*(AH$5-AG$5))*-1,"")</f>
        <v>0</v>
      </c>
      <c r="AI149" s="12">
        <f>IFERROR(((AI148/AI$53)*(AI$5-AH$5))*-1,"")</f>
        <v>0</v>
      </c>
      <c r="AJ149" s="11">
        <f>Control!$B$26</f>
        <v>0</v>
      </c>
      <c r="AK149" s="11">
        <f>Control!$B$26</f>
        <v>0</v>
      </c>
      <c r="AL149" s="12" t="n"/>
      <c r="AM149" s="11">
        <f>Control!$C$26</f>
        <v>0</v>
      </c>
      <c r="AN149" s="11">
        <f>Control!$C$26</f>
        <v>0</v>
      </c>
      <c r="AO149" s="11">
        <f>Control!$C$26</f>
        <v>0</v>
      </c>
      <c r="AP149" s="11">
        <f>Control!$C$26</f>
        <v>0</v>
      </c>
      <c r="AQ149" s="12" t="n"/>
      <c r="AR149" s="11">
        <f>Control!$D$26</f>
        <v>0</v>
      </c>
      <c r="AS149" s="11">
        <f>Control!$D$26</f>
        <v>0</v>
      </c>
      <c r="AT149" s="11">
        <f>Control!$D$26</f>
        <v>0</v>
      </c>
      <c r="AU149" s="11">
        <f>Control!$D$26</f>
        <v>0</v>
      </c>
      <c r="AV149" s="12" t="n"/>
      <c r="AW149" s="11">
        <f>Control!$E$26</f>
        <v>0</v>
      </c>
      <c r="AX149" s="11">
        <f>Control!$E$26</f>
        <v>0</v>
      </c>
      <c r="AY149" s="11">
        <f>Control!$E$26</f>
        <v>0</v>
      </c>
      <c r="AZ149" s="11">
        <f>Control!$E$26</f>
        <v>0</v>
      </c>
      <c r="BA149" s="12" t="n"/>
      <c r="BB149" s="11">
        <f>Control!$F$26</f>
        <v>0</v>
      </c>
      <c r="BC149" s="11">
        <f>Control!$F$26</f>
        <v>0</v>
      </c>
      <c r="BD149" s="11">
        <f>Control!$F$26</f>
        <v>0</v>
      </c>
      <c r="BE149" s="11">
        <f>Control!$F$26</f>
        <v>0</v>
      </c>
      <c r="BF149" s="12" t="n"/>
      <c r="BG149" s="11" t="n"/>
      <c r="BH149" s="11" t="n"/>
      <c r="BI149" s="11" t="n"/>
      <c r="BJ149" s="11" t="n"/>
      <c r="BK149" s="12" t="n"/>
      <c r="BL149" s="11" t="n"/>
      <c r="BM149" s="11" t="n"/>
      <c r="BN149" s="11" t="n"/>
      <c r="BO149" s="11" t="n"/>
      <c r="BP149" s="12" t="n"/>
      <c r="BQ149" s="11" t="n"/>
      <c r="BR149" s="11" t="n"/>
      <c r="BS149" s="11" t="n"/>
      <c r="BT149" s="11" t="n"/>
      <c r="BU149" s="12" t="n"/>
      <c r="BV149" s="11" t="n"/>
      <c r="BW149" s="11" t="n"/>
      <c r="BX149" s="11" t="n"/>
      <c r="BY149" s="11" t="n"/>
      <c r="BZ149" s="12" t="n"/>
      <c r="CA149" s="11" t="n"/>
      <c r="CB149" s="11" t="n"/>
      <c r="CC149" s="11" t="n"/>
      <c r="CD149" s="11" t="n"/>
      <c r="CE149" s="12" t="n"/>
      <c r="CF149" s="11" t="n"/>
      <c r="CG149" s="11" t="n"/>
      <c r="CH149" s="11" t="n"/>
      <c r="CI149" s="11" t="n"/>
      <c r="CJ149" s="12" t="n"/>
      <c r="CK149" s="11" t="n"/>
      <c r="CL149" s="11" t="n"/>
      <c r="CM149" s="11" t="n"/>
      <c r="CN149" s="11" t="n"/>
      <c r="CO149" s="12" t="n"/>
      <c r="CP149" s="11" t="n"/>
      <c r="CQ149" s="11" t="n"/>
      <c r="CR149" s="11" t="n"/>
      <c r="CS149" s="11" t="n"/>
      <c r="CT149" s="12" t="n"/>
      <c r="CU149" s="11" t="n"/>
      <c r="CV149" s="11" t="n"/>
      <c r="CW149" s="11" t="n"/>
      <c r="CX149" s="11" t="n"/>
      <c r="CY149" s="12" t="n"/>
    </row>
    <row r="150" hidden="1" outlineLevel="1">
      <c r="C150" s="57" t="n"/>
      <c r="D150" s="12" t="n"/>
      <c r="E150" s="12" t="n"/>
      <c r="F150" s="12" t="n"/>
      <c r="G150" s="12" t="n"/>
      <c r="H150" s="12" t="n"/>
      <c r="I150" s="12" t="n"/>
      <c r="J150" s="12" t="n"/>
      <c r="K150" s="12" t="n"/>
      <c r="L150" s="12" t="n"/>
      <c r="M150" s="12" t="n"/>
      <c r="N150" s="12" t="n"/>
      <c r="O150" s="12" t="n"/>
      <c r="P150" s="12" t="n"/>
      <c r="Q150" s="12" t="n"/>
      <c r="R150" s="12" t="n"/>
      <c r="S150" s="12" t="n"/>
      <c r="T150" s="12" t="n"/>
      <c r="U150" s="12" t="n"/>
      <c r="V150" s="12" t="n"/>
      <c r="W150" s="12" t="n"/>
      <c r="X150" s="12" t="n"/>
      <c r="Y150" s="12" t="n"/>
      <c r="Z150" s="12" t="n"/>
      <c r="AA150" s="12" t="n"/>
      <c r="AB150" s="12" t="n"/>
      <c r="AC150" s="12" t="n"/>
      <c r="AD150" s="12" t="n"/>
      <c r="AE150" s="12" t="n"/>
      <c r="AF150" s="12" t="n"/>
      <c r="AG150" s="12" t="n"/>
      <c r="AH150" s="12" t="n"/>
      <c r="AI150" s="12" t="n"/>
      <c r="AJ150" s="12" t="n"/>
      <c r="AK150" s="12" t="n"/>
      <c r="AL150" s="12" t="n"/>
      <c r="AM150" s="12" t="n"/>
      <c r="AN150" s="12" t="n"/>
      <c r="AO150" s="12" t="n"/>
      <c r="AP150" s="12" t="n"/>
      <c r="AQ150" s="12" t="n"/>
      <c r="AR150" s="12" t="n"/>
      <c r="AS150" s="12" t="n"/>
      <c r="AT150" s="12" t="n"/>
      <c r="AU150" s="12" t="n"/>
      <c r="AV150" s="12" t="n"/>
      <c r="AW150" s="12" t="n"/>
      <c r="AX150" s="12" t="n"/>
      <c r="AY150" s="12" t="n"/>
      <c r="AZ150" s="12" t="n"/>
      <c r="BA150" s="12" t="n"/>
      <c r="BB150" s="12" t="n"/>
      <c r="BC150" s="12" t="n"/>
      <c r="BD150" s="12" t="n"/>
      <c r="BE150" s="12" t="n"/>
      <c r="BF150" s="12" t="n"/>
      <c r="BG150" s="12" t="n"/>
      <c r="BH150" s="12" t="n"/>
      <c r="BI150" s="12" t="n"/>
      <c r="BJ150" s="12" t="n"/>
      <c r="BK150" s="12" t="n"/>
      <c r="BL150" s="12" t="n"/>
      <c r="BM150" s="12" t="n"/>
      <c r="BN150" s="12" t="n"/>
      <c r="BO150" s="12" t="n"/>
      <c r="BP150" s="12" t="n"/>
      <c r="BQ150" s="12" t="n"/>
      <c r="BR150" s="12" t="n"/>
      <c r="BS150" s="12" t="n"/>
      <c r="BT150" s="12" t="n"/>
      <c r="BU150" s="12" t="n"/>
      <c r="BV150" s="12" t="n"/>
      <c r="BW150" s="12" t="n"/>
      <c r="BX150" s="12" t="n"/>
      <c r="BY150" s="12" t="n"/>
      <c r="BZ150" s="12" t="n"/>
      <c r="CA150" s="12" t="n"/>
      <c r="CB150" s="12" t="n"/>
      <c r="CC150" s="12" t="n"/>
      <c r="CD150" s="12" t="n"/>
      <c r="CE150" s="12" t="n"/>
      <c r="CF150" s="12" t="n"/>
      <c r="CG150" s="12" t="n"/>
      <c r="CH150" s="12" t="n"/>
      <c r="CI150" s="12" t="n"/>
      <c r="CJ150" s="12" t="n"/>
      <c r="CK150" s="12" t="n"/>
      <c r="CL150" s="12" t="n"/>
      <c r="CM150" s="12" t="n"/>
      <c r="CN150" s="12" t="n"/>
      <c r="CO150" s="12" t="n"/>
      <c r="CP150" s="12" t="n"/>
      <c r="CQ150" s="12" t="n"/>
      <c r="CR150" s="12" t="n"/>
      <c r="CS150" s="12" t="n"/>
      <c r="CT150" s="12" t="n"/>
      <c r="CU150" s="12" t="n"/>
      <c r="CV150" s="12" t="n"/>
      <c r="CW150" s="12" t="n"/>
      <c r="CX150" s="12" t="n"/>
      <c r="CY150" s="12" t="n"/>
    </row>
    <row r="151" hidden="1" outlineLevel="1">
      <c r="C151" s="57" t="n"/>
      <c r="D151" s="12" t="n"/>
      <c r="E151" s="12" t="n"/>
      <c r="F151" s="12" t="n"/>
      <c r="G151" s="12" t="n"/>
      <c r="H151" s="12" t="n"/>
      <c r="I151" s="12" t="n"/>
      <c r="J151" s="12" t="n"/>
      <c r="K151" s="12" t="n"/>
      <c r="L151" s="12" t="n"/>
      <c r="M151" s="12" t="n"/>
      <c r="N151" s="12" t="n"/>
      <c r="O151" s="12" t="n"/>
      <c r="P151" s="12" t="n"/>
      <c r="Q151" s="12" t="n"/>
      <c r="R151" s="12" t="n"/>
      <c r="S151" s="12" t="n"/>
      <c r="T151" s="12" t="n"/>
      <c r="U151" s="12" t="n"/>
      <c r="V151" s="12" t="n"/>
      <c r="W151" s="12" t="n"/>
      <c r="X151" s="12" t="n"/>
      <c r="Y151" s="12" t="n"/>
      <c r="Z151" s="12" t="n"/>
      <c r="AA151" s="12" t="n"/>
      <c r="AB151" s="12" t="n"/>
      <c r="AC151" s="12" t="n"/>
      <c r="AD151" s="12" t="n"/>
      <c r="AE151" s="12" t="n"/>
      <c r="AF151" s="12" t="n"/>
      <c r="AG151" s="12" t="n"/>
      <c r="AH151" s="12" t="n"/>
      <c r="AI151" s="12" t="n"/>
      <c r="AJ151" s="12" t="n"/>
      <c r="AK151" s="12" t="n"/>
      <c r="AL151" s="12" t="n"/>
      <c r="AM151" s="12" t="n"/>
      <c r="AN151" s="12" t="n"/>
      <c r="AO151" s="12" t="n"/>
      <c r="AP151" s="12" t="n"/>
      <c r="AQ151" s="12" t="n"/>
      <c r="AR151" s="12" t="n"/>
      <c r="AS151" s="12" t="n"/>
      <c r="AT151" s="12" t="n"/>
      <c r="AU151" s="12" t="n"/>
      <c r="AV151" s="12" t="n"/>
      <c r="AW151" s="12" t="n"/>
      <c r="AX151" s="12" t="n"/>
      <c r="AY151" s="12" t="n"/>
      <c r="AZ151" s="12" t="n"/>
      <c r="BA151" s="12" t="n"/>
      <c r="BB151" s="12" t="n"/>
      <c r="BC151" s="12" t="n"/>
      <c r="BD151" s="12" t="n"/>
      <c r="BE151" s="12" t="n"/>
      <c r="BF151" s="12" t="n"/>
      <c r="BG151" s="12" t="n"/>
      <c r="BH151" s="12" t="n"/>
      <c r="BI151" s="12" t="n"/>
      <c r="BJ151" s="12" t="n"/>
      <c r="BK151" s="12" t="n"/>
      <c r="BL151" s="12" t="n"/>
      <c r="BM151" s="12" t="n"/>
      <c r="BN151" s="12" t="n"/>
      <c r="BO151" s="12" t="n"/>
      <c r="BP151" s="12" t="n"/>
      <c r="BQ151" s="12" t="n"/>
      <c r="BR151" s="12" t="n"/>
      <c r="BS151" s="12" t="n"/>
      <c r="BT151" s="12" t="n"/>
      <c r="BU151" s="12" t="n"/>
      <c r="BV151" s="12" t="n"/>
      <c r="BW151" s="12" t="n"/>
      <c r="BX151" s="12" t="n"/>
      <c r="BY151" s="12" t="n"/>
      <c r="BZ151" s="12" t="n"/>
      <c r="CA151" s="12" t="n"/>
      <c r="CB151" s="12" t="n"/>
      <c r="CC151" s="12" t="n"/>
      <c r="CD151" s="12" t="n"/>
      <c r="CE151" s="12" t="n"/>
      <c r="CF151" s="12" t="n"/>
      <c r="CG151" s="12" t="n"/>
      <c r="CH151" s="12" t="n"/>
      <c r="CI151" s="12" t="n"/>
      <c r="CJ151" s="12" t="n"/>
      <c r="CK151" s="12" t="n"/>
      <c r="CL151" s="12" t="n"/>
      <c r="CM151" s="12" t="n"/>
      <c r="CN151" s="12" t="n"/>
      <c r="CO151" s="12" t="n"/>
      <c r="CP151" s="12" t="n"/>
      <c r="CQ151" s="12" t="n"/>
      <c r="CR151" s="12" t="n"/>
      <c r="CS151" s="12" t="n"/>
      <c r="CT151" s="12" t="n"/>
      <c r="CU151" s="12" t="n"/>
      <c r="CV151" s="12" t="n"/>
      <c r="CW151" s="12" t="n"/>
      <c r="CX151" s="12" t="n"/>
      <c r="CY151" s="12" t="n"/>
    </row>
    <row r="152" collapsed="1">
      <c r="C152" s="14" t="inlineStr">
        <is>
          <t>Deferred income taxes</t>
        </is>
      </c>
      <c r="D152" s="46" t="n"/>
      <c r="E152" s="46" t="n"/>
      <c r="F152" s="46" t="n"/>
      <c r="G152" s="46" t="n"/>
      <c r="H152" s="12" t="n"/>
      <c r="I152" s="46">
        <f>'Inputs (2)'!D18</f>
        <v>3908.905</v>
      </c>
      <c r="J152" s="46">
        <f>'Inputs (2)'!E18</f>
        <v>3908.192</v>
      </c>
      <c r="K152" s="46">
        <f>'Inputs (2)'!F18</f>
        <v>3444.995</v>
      </c>
      <c r="L152" s="46">
        <f>'Inputs (2)'!G18</f>
        <v>3408.893</v>
      </c>
      <c r="M152" s="12">
        <f>'Inputs (2)'!H18</f>
        <v>3408.893</v>
      </c>
      <c r="N152" s="46">
        <f>'Inputs (2)'!I18</f>
        <v>3416.808</v>
      </c>
      <c r="O152" s="46">
        <f>'Inputs (2)'!J18</f>
        <v>3430.877</v>
      </c>
      <c r="P152" s="46">
        <f>'Inputs (2)'!K18</f>
        <v>3370.826</v>
      </c>
      <c r="Q152" s="46">
        <f>'Inputs (2)'!L18</f>
        <v>3000.824</v>
      </c>
      <c r="R152" s="12">
        <f>'Inputs (2)'!M18</f>
        <v>3000.824</v>
      </c>
      <c r="S152" s="46">
        <f>'Inputs (2)'!N18</f>
        <v>2992.037</v>
      </c>
      <c r="T152" s="46">
        <f>'Inputs (2)'!O18</f>
        <v>2922.766</v>
      </c>
      <c r="U152" s="46">
        <f>'Inputs (2)'!P18</f>
        <v>2601.196</v>
      </c>
      <c r="V152" s="46">
        <f>'Inputs (2)'!Q18</f>
        <v>2698.782</v>
      </c>
      <c r="W152" s="12">
        <f>'Inputs (2)'!R18</f>
        <v>2698.782</v>
      </c>
      <c r="X152" s="46">
        <f>'Inputs (2)'!S18</f>
        <v>2697.332</v>
      </c>
      <c r="Y152" s="46">
        <f>'Inputs (2)'!T18</f>
        <v>2660.554</v>
      </c>
      <c r="Z152" s="46">
        <f>'Inputs (2)'!U18</f>
        <v>2642.872</v>
      </c>
      <c r="AA152" s="46">
        <f>'Inputs (2)'!V18</f>
        <v>2172.103</v>
      </c>
      <c r="AB152" s="12">
        <f>'Inputs (2)'!W18</f>
        <v>2172.103</v>
      </c>
      <c r="AC152" s="46">
        <f>'Inputs (2)'!X18</f>
        <v>2129.196</v>
      </c>
      <c r="AD152" s="46">
        <f>'Inputs (2)'!Y18</f>
        <v>1964.087</v>
      </c>
      <c r="AE152" s="46">
        <f>'Inputs (2)'!Z18</f>
        <v>1995.197</v>
      </c>
      <c r="AF152" s="46">
        <f>'Inputs (2)'!AA18</f>
        <v>1942.725</v>
      </c>
      <c r="AG152" s="12">
        <f>'Inputs (2)'!AB18</f>
        <v>1942.725</v>
      </c>
      <c r="AH152" s="12">
        <f>'Inputs (2)'!AC18</f>
        <v>1956.126</v>
      </c>
      <c r="AI152" s="12">
        <f>'Inputs (2)'!AD18</f>
        <v>1997.881</v>
      </c>
      <c r="AJ152" s="12">
        <f>AI152</f>
        <v>1997.881</v>
      </c>
      <c r="AK152" s="12">
        <f>AJ152</f>
        <v>1997.881</v>
      </c>
      <c r="AL152" s="12">
        <f>AK152</f>
        <v>1997.881</v>
      </c>
      <c r="AM152" s="12">
        <f>AL152</f>
        <v>1997.881</v>
      </c>
      <c r="AN152" s="12">
        <f>AM152</f>
        <v>1997.881</v>
      </c>
      <c r="AO152" s="12">
        <f>AN152</f>
        <v>1997.881</v>
      </c>
      <c r="AP152" s="12">
        <f>AO152</f>
        <v>1997.881</v>
      </c>
      <c r="AQ152" s="12">
        <f>AP152</f>
        <v>1997.881</v>
      </c>
      <c r="AR152" s="12">
        <f>AQ152</f>
        <v>1997.881</v>
      </c>
      <c r="AS152" s="12">
        <f>AR152</f>
        <v>1997.881</v>
      </c>
      <c r="AT152" s="12">
        <f>AS152</f>
        <v>1997.881</v>
      </c>
      <c r="AU152" s="12">
        <f>AT152</f>
        <v>1997.881</v>
      </c>
      <c r="AV152" s="12">
        <f>AU152</f>
        <v>1997.881</v>
      </c>
      <c r="AW152" s="12">
        <f>AV152</f>
        <v>1997.881</v>
      </c>
      <c r="AX152" s="12">
        <f>AW152</f>
        <v>1997.881</v>
      </c>
      <c r="AY152" s="12">
        <f>AX152</f>
        <v>1997.881</v>
      </c>
      <c r="AZ152" s="12">
        <f>AY152</f>
        <v>1997.881</v>
      </c>
      <c r="BA152" s="12">
        <f>AZ152</f>
        <v>1997.881</v>
      </c>
      <c r="BB152" s="12">
        <f>BA152</f>
        <v>1997.881</v>
      </c>
      <c r="BC152" s="12">
        <f>BB152</f>
        <v>1997.881</v>
      </c>
      <c r="BD152" s="12">
        <f>BC152</f>
        <v>1997.881</v>
      </c>
      <c r="BE152" s="12">
        <f>BD152</f>
        <v>1997.881</v>
      </c>
      <c r="BF152" s="12">
        <f>BE152</f>
        <v>1997.881</v>
      </c>
      <c r="BG152" s="12" t="n"/>
      <c r="BH152" s="12" t="n"/>
      <c r="BI152" s="12" t="n"/>
      <c r="BJ152" s="12" t="n"/>
      <c r="BK152" s="12" t="n"/>
      <c r="BL152" s="12" t="n"/>
      <c r="BM152" s="12" t="n"/>
      <c r="BN152" s="12" t="n"/>
      <c r="BO152" s="12" t="n"/>
      <c r="BP152" s="12" t="n"/>
      <c r="BQ152" s="12" t="n"/>
      <c r="BR152" s="12" t="n"/>
      <c r="BS152" s="12" t="n"/>
      <c r="BT152" s="12" t="n"/>
      <c r="BU152" s="12" t="n"/>
      <c r="BV152" s="12" t="n"/>
      <c r="BW152" s="12" t="n"/>
      <c r="BX152" s="12" t="n"/>
      <c r="BY152" s="12" t="n"/>
      <c r="BZ152" s="12" t="n"/>
      <c r="CA152" s="12" t="n"/>
      <c r="CB152" s="12" t="n"/>
      <c r="CC152" s="12" t="n"/>
      <c r="CD152" s="12" t="n"/>
      <c r="CE152" s="12" t="n"/>
      <c r="CF152" s="12" t="n"/>
      <c r="CG152" s="12" t="n"/>
      <c r="CH152" s="12" t="n"/>
      <c r="CI152" s="12" t="n"/>
      <c r="CJ152" s="12" t="n"/>
      <c r="CK152" s="12" t="n"/>
      <c r="CL152" s="12" t="n"/>
      <c r="CM152" s="12" t="n"/>
      <c r="CN152" s="12" t="n"/>
      <c r="CO152" s="12" t="n"/>
      <c r="CP152" s="12" t="n"/>
      <c r="CQ152" s="12" t="n"/>
      <c r="CR152" s="12" t="n"/>
      <c r="CS152" s="12" t="n"/>
      <c r="CT152" s="12" t="n"/>
      <c r="CU152" s="12" t="n"/>
      <c r="CV152" s="12" t="n"/>
      <c r="CW152" s="12" t="n"/>
      <c r="CX152" s="12" t="n"/>
      <c r="CY152" s="12" t="n"/>
    </row>
    <row r="153">
      <c r="C153" s="14" t="inlineStr">
        <is>
          <t>Prepaid expenses</t>
        </is>
      </c>
      <c r="D153" s="46" t="n"/>
      <c r="E153" s="46" t="n"/>
      <c r="F153" s="46" t="n"/>
      <c r="G153" s="46" t="n"/>
      <c r="H153" s="12" t="n"/>
      <c r="I153" s="46">
        <f>'Inputs (2)'!D19</f>
        <v>0</v>
      </c>
      <c r="J153" s="46">
        <f>'Inputs (2)'!E19</f>
        <v>0</v>
      </c>
      <c r="K153" s="46">
        <f>'Inputs (2)'!F19</f>
        <v>0</v>
      </c>
      <c r="L153" s="46">
        <f>'Inputs (2)'!G19</f>
        <v>0</v>
      </c>
      <c r="M153" s="12">
        <f>'Inputs (2)'!H19</f>
        <v>0</v>
      </c>
      <c r="N153" s="46">
        <f>'Inputs (2)'!I19</f>
        <v>0</v>
      </c>
      <c r="O153" s="46">
        <f>'Inputs (2)'!J19</f>
        <v>0</v>
      </c>
      <c r="P153" s="46">
        <f>'Inputs (2)'!K19</f>
        <v>0</v>
      </c>
      <c r="Q153" s="46">
        <f>'Inputs (2)'!L19</f>
        <v>0</v>
      </c>
      <c r="R153" s="12">
        <f>'Inputs (2)'!M19</f>
        <v>0</v>
      </c>
      <c r="S153" s="46">
        <f>'Inputs (2)'!N19</f>
        <v>0</v>
      </c>
      <c r="T153" s="46">
        <f>'Inputs (2)'!O19</f>
        <v>0</v>
      </c>
      <c r="U153" s="46">
        <f>'Inputs (2)'!P19</f>
        <v>0</v>
      </c>
      <c r="V153" s="46">
        <f>'Inputs (2)'!Q19</f>
        <v>0</v>
      </c>
      <c r="W153" s="12">
        <f>'Inputs (2)'!R19</f>
        <v>0</v>
      </c>
      <c r="X153" s="46">
        <f>'Inputs (2)'!S19</f>
        <v>0</v>
      </c>
      <c r="Y153" s="46">
        <f>'Inputs (2)'!T19</f>
        <v>0</v>
      </c>
      <c r="Z153" s="46">
        <f>'Inputs (2)'!U19</f>
        <v>0</v>
      </c>
      <c r="AA153" s="46">
        <f>'Inputs (2)'!V19</f>
        <v>0</v>
      </c>
      <c r="AB153" s="12">
        <f>'Inputs (2)'!W19</f>
        <v>0</v>
      </c>
      <c r="AC153" s="46">
        <f>'Inputs (2)'!X19</f>
        <v>0</v>
      </c>
      <c r="AD153" s="46">
        <f>'Inputs (2)'!Y19</f>
        <v>0</v>
      </c>
      <c r="AE153" s="46">
        <f>'Inputs (2)'!Z19</f>
        <v>0</v>
      </c>
      <c r="AF153" s="46">
        <f>'Inputs (2)'!AA19</f>
        <v>0</v>
      </c>
      <c r="AG153" s="12">
        <f>'Inputs (2)'!AB19</f>
        <v>0</v>
      </c>
      <c r="AH153" s="12">
        <f>'Inputs (2)'!AC19</f>
        <v>0</v>
      </c>
      <c r="AI153" s="12">
        <f>'Inputs (2)'!AD19</f>
        <v>0</v>
      </c>
      <c r="AJ153" s="12">
        <f>AI153</f>
        <v>0</v>
      </c>
      <c r="AK153" s="12">
        <f>AJ153</f>
        <v>0</v>
      </c>
      <c r="AL153" s="12">
        <f>AK153</f>
        <v>0</v>
      </c>
      <c r="AM153" s="12">
        <f>AL153</f>
        <v>0</v>
      </c>
      <c r="AN153" s="12">
        <f>AM153</f>
        <v>0</v>
      </c>
      <c r="AO153" s="12">
        <f>AN153</f>
        <v>0</v>
      </c>
      <c r="AP153" s="12">
        <f>AO153</f>
        <v>0</v>
      </c>
      <c r="AQ153" s="12">
        <f>AP153</f>
        <v>0</v>
      </c>
      <c r="AR153" s="12">
        <f>AQ153</f>
        <v>0</v>
      </c>
      <c r="AS153" s="12">
        <f>AR153</f>
        <v>0</v>
      </c>
      <c r="AT153" s="12">
        <f>AS153</f>
        <v>0</v>
      </c>
      <c r="AU153" s="12">
        <f>AT153</f>
        <v>0</v>
      </c>
      <c r="AV153" s="12">
        <f>AU153</f>
        <v>0</v>
      </c>
      <c r="AW153" s="12">
        <f>AV153</f>
        <v>0</v>
      </c>
      <c r="AX153" s="12">
        <f>AW153</f>
        <v>0</v>
      </c>
      <c r="AY153" s="12">
        <f>AX153</f>
        <v>0</v>
      </c>
      <c r="AZ153" s="12">
        <f>AY153</f>
        <v>0</v>
      </c>
      <c r="BA153" s="12">
        <f>AZ153</f>
        <v>0</v>
      </c>
      <c r="BB153" s="12">
        <f>BA153</f>
        <v>0</v>
      </c>
      <c r="BC153" s="12">
        <f>BB153</f>
        <v>0</v>
      </c>
      <c r="BD153" s="12">
        <f>BC153</f>
        <v>0</v>
      </c>
      <c r="BE153" s="12">
        <f>BD153</f>
        <v>0</v>
      </c>
      <c r="BF153" s="12">
        <f>BE153</f>
        <v>0</v>
      </c>
      <c r="BG153" s="12" t="n"/>
      <c r="BH153" s="12" t="n"/>
      <c r="BI153" s="12" t="n"/>
      <c r="BJ153" s="12" t="n"/>
      <c r="BK153" s="12" t="n"/>
      <c r="BL153" s="12" t="n"/>
      <c r="BM153" s="12" t="n"/>
      <c r="BN153" s="12" t="n"/>
      <c r="BO153" s="12" t="n"/>
      <c r="BP153" s="12" t="n"/>
      <c r="BQ153" s="12" t="n"/>
      <c r="BR153" s="12" t="n"/>
      <c r="BS153" s="12" t="n"/>
      <c r="BT153" s="12" t="n"/>
      <c r="BU153" s="12" t="n"/>
      <c r="BV153" s="12" t="n"/>
      <c r="BW153" s="12" t="n"/>
      <c r="BX153" s="12" t="n"/>
      <c r="BY153" s="12" t="n"/>
      <c r="BZ153" s="12" t="n"/>
      <c r="CA153" s="12" t="n"/>
      <c r="CB153" s="12" t="n"/>
      <c r="CC153" s="12" t="n"/>
      <c r="CD153" s="12" t="n"/>
      <c r="CE153" s="12" t="n"/>
      <c r="CF153" s="12" t="n"/>
      <c r="CG153" s="12" t="n"/>
      <c r="CH153" s="12" t="n"/>
      <c r="CI153" s="12" t="n"/>
      <c r="CJ153" s="12" t="n"/>
      <c r="CK153" s="12" t="n"/>
      <c r="CL153" s="12" t="n"/>
      <c r="CM153" s="12" t="n"/>
      <c r="CN153" s="12" t="n"/>
      <c r="CO153" s="12" t="n"/>
      <c r="CP153" s="12" t="n"/>
      <c r="CQ153" s="12" t="n"/>
      <c r="CR153" s="12" t="n"/>
      <c r="CS153" s="12" t="n"/>
      <c r="CT153" s="12" t="n"/>
      <c r="CU153" s="12" t="n"/>
      <c r="CV153" s="12" t="n"/>
      <c r="CW153" s="12" t="n"/>
      <c r="CX153" s="12" t="n"/>
      <c r="CY153" s="12" t="n"/>
    </row>
    <row r="154">
      <c r="C154" s="14" t="inlineStr">
        <is>
          <t>Other current assets</t>
        </is>
      </c>
      <c r="D154" s="46" t="n"/>
      <c r="E154" s="46" t="n"/>
      <c r="F154" s="46" t="n"/>
      <c r="G154" s="46" t="n"/>
      <c r="H154" s="12" t="n"/>
      <c r="I154" s="46">
        <f>'Inputs (2)'!D20</f>
        <v>153.704</v>
      </c>
      <c r="J154" s="46">
        <f>'Inputs (2)'!E20</f>
        <v>169.532</v>
      </c>
      <c r="K154" s="46">
        <f>'Inputs (2)'!F20</f>
        <v>172.01</v>
      </c>
      <c r="L154" s="46">
        <f>'Inputs (2)'!G20</f>
        <v>349.799</v>
      </c>
      <c r="M154" s="12">
        <f>'Inputs (2)'!H20</f>
        <v>349.799</v>
      </c>
      <c r="N154" s="46">
        <f>'Inputs (2)'!I20</f>
        <v>1735.893</v>
      </c>
      <c r="O154" s="46">
        <f>'Inputs (2)'!J20</f>
        <v>2046.69</v>
      </c>
      <c r="P154" s="46">
        <f>'Inputs (2)'!K20</f>
        <v>1890.397</v>
      </c>
      <c r="Q154" s="46">
        <f>'Inputs (2)'!L20</f>
        <v>2419.33</v>
      </c>
      <c r="R154" s="12">
        <f>'Inputs (2)'!M20</f>
        <v>2419.33</v>
      </c>
      <c r="S154" s="46">
        <f>'Inputs (2)'!N20</f>
        <v>2920.331</v>
      </c>
      <c r="T154" s="46">
        <f>'Inputs (2)'!O20</f>
        <v>2337.541</v>
      </c>
      <c r="U154" s="46">
        <f>'Inputs (2)'!P20</f>
        <v>2228.121</v>
      </c>
      <c r="V154" s="46">
        <f>'Inputs (2)'!Q20</f>
        <v>2019.991</v>
      </c>
      <c r="W154" s="12">
        <f>'Inputs (2)'!R20</f>
        <v>2019.991</v>
      </c>
      <c r="X154" s="46">
        <f>'Inputs (2)'!S20</f>
        <v>1684.062</v>
      </c>
      <c r="Y154" s="46">
        <f>'Inputs (2)'!T20</f>
        <v>1748.821</v>
      </c>
      <c r="Z154" s="46">
        <f>'Inputs (2)'!U20</f>
        <v>3461.649</v>
      </c>
      <c r="AA154" s="46">
        <f>'Inputs (2)'!V20</f>
        <v>2441.749</v>
      </c>
      <c r="AB154" s="12">
        <f>'Inputs (2)'!W20</f>
        <v>2441.749</v>
      </c>
      <c r="AC154" s="46">
        <f>'Inputs (2)'!X20</f>
        <v>3526.946</v>
      </c>
      <c r="AD154" s="46">
        <f>'Inputs (2)'!Y20</f>
        <v>2570.301</v>
      </c>
      <c r="AE154" s="46">
        <f>'Inputs (2)'!Z20</f>
        <v>2200.475</v>
      </c>
      <c r="AF154" s="46">
        <f>'Inputs (2)'!AA20</f>
        <v>2365.271</v>
      </c>
      <c r="AG154" s="12">
        <f>'Inputs (2)'!AB20</f>
        <v>2365.271</v>
      </c>
      <c r="AH154" s="12">
        <f>'Inputs (2)'!AC20</f>
        <v>2200.206</v>
      </c>
      <c r="AI154" s="12">
        <f>'Inputs (2)'!AD20</f>
        <v>2081.861</v>
      </c>
      <c r="AJ154" s="12">
        <f>AI154</f>
        <v>2081.861</v>
      </c>
      <c r="AK154" s="12">
        <f>AJ154</f>
        <v>2081.861</v>
      </c>
      <c r="AL154" s="12">
        <f>AK154</f>
        <v>2081.861</v>
      </c>
      <c r="AM154" s="12">
        <f>AL154</f>
        <v>2081.861</v>
      </c>
      <c r="AN154" s="12">
        <f>AM154</f>
        <v>2081.861</v>
      </c>
      <c r="AO154" s="12">
        <f>AN154</f>
        <v>2081.861</v>
      </c>
      <c r="AP154" s="12">
        <f>AO154</f>
        <v>2081.861</v>
      </c>
      <c r="AQ154" s="12">
        <f>AP154</f>
        <v>2081.861</v>
      </c>
      <c r="AR154" s="12">
        <f>AQ154</f>
        <v>2081.861</v>
      </c>
      <c r="AS154" s="12">
        <f>AR154</f>
        <v>2081.861</v>
      </c>
      <c r="AT154" s="12">
        <f>AS154</f>
        <v>2081.861</v>
      </c>
      <c r="AU154" s="12">
        <f>AT154</f>
        <v>2081.861</v>
      </c>
      <c r="AV154" s="12">
        <f>AU154</f>
        <v>2081.861</v>
      </c>
      <c r="AW154" s="12">
        <f>AV154</f>
        <v>2081.861</v>
      </c>
      <c r="AX154" s="12">
        <f>AW154</f>
        <v>2081.861</v>
      </c>
      <c r="AY154" s="12">
        <f>AX154</f>
        <v>2081.861</v>
      </c>
      <c r="AZ154" s="12">
        <f>AY154</f>
        <v>2081.861</v>
      </c>
      <c r="BA154" s="12">
        <f>AZ154</f>
        <v>2081.861</v>
      </c>
      <c r="BB154" s="12">
        <f>BA154</f>
        <v>2081.861</v>
      </c>
      <c r="BC154" s="12">
        <f>BB154</f>
        <v>2081.861</v>
      </c>
      <c r="BD154" s="12">
        <f>BC154</f>
        <v>2081.861</v>
      </c>
      <c r="BE154" s="12">
        <f>BD154</f>
        <v>2081.861</v>
      </c>
      <c r="BF154" s="12">
        <f>BE154</f>
        <v>2081.861</v>
      </c>
      <c r="BG154" s="12" t="n"/>
      <c r="BH154" s="12" t="n"/>
      <c r="BI154" s="12" t="n"/>
      <c r="BJ154" s="12" t="n"/>
      <c r="BK154" s="12" t="n"/>
      <c r="BL154" s="12" t="n"/>
      <c r="BM154" s="12" t="n"/>
      <c r="BN154" s="12" t="n"/>
      <c r="BO154" s="12" t="n"/>
      <c r="BP154" s="12" t="n"/>
      <c r="BQ154" s="12" t="n"/>
      <c r="BR154" s="12" t="n"/>
      <c r="BS154" s="12" t="n"/>
      <c r="BT154" s="12" t="n"/>
      <c r="BU154" s="12" t="n"/>
      <c r="BV154" s="12" t="n"/>
      <c r="BW154" s="12" t="n"/>
      <c r="BX154" s="12" t="n"/>
      <c r="BY154" s="12" t="n"/>
      <c r="BZ154" s="12" t="n"/>
      <c r="CA154" s="12" t="n"/>
      <c r="CB154" s="12" t="n"/>
      <c r="CC154" s="12" t="n"/>
      <c r="CD154" s="12" t="n"/>
      <c r="CE154" s="12" t="n"/>
      <c r="CF154" s="12" t="n"/>
      <c r="CG154" s="12" t="n"/>
      <c r="CH154" s="12" t="n"/>
      <c r="CI154" s="12" t="n"/>
      <c r="CJ154" s="12" t="n"/>
      <c r="CK154" s="12" t="n"/>
      <c r="CL154" s="12" t="n"/>
      <c r="CM154" s="12" t="n"/>
      <c r="CN154" s="12" t="n"/>
      <c r="CO154" s="12" t="n"/>
      <c r="CP154" s="12" t="n"/>
      <c r="CQ154" s="12" t="n"/>
      <c r="CR154" s="12" t="n"/>
      <c r="CS154" s="12" t="n"/>
      <c r="CT154" s="12" t="n"/>
      <c r="CU154" s="12" t="n"/>
      <c r="CV154" s="12" t="n"/>
      <c r="CW154" s="12" t="n"/>
      <c r="CX154" s="12" t="n"/>
      <c r="CY154" s="12" t="n"/>
    </row>
    <row r="155" hidden="1" outlineLevel="1">
      <c r="C155" s="59" t="inlineStr">
        <is>
          <t>%(Var.)</t>
        </is>
      </c>
      <c r="D155" s="12" t="n"/>
      <c r="E155" s="40" t="n"/>
      <c r="F155" s="40" t="n"/>
      <c r="G155" s="40" t="n"/>
      <c r="H155" s="12" t="n"/>
      <c r="I155" s="40" t="str">
        <f>""</f>
        <v/>
      </c>
      <c r="J155" s="40">
        <f>IFERROR(IF(I154=0,"",J154/I154-1),"")</f>
        <v>0.10297715088742</v>
      </c>
      <c r="K155" s="40">
        <f>IFERROR(IF(J154=0,"",K154/J154-1),"")</f>
        <v>0.0146167095297642</v>
      </c>
      <c r="L155" s="40">
        <f>IFERROR(IF(K154=0,"",L154/K154-1),"")</f>
        <v>1.0335968839021</v>
      </c>
      <c r="M155" s="12">
        <f>IFERROR(IF(L154=0,"",M154/L154-1),"")</f>
        <v>0</v>
      </c>
      <c r="N155" s="40">
        <f>IFERROR(IF(M154=0,"",N154/M154-1),"")</f>
        <v>3.96254420395713</v>
      </c>
      <c r="O155" s="40">
        <f>IFERROR(IF(N154=0,"",O154/N154-1),"")</f>
        <v>0.179041565349938</v>
      </c>
      <c r="P155" s="40">
        <f>IFERROR(IF(O154=0,"",P154/O154-1),"")</f>
        <v>-0.0763637873835316</v>
      </c>
      <c r="Q155" s="40">
        <f>IFERROR(IF(P154=0,"",Q154/P154-1),"")</f>
        <v>0.279799957363453</v>
      </c>
      <c r="R155" s="12">
        <f>IFERROR(IF(Q154=0,"",R154/Q154-1),"")</f>
        <v>0</v>
      </c>
      <c r="S155" s="40">
        <f>IFERROR(IF(R154=0,"",S154/R154-1),"")</f>
        <v>0.207082539380738</v>
      </c>
      <c r="T155" s="40">
        <f>IFERROR(IF(S154=0,"",T154/S154-1),"")</f>
        <v>-0.199562994742719</v>
      </c>
      <c r="U155" s="40">
        <f>IFERROR(IF(T154=0,"",U154/T154-1),"")</f>
        <v>-0.046809874136967</v>
      </c>
      <c r="V155" s="40">
        <f>IFERROR(IF(U154=0,"",V154/U154-1),"")</f>
        <v>-0.0934105463751744</v>
      </c>
      <c r="W155" s="12">
        <f>IFERROR(IF(V154=0,"",W154/V154-1),"")</f>
        <v>0</v>
      </c>
      <c r="X155" s="40">
        <f>IFERROR(IF(W154=0,"",X154/W154-1),"")</f>
        <v>-0.166302226099027</v>
      </c>
      <c r="Y155" s="40">
        <f>IFERROR(IF(X154=0,"",Y154/X154-1),"")</f>
        <v>0.0384540474163067</v>
      </c>
      <c r="Z155" s="40">
        <f>IFERROR(IF(Y154=0,"",Z154/Y154-1),"")</f>
        <v>0.979418705516459</v>
      </c>
      <c r="AA155" s="40">
        <f>IFERROR(IF(Z154=0,"",AA154/Z154-1),"")</f>
        <v>-0.294628369311851</v>
      </c>
      <c r="AB155" s="12">
        <f>IFERROR(IF(AA154=0,"",AB154/AA154-1),"")</f>
        <v>0</v>
      </c>
      <c r="AC155" s="40">
        <f>IFERROR(IF(AB154=0,"",AC154/AB154-1),"")</f>
        <v>0.444434296891286</v>
      </c>
      <c r="AD155" s="40">
        <f>IFERROR(IF(AC154=0,"",AD154/AC154-1),"")</f>
        <v>-0.271238913212734</v>
      </c>
      <c r="AE155" s="40">
        <f>IFERROR(IF(AD154=0,"",AE154/AD154-1),"")</f>
        <v>-0.143884315494567</v>
      </c>
      <c r="AF155" s="55">
        <f>IFERROR(IF(AE154=0,"",AF154/AE154-1),"")</f>
        <v>0.0748911030572945</v>
      </c>
      <c r="AG155" s="12">
        <f>IFERROR(IF(AF154=0,"",AG154/AF154-1),"")</f>
        <v>0</v>
      </c>
      <c r="AH155" s="12">
        <f>IFERROR(IF(AG154=0,"",AH154/AG154-1),"")</f>
        <v>-0.0697869292778713</v>
      </c>
      <c r="AI155" s="12">
        <f>IFERROR(IF(AH154=0,"",AI154/AH154-1),"")</f>
        <v>-0.0537881452918501</v>
      </c>
      <c r="AJ155" s="12">
        <f>IFERROR(IF(AI154=0,"",AJ154/AI154-1),"")</f>
        <v>0</v>
      </c>
      <c r="AK155" s="12">
        <f>IFERROR(IF(AJ154=0,"",AK154/AJ154-1),"")</f>
        <v>0</v>
      </c>
      <c r="AL155" s="12">
        <f>IFERROR(IF(AK154=0,"",AL154/AK154-1),"")</f>
        <v>0</v>
      </c>
      <c r="AM155" s="12">
        <f>IFERROR(IF(AL154=0,"",AM154/AL154-1),"")</f>
        <v>0</v>
      </c>
      <c r="AN155" s="12">
        <f>IFERROR(IF(AM154=0,"",AN154/AM154-1),"")</f>
        <v>0</v>
      </c>
      <c r="AO155" s="12">
        <f>IFERROR(IF(AN154=0,"",AO154/AN154-1),"")</f>
        <v>0</v>
      </c>
      <c r="AP155" s="12">
        <f>IFERROR(IF(AO154=0,"",AP154/AO154-1),"")</f>
        <v>0</v>
      </c>
      <c r="AQ155" s="12">
        <f>IFERROR(IF(AP154=0,"",AQ154/AP154-1),"")</f>
        <v>0</v>
      </c>
      <c r="AR155" s="12">
        <f>IFERROR(IF(AQ154=0,"",AR154/AQ154-1),"")</f>
        <v>0</v>
      </c>
      <c r="AS155" s="12">
        <f>IFERROR(IF(AR154=0,"",AS154/AR154-1),"")</f>
        <v>0</v>
      </c>
      <c r="AT155" s="12">
        <f>IFERROR(IF(AS154=0,"",AT154/AS154-1),"")</f>
        <v>0</v>
      </c>
      <c r="AU155" s="12">
        <f>IFERROR(IF(AT154=0,"",AU154/AT154-1),"")</f>
        <v>0</v>
      </c>
      <c r="AV155" s="12">
        <f>IFERROR(IF(AU154=0,"",AV154/AU154-1),"")</f>
        <v>0</v>
      </c>
      <c r="AW155" s="12">
        <f>IFERROR(IF(AV154=0,"",AW154/AV154-1),"")</f>
        <v>0</v>
      </c>
      <c r="AX155" s="12">
        <f>IFERROR(IF(AW154=0,"",AX154/AW154-1),"")</f>
        <v>0</v>
      </c>
      <c r="AY155" s="12">
        <f>IFERROR(IF(AX154=0,"",AY154/AX154-1),"")</f>
        <v>0</v>
      </c>
      <c r="AZ155" s="12">
        <f>IFERROR(IF(AY154=0,"",AZ154/AY154-1),"")</f>
        <v>0</v>
      </c>
      <c r="BA155" s="12">
        <f>IFERROR(IF(AZ154=0,"",BA154/AZ154-1),"")</f>
        <v>0</v>
      </c>
      <c r="BB155" s="12">
        <f>IFERROR(IF(BA154=0,"",BB154/BA154-1),"")</f>
        <v>0</v>
      </c>
      <c r="BC155" s="12">
        <f>IFERROR(IF(BB154=0,"",BC154/BB154-1),"")</f>
        <v>0</v>
      </c>
      <c r="BD155" s="12">
        <f>IFERROR(IF(BC154=0,"",BD154/BC154-1),"")</f>
        <v>0</v>
      </c>
      <c r="BE155" s="12">
        <f>IFERROR(IF(BD154=0,"",BE154/BD154-1),"")</f>
        <v>0</v>
      </c>
      <c r="BF155" s="12">
        <f>IFERROR(IF(BE154=0,"",BF154/BE154-1),"")</f>
        <v>0</v>
      </c>
      <c r="BG155" s="12" t="n"/>
      <c r="BH155" s="12" t="n"/>
      <c r="BI155" s="12" t="n"/>
      <c r="BJ155" s="12" t="n"/>
      <c r="BK155" s="12" t="n"/>
      <c r="BL155" s="12" t="n"/>
      <c r="BM155" s="12" t="n"/>
      <c r="BN155" s="12" t="n"/>
      <c r="BO155" s="12" t="n"/>
      <c r="BP155" s="12" t="n"/>
      <c r="BQ155" s="12" t="n"/>
      <c r="BR155" s="12" t="n"/>
      <c r="BS155" s="12" t="n"/>
      <c r="BT155" s="12" t="n"/>
      <c r="BU155" s="12" t="n"/>
      <c r="BV155" s="12" t="n"/>
      <c r="BW155" s="12" t="n"/>
      <c r="BX155" s="12" t="n"/>
      <c r="BY155" s="12" t="n"/>
      <c r="BZ155" s="12" t="n"/>
      <c r="CA155" s="12" t="n"/>
      <c r="CB155" s="12" t="n"/>
      <c r="CC155" s="12" t="n"/>
      <c r="CD155" s="12" t="n"/>
      <c r="CE155" s="12" t="n"/>
      <c r="CF155" s="12" t="n"/>
      <c r="CG155" s="12" t="n"/>
      <c r="CH155" s="12" t="n"/>
      <c r="CI155" s="12" t="n"/>
      <c r="CJ155" s="12" t="n"/>
      <c r="CK155" s="12" t="n"/>
      <c r="CL155" s="12" t="n"/>
      <c r="CM155" s="12" t="n"/>
      <c r="CN155" s="12" t="n"/>
      <c r="CO155" s="12" t="n"/>
      <c r="CP155" s="12" t="n"/>
      <c r="CQ155" s="12" t="n"/>
      <c r="CR155" s="12" t="n"/>
      <c r="CS155" s="12" t="n"/>
      <c r="CT155" s="12" t="n"/>
      <c r="CU155" s="12" t="n"/>
      <c r="CV155" s="12" t="n"/>
      <c r="CW155" s="12" t="n"/>
      <c r="CX155" s="12" t="n"/>
      <c r="CY155" s="12" t="n"/>
    </row>
    <row r="156" hidden="1" outlineLevel="1">
      <c r="C156" s="57" t="n"/>
      <c r="D156" s="12" t="n"/>
      <c r="E156" s="40" t="n"/>
      <c r="F156" s="12" t="n"/>
      <c r="G156" s="12" t="n"/>
      <c r="H156" s="12" t="n"/>
      <c r="I156" s="12" t="n"/>
      <c r="J156" s="12" t="n"/>
      <c r="K156" s="12" t="n"/>
      <c r="L156" s="12" t="n"/>
      <c r="M156" s="12" t="n"/>
      <c r="N156" s="12" t="n"/>
      <c r="O156" s="12" t="n"/>
      <c r="P156" s="12" t="n"/>
      <c r="Q156" s="12" t="n"/>
      <c r="R156" s="12" t="n"/>
      <c r="S156" s="12" t="n"/>
      <c r="T156" s="12" t="n"/>
      <c r="U156" s="12" t="n"/>
      <c r="V156" s="12" t="n"/>
      <c r="W156" s="12" t="n"/>
      <c r="X156" s="12" t="n"/>
      <c r="Y156" s="12" t="n"/>
      <c r="Z156" s="12" t="n"/>
      <c r="AA156" s="12" t="n"/>
      <c r="AB156" s="12" t="n"/>
      <c r="AC156" s="12" t="n"/>
      <c r="AD156" s="12" t="n"/>
      <c r="AE156" s="12" t="n"/>
      <c r="AF156" s="12" t="n"/>
      <c r="AG156" s="12" t="n"/>
      <c r="AH156" s="12" t="n"/>
      <c r="AI156" s="12" t="n"/>
      <c r="AJ156" s="12" t="n"/>
      <c r="AK156" s="12" t="n"/>
      <c r="AL156" s="12" t="n"/>
      <c r="AM156" s="12" t="n"/>
      <c r="AN156" s="12" t="n"/>
      <c r="AO156" s="12" t="n"/>
      <c r="AP156" s="12" t="n"/>
      <c r="AQ156" s="12" t="n"/>
      <c r="AR156" s="12" t="n"/>
      <c r="AS156" s="12" t="n"/>
      <c r="AT156" s="12" t="n"/>
      <c r="AU156" s="12" t="n"/>
      <c r="AV156" s="12" t="n"/>
      <c r="AW156" s="12" t="n"/>
      <c r="AX156" s="12" t="n"/>
      <c r="AY156" s="12" t="n"/>
      <c r="AZ156" s="12" t="n"/>
      <c r="BA156" s="12" t="n"/>
      <c r="BB156" s="12" t="n"/>
      <c r="BC156" s="12" t="n"/>
      <c r="BD156" s="12" t="n"/>
      <c r="BE156" s="12" t="n"/>
      <c r="BF156" s="12" t="n"/>
      <c r="BG156" s="12" t="n"/>
      <c r="BH156" s="12" t="n"/>
      <c r="BI156" s="12" t="n"/>
      <c r="BJ156" s="12" t="n"/>
      <c r="BK156" s="12" t="n"/>
      <c r="BL156" s="12" t="n"/>
      <c r="BM156" s="12" t="n"/>
      <c r="BN156" s="12" t="n"/>
      <c r="BO156" s="12" t="n"/>
      <c r="BP156" s="12" t="n"/>
      <c r="BQ156" s="12" t="n"/>
      <c r="BR156" s="12" t="n"/>
      <c r="BS156" s="12" t="n"/>
      <c r="BT156" s="12" t="n"/>
      <c r="BU156" s="12" t="n"/>
      <c r="BV156" s="12" t="n"/>
      <c r="BW156" s="12" t="n"/>
      <c r="BX156" s="12" t="n"/>
      <c r="BY156" s="12" t="n"/>
      <c r="BZ156" s="12" t="n"/>
      <c r="CA156" s="12" t="n"/>
      <c r="CB156" s="12" t="n"/>
      <c r="CC156" s="12" t="n"/>
      <c r="CD156" s="12" t="n"/>
      <c r="CE156" s="12" t="n"/>
      <c r="CF156" s="12" t="n"/>
      <c r="CG156" s="12" t="n"/>
      <c r="CH156" s="12" t="n"/>
      <c r="CI156" s="12" t="n"/>
      <c r="CJ156" s="12" t="n"/>
      <c r="CK156" s="12" t="n"/>
      <c r="CL156" s="12" t="n"/>
      <c r="CM156" s="12" t="n"/>
      <c r="CN156" s="12" t="n"/>
      <c r="CO156" s="12" t="n"/>
      <c r="CP156" s="12" t="n"/>
      <c r="CQ156" s="12" t="n"/>
      <c r="CR156" s="12" t="n"/>
      <c r="CS156" s="12" t="n"/>
      <c r="CT156" s="12" t="n"/>
      <c r="CU156" s="12" t="n"/>
      <c r="CV156" s="12" t="n"/>
      <c r="CW156" s="12" t="n"/>
      <c r="CX156" s="12" t="n"/>
      <c r="CY156" s="12" t="n"/>
    </row>
    <row r="157" hidden="1" outlineLevel="1">
      <c r="C157" s="60" t="inlineStr">
        <is>
          <t xml:space="preserve">Impostos e Contribuições a Recuperar </t>
        </is>
      </c>
      <c r="D157" s="11" t="n"/>
      <c r="E157" s="11" t="n"/>
      <c r="F157" s="11" t="n"/>
      <c r="G157" s="11" t="n"/>
      <c r="H157" s="12" t="n"/>
      <c r="I157" s="11" t="n"/>
      <c r="J157" s="11" t="n"/>
      <c r="K157" s="11" t="n"/>
      <c r="L157" s="11" t="n"/>
      <c r="M157" s="12" t="n"/>
      <c r="N157" s="11" t="n"/>
      <c r="O157" s="11" t="n"/>
      <c r="P157" s="11" t="n"/>
      <c r="Q157" s="11" t="n"/>
      <c r="R157" s="12" t="n"/>
      <c r="S157" s="11" t="n"/>
      <c r="T157" s="11" t="n"/>
      <c r="U157" s="11" t="n"/>
      <c r="V157" s="11" t="n"/>
      <c r="W157" s="12" t="n"/>
      <c r="X157" s="11" t="n"/>
      <c r="Y157" s="11" t="n"/>
      <c r="Z157" s="11" t="n"/>
      <c r="AA157" s="11" t="n"/>
      <c r="AB157" s="12" t="n"/>
      <c r="AC157" s="11" t="n"/>
      <c r="AD157" s="11" t="n"/>
      <c r="AE157" s="11" t="n"/>
      <c r="AF157" s="11" t="n"/>
      <c r="AG157" s="12">
        <f>AF157</f>
        <v>0</v>
      </c>
      <c r="AH157" s="61">
        <f>IFERROR(AG157*AH15/AG15,"")</f>
        <v>0</v>
      </c>
      <c r="AI157" s="61">
        <f>IFERROR(AH157*AI15/AH15,"")</f>
        <v>0</v>
      </c>
      <c r="AJ157" s="61">
        <f>IFERROR(AI157*AJ15/AI15,"")</f>
        <v>0</v>
      </c>
      <c r="AK157" s="61">
        <f>IFERROR(AJ157*AK15/AJ15,"")</f>
        <v>0</v>
      </c>
      <c r="AL157" s="12">
        <f>IFERROR(AK157,"")</f>
        <v>0</v>
      </c>
      <c r="AM157" s="12" t="n"/>
      <c r="AN157" s="12" t="n"/>
      <c r="AO157" s="12" t="n"/>
      <c r="AP157" s="12" t="n"/>
      <c r="AQ157" s="12" t="n"/>
      <c r="AR157" s="12" t="n"/>
      <c r="AS157" s="12" t="n"/>
      <c r="AT157" s="12" t="n"/>
      <c r="AU157" s="12" t="n"/>
      <c r="AV157" s="12" t="n"/>
      <c r="AW157" s="12" t="n"/>
      <c r="AX157" s="12" t="n"/>
      <c r="AY157" s="12" t="n"/>
      <c r="AZ157" s="12" t="n"/>
      <c r="BA157" s="12" t="n"/>
      <c r="BB157" s="12" t="n"/>
      <c r="BC157" s="12" t="n"/>
      <c r="BD157" s="12" t="n"/>
      <c r="BE157" s="12" t="n"/>
      <c r="BF157" s="12" t="n"/>
      <c r="BG157" s="12" t="n"/>
      <c r="BH157" s="12" t="n"/>
      <c r="BI157" s="12" t="n"/>
      <c r="BJ157" s="12" t="n"/>
      <c r="BK157" s="12" t="n"/>
      <c r="BL157" s="12" t="n"/>
      <c r="BM157" s="12" t="n"/>
      <c r="BN157" s="12" t="n"/>
      <c r="BO157" s="12" t="n"/>
      <c r="BP157" s="12" t="n"/>
      <c r="BQ157" s="12" t="n"/>
      <c r="BR157" s="12" t="n"/>
      <c r="BS157" s="12" t="n"/>
      <c r="BT157" s="12" t="n"/>
      <c r="BU157" s="12" t="n"/>
      <c r="BV157" s="12" t="n"/>
      <c r="BW157" s="12" t="n"/>
      <c r="BX157" s="12" t="n"/>
      <c r="BY157" s="12" t="n"/>
      <c r="BZ157" s="12" t="n"/>
      <c r="CA157" s="12" t="n"/>
      <c r="CB157" s="12" t="n"/>
      <c r="CC157" s="12" t="n"/>
      <c r="CD157" s="12" t="n"/>
      <c r="CE157" s="12" t="n"/>
      <c r="CF157" s="12" t="n"/>
      <c r="CG157" s="12" t="n"/>
      <c r="CH157" s="12" t="n"/>
      <c r="CI157" s="12" t="n"/>
      <c r="CJ157" s="12" t="n"/>
      <c r="CK157" s="12" t="n"/>
      <c r="CL157" s="12" t="n"/>
      <c r="CM157" s="12" t="n"/>
      <c r="CN157" s="12" t="n"/>
      <c r="CO157" s="12" t="n"/>
      <c r="CP157" s="12" t="n"/>
      <c r="CQ157" s="12" t="n"/>
      <c r="CR157" s="12" t="n"/>
      <c r="CS157" s="12" t="n"/>
      <c r="CT157" s="12" t="n"/>
      <c r="CU157" s="12" t="n"/>
      <c r="CV157" s="12" t="n"/>
      <c r="CW157" s="12" t="n"/>
      <c r="CX157" s="12" t="n"/>
      <c r="CY157" s="12" t="n"/>
    </row>
    <row r="158" hidden="1" outlineLevel="1">
      <c r="C158" s="60" t="inlineStr">
        <is>
          <t>Outros Créditos</t>
        </is>
      </c>
      <c r="D158" s="11" t="n"/>
      <c r="E158" s="11" t="n"/>
      <c r="F158" s="11" t="n"/>
      <c r="G158" s="11" t="n"/>
      <c r="H158" s="12" t="n"/>
      <c r="I158" s="11" t="n"/>
      <c r="J158" s="11" t="n"/>
      <c r="K158" s="11" t="n"/>
      <c r="L158" s="11" t="n"/>
      <c r="M158" s="12" t="n"/>
      <c r="N158" s="11" t="n"/>
      <c r="O158" s="11" t="n"/>
      <c r="P158" s="11" t="n"/>
      <c r="Q158" s="11" t="n"/>
      <c r="R158" s="12" t="n"/>
      <c r="S158" s="11" t="n"/>
      <c r="T158" s="11" t="n"/>
      <c r="U158" s="11" t="n"/>
      <c r="V158" s="11" t="n"/>
      <c r="W158" s="12" t="n"/>
      <c r="X158" s="11" t="n"/>
      <c r="Y158" s="11" t="n"/>
      <c r="Z158" s="11" t="n"/>
      <c r="AA158" s="11" t="n"/>
      <c r="AB158" s="12" t="n"/>
      <c r="AC158" s="11" t="n"/>
      <c r="AD158" s="11" t="n"/>
      <c r="AE158" s="11" t="n"/>
      <c r="AF158" s="11" t="n"/>
      <c r="AG158" s="12">
        <f>AF158</f>
        <v>0</v>
      </c>
      <c r="AH158" s="12">
        <f>AG158</f>
        <v>0</v>
      </c>
      <c r="AI158" s="12">
        <f>AH158</f>
        <v>0</v>
      </c>
      <c r="AJ158" s="12">
        <f>AI158</f>
        <v>0</v>
      </c>
      <c r="AK158" s="12">
        <f>AJ158</f>
        <v>0</v>
      </c>
      <c r="AL158" s="12">
        <f>AK158</f>
        <v>0</v>
      </c>
      <c r="AM158" s="12" t="n"/>
      <c r="AN158" s="12" t="n"/>
      <c r="AO158" s="12" t="n"/>
      <c r="AP158" s="12" t="n"/>
      <c r="AQ158" s="12" t="n"/>
      <c r="AR158" s="12" t="n"/>
      <c r="AS158" s="12" t="n"/>
      <c r="AT158" s="12" t="n"/>
      <c r="AU158" s="12" t="n"/>
      <c r="AV158" s="12" t="n"/>
      <c r="AW158" s="12" t="n"/>
      <c r="AX158" s="12" t="n"/>
      <c r="AY158" s="12" t="n"/>
      <c r="AZ158" s="12" t="n"/>
      <c r="BA158" s="12" t="n"/>
      <c r="BB158" s="12" t="n"/>
      <c r="BC158" s="12" t="n"/>
      <c r="BD158" s="12" t="n"/>
      <c r="BE158" s="12" t="n"/>
      <c r="BF158" s="12" t="n"/>
      <c r="BG158" s="12" t="n"/>
      <c r="BH158" s="12" t="n"/>
      <c r="BI158" s="12" t="n"/>
      <c r="BJ158" s="12" t="n"/>
      <c r="BK158" s="12" t="n"/>
      <c r="BL158" s="12" t="n"/>
      <c r="BM158" s="12" t="n"/>
      <c r="BN158" s="12" t="n"/>
      <c r="BO158" s="12" t="n"/>
      <c r="BP158" s="12" t="n"/>
      <c r="BQ158" s="12" t="n"/>
      <c r="BR158" s="12" t="n"/>
      <c r="BS158" s="12" t="n"/>
      <c r="BT158" s="12" t="n"/>
      <c r="BU158" s="12" t="n"/>
      <c r="BV158" s="12" t="n"/>
      <c r="BW158" s="12" t="n"/>
      <c r="BX158" s="12" t="n"/>
      <c r="BY158" s="12" t="n"/>
      <c r="BZ158" s="12" t="n"/>
      <c r="CA158" s="12" t="n"/>
      <c r="CB158" s="12" t="n"/>
      <c r="CC158" s="12" t="n"/>
      <c r="CD158" s="12" t="n"/>
      <c r="CE158" s="12" t="n"/>
      <c r="CF158" s="12" t="n"/>
      <c r="CG158" s="12" t="n"/>
      <c r="CH158" s="12" t="n"/>
      <c r="CI158" s="12" t="n"/>
      <c r="CJ158" s="12" t="n"/>
      <c r="CK158" s="12" t="n"/>
      <c r="CL158" s="12" t="n"/>
      <c r="CM158" s="12" t="n"/>
      <c r="CN158" s="12" t="n"/>
      <c r="CO158" s="12" t="n"/>
      <c r="CP158" s="12" t="n"/>
      <c r="CQ158" s="12" t="n"/>
      <c r="CR158" s="12" t="n"/>
      <c r="CS158" s="12" t="n"/>
      <c r="CT158" s="12" t="n"/>
      <c r="CU158" s="12" t="n"/>
      <c r="CV158" s="12" t="n"/>
      <c r="CW158" s="12" t="n"/>
      <c r="CX158" s="12" t="n"/>
      <c r="CY158" s="12" t="n"/>
    </row>
    <row r="159" hidden="1" outlineLevel="1">
      <c r="C159" s="57" t="n"/>
      <c r="D159" s="12" t="n"/>
      <c r="E159" s="12" t="n"/>
      <c r="F159" s="12" t="n"/>
      <c r="G159" s="12" t="n"/>
      <c r="H159" s="12" t="n"/>
      <c r="I159" s="12" t="n"/>
      <c r="J159" s="12" t="n"/>
      <c r="K159" s="12" t="n"/>
      <c r="L159" s="12" t="n"/>
      <c r="M159" s="12" t="n"/>
      <c r="N159" s="12" t="n"/>
      <c r="O159" s="12" t="n"/>
      <c r="P159" s="12" t="n"/>
      <c r="Q159" s="12" t="n"/>
      <c r="R159" s="12" t="n"/>
      <c r="S159" s="12" t="n"/>
      <c r="T159" s="12" t="n"/>
      <c r="U159" s="12" t="n"/>
      <c r="V159" s="12" t="n"/>
      <c r="W159" s="12" t="n"/>
      <c r="X159" s="12" t="n"/>
      <c r="Y159" s="12" t="n"/>
      <c r="Z159" s="12" t="n"/>
      <c r="AA159" s="12" t="n"/>
      <c r="AB159" s="12" t="n"/>
      <c r="AC159" s="12" t="n"/>
      <c r="AD159" s="12" t="n"/>
      <c r="AE159" s="12" t="n"/>
      <c r="AF159" s="12" t="n"/>
      <c r="AG159" s="12" t="n"/>
      <c r="AH159" s="12" t="n"/>
      <c r="AI159" s="12" t="n"/>
      <c r="AJ159" s="12" t="n"/>
      <c r="AK159" s="12" t="n"/>
      <c r="AL159" s="12" t="n"/>
      <c r="AM159" s="12" t="n"/>
      <c r="AN159" s="12" t="n"/>
      <c r="AO159" s="12" t="n"/>
      <c r="AP159" s="12" t="n"/>
      <c r="AQ159" s="12" t="n"/>
      <c r="AR159" s="12" t="n"/>
      <c r="AS159" s="12" t="n"/>
      <c r="AT159" s="12" t="n"/>
      <c r="AU159" s="12" t="n"/>
      <c r="AV159" s="12" t="n"/>
      <c r="AW159" s="12" t="n"/>
      <c r="AX159" s="12" t="n"/>
      <c r="AY159" s="12" t="n"/>
      <c r="AZ159" s="12" t="n"/>
      <c r="BA159" s="12" t="n"/>
      <c r="BB159" s="12" t="n"/>
      <c r="BC159" s="12" t="n"/>
      <c r="BD159" s="12" t="n"/>
      <c r="BE159" s="12" t="n"/>
      <c r="BF159" s="12" t="n"/>
      <c r="BG159" s="12" t="n"/>
      <c r="BH159" s="12" t="n"/>
      <c r="BI159" s="12" t="n"/>
      <c r="BJ159" s="12" t="n"/>
      <c r="BK159" s="12" t="n"/>
      <c r="BL159" s="12" t="n"/>
      <c r="BM159" s="12" t="n"/>
      <c r="BN159" s="12" t="n"/>
      <c r="BO159" s="12" t="n"/>
      <c r="BP159" s="12" t="n"/>
      <c r="BQ159" s="12" t="n"/>
      <c r="BR159" s="12" t="n"/>
      <c r="BS159" s="12" t="n"/>
      <c r="BT159" s="12" t="n"/>
      <c r="BU159" s="12" t="n"/>
      <c r="BV159" s="12" t="n"/>
      <c r="BW159" s="12" t="n"/>
      <c r="BX159" s="12" t="n"/>
      <c r="BY159" s="12" t="n"/>
      <c r="BZ159" s="12" t="n"/>
      <c r="CA159" s="12" t="n"/>
      <c r="CB159" s="12" t="n"/>
      <c r="CC159" s="12" t="n"/>
      <c r="CD159" s="12" t="n"/>
      <c r="CE159" s="12" t="n"/>
      <c r="CF159" s="12" t="n"/>
      <c r="CG159" s="12" t="n"/>
      <c r="CH159" s="12" t="n"/>
      <c r="CI159" s="12" t="n"/>
      <c r="CJ159" s="12" t="n"/>
      <c r="CK159" s="12" t="n"/>
      <c r="CL159" s="12" t="n"/>
      <c r="CM159" s="12" t="n"/>
      <c r="CN159" s="12" t="n"/>
      <c r="CO159" s="12" t="n"/>
      <c r="CP159" s="12" t="n"/>
      <c r="CQ159" s="12" t="n"/>
      <c r="CR159" s="12" t="n"/>
      <c r="CS159" s="12" t="n"/>
      <c r="CT159" s="12" t="n"/>
      <c r="CU159" s="12" t="n"/>
      <c r="CV159" s="12" t="n"/>
      <c r="CW159" s="12" t="n"/>
      <c r="CX159" s="12" t="n"/>
      <c r="CY159" s="12" t="n"/>
    </row>
    <row r="160" collapsed="1">
      <c r="C160" s="14" t="inlineStr">
        <is>
          <t>Equity in affiliates</t>
        </is>
      </c>
      <c r="D160" s="46" t="n"/>
      <c r="E160" s="46" t="n"/>
      <c r="F160" s="46" t="n"/>
      <c r="G160" s="46" t="n"/>
      <c r="H160" s="12" t="n"/>
      <c r="I160" s="46">
        <f>'Inputs (2)'!D21</f>
        <v>0</v>
      </c>
      <c r="J160" s="46">
        <f>'Inputs (2)'!E21</f>
        <v>0</v>
      </c>
      <c r="K160" s="46">
        <f>'Inputs (2)'!F21</f>
        <v>0</v>
      </c>
      <c r="L160" s="46">
        <f>'Inputs (2)'!G21</f>
        <v>0</v>
      </c>
      <c r="M160" s="12">
        <f>'Inputs (2)'!H21</f>
        <v>0</v>
      </c>
      <c r="N160" s="46">
        <f>'Inputs (2)'!I21</f>
        <v>1101.829</v>
      </c>
      <c r="O160" s="46">
        <f>'Inputs (2)'!J21</f>
        <v>1015.723</v>
      </c>
      <c r="P160" s="46">
        <f>'Inputs (2)'!K21</f>
        <v>1077.88</v>
      </c>
      <c r="Q160" s="46">
        <f>'Inputs (2)'!L21</f>
        <v>2161.751</v>
      </c>
      <c r="R160" s="12">
        <f>'Inputs (2)'!M21</f>
        <v>2161.751</v>
      </c>
      <c r="S160" s="46">
        <f>'Inputs (2)'!N21</f>
        <v>2192.011</v>
      </c>
      <c r="T160" s="46">
        <f>'Inputs (2)'!O21</f>
        <v>2127.074</v>
      </c>
      <c r="U160" s="46">
        <f>'Inputs (2)'!P21</f>
        <v>2111.609</v>
      </c>
      <c r="V160" s="46">
        <f>'Inputs (2)'!Q21</f>
        <v>2057.307</v>
      </c>
      <c r="W160" s="12">
        <f>'Inputs (2)'!R21</f>
        <v>2057.307</v>
      </c>
      <c r="X160" s="46">
        <f>'Inputs (2)'!S21</f>
        <v>2111.899</v>
      </c>
      <c r="Y160" s="46">
        <f>'Inputs (2)'!T21</f>
        <v>2047.967</v>
      </c>
      <c r="Z160" s="46">
        <f>'Inputs (2)'!U21</f>
        <v>2105.551</v>
      </c>
      <c r="AA160" s="46">
        <f>'Inputs (2)'!V21</f>
        <v>2261.558</v>
      </c>
      <c r="AB160" s="12">
        <f>'Inputs (2)'!W21</f>
        <v>2261.558</v>
      </c>
      <c r="AC160" s="46">
        <f>'Inputs (2)'!X21</f>
        <v>2299.011</v>
      </c>
      <c r="AD160" s="46">
        <f>'Inputs (2)'!Y21</f>
        <v>2216.541</v>
      </c>
      <c r="AE160" s="46">
        <f>'Inputs (2)'!Z21</f>
        <v>2133.085</v>
      </c>
      <c r="AF160" s="46">
        <f>'Inputs (2)'!AA21</f>
        <v>2131.02</v>
      </c>
      <c r="AG160" s="12">
        <f>'Inputs (2)'!AB21</f>
        <v>2131.02</v>
      </c>
      <c r="AH160" s="12">
        <f>'Inputs (2)'!AC21</f>
        <v>2113.512</v>
      </c>
      <c r="AI160" s="12">
        <f>'Inputs (2)'!AD21</f>
        <v>2043.198</v>
      </c>
      <c r="AJ160" s="12">
        <f>AI160+AJ134</f>
        <v>2100.57875</v>
      </c>
      <c r="AK160" s="12">
        <f>AJ160+AK134</f>
        <v>2157.9595</v>
      </c>
      <c r="AL160" s="12">
        <f>AK160</f>
        <v>2157.9595</v>
      </c>
      <c r="AM160" s="12">
        <f>AL160+AM134</f>
        <v>2215.34025</v>
      </c>
      <c r="AN160" s="12">
        <f>AM160+AN134</f>
        <v>2272.721</v>
      </c>
      <c r="AO160" s="12">
        <f>AN160+AO134</f>
        <v>2330.10175</v>
      </c>
      <c r="AP160" s="12">
        <f>AO160+AP134</f>
        <v>2387.4825</v>
      </c>
      <c r="AQ160" s="12">
        <f>AP160</f>
        <v>2387.4825</v>
      </c>
      <c r="AR160" s="12">
        <f>AQ160+AR134</f>
        <v>2444.86325</v>
      </c>
      <c r="AS160" s="12">
        <f>AR160+AS134</f>
        <v>2502.244</v>
      </c>
      <c r="AT160" s="12">
        <f>AS160+AT134</f>
        <v>2559.62475</v>
      </c>
      <c r="AU160" s="12">
        <f>AT160+AU134</f>
        <v>2617.0055</v>
      </c>
      <c r="AV160" s="12">
        <f>AU160</f>
        <v>2617.0055</v>
      </c>
      <c r="AW160" s="12">
        <f>AV160+AW134</f>
        <v>2674.38625</v>
      </c>
      <c r="AX160" s="12">
        <f>AW160+AX134</f>
        <v>2731.767</v>
      </c>
      <c r="AY160" s="12">
        <f>AX160+AY134</f>
        <v>2789.14775</v>
      </c>
      <c r="AZ160" s="12">
        <f>AY160+AZ134</f>
        <v>2846.5285</v>
      </c>
      <c r="BA160" s="12">
        <f>AZ160</f>
        <v>2846.5285</v>
      </c>
      <c r="BB160" s="12">
        <f>BA160+BB134</f>
        <v>2903.90925</v>
      </c>
      <c r="BC160" s="12">
        <f>BB160+BC134</f>
        <v>2961.29</v>
      </c>
      <c r="BD160" s="12">
        <f>BC160+BD134</f>
        <v>3018.67075</v>
      </c>
      <c r="BE160" s="12">
        <f>BD160+BE134</f>
        <v>3076.0515</v>
      </c>
      <c r="BF160" s="12">
        <f>BE160</f>
        <v>3076.0515</v>
      </c>
      <c r="BG160" s="12" t="n"/>
      <c r="BH160" s="12" t="n"/>
      <c r="BI160" s="12" t="n"/>
      <c r="BJ160" s="12" t="n"/>
      <c r="BK160" s="12" t="n"/>
      <c r="BL160" s="12" t="n"/>
      <c r="BM160" s="12" t="n"/>
      <c r="BN160" s="12" t="n"/>
      <c r="BO160" s="12" t="n"/>
      <c r="BP160" s="12" t="n"/>
      <c r="BQ160" s="12" t="n"/>
      <c r="BR160" s="12" t="n"/>
      <c r="BS160" s="12" t="n"/>
      <c r="BT160" s="12" t="n"/>
      <c r="BU160" s="12" t="n"/>
      <c r="BV160" s="12" t="n"/>
      <c r="BW160" s="12" t="n"/>
      <c r="BX160" s="12" t="n"/>
      <c r="BY160" s="12" t="n"/>
      <c r="BZ160" s="12" t="n"/>
      <c r="CA160" s="12" t="n"/>
      <c r="CB160" s="12" t="n"/>
      <c r="CC160" s="12" t="n"/>
      <c r="CD160" s="12" t="n"/>
      <c r="CE160" s="12" t="n"/>
      <c r="CF160" s="12" t="n"/>
      <c r="CG160" s="12" t="n"/>
      <c r="CH160" s="12" t="n"/>
      <c r="CI160" s="12" t="n"/>
      <c r="CJ160" s="12" t="n"/>
      <c r="CK160" s="12" t="n"/>
      <c r="CL160" s="12" t="n"/>
      <c r="CM160" s="12" t="n"/>
      <c r="CN160" s="12" t="n"/>
      <c r="CO160" s="12" t="n"/>
      <c r="CP160" s="12" t="n"/>
      <c r="CQ160" s="12" t="n"/>
      <c r="CR160" s="12" t="n"/>
      <c r="CS160" s="12" t="n"/>
      <c r="CT160" s="12" t="n"/>
      <c r="CU160" s="12" t="n"/>
      <c r="CV160" s="12" t="n"/>
      <c r="CW160" s="12" t="n"/>
      <c r="CX160" s="12" t="n"/>
      <c r="CY160" s="12" t="n"/>
    </row>
    <row r="161" hidden="1" outlineLevel="1">
      <c r="C161" s="57" t="n"/>
      <c r="D161" s="12" t="n"/>
      <c r="E161" s="12" t="n"/>
      <c r="F161" s="12" t="n"/>
      <c r="G161" s="12" t="n"/>
      <c r="H161" s="12" t="n"/>
      <c r="I161" s="12" t="n"/>
      <c r="J161" s="12" t="n"/>
      <c r="K161" s="12" t="n"/>
      <c r="L161" s="12" t="n"/>
      <c r="M161" s="12" t="n"/>
      <c r="N161" s="12" t="n"/>
      <c r="O161" s="12" t="n"/>
      <c r="P161" s="12" t="n"/>
      <c r="Q161" s="12" t="n"/>
      <c r="R161" s="12" t="n"/>
      <c r="S161" s="12" t="n"/>
      <c r="T161" s="12" t="n"/>
      <c r="U161" s="12" t="n"/>
      <c r="V161" s="12" t="n"/>
      <c r="W161" s="12" t="n"/>
      <c r="X161" s="12" t="n"/>
      <c r="Y161" s="12" t="n"/>
      <c r="Z161" s="12" t="n"/>
      <c r="AA161" s="12" t="n"/>
      <c r="AB161" s="12" t="n"/>
      <c r="AC161" s="12" t="n"/>
      <c r="AD161" s="12" t="n"/>
      <c r="AE161" s="12" t="n"/>
      <c r="AF161" s="12" t="n"/>
      <c r="AG161" s="12" t="n"/>
      <c r="AH161" s="12" t="n"/>
      <c r="AI161" s="12" t="n"/>
      <c r="AJ161" s="12" t="n"/>
      <c r="AK161" s="12" t="n"/>
      <c r="AL161" s="12" t="n"/>
      <c r="AM161" s="12" t="n"/>
      <c r="AN161" s="12" t="n"/>
      <c r="AO161" s="12" t="n"/>
      <c r="AP161" s="12" t="n"/>
      <c r="AQ161" s="12" t="n"/>
      <c r="AR161" s="12" t="n"/>
      <c r="AS161" s="12" t="n"/>
      <c r="AT161" s="12" t="n"/>
      <c r="AU161" s="12" t="n"/>
      <c r="AV161" s="12" t="n"/>
      <c r="AW161" s="12" t="n"/>
      <c r="AX161" s="12" t="n"/>
      <c r="AY161" s="12" t="n"/>
      <c r="AZ161" s="12" t="n"/>
      <c r="BA161" s="12" t="n"/>
      <c r="BB161" s="12" t="n"/>
      <c r="BC161" s="12" t="n"/>
      <c r="BD161" s="12" t="n"/>
      <c r="BE161" s="12" t="n"/>
      <c r="BF161" s="12" t="n"/>
      <c r="BG161" s="12" t="n"/>
      <c r="BH161" s="12" t="n"/>
      <c r="BI161" s="12" t="n"/>
      <c r="BJ161" s="12" t="n"/>
      <c r="BK161" s="12" t="n"/>
      <c r="BL161" s="12" t="n"/>
      <c r="BM161" s="12" t="n"/>
      <c r="BN161" s="12" t="n"/>
      <c r="BO161" s="12" t="n"/>
      <c r="BP161" s="12" t="n"/>
      <c r="BQ161" s="12" t="n"/>
      <c r="BR161" s="12" t="n"/>
      <c r="BS161" s="12" t="n"/>
      <c r="BT161" s="12" t="n"/>
      <c r="BU161" s="12" t="n"/>
      <c r="BV161" s="12" t="n"/>
      <c r="BW161" s="12" t="n"/>
      <c r="BX161" s="12" t="n"/>
      <c r="BY161" s="12" t="n"/>
      <c r="BZ161" s="12" t="n"/>
      <c r="CA161" s="12" t="n"/>
      <c r="CB161" s="12" t="n"/>
      <c r="CC161" s="12" t="n"/>
      <c r="CD161" s="12" t="n"/>
      <c r="CE161" s="12" t="n"/>
      <c r="CF161" s="12" t="n"/>
      <c r="CG161" s="12" t="n"/>
      <c r="CH161" s="12" t="n"/>
      <c r="CI161" s="12" t="n"/>
      <c r="CJ161" s="12" t="n"/>
      <c r="CK161" s="12" t="n"/>
      <c r="CL161" s="12" t="n"/>
      <c r="CM161" s="12" t="n"/>
      <c r="CN161" s="12" t="n"/>
      <c r="CO161" s="12" t="n"/>
      <c r="CP161" s="12" t="n"/>
      <c r="CQ161" s="12" t="n"/>
      <c r="CR161" s="12" t="n"/>
      <c r="CS161" s="12" t="n"/>
      <c r="CT161" s="12" t="n"/>
      <c r="CU161" s="12" t="n"/>
      <c r="CV161" s="12" t="n"/>
      <c r="CW161" s="12" t="n"/>
      <c r="CX161" s="12" t="n"/>
      <c r="CY161" s="12" t="n"/>
    </row>
    <row r="162" hidden="1" outlineLevel="1">
      <c r="C162" s="57" t="inlineStr">
        <is>
          <t>Equity in Income - % YoY</t>
        </is>
      </c>
      <c r="D162" s="12" t="n"/>
      <c r="E162" s="12" t="n"/>
      <c r="F162" s="12" t="n"/>
      <c r="G162" s="12" t="n"/>
      <c r="H162" s="12" t="n"/>
      <c r="I162" s="12" t="n"/>
      <c r="J162" s="12" t="n"/>
      <c r="K162" s="12" t="n"/>
      <c r="L162" s="12" t="n"/>
      <c r="M162" s="12" t="n"/>
      <c r="N162" s="12">
        <f>IF(I134=0,0,N134/I134-1)</f>
        <v>0</v>
      </c>
      <c r="O162" s="12">
        <f>IF(J134=0,0,O134/J134-1)</f>
        <v>0</v>
      </c>
      <c r="P162" s="12">
        <f>IF(K134=0,0,P134/K134-1)</f>
        <v>0</v>
      </c>
      <c r="Q162" s="12">
        <f>IF(L134=0,0,Q134/L134-1)</f>
        <v>0</v>
      </c>
      <c r="R162" s="12" t="n"/>
      <c r="S162" s="12">
        <f>IF(N134=0,0,S134/N134-1)</f>
        <v>0.0405493786788751</v>
      </c>
      <c r="T162" s="12">
        <f>IF(O134=0,0,T134/O134-1)</f>
        <v>-1.2163633054241</v>
      </c>
      <c r="U162" s="12">
        <f>IF(P134=0,0,U134/P134-1)</f>
        <v>-0.13906309751434</v>
      </c>
      <c r="V162" s="12">
        <f>IF(Q134=0,0,V134/Q134-1)</f>
        <v>-2.76544744318182</v>
      </c>
      <c r="W162" s="12" t="n"/>
      <c r="X162" s="12">
        <f>IF(S134=0,0,X134/S134-1)</f>
        <v>1.20245459657944</v>
      </c>
      <c r="Y162" s="12">
        <f>IF(T134=0,0,Y134/T134-1)</f>
        <v>-5.50273407924624</v>
      </c>
      <c r="Z162" s="12">
        <f>IF(U134=0,0,Z134/U134-1)</f>
        <v>0.297754680525018</v>
      </c>
      <c r="AA162" s="12">
        <f>IF(V134=0,0,AA134/V134-1)</f>
        <v>-2.42331288343558</v>
      </c>
      <c r="AB162" s="12" t="n"/>
      <c r="AC162" s="12">
        <f>IF(X134=0,0,AC134/X134-1)</f>
        <v>0.0836462495118509</v>
      </c>
      <c r="AD162" s="12">
        <f>IF(Y134=0,0,AD134/Y134-1)</f>
        <v>-0.724273223226964</v>
      </c>
      <c r="AE162" s="12">
        <f>IF(Z134=0,0,AE134/Z134-1)</f>
        <v>-0.0041243111886915</v>
      </c>
      <c r="AF162" s="12">
        <f>IF(AA134=0,0,AF134/AA134-1)</f>
        <v>-5.25727812323347</v>
      </c>
      <c r="AG162" s="12" t="n"/>
      <c r="AH162" s="12">
        <f>IF(AC134=0,0,AH134/AC134-1)</f>
        <v>-0.00914798952139395</v>
      </c>
      <c r="AI162" s="12">
        <f>IF(AD134=0,0,AI134/AD134-1)</f>
        <v>1.68288385960157</v>
      </c>
      <c r="AJ162" s="11" t="n"/>
      <c r="AK162" s="11" t="n"/>
      <c r="AL162" s="12" t="n"/>
      <c r="AM162" s="11" t="n"/>
      <c r="AN162" s="11" t="n"/>
      <c r="AO162" s="11" t="n"/>
      <c r="AP162" s="11" t="n"/>
      <c r="AQ162" s="12" t="n"/>
      <c r="AR162" s="11" t="n"/>
      <c r="AS162" s="11" t="n"/>
      <c r="AT162" s="11" t="n"/>
      <c r="AU162" s="11" t="n"/>
      <c r="AV162" s="12" t="n"/>
      <c r="AW162" s="11" t="n"/>
      <c r="AX162" s="11" t="n"/>
      <c r="AY162" s="11" t="n"/>
      <c r="AZ162" s="11" t="n"/>
      <c r="BA162" s="12" t="n"/>
      <c r="BB162" s="11" t="n"/>
      <c r="BC162" s="11" t="n"/>
      <c r="BD162" s="11" t="n"/>
      <c r="BE162" s="11" t="n"/>
      <c r="BF162" s="12" t="n"/>
      <c r="BG162" s="11" t="n"/>
      <c r="BH162" s="11" t="n"/>
      <c r="BI162" s="11" t="n"/>
      <c r="BJ162" s="11" t="n"/>
      <c r="BK162" s="12" t="n"/>
      <c r="BL162" s="11" t="n"/>
      <c r="BM162" s="11" t="n"/>
      <c r="BN162" s="11" t="n"/>
      <c r="BO162" s="11" t="n"/>
      <c r="BP162" s="12" t="n"/>
      <c r="BQ162" s="11" t="n"/>
      <c r="BR162" s="11" t="n"/>
      <c r="BS162" s="11" t="n"/>
      <c r="BT162" s="11" t="n"/>
      <c r="BU162" s="12" t="n"/>
      <c r="BV162" s="11" t="n"/>
      <c r="BW162" s="11" t="n"/>
      <c r="BX162" s="11" t="n"/>
      <c r="BY162" s="11" t="n"/>
      <c r="BZ162" s="12" t="n"/>
      <c r="CA162" s="11" t="n"/>
      <c r="CB162" s="11" t="n"/>
      <c r="CC162" s="11" t="n"/>
      <c r="CD162" s="11" t="n"/>
      <c r="CE162" s="12" t="n"/>
      <c r="CF162" s="11" t="n"/>
      <c r="CG162" s="11" t="n"/>
      <c r="CH162" s="11" t="n"/>
      <c r="CI162" s="11" t="n"/>
      <c r="CJ162" s="12" t="n"/>
      <c r="CK162" s="11" t="n"/>
      <c r="CL162" s="11" t="n"/>
      <c r="CM162" s="11" t="n"/>
      <c r="CN162" s="11" t="n"/>
      <c r="CO162" s="12" t="n"/>
      <c r="CP162" s="11" t="n"/>
      <c r="CQ162" s="11" t="n"/>
      <c r="CR162" s="11" t="n"/>
      <c r="CS162" s="11" t="n"/>
      <c r="CT162" s="12" t="n"/>
      <c r="CU162" s="11" t="n"/>
      <c r="CV162" s="11" t="n"/>
      <c r="CW162" s="11" t="n"/>
      <c r="CX162" s="11" t="n"/>
      <c r="CY162" s="12" t="n"/>
    </row>
    <row r="163" hidden="1" outlineLevel="1">
      <c r="C163" s="57" t="inlineStr">
        <is>
          <t>Dividends (enter as -)</t>
        </is>
      </c>
      <c r="D163" s="12" t="n"/>
      <c r="E163" s="12" t="n"/>
      <c r="F163" s="12" t="n"/>
      <c r="G163" s="12" t="n"/>
      <c r="H163" s="12" t="n"/>
      <c r="I163" s="12" t="n"/>
      <c r="J163" s="12" t="n"/>
      <c r="K163" s="12" t="n"/>
      <c r="L163" s="12" t="n"/>
      <c r="M163" s="12" t="n"/>
      <c r="N163" s="12" t="n"/>
      <c r="O163" s="12" t="n"/>
      <c r="P163" s="12" t="n"/>
      <c r="Q163" s="12" t="n"/>
      <c r="R163" s="12" t="n"/>
      <c r="S163" s="12" t="n"/>
      <c r="T163" s="12" t="n"/>
      <c r="U163" s="12" t="n"/>
      <c r="V163" s="12" t="n"/>
      <c r="W163" s="12" t="n"/>
      <c r="X163" s="12" t="n"/>
      <c r="Y163" s="12" t="n"/>
      <c r="Z163" s="12" t="n"/>
      <c r="AA163" s="12" t="n"/>
      <c r="AB163" s="12" t="n"/>
      <c r="AC163" s="12" t="n"/>
      <c r="AD163" s="12" t="n"/>
      <c r="AE163" s="12" t="n"/>
      <c r="AF163" s="12" t="n"/>
      <c r="AG163" s="12" t="n"/>
      <c r="AH163" s="11" t="n"/>
      <c r="AI163" s="11" t="n"/>
      <c r="AJ163" s="11" t="n"/>
      <c r="AK163" s="11" t="n"/>
      <c r="AL163" s="12" t="n"/>
      <c r="AM163" s="11" t="n"/>
      <c r="AN163" s="11" t="n"/>
      <c r="AO163" s="11" t="n"/>
      <c r="AP163" s="11" t="n"/>
      <c r="AQ163" s="12" t="n"/>
      <c r="AR163" s="11" t="n"/>
      <c r="AS163" s="11" t="n"/>
      <c r="AT163" s="11" t="n"/>
      <c r="AU163" s="11" t="n"/>
      <c r="AV163" s="12" t="n"/>
      <c r="AW163" s="11" t="n"/>
      <c r="AX163" s="11" t="n"/>
      <c r="AY163" s="11" t="n"/>
      <c r="AZ163" s="11" t="n"/>
      <c r="BA163" s="12" t="n"/>
      <c r="BB163" s="11" t="n"/>
      <c r="BC163" s="11" t="n"/>
      <c r="BD163" s="11" t="n"/>
      <c r="BE163" s="11" t="n"/>
      <c r="BF163" s="12" t="n"/>
      <c r="BG163" s="11" t="n"/>
      <c r="BH163" s="11" t="n"/>
      <c r="BI163" s="11" t="n"/>
      <c r="BJ163" s="11" t="n"/>
      <c r="BK163" s="12" t="n"/>
      <c r="BL163" s="11" t="n"/>
      <c r="BM163" s="11" t="n"/>
      <c r="BN163" s="11" t="n"/>
      <c r="BO163" s="11" t="n"/>
      <c r="BP163" s="12" t="n"/>
      <c r="BQ163" s="11" t="n"/>
      <c r="BR163" s="11" t="n"/>
      <c r="BS163" s="11" t="n"/>
      <c r="BT163" s="11" t="n"/>
      <c r="BU163" s="12" t="n"/>
      <c r="BV163" s="11" t="n"/>
      <c r="BW163" s="11" t="n"/>
      <c r="BX163" s="11" t="n"/>
      <c r="BY163" s="11" t="n"/>
      <c r="BZ163" s="12" t="n"/>
      <c r="CA163" s="11" t="n"/>
      <c r="CB163" s="11" t="n"/>
      <c r="CC163" s="11" t="n"/>
      <c r="CD163" s="11" t="n"/>
      <c r="CE163" s="12" t="n"/>
      <c r="CF163" s="11" t="n"/>
      <c r="CG163" s="11" t="n"/>
      <c r="CH163" s="11" t="n"/>
      <c r="CI163" s="11" t="n"/>
      <c r="CJ163" s="12" t="n"/>
      <c r="CK163" s="11" t="n"/>
      <c r="CL163" s="11" t="n"/>
      <c r="CM163" s="11" t="n"/>
      <c r="CN163" s="11" t="n"/>
      <c r="CO163" s="12" t="n"/>
      <c r="CP163" s="11" t="n"/>
      <c r="CQ163" s="11" t="n"/>
      <c r="CR163" s="11" t="n"/>
      <c r="CS163" s="11" t="n"/>
      <c r="CT163" s="12" t="n"/>
      <c r="CU163" s="11" t="n"/>
      <c r="CV163" s="11" t="n"/>
      <c r="CW163" s="11" t="n"/>
      <c r="CX163" s="11" t="n"/>
      <c r="CY163" s="12" t="n"/>
    </row>
    <row r="164" hidden="1" outlineLevel="1">
      <c r="C164" s="57" t="n"/>
      <c r="D164" s="12" t="n"/>
      <c r="E164" s="12" t="n"/>
      <c r="F164" s="12" t="n"/>
      <c r="G164" s="12" t="n"/>
      <c r="H164" s="12" t="n"/>
      <c r="I164" s="12" t="n"/>
      <c r="J164" s="12" t="n"/>
      <c r="K164" s="12" t="n"/>
      <c r="L164" s="12" t="n"/>
      <c r="M164" s="12" t="n"/>
      <c r="N164" s="12" t="n"/>
      <c r="O164" s="12" t="n"/>
      <c r="P164" s="12" t="n"/>
      <c r="Q164" s="12" t="n"/>
      <c r="R164" s="12" t="n"/>
      <c r="S164" s="12" t="n"/>
      <c r="T164" s="12" t="n"/>
      <c r="U164" s="12" t="n"/>
      <c r="V164" s="12" t="n"/>
      <c r="W164" s="12" t="n"/>
      <c r="X164" s="12" t="n"/>
      <c r="Y164" s="12" t="n"/>
      <c r="Z164" s="12" t="n"/>
      <c r="AA164" s="12" t="n"/>
      <c r="AB164" s="12" t="n"/>
      <c r="AC164" s="12" t="n"/>
      <c r="AD164" s="12" t="n"/>
      <c r="AE164" s="12" t="n"/>
      <c r="AF164" s="12" t="n"/>
      <c r="AG164" s="12" t="n"/>
      <c r="AH164" s="12" t="n"/>
      <c r="AI164" s="12" t="n"/>
      <c r="AJ164" s="12" t="n"/>
      <c r="AK164" s="12" t="n"/>
      <c r="AL164" s="12" t="n"/>
      <c r="AM164" s="12" t="n"/>
      <c r="AN164" s="12" t="n"/>
      <c r="AO164" s="12" t="n"/>
      <c r="AP164" s="12" t="n"/>
      <c r="AQ164" s="12" t="n"/>
      <c r="AR164" s="12" t="n"/>
      <c r="AS164" s="12" t="n"/>
      <c r="AT164" s="12" t="n"/>
      <c r="AU164" s="12" t="n"/>
      <c r="AV164" s="12" t="n"/>
      <c r="AW164" s="12" t="n"/>
      <c r="AX164" s="12" t="n"/>
      <c r="AY164" s="12" t="n"/>
      <c r="AZ164" s="12" t="n"/>
      <c r="BA164" s="12" t="n"/>
      <c r="BB164" s="12" t="n"/>
      <c r="BC164" s="12" t="n"/>
      <c r="BD164" s="12" t="n"/>
      <c r="BE164" s="12" t="n"/>
      <c r="BF164" s="12" t="n"/>
      <c r="BG164" s="12" t="n"/>
      <c r="BH164" s="12" t="n"/>
      <c r="BI164" s="12" t="n"/>
      <c r="BJ164" s="12" t="n"/>
      <c r="BK164" s="12" t="n"/>
      <c r="BL164" s="12" t="n"/>
      <c r="BM164" s="12" t="n"/>
      <c r="BN164" s="12" t="n"/>
      <c r="BO164" s="12" t="n"/>
      <c r="BP164" s="12" t="n"/>
      <c r="BQ164" s="12" t="n"/>
      <c r="BR164" s="12" t="n"/>
      <c r="BS164" s="12" t="n"/>
      <c r="BT164" s="12" t="n"/>
      <c r="BU164" s="12" t="n"/>
      <c r="BV164" s="12" t="n"/>
      <c r="BW164" s="12" t="n"/>
      <c r="BX164" s="12" t="n"/>
      <c r="BY164" s="12" t="n"/>
      <c r="BZ164" s="12" t="n"/>
      <c r="CA164" s="12" t="n"/>
      <c r="CB164" s="12" t="n"/>
      <c r="CC164" s="12" t="n"/>
      <c r="CD164" s="12" t="n"/>
      <c r="CE164" s="12" t="n"/>
      <c r="CF164" s="12" t="n"/>
      <c r="CG164" s="12" t="n"/>
      <c r="CH164" s="12" t="n"/>
      <c r="CI164" s="12" t="n"/>
      <c r="CJ164" s="12" t="n"/>
      <c r="CK164" s="12" t="n"/>
      <c r="CL164" s="12" t="n"/>
      <c r="CM164" s="12" t="n"/>
      <c r="CN164" s="12" t="n"/>
      <c r="CO164" s="12" t="n"/>
      <c r="CP164" s="12" t="n"/>
      <c r="CQ164" s="12" t="n"/>
      <c r="CR164" s="12" t="n"/>
      <c r="CS164" s="12" t="n"/>
      <c r="CT164" s="12" t="n"/>
      <c r="CU164" s="12" t="n"/>
      <c r="CV164" s="12" t="n"/>
      <c r="CW164" s="12" t="n"/>
      <c r="CX164" s="12" t="n"/>
      <c r="CY164" s="12" t="n"/>
    </row>
    <row r="165" collapsed="1">
      <c r="C165" s="14" t="inlineStr">
        <is>
          <t>PP&amp;E</t>
        </is>
      </c>
      <c r="D165" s="46" t="n"/>
      <c r="E165" s="46" t="n"/>
      <c r="F165" s="46" t="n"/>
      <c r="G165" s="46" t="n"/>
      <c r="H165" s="12" t="n"/>
      <c r="I165" s="46">
        <f>'Inputs (2)'!D22</f>
        <v>8718.257</v>
      </c>
      <c r="J165" s="46">
        <f>'Inputs (2)'!E22</f>
        <v>8625.281</v>
      </c>
      <c r="K165" s="46">
        <f>'Inputs (2)'!F22</f>
        <v>8890.528</v>
      </c>
      <c r="L165" s="46">
        <f>'Inputs (2)'!G22</f>
        <v>8980.282</v>
      </c>
      <c r="M165" s="12">
        <f>'Inputs (2)'!H22</f>
        <v>8980.282</v>
      </c>
      <c r="N165" s="46">
        <f>'Inputs (2)'!I22</f>
        <v>9170.686</v>
      </c>
      <c r="O165" s="46">
        <f>'Inputs (2)'!J22</f>
        <v>9743.557</v>
      </c>
      <c r="P165" s="46">
        <f>'Inputs (2)'!K22</f>
        <v>10069.407</v>
      </c>
      <c r="Q165" s="46">
        <f>'Inputs (2)'!L22</f>
        <v>10397.035</v>
      </c>
      <c r="R165" s="12">
        <f>'Inputs (2)'!M22</f>
        <v>10397.035</v>
      </c>
      <c r="S165" s="46">
        <f>'Inputs (2)'!N22</f>
        <v>10619.999</v>
      </c>
      <c r="T165" s="46">
        <f>'Inputs (2)'!O22</f>
        <v>11178.295</v>
      </c>
      <c r="U165" s="46">
        <f>'Inputs (2)'!P22</f>
        <v>11813.974</v>
      </c>
      <c r="V165" s="46">
        <f>'Inputs (2)'!Q22</f>
        <v>11849.347</v>
      </c>
      <c r="W165" s="12">
        <f>'Inputs (2)'!R22</f>
        <v>11849.347</v>
      </c>
      <c r="X165" s="46">
        <f>'Inputs (2)'!S22</f>
        <v>11732.58</v>
      </c>
      <c r="Y165" s="46">
        <f>'Inputs (2)'!T22</f>
        <v>11668.586</v>
      </c>
      <c r="Z165" s="46">
        <f>'Inputs (2)'!U22</f>
        <v>11571.81</v>
      </c>
      <c r="AA165" s="46">
        <f>'Inputs (2)'!V22</f>
        <v>26203.796</v>
      </c>
      <c r="AB165" s="12">
        <f>'Inputs (2)'!W22</f>
        <v>26203.796</v>
      </c>
      <c r="AC165" s="46">
        <f>'Inputs (2)'!X22</f>
        <v>26000.982</v>
      </c>
      <c r="AD165" s="46">
        <f>'Inputs (2)'!Y22</f>
        <v>25810.274</v>
      </c>
      <c r="AE165" s="46">
        <f>'Inputs (2)'!Z22</f>
        <v>25725.023</v>
      </c>
      <c r="AF165" s="46">
        <f>'Inputs (2)'!AA22</f>
        <v>25430.247</v>
      </c>
      <c r="AG165" s="12">
        <f>'Inputs (2)'!AB22</f>
        <v>25430.247</v>
      </c>
      <c r="AH165" s="12">
        <f>'Inputs (2)'!AC22</f>
        <v>25207.131</v>
      </c>
      <c r="AI165" s="12">
        <f>'Inputs (2)'!AD22</f>
        <v>25020.77</v>
      </c>
      <c r="AJ165" s="12">
        <f>AJ170</f>
        <v>24765.7312556108</v>
      </c>
      <c r="AK165" s="12">
        <f>AK170</f>
        <v>24491.6342754726</v>
      </c>
      <c r="AL165" s="12">
        <f>AK165</f>
        <v>24491.6342754726</v>
      </c>
      <c r="AM165" s="12">
        <f>AM170</f>
        <v>24269.9665135597</v>
      </c>
      <c r="AN165" s="12">
        <f>AN170</f>
        <v>24049.6712087878</v>
      </c>
      <c r="AO165" s="12">
        <f>AO170</f>
        <v>23757.5799826781</v>
      </c>
      <c r="AP165" s="12">
        <f>AP170</f>
        <v>23443.6617064834</v>
      </c>
      <c r="AQ165" s="12">
        <f>AP165</f>
        <v>23443.6617064834</v>
      </c>
      <c r="AR165" s="12">
        <f>AR170</f>
        <v>23190.8979972589</v>
      </c>
      <c r="AS165" s="12">
        <f>AS170</f>
        <v>22939.6992759005</v>
      </c>
      <c r="AT165" s="12">
        <f>AT170</f>
        <v>22606.6329738533</v>
      </c>
      <c r="AU165" s="12">
        <f>AU170</f>
        <v>22248.6776843714</v>
      </c>
      <c r="AV165" s="12">
        <f>AU165</f>
        <v>22248.6776843714</v>
      </c>
      <c r="AW165" s="12">
        <f>AW170</f>
        <v>21961.7196516678</v>
      </c>
      <c r="AX165" s="12">
        <f>AX170</f>
        <v>21676.5383211681</v>
      </c>
      <c r="AY165" s="12">
        <f>AY170</f>
        <v>21298.4142182715</v>
      </c>
      <c r="AZ165" s="12">
        <f>AZ170</f>
        <v>20892.0341015184</v>
      </c>
      <c r="BA165" s="12">
        <f>AZ165</f>
        <v>20892.0341015184</v>
      </c>
      <c r="BB165" s="12">
        <f>BB170</f>
        <v>20567.6906666916</v>
      </c>
      <c r="BC165" s="12">
        <f>BC170</f>
        <v>20245.3554059871</v>
      </c>
      <c r="BD165" s="12">
        <f>BD170</f>
        <v>19817.9686234363</v>
      </c>
      <c r="BE165" s="12">
        <f>BE170</f>
        <v>19358.6445833626</v>
      </c>
      <c r="BF165" s="12">
        <f>BE165</f>
        <v>19358.6445833626</v>
      </c>
      <c r="BG165" s="12" t="n"/>
      <c r="BH165" s="12" t="n"/>
      <c r="BI165" s="12" t="n"/>
      <c r="BJ165" s="12" t="n"/>
      <c r="BK165" s="12" t="n"/>
      <c r="BL165" s="12" t="n"/>
      <c r="BM165" s="12" t="n"/>
      <c r="BN165" s="12" t="n"/>
      <c r="BO165" s="12" t="n"/>
      <c r="BP165" s="12" t="n"/>
      <c r="BQ165" s="12" t="n"/>
      <c r="BR165" s="12" t="n"/>
      <c r="BS165" s="12" t="n"/>
      <c r="BT165" s="12" t="n"/>
      <c r="BU165" s="12" t="n"/>
      <c r="BV165" s="12" t="n"/>
      <c r="BW165" s="12" t="n"/>
      <c r="BX165" s="12" t="n"/>
      <c r="BY165" s="12" t="n"/>
      <c r="BZ165" s="12" t="n"/>
      <c r="CA165" s="12" t="n"/>
      <c r="CB165" s="12" t="n"/>
      <c r="CC165" s="12" t="n"/>
      <c r="CD165" s="12" t="n"/>
      <c r="CE165" s="12" t="n"/>
      <c r="CF165" s="12" t="n"/>
      <c r="CG165" s="12" t="n"/>
      <c r="CH165" s="12" t="n"/>
      <c r="CI165" s="12" t="n"/>
      <c r="CJ165" s="12" t="n"/>
      <c r="CK165" s="12" t="n"/>
      <c r="CL165" s="12" t="n"/>
      <c r="CM165" s="12" t="n"/>
      <c r="CN165" s="12" t="n"/>
      <c r="CO165" s="12" t="n"/>
      <c r="CP165" s="12" t="n"/>
      <c r="CQ165" s="12" t="n"/>
      <c r="CR165" s="12" t="n"/>
      <c r="CS165" s="12" t="n"/>
      <c r="CT165" s="12" t="n"/>
      <c r="CU165" s="12" t="n"/>
      <c r="CV165" s="12" t="n"/>
      <c r="CW165" s="12" t="n"/>
      <c r="CX165" s="12" t="n"/>
      <c r="CY165" s="12" t="n"/>
    </row>
    <row r="166" hidden="1" outlineLevel="1">
      <c r="C166" s="57" t="n"/>
      <c r="D166" s="12" t="n"/>
      <c r="E166" s="12" t="n"/>
      <c r="F166" s="12" t="n"/>
      <c r="G166" s="12" t="n"/>
      <c r="H166" s="12" t="n"/>
      <c r="I166" s="12" t="n"/>
      <c r="J166" s="12" t="n"/>
      <c r="K166" s="12" t="n"/>
      <c r="L166" s="12" t="n"/>
      <c r="M166" s="12" t="n"/>
      <c r="N166" s="12" t="n"/>
      <c r="O166" s="12" t="n"/>
      <c r="P166" s="12" t="n"/>
      <c r="Q166" s="12" t="n"/>
      <c r="R166" s="12" t="n"/>
      <c r="S166" s="12" t="n"/>
      <c r="T166" s="12" t="n"/>
      <c r="U166" s="12" t="n"/>
      <c r="V166" s="12" t="n"/>
      <c r="W166" s="12" t="n"/>
      <c r="X166" s="12" t="n"/>
      <c r="Y166" s="12" t="n"/>
      <c r="Z166" s="12" t="n"/>
      <c r="AA166" s="12" t="n"/>
      <c r="AB166" s="12" t="n"/>
      <c r="AC166" s="12" t="n"/>
      <c r="AD166" s="12" t="n"/>
      <c r="AE166" s="12" t="n"/>
      <c r="AF166" s="12" t="n"/>
      <c r="AG166" s="12" t="n"/>
      <c r="AH166" s="12" t="n"/>
      <c r="AI166" s="12" t="n"/>
      <c r="AJ166" s="12" t="n"/>
      <c r="AK166" s="12" t="n"/>
      <c r="AL166" s="12" t="n"/>
      <c r="AM166" s="12" t="n"/>
      <c r="AN166" s="12" t="n"/>
      <c r="AO166" s="12" t="n"/>
      <c r="AP166" s="12" t="n"/>
      <c r="AQ166" s="12" t="n"/>
      <c r="AR166" s="12" t="n"/>
      <c r="AS166" s="12" t="n"/>
      <c r="AT166" s="12" t="n"/>
      <c r="AU166" s="12" t="n"/>
      <c r="AV166" s="12" t="n"/>
      <c r="AW166" s="12" t="n"/>
      <c r="AX166" s="12" t="n"/>
      <c r="AY166" s="12" t="n"/>
      <c r="AZ166" s="12" t="n"/>
      <c r="BA166" s="12" t="n"/>
      <c r="BB166" s="12" t="n"/>
      <c r="BC166" s="12" t="n"/>
      <c r="BD166" s="12" t="n"/>
      <c r="BE166" s="12" t="n"/>
      <c r="BF166" s="12" t="n"/>
      <c r="BG166" s="12" t="n"/>
      <c r="BH166" s="12" t="n"/>
      <c r="BI166" s="12" t="n"/>
      <c r="BJ166" s="12" t="n"/>
      <c r="BK166" s="12" t="n"/>
      <c r="BL166" s="12" t="n"/>
      <c r="BM166" s="12" t="n"/>
      <c r="BN166" s="12" t="n"/>
      <c r="BO166" s="12" t="n"/>
      <c r="BP166" s="12" t="n"/>
      <c r="BQ166" s="12" t="n"/>
      <c r="BR166" s="12" t="n"/>
      <c r="BS166" s="12" t="n"/>
      <c r="BT166" s="12" t="n"/>
      <c r="BU166" s="12" t="n"/>
      <c r="BV166" s="12" t="n"/>
      <c r="BW166" s="12" t="n"/>
      <c r="BX166" s="12" t="n"/>
      <c r="BY166" s="12" t="n"/>
      <c r="BZ166" s="12" t="n"/>
      <c r="CA166" s="12" t="n"/>
      <c r="CB166" s="12" t="n"/>
      <c r="CC166" s="12" t="n"/>
      <c r="CD166" s="12" t="n"/>
      <c r="CE166" s="12" t="n"/>
      <c r="CF166" s="12" t="n"/>
      <c r="CG166" s="12" t="n"/>
      <c r="CH166" s="12" t="n"/>
      <c r="CI166" s="12" t="n"/>
      <c r="CJ166" s="12" t="n"/>
      <c r="CK166" s="12" t="n"/>
      <c r="CL166" s="12" t="n"/>
      <c r="CM166" s="12" t="n"/>
      <c r="CN166" s="12" t="n"/>
      <c r="CO166" s="12" t="n"/>
      <c r="CP166" s="12" t="n"/>
      <c r="CQ166" s="12" t="n"/>
      <c r="CR166" s="12" t="n"/>
      <c r="CS166" s="12" t="n"/>
      <c r="CT166" s="12" t="n"/>
      <c r="CU166" s="12" t="n"/>
      <c r="CV166" s="12" t="n"/>
      <c r="CW166" s="12" t="n"/>
      <c r="CX166" s="12" t="n"/>
      <c r="CY166" s="12" t="n"/>
    </row>
    <row r="167" hidden="1" outlineLevel="1">
      <c r="C167" s="57" t="inlineStr">
        <is>
          <t>Capital expenditures</t>
        </is>
      </c>
      <c r="D167" s="12" t="n"/>
      <c r="E167" s="12" t="n"/>
      <c r="F167" s="12" t="n"/>
      <c r="G167" s="12" t="n"/>
      <c r="H167" s="12" t="n"/>
      <c r="I167" s="12">
        <f>I165-H165-I69</f>
        <v>8850.85</v>
      </c>
      <c r="J167" s="12">
        <f>J165-I165-J69</f>
        <v>38.5970000000013</v>
      </c>
      <c r="K167" s="12">
        <f>K165-J165-K69</f>
        <v>410.643999999999</v>
      </c>
      <c r="L167" s="12">
        <f>L165-K165-L69</f>
        <v>239.185999999999</v>
      </c>
      <c r="M167" s="12">
        <f>SUM(I167:L167)</f>
        <v>9539.277</v>
      </c>
      <c r="N167" s="12">
        <f>N165-M165-N69</f>
        <v>347.708</v>
      </c>
      <c r="O167" s="12">
        <f>O165-N165-O69</f>
        <v>734.061000000001</v>
      </c>
      <c r="P167" s="12">
        <f>P165-O165-P69</f>
        <v>487.202999999999</v>
      </c>
      <c r="Q167" s="12">
        <f>Q165-P165-Q69</f>
        <v>445.535000000001</v>
      </c>
      <c r="R167" s="12">
        <f>SUM(N167:Q167)</f>
        <v>2014.507</v>
      </c>
      <c r="S167" s="12">
        <f>S165-R165-S69</f>
        <v>391.291</v>
      </c>
      <c r="T167" s="12">
        <f>T165-S165-T69</f>
        <v>727.962</v>
      </c>
      <c r="U167" s="12">
        <f>U165-T165-U69</f>
        <v>805.322</v>
      </c>
      <c r="V167" s="12">
        <f>V165-U165-V69</f>
        <v>205.012</v>
      </c>
      <c r="W167" s="12">
        <f>SUM(S167:V167)</f>
        <v>2129.587</v>
      </c>
      <c r="X167" s="12">
        <f>X165-W165-X69</f>
        <v>49.6140000000002</v>
      </c>
      <c r="Y167" s="12">
        <f>Y165-X165-Y69</f>
        <v>111.182999999999</v>
      </c>
      <c r="Z167" s="12">
        <f>Z165-Y165-Z69</f>
        <v>85.8350000000002</v>
      </c>
      <c r="AA167" s="12">
        <f>AA165-Z165-AA69</f>
        <v>14821.007</v>
      </c>
      <c r="AB167" s="12">
        <f>SUM(X167:AA167)</f>
        <v>15067.639</v>
      </c>
      <c r="AC167" s="12">
        <f>AC165-AB165-AC69</f>
        <v>255.382000000002</v>
      </c>
      <c r="AD167" s="12">
        <f>AD165-AC165-AD69</f>
        <v>331.039000000001</v>
      </c>
      <c r="AE167" s="12">
        <f>AE165-AD165-AE69</f>
        <v>380.302</v>
      </c>
      <c r="AF167" s="12">
        <f>AF165-AE165-AF69</f>
        <v>182.690999999998</v>
      </c>
      <c r="AG167" s="12">
        <f>SUM(AC167:AF167)</f>
        <v>1149.414</v>
      </c>
      <c r="AH167" s="12">
        <f>AH165-AG165-AH69</f>
        <v>243.715000000002</v>
      </c>
      <c r="AI167" s="12">
        <f>AI165-AH165-AI69</f>
        <v>279.081999999999</v>
      </c>
      <c r="AJ167" s="11">
        <f>AJ15*Control!$B$24</f>
        <v>350.890823724683</v>
      </c>
      <c r="AK167" s="11">
        <f>AK15*Control!$B$24</f>
        <v>377.111781080468</v>
      </c>
      <c r="AL167" s="12" t="n"/>
      <c r="AM167" s="11">
        <f>AM15*Control!$C$24</f>
        <v>304.977911325146</v>
      </c>
      <c r="AN167" s="11">
        <f>AN15*Control!$C$24</f>
        <v>303.08963894575</v>
      </c>
      <c r="AO167" s="11">
        <f>AO15*Control!$C$24</f>
        <v>401.868865759329</v>
      </c>
      <c r="AP167" s="11">
        <f>AP15*Control!$C$24</f>
        <v>431.899250366824</v>
      </c>
      <c r="AQ167" s="12" t="n"/>
      <c r="AR167" s="11">
        <f>AR15*Control!$D$24</f>
        <v>347.760754350807</v>
      </c>
      <c r="AS167" s="11">
        <f>AS15*Control!$D$24</f>
        <v>345.607591768556</v>
      </c>
      <c r="AT167" s="11">
        <f>AT15*Control!$D$24</f>
        <v>458.243743946333</v>
      </c>
      <c r="AU167" s="11">
        <f>AU15*Control!$D$24</f>
        <v>492.486844238974</v>
      </c>
      <c r="AV167" s="12" t="n"/>
      <c r="AW167" s="11">
        <f>AW15*Control!$E$24</f>
        <v>394.806446804467</v>
      </c>
      <c r="AX167" s="11">
        <f>AX15*Control!$E$24</f>
        <v>392.362000564184</v>
      </c>
      <c r="AY167" s="11">
        <f>AY15*Control!$E$24</f>
        <v>520.235771444541</v>
      </c>
      <c r="AZ167" s="11">
        <f>AZ15*Control!$E$24</f>
        <v>559.111339158743</v>
      </c>
      <c r="BA167" s="12" t="n"/>
      <c r="BB167" s="11">
        <f>BB15*Control!$F$24</f>
        <v>446.242531849949</v>
      </c>
      <c r="BC167" s="11">
        <f>BC15*Control!$F$24</f>
        <v>443.479618812271</v>
      </c>
      <c r="BD167" s="11">
        <f>BD15*Control!$F$24</f>
        <v>588.013011660114</v>
      </c>
      <c r="BE167" s="11">
        <f>BE15*Control!$F$24</f>
        <v>631.953357377116</v>
      </c>
      <c r="BF167" s="12" t="n"/>
      <c r="BG167" s="11" t="n"/>
      <c r="BH167" s="11" t="n"/>
      <c r="BI167" s="11" t="n"/>
      <c r="BJ167" s="11" t="n"/>
      <c r="BK167" s="12" t="n"/>
      <c r="BL167" s="11" t="n"/>
      <c r="BM167" s="11" t="n"/>
      <c r="BN167" s="11" t="n"/>
      <c r="BO167" s="11" t="n"/>
      <c r="BP167" s="12" t="n"/>
      <c r="BQ167" s="11" t="n"/>
      <c r="BR167" s="11" t="n"/>
      <c r="BS167" s="11" t="n"/>
      <c r="BT167" s="11" t="n"/>
      <c r="BU167" s="12" t="n"/>
      <c r="BV167" s="11" t="n"/>
      <c r="BW167" s="11" t="n"/>
      <c r="BX167" s="11" t="n"/>
      <c r="BY167" s="11" t="n"/>
      <c r="BZ167" s="12" t="n"/>
      <c r="CA167" s="11" t="n"/>
      <c r="CB167" s="11" t="n"/>
      <c r="CC167" s="11" t="n"/>
      <c r="CD167" s="11" t="n"/>
      <c r="CE167" s="12" t="n"/>
      <c r="CF167" s="11" t="n"/>
      <c r="CG167" s="11" t="n"/>
      <c r="CH167" s="11" t="n"/>
      <c r="CI167" s="11" t="n"/>
      <c r="CJ167" s="12" t="n"/>
      <c r="CK167" s="11" t="n"/>
      <c r="CL167" s="11" t="n"/>
      <c r="CM167" s="11" t="n"/>
      <c r="CN167" s="11" t="n"/>
      <c r="CO167" s="12" t="n"/>
      <c r="CP167" s="11" t="n"/>
      <c r="CQ167" s="11" t="n"/>
      <c r="CR167" s="11" t="n"/>
      <c r="CS167" s="11" t="n"/>
      <c r="CT167" s="12" t="n"/>
      <c r="CU167" s="11" t="n"/>
      <c r="CV167" s="11" t="n"/>
      <c r="CW167" s="11" t="n"/>
      <c r="CX167" s="11" t="n"/>
      <c r="CY167" s="12" t="n"/>
    </row>
    <row r="168" hidden="1" outlineLevel="1">
      <c r="C168" s="57" t="inlineStr">
        <is>
          <t>Recurring asset sales (enter as -)</t>
        </is>
      </c>
      <c r="D168" s="12" t="n"/>
      <c r="E168" s="12" t="n"/>
      <c r="F168" s="12" t="n"/>
      <c r="G168" s="12" t="n"/>
      <c r="H168" s="12" t="n"/>
      <c r="I168" s="12" t="n"/>
      <c r="J168" s="12" t="n"/>
      <c r="K168" s="12" t="n"/>
      <c r="L168" s="12" t="n"/>
      <c r="M168" s="12">
        <f>SUM(I168:L168)</f>
        <v>0</v>
      </c>
      <c r="N168" s="12" t="n"/>
      <c r="O168" s="12" t="n"/>
      <c r="P168" s="12" t="n"/>
      <c r="Q168" s="12" t="n"/>
      <c r="R168" s="12">
        <f>SUM(N168:Q168)</f>
        <v>0</v>
      </c>
      <c r="S168" s="12" t="n"/>
      <c r="T168" s="12" t="n"/>
      <c r="U168" s="12" t="n"/>
      <c r="V168" s="12" t="n"/>
      <c r="W168" s="12">
        <f>SUM(S168:V168)</f>
        <v>0</v>
      </c>
      <c r="X168" s="12" t="n"/>
      <c r="Y168" s="12" t="n"/>
      <c r="Z168" s="12" t="n"/>
      <c r="AA168" s="12" t="n"/>
      <c r="AB168" s="12">
        <f>SUM(X168:AA168)</f>
        <v>0</v>
      </c>
      <c r="AC168" s="12" t="n"/>
      <c r="AD168" s="12" t="n"/>
      <c r="AE168" s="12" t="n"/>
      <c r="AF168" s="11" t="n"/>
      <c r="AG168" s="12" t="n"/>
      <c r="AH168" s="11" t="n"/>
      <c r="AI168" s="11" t="n"/>
      <c r="AJ168" s="11">
        <f>0</f>
        <v>0</v>
      </c>
      <c r="AK168" s="11">
        <f>0</f>
        <v>0</v>
      </c>
      <c r="AL168" s="12" t="n"/>
      <c r="AM168" s="11">
        <f>0</f>
        <v>0</v>
      </c>
      <c r="AN168" s="11">
        <f>0</f>
        <v>0</v>
      </c>
      <c r="AO168" s="11">
        <f>0</f>
        <v>0</v>
      </c>
      <c r="AP168" s="11">
        <f>0</f>
        <v>0</v>
      </c>
      <c r="AQ168" s="12" t="n"/>
      <c r="AR168" s="11">
        <f>0</f>
        <v>0</v>
      </c>
      <c r="AS168" s="11">
        <f>0</f>
        <v>0</v>
      </c>
      <c r="AT168" s="11">
        <f>0</f>
        <v>0</v>
      </c>
      <c r="AU168" s="11">
        <f>0</f>
        <v>0</v>
      </c>
      <c r="AV168" s="12" t="n"/>
      <c r="AW168" s="11">
        <f>0</f>
        <v>0</v>
      </c>
      <c r="AX168" s="11">
        <f>0</f>
        <v>0</v>
      </c>
      <c r="AY168" s="11">
        <f>0</f>
        <v>0</v>
      </c>
      <c r="AZ168" s="11">
        <f>0</f>
        <v>0</v>
      </c>
      <c r="BA168" s="12" t="n"/>
      <c r="BB168" s="11">
        <f>0</f>
        <v>0</v>
      </c>
      <c r="BC168" s="11">
        <f>0</f>
        <v>0</v>
      </c>
      <c r="BD168" s="11">
        <f>0</f>
        <v>0</v>
      </c>
      <c r="BE168" s="11">
        <f>0</f>
        <v>0</v>
      </c>
      <c r="BF168" s="12" t="n"/>
      <c r="BG168" s="11" t="n"/>
      <c r="BH168" s="11" t="n"/>
      <c r="BI168" s="11" t="n"/>
      <c r="BJ168" s="11" t="n"/>
      <c r="BK168" s="12" t="n"/>
      <c r="BL168" s="11" t="n"/>
      <c r="BM168" s="11" t="n"/>
      <c r="BN168" s="11" t="n"/>
      <c r="BO168" s="11" t="n"/>
      <c r="BP168" s="12" t="n"/>
      <c r="BQ168" s="11" t="n"/>
      <c r="BR168" s="11" t="n"/>
      <c r="BS168" s="11" t="n"/>
      <c r="BT168" s="11" t="n"/>
      <c r="BU168" s="12" t="n"/>
      <c r="BV168" s="11" t="n"/>
      <c r="BW168" s="11" t="n"/>
      <c r="BX168" s="11" t="n"/>
      <c r="BY168" s="11" t="n"/>
      <c r="BZ168" s="12" t="n"/>
      <c r="CA168" s="11" t="n"/>
      <c r="CB168" s="11" t="n"/>
      <c r="CC168" s="11" t="n"/>
      <c r="CD168" s="11" t="n"/>
      <c r="CE168" s="12" t="n"/>
      <c r="CF168" s="11" t="n"/>
      <c r="CG168" s="11" t="n"/>
      <c r="CH168" s="11" t="n"/>
      <c r="CI168" s="11" t="n"/>
      <c r="CJ168" s="12" t="n"/>
      <c r="CK168" s="11" t="n"/>
      <c r="CL168" s="11" t="n"/>
      <c r="CM168" s="11" t="n"/>
      <c r="CN168" s="11" t="n"/>
      <c r="CO168" s="12" t="n"/>
      <c r="CP168" s="11" t="n"/>
      <c r="CQ168" s="11" t="n"/>
      <c r="CR168" s="11" t="n"/>
      <c r="CS168" s="11" t="n"/>
      <c r="CT168" s="12" t="n"/>
      <c r="CU168" s="11" t="n"/>
      <c r="CV168" s="11" t="n"/>
      <c r="CW168" s="11" t="n"/>
      <c r="CX168" s="11" t="n"/>
      <c r="CY168" s="12" t="n"/>
    </row>
    <row r="169" hidden="1" outlineLevel="1">
      <c r="C169" s="57" t="inlineStr">
        <is>
          <t>Depreciation</t>
        </is>
      </c>
      <c r="D169" s="12" t="n"/>
      <c r="E169" s="12" t="n"/>
      <c r="F169" s="12" t="n"/>
      <c r="G169" s="12" t="n"/>
      <c r="H169" s="12" t="n"/>
      <c r="I169" s="12">
        <f>I69</f>
        <v>-132.593</v>
      </c>
      <c r="J169" s="12">
        <f>J69</f>
        <v>-131.573</v>
      </c>
      <c r="K169" s="12">
        <f>K69</f>
        <v>-145.397</v>
      </c>
      <c r="L169" s="12">
        <f>L69</f>
        <v>-149.432</v>
      </c>
      <c r="M169" s="12" t="n"/>
      <c r="N169" s="12">
        <f>N69</f>
        <v>-157.304</v>
      </c>
      <c r="O169" s="12">
        <f>O69</f>
        <v>-161.19</v>
      </c>
      <c r="P169" s="12">
        <f>P69</f>
        <v>-161.353</v>
      </c>
      <c r="Q169" s="12">
        <f>Q69</f>
        <v>-117.907</v>
      </c>
      <c r="R169" s="12" t="n"/>
      <c r="S169" s="12">
        <f>S69</f>
        <v>-168.327</v>
      </c>
      <c r="T169" s="12">
        <f>T69</f>
        <v>-169.666</v>
      </c>
      <c r="U169" s="12">
        <f>U69</f>
        <v>-169.643</v>
      </c>
      <c r="V169" s="12">
        <f>V69</f>
        <v>-169.639</v>
      </c>
      <c r="W169" s="12" t="n"/>
      <c r="X169" s="12">
        <f>X69</f>
        <v>-166.381</v>
      </c>
      <c r="Y169" s="12">
        <f>Y69</f>
        <v>-175.177</v>
      </c>
      <c r="Z169" s="12">
        <f>Z69</f>
        <v>-182.611</v>
      </c>
      <c r="AA169" s="12">
        <f>AA69</f>
        <v>-189.021</v>
      </c>
      <c r="AB169" s="12" t="n"/>
      <c r="AC169" s="12">
        <f>AC69</f>
        <v>-458.196</v>
      </c>
      <c r="AD169" s="12">
        <f>AD69</f>
        <v>-521.747</v>
      </c>
      <c r="AE169" s="12">
        <f>AE69</f>
        <v>-465.553</v>
      </c>
      <c r="AF169" s="12">
        <f>AF69</f>
        <v>-477.467</v>
      </c>
      <c r="AG169" s="12" t="n"/>
      <c r="AH169" s="12">
        <f>AH69</f>
        <v>-466.831</v>
      </c>
      <c r="AI169" s="12">
        <f>AI69</f>
        <v>-465.443</v>
      </c>
      <c r="AJ169" s="12">
        <f>AJ69</f>
        <v>-605.929568113899</v>
      </c>
      <c r="AK169" s="12">
        <f>AK69</f>
        <v>-651.208761218673</v>
      </c>
      <c r="AL169" s="12" t="n"/>
      <c r="AM169" s="12">
        <f>AM69</f>
        <v>-526.645673238007</v>
      </c>
      <c r="AN169" s="12">
        <f>AN69</f>
        <v>-523.384943717686</v>
      </c>
      <c r="AO169" s="12">
        <f>AO69</f>
        <v>-693.960091869007</v>
      </c>
      <c r="AP169" s="12">
        <f>AP69</f>
        <v>-745.817526561544</v>
      </c>
      <c r="AQ169" s="12" t="n"/>
      <c r="AR169" s="12">
        <f>AR69</f>
        <v>-600.524463575265</v>
      </c>
      <c r="AS169" s="12">
        <f>AS69</f>
        <v>-596.806313126947</v>
      </c>
      <c r="AT169" s="12">
        <f>AT69</f>
        <v>-791.310045993561</v>
      </c>
      <c r="AU169" s="12">
        <f>AU69</f>
        <v>-850.442133720885</v>
      </c>
      <c r="AV169" s="12" t="n"/>
      <c r="AW169" s="12">
        <f>AW69</f>
        <v>-681.764479508062</v>
      </c>
      <c r="AX169" s="12">
        <f>AX69</f>
        <v>-677.543331063853</v>
      </c>
      <c r="AY169" s="12">
        <f>AY69</f>
        <v>-898.359874341215</v>
      </c>
      <c r="AZ169" s="12">
        <f>AZ69</f>
        <v>-965.491455911815</v>
      </c>
      <c r="BA169" s="12" t="n"/>
      <c r="BB169" s="12">
        <f>BB69</f>
        <v>-770.585966676767</v>
      </c>
      <c r="BC169" s="12">
        <f>BC69</f>
        <v>-765.814879516706</v>
      </c>
      <c r="BD169" s="12">
        <f>BD69</f>
        <v>-1015.39979421098</v>
      </c>
      <c r="BE169" s="12">
        <f>BE69</f>
        <v>-1091.27739745081</v>
      </c>
      <c r="BF169" s="12" t="n"/>
      <c r="BG169" s="12" t="n"/>
      <c r="BH169" s="12" t="n"/>
      <c r="BI169" s="12" t="n"/>
      <c r="BJ169" s="12" t="n"/>
      <c r="BK169" s="12" t="n"/>
      <c r="BL169" s="12" t="n"/>
      <c r="BM169" s="12" t="n"/>
      <c r="BN169" s="12" t="n"/>
      <c r="BO169" s="12" t="n"/>
      <c r="BP169" s="12" t="n"/>
      <c r="BQ169" s="12" t="n"/>
      <c r="BR169" s="12" t="n"/>
      <c r="BS169" s="12" t="n"/>
      <c r="BT169" s="12" t="n"/>
      <c r="BU169" s="12" t="n"/>
      <c r="BV169" s="12" t="n"/>
      <c r="BW169" s="12" t="n"/>
      <c r="BX169" s="12" t="n"/>
      <c r="BY169" s="12" t="n"/>
      <c r="BZ169" s="12" t="n"/>
      <c r="CA169" s="12" t="n"/>
      <c r="CB169" s="12" t="n"/>
      <c r="CC169" s="12" t="n"/>
      <c r="CD169" s="12" t="n"/>
      <c r="CE169" s="12" t="n"/>
      <c r="CF169" s="12" t="n"/>
      <c r="CG169" s="12" t="n"/>
      <c r="CH169" s="12" t="n"/>
      <c r="CI169" s="12" t="n"/>
      <c r="CJ169" s="12" t="n"/>
      <c r="CK169" s="12" t="n"/>
      <c r="CL169" s="12" t="n"/>
      <c r="CM169" s="12" t="n"/>
      <c r="CN169" s="12" t="n"/>
      <c r="CO169" s="12" t="n"/>
      <c r="CP169" s="12" t="n"/>
      <c r="CQ169" s="12" t="n"/>
      <c r="CR169" s="12" t="n"/>
      <c r="CS169" s="12" t="n"/>
      <c r="CT169" s="12" t="n"/>
      <c r="CU169" s="12" t="n"/>
      <c r="CV169" s="12" t="n"/>
      <c r="CW169" s="12" t="n"/>
      <c r="CX169" s="12" t="n"/>
      <c r="CY169" s="12" t="n"/>
    </row>
    <row r="170" hidden="1" outlineLevel="1">
      <c r="C170" s="57" t="inlineStr">
        <is>
          <t>PP&amp;E</t>
        </is>
      </c>
      <c r="D170" s="12" t="n"/>
      <c r="E170" s="12" t="n"/>
      <c r="F170" s="12" t="n"/>
      <c r="G170" s="12" t="n"/>
      <c r="H170" s="12" t="n"/>
      <c r="I170" s="12">
        <f>I165</f>
        <v>8718.257</v>
      </c>
      <c r="J170" s="12">
        <f>J165</f>
        <v>8625.281</v>
      </c>
      <c r="K170" s="12">
        <f>K165</f>
        <v>8890.528</v>
      </c>
      <c r="L170" s="12">
        <f>L165</f>
        <v>8980.282</v>
      </c>
      <c r="M170" s="12">
        <f>M165</f>
        <v>8980.282</v>
      </c>
      <c r="N170" s="12">
        <f>N165</f>
        <v>9170.686</v>
      </c>
      <c r="O170" s="12">
        <f>O165</f>
        <v>9743.557</v>
      </c>
      <c r="P170" s="12">
        <f>P165</f>
        <v>10069.407</v>
      </c>
      <c r="Q170" s="12">
        <f>Q165</f>
        <v>10397.035</v>
      </c>
      <c r="R170" s="12">
        <f>R165</f>
        <v>10397.035</v>
      </c>
      <c r="S170" s="12">
        <f>S165</f>
        <v>10619.999</v>
      </c>
      <c r="T170" s="12">
        <f>T165</f>
        <v>11178.295</v>
      </c>
      <c r="U170" s="12">
        <f>U165</f>
        <v>11813.974</v>
      </c>
      <c r="V170" s="12">
        <f>V165</f>
        <v>11849.347</v>
      </c>
      <c r="W170" s="12">
        <f>W165</f>
        <v>11849.347</v>
      </c>
      <c r="X170" s="12">
        <f>X165</f>
        <v>11732.58</v>
      </c>
      <c r="Y170" s="12">
        <f>Y165</f>
        <v>11668.586</v>
      </c>
      <c r="Z170" s="12">
        <f>Z165</f>
        <v>11571.81</v>
      </c>
      <c r="AA170" s="12">
        <f>AA165</f>
        <v>26203.796</v>
      </c>
      <c r="AB170" s="12">
        <f>AB165</f>
        <v>26203.796</v>
      </c>
      <c r="AC170" s="12">
        <f>AC165</f>
        <v>26000.982</v>
      </c>
      <c r="AD170" s="12">
        <f>AD165</f>
        <v>25810.274</v>
      </c>
      <c r="AE170" s="12">
        <f>AE165</f>
        <v>25725.023</v>
      </c>
      <c r="AF170" s="12">
        <f>AF165</f>
        <v>25430.247</v>
      </c>
      <c r="AG170" s="12">
        <f>AG165</f>
        <v>25430.247</v>
      </c>
      <c r="AH170" s="12">
        <f>AH165</f>
        <v>25207.131</v>
      </c>
      <c r="AI170" s="12">
        <f>AI165</f>
        <v>25020.77</v>
      </c>
      <c r="AJ170" s="12">
        <f>AI170+SUM(AJ167:AJ169)</f>
        <v>24765.7312556108</v>
      </c>
      <c r="AK170" s="12">
        <f>AJ170+SUM(AK167:AK169)</f>
        <v>24491.6342754726</v>
      </c>
      <c r="AL170" s="12" t="n"/>
      <c r="AM170" s="12">
        <f>AK170+SUM(AM167:AM169)</f>
        <v>24269.9665135597</v>
      </c>
      <c r="AN170" s="12">
        <f>AM170+SUM(AN167:AN169)</f>
        <v>24049.6712087878</v>
      </c>
      <c r="AO170" s="12">
        <f>AN170+SUM(AO167:AO169)</f>
        <v>23757.5799826781</v>
      </c>
      <c r="AP170" s="12">
        <f>AO170+SUM(AP167:AP169)</f>
        <v>23443.6617064834</v>
      </c>
      <c r="AQ170" s="12" t="n"/>
      <c r="AR170" s="12">
        <f>AP170+SUM(AR167:AR169)</f>
        <v>23190.8979972589</v>
      </c>
      <c r="AS170" s="12">
        <f>AR170+SUM(AS167:AS169)</f>
        <v>22939.6992759005</v>
      </c>
      <c r="AT170" s="12">
        <f>AS170+SUM(AT167:AT169)</f>
        <v>22606.6329738533</v>
      </c>
      <c r="AU170" s="12">
        <f>AT170+SUM(AU167:AU169)</f>
        <v>22248.6776843714</v>
      </c>
      <c r="AV170" s="12" t="n"/>
      <c r="AW170" s="12">
        <f>AU170+SUM(AW167:AW169)</f>
        <v>21961.7196516678</v>
      </c>
      <c r="AX170" s="12">
        <f>AW170+SUM(AX167:AX169)</f>
        <v>21676.5383211681</v>
      </c>
      <c r="AY170" s="12">
        <f>AX170+SUM(AY167:AY169)</f>
        <v>21298.4142182715</v>
      </c>
      <c r="AZ170" s="12">
        <f>AY170+SUM(AZ167:AZ169)</f>
        <v>20892.0341015184</v>
      </c>
      <c r="BA170" s="12" t="n"/>
      <c r="BB170" s="12">
        <f>AZ170+SUM(BB167:BB169)</f>
        <v>20567.6906666916</v>
      </c>
      <c r="BC170" s="12">
        <f>BB170+SUM(BC167:BC169)</f>
        <v>20245.3554059871</v>
      </c>
      <c r="BD170" s="12">
        <f>BC170+SUM(BD167:BD169)</f>
        <v>19817.9686234363</v>
      </c>
      <c r="BE170" s="12">
        <f>BD170+SUM(BE167:BE169)</f>
        <v>19358.6445833626</v>
      </c>
      <c r="BF170" s="12" t="n"/>
      <c r="BG170" s="12" t="n"/>
      <c r="BH170" s="12" t="n"/>
      <c r="BI170" s="12" t="n"/>
      <c r="BJ170" s="12" t="n"/>
      <c r="BK170" s="12" t="n"/>
      <c r="BL170" s="12" t="n"/>
      <c r="BM170" s="12" t="n"/>
      <c r="BN170" s="12" t="n"/>
      <c r="BO170" s="12" t="n"/>
      <c r="BP170" s="12" t="n"/>
      <c r="BQ170" s="12" t="n"/>
      <c r="BR170" s="12" t="n"/>
      <c r="BS170" s="12" t="n"/>
      <c r="BT170" s="12" t="n"/>
      <c r="BU170" s="12" t="n"/>
      <c r="BV170" s="12" t="n"/>
      <c r="BW170" s="12" t="n"/>
      <c r="BX170" s="12" t="n"/>
      <c r="BY170" s="12" t="n"/>
      <c r="BZ170" s="12" t="n"/>
      <c r="CA170" s="12" t="n"/>
      <c r="CB170" s="12" t="n"/>
      <c r="CC170" s="12" t="n"/>
      <c r="CD170" s="12" t="n"/>
      <c r="CE170" s="12" t="n"/>
      <c r="CF170" s="12" t="n"/>
      <c r="CG170" s="12" t="n"/>
      <c r="CH170" s="12" t="n"/>
      <c r="CI170" s="12" t="n"/>
      <c r="CJ170" s="12" t="n"/>
      <c r="CK170" s="12" t="n"/>
      <c r="CL170" s="12" t="n"/>
      <c r="CM170" s="12" t="n"/>
      <c r="CN170" s="12" t="n"/>
      <c r="CO170" s="12" t="n"/>
      <c r="CP170" s="12" t="n"/>
      <c r="CQ170" s="12" t="n"/>
      <c r="CR170" s="12" t="n"/>
      <c r="CS170" s="12" t="n"/>
      <c r="CT170" s="12" t="n"/>
      <c r="CU170" s="12" t="n"/>
      <c r="CV170" s="12" t="n"/>
      <c r="CW170" s="12" t="n"/>
      <c r="CX170" s="12" t="n"/>
      <c r="CY170" s="12" t="n"/>
    </row>
    <row r="171" hidden="1" outlineLevel="1">
      <c r="C171" s="57" t="n"/>
      <c r="D171" s="12" t="n"/>
      <c r="E171" s="12" t="n"/>
      <c r="F171" s="12" t="n"/>
      <c r="G171" s="12" t="n"/>
      <c r="H171" s="12" t="n"/>
      <c r="I171" s="12" t="n"/>
      <c r="J171" s="12" t="n"/>
      <c r="K171" s="12" t="n"/>
      <c r="L171" s="12" t="n"/>
      <c r="M171" s="12" t="n"/>
      <c r="N171" s="12" t="n"/>
      <c r="O171" s="12" t="n"/>
      <c r="P171" s="12" t="n"/>
      <c r="Q171" s="12" t="n"/>
      <c r="R171" s="12" t="n"/>
      <c r="S171" s="12" t="n"/>
      <c r="T171" s="12" t="n"/>
      <c r="U171" s="12" t="n"/>
      <c r="V171" s="12" t="n"/>
      <c r="W171" s="12" t="n"/>
      <c r="X171" s="12" t="n"/>
      <c r="Y171" s="12" t="n"/>
      <c r="Z171" s="12" t="n"/>
      <c r="AA171" s="12" t="n"/>
      <c r="AB171" s="12" t="n"/>
      <c r="AC171" s="12" t="n"/>
      <c r="AD171" s="12" t="n"/>
      <c r="AE171" s="12" t="n"/>
      <c r="AF171" s="12" t="n"/>
      <c r="AG171" s="12" t="n"/>
      <c r="AH171" s="12" t="n"/>
      <c r="AI171" s="12" t="n"/>
      <c r="AJ171" s="12">
        <f>IF(AJ15=0,"",AJ167/AJ15)</f>
        <v>0.0866117062497483</v>
      </c>
      <c r="AK171" s="12">
        <f>IF(AK15=0,"",AK167/AK15)</f>
        <v>0.0866117062497483</v>
      </c>
      <c r="AL171" s="12" t="n"/>
      <c r="AM171" s="12">
        <f>IF(AM15=0,"",AM167/AM15)</f>
        <v>0.0866117062497483</v>
      </c>
      <c r="AN171" s="12">
        <f>IF(AN15=0,"",AN167/AN15)</f>
        <v>0.0866117062497483</v>
      </c>
      <c r="AO171" s="12">
        <f>IF(AO15=0,"",AO167/AO15)</f>
        <v>0.0866117062497483</v>
      </c>
      <c r="AP171" s="12">
        <f>IF(AP15=0,"",AP167/AP15)</f>
        <v>0.0866117062497483</v>
      </c>
      <c r="AQ171" s="12" t="n"/>
      <c r="AR171" s="12">
        <f>IF(AR15=0,"",AR167/AR15)</f>
        <v>0.0866117062497483</v>
      </c>
      <c r="AS171" s="12">
        <f>IF(AS15=0,"",AS167/AS15)</f>
        <v>0.0866117062497483</v>
      </c>
      <c r="AT171" s="12">
        <f>IF(AT15=0,"",AT167/AT15)</f>
        <v>0.0866117062497483</v>
      </c>
      <c r="AU171" s="12">
        <f>IF(AU15=0,"",AU167/AU15)</f>
        <v>0.0866117062497483</v>
      </c>
      <c r="AV171" s="12" t="n"/>
      <c r="AW171" s="12">
        <f>IF(AW15=0,"",AW167/AW15)</f>
        <v>0.0866117062497483</v>
      </c>
      <c r="AX171" s="12">
        <f>IF(AX15=0,"",AX167/AX15)</f>
        <v>0.0866117062497483</v>
      </c>
      <c r="AY171" s="12">
        <f>IF(AY15=0,"",AY167/AY15)</f>
        <v>0.0866117062497483</v>
      </c>
      <c r="AZ171" s="12">
        <f>IF(AZ15=0,"",AZ167/AZ15)</f>
        <v>0.0866117062497483</v>
      </c>
      <c r="BA171" s="12" t="n"/>
      <c r="BB171" s="12">
        <f>IF(BB15=0,"",BB167/BB15)</f>
        <v>0.0866117062497483</v>
      </c>
      <c r="BC171" s="12">
        <f>IF(BC15=0,"",BC167/BC15)</f>
        <v>0.0866117062497483</v>
      </c>
      <c r="BD171" s="12">
        <f>IF(BD15=0,"",BD167/BD15)</f>
        <v>0.0866117062497483</v>
      </c>
      <c r="BE171" s="12">
        <f>IF(BE15=0,"",BE167/BE15)</f>
        <v>0.0866117062497483</v>
      </c>
      <c r="BF171" s="12" t="n"/>
      <c r="BG171" s="12" t="n"/>
      <c r="BH171" s="12" t="n"/>
      <c r="BI171" s="12" t="n"/>
      <c r="BJ171" s="12" t="n"/>
      <c r="BK171" s="12" t="n"/>
      <c r="BL171" s="12" t="n"/>
      <c r="BM171" s="12" t="n"/>
      <c r="BN171" s="12" t="n"/>
      <c r="BO171" s="12" t="n"/>
      <c r="BP171" s="12" t="n"/>
      <c r="BQ171" s="12" t="n"/>
      <c r="BR171" s="12" t="n"/>
      <c r="BS171" s="12" t="n"/>
      <c r="BT171" s="12" t="n"/>
      <c r="BU171" s="12" t="n"/>
      <c r="BV171" s="12" t="n"/>
      <c r="BW171" s="12" t="n"/>
      <c r="BX171" s="12" t="n"/>
      <c r="BY171" s="12" t="n"/>
      <c r="BZ171" s="12" t="n"/>
      <c r="CA171" s="12" t="n"/>
      <c r="CB171" s="12" t="n"/>
      <c r="CC171" s="12" t="n"/>
      <c r="CD171" s="12" t="n"/>
      <c r="CE171" s="12" t="n"/>
      <c r="CF171" s="12" t="n"/>
      <c r="CG171" s="12" t="n"/>
      <c r="CH171" s="12" t="n"/>
      <c r="CI171" s="12" t="n"/>
      <c r="CJ171" s="12" t="n"/>
      <c r="CK171" s="12" t="n"/>
      <c r="CL171" s="12" t="n"/>
      <c r="CM171" s="12" t="n"/>
      <c r="CN171" s="12" t="n"/>
      <c r="CO171" s="12" t="n"/>
      <c r="CP171" s="12" t="n"/>
      <c r="CQ171" s="12" t="n"/>
      <c r="CR171" s="12" t="n"/>
      <c r="CS171" s="12" t="n"/>
      <c r="CT171" s="12" t="n"/>
      <c r="CU171" s="12" t="n"/>
      <c r="CV171" s="12" t="n"/>
      <c r="CW171" s="12" t="n"/>
      <c r="CX171" s="12" t="n"/>
      <c r="CY171" s="12" t="n"/>
    </row>
    <row r="172" hidden="1" outlineLevel="1">
      <c r="C172" s="57" t="inlineStr">
        <is>
          <t>Capital expenditures (% Net Revenues)</t>
        </is>
      </c>
      <c r="D172" s="12" t="n"/>
      <c r="E172" s="12" t="n"/>
      <c r="F172" s="12" t="n"/>
      <c r="G172" s="12" t="n"/>
      <c r="H172" s="12" t="n"/>
      <c r="I172" s="12" t="n"/>
      <c r="J172" s="12" t="n"/>
      <c r="K172" s="12" t="n"/>
      <c r="L172" s="12" t="n"/>
      <c r="M172" s="12" t="n"/>
      <c r="N172" s="12" t="n"/>
      <c r="O172" s="12" t="n"/>
      <c r="P172" s="12" t="n"/>
      <c r="Q172" s="12" t="n"/>
      <c r="R172" s="12" t="n"/>
      <c r="S172" s="12" t="n"/>
      <c r="T172" s="12" t="n"/>
      <c r="U172" s="12" t="n"/>
      <c r="V172" s="12" t="n"/>
      <c r="W172" s="12" t="n"/>
      <c r="X172" s="12" t="n"/>
      <c r="Y172" s="12" t="n"/>
      <c r="Z172" s="12" t="n"/>
      <c r="AA172" s="12" t="n"/>
      <c r="AB172" s="12" t="n"/>
      <c r="AC172" s="12" t="n"/>
      <c r="AD172" s="12" t="n"/>
      <c r="AE172" s="12" t="n"/>
      <c r="AF172" s="58">
        <f>IFERROR(AF167/AF15,"")</f>
        <v>0.0480547140524741</v>
      </c>
      <c r="AG172" s="58">
        <f>IFERROR(AG167/AG15,"")</f>
        <v>0.0872291255215926</v>
      </c>
      <c r="AH172" s="58">
        <f>IFERROR(AH167/AH15,"")</f>
        <v>0.0792688975731296</v>
      </c>
      <c r="AI172" s="58">
        <f>IFERROR(AI167/AI15,"")</f>
        <v>0.0913376178489992</v>
      </c>
      <c r="AJ172" s="58">
        <f>IFERROR(AJ167/AJ15,"")</f>
        <v>0.0866117062497483</v>
      </c>
      <c r="AK172" s="58">
        <f>IFERROR(AK167/AK15,"")</f>
        <v>0.0866117062497483</v>
      </c>
      <c r="AL172" s="58">
        <f>IFERROR(AL167/AL15,"")</f>
        <v>0</v>
      </c>
      <c r="AM172" s="58">
        <f>IFERROR(AM167/AM15,"")</f>
        <v>0.0866117062497483</v>
      </c>
      <c r="AN172" s="58">
        <f>IFERROR(AN167/AN15,"")</f>
        <v>0.0866117062497483</v>
      </c>
      <c r="AO172" s="58">
        <f>IFERROR(AO167/AO15,"")</f>
        <v>0.0866117062497483</v>
      </c>
      <c r="AP172" s="58">
        <f>IFERROR(AP167/AP15,"")</f>
        <v>0.0866117062497483</v>
      </c>
      <c r="AQ172" s="58">
        <f>IFERROR(AQ167/AQ15,"")</f>
        <v>0</v>
      </c>
      <c r="AR172" s="58">
        <f>IFERROR(AR167/AR15,"")</f>
        <v>0.0866117062497483</v>
      </c>
      <c r="AS172" s="58">
        <f>IFERROR(AS167/AS15,"")</f>
        <v>0.0866117062497483</v>
      </c>
      <c r="AT172" s="58">
        <f>IFERROR(AT167/AT15,"")</f>
        <v>0.0866117062497483</v>
      </c>
      <c r="AU172" s="58">
        <f>IFERROR(AU167/AU15,"")</f>
        <v>0.0866117062497483</v>
      </c>
      <c r="AV172" s="58">
        <f>IFERROR(AV167/AV15,"")</f>
        <v>0</v>
      </c>
      <c r="AW172" s="58">
        <f>IFERROR(AW167/AW15,"")</f>
        <v>0.0866117062497483</v>
      </c>
      <c r="AX172" s="58">
        <f>IFERROR(AX167/AX15,"")</f>
        <v>0.0866117062497483</v>
      </c>
      <c r="AY172" s="58">
        <f>IFERROR(AY167/AY15,"")</f>
        <v>0.0866117062497483</v>
      </c>
      <c r="AZ172" s="58">
        <f>IFERROR(AZ167/AZ15,"")</f>
        <v>0.0866117062497483</v>
      </c>
      <c r="BA172" s="58">
        <f>IFERROR(BA167/BA15,"")</f>
        <v>0</v>
      </c>
      <c r="BB172" s="58">
        <f>IFERROR(BB167/BB15,"")</f>
        <v>0.0866117062497483</v>
      </c>
      <c r="BC172" s="58">
        <f>IFERROR(BC167/BC15,"")</f>
        <v>0.0866117062497483</v>
      </c>
      <c r="BD172" s="58">
        <f>IFERROR(BD167/BD15,"")</f>
        <v>0.0866117062497483</v>
      </c>
      <c r="BE172" s="58">
        <f>IFERROR(BE167/BE15,"")</f>
        <v>0.0866117062497483</v>
      </c>
      <c r="BF172" s="58">
        <f>IFERROR(BF167/BF15,"")</f>
        <v>0</v>
      </c>
      <c r="BG172" s="58" t="n"/>
      <c r="BH172" s="58" t="n"/>
      <c r="BI172" s="58" t="n"/>
      <c r="BJ172" s="58" t="n"/>
      <c r="BK172" s="58" t="n"/>
      <c r="BL172" s="58" t="n"/>
      <c r="BM172" s="58" t="n"/>
      <c r="BN172" s="58" t="n"/>
      <c r="BO172" s="58" t="n"/>
      <c r="BP172" s="58" t="n"/>
      <c r="BQ172" s="58" t="n"/>
      <c r="BR172" s="58" t="n"/>
      <c r="BS172" s="58" t="n"/>
      <c r="BT172" s="58" t="n"/>
      <c r="BU172" s="58" t="n"/>
      <c r="BV172" s="58" t="n"/>
      <c r="BW172" s="58" t="n"/>
      <c r="BX172" s="58" t="n"/>
      <c r="BY172" s="58" t="n"/>
      <c r="BZ172" s="58" t="n"/>
      <c r="CA172" s="58" t="n"/>
      <c r="CB172" s="58" t="n"/>
      <c r="CC172" s="58" t="n"/>
      <c r="CD172" s="58" t="n"/>
      <c r="CE172" s="58" t="n"/>
      <c r="CF172" s="58" t="n"/>
      <c r="CG172" s="58" t="n"/>
      <c r="CH172" s="58" t="n"/>
      <c r="CI172" s="58" t="n"/>
      <c r="CJ172" s="58" t="n"/>
      <c r="CK172" s="58" t="n"/>
      <c r="CL172" s="58" t="n"/>
      <c r="CM172" s="58" t="n"/>
      <c r="CN172" s="58" t="n"/>
      <c r="CO172" s="58" t="n"/>
      <c r="CP172" s="58" t="n"/>
      <c r="CQ172" s="58" t="n"/>
      <c r="CR172" s="58" t="n"/>
      <c r="CS172" s="58" t="n"/>
      <c r="CT172" s="58" t="n"/>
      <c r="CU172" s="58" t="n"/>
      <c r="CV172" s="58" t="n"/>
      <c r="CW172" s="58" t="n"/>
      <c r="CX172" s="58" t="n"/>
      <c r="CY172" s="58" t="n"/>
    </row>
    <row r="173" hidden="1" outlineLevel="1">
      <c r="C173" s="57" t="n"/>
      <c r="D173" s="12" t="n"/>
      <c r="E173" s="12" t="n"/>
      <c r="F173" s="12" t="n"/>
      <c r="G173" s="12" t="n"/>
      <c r="H173" s="12" t="n"/>
      <c r="I173" s="12" t="n"/>
      <c r="J173" s="12" t="n"/>
      <c r="K173" s="12" t="n"/>
      <c r="L173" s="12" t="n"/>
      <c r="M173" s="12" t="n"/>
      <c r="N173" s="12" t="n"/>
      <c r="O173" s="12" t="n"/>
      <c r="P173" s="12" t="n"/>
      <c r="Q173" s="12" t="n"/>
      <c r="R173" s="12" t="n"/>
      <c r="S173" s="12" t="n"/>
      <c r="T173" s="12" t="n"/>
      <c r="U173" s="12" t="n"/>
      <c r="V173" s="12" t="n"/>
      <c r="W173" s="12" t="n"/>
      <c r="X173" s="12" t="n"/>
      <c r="Y173" s="12" t="n"/>
      <c r="Z173" s="12" t="n"/>
      <c r="AA173" s="12" t="n"/>
      <c r="AB173" s="12" t="n"/>
      <c r="AC173" s="12" t="n"/>
      <c r="AD173" s="12" t="n"/>
      <c r="AE173" s="12" t="n"/>
      <c r="AF173" s="12" t="n"/>
      <c r="AG173" s="12" t="n"/>
      <c r="AH173" s="12" t="n"/>
      <c r="AI173" s="12" t="n"/>
      <c r="AJ173" s="12" t="n"/>
      <c r="AK173" s="12" t="n"/>
      <c r="AL173" s="12" t="n"/>
      <c r="AM173" s="12" t="n"/>
      <c r="AN173" s="12" t="n"/>
      <c r="AO173" s="12" t="n"/>
      <c r="AP173" s="12" t="n"/>
      <c r="AQ173" s="12" t="n"/>
      <c r="AR173" s="12" t="n"/>
      <c r="AS173" s="12" t="n"/>
      <c r="AT173" s="12" t="n"/>
      <c r="AU173" s="12" t="n"/>
      <c r="AV173" s="12" t="n"/>
      <c r="AW173" s="12" t="n"/>
      <c r="AX173" s="12" t="n"/>
      <c r="AY173" s="12" t="n"/>
      <c r="AZ173" s="12" t="n"/>
      <c r="BA173" s="12" t="n"/>
      <c r="BB173" s="12" t="n"/>
      <c r="BC173" s="12" t="n"/>
      <c r="BD173" s="12" t="n"/>
      <c r="BE173" s="12" t="n"/>
      <c r="BF173" s="12" t="n"/>
      <c r="BG173" s="12" t="n"/>
      <c r="BH173" s="12" t="n"/>
      <c r="BI173" s="12" t="n"/>
      <c r="BJ173" s="12" t="n"/>
      <c r="BK173" s="12" t="n"/>
      <c r="BL173" s="12" t="n"/>
      <c r="BM173" s="12" t="n"/>
      <c r="BN173" s="12" t="n"/>
      <c r="BO173" s="12" t="n"/>
      <c r="BP173" s="12" t="n"/>
      <c r="BQ173" s="12" t="n"/>
      <c r="BR173" s="12" t="n"/>
      <c r="BS173" s="12" t="n"/>
      <c r="BT173" s="12" t="n"/>
      <c r="BU173" s="12" t="n"/>
      <c r="BV173" s="12" t="n"/>
      <c r="BW173" s="12" t="n"/>
      <c r="BX173" s="12" t="n"/>
      <c r="BY173" s="12" t="n"/>
      <c r="BZ173" s="12" t="n"/>
      <c r="CA173" s="12" t="n"/>
      <c r="CB173" s="12" t="n"/>
      <c r="CC173" s="12" t="n"/>
      <c r="CD173" s="12" t="n"/>
      <c r="CE173" s="12" t="n"/>
      <c r="CF173" s="12" t="n"/>
      <c r="CG173" s="12" t="n"/>
      <c r="CH173" s="12" t="n"/>
      <c r="CI173" s="12" t="n"/>
      <c r="CJ173" s="12" t="n"/>
      <c r="CK173" s="12" t="n"/>
      <c r="CL173" s="12" t="n"/>
      <c r="CM173" s="12" t="n"/>
      <c r="CN173" s="12" t="n"/>
      <c r="CO173" s="12" t="n"/>
      <c r="CP173" s="12" t="n"/>
      <c r="CQ173" s="12" t="n"/>
      <c r="CR173" s="12" t="n"/>
      <c r="CS173" s="12" t="n"/>
      <c r="CT173" s="12" t="n"/>
      <c r="CU173" s="12" t="n"/>
      <c r="CV173" s="12" t="n"/>
      <c r="CW173" s="12" t="n"/>
      <c r="CX173" s="12" t="n"/>
      <c r="CY173" s="12" t="n"/>
    </row>
    <row r="174" hidden="1" outlineLevel="1">
      <c r="C174" s="57" t="n"/>
      <c r="D174" s="12" t="n"/>
      <c r="E174" s="12" t="n"/>
      <c r="F174" s="12" t="n"/>
      <c r="G174" s="12" t="n"/>
      <c r="H174" s="12" t="n"/>
      <c r="I174" s="12" t="n"/>
      <c r="J174" s="12" t="n"/>
      <c r="K174" s="12" t="n"/>
      <c r="L174" s="12" t="n"/>
      <c r="M174" s="12" t="n"/>
      <c r="N174" s="12" t="n"/>
      <c r="O174" s="12" t="n"/>
      <c r="P174" s="12" t="n"/>
      <c r="Q174" s="12" t="n"/>
      <c r="R174" s="12" t="n"/>
      <c r="S174" s="12" t="n"/>
      <c r="T174" s="12" t="n"/>
      <c r="U174" s="12" t="n"/>
      <c r="V174" s="12" t="n"/>
      <c r="W174" s="12" t="n"/>
      <c r="X174" s="12" t="n"/>
      <c r="Y174" s="12" t="n"/>
      <c r="Z174" s="12" t="n"/>
      <c r="AA174" s="12" t="n"/>
      <c r="AB174" s="12" t="n"/>
      <c r="AC174" s="12" t="n"/>
      <c r="AD174" s="12" t="n"/>
      <c r="AE174" s="12" t="n"/>
      <c r="AF174" s="12" t="n"/>
      <c r="AG174" s="12" t="n"/>
      <c r="AH174" s="12" t="n"/>
      <c r="AI174" s="12" t="n"/>
      <c r="AJ174" s="12" t="n"/>
      <c r="AK174" s="12" t="n"/>
      <c r="AL174" s="12" t="n"/>
      <c r="AM174" s="12" t="n"/>
      <c r="AN174" s="12" t="n"/>
      <c r="AO174" s="12" t="n"/>
      <c r="AP174" s="12" t="n"/>
      <c r="AQ174" s="12" t="n"/>
      <c r="AR174" s="12" t="n"/>
      <c r="AS174" s="12" t="n"/>
      <c r="AT174" s="12" t="n"/>
      <c r="AU174" s="12" t="n"/>
      <c r="AV174" s="12" t="n"/>
      <c r="AW174" s="12" t="n"/>
      <c r="AX174" s="12" t="n"/>
      <c r="AY174" s="12" t="n"/>
      <c r="AZ174" s="12" t="n"/>
      <c r="BA174" s="12" t="n"/>
      <c r="BB174" s="12" t="n"/>
      <c r="BC174" s="12" t="n"/>
      <c r="BD174" s="12" t="n"/>
      <c r="BE174" s="12" t="n"/>
      <c r="BF174" s="12" t="n"/>
      <c r="BG174" s="12" t="n"/>
      <c r="BH174" s="12" t="n"/>
      <c r="BI174" s="12" t="n"/>
      <c r="BJ174" s="12" t="n"/>
      <c r="BK174" s="12" t="n"/>
      <c r="BL174" s="12" t="n"/>
      <c r="BM174" s="12" t="n"/>
      <c r="BN174" s="12" t="n"/>
      <c r="BO174" s="12" t="n"/>
      <c r="BP174" s="12" t="n"/>
      <c r="BQ174" s="12" t="n"/>
      <c r="BR174" s="12" t="n"/>
      <c r="BS174" s="12" t="n"/>
      <c r="BT174" s="12" t="n"/>
      <c r="BU174" s="12" t="n"/>
      <c r="BV174" s="12" t="n"/>
      <c r="BW174" s="12" t="n"/>
      <c r="BX174" s="12" t="n"/>
      <c r="BY174" s="12" t="n"/>
      <c r="BZ174" s="12" t="n"/>
      <c r="CA174" s="12" t="n"/>
      <c r="CB174" s="12" t="n"/>
      <c r="CC174" s="12" t="n"/>
      <c r="CD174" s="12" t="n"/>
      <c r="CE174" s="12" t="n"/>
      <c r="CF174" s="12" t="n"/>
      <c r="CG174" s="12" t="n"/>
      <c r="CH174" s="12" t="n"/>
      <c r="CI174" s="12" t="n"/>
      <c r="CJ174" s="12" t="n"/>
      <c r="CK174" s="12" t="n"/>
      <c r="CL174" s="12" t="n"/>
      <c r="CM174" s="12" t="n"/>
      <c r="CN174" s="12" t="n"/>
      <c r="CO174" s="12" t="n"/>
      <c r="CP174" s="12" t="n"/>
      <c r="CQ174" s="12" t="n"/>
      <c r="CR174" s="12" t="n"/>
      <c r="CS174" s="12" t="n"/>
      <c r="CT174" s="12" t="n"/>
      <c r="CU174" s="12" t="n"/>
      <c r="CV174" s="12" t="n"/>
      <c r="CW174" s="12" t="n"/>
      <c r="CX174" s="12" t="n"/>
      <c r="CY174" s="12" t="n"/>
    </row>
    <row r="175" collapsed="1">
      <c r="C175" s="14" t="inlineStr">
        <is>
          <t>Right-of-use-assets</t>
        </is>
      </c>
      <c r="D175" s="46" t="n"/>
      <c r="E175" s="46" t="n"/>
      <c r="F175" s="46" t="n"/>
      <c r="G175" s="46" t="n"/>
      <c r="H175" s="12" t="n"/>
      <c r="I175" s="46">
        <f>'Inputs (2)'!D23</f>
        <v>6.068</v>
      </c>
      <c r="J175" s="46">
        <f>'Inputs (2)'!E23</f>
        <v>6.051</v>
      </c>
      <c r="K175" s="46">
        <f>'Inputs (2)'!F23</f>
        <v>5.67</v>
      </c>
      <c r="L175" s="46">
        <f>'Inputs (2)'!G23</f>
        <v>5.283</v>
      </c>
      <c r="M175" s="12">
        <f>'Inputs (2)'!H23</f>
        <v>5.283</v>
      </c>
      <c r="N175" s="46">
        <f>'Inputs (2)'!I23</f>
        <v>6.519</v>
      </c>
      <c r="O175" s="46">
        <f>'Inputs (2)'!J23</f>
        <v>5.425</v>
      </c>
      <c r="P175" s="46">
        <f>'Inputs (2)'!K23</f>
        <v>80.327</v>
      </c>
      <c r="Q175" s="46">
        <f>'Inputs (2)'!L23</f>
        <v>43.707</v>
      </c>
      <c r="R175" s="12">
        <f>'Inputs (2)'!M23</f>
        <v>43.707</v>
      </c>
      <c r="S175" s="46">
        <f>'Inputs (2)'!N23</f>
        <v>44.522</v>
      </c>
      <c r="T175" s="46">
        <f>'Inputs (2)'!O23</f>
        <v>45.236</v>
      </c>
      <c r="U175" s="46">
        <f>'Inputs (2)'!P23</f>
        <v>65.324</v>
      </c>
      <c r="V175" s="46">
        <f>'Inputs (2)'!Q23</f>
        <v>64.689</v>
      </c>
      <c r="W175" s="12">
        <f>'Inputs (2)'!R23</f>
        <v>64.689</v>
      </c>
      <c r="X175" s="46">
        <f>'Inputs (2)'!S23</f>
        <v>62.706</v>
      </c>
      <c r="Y175" s="46">
        <f>'Inputs (2)'!T23</f>
        <v>60.861</v>
      </c>
      <c r="Z175" s="46">
        <f>'Inputs (2)'!U23</f>
        <v>69.26</v>
      </c>
      <c r="AA175" s="46">
        <f>'Inputs (2)'!V23</f>
        <v>149.284</v>
      </c>
      <c r="AB175" s="12">
        <f>'Inputs (2)'!W23</f>
        <v>149.284</v>
      </c>
      <c r="AC175" s="46">
        <f>'Inputs (2)'!X23</f>
        <v>149.11</v>
      </c>
      <c r="AD175" s="46">
        <f>'Inputs (2)'!Y23</f>
        <v>145.66</v>
      </c>
      <c r="AE175" s="46">
        <f>'Inputs (2)'!Z23</f>
        <v>142.547</v>
      </c>
      <c r="AF175" s="46">
        <f>'Inputs (2)'!AA23</f>
        <v>140.111</v>
      </c>
      <c r="AG175" s="12">
        <f>'Inputs (2)'!AB23</f>
        <v>140.111</v>
      </c>
      <c r="AH175" s="12">
        <f>'Inputs (2)'!AC23</f>
        <v>141.31</v>
      </c>
      <c r="AI175" s="12">
        <f>'Inputs (2)'!AD23</f>
        <v>136.85</v>
      </c>
      <c r="AJ175" s="12">
        <f>AI175</f>
        <v>136.85</v>
      </c>
      <c r="AK175" s="12">
        <f>AJ175</f>
        <v>136.85</v>
      </c>
      <c r="AL175" s="12">
        <f>AK175</f>
        <v>136.85</v>
      </c>
      <c r="AM175" s="12">
        <f>AL175</f>
        <v>136.85</v>
      </c>
      <c r="AN175" s="12">
        <f>AM175</f>
        <v>136.85</v>
      </c>
      <c r="AO175" s="12">
        <f>AN175</f>
        <v>136.85</v>
      </c>
      <c r="AP175" s="12">
        <f>AO175</f>
        <v>136.85</v>
      </c>
      <c r="AQ175" s="12">
        <f>AP175</f>
        <v>136.85</v>
      </c>
      <c r="AR175" s="12">
        <f>AQ175</f>
        <v>136.85</v>
      </c>
      <c r="AS175" s="12">
        <f>AR175</f>
        <v>136.85</v>
      </c>
      <c r="AT175" s="12">
        <f>AS175</f>
        <v>136.85</v>
      </c>
      <c r="AU175" s="12">
        <f>AT175</f>
        <v>136.85</v>
      </c>
      <c r="AV175" s="12">
        <f>AU175</f>
        <v>136.85</v>
      </c>
      <c r="AW175" s="12">
        <f>AV175</f>
        <v>136.85</v>
      </c>
      <c r="AX175" s="12">
        <f>AW175</f>
        <v>136.85</v>
      </c>
      <c r="AY175" s="12">
        <f>AX175</f>
        <v>136.85</v>
      </c>
      <c r="AZ175" s="12">
        <f>AY175</f>
        <v>136.85</v>
      </c>
      <c r="BA175" s="12">
        <f>AZ175</f>
        <v>136.85</v>
      </c>
      <c r="BB175" s="12">
        <f>BA175</f>
        <v>136.85</v>
      </c>
      <c r="BC175" s="12">
        <f>BB175</f>
        <v>136.85</v>
      </c>
      <c r="BD175" s="12">
        <f>BC175</f>
        <v>136.85</v>
      </c>
      <c r="BE175" s="12">
        <f>BD175</f>
        <v>136.85</v>
      </c>
      <c r="BF175" s="12">
        <f>BE175</f>
        <v>136.85</v>
      </c>
      <c r="BG175" s="12" t="n"/>
      <c r="BH175" s="12" t="n"/>
      <c r="BI175" s="12" t="n"/>
      <c r="BJ175" s="12" t="n"/>
      <c r="BK175" s="12" t="n"/>
      <c r="BL175" s="12" t="n"/>
      <c r="BM175" s="12" t="n"/>
      <c r="BN175" s="12" t="n"/>
      <c r="BO175" s="12" t="n"/>
      <c r="BP175" s="12" t="n"/>
      <c r="BQ175" s="12" t="n"/>
      <c r="BR175" s="12" t="n"/>
      <c r="BS175" s="12" t="n"/>
      <c r="BT175" s="12" t="n"/>
      <c r="BU175" s="12" t="n"/>
      <c r="BV175" s="12" t="n"/>
      <c r="BW175" s="12" t="n"/>
      <c r="BX175" s="12" t="n"/>
      <c r="BY175" s="12" t="n"/>
      <c r="BZ175" s="12" t="n"/>
      <c r="CA175" s="12" t="n"/>
      <c r="CB175" s="12" t="n"/>
      <c r="CC175" s="12" t="n"/>
      <c r="CD175" s="12" t="n"/>
      <c r="CE175" s="12" t="n"/>
      <c r="CF175" s="12" t="n"/>
      <c r="CG175" s="12" t="n"/>
      <c r="CH175" s="12" t="n"/>
      <c r="CI175" s="12" t="n"/>
      <c r="CJ175" s="12" t="n"/>
      <c r="CK175" s="12" t="n"/>
      <c r="CL175" s="12" t="n"/>
      <c r="CM175" s="12" t="n"/>
      <c r="CN175" s="12" t="n"/>
      <c r="CO175" s="12" t="n"/>
      <c r="CP175" s="12" t="n"/>
      <c r="CQ175" s="12" t="n"/>
      <c r="CR175" s="12" t="n"/>
      <c r="CS175" s="12" t="n"/>
      <c r="CT175" s="12" t="n"/>
      <c r="CU175" s="12" t="n"/>
      <c r="CV175" s="12" t="n"/>
      <c r="CW175" s="12" t="n"/>
      <c r="CX175" s="12" t="n"/>
      <c r="CY175" s="12" t="n"/>
    </row>
    <row r="176" hidden="1" outlineLevel="1">
      <c r="C176" s="59" t="inlineStr">
        <is>
          <t>%(Var.)</t>
        </is>
      </c>
      <c r="D176" s="12" t="n"/>
      <c r="E176" s="40" t="n"/>
      <c r="F176" s="40" t="n"/>
      <c r="G176" s="40" t="n"/>
      <c r="H176" s="12" t="n"/>
      <c r="I176" s="40" t="str">
        <f>""</f>
        <v/>
      </c>
      <c r="J176" s="40">
        <f>IFERROR(IF(I175=0,"",J175/I175-1),"")</f>
        <v>-0.00280158206987469</v>
      </c>
      <c r="K176" s="40">
        <f>IFERROR(IF(J175=0,"",K175/J175-1),"")</f>
        <v>-0.0629647992067427</v>
      </c>
      <c r="L176" s="40">
        <f>IFERROR(IF(K175=0,"",L175/K175-1),"")</f>
        <v>-0.0682539682539682</v>
      </c>
      <c r="M176" s="12">
        <f>IFERROR(IF(L175=0,"",M175/L175-1),"")</f>
        <v>0</v>
      </c>
      <c r="N176" s="40">
        <f>IFERROR(IF(M175=0,"",N175/M175-1),"")</f>
        <v>0.233957978421351</v>
      </c>
      <c r="O176" s="40">
        <f>IFERROR(IF(N175=0,"",O175/N175-1),"")</f>
        <v>-0.167817149869612</v>
      </c>
      <c r="P176" s="40">
        <f>IFERROR(IF(O175=0,"",P175/O175-1),"")</f>
        <v>13.8068202764977</v>
      </c>
      <c r="Q176" s="40">
        <f>IFERROR(IF(P175=0,"",Q175/P175-1),"")</f>
        <v>-0.455886563670995</v>
      </c>
      <c r="R176" s="12">
        <f>IFERROR(IF(Q175=0,"",R175/Q175-1),"")</f>
        <v>0</v>
      </c>
      <c r="S176" s="40">
        <f>IFERROR(IF(R175=0,"",S175/R175-1),"")</f>
        <v>0.0186468986661175</v>
      </c>
      <c r="T176" s="40">
        <f>IFERROR(IF(S175=0,"",T175/S175-1),"")</f>
        <v>0.0160370154081129</v>
      </c>
      <c r="U176" s="40">
        <f>IFERROR(IF(T175=0,"",U175/T175-1),"")</f>
        <v>0.444071093819082</v>
      </c>
      <c r="V176" s="40">
        <f>IFERROR(IF(U175=0,"",V175/U175-1),"")</f>
        <v>-0.00972077643745029</v>
      </c>
      <c r="W176" s="12">
        <f>IFERROR(IF(V175=0,"",W175/V175-1),"")</f>
        <v>0</v>
      </c>
      <c r="X176" s="40">
        <f>IFERROR(IF(W175=0,"",X175/W175-1),"")</f>
        <v>-0.0306543616379908</v>
      </c>
      <c r="Y176" s="40">
        <f>IFERROR(IF(X175=0,"",Y175/X175-1),"")</f>
        <v>-0.0294230217204097</v>
      </c>
      <c r="Z176" s="40">
        <f>IFERROR(IF(Y175=0,"",Z175/Y175-1),"")</f>
        <v>0.138002990420795</v>
      </c>
      <c r="AA176" s="40">
        <f>IFERROR(IF(Z175=0,"",AA175/Z175-1),"")</f>
        <v>1.15541438059486</v>
      </c>
      <c r="AB176" s="12">
        <f>IFERROR(IF(AA175=0,"",AB175/AA175-1),"")</f>
        <v>0</v>
      </c>
      <c r="AC176" s="40">
        <f>IFERROR(IF(AB175=0,"",AC175/AB175-1),"")</f>
        <v>-0.00116556362369702</v>
      </c>
      <c r="AD176" s="40">
        <f>IFERROR(IF(AC175=0,"",AD175/AC175-1),"")</f>
        <v>-0.0231372812017975</v>
      </c>
      <c r="AE176" s="40">
        <f>IFERROR(IF(AD175=0,"",AE175/AD175-1),"")</f>
        <v>-0.0213716874914184</v>
      </c>
      <c r="AF176" s="55">
        <f>IFERROR(IF(AE175=0,"",AF175/AE175-1),"")</f>
        <v>-0.0170891004370489</v>
      </c>
      <c r="AG176" s="12">
        <f>IFERROR(IF(AF175=0,"",AG175/AF175-1),"")</f>
        <v>0</v>
      </c>
      <c r="AH176" s="55">
        <f>IFERROR(IF(AG175=0,"",AH175/AG175-1),"")</f>
        <v>0.00855750083862095</v>
      </c>
      <c r="AI176" s="55">
        <f>IFERROR(IF(AH175=0,"",AI175/AH175-1),"")</f>
        <v>-0.031561814450499</v>
      </c>
      <c r="AJ176" s="55">
        <f>IFERROR(IF(AI175=0,"",AJ175/AI175-1),"")</f>
        <v>0</v>
      </c>
      <c r="AK176" s="55">
        <f>IFERROR(IF(AJ175=0,"",AK175/AJ175-1),"")</f>
        <v>0</v>
      </c>
      <c r="AL176" s="12">
        <f>IFERROR(IF(AK175=0,"",AL175/AK175-1),"")</f>
        <v>0</v>
      </c>
      <c r="AM176" s="55">
        <f>IFERROR(IF(AL175=0,"",AM175/AL175-1),"")</f>
        <v>0</v>
      </c>
      <c r="AN176" s="55">
        <f>IFERROR(IF(AM175=0,"",AN175/AM175-1),"")</f>
        <v>0</v>
      </c>
      <c r="AO176" s="55">
        <f>IFERROR(IF(AN175=0,"",AO175/AN175-1),"")</f>
        <v>0</v>
      </c>
      <c r="AP176" s="55">
        <f>IFERROR(IF(AO175=0,"",AP175/AO175-1),"")</f>
        <v>0</v>
      </c>
      <c r="AQ176" s="12">
        <f>IFERROR(IF(AP175=0,"",AQ175/AP175-1),"")</f>
        <v>0</v>
      </c>
      <c r="AR176" s="55">
        <f>IFERROR(IF(AQ175=0,"",AR175/AQ175-1),"")</f>
        <v>0</v>
      </c>
      <c r="AS176" s="55">
        <f>IFERROR(IF(AR175=0,"",AS175/AR175-1),"")</f>
        <v>0</v>
      </c>
      <c r="AT176" s="55">
        <f>IFERROR(IF(AS175=0,"",AT175/AS175-1),"")</f>
        <v>0</v>
      </c>
      <c r="AU176" s="55">
        <f>IFERROR(IF(AT175=0,"",AU175/AT175-1),"")</f>
        <v>0</v>
      </c>
      <c r="AV176" s="12">
        <f>IFERROR(IF(AU175=0,"",AV175/AU175-1),"")</f>
        <v>0</v>
      </c>
      <c r="AW176" s="55">
        <f>IFERROR(IF(AV175=0,"",AW175/AV175-1),"")</f>
        <v>0</v>
      </c>
      <c r="AX176" s="55">
        <f>IFERROR(IF(AW175=0,"",AX175/AW175-1),"")</f>
        <v>0</v>
      </c>
      <c r="AY176" s="55">
        <f>IFERROR(IF(AX175=0,"",AY175/AX175-1),"")</f>
        <v>0</v>
      </c>
      <c r="AZ176" s="55">
        <f>IFERROR(IF(AY175=0,"",AZ175/AY175-1),"")</f>
        <v>0</v>
      </c>
      <c r="BA176" s="12">
        <f>IFERROR(IF(AZ175=0,"",BA175/AZ175-1),"")</f>
        <v>0</v>
      </c>
      <c r="BB176" s="55">
        <f>IFERROR(IF(BA175=0,"",BB175/BA175-1),"")</f>
        <v>0</v>
      </c>
      <c r="BC176" s="55">
        <f>IFERROR(IF(BB175=0,"",BC175/BB175-1),"")</f>
        <v>0</v>
      </c>
      <c r="BD176" s="55">
        <f>IFERROR(IF(BC175=0,"",BD175/BC175-1),"")</f>
        <v>0</v>
      </c>
      <c r="BE176" s="55">
        <f>IFERROR(IF(BD175=0,"",BE175/BD175-1),"")</f>
        <v>0</v>
      </c>
      <c r="BF176" s="12">
        <f>IFERROR(IF(BE175=0,"",BF175/BE175-1),"")</f>
        <v>0</v>
      </c>
      <c r="BG176" s="55" t="n"/>
      <c r="BH176" s="55" t="n"/>
      <c r="BI176" s="55" t="n"/>
      <c r="BJ176" s="55" t="n"/>
      <c r="BK176" s="12" t="n"/>
      <c r="BL176" s="55" t="n"/>
      <c r="BM176" s="55" t="n"/>
      <c r="BN176" s="55" t="n"/>
      <c r="BO176" s="55" t="n"/>
      <c r="BP176" s="12" t="n"/>
      <c r="BQ176" s="55" t="n"/>
      <c r="BR176" s="55" t="n"/>
      <c r="BS176" s="55" t="n"/>
      <c r="BT176" s="55" t="n"/>
      <c r="BU176" s="12" t="n"/>
      <c r="BV176" s="55" t="n"/>
      <c r="BW176" s="55" t="n"/>
      <c r="BX176" s="55" t="n"/>
      <c r="BY176" s="55" t="n"/>
      <c r="BZ176" s="12" t="n"/>
      <c r="CA176" s="55" t="n"/>
      <c r="CB176" s="55" t="n"/>
      <c r="CC176" s="55" t="n"/>
      <c r="CD176" s="55" t="n"/>
      <c r="CE176" s="12" t="n"/>
      <c r="CF176" s="55" t="n"/>
      <c r="CG176" s="55" t="n"/>
      <c r="CH176" s="55" t="n"/>
      <c r="CI176" s="55" t="n"/>
      <c r="CJ176" s="12" t="n"/>
      <c r="CK176" s="55" t="n"/>
      <c r="CL176" s="55" t="n"/>
      <c r="CM176" s="55" t="n"/>
      <c r="CN176" s="55" t="n"/>
      <c r="CO176" s="12" t="n"/>
      <c r="CP176" s="55" t="n"/>
      <c r="CQ176" s="55" t="n"/>
      <c r="CR176" s="55" t="n"/>
      <c r="CS176" s="55" t="n"/>
      <c r="CT176" s="12" t="n"/>
      <c r="CU176" s="55" t="n"/>
      <c r="CV176" s="55" t="n"/>
      <c r="CW176" s="55" t="n"/>
      <c r="CX176" s="55" t="n"/>
      <c r="CY176" s="12" t="n"/>
    </row>
    <row r="177" hidden="1" outlineLevel="1">
      <c r="C177" s="57" t="n"/>
      <c r="D177" s="12" t="n"/>
      <c r="E177" s="12" t="n"/>
      <c r="F177" s="12" t="n"/>
      <c r="G177" s="12" t="n"/>
      <c r="H177" s="12" t="n"/>
      <c r="I177" s="12" t="n"/>
      <c r="J177" s="12" t="n"/>
      <c r="K177" s="12" t="n"/>
      <c r="L177" s="12" t="n"/>
      <c r="M177" s="12" t="n"/>
      <c r="N177" s="12" t="n"/>
      <c r="O177" s="12" t="n"/>
      <c r="P177" s="12" t="n"/>
      <c r="Q177" s="12" t="n"/>
      <c r="R177" s="12" t="n"/>
      <c r="S177" s="12" t="n"/>
      <c r="T177" s="12" t="n"/>
      <c r="U177" s="12" t="n"/>
      <c r="V177" s="12" t="n"/>
      <c r="W177" s="12" t="n"/>
      <c r="X177" s="12" t="n"/>
      <c r="Y177" s="12" t="n"/>
      <c r="Z177" s="12" t="n"/>
      <c r="AA177" s="12" t="n"/>
      <c r="AB177" s="12" t="n"/>
      <c r="AC177" s="12" t="n"/>
      <c r="AD177" s="12" t="n"/>
      <c r="AE177" s="12" t="n"/>
      <c r="AF177" s="12" t="n"/>
      <c r="AG177" s="12" t="n"/>
      <c r="AH177" s="12" t="n"/>
      <c r="AI177" s="12" t="n"/>
      <c r="AJ177" s="12" t="n"/>
      <c r="AK177" s="12" t="n"/>
      <c r="AL177" s="12" t="n"/>
      <c r="AM177" s="12" t="n"/>
      <c r="AN177" s="12" t="n"/>
      <c r="AO177" s="12" t="n"/>
      <c r="AP177" s="12" t="n"/>
      <c r="AQ177" s="12" t="n"/>
      <c r="AR177" s="12" t="n"/>
      <c r="AS177" s="12" t="n"/>
      <c r="AT177" s="12" t="n"/>
      <c r="AU177" s="12" t="n"/>
      <c r="AV177" s="12" t="n"/>
      <c r="AW177" s="12" t="n"/>
      <c r="AX177" s="12" t="n"/>
      <c r="AY177" s="12" t="n"/>
      <c r="AZ177" s="12" t="n"/>
      <c r="BA177" s="12" t="n"/>
      <c r="BB177" s="12" t="n"/>
      <c r="BC177" s="12" t="n"/>
      <c r="BD177" s="12" t="n"/>
      <c r="BE177" s="12" t="n"/>
      <c r="BF177" s="12" t="n"/>
      <c r="BG177" s="12" t="n"/>
      <c r="BH177" s="12" t="n"/>
      <c r="BI177" s="12" t="n"/>
      <c r="BJ177" s="12" t="n"/>
      <c r="BK177" s="12" t="n"/>
      <c r="BL177" s="12" t="n"/>
      <c r="BM177" s="12" t="n"/>
      <c r="BN177" s="12" t="n"/>
      <c r="BO177" s="12" t="n"/>
      <c r="BP177" s="12" t="n"/>
      <c r="BQ177" s="12" t="n"/>
      <c r="BR177" s="12" t="n"/>
      <c r="BS177" s="12" t="n"/>
      <c r="BT177" s="12" t="n"/>
      <c r="BU177" s="12" t="n"/>
      <c r="BV177" s="12" t="n"/>
      <c r="BW177" s="12" t="n"/>
      <c r="BX177" s="12" t="n"/>
      <c r="BY177" s="12" t="n"/>
      <c r="BZ177" s="12" t="n"/>
      <c r="CA177" s="12" t="n"/>
      <c r="CB177" s="12" t="n"/>
      <c r="CC177" s="12" t="n"/>
      <c r="CD177" s="12" t="n"/>
      <c r="CE177" s="12" t="n"/>
      <c r="CF177" s="12" t="n"/>
      <c r="CG177" s="12" t="n"/>
      <c r="CH177" s="12" t="n"/>
      <c r="CI177" s="12" t="n"/>
      <c r="CJ177" s="12" t="n"/>
      <c r="CK177" s="12" t="n"/>
      <c r="CL177" s="12" t="n"/>
      <c r="CM177" s="12" t="n"/>
      <c r="CN177" s="12" t="n"/>
      <c r="CO177" s="12" t="n"/>
      <c r="CP177" s="12" t="n"/>
      <c r="CQ177" s="12" t="n"/>
      <c r="CR177" s="12" t="n"/>
      <c r="CS177" s="12" t="n"/>
      <c r="CT177" s="12" t="n"/>
      <c r="CU177" s="12" t="n"/>
      <c r="CV177" s="12" t="n"/>
      <c r="CW177" s="12" t="n"/>
      <c r="CX177" s="12" t="n"/>
      <c r="CY177" s="12" t="n"/>
    </row>
    <row r="178" collapsed="1">
      <c r="C178" s="14" t="inlineStr">
        <is>
          <t>Goodwill</t>
        </is>
      </c>
      <c r="D178" s="46" t="n"/>
      <c r="E178" s="46" t="n"/>
      <c r="F178" s="46" t="n"/>
      <c r="G178" s="46" t="n"/>
      <c r="H178" s="12" t="n"/>
      <c r="I178" s="46">
        <f>'Inputs (2)'!D24</f>
        <v>0</v>
      </c>
      <c r="J178" s="46">
        <f>'Inputs (2)'!E24</f>
        <v>0</v>
      </c>
      <c r="K178" s="46">
        <f>'Inputs (2)'!F24</f>
        <v>0</v>
      </c>
      <c r="L178" s="46">
        <f>'Inputs (2)'!G24</f>
        <v>0</v>
      </c>
      <c r="M178" s="12">
        <f>'Inputs (2)'!H24</f>
        <v>0</v>
      </c>
      <c r="N178" s="46">
        <f>'Inputs (2)'!I24</f>
        <v>0</v>
      </c>
      <c r="O178" s="46">
        <f>'Inputs (2)'!J24</f>
        <v>0</v>
      </c>
      <c r="P178" s="46">
        <f>'Inputs (2)'!K24</f>
        <v>0</v>
      </c>
      <c r="Q178" s="46">
        <f>'Inputs (2)'!L24</f>
        <v>0</v>
      </c>
      <c r="R178" s="12">
        <f>'Inputs (2)'!M24</f>
        <v>0</v>
      </c>
      <c r="S178" s="46">
        <f>'Inputs (2)'!N24</f>
        <v>0</v>
      </c>
      <c r="T178" s="46">
        <f>'Inputs (2)'!O24</f>
        <v>0</v>
      </c>
      <c r="U178" s="46">
        <f>'Inputs (2)'!P24</f>
        <v>0</v>
      </c>
      <c r="V178" s="46">
        <f>'Inputs (2)'!Q24</f>
        <v>0</v>
      </c>
      <c r="W178" s="12">
        <f>'Inputs (2)'!R24</f>
        <v>0</v>
      </c>
      <c r="X178" s="46">
        <f>'Inputs (2)'!S24</f>
        <v>0</v>
      </c>
      <c r="Y178" s="46">
        <f>'Inputs (2)'!T24</f>
        <v>0</v>
      </c>
      <c r="Z178" s="46">
        <f>'Inputs (2)'!U24</f>
        <v>0</v>
      </c>
      <c r="AA178" s="46">
        <f>'Inputs (2)'!V24</f>
        <v>0</v>
      </c>
      <c r="AB178" s="12">
        <f>'Inputs (2)'!W24</f>
        <v>0</v>
      </c>
      <c r="AC178" s="46">
        <f>'Inputs (2)'!X24</f>
        <v>0</v>
      </c>
      <c r="AD178" s="46">
        <f>'Inputs (2)'!Y24</f>
        <v>0</v>
      </c>
      <c r="AE178" s="46">
        <f>'Inputs (2)'!Z24</f>
        <v>0</v>
      </c>
      <c r="AF178" s="46">
        <f>'Inputs (2)'!AA24</f>
        <v>0</v>
      </c>
      <c r="AG178" s="12">
        <f>'Inputs (2)'!AB24</f>
        <v>0</v>
      </c>
      <c r="AH178" s="12">
        <f>'Inputs (2)'!AC24</f>
        <v>0</v>
      </c>
      <c r="AI178" s="12">
        <f>'Inputs (2)'!AD24</f>
        <v>0</v>
      </c>
      <c r="AJ178" s="12">
        <f>AI178</f>
        <v>0</v>
      </c>
      <c r="AK178" s="12">
        <f>AJ178</f>
        <v>0</v>
      </c>
      <c r="AL178" s="12">
        <f>AK178</f>
        <v>0</v>
      </c>
      <c r="AM178" s="12">
        <f>AL178</f>
        <v>0</v>
      </c>
      <c r="AN178" s="12">
        <f>AM178</f>
        <v>0</v>
      </c>
      <c r="AO178" s="12">
        <f>AN178</f>
        <v>0</v>
      </c>
      <c r="AP178" s="12">
        <f>AO178</f>
        <v>0</v>
      </c>
      <c r="AQ178" s="12">
        <f>AP178</f>
        <v>0</v>
      </c>
      <c r="AR178" s="12">
        <f>AQ178</f>
        <v>0</v>
      </c>
      <c r="AS178" s="12">
        <f>AR178</f>
        <v>0</v>
      </c>
      <c r="AT178" s="12">
        <f>AS178</f>
        <v>0</v>
      </c>
      <c r="AU178" s="12">
        <f>AT178</f>
        <v>0</v>
      </c>
      <c r="AV178" s="12">
        <f>AU178</f>
        <v>0</v>
      </c>
      <c r="AW178" s="12">
        <f>AV178</f>
        <v>0</v>
      </c>
      <c r="AX178" s="12">
        <f>AW178</f>
        <v>0</v>
      </c>
      <c r="AY178" s="12">
        <f>AX178</f>
        <v>0</v>
      </c>
      <c r="AZ178" s="12">
        <f>AY178</f>
        <v>0</v>
      </c>
      <c r="BA178" s="12">
        <f>AZ178</f>
        <v>0</v>
      </c>
      <c r="BB178" s="12">
        <f>BA178</f>
        <v>0</v>
      </c>
      <c r="BC178" s="12">
        <f>BB178</f>
        <v>0</v>
      </c>
      <c r="BD178" s="12">
        <f>BC178</f>
        <v>0</v>
      </c>
      <c r="BE178" s="12">
        <f>BD178</f>
        <v>0</v>
      </c>
      <c r="BF178" s="12">
        <f>BE178</f>
        <v>0</v>
      </c>
      <c r="BG178" s="12" t="n"/>
      <c r="BH178" s="12" t="n"/>
      <c r="BI178" s="12" t="n"/>
      <c r="BJ178" s="12" t="n"/>
      <c r="BK178" s="12" t="n"/>
      <c r="BL178" s="12" t="n"/>
      <c r="BM178" s="12" t="n"/>
      <c r="BN178" s="12" t="n"/>
      <c r="BO178" s="12" t="n"/>
      <c r="BP178" s="12" t="n"/>
      <c r="BQ178" s="12" t="n"/>
      <c r="BR178" s="12" t="n"/>
      <c r="BS178" s="12" t="n"/>
      <c r="BT178" s="12" t="n"/>
      <c r="BU178" s="12" t="n"/>
      <c r="BV178" s="12" t="n"/>
      <c r="BW178" s="12" t="n"/>
      <c r="BX178" s="12" t="n"/>
      <c r="BY178" s="12" t="n"/>
      <c r="BZ178" s="12" t="n"/>
      <c r="CA178" s="12" t="n"/>
      <c r="CB178" s="12" t="n"/>
      <c r="CC178" s="12" t="n"/>
      <c r="CD178" s="12" t="n"/>
      <c r="CE178" s="12" t="n"/>
      <c r="CF178" s="12" t="n"/>
      <c r="CG178" s="12" t="n"/>
      <c r="CH178" s="12" t="n"/>
      <c r="CI178" s="12" t="n"/>
      <c r="CJ178" s="12" t="n"/>
      <c r="CK178" s="12" t="n"/>
      <c r="CL178" s="12" t="n"/>
      <c r="CM178" s="12" t="n"/>
      <c r="CN178" s="12" t="n"/>
      <c r="CO178" s="12" t="n"/>
      <c r="CP178" s="12" t="n"/>
      <c r="CQ178" s="12" t="n"/>
      <c r="CR178" s="12" t="n"/>
      <c r="CS178" s="12" t="n"/>
      <c r="CT178" s="12" t="n"/>
      <c r="CU178" s="12" t="n"/>
      <c r="CV178" s="12" t="n"/>
      <c r="CW178" s="12" t="n"/>
      <c r="CX178" s="12" t="n"/>
      <c r="CY178" s="12" t="n"/>
    </row>
    <row r="179">
      <c r="C179" s="14" t="inlineStr">
        <is>
          <t>Intangibles</t>
        </is>
      </c>
      <c r="D179" s="46" t="n"/>
      <c r="E179" s="46" t="n"/>
      <c r="F179" s="46" t="n"/>
      <c r="G179" s="46" t="n"/>
      <c r="H179" s="12" t="n"/>
      <c r="I179" s="46">
        <f>'Inputs (2)'!D25</f>
        <v>1753.735</v>
      </c>
      <c r="J179" s="46">
        <f>'Inputs (2)'!E25</f>
        <v>1739.751</v>
      </c>
      <c r="K179" s="46">
        <f>'Inputs (2)'!F25</f>
        <v>2184.98</v>
      </c>
      <c r="L179" s="46">
        <f>'Inputs (2)'!G25</f>
        <v>2366.432</v>
      </c>
      <c r="M179" s="12">
        <f>'Inputs (2)'!H25</f>
        <v>2366.432</v>
      </c>
      <c r="N179" s="46">
        <f>'Inputs (2)'!I25</f>
        <v>3868.918</v>
      </c>
      <c r="O179" s="46">
        <f>'Inputs (2)'!J25</f>
        <v>3828.735</v>
      </c>
      <c r="P179" s="46">
        <f>'Inputs (2)'!K25</f>
        <v>3788.372</v>
      </c>
      <c r="Q179" s="46">
        <f>'Inputs (2)'!L25</f>
        <v>2587.808</v>
      </c>
      <c r="R179" s="12">
        <f>'Inputs (2)'!M25</f>
        <v>2587.808</v>
      </c>
      <c r="S179" s="46">
        <f>'Inputs (2)'!N25</f>
        <v>2574.991</v>
      </c>
      <c r="T179" s="46">
        <f>'Inputs (2)'!O25</f>
        <v>2557.102</v>
      </c>
      <c r="U179" s="46">
        <f>'Inputs (2)'!P25</f>
        <v>2540.211</v>
      </c>
      <c r="V179" s="46">
        <f>'Inputs (2)'!Q25</f>
        <v>2458.453</v>
      </c>
      <c r="W179" s="12">
        <f>'Inputs (2)'!R25</f>
        <v>2458.453</v>
      </c>
      <c r="X179" s="46">
        <f>'Inputs (2)'!S25</f>
        <v>2443.013</v>
      </c>
      <c r="Y179" s="46">
        <f>'Inputs (2)'!T25</f>
        <v>2426.557</v>
      </c>
      <c r="Z179" s="46">
        <f>'Inputs (2)'!U25</f>
        <v>2515.652</v>
      </c>
      <c r="AA179" s="46">
        <f>'Inputs (2)'!V25</f>
        <v>7335.883</v>
      </c>
      <c r="AB179" s="12">
        <f>'Inputs (2)'!W25</f>
        <v>7335.883</v>
      </c>
      <c r="AC179" s="46">
        <f>'Inputs (2)'!X25</f>
        <v>7230.02</v>
      </c>
      <c r="AD179" s="46">
        <f>'Inputs (2)'!Y25</f>
        <v>7109.327</v>
      </c>
      <c r="AE179" s="46">
        <f>'Inputs (2)'!Z25</f>
        <v>7109.713</v>
      </c>
      <c r="AF179" s="46">
        <f>'Inputs (2)'!AA25</f>
        <v>7201.637</v>
      </c>
      <c r="AG179" s="12">
        <f>'Inputs (2)'!AB25</f>
        <v>7201.637</v>
      </c>
      <c r="AH179" s="12">
        <f>'Inputs (2)'!AC25</f>
        <v>7072.185</v>
      </c>
      <c r="AI179" s="12">
        <f>'Inputs (2)'!AD25</f>
        <v>6950.832</v>
      </c>
      <c r="AJ179" s="12">
        <f>AI179</f>
        <v>6950.832</v>
      </c>
      <c r="AK179" s="12">
        <f>AJ179</f>
        <v>6950.832</v>
      </c>
      <c r="AL179" s="12">
        <f>AK179</f>
        <v>6950.832</v>
      </c>
      <c r="AM179" s="16">
        <f>AL179</f>
        <v>6950.832</v>
      </c>
      <c r="AN179" s="12">
        <f>AM179</f>
        <v>6950.832</v>
      </c>
      <c r="AO179" s="12">
        <f>AN179</f>
        <v>6950.832</v>
      </c>
      <c r="AP179" s="12">
        <f>AO179</f>
        <v>6950.832</v>
      </c>
      <c r="AQ179" s="12">
        <f>AP179</f>
        <v>6950.832</v>
      </c>
      <c r="AR179" s="16">
        <f>AQ179</f>
        <v>6950.832</v>
      </c>
      <c r="AS179" s="12">
        <f>AR179</f>
        <v>6950.832</v>
      </c>
      <c r="AT179" s="12">
        <f>AS179</f>
        <v>6950.832</v>
      </c>
      <c r="AU179" s="12">
        <f>AT179</f>
        <v>6950.832</v>
      </c>
      <c r="AV179" s="12">
        <f>AU179</f>
        <v>6950.832</v>
      </c>
      <c r="AW179" s="16">
        <f>AV179</f>
        <v>6950.832</v>
      </c>
      <c r="AX179" s="12">
        <f>AW179</f>
        <v>6950.832</v>
      </c>
      <c r="AY179" s="12">
        <f>AX179</f>
        <v>6950.832</v>
      </c>
      <c r="AZ179" s="12">
        <f>AY179</f>
        <v>6950.832</v>
      </c>
      <c r="BA179" s="12">
        <f>AZ179</f>
        <v>6950.832</v>
      </c>
      <c r="BB179" s="16">
        <f>BA179</f>
        <v>6950.832</v>
      </c>
      <c r="BC179" s="12">
        <f>BB179</f>
        <v>6950.832</v>
      </c>
      <c r="BD179" s="12">
        <f>BC179</f>
        <v>6950.832</v>
      </c>
      <c r="BE179" s="12">
        <f>BD179</f>
        <v>6950.832</v>
      </c>
      <c r="BF179" s="12">
        <f>BE179</f>
        <v>6950.832</v>
      </c>
      <c r="BH179" s="12" t="n"/>
      <c r="BI179" s="12" t="n"/>
      <c r="BJ179" s="12" t="n"/>
      <c r="BK179" s="12" t="n"/>
      <c r="BM179" s="12" t="n"/>
      <c r="BN179" s="12" t="n"/>
      <c r="BO179" s="12" t="n"/>
      <c r="BP179" s="12" t="n"/>
      <c r="BR179" s="12" t="n"/>
      <c r="BS179" s="12" t="n"/>
      <c r="BT179" s="12" t="n"/>
      <c r="BU179" s="12" t="n"/>
      <c r="BW179" s="12" t="n"/>
      <c r="BX179" s="12" t="n"/>
      <c r="BY179" s="12" t="n"/>
      <c r="BZ179" s="12" t="n"/>
      <c r="CB179" s="12" t="n"/>
      <c r="CC179" s="12" t="n"/>
      <c r="CD179" s="12" t="n"/>
      <c r="CE179" s="12" t="n"/>
      <c r="CG179" s="12" t="n"/>
      <c r="CH179" s="12" t="n"/>
      <c r="CI179" s="12" t="n"/>
      <c r="CJ179" s="12" t="n"/>
      <c r="CL179" s="12" t="n"/>
      <c r="CM179" s="12" t="n"/>
      <c r="CN179" s="12" t="n"/>
      <c r="CO179" s="12" t="n"/>
      <c r="CQ179" s="12" t="n"/>
      <c r="CR179" s="12" t="n"/>
      <c r="CS179" s="12" t="n"/>
      <c r="CT179" s="12" t="n"/>
      <c r="CV179" s="12" t="n"/>
      <c r="CW179" s="12" t="n"/>
      <c r="CX179" s="12" t="n"/>
      <c r="CY179" s="12" t="n"/>
    </row>
    <row r="180" hidden="1" outlineLevel="1">
      <c r="C180" s="57" t="n"/>
      <c r="D180" s="12" t="n"/>
      <c r="E180" s="12" t="n"/>
      <c r="F180" s="12" t="n"/>
      <c r="G180" s="12" t="n"/>
      <c r="H180" s="12" t="n"/>
      <c r="I180" s="12" t="n"/>
      <c r="J180" s="12" t="n"/>
      <c r="K180" s="12" t="n"/>
      <c r="L180" s="12" t="n"/>
      <c r="M180" s="12" t="n"/>
      <c r="N180" s="12" t="n"/>
      <c r="O180" s="12" t="n"/>
      <c r="P180" s="12" t="n"/>
      <c r="Q180" s="12" t="n"/>
      <c r="R180" s="12" t="n"/>
      <c r="S180" s="12" t="n"/>
      <c r="T180" s="12" t="n"/>
      <c r="U180" s="12" t="n"/>
      <c r="V180" s="12" t="n"/>
      <c r="W180" s="12" t="n"/>
      <c r="X180" s="12" t="n"/>
      <c r="Y180" s="12" t="n"/>
      <c r="Z180" s="12" t="n"/>
      <c r="AA180" s="12" t="n"/>
      <c r="AB180" s="12" t="n"/>
      <c r="AC180" s="12" t="n"/>
      <c r="AD180" s="12" t="n"/>
      <c r="AE180" s="12" t="n"/>
      <c r="AF180" s="12" t="n"/>
      <c r="AG180" s="12" t="n"/>
      <c r="AH180" s="12" t="n"/>
      <c r="AI180" s="12" t="n"/>
      <c r="AJ180" s="12" t="n"/>
      <c r="AK180" s="12" t="n"/>
      <c r="AL180" s="12" t="n"/>
      <c r="AM180" s="12" t="n"/>
      <c r="AN180" s="12" t="n"/>
      <c r="AO180" s="12" t="n"/>
      <c r="AP180" s="12" t="n"/>
      <c r="AQ180" s="12" t="n"/>
      <c r="AR180" s="12" t="n"/>
      <c r="AS180" s="12" t="n"/>
      <c r="AT180" s="12" t="n"/>
      <c r="AU180" s="12" t="n"/>
      <c r="AV180" s="12" t="n"/>
      <c r="AW180" s="12" t="n"/>
      <c r="AX180" s="12" t="n"/>
      <c r="AY180" s="12" t="n"/>
      <c r="AZ180" s="12" t="n"/>
      <c r="BA180" s="12" t="n"/>
      <c r="BB180" s="12" t="n"/>
      <c r="BC180" s="12" t="n"/>
      <c r="BD180" s="12" t="n"/>
      <c r="BE180" s="12" t="n"/>
      <c r="BF180" s="12" t="n"/>
      <c r="BG180" s="12" t="n"/>
      <c r="BH180" s="12" t="n"/>
      <c r="BI180" s="12" t="n"/>
      <c r="BJ180" s="12" t="n"/>
      <c r="BK180" s="12" t="n"/>
      <c r="BL180" s="12" t="n"/>
      <c r="BM180" s="12" t="n"/>
      <c r="BN180" s="12" t="n"/>
      <c r="BO180" s="12" t="n"/>
      <c r="BP180" s="12" t="n"/>
      <c r="BQ180" s="12" t="n"/>
      <c r="BR180" s="12" t="n"/>
      <c r="BS180" s="12" t="n"/>
      <c r="BT180" s="12" t="n"/>
      <c r="BU180" s="12" t="n"/>
      <c r="BV180" s="12" t="n"/>
      <c r="BW180" s="12" t="n"/>
      <c r="BX180" s="12" t="n"/>
      <c r="BY180" s="12" t="n"/>
      <c r="BZ180" s="12" t="n"/>
      <c r="CA180" s="12" t="n"/>
      <c r="CB180" s="12" t="n"/>
      <c r="CC180" s="12" t="n"/>
      <c r="CD180" s="12" t="n"/>
      <c r="CE180" s="12" t="n"/>
      <c r="CF180" s="12" t="n"/>
      <c r="CG180" s="12" t="n"/>
      <c r="CH180" s="12" t="n"/>
      <c r="CI180" s="12" t="n"/>
      <c r="CJ180" s="12" t="n"/>
      <c r="CK180" s="12" t="n"/>
      <c r="CL180" s="12" t="n"/>
      <c r="CM180" s="12" t="n"/>
      <c r="CN180" s="12" t="n"/>
      <c r="CO180" s="12" t="n"/>
      <c r="CP180" s="12" t="n"/>
      <c r="CQ180" s="12" t="n"/>
      <c r="CR180" s="12" t="n"/>
      <c r="CS180" s="12" t="n"/>
      <c r="CT180" s="12" t="n"/>
      <c r="CU180" s="12" t="n"/>
      <c r="CV180" s="12" t="n"/>
      <c r="CW180" s="12" t="n"/>
      <c r="CX180" s="12" t="n"/>
      <c r="CY180" s="12" t="n"/>
    </row>
    <row r="181" hidden="1" outlineLevel="1">
      <c r="C181" s="57" t="inlineStr">
        <is>
          <t>Purchase of intangible assets</t>
        </is>
      </c>
      <c r="D181" s="12" t="n"/>
      <c r="E181" s="12" t="n"/>
      <c r="F181" s="12" t="n"/>
      <c r="G181" s="12" t="n"/>
      <c r="H181" s="12" t="n"/>
      <c r="I181" s="12">
        <f>I179-H179</f>
        <v>1753.735</v>
      </c>
      <c r="J181" s="12">
        <f>J179-I179</f>
        <v>-13.9839999999999</v>
      </c>
      <c r="K181" s="12">
        <f>K179-J179</f>
        <v>445.229</v>
      </c>
      <c r="L181" s="12">
        <f>L179-K179</f>
        <v>181.452</v>
      </c>
      <c r="M181" s="12">
        <f>SUM(I181:L181)</f>
        <v>2366.432</v>
      </c>
      <c r="N181" s="12">
        <f>N179-M179</f>
        <v>1502.486</v>
      </c>
      <c r="O181" s="12">
        <f>O179-N179</f>
        <v>-40.183</v>
      </c>
      <c r="P181" s="12">
        <f>P179-O179</f>
        <v>-40.3630000000003</v>
      </c>
      <c r="Q181" s="12">
        <f>Q179-P179</f>
        <v>-1200.564</v>
      </c>
      <c r="R181" s="12">
        <f>SUM(N181:Q181)</f>
        <v>221.376</v>
      </c>
      <c r="S181" s="12">
        <f>S179-R179</f>
        <v>-12.817</v>
      </c>
      <c r="T181" s="12">
        <f>T179-S179</f>
        <v>-17.8890000000001</v>
      </c>
      <c r="U181" s="12">
        <f>U179-T179</f>
        <v>-16.8910000000001</v>
      </c>
      <c r="V181" s="12">
        <f>V179-U179</f>
        <v>-81.7579999999998</v>
      </c>
      <c r="W181" s="12">
        <f>SUM(S181:V181)</f>
        <v>-129.355</v>
      </c>
      <c r="X181" s="12">
        <f>X179-W179</f>
        <v>-15.4400000000001</v>
      </c>
      <c r="Y181" s="12">
        <f>Y179-X179</f>
        <v>-16.4560000000001</v>
      </c>
      <c r="Z181" s="12">
        <f>Z179-Y179</f>
        <v>89.0950000000003</v>
      </c>
      <c r="AA181" s="12">
        <f>AA179-Z179</f>
        <v>4820.231</v>
      </c>
      <c r="AB181" s="12">
        <f>SUM(X181:AA181)</f>
        <v>4877.43</v>
      </c>
      <c r="AC181" s="12">
        <f>AC179-AB179</f>
        <v>-105.862999999999</v>
      </c>
      <c r="AD181" s="12">
        <f>AD179-AC179</f>
        <v>-120.693</v>
      </c>
      <c r="AE181" s="12">
        <f>AE179-AD179</f>
        <v>0.385999999999513</v>
      </c>
      <c r="AF181" s="12">
        <f>AF179-AE179</f>
        <v>91.924</v>
      </c>
      <c r="AG181" s="12">
        <f>SUM(AC181:AF181)</f>
        <v>-134.246</v>
      </c>
      <c r="AH181" s="12">
        <f>AH179-AG179</f>
        <v>-129.451999999999</v>
      </c>
      <c r="AI181" s="12">
        <f>AI179-AH179</f>
        <v>-121.353</v>
      </c>
      <c r="AJ181" s="11" t="n">
        <v>0</v>
      </c>
      <c r="AK181" s="11" t="n">
        <v>0</v>
      </c>
      <c r="AL181" s="12" t="n"/>
      <c r="AM181" s="11" t="n">
        <v>0</v>
      </c>
      <c r="AN181" s="11" t="n">
        <v>0</v>
      </c>
      <c r="AO181" s="11" t="n">
        <v>0</v>
      </c>
      <c r="AP181" s="11" t="n">
        <v>0</v>
      </c>
      <c r="AQ181" s="12" t="n"/>
      <c r="AR181" s="11" t="n">
        <v>0</v>
      </c>
      <c r="AS181" s="11" t="n">
        <v>0</v>
      </c>
      <c r="AT181" s="11" t="n">
        <v>0</v>
      </c>
      <c r="AU181" s="11" t="n">
        <v>0</v>
      </c>
      <c r="AV181" s="12" t="n"/>
      <c r="AW181" s="11" t="n">
        <v>0</v>
      </c>
      <c r="AX181" s="11" t="n">
        <v>0</v>
      </c>
      <c r="AY181" s="11" t="n">
        <v>0</v>
      </c>
      <c r="AZ181" s="11" t="n">
        <v>0</v>
      </c>
      <c r="BA181" s="12" t="n"/>
      <c r="BB181" s="11" t="n">
        <v>0</v>
      </c>
      <c r="BC181" s="11" t="n">
        <v>0</v>
      </c>
      <c r="BD181" s="11" t="n">
        <v>0</v>
      </c>
      <c r="BE181" s="11" t="n">
        <v>0</v>
      </c>
      <c r="BF181" s="12" t="n"/>
      <c r="BG181" s="11" t="n"/>
      <c r="BH181" s="11" t="n"/>
      <c r="BI181" s="11" t="n"/>
      <c r="BJ181" s="11" t="n"/>
      <c r="BK181" s="12" t="n"/>
      <c r="BL181" s="11" t="n"/>
      <c r="BM181" s="11" t="n"/>
      <c r="BN181" s="11" t="n"/>
      <c r="BO181" s="11" t="n"/>
      <c r="BP181" s="12" t="n"/>
      <c r="BQ181" s="11" t="n"/>
      <c r="BR181" s="11" t="n"/>
      <c r="BS181" s="11" t="n"/>
      <c r="BT181" s="11" t="n"/>
      <c r="BU181" s="12" t="n"/>
      <c r="BV181" s="11" t="n"/>
      <c r="BW181" s="11" t="n"/>
      <c r="BX181" s="11" t="n"/>
      <c r="BY181" s="11" t="n"/>
      <c r="BZ181" s="12" t="n"/>
      <c r="CA181" s="11" t="n"/>
      <c r="CB181" s="11" t="n"/>
      <c r="CC181" s="11" t="n"/>
      <c r="CD181" s="11" t="n"/>
      <c r="CE181" s="12" t="n"/>
      <c r="CF181" s="11" t="n"/>
      <c r="CG181" s="11" t="n"/>
      <c r="CH181" s="11" t="n"/>
      <c r="CI181" s="11" t="n"/>
      <c r="CJ181" s="12" t="n"/>
      <c r="CK181" s="11" t="n"/>
      <c r="CL181" s="11" t="n"/>
      <c r="CM181" s="11" t="n"/>
      <c r="CN181" s="11" t="n"/>
      <c r="CO181" s="12" t="n"/>
      <c r="CP181" s="11" t="n"/>
      <c r="CQ181" s="11" t="n"/>
      <c r="CR181" s="11" t="n"/>
      <c r="CS181" s="11" t="n"/>
      <c r="CT181" s="12" t="n"/>
      <c r="CU181" s="11" t="n"/>
      <c r="CV181" s="11" t="n"/>
      <c r="CW181" s="11" t="n"/>
      <c r="CX181" s="11" t="n"/>
      <c r="CY181" s="12" t="n"/>
    </row>
    <row r="182" hidden="1" outlineLevel="1">
      <c r="C182" s="57" t="inlineStr">
        <is>
          <t>Amortization (enter as -)</t>
        </is>
      </c>
      <c r="D182" s="12" t="n"/>
      <c r="E182" s="12" t="n"/>
      <c r="F182" s="12" t="n"/>
      <c r="G182" s="12" t="n"/>
      <c r="H182" s="12" t="n"/>
      <c r="I182" s="12" t="n">
        <v>0</v>
      </c>
      <c r="J182" s="12" t="n">
        <v>0</v>
      </c>
      <c r="K182" s="12" t="n">
        <v>0</v>
      </c>
      <c r="L182" s="12" t="n">
        <v>0</v>
      </c>
      <c r="M182" s="12" t="n">
        <v>0</v>
      </c>
      <c r="N182" s="12" t="n">
        <v>0</v>
      </c>
      <c r="O182" s="12" t="n">
        <v>0</v>
      </c>
      <c r="P182" s="12" t="n">
        <v>0</v>
      </c>
      <c r="Q182" s="12" t="n">
        <v>0</v>
      </c>
      <c r="R182" s="12" t="n">
        <v>0</v>
      </c>
      <c r="S182" s="12" t="n">
        <v>0</v>
      </c>
      <c r="T182" s="12" t="n">
        <v>0</v>
      </c>
      <c r="U182" s="12" t="n">
        <v>0</v>
      </c>
      <c r="V182" s="12" t="n">
        <v>0</v>
      </c>
      <c r="W182" s="12" t="n">
        <v>0</v>
      </c>
      <c r="X182" s="12" t="n">
        <v>0</v>
      </c>
      <c r="Y182" s="12" t="n">
        <v>0</v>
      </c>
      <c r="Z182" s="12" t="n">
        <v>0</v>
      </c>
      <c r="AA182" s="12" t="n">
        <v>0</v>
      </c>
      <c r="AB182" s="12" t="n">
        <v>0</v>
      </c>
      <c r="AC182" s="12" t="n">
        <v>0</v>
      </c>
      <c r="AD182" s="12" t="n">
        <v>0</v>
      </c>
      <c r="AE182" s="12" t="n">
        <v>0</v>
      </c>
      <c r="AF182" s="12" t="n">
        <v>0</v>
      </c>
      <c r="AG182" s="12" t="n">
        <v>0</v>
      </c>
      <c r="AH182" s="12" t="n">
        <v>0</v>
      </c>
      <c r="AI182" s="12" t="n">
        <v>0</v>
      </c>
      <c r="AJ182" s="11" t="n"/>
      <c r="AK182" s="11" t="n"/>
      <c r="AL182" s="12" t="n"/>
      <c r="AM182" s="11" t="n"/>
      <c r="AN182" s="11" t="n"/>
      <c r="AO182" s="11" t="n"/>
      <c r="AP182" s="11" t="n"/>
      <c r="AQ182" s="12" t="n"/>
      <c r="AR182" s="11" t="n"/>
      <c r="AS182" s="11" t="n"/>
      <c r="AT182" s="11" t="n"/>
      <c r="AU182" s="11" t="n"/>
      <c r="AV182" s="12" t="n"/>
      <c r="AW182" s="11" t="n"/>
      <c r="AX182" s="11" t="n"/>
      <c r="AY182" s="11" t="n"/>
      <c r="AZ182" s="11" t="n"/>
      <c r="BA182" s="12" t="n"/>
      <c r="BB182" s="11" t="n"/>
      <c r="BC182" s="11" t="n"/>
      <c r="BD182" s="11" t="n"/>
      <c r="BE182" s="11" t="n"/>
      <c r="BF182" s="12" t="n"/>
      <c r="BG182" s="11" t="n"/>
      <c r="BH182" s="11" t="n"/>
      <c r="BI182" s="11" t="n"/>
      <c r="BJ182" s="11" t="n"/>
      <c r="BK182" s="12" t="n"/>
      <c r="BL182" s="11" t="n"/>
      <c r="BM182" s="11" t="n"/>
      <c r="BN182" s="11" t="n"/>
      <c r="BO182" s="11" t="n"/>
      <c r="BP182" s="12" t="n"/>
      <c r="BQ182" s="11" t="n"/>
      <c r="BR182" s="11" t="n"/>
      <c r="BS182" s="11" t="n"/>
      <c r="BT182" s="11" t="n"/>
      <c r="BU182" s="12" t="n"/>
      <c r="BV182" s="11" t="n"/>
      <c r="BW182" s="11" t="n"/>
      <c r="BX182" s="11" t="n"/>
      <c r="BY182" s="11" t="n"/>
      <c r="BZ182" s="12" t="n"/>
      <c r="CA182" s="11" t="n"/>
      <c r="CB182" s="11" t="n"/>
      <c r="CC182" s="11" t="n"/>
      <c r="CD182" s="11" t="n"/>
      <c r="CE182" s="12" t="n"/>
      <c r="CF182" s="11" t="n"/>
      <c r="CG182" s="11" t="n"/>
      <c r="CH182" s="11" t="n"/>
      <c r="CI182" s="11" t="n"/>
      <c r="CJ182" s="12" t="n"/>
      <c r="CK182" s="11" t="n"/>
      <c r="CL182" s="11" t="n"/>
      <c r="CM182" s="11" t="n"/>
      <c r="CN182" s="11" t="n"/>
      <c r="CO182" s="12" t="n"/>
      <c r="CP182" s="11" t="n"/>
      <c r="CQ182" s="11" t="n"/>
      <c r="CR182" s="11" t="n"/>
      <c r="CS182" s="11" t="n"/>
      <c r="CT182" s="12" t="n"/>
      <c r="CU182" s="11" t="n"/>
      <c r="CV182" s="11" t="n"/>
      <c r="CW182" s="11" t="n"/>
      <c r="CX182" s="11" t="n"/>
      <c r="CY182" s="12" t="n"/>
    </row>
    <row r="183" hidden="1" outlineLevel="1">
      <c r="C183" s="57" t="inlineStr">
        <is>
          <t>Intangibles</t>
        </is>
      </c>
      <c r="D183" s="12" t="n"/>
      <c r="E183" s="12" t="n"/>
      <c r="F183" s="12" t="n"/>
      <c r="G183" s="12" t="n"/>
      <c r="H183" s="12" t="n"/>
      <c r="I183" s="12">
        <f>I179</f>
        <v>1753.735</v>
      </c>
      <c r="J183" s="12">
        <f>J179</f>
        <v>1739.751</v>
      </c>
      <c r="K183" s="12">
        <f>K179</f>
        <v>2184.98</v>
      </c>
      <c r="L183" s="12">
        <f>L179</f>
        <v>2366.432</v>
      </c>
      <c r="M183" s="12">
        <f>M179</f>
        <v>2366.432</v>
      </c>
      <c r="N183" s="12">
        <f>N179</f>
        <v>3868.918</v>
      </c>
      <c r="O183" s="12">
        <f>O179</f>
        <v>3828.735</v>
      </c>
      <c r="P183" s="12">
        <f>P179</f>
        <v>3788.372</v>
      </c>
      <c r="Q183" s="12">
        <f>Q179</f>
        <v>2587.808</v>
      </c>
      <c r="R183" s="12">
        <f>R179</f>
        <v>2587.808</v>
      </c>
      <c r="S183" s="12">
        <f>S179</f>
        <v>2574.991</v>
      </c>
      <c r="T183" s="12">
        <f>T179</f>
        <v>2557.102</v>
      </c>
      <c r="U183" s="12">
        <f>U179</f>
        <v>2540.211</v>
      </c>
      <c r="V183" s="12">
        <f>V179</f>
        <v>2458.453</v>
      </c>
      <c r="W183" s="12">
        <f>W179</f>
        <v>2458.453</v>
      </c>
      <c r="X183" s="12">
        <f>X179</f>
        <v>2443.013</v>
      </c>
      <c r="Y183" s="12">
        <f>Y179</f>
        <v>2426.557</v>
      </c>
      <c r="Z183" s="12">
        <f>Z179</f>
        <v>2515.652</v>
      </c>
      <c r="AA183" s="12">
        <f>AA179</f>
        <v>7335.883</v>
      </c>
      <c r="AB183" s="12">
        <f>AB179</f>
        <v>7335.883</v>
      </c>
      <c r="AC183" s="12">
        <f>AC179</f>
        <v>7230.02</v>
      </c>
      <c r="AD183" s="12">
        <f>AD179</f>
        <v>7109.327</v>
      </c>
      <c r="AE183" s="12">
        <f>AE179</f>
        <v>7109.713</v>
      </c>
      <c r="AF183" s="12">
        <f>AF179</f>
        <v>7201.637</v>
      </c>
      <c r="AG183" s="12">
        <f>AG179</f>
        <v>7201.637</v>
      </c>
      <c r="AH183" s="12">
        <f>AH179</f>
        <v>7072.185</v>
      </c>
      <c r="AI183" s="12">
        <f>AI179</f>
        <v>6950.832</v>
      </c>
      <c r="AJ183" s="12">
        <f>AJ179</f>
        <v>6950.832</v>
      </c>
      <c r="AK183" s="12">
        <f>AK179</f>
        <v>6950.832</v>
      </c>
      <c r="AL183" s="12" t="n"/>
      <c r="AM183" s="12">
        <f>AM179</f>
        <v>6950.832</v>
      </c>
      <c r="AN183" s="12">
        <f>AN179</f>
        <v>6950.832</v>
      </c>
      <c r="AO183" s="12">
        <f>AO179</f>
        <v>6950.832</v>
      </c>
      <c r="AP183" s="12">
        <f>AP179</f>
        <v>6950.832</v>
      </c>
      <c r="AQ183" s="12" t="n"/>
      <c r="AR183" s="12">
        <f>AR179</f>
        <v>6950.832</v>
      </c>
      <c r="AS183" s="12">
        <f>AS179</f>
        <v>6950.832</v>
      </c>
      <c r="AT183" s="12">
        <f>AT179</f>
        <v>6950.832</v>
      </c>
      <c r="AU183" s="12">
        <f>AU179</f>
        <v>6950.832</v>
      </c>
      <c r="AV183" s="12" t="n"/>
      <c r="AW183" s="12">
        <f>AW179</f>
        <v>6950.832</v>
      </c>
      <c r="AX183" s="12">
        <f>AX179</f>
        <v>6950.832</v>
      </c>
      <c r="AY183" s="12">
        <f>AY179</f>
        <v>6950.832</v>
      </c>
      <c r="AZ183" s="12">
        <f>AZ179</f>
        <v>6950.832</v>
      </c>
      <c r="BA183" s="12" t="n"/>
      <c r="BB183" s="12">
        <f>BB179</f>
        <v>6950.832</v>
      </c>
      <c r="BC183" s="12">
        <f>BC179</f>
        <v>6950.832</v>
      </c>
      <c r="BD183" s="12">
        <f>BD179</f>
        <v>6950.832</v>
      </c>
      <c r="BE183" s="12">
        <f>BE179</f>
        <v>6950.832</v>
      </c>
      <c r="BF183" s="12" t="n"/>
      <c r="BG183" s="12" t="n"/>
      <c r="BH183" s="12" t="n"/>
      <c r="BI183" s="12" t="n"/>
      <c r="BJ183" s="12" t="n"/>
      <c r="BK183" s="12" t="n"/>
      <c r="BL183" s="12" t="n"/>
      <c r="BM183" s="12" t="n"/>
      <c r="BN183" s="12" t="n"/>
      <c r="BO183" s="12" t="n"/>
      <c r="BP183" s="12" t="n"/>
      <c r="BQ183" s="12" t="n"/>
      <c r="BR183" s="12" t="n"/>
      <c r="BS183" s="12" t="n"/>
      <c r="BT183" s="12" t="n"/>
      <c r="BU183" s="12" t="n"/>
      <c r="BV183" s="12" t="n"/>
      <c r="BW183" s="12" t="n"/>
      <c r="BX183" s="12" t="n"/>
      <c r="BY183" s="12" t="n"/>
      <c r="BZ183" s="12" t="n"/>
      <c r="CA183" s="12" t="n"/>
      <c r="CB183" s="12" t="n"/>
      <c r="CC183" s="12" t="n"/>
      <c r="CD183" s="12" t="n"/>
      <c r="CE183" s="12" t="n"/>
      <c r="CF183" s="12" t="n"/>
      <c r="CG183" s="12" t="n"/>
      <c r="CH183" s="12" t="n"/>
      <c r="CI183" s="12" t="n"/>
      <c r="CJ183" s="12" t="n"/>
      <c r="CK183" s="12" t="n"/>
      <c r="CL183" s="12" t="n"/>
      <c r="CM183" s="12" t="n"/>
      <c r="CN183" s="12" t="n"/>
      <c r="CO183" s="12" t="n"/>
      <c r="CP183" s="12" t="n"/>
      <c r="CQ183" s="12" t="n"/>
      <c r="CR183" s="12" t="n"/>
      <c r="CS183" s="12" t="n"/>
      <c r="CT183" s="12" t="n"/>
      <c r="CU183" s="12" t="n"/>
      <c r="CV183" s="12" t="n"/>
      <c r="CW183" s="12" t="n"/>
      <c r="CX183" s="12" t="n"/>
      <c r="CY183" s="12" t="n"/>
    </row>
    <row r="184" hidden="1" outlineLevel="1">
      <c r="C184" s="57" t="n"/>
      <c r="D184" s="12" t="n"/>
      <c r="E184" s="12" t="n"/>
      <c r="F184" s="12" t="n"/>
      <c r="G184" s="12" t="n"/>
      <c r="H184" s="12" t="n"/>
      <c r="I184" s="12" t="n"/>
      <c r="J184" s="12" t="n"/>
      <c r="K184" s="12" t="n"/>
      <c r="L184" s="12" t="n"/>
      <c r="M184" s="12" t="n"/>
      <c r="N184" s="12" t="n"/>
      <c r="O184" s="12" t="n"/>
      <c r="P184" s="12" t="n"/>
      <c r="Q184" s="12" t="n"/>
      <c r="R184" s="12" t="n"/>
      <c r="S184" s="12" t="n"/>
      <c r="T184" s="12" t="n"/>
      <c r="U184" s="12" t="n"/>
      <c r="V184" s="12" t="n"/>
      <c r="W184" s="12" t="n"/>
      <c r="X184" s="12" t="n"/>
      <c r="Y184" s="12" t="n"/>
      <c r="Z184" s="12" t="n"/>
      <c r="AA184" s="12" t="n"/>
      <c r="AB184" s="12" t="n"/>
      <c r="AC184" s="12" t="n"/>
      <c r="AD184" s="12" t="n"/>
      <c r="AE184" s="12" t="n"/>
      <c r="AF184" s="12" t="n"/>
      <c r="AG184" s="12" t="n"/>
      <c r="AH184" s="12" t="n"/>
      <c r="AI184" s="12" t="n"/>
      <c r="AJ184" s="12" t="n"/>
      <c r="AK184" s="12" t="n"/>
      <c r="AL184" s="12" t="n"/>
      <c r="AM184" s="12" t="n"/>
      <c r="AN184" s="12" t="n"/>
      <c r="AO184" s="12" t="n"/>
      <c r="AP184" s="12" t="n"/>
      <c r="AQ184" s="12" t="n"/>
      <c r="AR184" s="12" t="n"/>
      <c r="AS184" s="12" t="n"/>
      <c r="AT184" s="12" t="n"/>
      <c r="AU184" s="12" t="n"/>
      <c r="AV184" s="12" t="n"/>
      <c r="AW184" s="12" t="n"/>
      <c r="AX184" s="12" t="n"/>
      <c r="AY184" s="12" t="n"/>
      <c r="AZ184" s="12" t="n"/>
      <c r="BA184" s="12" t="n"/>
      <c r="BB184" s="12" t="n"/>
      <c r="BC184" s="12" t="n"/>
      <c r="BD184" s="12" t="n"/>
      <c r="BE184" s="12" t="n"/>
      <c r="BF184" s="12" t="n"/>
      <c r="BG184" s="12" t="n"/>
      <c r="BH184" s="12" t="n"/>
      <c r="BI184" s="12" t="n"/>
      <c r="BJ184" s="12" t="n"/>
      <c r="BK184" s="12" t="n"/>
      <c r="BL184" s="12" t="n"/>
      <c r="BM184" s="12" t="n"/>
      <c r="BN184" s="12" t="n"/>
      <c r="BO184" s="12" t="n"/>
      <c r="BP184" s="12" t="n"/>
      <c r="BQ184" s="12" t="n"/>
      <c r="BR184" s="12" t="n"/>
      <c r="BS184" s="12" t="n"/>
      <c r="BT184" s="12" t="n"/>
      <c r="BU184" s="12" t="n"/>
      <c r="BV184" s="12" t="n"/>
      <c r="BW184" s="12" t="n"/>
      <c r="BX184" s="12" t="n"/>
      <c r="BY184" s="12" t="n"/>
      <c r="BZ184" s="12" t="n"/>
      <c r="CA184" s="12" t="n"/>
      <c r="CB184" s="12" t="n"/>
      <c r="CC184" s="12" t="n"/>
      <c r="CD184" s="12" t="n"/>
      <c r="CE184" s="12" t="n"/>
      <c r="CF184" s="12" t="n"/>
      <c r="CG184" s="12" t="n"/>
      <c r="CH184" s="12" t="n"/>
      <c r="CI184" s="12" t="n"/>
      <c r="CJ184" s="12" t="n"/>
      <c r="CK184" s="12" t="n"/>
      <c r="CL184" s="12" t="n"/>
      <c r="CM184" s="12" t="n"/>
      <c r="CN184" s="12" t="n"/>
      <c r="CO184" s="12" t="n"/>
      <c r="CP184" s="12" t="n"/>
      <c r="CQ184" s="12" t="n"/>
      <c r="CR184" s="12" t="n"/>
      <c r="CS184" s="12" t="n"/>
      <c r="CT184" s="12" t="n"/>
      <c r="CU184" s="12" t="n"/>
      <c r="CV184" s="12" t="n"/>
      <c r="CW184" s="12" t="n"/>
      <c r="CX184" s="12" t="n"/>
      <c r="CY184" s="12" t="n"/>
    </row>
    <row r="185" hidden="1" outlineLevel="1">
      <c r="C185" s="57" t="inlineStr">
        <is>
          <t>Definir % do D&amp;A No PPE and Intagibles</t>
        </is>
      </c>
      <c r="D185" s="12" t="n"/>
      <c r="E185" s="12" t="n"/>
      <c r="F185" s="12" t="n"/>
      <c r="G185" s="12" t="n"/>
      <c r="H185" s="12" t="n"/>
      <c r="I185" s="12" t="n"/>
      <c r="J185" s="12" t="n"/>
      <c r="K185" s="12" t="n"/>
      <c r="L185" s="12" t="n"/>
      <c r="M185" s="12" t="n"/>
      <c r="N185" s="12" t="n"/>
      <c r="O185" s="12" t="n"/>
      <c r="P185" s="12" t="n"/>
      <c r="Q185" s="12" t="n"/>
      <c r="R185" s="12" t="n"/>
      <c r="S185" s="12" t="n"/>
      <c r="T185" s="12" t="n"/>
      <c r="U185" s="12" t="n"/>
      <c r="V185" s="12" t="n"/>
      <c r="W185" s="12" t="n"/>
      <c r="X185" s="12" t="n"/>
      <c r="Y185" s="12" t="n"/>
      <c r="Z185" s="12" t="n"/>
      <c r="AA185" s="12" t="n"/>
      <c r="AB185" s="12" t="n"/>
      <c r="AC185" s="12" t="n"/>
      <c r="AD185" s="12" t="n"/>
      <c r="AE185" s="12" t="n"/>
      <c r="AF185" s="12" t="n"/>
      <c r="AG185" s="12" t="n"/>
      <c r="AH185" s="12" t="n"/>
      <c r="AI185" s="12" t="n"/>
      <c r="AJ185" s="12" t="n"/>
      <c r="AK185" s="12" t="n"/>
      <c r="AL185" s="12" t="n"/>
      <c r="AM185" s="12" t="n"/>
      <c r="AN185" s="12" t="n"/>
      <c r="AO185" s="12" t="n"/>
      <c r="AP185" s="12" t="n"/>
      <c r="AQ185" s="12" t="n"/>
      <c r="AR185" s="12" t="n"/>
      <c r="AS185" s="12" t="n"/>
      <c r="AT185" s="12" t="n"/>
      <c r="AU185" s="12" t="n"/>
      <c r="AV185" s="12" t="n"/>
      <c r="AW185" s="12" t="n"/>
      <c r="AX185" s="12" t="n"/>
      <c r="AY185" s="12" t="n"/>
      <c r="AZ185" s="12" t="n"/>
      <c r="BA185" s="12" t="n"/>
      <c r="BB185" s="12" t="n"/>
      <c r="BC185" s="12" t="n"/>
      <c r="BD185" s="12" t="n"/>
      <c r="BE185" s="12" t="n"/>
      <c r="BF185" s="12" t="n"/>
      <c r="BG185" s="12" t="n"/>
      <c r="BH185" s="12" t="n"/>
      <c r="BI185" s="12" t="n"/>
      <c r="BJ185" s="12" t="n"/>
      <c r="BK185" s="12" t="n"/>
      <c r="BL185" s="12" t="n"/>
      <c r="BM185" s="12" t="n"/>
      <c r="BN185" s="12" t="n"/>
      <c r="BO185" s="12" t="n"/>
      <c r="BP185" s="12" t="n"/>
      <c r="BQ185" s="12" t="n"/>
      <c r="BR185" s="12" t="n"/>
      <c r="BS185" s="12" t="n"/>
      <c r="BT185" s="12" t="n"/>
      <c r="BU185" s="12" t="n"/>
      <c r="BV185" s="12" t="n"/>
      <c r="BW185" s="12" t="n"/>
      <c r="BX185" s="12" t="n"/>
      <c r="BY185" s="12" t="n"/>
      <c r="BZ185" s="12" t="n"/>
      <c r="CA185" s="12" t="n"/>
      <c r="CB185" s="12" t="n"/>
      <c r="CC185" s="12" t="n"/>
      <c r="CD185" s="12" t="n"/>
      <c r="CE185" s="12" t="n"/>
      <c r="CF185" s="12" t="n"/>
      <c r="CG185" s="12" t="n"/>
      <c r="CH185" s="12" t="n"/>
      <c r="CI185" s="12" t="n"/>
      <c r="CJ185" s="12" t="n"/>
      <c r="CK185" s="12" t="n"/>
      <c r="CL185" s="12" t="n"/>
      <c r="CM185" s="12" t="n"/>
      <c r="CN185" s="12" t="n"/>
      <c r="CO185" s="12" t="n"/>
      <c r="CP185" s="12" t="n"/>
      <c r="CQ185" s="12" t="n"/>
      <c r="CR185" s="12" t="n"/>
      <c r="CS185" s="12" t="n"/>
      <c r="CT185" s="12" t="n"/>
      <c r="CU185" s="12" t="n"/>
      <c r="CV185" s="12" t="n"/>
      <c r="CW185" s="12" t="n"/>
      <c r="CX185" s="12" t="n"/>
      <c r="CY185" s="12" t="n"/>
    </row>
    <row r="186" hidden="1" outlineLevel="1">
      <c r="C186" s="57" t="n"/>
      <c r="D186" s="12" t="n"/>
      <c r="E186" s="12" t="n"/>
      <c r="F186" s="12" t="n"/>
      <c r="G186" s="12" t="n"/>
      <c r="H186" s="12" t="n"/>
      <c r="I186" s="12" t="n"/>
      <c r="J186" s="12" t="n"/>
      <c r="K186" s="12" t="n"/>
      <c r="L186" s="12" t="n"/>
      <c r="M186" s="12" t="n"/>
      <c r="N186" s="12" t="n"/>
      <c r="O186" s="12" t="n"/>
      <c r="P186" s="12" t="n"/>
      <c r="Q186" s="12" t="n"/>
      <c r="R186" s="12" t="n"/>
      <c r="S186" s="12" t="n"/>
      <c r="T186" s="12" t="n"/>
      <c r="U186" s="12" t="n"/>
      <c r="V186" s="12" t="n"/>
      <c r="W186" s="12" t="n"/>
      <c r="X186" s="12" t="n"/>
      <c r="Y186" s="12" t="n"/>
      <c r="Z186" s="12" t="n"/>
      <c r="AA186" s="12" t="n"/>
      <c r="AB186" s="12" t="n"/>
      <c r="AC186" s="12" t="n"/>
      <c r="AD186" s="12" t="n"/>
      <c r="AE186" s="12" t="n"/>
      <c r="AF186" s="12" t="n"/>
      <c r="AG186" s="12" t="n"/>
      <c r="AH186" s="12" t="n"/>
      <c r="AI186" s="12" t="n"/>
      <c r="AJ186" s="12" t="n"/>
      <c r="AK186" s="12" t="n"/>
      <c r="AL186" s="12" t="n"/>
      <c r="AM186" s="12" t="n"/>
      <c r="AN186" s="12" t="n"/>
      <c r="AO186" s="12" t="n"/>
      <c r="AP186" s="12" t="n"/>
      <c r="AQ186" s="12" t="n"/>
      <c r="AR186" s="12" t="n"/>
      <c r="AS186" s="12" t="n"/>
      <c r="AT186" s="12" t="n"/>
      <c r="AU186" s="12" t="n"/>
      <c r="AV186" s="12" t="n"/>
      <c r="AW186" s="12" t="n"/>
      <c r="AX186" s="12" t="n"/>
      <c r="AY186" s="12" t="n"/>
      <c r="AZ186" s="12" t="n"/>
      <c r="BA186" s="12" t="n"/>
      <c r="BB186" s="12" t="n"/>
      <c r="BC186" s="12" t="n"/>
      <c r="BD186" s="12" t="n"/>
      <c r="BE186" s="12" t="n"/>
      <c r="BF186" s="12" t="n"/>
      <c r="BG186" s="12" t="n"/>
      <c r="BH186" s="12" t="n"/>
      <c r="BI186" s="12" t="n"/>
      <c r="BJ186" s="12" t="n"/>
      <c r="BK186" s="12" t="n"/>
      <c r="BL186" s="12" t="n"/>
      <c r="BM186" s="12" t="n"/>
      <c r="BN186" s="12" t="n"/>
      <c r="BO186" s="12" t="n"/>
      <c r="BP186" s="12" t="n"/>
      <c r="BQ186" s="12" t="n"/>
      <c r="BR186" s="12" t="n"/>
      <c r="BS186" s="12" t="n"/>
      <c r="BT186" s="12" t="n"/>
      <c r="BU186" s="12" t="n"/>
      <c r="BV186" s="12" t="n"/>
      <c r="BW186" s="12" t="n"/>
      <c r="BX186" s="12" t="n"/>
      <c r="BY186" s="12" t="n"/>
      <c r="BZ186" s="12" t="n"/>
      <c r="CA186" s="12" t="n"/>
      <c r="CB186" s="12" t="n"/>
      <c r="CC186" s="12" t="n"/>
      <c r="CD186" s="12" t="n"/>
      <c r="CE186" s="12" t="n"/>
      <c r="CF186" s="12" t="n"/>
      <c r="CG186" s="12" t="n"/>
      <c r="CH186" s="12" t="n"/>
      <c r="CI186" s="12" t="n"/>
      <c r="CJ186" s="12" t="n"/>
      <c r="CK186" s="12" t="n"/>
      <c r="CL186" s="12" t="n"/>
      <c r="CM186" s="12" t="n"/>
      <c r="CN186" s="12" t="n"/>
      <c r="CO186" s="12" t="n"/>
      <c r="CP186" s="12" t="n"/>
      <c r="CQ186" s="12" t="n"/>
      <c r="CR186" s="12" t="n"/>
      <c r="CS186" s="12" t="n"/>
      <c r="CT186" s="12" t="n"/>
      <c r="CU186" s="12" t="n"/>
      <c r="CV186" s="12" t="n"/>
      <c r="CW186" s="12" t="n"/>
      <c r="CX186" s="12" t="n"/>
      <c r="CY186" s="12" t="n"/>
    </row>
    <row r="187" hidden="1" outlineLevel="1">
      <c r="C187" s="57" t="n"/>
      <c r="D187" s="12" t="n"/>
      <c r="E187" s="12" t="n"/>
      <c r="F187" s="12" t="n"/>
      <c r="G187" s="12" t="n"/>
      <c r="H187" s="12" t="n"/>
      <c r="I187" s="12" t="n"/>
      <c r="J187" s="12" t="n"/>
      <c r="K187" s="12" t="n"/>
      <c r="L187" s="12" t="n"/>
      <c r="M187" s="12" t="n"/>
      <c r="N187" s="12" t="n"/>
      <c r="O187" s="12" t="n"/>
      <c r="P187" s="12" t="n"/>
      <c r="Q187" s="12" t="n"/>
      <c r="R187" s="12" t="n"/>
      <c r="S187" s="12" t="n"/>
      <c r="T187" s="12" t="n"/>
      <c r="U187" s="12" t="n"/>
      <c r="V187" s="12" t="n"/>
      <c r="W187" s="12" t="n"/>
      <c r="X187" s="12" t="n"/>
      <c r="Y187" s="12" t="n"/>
      <c r="Z187" s="12" t="n"/>
      <c r="AA187" s="12" t="n"/>
      <c r="AB187" s="12" t="n"/>
      <c r="AC187" s="12" t="n"/>
      <c r="AD187" s="12" t="n"/>
      <c r="AE187" s="12" t="n"/>
      <c r="AF187" s="12" t="n"/>
      <c r="AG187" s="12" t="n"/>
      <c r="AH187" s="12" t="n"/>
      <c r="AI187" s="12" t="n"/>
      <c r="AJ187" s="12" t="n"/>
      <c r="AK187" s="12" t="n"/>
      <c r="AL187" s="12" t="n"/>
      <c r="AM187" s="12" t="n"/>
      <c r="AN187" s="12" t="n"/>
      <c r="AO187" s="12" t="n"/>
      <c r="AP187" s="12" t="n"/>
      <c r="AQ187" s="12" t="n"/>
      <c r="AR187" s="12" t="n"/>
      <c r="AS187" s="12" t="n"/>
      <c r="AT187" s="12" t="n"/>
      <c r="AU187" s="12" t="n"/>
      <c r="AV187" s="12" t="n"/>
      <c r="AW187" s="12" t="n"/>
      <c r="AX187" s="12" t="n"/>
      <c r="AY187" s="12" t="n"/>
      <c r="AZ187" s="12" t="n"/>
      <c r="BA187" s="12" t="n"/>
      <c r="BB187" s="12" t="n"/>
      <c r="BC187" s="12" t="n"/>
      <c r="BD187" s="12" t="n"/>
      <c r="BE187" s="12" t="n"/>
      <c r="BF187" s="12" t="n"/>
      <c r="BG187" s="12" t="n"/>
      <c r="BH187" s="12" t="n"/>
      <c r="BI187" s="12" t="n"/>
      <c r="BJ187" s="12" t="n"/>
      <c r="BK187" s="12" t="n"/>
      <c r="BL187" s="12" t="n"/>
      <c r="BM187" s="12" t="n"/>
      <c r="BN187" s="12" t="n"/>
      <c r="BO187" s="12" t="n"/>
      <c r="BP187" s="12" t="n"/>
      <c r="BQ187" s="12" t="n"/>
      <c r="BR187" s="12" t="n"/>
      <c r="BS187" s="12" t="n"/>
      <c r="BT187" s="12" t="n"/>
      <c r="BU187" s="12" t="n"/>
      <c r="BV187" s="12" t="n"/>
      <c r="BW187" s="12" t="n"/>
      <c r="BX187" s="12" t="n"/>
      <c r="BY187" s="12" t="n"/>
      <c r="BZ187" s="12" t="n"/>
      <c r="CA187" s="12" t="n"/>
      <c r="CB187" s="12" t="n"/>
      <c r="CC187" s="12" t="n"/>
      <c r="CD187" s="12" t="n"/>
      <c r="CE187" s="12" t="n"/>
      <c r="CF187" s="12" t="n"/>
      <c r="CG187" s="12" t="n"/>
      <c r="CH187" s="12" t="n"/>
      <c r="CI187" s="12" t="n"/>
      <c r="CJ187" s="12" t="n"/>
      <c r="CK187" s="12" t="n"/>
      <c r="CL187" s="12" t="n"/>
      <c r="CM187" s="12" t="n"/>
      <c r="CN187" s="12" t="n"/>
      <c r="CO187" s="12" t="n"/>
      <c r="CP187" s="12" t="n"/>
      <c r="CQ187" s="12" t="n"/>
      <c r="CR187" s="12" t="n"/>
      <c r="CS187" s="12" t="n"/>
      <c r="CT187" s="12" t="n"/>
      <c r="CU187" s="12" t="n"/>
      <c r="CV187" s="12" t="n"/>
      <c r="CW187" s="12" t="n"/>
      <c r="CX187" s="12" t="n"/>
      <c r="CY187" s="12" t="n"/>
    </row>
    <row r="188" collapsed="1">
      <c r="C188" s="14" t="inlineStr">
        <is>
          <t>Other non-current assets</t>
        </is>
      </c>
      <c r="D188" s="46" t="n"/>
      <c r="E188" s="46" t="n"/>
      <c r="F188" s="46" t="n"/>
      <c r="G188" s="46" t="n"/>
      <c r="H188" s="12" t="n"/>
      <c r="I188" s="46">
        <f>'Inputs (2)'!D26</f>
        <v>2045.05</v>
      </c>
      <c r="J188" s="46">
        <f>'Inputs (2)'!E26</f>
        <v>2062.604</v>
      </c>
      <c r="K188" s="46">
        <f>'Inputs (2)'!F26</f>
        <v>2121.192</v>
      </c>
      <c r="L188" s="46">
        <f>'Inputs (2)'!G26</f>
        <v>2449.664</v>
      </c>
      <c r="M188" s="12">
        <f>'Inputs (2)'!H26</f>
        <v>2449.664</v>
      </c>
      <c r="N188" s="46">
        <f>'Inputs (2)'!I26</f>
        <v>5421.771</v>
      </c>
      <c r="O188" s="46">
        <f>'Inputs (2)'!J26</f>
        <v>5416.763</v>
      </c>
      <c r="P188" s="46">
        <f>'Inputs (2)'!K26</f>
        <v>5451.074</v>
      </c>
      <c r="Q188" s="46">
        <f>'Inputs (2)'!L26</f>
        <v>7823.272</v>
      </c>
      <c r="R188" s="12">
        <f>'Inputs (2)'!M26</f>
        <v>7823.272</v>
      </c>
      <c r="S188" s="46">
        <f>'Inputs (2)'!N26</f>
        <v>8370.325</v>
      </c>
      <c r="T188" s="46">
        <f>'Inputs (2)'!O26</f>
        <v>4987.265</v>
      </c>
      <c r="U188" s="46">
        <f>'Inputs (2)'!P26</f>
        <v>4297.261</v>
      </c>
      <c r="V188" s="46">
        <f>'Inputs (2)'!Q26</f>
        <v>3928.118</v>
      </c>
      <c r="W188" s="12">
        <f>'Inputs (2)'!R26</f>
        <v>3928.118</v>
      </c>
      <c r="X188" s="46">
        <f>'Inputs (2)'!S26</f>
        <v>3298.898</v>
      </c>
      <c r="Y188" s="46">
        <f>'Inputs (2)'!T26</f>
        <v>3078.997</v>
      </c>
      <c r="Z188" s="46">
        <f>'Inputs (2)'!U26</f>
        <v>2910.546</v>
      </c>
      <c r="AA188" s="46">
        <f>'Inputs (2)'!V26</f>
        <v>3493.699</v>
      </c>
      <c r="AB188" s="12">
        <f>'Inputs (2)'!W26</f>
        <v>3493.699</v>
      </c>
      <c r="AC188" s="46">
        <f>'Inputs (2)'!X26</f>
        <v>3364.396</v>
      </c>
      <c r="AD188" s="46">
        <f>'Inputs (2)'!Y26</f>
        <v>3223.658</v>
      </c>
      <c r="AE188" s="46">
        <f>'Inputs (2)'!Z26</f>
        <v>2908.583</v>
      </c>
      <c r="AF188" s="46">
        <f>'Inputs (2)'!AA26</f>
        <v>3421.541</v>
      </c>
      <c r="AG188" s="12">
        <f>'Inputs (2)'!AB26</f>
        <v>3421.541</v>
      </c>
      <c r="AH188" s="12">
        <f>'Inputs (2)'!AC26</f>
        <v>3481.799</v>
      </c>
      <c r="AI188" s="12">
        <f>'Inputs (2)'!AD26</f>
        <v>3431.206</v>
      </c>
      <c r="AJ188" s="12">
        <f>AI188</f>
        <v>3431.206</v>
      </c>
      <c r="AK188" s="12">
        <f>AJ188</f>
        <v>3431.206</v>
      </c>
      <c r="AL188" s="12">
        <f>AK188</f>
        <v>3431.206</v>
      </c>
      <c r="AM188" s="12">
        <f>AL188</f>
        <v>3431.206</v>
      </c>
      <c r="AN188" s="12">
        <f>AM188</f>
        <v>3431.206</v>
      </c>
      <c r="AO188" s="12">
        <f>AN188</f>
        <v>3431.206</v>
      </c>
      <c r="AP188" s="12">
        <f>AO188</f>
        <v>3431.206</v>
      </c>
      <c r="AQ188" s="12">
        <f>AP188</f>
        <v>3431.206</v>
      </c>
      <c r="AR188" s="12">
        <f>AQ188</f>
        <v>3431.206</v>
      </c>
      <c r="AS188" s="12">
        <f>AR188</f>
        <v>3431.206</v>
      </c>
      <c r="AT188" s="12">
        <f>AS188</f>
        <v>3431.206</v>
      </c>
      <c r="AU188" s="12">
        <f>AT188</f>
        <v>3431.206</v>
      </c>
      <c r="AV188" s="12">
        <f>AU188</f>
        <v>3431.206</v>
      </c>
      <c r="AW188" s="12">
        <f>AV188</f>
        <v>3431.206</v>
      </c>
      <c r="AX188" s="12">
        <f>AW188</f>
        <v>3431.206</v>
      </c>
      <c r="AY188" s="12">
        <f>AX188</f>
        <v>3431.206</v>
      </c>
      <c r="AZ188" s="12">
        <f>AY188</f>
        <v>3431.206</v>
      </c>
      <c r="BA188" s="12">
        <f>AZ188</f>
        <v>3431.206</v>
      </c>
      <c r="BB188" s="12">
        <f>BA188</f>
        <v>3431.206</v>
      </c>
      <c r="BC188" s="12">
        <f>BB188</f>
        <v>3431.206</v>
      </c>
      <c r="BD188" s="12">
        <f>BC188</f>
        <v>3431.206</v>
      </c>
      <c r="BE188" s="12">
        <f>BD188</f>
        <v>3431.206</v>
      </c>
      <c r="BF188" s="12">
        <f>BE188</f>
        <v>3431.206</v>
      </c>
      <c r="BG188" s="12" t="n"/>
      <c r="BH188" s="12" t="n"/>
      <c r="BI188" s="12" t="n"/>
      <c r="BJ188" s="12" t="n"/>
      <c r="BK188" s="12" t="n"/>
      <c r="BL188" s="12" t="n"/>
      <c r="BM188" s="12" t="n"/>
      <c r="BN188" s="12" t="n"/>
      <c r="BO188" s="12" t="n"/>
      <c r="BP188" s="12" t="n"/>
      <c r="BQ188" s="12" t="n"/>
      <c r="BR188" s="12" t="n"/>
      <c r="BS188" s="12" t="n"/>
      <c r="BT188" s="12" t="n"/>
      <c r="BU188" s="12" t="n"/>
      <c r="BV188" s="12" t="n"/>
      <c r="BW188" s="12" t="n"/>
      <c r="BX188" s="12" t="n"/>
      <c r="BY188" s="12" t="n"/>
      <c r="BZ188" s="12" t="n"/>
      <c r="CA188" s="12" t="n"/>
      <c r="CB188" s="12" t="n"/>
      <c r="CC188" s="12" t="n"/>
      <c r="CD188" s="12" t="n"/>
      <c r="CE188" s="12" t="n"/>
      <c r="CF188" s="12" t="n"/>
      <c r="CG188" s="12" t="n"/>
      <c r="CH188" s="12" t="n"/>
      <c r="CI188" s="12" t="n"/>
      <c r="CJ188" s="12" t="n"/>
      <c r="CK188" s="12" t="n"/>
      <c r="CL188" s="12" t="n"/>
      <c r="CM188" s="12" t="n"/>
      <c r="CN188" s="12" t="n"/>
      <c r="CO188" s="12" t="n"/>
      <c r="CP188" s="12" t="n"/>
      <c r="CQ188" s="12" t="n"/>
      <c r="CR188" s="12" t="n"/>
      <c r="CS188" s="12" t="n"/>
      <c r="CT188" s="12" t="n"/>
      <c r="CU188" s="12" t="n"/>
      <c r="CV188" s="12" t="n"/>
      <c r="CW188" s="12" t="n"/>
      <c r="CX188" s="12" t="n"/>
      <c r="CY188" s="12" t="n"/>
    </row>
    <row r="189" hidden="1" outlineLevel="1">
      <c r="C189" s="59" t="inlineStr">
        <is>
          <t>%(Var.)</t>
        </is>
      </c>
      <c r="D189" s="12" t="n"/>
      <c r="E189" s="40" t="n"/>
      <c r="F189" s="40" t="n"/>
      <c r="G189" s="40" t="n"/>
      <c r="H189" s="12" t="n"/>
      <c r="I189" s="40" t="str">
        <f>""</f>
        <v/>
      </c>
      <c r="J189" s="40">
        <f>IF(I188=0,"",J188/I188-1)</f>
        <v>0.00858365321141275</v>
      </c>
      <c r="K189" s="40">
        <f>IF(J188=0,"",K188/J188-1)</f>
        <v>0.028404870736215</v>
      </c>
      <c r="L189" s="40">
        <f>IF(K188=0,"",L188/K188-1)</f>
        <v>0.154852554601375</v>
      </c>
      <c r="M189" s="12">
        <f>IF(L188=0,"",M188/L188-1)</f>
        <v>0</v>
      </c>
      <c r="N189" s="40">
        <f>IF(M188=0,"",N188/M188-1)</f>
        <v>1.21327128945031</v>
      </c>
      <c r="O189" s="40">
        <f>IF(N188=0,"",O188/N188-1)</f>
        <v>-0.000923683423737387</v>
      </c>
      <c r="P189" s="40">
        <f>IF(O188=0,"",P188/O188-1)</f>
        <v>0.00633422580976872</v>
      </c>
      <c r="Q189" s="40">
        <f>IF(P188=0,"",Q188/P188-1)</f>
        <v>0.435179929679913</v>
      </c>
      <c r="R189" s="12">
        <f>IF(Q188=0,"",R188/Q188-1)</f>
        <v>0</v>
      </c>
      <c r="S189" s="40">
        <f>IF(R188=0,"",S188/R188-1)</f>
        <v>0.0699263684044222</v>
      </c>
      <c r="T189" s="40">
        <f>IF(S188=0,"",T188/S188-1)</f>
        <v>-0.404173075716893</v>
      </c>
      <c r="U189" s="40">
        <f>IF(T188=0,"",U188/T188-1)</f>
        <v>-0.138353185563631</v>
      </c>
      <c r="V189" s="40">
        <f>IF(U188=0,"",V188/U188-1)</f>
        <v>-0.0859019268319985</v>
      </c>
      <c r="W189" s="12">
        <f>IF(V188=0,"",W188/V188-1)</f>
        <v>0</v>
      </c>
      <c r="X189" s="40">
        <f>IF(W188=0,"",X188/W188-1)</f>
        <v>-0.160183579006537</v>
      </c>
      <c r="Y189" s="40">
        <f>IF(X188=0,"",Y188/X188-1)</f>
        <v>-0.0666589267082524</v>
      </c>
      <c r="Z189" s="40">
        <f>IF(Y188=0,"",Z188/Y188-1)</f>
        <v>-0.0547096992949327</v>
      </c>
      <c r="AA189" s="40">
        <f>IF(Z188=0,"",AA188/Z188-1)</f>
        <v>0.200358626869323</v>
      </c>
      <c r="AB189" s="12">
        <f>IF(AA188=0,"",AB188/AA188-1)</f>
        <v>0</v>
      </c>
      <c r="AC189" s="40">
        <f>IF(AB188=0,"",AC188/AB188-1)</f>
        <v>-0.0370103434783592</v>
      </c>
      <c r="AD189" s="40">
        <f>IF(AC188=0,"",AD188/AC188-1)</f>
        <v>-0.0418315798734752</v>
      </c>
      <c r="AE189" s="40">
        <f>IF(AD188=0,"",AE188/AD188-1)</f>
        <v>-0.0977383456929984</v>
      </c>
      <c r="AF189" s="55">
        <f>IF(AE188=0,"",AF188/AE188-1)</f>
        <v>0.176360103871885</v>
      </c>
      <c r="AG189" s="12">
        <f>IF(AF188=0,"",AG188/AF188-1)</f>
        <v>0</v>
      </c>
      <c r="AH189" s="55">
        <f>IF(AG188=0,"",AH188/AG188-1)</f>
        <v>0.0176113628332963</v>
      </c>
      <c r="AI189" s="55">
        <f>IF(AH188=0,"",AI188/AH188-1)</f>
        <v>-0.0145307066835276</v>
      </c>
      <c r="AJ189" s="55">
        <f>IF(AI188=0,"",AJ188/AI188-1)</f>
        <v>0</v>
      </c>
      <c r="AK189" s="55">
        <f>IF(AJ188=0,"",AK188/AJ188-1)</f>
        <v>0</v>
      </c>
      <c r="AL189" s="12">
        <f>IF(AK188=0,"",AL188/AK188-1)</f>
        <v>0</v>
      </c>
      <c r="AM189" s="55">
        <f>IF(AL188=0,"",AM188/AL188-1)</f>
        <v>0</v>
      </c>
      <c r="AN189" s="55">
        <f>IF(AM188=0,"",AN188/AM188-1)</f>
        <v>0</v>
      </c>
      <c r="AO189" s="55">
        <f>IF(AN188=0,"",AO188/AN188-1)</f>
        <v>0</v>
      </c>
      <c r="AP189" s="55">
        <f>IF(AO188=0,"",AP188/AO188-1)</f>
        <v>0</v>
      </c>
      <c r="AQ189" s="12">
        <f>IF(AP188=0,"",AQ188/AP188-1)</f>
        <v>0</v>
      </c>
      <c r="AR189" s="55">
        <f>IF(AQ188=0,"",AR188/AQ188-1)</f>
        <v>0</v>
      </c>
      <c r="AS189" s="55">
        <f>IF(AR188=0,"",AS188/AR188-1)</f>
        <v>0</v>
      </c>
      <c r="AT189" s="55">
        <f>IF(AS188=0,"",AT188/AS188-1)</f>
        <v>0</v>
      </c>
      <c r="AU189" s="55">
        <f>IF(AT188=0,"",AU188/AT188-1)</f>
        <v>0</v>
      </c>
      <c r="AV189" s="12">
        <f>IF(AU188=0,"",AV188/AU188-1)</f>
        <v>0</v>
      </c>
      <c r="AW189" s="55">
        <f>IF(AV188=0,"",AW188/AV188-1)</f>
        <v>0</v>
      </c>
      <c r="AX189" s="55">
        <f>IF(AW188=0,"",AX188/AW188-1)</f>
        <v>0</v>
      </c>
      <c r="AY189" s="55">
        <f>IF(AX188=0,"",AY188/AX188-1)</f>
        <v>0</v>
      </c>
      <c r="AZ189" s="55">
        <f>IF(AY188=0,"",AZ188/AY188-1)</f>
        <v>0</v>
      </c>
      <c r="BA189" s="12">
        <f>IF(AZ188=0,"",BA188/AZ188-1)</f>
        <v>0</v>
      </c>
      <c r="BB189" s="55">
        <f>IF(BA188=0,"",BB188/BA188-1)</f>
        <v>0</v>
      </c>
      <c r="BC189" s="55">
        <f>IF(BB188=0,"",BC188/BB188-1)</f>
        <v>0</v>
      </c>
      <c r="BD189" s="55">
        <f>IF(BC188=0,"",BD188/BC188-1)</f>
        <v>0</v>
      </c>
      <c r="BE189" s="55">
        <f>IF(BD188=0,"",BE188/BD188-1)</f>
        <v>0</v>
      </c>
      <c r="BF189" s="12">
        <f>IF(BE188=0,"",BF188/BE188-1)</f>
        <v>0</v>
      </c>
      <c r="BG189" s="55" t="n"/>
      <c r="BH189" s="55" t="n"/>
      <c r="BI189" s="55" t="n"/>
      <c r="BJ189" s="55" t="n"/>
      <c r="BK189" s="12" t="n"/>
      <c r="BL189" s="55" t="n"/>
      <c r="BM189" s="55" t="n"/>
      <c r="BN189" s="55" t="n"/>
      <c r="BO189" s="55" t="n"/>
      <c r="BP189" s="12" t="n"/>
      <c r="BQ189" s="55" t="n"/>
      <c r="BR189" s="55" t="n"/>
      <c r="BS189" s="55" t="n"/>
      <c r="BT189" s="55" t="n"/>
      <c r="BU189" s="12" t="n"/>
      <c r="BV189" s="55" t="n"/>
      <c r="BW189" s="55" t="n"/>
      <c r="BX189" s="55" t="n"/>
      <c r="BY189" s="55" t="n"/>
      <c r="BZ189" s="12" t="n"/>
      <c r="CA189" s="55" t="n"/>
      <c r="CB189" s="55" t="n"/>
      <c r="CC189" s="55" t="n"/>
      <c r="CD189" s="55" t="n"/>
      <c r="CE189" s="12" t="n"/>
      <c r="CF189" s="55" t="n"/>
      <c r="CG189" s="55" t="n"/>
      <c r="CH189" s="55" t="n"/>
      <c r="CI189" s="55" t="n"/>
      <c r="CJ189" s="12" t="n"/>
      <c r="CK189" s="55" t="n"/>
      <c r="CL189" s="55" t="n"/>
      <c r="CM189" s="55" t="n"/>
      <c r="CN189" s="55" t="n"/>
      <c r="CO189" s="12" t="n"/>
      <c r="CP189" s="55" t="n"/>
      <c r="CQ189" s="55" t="n"/>
      <c r="CR189" s="55" t="n"/>
      <c r="CS189" s="55" t="n"/>
      <c r="CT189" s="12" t="n"/>
      <c r="CU189" s="55" t="n"/>
      <c r="CV189" s="55" t="n"/>
      <c r="CW189" s="55" t="n"/>
      <c r="CX189" s="55" t="n"/>
      <c r="CY189" s="12" t="n"/>
    </row>
    <row r="190" hidden="1" outlineLevel="1">
      <c r="C190" s="57" t="n"/>
      <c r="D190" s="12" t="n"/>
      <c r="E190" s="40" t="n"/>
      <c r="F190" s="40" t="n"/>
      <c r="G190" s="40" t="n"/>
      <c r="H190" s="12" t="n"/>
      <c r="I190" s="40" t="n"/>
      <c r="J190" s="40" t="n"/>
      <c r="K190" s="40" t="n"/>
      <c r="L190" s="40" t="n"/>
      <c r="M190" s="12" t="n"/>
      <c r="N190" s="40" t="n"/>
      <c r="O190" s="40" t="n"/>
      <c r="P190" s="40" t="n"/>
      <c r="Q190" s="40" t="n"/>
      <c r="R190" s="12" t="n"/>
      <c r="S190" s="40" t="n"/>
      <c r="T190" s="40" t="n"/>
      <c r="U190" s="40" t="n"/>
      <c r="V190" s="40" t="n"/>
      <c r="W190" s="12" t="n"/>
      <c r="X190" s="40" t="n"/>
      <c r="Y190" s="40" t="n"/>
      <c r="Z190" s="40" t="n"/>
      <c r="AA190" s="40" t="n"/>
      <c r="AB190" s="12" t="n"/>
      <c r="AC190" s="40" t="n"/>
      <c r="AD190" s="40" t="n"/>
      <c r="AE190" s="40" t="n"/>
      <c r="AF190" s="55" t="n"/>
      <c r="AG190" s="12" t="n"/>
      <c r="AH190" s="55" t="n"/>
      <c r="AI190" s="55" t="n"/>
      <c r="AJ190" s="55" t="n"/>
      <c r="AK190" s="55" t="n"/>
      <c r="AL190" s="12" t="n"/>
      <c r="AM190" s="55" t="n"/>
      <c r="AN190" s="55" t="n"/>
      <c r="AO190" s="55" t="n"/>
      <c r="AP190" s="55" t="n"/>
      <c r="AQ190" s="12" t="n"/>
      <c r="AR190" s="55" t="n"/>
      <c r="AS190" s="55" t="n"/>
      <c r="AT190" s="55" t="n"/>
      <c r="AU190" s="55" t="n"/>
      <c r="AV190" s="12" t="n"/>
      <c r="AW190" s="55" t="n"/>
      <c r="AX190" s="55" t="n"/>
      <c r="AY190" s="55" t="n"/>
      <c r="AZ190" s="55" t="n"/>
      <c r="BA190" s="12" t="n"/>
      <c r="BB190" s="55" t="n"/>
      <c r="BC190" s="55" t="n"/>
      <c r="BD190" s="55" t="n"/>
      <c r="BE190" s="55" t="n"/>
      <c r="BF190" s="12" t="n"/>
      <c r="BG190" s="55" t="n"/>
      <c r="BH190" s="55" t="n"/>
      <c r="BI190" s="55" t="n"/>
      <c r="BJ190" s="55" t="n"/>
      <c r="BK190" s="12" t="n"/>
      <c r="BL190" s="55" t="n"/>
      <c r="BM190" s="55" t="n"/>
      <c r="BN190" s="55" t="n"/>
      <c r="BO190" s="55" t="n"/>
      <c r="BP190" s="12" t="n"/>
      <c r="BQ190" s="55" t="n"/>
      <c r="BR190" s="55" t="n"/>
      <c r="BS190" s="55" t="n"/>
      <c r="BT190" s="55" t="n"/>
      <c r="BU190" s="12" t="n"/>
      <c r="BV190" s="55" t="n"/>
      <c r="BW190" s="55" t="n"/>
      <c r="BX190" s="55" t="n"/>
      <c r="BY190" s="55" t="n"/>
      <c r="BZ190" s="12" t="n"/>
      <c r="CA190" s="55" t="n"/>
      <c r="CB190" s="55" t="n"/>
      <c r="CC190" s="55" t="n"/>
      <c r="CD190" s="55" t="n"/>
      <c r="CE190" s="12" t="n"/>
      <c r="CF190" s="55" t="n"/>
      <c r="CG190" s="55" t="n"/>
      <c r="CH190" s="55" t="n"/>
      <c r="CI190" s="55" t="n"/>
      <c r="CJ190" s="12" t="n"/>
      <c r="CK190" s="55" t="n"/>
      <c r="CL190" s="55" t="n"/>
      <c r="CM190" s="55" t="n"/>
      <c r="CN190" s="55" t="n"/>
      <c r="CO190" s="12" t="n"/>
      <c r="CP190" s="55" t="n"/>
      <c r="CQ190" s="55" t="n"/>
      <c r="CR190" s="55" t="n"/>
      <c r="CS190" s="55" t="n"/>
      <c r="CT190" s="12" t="n"/>
      <c r="CU190" s="55" t="n"/>
      <c r="CV190" s="55" t="n"/>
      <c r="CW190" s="55" t="n"/>
      <c r="CX190" s="55" t="n"/>
      <c r="CY190" s="12" t="n"/>
    </row>
    <row r="191" hidden="1" outlineLevel="1">
      <c r="C191" s="60" t="inlineStr">
        <is>
          <t>Outros Créditos - LP</t>
        </is>
      </c>
      <c r="D191" s="11" t="n"/>
      <c r="E191" s="11" t="n"/>
      <c r="F191" s="11" t="n"/>
      <c r="G191" s="11" t="n"/>
      <c r="H191" s="12" t="n"/>
      <c r="I191" s="11" t="n"/>
      <c r="J191" s="11" t="n"/>
      <c r="K191" s="11" t="n"/>
      <c r="L191" s="11" t="n"/>
      <c r="M191" s="12" t="n"/>
      <c r="N191" s="11" t="n"/>
      <c r="O191" s="11" t="n"/>
      <c r="P191" s="11" t="n"/>
      <c r="Q191" s="11" t="n"/>
      <c r="R191" s="12" t="n"/>
      <c r="S191" s="11" t="n"/>
      <c r="T191" s="11" t="n"/>
      <c r="U191" s="11" t="n"/>
      <c r="V191" s="11" t="n"/>
      <c r="W191" s="12" t="n"/>
      <c r="X191" s="11" t="n"/>
      <c r="Y191" s="11" t="n"/>
      <c r="Z191" s="11" t="n"/>
      <c r="AA191" s="11" t="n"/>
      <c r="AB191" s="12" t="n"/>
      <c r="AC191" s="11" t="n"/>
      <c r="AD191" s="11" t="n"/>
      <c r="AE191" s="11" t="n"/>
      <c r="AF191" s="11" t="n"/>
      <c r="AG191" s="12" t="n"/>
      <c r="AH191" s="12" t="n"/>
      <c r="AI191" s="12" t="n"/>
      <c r="AJ191" s="12" t="n"/>
      <c r="AK191" s="12" t="n"/>
      <c r="AL191" s="12" t="n"/>
      <c r="AM191" s="12" t="n"/>
      <c r="AN191" s="12" t="n"/>
      <c r="AO191" s="12" t="n"/>
      <c r="AP191" s="12" t="n"/>
      <c r="AQ191" s="12" t="n"/>
      <c r="AR191" s="12" t="n"/>
      <c r="AS191" s="12" t="n"/>
      <c r="AT191" s="12" t="n"/>
      <c r="AU191" s="12" t="n"/>
      <c r="AV191" s="12" t="n"/>
      <c r="AW191" s="12" t="n"/>
      <c r="AX191" s="12" t="n"/>
      <c r="AY191" s="12" t="n"/>
      <c r="AZ191" s="12" t="n"/>
      <c r="BA191" s="12" t="n"/>
      <c r="BB191" s="12" t="n"/>
      <c r="BC191" s="12" t="n"/>
      <c r="BD191" s="12" t="n"/>
      <c r="BE191" s="12" t="n"/>
      <c r="BF191" s="12" t="n"/>
      <c r="BG191" s="12" t="n"/>
      <c r="BH191" s="12" t="n"/>
      <c r="BI191" s="12" t="n"/>
      <c r="BJ191" s="12" t="n"/>
      <c r="BK191" s="12" t="n"/>
      <c r="BL191" s="12" t="n"/>
      <c r="BM191" s="12" t="n"/>
      <c r="BN191" s="12" t="n"/>
      <c r="BO191" s="12" t="n"/>
      <c r="BP191" s="12" t="n"/>
      <c r="BQ191" s="12" t="n"/>
      <c r="BR191" s="12" t="n"/>
      <c r="BS191" s="12" t="n"/>
      <c r="BT191" s="12" t="n"/>
      <c r="BU191" s="12" t="n"/>
      <c r="BV191" s="12" t="n"/>
      <c r="BW191" s="12" t="n"/>
      <c r="BX191" s="12" t="n"/>
      <c r="BY191" s="12" t="n"/>
      <c r="BZ191" s="12" t="n"/>
      <c r="CA191" s="12" t="n"/>
      <c r="CB191" s="12" t="n"/>
      <c r="CC191" s="12" t="n"/>
      <c r="CD191" s="12" t="n"/>
      <c r="CE191" s="12" t="n"/>
      <c r="CF191" s="12" t="n"/>
      <c r="CG191" s="12" t="n"/>
      <c r="CH191" s="12" t="n"/>
      <c r="CI191" s="12" t="n"/>
      <c r="CJ191" s="12" t="n"/>
      <c r="CK191" s="12" t="n"/>
      <c r="CL191" s="12" t="n"/>
      <c r="CM191" s="12" t="n"/>
      <c r="CN191" s="12" t="n"/>
      <c r="CO191" s="12" t="n"/>
      <c r="CP191" s="12" t="n"/>
      <c r="CQ191" s="12" t="n"/>
      <c r="CR191" s="12" t="n"/>
      <c r="CS191" s="12" t="n"/>
      <c r="CT191" s="12" t="n"/>
      <c r="CU191" s="12" t="n"/>
      <c r="CV191" s="12" t="n"/>
      <c r="CW191" s="12" t="n"/>
      <c r="CX191" s="12" t="n"/>
      <c r="CY191" s="12" t="n"/>
    </row>
    <row r="192" hidden="1" outlineLevel="1">
      <c r="C192" s="60" t="inlineStr">
        <is>
          <t xml:space="preserve">Impostos e Contribuições a Recuperar </t>
        </is>
      </c>
      <c r="D192" s="11" t="n"/>
      <c r="E192" s="11" t="n"/>
      <c r="F192" s="11" t="n"/>
      <c r="G192" s="11" t="n"/>
      <c r="H192" s="12" t="n"/>
      <c r="I192" s="11" t="n"/>
      <c r="J192" s="11" t="n"/>
      <c r="K192" s="11" t="n"/>
      <c r="L192" s="11" t="n"/>
      <c r="M192" s="12" t="n"/>
      <c r="N192" s="11" t="n"/>
      <c r="O192" s="11" t="n"/>
      <c r="P192" s="11" t="n"/>
      <c r="Q192" s="11" t="n"/>
      <c r="R192" s="12" t="n"/>
      <c r="S192" s="11" t="n"/>
      <c r="T192" s="11" t="n"/>
      <c r="U192" s="11" t="n"/>
      <c r="V192" s="11" t="n"/>
      <c r="W192" s="12" t="n"/>
      <c r="X192" s="11" t="n"/>
      <c r="Y192" s="11" t="n"/>
      <c r="Z192" s="11" t="n"/>
      <c r="AA192" s="11" t="n"/>
      <c r="AB192" s="12" t="n"/>
      <c r="AC192" s="11" t="n"/>
      <c r="AD192" s="11" t="n"/>
      <c r="AE192" s="11" t="n"/>
      <c r="AF192" s="11" t="n"/>
      <c r="AG192" s="12" t="n"/>
      <c r="AH192" s="12" t="n"/>
      <c r="AI192" s="12" t="n"/>
      <c r="AJ192" s="12" t="n"/>
      <c r="AK192" s="12" t="n"/>
      <c r="AL192" s="12" t="n"/>
      <c r="AM192" s="12" t="n"/>
      <c r="AN192" s="12" t="n"/>
      <c r="AO192" s="12" t="n"/>
      <c r="AP192" s="12" t="n"/>
      <c r="AQ192" s="12" t="n"/>
      <c r="AR192" s="12" t="n"/>
      <c r="AS192" s="12" t="n"/>
      <c r="AT192" s="12" t="n"/>
      <c r="AU192" s="12" t="n"/>
      <c r="AV192" s="12" t="n"/>
      <c r="AW192" s="12" t="n"/>
      <c r="AX192" s="12" t="n"/>
      <c r="AY192" s="12" t="n"/>
      <c r="AZ192" s="12" t="n"/>
      <c r="BA192" s="12" t="n"/>
      <c r="BB192" s="12" t="n"/>
      <c r="BC192" s="12" t="n"/>
      <c r="BD192" s="12" t="n"/>
      <c r="BE192" s="12" t="n"/>
      <c r="BF192" s="12" t="n"/>
      <c r="BG192" s="12" t="n"/>
      <c r="BH192" s="12" t="n"/>
      <c r="BI192" s="12" t="n"/>
      <c r="BJ192" s="12" t="n"/>
      <c r="BK192" s="12" t="n"/>
      <c r="BL192" s="12" t="n"/>
      <c r="BM192" s="12" t="n"/>
      <c r="BN192" s="12" t="n"/>
      <c r="BO192" s="12" t="n"/>
      <c r="BP192" s="12" t="n"/>
      <c r="BQ192" s="12" t="n"/>
      <c r="BR192" s="12" t="n"/>
      <c r="BS192" s="12" t="n"/>
      <c r="BT192" s="12" t="n"/>
      <c r="BU192" s="12" t="n"/>
      <c r="BV192" s="12" t="n"/>
      <c r="BW192" s="12" t="n"/>
      <c r="BX192" s="12" t="n"/>
      <c r="BY192" s="12" t="n"/>
      <c r="BZ192" s="12" t="n"/>
      <c r="CA192" s="12" t="n"/>
      <c r="CB192" s="12" t="n"/>
      <c r="CC192" s="12" t="n"/>
      <c r="CD192" s="12" t="n"/>
      <c r="CE192" s="12" t="n"/>
      <c r="CF192" s="12" t="n"/>
      <c r="CG192" s="12" t="n"/>
      <c r="CH192" s="12" t="n"/>
      <c r="CI192" s="12" t="n"/>
      <c r="CJ192" s="12" t="n"/>
      <c r="CK192" s="12" t="n"/>
      <c r="CL192" s="12" t="n"/>
      <c r="CM192" s="12" t="n"/>
      <c r="CN192" s="12" t="n"/>
      <c r="CO192" s="12" t="n"/>
      <c r="CP192" s="12" t="n"/>
      <c r="CQ192" s="12" t="n"/>
      <c r="CR192" s="12" t="n"/>
      <c r="CS192" s="12" t="n"/>
      <c r="CT192" s="12" t="n"/>
      <c r="CU192" s="12" t="n"/>
      <c r="CV192" s="12" t="n"/>
      <c r="CW192" s="12" t="n"/>
      <c r="CX192" s="12" t="n"/>
      <c r="CY192" s="12" t="n"/>
    </row>
    <row r="193" hidden="1" outlineLevel="1">
      <c r="C193" s="60" t="inlineStr">
        <is>
          <t xml:space="preserve">Imposto de Renda e Contribuição Social Diferidos </t>
        </is>
      </c>
      <c r="D193" s="11" t="n"/>
      <c r="E193" s="11" t="n"/>
      <c r="F193" s="11" t="n"/>
      <c r="G193" s="11" t="n"/>
      <c r="H193" s="12" t="n"/>
      <c r="I193" s="11" t="n"/>
      <c r="J193" s="11" t="n"/>
      <c r="K193" s="11" t="n"/>
      <c r="L193" s="11" t="n"/>
      <c r="M193" s="12" t="n"/>
      <c r="N193" s="11" t="n"/>
      <c r="O193" s="11" t="n"/>
      <c r="P193" s="11" t="n"/>
      <c r="Q193" s="11" t="n"/>
      <c r="R193" s="12" t="n"/>
      <c r="S193" s="11" t="n"/>
      <c r="T193" s="11" t="n"/>
      <c r="U193" s="11" t="n"/>
      <c r="V193" s="11" t="n"/>
      <c r="W193" s="12" t="n"/>
      <c r="X193" s="11" t="n"/>
      <c r="Y193" s="11" t="n"/>
      <c r="Z193" s="11" t="n"/>
      <c r="AA193" s="11" t="n"/>
      <c r="AB193" s="12" t="n"/>
      <c r="AC193" s="11" t="n"/>
      <c r="AD193" s="11" t="n"/>
      <c r="AE193" s="11" t="n"/>
      <c r="AF193" s="11" t="n"/>
      <c r="AG193" s="12" t="n"/>
      <c r="AH193" s="12" t="n"/>
      <c r="AI193" s="12" t="n"/>
      <c r="AJ193" s="12" t="n"/>
      <c r="AK193" s="12" t="n"/>
      <c r="AL193" s="12" t="n"/>
      <c r="AM193" s="12" t="n"/>
      <c r="AN193" s="12" t="n"/>
      <c r="AO193" s="12" t="n"/>
      <c r="AP193" s="12" t="n"/>
      <c r="AQ193" s="12" t="n"/>
      <c r="AR193" s="12" t="n"/>
      <c r="AS193" s="12" t="n"/>
      <c r="AT193" s="12" t="n"/>
      <c r="AU193" s="12" t="n"/>
      <c r="AV193" s="12" t="n"/>
      <c r="AW193" s="12" t="n"/>
      <c r="AX193" s="12" t="n"/>
      <c r="AY193" s="12" t="n"/>
      <c r="AZ193" s="12" t="n"/>
      <c r="BA193" s="12" t="n"/>
      <c r="BB193" s="12" t="n"/>
      <c r="BC193" s="12" t="n"/>
      <c r="BD193" s="12" t="n"/>
      <c r="BE193" s="12" t="n"/>
      <c r="BF193" s="12" t="n"/>
      <c r="BG193" s="12" t="n"/>
      <c r="BH193" s="12" t="n"/>
      <c r="BI193" s="12" t="n"/>
      <c r="BJ193" s="12" t="n"/>
      <c r="BK193" s="12" t="n"/>
      <c r="BL193" s="12" t="n"/>
      <c r="BM193" s="12" t="n"/>
      <c r="BN193" s="12" t="n"/>
      <c r="BO193" s="12" t="n"/>
      <c r="BP193" s="12" t="n"/>
      <c r="BQ193" s="12" t="n"/>
      <c r="BR193" s="12" t="n"/>
      <c r="BS193" s="12" t="n"/>
      <c r="BT193" s="12" t="n"/>
      <c r="BU193" s="12" t="n"/>
      <c r="BV193" s="12" t="n"/>
      <c r="BW193" s="12" t="n"/>
      <c r="BX193" s="12" t="n"/>
      <c r="BY193" s="12" t="n"/>
      <c r="BZ193" s="12" t="n"/>
      <c r="CA193" s="12" t="n"/>
      <c r="CB193" s="12" t="n"/>
      <c r="CC193" s="12" t="n"/>
      <c r="CD193" s="12" t="n"/>
      <c r="CE193" s="12" t="n"/>
      <c r="CF193" s="12" t="n"/>
      <c r="CG193" s="12" t="n"/>
      <c r="CH193" s="12" t="n"/>
      <c r="CI193" s="12" t="n"/>
      <c r="CJ193" s="12" t="n"/>
      <c r="CK193" s="12" t="n"/>
      <c r="CL193" s="12" t="n"/>
      <c r="CM193" s="12" t="n"/>
      <c r="CN193" s="12" t="n"/>
      <c r="CO193" s="12" t="n"/>
      <c r="CP193" s="12" t="n"/>
      <c r="CQ193" s="12" t="n"/>
      <c r="CR193" s="12" t="n"/>
      <c r="CS193" s="12" t="n"/>
      <c r="CT193" s="12" t="n"/>
      <c r="CU193" s="12" t="n"/>
      <c r="CV193" s="12" t="n"/>
      <c r="CW193" s="12" t="n"/>
      <c r="CX193" s="12" t="n"/>
      <c r="CY193" s="12" t="n"/>
    </row>
    <row r="194" hidden="1" outlineLevel="1">
      <c r="C194" s="60" t="n"/>
      <c r="D194" s="12" t="n"/>
      <c r="E194" s="12" t="n"/>
      <c r="F194" s="12" t="n"/>
      <c r="G194" s="12" t="n"/>
      <c r="H194" s="12" t="n"/>
      <c r="I194" s="12" t="n"/>
      <c r="J194" s="12" t="n"/>
      <c r="K194" s="12" t="n"/>
      <c r="L194" s="12" t="n"/>
      <c r="M194" s="12" t="n"/>
      <c r="N194" s="12" t="n"/>
      <c r="O194" s="12" t="n"/>
      <c r="P194" s="12" t="n"/>
      <c r="Q194" s="12" t="n"/>
      <c r="R194" s="12" t="n"/>
      <c r="S194" s="12" t="n"/>
      <c r="T194" s="12" t="n"/>
      <c r="U194" s="12" t="n"/>
      <c r="V194" s="12" t="n"/>
      <c r="W194" s="12" t="n"/>
      <c r="X194" s="12" t="n"/>
      <c r="Y194" s="12" t="n"/>
      <c r="Z194" s="12" t="n"/>
      <c r="AA194" s="12" t="n"/>
      <c r="AB194" s="12" t="n"/>
      <c r="AC194" s="12" t="n"/>
      <c r="AD194" s="12" t="n"/>
      <c r="AE194" s="12" t="n"/>
      <c r="AF194" s="12" t="n"/>
      <c r="AG194" s="12" t="n"/>
      <c r="AH194" s="12" t="n"/>
      <c r="AI194" s="12" t="n"/>
      <c r="AJ194" s="12" t="n"/>
      <c r="AK194" s="12" t="n"/>
      <c r="AL194" s="12" t="n"/>
      <c r="AM194" s="12" t="n"/>
      <c r="AN194" s="12" t="n"/>
      <c r="AO194" s="12" t="n"/>
      <c r="AP194" s="12" t="n"/>
      <c r="AQ194" s="12" t="n"/>
      <c r="AR194" s="12" t="n"/>
      <c r="AS194" s="12" t="n"/>
      <c r="AT194" s="12" t="n"/>
      <c r="AU194" s="12" t="n"/>
      <c r="AV194" s="12" t="n"/>
      <c r="AW194" s="12" t="n"/>
      <c r="AX194" s="12" t="n"/>
      <c r="AY194" s="12" t="n"/>
      <c r="AZ194" s="12" t="n"/>
      <c r="BA194" s="12" t="n"/>
      <c r="BB194" s="12" t="n"/>
      <c r="BC194" s="12" t="n"/>
      <c r="BD194" s="12" t="n"/>
      <c r="BE194" s="12" t="n"/>
      <c r="BF194" s="12" t="n"/>
      <c r="BG194" s="12" t="n"/>
      <c r="BH194" s="12" t="n"/>
      <c r="BI194" s="12" t="n"/>
      <c r="BJ194" s="12" t="n"/>
      <c r="BK194" s="12" t="n"/>
      <c r="BL194" s="12" t="n"/>
      <c r="BM194" s="12" t="n"/>
      <c r="BN194" s="12" t="n"/>
      <c r="BO194" s="12" t="n"/>
      <c r="BP194" s="12" t="n"/>
      <c r="BQ194" s="12" t="n"/>
      <c r="BR194" s="12" t="n"/>
      <c r="BS194" s="12" t="n"/>
      <c r="BT194" s="12" t="n"/>
      <c r="BU194" s="12" t="n"/>
      <c r="BV194" s="12" t="n"/>
      <c r="BW194" s="12" t="n"/>
      <c r="BX194" s="12" t="n"/>
      <c r="BY194" s="12" t="n"/>
      <c r="BZ194" s="12" t="n"/>
      <c r="CA194" s="12" t="n"/>
      <c r="CB194" s="12" t="n"/>
      <c r="CC194" s="12" t="n"/>
      <c r="CD194" s="12" t="n"/>
      <c r="CE194" s="12" t="n"/>
      <c r="CF194" s="12" t="n"/>
      <c r="CG194" s="12" t="n"/>
      <c r="CH194" s="12" t="n"/>
      <c r="CI194" s="12" t="n"/>
      <c r="CJ194" s="12" t="n"/>
      <c r="CK194" s="12" t="n"/>
      <c r="CL194" s="12" t="n"/>
      <c r="CM194" s="12" t="n"/>
      <c r="CN194" s="12" t="n"/>
      <c r="CO194" s="12" t="n"/>
      <c r="CP194" s="12" t="n"/>
      <c r="CQ194" s="12" t="n"/>
      <c r="CR194" s="12" t="n"/>
      <c r="CS194" s="12" t="n"/>
      <c r="CT194" s="12" t="n"/>
      <c r="CU194" s="12" t="n"/>
      <c r="CV194" s="12" t="n"/>
      <c r="CW194" s="12" t="n"/>
      <c r="CX194" s="12" t="n"/>
      <c r="CY194" s="12" t="n"/>
    </row>
    <row r="195" hidden="1" outlineLevel="1">
      <c r="C195" s="57" t="n"/>
      <c r="D195" s="12" t="n"/>
      <c r="E195" s="12" t="n"/>
      <c r="F195" s="12" t="n"/>
      <c r="G195" s="12" t="n"/>
      <c r="H195" s="12" t="n"/>
      <c r="I195" s="12" t="n"/>
      <c r="J195" s="12" t="n"/>
      <c r="K195" s="12" t="n"/>
      <c r="L195" s="12" t="n"/>
      <c r="M195" s="12" t="n"/>
      <c r="N195" s="12" t="n"/>
      <c r="O195" s="12" t="n"/>
      <c r="P195" s="12" t="n"/>
      <c r="Q195" s="12" t="n"/>
      <c r="R195" s="12" t="n"/>
      <c r="S195" s="12" t="n"/>
      <c r="T195" s="12" t="n"/>
      <c r="U195" s="12" t="n"/>
      <c r="V195" s="12" t="n"/>
      <c r="W195" s="12" t="n"/>
      <c r="X195" s="12" t="n"/>
      <c r="Y195" s="12" t="n"/>
      <c r="Z195" s="12" t="n"/>
      <c r="AA195" s="12" t="n"/>
      <c r="AB195" s="12" t="n"/>
      <c r="AC195" s="12" t="n"/>
      <c r="AD195" s="12" t="n"/>
      <c r="AE195" s="12" t="n"/>
      <c r="AF195" s="12" t="n"/>
      <c r="AG195" s="12" t="n"/>
      <c r="AH195" s="12" t="n"/>
      <c r="AI195" s="12" t="n"/>
      <c r="AJ195" s="12" t="n"/>
      <c r="AK195" s="12" t="n"/>
      <c r="AL195" s="12" t="n"/>
      <c r="AM195" s="12" t="n"/>
      <c r="AN195" s="12" t="n"/>
      <c r="AO195" s="12" t="n"/>
      <c r="AP195" s="12" t="n"/>
      <c r="AQ195" s="12" t="n"/>
      <c r="AR195" s="12" t="n"/>
      <c r="AS195" s="12" t="n"/>
      <c r="AT195" s="12" t="n"/>
      <c r="AU195" s="12" t="n"/>
      <c r="AV195" s="12" t="n"/>
      <c r="AW195" s="12" t="n"/>
      <c r="AX195" s="12" t="n"/>
      <c r="AY195" s="12" t="n"/>
      <c r="AZ195" s="12" t="n"/>
      <c r="BA195" s="12" t="n"/>
      <c r="BB195" s="12" t="n"/>
      <c r="BC195" s="12" t="n"/>
      <c r="BD195" s="12" t="n"/>
      <c r="BE195" s="12" t="n"/>
      <c r="BF195" s="12" t="n"/>
      <c r="BG195" s="12" t="n"/>
      <c r="BH195" s="12" t="n"/>
      <c r="BI195" s="12" t="n"/>
      <c r="BJ195" s="12" t="n"/>
      <c r="BK195" s="12" t="n"/>
      <c r="BL195" s="12" t="n"/>
      <c r="BM195" s="12" t="n"/>
      <c r="BN195" s="12" t="n"/>
      <c r="BO195" s="12" t="n"/>
      <c r="BP195" s="12" t="n"/>
      <c r="BQ195" s="12" t="n"/>
      <c r="BR195" s="12" t="n"/>
      <c r="BS195" s="12" t="n"/>
      <c r="BT195" s="12" t="n"/>
      <c r="BU195" s="12" t="n"/>
      <c r="BV195" s="12" t="n"/>
      <c r="BW195" s="12" t="n"/>
      <c r="BX195" s="12" t="n"/>
      <c r="BY195" s="12" t="n"/>
      <c r="BZ195" s="12" t="n"/>
      <c r="CA195" s="12" t="n"/>
      <c r="CB195" s="12" t="n"/>
      <c r="CC195" s="12" t="n"/>
      <c r="CD195" s="12" t="n"/>
      <c r="CE195" s="12" t="n"/>
      <c r="CF195" s="12" t="n"/>
      <c r="CG195" s="12" t="n"/>
      <c r="CH195" s="12" t="n"/>
      <c r="CI195" s="12" t="n"/>
      <c r="CJ195" s="12" t="n"/>
      <c r="CK195" s="12" t="n"/>
      <c r="CL195" s="12" t="n"/>
      <c r="CM195" s="12" t="n"/>
      <c r="CN195" s="12" t="n"/>
      <c r="CO195" s="12" t="n"/>
      <c r="CP195" s="12" t="n"/>
      <c r="CQ195" s="12" t="n"/>
      <c r="CR195" s="12" t="n"/>
      <c r="CS195" s="12" t="n"/>
      <c r="CT195" s="12" t="n"/>
      <c r="CU195" s="12" t="n"/>
      <c r="CV195" s="12" t="n"/>
      <c r="CW195" s="12" t="n"/>
      <c r="CX195" s="12" t="n"/>
      <c r="CY195" s="12" t="n"/>
    </row>
    <row r="196" collapsed="1" customFormat="1" s="32">
      <c r="A196" s="30" t="n"/>
      <c r="B196" s="3" t="n"/>
      <c r="C196" s="33" t="inlineStr">
        <is>
          <t>Total Assets</t>
        </is>
      </c>
      <c r="D196" s="35" t="n"/>
      <c r="E196" s="35" t="n"/>
      <c r="F196" s="35" t="n"/>
      <c r="G196" s="35" t="n"/>
      <c r="H196" s="35" t="n"/>
      <c r="I196" s="35">
        <f>SUM(I143,I144,I148,I152,I153,I154,I160,I165,I175,I178,I179,I188)</f>
        <v>18260.942</v>
      </c>
      <c r="J196" s="35">
        <f>SUM(J143,J144,J148,J152,J153,J154,J160,J165,J175,J178,J179,J188)</f>
        <v>18026.959</v>
      </c>
      <c r="K196" s="35">
        <f>SUM(K143,K144,K148,K152,K153,K154,K160,K165,K175,K178,K179,K188)</f>
        <v>18525.946</v>
      </c>
      <c r="L196" s="35">
        <f>SUM(L143,L144,L148,L152,L153,L154,L160,L165,L175,L178,L179,L188)</f>
        <v>19562.553</v>
      </c>
      <c r="M196" s="35">
        <f>SUM(M143,M144,M148,M152,M153,M154,M160,M165,M175,M178,M179,M188)</f>
        <v>19562.553</v>
      </c>
      <c r="N196" s="35">
        <f>SUM(N143,N144,N148,N152,N153,N154,N160,N165,N175,N178,N179,N188)</f>
        <v>28452.306</v>
      </c>
      <c r="O196" s="35">
        <f>SUM(O143,O144,O148,O152,O153,O154,O160,O165,O175,O178,O179,O188)</f>
        <v>29391.37</v>
      </c>
      <c r="P196" s="35">
        <f>SUM(P143,P144,P148,P152,P153,P154,P160,P165,P175,P178,P179,P188)</f>
        <v>29337.895</v>
      </c>
      <c r="Q196" s="35">
        <f>SUM(Q143,Q144,Q148,Q152,Q153,Q154,Q160,Q165,Q175,Q178,Q179,Q188)</f>
        <v>32282.893</v>
      </c>
      <c r="R196" s="35">
        <f>SUM(R143,R144,R148,R152,R153,R154,R160,R165,R175,R178,R179,R188)</f>
        <v>32282.893</v>
      </c>
      <c r="S196" s="35">
        <f>SUM(S143,S144,S148,S152,S153,S154,S160,S165,S175,S178,S179,S188)</f>
        <v>33694.157</v>
      </c>
      <c r="T196" s="35">
        <f>SUM(T143,T144,T148,T152,T153,T154,T160,T165,T175,T178,T179,T188)</f>
        <v>33010.352</v>
      </c>
      <c r="U196" s="35">
        <f>SUM(U143,U144,U148,U152,U153,U154,U160,U165,U175,U178,U179,U188)</f>
        <v>31219.22</v>
      </c>
      <c r="V196" s="35">
        <f>SUM(V143,V144,V148,V152,V153,V154,V160,V165,V175,V178,V179,V188)</f>
        <v>28994.557</v>
      </c>
      <c r="W196" s="35">
        <f>SUM(W143,W144,W148,W152,W153,W154,W160,W165,W175,W178,W179,W188)</f>
        <v>28994.557</v>
      </c>
      <c r="X196" s="35">
        <f>SUM(X143,X144,X148,X152,X153,X154,X160,X165,X175,X178,X179,X188)</f>
        <v>27694.357</v>
      </c>
      <c r="Y196" s="35">
        <f>SUM(Y143,Y144,Y148,Y152,Y153,Y154,Y160,Y165,Y175,Y178,Y179,Y188)</f>
        <v>29259.449</v>
      </c>
      <c r="Z196" s="35">
        <f>SUM(Z143,Z144,Z148,Z152,Z153,Z154,Z160,Z165,Z175,Z178,Z179,Z188)</f>
        <v>31492.257</v>
      </c>
      <c r="AA196" s="35">
        <f>SUM(AA143,AA144,AA148,AA152,AA153,AA154,AA160,AA165,AA175,AA178,AA179,AA188)</f>
        <v>52754.117</v>
      </c>
      <c r="AB196" s="35">
        <f>SUM(AB143,AB144,AB148,AB152,AB153,AB154,AB160,AB165,AB175,AB178,AB179,AB188)</f>
        <v>52754.117</v>
      </c>
      <c r="AC196" s="35">
        <f>SUM(AC143,AC144,AC148,AC152,AC153,AC154,AC160,AC165,AC175,AC178,AC179,AC188)</f>
        <v>52266.696</v>
      </c>
      <c r="AD196" s="35">
        <f>SUM(AD143,AD144,AD148,AD152,AD153,AD154,AD160,AD165,AD175,AD178,AD179,AD188)</f>
        <v>49202.8</v>
      </c>
      <c r="AE196" s="35">
        <f>SUM(AE143,AE144,AE148,AE152,AE153,AE154,AE160,AE165,AE175,AE178,AE179,AE188)</f>
        <v>48833.477</v>
      </c>
      <c r="AF196" s="35">
        <f>SUM(AF143,AF144,AF148,AF152,AF153,AF154,AF160,AF165,AF175,AF178,AF179,AF188)</f>
        <v>48727.388</v>
      </c>
      <c r="AG196" s="35">
        <f>SUM(AG143,AG144,AG148,AG152,AG153,AG154,AG160,AG165,AG175,AG178,AG179,AG188)</f>
        <v>48727.388</v>
      </c>
      <c r="AH196" s="35">
        <f>SUM(AH143,AH144,AH148,AH152,AH153,AH154,AH160,AH165,AH175,AH178,AH179,AH188)</f>
        <v>47381.486</v>
      </c>
      <c r="AI196" s="35">
        <f>SUM(AI143,AI144,AI148,AI152,AI153,AI154,AI160,AI165,AI175,AI178,AI179,AI188)</f>
        <v>46710.105</v>
      </c>
      <c r="AJ196" s="35">
        <f>SUM(AJ143,AJ144,AJ148,AJ152,AJ153,AJ154,AJ160,AJ165,AJ175,AJ178,AJ179,AJ188)</f>
        <v>47185.5524044411</v>
      </c>
      <c r="AK196" s="35">
        <f>SUM(AK143,AK144,AK148,AK152,AK153,AK154,AK160,AK165,AK175,AK178,AK179,AK188)</f>
        <v>47442.9853411543</v>
      </c>
      <c r="AL196" s="35">
        <f>SUM(AL143,AL144,AL148,AL152,AL153,AL154,AL160,AL165,AL175,AL178,AL179,AL188)</f>
        <v>47442.9853411543</v>
      </c>
      <c r="AM196" s="35">
        <f>SUM(AM143,AM144,AM148,AM152,AM153,AM154,AM160,AM165,AM175,AM178,AM179,AM188)</f>
        <v>47191.3238669295</v>
      </c>
      <c r="AN196" s="35">
        <f>SUM(AN143,AN144,AN148,AN152,AN153,AN154,AN160,AN165,AN175,AN178,AN179,AN188)</f>
        <v>47203.7966102518</v>
      </c>
      <c r="AO196" s="35">
        <f>SUM(AO143,AO144,AO148,AO152,AO153,AO154,AO160,AO165,AO175,AO178,AO179,AO188)</f>
        <v>47827.5030189712</v>
      </c>
      <c r="AP196" s="35">
        <f>SUM(AP143,AP144,AP148,AP152,AP153,AP154,AP160,AP165,AP175,AP178,AP179,AP188)</f>
        <v>48231.3387830168</v>
      </c>
      <c r="AQ196" s="35">
        <f>SUM(AQ143,AQ144,AQ148,AQ152,AQ153,AQ154,AQ160,AQ165,AQ175,AQ178,AQ179,AQ188)</f>
        <v>48231.3387830168</v>
      </c>
      <c r="AR196" s="35">
        <f>SUM(AR143,AR144,AR148,AR152,AR153,AR154,AR160,AR165,AR175,AR178,AR179,AR188)</f>
        <v>48026.8022338053</v>
      </c>
      <c r="AS196" s="35">
        <f>SUM(AS143,AS144,AS148,AS152,AS153,AS154,AS160,AS165,AS175,AS178,AS179,AS188)</f>
        <v>48169.2572097634</v>
      </c>
      <c r="AT196" s="35">
        <f>SUM(AT143,AT144,AT148,AT152,AT153,AT154,AT160,AT165,AT175,AT178,AT179,AT188)</f>
        <v>48996.3696097433</v>
      </c>
      <c r="AU196" s="35">
        <f>SUM(AU143,AU144,AU148,AU152,AU153,AU154,AU160,AU165,AU175,AU178,AU179,AU188)</f>
        <v>49577.8604118679</v>
      </c>
      <c r="AV196" s="35">
        <f>SUM(AV143,AV144,AV148,AV152,AV153,AV154,AV160,AV165,AV175,AV178,AV179,AV188)</f>
        <v>49577.8604118679</v>
      </c>
      <c r="AW196" s="35">
        <f>SUM(AW143,AW144,AW148,AW152,AW153,AW154,AW160,AW165,AW175,AW178,AW179,AW188)</f>
        <v>49478.0409724367</v>
      </c>
      <c r="AX196" s="35">
        <f>SUM(AX143,AX144,AX148,AX152,AX153,AX154,AX160,AX165,AX175,AX178,AX179,AX188)</f>
        <v>49749.2830691342</v>
      </c>
      <c r="AY196" s="35">
        <f>SUM(AY143,AY144,AY148,AY152,AY153,AY154,AY160,AY165,AY175,AY178,AY179,AY188)</f>
        <v>50823.7091484373</v>
      </c>
      <c r="AZ196" s="35">
        <f>SUM(AZ143,AZ144,AZ148,AZ152,AZ153,AZ154,AZ160,AZ165,AZ175,AZ178,AZ179,AZ188)</f>
        <v>51626.9046697961</v>
      </c>
      <c r="BA196" s="35">
        <f>SUM(BA143,BA144,BA148,BA152,BA153,BA154,BA160,BA165,BA175,BA178,BA179,BA188)</f>
        <v>51626.9046697961</v>
      </c>
      <c r="BB196" s="35">
        <f>SUM(BB143,BB144,BB148,BB152,BB153,BB154,BB160,BB165,BB175,BB178,BB179,BB188)</f>
        <v>51650.0071364618</v>
      </c>
      <c r="BC196" s="35">
        <f>SUM(BC143,BC144,BC148,BC152,BC153,BC154,BC160,BC165,BC175,BC178,BC179,BC188)</f>
        <v>52112.0601231913</v>
      </c>
      <c r="BD196" s="35">
        <f>SUM(BD143,BD144,BD148,BD152,BD153,BD154,BD160,BD165,BD175,BD178,BD179,BD188)</f>
        <v>53491.9114386458</v>
      </c>
      <c r="BE196" s="35">
        <f>SUM(BE143,BE144,BE148,BE152,BE153,BE154,BE160,BE165,BE175,BE178,BE179,BE188)</f>
        <v>54576.3296835546</v>
      </c>
      <c r="BF196" s="35">
        <f>SUM(BF143,BF144,BF148,BF152,BF153,BF154,BF160,BF165,BF175,BF178,BF179,BF188)</f>
        <v>54576.3296835546</v>
      </c>
      <c r="BG196" s="35" t="n"/>
      <c r="BH196" s="35" t="n"/>
      <c r="BI196" s="35" t="n"/>
      <c r="BJ196" s="35" t="n"/>
      <c r="BK196" s="35" t="n"/>
      <c r="BL196" s="35" t="n"/>
      <c r="BM196" s="35" t="n"/>
      <c r="BN196" s="35" t="n"/>
      <c r="BO196" s="35" t="n"/>
      <c r="BP196" s="35" t="n"/>
      <c r="BQ196" s="35" t="n"/>
      <c r="BR196" s="35" t="n"/>
      <c r="BS196" s="35" t="n"/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5" t="n"/>
      <c r="CH196" s="35" t="n"/>
      <c r="CI196" s="35" t="n"/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5" t="n"/>
      <c r="CS196" s="35" t="n"/>
      <c r="CT196" s="35" t="n"/>
      <c r="CU196" s="35" t="n"/>
      <c r="CV196" s="35" t="n"/>
      <c r="CW196" s="35" t="n"/>
      <c r="CX196" s="35" t="n"/>
      <c r="CY196" s="35" t="n"/>
    </row>
    <row r="197">
      <c r="C197" s="14" t="inlineStr">
        <is>
          <t>Accounts payable</t>
        </is>
      </c>
      <c r="D197" s="46" t="n"/>
      <c r="E197" s="46" t="n"/>
      <c r="F197" s="46" t="n"/>
      <c r="G197" s="46" t="n"/>
      <c r="H197" s="12" t="n"/>
      <c r="I197" s="46">
        <f>'Inputs (2)'!D28</f>
        <v>149.588</v>
      </c>
      <c r="J197" s="46">
        <f>'Inputs (2)'!E28</f>
        <v>160.161</v>
      </c>
      <c r="K197" s="46">
        <f>'Inputs (2)'!F28</f>
        <v>290.4</v>
      </c>
      <c r="L197" s="46">
        <f>'Inputs (2)'!G28</f>
        <v>225.578</v>
      </c>
      <c r="M197" s="12">
        <f>'Inputs (2)'!H28</f>
        <v>225.578</v>
      </c>
      <c r="N197" s="46">
        <f>'Inputs (2)'!I28</f>
        <v>431.421</v>
      </c>
      <c r="O197" s="46">
        <f>'Inputs (2)'!J28</f>
        <v>431.882</v>
      </c>
      <c r="P197" s="46">
        <f>'Inputs (2)'!K28</f>
        <v>467.973</v>
      </c>
      <c r="Q197" s="46">
        <f>'Inputs (2)'!L28</f>
        <v>549.019</v>
      </c>
      <c r="R197" s="12">
        <f>'Inputs (2)'!M28</f>
        <v>549.019</v>
      </c>
      <c r="S197" s="46">
        <f>'Inputs (2)'!N28</f>
        <v>574.057</v>
      </c>
      <c r="T197" s="46">
        <f>'Inputs (2)'!O28</f>
        <v>736.374</v>
      </c>
      <c r="U197" s="46">
        <f>'Inputs (2)'!P28</f>
        <v>935.016</v>
      </c>
      <c r="V197" s="46">
        <f>'Inputs (2)'!Q28</f>
        <v>572.321</v>
      </c>
      <c r="W197" s="12">
        <f>'Inputs (2)'!R28</f>
        <v>572.321</v>
      </c>
      <c r="X197" s="46">
        <f>'Inputs (2)'!S28</f>
        <v>410.719</v>
      </c>
      <c r="Y197" s="46">
        <f>'Inputs (2)'!T28</f>
        <v>422.944</v>
      </c>
      <c r="Z197" s="46">
        <f>'Inputs (2)'!U28</f>
        <v>784.734</v>
      </c>
      <c r="AA197" s="46">
        <f>'Inputs (2)'!V28</f>
        <v>1305.51</v>
      </c>
      <c r="AB197" s="12">
        <f>'Inputs (2)'!W28</f>
        <v>1305.51</v>
      </c>
      <c r="AC197" s="46">
        <f>'Inputs (2)'!X28</f>
        <v>1037.407</v>
      </c>
      <c r="AD197" s="46">
        <f>'Inputs (2)'!Y28</f>
        <v>1016.284</v>
      </c>
      <c r="AE197" s="46">
        <f>'Inputs (2)'!Z28</f>
        <v>1352.896</v>
      </c>
      <c r="AF197" s="46">
        <f>'Inputs (2)'!AA28</f>
        <v>1461.984</v>
      </c>
      <c r="AG197" s="12">
        <f>'Inputs (2)'!AB28</f>
        <v>1461.984</v>
      </c>
      <c r="AH197" s="12">
        <f>'Inputs (2)'!AC28</f>
        <v>1257.711</v>
      </c>
      <c r="AI197" s="12">
        <f>'Inputs (2)'!AD28</f>
        <v>1130.416</v>
      </c>
      <c r="AJ197" s="12">
        <f>(AJ198/(AJ$5-AI$5))*-AJ$53</f>
        <v>1512.34589183392</v>
      </c>
      <c r="AK197" s="12">
        <f>(AK198/(AK$5-AJ$5))*-AK$53</f>
        <v>1625.35869939621</v>
      </c>
      <c r="AL197" s="12">
        <f>AK197</f>
        <v>1625.35869939621</v>
      </c>
      <c r="AM197" s="12">
        <f>(AM198/(AM$5-AL$5))*-AM$53</f>
        <v>1343.6706275663</v>
      </c>
      <c r="AN197" s="12">
        <f>(AN198/(AN$5-AM$5))*-AN$53</f>
        <v>1320.67709371378</v>
      </c>
      <c r="AO197" s="12">
        <f>(AO198/(AO$5-AN$5))*-AO$53</f>
        <v>1732.0621888475</v>
      </c>
      <c r="AP197" s="12">
        <f>(AP198/(AP$5-AO$5))*-AP$53</f>
        <v>1861.49369779734</v>
      </c>
      <c r="AQ197" s="12">
        <f>AP197</f>
        <v>1861.49369779734</v>
      </c>
      <c r="AR197" s="12">
        <f>(AR198/(AR$5-AQ$5))*-AR$53</f>
        <v>1515.32617202379</v>
      </c>
      <c r="AS197" s="12">
        <f>(AS198/(AS$5-AR$5))*-AS$53</f>
        <v>1505.94402187404</v>
      </c>
      <c r="AT197" s="12">
        <f>(AT198/(AT$5-AS$5))*-AT$53</f>
        <v>1975.03894875174</v>
      </c>
      <c r="AU197" s="12">
        <f>(AU198/(AU$5-AT$5))*-AU$53</f>
        <v>2122.62733964072</v>
      </c>
      <c r="AV197" s="12">
        <f>AU197</f>
        <v>2122.62733964072</v>
      </c>
      <c r="AW197" s="12">
        <f>(AW198/(AW$5-AV$5))*-AW$53</f>
        <v>1739.43687869056</v>
      </c>
      <c r="AX197" s="12">
        <f>(AX198/(AX$5-AW$5))*-AX$53</f>
        <v>1709.67080363172</v>
      </c>
      <c r="AY197" s="12">
        <f>(AY198/(AY$5-AX$5))*-AY$53</f>
        <v>2242.22572530573</v>
      </c>
      <c r="AZ197" s="12">
        <f>(AZ198/(AZ$5-AY$5))*-AZ$53</f>
        <v>2409.7801358235</v>
      </c>
      <c r="BA197" s="12">
        <f>AZ197</f>
        <v>2409.7801358235</v>
      </c>
      <c r="BB197" s="12">
        <f>(BB198/(BB$5-BA$5))*-BB$53</f>
        <v>1966.05380439614</v>
      </c>
      <c r="BC197" s="12">
        <f>(BC198/(BC$5-BB$5))*-BC$53</f>
        <v>1932.40975221564</v>
      </c>
      <c r="BD197" s="12">
        <f>(BD198/(BD$5-BC$5))*-BD$53</f>
        <v>2534.34687487528</v>
      </c>
      <c r="BE197" s="12">
        <f>(BE198/(BE$5-BD$5))*-BE$53</f>
        <v>2723.73057156326</v>
      </c>
      <c r="BF197" s="12">
        <f>BE197</f>
        <v>2723.73057156326</v>
      </c>
      <c r="BG197" s="12" t="n"/>
      <c r="BH197" s="12" t="n"/>
      <c r="BI197" s="12" t="n"/>
      <c r="BJ197" s="12" t="n"/>
      <c r="BK197" s="12" t="n"/>
      <c r="BL197" s="12" t="n"/>
      <c r="BM197" s="12" t="n"/>
      <c r="BN197" s="12" t="n"/>
      <c r="BO197" s="12" t="n"/>
      <c r="BP197" s="12" t="n"/>
      <c r="BQ197" s="12" t="n"/>
      <c r="BR197" s="12" t="n"/>
      <c r="BS197" s="12" t="n"/>
      <c r="BT197" s="12" t="n"/>
      <c r="BU197" s="12" t="n"/>
      <c r="BV197" s="12" t="n"/>
      <c r="BW197" s="12" t="n"/>
      <c r="BX197" s="12" t="n"/>
      <c r="BY197" s="12" t="n"/>
      <c r="BZ197" s="12" t="n"/>
      <c r="CA197" s="12" t="n"/>
      <c r="CB197" s="12" t="n"/>
      <c r="CC197" s="12" t="n"/>
      <c r="CD197" s="12" t="n"/>
      <c r="CE197" s="12" t="n"/>
      <c r="CF197" s="12" t="n"/>
      <c r="CG197" s="12" t="n"/>
      <c r="CH197" s="12" t="n"/>
      <c r="CI197" s="12" t="n"/>
      <c r="CJ197" s="12" t="n"/>
      <c r="CK197" s="12" t="n"/>
      <c r="CL197" s="12" t="n"/>
      <c r="CM197" s="12" t="n"/>
      <c r="CN197" s="12" t="n"/>
      <c r="CO197" s="12" t="n"/>
      <c r="CP197" s="12" t="n"/>
      <c r="CQ197" s="12" t="n"/>
      <c r="CR197" s="12" t="n"/>
      <c r="CS197" s="12" t="n"/>
      <c r="CT197" s="12" t="n"/>
      <c r="CU197" s="12" t="n"/>
      <c r="CV197" s="12" t="n"/>
      <c r="CW197" s="12" t="n"/>
      <c r="CX197" s="12" t="n"/>
      <c r="CY197" s="12" t="n"/>
    </row>
    <row r="198" outlineLevel="1">
      <c r="C198" s="57" t="inlineStr">
        <is>
          <t>DPO</t>
        </is>
      </c>
      <c r="D198" s="12" t="n"/>
      <c r="E198" s="12" t="n"/>
      <c r="F198" s="12" t="n"/>
      <c r="G198" s="12" t="n"/>
      <c r="H198" s="12" t="n"/>
      <c r="I198" s="12">
        <f>IFERROR(-(I197/I$53)*(I$5-H$5),"")</f>
        <v>45675.6149672153</v>
      </c>
      <c r="J198" s="12">
        <f>IFERROR(-(J197/J$53)*(J$5-I$5),"")</f>
        <v>53.800256918528</v>
      </c>
      <c r="K198" s="12">
        <f>IFERROR(-(K197/K$53)*(K$5-J$5),"")</f>
        <v>-79.8837480490124</v>
      </c>
      <c r="L198" s="12">
        <f>IFERROR(-(L197/L$53)*(L$5-K$5),"")</f>
        <v>46.8545136004046</v>
      </c>
      <c r="M198" s="12" t="n"/>
      <c r="N198" s="12">
        <f>IFERROR(-(N197/N$53)*(N$5-M$5),"")</f>
        <v>55.004568616368</v>
      </c>
      <c r="O198" s="12">
        <f>IFERROR(-(O197/O$53)*(O$5-N$5),"")</f>
        <v>44.4006299490144</v>
      </c>
      <c r="P198" s="12">
        <f>IFERROR(-(P197/P$53)*(P$5-O$5),"")</f>
        <v>40.1347560043404</v>
      </c>
      <c r="Q198" s="12">
        <f>IFERROR(-(Q197/Q$53)*(Q$5-P$5),"")</f>
        <v>45.4595960186879</v>
      </c>
      <c r="R198" s="12" t="n"/>
      <c r="S198" s="12">
        <f>IFERROR(-(S197/S$53)*(S$5-R$5),"")</f>
        <v>56.5996579818299</v>
      </c>
      <c r="T198" s="12">
        <f>IFERROR(-(T197/T$53)*(T$5-S$5),"")</f>
        <v>72.3759898904802</v>
      </c>
      <c r="U198" s="12">
        <f>IFERROR(-(U197/U$53)*(U$5-T$5),"")</f>
        <v>76.1582208214181</v>
      </c>
      <c r="V198" s="12">
        <f>IFERROR(-(V197/V$53)*(V$5-U$5),"")</f>
        <v>43.7509198294286</v>
      </c>
      <c r="W198" s="12" t="n"/>
      <c r="X198" s="12">
        <f>IFERROR(-(X197/X$53)*(X$5-W$5),"")</f>
        <v>39.7558502920891</v>
      </c>
      <c r="Y198" s="12">
        <f>IFERROR(-(Y197/Y$53)*(Y$5-X$5),"")</f>
        <v>40.3721531309266</v>
      </c>
      <c r="Z198" s="12">
        <f>IFERROR(-(Z197/Z$53)*(Z$5-Y$5),"")</f>
        <v>46.7473170428483</v>
      </c>
      <c r="AA198" s="12">
        <f>IFERROR(-(AA197/AA$53)*(AA$5-Z$5),"")</f>
        <v>48.4316157565865</v>
      </c>
      <c r="AB198" s="12" t="n"/>
      <c r="AC198" s="12">
        <f>IFERROR(-(AC197/AC$53)*(AC$5-AB$5),"")</f>
        <v>56.3183073376289</v>
      </c>
      <c r="AD198" s="12">
        <f>IFERROR(-(AD197/AD$53)*(AD$5-AC$5),"")</f>
        <v>49.4993397900281</v>
      </c>
      <c r="AE198" s="12">
        <f>IFERROR(-(AE197/AE$53)*(AE$5-AD$5),"")</f>
        <v>45.5063044143514</v>
      </c>
      <c r="AF198" s="12">
        <f>IFERROR(-(AF197/AF$53)*(AF$5-AE$5),"")</f>
        <v>47.3279986825822</v>
      </c>
      <c r="AG198" s="12" t="n"/>
      <c r="AH198" s="12">
        <f>IFERROR(-(AH197/AH$53)*(AH$5-AG$5),"")</f>
        <v>53.3870958613371</v>
      </c>
      <c r="AI198" s="12">
        <f>IFERROR(-(AI197/AI$53)*(AI$5-AH$5),"")</f>
        <v>48.1181541178903</v>
      </c>
      <c r="AJ198" s="11">
        <f>Control!$B$27</f>
        <v>50.0262000339697</v>
      </c>
      <c r="AK198" s="11">
        <f>Control!$B$27</f>
        <v>50.0262000339697</v>
      </c>
      <c r="AL198" s="12" t="n"/>
      <c r="AM198" s="11">
        <f>Control!$C$27</f>
        <v>50.0262000339697</v>
      </c>
      <c r="AN198" s="11">
        <f>Control!$C$27</f>
        <v>50.0262000339697</v>
      </c>
      <c r="AO198" s="11">
        <f>Control!$C$27</f>
        <v>50.0262000339697</v>
      </c>
      <c r="AP198" s="11">
        <f>Control!$C$27</f>
        <v>50.0262000339697</v>
      </c>
      <c r="AQ198" s="12" t="n"/>
      <c r="AR198" s="11">
        <f>Control!$D$27</f>
        <v>50.0262000339697</v>
      </c>
      <c r="AS198" s="11">
        <f>Control!$D$27</f>
        <v>50.0262000339697</v>
      </c>
      <c r="AT198" s="11">
        <f>Control!$D$27</f>
        <v>50.0262000339697</v>
      </c>
      <c r="AU198" s="11">
        <f>Control!$D$27</f>
        <v>50.0262000339697</v>
      </c>
      <c r="AV198" s="12" t="n"/>
      <c r="AW198" s="11">
        <f>Control!$E$27</f>
        <v>50.0262000339697</v>
      </c>
      <c r="AX198" s="11">
        <f>Control!$E$27</f>
        <v>50.0262000339697</v>
      </c>
      <c r="AY198" s="11">
        <f>Control!$E$27</f>
        <v>50.0262000339697</v>
      </c>
      <c r="AZ198" s="11">
        <f>Control!$E$27</f>
        <v>50.0262000339697</v>
      </c>
      <c r="BA198" s="12" t="n"/>
      <c r="BB198" s="11">
        <f>Control!$F$27</f>
        <v>50.0262000339697</v>
      </c>
      <c r="BC198" s="11">
        <f>Control!$F$27</f>
        <v>50.0262000339697</v>
      </c>
      <c r="BD198" s="11">
        <f>Control!$F$27</f>
        <v>50.0262000339697</v>
      </c>
      <c r="BE198" s="11">
        <f>Control!$F$27</f>
        <v>50.0262000339697</v>
      </c>
      <c r="BF198" s="12" t="n"/>
      <c r="BG198" s="11" t="n"/>
      <c r="BH198" s="11" t="n"/>
      <c r="BI198" s="11" t="n"/>
      <c r="BJ198" s="11" t="n"/>
      <c r="BK198" s="12" t="n"/>
      <c r="BL198" s="11" t="n"/>
      <c r="BM198" s="11" t="n"/>
      <c r="BN198" s="11" t="n"/>
      <c r="BO198" s="11" t="n"/>
      <c r="BP198" s="12" t="n"/>
      <c r="BQ198" s="11" t="n"/>
      <c r="BR198" s="11" t="n"/>
      <c r="BS198" s="11" t="n"/>
      <c r="BT198" s="11" t="n"/>
      <c r="BU198" s="12" t="n"/>
      <c r="BV198" s="11" t="n"/>
      <c r="BW198" s="11" t="n"/>
      <c r="BX198" s="11" t="n"/>
      <c r="BY198" s="11" t="n"/>
      <c r="BZ198" s="12" t="n"/>
      <c r="CA198" s="11" t="n"/>
      <c r="CB198" s="11" t="n"/>
      <c r="CC198" s="11" t="n"/>
      <c r="CD198" s="11" t="n"/>
      <c r="CE198" s="12" t="n"/>
      <c r="CF198" s="11" t="n"/>
      <c r="CG198" s="11" t="n"/>
      <c r="CH198" s="11" t="n"/>
      <c r="CI198" s="11" t="n"/>
      <c r="CJ198" s="12" t="n"/>
      <c r="CK198" s="11" t="n"/>
      <c r="CL198" s="11" t="n"/>
      <c r="CM198" s="11" t="n"/>
      <c r="CN198" s="11" t="n"/>
      <c r="CO198" s="12" t="n"/>
      <c r="CP198" s="11" t="n"/>
      <c r="CQ198" s="11" t="n"/>
      <c r="CR198" s="11" t="n"/>
      <c r="CS198" s="11" t="n"/>
      <c r="CT198" s="12" t="n"/>
      <c r="CU198" s="11" t="n"/>
      <c r="CV198" s="11" t="n"/>
      <c r="CW198" s="11" t="n"/>
      <c r="CX198" s="11" t="n"/>
      <c r="CY198" s="12" t="n"/>
    </row>
    <row r="199" hidden="1" outlineLevel="1">
      <c r="C199" s="57" t="n"/>
      <c r="D199" s="12" t="n"/>
      <c r="E199" s="12" t="n"/>
      <c r="F199" s="12" t="n"/>
      <c r="G199" s="12" t="n"/>
      <c r="H199" s="12" t="n"/>
      <c r="I199" s="12" t="n"/>
      <c r="J199" s="12" t="n"/>
      <c r="K199" s="12" t="n"/>
      <c r="L199" s="12" t="n"/>
      <c r="M199" s="12" t="n"/>
      <c r="N199" s="12" t="n"/>
      <c r="O199" s="12" t="n"/>
      <c r="P199" s="12" t="n"/>
      <c r="Q199" s="12" t="n"/>
      <c r="R199" s="12" t="n"/>
      <c r="S199" s="12" t="n"/>
      <c r="T199" s="12" t="n"/>
      <c r="U199" s="12" t="n"/>
      <c r="V199" s="12" t="n"/>
      <c r="W199" s="12" t="n"/>
      <c r="X199" s="12" t="n"/>
      <c r="Y199" s="12" t="n"/>
      <c r="Z199" s="12" t="n"/>
      <c r="AA199" s="12" t="n"/>
      <c r="AB199" s="12" t="n"/>
      <c r="AC199" s="12" t="n"/>
      <c r="AD199" s="12" t="n"/>
      <c r="AE199" s="12" t="n"/>
      <c r="AF199" s="12" t="n"/>
      <c r="AG199" s="12" t="n"/>
      <c r="AH199" s="12" t="n"/>
      <c r="AI199" s="12" t="n"/>
      <c r="AJ199" s="12" t="n"/>
      <c r="AK199" s="12" t="n"/>
      <c r="AL199" s="12" t="n"/>
      <c r="AM199" s="12" t="n"/>
      <c r="AN199" s="12" t="n"/>
      <c r="AO199" s="12" t="n"/>
      <c r="AP199" s="12" t="n"/>
      <c r="AQ199" s="12" t="n"/>
      <c r="AR199" s="12" t="n"/>
      <c r="AS199" s="12" t="n"/>
      <c r="AT199" s="12" t="n"/>
      <c r="AU199" s="12" t="n"/>
      <c r="AV199" s="12" t="n"/>
      <c r="AW199" s="12" t="n"/>
      <c r="AX199" s="12" t="n"/>
      <c r="AY199" s="12" t="n"/>
      <c r="AZ199" s="12" t="n"/>
      <c r="BA199" s="12" t="n"/>
      <c r="BB199" s="12" t="n"/>
      <c r="BC199" s="12" t="n"/>
      <c r="BD199" s="12" t="n"/>
      <c r="BE199" s="12" t="n"/>
      <c r="BF199" s="12" t="n"/>
      <c r="BG199" s="12" t="n"/>
      <c r="BH199" s="12" t="n"/>
      <c r="BI199" s="12" t="n"/>
      <c r="BJ199" s="12" t="n"/>
      <c r="BK199" s="12" t="n"/>
      <c r="BL199" s="12" t="n"/>
      <c r="BM199" s="12" t="n"/>
      <c r="BN199" s="12" t="n"/>
      <c r="BO199" s="12" t="n"/>
      <c r="BP199" s="12" t="n"/>
      <c r="BQ199" s="12" t="n"/>
      <c r="BR199" s="12" t="n"/>
      <c r="BS199" s="12" t="n"/>
      <c r="BT199" s="12" t="n"/>
      <c r="BU199" s="12" t="n"/>
      <c r="BV199" s="12" t="n"/>
      <c r="BW199" s="12" t="n"/>
      <c r="BX199" s="12" t="n"/>
      <c r="BY199" s="12" t="n"/>
      <c r="BZ199" s="12" t="n"/>
      <c r="CA199" s="12" t="n"/>
      <c r="CB199" s="12" t="n"/>
      <c r="CC199" s="12" t="n"/>
      <c r="CD199" s="12" t="n"/>
      <c r="CE199" s="12" t="n"/>
      <c r="CF199" s="12" t="n"/>
      <c r="CG199" s="12" t="n"/>
      <c r="CH199" s="12" t="n"/>
      <c r="CI199" s="12" t="n"/>
      <c r="CJ199" s="12" t="n"/>
      <c r="CK199" s="12" t="n"/>
      <c r="CL199" s="12" t="n"/>
      <c r="CM199" s="12" t="n"/>
      <c r="CN199" s="12" t="n"/>
      <c r="CO199" s="12" t="n"/>
      <c r="CP199" s="12" t="n"/>
      <c r="CQ199" s="12" t="n"/>
      <c r="CR199" s="12" t="n"/>
      <c r="CS199" s="12" t="n"/>
      <c r="CT199" s="12" t="n"/>
      <c r="CU199" s="12" t="n"/>
      <c r="CV199" s="12" t="n"/>
      <c r="CW199" s="12" t="n"/>
      <c r="CX199" s="12" t="n"/>
      <c r="CY199" s="12" t="n"/>
    </row>
    <row r="200" hidden="1" outlineLevel="1">
      <c r="C200" s="57" t="n"/>
      <c r="D200" s="12" t="n"/>
      <c r="E200" s="12" t="n"/>
      <c r="F200" s="12" t="n"/>
      <c r="G200" s="12" t="n"/>
      <c r="H200" s="12" t="n"/>
      <c r="I200" s="12" t="n"/>
      <c r="J200" s="12" t="n"/>
      <c r="K200" s="12" t="n"/>
      <c r="L200" s="12" t="n"/>
      <c r="M200" s="12" t="n"/>
      <c r="N200" s="12" t="n"/>
      <c r="O200" s="12" t="n"/>
      <c r="P200" s="12" t="n"/>
      <c r="Q200" s="12" t="n"/>
      <c r="R200" s="12" t="n"/>
      <c r="S200" s="12" t="n"/>
      <c r="T200" s="12" t="n"/>
      <c r="U200" s="12" t="n"/>
      <c r="V200" s="12" t="n"/>
      <c r="W200" s="12" t="n"/>
      <c r="X200" s="12" t="n"/>
      <c r="Y200" s="12" t="n"/>
      <c r="Z200" s="12" t="n"/>
      <c r="AA200" s="12" t="n"/>
      <c r="AB200" s="12" t="n"/>
      <c r="AC200" s="12" t="n"/>
      <c r="AD200" s="12" t="n"/>
      <c r="AE200" s="12" t="n"/>
      <c r="AF200" s="12" t="n"/>
      <c r="AG200" s="12" t="n"/>
      <c r="AH200" s="12" t="n"/>
      <c r="AI200" s="12" t="n"/>
      <c r="AJ200" s="12" t="n"/>
      <c r="AK200" s="12" t="n"/>
      <c r="AL200" s="12" t="n"/>
      <c r="AM200" s="12" t="n"/>
      <c r="AN200" s="12" t="n"/>
      <c r="AO200" s="12" t="n"/>
      <c r="AP200" s="12" t="n"/>
      <c r="AQ200" s="12" t="n"/>
      <c r="AR200" s="12" t="n"/>
      <c r="AS200" s="12" t="n"/>
      <c r="AT200" s="12" t="n"/>
      <c r="AU200" s="12" t="n"/>
      <c r="AV200" s="12" t="n"/>
      <c r="AW200" s="12" t="n"/>
      <c r="AX200" s="12" t="n"/>
      <c r="AY200" s="12" t="n"/>
      <c r="AZ200" s="12" t="n"/>
      <c r="BA200" s="12" t="n"/>
      <c r="BB200" s="12" t="n"/>
      <c r="BC200" s="12" t="n"/>
      <c r="BD200" s="12" t="n"/>
      <c r="BE200" s="12" t="n"/>
      <c r="BF200" s="12" t="n"/>
      <c r="BG200" s="12" t="n"/>
      <c r="BH200" s="12" t="n"/>
      <c r="BI200" s="12" t="n"/>
      <c r="BJ200" s="12" t="n"/>
      <c r="BK200" s="12" t="n"/>
      <c r="BL200" s="12" t="n"/>
      <c r="BM200" s="12" t="n"/>
      <c r="BN200" s="12" t="n"/>
      <c r="BO200" s="12" t="n"/>
      <c r="BP200" s="12" t="n"/>
      <c r="BQ200" s="12" t="n"/>
      <c r="BR200" s="12" t="n"/>
      <c r="BS200" s="12" t="n"/>
      <c r="BT200" s="12" t="n"/>
      <c r="BU200" s="12" t="n"/>
      <c r="BV200" s="12" t="n"/>
      <c r="BW200" s="12" t="n"/>
      <c r="BX200" s="12" t="n"/>
      <c r="BY200" s="12" t="n"/>
      <c r="BZ200" s="12" t="n"/>
      <c r="CA200" s="12" t="n"/>
      <c r="CB200" s="12" t="n"/>
      <c r="CC200" s="12" t="n"/>
      <c r="CD200" s="12" t="n"/>
      <c r="CE200" s="12" t="n"/>
      <c r="CF200" s="12" t="n"/>
      <c r="CG200" s="12" t="n"/>
      <c r="CH200" s="12" t="n"/>
      <c r="CI200" s="12" t="n"/>
      <c r="CJ200" s="12" t="n"/>
      <c r="CK200" s="12" t="n"/>
      <c r="CL200" s="12" t="n"/>
      <c r="CM200" s="12" t="n"/>
      <c r="CN200" s="12" t="n"/>
      <c r="CO200" s="12" t="n"/>
      <c r="CP200" s="12" t="n"/>
      <c r="CQ200" s="12" t="n"/>
      <c r="CR200" s="12" t="n"/>
      <c r="CS200" s="12" t="n"/>
      <c r="CT200" s="12" t="n"/>
      <c r="CU200" s="12" t="n"/>
      <c r="CV200" s="12" t="n"/>
      <c r="CW200" s="12" t="n"/>
      <c r="CX200" s="12" t="n"/>
      <c r="CY200" s="12" t="n"/>
    </row>
    <row r="201" collapsed="1">
      <c r="C201" s="14" t="inlineStr">
        <is>
          <t>Accrued expenses</t>
        </is>
      </c>
      <c r="D201" s="46" t="n"/>
      <c r="E201" s="46" t="n"/>
      <c r="F201" s="46" t="n"/>
      <c r="G201" s="46" t="n"/>
      <c r="H201" s="12" t="n"/>
      <c r="I201" s="46">
        <f>'Inputs (2)'!D29</f>
        <v>14.16</v>
      </c>
      <c r="J201" s="46">
        <f>'Inputs (2)'!E29</f>
        <v>17.478</v>
      </c>
      <c r="K201" s="46">
        <f>'Inputs (2)'!F29</f>
        <v>22.23</v>
      </c>
      <c r="L201" s="46">
        <f>'Inputs (2)'!G29</f>
        <v>23.893</v>
      </c>
      <c r="M201" s="12">
        <f>'Inputs (2)'!H29</f>
        <v>23.893</v>
      </c>
      <c r="N201" s="46">
        <f>'Inputs (2)'!I29</f>
        <v>36.529</v>
      </c>
      <c r="O201" s="46">
        <f>'Inputs (2)'!J29</f>
        <v>43.529</v>
      </c>
      <c r="P201" s="46">
        <f>'Inputs (2)'!K29</f>
        <v>49.129</v>
      </c>
      <c r="Q201" s="46">
        <f>'Inputs (2)'!L29</f>
        <v>66.359</v>
      </c>
      <c r="R201" s="12">
        <f>'Inputs (2)'!M29</f>
        <v>66.359</v>
      </c>
      <c r="S201" s="46">
        <f>'Inputs (2)'!N29</f>
        <v>37.4</v>
      </c>
      <c r="T201" s="46">
        <f>'Inputs (2)'!O29</f>
        <v>64.283</v>
      </c>
      <c r="U201" s="46">
        <f>'Inputs (2)'!P29</f>
        <v>77.379</v>
      </c>
      <c r="V201" s="46">
        <f>'Inputs (2)'!Q29</f>
        <v>98.872</v>
      </c>
      <c r="W201" s="12">
        <f>'Inputs (2)'!R29</f>
        <v>98.872</v>
      </c>
      <c r="X201" s="46">
        <f>'Inputs (2)'!S29</f>
        <v>63.019</v>
      </c>
      <c r="Y201" s="46">
        <f>'Inputs (2)'!T29</f>
        <v>48.744</v>
      </c>
      <c r="Z201" s="46">
        <f>'Inputs (2)'!U29</f>
        <v>69.081</v>
      </c>
      <c r="AA201" s="46">
        <f>'Inputs (2)'!V29</f>
        <v>116.781</v>
      </c>
      <c r="AB201" s="12">
        <f>'Inputs (2)'!W29</f>
        <v>116.781</v>
      </c>
      <c r="AC201" s="46">
        <f>'Inputs (2)'!X29</f>
        <v>74.994</v>
      </c>
      <c r="AD201" s="46">
        <f>'Inputs (2)'!Y29</f>
        <v>85.199</v>
      </c>
      <c r="AE201" s="46">
        <f>'Inputs (2)'!Z29</f>
        <v>108.796</v>
      </c>
      <c r="AF201" s="46">
        <f>'Inputs (2)'!AA29</f>
        <v>118.193</v>
      </c>
      <c r="AG201" s="12">
        <f>'Inputs (2)'!AB29</f>
        <v>118.193</v>
      </c>
      <c r="AH201" s="12">
        <f>'Inputs (2)'!AC29</f>
        <v>72.033</v>
      </c>
      <c r="AI201" s="12">
        <f>'Inputs (2)'!AD29</f>
        <v>90.994</v>
      </c>
      <c r="AJ201" s="12">
        <f>AI201*(1+AJ16)</f>
        <v>104.21376992063</v>
      </c>
      <c r="AK201" s="12">
        <f>AJ201*(1+AK16)</f>
        <v>119.354131492955</v>
      </c>
      <c r="AL201" s="12">
        <f>AK201</f>
        <v>119.354131492955</v>
      </c>
      <c r="AM201" s="12">
        <f>AL201*(1+AM16)</f>
        <v>136.694111683006</v>
      </c>
      <c r="AN201" s="12">
        <f>AM201*(1+AN16)</f>
        <v>156.553274989973</v>
      </c>
      <c r="AO201" s="12">
        <f>AN201*(1+AO16)</f>
        <v>179.297612811022</v>
      </c>
      <c r="AP201" s="12">
        <f>AO201*(1+AP16)</f>
        <v>205.346288423478</v>
      </c>
      <c r="AQ201" s="12">
        <f>AP201</f>
        <v>205.346288423478</v>
      </c>
      <c r="AR201" s="12">
        <f>AQ201*(1+AR16)</f>
        <v>234.152630447893</v>
      </c>
      <c r="AS201" s="12">
        <f>AR201*(1+AS16)</f>
        <v>266.999977290064</v>
      </c>
      <c r="AT201" s="12">
        <f>AS201*(1+AT16)</f>
        <v>304.455208282441</v>
      </c>
      <c r="AU201" s="12">
        <f>AT201*(1+AU16)</f>
        <v>347.164725596979</v>
      </c>
      <c r="AV201" s="12">
        <f>AU201</f>
        <v>347.164725596979</v>
      </c>
      <c r="AW201" s="12">
        <f>AV201*(1+AW16)</f>
        <v>394.129786222305</v>
      </c>
      <c r="AX201" s="12">
        <f>AW201*(1+AX16)</f>
        <v>447.448363656539</v>
      </c>
      <c r="AY201" s="12">
        <f>AX201*(1+AY16)</f>
        <v>507.979972937108</v>
      </c>
      <c r="AZ201" s="12">
        <f>AY201*(1+AZ16)</f>
        <v>576.700405822154</v>
      </c>
      <c r="BA201" s="12">
        <f>AZ201</f>
        <v>576.700405822154</v>
      </c>
      <c r="BB201" s="12">
        <f>BA201*(1+BB16)</f>
        <v>651.833958882707</v>
      </c>
      <c r="BC201" s="12">
        <f>BB201*(1+BC16)</f>
        <v>736.756044669287</v>
      </c>
      <c r="BD201" s="12">
        <f>BC201*(1+BD16)</f>
        <v>832.741930609367</v>
      </c>
      <c r="BE201" s="12">
        <f>BD201*(1+BE16)</f>
        <v>941.233028235681</v>
      </c>
      <c r="BF201" s="12">
        <f>BE201</f>
        <v>941.233028235681</v>
      </c>
      <c r="BG201" s="12" t="n"/>
      <c r="BH201" s="12" t="n"/>
      <c r="BI201" s="12" t="n"/>
      <c r="BJ201" s="12" t="n"/>
      <c r="BK201" s="12" t="n"/>
      <c r="BL201" s="12" t="n"/>
      <c r="BM201" s="12" t="n"/>
      <c r="BN201" s="12" t="n"/>
      <c r="BO201" s="12" t="n"/>
      <c r="BP201" s="12" t="n"/>
      <c r="BQ201" s="12" t="n"/>
      <c r="BR201" s="12" t="n"/>
      <c r="BS201" s="12" t="n"/>
      <c r="BT201" s="12" t="n"/>
      <c r="BU201" s="12" t="n"/>
      <c r="BV201" s="12" t="n"/>
      <c r="BW201" s="12" t="n"/>
      <c r="BX201" s="12" t="n"/>
      <c r="BY201" s="12" t="n"/>
      <c r="BZ201" s="12" t="n"/>
      <c r="CA201" s="12" t="n"/>
      <c r="CB201" s="12" t="n"/>
      <c r="CC201" s="12" t="n"/>
      <c r="CD201" s="12" t="n"/>
      <c r="CE201" s="12" t="n"/>
      <c r="CF201" s="12" t="n"/>
      <c r="CG201" s="12" t="n"/>
      <c r="CH201" s="12" t="n"/>
      <c r="CI201" s="12" t="n"/>
      <c r="CJ201" s="12" t="n"/>
      <c r="CK201" s="12" t="n"/>
      <c r="CL201" s="12" t="n"/>
      <c r="CM201" s="12" t="n"/>
      <c r="CN201" s="12" t="n"/>
      <c r="CO201" s="12" t="n"/>
      <c r="CP201" s="12" t="n"/>
      <c r="CQ201" s="12" t="n"/>
      <c r="CR201" s="12" t="n"/>
      <c r="CS201" s="12" t="n"/>
      <c r="CT201" s="12" t="n"/>
      <c r="CU201" s="12" t="n"/>
      <c r="CV201" s="12" t="n"/>
      <c r="CW201" s="12" t="n"/>
      <c r="CX201" s="12" t="n"/>
      <c r="CY201" s="12" t="n"/>
    </row>
    <row r="202" hidden="1" outlineLevel="1">
      <c r="C202" s="59" t="inlineStr">
        <is>
          <t>%(Var.)</t>
        </is>
      </c>
      <c r="D202" s="12" t="n"/>
      <c r="E202" s="40" t="n"/>
      <c r="F202" s="40" t="n"/>
      <c r="G202" s="40" t="n"/>
      <c r="H202" s="12" t="n"/>
      <c r="I202" s="40" t="str">
        <f>""</f>
        <v/>
      </c>
      <c r="J202" s="40">
        <f>IFERROR(IF(I201=0,"",J201/I201-1),"")</f>
        <v>0.234322033898305</v>
      </c>
      <c r="K202" s="40">
        <f>IFERROR(IF(J201=0,"",K201/J201-1),"")</f>
        <v>0.271884654994851</v>
      </c>
      <c r="L202" s="40">
        <f>IFERROR(IF(K201=0,"",L201/K201-1),"")</f>
        <v>0.0748088169140802</v>
      </c>
      <c r="M202" s="12">
        <f>IF(L201=0,"",M201/L201-1)</f>
        <v>0</v>
      </c>
      <c r="N202" s="40">
        <f>IFERROR(IF(M201=0,"",N201/M201-1),"")</f>
        <v>0.528857824467417</v>
      </c>
      <c r="O202" s="40">
        <f>IFERROR(IF(N201=0,"",O201/N201-1),"")</f>
        <v>0.191628569082099</v>
      </c>
      <c r="P202" s="40">
        <f>IFERROR(IF(O201=0,"",P201/O201-1),"")</f>
        <v>0.128649865606837</v>
      </c>
      <c r="Q202" s="40">
        <f>IFERROR(IF(P201=0,"",Q201/P201-1),"")</f>
        <v>0.350709356998921</v>
      </c>
      <c r="R202" s="12">
        <f>IF(Q201=0,"",R201/Q201-1)</f>
        <v>0</v>
      </c>
      <c r="S202" s="40">
        <f>IFERROR(IF(R201=0,"",S201/R201-1),"")</f>
        <v>-0.436398981298694</v>
      </c>
      <c r="T202" s="40">
        <f>IFERROR(IF(S201=0,"",T201/S201-1),"")</f>
        <v>0.71879679144385</v>
      </c>
      <c r="U202" s="40">
        <f>IFERROR(IF(T201=0,"",U201/T201-1),"")</f>
        <v>0.203724157242195</v>
      </c>
      <c r="V202" s="40">
        <f>IFERROR(IF(U201=0,"",V201/U201-1),"")</f>
        <v>0.277762700474289</v>
      </c>
      <c r="W202" s="12">
        <f>IF(V201=0,"",W201/V201-1)</f>
        <v>0</v>
      </c>
      <c r="X202" s="40">
        <f>IFERROR(IF(W201=0,"",X201/W201-1),"")</f>
        <v>-0.362620357634113</v>
      </c>
      <c r="Y202" s="40">
        <f>IFERROR(IF(X201=0,"",Y201/X201-1),"")</f>
        <v>-0.226518986337454</v>
      </c>
      <c r="Z202" s="40">
        <f>IFERROR(IF(Y201=0,"",Z201/Y201-1),"")</f>
        <v>0.417220580994584</v>
      </c>
      <c r="AA202" s="40">
        <f>IFERROR(IF(Z201=0,"",AA201/Z201-1),"")</f>
        <v>0.690493768185174</v>
      </c>
      <c r="AB202" s="12">
        <f>IF(AA201=0,"",AB201/AA201-1)</f>
        <v>0</v>
      </c>
      <c r="AC202" s="40">
        <f>IFERROR(IF(AB201=0,"",AC201/AB201-1),"")</f>
        <v>-0.357823618568089</v>
      </c>
      <c r="AD202" s="40">
        <f>IFERROR(IF(AC201=0,"",AD201/AC201-1),"")</f>
        <v>0.136077552870896</v>
      </c>
      <c r="AE202" s="40">
        <f>IFERROR(IF(AD201=0,"",AE201/AD201-1),"")</f>
        <v>0.276963344640195</v>
      </c>
      <c r="AF202" s="55">
        <f>IFERROR(IF(AE201=0,"",AF201/AE201-1),"")</f>
        <v>0.0863726607595867</v>
      </c>
      <c r="AG202" s="12">
        <f>IF(AF201=0,"",AG201/AF201-1)</f>
        <v>0</v>
      </c>
      <c r="AH202" s="55">
        <f>IFERROR(IF(AG201=0,"",AH201/AG201-1),"")</f>
        <v>-0.390547663567216</v>
      </c>
      <c r="AI202" s="55">
        <f>IFERROR(IF(AH201=0,"",AI201/AH201-1),"")</f>
        <v>0.263226576707898</v>
      </c>
      <c r="AJ202" s="55">
        <f>IFERROR(IF(AI201=0,"",AJ201/AI201-1),"")</f>
        <v>0.145281775948191</v>
      </c>
      <c r="AK202" s="55">
        <f>IF(AJ201=0,"",AK201/AJ201-1)</f>
        <v>0.145281775948191</v>
      </c>
      <c r="AL202" s="12">
        <f>IF(AK201=0,"",AL201/AK201-1)</f>
        <v>0</v>
      </c>
      <c r="AM202" s="55">
        <f>IF(AL201=0,"",AM201/AL201-1)</f>
        <v>0.145281775948191</v>
      </c>
      <c r="AN202" s="55">
        <f>IF(AM201=0,"",AN201/AM201-1)</f>
        <v>0.145281775948191</v>
      </c>
      <c r="AO202" s="55">
        <f>IF(AN201=0,"",AO201/AN201-1)</f>
        <v>0.145281775948191</v>
      </c>
      <c r="AP202" s="55">
        <f>IF(AO201=0,"",AP201/AO201-1)</f>
        <v>0.145281775948191</v>
      </c>
      <c r="AQ202" s="12">
        <f>IF(AP201=0,"",AQ201/AP201-1)</f>
        <v>0</v>
      </c>
      <c r="AR202" s="55">
        <f>IF(AQ201=0,"",AR201/AQ201-1)</f>
        <v>0.140281775948191</v>
      </c>
      <c r="AS202" s="55">
        <f>IF(AR201=0,"",AS201/AR201-1)</f>
        <v>0.140281775948191</v>
      </c>
      <c r="AT202" s="55">
        <f>IF(AS201=0,"",AT201/AS201-1)</f>
        <v>0.140281775948191</v>
      </c>
      <c r="AU202" s="55">
        <f>IF(AT201=0,"",AU201/AT201-1)</f>
        <v>0.140281775948191</v>
      </c>
      <c r="AV202" s="12">
        <f>IF(AU201=0,"",AV201/AU201-1)</f>
        <v>0</v>
      </c>
      <c r="AW202" s="55">
        <f>IF(AV201=0,"",AW201/AV201-1)</f>
        <v>0.135281775948191</v>
      </c>
      <c r="AX202" s="55">
        <f>IF(AW201=0,"",AX201/AW201-1)</f>
        <v>0.135281775948191</v>
      </c>
      <c r="AY202" s="55">
        <f>IF(AX201=0,"",AY201/AX201-1)</f>
        <v>0.135281775948191</v>
      </c>
      <c r="AZ202" s="55">
        <f>IF(AY201=0,"",AZ201/AY201-1)</f>
        <v>0.135281775948191</v>
      </c>
      <c r="BA202" s="12">
        <f>IF(AZ201=0,"",BA201/AZ201-1)</f>
        <v>0</v>
      </c>
      <c r="BB202" s="55">
        <f>IF(BA201=0,"",BB201/BA201-1)</f>
        <v>0.130281775948192</v>
      </c>
      <c r="BC202" s="55">
        <f>IF(BB201=0,"",BC201/BB201-1)</f>
        <v>0.130281775948192</v>
      </c>
      <c r="BD202" s="55">
        <f>IF(BC201=0,"",BD201/BC201-1)</f>
        <v>0.130281775948192</v>
      </c>
      <c r="BE202" s="55">
        <f>IF(BD201=0,"",BE201/BD201-1)</f>
        <v>0.130281775948192</v>
      </c>
      <c r="BF202" s="12">
        <f>IF(BE201=0,"",BF201/BE201-1)</f>
        <v>0</v>
      </c>
      <c r="BG202" s="55" t="n"/>
      <c r="BH202" s="55" t="n"/>
      <c r="BI202" s="55" t="n"/>
      <c r="BJ202" s="55" t="n"/>
      <c r="BK202" s="12" t="n"/>
      <c r="BL202" s="55" t="n"/>
      <c r="BM202" s="55" t="n"/>
      <c r="BN202" s="55" t="n"/>
      <c r="BO202" s="55" t="n"/>
      <c r="BP202" s="12" t="n"/>
      <c r="BQ202" s="55" t="n"/>
      <c r="BR202" s="55" t="n"/>
      <c r="BS202" s="55" t="n"/>
      <c r="BT202" s="55" t="n"/>
      <c r="BU202" s="12" t="n"/>
      <c r="BV202" s="55" t="n"/>
      <c r="BW202" s="55" t="n"/>
      <c r="BX202" s="55" t="n"/>
      <c r="BY202" s="55" t="n"/>
      <c r="BZ202" s="12" t="n"/>
      <c r="CA202" s="55" t="n"/>
      <c r="CB202" s="55" t="n"/>
      <c r="CC202" s="55" t="n"/>
      <c r="CD202" s="55" t="n"/>
      <c r="CE202" s="12" t="n"/>
      <c r="CF202" s="55" t="n"/>
      <c r="CG202" s="55" t="n"/>
      <c r="CH202" s="55" t="n"/>
      <c r="CI202" s="55" t="n"/>
      <c r="CJ202" s="12" t="n"/>
      <c r="CK202" s="55" t="n"/>
      <c r="CL202" s="55" t="n"/>
      <c r="CM202" s="55" t="n"/>
      <c r="CN202" s="55" t="n"/>
      <c r="CO202" s="12" t="n"/>
      <c r="CP202" s="55" t="n"/>
      <c r="CQ202" s="55" t="n"/>
      <c r="CR202" s="55" t="n"/>
      <c r="CS202" s="55" t="n"/>
      <c r="CT202" s="12" t="n"/>
      <c r="CU202" s="55" t="n"/>
      <c r="CV202" s="55" t="n"/>
      <c r="CW202" s="55" t="n"/>
      <c r="CX202" s="55" t="n"/>
      <c r="CY202" s="12" t="n"/>
    </row>
    <row r="203" collapsed="1">
      <c r="C203" s="14" t="inlineStr">
        <is>
          <t>Taxes payable</t>
        </is>
      </c>
      <c r="D203" s="46" t="n"/>
      <c r="E203" s="46" t="n"/>
      <c r="F203" s="46" t="n"/>
      <c r="G203" s="46" t="n"/>
      <c r="H203" s="12" t="n"/>
      <c r="I203" s="46">
        <f>'Inputs (2)'!D30</f>
        <v>112.573</v>
      </c>
      <c r="J203" s="46">
        <f>'Inputs (2)'!E30</f>
        <v>123.464</v>
      </c>
      <c r="K203" s="46">
        <f>'Inputs (2)'!F30</f>
        <v>103.801</v>
      </c>
      <c r="L203" s="46">
        <f>'Inputs (2)'!G30</f>
        <v>37.709</v>
      </c>
      <c r="M203" s="12">
        <f>'Inputs (2)'!H30</f>
        <v>37.709</v>
      </c>
      <c r="N203" s="46">
        <f>'Inputs (2)'!I30</f>
        <v>57.394</v>
      </c>
      <c r="O203" s="46">
        <f>'Inputs (2)'!J30</f>
        <v>98.958</v>
      </c>
      <c r="P203" s="46">
        <f>'Inputs (2)'!K30</f>
        <v>80.666</v>
      </c>
      <c r="Q203" s="46">
        <f>'Inputs (2)'!L30</f>
        <v>107.461</v>
      </c>
      <c r="R203" s="12">
        <f>'Inputs (2)'!M30</f>
        <v>107.461</v>
      </c>
      <c r="S203" s="46">
        <f>'Inputs (2)'!N30</f>
        <v>97.302</v>
      </c>
      <c r="T203" s="46">
        <f>'Inputs (2)'!O30</f>
        <v>112.32</v>
      </c>
      <c r="U203" s="46">
        <f>'Inputs (2)'!P30</f>
        <v>286.466</v>
      </c>
      <c r="V203" s="46">
        <f>'Inputs (2)'!Q30</f>
        <v>76.628</v>
      </c>
      <c r="W203" s="12">
        <f>'Inputs (2)'!R30</f>
        <v>76.628</v>
      </c>
      <c r="X203" s="46">
        <f>'Inputs (2)'!S30</f>
        <v>92.244</v>
      </c>
      <c r="Y203" s="46">
        <f>'Inputs (2)'!T30</f>
        <v>113.933</v>
      </c>
      <c r="Z203" s="46">
        <f>'Inputs (2)'!U30</f>
        <v>163.946</v>
      </c>
      <c r="AA203" s="46">
        <f>'Inputs (2)'!V30</f>
        <v>150.061</v>
      </c>
      <c r="AB203" s="12">
        <f>'Inputs (2)'!W30</f>
        <v>150.061</v>
      </c>
      <c r="AC203" s="46">
        <f>'Inputs (2)'!X30</f>
        <v>215.71</v>
      </c>
      <c r="AD203" s="46">
        <f>'Inputs (2)'!Y30</f>
        <v>221.789</v>
      </c>
      <c r="AE203" s="46">
        <f>'Inputs (2)'!Z30</f>
        <v>238.061</v>
      </c>
      <c r="AF203" s="46">
        <f>'Inputs (2)'!AA30</f>
        <v>163.314</v>
      </c>
      <c r="AG203" s="12">
        <f>'Inputs (2)'!AB30</f>
        <v>163.314</v>
      </c>
      <c r="AH203" s="12">
        <f>'Inputs (2)'!AC30</f>
        <v>229.279</v>
      </c>
      <c r="AI203" s="12">
        <f>'Inputs (2)'!AD30</f>
        <v>220.779</v>
      </c>
      <c r="AJ203" s="12">
        <f>AI203*(1+AJ16)</f>
        <v>252.854165212066</v>
      </c>
      <c r="AK203" s="12">
        <f>AJ203*(1+AK16)</f>
        <v>289.589267389972</v>
      </c>
      <c r="AL203" s="12">
        <f>AK203</f>
        <v>289.589267389972</v>
      </c>
      <c r="AM203" s="12">
        <f>AL203*(1+AM16)</f>
        <v>331.661310451923</v>
      </c>
      <c r="AN203" s="12">
        <f>AM203*(1+AN16)</f>
        <v>379.845654647683</v>
      </c>
      <c r="AO203" s="12">
        <f>AN203*(1+AO16)</f>
        <v>435.030305941102</v>
      </c>
      <c r="AP203" s="12">
        <f>AO203*(1+AP16)</f>
        <v>498.23228137951</v>
      </c>
      <c r="AQ203" s="12">
        <f>AP203</f>
        <v>498.23228137951</v>
      </c>
      <c r="AR203" s="12">
        <f>AQ203*(1+AR16)</f>
        <v>568.125190646147</v>
      </c>
      <c r="AS203" s="12">
        <f>AR203*(1+AS16)</f>
        <v>647.822801350893</v>
      </c>
      <c r="AT203" s="12">
        <f>AS203*(1+AT16)</f>
        <v>738.700534424129</v>
      </c>
      <c r="AU203" s="12">
        <f>AT203*(1+AU16)</f>
        <v>842.326757287023</v>
      </c>
      <c r="AV203" s="12">
        <f>AU203</f>
        <v>842.326757287023</v>
      </c>
      <c r="AW203" s="12">
        <f>AV203*(1+AW16)</f>
        <v>956.278216941493</v>
      </c>
      <c r="AX203" s="12">
        <f>AW203*(1+AX16)</f>
        <v>1085.64523242991</v>
      </c>
      <c r="AY203" s="12">
        <f>AX203*(1+AY16)</f>
        <v>1232.51324752271</v>
      </c>
      <c r="AZ203" s="12">
        <f>AY203*(1+AZ16)</f>
        <v>1399.24982852726</v>
      </c>
      <c r="BA203" s="12">
        <f>AZ203</f>
        <v>1399.24982852726</v>
      </c>
      <c r="BB203" s="12">
        <f>BA203*(1+BB16)</f>
        <v>1581.54658118299</v>
      </c>
      <c r="BC203" s="12">
        <f>BB203*(1+BC16)</f>
        <v>1787.5932785243</v>
      </c>
      <c r="BD203" s="12">
        <f>BC203*(1+BD16)</f>
        <v>2020.4841055235</v>
      </c>
      <c r="BE203" s="12">
        <f>BD203*(1+BE16)</f>
        <v>2283.7163630662</v>
      </c>
      <c r="BF203" s="12">
        <f>BE203</f>
        <v>2283.7163630662</v>
      </c>
      <c r="BG203" s="12" t="n"/>
      <c r="BH203" s="12" t="n"/>
      <c r="BI203" s="12" t="n"/>
      <c r="BJ203" s="12" t="n"/>
      <c r="BK203" s="12" t="n"/>
      <c r="BL203" s="12" t="n"/>
      <c r="BM203" s="12" t="n"/>
      <c r="BN203" s="12" t="n"/>
      <c r="BO203" s="12" t="n"/>
      <c r="BP203" s="12" t="n"/>
      <c r="BQ203" s="12" t="n"/>
      <c r="BR203" s="12" t="n"/>
      <c r="BS203" s="12" t="n"/>
      <c r="BT203" s="12" t="n"/>
      <c r="BU203" s="12" t="n"/>
      <c r="BV203" s="12" t="n"/>
      <c r="BW203" s="12" t="n"/>
      <c r="BX203" s="12" t="n"/>
      <c r="BY203" s="12" t="n"/>
      <c r="BZ203" s="12" t="n"/>
      <c r="CA203" s="12" t="n"/>
      <c r="CB203" s="12" t="n"/>
      <c r="CC203" s="12" t="n"/>
      <c r="CD203" s="12" t="n"/>
      <c r="CE203" s="12" t="n"/>
      <c r="CF203" s="12" t="n"/>
      <c r="CG203" s="12" t="n"/>
      <c r="CH203" s="12" t="n"/>
      <c r="CI203" s="12" t="n"/>
      <c r="CJ203" s="12" t="n"/>
      <c r="CK203" s="12" t="n"/>
      <c r="CL203" s="12" t="n"/>
      <c r="CM203" s="12" t="n"/>
      <c r="CN203" s="12" t="n"/>
      <c r="CO203" s="12" t="n"/>
      <c r="CP203" s="12" t="n"/>
      <c r="CQ203" s="12" t="n"/>
      <c r="CR203" s="12" t="n"/>
      <c r="CS203" s="12" t="n"/>
      <c r="CT203" s="12" t="n"/>
      <c r="CU203" s="12" t="n"/>
      <c r="CV203" s="12" t="n"/>
      <c r="CW203" s="12" t="n"/>
      <c r="CX203" s="12" t="n"/>
      <c r="CY203" s="12" t="n"/>
    </row>
    <row r="204">
      <c r="C204" s="14" t="inlineStr">
        <is>
          <t>Other current liabilities (non-debt)</t>
        </is>
      </c>
      <c r="D204" s="46" t="n"/>
      <c r="E204" s="46" t="n"/>
      <c r="F204" s="46" t="n"/>
      <c r="G204" s="46" t="n"/>
      <c r="H204" s="12" t="n"/>
      <c r="I204" s="46">
        <f>'Inputs (2)'!D31</f>
        <v>1169.261</v>
      </c>
      <c r="J204" s="46">
        <f>'Inputs (2)'!E31</f>
        <v>559.882</v>
      </c>
      <c r="K204" s="46">
        <f>'Inputs (2)'!F31</f>
        <v>534.672</v>
      </c>
      <c r="L204" s="46">
        <f>'Inputs (2)'!G31</f>
        <v>1103.992</v>
      </c>
      <c r="M204" s="12">
        <f>'Inputs (2)'!H31</f>
        <v>1103.992</v>
      </c>
      <c r="N204" s="46">
        <f>'Inputs (2)'!I31</f>
        <v>2360.34</v>
      </c>
      <c r="O204" s="46">
        <f>'Inputs (2)'!J31</f>
        <v>2534.491</v>
      </c>
      <c r="P204" s="46">
        <f>'Inputs (2)'!K31</f>
        <v>2267.472</v>
      </c>
      <c r="Q204" s="46">
        <f>'Inputs (2)'!L31</f>
        <v>3197.639</v>
      </c>
      <c r="R204" s="12">
        <f>'Inputs (2)'!M31</f>
        <v>3197.639</v>
      </c>
      <c r="S204" s="46">
        <f>'Inputs (2)'!N31</f>
        <v>3047.076</v>
      </c>
      <c r="T204" s="46">
        <f>'Inputs (2)'!O31</f>
        <v>2469.267</v>
      </c>
      <c r="U204" s="46">
        <f>'Inputs (2)'!P31</f>
        <v>2328.48</v>
      </c>
      <c r="V204" s="46">
        <f>'Inputs (2)'!Q31</f>
        <v>2245.064</v>
      </c>
      <c r="W204" s="12">
        <f>'Inputs (2)'!R31</f>
        <v>2245.064</v>
      </c>
      <c r="X204" s="46">
        <f>'Inputs (2)'!S31</f>
        <v>1752.321</v>
      </c>
      <c r="Y204" s="46">
        <f>'Inputs (2)'!T31</f>
        <v>1627.855</v>
      </c>
      <c r="Z204" s="46">
        <f>'Inputs (2)'!U31</f>
        <v>3201.676</v>
      </c>
      <c r="AA204" s="46">
        <f>'Inputs (2)'!V31</f>
        <v>2866.402</v>
      </c>
      <c r="AB204" s="12">
        <f>'Inputs (2)'!W31</f>
        <v>2866.402</v>
      </c>
      <c r="AC204" s="46">
        <f>'Inputs (2)'!X31</f>
        <v>3877.238</v>
      </c>
      <c r="AD204" s="46">
        <f>'Inputs (2)'!Y31</f>
        <v>2918.857</v>
      </c>
      <c r="AE204" s="46">
        <f>'Inputs (2)'!Z31</f>
        <v>2835.048</v>
      </c>
      <c r="AF204" s="46">
        <f>'Inputs (2)'!AA31</f>
        <v>2708.083</v>
      </c>
      <c r="AG204" s="12">
        <f>'Inputs (2)'!AB31</f>
        <v>2708.083</v>
      </c>
      <c r="AH204" s="12">
        <f>'Inputs (2)'!AC31</f>
        <v>2982.104</v>
      </c>
      <c r="AI204" s="12">
        <f>'Inputs (2)'!AD31</f>
        <v>2959.695</v>
      </c>
      <c r="AJ204" s="12">
        <f>AI204</f>
        <v>2959.695</v>
      </c>
      <c r="AK204" s="12">
        <f>AJ204</f>
        <v>2959.695</v>
      </c>
      <c r="AL204" s="12">
        <f>AK204</f>
        <v>2959.695</v>
      </c>
      <c r="AM204" s="12">
        <f>AL204</f>
        <v>2959.695</v>
      </c>
      <c r="AN204" s="12">
        <f>AM204</f>
        <v>2959.695</v>
      </c>
      <c r="AO204" s="12">
        <f>AN204</f>
        <v>2959.695</v>
      </c>
      <c r="AP204" s="12">
        <f>AO204</f>
        <v>2959.695</v>
      </c>
      <c r="AQ204" s="12">
        <f>AP204</f>
        <v>2959.695</v>
      </c>
      <c r="AR204" s="12">
        <f>AQ204</f>
        <v>2959.695</v>
      </c>
      <c r="AS204" s="12">
        <f>AR204</f>
        <v>2959.695</v>
      </c>
      <c r="AT204" s="12">
        <f>AS204</f>
        <v>2959.695</v>
      </c>
      <c r="AU204" s="12">
        <f>AT204</f>
        <v>2959.695</v>
      </c>
      <c r="AV204" s="12">
        <f>AU204</f>
        <v>2959.695</v>
      </c>
      <c r="AW204" s="12">
        <f>AV204</f>
        <v>2959.695</v>
      </c>
      <c r="AX204" s="12">
        <f>AW204</f>
        <v>2959.695</v>
      </c>
      <c r="AY204" s="12">
        <f>AX204</f>
        <v>2959.695</v>
      </c>
      <c r="AZ204" s="12">
        <f>AY204</f>
        <v>2959.695</v>
      </c>
      <c r="BA204" s="12">
        <f>AZ204</f>
        <v>2959.695</v>
      </c>
      <c r="BB204" s="12">
        <f>BA204</f>
        <v>2959.695</v>
      </c>
      <c r="BC204" s="12">
        <f>BB204</f>
        <v>2959.695</v>
      </c>
      <c r="BD204" s="12">
        <f>BC204</f>
        <v>2959.695</v>
      </c>
      <c r="BE204" s="12">
        <f>BD204</f>
        <v>2959.695</v>
      </c>
      <c r="BF204" s="12">
        <f>BE204</f>
        <v>2959.695</v>
      </c>
      <c r="BG204" s="12" t="n"/>
      <c r="BH204" s="12" t="n"/>
      <c r="BI204" s="12" t="n"/>
      <c r="BJ204" s="12" t="n"/>
      <c r="BK204" s="12" t="n"/>
      <c r="BL204" s="12" t="n"/>
      <c r="BM204" s="12" t="n"/>
      <c r="BN204" s="12" t="n"/>
      <c r="BO204" s="12" t="n"/>
      <c r="BP204" s="12" t="n"/>
      <c r="BQ204" s="12" t="n"/>
      <c r="BR204" s="12" t="n"/>
      <c r="BS204" s="12" t="n"/>
      <c r="BT204" s="12" t="n"/>
      <c r="BU204" s="12" t="n"/>
      <c r="BV204" s="12" t="n"/>
      <c r="BW204" s="12" t="n"/>
      <c r="BX204" s="12" t="n"/>
      <c r="BY204" s="12" t="n"/>
      <c r="BZ204" s="12" t="n"/>
      <c r="CA204" s="12" t="n"/>
      <c r="CB204" s="12" t="n"/>
      <c r="CC204" s="12" t="n"/>
      <c r="CD204" s="12" t="n"/>
      <c r="CE204" s="12" t="n"/>
      <c r="CF204" s="12" t="n"/>
      <c r="CG204" s="12" t="n"/>
      <c r="CH204" s="12" t="n"/>
      <c r="CI204" s="12" t="n"/>
      <c r="CJ204" s="12" t="n"/>
      <c r="CK204" s="12" t="n"/>
      <c r="CL204" s="12" t="n"/>
      <c r="CM204" s="12" t="n"/>
      <c r="CN204" s="12" t="n"/>
      <c r="CO204" s="12" t="n"/>
      <c r="CP204" s="12" t="n"/>
      <c r="CQ204" s="12" t="n"/>
      <c r="CR204" s="12" t="n"/>
      <c r="CS204" s="12" t="n"/>
      <c r="CT204" s="12" t="n"/>
      <c r="CU204" s="12" t="n"/>
      <c r="CV204" s="12" t="n"/>
      <c r="CW204" s="12" t="n"/>
      <c r="CX204" s="12" t="n"/>
      <c r="CY204" s="12" t="n"/>
    </row>
    <row r="205" hidden="1" outlineLevel="1">
      <c r="C205" s="59" t="inlineStr">
        <is>
          <t>%(Var.)</t>
        </is>
      </c>
      <c r="D205" s="12" t="n"/>
      <c r="E205" s="40" t="n"/>
      <c r="F205" s="40" t="n"/>
      <c r="G205" s="40" t="n"/>
      <c r="H205" s="12" t="n"/>
      <c r="I205" s="40" t="str">
        <f>""</f>
        <v/>
      </c>
      <c r="J205" s="40">
        <f>IFERROR(IF(I204=0,"",J204/I204-1),"")</f>
        <v>-0.52116593301239</v>
      </c>
      <c r="K205" s="40">
        <f>IFERROR(IF(J204=0,"",K204/J204-1),"")</f>
        <v>-0.0450273450477063</v>
      </c>
      <c r="L205" s="40">
        <f>IFERROR(IF(K204=0,"",L204/K204-1),"")</f>
        <v>1.06480234611126</v>
      </c>
      <c r="M205" s="12">
        <f>IF(L204=0,"",M204/L204-1)</f>
        <v>0</v>
      </c>
      <c r="N205" s="40">
        <f>IFERROR(IF(M204=0,"",N204/M204-1),"")</f>
        <v>1.13800462322191</v>
      </c>
      <c r="O205" s="40">
        <f>IFERROR(IF(N204=0,"",O204/N204-1),"")</f>
        <v>0.073782166975944</v>
      </c>
      <c r="P205" s="40">
        <f>IFERROR(IF(O204=0,"",P204/O204-1),"")</f>
        <v>-0.105354092794174</v>
      </c>
      <c r="Q205" s="40">
        <f>IFERROR(IF(P204=0,"",Q204/P204-1),"")</f>
        <v>0.410222044638258</v>
      </c>
      <c r="R205" s="12">
        <f>IF(Q204=0,"",R204/Q204-1)</f>
        <v>0</v>
      </c>
      <c r="S205" s="40">
        <f>IFERROR(IF(R204=0,"",S204/R204-1),"")</f>
        <v>-0.0470856779017269</v>
      </c>
      <c r="T205" s="40">
        <f>IFERROR(IF(S204=0,"",T204/S204-1),"")</f>
        <v>-0.18962736735152</v>
      </c>
      <c r="U205" s="40">
        <f>IFERROR(IF(T204=0,"",U204/T204-1),"")</f>
        <v>-0.0570157054704897</v>
      </c>
      <c r="V205" s="40">
        <f>IFERROR(IF(U204=0,"",V204/U204-1),"")</f>
        <v>-0.0358242286813716</v>
      </c>
      <c r="W205" s="12">
        <f>IF(V204=0,"",W204/V204-1)</f>
        <v>0</v>
      </c>
      <c r="X205" s="40">
        <f>IFERROR(IF(W204=0,"",X204/W204-1),"")</f>
        <v>-0.219478375672141</v>
      </c>
      <c r="Y205" s="40">
        <f>IFERROR(IF(X204=0,"",Y204/X204-1),"")</f>
        <v>-0.0710292235269679</v>
      </c>
      <c r="Z205" s="40">
        <f>IFERROR(IF(Y204=0,"",Z204/Y204-1),"")</f>
        <v>0.96680662589727</v>
      </c>
      <c r="AA205" s="40">
        <f>IFERROR(IF(Z204=0,"",AA204/Z204-1),"")</f>
        <v>-0.104718278801478</v>
      </c>
      <c r="AB205" s="12">
        <f>IF(AA204=0,"",AB204/AA204-1)</f>
        <v>0</v>
      </c>
      <c r="AC205" s="40">
        <f>IFERROR(IF(AB204=0,"",AC204/AB204-1),"")</f>
        <v>0.352649767897176</v>
      </c>
      <c r="AD205" s="40">
        <f>IFERROR(IF(AC204=0,"",AD204/AC204-1),"")</f>
        <v>-0.247181369830792</v>
      </c>
      <c r="AE205" s="40">
        <f>IFERROR(IF(AD204=0,"",AE204/AD204-1),"")</f>
        <v>-0.0287129516793732</v>
      </c>
      <c r="AF205" s="55">
        <f>IFERROR(IF(AE204=0,"",AF204/AE204-1),"")</f>
        <v>-0.0447840742026237</v>
      </c>
      <c r="AG205" s="12">
        <f>IF(AF204=0,"",AG204/AF204-1)</f>
        <v>0</v>
      </c>
      <c r="AH205" s="55">
        <f>IFERROR(IF(AG204=0,"",AH204/AG204-1),"")</f>
        <v>0.101186337346381</v>
      </c>
      <c r="AI205" s="55">
        <f>IFERROR(IF(AH204=0,"",AI204/AH204-1),"")</f>
        <v>-0.00751449312297614</v>
      </c>
      <c r="AJ205" s="55">
        <f>IFERROR(IF(AI204=0,"",AJ204/AI204-1),"")</f>
        <v>0</v>
      </c>
      <c r="AK205" s="55">
        <f>IFERROR(IF(AJ204=0,"",AK204/AJ204-1),"")</f>
        <v>0</v>
      </c>
      <c r="AL205" s="12">
        <f>IFERROR(IF(AK204=0,"",AL204/AK204-1),"")</f>
        <v>0</v>
      </c>
      <c r="AM205" s="55">
        <f>IFERROR(IF(AL204=0,"",AM204/AL204-1),"")</f>
        <v>0</v>
      </c>
      <c r="AN205" s="55">
        <f>IFERROR(IF(AM204=0,"",AN204/AM204-1),"")</f>
        <v>0</v>
      </c>
      <c r="AO205" s="55">
        <f>IFERROR(IF(AN204=0,"",AO204/AN204-1),"")</f>
        <v>0</v>
      </c>
      <c r="AP205" s="55">
        <f>IFERROR(IF(AO204=0,"",AP204/AO204-1),"")</f>
        <v>0</v>
      </c>
      <c r="AQ205" s="12">
        <f>IFERROR(IF(AP204=0,"",AQ204/AP204-1),"")</f>
        <v>0</v>
      </c>
      <c r="AR205" s="55">
        <f>IFERROR(IF(AQ204=0,"",AR204/AQ204-1),"")</f>
        <v>0</v>
      </c>
      <c r="AS205" s="55">
        <f>IFERROR(IF(AR204=0,"",AS204/AR204-1),"")</f>
        <v>0</v>
      </c>
      <c r="AT205" s="55">
        <f>IFERROR(IF(AS204=0,"",AT204/AS204-1),"")</f>
        <v>0</v>
      </c>
      <c r="AU205" s="55">
        <f>IFERROR(IF(AT204=0,"",AU204/AT204-1),"")</f>
        <v>0</v>
      </c>
      <c r="AV205" s="12">
        <f>IFERROR(IF(AU204=0,"",AV204/AU204-1),"")</f>
        <v>0</v>
      </c>
      <c r="AW205" s="55">
        <f>IFERROR(IF(AV204=0,"",AW204/AV204-1),"")</f>
        <v>0</v>
      </c>
      <c r="AX205" s="55">
        <f>IFERROR(IF(AW204=0,"",AX204/AW204-1),"")</f>
        <v>0</v>
      </c>
      <c r="AY205" s="55">
        <f>IFERROR(IF(AX204=0,"",AY204/AX204-1),"")</f>
        <v>0</v>
      </c>
      <c r="AZ205" s="55">
        <f>IFERROR(IF(AY204=0,"",AZ204/AY204-1),"")</f>
        <v>0</v>
      </c>
      <c r="BA205" s="12">
        <f>IFERROR(IF(AZ204=0,"",BA204/AZ204-1),"")</f>
        <v>0</v>
      </c>
      <c r="BB205" s="55">
        <f>IFERROR(IF(BA204=0,"",BB204/BA204-1),"")</f>
        <v>0</v>
      </c>
      <c r="BC205" s="55">
        <f>IFERROR(IF(BB204=0,"",BC204/BB204-1),"")</f>
        <v>0</v>
      </c>
      <c r="BD205" s="55">
        <f>IFERROR(IF(BC204=0,"",BD204/BC204-1),"")</f>
        <v>0</v>
      </c>
      <c r="BE205" s="55">
        <f>IFERROR(IF(BD204=0,"",BE204/BD204-1),"")</f>
        <v>0</v>
      </c>
      <c r="BF205" s="12">
        <f>IFERROR(IF(BE204=0,"",BF204/BE204-1),"")</f>
        <v>0</v>
      </c>
      <c r="BG205" s="55" t="n"/>
      <c r="BH205" s="55" t="n"/>
      <c r="BI205" s="55" t="n"/>
      <c r="BJ205" s="55" t="n"/>
      <c r="BK205" s="12" t="n"/>
      <c r="BL205" s="55" t="n"/>
      <c r="BM205" s="55" t="n"/>
      <c r="BN205" s="55" t="n"/>
      <c r="BO205" s="55" t="n"/>
      <c r="BP205" s="12" t="n"/>
      <c r="BQ205" s="55" t="n"/>
      <c r="BR205" s="55" t="n"/>
      <c r="BS205" s="55" t="n"/>
      <c r="BT205" s="55" t="n"/>
      <c r="BU205" s="12" t="n"/>
      <c r="BV205" s="55" t="n"/>
      <c r="BW205" s="55" t="n"/>
      <c r="BX205" s="55" t="n"/>
      <c r="BY205" s="55" t="n"/>
      <c r="BZ205" s="12" t="n"/>
      <c r="CA205" s="55" t="n"/>
      <c r="CB205" s="55" t="n"/>
      <c r="CC205" s="55" t="n"/>
      <c r="CD205" s="55" t="n"/>
      <c r="CE205" s="12" t="n"/>
      <c r="CF205" s="55" t="n"/>
      <c r="CG205" s="55" t="n"/>
      <c r="CH205" s="55" t="n"/>
      <c r="CI205" s="55" t="n"/>
      <c r="CJ205" s="12" t="n"/>
      <c r="CK205" s="55" t="n"/>
      <c r="CL205" s="55" t="n"/>
      <c r="CM205" s="55" t="n"/>
      <c r="CN205" s="55" t="n"/>
      <c r="CO205" s="12" t="n"/>
      <c r="CP205" s="55" t="n"/>
      <c r="CQ205" s="55" t="n"/>
      <c r="CR205" s="55" t="n"/>
      <c r="CS205" s="55" t="n"/>
      <c r="CT205" s="12" t="n"/>
      <c r="CU205" s="55" t="n"/>
      <c r="CV205" s="55" t="n"/>
      <c r="CW205" s="55" t="n"/>
      <c r="CX205" s="55" t="n"/>
      <c r="CY205" s="12" t="n"/>
    </row>
    <row r="206" hidden="1" outlineLevel="1">
      <c r="C206" s="57" t="n"/>
      <c r="D206" s="12" t="n"/>
      <c r="E206" s="12" t="n"/>
      <c r="F206" s="12" t="n"/>
      <c r="G206" s="12" t="n"/>
      <c r="H206" s="12" t="n"/>
      <c r="I206" s="12" t="n"/>
      <c r="J206" s="12" t="n"/>
      <c r="K206" s="12" t="n"/>
      <c r="L206" s="12" t="n"/>
      <c r="M206" s="12" t="n"/>
      <c r="N206" s="12" t="n"/>
      <c r="O206" s="12" t="n"/>
      <c r="P206" s="12" t="n"/>
      <c r="Q206" s="12" t="n"/>
      <c r="R206" s="12" t="n"/>
      <c r="S206" s="12" t="n"/>
      <c r="T206" s="12" t="n"/>
      <c r="U206" s="12" t="n"/>
      <c r="V206" s="12" t="n"/>
      <c r="W206" s="12" t="n"/>
      <c r="X206" s="12" t="n"/>
      <c r="Y206" s="12" t="n"/>
      <c r="Z206" s="12" t="n"/>
      <c r="AA206" s="12" t="n"/>
      <c r="AB206" s="12" t="n"/>
      <c r="AC206" s="12" t="n"/>
      <c r="AD206" s="12" t="n"/>
      <c r="AE206" s="12" t="n"/>
      <c r="AF206" s="12" t="n"/>
      <c r="AG206" s="12" t="n"/>
      <c r="AH206" s="12" t="n"/>
      <c r="AI206" s="12" t="n"/>
      <c r="AJ206" s="12" t="n"/>
      <c r="AK206" s="12" t="n"/>
      <c r="AL206" s="12" t="n"/>
      <c r="AM206" s="12" t="n"/>
      <c r="AN206" s="12" t="n"/>
      <c r="AO206" s="12" t="n"/>
      <c r="AP206" s="12" t="n"/>
      <c r="AQ206" s="12" t="n"/>
      <c r="AR206" s="12" t="n"/>
      <c r="AS206" s="12" t="n"/>
      <c r="AT206" s="12" t="n"/>
      <c r="AU206" s="12" t="n"/>
      <c r="AV206" s="12" t="n"/>
      <c r="AW206" s="12" t="n"/>
      <c r="AX206" s="12" t="n"/>
      <c r="AY206" s="12" t="n"/>
      <c r="AZ206" s="12" t="n"/>
      <c r="BA206" s="12" t="n"/>
      <c r="BB206" s="12" t="n"/>
      <c r="BC206" s="12" t="n"/>
      <c r="BD206" s="12" t="n"/>
      <c r="BE206" s="12" t="n"/>
      <c r="BF206" s="12" t="n"/>
      <c r="BG206" s="12" t="n"/>
      <c r="BH206" s="12" t="n"/>
      <c r="BI206" s="12" t="n"/>
      <c r="BJ206" s="12" t="n"/>
      <c r="BK206" s="12" t="n"/>
      <c r="BL206" s="12" t="n"/>
      <c r="BM206" s="12" t="n"/>
      <c r="BN206" s="12" t="n"/>
      <c r="BO206" s="12" t="n"/>
      <c r="BP206" s="12" t="n"/>
      <c r="BQ206" s="12" t="n"/>
      <c r="BR206" s="12" t="n"/>
      <c r="BS206" s="12" t="n"/>
      <c r="BT206" s="12" t="n"/>
      <c r="BU206" s="12" t="n"/>
      <c r="BV206" s="12" t="n"/>
      <c r="BW206" s="12" t="n"/>
      <c r="BX206" s="12" t="n"/>
      <c r="BY206" s="12" t="n"/>
      <c r="BZ206" s="12" t="n"/>
      <c r="CA206" s="12" t="n"/>
      <c r="CB206" s="12" t="n"/>
      <c r="CC206" s="12" t="n"/>
      <c r="CD206" s="12" t="n"/>
      <c r="CE206" s="12" t="n"/>
      <c r="CF206" s="12" t="n"/>
      <c r="CG206" s="12" t="n"/>
      <c r="CH206" s="12" t="n"/>
      <c r="CI206" s="12" t="n"/>
      <c r="CJ206" s="12" t="n"/>
      <c r="CK206" s="12" t="n"/>
      <c r="CL206" s="12" t="n"/>
      <c r="CM206" s="12" t="n"/>
      <c r="CN206" s="12" t="n"/>
      <c r="CO206" s="12" t="n"/>
      <c r="CP206" s="12" t="n"/>
      <c r="CQ206" s="12" t="n"/>
      <c r="CR206" s="12" t="n"/>
      <c r="CS206" s="12" t="n"/>
      <c r="CT206" s="12" t="n"/>
      <c r="CU206" s="12" t="n"/>
      <c r="CV206" s="12" t="n"/>
      <c r="CW206" s="12" t="n"/>
      <c r="CX206" s="12" t="n"/>
      <c r="CY206" s="12" t="n"/>
    </row>
    <row r="207" hidden="1" outlineLevel="1">
      <c r="C207" s="57" t="inlineStr">
        <is>
          <t xml:space="preserve">Dividendos a Pagar </t>
        </is>
      </c>
      <c r="D207" s="11" t="n"/>
      <c r="E207" s="11" t="n"/>
      <c r="F207" s="11" t="n"/>
      <c r="G207" s="11" t="n"/>
      <c r="H207" s="12" t="n"/>
      <c r="I207" s="11" t="n"/>
      <c r="J207" s="11" t="n"/>
      <c r="K207" s="11" t="n"/>
      <c r="L207" s="11" t="n"/>
      <c r="M207" s="12" t="n"/>
      <c r="N207" s="11" t="n"/>
      <c r="O207" s="11" t="n"/>
      <c r="P207" s="11" t="n"/>
      <c r="Q207" s="11" t="n"/>
      <c r="R207" s="12" t="n"/>
      <c r="S207" s="11" t="n"/>
      <c r="T207" s="11" t="n"/>
      <c r="U207" s="11" t="n"/>
      <c r="V207" s="11" t="n"/>
      <c r="W207" s="12" t="n"/>
      <c r="X207" s="11" t="n"/>
      <c r="Y207" s="11" t="n"/>
      <c r="Z207" s="11" t="n"/>
      <c r="AA207" s="11" t="n"/>
      <c r="AB207" s="12" t="n"/>
      <c r="AC207" s="11" t="n"/>
      <c r="AD207" s="11" t="n"/>
      <c r="AE207" s="11" t="n"/>
      <c r="AF207" s="11" t="n"/>
      <c r="AG207" s="12" t="n"/>
      <c r="AH207" s="11" t="n"/>
      <c r="AI207" s="11" t="n"/>
      <c r="AJ207" s="11" t="n"/>
      <c r="AK207" s="11" t="n"/>
      <c r="AL207" s="12" t="n"/>
      <c r="AM207" s="11" t="n"/>
      <c r="AN207" s="11" t="n"/>
      <c r="AO207" s="11" t="n"/>
      <c r="AP207" s="11" t="n"/>
      <c r="AQ207" s="12" t="n"/>
      <c r="AR207" s="11" t="n"/>
      <c r="AS207" s="11" t="n"/>
      <c r="AT207" s="11" t="n"/>
      <c r="AU207" s="11" t="n"/>
      <c r="AV207" s="12" t="n"/>
      <c r="AW207" s="11" t="n"/>
      <c r="AX207" s="11" t="n"/>
      <c r="AY207" s="11" t="n"/>
      <c r="AZ207" s="11" t="n"/>
      <c r="BA207" s="12" t="n"/>
      <c r="BB207" s="11" t="n"/>
      <c r="BC207" s="11" t="n"/>
      <c r="BD207" s="11" t="n"/>
      <c r="BE207" s="11" t="n"/>
      <c r="BF207" s="12" t="n"/>
      <c r="BG207" s="11" t="n"/>
      <c r="BH207" s="11" t="n"/>
      <c r="BI207" s="11" t="n"/>
      <c r="BJ207" s="11" t="n"/>
      <c r="BK207" s="12" t="n"/>
      <c r="BL207" s="11" t="n"/>
      <c r="BM207" s="11" t="n"/>
      <c r="BN207" s="11" t="n"/>
      <c r="BO207" s="11" t="n"/>
      <c r="BP207" s="12" t="n"/>
      <c r="BQ207" s="11" t="n"/>
      <c r="BR207" s="11" t="n"/>
      <c r="BS207" s="11" t="n"/>
      <c r="BT207" s="11" t="n"/>
      <c r="BU207" s="12" t="n"/>
      <c r="BV207" s="11" t="n"/>
      <c r="BW207" s="11" t="n"/>
      <c r="BX207" s="11" t="n"/>
      <c r="BY207" s="11" t="n"/>
      <c r="BZ207" s="12" t="n"/>
      <c r="CA207" s="11" t="n"/>
      <c r="CB207" s="11" t="n"/>
      <c r="CC207" s="11" t="n"/>
      <c r="CD207" s="11" t="n"/>
      <c r="CE207" s="12" t="n"/>
      <c r="CF207" s="11" t="n"/>
      <c r="CG207" s="11" t="n"/>
      <c r="CH207" s="11" t="n"/>
      <c r="CI207" s="11" t="n"/>
      <c r="CJ207" s="12" t="n"/>
      <c r="CK207" s="11" t="n"/>
      <c r="CL207" s="11" t="n"/>
      <c r="CM207" s="11" t="n"/>
      <c r="CN207" s="11" t="n"/>
      <c r="CO207" s="12" t="n"/>
      <c r="CP207" s="11" t="n"/>
      <c r="CQ207" s="11" t="n"/>
      <c r="CR207" s="11" t="n"/>
      <c r="CS207" s="11" t="n"/>
      <c r="CT207" s="12" t="n"/>
      <c r="CU207" s="11" t="n"/>
      <c r="CV207" s="11" t="n"/>
      <c r="CW207" s="11" t="n"/>
      <c r="CX207" s="11" t="n"/>
      <c r="CY207" s="12" t="n"/>
    </row>
    <row r="208" hidden="1" outlineLevel="1">
      <c r="C208" s="57" t="inlineStr">
        <is>
          <t>Contas a pagar pela aquisição de controladas</t>
        </is>
      </c>
      <c r="D208" s="11" t="n"/>
      <c r="E208" s="11" t="n"/>
      <c r="F208" s="11" t="n"/>
      <c r="G208" s="11" t="n"/>
      <c r="H208" s="12" t="n"/>
      <c r="I208" s="11" t="n"/>
      <c r="J208" s="11" t="n"/>
      <c r="K208" s="11" t="n"/>
      <c r="L208" s="11" t="n"/>
      <c r="M208" s="12" t="n"/>
      <c r="N208" s="11" t="n"/>
      <c r="O208" s="11" t="n"/>
      <c r="P208" s="11" t="n"/>
      <c r="Q208" s="11" t="n"/>
      <c r="R208" s="12" t="n"/>
      <c r="S208" s="11" t="n"/>
      <c r="T208" s="11" t="n"/>
      <c r="U208" s="11" t="n"/>
      <c r="V208" s="11" t="n"/>
      <c r="W208" s="12" t="n"/>
      <c r="X208" s="11" t="n"/>
      <c r="Y208" s="11" t="n"/>
      <c r="Z208" s="11" t="n"/>
      <c r="AA208" s="11" t="n"/>
      <c r="AB208" s="12" t="n"/>
      <c r="AC208" s="11" t="n"/>
      <c r="AD208" s="11" t="n"/>
      <c r="AE208" s="11" t="n"/>
      <c r="AF208" s="11" t="n"/>
      <c r="AG208" s="12" t="n"/>
      <c r="AH208" s="11" t="n"/>
      <c r="AI208" s="11" t="n"/>
      <c r="AJ208" s="11" t="n"/>
      <c r="AK208" s="11" t="n"/>
      <c r="AL208" s="12" t="n"/>
      <c r="AM208" s="11" t="n"/>
      <c r="AN208" s="11" t="n"/>
      <c r="AO208" s="11" t="n"/>
      <c r="AP208" s="11" t="n"/>
      <c r="AQ208" s="12" t="n"/>
      <c r="AR208" s="11" t="n"/>
      <c r="AS208" s="11" t="n"/>
      <c r="AT208" s="11" t="n"/>
      <c r="AU208" s="11" t="n"/>
      <c r="AV208" s="12" t="n"/>
      <c r="AW208" s="11" t="n"/>
      <c r="AX208" s="11" t="n"/>
      <c r="AY208" s="11" t="n"/>
      <c r="AZ208" s="11" t="n"/>
      <c r="BA208" s="12" t="n"/>
      <c r="BB208" s="11" t="n"/>
      <c r="BC208" s="11" t="n"/>
      <c r="BD208" s="11" t="n"/>
      <c r="BE208" s="11" t="n"/>
      <c r="BF208" s="12" t="n"/>
      <c r="BG208" s="11" t="n"/>
      <c r="BH208" s="11" t="n"/>
      <c r="BI208" s="11" t="n"/>
      <c r="BJ208" s="11" t="n"/>
      <c r="BK208" s="12" t="n"/>
      <c r="BL208" s="11" t="n"/>
      <c r="BM208" s="11" t="n"/>
      <c r="BN208" s="11" t="n"/>
      <c r="BO208" s="11" t="n"/>
      <c r="BP208" s="12" t="n"/>
      <c r="BQ208" s="11" t="n"/>
      <c r="BR208" s="11" t="n"/>
      <c r="BS208" s="11" t="n"/>
      <c r="BT208" s="11" t="n"/>
      <c r="BU208" s="12" t="n"/>
      <c r="BV208" s="11" t="n"/>
      <c r="BW208" s="11" t="n"/>
      <c r="BX208" s="11" t="n"/>
      <c r="BY208" s="11" t="n"/>
      <c r="BZ208" s="12" t="n"/>
      <c r="CA208" s="11" t="n"/>
      <c r="CB208" s="11" t="n"/>
      <c r="CC208" s="11" t="n"/>
      <c r="CD208" s="11" t="n"/>
      <c r="CE208" s="12" t="n"/>
      <c r="CF208" s="11" t="n"/>
      <c r="CG208" s="11" t="n"/>
      <c r="CH208" s="11" t="n"/>
      <c r="CI208" s="11" t="n"/>
      <c r="CJ208" s="12" t="n"/>
      <c r="CK208" s="11" t="n"/>
      <c r="CL208" s="11" t="n"/>
      <c r="CM208" s="11" t="n"/>
      <c r="CN208" s="11" t="n"/>
      <c r="CO208" s="12" t="n"/>
      <c r="CP208" s="11" t="n"/>
      <c r="CQ208" s="11" t="n"/>
      <c r="CR208" s="11" t="n"/>
      <c r="CS208" s="11" t="n"/>
      <c r="CT208" s="12" t="n"/>
      <c r="CU208" s="11" t="n"/>
      <c r="CV208" s="11" t="n"/>
      <c r="CW208" s="11" t="n"/>
      <c r="CX208" s="11" t="n"/>
      <c r="CY208" s="12" t="n"/>
    </row>
    <row r="209" hidden="1" outlineLevel="1">
      <c r="C209" s="57" t="inlineStr">
        <is>
          <t>Outros</t>
        </is>
      </c>
      <c r="D209" s="11" t="n"/>
      <c r="E209" s="11" t="n"/>
      <c r="F209" s="11" t="n"/>
      <c r="G209" s="11" t="n"/>
      <c r="H209" s="12" t="n"/>
      <c r="I209" s="11" t="n"/>
      <c r="J209" s="11" t="n"/>
      <c r="K209" s="11" t="n"/>
      <c r="L209" s="11" t="n"/>
      <c r="M209" s="12" t="n"/>
      <c r="N209" s="11" t="n"/>
      <c r="O209" s="11" t="n"/>
      <c r="P209" s="11" t="n"/>
      <c r="Q209" s="11" t="n"/>
      <c r="R209" s="12" t="n"/>
      <c r="S209" s="11" t="n"/>
      <c r="T209" s="11" t="n"/>
      <c r="U209" s="11" t="n"/>
      <c r="V209" s="11" t="n"/>
      <c r="W209" s="12" t="n"/>
      <c r="X209" s="11" t="n"/>
      <c r="Y209" s="11" t="n"/>
      <c r="Z209" s="11" t="n"/>
      <c r="AA209" s="11" t="n"/>
      <c r="AB209" s="12" t="n"/>
      <c r="AC209" s="11" t="n"/>
      <c r="AD209" s="11" t="n"/>
      <c r="AE209" s="11" t="n"/>
      <c r="AF209" s="11" t="n"/>
      <c r="AG209" s="12" t="n"/>
      <c r="AH209" s="11" t="n"/>
      <c r="AI209" s="11" t="n"/>
      <c r="AJ209" s="11" t="n"/>
      <c r="AK209" s="11" t="n"/>
      <c r="AL209" s="12" t="n"/>
      <c r="AM209" s="11" t="n"/>
      <c r="AN209" s="11" t="n"/>
      <c r="AO209" s="11" t="n"/>
      <c r="AP209" s="11" t="n"/>
      <c r="AQ209" s="12" t="n"/>
      <c r="AR209" s="11" t="n"/>
      <c r="AS209" s="11" t="n"/>
      <c r="AT209" s="11" t="n"/>
      <c r="AU209" s="11" t="n"/>
      <c r="AV209" s="12" t="n"/>
      <c r="AW209" s="11" t="n"/>
      <c r="AX209" s="11" t="n"/>
      <c r="AY209" s="11" t="n"/>
      <c r="AZ209" s="11" t="n"/>
      <c r="BA209" s="12" t="n"/>
      <c r="BB209" s="11" t="n"/>
      <c r="BC209" s="11" t="n"/>
      <c r="BD209" s="11" t="n"/>
      <c r="BE209" s="11" t="n"/>
      <c r="BF209" s="12" t="n"/>
      <c r="BG209" s="11" t="n"/>
      <c r="BH209" s="11" t="n"/>
      <c r="BI209" s="11" t="n"/>
      <c r="BJ209" s="11" t="n"/>
      <c r="BK209" s="12" t="n"/>
      <c r="BL209" s="11" t="n"/>
      <c r="BM209" s="11" t="n"/>
      <c r="BN209" s="11" t="n"/>
      <c r="BO209" s="11" t="n"/>
      <c r="BP209" s="12" t="n"/>
      <c r="BQ209" s="11" t="n"/>
      <c r="BR209" s="11" t="n"/>
      <c r="BS209" s="11" t="n"/>
      <c r="BT209" s="11" t="n"/>
      <c r="BU209" s="12" t="n"/>
      <c r="BV209" s="11" t="n"/>
      <c r="BW209" s="11" t="n"/>
      <c r="BX209" s="11" t="n"/>
      <c r="BY209" s="11" t="n"/>
      <c r="BZ209" s="12" t="n"/>
      <c r="CA209" s="11" t="n"/>
      <c r="CB209" s="11" t="n"/>
      <c r="CC209" s="11" t="n"/>
      <c r="CD209" s="11" t="n"/>
      <c r="CE209" s="12" t="n"/>
      <c r="CF209" s="11" t="n"/>
      <c r="CG209" s="11" t="n"/>
      <c r="CH209" s="11" t="n"/>
      <c r="CI209" s="11" t="n"/>
      <c r="CJ209" s="12" t="n"/>
      <c r="CK209" s="11" t="n"/>
      <c r="CL209" s="11" t="n"/>
      <c r="CM209" s="11" t="n"/>
      <c r="CN209" s="11" t="n"/>
      <c r="CO209" s="12" t="n"/>
      <c r="CP209" s="11" t="n"/>
      <c r="CQ209" s="11" t="n"/>
      <c r="CR209" s="11" t="n"/>
      <c r="CS209" s="11" t="n"/>
      <c r="CT209" s="12" t="n"/>
      <c r="CU209" s="11" t="n"/>
      <c r="CV209" s="11" t="n"/>
      <c r="CW209" s="11" t="n"/>
      <c r="CX209" s="11" t="n"/>
      <c r="CY209" s="12" t="n"/>
    </row>
    <row r="210" hidden="1" outlineLevel="1">
      <c r="C210" s="57" t="n"/>
      <c r="D210" s="12" t="n"/>
      <c r="E210" s="12" t="n"/>
      <c r="F210" s="12" t="n"/>
      <c r="G210" s="12" t="n"/>
      <c r="H210" s="12" t="n"/>
      <c r="I210" s="12" t="n"/>
      <c r="J210" s="12" t="n"/>
      <c r="K210" s="12" t="n"/>
      <c r="L210" s="12" t="n"/>
      <c r="M210" s="12" t="n"/>
      <c r="N210" s="12" t="n"/>
      <c r="O210" s="12" t="n"/>
      <c r="P210" s="12" t="n"/>
      <c r="Q210" s="12" t="n"/>
      <c r="R210" s="12" t="n"/>
      <c r="S210" s="12" t="n"/>
      <c r="T210" s="12" t="n"/>
      <c r="U210" s="12" t="n"/>
      <c r="V210" s="12" t="n"/>
      <c r="W210" s="12" t="n"/>
      <c r="X210" s="12" t="n"/>
      <c r="Y210" s="12" t="n"/>
      <c r="Z210" s="12" t="n"/>
      <c r="AA210" s="12" t="n"/>
      <c r="AB210" s="12" t="n"/>
      <c r="AC210" s="12" t="n"/>
      <c r="AD210" s="12" t="n"/>
      <c r="AE210" s="12" t="n"/>
      <c r="AF210" s="12" t="n"/>
      <c r="AG210" s="12" t="n"/>
      <c r="AH210" s="12" t="n"/>
      <c r="AI210" s="12" t="n"/>
      <c r="AJ210" s="12" t="n"/>
      <c r="AK210" s="12" t="n"/>
      <c r="AL210" s="12" t="n"/>
      <c r="AM210" s="12" t="n"/>
      <c r="AN210" s="12" t="n"/>
      <c r="AO210" s="12" t="n"/>
      <c r="AP210" s="12" t="n"/>
      <c r="AQ210" s="12" t="n"/>
      <c r="AR210" s="12" t="n"/>
      <c r="AS210" s="12" t="n"/>
      <c r="AT210" s="12" t="n"/>
      <c r="AU210" s="12" t="n"/>
      <c r="AV210" s="12" t="n"/>
      <c r="AW210" s="12" t="n"/>
      <c r="AX210" s="12" t="n"/>
      <c r="AY210" s="12" t="n"/>
      <c r="AZ210" s="12" t="n"/>
      <c r="BA210" s="12" t="n"/>
      <c r="BB210" s="12" t="n"/>
      <c r="BC210" s="12" t="n"/>
      <c r="BD210" s="12" t="n"/>
      <c r="BE210" s="12" t="n"/>
      <c r="BF210" s="12" t="n"/>
      <c r="BG210" s="12" t="n"/>
      <c r="BH210" s="12" t="n"/>
      <c r="BI210" s="12" t="n"/>
      <c r="BJ210" s="12" t="n"/>
      <c r="BK210" s="12" t="n"/>
      <c r="BL210" s="12" t="n"/>
      <c r="BM210" s="12" t="n"/>
      <c r="BN210" s="12" t="n"/>
      <c r="BO210" s="12" t="n"/>
      <c r="BP210" s="12" t="n"/>
      <c r="BQ210" s="12" t="n"/>
      <c r="BR210" s="12" t="n"/>
      <c r="BS210" s="12" t="n"/>
      <c r="BT210" s="12" t="n"/>
      <c r="BU210" s="12" t="n"/>
      <c r="BV210" s="12" t="n"/>
      <c r="BW210" s="12" t="n"/>
      <c r="BX210" s="12" t="n"/>
      <c r="BY210" s="12" t="n"/>
      <c r="BZ210" s="12" t="n"/>
      <c r="CA210" s="12" t="n"/>
      <c r="CB210" s="12" t="n"/>
      <c r="CC210" s="12" t="n"/>
      <c r="CD210" s="12" t="n"/>
      <c r="CE210" s="12" t="n"/>
      <c r="CF210" s="12" t="n"/>
      <c r="CG210" s="12" t="n"/>
      <c r="CH210" s="12" t="n"/>
      <c r="CI210" s="12" t="n"/>
      <c r="CJ210" s="12" t="n"/>
      <c r="CK210" s="12" t="n"/>
      <c r="CL210" s="12" t="n"/>
      <c r="CM210" s="12" t="n"/>
      <c r="CN210" s="12" t="n"/>
      <c r="CO210" s="12" t="n"/>
      <c r="CP210" s="12" t="n"/>
      <c r="CQ210" s="12" t="n"/>
      <c r="CR210" s="12" t="n"/>
      <c r="CS210" s="12" t="n"/>
      <c r="CT210" s="12" t="n"/>
      <c r="CU210" s="12" t="n"/>
      <c r="CV210" s="12" t="n"/>
      <c r="CW210" s="12" t="n"/>
      <c r="CX210" s="12" t="n"/>
      <c r="CY210" s="12" t="n"/>
    </row>
    <row r="211" collapsed="1">
      <c r="C211" s="14" t="inlineStr">
        <is>
          <t>Current portion of long-term debt</t>
        </is>
      </c>
      <c r="D211" s="46" t="n"/>
      <c r="E211" s="46" t="n"/>
      <c r="F211" s="46" t="n"/>
      <c r="G211" s="46" t="n"/>
      <c r="H211" s="12" t="n"/>
      <c r="I211" s="46">
        <f>'Inputs (2)'!D32</f>
        <v>113.698</v>
      </c>
      <c r="J211" s="46">
        <f>'Inputs (2)'!E32</f>
        <v>126.835</v>
      </c>
      <c r="K211" s="46">
        <f>'Inputs (2)'!F32</f>
        <v>112.867</v>
      </c>
      <c r="L211" s="46">
        <f>'Inputs (2)'!G32</f>
        <v>208.959</v>
      </c>
      <c r="M211" s="12">
        <f>'Inputs (2)'!H32</f>
        <v>208.959</v>
      </c>
      <c r="N211" s="46">
        <f>'Inputs (2)'!I32</f>
        <v>204.389</v>
      </c>
      <c r="O211" s="46">
        <f>'Inputs (2)'!J32</f>
        <v>226.936</v>
      </c>
      <c r="P211" s="46">
        <f>'Inputs (2)'!K32</f>
        <v>236.588</v>
      </c>
      <c r="Q211" s="46">
        <f>'Inputs (2)'!L32</f>
        <v>276.615</v>
      </c>
      <c r="R211" s="12">
        <f>'Inputs (2)'!M32</f>
        <v>276.615</v>
      </c>
      <c r="S211" s="46">
        <f>'Inputs (2)'!N32</f>
        <v>285.512</v>
      </c>
      <c r="T211" s="46">
        <f>'Inputs (2)'!O32</f>
        <v>952.657</v>
      </c>
      <c r="U211" s="46">
        <f>'Inputs (2)'!P32</f>
        <v>434.788</v>
      </c>
      <c r="V211" s="46">
        <f>'Inputs (2)'!Q32</f>
        <v>851.786</v>
      </c>
      <c r="W211" s="12">
        <f>'Inputs (2)'!R32</f>
        <v>851.786</v>
      </c>
      <c r="X211" s="46">
        <f>'Inputs (2)'!S32</f>
        <v>858.787</v>
      </c>
      <c r="Y211" s="46">
        <f>'Inputs (2)'!T32</f>
        <v>768.853</v>
      </c>
      <c r="Z211" s="46">
        <f>'Inputs (2)'!U32</f>
        <v>799.536</v>
      </c>
      <c r="AA211" s="46">
        <f>'Inputs (2)'!V32</f>
        <v>2698.72</v>
      </c>
      <c r="AB211" s="12">
        <f>'Inputs (2)'!W32</f>
        <v>2698.72</v>
      </c>
      <c r="AC211" s="46">
        <f>'Inputs (2)'!X32</f>
        <v>2428.008</v>
      </c>
      <c r="AD211" s="46">
        <f>'Inputs (2)'!Y32</f>
        <v>2151.933</v>
      </c>
      <c r="AE211" s="46">
        <f>'Inputs (2)'!Z32</f>
        <v>2235.097</v>
      </c>
      <c r="AF211" s="46">
        <f>'Inputs (2)'!AA32</f>
        <v>1938.34</v>
      </c>
      <c r="AG211" s="12">
        <f>'Inputs (2)'!AB32</f>
        <v>1938.34</v>
      </c>
      <c r="AH211" s="12">
        <f>'Inputs (2)'!AC32</f>
        <v>2116.307</v>
      </c>
      <c r="AI211" s="12">
        <f>'Inputs (2)'!AD32</f>
        <v>1922.546</v>
      </c>
      <c r="AJ211" s="12">
        <f>AI211</f>
        <v>1922.546</v>
      </c>
      <c r="AK211" s="12">
        <f>AJ211</f>
        <v>1922.546</v>
      </c>
      <c r="AL211" s="12">
        <f>AK211</f>
        <v>1922.546</v>
      </c>
      <c r="AM211" s="12">
        <f>AL211</f>
        <v>1922.546</v>
      </c>
      <c r="AN211" s="12">
        <f>AM211</f>
        <v>1922.546</v>
      </c>
      <c r="AO211" s="12">
        <f>AN211</f>
        <v>1922.546</v>
      </c>
      <c r="AP211" s="12">
        <f>AO211</f>
        <v>1922.546</v>
      </c>
      <c r="AQ211" s="12">
        <f>AP211</f>
        <v>1922.546</v>
      </c>
      <c r="AR211" s="12">
        <f>AQ211</f>
        <v>1922.546</v>
      </c>
      <c r="AS211" s="12">
        <f>AR211</f>
        <v>1922.546</v>
      </c>
      <c r="AT211" s="12">
        <f>AS211</f>
        <v>1922.546</v>
      </c>
      <c r="AU211" s="12">
        <f>AT211</f>
        <v>1922.546</v>
      </c>
      <c r="AV211" s="12">
        <f>AU211</f>
        <v>1922.546</v>
      </c>
      <c r="AW211" s="12">
        <f>AV211</f>
        <v>1922.546</v>
      </c>
      <c r="AX211" s="12">
        <f>AW211</f>
        <v>1922.546</v>
      </c>
      <c r="AY211" s="12">
        <f>AX211</f>
        <v>1922.546</v>
      </c>
      <c r="AZ211" s="12">
        <f>AY211</f>
        <v>1922.546</v>
      </c>
      <c r="BA211" s="12">
        <f>AZ211</f>
        <v>1922.546</v>
      </c>
      <c r="BB211" s="12">
        <f>BA211</f>
        <v>1922.546</v>
      </c>
      <c r="BC211" s="12">
        <f>BB211</f>
        <v>1922.546</v>
      </c>
      <c r="BD211" s="12">
        <f>BC211</f>
        <v>1922.546</v>
      </c>
      <c r="BE211" s="12">
        <f>BD211</f>
        <v>1922.546</v>
      </c>
      <c r="BF211" s="12">
        <f>BE211</f>
        <v>1922.546</v>
      </c>
      <c r="BG211" s="12" t="n"/>
      <c r="BH211" s="12" t="n"/>
      <c r="BI211" s="12" t="n"/>
      <c r="BJ211" s="12" t="n"/>
      <c r="BK211" s="12" t="n"/>
      <c r="BL211" s="12" t="n"/>
      <c r="BM211" s="12" t="n"/>
      <c r="BN211" s="12" t="n"/>
      <c r="BO211" s="12" t="n"/>
      <c r="BP211" s="12" t="n"/>
      <c r="BQ211" s="12" t="n"/>
      <c r="BR211" s="12" t="n"/>
      <c r="BS211" s="12" t="n"/>
      <c r="BT211" s="12" t="n"/>
      <c r="BU211" s="12" t="n"/>
      <c r="BV211" s="12" t="n"/>
      <c r="BW211" s="12" t="n"/>
      <c r="BX211" s="12" t="n"/>
      <c r="BY211" s="12" t="n"/>
      <c r="BZ211" s="12" t="n"/>
      <c r="CA211" s="12" t="n"/>
      <c r="CB211" s="12" t="n"/>
      <c r="CC211" s="12" t="n"/>
      <c r="CD211" s="12" t="n"/>
      <c r="CE211" s="12" t="n"/>
      <c r="CF211" s="12" t="n"/>
      <c r="CG211" s="12" t="n"/>
      <c r="CH211" s="12" t="n"/>
      <c r="CI211" s="12" t="n"/>
      <c r="CJ211" s="12" t="n"/>
      <c r="CK211" s="12" t="n"/>
      <c r="CL211" s="12" t="n"/>
      <c r="CM211" s="12" t="n"/>
      <c r="CN211" s="12" t="n"/>
      <c r="CO211" s="12" t="n"/>
      <c r="CP211" s="12" t="n"/>
      <c r="CQ211" s="12" t="n"/>
      <c r="CR211" s="12" t="n"/>
      <c r="CS211" s="12" t="n"/>
      <c r="CT211" s="12" t="n"/>
      <c r="CU211" s="12" t="n"/>
      <c r="CV211" s="12" t="n"/>
      <c r="CW211" s="12" t="n"/>
      <c r="CX211" s="12" t="n"/>
      <c r="CY211" s="12" t="n"/>
    </row>
    <row r="212">
      <c r="C212" s="14" t="inlineStr">
        <is>
          <t>Short term debt (Revolving credit facility)</t>
        </is>
      </c>
      <c r="D212" s="46" t="n"/>
      <c r="E212" s="46" t="n"/>
      <c r="F212" s="46" t="n"/>
      <c r="G212" s="46" t="n"/>
      <c r="H212" s="12" t="n"/>
      <c r="I212" s="46">
        <f>'Inputs (2)'!D33</f>
        <v>0</v>
      </c>
      <c r="J212" s="46">
        <f>'Inputs (2)'!E33</f>
        <v>0</v>
      </c>
      <c r="K212" s="46">
        <f>'Inputs (2)'!F33</f>
        <v>0</v>
      </c>
      <c r="L212" s="46">
        <f>'Inputs (2)'!G33</f>
        <v>0</v>
      </c>
      <c r="M212" s="12">
        <f>'Inputs (2)'!H33</f>
        <v>0</v>
      </c>
      <c r="N212" s="46">
        <f>'Inputs (2)'!I33</f>
        <v>0</v>
      </c>
      <c r="O212" s="46">
        <f>'Inputs (2)'!J33</f>
        <v>0</v>
      </c>
      <c r="P212" s="46">
        <f>'Inputs (2)'!K33</f>
        <v>0</v>
      </c>
      <c r="Q212" s="46">
        <f>'Inputs (2)'!L33</f>
        <v>0</v>
      </c>
      <c r="R212" s="12">
        <f>'Inputs (2)'!M33</f>
        <v>0</v>
      </c>
      <c r="S212" s="46">
        <f>'Inputs (2)'!N33</f>
        <v>0</v>
      </c>
      <c r="T212" s="46">
        <f>'Inputs (2)'!O33</f>
        <v>0</v>
      </c>
      <c r="U212" s="46">
        <f>'Inputs (2)'!P33</f>
        <v>0</v>
      </c>
      <c r="V212" s="46">
        <f>'Inputs (2)'!Q33</f>
        <v>0</v>
      </c>
      <c r="W212" s="12">
        <f>'Inputs (2)'!R33</f>
        <v>0</v>
      </c>
      <c r="X212" s="46">
        <f>'Inputs (2)'!S33</f>
        <v>0</v>
      </c>
      <c r="Y212" s="46">
        <f>'Inputs (2)'!T33</f>
        <v>0</v>
      </c>
      <c r="Z212" s="46">
        <f>'Inputs (2)'!U33</f>
        <v>0</v>
      </c>
      <c r="AA212" s="46">
        <f>'Inputs (2)'!V33</f>
        <v>0</v>
      </c>
      <c r="AB212" s="12">
        <f>'Inputs (2)'!W33</f>
        <v>0</v>
      </c>
      <c r="AC212" s="46">
        <f>'Inputs (2)'!X33</f>
        <v>0</v>
      </c>
      <c r="AD212" s="46">
        <f>'Inputs (2)'!Y33</f>
        <v>0</v>
      </c>
      <c r="AE212" s="46">
        <f>'Inputs (2)'!Z33</f>
        <v>0</v>
      </c>
      <c r="AF212" s="46">
        <f>'Inputs (2)'!AA33</f>
        <v>0</v>
      </c>
      <c r="AG212" s="12">
        <f>'Inputs (2)'!AB33</f>
        <v>0</v>
      </c>
      <c r="AH212" s="12">
        <f>'Inputs (2)'!AC33</f>
        <v>0</v>
      </c>
      <c r="AI212" s="12">
        <f>'Inputs (2)'!AD33</f>
        <v>0</v>
      </c>
      <c r="AJ212" s="12">
        <f>AI212</f>
        <v>0</v>
      </c>
      <c r="AK212" s="12">
        <f>AJ212</f>
        <v>0</v>
      </c>
      <c r="AL212" s="12">
        <f>AK212</f>
        <v>0</v>
      </c>
      <c r="AM212" s="12">
        <f>AL212</f>
        <v>0</v>
      </c>
      <c r="AN212" s="12">
        <f>AM212</f>
        <v>0</v>
      </c>
      <c r="AO212" s="12">
        <f>AN212</f>
        <v>0</v>
      </c>
      <c r="AP212" s="12">
        <f>AO212</f>
        <v>0</v>
      </c>
      <c r="AQ212" s="12">
        <f>AP212</f>
        <v>0</v>
      </c>
      <c r="AR212" s="12">
        <f>AQ212</f>
        <v>0</v>
      </c>
      <c r="AS212" s="12">
        <f>AR212</f>
        <v>0</v>
      </c>
      <c r="AT212" s="12">
        <f>AS212</f>
        <v>0</v>
      </c>
      <c r="AU212" s="12">
        <f>AT212</f>
        <v>0</v>
      </c>
      <c r="AV212" s="12">
        <f>AU212</f>
        <v>0</v>
      </c>
      <c r="AW212" s="12">
        <f>AV212</f>
        <v>0</v>
      </c>
      <c r="AX212" s="12">
        <f>AW212</f>
        <v>0</v>
      </c>
      <c r="AY212" s="12">
        <f>AX212</f>
        <v>0</v>
      </c>
      <c r="AZ212" s="12">
        <f>AY212</f>
        <v>0</v>
      </c>
      <c r="BA212" s="12">
        <f>AZ212</f>
        <v>0</v>
      </c>
      <c r="BB212" s="12">
        <f>BA212</f>
        <v>0</v>
      </c>
      <c r="BC212" s="12">
        <f>BB212</f>
        <v>0</v>
      </c>
      <c r="BD212" s="12">
        <f>BC212</f>
        <v>0</v>
      </c>
      <c r="BE212" s="12">
        <f>BD212</f>
        <v>0</v>
      </c>
      <c r="BF212" s="12">
        <f>BE212</f>
        <v>0</v>
      </c>
      <c r="BG212" s="12" t="n"/>
      <c r="BH212" s="12" t="n"/>
      <c r="BI212" s="12" t="n"/>
      <c r="BJ212" s="12" t="n"/>
      <c r="BK212" s="12" t="n"/>
      <c r="BL212" s="12" t="n"/>
      <c r="BM212" s="12" t="n"/>
      <c r="BN212" s="12" t="n"/>
      <c r="BO212" s="12" t="n"/>
      <c r="BP212" s="12" t="n"/>
      <c r="BQ212" s="12" t="n"/>
      <c r="BR212" s="12" t="n"/>
      <c r="BS212" s="12" t="n"/>
      <c r="BT212" s="12" t="n"/>
      <c r="BU212" s="12" t="n"/>
      <c r="BV212" s="12" t="n"/>
      <c r="BW212" s="12" t="n"/>
      <c r="BX212" s="12" t="n"/>
      <c r="BY212" s="12" t="n"/>
      <c r="BZ212" s="12" t="n"/>
      <c r="CA212" s="12" t="n"/>
      <c r="CB212" s="12" t="n"/>
      <c r="CC212" s="12" t="n"/>
      <c r="CD212" s="12" t="n"/>
      <c r="CE212" s="12" t="n"/>
      <c r="CF212" s="12" t="n"/>
      <c r="CG212" s="12" t="n"/>
      <c r="CH212" s="12" t="n"/>
      <c r="CI212" s="12" t="n"/>
      <c r="CJ212" s="12" t="n"/>
      <c r="CK212" s="12" t="n"/>
      <c r="CL212" s="12" t="n"/>
      <c r="CM212" s="12" t="n"/>
      <c r="CN212" s="12" t="n"/>
      <c r="CO212" s="12" t="n"/>
      <c r="CP212" s="12" t="n"/>
      <c r="CQ212" s="12" t="n"/>
      <c r="CR212" s="12" t="n"/>
      <c r="CS212" s="12" t="n"/>
      <c r="CT212" s="12" t="n"/>
      <c r="CU212" s="12" t="n"/>
      <c r="CV212" s="12" t="n"/>
      <c r="CW212" s="12" t="n"/>
      <c r="CX212" s="12" t="n"/>
      <c r="CY212" s="12" t="n"/>
    </row>
    <row r="213">
      <c r="C213" s="14" t="inlineStr">
        <is>
          <t>Short term operating leases</t>
        </is>
      </c>
      <c r="D213" s="46" t="n"/>
      <c r="E213" s="46" t="n"/>
      <c r="F213" s="46" t="n"/>
      <c r="G213" s="46" t="n"/>
      <c r="H213" s="12" t="n"/>
      <c r="I213" s="46">
        <f>'Inputs (2)'!D34</f>
        <v>1.789</v>
      </c>
      <c r="J213" s="46">
        <f>'Inputs (2)'!E34</f>
        <v>1.868</v>
      </c>
      <c r="K213" s="46">
        <f>'Inputs (2)'!F34</f>
        <v>1.845</v>
      </c>
      <c r="L213" s="46">
        <f>'Inputs (2)'!G34</f>
        <v>1.824</v>
      </c>
      <c r="M213" s="12">
        <f>'Inputs (2)'!H34</f>
        <v>1.824</v>
      </c>
      <c r="N213" s="46">
        <f>'Inputs (2)'!I34</f>
        <v>3.461</v>
      </c>
      <c r="O213" s="46">
        <f>'Inputs (2)'!J34</f>
        <v>2.64</v>
      </c>
      <c r="P213" s="46">
        <f>'Inputs (2)'!K34</f>
        <v>3.448</v>
      </c>
      <c r="Q213" s="46">
        <f>'Inputs (2)'!L34</f>
        <v>1.911</v>
      </c>
      <c r="R213" s="12">
        <f>'Inputs (2)'!M34</f>
        <v>1.911</v>
      </c>
      <c r="S213" s="46">
        <f>'Inputs (2)'!N34</f>
        <v>1.066</v>
      </c>
      <c r="T213" s="46">
        <f>'Inputs (2)'!O34</f>
        <v>1.798</v>
      </c>
      <c r="U213" s="46">
        <f>'Inputs (2)'!P34</f>
        <v>5.075</v>
      </c>
      <c r="V213" s="46">
        <f>'Inputs (2)'!Q34</f>
        <v>6.08</v>
      </c>
      <c r="W213" s="12">
        <f>'Inputs (2)'!R34</f>
        <v>6.08</v>
      </c>
      <c r="X213" s="46">
        <f>'Inputs (2)'!S34</f>
        <v>6.235</v>
      </c>
      <c r="Y213" s="46">
        <f>'Inputs (2)'!T34</f>
        <v>6.481</v>
      </c>
      <c r="Z213" s="46">
        <f>'Inputs (2)'!U34</f>
        <v>7.566</v>
      </c>
      <c r="AA213" s="46">
        <f>'Inputs (2)'!V34</f>
        <v>10.902</v>
      </c>
      <c r="AB213" s="12">
        <f>'Inputs (2)'!W34</f>
        <v>10.902</v>
      </c>
      <c r="AC213" s="46">
        <f>'Inputs (2)'!X34</f>
        <v>10.555</v>
      </c>
      <c r="AD213" s="46">
        <f>'Inputs (2)'!Y34</f>
        <v>10.567</v>
      </c>
      <c r="AE213" s="46">
        <f>'Inputs (2)'!Z34</f>
        <v>10.953</v>
      </c>
      <c r="AF213" s="46">
        <f>'Inputs (2)'!AA34</f>
        <v>11.265</v>
      </c>
      <c r="AG213" s="12">
        <f>'Inputs (2)'!AB34</f>
        <v>11.265</v>
      </c>
      <c r="AH213" s="12">
        <f>'Inputs (2)'!AC34</f>
        <v>13.795</v>
      </c>
      <c r="AI213" s="12">
        <f>'Inputs (2)'!AD34</f>
        <v>13.608</v>
      </c>
      <c r="AJ213" s="12">
        <f>AI213</f>
        <v>13.608</v>
      </c>
      <c r="AK213" s="12">
        <f>AJ213</f>
        <v>13.608</v>
      </c>
      <c r="AL213" s="12">
        <f>AK213</f>
        <v>13.608</v>
      </c>
      <c r="AM213" s="12">
        <f>AL213</f>
        <v>13.608</v>
      </c>
      <c r="AN213" s="12">
        <f>AM213</f>
        <v>13.608</v>
      </c>
      <c r="AO213" s="12">
        <f>AN213</f>
        <v>13.608</v>
      </c>
      <c r="AP213" s="12">
        <f>AO213</f>
        <v>13.608</v>
      </c>
      <c r="AQ213" s="12">
        <f>AP213</f>
        <v>13.608</v>
      </c>
      <c r="AR213" s="12">
        <f>AQ213</f>
        <v>13.608</v>
      </c>
      <c r="AS213" s="12">
        <f>AR213</f>
        <v>13.608</v>
      </c>
      <c r="AT213" s="12">
        <f>AS213</f>
        <v>13.608</v>
      </c>
      <c r="AU213" s="12">
        <f>AT213</f>
        <v>13.608</v>
      </c>
      <c r="AV213" s="12">
        <f>AU213</f>
        <v>13.608</v>
      </c>
      <c r="AW213" s="12">
        <f>AV213</f>
        <v>13.608</v>
      </c>
      <c r="AX213" s="12">
        <f>AW213</f>
        <v>13.608</v>
      </c>
      <c r="AY213" s="12">
        <f>AX213</f>
        <v>13.608</v>
      </c>
      <c r="AZ213" s="12">
        <f>AY213</f>
        <v>13.608</v>
      </c>
      <c r="BA213" s="12">
        <f>AZ213</f>
        <v>13.608</v>
      </c>
      <c r="BB213" s="12">
        <f>BA213</f>
        <v>13.608</v>
      </c>
      <c r="BC213" s="12">
        <f>BB213</f>
        <v>13.608</v>
      </c>
      <c r="BD213" s="12">
        <f>BC213</f>
        <v>13.608</v>
      </c>
      <c r="BE213" s="12">
        <f>BD213</f>
        <v>13.608</v>
      </c>
      <c r="BF213" s="12">
        <f>BE213</f>
        <v>13.608</v>
      </c>
      <c r="BG213" s="12" t="n"/>
      <c r="BH213" s="12" t="n"/>
      <c r="BI213" s="12" t="n"/>
      <c r="BJ213" s="12" t="n"/>
      <c r="BK213" s="12" t="n"/>
      <c r="BL213" s="12" t="n"/>
      <c r="BM213" s="12" t="n"/>
      <c r="BN213" s="12" t="n"/>
      <c r="BO213" s="12" t="n"/>
      <c r="BP213" s="12" t="n"/>
      <c r="BQ213" s="12" t="n"/>
      <c r="BR213" s="12" t="n"/>
      <c r="BS213" s="12" t="n"/>
      <c r="BT213" s="12" t="n"/>
      <c r="BU213" s="12" t="n"/>
      <c r="BV213" s="12" t="n"/>
      <c r="BW213" s="12" t="n"/>
      <c r="BX213" s="12" t="n"/>
      <c r="BY213" s="12" t="n"/>
      <c r="BZ213" s="12" t="n"/>
      <c r="CA213" s="12" t="n"/>
      <c r="CB213" s="12" t="n"/>
      <c r="CC213" s="12" t="n"/>
      <c r="CD213" s="12" t="n"/>
      <c r="CE213" s="12" t="n"/>
      <c r="CF213" s="12" t="n"/>
      <c r="CG213" s="12" t="n"/>
      <c r="CH213" s="12" t="n"/>
      <c r="CI213" s="12" t="n"/>
      <c r="CJ213" s="12" t="n"/>
      <c r="CK213" s="12" t="n"/>
      <c r="CL213" s="12" t="n"/>
      <c r="CM213" s="12" t="n"/>
      <c r="CN213" s="12" t="n"/>
      <c r="CO213" s="12" t="n"/>
      <c r="CP213" s="12" t="n"/>
      <c r="CQ213" s="12" t="n"/>
      <c r="CR213" s="12" t="n"/>
      <c r="CS213" s="12" t="n"/>
      <c r="CT213" s="12" t="n"/>
      <c r="CU213" s="12" t="n"/>
      <c r="CV213" s="12" t="n"/>
      <c r="CW213" s="12" t="n"/>
      <c r="CX213" s="12" t="n"/>
      <c r="CY213" s="12" t="n"/>
    </row>
    <row r="214" hidden="1" outlineLevel="1">
      <c r="C214" s="59" t="inlineStr">
        <is>
          <t>%(Var.)</t>
        </is>
      </c>
      <c r="D214" s="12" t="n"/>
      <c r="E214" s="40" t="n"/>
      <c r="F214" s="40" t="n"/>
      <c r="G214" s="40" t="n"/>
      <c r="H214" s="12" t="n"/>
      <c r="I214" s="40" t="str">
        <f>""</f>
        <v/>
      </c>
      <c r="J214" s="40">
        <f>IFERROR(IF(I213=0,"",J213/I213-1),"")</f>
        <v>0.044158747903857</v>
      </c>
      <c r="K214" s="40">
        <f>IFERROR(IF(J213=0,"",K213/J213-1),"")</f>
        <v>-0.0123126338329765</v>
      </c>
      <c r="L214" s="40">
        <f>IFERROR(IF(K213=0,"",L213/K213-1),"")</f>
        <v>-0.0113821138211382</v>
      </c>
      <c r="M214" s="12">
        <f>IF(L213=0,"",M213/L213-1)</f>
        <v>0</v>
      </c>
      <c r="N214" s="40">
        <f>IFERROR(IF(M213=0,"",N213/M213-1),"")</f>
        <v>0.897478070175438</v>
      </c>
      <c r="O214" s="40">
        <f>IFERROR(IF(N213=0,"",O213/N213-1),"")</f>
        <v>-0.237214677838775</v>
      </c>
      <c r="P214" s="40">
        <f>IFERROR(IF(O213=0,"",P213/O213-1),"")</f>
        <v>0.306060606060606</v>
      </c>
      <c r="Q214" s="40">
        <f>IFERROR(IF(P213=0,"",Q213/P213-1),"")</f>
        <v>-0.4457656612529</v>
      </c>
      <c r="R214" s="12">
        <f>IF(Q213=0,"",R213/Q213-1)</f>
        <v>0</v>
      </c>
      <c r="S214" s="40">
        <f>IFERROR(IF(R213=0,"",S213/R213-1),"")</f>
        <v>-0.442176870748299</v>
      </c>
      <c r="T214" s="40">
        <f>IFERROR(IF(S213=0,"",T213/S213-1),"")</f>
        <v>0.686679174484053</v>
      </c>
      <c r="U214" s="40">
        <f>IFERROR(IF(T213=0,"",U213/T213-1),"")</f>
        <v>1.82258064516129</v>
      </c>
      <c r="V214" s="40">
        <f>IFERROR(IF(U213=0,"",V213/U213-1),"")</f>
        <v>0.198029556650246</v>
      </c>
      <c r="W214" s="12">
        <f>IF(V213=0,"",W213/V213-1)</f>
        <v>0</v>
      </c>
      <c r="X214" s="40">
        <f>IFERROR(IF(W213=0,"",X213/W213-1),"")</f>
        <v>0.0254934210526316</v>
      </c>
      <c r="Y214" s="40">
        <f>IFERROR(IF(X213=0,"",Y213/X213-1),"")</f>
        <v>0.0394546912590217</v>
      </c>
      <c r="Z214" s="40">
        <f>IFERROR(IF(Y213=0,"",Z213/Y213-1),"")</f>
        <v>0.167412436352415</v>
      </c>
      <c r="AA214" s="40">
        <f>IFERROR(IF(Z213=0,"",AA213/Z213-1),"")</f>
        <v>0.440919904837431</v>
      </c>
      <c r="AB214" s="12">
        <f>IF(AA213=0,"",AB213/AA213-1)</f>
        <v>0</v>
      </c>
      <c r="AC214" s="40">
        <f>IFERROR(IF(AB213=0,"",AC213/AB213-1),"")</f>
        <v>-0.0318290221977619</v>
      </c>
      <c r="AD214" s="40">
        <f>IFERROR(IF(AC213=0,"",AD213/AC213-1),"")</f>
        <v>0.00113690194220761</v>
      </c>
      <c r="AE214" s="40">
        <f>IFERROR(IF(AD213=0,"",AE213/AD213-1),"")</f>
        <v>0.0365288161256743</v>
      </c>
      <c r="AF214" s="11">
        <f>IFERROR(IF(AE213=0,"",AF213/AE213-1),"")</f>
        <v>0.0284853464804165</v>
      </c>
      <c r="AG214" s="12">
        <f>IF(AF213=0,"",AG213/AF213-1)</f>
        <v>0</v>
      </c>
      <c r="AH214" s="11">
        <f>IFERROR(IF(AG213=0,"",AH213/AG213-1),"")</f>
        <v>0.224589436307146</v>
      </c>
      <c r="AI214" s="11">
        <f>IFERROR(IF(AH213=0,"",AI213/AH213-1),"")</f>
        <v>-0.0135556361000362</v>
      </c>
      <c r="AJ214" s="11">
        <f>IFERROR(IF(AI213=0,"",AJ213/AI213-1),"")</f>
        <v>0</v>
      </c>
      <c r="AK214" s="11">
        <f>IFERROR(IF(AJ213=0,"",AK213/AJ213-1),"")</f>
        <v>0</v>
      </c>
      <c r="AL214" s="12">
        <f>IFERROR(IF(AK213=0,"",AL213/AK213-1),"")</f>
        <v>0</v>
      </c>
      <c r="AM214" s="11">
        <f>IFERROR(IF(AL213=0,"",AM213/AL213-1),"")</f>
        <v>0</v>
      </c>
      <c r="AN214" s="11">
        <f>IFERROR(IF(AM213=0,"",AN213/AM213-1),"")</f>
        <v>0</v>
      </c>
      <c r="AO214" s="11">
        <f>IFERROR(IF(AN213=0,"",AO213/AN213-1),"")</f>
        <v>0</v>
      </c>
      <c r="AP214" s="11">
        <f>IFERROR(IF(AO213=0,"",AP213/AO213-1),"")</f>
        <v>0</v>
      </c>
      <c r="AQ214" s="12">
        <f>IFERROR(IF(AP213=0,"",AQ213/AP213-1),"")</f>
        <v>0</v>
      </c>
      <c r="AR214" s="11">
        <f>IFERROR(IF(AQ213=0,"",AR213/AQ213-1),"")</f>
        <v>0</v>
      </c>
      <c r="AS214" s="11">
        <f>IFERROR(IF(AR213=0,"",AS213/AR213-1),"")</f>
        <v>0</v>
      </c>
      <c r="AT214" s="11">
        <f>IFERROR(IF(AS213=0,"",AT213/AS213-1),"")</f>
        <v>0</v>
      </c>
      <c r="AU214" s="11">
        <f>IFERROR(IF(AT213=0,"",AU213/AT213-1),"")</f>
        <v>0</v>
      </c>
      <c r="AV214" s="12">
        <f>IFERROR(IF(AU213=0,"",AV213/AU213-1),"")</f>
        <v>0</v>
      </c>
      <c r="AW214" s="11">
        <f>IFERROR(IF(AV213=0,"",AW213/AV213-1),"")</f>
        <v>0</v>
      </c>
      <c r="AX214" s="11">
        <f>IFERROR(IF(AW213=0,"",AX213/AW213-1),"")</f>
        <v>0</v>
      </c>
      <c r="AY214" s="11">
        <f>IFERROR(IF(AX213=0,"",AY213/AX213-1),"")</f>
        <v>0</v>
      </c>
      <c r="AZ214" s="11">
        <f>IFERROR(IF(AY213=0,"",AZ213/AY213-1),"")</f>
        <v>0</v>
      </c>
      <c r="BA214" s="12">
        <f>IFERROR(IF(AZ213=0,"",BA213/AZ213-1),"")</f>
        <v>0</v>
      </c>
      <c r="BB214" s="11">
        <f>IFERROR(IF(BA213=0,"",BB213/BA213-1),"")</f>
        <v>0</v>
      </c>
      <c r="BC214" s="11">
        <f>IFERROR(IF(BB213=0,"",BC213/BB213-1),"")</f>
        <v>0</v>
      </c>
      <c r="BD214" s="11">
        <f>IFERROR(IF(BC213=0,"",BD213/BC213-1),"")</f>
        <v>0</v>
      </c>
      <c r="BE214" s="11">
        <f>IFERROR(IF(BD213=0,"",BE213/BD213-1),"")</f>
        <v>0</v>
      </c>
      <c r="BF214" s="12">
        <f>IFERROR(IF(BE213=0,"",BF213/BE213-1),"")</f>
        <v>0</v>
      </c>
      <c r="BG214" s="11" t="n"/>
      <c r="BH214" s="11" t="n"/>
      <c r="BI214" s="11" t="n"/>
      <c r="BJ214" s="11" t="n"/>
      <c r="BK214" s="12" t="n"/>
      <c r="BL214" s="11" t="n"/>
      <c r="BM214" s="11" t="n"/>
      <c r="BN214" s="11" t="n"/>
      <c r="BO214" s="11" t="n"/>
      <c r="BP214" s="12" t="n"/>
      <c r="BQ214" s="11" t="n"/>
      <c r="BR214" s="11" t="n"/>
      <c r="BS214" s="11" t="n"/>
      <c r="BT214" s="11" t="n"/>
      <c r="BU214" s="12" t="n"/>
      <c r="BV214" s="11" t="n"/>
      <c r="BW214" s="11" t="n"/>
      <c r="BX214" s="11" t="n"/>
      <c r="BY214" s="11" t="n"/>
      <c r="BZ214" s="12" t="n"/>
      <c r="CA214" s="11" t="n"/>
      <c r="CB214" s="11" t="n"/>
      <c r="CC214" s="11" t="n"/>
      <c r="CD214" s="11" t="n"/>
      <c r="CE214" s="12" t="n"/>
      <c r="CF214" s="11" t="n"/>
      <c r="CG214" s="11" t="n"/>
      <c r="CH214" s="11" t="n"/>
      <c r="CI214" s="11" t="n"/>
      <c r="CJ214" s="12" t="n"/>
      <c r="CK214" s="11" t="n"/>
      <c r="CL214" s="11" t="n"/>
      <c r="CM214" s="11" t="n"/>
      <c r="CN214" s="11" t="n"/>
      <c r="CO214" s="12" t="n"/>
      <c r="CP214" s="11" t="n"/>
      <c r="CQ214" s="11" t="n"/>
      <c r="CR214" s="11" t="n"/>
      <c r="CS214" s="11" t="n"/>
      <c r="CT214" s="12" t="n"/>
      <c r="CU214" s="11" t="n"/>
      <c r="CV214" s="11" t="n"/>
      <c r="CW214" s="11" t="n"/>
      <c r="CX214" s="11" t="n"/>
      <c r="CY214" s="12" t="n"/>
    </row>
    <row r="215" hidden="1" outlineLevel="1">
      <c r="C215" s="57" t="n"/>
      <c r="D215" s="12" t="n"/>
      <c r="E215" s="12" t="n"/>
      <c r="F215" s="12" t="n"/>
      <c r="G215" s="12" t="n"/>
      <c r="H215" s="12" t="n"/>
      <c r="I215" s="12" t="n"/>
      <c r="J215" s="12" t="n"/>
      <c r="K215" s="12" t="n"/>
      <c r="L215" s="12" t="n"/>
      <c r="M215" s="12" t="n"/>
      <c r="N215" s="12" t="n"/>
      <c r="O215" s="12" t="n"/>
      <c r="P215" s="12" t="n"/>
      <c r="Q215" s="12" t="n"/>
      <c r="R215" s="12" t="n"/>
      <c r="S215" s="12" t="n"/>
      <c r="T215" s="12" t="n"/>
      <c r="U215" s="12" t="n"/>
      <c r="V215" s="12" t="n"/>
      <c r="W215" s="12" t="n"/>
      <c r="X215" s="12" t="n"/>
      <c r="Y215" s="12" t="n"/>
      <c r="Z215" s="12" t="n"/>
      <c r="AA215" s="12" t="n"/>
      <c r="AB215" s="12" t="n"/>
      <c r="AC215" s="12" t="n"/>
      <c r="AD215" s="12" t="n"/>
      <c r="AE215" s="12" t="n"/>
      <c r="AF215" s="12" t="n"/>
      <c r="AG215" s="12" t="n"/>
      <c r="AH215" s="12" t="n"/>
      <c r="AI215" s="12" t="n"/>
      <c r="AJ215" s="12" t="n"/>
      <c r="AK215" s="12" t="n"/>
      <c r="AL215" s="12" t="n"/>
      <c r="AM215" s="12" t="n"/>
      <c r="AN215" s="12" t="n"/>
      <c r="AO215" s="12" t="n"/>
      <c r="AP215" s="12" t="n"/>
      <c r="AQ215" s="12" t="n"/>
      <c r="AR215" s="12" t="n"/>
      <c r="AS215" s="12" t="n"/>
      <c r="AT215" s="12" t="n"/>
      <c r="AU215" s="12" t="n"/>
      <c r="AV215" s="12" t="n"/>
      <c r="AW215" s="12" t="n"/>
      <c r="AX215" s="12" t="n"/>
      <c r="AY215" s="12" t="n"/>
      <c r="AZ215" s="12" t="n"/>
      <c r="BA215" s="12" t="n"/>
      <c r="BB215" s="12" t="n"/>
      <c r="BC215" s="12" t="n"/>
      <c r="BD215" s="12" t="n"/>
      <c r="BE215" s="12" t="n"/>
      <c r="BF215" s="12" t="n"/>
      <c r="BG215" s="12" t="n"/>
      <c r="BH215" s="12" t="n"/>
      <c r="BI215" s="12" t="n"/>
      <c r="BJ215" s="12" t="n"/>
      <c r="BK215" s="12" t="n"/>
      <c r="BL215" s="12" t="n"/>
      <c r="BM215" s="12" t="n"/>
      <c r="BN215" s="12" t="n"/>
      <c r="BO215" s="12" t="n"/>
      <c r="BP215" s="12" t="n"/>
      <c r="BQ215" s="12" t="n"/>
      <c r="BR215" s="12" t="n"/>
      <c r="BS215" s="12" t="n"/>
      <c r="BT215" s="12" t="n"/>
      <c r="BU215" s="12" t="n"/>
      <c r="BV215" s="12" t="n"/>
      <c r="BW215" s="12" t="n"/>
      <c r="BX215" s="12" t="n"/>
      <c r="BY215" s="12" t="n"/>
      <c r="BZ215" s="12" t="n"/>
      <c r="CA215" s="12" t="n"/>
      <c r="CB215" s="12" t="n"/>
      <c r="CC215" s="12" t="n"/>
      <c r="CD215" s="12" t="n"/>
      <c r="CE215" s="12" t="n"/>
      <c r="CF215" s="12" t="n"/>
      <c r="CG215" s="12" t="n"/>
      <c r="CH215" s="12" t="n"/>
      <c r="CI215" s="12" t="n"/>
      <c r="CJ215" s="12" t="n"/>
      <c r="CK215" s="12" t="n"/>
      <c r="CL215" s="12" t="n"/>
      <c r="CM215" s="12" t="n"/>
      <c r="CN215" s="12" t="n"/>
      <c r="CO215" s="12" t="n"/>
      <c r="CP215" s="12" t="n"/>
      <c r="CQ215" s="12" t="n"/>
      <c r="CR215" s="12" t="n"/>
      <c r="CS215" s="12" t="n"/>
      <c r="CT215" s="12" t="n"/>
      <c r="CU215" s="12" t="n"/>
      <c r="CV215" s="12" t="n"/>
      <c r="CW215" s="12" t="n"/>
      <c r="CX215" s="12" t="n"/>
      <c r="CY215" s="12" t="n"/>
    </row>
    <row r="216" collapsed="1">
      <c r="C216" s="14" t="inlineStr">
        <is>
          <t>Long term debt</t>
        </is>
      </c>
      <c r="D216" s="46" t="n"/>
      <c r="E216" s="46" t="n"/>
      <c r="F216" s="46" t="n"/>
      <c r="G216" s="46" t="n"/>
      <c r="H216" s="12" t="n"/>
      <c r="I216" s="46">
        <f>'Inputs (2)'!D35</f>
        <v>3642.749</v>
      </c>
      <c r="J216" s="46">
        <f>'Inputs (2)'!E35</f>
        <v>3659.591</v>
      </c>
      <c r="K216" s="46">
        <f>'Inputs (2)'!F35</f>
        <v>4209.506</v>
      </c>
      <c r="L216" s="46">
        <f>'Inputs (2)'!G35</f>
        <v>4501.915</v>
      </c>
      <c r="M216" s="12">
        <f>'Inputs (2)'!H35</f>
        <v>4501.915</v>
      </c>
      <c r="N216" s="46">
        <f>'Inputs (2)'!I35</f>
        <v>4623.916</v>
      </c>
      <c r="O216" s="46">
        <f>'Inputs (2)'!J35</f>
        <v>5358.69</v>
      </c>
      <c r="P216" s="46">
        <f>'Inputs (2)'!K35</f>
        <v>5492.2</v>
      </c>
      <c r="Q216" s="46">
        <f>'Inputs (2)'!L35</f>
        <v>5553.602</v>
      </c>
      <c r="R216" s="12">
        <f>'Inputs (2)'!M35</f>
        <v>5553.602</v>
      </c>
      <c r="S216" s="46">
        <f>'Inputs (2)'!N35</f>
        <v>5835.248</v>
      </c>
      <c r="T216" s="46">
        <f>'Inputs (2)'!O35</f>
        <v>5728.692</v>
      </c>
      <c r="U216" s="46">
        <f>'Inputs (2)'!P35</f>
        <v>5711.036</v>
      </c>
      <c r="V216" s="46">
        <f>'Inputs (2)'!Q35</f>
        <v>5500.048</v>
      </c>
      <c r="W216" s="12">
        <f>'Inputs (2)'!R35</f>
        <v>5500.048</v>
      </c>
      <c r="X216" s="46">
        <f>'Inputs (2)'!S35</f>
        <v>5614.407</v>
      </c>
      <c r="Y216" s="46">
        <f>'Inputs (2)'!T35</f>
        <v>7476.85</v>
      </c>
      <c r="Z216" s="46">
        <f>'Inputs (2)'!U35</f>
        <v>7511.764</v>
      </c>
      <c r="AA216" s="46">
        <f>'Inputs (2)'!V35</f>
        <v>24346.016</v>
      </c>
      <c r="AB216" s="12">
        <f>'Inputs (2)'!W35</f>
        <v>24346.016</v>
      </c>
      <c r="AC216" s="46">
        <f>'Inputs (2)'!X35</f>
        <v>23564.273</v>
      </c>
      <c r="AD216" s="46">
        <f>'Inputs (2)'!Y35</f>
        <v>22351.556</v>
      </c>
      <c r="AE216" s="46">
        <f>'Inputs (2)'!Z35</f>
        <v>22593.796</v>
      </c>
      <c r="AF216" s="46">
        <f>'Inputs (2)'!AA35</f>
        <v>22582.913</v>
      </c>
      <c r="AG216" s="12">
        <f>'Inputs (2)'!AB35</f>
        <v>22582.913</v>
      </c>
      <c r="AH216" s="12">
        <f>'Inputs (2)'!AC35</f>
        <v>21574.755</v>
      </c>
      <c r="AI216" s="12">
        <f>'Inputs (2)'!AD35</f>
        <v>21568.987</v>
      </c>
      <c r="AJ216" s="12">
        <f>AI216</f>
        <v>21568.987</v>
      </c>
      <c r="AK216" s="12">
        <f>AJ216</f>
        <v>21568.987</v>
      </c>
      <c r="AL216" s="12">
        <f>AK216</f>
        <v>21568.987</v>
      </c>
      <c r="AM216" s="12">
        <f>AL216</f>
        <v>21568.987</v>
      </c>
      <c r="AN216" s="12">
        <f>AM216</f>
        <v>21568.987</v>
      </c>
      <c r="AO216" s="12">
        <f>AN216</f>
        <v>21568.987</v>
      </c>
      <c r="AP216" s="12">
        <f>AO216</f>
        <v>21568.987</v>
      </c>
      <c r="AQ216" s="12">
        <f>AP216</f>
        <v>21568.987</v>
      </c>
      <c r="AR216" s="12">
        <f>AQ216</f>
        <v>21568.987</v>
      </c>
      <c r="AS216" s="12">
        <f>AR216</f>
        <v>21568.987</v>
      </c>
      <c r="AT216" s="12">
        <f>AS216</f>
        <v>21568.987</v>
      </c>
      <c r="AU216" s="12">
        <f>AT216</f>
        <v>21568.987</v>
      </c>
      <c r="AV216" s="12">
        <f>AU216</f>
        <v>21568.987</v>
      </c>
      <c r="AW216" s="12">
        <f>AV216</f>
        <v>21568.987</v>
      </c>
      <c r="AX216" s="12">
        <f>AW216</f>
        <v>21568.987</v>
      </c>
      <c r="AY216" s="12">
        <f>AX216</f>
        <v>21568.987</v>
      </c>
      <c r="AZ216" s="12">
        <f>AY216</f>
        <v>21568.987</v>
      </c>
      <c r="BA216" s="12">
        <f>AZ216</f>
        <v>21568.987</v>
      </c>
      <c r="BB216" s="12">
        <f>BA216</f>
        <v>21568.987</v>
      </c>
      <c r="BC216" s="12">
        <f>BB216</f>
        <v>21568.987</v>
      </c>
      <c r="BD216" s="12">
        <f>BC216</f>
        <v>21568.987</v>
      </c>
      <c r="BE216" s="12">
        <f>BD216</f>
        <v>21568.987</v>
      </c>
      <c r="BF216" s="12">
        <f>BE216</f>
        <v>21568.987</v>
      </c>
      <c r="BG216" s="12" t="n"/>
      <c r="BH216" s="12" t="n"/>
      <c r="BI216" s="12" t="n"/>
      <c r="BJ216" s="12" t="n"/>
      <c r="BK216" s="12" t="n"/>
      <c r="BL216" s="12" t="n"/>
      <c r="BM216" s="12" t="n"/>
      <c r="BN216" s="12" t="n"/>
      <c r="BO216" s="12" t="n"/>
      <c r="BP216" s="12" t="n"/>
      <c r="BQ216" s="12" t="n"/>
      <c r="BR216" s="12" t="n"/>
      <c r="BS216" s="12" t="n"/>
      <c r="BT216" s="12" t="n"/>
      <c r="BU216" s="12" t="n"/>
      <c r="BV216" s="12" t="n"/>
      <c r="BW216" s="12" t="n"/>
      <c r="BX216" s="12" t="n"/>
      <c r="BY216" s="12" t="n"/>
      <c r="BZ216" s="12" t="n"/>
      <c r="CA216" s="12" t="n"/>
      <c r="CB216" s="12" t="n"/>
      <c r="CC216" s="12" t="n"/>
      <c r="CD216" s="12" t="n"/>
      <c r="CE216" s="12" t="n"/>
      <c r="CF216" s="12" t="n"/>
      <c r="CG216" s="12" t="n"/>
      <c r="CH216" s="12" t="n"/>
      <c r="CI216" s="12" t="n"/>
      <c r="CJ216" s="12" t="n"/>
      <c r="CK216" s="12" t="n"/>
      <c r="CL216" s="12" t="n"/>
      <c r="CM216" s="12" t="n"/>
      <c r="CN216" s="12" t="n"/>
      <c r="CO216" s="12" t="n"/>
      <c r="CP216" s="12" t="n"/>
      <c r="CQ216" s="12" t="n"/>
      <c r="CR216" s="12" t="n"/>
      <c r="CS216" s="12" t="n"/>
      <c r="CT216" s="12" t="n"/>
      <c r="CU216" s="12" t="n"/>
      <c r="CV216" s="12" t="n"/>
      <c r="CW216" s="12" t="n"/>
      <c r="CX216" s="12" t="n"/>
      <c r="CY216" s="12" t="n"/>
    </row>
    <row r="217" hidden="1" outlineLevel="1">
      <c r="C217" s="57" t="n"/>
      <c r="D217" s="12" t="n"/>
      <c r="E217" s="12" t="n"/>
      <c r="F217" s="12" t="n"/>
      <c r="G217" s="12" t="n"/>
      <c r="H217" s="12" t="n"/>
      <c r="I217" s="12" t="n"/>
      <c r="J217" s="12" t="n"/>
      <c r="K217" s="12" t="n"/>
      <c r="L217" s="12" t="n"/>
      <c r="M217" s="12" t="n"/>
      <c r="N217" s="12" t="n"/>
      <c r="O217" s="12" t="n"/>
      <c r="P217" s="12" t="n"/>
      <c r="Q217" s="12" t="n"/>
      <c r="R217" s="12" t="n"/>
      <c r="S217" s="12" t="n"/>
      <c r="T217" s="12" t="n"/>
      <c r="U217" s="12" t="n"/>
      <c r="V217" s="12" t="n"/>
      <c r="W217" s="12" t="n"/>
      <c r="X217" s="12" t="n"/>
      <c r="Y217" s="12" t="n"/>
      <c r="Z217" s="12" t="n"/>
      <c r="AA217" s="12" t="n"/>
      <c r="AB217" s="12" t="n"/>
      <c r="AC217" s="12" t="n"/>
      <c r="AD217" s="12" t="n"/>
      <c r="AE217" s="12" t="n"/>
      <c r="AF217" s="12" t="n"/>
      <c r="AG217" s="12" t="n"/>
      <c r="AH217" s="12" t="n"/>
      <c r="AI217" s="12" t="n"/>
      <c r="AJ217" s="12" t="n"/>
      <c r="AK217" s="12" t="n"/>
      <c r="AL217" s="12" t="n"/>
      <c r="AM217" s="12" t="n"/>
      <c r="AN217" s="12" t="n"/>
      <c r="AO217" s="12" t="n"/>
      <c r="AP217" s="12" t="n"/>
      <c r="AQ217" s="12" t="n"/>
      <c r="AR217" s="12" t="n"/>
      <c r="AS217" s="12" t="n"/>
      <c r="AT217" s="12" t="n"/>
      <c r="AU217" s="12" t="n"/>
      <c r="AV217" s="12" t="n"/>
      <c r="AW217" s="12" t="n"/>
      <c r="AX217" s="12" t="n"/>
      <c r="AY217" s="12" t="n"/>
      <c r="AZ217" s="12" t="n"/>
      <c r="BA217" s="12" t="n"/>
      <c r="BB217" s="12" t="n"/>
      <c r="BC217" s="12" t="n"/>
      <c r="BD217" s="12" t="n"/>
      <c r="BE217" s="12" t="n"/>
      <c r="BF217" s="12" t="n"/>
      <c r="BG217" s="12" t="n"/>
      <c r="BH217" s="12" t="n"/>
      <c r="BI217" s="12" t="n"/>
      <c r="BJ217" s="12" t="n"/>
      <c r="BK217" s="12" t="n"/>
      <c r="BL217" s="12" t="n"/>
      <c r="BM217" s="12" t="n"/>
      <c r="BN217" s="12" t="n"/>
      <c r="BO217" s="12" t="n"/>
      <c r="BP217" s="12" t="n"/>
      <c r="BQ217" s="12" t="n"/>
      <c r="BR217" s="12" t="n"/>
      <c r="BS217" s="12" t="n"/>
      <c r="BT217" s="12" t="n"/>
      <c r="BU217" s="12" t="n"/>
      <c r="BV217" s="12" t="n"/>
      <c r="BW217" s="12" t="n"/>
      <c r="BX217" s="12" t="n"/>
      <c r="BY217" s="12" t="n"/>
      <c r="BZ217" s="12" t="n"/>
      <c r="CA217" s="12" t="n"/>
      <c r="CB217" s="12" t="n"/>
      <c r="CC217" s="12" t="n"/>
      <c r="CD217" s="12" t="n"/>
      <c r="CE217" s="12" t="n"/>
      <c r="CF217" s="12" t="n"/>
      <c r="CG217" s="12" t="n"/>
      <c r="CH217" s="12" t="n"/>
      <c r="CI217" s="12" t="n"/>
      <c r="CJ217" s="12" t="n"/>
      <c r="CK217" s="12" t="n"/>
      <c r="CL217" s="12" t="n"/>
      <c r="CM217" s="12" t="n"/>
      <c r="CN217" s="12" t="n"/>
      <c r="CO217" s="12" t="n"/>
      <c r="CP217" s="12" t="n"/>
      <c r="CQ217" s="12" t="n"/>
      <c r="CR217" s="12" t="n"/>
      <c r="CS217" s="12" t="n"/>
      <c r="CT217" s="12" t="n"/>
      <c r="CU217" s="12" t="n"/>
      <c r="CV217" s="12" t="n"/>
      <c r="CW217" s="12" t="n"/>
      <c r="CX217" s="12" t="n"/>
      <c r="CY217" s="12" t="n"/>
    </row>
    <row r="218" hidden="1" outlineLevel="1">
      <c r="C218" s="57" t="inlineStr">
        <is>
          <t>Current portion of LTD</t>
        </is>
      </c>
      <c r="D218" s="12" t="n"/>
      <c r="E218" s="12" t="n"/>
      <c r="F218" s="12" t="n"/>
      <c r="G218" s="12" t="n"/>
      <c r="H218" s="12" t="n"/>
      <c r="I218" s="12" t="n"/>
      <c r="J218" s="12" t="n"/>
      <c r="K218" s="12" t="n"/>
      <c r="L218" s="12" t="n"/>
      <c r="M218" s="12" t="n"/>
      <c r="N218" s="12" t="n"/>
      <c r="O218" s="12" t="n"/>
      <c r="P218" s="12" t="n"/>
      <c r="Q218" s="12" t="n"/>
      <c r="R218" s="12" t="n"/>
      <c r="S218" s="12" t="n"/>
      <c r="T218" s="12" t="n"/>
      <c r="U218" s="12" t="n"/>
      <c r="V218" s="12" t="n"/>
      <c r="W218" s="12" t="n"/>
      <c r="X218" s="12" t="n"/>
      <c r="Y218" s="12" t="n"/>
      <c r="Z218" s="12" t="n"/>
      <c r="AA218" s="12" t="n"/>
      <c r="AB218" s="12" t="n"/>
      <c r="AC218" s="12" t="n"/>
      <c r="AD218" s="12" t="n"/>
      <c r="AE218" s="12" t="n"/>
      <c r="AF218" s="12" t="n"/>
      <c r="AG218" s="12" t="n"/>
      <c r="AH218" s="12" t="n"/>
      <c r="AI218" s="62" t="n"/>
      <c r="AJ218" s="62" t="n"/>
      <c r="AK218" s="62" t="n"/>
      <c r="AL218" s="12" t="n"/>
      <c r="AM218" s="12" t="n"/>
      <c r="AN218" s="62" t="n"/>
      <c r="AO218" s="62" t="n"/>
      <c r="AP218" s="62" t="n"/>
      <c r="AQ218" s="12" t="n"/>
      <c r="AR218" s="12" t="n"/>
      <c r="AS218" s="62" t="n"/>
      <c r="AT218" s="62" t="n"/>
      <c r="AU218" s="62" t="n"/>
      <c r="AV218" s="12" t="n"/>
      <c r="AW218" s="12" t="n"/>
      <c r="AX218" s="62" t="n"/>
      <c r="AY218" s="62" t="n"/>
      <c r="AZ218" s="62" t="n"/>
      <c r="BA218" s="12" t="n"/>
      <c r="BB218" s="12" t="n"/>
      <c r="BC218" s="62" t="n"/>
      <c r="BD218" s="62" t="n"/>
      <c r="BE218" s="62" t="n"/>
      <c r="BF218" s="12" t="n"/>
      <c r="BG218" s="12" t="n"/>
      <c r="BH218" s="62" t="n"/>
      <c r="BI218" s="62" t="n"/>
      <c r="BJ218" s="62" t="n"/>
      <c r="BK218" s="12" t="n"/>
      <c r="BL218" s="12" t="n"/>
      <c r="BM218" s="62" t="n"/>
      <c r="BN218" s="62" t="n"/>
      <c r="BO218" s="62" t="n"/>
      <c r="BP218" s="12" t="n"/>
      <c r="BQ218" s="12" t="n"/>
      <c r="BR218" s="62" t="n"/>
      <c r="BS218" s="62" t="n"/>
      <c r="BT218" s="62" t="n"/>
      <c r="BU218" s="12" t="n"/>
      <c r="BV218" s="12" t="n"/>
      <c r="BW218" s="62" t="n"/>
      <c r="BX218" s="62" t="n"/>
      <c r="BY218" s="62" t="n"/>
      <c r="BZ218" s="12" t="n"/>
      <c r="CA218" s="12" t="n"/>
      <c r="CB218" s="62" t="n"/>
      <c r="CC218" s="62" t="n"/>
      <c r="CD218" s="62" t="n"/>
      <c r="CE218" s="12" t="n"/>
      <c r="CF218" s="12" t="n"/>
      <c r="CG218" s="62" t="n"/>
      <c r="CH218" s="62" t="n"/>
      <c r="CI218" s="62" t="n"/>
      <c r="CJ218" s="12" t="n"/>
      <c r="CK218" s="12" t="n"/>
      <c r="CL218" s="62" t="n"/>
      <c r="CM218" s="62" t="n"/>
      <c r="CN218" s="62" t="n"/>
      <c r="CO218" s="12" t="n"/>
      <c r="CP218" s="12" t="n"/>
      <c r="CQ218" s="62" t="n"/>
      <c r="CR218" s="62" t="n"/>
      <c r="CS218" s="62" t="n"/>
      <c r="CT218" s="12" t="n"/>
      <c r="CU218" s="12" t="n"/>
      <c r="CV218" s="62" t="n"/>
      <c r="CW218" s="62" t="n"/>
      <c r="CX218" s="62" t="n"/>
      <c r="CY218" s="12" t="n"/>
    </row>
    <row r="219" hidden="1" outlineLevel="1">
      <c r="C219" s="57" t="n"/>
      <c r="D219" s="12" t="n"/>
      <c r="E219" s="12" t="n"/>
      <c r="F219" s="12" t="n"/>
      <c r="G219" s="12" t="n"/>
      <c r="H219" s="12" t="n"/>
      <c r="I219" s="12" t="n"/>
      <c r="J219" s="12" t="n"/>
      <c r="K219" s="12" t="n"/>
      <c r="L219" s="12" t="n"/>
      <c r="M219" s="12" t="n"/>
      <c r="N219" s="12" t="n"/>
      <c r="O219" s="12" t="n"/>
      <c r="P219" s="12" t="n"/>
      <c r="Q219" s="12" t="n"/>
      <c r="R219" s="12" t="n"/>
      <c r="S219" s="12" t="n"/>
      <c r="T219" s="12" t="n"/>
      <c r="U219" s="12" t="n"/>
      <c r="V219" s="12" t="n"/>
      <c r="W219" s="12" t="n"/>
      <c r="X219" s="12" t="n"/>
      <c r="Y219" s="12" t="n"/>
      <c r="Z219" s="12" t="n"/>
      <c r="AA219" s="12" t="n"/>
      <c r="AB219" s="12" t="n"/>
      <c r="AC219" s="12" t="n"/>
      <c r="AD219" s="12" t="n"/>
      <c r="AE219" s="12" t="n"/>
      <c r="AF219" s="12" t="n"/>
      <c r="AG219" s="12" t="n"/>
      <c r="AH219" s="12" t="n"/>
      <c r="AI219" s="12" t="n"/>
      <c r="AJ219" s="12" t="n"/>
      <c r="AK219" s="12" t="n"/>
      <c r="AL219" s="12" t="n"/>
      <c r="AM219" s="12" t="n"/>
      <c r="AN219" s="12" t="n"/>
      <c r="AO219" s="12" t="n"/>
      <c r="AP219" s="12" t="n"/>
      <c r="AQ219" s="12" t="n"/>
      <c r="AR219" s="12" t="n"/>
      <c r="AS219" s="12" t="n"/>
      <c r="AT219" s="12" t="n"/>
      <c r="AU219" s="12" t="n"/>
      <c r="AV219" s="12" t="n"/>
      <c r="AW219" s="12" t="n"/>
      <c r="AX219" s="12" t="n"/>
      <c r="AY219" s="12" t="n"/>
      <c r="AZ219" s="12" t="n"/>
      <c r="BA219" s="12" t="n"/>
      <c r="BB219" s="12" t="n"/>
      <c r="BC219" s="12" t="n"/>
      <c r="BD219" s="12" t="n"/>
      <c r="BE219" s="12" t="n"/>
      <c r="BF219" s="12" t="n"/>
      <c r="BG219" s="12" t="n"/>
      <c r="BH219" s="12" t="n"/>
      <c r="BI219" s="12" t="n"/>
      <c r="BJ219" s="12" t="n"/>
      <c r="BK219" s="12" t="n"/>
      <c r="BL219" s="12" t="n"/>
      <c r="BM219" s="12" t="n"/>
      <c r="BN219" s="12" t="n"/>
      <c r="BO219" s="12" t="n"/>
      <c r="BP219" s="12" t="n"/>
      <c r="BQ219" s="12" t="n"/>
      <c r="BR219" s="12" t="n"/>
      <c r="BS219" s="12" t="n"/>
      <c r="BT219" s="12" t="n"/>
      <c r="BU219" s="12" t="n"/>
      <c r="BV219" s="12" t="n"/>
      <c r="BW219" s="12" t="n"/>
      <c r="BX219" s="12" t="n"/>
      <c r="BY219" s="12" t="n"/>
      <c r="BZ219" s="12" t="n"/>
      <c r="CA219" s="12" t="n"/>
      <c r="CB219" s="12" t="n"/>
      <c r="CC219" s="12" t="n"/>
      <c r="CD219" s="12" t="n"/>
      <c r="CE219" s="12" t="n"/>
      <c r="CF219" s="12" t="n"/>
      <c r="CG219" s="12" t="n"/>
      <c r="CH219" s="12" t="n"/>
      <c r="CI219" s="12" t="n"/>
      <c r="CJ219" s="12" t="n"/>
      <c r="CK219" s="12" t="n"/>
      <c r="CL219" s="12" t="n"/>
      <c r="CM219" s="12" t="n"/>
      <c r="CN219" s="12" t="n"/>
      <c r="CO219" s="12" t="n"/>
      <c r="CP219" s="12" t="n"/>
      <c r="CQ219" s="12" t="n"/>
      <c r="CR219" s="12" t="n"/>
      <c r="CS219" s="12" t="n"/>
      <c r="CT219" s="12" t="n"/>
      <c r="CU219" s="12" t="n"/>
      <c r="CV219" s="12" t="n"/>
      <c r="CW219" s="12" t="n"/>
      <c r="CX219" s="12" t="n"/>
      <c r="CY219" s="12" t="n"/>
    </row>
    <row r="220" hidden="1" outlineLevel="1">
      <c r="C220" s="57" t="inlineStr">
        <is>
          <t>Reclassification of LTD to CP of LTD</t>
        </is>
      </c>
      <c r="D220" s="12" t="n"/>
      <c r="E220" s="12" t="n"/>
      <c r="F220" s="12" t="n"/>
      <c r="G220" s="12" t="n"/>
      <c r="H220" s="12" t="n"/>
      <c r="I220" s="12" t="n"/>
      <c r="J220" s="12" t="n"/>
      <c r="K220" s="12" t="n"/>
      <c r="L220" s="12" t="n"/>
      <c r="M220" s="12" t="n"/>
      <c r="N220" s="12" t="n"/>
      <c r="O220" s="12" t="n"/>
      <c r="P220" s="12" t="n"/>
      <c r="Q220" s="12" t="n"/>
      <c r="R220" s="12" t="n"/>
      <c r="S220" s="12" t="n"/>
      <c r="T220" s="12" t="n"/>
      <c r="U220" s="12" t="n"/>
      <c r="V220" s="12" t="n"/>
      <c r="W220" s="12" t="n"/>
      <c r="X220" s="12" t="n"/>
      <c r="Y220" s="12" t="n"/>
      <c r="Z220" s="12" t="n"/>
      <c r="AA220" s="12" t="n"/>
      <c r="AB220" s="12" t="n"/>
      <c r="AC220" s="12" t="n"/>
      <c r="AD220" s="12" t="n"/>
      <c r="AE220" s="12" t="n"/>
      <c r="AF220" s="12" t="n"/>
      <c r="AG220" s="12" t="n"/>
      <c r="AH220" s="12" t="n"/>
      <c r="AI220" s="12" t="n"/>
      <c r="AJ220" s="12" t="n"/>
      <c r="AK220" s="12" t="n"/>
      <c r="AL220" s="12" t="n"/>
      <c r="AM220" s="12" t="n"/>
      <c r="AN220" s="12" t="n"/>
      <c r="AO220" s="12" t="n"/>
      <c r="AP220" s="12" t="n"/>
      <c r="AQ220" s="12" t="n"/>
      <c r="AR220" s="12" t="n"/>
      <c r="AS220" s="12" t="n"/>
      <c r="AT220" s="12" t="n"/>
      <c r="AU220" s="12" t="n"/>
      <c r="AV220" s="12" t="n"/>
      <c r="AW220" s="12" t="n"/>
      <c r="AX220" s="12" t="n"/>
      <c r="AY220" s="12" t="n"/>
      <c r="AZ220" s="12" t="n"/>
      <c r="BA220" s="12" t="n"/>
      <c r="BB220" s="12" t="n"/>
      <c r="BC220" s="12" t="n"/>
      <c r="BD220" s="12" t="n"/>
      <c r="BE220" s="12" t="n"/>
      <c r="BF220" s="12" t="n"/>
      <c r="BG220" s="12" t="n"/>
      <c r="BH220" s="12" t="n"/>
      <c r="BI220" s="12" t="n"/>
      <c r="BJ220" s="12" t="n"/>
      <c r="BK220" s="12" t="n"/>
      <c r="BL220" s="12" t="n"/>
      <c r="BM220" s="12" t="n"/>
      <c r="BN220" s="12" t="n"/>
      <c r="BO220" s="12" t="n"/>
      <c r="BP220" s="12" t="n"/>
      <c r="BQ220" s="12" t="n"/>
      <c r="BR220" s="12" t="n"/>
      <c r="BS220" s="12" t="n"/>
      <c r="BT220" s="12" t="n"/>
      <c r="BU220" s="12" t="n"/>
      <c r="BV220" s="12" t="n"/>
      <c r="BW220" s="12" t="n"/>
      <c r="BX220" s="12" t="n"/>
      <c r="BY220" s="12" t="n"/>
      <c r="BZ220" s="12" t="n"/>
      <c r="CA220" s="12" t="n"/>
      <c r="CB220" s="12" t="n"/>
      <c r="CC220" s="12" t="n"/>
      <c r="CD220" s="12" t="n"/>
      <c r="CE220" s="12" t="n"/>
      <c r="CF220" s="12" t="n"/>
      <c r="CG220" s="12" t="n"/>
      <c r="CH220" s="12" t="n"/>
      <c r="CI220" s="12" t="n"/>
      <c r="CJ220" s="12" t="n"/>
      <c r="CK220" s="12" t="n"/>
      <c r="CL220" s="12" t="n"/>
      <c r="CM220" s="12" t="n"/>
      <c r="CN220" s="12" t="n"/>
      <c r="CO220" s="12" t="n"/>
      <c r="CP220" s="12" t="n"/>
      <c r="CQ220" s="12" t="n"/>
      <c r="CR220" s="12" t="n"/>
      <c r="CS220" s="12" t="n"/>
      <c r="CT220" s="12" t="n"/>
      <c r="CU220" s="12" t="n"/>
      <c r="CV220" s="12" t="n"/>
      <c r="CW220" s="12" t="n"/>
      <c r="CX220" s="12" t="n"/>
      <c r="CY220" s="12" t="n"/>
    </row>
    <row r="221" hidden="1" outlineLevel="1">
      <c r="C221" s="57" t="inlineStr">
        <is>
          <t>Discretionary (paydown)/borrowing of long term debt</t>
        </is>
      </c>
      <c r="D221" s="12" t="n"/>
      <c r="E221" s="12" t="n"/>
      <c r="F221" s="12" t="n"/>
      <c r="G221" s="12" t="n"/>
      <c r="H221" s="12" t="n"/>
      <c r="I221" s="12" t="n"/>
      <c r="J221" s="12" t="n"/>
      <c r="K221" s="12" t="n"/>
      <c r="L221" s="12" t="n"/>
      <c r="M221" s="12" t="n"/>
      <c r="N221" s="12" t="n"/>
      <c r="O221" s="12" t="n"/>
      <c r="P221" s="12" t="n"/>
      <c r="Q221" s="12" t="n"/>
      <c r="R221" s="12" t="n"/>
      <c r="S221" s="12" t="n"/>
      <c r="T221" s="12" t="n"/>
      <c r="U221" s="12" t="n"/>
      <c r="V221" s="12" t="n"/>
      <c r="W221" s="12" t="n"/>
      <c r="X221" s="12" t="n"/>
      <c r="Y221" s="12" t="n"/>
      <c r="Z221" s="12" t="n"/>
      <c r="AA221" s="12" t="n"/>
      <c r="AB221" s="12" t="n"/>
      <c r="AC221" s="12" t="n"/>
      <c r="AD221" s="12" t="n"/>
      <c r="AE221" s="12" t="n"/>
      <c r="AF221" s="12" t="n"/>
      <c r="AG221" s="12" t="n"/>
      <c r="AH221" s="62" t="n"/>
      <c r="AI221" s="62" t="n"/>
      <c r="AJ221" s="62" t="n"/>
      <c r="AK221" s="62" t="n"/>
      <c r="AL221" s="12" t="n"/>
      <c r="AM221" s="62" t="n"/>
      <c r="AN221" s="62" t="n"/>
      <c r="AO221" s="62" t="n"/>
      <c r="AP221" s="62" t="n"/>
      <c r="AQ221" s="12" t="n"/>
      <c r="AR221" s="62" t="n"/>
      <c r="AS221" s="62" t="n"/>
      <c r="AT221" s="62" t="n"/>
      <c r="AU221" s="62" t="n"/>
      <c r="AV221" s="12" t="n"/>
      <c r="AW221" s="62" t="n"/>
      <c r="AX221" s="62" t="n"/>
      <c r="AY221" s="62" t="n"/>
      <c r="AZ221" s="62" t="n"/>
      <c r="BA221" s="12" t="n"/>
      <c r="BB221" s="62" t="n"/>
      <c r="BC221" s="62" t="n"/>
      <c r="BD221" s="62" t="n"/>
      <c r="BE221" s="62" t="n"/>
      <c r="BF221" s="12" t="n"/>
      <c r="BG221" s="62" t="n"/>
      <c r="BH221" s="62" t="n"/>
      <c r="BI221" s="62" t="n"/>
      <c r="BJ221" s="62" t="n"/>
      <c r="BK221" s="12" t="n"/>
      <c r="BL221" s="62" t="n"/>
      <c r="BM221" s="62" t="n"/>
      <c r="BN221" s="62" t="n"/>
      <c r="BO221" s="62" t="n"/>
      <c r="BP221" s="12" t="n"/>
      <c r="BQ221" s="62" t="n"/>
      <c r="BR221" s="62" t="n"/>
      <c r="BS221" s="62" t="n"/>
      <c r="BT221" s="62" t="n"/>
      <c r="BU221" s="12" t="n"/>
      <c r="BV221" s="62" t="n"/>
      <c r="BW221" s="62" t="n"/>
      <c r="BX221" s="62" t="n"/>
      <c r="BY221" s="62" t="n"/>
      <c r="BZ221" s="12" t="n"/>
      <c r="CA221" s="62" t="n"/>
      <c r="CB221" s="62" t="n"/>
      <c r="CC221" s="62" t="n"/>
      <c r="CD221" s="62" t="n"/>
      <c r="CE221" s="12" t="n"/>
      <c r="CF221" s="62" t="n"/>
      <c r="CG221" s="62" t="n"/>
      <c r="CH221" s="62" t="n"/>
      <c r="CI221" s="62" t="n"/>
      <c r="CJ221" s="12" t="n"/>
      <c r="CK221" s="62" t="n"/>
      <c r="CL221" s="62" t="n"/>
      <c r="CM221" s="62" t="n"/>
      <c r="CN221" s="62" t="n"/>
      <c r="CO221" s="12" t="n"/>
      <c r="CP221" s="62" t="n"/>
      <c r="CQ221" s="62" t="n"/>
      <c r="CR221" s="62" t="n"/>
      <c r="CS221" s="62" t="n"/>
      <c r="CT221" s="12" t="n"/>
      <c r="CU221" s="62" t="n"/>
      <c r="CV221" s="62" t="n"/>
      <c r="CW221" s="62" t="n"/>
      <c r="CX221" s="62" t="n"/>
      <c r="CY221" s="12" t="n"/>
    </row>
    <row r="222" hidden="1" outlineLevel="1">
      <c r="C222" s="57" t="inlineStr">
        <is>
          <t>Long term debt</t>
        </is>
      </c>
      <c r="D222" s="12" t="n"/>
      <c r="E222" s="12" t="n"/>
      <c r="F222" s="12" t="n"/>
      <c r="G222" s="12" t="n"/>
      <c r="H222" s="12" t="n"/>
      <c r="I222" s="12" t="n"/>
      <c r="J222" s="12" t="n"/>
      <c r="K222" s="12" t="n"/>
      <c r="L222" s="12" t="n"/>
      <c r="M222" s="12" t="n"/>
      <c r="N222" s="12" t="n"/>
      <c r="O222" s="12" t="n"/>
      <c r="P222" s="12" t="n"/>
      <c r="Q222" s="12" t="n"/>
      <c r="R222" s="12" t="n"/>
      <c r="S222" s="12" t="n"/>
      <c r="T222" s="12" t="n"/>
      <c r="U222" s="12" t="n"/>
      <c r="V222" s="12" t="n"/>
      <c r="W222" s="12" t="n"/>
      <c r="X222" s="12" t="n"/>
      <c r="Y222" s="12" t="n"/>
      <c r="Z222" s="12" t="n"/>
      <c r="AA222" s="12" t="n"/>
      <c r="AB222" s="12" t="n"/>
      <c r="AC222" s="12" t="n"/>
      <c r="AD222" s="12" t="n"/>
      <c r="AE222" s="12" t="n"/>
      <c r="AF222" s="12" t="n"/>
      <c r="AG222" s="12" t="n"/>
      <c r="AH222" s="12" t="n"/>
      <c r="AI222" s="12" t="n"/>
      <c r="AJ222" s="12" t="n"/>
      <c r="AK222" s="12" t="n"/>
      <c r="AL222" s="12" t="n"/>
      <c r="AM222" s="12" t="n"/>
      <c r="AN222" s="12" t="n"/>
      <c r="AO222" s="12" t="n"/>
      <c r="AP222" s="12" t="n"/>
      <c r="AQ222" s="12" t="n"/>
      <c r="AR222" s="12" t="n"/>
      <c r="AS222" s="12" t="n"/>
      <c r="AT222" s="12" t="n"/>
      <c r="AU222" s="12" t="n"/>
      <c r="AV222" s="12" t="n"/>
      <c r="AW222" s="12" t="n"/>
      <c r="AX222" s="12" t="n"/>
      <c r="AY222" s="12" t="n"/>
      <c r="AZ222" s="12" t="n"/>
      <c r="BA222" s="12" t="n"/>
      <c r="BB222" s="12" t="n"/>
      <c r="BC222" s="12" t="n"/>
      <c r="BD222" s="12" t="n"/>
      <c r="BE222" s="12" t="n"/>
      <c r="BF222" s="12" t="n"/>
      <c r="BG222" s="12" t="n"/>
      <c r="BH222" s="12" t="n"/>
      <c r="BI222" s="12" t="n"/>
      <c r="BJ222" s="12" t="n"/>
      <c r="BK222" s="12" t="n"/>
      <c r="BL222" s="12" t="n"/>
      <c r="BM222" s="12" t="n"/>
      <c r="BN222" s="12" t="n"/>
      <c r="BO222" s="12" t="n"/>
      <c r="BP222" s="12" t="n"/>
      <c r="BQ222" s="12" t="n"/>
      <c r="BR222" s="12" t="n"/>
      <c r="BS222" s="12" t="n"/>
      <c r="BT222" s="12" t="n"/>
      <c r="BU222" s="12" t="n"/>
      <c r="BV222" s="12" t="n"/>
      <c r="BW222" s="12" t="n"/>
      <c r="BX222" s="12" t="n"/>
      <c r="BY222" s="12" t="n"/>
      <c r="BZ222" s="12" t="n"/>
      <c r="CA222" s="12" t="n"/>
      <c r="CB222" s="12" t="n"/>
      <c r="CC222" s="12" t="n"/>
      <c r="CD222" s="12" t="n"/>
      <c r="CE222" s="12" t="n"/>
      <c r="CF222" s="12" t="n"/>
      <c r="CG222" s="12" t="n"/>
      <c r="CH222" s="12" t="n"/>
      <c r="CI222" s="12" t="n"/>
      <c r="CJ222" s="12" t="n"/>
      <c r="CK222" s="12" t="n"/>
      <c r="CL222" s="12" t="n"/>
      <c r="CM222" s="12" t="n"/>
      <c r="CN222" s="12" t="n"/>
      <c r="CO222" s="12" t="n"/>
      <c r="CP222" s="12" t="n"/>
      <c r="CQ222" s="12" t="n"/>
      <c r="CR222" s="12" t="n"/>
      <c r="CS222" s="12" t="n"/>
      <c r="CT222" s="12" t="n"/>
      <c r="CU222" s="12" t="n"/>
      <c r="CV222" s="12" t="n"/>
      <c r="CW222" s="12" t="n"/>
      <c r="CX222" s="12" t="n"/>
      <c r="CY222" s="12" t="n"/>
    </row>
    <row r="223" hidden="1" outlineLevel="1">
      <c r="C223" s="57" t="n"/>
      <c r="D223" s="12" t="n"/>
      <c r="E223" s="12" t="n"/>
      <c r="F223" s="12" t="n"/>
      <c r="G223" s="12" t="n"/>
      <c r="H223" s="12" t="n"/>
      <c r="I223" s="12" t="n"/>
      <c r="J223" s="12" t="n"/>
      <c r="K223" s="12" t="n"/>
      <c r="L223" s="12" t="n"/>
      <c r="M223" s="12" t="n"/>
      <c r="N223" s="12" t="n"/>
      <c r="O223" s="12" t="n"/>
      <c r="P223" s="12" t="n"/>
      <c r="Q223" s="12" t="n"/>
      <c r="R223" s="12" t="n"/>
      <c r="S223" s="12" t="n"/>
      <c r="T223" s="12" t="n"/>
      <c r="U223" s="12" t="n"/>
      <c r="V223" s="12" t="n"/>
      <c r="W223" s="12" t="n"/>
      <c r="X223" s="12" t="n"/>
      <c r="Y223" s="12" t="n"/>
      <c r="Z223" s="12" t="n"/>
      <c r="AA223" s="12" t="n"/>
      <c r="AB223" s="12" t="n"/>
      <c r="AC223" s="12" t="n"/>
      <c r="AD223" s="12" t="n"/>
      <c r="AE223" s="12" t="n"/>
      <c r="AF223" s="12" t="n"/>
      <c r="AG223" s="12" t="n"/>
      <c r="AH223" s="12" t="n"/>
      <c r="AI223" s="12" t="n"/>
      <c r="AJ223" s="12" t="n"/>
      <c r="AK223" s="12" t="n"/>
      <c r="AL223" s="12" t="n"/>
      <c r="AM223" s="12" t="n"/>
      <c r="AN223" s="12" t="n"/>
      <c r="AO223" s="12" t="n"/>
      <c r="AP223" s="12" t="n"/>
      <c r="AQ223" s="12" t="n"/>
      <c r="AR223" s="12" t="n"/>
      <c r="AS223" s="12" t="n"/>
      <c r="AT223" s="12" t="n"/>
      <c r="AU223" s="12" t="n"/>
      <c r="AV223" s="12" t="n"/>
      <c r="AW223" s="12" t="n"/>
      <c r="AX223" s="12" t="n"/>
      <c r="AY223" s="12" t="n"/>
      <c r="AZ223" s="12" t="n"/>
      <c r="BA223" s="12" t="n"/>
      <c r="BB223" s="12" t="n"/>
      <c r="BC223" s="12" t="n"/>
      <c r="BD223" s="12" t="n"/>
      <c r="BE223" s="12" t="n"/>
      <c r="BF223" s="12" t="n"/>
      <c r="BG223" s="12" t="n"/>
      <c r="BH223" s="12" t="n"/>
      <c r="BI223" s="12" t="n"/>
      <c r="BJ223" s="12" t="n"/>
      <c r="BK223" s="12" t="n"/>
      <c r="BL223" s="12" t="n"/>
      <c r="BM223" s="12" t="n"/>
      <c r="BN223" s="12" t="n"/>
      <c r="BO223" s="12" t="n"/>
      <c r="BP223" s="12" t="n"/>
      <c r="BQ223" s="12" t="n"/>
      <c r="BR223" s="12" t="n"/>
      <c r="BS223" s="12" t="n"/>
      <c r="BT223" s="12" t="n"/>
      <c r="BU223" s="12" t="n"/>
      <c r="BV223" s="12" t="n"/>
      <c r="BW223" s="12" t="n"/>
      <c r="BX223" s="12" t="n"/>
      <c r="BY223" s="12" t="n"/>
      <c r="BZ223" s="12" t="n"/>
      <c r="CA223" s="12" t="n"/>
      <c r="CB223" s="12" t="n"/>
      <c r="CC223" s="12" t="n"/>
      <c r="CD223" s="12" t="n"/>
      <c r="CE223" s="12" t="n"/>
      <c r="CF223" s="12" t="n"/>
      <c r="CG223" s="12" t="n"/>
      <c r="CH223" s="12" t="n"/>
      <c r="CI223" s="12" t="n"/>
      <c r="CJ223" s="12" t="n"/>
      <c r="CK223" s="12" t="n"/>
      <c r="CL223" s="12" t="n"/>
      <c r="CM223" s="12" t="n"/>
      <c r="CN223" s="12" t="n"/>
      <c r="CO223" s="12" t="n"/>
      <c r="CP223" s="12" t="n"/>
      <c r="CQ223" s="12" t="n"/>
      <c r="CR223" s="12" t="n"/>
      <c r="CS223" s="12" t="n"/>
      <c r="CT223" s="12" t="n"/>
      <c r="CU223" s="12" t="n"/>
      <c r="CV223" s="12" t="n"/>
      <c r="CW223" s="12" t="n"/>
      <c r="CX223" s="12" t="n"/>
      <c r="CY223" s="12" t="n"/>
    </row>
    <row r="224" hidden="1" outlineLevel="1">
      <c r="C224" s="57" t="inlineStr">
        <is>
          <t>Discretionary (paydown)/borrowing of convertible debt</t>
        </is>
      </c>
      <c r="D224" s="12" t="n"/>
      <c r="E224" s="12" t="n"/>
      <c r="F224" s="12" t="n"/>
      <c r="G224" s="12" t="n"/>
      <c r="H224" s="12" t="n"/>
      <c r="I224" s="12" t="n"/>
      <c r="J224" s="12" t="n"/>
      <c r="K224" s="12" t="n"/>
      <c r="L224" s="12" t="n"/>
      <c r="M224" s="12" t="n"/>
      <c r="N224" s="12" t="n"/>
      <c r="O224" s="12" t="n"/>
      <c r="P224" s="12" t="n"/>
      <c r="Q224" s="12" t="n"/>
      <c r="R224" s="12" t="n"/>
      <c r="S224" s="12" t="n"/>
      <c r="T224" s="12" t="n"/>
      <c r="U224" s="12" t="n"/>
      <c r="V224" s="12" t="n"/>
      <c r="W224" s="12" t="n"/>
      <c r="X224" s="12" t="n"/>
      <c r="Y224" s="12" t="n"/>
      <c r="Z224" s="12" t="n"/>
      <c r="AA224" s="12" t="n"/>
      <c r="AB224" s="12" t="n"/>
      <c r="AC224" s="12" t="n"/>
      <c r="AD224" s="12" t="n"/>
      <c r="AE224" s="12" t="n"/>
      <c r="AF224" s="12" t="n"/>
      <c r="AG224" s="12" t="n"/>
      <c r="AH224" s="62" t="n"/>
      <c r="AI224" s="62" t="n"/>
      <c r="AJ224" s="62" t="n"/>
      <c r="AK224" s="62" t="n"/>
      <c r="AL224" s="12" t="n"/>
      <c r="AM224" s="62" t="n"/>
      <c r="AN224" s="62" t="n"/>
      <c r="AO224" s="62" t="n"/>
      <c r="AP224" s="62" t="n"/>
      <c r="AQ224" s="12" t="n"/>
      <c r="AR224" s="62" t="n"/>
      <c r="AS224" s="62" t="n"/>
      <c r="AT224" s="62" t="n"/>
      <c r="AU224" s="62" t="n"/>
      <c r="AV224" s="12" t="n"/>
      <c r="AW224" s="62" t="n"/>
      <c r="AX224" s="62" t="n"/>
      <c r="AY224" s="62" t="n"/>
      <c r="AZ224" s="62" t="n"/>
      <c r="BA224" s="12" t="n"/>
      <c r="BB224" s="62" t="n"/>
      <c r="BC224" s="62" t="n"/>
      <c r="BD224" s="62" t="n"/>
      <c r="BE224" s="62" t="n"/>
      <c r="BF224" s="12" t="n"/>
      <c r="BG224" s="62" t="n"/>
      <c r="BH224" s="62" t="n"/>
      <c r="BI224" s="62" t="n"/>
      <c r="BJ224" s="62" t="n"/>
      <c r="BK224" s="12" t="n"/>
      <c r="BL224" s="62" t="n"/>
      <c r="BM224" s="62" t="n"/>
      <c r="BN224" s="62" t="n"/>
      <c r="BO224" s="62" t="n"/>
      <c r="BP224" s="12" t="n"/>
      <c r="BQ224" s="62" t="n"/>
      <c r="BR224" s="62" t="n"/>
      <c r="BS224" s="62" t="n"/>
      <c r="BT224" s="62" t="n"/>
      <c r="BU224" s="12" t="n"/>
      <c r="BV224" s="62" t="n"/>
      <c r="BW224" s="62" t="n"/>
      <c r="BX224" s="62" t="n"/>
      <c r="BY224" s="62" t="n"/>
      <c r="BZ224" s="12" t="n"/>
      <c r="CA224" s="62" t="n"/>
      <c r="CB224" s="62" t="n"/>
      <c r="CC224" s="62" t="n"/>
      <c r="CD224" s="62" t="n"/>
      <c r="CE224" s="12" t="n"/>
      <c r="CF224" s="62" t="n"/>
      <c r="CG224" s="62" t="n"/>
      <c r="CH224" s="62" t="n"/>
      <c r="CI224" s="62" t="n"/>
      <c r="CJ224" s="12" t="n"/>
      <c r="CK224" s="62" t="n"/>
      <c r="CL224" s="62" t="n"/>
      <c r="CM224" s="62" t="n"/>
      <c r="CN224" s="62" t="n"/>
      <c r="CO224" s="12" t="n"/>
      <c r="CP224" s="62" t="n"/>
      <c r="CQ224" s="62" t="n"/>
      <c r="CR224" s="62" t="n"/>
      <c r="CS224" s="62" t="n"/>
      <c r="CT224" s="12" t="n"/>
      <c r="CU224" s="62" t="n"/>
      <c r="CV224" s="62" t="n"/>
      <c r="CW224" s="62" t="n"/>
      <c r="CX224" s="62" t="n"/>
      <c r="CY224" s="12" t="n"/>
    </row>
    <row r="225" hidden="1" outlineLevel="1">
      <c r="C225" s="57" t="inlineStr">
        <is>
          <t>Convertible debt</t>
        </is>
      </c>
      <c r="D225" s="12" t="n"/>
      <c r="E225" s="12" t="n"/>
      <c r="F225" s="12" t="n"/>
      <c r="G225" s="12" t="n"/>
      <c r="H225" s="12" t="n"/>
      <c r="I225" s="12" t="n"/>
      <c r="J225" s="12" t="n"/>
      <c r="K225" s="12" t="n"/>
      <c r="L225" s="12" t="n"/>
      <c r="M225" s="12" t="n"/>
      <c r="N225" s="12" t="n"/>
      <c r="O225" s="12" t="n"/>
      <c r="P225" s="12" t="n"/>
      <c r="Q225" s="12" t="n"/>
      <c r="R225" s="12" t="n"/>
      <c r="S225" s="12" t="n"/>
      <c r="T225" s="12" t="n"/>
      <c r="U225" s="12" t="n"/>
      <c r="V225" s="12" t="n"/>
      <c r="W225" s="12" t="n"/>
      <c r="X225" s="12" t="n"/>
      <c r="Y225" s="12" t="n"/>
      <c r="Z225" s="12" t="n"/>
      <c r="AA225" s="12" t="n"/>
      <c r="AB225" s="12" t="n"/>
      <c r="AC225" s="12" t="n"/>
      <c r="AD225" s="12" t="n"/>
      <c r="AE225" s="12" t="n"/>
      <c r="AF225" s="12" t="n"/>
      <c r="AG225" s="12" t="n"/>
      <c r="AH225" s="12" t="n"/>
      <c r="AI225" s="12" t="n"/>
      <c r="AJ225" s="12" t="n"/>
      <c r="AK225" s="12" t="n"/>
      <c r="AL225" s="12" t="n"/>
      <c r="AM225" s="12" t="n"/>
      <c r="AN225" s="12" t="n"/>
      <c r="AO225" s="12" t="n"/>
      <c r="AP225" s="12" t="n"/>
      <c r="AQ225" s="12" t="n"/>
      <c r="AR225" s="12" t="n"/>
      <c r="AS225" s="12" t="n"/>
      <c r="AT225" s="12" t="n"/>
      <c r="AU225" s="12" t="n"/>
      <c r="AV225" s="12" t="n"/>
      <c r="AW225" s="12" t="n"/>
      <c r="AX225" s="12" t="n"/>
      <c r="AY225" s="12" t="n"/>
      <c r="AZ225" s="12" t="n"/>
      <c r="BA225" s="12" t="n"/>
      <c r="BB225" s="12" t="n"/>
      <c r="BC225" s="12" t="n"/>
      <c r="BD225" s="12" t="n"/>
      <c r="BE225" s="12" t="n"/>
      <c r="BF225" s="12" t="n"/>
      <c r="BG225" s="12" t="n"/>
      <c r="BH225" s="12" t="n"/>
      <c r="BI225" s="12" t="n"/>
      <c r="BJ225" s="12" t="n"/>
      <c r="BK225" s="12" t="n"/>
      <c r="BL225" s="12" t="n"/>
      <c r="BM225" s="12" t="n"/>
      <c r="BN225" s="12" t="n"/>
      <c r="BO225" s="12" t="n"/>
      <c r="BP225" s="12" t="n"/>
      <c r="BQ225" s="12" t="n"/>
      <c r="BR225" s="12" t="n"/>
      <c r="BS225" s="12" t="n"/>
      <c r="BT225" s="12" t="n"/>
      <c r="BU225" s="12" t="n"/>
      <c r="BV225" s="12" t="n"/>
      <c r="BW225" s="12" t="n"/>
      <c r="BX225" s="12" t="n"/>
      <c r="BY225" s="12" t="n"/>
      <c r="BZ225" s="12" t="n"/>
      <c r="CA225" s="12" t="n"/>
      <c r="CB225" s="12" t="n"/>
      <c r="CC225" s="12" t="n"/>
      <c r="CD225" s="12" t="n"/>
      <c r="CE225" s="12" t="n"/>
      <c r="CF225" s="12" t="n"/>
      <c r="CG225" s="12" t="n"/>
      <c r="CH225" s="12" t="n"/>
      <c r="CI225" s="12" t="n"/>
      <c r="CJ225" s="12" t="n"/>
      <c r="CK225" s="12" t="n"/>
      <c r="CL225" s="12" t="n"/>
      <c r="CM225" s="12" t="n"/>
      <c r="CN225" s="12" t="n"/>
      <c r="CO225" s="12" t="n"/>
      <c r="CP225" s="12" t="n"/>
      <c r="CQ225" s="12" t="n"/>
      <c r="CR225" s="12" t="n"/>
      <c r="CS225" s="12" t="n"/>
      <c r="CT225" s="12" t="n"/>
      <c r="CU225" s="12" t="n"/>
      <c r="CV225" s="12" t="n"/>
      <c r="CW225" s="12" t="n"/>
      <c r="CX225" s="12" t="n"/>
      <c r="CY225" s="12" t="n"/>
    </row>
    <row r="226" hidden="1" outlineLevel="1">
      <c r="C226" s="57" t="n"/>
      <c r="D226" s="12" t="n"/>
      <c r="E226" s="12" t="n"/>
      <c r="F226" s="12" t="n"/>
      <c r="G226" s="12" t="n"/>
      <c r="H226" s="12" t="n"/>
      <c r="I226" s="12" t="n"/>
      <c r="J226" s="12" t="n"/>
      <c r="K226" s="12" t="n"/>
      <c r="L226" s="12" t="n"/>
      <c r="M226" s="12" t="n"/>
      <c r="N226" s="12" t="n"/>
      <c r="O226" s="12" t="n"/>
      <c r="P226" s="12" t="n"/>
      <c r="Q226" s="12" t="n"/>
      <c r="R226" s="12" t="n"/>
      <c r="S226" s="12" t="n"/>
      <c r="T226" s="12" t="n"/>
      <c r="U226" s="12" t="n"/>
      <c r="V226" s="12" t="n"/>
      <c r="W226" s="12" t="n"/>
      <c r="X226" s="12" t="n"/>
      <c r="Y226" s="12" t="n"/>
      <c r="Z226" s="12" t="n"/>
      <c r="AA226" s="12" t="n"/>
      <c r="AB226" s="12" t="n"/>
      <c r="AC226" s="12" t="n"/>
      <c r="AD226" s="12" t="n"/>
      <c r="AE226" s="12" t="n"/>
      <c r="AF226" s="12" t="n"/>
      <c r="AG226" s="12" t="n"/>
      <c r="AI226" s="12" t="n"/>
      <c r="AJ226" s="12" t="n"/>
      <c r="AK226" s="12" t="n"/>
      <c r="AL226" s="12" t="n"/>
      <c r="AN226" s="12" t="n"/>
      <c r="AO226" s="12" t="n"/>
      <c r="AP226" s="12" t="n"/>
      <c r="AQ226" s="12" t="n"/>
      <c r="AS226" s="12" t="n"/>
      <c r="AT226" s="12" t="n"/>
      <c r="AU226" s="12" t="n"/>
      <c r="AV226" s="12" t="n"/>
      <c r="AX226" s="12" t="n"/>
      <c r="AY226" s="12" t="n"/>
      <c r="AZ226" s="12" t="n"/>
      <c r="BA226" s="12" t="n"/>
      <c r="BC226" s="12" t="n"/>
      <c r="BD226" s="12" t="n"/>
      <c r="BE226" s="12" t="n"/>
      <c r="BF226" s="12" t="n"/>
      <c r="BH226" s="12" t="n"/>
      <c r="BI226" s="12" t="n"/>
      <c r="BJ226" s="12" t="n"/>
      <c r="BK226" s="12" t="n"/>
      <c r="BM226" s="12" t="n"/>
      <c r="BN226" s="12" t="n"/>
      <c r="BO226" s="12" t="n"/>
      <c r="BP226" s="12" t="n"/>
      <c r="BR226" s="12" t="n"/>
      <c r="BS226" s="12" t="n"/>
      <c r="BT226" s="12" t="n"/>
      <c r="BU226" s="12" t="n"/>
      <c r="BW226" s="12" t="n"/>
      <c r="BX226" s="12" t="n"/>
      <c r="BY226" s="12" t="n"/>
      <c r="BZ226" s="12" t="n"/>
      <c r="CB226" s="12" t="n"/>
      <c r="CC226" s="12" t="n"/>
      <c r="CD226" s="12" t="n"/>
      <c r="CE226" s="12" t="n"/>
      <c r="CG226" s="12" t="n"/>
      <c r="CH226" s="12" t="n"/>
      <c r="CI226" s="12" t="n"/>
      <c r="CJ226" s="12" t="n"/>
      <c r="CL226" s="12" t="n"/>
      <c r="CM226" s="12" t="n"/>
      <c r="CN226" s="12" t="n"/>
      <c r="CO226" s="12" t="n"/>
      <c r="CQ226" s="12" t="n"/>
      <c r="CR226" s="12" t="n"/>
      <c r="CS226" s="12" t="n"/>
      <c r="CT226" s="12" t="n"/>
      <c r="CV226" s="12" t="n"/>
      <c r="CW226" s="12" t="n"/>
      <c r="CX226" s="12" t="n"/>
      <c r="CY226" s="12" t="n"/>
    </row>
    <row r="227" hidden="1" outlineLevel="1">
      <c r="C227" s="57" t="inlineStr">
        <is>
          <t>Calculation of short term debt</t>
        </is>
      </c>
      <c r="D227" s="12" t="n"/>
      <c r="E227" s="12" t="n"/>
      <c r="F227" s="12" t="n"/>
      <c r="G227" s="12" t="n"/>
      <c r="H227" s="12" t="n"/>
      <c r="I227" s="12" t="n"/>
      <c r="J227" s="12" t="n"/>
      <c r="K227" s="12" t="n"/>
      <c r="L227" s="12" t="n"/>
      <c r="M227" s="12" t="n"/>
      <c r="N227" s="12" t="n"/>
      <c r="O227" s="12" t="n"/>
      <c r="P227" s="12" t="n"/>
      <c r="Q227" s="12" t="n"/>
      <c r="R227" s="12" t="n"/>
      <c r="S227" s="12" t="n"/>
      <c r="T227" s="12" t="n"/>
      <c r="U227" s="12" t="n"/>
      <c r="V227" s="12" t="n"/>
      <c r="W227" s="12" t="n"/>
      <c r="X227" s="12" t="n"/>
      <c r="Y227" s="12" t="n"/>
      <c r="Z227" s="12" t="n"/>
      <c r="AA227" s="12" t="n"/>
      <c r="AB227" s="12" t="n"/>
      <c r="AC227" s="12" t="n"/>
      <c r="AD227" s="12" t="n"/>
      <c r="AE227" s="12" t="n"/>
      <c r="AF227" s="12" t="n"/>
      <c r="AG227" s="12" t="n"/>
      <c r="AH227" s="12" t="n"/>
      <c r="AI227" s="12" t="n"/>
      <c r="AJ227" s="12" t="n"/>
      <c r="AK227" s="12" t="n"/>
      <c r="AL227" s="12" t="n"/>
      <c r="AM227" s="12" t="n"/>
      <c r="AN227" s="12" t="n"/>
      <c r="AO227" s="12" t="n"/>
      <c r="AP227" s="12" t="n"/>
      <c r="AQ227" s="12" t="n"/>
      <c r="AR227" s="12" t="n"/>
      <c r="AS227" s="12" t="n"/>
      <c r="AT227" s="12" t="n"/>
      <c r="AU227" s="12" t="n"/>
      <c r="AV227" s="12" t="n"/>
      <c r="AW227" s="12" t="n"/>
      <c r="AX227" s="12" t="n"/>
      <c r="AY227" s="12" t="n"/>
      <c r="AZ227" s="12" t="n"/>
      <c r="BA227" s="12" t="n"/>
      <c r="BB227" s="12" t="n"/>
      <c r="BC227" s="12" t="n"/>
      <c r="BD227" s="12" t="n"/>
      <c r="BE227" s="12" t="n"/>
      <c r="BF227" s="12" t="n"/>
      <c r="BG227" s="12" t="n"/>
      <c r="BH227" s="12" t="n"/>
      <c r="BI227" s="12" t="n"/>
      <c r="BJ227" s="12" t="n"/>
      <c r="BK227" s="12" t="n"/>
      <c r="BL227" s="12" t="n"/>
      <c r="BM227" s="12" t="n"/>
      <c r="BN227" s="12" t="n"/>
      <c r="BO227" s="12" t="n"/>
      <c r="BP227" s="12" t="n"/>
      <c r="BQ227" s="12" t="n"/>
      <c r="BR227" s="12" t="n"/>
      <c r="BS227" s="12" t="n"/>
      <c r="BT227" s="12" t="n"/>
      <c r="BU227" s="12" t="n"/>
      <c r="BV227" s="12" t="n"/>
      <c r="BW227" s="12" t="n"/>
      <c r="BX227" s="12" t="n"/>
      <c r="BY227" s="12" t="n"/>
      <c r="BZ227" s="12" t="n"/>
      <c r="CA227" s="12" t="n"/>
      <c r="CB227" s="12" t="n"/>
      <c r="CC227" s="12" t="n"/>
      <c r="CD227" s="12" t="n"/>
      <c r="CE227" s="12" t="n"/>
      <c r="CF227" s="12" t="n"/>
      <c r="CG227" s="12" t="n"/>
      <c r="CH227" s="12" t="n"/>
      <c r="CI227" s="12" t="n"/>
      <c r="CJ227" s="12" t="n"/>
      <c r="CK227" s="12" t="n"/>
      <c r="CL227" s="12" t="n"/>
      <c r="CM227" s="12" t="n"/>
      <c r="CN227" s="12" t="n"/>
      <c r="CO227" s="12" t="n"/>
      <c r="CP227" s="12" t="n"/>
      <c r="CQ227" s="12" t="n"/>
      <c r="CR227" s="12" t="n"/>
      <c r="CS227" s="12" t="n"/>
      <c r="CT227" s="12" t="n"/>
      <c r="CU227" s="12" t="n"/>
      <c r="CV227" s="12" t="n"/>
      <c r="CW227" s="12" t="n"/>
      <c r="CX227" s="12" t="n"/>
      <c r="CY227" s="12" t="n"/>
    </row>
    <row r="228" hidden="1" outlineLevel="1">
      <c r="C228" s="57" t="inlineStr">
        <is>
          <t>Cash @ beginning of the period (end of last period)</t>
        </is>
      </c>
      <c r="D228" s="12" t="n"/>
      <c r="E228" s="12" t="n"/>
      <c r="F228" s="12" t="n"/>
      <c r="G228" s="12" t="n"/>
      <c r="H228" s="12" t="n"/>
      <c r="I228" s="12" t="n"/>
      <c r="J228" s="12" t="n"/>
      <c r="K228" s="12" t="n"/>
      <c r="L228" s="12" t="n"/>
      <c r="M228" s="12" t="n"/>
      <c r="N228" s="12" t="n"/>
      <c r="O228" s="12" t="n"/>
      <c r="P228" s="12" t="n"/>
      <c r="Q228" s="12" t="n"/>
      <c r="R228" s="12" t="n"/>
      <c r="S228" s="12" t="n"/>
      <c r="T228" s="12" t="n"/>
      <c r="U228" s="12" t="n"/>
      <c r="V228" s="12" t="n"/>
      <c r="W228" s="12" t="n"/>
      <c r="X228" s="12" t="n"/>
      <c r="Y228" s="12" t="n"/>
      <c r="Z228" s="12" t="n"/>
      <c r="AA228" s="12" t="n"/>
      <c r="AB228" s="12" t="n"/>
      <c r="AC228" s="12" t="n"/>
      <c r="AD228" s="12" t="n"/>
      <c r="AE228" s="12" t="n"/>
      <c r="AF228" s="12" t="n"/>
      <c r="AG228" s="12" t="n"/>
      <c r="AH228" s="63" t="n"/>
      <c r="AI228" s="12" t="n"/>
      <c r="AJ228" s="12" t="n"/>
      <c r="AK228" s="12" t="n"/>
      <c r="AL228" s="12" t="n"/>
      <c r="AM228" s="63" t="n"/>
      <c r="AN228" s="12" t="n"/>
      <c r="AO228" s="12" t="n"/>
      <c r="AP228" s="12" t="n"/>
      <c r="AQ228" s="12" t="n"/>
      <c r="AR228" s="63" t="n"/>
      <c r="AS228" s="12" t="n"/>
      <c r="AT228" s="12" t="n"/>
      <c r="AU228" s="12" t="n"/>
      <c r="AV228" s="12" t="n"/>
      <c r="AW228" s="63" t="n"/>
      <c r="AX228" s="12" t="n"/>
      <c r="AY228" s="12" t="n"/>
      <c r="AZ228" s="12" t="n"/>
      <c r="BA228" s="12" t="n"/>
      <c r="BB228" s="63" t="n"/>
      <c r="BC228" s="12" t="n"/>
      <c r="BD228" s="12" t="n"/>
      <c r="BE228" s="12" t="n"/>
      <c r="BF228" s="12" t="n"/>
      <c r="BG228" s="63" t="n"/>
      <c r="BH228" s="12" t="n"/>
      <c r="BI228" s="12" t="n"/>
      <c r="BJ228" s="12" t="n"/>
      <c r="BK228" s="12" t="n"/>
      <c r="BL228" s="63" t="n"/>
      <c r="BM228" s="12" t="n"/>
      <c r="BN228" s="12" t="n"/>
      <c r="BO228" s="12" t="n"/>
      <c r="BP228" s="12" t="n"/>
      <c r="BQ228" s="63" t="n"/>
      <c r="BR228" s="12" t="n"/>
      <c r="BS228" s="12" t="n"/>
      <c r="BT228" s="12" t="n"/>
      <c r="BU228" s="12" t="n"/>
      <c r="BV228" s="63" t="n"/>
      <c r="BW228" s="12" t="n"/>
      <c r="BX228" s="12" t="n"/>
      <c r="BY228" s="12" t="n"/>
      <c r="BZ228" s="12" t="n"/>
      <c r="CA228" s="63" t="n"/>
      <c r="CB228" s="12" t="n"/>
      <c r="CC228" s="12" t="n"/>
      <c r="CD228" s="12" t="n"/>
      <c r="CE228" s="12" t="n"/>
      <c r="CF228" s="63" t="n"/>
      <c r="CG228" s="12" t="n"/>
      <c r="CH228" s="12" t="n"/>
      <c r="CI228" s="12" t="n"/>
      <c r="CJ228" s="12" t="n"/>
      <c r="CK228" s="63" t="n"/>
      <c r="CL228" s="12" t="n"/>
      <c r="CM228" s="12" t="n"/>
      <c r="CN228" s="12" t="n"/>
      <c r="CO228" s="12" t="n"/>
      <c r="CP228" s="63" t="n"/>
      <c r="CQ228" s="12" t="n"/>
      <c r="CR228" s="12" t="n"/>
      <c r="CS228" s="12" t="n"/>
      <c r="CT228" s="12" t="n"/>
      <c r="CU228" s="63" t="n"/>
      <c r="CV228" s="12" t="n"/>
      <c r="CW228" s="12" t="n"/>
      <c r="CX228" s="12" t="n"/>
      <c r="CY228" s="12" t="n"/>
    </row>
    <row r="229" hidden="1" outlineLevel="1">
      <c r="C229" s="57" t="inlineStr">
        <is>
          <t>Plus: Free cash flows prior to debt during period</t>
        </is>
      </c>
      <c r="D229" s="12" t="n"/>
      <c r="E229" s="12" t="n"/>
      <c r="F229" s="12" t="n"/>
      <c r="G229" s="12" t="n"/>
      <c r="H229" s="12" t="n"/>
      <c r="I229" s="12" t="n"/>
      <c r="J229" s="12" t="n"/>
      <c r="K229" s="12" t="n"/>
      <c r="L229" s="12" t="n"/>
      <c r="M229" s="12" t="n"/>
      <c r="N229" s="12" t="n"/>
      <c r="O229" s="12" t="n"/>
      <c r="P229" s="12" t="n"/>
      <c r="Q229" s="12" t="n"/>
      <c r="R229" s="12" t="n"/>
      <c r="S229" s="12" t="n"/>
      <c r="T229" s="12" t="n"/>
      <c r="U229" s="12" t="n"/>
      <c r="V229" s="12" t="n"/>
      <c r="W229" s="12" t="n"/>
      <c r="X229" s="12" t="n"/>
      <c r="Y229" s="12" t="n"/>
      <c r="Z229" s="12" t="n"/>
      <c r="AA229" s="12" t="n"/>
      <c r="AB229" s="12" t="n"/>
      <c r="AC229" s="12" t="n"/>
      <c r="AD229" s="12" t="n"/>
      <c r="AE229" s="12" t="n"/>
      <c r="AF229" s="12" t="n"/>
      <c r="AG229" s="12" t="n"/>
      <c r="AH229" s="64" t="n"/>
      <c r="AI229" s="64" t="n"/>
      <c r="AJ229" s="64" t="n"/>
      <c r="AK229" s="64" t="n"/>
      <c r="AL229" s="12" t="n"/>
      <c r="AM229" s="64" t="n"/>
      <c r="AN229" s="64" t="n"/>
      <c r="AO229" s="64" t="n"/>
      <c r="AP229" s="64" t="n"/>
      <c r="AQ229" s="12" t="n"/>
      <c r="AR229" s="64" t="n"/>
      <c r="AS229" s="64" t="n"/>
      <c r="AT229" s="64" t="n"/>
      <c r="AU229" s="64" t="n"/>
      <c r="AV229" s="12" t="n"/>
      <c r="AW229" s="64" t="n"/>
      <c r="AX229" s="64" t="n"/>
      <c r="AY229" s="64" t="n"/>
      <c r="AZ229" s="64" t="n"/>
      <c r="BA229" s="12" t="n"/>
      <c r="BB229" s="64" t="n"/>
      <c r="BC229" s="64" t="n"/>
      <c r="BD229" s="64" t="n"/>
      <c r="BE229" s="64" t="n"/>
      <c r="BF229" s="12" t="n"/>
      <c r="BG229" s="64" t="n"/>
      <c r="BH229" s="64" t="n"/>
      <c r="BI229" s="64" t="n"/>
      <c r="BJ229" s="64" t="n"/>
      <c r="BK229" s="12" t="n"/>
      <c r="BL229" s="64" t="n"/>
      <c r="BM229" s="64" t="n"/>
      <c r="BN229" s="64" t="n"/>
      <c r="BO229" s="64" t="n"/>
      <c r="BP229" s="12" t="n"/>
      <c r="BQ229" s="64" t="n"/>
      <c r="BR229" s="64" t="n"/>
      <c r="BS229" s="64" t="n"/>
      <c r="BT229" s="64" t="n"/>
      <c r="BU229" s="12" t="n"/>
      <c r="BV229" s="64" t="n"/>
      <c r="BW229" s="64" t="n"/>
      <c r="BX229" s="64" t="n"/>
      <c r="BY229" s="64" t="n"/>
      <c r="BZ229" s="12" t="n"/>
      <c r="CA229" s="64" t="n"/>
      <c r="CB229" s="64" t="n"/>
      <c r="CC229" s="64" t="n"/>
      <c r="CD229" s="64" t="n"/>
      <c r="CE229" s="12" t="n"/>
      <c r="CF229" s="64" t="n"/>
      <c r="CG229" s="64" t="n"/>
      <c r="CH229" s="64" t="n"/>
      <c r="CI229" s="64" t="n"/>
      <c r="CJ229" s="12" t="n"/>
      <c r="CK229" s="64" t="n"/>
      <c r="CL229" s="64" t="n"/>
      <c r="CM229" s="64" t="n"/>
      <c r="CN229" s="64" t="n"/>
      <c r="CO229" s="12" t="n"/>
      <c r="CP229" s="64" t="n"/>
      <c r="CQ229" s="64" t="n"/>
      <c r="CR229" s="64" t="n"/>
      <c r="CS229" s="64" t="n"/>
      <c r="CT229" s="12" t="n"/>
      <c r="CU229" s="64" t="n"/>
      <c r="CV229" s="64" t="n"/>
      <c r="CW229" s="64" t="n"/>
      <c r="CX229" s="64" t="n"/>
      <c r="CY229" s="12" t="n"/>
    </row>
    <row r="230" hidden="1" outlineLevel="1">
      <c r="C230" s="57" t="inlineStr">
        <is>
          <t>Less: Minimum cash balance</t>
        </is>
      </c>
      <c r="D230" s="12" t="n"/>
      <c r="E230" s="12" t="n"/>
      <c r="F230" s="12" t="n"/>
      <c r="G230" s="12" t="n"/>
      <c r="H230" s="12" t="n"/>
      <c r="I230" s="12" t="n"/>
      <c r="J230" s="12" t="n"/>
      <c r="K230" s="12" t="n"/>
      <c r="L230" s="12" t="n"/>
      <c r="M230" s="12" t="n"/>
      <c r="N230" s="12" t="n"/>
      <c r="O230" s="12" t="n"/>
      <c r="P230" s="12" t="n"/>
      <c r="Q230" s="12" t="n"/>
      <c r="R230" s="12" t="n"/>
      <c r="S230" s="12" t="n"/>
      <c r="T230" s="12" t="n"/>
      <c r="U230" s="12" t="n"/>
      <c r="V230" s="12" t="n"/>
      <c r="W230" s="12" t="n"/>
      <c r="X230" s="12" t="n"/>
      <c r="Y230" s="12" t="n"/>
      <c r="Z230" s="12" t="n"/>
      <c r="AA230" s="12" t="n"/>
      <c r="AB230" s="12" t="n"/>
      <c r="AC230" s="12" t="n"/>
      <c r="AD230" s="12" t="n"/>
      <c r="AE230" s="12" t="n"/>
      <c r="AF230" s="12" t="n"/>
      <c r="AG230" s="52" t="n"/>
      <c r="AH230" s="12" t="n"/>
      <c r="AI230" s="12" t="n"/>
      <c r="AJ230" s="12" t="n"/>
      <c r="AK230" s="12" t="n"/>
      <c r="AL230" s="12" t="n"/>
      <c r="AM230" s="12" t="n"/>
      <c r="AN230" s="12" t="n"/>
      <c r="AO230" s="12" t="n"/>
      <c r="AP230" s="12" t="n"/>
      <c r="AQ230" s="12" t="n"/>
      <c r="AR230" s="12" t="n"/>
      <c r="AS230" s="12" t="n"/>
      <c r="AT230" s="12" t="n"/>
      <c r="AU230" s="12" t="n"/>
      <c r="AV230" s="12" t="n"/>
      <c r="AW230" s="12" t="n"/>
      <c r="AX230" s="12" t="n"/>
      <c r="AY230" s="12" t="n"/>
      <c r="AZ230" s="12" t="n"/>
      <c r="BA230" s="12" t="n"/>
      <c r="BB230" s="12" t="n"/>
      <c r="BC230" s="12" t="n"/>
      <c r="BD230" s="12" t="n"/>
      <c r="BE230" s="12" t="n"/>
      <c r="BF230" s="12" t="n"/>
      <c r="BG230" s="12" t="n"/>
      <c r="BH230" s="12" t="n"/>
      <c r="BI230" s="12" t="n"/>
      <c r="BJ230" s="12" t="n"/>
      <c r="BK230" s="12" t="n"/>
      <c r="BL230" s="12" t="n"/>
      <c r="BM230" s="12" t="n"/>
      <c r="BN230" s="12" t="n"/>
      <c r="BO230" s="12" t="n"/>
      <c r="BP230" s="12" t="n"/>
      <c r="BQ230" s="12" t="n"/>
      <c r="BR230" s="12" t="n"/>
      <c r="BS230" s="12" t="n"/>
      <c r="BT230" s="12" t="n"/>
      <c r="BU230" s="12" t="n"/>
      <c r="BV230" s="12" t="n"/>
      <c r="BW230" s="12" t="n"/>
      <c r="BX230" s="12" t="n"/>
      <c r="BY230" s="12" t="n"/>
      <c r="BZ230" s="12" t="n"/>
      <c r="CA230" s="12" t="n"/>
      <c r="CB230" s="12" t="n"/>
      <c r="CC230" s="12" t="n"/>
      <c r="CD230" s="12" t="n"/>
      <c r="CE230" s="12" t="n"/>
      <c r="CF230" s="12" t="n"/>
      <c r="CG230" s="12" t="n"/>
      <c r="CH230" s="12" t="n"/>
      <c r="CI230" s="12" t="n"/>
      <c r="CJ230" s="12" t="n"/>
      <c r="CK230" s="12" t="n"/>
      <c r="CL230" s="12" t="n"/>
      <c r="CM230" s="12" t="n"/>
      <c r="CN230" s="12" t="n"/>
      <c r="CO230" s="12" t="n"/>
      <c r="CP230" s="12" t="n"/>
      <c r="CQ230" s="12" t="n"/>
      <c r="CR230" s="12" t="n"/>
      <c r="CS230" s="12" t="n"/>
      <c r="CT230" s="12" t="n"/>
      <c r="CU230" s="12" t="n"/>
      <c r="CV230" s="12" t="n"/>
      <c r="CW230" s="12" t="n"/>
      <c r="CX230" s="12" t="n"/>
      <c r="CY230" s="12" t="n"/>
    </row>
    <row r="231" hidden="1" outlineLevel="1">
      <c r="C231" s="57" t="inlineStr">
        <is>
          <t>Total cash available / (debt required) for short term debt paydown</t>
        </is>
      </c>
      <c r="D231" s="12" t="n"/>
      <c r="E231" s="12" t="n"/>
      <c r="F231" s="12" t="n"/>
      <c r="G231" s="12" t="n"/>
      <c r="H231" s="12" t="n"/>
      <c r="I231" s="12" t="n"/>
      <c r="J231" s="12" t="n"/>
      <c r="K231" s="12" t="n"/>
      <c r="L231" s="12" t="n"/>
      <c r="M231" s="12" t="n"/>
      <c r="N231" s="12" t="n"/>
      <c r="O231" s="12" t="n"/>
      <c r="P231" s="12" t="n"/>
      <c r="Q231" s="12" t="n"/>
      <c r="R231" s="12" t="n"/>
      <c r="S231" s="12" t="n"/>
      <c r="T231" s="12" t="n"/>
      <c r="U231" s="12" t="n"/>
      <c r="V231" s="12" t="n"/>
      <c r="W231" s="12" t="n"/>
      <c r="X231" s="12" t="n"/>
      <c r="Y231" s="12" t="n"/>
      <c r="Z231" s="12" t="n"/>
      <c r="AA231" s="12" t="n"/>
      <c r="AB231" s="12" t="n"/>
      <c r="AC231" s="12" t="n"/>
      <c r="AD231" s="12" t="n"/>
      <c r="AE231" s="12" t="n"/>
      <c r="AF231" s="12" t="n"/>
      <c r="AG231" s="12" t="n"/>
      <c r="AH231" s="3" t="n"/>
      <c r="AI231" s="3" t="n"/>
      <c r="AJ231" s="3" t="n"/>
      <c r="AK231" s="3" t="n"/>
      <c r="AL231" s="12" t="n"/>
      <c r="AM231" s="3" t="n"/>
      <c r="AN231" s="3" t="n"/>
      <c r="AO231" s="3" t="n"/>
      <c r="AP231" s="3" t="n"/>
      <c r="AQ231" s="12" t="n"/>
      <c r="AR231" s="3" t="n"/>
      <c r="AS231" s="3" t="n"/>
      <c r="AT231" s="3" t="n"/>
      <c r="AU231" s="3" t="n"/>
      <c r="AV231" s="12" t="n"/>
      <c r="AW231" s="3" t="n"/>
      <c r="AX231" s="3" t="n"/>
      <c r="AY231" s="3" t="n"/>
      <c r="AZ231" s="3" t="n"/>
      <c r="BA231" s="12" t="n"/>
      <c r="BB231" s="3" t="n"/>
      <c r="BC231" s="3" t="n"/>
      <c r="BD231" s="3" t="n"/>
      <c r="BE231" s="3" t="n"/>
      <c r="BF231" s="12" t="n"/>
      <c r="BG231" s="3" t="n"/>
      <c r="BH231" s="3" t="n"/>
      <c r="BI231" s="3" t="n"/>
      <c r="BJ231" s="3" t="n"/>
      <c r="BK231" s="12" t="n"/>
      <c r="BL231" s="3" t="n"/>
      <c r="BM231" s="3" t="n"/>
      <c r="BN231" s="3" t="n"/>
      <c r="BO231" s="3" t="n"/>
      <c r="BP231" s="12" t="n"/>
      <c r="BQ231" s="3" t="n"/>
      <c r="BR231" s="3" t="n"/>
      <c r="BS231" s="3" t="n"/>
      <c r="BT231" s="3" t="n"/>
      <c r="BU231" s="12" t="n"/>
      <c r="BV231" s="3" t="n"/>
      <c r="BW231" s="3" t="n"/>
      <c r="BX231" s="3" t="n"/>
      <c r="BY231" s="3" t="n"/>
      <c r="BZ231" s="12" t="n"/>
      <c r="CA231" s="3" t="n"/>
      <c r="CB231" s="3" t="n"/>
      <c r="CC231" s="3" t="n"/>
      <c r="CD231" s="3" t="n"/>
      <c r="CE231" s="12" t="n"/>
      <c r="CF231" s="3" t="n"/>
      <c r="CG231" s="3" t="n"/>
      <c r="CH231" s="3" t="n"/>
      <c r="CI231" s="3" t="n"/>
      <c r="CJ231" s="12" t="n"/>
      <c r="CK231" s="3" t="n"/>
      <c r="CL231" s="3" t="n"/>
      <c r="CM231" s="3" t="n"/>
      <c r="CN231" s="3" t="n"/>
      <c r="CO231" s="12" t="n"/>
      <c r="CP231" s="3" t="n"/>
      <c r="CQ231" s="3" t="n"/>
      <c r="CR231" s="3" t="n"/>
      <c r="CS231" s="3" t="n"/>
      <c r="CT231" s="12" t="n"/>
      <c r="CU231" s="3" t="n"/>
      <c r="CV231" s="3" t="n"/>
      <c r="CW231" s="3" t="n"/>
      <c r="CX231" s="3" t="n"/>
      <c r="CY231" s="12" t="n"/>
    </row>
    <row r="232" hidden="1" outlineLevel="1">
      <c r="C232" s="57" t="inlineStr">
        <is>
          <t>Short term debt</t>
        </is>
      </c>
      <c r="D232" s="12" t="n"/>
      <c r="E232" s="12" t="n"/>
      <c r="F232" s="12" t="n"/>
      <c r="G232" s="12" t="n"/>
      <c r="H232" s="12" t="n"/>
      <c r="I232" s="12" t="n"/>
      <c r="J232" s="12" t="n"/>
      <c r="K232" s="12" t="n"/>
      <c r="L232" s="12" t="n"/>
      <c r="M232" s="12" t="n"/>
      <c r="N232" s="12" t="n"/>
      <c r="O232" s="12" t="n"/>
      <c r="P232" s="12" t="n"/>
      <c r="Q232" s="12" t="n"/>
      <c r="R232" s="12" t="n"/>
      <c r="S232" s="12" t="n"/>
      <c r="T232" s="12" t="n"/>
      <c r="U232" s="12" t="n"/>
      <c r="V232" s="12" t="n"/>
      <c r="W232" s="12" t="n"/>
      <c r="X232" s="12" t="n"/>
      <c r="Y232" s="12" t="n"/>
      <c r="Z232" s="12" t="n"/>
      <c r="AA232" s="12" t="n"/>
      <c r="AB232" s="12" t="n"/>
      <c r="AC232" s="12" t="n"/>
      <c r="AD232" s="12" t="n"/>
      <c r="AE232" s="12" t="n"/>
      <c r="AF232" s="12" t="n"/>
      <c r="AG232" s="12" t="n"/>
      <c r="AH232" s="12" t="n"/>
      <c r="AI232" s="12" t="n"/>
      <c r="AJ232" s="12" t="n"/>
      <c r="AK232" s="12" t="n"/>
      <c r="AL232" s="12" t="n"/>
      <c r="AM232" s="12" t="n"/>
      <c r="AN232" s="12" t="n"/>
      <c r="AO232" s="12" t="n"/>
      <c r="AP232" s="12" t="n"/>
      <c r="AQ232" s="12" t="n"/>
      <c r="AR232" s="12" t="n"/>
      <c r="AS232" s="12" t="n"/>
      <c r="AT232" s="12" t="n"/>
      <c r="AU232" s="12" t="n"/>
      <c r="AV232" s="12" t="n"/>
      <c r="AW232" s="12" t="n"/>
      <c r="AX232" s="12" t="n"/>
      <c r="AY232" s="12" t="n"/>
      <c r="AZ232" s="12" t="n"/>
      <c r="BA232" s="12" t="n"/>
      <c r="BB232" s="12" t="n"/>
      <c r="BC232" s="12" t="n"/>
      <c r="BD232" s="12" t="n"/>
      <c r="BE232" s="12" t="n"/>
      <c r="BF232" s="12" t="n"/>
      <c r="BG232" s="12" t="n"/>
      <c r="BH232" s="12" t="n"/>
      <c r="BI232" s="12" t="n"/>
      <c r="BJ232" s="12" t="n"/>
      <c r="BK232" s="12" t="n"/>
      <c r="BL232" s="12" t="n"/>
      <c r="BM232" s="12" t="n"/>
      <c r="BN232" s="12" t="n"/>
      <c r="BO232" s="12" t="n"/>
      <c r="BP232" s="12" t="n"/>
      <c r="BQ232" s="12" t="n"/>
      <c r="BR232" s="12" t="n"/>
      <c r="BS232" s="12" t="n"/>
      <c r="BT232" s="12" t="n"/>
      <c r="BU232" s="12" t="n"/>
      <c r="BV232" s="12" t="n"/>
      <c r="BW232" s="12" t="n"/>
      <c r="BX232" s="12" t="n"/>
      <c r="BY232" s="12" t="n"/>
      <c r="BZ232" s="12" t="n"/>
      <c r="CA232" s="12" t="n"/>
      <c r="CB232" s="12" t="n"/>
      <c r="CC232" s="12" t="n"/>
      <c r="CD232" s="12" t="n"/>
      <c r="CE232" s="12" t="n"/>
      <c r="CF232" s="12" t="n"/>
      <c r="CG232" s="12" t="n"/>
      <c r="CH232" s="12" t="n"/>
      <c r="CI232" s="12" t="n"/>
      <c r="CJ232" s="12" t="n"/>
      <c r="CK232" s="12" t="n"/>
      <c r="CL232" s="12" t="n"/>
      <c r="CM232" s="12" t="n"/>
      <c r="CN232" s="12" t="n"/>
      <c r="CO232" s="12" t="n"/>
      <c r="CP232" s="12" t="n"/>
      <c r="CQ232" s="12" t="n"/>
      <c r="CR232" s="12" t="n"/>
      <c r="CS232" s="12" t="n"/>
      <c r="CT232" s="12" t="n"/>
      <c r="CU232" s="12" t="n"/>
      <c r="CV232" s="12" t="n"/>
      <c r="CW232" s="12" t="n"/>
      <c r="CX232" s="12" t="n"/>
      <c r="CY232" s="12" t="n"/>
    </row>
    <row r="233" hidden="1" outlineLevel="1">
      <c r="C233" s="57" t="n"/>
      <c r="D233" s="12" t="n"/>
      <c r="E233" s="12" t="n"/>
      <c r="F233" s="12" t="n"/>
      <c r="G233" s="12" t="n"/>
      <c r="H233" s="12" t="n"/>
      <c r="I233" s="12" t="n"/>
      <c r="J233" s="12" t="n"/>
      <c r="K233" s="12" t="n"/>
      <c r="L233" s="12" t="n"/>
      <c r="M233" s="12" t="n"/>
      <c r="N233" s="12" t="n"/>
      <c r="O233" s="12" t="n"/>
      <c r="P233" s="12" t="n"/>
      <c r="Q233" s="12" t="n"/>
      <c r="R233" s="12" t="n"/>
      <c r="S233" s="12" t="n"/>
      <c r="T233" s="12" t="n"/>
      <c r="U233" s="12" t="n"/>
      <c r="V233" s="12" t="n"/>
      <c r="W233" s="12" t="n"/>
      <c r="X233" s="12" t="n"/>
      <c r="Y233" s="12" t="n"/>
      <c r="Z233" s="12" t="n"/>
      <c r="AA233" s="12" t="n"/>
      <c r="AB233" s="12" t="n"/>
      <c r="AC233" s="12" t="n"/>
      <c r="AD233" s="12" t="n"/>
      <c r="AE233" s="12" t="n"/>
      <c r="AF233" s="12" t="n"/>
      <c r="AG233" s="12" t="n"/>
      <c r="AH233" s="12" t="n"/>
      <c r="AI233" s="12" t="n"/>
      <c r="AJ233" s="12" t="n"/>
      <c r="AK233" s="12" t="n"/>
      <c r="AL233" s="12" t="n"/>
      <c r="AM233" s="12" t="n"/>
      <c r="AN233" s="12" t="n"/>
      <c r="AO233" s="12" t="n"/>
      <c r="AP233" s="12" t="n"/>
      <c r="AQ233" s="12" t="n"/>
      <c r="AR233" s="12" t="n"/>
      <c r="AS233" s="12" t="n"/>
      <c r="AT233" s="12" t="n"/>
      <c r="AU233" s="12" t="n"/>
      <c r="AV233" s="12" t="n"/>
      <c r="AW233" s="12" t="n"/>
      <c r="AX233" s="12" t="n"/>
      <c r="AY233" s="12" t="n"/>
      <c r="AZ233" s="12" t="n"/>
      <c r="BA233" s="12" t="n"/>
      <c r="BB233" s="12" t="n"/>
      <c r="BC233" s="12" t="n"/>
      <c r="BD233" s="12" t="n"/>
      <c r="BE233" s="12" t="n"/>
      <c r="BF233" s="12" t="n"/>
      <c r="BG233" s="12" t="n"/>
      <c r="BH233" s="12" t="n"/>
      <c r="BI233" s="12" t="n"/>
      <c r="BJ233" s="12" t="n"/>
      <c r="BK233" s="12" t="n"/>
      <c r="BL233" s="12" t="n"/>
      <c r="BM233" s="12" t="n"/>
      <c r="BN233" s="12" t="n"/>
      <c r="BO233" s="12" t="n"/>
      <c r="BP233" s="12" t="n"/>
      <c r="BQ233" s="12" t="n"/>
      <c r="BR233" s="12" t="n"/>
      <c r="BS233" s="12" t="n"/>
      <c r="BT233" s="12" t="n"/>
      <c r="BU233" s="12" t="n"/>
      <c r="BV233" s="12" t="n"/>
      <c r="BW233" s="12" t="n"/>
      <c r="BX233" s="12" t="n"/>
      <c r="BY233" s="12" t="n"/>
      <c r="BZ233" s="12" t="n"/>
      <c r="CA233" s="12" t="n"/>
      <c r="CB233" s="12" t="n"/>
      <c r="CC233" s="12" t="n"/>
      <c r="CD233" s="12" t="n"/>
      <c r="CE233" s="12" t="n"/>
      <c r="CF233" s="12" t="n"/>
      <c r="CG233" s="12" t="n"/>
      <c r="CH233" s="12" t="n"/>
      <c r="CI233" s="12" t="n"/>
      <c r="CJ233" s="12" t="n"/>
      <c r="CK233" s="12" t="n"/>
      <c r="CL233" s="12" t="n"/>
      <c r="CM233" s="12" t="n"/>
      <c r="CN233" s="12" t="n"/>
      <c r="CO233" s="12" t="n"/>
      <c r="CP233" s="12" t="n"/>
      <c r="CQ233" s="12" t="n"/>
      <c r="CR233" s="12" t="n"/>
      <c r="CS233" s="12" t="n"/>
      <c r="CT233" s="12" t="n"/>
      <c r="CU233" s="12" t="n"/>
      <c r="CV233" s="12" t="n"/>
      <c r="CW233" s="12" t="n"/>
      <c r="CX233" s="12" t="n"/>
      <c r="CY233" s="12" t="n"/>
    </row>
    <row r="234" collapsed="1">
      <c r="C234" s="14" t="inlineStr">
        <is>
          <t>Long term operating leases</t>
        </is>
      </c>
      <c r="D234" s="46" t="n"/>
      <c r="E234" s="46" t="n"/>
      <c r="F234" s="46" t="n"/>
      <c r="G234" s="46" t="n"/>
      <c r="H234" s="12" t="n"/>
      <c r="I234" s="46">
        <f>'Inputs (2)'!D36</f>
        <v>4.476</v>
      </c>
      <c r="J234" s="46">
        <f>'Inputs (2)'!E36</f>
        <v>4.516</v>
      </c>
      <c r="K234" s="46">
        <f>'Inputs (2)'!F36</f>
        <v>4.024</v>
      </c>
      <c r="L234" s="46">
        <f>'Inputs (2)'!G36</f>
        <v>3.674</v>
      </c>
      <c r="M234" s="12">
        <f>'Inputs (2)'!H36</f>
        <v>3.674</v>
      </c>
      <c r="N234" s="46">
        <f>'Inputs (2)'!I36</f>
        <v>3.321</v>
      </c>
      <c r="O234" s="46">
        <f>'Inputs (2)'!J36</f>
        <v>2.963</v>
      </c>
      <c r="P234" s="46">
        <f>'Inputs (2)'!K36</f>
        <v>77.214</v>
      </c>
      <c r="Q234" s="46">
        <f>'Inputs (2)'!L36</f>
        <v>42.393</v>
      </c>
      <c r="R234" s="12">
        <f>'Inputs (2)'!M36</f>
        <v>42.393</v>
      </c>
      <c r="S234" s="46">
        <f>'Inputs (2)'!N36</f>
        <v>44.305</v>
      </c>
      <c r="T234" s="46">
        <f>'Inputs (2)'!O36</f>
        <v>44.217</v>
      </c>
      <c r="U234" s="46">
        <f>'Inputs (2)'!P36</f>
        <v>61.769</v>
      </c>
      <c r="V234" s="46">
        <f>'Inputs (2)'!Q36</f>
        <v>60.649</v>
      </c>
      <c r="W234" s="12">
        <f>'Inputs (2)'!R36</f>
        <v>60.649</v>
      </c>
      <c r="X234" s="46">
        <f>'Inputs (2)'!S36</f>
        <v>59.065</v>
      </c>
      <c r="Y234" s="46">
        <f>'Inputs (2)'!T36</f>
        <v>57.52</v>
      </c>
      <c r="Z234" s="46">
        <f>'Inputs (2)'!U36</f>
        <v>65.516</v>
      </c>
      <c r="AA234" s="46">
        <f>'Inputs (2)'!V36</f>
        <v>159.661</v>
      </c>
      <c r="AB234" s="12">
        <f>'Inputs (2)'!W36</f>
        <v>159.661</v>
      </c>
      <c r="AC234" s="46">
        <f>'Inputs (2)'!X36</f>
        <v>158.928</v>
      </c>
      <c r="AD234" s="46">
        <f>'Inputs (2)'!Y36</f>
        <v>156.71</v>
      </c>
      <c r="AE234" s="46">
        <f>'Inputs (2)'!Z36</f>
        <v>155.042</v>
      </c>
      <c r="AF234" s="46">
        <f>'Inputs (2)'!AA36</f>
        <v>152.805</v>
      </c>
      <c r="AG234" s="12">
        <f>'Inputs (2)'!AB36</f>
        <v>152.805</v>
      </c>
      <c r="AH234" s="12">
        <f>'Inputs (2)'!AC36</f>
        <v>151.453</v>
      </c>
      <c r="AI234" s="12">
        <f>'Inputs (2)'!AD36</f>
        <v>149.083</v>
      </c>
      <c r="AJ234" s="12">
        <f>AI234</f>
        <v>149.083</v>
      </c>
      <c r="AK234" s="12">
        <f>AJ234</f>
        <v>149.083</v>
      </c>
      <c r="AL234" s="12">
        <f>AK234</f>
        <v>149.083</v>
      </c>
      <c r="AM234" s="12">
        <f>AL234</f>
        <v>149.083</v>
      </c>
      <c r="AN234" s="12">
        <f>AM234</f>
        <v>149.083</v>
      </c>
      <c r="AO234" s="12">
        <f>AN234</f>
        <v>149.083</v>
      </c>
      <c r="AP234" s="12">
        <f>AO234</f>
        <v>149.083</v>
      </c>
      <c r="AQ234" s="12">
        <f>AP234</f>
        <v>149.083</v>
      </c>
      <c r="AR234" s="12">
        <f>AQ234</f>
        <v>149.083</v>
      </c>
      <c r="AS234" s="12">
        <f>AR234</f>
        <v>149.083</v>
      </c>
      <c r="AT234" s="12">
        <f>AS234</f>
        <v>149.083</v>
      </c>
      <c r="AU234" s="12">
        <f>AT234</f>
        <v>149.083</v>
      </c>
      <c r="AV234" s="12">
        <f>AU234</f>
        <v>149.083</v>
      </c>
      <c r="AW234" s="12">
        <f>AV234</f>
        <v>149.083</v>
      </c>
      <c r="AX234" s="12">
        <f>AW234</f>
        <v>149.083</v>
      </c>
      <c r="AY234" s="12">
        <f>AX234</f>
        <v>149.083</v>
      </c>
      <c r="AZ234" s="12">
        <f>AY234</f>
        <v>149.083</v>
      </c>
      <c r="BA234" s="12">
        <f>AZ234</f>
        <v>149.083</v>
      </c>
      <c r="BB234" s="12">
        <f>BA234</f>
        <v>149.083</v>
      </c>
      <c r="BC234" s="12">
        <f>BB234</f>
        <v>149.083</v>
      </c>
      <c r="BD234" s="12">
        <f>BC234</f>
        <v>149.083</v>
      </c>
      <c r="BE234" s="12">
        <f>BD234</f>
        <v>149.083</v>
      </c>
      <c r="BF234" s="12">
        <f>BE234</f>
        <v>149.083</v>
      </c>
      <c r="BG234" s="12" t="n"/>
      <c r="BH234" s="12" t="n"/>
      <c r="BI234" s="12" t="n"/>
      <c r="BJ234" s="12" t="n"/>
      <c r="BK234" s="12" t="n"/>
      <c r="BL234" s="12" t="n"/>
      <c r="BM234" s="12" t="n"/>
      <c r="BN234" s="12" t="n"/>
      <c r="BO234" s="12" t="n"/>
      <c r="BP234" s="12" t="n"/>
      <c r="BQ234" s="12" t="n"/>
      <c r="BR234" s="12" t="n"/>
      <c r="BS234" s="12" t="n"/>
      <c r="BT234" s="12" t="n"/>
      <c r="BU234" s="12" t="n"/>
      <c r="BV234" s="12" t="n"/>
      <c r="BW234" s="12" t="n"/>
      <c r="BX234" s="12" t="n"/>
      <c r="BY234" s="12" t="n"/>
      <c r="BZ234" s="12" t="n"/>
      <c r="CA234" s="12" t="n"/>
      <c r="CB234" s="12" t="n"/>
      <c r="CC234" s="12" t="n"/>
      <c r="CD234" s="12" t="n"/>
      <c r="CE234" s="12" t="n"/>
      <c r="CF234" s="12" t="n"/>
      <c r="CG234" s="12" t="n"/>
      <c r="CH234" s="12" t="n"/>
      <c r="CI234" s="12" t="n"/>
      <c r="CJ234" s="12" t="n"/>
      <c r="CK234" s="12" t="n"/>
      <c r="CL234" s="12" t="n"/>
      <c r="CM234" s="12" t="n"/>
      <c r="CN234" s="12" t="n"/>
      <c r="CO234" s="12" t="n"/>
      <c r="CP234" s="12" t="n"/>
      <c r="CQ234" s="12" t="n"/>
      <c r="CR234" s="12" t="n"/>
      <c r="CS234" s="12" t="n"/>
      <c r="CT234" s="12" t="n"/>
      <c r="CU234" s="12" t="n"/>
      <c r="CV234" s="12" t="n"/>
      <c r="CW234" s="12" t="n"/>
      <c r="CX234" s="12" t="n"/>
      <c r="CY234" s="12" t="n"/>
    </row>
    <row r="235" hidden="1" outlineLevel="1">
      <c r="C235" s="59" t="inlineStr">
        <is>
          <t>%(Var.)</t>
        </is>
      </c>
      <c r="D235" s="12" t="n"/>
      <c r="E235" s="40" t="n"/>
      <c r="F235" s="40" t="n"/>
      <c r="G235" s="40" t="n"/>
      <c r="H235" s="12" t="n"/>
      <c r="I235" s="40" t="str">
        <f>""</f>
        <v/>
      </c>
      <c r="J235" s="40">
        <f>IFERROR(IF(I234=0,"",J234/I234-1),"")</f>
        <v>0.00893655049151021</v>
      </c>
      <c r="K235" s="40">
        <f>IFERROR(IF(J234=0,"",K234/J234-1),"")</f>
        <v>-0.108945969884854</v>
      </c>
      <c r="L235" s="40">
        <f>IFERROR(IF(K234=0,"",L234/K234-1),"")</f>
        <v>-0.0869781312127237</v>
      </c>
      <c r="M235" s="12">
        <f>IF(L234=0,"",M234/L234-1)</f>
        <v>0</v>
      </c>
      <c r="N235" s="40">
        <f>IFERROR(IF(M234=0,"",N234/M234-1),"")</f>
        <v>-0.0960805661404464</v>
      </c>
      <c r="O235" s="40">
        <f>IFERROR(IF(N234=0,"",O234/N234-1),"")</f>
        <v>-0.107798855766335</v>
      </c>
      <c r="P235" s="40">
        <f>IFERROR(IF(O234=0,"",P234/O234-1),"")</f>
        <v>25.0593992575093</v>
      </c>
      <c r="Q235" s="40">
        <f>IFERROR(IF(P234=0,"",Q234/P234-1),"")</f>
        <v>-0.450967441137618</v>
      </c>
      <c r="R235" s="12">
        <f>IF(Q234=0,"",R234/Q234-1)</f>
        <v>0</v>
      </c>
      <c r="S235" s="40">
        <f>IFERROR(IF(R234=0,"",S234/R234-1),"")</f>
        <v>0.0451017856721629</v>
      </c>
      <c r="T235" s="40">
        <f>IFERROR(IF(S234=0,"",T234/S234-1),"")</f>
        <v>-0.00198623180227964</v>
      </c>
      <c r="U235" s="40">
        <f>IFERROR(IF(T234=0,"",U234/T234-1),"")</f>
        <v>0.396951398783273</v>
      </c>
      <c r="V235" s="40">
        <f>IFERROR(IF(U234=0,"",V234/U234-1),"")</f>
        <v>-0.018132072722563</v>
      </c>
      <c r="W235" s="12">
        <f>IF(V234=0,"",W234/V234-1)</f>
        <v>0</v>
      </c>
      <c r="X235" s="40">
        <f>IFERROR(IF(W234=0,"",X234/W234-1),"")</f>
        <v>-0.0261174957542581</v>
      </c>
      <c r="Y235" s="40">
        <f>IFERROR(IF(X234=0,"",Y234/X234-1),"")</f>
        <v>-0.0261576229577584</v>
      </c>
      <c r="Z235" s="40">
        <f>IFERROR(IF(Y234=0,"",Z234/Y234-1),"")</f>
        <v>0.139012517385257</v>
      </c>
      <c r="AA235" s="40">
        <f>IFERROR(IF(Z234=0,"",AA234/Z234-1),"")</f>
        <v>1.43697722693693</v>
      </c>
      <c r="AB235" s="12">
        <f>IF(AA234=0,"",AB234/AA234-1)</f>
        <v>0</v>
      </c>
      <c r="AC235" s="40">
        <f>IFERROR(IF(AB234=0,"",AC234/AB234-1),"")</f>
        <v>-0.0045909771328001</v>
      </c>
      <c r="AD235" s="40">
        <f>IFERROR(IF(AC234=0,"",AD234/AC234-1),"")</f>
        <v>-0.0139560052350749</v>
      </c>
      <c r="AE235" s="40">
        <f>IFERROR(IF(AD234=0,"",AE234/AD234-1),"")</f>
        <v>-0.0106438644630209</v>
      </c>
      <c r="AF235" s="41">
        <f>IFERROR(IF(AE234=0,"",AF234/AE234-1),"")</f>
        <v>-0.0144283484475174</v>
      </c>
      <c r="AG235" s="12">
        <f>IF(AF234=0,"",AG234/AF234-1)</f>
        <v>0</v>
      </c>
      <c r="AH235" s="11">
        <f>IFERROR(IF(AG234=0,"",AH234/AG234-1),"")</f>
        <v>-0.00884787801446285</v>
      </c>
      <c r="AI235" s="11">
        <f>IFERROR(IF(AH234=0,"",AI234/AH234-1),"")</f>
        <v>-0.0156484189814662</v>
      </c>
      <c r="AJ235" s="11">
        <f>IFERROR(IF(AI234=0,"",AJ234/AI234-1),"")</f>
        <v>0</v>
      </c>
      <c r="AK235" s="11">
        <f>IFERROR(IF(AJ234=0,"",AK234/AJ234-1),"")</f>
        <v>0</v>
      </c>
      <c r="AL235" s="12">
        <f>IFERROR(IF(AK234=0,"",AL234/AK234-1),"")</f>
        <v>0</v>
      </c>
      <c r="AM235" s="11">
        <f>IFERROR(IF(AL234=0,"",AM234/AL234-1),"")</f>
        <v>0</v>
      </c>
      <c r="AN235" s="11">
        <f>IFERROR(IF(AM234=0,"",AN234/AM234-1),"")</f>
        <v>0</v>
      </c>
      <c r="AO235" s="11">
        <f>IFERROR(IF(AN234=0,"",AO234/AN234-1),"")</f>
        <v>0</v>
      </c>
      <c r="AP235" s="11">
        <f>IFERROR(IF(AO234=0,"",AP234/AO234-1),"")</f>
        <v>0</v>
      </c>
      <c r="AQ235" s="12">
        <f>IFERROR(IF(AP234=0,"",AQ234/AP234-1),"")</f>
        <v>0</v>
      </c>
      <c r="AR235" s="11">
        <f>IFERROR(IF(AQ234=0,"",AR234/AQ234-1),"")</f>
        <v>0</v>
      </c>
      <c r="AS235" s="11">
        <f>IFERROR(IF(AR234=0,"",AS234/AR234-1),"")</f>
        <v>0</v>
      </c>
      <c r="AT235" s="11">
        <f>IFERROR(IF(AS234=0,"",AT234/AS234-1),"")</f>
        <v>0</v>
      </c>
      <c r="AU235" s="11">
        <f>IFERROR(IF(AT234=0,"",AU234/AT234-1),"")</f>
        <v>0</v>
      </c>
      <c r="AV235" s="12">
        <f>IFERROR(IF(AU234=0,"",AV234/AU234-1),"")</f>
        <v>0</v>
      </c>
      <c r="AW235" s="11">
        <f>IFERROR(IF(AV234=0,"",AW234/AV234-1),"")</f>
        <v>0</v>
      </c>
      <c r="AX235" s="11">
        <f>IFERROR(IF(AW234=0,"",AX234/AW234-1),"")</f>
        <v>0</v>
      </c>
      <c r="AY235" s="11">
        <f>IFERROR(IF(AX234=0,"",AY234/AX234-1),"")</f>
        <v>0</v>
      </c>
      <c r="AZ235" s="11">
        <f>IFERROR(IF(AY234=0,"",AZ234/AY234-1),"")</f>
        <v>0</v>
      </c>
      <c r="BA235" s="12">
        <f>IFERROR(IF(AZ234=0,"",BA234/AZ234-1),"")</f>
        <v>0</v>
      </c>
      <c r="BB235" s="11">
        <f>IFERROR(IF(BA234=0,"",BB234/BA234-1),"")</f>
        <v>0</v>
      </c>
      <c r="BC235" s="11">
        <f>IFERROR(IF(BB234=0,"",BC234/BB234-1),"")</f>
        <v>0</v>
      </c>
      <c r="BD235" s="11">
        <f>IFERROR(IF(BC234=0,"",BD234/BC234-1),"")</f>
        <v>0</v>
      </c>
      <c r="BE235" s="11">
        <f>IFERROR(IF(BD234=0,"",BE234/BD234-1),"")</f>
        <v>0</v>
      </c>
      <c r="BF235" s="12">
        <f>IFERROR(IF(BE234=0,"",BF234/BE234-1),"")</f>
        <v>0</v>
      </c>
      <c r="BG235" s="11" t="n"/>
      <c r="BH235" s="11" t="n"/>
      <c r="BI235" s="11" t="n"/>
      <c r="BJ235" s="11" t="n"/>
      <c r="BK235" s="12" t="n"/>
      <c r="BL235" s="11" t="n"/>
      <c r="BM235" s="11" t="n"/>
      <c r="BN235" s="11" t="n"/>
      <c r="BO235" s="11" t="n"/>
      <c r="BP235" s="12" t="n"/>
      <c r="BQ235" s="11" t="n"/>
      <c r="BR235" s="11" t="n"/>
      <c r="BS235" s="11" t="n"/>
      <c r="BT235" s="11" t="n"/>
      <c r="BU235" s="12" t="n"/>
      <c r="BV235" s="11" t="n"/>
      <c r="BW235" s="11" t="n"/>
      <c r="BX235" s="11" t="n"/>
      <c r="BY235" s="11" t="n"/>
      <c r="BZ235" s="12" t="n"/>
      <c r="CA235" s="11" t="n"/>
      <c r="CB235" s="11" t="n"/>
      <c r="CC235" s="11" t="n"/>
      <c r="CD235" s="11" t="n"/>
      <c r="CE235" s="12" t="n"/>
      <c r="CF235" s="11" t="n"/>
      <c r="CG235" s="11" t="n"/>
      <c r="CH235" s="11" t="n"/>
      <c r="CI235" s="11" t="n"/>
      <c r="CJ235" s="12" t="n"/>
      <c r="CK235" s="11" t="n"/>
      <c r="CL235" s="11" t="n"/>
      <c r="CM235" s="11" t="n"/>
      <c r="CN235" s="11" t="n"/>
      <c r="CO235" s="12" t="n"/>
      <c r="CP235" s="11" t="n"/>
      <c r="CQ235" s="11" t="n"/>
      <c r="CR235" s="11" t="n"/>
      <c r="CS235" s="11" t="n"/>
      <c r="CT235" s="12" t="n"/>
      <c r="CU235" s="11" t="n"/>
      <c r="CV235" s="11" t="n"/>
      <c r="CW235" s="11" t="n"/>
      <c r="CX235" s="11" t="n"/>
      <c r="CY235" s="12" t="n"/>
    </row>
    <row r="236" hidden="1" outlineLevel="1">
      <c r="C236" s="57" t="n"/>
      <c r="D236" s="12" t="n"/>
      <c r="E236" s="12" t="n"/>
      <c r="F236" s="12" t="n"/>
      <c r="G236" s="12" t="n"/>
      <c r="H236" s="12" t="n"/>
      <c r="I236" s="12" t="n"/>
      <c r="J236" s="12" t="n"/>
      <c r="K236" s="12" t="n"/>
      <c r="L236" s="12" t="n"/>
      <c r="M236" s="12" t="n"/>
      <c r="N236" s="12" t="n"/>
      <c r="O236" s="12" t="n"/>
      <c r="P236" s="12" t="n"/>
      <c r="Q236" s="12" t="n"/>
      <c r="R236" s="12" t="n"/>
      <c r="S236" s="12" t="n"/>
      <c r="T236" s="12" t="n"/>
      <c r="U236" s="12" t="n"/>
      <c r="V236" s="12" t="n"/>
      <c r="W236" s="12" t="n"/>
      <c r="X236" s="12" t="n"/>
      <c r="Y236" s="12" t="n"/>
      <c r="Z236" s="12" t="n"/>
      <c r="AA236" s="12" t="n"/>
      <c r="AB236" s="12" t="n"/>
      <c r="AC236" s="12" t="n"/>
      <c r="AD236" s="12" t="n"/>
      <c r="AE236" s="12" t="n"/>
      <c r="AF236" s="12" t="n"/>
      <c r="AG236" s="12" t="n"/>
      <c r="AH236" s="12" t="n"/>
      <c r="AI236" s="12" t="n"/>
      <c r="AJ236" s="12" t="n"/>
      <c r="AK236" s="12" t="n"/>
      <c r="AL236" s="12" t="n"/>
      <c r="AM236" s="12" t="n"/>
      <c r="AN236" s="12" t="n"/>
      <c r="AO236" s="12" t="n"/>
      <c r="AP236" s="12" t="n"/>
      <c r="AQ236" s="12" t="n"/>
      <c r="AR236" s="12" t="n"/>
      <c r="AS236" s="12" t="n"/>
      <c r="AT236" s="12" t="n"/>
      <c r="AU236" s="12" t="n"/>
      <c r="AV236" s="12" t="n"/>
      <c r="AW236" s="12" t="n"/>
      <c r="AX236" s="12" t="n"/>
      <c r="AY236" s="12" t="n"/>
      <c r="AZ236" s="12" t="n"/>
      <c r="BA236" s="12" t="n"/>
      <c r="BB236" s="12" t="n"/>
      <c r="BC236" s="12" t="n"/>
      <c r="BD236" s="12" t="n"/>
      <c r="BE236" s="12" t="n"/>
      <c r="BF236" s="12" t="n"/>
      <c r="BG236" s="12" t="n"/>
      <c r="BH236" s="12" t="n"/>
      <c r="BI236" s="12" t="n"/>
      <c r="BJ236" s="12" t="n"/>
      <c r="BK236" s="12" t="n"/>
      <c r="BL236" s="12" t="n"/>
      <c r="BM236" s="12" t="n"/>
      <c r="BN236" s="12" t="n"/>
      <c r="BO236" s="12" t="n"/>
      <c r="BP236" s="12" t="n"/>
      <c r="BQ236" s="12" t="n"/>
      <c r="BR236" s="12" t="n"/>
      <c r="BS236" s="12" t="n"/>
      <c r="BT236" s="12" t="n"/>
      <c r="BU236" s="12" t="n"/>
      <c r="BV236" s="12" t="n"/>
      <c r="BW236" s="12" t="n"/>
      <c r="BX236" s="12" t="n"/>
      <c r="BY236" s="12" t="n"/>
      <c r="BZ236" s="12" t="n"/>
      <c r="CA236" s="12" t="n"/>
      <c r="CB236" s="12" t="n"/>
      <c r="CC236" s="12" t="n"/>
      <c r="CD236" s="12" t="n"/>
      <c r="CE236" s="12" t="n"/>
      <c r="CF236" s="12" t="n"/>
      <c r="CG236" s="12" t="n"/>
      <c r="CH236" s="12" t="n"/>
      <c r="CI236" s="12" t="n"/>
      <c r="CJ236" s="12" t="n"/>
      <c r="CK236" s="12" t="n"/>
      <c r="CL236" s="12" t="n"/>
      <c r="CM236" s="12" t="n"/>
      <c r="CN236" s="12" t="n"/>
      <c r="CO236" s="12" t="n"/>
      <c r="CP236" s="12" t="n"/>
      <c r="CQ236" s="12" t="n"/>
      <c r="CR236" s="12" t="n"/>
      <c r="CS236" s="12" t="n"/>
      <c r="CT236" s="12" t="n"/>
      <c r="CU236" s="12" t="n"/>
      <c r="CV236" s="12" t="n"/>
      <c r="CW236" s="12" t="n"/>
      <c r="CX236" s="12" t="n"/>
      <c r="CY236" s="12" t="n"/>
    </row>
    <row r="237" collapsed="1">
      <c r="C237" s="14" t="inlineStr">
        <is>
          <t>Convertible debt</t>
        </is>
      </c>
      <c r="D237" s="46" t="n"/>
      <c r="E237" s="46" t="n"/>
      <c r="F237" s="46" t="n"/>
      <c r="G237" s="46" t="n"/>
      <c r="H237" s="12" t="n"/>
      <c r="I237" s="46">
        <f>'Inputs (2)'!D37</f>
        <v>0</v>
      </c>
      <c r="J237" s="46">
        <f>'Inputs (2)'!E37</f>
        <v>0</v>
      </c>
      <c r="K237" s="46">
        <f>'Inputs (2)'!F37</f>
        <v>0</v>
      </c>
      <c r="L237" s="46">
        <f>'Inputs (2)'!G37</f>
        <v>0</v>
      </c>
      <c r="M237" s="12">
        <f>'Inputs (2)'!H37</f>
        <v>0</v>
      </c>
      <c r="N237" s="46">
        <f>'Inputs (2)'!I37</f>
        <v>0</v>
      </c>
      <c r="O237" s="46">
        <f>'Inputs (2)'!J37</f>
        <v>0</v>
      </c>
      <c r="P237" s="46">
        <f>'Inputs (2)'!K37</f>
        <v>0</v>
      </c>
      <c r="Q237" s="46">
        <f>'Inputs (2)'!L37</f>
        <v>0</v>
      </c>
      <c r="R237" s="12">
        <f>'Inputs (2)'!M37</f>
        <v>0</v>
      </c>
      <c r="S237" s="46">
        <f>'Inputs (2)'!N37</f>
        <v>0</v>
      </c>
      <c r="T237" s="46">
        <f>'Inputs (2)'!O37</f>
        <v>0</v>
      </c>
      <c r="U237" s="46">
        <f>'Inputs (2)'!P37</f>
        <v>0</v>
      </c>
      <c r="V237" s="46">
        <f>'Inputs (2)'!Q37</f>
        <v>0</v>
      </c>
      <c r="W237" s="12">
        <f>'Inputs (2)'!R37</f>
        <v>0</v>
      </c>
      <c r="X237" s="46">
        <f>'Inputs (2)'!S37</f>
        <v>0</v>
      </c>
      <c r="Y237" s="46">
        <f>'Inputs (2)'!T37</f>
        <v>0</v>
      </c>
      <c r="Z237" s="46">
        <f>'Inputs (2)'!U37</f>
        <v>0</v>
      </c>
      <c r="AA237" s="46">
        <f>'Inputs (2)'!V37</f>
        <v>0</v>
      </c>
      <c r="AB237" s="12">
        <f>'Inputs (2)'!W37</f>
        <v>0</v>
      </c>
      <c r="AC237" s="46">
        <f>'Inputs (2)'!X37</f>
        <v>0</v>
      </c>
      <c r="AD237" s="46">
        <f>'Inputs (2)'!Y37</f>
        <v>0</v>
      </c>
      <c r="AE237" s="46">
        <f>'Inputs (2)'!Z37</f>
        <v>0</v>
      </c>
      <c r="AF237" s="46">
        <f>'Inputs (2)'!AA37</f>
        <v>0</v>
      </c>
      <c r="AG237" s="12">
        <f>'Inputs (2)'!AB37</f>
        <v>0</v>
      </c>
      <c r="AH237" s="12">
        <f>'Inputs (2)'!AC37</f>
        <v>0</v>
      </c>
      <c r="AI237" s="12">
        <f>'Inputs (2)'!AD37</f>
        <v>0</v>
      </c>
      <c r="AJ237" s="12">
        <f>AI237</f>
        <v>0</v>
      </c>
      <c r="AK237" s="12">
        <f>AJ237</f>
        <v>0</v>
      </c>
      <c r="AL237" s="12">
        <f>AK237</f>
        <v>0</v>
      </c>
      <c r="AM237" s="12">
        <f>AL237</f>
        <v>0</v>
      </c>
      <c r="AN237" s="12">
        <f>AM237</f>
        <v>0</v>
      </c>
      <c r="AO237" s="12">
        <f>AN237</f>
        <v>0</v>
      </c>
      <c r="AP237" s="12">
        <f>AO237</f>
        <v>0</v>
      </c>
      <c r="AQ237" s="12">
        <f>AP237</f>
        <v>0</v>
      </c>
      <c r="AR237" s="12">
        <f>AQ237</f>
        <v>0</v>
      </c>
      <c r="AS237" s="12">
        <f>AR237</f>
        <v>0</v>
      </c>
      <c r="AT237" s="12">
        <f>AS237</f>
        <v>0</v>
      </c>
      <c r="AU237" s="12">
        <f>AT237</f>
        <v>0</v>
      </c>
      <c r="AV237" s="12">
        <f>AU237</f>
        <v>0</v>
      </c>
      <c r="AW237" s="12">
        <f>AV237</f>
        <v>0</v>
      </c>
      <c r="AX237" s="12">
        <f>AW237</f>
        <v>0</v>
      </c>
      <c r="AY237" s="12">
        <f>AX237</f>
        <v>0</v>
      </c>
      <c r="AZ237" s="12">
        <f>AY237</f>
        <v>0</v>
      </c>
      <c r="BA237" s="12">
        <f>AZ237</f>
        <v>0</v>
      </c>
      <c r="BB237" s="12">
        <f>BA237</f>
        <v>0</v>
      </c>
      <c r="BC237" s="12">
        <f>BB237</f>
        <v>0</v>
      </c>
      <c r="BD237" s="12">
        <f>BC237</f>
        <v>0</v>
      </c>
      <c r="BE237" s="12">
        <f>BD237</f>
        <v>0</v>
      </c>
      <c r="BF237" s="12">
        <f>BE237</f>
        <v>0</v>
      </c>
      <c r="BG237" s="12" t="n"/>
      <c r="BH237" s="12" t="n"/>
      <c r="BI237" s="12" t="n"/>
      <c r="BJ237" s="12" t="n"/>
      <c r="BK237" s="12" t="n"/>
      <c r="BL237" s="12" t="n"/>
      <c r="BM237" s="12" t="n"/>
      <c r="BN237" s="12" t="n"/>
      <c r="BO237" s="12" t="n"/>
      <c r="BP237" s="12" t="n"/>
      <c r="BQ237" s="12" t="n"/>
      <c r="BR237" s="12" t="n"/>
      <c r="BS237" s="12" t="n"/>
      <c r="BT237" s="12" t="n"/>
      <c r="BU237" s="12" t="n"/>
      <c r="BV237" s="12" t="n"/>
      <c r="BW237" s="12" t="n"/>
      <c r="BX237" s="12" t="n"/>
      <c r="BY237" s="12" t="n"/>
      <c r="BZ237" s="12" t="n"/>
      <c r="CA237" s="12" t="n"/>
      <c r="CB237" s="12" t="n"/>
      <c r="CC237" s="12" t="n"/>
      <c r="CD237" s="12" t="n"/>
      <c r="CE237" s="12" t="n"/>
      <c r="CF237" s="12" t="n"/>
      <c r="CG237" s="12" t="n"/>
      <c r="CH237" s="12" t="n"/>
      <c r="CI237" s="12" t="n"/>
      <c r="CJ237" s="12" t="n"/>
      <c r="CK237" s="12" t="n"/>
      <c r="CL237" s="12" t="n"/>
      <c r="CM237" s="12" t="n"/>
      <c r="CN237" s="12" t="n"/>
      <c r="CO237" s="12" t="n"/>
      <c r="CP237" s="12" t="n"/>
      <c r="CQ237" s="12" t="n"/>
      <c r="CR237" s="12" t="n"/>
      <c r="CS237" s="12" t="n"/>
      <c r="CT237" s="12" t="n"/>
      <c r="CU237" s="12" t="n"/>
      <c r="CV237" s="12" t="n"/>
      <c r="CW237" s="12" t="n"/>
      <c r="CX237" s="12" t="n"/>
      <c r="CY237" s="12" t="n"/>
    </row>
    <row r="238">
      <c r="C238" s="14" t="inlineStr">
        <is>
          <t>Deferred income taxes</t>
        </is>
      </c>
      <c r="D238" s="46" t="n"/>
      <c r="E238" s="46" t="n"/>
      <c r="F238" s="46" t="n"/>
      <c r="G238" s="46" t="n"/>
      <c r="H238" s="12" t="n"/>
      <c r="I238" s="46">
        <f>'Inputs (2)'!D38</f>
        <v>355.516</v>
      </c>
      <c r="J238" s="46">
        <f>'Inputs (2)'!E38</f>
        <v>352.302</v>
      </c>
      <c r="K238" s="46">
        <f>'Inputs (2)'!F38</f>
        <v>353.857</v>
      </c>
      <c r="L238" s="46">
        <f>'Inputs (2)'!G38</f>
        <v>352.024</v>
      </c>
      <c r="M238" s="12">
        <f>'Inputs (2)'!H38</f>
        <v>352.024</v>
      </c>
      <c r="N238" s="46">
        <f>'Inputs (2)'!I38</f>
        <v>730.579</v>
      </c>
      <c r="O238" s="46">
        <f>'Inputs (2)'!J38</f>
        <v>719.608</v>
      </c>
      <c r="P238" s="46">
        <f>'Inputs (2)'!K38</f>
        <v>773.683</v>
      </c>
      <c r="Q238" s="46">
        <f>'Inputs (2)'!L38</f>
        <v>712.979</v>
      </c>
      <c r="R238" s="12">
        <f>'Inputs (2)'!M38</f>
        <v>712.979</v>
      </c>
      <c r="S238" s="46">
        <f>'Inputs (2)'!N38</f>
        <v>726.521</v>
      </c>
      <c r="T238" s="46">
        <f>'Inputs (2)'!O38</f>
        <v>694.393</v>
      </c>
      <c r="U238" s="46">
        <f>'Inputs (2)'!P38</f>
        <v>690.523</v>
      </c>
      <c r="V238" s="46">
        <f>'Inputs (2)'!Q38</f>
        <v>707.181</v>
      </c>
      <c r="W238" s="12">
        <f>'Inputs (2)'!R38</f>
        <v>707.181</v>
      </c>
      <c r="X238" s="46">
        <f>'Inputs (2)'!S38</f>
        <v>805.368</v>
      </c>
      <c r="Y238" s="46">
        <f>'Inputs (2)'!T38</f>
        <v>771.541</v>
      </c>
      <c r="Z238" s="46">
        <f>'Inputs (2)'!U38</f>
        <v>824.509</v>
      </c>
      <c r="AA238" s="46">
        <f>'Inputs (2)'!V38</f>
        <v>1408.699</v>
      </c>
      <c r="AB238" s="12">
        <f>'Inputs (2)'!W38</f>
        <v>1408.699</v>
      </c>
      <c r="AC238" s="46">
        <f>'Inputs (2)'!X38</f>
        <v>1488.03</v>
      </c>
      <c r="AD238" s="46">
        <f>'Inputs (2)'!Y38</f>
        <v>1193.332</v>
      </c>
      <c r="AE238" s="46">
        <f>'Inputs (2)'!Z38</f>
        <v>1187.48</v>
      </c>
      <c r="AF238" s="46">
        <f>'Inputs (2)'!AA38</f>
        <v>1279.815</v>
      </c>
      <c r="AG238" s="12">
        <f>'Inputs (2)'!AB38</f>
        <v>1279.815</v>
      </c>
      <c r="AH238" s="12">
        <f>'Inputs (2)'!AC38</f>
        <v>1090.587</v>
      </c>
      <c r="AI238" s="12">
        <f>'Inputs (2)'!AD38</f>
        <v>1089.261</v>
      </c>
      <c r="AJ238" s="12">
        <f>AI238</f>
        <v>1089.261</v>
      </c>
      <c r="AK238" s="12">
        <f>AJ238</f>
        <v>1089.261</v>
      </c>
      <c r="AL238" s="12">
        <f>AK238</f>
        <v>1089.261</v>
      </c>
      <c r="AM238" s="12">
        <f>AL238</f>
        <v>1089.261</v>
      </c>
      <c r="AN238" s="12">
        <f>AM238</f>
        <v>1089.261</v>
      </c>
      <c r="AO238" s="12">
        <f>AN238</f>
        <v>1089.261</v>
      </c>
      <c r="AP238" s="12">
        <f>AO238</f>
        <v>1089.261</v>
      </c>
      <c r="AQ238" s="12">
        <f>AP238</f>
        <v>1089.261</v>
      </c>
      <c r="AR238" s="12">
        <f>AQ238</f>
        <v>1089.261</v>
      </c>
      <c r="AS238" s="12">
        <f>AR238</f>
        <v>1089.261</v>
      </c>
      <c r="AT238" s="12">
        <f>AS238</f>
        <v>1089.261</v>
      </c>
      <c r="AU238" s="12">
        <f>AT238</f>
        <v>1089.261</v>
      </c>
      <c r="AV238" s="12">
        <f>AU238</f>
        <v>1089.261</v>
      </c>
      <c r="AW238" s="12">
        <f>AV238</f>
        <v>1089.261</v>
      </c>
      <c r="AX238" s="12">
        <f>AW238</f>
        <v>1089.261</v>
      </c>
      <c r="AY238" s="12">
        <f>AX238</f>
        <v>1089.261</v>
      </c>
      <c r="AZ238" s="12">
        <f>AY238</f>
        <v>1089.261</v>
      </c>
      <c r="BA238" s="12">
        <f>AZ238</f>
        <v>1089.261</v>
      </c>
      <c r="BB238" s="12">
        <f>BA238</f>
        <v>1089.261</v>
      </c>
      <c r="BC238" s="12">
        <f>BB238</f>
        <v>1089.261</v>
      </c>
      <c r="BD238" s="12">
        <f>BC238</f>
        <v>1089.261</v>
      </c>
      <c r="BE238" s="12">
        <f>BD238</f>
        <v>1089.261</v>
      </c>
      <c r="BF238" s="12">
        <f>BE238</f>
        <v>1089.261</v>
      </c>
      <c r="BG238" s="12" t="n"/>
      <c r="BH238" s="12" t="n"/>
      <c r="BI238" s="12" t="n"/>
      <c r="BJ238" s="12" t="n"/>
      <c r="BK238" s="12" t="n"/>
      <c r="BL238" s="12" t="n"/>
      <c r="BM238" s="12" t="n"/>
      <c r="BN238" s="12" t="n"/>
      <c r="BO238" s="12" t="n"/>
      <c r="BP238" s="12" t="n"/>
      <c r="BQ238" s="12" t="n"/>
      <c r="BR238" s="12" t="n"/>
      <c r="BS238" s="12" t="n"/>
      <c r="BT238" s="12" t="n"/>
      <c r="BU238" s="12" t="n"/>
      <c r="BV238" s="12" t="n"/>
      <c r="BW238" s="12" t="n"/>
      <c r="BX238" s="12" t="n"/>
      <c r="BY238" s="12" t="n"/>
      <c r="BZ238" s="12" t="n"/>
      <c r="CA238" s="12" t="n"/>
      <c r="CB238" s="12" t="n"/>
      <c r="CC238" s="12" t="n"/>
      <c r="CD238" s="12" t="n"/>
      <c r="CE238" s="12" t="n"/>
      <c r="CF238" s="12" t="n"/>
      <c r="CG238" s="12" t="n"/>
      <c r="CH238" s="12" t="n"/>
      <c r="CI238" s="12" t="n"/>
      <c r="CJ238" s="12" t="n"/>
      <c r="CK238" s="12" t="n"/>
      <c r="CL238" s="12" t="n"/>
      <c r="CM238" s="12" t="n"/>
      <c r="CN238" s="12" t="n"/>
      <c r="CO238" s="12" t="n"/>
      <c r="CP238" s="12" t="n"/>
      <c r="CQ238" s="12" t="n"/>
      <c r="CR238" s="12" t="n"/>
      <c r="CS238" s="12" t="n"/>
      <c r="CT238" s="12" t="n"/>
      <c r="CU238" s="12" t="n"/>
      <c r="CV238" s="12" t="n"/>
      <c r="CW238" s="12" t="n"/>
      <c r="CX238" s="12" t="n"/>
      <c r="CY238" s="12" t="n"/>
    </row>
    <row r="239">
      <c r="C239" s="14" t="inlineStr">
        <is>
          <t>Other non-current liabilities</t>
        </is>
      </c>
      <c r="D239" s="46" t="n"/>
      <c r="E239" s="46" t="n"/>
      <c r="F239" s="46" t="n"/>
      <c r="G239" s="46" t="n"/>
      <c r="H239" s="12" t="n"/>
      <c r="I239" s="46">
        <f>'Inputs (2)'!D39</f>
        <v>4514.285</v>
      </c>
      <c r="J239" s="46">
        <f>'Inputs (2)'!E39</f>
        <v>4592.867</v>
      </c>
      <c r="K239" s="46">
        <f>'Inputs (2)'!F39</f>
        <v>3747.453</v>
      </c>
      <c r="L239" s="46">
        <f>'Inputs (2)'!G39</f>
        <v>4056.47</v>
      </c>
      <c r="M239" s="12">
        <f>'Inputs (2)'!H39</f>
        <v>4056.47</v>
      </c>
      <c r="N239" s="46">
        <f>'Inputs (2)'!I39</f>
        <v>7180.679</v>
      </c>
      <c r="O239" s="46">
        <f>'Inputs (2)'!J39</f>
        <v>7239.471</v>
      </c>
      <c r="P239" s="46">
        <f>'Inputs (2)'!K39</f>
        <v>6938.995</v>
      </c>
      <c r="Q239" s="46">
        <f>'Inputs (2)'!L39</f>
        <v>6521.837</v>
      </c>
      <c r="R239" s="12">
        <f>'Inputs (2)'!M39</f>
        <v>6521.837</v>
      </c>
      <c r="S239" s="46">
        <f>'Inputs (2)'!N39</f>
        <v>7562.159</v>
      </c>
      <c r="T239" s="46">
        <f>'Inputs (2)'!O39</f>
        <v>7420.389</v>
      </c>
      <c r="U239" s="46">
        <f>'Inputs (2)'!P39</f>
        <v>6726.288</v>
      </c>
      <c r="V239" s="46">
        <f>'Inputs (2)'!Q39</f>
        <v>6506.975</v>
      </c>
      <c r="W239" s="12">
        <f>'Inputs (2)'!R39</f>
        <v>6506.975</v>
      </c>
      <c r="X239" s="46">
        <f>'Inputs (2)'!S39</f>
        <v>5808.727</v>
      </c>
      <c r="Y239" s="46">
        <f>'Inputs (2)'!T39</f>
        <v>5649.194</v>
      </c>
      <c r="Z239" s="46">
        <f>'Inputs (2)'!U39</f>
        <v>5476.644</v>
      </c>
      <c r="AA239" s="46">
        <f>'Inputs (2)'!V39</f>
        <v>5208.011</v>
      </c>
      <c r="AB239" s="12">
        <f>'Inputs (2)'!W39</f>
        <v>5208.011</v>
      </c>
      <c r="AC239" s="46">
        <f>'Inputs (2)'!X39</f>
        <v>4832.805</v>
      </c>
      <c r="AD239" s="46">
        <f>'Inputs (2)'!Y39</f>
        <v>5032.97</v>
      </c>
      <c r="AE239" s="46">
        <f>'Inputs (2)'!Z39</f>
        <v>4552.025</v>
      </c>
      <c r="AF239" s="46">
        <f>'Inputs (2)'!AA39</f>
        <v>4535.213</v>
      </c>
      <c r="AG239" s="12">
        <f>'Inputs (2)'!AB39</f>
        <v>4535.213</v>
      </c>
      <c r="AH239" s="12">
        <f>'Inputs (2)'!AC39</f>
        <v>4770.269</v>
      </c>
      <c r="AI239" s="12">
        <f>'Inputs (2)'!AD39</f>
        <v>4811.886</v>
      </c>
      <c r="AJ239" s="12">
        <f>AI239</f>
        <v>4811.886</v>
      </c>
      <c r="AK239" s="12">
        <f>AJ239</f>
        <v>4811.886</v>
      </c>
      <c r="AL239" s="12">
        <f>AK239</f>
        <v>4811.886</v>
      </c>
      <c r="AM239" s="12">
        <f>AL239</f>
        <v>4811.886</v>
      </c>
      <c r="AN239" s="12">
        <f>AM239</f>
        <v>4811.886</v>
      </c>
      <c r="AO239" s="12">
        <f>AN239</f>
        <v>4811.886</v>
      </c>
      <c r="AP239" s="12">
        <f>AO239</f>
        <v>4811.886</v>
      </c>
      <c r="AQ239" s="12">
        <f>AP239</f>
        <v>4811.886</v>
      </c>
      <c r="AR239" s="12">
        <f>AQ239</f>
        <v>4811.886</v>
      </c>
      <c r="AS239" s="12">
        <f>AR239</f>
        <v>4811.886</v>
      </c>
      <c r="AT239" s="12">
        <f>AS239</f>
        <v>4811.886</v>
      </c>
      <c r="AU239" s="12">
        <f>AT239</f>
        <v>4811.886</v>
      </c>
      <c r="AV239" s="12">
        <f>AU239</f>
        <v>4811.886</v>
      </c>
      <c r="AW239" s="12">
        <f>AV239</f>
        <v>4811.886</v>
      </c>
      <c r="AX239" s="12">
        <f>AW239</f>
        <v>4811.886</v>
      </c>
      <c r="AY239" s="12">
        <f>AX239</f>
        <v>4811.886</v>
      </c>
      <c r="AZ239" s="12">
        <f>AY239</f>
        <v>4811.886</v>
      </c>
      <c r="BA239" s="12">
        <f>AZ239</f>
        <v>4811.886</v>
      </c>
      <c r="BB239" s="12">
        <f>BA239</f>
        <v>4811.886</v>
      </c>
      <c r="BC239" s="12">
        <f>BB239</f>
        <v>4811.886</v>
      </c>
      <c r="BD239" s="12">
        <f>BC239</f>
        <v>4811.886</v>
      </c>
      <c r="BE239" s="12">
        <f>BD239</f>
        <v>4811.886</v>
      </c>
      <c r="BF239" s="12">
        <f>BE239</f>
        <v>4811.886</v>
      </c>
      <c r="BG239" s="12" t="n"/>
      <c r="BH239" s="12" t="n"/>
      <c r="BI239" s="12" t="n"/>
      <c r="BJ239" s="12" t="n"/>
      <c r="BK239" s="12" t="n"/>
      <c r="BL239" s="12" t="n"/>
      <c r="BM239" s="12" t="n"/>
      <c r="BN239" s="12" t="n"/>
      <c r="BO239" s="12" t="n"/>
      <c r="BP239" s="12" t="n"/>
      <c r="BQ239" s="12" t="n"/>
      <c r="BR239" s="12" t="n"/>
      <c r="BS239" s="12" t="n"/>
      <c r="BT239" s="12" t="n"/>
      <c r="BU239" s="12" t="n"/>
      <c r="BV239" s="12" t="n"/>
      <c r="BW239" s="12" t="n"/>
      <c r="BX239" s="12" t="n"/>
      <c r="BY239" s="12" t="n"/>
      <c r="BZ239" s="12" t="n"/>
      <c r="CA239" s="12" t="n"/>
      <c r="CB239" s="12" t="n"/>
      <c r="CC239" s="12" t="n"/>
      <c r="CD239" s="12" t="n"/>
      <c r="CE239" s="12" t="n"/>
      <c r="CF239" s="12" t="n"/>
      <c r="CG239" s="12" t="n"/>
      <c r="CH239" s="12" t="n"/>
      <c r="CI239" s="12" t="n"/>
      <c r="CJ239" s="12" t="n"/>
      <c r="CK239" s="12" t="n"/>
      <c r="CL239" s="12" t="n"/>
      <c r="CM239" s="12" t="n"/>
      <c r="CN239" s="12" t="n"/>
      <c r="CO239" s="12" t="n"/>
      <c r="CP239" s="12" t="n"/>
      <c r="CQ239" s="12" t="n"/>
      <c r="CR239" s="12" t="n"/>
      <c r="CS239" s="12" t="n"/>
      <c r="CT239" s="12" t="n"/>
      <c r="CU239" s="12" t="n"/>
      <c r="CV239" s="12" t="n"/>
      <c r="CW239" s="12" t="n"/>
      <c r="CX239" s="12" t="n"/>
      <c r="CY239" s="12" t="n"/>
    </row>
    <row r="240" hidden="1" outlineLevel="1" ht="12" customHeight="1">
      <c r="C240" s="59" t="inlineStr">
        <is>
          <t>%(Var.)</t>
        </is>
      </c>
      <c r="D240" s="12" t="n"/>
      <c r="E240" s="40" t="n"/>
      <c r="F240" s="40" t="n"/>
      <c r="G240" s="40" t="n"/>
      <c r="H240" s="12" t="n"/>
      <c r="I240" s="40" t="str">
        <f>""</f>
        <v/>
      </c>
      <c r="J240" s="40">
        <f>IF(I239=0,"",J239/I239-1)</f>
        <v>0.0174074078176278</v>
      </c>
      <c r="K240" s="40">
        <f>IF(J239=0,"",K239/J239-1)</f>
        <v>-0.184071082397988</v>
      </c>
      <c r="L240" s="40">
        <f>IF(K239=0,"",L239/K239-1)</f>
        <v>0.082460540532463</v>
      </c>
      <c r="M240" s="12">
        <f>IF(L239=0,"",M239/L239-1)</f>
        <v>0</v>
      </c>
      <c r="N240" s="40">
        <f>IF(M239=0,"",N239/M239-1)</f>
        <v>0.770179244515552</v>
      </c>
      <c r="O240" s="40">
        <f>IF(N239=0,"",O239/N239-1)</f>
        <v>0.00818752655563615</v>
      </c>
      <c r="P240" s="40">
        <f>IF(O239=0,"",P239/O239-1)</f>
        <v>-0.0415052425791884</v>
      </c>
      <c r="Q240" s="40">
        <f>IF(P239=0,"",Q239/P239-1)</f>
        <v>-0.0601179277402563</v>
      </c>
      <c r="R240" s="12">
        <f>IF(Q239=0,"",R239/Q239-1)</f>
        <v>0</v>
      </c>
      <c r="S240" s="40">
        <f>IF(R239=0,"",S239/R239-1)</f>
        <v>0.159513646231882</v>
      </c>
      <c r="T240" s="40">
        <f>IF(S239=0,"",T239/S239-1)</f>
        <v>-0.0187472916134135</v>
      </c>
      <c r="U240" s="40">
        <f>IF(T239=0,"",U239/T239-1)</f>
        <v>-0.0935397052634304</v>
      </c>
      <c r="V240" s="40">
        <f>IF(U239=0,"",V239/U239-1)</f>
        <v>-0.0326053537998966</v>
      </c>
      <c r="W240" s="12">
        <f>IF(V239=0,"",W239/V239-1)</f>
        <v>0</v>
      </c>
      <c r="X240" s="40">
        <f>IF(W239=0,"",X239/W239-1)</f>
        <v>-0.107307619900184</v>
      </c>
      <c r="Y240" s="40">
        <f>IF(X239=0,"",Y239/X239-1)</f>
        <v>-0.0274643652559329</v>
      </c>
      <c r="Z240" s="40">
        <f>IF(Y239=0,"",Z239/Y239-1)</f>
        <v>-0.0305441802848336</v>
      </c>
      <c r="AA240" s="40">
        <f>IF(Z239=0,"",AA239/Z239-1)</f>
        <v>-0.0490506594914696</v>
      </c>
      <c r="AB240" s="12">
        <f>IF(AA239=0,"",AB239/AA239-1)</f>
        <v>0</v>
      </c>
      <c r="AC240" s="40">
        <f>IF(AB239=0,"",AC239/AB239-1)</f>
        <v>-0.0720440106597318</v>
      </c>
      <c r="AD240" s="40">
        <f>IF(AC239=0,"",AD239/AC239-1)</f>
        <v>0.0414179756890667</v>
      </c>
      <c r="AE240" s="40">
        <f>IF(AD239=0,"",AE239/AD239-1)</f>
        <v>-0.0955588847141947</v>
      </c>
      <c r="AF240" s="41">
        <f>IF(AE239=0,"",AF239/AE239-1)</f>
        <v>-0.00369330133292323</v>
      </c>
      <c r="AG240" s="12">
        <f>IF(AF239=0,"",AG239/AF239-1)</f>
        <v>0</v>
      </c>
      <c r="AH240" s="41">
        <f>IF(AG239=0,"",AH239/AG239-1)</f>
        <v>0.0518290982143508</v>
      </c>
      <c r="AI240" s="41">
        <f>IF(AH239=0,"",AI239/AH239-1)</f>
        <v>0.00872424594923271</v>
      </c>
      <c r="AJ240" s="41">
        <f>IF(AI239=0,"",AJ239/AI239-1)</f>
        <v>0</v>
      </c>
      <c r="AK240" s="41">
        <f>IF(AJ239=0,"",AK239/AJ239-1)</f>
        <v>0</v>
      </c>
      <c r="AL240" s="12">
        <f>IF(AK239=0,"",AL239/AK239-1)</f>
        <v>0</v>
      </c>
      <c r="AM240" s="41">
        <f>IF(AL239=0,"",AM239/AL239-1)</f>
        <v>0</v>
      </c>
      <c r="AN240" s="41">
        <f>IF(AM239=0,"",AN239/AM239-1)</f>
        <v>0</v>
      </c>
      <c r="AO240" s="41">
        <f>IF(AN239=0,"",AO239/AN239-1)</f>
        <v>0</v>
      </c>
      <c r="AP240" s="41">
        <f>IF(AO239=0,"",AP239/AO239-1)</f>
        <v>0</v>
      </c>
      <c r="AQ240" s="12">
        <f>IF(AP239=0,"",AQ239/AP239-1)</f>
        <v>0</v>
      </c>
      <c r="AR240" s="41">
        <f>IF(AQ239=0,"",AR239/AQ239-1)</f>
        <v>0</v>
      </c>
      <c r="AS240" s="41">
        <f>IF(AR239=0,"",AS239/AR239-1)</f>
        <v>0</v>
      </c>
      <c r="AT240" s="41">
        <f>IF(AS239=0,"",AT239/AS239-1)</f>
        <v>0</v>
      </c>
      <c r="AU240" s="41">
        <f>IF(AT239=0,"",AU239/AT239-1)</f>
        <v>0</v>
      </c>
      <c r="AV240" s="12">
        <f>IF(AU239=0,"",AV239/AU239-1)</f>
        <v>0</v>
      </c>
      <c r="AW240" s="41">
        <f>IF(AV239=0,"",AW239/AV239-1)</f>
        <v>0</v>
      </c>
      <c r="AX240" s="41">
        <f>IF(AW239=0,"",AX239/AW239-1)</f>
        <v>0</v>
      </c>
      <c r="AY240" s="41">
        <f>IF(AX239=0,"",AY239/AX239-1)</f>
        <v>0</v>
      </c>
      <c r="AZ240" s="41">
        <f>IF(AY239=0,"",AZ239/AY239-1)</f>
        <v>0</v>
      </c>
      <c r="BA240" s="12">
        <f>IF(AZ239=0,"",BA239/AZ239-1)</f>
        <v>0</v>
      </c>
      <c r="BB240" s="41">
        <f>IF(BA239=0,"",BB239/BA239-1)</f>
        <v>0</v>
      </c>
      <c r="BC240" s="41">
        <f>IF(BB239=0,"",BC239/BB239-1)</f>
        <v>0</v>
      </c>
      <c r="BD240" s="41">
        <f>IF(BC239=0,"",BD239/BC239-1)</f>
        <v>0</v>
      </c>
      <c r="BE240" s="41">
        <f>IF(BD239=0,"",BE239/BD239-1)</f>
        <v>0</v>
      </c>
      <c r="BF240" s="12">
        <f>IF(BE239=0,"",BF239/BE239-1)</f>
        <v>0</v>
      </c>
      <c r="BG240" s="41" t="n"/>
      <c r="BH240" s="41" t="n"/>
      <c r="BI240" s="41" t="n"/>
      <c r="BJ240" s="41" t="n"/>
      <c r="BK240" s="12" t="n"/>
      <c r="BL240" s="41" t="n"/>
      <c r="BM240" s="41" t="n"/>
      <c r="BN240" s="41" t="n"/>
      <c r="BO240" s="41" t="n"/>
      <c r="BP240" s="12" t="n"/>
      <c r="BQ240" s="41" t="n"/>
      <c r="BR240" s="41" t="n"/>
      <c r="BS240" s="41" t="n"/>
      <c r="BT240" s="41" t="n"/>
      <c r="BU240" s="12" t="n"/>
      <c r="BV240" s="41" t="n"/>
      <c r="BW240" s="41" t="n"/>
      <c r="BX240" s="41" t="n"/>
      <c r="BY240" s="41" t="n"/>
      <c r="BZ240" s="12" t="n"/>
      <c r="CA240" s="41" t="n"/>
      <c r="CB240" s="41" t="n"/>
      <c r="CC240" s="41" t="n"/>
      <c r="CD240" s="41" t="n"/>
      <c r="CE240" s="12" t="n"/>
      <c r="CF240" s="41" t="n"/>
      <c r="CG240" s="41" t="n"/>
      <c r="CH240" s="41" t="n"/>
      <c r="CI240" s="41" t="n"/>
      <c r="CJ240" s="12" t="n"/>
      <c r="CK240" s="41" t="n"/>
      <c r="CL240" s="41" t="n"/>
      <c r="CM240" s="41" t="n"/>
      <c r="CN240" s="41" t="n"/>
      <c r="CO240" s="12" t="n"/>
      <c r="CP240" s="41" t="n"/>
      <c r="CQ240" s="41" t="n"/>
      <c r="CR240" s="41" t="n"/>
      <c r="CS240" s="41" t="n"/>
      <c r="CT240" s="12" t="n"/>
      <c r="CU240" s="41" t="n"/>
      <c r="CV240" s="41" t="n"/>
      <c r="CW240" s="41" t="n"/>
      <c r="CX240" s="41" t="n"/>
      <c r="CY240" s="12" t="n"/>
    </row>
    <row r="241" hidden="1" outlineLevel="1" ht="12" customHeight="1">
      <c r="C241" s="59" t="n"/>
      <c r="D241" s="12" t="n"/>
      <c r="E241" s="12" t="n"/>
      <c r="F241" s="12" t="n"/>
      <c r="G241" s="12" t="n"/>
      <c r="H241" s="12" t="n"/>
      <c r="I241" s="12" t="n"/>
      <c r="J241" s="12" t="n"/>
      <c r="K241" s="12" t="n"/>
      <c r="L241" s="12" t="n"/>
      <c r="M241" s="12" t="n"/>
      <c r="N241" s="12" t="n"/>
      <c r="O241" s="12" t="n"/>
      <c r="P241" s="12" t="n"/>
      <c r="Q241" s="12" t="n"/>
      <c r="R241" s="12" t="n"/>
      <c r="S241" s="12" t="n"/>
      <c r="T241" s="12" t="n"/>
      <c r="U241" s="12" t="n"/>
      <c r="V241" s="12" t="n"/>
      <c r="W241" s="12" t="n"/>
      <c r="X241" s="12" t="n"/>
      <c r="Y241" s="12" t="n"/>
      <c r="Z241" s="12" t="n"/>
      <c r="AA241" s="12" t="n"/>
      <c r="AB241" s="12" t="n"/>
      <c r="AC241" s="12" t="n"/>
      <c r="AD241" s="12" t="n"/>
      <c r="AE241" s="12" t="n"/>
      <c r="AF241" s="12" t="n"/>
      <c r="AG241" s="12" t="n"/>
      <c r="AH241" s="12" t="n"/>
      <c r="AI241" s="12" t="n"/>
      <c r="AJ241" s="12" t="n"/>
      <c r="AK241" s="12" t="n"/>
      <c r="AL241" s="12" t="n"/>
      <c r="AM241" s="12" t="n"/>
      <c r="AN241" s="12" t="n"/>
      <c r="AO241" s="12" t="n"/>
      <c r="AP241" s="12" t="n"/>
      <c r="AQ241" s="12" t="n"/>
      <c r="AR241" s="12" t="n"/>
      <c r="AS241" s="12" t="n"/>
      <c r="AT241" s="12" t="n"/>
      <c r="AU241" s="12" t="n"/>
      <c r="AV241" s="12" t="n"/>
      <c r="AW241" s="12" t="n"/>
      <c r="AX241" s="12" t="n"/>
      <c r="AY241" s="12" t="n"/>
      <c r="AZ241" s="12" t="n"/>
      <c r="BA241" s="12" t="n"/>
      <c r="BB241" s="12" t="n"/>
      <c r="BC241" s="12" t="n"/>
      <c r="BD241" s="12" t="n"/>
      <c r="BE241" s="12" t="n"/>
      <c r="BF241" s="12" t="n"/>
      <c r="BG241" s="12" t="n"/>
      <c r="BH241" s="12" t="n"/>
      <c r="BI241" s="12" t="n"/>
      <c r="BJ241" s="12" t="n"/>
      <c r="BK241" s="12" t="n"/>
      <c r="BL241" s="12" t="n"/>
      <c r="BM241" s="12" t="n"/>
      <c r="BN241" s="12" t="n"/>
      <c r="BO241" s="12" t="n"/>
      <c r="BP241" s="12" t="n"/>
      <c r="BQ241" s="12" t="n"/>
      <c r="BR241" s="12" t="n"/>
      <c r="BS241" s="12" t="n"/>
      <c r="BT241" s="12" t="n"/>
      <c r="BU241" s="12" t="n"/>
      <c r="BV241" s="12" t="n"/>
      <c r="BW241" s="12" t="n"/>
      <c r="BX241" s="12" t="n"/>
      <c r="BY241" s="12" t="n"/>
      <c r="BZ241" s="12" t="n"/>
      <c r="CA241" s="12" t="n"/>
      <c r="CB241" s="12" t="n"/>
      <c r="CC241" s="12" t="n"/>
      <c r="CD241" s="12" t="n"/>
      <c r="CE241" s="12" t="n"/>
      <c r="CF241" s="12" t="n"/>
      <c r="CG241" s="12" t="n"/>
      <c r="CH241" s="12" t="n"/>
      <c r="CI241" s="12" t="n"/>
      <c r="CJ241" s="12" t="n"/>
      <c r="CK241" s="12" t="n"/>
      <c r="CL241" s="12" t="n"/>
      <c r="CM241" s="12" t="n"/>
      <c r="CN241" s="12" t="n"/>
      <c r="CO241" s="12" t="n"/>
      <c r="CP241" s="12" t="n"/>
      <c r="CQ241" s="12" t="n"/>
      <c r="CR241" s="12" t="n"/>
      <c r="CS241" s="12" t="n"/>
      <c r="CT241" s="12" t="n"/>
      <c r="CU241" s="12" t="n"/>
      <c r="CV241" s="12" t="n"/>
      <c r="CW241" s="12" t="n"/>
      <c r="CX241" s="12" t="n"/>
      <c r="CY241" s="12" t="n"/>
    </row>
    <row r="242" hidden="1" outlineLevel="1">
      <c r="C242" s="57" t="inlineStr">
        <is>
          <t>Contas a pagar pela aquisição de controladas</t>
        </is>
      </c>
      <c r="D242" s="11" t="n"/>
      <c r="E242" s="11" t="n"/>
      <c r="F242" s="11" t="n"/>
      <c r="G242" s="11" t="n"/>
      <c r="H242" s="12" t="n"/>
      <c r="I242" s="11" t="n"/>
      <c r="J242" s="11" t="n"/>
      <c r="K242" s="11" t="n"/>
      <c r="L242" s="11" t="n"/>
      <c r="M242" s="12" t="n"/>
      <c r="N242" s="11" t="n"/>
      <c r="O242" s="11" t="n"/>
      <c r="P242" s="11" t="n"/>
      <c r="Q242" s="11" t="n"/>
      <c r="R242" s="12" t="n"/>
      <c r="S242" s="11" t="n"/>
      <c r="T242" s="11" t="n"/>
      <c r="U242" s="11" t="n"/>
      <c r="V242" s="11" t="n"/>
      <c r="W242" s="12" t="n"/>
      <c r="X242" s="11" t="n"/>
      <c r="Y242" s="11" t="n"/>
      <c r="Z242" s="11" t="n"/>
      <c r="AA242" s="11" t="n"/>
      <c r="AB242" s="12" t="n"/>
      <c r="AC242" s="11" t="n"/>
      <c r="AD242" s="11" t="n"/>
      <c r="AE242" s="11" t="n"/>
      <c r="AF242" s="11" t="n"/>
      <c r="AG242" s="12" t="n"/>
      <c r="AH242" s="12" t="n"/>
      <c r="AI242" s="12" t="n"/>
      <c r="AJ242" s="12" t="n"/>
      <c r="AK242" s="12" t="n"/>
      <c r="AL242" s="12" t="n"/>
      <c r="AM242" s="12" t="n"/>
      <c r="AN242" s="12" t="n"/>
      <c r="AO242" s="12" t="n"/>
      <c r="AP242" s="12" t="n"/>
      <c r="AQ242" s="12" t="n"/>
      <c r="AR242" s="12" t="n"/>
      <c r="AS242" s="12" t="n"/>
      <c r="AT242" s="12" t="n"/>
      <c r="AU242" s="12" t="n"/>
      <c r="AV242" s="12" t="n"/>
      <c r="AW242" s="12" t="n"/>
      <c r="AX242" s="12" t="n"/>
      <c r="AY242" s="12" t="n"/>
      <c r="AZ242" s="12" t="n"/>
      <c r="BA242" s="12" t="n"/>
      <c r="BB242" s="12" t="n"/>
      <c r="BC242" s="12" t="n"/>
      <c r="BD242" s="12" t="n"/>
      <c r="BE242" s="12" t="n"/>
      <c r="BF242" s="12" t="n"/>
      <c r="BG242" s="12" t="n"/>
      <c r="BH242" s="12" t="n"/>
      <c r="BI242" s="12" t="n"/>
      <c r="BJ242" s="12" t="n"/>
      <c r="BK242" s="12" t="n"/>
      <c r="BL242" s="12" t="n"/>
      <c r="BM242" s="12" t="n"/>
      <c r="BN242" s="12" t="n"/>
      <c r="BO242" s="12" t="n"/>
      <c r="BP242" s="12" t="n"/>
      <c r="BQ242" s="12" t="n"/>
      <c r="BR242" s="12" t="n"/>
      <c r="BS242" s="12" t="n"/>
      <c r="BT242" s="12" t="n"/>
      <c r="BU242" s="12" t="n"/>
      <c r="BV242" s="12" t="n"/>
      <c r="BW242" s="12" t="n"/>
      <c r="BX242" s="12" t="n"/>
      <c r="BY242" s="12" t="n"/>
      <c r="BZ242" s="12" t="n"/>
      <c r="CA242" s="12" t="n"/>
      <c r="CB242" s="12" t="n"/>
      <c r="CC242" s="12" t="n"/>
      <c r="CD242" s="12" t="n"/>
      <c r="CE242" s="12" t="n"/>
      <c r="CF242" s="12" t="n"/>
      <c r="CG242" s="12" t="n"/>
      <c r="CH242" s="12" t="n"/>
      <c r="CI242" s="12" t="n"/>
      <c r="CJ242" s="12" t="n"/>
      <c r="CK242" s="12" t="n"/>
      <c r="CL242" s="12" t="n"/>
      <c r="CM242" s="12" t="n"/>
      <c r="CN242" s="12" t="n"/>
      <c r="CO242" s="12" t="n"/>
      <c r="CP242" s="12" t="n"/>
      <c r="CQ242" s="12" t="n"/>
      <c r="CR242" s="12" t="n"/>
      <c r="CS242" s="12" t="n"/>
      <c r="CT242" s="12" t="n"/>
      <c r="CU242" s="12" t="n"/>
      <c r="CV242" s="12" t="n"/>
      <c r="CW242" s="12" t="n"/>
      <c r="CX242" s="12" t="n"/>
      <c r="CY242" s="12" t="n"/>
    </row>
    <row r="243" hidden="1" outlineLevel="1">
      <c r="C243" s="57" t="inlineStr">
        <is>
          <t xml:space="preserve">Outras Obrigações </t>
        </is>
      </c>
      <c r="D243" s="11" t="n"/>
      <c r="E243" s="11" t="n"/>
      <c r="F243" s="11" t="n"/>
      <c r="G243" s="11" t="n"/>
      <c r="H243" s="12" t="n"/>
      <c r="I243" s="11" t="n"/>
      <c r="J243" s="11" t="n"/>
      <c r="K243" s="11" t="n"/>
      <c r="L243" s="11" t="n"/>
      <c r="M243" s="12" t="n"/>
      <c r="N243" s="11" t="n"/>
      <c r="O243" s="11" t="n"/>
      <c r="P243" s="11" t="n"/>
      <c r="Q243" s="11" t="n"/>
      <c r="R243" s="12" t="n"/>
      <c r="S243" s="11" t="n"/>
      <c r="T243" s="11" t="n"/>
      <c r="U243" s="11" t="n"/>
      <c r="V243" s="11" t="n"/>
      <c r="W243" s="12" t="n"/>
      <c r="X243" s="11" t="n"/>
      <c r="Y243" s="11" t="n"/>
      <c r="Z243" s="11" t="n"/>
      <c r="AA243" s="11" t="n"/>
      <c r="AB243" s="12" t="n"/>
      <c r="AC243" s="11" t="n"/>
      <c r="AD243" s="11" t="n"/>
      <c r="AE243" s="11" t="n"/>
      <c r="AF243" s="11" t="n"/>
      <c r="AG243" s="12" t="n"/>
      <c r="AH243" s="12" t="n"/>
      <c r="AI243" s="12" t="n"/>
      <c r="AJ243" s="12" t="n"/>
      <c r="AK243" s="12" t="n"/>
      <c r="AL243" s="12" t="n"/>
      <c r="AM243" s="12" t="n"/>
      <c r="AN243" s="12" t="n"/>
      <c r="AO243" s="12" t="n"/>
      <c r="AP243" s="12" t="n"/>
      <c r="AQ243" s="12" t="n"/>
      <c r="AR243" s="12" t="n"/>
      <c r="AS243" s="12" t="n"/>
      <c r="AT243" s="12" t="n"/>
      <c r="AU243" s="12" t="n"/>
      <c r="AV243" s="12" t="n"/>
      <c r="AW243" s="12" t="n"/>
      <c r="AX243" s="12" t="n"/>
      <c r="AY243" s="12" t="n"/>
      <c r="AZ243" s="12" t="n"/>
      <c r="BA243" s="12" t="n"/>
      <c r="BB243" s="12" t="n"/>
      <c r="BC243" s="12" t="n"/>
      <c r="BD243" s="12" t="n"/>
      <c r="BE243" s="12" t="n"/>
      <c r="BF243" s="12" t="n"/>
      <c r="BG243" s="12" t="n"/>
      <c r="BH243" s="12" t="n"/>
      <c r="BI243" s="12" t="n"/>
      <c r="BJ243" s="12" t="n"/>
      <c r="BK243" s="12" t="n"/>
      <c r="BL243" s="12" t="n"/>
      <c r="BM243" s="12" t="n"/>
      <c r="BN243" s="12" t="n"/>
      <c r="BO243" s="12" t="n"/>
      <c r="BP243" s="12" t="n"/>
      <c r="BQ243" s="12" t="n"/>
      <c r="BR243" s="12" t="n"/>
      <c r="BS243" s="12" t="n"/>
      <c r="BT243" s="12" t="n"/>
      <c r="BU243" s="12" t="n"/>
      <c r="BV243" s="12" t="n"/>
      <c r="BW243" s="12" t="n"/>
      <c r="BX243" s="12" t="n"/>
      <c r="BY243" s="12" t="n"/>
      <c r="BZ243" s="12" t="n"/>
      <c r="CA243" s="12" t="n"/>
      <c r="CB243" s="12" t="n"/>
      <c r="CC243" s="12" t="n"/>
      <c r="CD243" s="12" t="n"/>
      <c r="CE243" s="12" t="n"/>
      <c r="CF243" s="12" t="n"/>
      <c r="CG243" s="12" t="n"/>
      <c r="CH243" s="12" t="n"/>
      <c r="CI243" s="12" t="n"/>
      <c r="CJ243" s="12" t="n"/>
      <c r="CK243" s="12" t="n"/>
      <c r="CL243" s="12" t="n"/>
      <c r="CM243" s="12" t="n"/>
      <c r="CN243" s="12" t="n"/>
      <c r="CO243" s="12" t="n"/>
      <c r="CP243" s="12" t="n"/>
      <c r="CQ243" s="12" t="n"/>
      <c r="CR243" s="12" t="n"/>
      <c r="CS243" s="12" t="n"/>
      <c r="CT243" s="12" t="n"/>
      <c r="CU243" s="12" t="n"/>
      <c r="CV243" s="12" t="n"/>
      <c r="CW243" s="12" t="n"/>
      <c r="CX243" s="12" t="n"/>
      <c r="CY243" s="12" t="n"/>
    </row>
    <row r="244" hidden="1" outlineLevel="1">
      <c r="C244" s="57" t="inlineStr">
        <is>
          <t xml:space="preserve">Provisão de Risco Cíveis, Trabalhistas e Tributários </t>
        </is>
      </c>
      <c r="D244" s="11" t="n"/>
      <c r="E244" s="11" t="n"/>
      <c r="F244" s="11" t="n"/>
      <c r="G244" s="11" t="n"/>
      <c r="H244" s="12" t="n"/>
      <c r="I244" s="11" t="n"/>
      <c r="J244" s="11" t="n"/>
      <c r="K244" s="11" t="n"/>
      <c r="L244" s="11" t="n"/>
      <c r="M244" s="12" t="n"/>
      <c r="N244" s="11" t="n"/>
      <c r="O244" s="11" t="n"/>
      <c r="P244" s="11" t="n"/>
      <c r="Q244" s="11" t="n"/>
      <c r="R244" s="12" t="n"/>
      <c r="S244" s="11" t="n"/>
      <c r="T244" s="11" t="n"/>
      <c r="U244" s="11" t="n"/>
      <c r="V244" s="11" t="n"/>
      <c r="W244" s="12" t="n"/>
      <c r="X244" s="11" t="n"/>
      <c r="Y244" s="11" t="n"/>
      <c r="Z244" s="11" t="n"/>
      <c r="AA244" s="11" t="n"/>
      <c r="AB244" s="12" t="n"/>
      <c r="AC244" s="11" t="n"/>
      <c r="AD244" s="11" t="n"/>
      <c r="AE244" s="11" t="n"/>
      <c r="AF244" s="11" t="n"/>
      <c r="AG244" s="12" t="n"/>
      <c r="AH244" s="12" t="n"/>
      <c r="AI244" s="12" t="n"/>
      <c r="AJ244" s="12" t="n"/>
      <c r="AK244" s="12" t="n"/>
      <c r="AL244" s="12" t="n"/>
      <c r="AM244" s="12" t="n"/>
      <c r="AN244" s="12" t="n"/>
      <c r="AO244" s="12" t="n"/>
      <c r="AP244" s="12" t="n"/>
      <c r="AQ244" s="12" t="n"/>
      <c r="AR244" s="12" t="n"/>
      <c r="AS244" s="12" t="n"/>
      <c r="AT244" s="12" t="n"/>
      <c r="AU244" s="12" t="n"/>
      <c r="AV244" s="12" t="n"/>
      <c r="AW244" s="12" t="n"/>
      <c r="AX244" s="12" t="n"/>
      <c r="AY244" s="12" t="n"/>
      <c r="AZ244" s="12" t="n"/>
      <c r="BA244" s="12" t="n"/>
      <c r="BB244" s="12" t="n"/>
      <c r="BC244" s="12" t="n"/>
      <c r="BD244" s="12" t="n"/>
      <c r="BE244" s="12" t="n"/>
      <c r="BF244" s="12" t="n"/>
      <c r="BG244" s="12" t="n"/>
      <c r="BH244" s="12" t="n"/>
      <c r="BI244" s="12" t="n"/>
      <c r="BJ244" s="12" t="n"/>
      <c r="BK244" s="12" t="n"/>
      <c r="BL244" s="12" t="n"/>
      <c r="BM244" s="12" t="n"/>
      <c r="BN244" s="12" t="n"/>
      <c r="BO244" s="12" t="n"/>
      <c r="BP244" s="12" t="n"/>
      <c r="BQ244" s="12" t="n"/>
      <c r="BR244" s="12" t="n"/>
      <c r="BS244" s="12" t="n"/>
      <c r="BT244" s="12" t="n"/>
      <c r="BU244" s="12" t="n"/>
      <c r="BV244" s="12" t="n"/>
      <c r="BW244" s="12" t="n"/>
      <c r="BX244" s="12" t="n"/>
      <c r="BY244" s="12" t="n"/>
      <c r="BZ244" s="12" t="n"/>
      <c r="CA244" s="12" t="n"/>
      <c r="CB244" s="12" t="n"/>
      <c r="CC244" s="12" t="n"/>
      <c r="CD244" s="12" t="n"/>
      <c r="CE244" s="12" t="n"/>
      <c r="CF244" s="12" t="n"/>
      <c r="CG244" s="12" t="n"/>
      <c r="CH244" s="12" t="n"/>
      <c r="CI244" s="12" t="n"/>
      <c r="CJ244" s="12" t="n"/>
      <c r="CK244" s="12" t="n"/>
      <c r="CL244" s="12" t="n"/>
      <c r="CM244" s="12" t="n"/>
      <c r="CN244" s="12" t="n"/>
      <c r="CO244" s="12" t="n"/>
      <c r="CP244" s="12" t="n"/>
      <c r="CQ244" s="12" t="n"/>
      <c r="CR244" s="12" t="n"/>
      <c r="CS244" s="12" t="n"/>
      <c r="CT244" s="12" t="n"/>
      <c r="CU244" s="12" t="n"/>
      <c r="CV244" s="12" t="n"/>
      <c r="CW244" s="12" t="n"/>
      <c r="CX244" s="12" t="n"/>
      <c r="CY244" s="12" t="n"/>
    </row>
    <row r="245" hidden="1" outlineLevel="1">
      <c r="C245" s="57" t="n"/>
      <c r="D245" s="12" t="n"/>
      <c r="E245" s="12" t="n"/>
      <c r="F245" s="12" t="n"/>
      <c r="G245" s="12" t="n"/>
      <c r="H245" s="12" t="n"/>
      <c r="I245" s="12" t="n"/>
      <c r="J245" s="12" t="n"/>
      <c r="K245" s="12" t="n"/>
      <c r="L245" s="12" t="n"/>
      <c r="M245" s="12" t="n"/>
      <c r="N245" s="12" t="n"/>
      <c r="O245" s="12" t="n"/>
      <c r="P245" s="12" t="n"/>
      <c r="Q245" s="12" t="n"/>
      <c r="R245" s="12" t="n"/>
      <c r="S245" s="12" t="n"/>
      <c r="T245" s="12" t="n"/>
      <c r="U245" s="12" t="n"/>
      <c r="V245" s="12" t="n"/>
      <c r="W245" s="12" t="n"/>
      <c r="X245" s="12" t="n"/>
      <c r="Y245" s="12" t="n"/>
      <c r="Z245" s="12" t="n"/>
      <c r="AA245" s="12" t="n"/>
      <c r="AB245" s="12" t="n"/>
      <c r="AC245" s="12" t="n"/>
      <c r="AD245" s="12" t="n"/>
      <c r="AE245" s="12" t="n"/>
      <c r="AF245" s="12" t="n"/>
      <c r="AG245" s="12" t="n"/>
      <c r="AH245" s="12" t="n"/>
      <c r="AI245" s="12" t="n"/>
      <c r="AJ245" s="12" t="n"/>
      <c r="AK245" s="12" t="n"/>
      <c r="AL245" s="12" t="n"/>
      <c r="AM245" s="12" t="n"/>
      <c r="AN245" s="12" t="n"/>
      <c r="AO245" s="12" t="n"/>
      <c r="AP245" s="12" t="n"/>
      <c r="AQ245" s="12" t="n"/>
      <c r="AR245" s="12" t="n"/>
      <c r="AS245" s="12" t="n"/>
      <c r="AT245" s="12" t="n"/>
      <c r="AU245" s="12" t="n"/>
      <c r="AV245" s="12" t="n"/>
      <c r="AW245" s="12" t="n"/>
      <c r="AX245" s="12" t="n"/>
      <c r="AY245" s="12" t="n"/>
      <c r="AZ245" s="12" t="n"/>
      <c r="BA245" s="12" t="n"/>
      <c r="BB245" s="12" t="n"/>
      <c r="BC245" s="12" t="n"/>
      <c r="BD245" s="12" t="n"/>
      <c r="BE245" s="12" t="n"/>
      <c r="BF245" s="12" t="n"/>
      <c r="BG245" s="12" t="n"/>
      <c r="BH245" s="12" t="n"/>
      <c r="BI245" s="12" t="n"/>
      <c r="BJ245" s="12" t="n"/>
      <c r="BK245" s="12" t="n"/>
      <c r="BL245" s="12" t="n"/>
      <c r="BM245" s="12" t="n"/>
      <c r="BN245" s="12" t="n"/>
      <c r="BO245" s="12" t="n"/>
      <c r="BP245" s="12" t="n"/>
      <c r="BQ245" s="12" t="n"/>
      <c r="BR245" s="12" t="n"/>
      <c r="BS245" s="12" t="n"/>
      <c r="BT245" s="12" t="n"/>
      <c r="BU245" s="12" t="n"/>
      <c r="BV245" s="12" t="n"/>
      <c r="BW245" s="12" t="n"/>
      <c r="BX245" s="12" t="n"/>
      <c r="BY245" s="12" t="n"/>
      <c r="BZ245" s="12" t="n"/>
      <c r="CA245" s="12" t="n"/>
      <c r="CB245" s="12" t="n"/>
      <c r="CC245" s="12" t="n"/>
      <c r="CD245" s="12" t="n"/>
      <c r="CE245" s="12" t="n"/>
      <c r="CF245" s="12" t="n"/>
      <c r="CG245" s="12" t="n"/>
      <c r="CH245" s="12" t="n"/>
      <c r="CI245" s="12" t="n"/>
      <c r="CJ245" s="12" t="n"/>
      <c r="CK245" s="12" t="n"/>
      <c r="CL245" s="12" t="n"/>
      <c r="CM245" s="12" t="n"/>
      <c r="CN245" s="12" t="n"/>
      <c r="CO245" s="12" t="n"/>
      <c r="CP245" s="12" t="n"/>
      <c r="CQ245" s="12" t="n"/>
      <c r="CR245" s="12" t="n"/>
      <c r="CS245" s="12" t="n"/>
      <c r="CT245" s="12" t="n"/>
      <c r="CU245" s="12" t="n"/>
      <c r="CV245" s="12" t="n"/>
      <c r="CW245" s="12" t="n"/>
      <c r="CX245" s="12" t="n"/>
      <c r="CY245" s="12" t="n"/>
    </row>
    <row r="246" collapsed="1" customFormat="1" s="32">
      <c r="A246" s="30" t="n"/>
      <c r="B246" s="30" t="n"/>
      <c r="C246" s="65" t="inlineStr">
        <is>
          <t>Total Liabilities</t>
        </is>
      </c>
      <c r="D246" s="35" t="n"/>
      <c r="E246" s="35" t="n"/>
      <c r="F246" s="35" t="n"/>
      <c r="G246" s="35" t="n"/>
      <c r="H246" s="35" t="n"/>
      <c r="I246" s="35">
        <f>SUM(I197+I201+I203+I204+I211+I212+I213+I216+I234+I237+I238+I239)</f>
        <v>10078.095</v>
      </c>
      <c r="J246" s="35">
        <f>SUM(J197+J201+J203+J204+J211+J212+J213+J216+J234+J237+J238+J239)</f>
        <v>9598.964</v>
      </c>
      <c r="K246" s="35">
        <f>SUM(K197+K201+K203+K204+K211+K212+K213+K216+K234+K237+K238+K239)</f>
        <v>9380.655</v>
      </c>
      <c r="L246" s="35">
        <f>SUM(L197+L201+L203+L204+L211+L212+L213+L216+L234+L237+L238+L239)</f>
        <v>10516.038</v>
      </c>
      <c r="M246" s="35">
        <f>SUM(M197,M201,M203,M204,M211,M212,M216,M213,M234,M237,M238,M239)</f>
        <v>10516.038</v>
      </c>
      <c r="N246" s="35">
        <f>SUM(N197+N201+N203+N204+N211+N212+N213+N216+N234+N237+N238+N239)</f>
        <v>15632.029</v>
      </c>
      <c r="O246" s="35">
        <f>SUM(O197+O201+O203+O204+O211+O212+O213+O216+O234+O237+O238+O239)</f>
        <v>16659.168</v>
      </c>
      <c r="P246" s="35">
        <f>SUM(P197+P201+P203+P204+P211+P212+P213+P216+P234+P237+P238+P239)</f>
        <v>16387.368</v>
      </c>
      <c r="Q246" s="35">
        <f>SUM(Q197+Q201+Q203+Q204+Q211+Q212+Q213+Q216+Q234+Q237+Q238+Q239)</f>
        <v>17029.815</v>
      </c>
      <c r="R246" s="35">
        <f>SUM(R197,R201,R203,R204,R211,R212,R216,R213,R234,R237,R238,R239)</f>
        <v>17029.815</v>
      </c>
      <c r="S246" s="35">
        <f>SUM(S197+S201+S203+S204+S211+S212+S213+S216+S234+S237+S238+S239)</f>
        <v>18210.646</v>
      </c>
      <c r="T246" s="35">
        <f>SUM(T197+T201+T203+T204+T211+T212+T213+T216+T234+T237+T238+T239)</f>
        <v>18224.39</v>
      </c>
      <c r="U246" s="35">
        <f>SUM(U197+U201+U203+U204+U211+U212+U213+U216+U234+U237+U238+U239)</f>
        <v>17256.82</v>
      </c>
      <c r="V246" s="35">
        <f>SUM(V197+V201+V203+V204+V211+V212+V213+V216+V234+V237+V238+V239)</f>
        <v>16625.604</v>
      </c>
      <c r="W246" s="35">
        <f>SUM(W197,W201,W203,W204,W211,W212,W216,W213,W234,W237,W238,W239)</f>
        <v>16625.604</v>
      </c>
      <c r="X246" s="35">
        <f>SUM(X197+X201+X203+X204+X211+X212+X213+X216+X234+X237+X238+X239)</f>
        <v>15470.892</v>
      </c>
      <c r="Y246" s="35">
        <f>SUM(Y197+Y201+Y203+Y204+Y211+Y212+Y213+Y216+Y234+Y237+Y238+Y239)</f>
        <v>16943.915</v>
      </c>
      <c r="Z246" s="35">
        <f>SUM(Z197+Z201+Z203+Z204+Z211+Z212+Z213+Z216+Z234+Z237+Z238+Z239)</f>
        <v>18904.972</v>
      </c>
      <c r="AA246" s="35">
        <f>SUM(AA197+AA201+AA203+AA204+AA211+AA212+AA213+AA216+AA234+AA237+AA238+AA239)</f>
        <v>38270.763</v>
      </c>
      <c r="AB246" s="35">
        <f>SUM(AB197,AB201,AB203,AB204,AB211,AB212,AB216,AB213,AB234,AB237,AB238,AB239)</f>
        <v>38270.763</v>
      </c>
      <c r="AC246" s="35">
        <f>SUM(AC197+AC201+AC203+AC204+AC211+AC212+AC213+AC216+AC234+AC237+AC238+AC239)</f>
        <v>37687.948</v>
      </c>
      <c r="AD246" s="35">
        <f>SUM(AD197+AD201+AD203+AD204+AD211+AD212+AD213+AD216+AD234+AD237+AD238+AD239)</f>
        <v>35139.197</v>
      </c>
      <c r="AE246" s="35">
        <f>SUM(AE197+AE201+AE203+AE204+AE211+AE212+AE213+AE216+AE234+AE237+AE238+AE239)</f>
        <v>35269.194</v>
      </c>
      <c r="AF246" s="35">
        <f>SUM(AF197+AF201+AF203+AF204+AF211+AF212+AF213+AF216+AF234+AF237+AF238+AF239)</f>
        <v>34951.925</v>
      </c>
      <c r="AG246" s="35">
        <f>SUM(AG197,AG201,AG203,AG204,AG211,AG212,AG216,AG213,AG234,AG237,AG238,AG239)</f>
        <v>34951.925</v>
      </c>
      <c r="AH246" s="35">
        <f>SUM(AH197+AH201+AH203+AH204+AH211+AH212+AH213+AH216+AH234+AH237+AH238+AH239)</f>
        <v>34258.293</v>
      </c>
      <c r="AI246" s="35">
        <f>SUM(AI197+AI201+AI203+AI204+AI211+AI212+AI213+AI216+AI234+AI237+AI238+AI239)</f>
        <v>33957.255</v>
      </c>
      <c r="AJ246" s="35">
        <f>SUM(AJ197+AJ201+AJ203+AJ204+AJ211+AJ212+AJ213+AJ216+AJ234+AJ237+AJ238+AJ239)</f>
        <v>34384.4798269666</v>
      </c>
      <c r="AK246" s="35">
        <f>SUM(AK197+AK201+AK203+AK204+AK211+AK212+AK213+AK216+AK234+AK237+AK238+AK239)</f>
        <v>34549.3680982791</v>
      </c>
      <c r="AL246" s="35">
        <f>SUM(AL197,AL201,AL203,AL204,AL211,AL212,AL216,AL213,AL234,AL237,AL238,AL239)</f>
        <v>34549.3680982791</v>
      </c>
      <c r="AM246" s="35">
        <f>SUM(AM197+AM201+AM203+AM204+AM211+AM212+AM213+AM216+AM234+AM237+AM238+AM239)</f>
        <v>34327.0920497012</v>
      </c>
      <c r="AN246" s="35">
        <f>SUM(AN197+AN201+AN203+AN204+AN211+AN212+AN213+AN216+AN234+AN237+AN238+AN239)</f>
        <v>34372.1420233514</v>
      </c>
      <c r="AO246" s="35">
        <f>SUM(AO197+AO201+AO203+AO204+AO211+AO212+AO213+AO216+AO234+AO237+AO238+AO239)</f>
        <v>34861.4561075996</v>
      </c>
      <c r="AP246" s="35">
        <f>SUM(AP197+AP201+AP203+AP204+AP211+AP212+AP213+AP216+AP234+AP237+AP238+AP239)</f>
        <v>35080.1382676003</v>
      </c>
      <c r="AQ246" s="35">
        <f>SUM(AQ197,AQ201,AQ203,AQ204,AQ211,AQ212,AQ216,AQ213,AQ234,AQ237,AQ238,AQ239)</f>
        <v>35080.1382676003</v>
      </c>
      <c r="AR246" s="35">
        <f>SUM(AR197+AR201+AR203+AR204+AR211+AR212+AR213+AR216+AR234+AR237+AR238+AR239)</f>
        <v>34832.6699931178</v>
      </c>
      <c r="AS246" s="35">
        <f>SUM(AS197+AS201+AS203+AS204+AS211+AS212+AS213+AS216+AS234+AS237+AS238+AS239)</f>
        <v>34935.832800515</v>
      </c>
      <c r="AT246" s="35">
        <f>SUM(AT197+AT201+AT203+AT204+AT211+AT212+AT213+AT216+AT234+AT237+AT238+AT239)</f>
        <v>35533.2606914583</v>
      </c>
      <c r="AU246" s="35">
        <f>SUM(AU197+AU201+AU203+AU204+AU211+AU212+AU213+AU216+AU234+AU237+AU238+AU239)</f>
        <v>35827.1848225247</v>
      </c>
      <c r="AV246" s="35">
        <f>SUM(AV197,AV201,AV203,AV204,AV211,AV212,AV216,AV213,AV234,AV237,AV238,AV239)</f>
        <v>35827.1848225247</v>
      </c>
      <c r="AW246" s="35">
        <f>SUM(AW197+AW201+AW203+AW204+AW211+AW212+AW213+AW216+AW234+AW237+AW238+AW239)</f>
        <v>35604.9108818544</v>
      </c>
      <c r="AX246" s="35">
        <f>SUM(AX197+AX201+AX203+AX204+AX211+AX212+AX213+AX216+AX234+AX237+AX238+AX239)</f>
        <v>35757.8303997182</v>
      </c>
      <c r="AY246" s="35">
        <f>SUM(AY197+AY201+AY203+AY204+AY211+AY212+AY213+AY216+AY234+AY237+AY238+AY239)</f>
        <v>36497.7849457656</v>
      </c>
      <c r="AZ246" s="35">
        <f>SUM(AZ197+AZ201+AZ203+AZ204+AZ211+AZ212+AZ213+AZ216+AZ234+AZ237+AZ238+AZ239)</f>
        <v>36900.7963701729</v>
      </c>
      <c r="BA246" s="35">
        <f>SUM(BA197,BA201,BA203,BA204,BA211,BA212,BA216,BA213,BA234,BA237,BA238,BA239)</f>
        <v>36900.7963701729</v>
      </c>
      <c r="BB246" s="35">
        <f>SUM(BB197+BB201+BB203+BB204+BB211+BB212+BB213+BB216+BB234+BB237+BB238+BB239)</f>
        <v>36714.5003444618</v>
      </c>
      <c r="BC246" s="35">
        <f>SUM(BC197+BC201+BC203+BC204+BC211+BC212+BC213+BC216+BC234+BC237+BC238+BC239)</f>
        <v>36971.8250754092</v>
      </c>
      <c r="BD246" s="35">
        <f>SUM(BD197+BD201+BD203+BD204+BD211+BD212+BD213+BD216+BD234+BD237+BD238+BD239)</f>
        <v>37902.6389110081</v>
      </c>
      <c r="BE246" s="35">
        <f>SUM(BE197+BE201+BE203+BE204+BE211+BE212+BE213+BE216+BE234+BE237+BE238+BE239)</f>
        <v>38463.7459628651</v>
      </c>
      <c r="BF246" s="35">
        <f>SUM(BF197,BF201,BF203,BF204,BF211,BF212,BF216,BF213,BF234,BF237,BF238,BF239)</f>
        <v>38463.7459628651</v>
      </c>
      <c r="BG246" s="35" t="n"/>
      <c r="BH246" s="35" t="n"/>
      <c r="BI246" s="35" t="n"/>
      <c r="BJ246" s="35" t="n"/>
      <c r="BK246" s="35" t="n"/>
      <c r="BL246" s="35" t="n"/>
      <c r="BM246" s="35" t="n"/>
      <c r="BN246" s="35" t="n"/>
      <c r="BO246" s="35" t="n"/>
      <c r="BP246" s="35" t="n"/>
      <c r="BQ246" s="35" t="n"/>
      <c r="BR246" s="35" t="n"/>
      <c r="BS246" s="35" t="n"/>
      <c r="BT246" s="35" t="n"/>
      <c r="BU246" s="35" t="n"/>
      <c r="BV246" s="35" t="n"/>
      <c r="BW246" s="35" t="n"/>
      <c r="BX246" s="35" t="n"/>
      <c r="BY246" s="35" t="n"/>
      <c r="BZ246" s="35" t="n"/>
      <c r="CA246" s="35" t="n"/>
      <c r="CB246" s="35" t="n"/>
      <c r="CC246" s="35" t="n"/>
      <c r="CD246" s="35" t="n"/>
      <c r="CE246" s="35" t="n"/>
      <c r="CF246" s="35" t="n"/>
      <c r="CG246" s="35" t="n"/>
      <c r="CH246" s="35" t="n"/>
      <c r="CI246" s="35" t="n"/>
      <c r="CJ246" s="35" t="n"/>
      <c r="CK246" s="35" t="n"/>
      <c r="CL246" s="35" t="n"/>
      <c r="CM246" s="35" t="n"/>
      <c r="CN246" s="35" t="n"/>
      <c r="CO246" s="35" t="n"/>
      <c r="CP246" s="35" t="n"/>
      <c r="CQ246" s="35" t="n"/>
      <c r="CR246" s="35" t="n"/>
      <c r="CS246" s="35" t="n"/>
      <c r="CT246" s="35" t="n"/>
      <c r="CU246" s="35" t="n"/>
      <c r="CV246" s="35" t="n"/>
      <c r="CW246" s="35" t="n"/>
      <c r="CX246" s="35" t="n"/>
      <c r="CY246" s="35" t="n"/>
    </row>
    <row r="247">
      <c r="C247" s="14" t="inlineStr">
        <is>
          <t>Minority interest</t>
        </is>
      </c>
      <c r="D247" s="46" t="n"/>
      <c r="E247" s="46" t="n"/>
      <c r="F247" s="46" t="n"/>
      <c r="G247" s="46" t="n"/>
      <c r="H247" s="12" t="n"/>
      <c r="I247" s="46">
        <f>'Inputs (2)'!D41</f>
        <v>4277.955</v>
      </c>
      <c r="J247" s="46">
        <f>'Inputs (2)'!E41</f>
        <v>4293.71</v>
      </c>
      <c r="K247" s="46">
        <f>'Inputs (2)'!F41</f>
        <v>4768.398</v>
      </c>
      <c r="L247" s="46">
        <f>'Inputs (2)'!G41</f>
        <v>4589.112</v>
      </c>
      <c r="M247" s="12">
        <f>'Inputs (2)'!H41</f>
        <v>4589.112</v>
      </c>
      <c r="N247" s="46">
        <f>'Inputs (2)'!I41</f>
        <v>0</v>
      </c>
      <c r="O247" s="46">
        <f>'Inputs (2)'!J41</f>
        <v>0</v>
      </c>
      <c r="P247" s="46">
        <f>'Inputs (2)'!K41</f>
        <v>0</v>
      </c>
      <c r="Q247" s="46">
        <f>'Inputs (2)'!L41</f>
        <v>0</v>
      </c>
      <c r="R247" s="12">
        <f>'Inputs (2)'!M41</f>
        <v>0</v>
      </c>
      <c r="S247" s="46">
        <f>'Inputs (2)'!N41</f>
        <v>0</v>
      </c>
      <c r="T247" s="46">
        <f>'Inputs (2)'!O41</f>
        <v>0</v>
      </c>
      <c r="U247" s="46">
        <f>'Inputs (2)'!P41</f>
        <v>0</v>
      </c>
      <c r="V247" s="46">
        <f>'Inputs (2)'!Q41</f>
        <v>0</v>
      </c>
      <c r="W247" s="12">
        <f>'Inputs (2)'!R41</f>
        <v>0</v>
      </c>
      <c r="X247" s="46">
        <f>'Inputs (2)'!S41</f>
        <v>0</v>
      </c>
      <c r="Y247" s="46">
        <f>'Inputs (2)'!T41</f>
        <v>0</v>
      </c>
      <c r="Z247" s="46">
        <f>'Inputs (2)'!U41</f>
        <v>0</v>
      </c>
      <c r="AA247" s="46">
        <f>'Inputs (2)'!V41</f>
        <v>1281.658</v>
      </c>
      <c r="AB247" s="12">
        <f>'Inputs (2)'!W41</f>
        <v>1281.658</v>
      </c>
      <c r="AC247" s="46">
        <f>'Inputs (2)'!X41</f>
        <v>1327.231</v>
      </c>
      <c r="AD247" s="46">
        <f>'Inputs (2)'!Y41</f>
        <v>1379.839</v>
      </c>
      <c r="AE247" s="46">
        <f>'Inputs (2)'!Z41</f>
        <v>1288.751</v>
      </c>
      <c r="AF247" s="46">
        <f>'Inputs (2)'!AA41</f>
        <v>1266.701</v>
      </c>
      <c r="AG247" s="12">
        <f>'Inputs (2)'!AB41</f>
        <v>1266.701</v>
      </c>
      <c r="AH247" s="12">
        <f>'Inputs (2)'!AC41</f>
        <v>1213.632</v>
      </c>
      <c r="AI247" s="12">
        <f>'Inputs (2)'!AD41</f>
        <v>1245.517</v>
      </c>
      <c r="AJ247" s="12">
        <f>AI247</f>
        <v>1245.517</v>
      </c>
      <c r="AK247" s="12">
        <f>AJ247</f>
        <v>1245.517</v>
      </c>
      <c r="AL247" s="12">
        <f>AK247</f>
        <v>1245.517</v>
      </c>
      <c r="AM247" s="12">
        <f>AL247</f>
        <v>1245.517</v>
      </c>
      <c r="AN247" s="12">
        <f>AM247</f>
        <v>1245.517</v>
      </c>
      <c r="AO247" s="12">
        <f>AN247</f>
        <v>1245.517</v>
      </c>
      <c r="AP247" s="12">
        <f>AO247</f>
        <v>1245.517</v>
      </c>
      <c r="AQ247" s="12">
        <f>AP247</f>
        <v>1245.517</v>
      </c>
      <c r="AR247" s="12">
        <f>AQ247</f>
        <v>1245.517</v>
      </c>
      <c r="AS247" s="12">
        <f>AR247</f>
        <v>1245.517</v>
      </c>
      <c r="AT247" s="12">
        <f>AS247</f>
        <v>1245.517</v>
      </c>
      <c r="AU247" s="12">
        <f>AT247</f>
        <v>1245.517</v>
      </c>
      <c r="AV247" s="12">
        <f>AU247</f>
        <v>1245.517</v>
      </c>
      <c r="AW247" s="12">
        <f>AV247</f>
        <v>1245.517</v>
      </c>
      <c r="AX247" s="12">
        <f>AW247</f>
        <v>1245.517</v>
      </c>
      <c r="AY247" s="12">
        <f>AX247</f>
        <v>1245.517</v>
      </c>
      <c r="AZ247" s="12">
        <f>AY247</f>
        <v>1245.517</v>
      </c>
      <c r="BA247" s="12">
        <f>AZ247</f>
        <v>1245.517</v>
      </c>
      <c r="BB247" s="12">
        <f>BA247</f>
        <v>1245.517</v>
      </c>
      <c r="BC247" s="12">
        <f>BB247</f>
        <v>1245.517</v>
      </c>
      <c r="BD247" s="12">
        <f>BC247</f>
        <v>1245.517</v>
      </c>
      <c r="BE247" s="12">
        <f>BD247</f>
        <v>1245.517</v>
      </c>
      <c r="BF247" s="12">
        <f>BE247</f>
        <v>1245.517</v>
      </c>
      <c r="BG247" s="12" t="n"/>
      <c r="BH247" s="12" t="n"/>
      <c r="BI247" s="12" t="n"/>
      <c r="BJ247" s="12" t="n"/>
      <c r="BK247" s="12" t="n"/>
      <c r="BL247" s="12" t="n"/>
      <c r="BM247" s="12" t="n"/>
      <c r="BN247" s="12" t="n"/>
      <c r="BO247" s="12" t="n"/>
      <c r="BP247" s="12" t="n"/>
      <c r="BQ247" s="12" t="n"/>
      <c r="BR247" s="12" t="n"/>
      <c r="BS247" s="12" t="n"/>
      <c r="BT247" s="12" t="n"/>
      <c r="BU247" s="12" t="n"/>
      <c r="BV247" s="12" t="n"/>
      <c r="BW247" s="12" t="n"/>
      <c r="BX247" s="12" t="n"/>
      <c r="BY247" s="12" t="n"/>
      <c r="BZ247" s="12" t="n"/>
      <c r="CA247" s="12" t="n"/>
      <c r="CB247" s="12" t="n"/>
      <c r="CC247" s="12" t="n"/>
      <c r="CD247" s="12" t="n"/>
      <c r="CE247" s="12" t="n"/>
      <c r="CF247" s="12" t="n"/>
      <c r="CG247" s="12" t="n"/>
      <c r="CH247" s="12" t="n"/>
      <c r="CI247" s="12" t="n"/>
      <c r="CJ247" s="12" t="n"/>
      <c r="CK247" s="12" t="n"/>
      <c r="CL247" s="12" t="n"/>
      <c r="CM247" s="12" t="n"/>
      <c r="CN247" s="12" t="n"/>
      <c r="CO247" s="12" t="n"/>
      <c r="CP247" s="12" t="n"/>
      <c r="CQ247" s="12" t="n"/>
      <c r="CR247" s="12" t="n"/>
      <c r="CS247" s="12" t="n"/>
      <c r="CT247" s="12" t="n"/>
      <c r="CU247" s="12" t="n"/>
      <c r="CV247" s="12" t="n"/>
      <c r="CW247" s="12" t="n"/>
      <c r="CX247" s="12" t="n"/>
      <c r="CY247" s="12" t="n"/>
    </row>
    <row r="248" hidden="1" outlineLevel="1" customFormat="1" s="66">
      <c r="A248" s="37" t="n"/>
      <c r="B248" s="37" t="n"/>
      <c r="C248" s="59" t="n"/>
      <c r="D248" s="42" t="n"/>
      <c r="E248" s="42" t="n"/>
      <c r="F248" s="42" t="n"/>
      <c r="G248" s="42" t="n"/>
      <c r="H248" s="42" t="n"/>
      <c r="I248" s="42" t="n"/>
      <c r="J248" s="42" t="n"/>
      <c r="K248" s="42" t="n"/>
      <c r="L248" s="42" t="n"/>
      <c r="M248" s="42" t="n"/>
      <c r="N248" s="42" t="n"/>
      <c r="O248" s="42" t="n"/>
      <c r="P248" s="42" t="n"/>
      <c r="Q248" s="42" t="n"/>
      <c r="R248" s="42" t="n"/>
      <c r="S248" s="42" t="n"/>
      <c r="T248" s="42" t="n"/>
      <c r="U248" s="42" t="n"/>
      <c r="V248" s="42" t="n"/>
      <c r="W248" s="42" t="n"/>
      <c r="X248" s="42" t="n"/>
      <c r="Y248" s="42" t="n"/>
      <c r="Z248" s="42" t="n"/>
      <c r="AA248" s="42" t="n"/>
      <c r="AB248" s="42" t="n"/>
      <c r="AC248" s="42" t="n"/>
      <c r="AD248" s="42" t="n"/>
      <c r="AE248" s="42" t="n"/>
      <c r="AF248" s="42" t="n"/>
      <c r="AG248" s="42" t="n"/>
      <c r="AH248" s="42" t="n"/>
      <c r="AI248" s="42" t="n"/>
      <c r="AJ248" s="42" t="n"/>
      <c r="AK248" s="42" t="n"/>
      <c r="AL248" s="42" t="n"/>
      <c r="AM248" s="42" t="n"/>
      <c r="AN248" s="42" t="n"/>
      <c r="AO248" s="42" t="n"/>
      <c r="AP248" s="42" t="n"/>
      <c r="AQ248" s="42" t="n"/>
      <c r="AR248" s="42" t="n"/>
      <c r="AS248" s="42" t="n"/>
      <c r="AT248" s="42" t="n"/>
      <c r="AU248" s="42" t="n"/>
      <c r="AV248" s="42" t="n"/>
      <c r="AW248" s="42" t="n"/>
      <c r="AX248" s="42" t="n"/>
      <c r="AY248" s="42" t="n"/>
      <c r="AZ248" s="42" t="n"/>
      <c r="BA248" s="42" t="n"/>
      <c r="BB248" s="42" t="n"/>
      <c r="BC248" s="42" t="n"/>
      <c r="BD248" s="42" t="n"/>
      <c r="BE248" s="42" t="n"/>
      <c r="BF248" s="42" t="n"/>
      <c r="BG248" s="42" t="n"/>
      <c r="BH248" s="42" t="n"/>
      <c r="BI248" s="42" t="n"/>
      <c r="BJ248" s="42" t="n"/>
      <c r="BK248" s="42" t="n"/>
      <c r="BL248" s="42" t="n"/>
      <c r="BM248" s="42" t="n"/>
      <c r="BN248" s="42" t="n"/>
      <c r="BO248" s="42" t="n"/>
      <c r="BP248" s="42" t="n"/>
      <c r="BQ248" s="42" t="n"/>
      <c r="BR248" s="42" t="n"/>
      <c r="BS248" s="42" t="n"/>
      <c r="BT248" s="42" t="n"/>
      <c r="BU248" s="42" t="n"/>
      <c r="BV248" s="42" t="n"/>
      <c r="BW248" s="42" t="n"/>
      <c r="BX248" s="42" t="n"/>
      <c r="BY248" s="42" t="n"/>
      <c r="BZ248" s="42" t="n"/>
      <c r="CA248" s="42" t="n"/>
      <c r="CB248" s="42" t="n"/>
      <c r="CC248" s="42" t="n"/>
      <c r="CD248" s="42" t="n"/>
      <c r="CE248" s="42" t="n"/>
      <c r="CF248" s="42" t="n"/>
      <c r="CG248" s="42" t="n"/>
      <c r="CH248" s="42" t="n"/>
      <c r="CI248" s="42" t="n"/>
      <c r="CJ248" s="42" t="n"/>
      <c r="CK248" s="42" t="n"/>
      <c r="CL248" s="42" t="n"/>
      <c r="CM248" s="42" t="n"/>
      <c r="CN248" s="42" t="n"/>
      <c r="CO248" s="42" t="n"/>
      <c r="CP248" s="42" t="n"/>
      <c r="CQ248" s="42" t="n"/>
      <c r="CR248" s="42" t="n"/>
      <c r="CS248" s="42" t="n"/>
      <c r="CT248" s="42" t="n"/>
      <c r="CU248" s="42" t="n"/>
      <c r="CV248" s="42" t="n"/>
      <c r="CW248" s="42" t="n"/>
      <c r="CX248" s="42" t="n"/>
      <c r="CY248" s="42" t="n"/>
    </row>
    <row r="249" hidden="1" outlineLevel="1" customFormat="1" s="66">
      <c r="A249" s="37" t="n"/>
      <c r="B249" s="37" t="n"/>
      <c r="C249" s="57" t="inlineStr">
        <is>
          <t>Minority Interest Expense - % YoY</t>
        </is>
      </c>
      <c r="D249" s="42" t="n"/>
      <c r="E249" s="58" t="n"/>
      <c r="F249" s="42" t="n"/>
      <c r="G249" s="42" t="n"/>
      <c r="H249" s="58" t="n"/>
      <c r="I249" s="42" t="n"/>
      <c r="J249" s="58" t="n"/>
      <c r="K249" s="42" t="n"/>
      <c r="L249" s="42" t="n"/>
      <c r="M249" s="58" t="n"/>
      <c r="N249" s="58">
        <f>IF(N(I135)=0,"",N135/I135-1)</f>
        <v>-0.856841962223128</v>
      </c>
      <c r="O249" s="58">
        <f>IF(N(J135)=0,"",O135/J135-1)</f>
        <v>-1</v>
      </c>
      <c r="P249" s="58">
        <f>IF(N(K135)=0,"",P135/K135-1)</f>
        <v>-1</v>
      </c>
      <c r="Q249" s="58">
        <f>IF(N(L135)=0,"",Q135/L135-1)</f>
        <v>-1</v>
      </c>
      <c r="R249" s="58">
        <f>IF(N(M135)=0,"",R135/M135-1)</f>
        <v>-0.980341573327238</v>
      </c>
      <c r="S249" s="58">
        <f>IF(N(N135)=0,"",S135/N135-1)</f>
        <v>-1</v>
      </c>
      <c r="T249" s="58" t="str">
        <f>IF(N(O135)=0,"",T135/O135-1)</f>
        <v/>
      </c>
      <c r="U249" s="58" t="str">
        <f>IF(N(P135)=0,"",U135/P135-1)</f>
        <v/>
      </c>
      <c r="V249" s="58" t="str">
        <f>IF(N(Q135)=0,"",V135/Q135-1)</f>
        <v/>
      </c>
      <c r="W249" s="58">
        <f>IF(N(R135)=0,"",W135/R135-1)</f>
        <v>-1</v>
      </c>
      <c r="X249" s="58" t="str">
        <f>IF(N(S135)=0,"",X135/S135-1)</f>
        <v/>
      </c>
      <c r="Y249" s="58" t="str">
        <f>IF(N(T135)=0,"",Y135/T135-1)</f>
        <v/>
      </c>
      <c r="Z249" s="58" t="str">
        <f>IF(N(U135)=0,"",Z135/U135-1)</f>
        <v/>
      </c>
      <c r="AA249" s="58" t="str">
        <f>IF(N(V135)=0,"",AA135/V135-1)</f>
        <v/>
      </c>
      <c r="AB249" s="58" t="str">
        <f>IF(N(W135)=0,"",AB135/W135-1)</f>
        <v/>
      </c>
      <c r="AC249" s="58" t="str">
        <f>IF(N(X135)=0,"",AC135/X135-1)</f>
        <v/>
      </c>
      <c r="AD249" s="58" t="str">
        <f>IF(N(Y135)=0,"",AD135/Y135-1)</f>
        <v/>
      </c>
      <c r="AE249" s="58" t="str">
        <f>IF(N(Z135)=0,"",AE135/Z135-1)</f>
        <v/>
      </c>
      <c r="AF249" s="58">
        <f>IF(N(AA135)=0,"",AF135/AA135-1)</f>
        <v>-0.293870335865463</v>
      </c>
      <c r="AG249" s="58">
        <f>IF(N(AB135)=0,"",AG135/AB135-1)</f>
        <v>4.07175959103722</v>
      </c>
      <c r="AH249" s="62">
        <f>IF(N(AC135)=0,"",AH135/AC135-1)</f>
        <v>-0.566339201336234</v>
      </c>
      <c r="AI249" s="62">
        <f>IF(N(AD135)=0,"",AI135/AD135-1)</f>
        <v>-0.393075356415479</v>
      </c>
      <c r="AJ249" s="62" t="n"/>
      <c r="AK249" s="62" t="n"/>
      <c r="AL249" s="58">
        <f>IF(AG135=0,0,AL135/AG135-1)</f>
        <v>-0.232396356340138</v>
      </c>
      <c r="AM249" s="62" t="n"/>
      <c r="AN249" s="62" t="n"/>
      <c r="AO249" s="62" t="n"/>
      <c r="AP249" s="62" t="n"/>
      <c r="AQ249" s="58">
        <f>IF(AL135=0,0,AQ135/AL135-1)</f>
        <v>-0.266909242635283</v>
      </c>
      <c r="AR249" s="62" t="n"/>
      <c r="AS249" s="62" t="n"/>
      <c r="AT249" s="62" t="n"/>
      <c r="AU249" s="62" t="n"/>
      <c r="AV249" s="58">
        <f>IF(AQ135=0,0,AV135/AQ135-1)</f>
        <v>0</v>
      </c>
      <c r="AW249" s="62" t="n"/>
      <c r="AX249" s="62" t="n"/>
      <c r="AY249" s="62" t="n"/>
      <c r="AZ249" s="62" t="n"/>
      <c r="BA249" s="58">
        <f>IF(AV135=0,0,BA135/AV135-1)</f>
        <v>0</v>
      </c>
      <c r="BB249" s="62" t="n"/>
      <c r="BC249" s="62" t="n"/>
      <c r="BD249" s="62" t="n"/>
      <c r="BE249" s="62" t="n"/>
      <c r="BF249" s="58">
        <f>IF(BA135=0,0,BF135/BA135-1)</f>
        <v>0</v>
      </c>
      <c r="BG249" s="62" t="n"/>
      <c r="BH249" s="62" t="n"/>
      <c r="BI249" s="62" t="n"/>
      <c r="BJ249" s="62" t="n"/>
      <c r="BK249" s="58" t="n"/>
      <c r="BL249" s="62" t="n"/>
      <c r="BM249" s="62" t="n"/>
      <c r="BN249" s="62" t="n"/>
      <c r="BO249" s="62" t="n"/>
      <c r="BP249" s="58" t="n"/>
      <c r="BQ249" s="62" t="n"/>
      <c r="BR249" s="62" t="n"/>
      <c r="BS249" s="62" t="n"/>
      <c r="BT249" s="62" t="n"/>
      <c r="BU249" s="58" t="n"/>
      <c r="BV249" s="62" t="n"/>
      <c r="BW249" s="62" t="n"/>
      <c r="BX249" s="62" t="n"/>
      <c r="BY249" s="62" t="n"/>
      <c r="BZ249" s="58" t="n"/>
      <c r="CA249" s="62" t="n"/>
      <c r="CB249" s="62" t="n"/>
      <c r="CC249" s="62" t="n"/>
      <c r="CD249" s="62" t="n"/>
      <c r="CE249" s="58" t="n"/>
      <c r="CF249" s="62" t="n"/>
      <c r="CG249" s="62" t="n"/>
      <c r="CH249" s="62" t="n"/>
      <c r="CI249" s="62" t="n"/>
      <c r="CJ249" s="58" t="n"/>
      <c r="CK249" s="62" t="n"/>
      <c r="CL249" s="62" t="n"/>
      <c r="CM249" s="62" t="n"/>
      <c r="CN249" s="62" t="n"/>
      <c r="CO249" s="58" t="n"/>
      <c r="CP249" s="62" t="n"/>
      <c r="CQ249" s="62" t="n"/>
      <c r="CR249" s="62" t="n"/>
      <c r="CS249" s="62" t="n"/>
      <c r="CT249" s="58" t="n"/>
      <c r="CU249" s="62" t="n"/>
      <c r="CV249" s="62" t="n"/>
      <c r="CW249" s="62" t="n"/>
      <c r="CX249" s="62" t="n"/>
      <c r="CY249" s="58" t="n"/>
    </row>
    <row r="250" hidden="1" outlineLevel="1" customFormat="1" s="66">
      <c r="A250" s="37" t="n"/>
      <c r="B250" s="37" t="n"/>
      <c r="C250" s="57" t="inlineStr">
        <is>
          <t>Dividends (enter as -)</t>
        </is>
      </c>
      <c r="D250" s="42" t="n"/>
      <c r="E250" s="42" t="n"/>
      <c r="F250" s="42" t="n"/>
      <c r="G250" s="42" t="n"/>
      <c r="H250" s="42" t="n"/>
      <c r="I250" s="42" t="n"/>
      <c r="J250" s="42" t="n"/>
      <c r="K250" s="42" t="n"/>
      <c r="L250" s="42" t="n"/>
      <c r="M250" s="42" t="n"/>
      <c r="N250" s="42" t="n"/>
      <c r="O250" s="42" t="n"/>
      <c r="P250" s="42" t="n"/>
      <c r="Q250" s="42" t="n"/>
      <c r="R250" s="42" t="n"/>
      <c r="S250" s="42" t="n"/>
      <c r="T250" s="42" t="n"/>
      <c r="U250" s="42" t="n"/>
      <c r="V250" s="42" t="n"/>
      <c r="W250" s="42" t="n"/>
      <c r="X250" s="42" t="n"/>
      <c r="Y250" s="42" t="n"/>
      <c r="Z250" s="42" t="n"/>
      <c r="AA250" s="42" t="n"/>
      <c r="AB250" s="42" t="n"/>
      <c r="AC250" s="42" t="n"/>
      <c r="AD250" s="42" t="n"/>
      <c r="AE250" s="42" t="n"/>
      <c r="AF250" s="42" t="n"/>
      <c r="AG250" s="42" t="n"/>
      <c r="AH250" s="62" t="n"/>
      <c r="AI250" s="62" t="n"/>
      <c r="AJ250" s="62" t="n"/>
      <c r="AK250" s="62" t="n"/>
      <c r="AL250" s="42" t="n"/>
      <c r="AM250" s="62" t="n"/>
      <c r="AN250" s="62" t="n"/>
      <c r="AO250" s="62" t="n"/>
      <c r="AP250" s="62" t="n"/>
      <c r="AQ250" s="42" t="n"/>
      <c r="AR250" s="62" t="n"/>
      <c r="AS250" s="62" t="n"/>
      <c r="AT250" s="62" t="n"/>
      <c r="AU250" s="62" t="n"/>
      <c r="AV250" s="42" t="n"/>
      <c r="AW250" s="62" t="n"/>
      <c r="AX250" s="62" t="n"/>
      <c r="AY250" s="62" t="n"/>
      <c r="AZ250" s="62" t="n"/>
      <c r="BA250" s="42" t="n"/>
      <c r="BB250" s="62" t="n"/>
      <c r="BC250" s="62" t="n"/>
      <c r="BD250" s="62" t="n"/>
      <c r="BE250" s="62" t="n"/>
      <c r="BF250" s="42" t="n"/>
      <c r="BG250" s="62" t="n"/>
      <c r="BH250" s="62" t="n"/>
      <c r="BI250" s="62" t="n"/>
      <c r="BJ250" s="62" t="n"/>
      <c r="BK250" s="42" t="n"/>
      <c r="BL250" s="62" t="n"/>
      <c r="BM250" s="62" t="n"/>
      <c r="BN250" s="62" t="n"/>
      <c r="BO250" s="62" t="n"/>
      <c r="BP250" s="42" t="n"/>
      <c r="BQ250" s="62" t="n"/>
      <c r="BR250" s="62" t="n"/>
      <c r="BS250" s="62" t="n"/>
      <c r="BT250" s="62" t="n"/>
      <c r="BU250" s="42" t="n"/>
      <c r="BV250" s="62" t="n"/>
      <c r="BW250" s="62" t="n"/>
      <c r="BX250" s="62" t="n"/>
      <c r="BY250" s="62" t="n"/>
      <c r="BZ250" s="42" t="n"/>
      <c r="CA250" s="62" t="n"/>
      <c r="CB250" s="62" t="n"/>
      <c r="CC250" s="62" t="n"/>
      <c r="CD250" s="62" t="n"/>
      <c r="CE250" s="42" t="n"/>
      <c r="CF250" s="62" t="n"/>
      <c r="CG250" s="62" t="n"/>
      <c r="CH250" s="62" t="n"/>
      <c r="CI250" s="62" t="n"/>
      <c r="CJ250" s="42" t="n"/>
      <c r="CK250" s="62" t="n"/>
      <c r="CL250" s="62" t="n"/>
      <c r="CM250" s="62" t="n"/>
      <c r="CN250" s="62" t="n"/>
      <c r="CO250" s="42" t="n"/>
      <c r="CP250" s="62" t="n"/>
      <c r="CQ250" s="62" t="n"/>
      <c r="CR250" s="62" t="n"/>
      <c r="CS250" s="62" t="n"/>
      <c r="CT250" s="42" t="n"/>
      <c r="CU250" s="62" t="n"/>
      <c r="CV250" s="62" t="n"/>
      <c r="CW250" s="62" t="n"/>
      <c r="CX250" s="62" t="n"/>
      <c r="CY250" s="42" t="n"/>
    </row>
    <row r="251" hidden="1" outlineLevel="1" customFormat="1" s="66">
      <c r="A251" s="37" t="n"/>
      <c r="B251" s="37" t="n"/>
      <c r="C251" s="59" t="n"/>
      <c r="D251" s="42" t="n"/>
      <c r="E251" s="42" t="n"/>
      <c r="F251" s="42" t="n"/>
      <c r="G251" s="42" t="n"/>
      <c r="H251" s="42" t="n"/>
      <c r="I251" s="42" t="n"/>
      <c r="J251" s="42" t="n"/>
      <c r="K251" s="42" t="n"/>
      <c r="L251" s="42" t="n"/>
      <c r="M251" s="42" t="n"/>
      <c r="N251" s="42" t="n"/>
      <c r="O251" s="42" t="n"/>
      <c r="P251" s="42" t="n"/>
      <c r="Q251" s="42" t="n"/>
      <c r="R251" s="42" t="n"/>
      <c r="S251" s="42" t="n"/>
      <c r="T251" s="42" t="n"/>
      <c r="U251" s="42" t="n"/>
      <c r="V251" s="42" t="n"/>
      <c r="W251" s="42" t="n"/>
      <c r="X251" s="42" t="n"/>
      <c r="Y251" s="42" t="n"/>
      <c r="Z251" s="42" t="n"/>
      <c r="AA251" s="42" t="n"/>
      <c r="AB251" s="42" t="n"/>
      <c r="AC251" s="42" t="n"/>
      <c r="AD251" s="42" t="n"/>
      <c r="AE251" s="42" t="n"/>
      <c r="AF251" s="42" t="n"/>
      <c r="AG251" s="42" t="n"/>
      <c r="AH251" s="42" t="n"/>
      <c r="AI251" s="42" t="n"/>
      <c r="AJ251" s="42" t="n"/>
      <c r="AK251" s="42" t="n"/>
      <c r="AL251" s="42" t="n"/>
      <c r="AM251" s="42" t="n"/>
      <c r="AN251" s="42" t="n"/>
      <c r="AO251" s="42" t="n"/>
      <c r="AP251" s="42" t="n"/>
      <c r="AQ251" s="42" t="n"/>
      <c r="AR251" s="42" t="n"/>
      <c r="AS251" s="42" t="n"/>
      <c r="AT251" s="42" t="n"/>
      <c r="AU251" s="42" t="n"/>
      <c r="AV251" s="42" t="n"/>
      <c r="AW251" s="42" t="n"/>
      <c r="AX251" s="42" t="n"/>
      <c r="AY251" s="42" t="n"/>
      <c r="AZ251" s="42" t="n"/>
      <c r="BA251" s="42" t="n"/>
      <c r="BB251" s="42" t="n"/>
      <c r="BC251" s="42" t="n"/>
      <c r="BD251" s="42" t="n"/>
      <c r="BE251" s="42" t="n"/>
      <c r="BF251" s="42" t="n"/>
      <c r="BG251" s="42" t="n"/>
      <c r="BH251" s="42" t="n"/>
      <c r="BI251" s="42" t="n"/>
      <c r="BJ251" s="42" t="n"/>
      <c r="BK251" s="42" t="n"/>
      <c r="BL251" s="42" t="n"/>
      <c r="BM251" s="42" t="n"/>
      <c r="BN251" s="42" t="n"/>
      <c r="BO251" s="42" t="n"/>
      <c r="BP251" s="42" t="n"/>
      <c r="BQ251" s="42" t="n"/>
      <c r="BR251" s="42" t="n"/>
      <c r="BS251" s="42" t="n"/>
      <c r="BT251" s="42" t="n"/>
      <c r="BU251" s="42" t="n"/>
      <c r="BV251" s="42" t="n"/>
      <c r="BW251" s="42" t="n"/>
      <c r="BX251" s="42" t="n"/>
      <c r="BY251" s="42" t="n"/>
      <c r="BZ251" s="42" t="n"/>
      <c r="CA251" s="42" t="n"/>
      <c r="CB251" s="42" t="n"/>
      <c r="CC251" s="42" t="n"/>
      <c r="CD251" s="42" t="n"/>
      <c r="CE251" s="42" t="n"/>
      <c r="CF251" s="42" t="n"/>
      <c r="CG251" s="42" t="n"/>
      <c r="CH251" s="42" t="n"/>
      <c r="CI251" s="42" t="n"/>
      <c r="CJ251" s="42" t="n"/>
      <c r="CK251" s="42" t="n"/>
      <c r="CL251" s="42" t="n"/>
      <c r="CM251" s="42" t="n"/>
      <c r="CN251" s="42" t="n"/>
      <c r="CO251" s="42" t="n"/>
      <c r="CP251" s="42" t="n"/>
      <c r="CQ251" s="42" t="n"/>
      <c r="CR251" s="42" t="n"/>
      <c r="CS251" s="42" t="n"/>
      <c r="CT251" s="42" t="n"/>
      <c r="CU251" s="42" t="n"/>
      <c r="CV251" s="42" t="n"/>
      <c r="CW251" s="42" t="n"/>
      <c r="CX251" s="42" t="n"/>
      <c r="CY251" s="42" t="n"/>
    </row>
    <row r="252" collapsed="1">
      <c r="C252" s="14" t="inlineStr">
        <is>
          <t>Convertible Preferred Stock</t>
        </is>
      </c>
      <c r="D252" s="46" t="n"/>
      <c r="E252" s="46" t="n"/>
      <c r="F252" s="46" t="n"/>
      <c r="G252" s="46" t="n"/>
      <c r="H252" s="12" t="n"/>
      <c r="I252" s="46">
        <f>'Inputs (2)'!D42</f>
        <v>0</v>
      </c>
      <c r="J252" s="46">
        <f>'Inputs (2)'!E42</f>
        <v>0</v>
      </c>
      <c r="K252" s="46">
        <f>'Inputs (2)'!F42</f>
        <v>0</v>
      </c>
      <c r="L252" s="46">
        <f>'Inputs (2)'!G42</f>
        <v>0</v>
      </c>
      <c r="M252" s="12">
        <f>'Inputs (2)'!H42</f>
        <v>0</v>
      </c>
      <c r="N252" s="46">
        <f>'Inputs (2)'!I42</f>
        <v>0</v>
      </c>
      <c r="O252" s="46">
        <f>'Inputs (2)'!J42</f>
        <v>0</v>
      </c>
      <c r="P252" s="46">
        <f>'Inputs (2)'!K42</f>
        <v>0</v>
      </c>
      <c r="Q252" s="46">
        <f>'Inputs (2)'!L42</f>
        <v>0</v>
      </c>
      <c r="R252" s="12">
        <f>'Inputs (2)'!M42</f>
        <v>0</v>
      </c>
      <c r="S252" s="46">
        <f>'Inputs (2)'!N42</f>
        <v>0</v>
      </c>
      <c r="T252" s="46">
        <f>'Inputs (2)'!O42</f>
        <v>0</v>
      </c>
      <c r="U252" s="46">
        <f>'Inputs (2)'!P42</f>
        <v>0</v>
      </c>
      <c r="V252" s="46">
        <f>'Inputs (2)'!Q42</f>
        <v>0</v>
      </c>
      <c r="W252" s="12">
        <f>'Inputs (2)'!R42</f>
        <v>0</v>
      </c>
      <c r="X252" s="46">
        <f>'Inputs (2)'!S42</f>
        <v>0</v>
      </c>
      <c r="Y252" s="46">
        <f>'Inputs (2)'!T42</f>
        <v>0</v>
      </c>
      <c r="Z252" s="46">
        <f>'Inputs (2)'!U42</f>
        <v>0</v>
      </c>
      <c r="AA252" s="46">
        <f>'Inputs (2)'!V42</f>
        <v>0</v>
      </c>
      <c r="AB252" s="12">
        <f>'Inputs (2)'!W42</f>
        <v>0</v>
      </c>
      <c r="AC252" s="46">
        <f>'Inputs (2)'!X42</f>
        <v>0</v>
      </c>
      <c r="AD252" s="46">
        <f>'Inputs (2)'!Y42</f>
        <v>0</v>
      </c>
      <c r="AE252" s="46">
        <f>'Inputs (2)'!Z42</f>
        <v>0</v>
      </c>
      <c r="AF252" s="46">
        <f>'Inputs (2)'!AA42</f>
        <v>0</v>
      </c>
      <c r="AG252" s="12">
        <f>'Inputs (2)'!AB42</f>
        <v>0</v>
      </c>
      <c r="AH252" s="12">
        <f>'Inputs (2)'!AC42</f>
        <v>0</v>
      </c>
      <c r="AI252" s="12">
        <f>'Inputs (2)'!AD42</f>
        <v>0</v>
      </c>
      <c r="AJ252" s="12">
        <f>AI252</f>
        <v>0</v>
      </c>
      <c r="AK252" s="12">
        <f>AJ252</f>
        <v>0</v>
      </c>
      <c r="AL252" s="12">
        <f>AK252</f>
        <v>0</v>
      </c>
      <c r="AM252" s="12">
        <f>AL252</f>
        <v>0</v>
      </c>
      <c r="AN252" s="12">
        <f>AM252</f>
        <v>0</v>
      </c>
      <c r="AO252" s="12">
        <f>AN252</f>
        <v>0</v>
      </c>
      <c r="AP252" s="12">
        <f>AO252</f>
        <v>0</v>
      </c>
      <c r="AQ252" s="12">
        <f>AP252</f>
        <v>0</v>
      </c>
      <c r="AR252" s="12">
        <f>AQ252</f>
        <v>0</v>
      </c>
      <c r="AS252" s="12">
        <f>AR252</f>
        <v>0</v>
      </c>
      <c r="AT252" s="12">
        <f>AS252</f>
        <v>0</v>
      </c>
      <c r="AU252" s="12">
        <f>AT252</f>
        <v>0</v>
      </c>
      <c r="AV252" s="12">
        <f>AU252</f>
        <v>0</v>
      </c>
      <c r="AW252" s="12">
        <f>AV252</f>
        <v>0</v>
      </c>
      <c r="AX252" s="12">
        <f>AW252</f>
        <v>0</v>
      </c>
      <c r="AY252" s="12">
        <f>AX252</f>
        <v>0</v>
      </c>
      <c r="AZ252" s="12">
        <f>AY252</f>
        <v>0</v>
      </c>
      <c r="BA252" s="12">
        <f>AZ252</f>
        <v>0</v>
      </c>
      <c r="BB252" s="12">
        <f>BA252</f>
        <v>0</v>
      </c>
      <c r="BC252" s="12">
        <f>BB252</f>
        <v>0</v>
      </c>
      <c r="BD252" s="12">
        <f>BC252</f>
        <v>0</v>
      </c>
      <c r="BE252" s="12">
        <f>BD252</f>
        <v>0</v>
      </c>
      <c r="BF252" s="12">
        <f>BE252</f>
        <v>0</v>
      </c>
      <c r="BG252" s="12" t="n"/>
      <c r="BH252" s="12" t="n"/>
      <c r="BI252" s="12" t="n"/>
      <c r="BJ252" s="12" t="n"/>
      <c r="BK252" s="12" t="n"/>
      <c r="BL252" s="12" t="n"/>
      <c r="BM252" s="12" t="n"/>
      <c r="BN252" s="12" t="n"/>
      <c r="BO252" s="12" t="n"/>
      <c r="BP252" s="12" t="n"/>
      <c r="BQ252" s="12" t="n"/>
      <c r="BR252" s="12" t="n"/>
      <c r="BS252" s="12" t="n"/>
      <c r="BT252" s="12" t="n"/>
      <c r="BU252" s="12" t="n"/>
      <c r="BV252" s="12" t="n"/>
      <c r="BW252" s="12" t="n"/>
      <c r="BX252" s="12" t="n"/>
      <c r="BY252" s="12" t="n"/>
      <c r="BZ252" s="12" t="n"/>
      <c r="CA252" s="12" t="n"/>
      <c r="CB252" s="12" t="n"/>
      <c r="CC252" s="12" t="n"/>
      <c r="CD252" s="12" t="n"/>
      <c r="CE252" s="12" t="n"/>
      <c r="CF252" s="12" t="n"/>
      <c r="CG252" s="12" t="n"/>
      <c r="CH252" s="12" t="n"/>
      <c r="CI252" s="12" t="n"/>
      <c r="CJ252" s="12" t="n"/>
      <c r="CK252" s="12" t="n"/>
      <c r="CL252" s="12" t="n"/>
      <c r="CM252" s="12" t="n"/>
      <c r="CN252" s="12" t="n"/>
      <c r="CO252" s="12" t="n"/>
      <c r="CP252" s="12" t="n"/>
      <c r="CQ252" s="12" t="n"/>
      <c r="CR252" s="12" t="n"/>
      <c r="CS252" s="12" t="n"/>
      <c r="CT252" s="12" t="n"/>
      <c r="CU252" s="12" t="n"/>
      <c r="CV252" s="12" t="n"/>
      <c r="CW252" s="12" t="n"/>
      <c r="CX252" s="12" t="n"/>
      <c r="CY252" s="12" t="n"/>
    </row>
    <row r="253">
      <c r="C253" s="13" t="inlineStr">
        <is>
          <t>Common Stock and APIC</t>
        </is>
      </c>
      <c r="D253" s="46" t="n"/>
      <c r="E253" s="46" t="n"/>
      <c r="F253" s="46" t="n"/>
      <c r="G253" s="46" t="n"/>
      <c r="H253" s="12" t="n"/>
      <c r="I253" s="46">
        <f>'Inputs (2)'!D43</f>
        <v>2977.983</v>
      </c>
      <c r="J253" s="46">
        <f>'Inputs (2)'!E43</f>
        <v>2977.983</v>
      </c>
      <c r="K253" s="46">
        <f>'Inputs (2)'!F43</f>
        <v>2977.983</v>
      </c>
      <c r="L253" s="46">
        <f>'Inputs (2)'!G43</f>
        <v>3000.836</v>
      </c>
      <c r="M253" s="12">
        <f>'Inputs (2)'!H43</f>
        <v>3000.836</v>
      </c>
      <c r="N253" s="46">
        <f>'Inputs (2)'!I43</f>
        <v>11370.509</v>
      </c>
      <c r="O253" s="46">
        <f>'Inputs (2)'!J43</f>
        <v>11370.509</v>
      </c>
      <c r="P253" s="46">
        <f>'Inputs (2)'!K43</f>
        <v>11370.509</v>
      </c>
      <c r="Q253" s="46">
        <f>'Inputs (2)'!L43</f>
        <v>11643.326</v>
      </c>
      <c r="R253" s="12">
        <f>'Inputs (2)'!M43</f>
        <v>11643.326</v>
      </c>
      <c r="S253" s="46">
        <f>'Inputs (2)'!N43</f>
        <v>11643.326</v>
      </c>
      <c r="T253" s="46">
        <f>'Inputs (2)'!O43</f>
        <v>11643.587</v>
      </c>
      <c r="U253" s="46">
        <f>'Inputs (2)'!P43</f>
        <v>11644.438</v>
      </c>
      <c r="V253" s="46">
        <f>'Inputs (2)'!Q43</f>
        <v>11645.67</v>
      </c>
      <c r="W253" s="12">
        <f>'Inputs (2)'!R43</f>
        <v>11645.67</v>
      </c>
      <c r="X253" s="46">
        <f>'Inputs (2)'!S43</f>
        <v>11646.53</v>
      </c>
      <c r="Y253" s="46">
        <f>'Inputs (2)'!T43</f>
        <v>11647.852</v>
      </c>
      <c r="Z253" s="46">
        <f>'Inputs (2)'!U43</f>
        <v>11649.622</v>
      </c>
      <c r="AA253" s="46">
        <f>'Inputs (2)'!V43</f>
        <v>12167.689</v>
      </c>
      <c r="AB253" s="12">
        <f>'Inputs (2)'!W43</f>
        <v>12167.689</v>
      </c>
      <c r="AC253" s="46">
        <f>'Inputs (2)'!X43</f>
        <v>12170.418</v>
      </c>
      <c r="AD253" s="46">
        <f>'Inputs (2)'!Y43</f>
        <v>12173.094</v>
      </c>
      <c r="AE253" s="46">
        <f>'Inputs (2)'!Z43</f>
        <v>12174.005</v>
      </c>
      <c r="AF253" s="46">
        <f>'Inputs (2)'!AA43</f>
        <v>12178.906</v>
      </c>
      <c r="AG253" s="12">
        <f>'Inputs (2)'!AB43</f>
        <v>12178.906</v>
      </c>
      <c r="AH253" s="12">
        <f>'Inputs (2)'!AC43</f>
        <v>12182.249</v>
      </c>
      <c r="AI253" s="12">
        <f>'Inputs (2)'!AD43</f>
        <v>12184.447</v>
      </c>
      <c r="AJ253" s="12">
        <f>AI253</f>
        <v>12184.447</v>
      </c>
      <c r="AK253" s="12">
        <f>AJ253</f>
        <v>12184.447</v>
      </c>
      <c r="AL253" s="12">
        <f>AK253</f>
        <v>12184.447</v>
      </c>
      <c r="AM253" s="12">
        <f>AL253</f>
        <v>12184.447</v>
      </c>
      <c r="AN253" s="12">
        <f>AM253</f>
        <v>12184.447</v>
      </c>
      <c r="AO253" s="12">
        <f>AN253</f>
        <v>12184.447</v>
      </c>
      <c r="AP253" s="12">
        <f>AO253</f>
        <v>12184.447</v>
      </c>
      <c r="AQ253" s="12">
        <f>AP253</f>
        <v>12184.447</v>
      </c>
      <c r="AR253" s="12">
        <f>AQ253</f>
        <v>12184.447</v>
      </c>
      <c r="AS253" s="12">
        <f>AR253</f>
        <v>12184.447</v>
      </c>
      <c r="AT253" s="12">
        <f>AS253</f>
        <v>12184.447</v>
      </c>
      <c r="AU253" s="12">
        <f>AT253</f>
        <v>12184.447</v>
      </c>
      <c r="AV253" s="12">
        <f>AU253</f>
        <v>12184.447</v>
      </c>
      <c r="AW253" s="12">
        <f>AV253</f>
        <v>12184.447</v>
      </c>
      <c r="AX253" s="12">
        <f>AW253</f>
        <v>12184.447</v>
      </c>
      <c r="AY253" s="12">
        <f>AX253</f>
        <v>12184.447</v>
      </c>
      <c r="AZ253" s="12">
        <f>AY253</f>
        <v>12184.447</v>
      </c>
      <c r="BA253" s="12">
        <f>AZ253</f>
        <v>12184.447</v>
      </c>
      <c r="BB253" s="12">
        <f>BA253</f>
        <v>12184.447</v>
      </c>
      <c r="BC253" s="12">
        <f>BB253</f>
        <v>12184.447</v>
      </c>
      <c r="BD253" s="12">
        <f>BC253</f>
        <v>12184.447</v>
      </c>
      <c r="BE253" s="12">
        <f>BD253</f>
        <v>12184.447</v>
      </c>
      <c r="BF253" s="12">
        <f>BE253</f>
        <v>12184.447</v>
      </c>
      <c r="BG253" s="12" t="n"/>
      <c r="BH253" s="12" t="n"/>
      <c r="BI253" s="12" t="n"/>
      <c r="BJ253" s="12" t="n"/>
      <c r="BK253" s="12" t="n"/>
      <c r="BL253" s="12" t="n"/>
      <c r="BM253" s="12" t="n"/>
      <c r="BN253" s="12" t="n"/>
      <c r="BO253" s="12" t="n"/>
      <c r="BP253" s="12" t="n"/>
      <c r="BQ253" s="12" t="n"/>
      <c r="BR253" s="12" t="n"/>
      <c r="BS253" s="12" t="n"/>
      <c r="BT253" s="12" t="n"/>
      <c r="BU253" s="12" t="n"/>
      <c r="BV253" s="12" t="n"/>
      <c r="BW253" s="12" t="n"/>
      <c r="BX253" s="12" t="n"/>
      <c r="BY253" s="12" t="n"/>
      <c r="BZ253" s="12" t="n"/>
      <c r="CA253" s="12" t="n"/>
      <c r="CB253" s="12" t="n"/>
      <c r="CC253" s="12" t="n"/>
      <c r="CD253" s="12" t="n"/>
      <c r="CE253" s="12" t="n"/>
      <c r="CF253" s="12" t="n"/>
      <c r="CG253" s="12" t="n"/>
      <c r="CH253" s="12" t="n"/>
      <c r="CI253" s="12" t="n"/>
      <c r="CJ253" s="12" t="n"/>
      <c r="CK253" s="12" t="n"/>
      <c r="CL253" s="12" t="n"/>
      <c r="CM253" s="12" t="n"/>
      <c r="CN253" s="12" t="n"/>
      <c r="CO253" s="12" t="n"/>
      <c r="CP253" s="12" t="n"/>
      <c r="CQ253" s="12" t="n"/>
      <c r="CR253" s="12" t="n"/>
      <c r="CS253" s="12" t="n"/>
      <c r="CT253" s="12" t="n"/>
      <c r="CU253" s="12" t="n"/>
      <c r="CV253" s="12" t="n"/>
      <c r="CW253" s="12" t="n"/>
      <c r="CX253" s="12" t="n"/>
      <c r="CY253" s="12" t="n"/>
    </row>
    <row r="254" hidden="1" outlineLevel="1" customFormat="1" s="66">
      <c r="A254" s="37" t="n"/>
      <c r="B254" s="37" t="n"/>
      <c r="C254" s="67" t="n"/>
      <c r="D254" s="42" t="n"/>
      <c r="E254" s="42" t="n"/>
      <c r="F254" s="42" t="n"/>
      <c r="G254" s="42" t="n"/>
      <c r="H254" s="42" t="n"/>
      <c r="I254" s="42" t="n"/>
      <c r="J254" s="42" t="n"/>
      <c r="K254" s="42" t="n"/>
      <c r="L254" s="42" t="n"/>
      <c r="M254" s="42" t="n"/>
      <c r="N254" s="42" t="n"/>
      <c r="O254" s="42" t="n"/>
      <c r="P254" s="42" t="n"/>
      <c r="Q254" s="42" t="n"/>
      <c r="R254" s="42" t="n"/>
      <c r="S254" s="42" t="n"/>
      <c r="T254" s="42" t="n"/>
      <c r="U254" s="42" t="n"/>
      <c r="V254" s="42" t="n"/>
      <c r="W254" s="42" t="n"/>
      <c r="X254" s="42" t="n"/>
      <c r="Y254" s="42" t="n"/>
      <c r="Z254" s="42" t="n"/>
      <c r="AA254" s="42" t="n"/>
      <c r="AB254" s="42" t="n"/>
      <c r="AC254" s="42" t="n"/>
      <c r="AD254" s="42" t="n"/>
      <c r="AE254" s="42" t="n"/>
      <c r="AF254" s="42" t="n"/>
      <c r="AG254" s="42" t="n"/>
      <c r="AH254" s="42" t="n"/>
      <c r="AI254" s="42" t="n"/>
      <c r="AJ254" s="42" t="n"/>
      <c r="AK254" s="42" t="n"/>
      <c r="AL254" s="42" t="n"/>
      <c r="AM254" s="42" t="n"/>
      <c r="AN254" s="42" t="n"/>
      <c r="AO254" s="42" t="n"/>
      <c r="AP254" s="42" t="n"/>
      <c r="AQ254" s="42" t="n"/>
      <c r="AR254" s="42" t="n"/>
      <c r="AS254" s="42" t="n"/>
      <c r="AT254" s="42" t="n"/>
      <c r="AU254" s="42" t="n"/>
      <c r="AV254" s="42" t="n"/>
      <c r="AW254" s="42" t="n"/>
      <c r="AX254" s="42" t="n"/>
      <c r="AY254" s="42" t="n"/>
      <c r="AZ254" s="42" t="n"/>
      <c r="BA254" s="42" t="n"/>
      <c r="BB254" s="42" t="n"/>
      <c r="BC254" s="42" t="n"/>
      <c r="BD254" s="42" t="n"/>
      <c r="BE254" s="42" t="n"/>
      <c r="BF254" s="42" t="n"/>
      <c r="BG254" s="42" t="n"/>
      <c r="BH254" s="42" t="n"/>
      <c r="BI254" s="42" t="n"/>
      <c r="BJ254" s="42" t="n"/>
      <c r="BK254" s="42" t="n"/>
      <c r="BL254" s="42" t="n"/>
      <c r="BM254" s="42" t="n"/>
      <c r="BN254" s="42" t="n"/>
      <c r="BO254" s="42" t="n"/>
      <c r="BP254" s="42" t="n"/>
      <c r="BQ254" s="42" t="n"/>
      <c r="BR254" s="42" t="n"/>
      <c r="BS254" s="42" t="n"/>
      <c r="BT254" s="42" t="n"/>
      <c r="BU254" s="42" t="n"/>
      <c r="BV254" s="42" t="n"/>
      <c r="BW254" s="42" t="n"/>
      <c r="BX254" s="42" t="n"/>
      <c r="BY254" s="42" t="n"/>
      <c r="BZ254" s="42" t="n"/>
      <c r="CA254" s="42" t="n"/>
      <c r="CB254" s="42" t="n"/>
      <c r="CC254" s="42" t="n"/>
      <c r="CD254" s="42" t="n"/>
      <c r="CE254" s="42" t="n"/>
      <c r="CF254" s="42" t="n"/>
      <c r="CG254" s="42" t="n"/>
      <c r="CH254" s="42" t="n"/>
      <c r="CI254" s="42" t="n"/>
      <c r="CJ254" s="42" t="n"/>
      <c r="CK254" s="42" t="n"/>
      <c r="CL254" s="42" t="n"/>
      <c r="CM254" s="42" t="n"/>
      <c r="CN254" s="42" t="n"/>
      <c r="CO254" s="42" t="n"/>
      <c r="CP254" s="42" t="n"/>
      <c r="CQ254" s="42" t="n"/>
      <c r="CR254" s="42" t="n"/>
      <c r="CS254" s="42" t="n"/>
      <c r="CT254" s="42" t="n"/>
      <c r="CU254" s="42" t="n"/>
      <c r="CV254" s="42" t="n"/>
      <c r="CW254" s="42" t="n"/>
      <c r="CX254" s="42" t="n"/>
      <c r="CY254" s="42" t="n"/>
    </row>
    <row r="255" hidden="1" outlineLevel="1" customFormat="1" s="66">
      <c r="A255" s="37" t="n"/>
      <c r="B255" s="37" t="n"/>
      <c r="C255" s="67" t="inlineStr">
        <is>
          <t>Diluted Shares outstanding</t>
        </is>
      </c>
      <c r="D255" s="42" t="n"/>
      <c r="E255" s="42" t="n"/>
      <c r="F255" s="42" t="n"/>
      <c r="G255" s="42" t="n"/>
      <c r="H255" s="42" t="n"/>
      <c r="I255" s="42" t="n"/>
      <c r="J255" s="42" t="n"/>
      <c r="K255" s="42" t="n"/>
      <c r="L255" s="42" t="n"/>
      <c r="M255" s="42" t="n"/>
      <c r="N255" s="42" t="n"/>
      <c r="O255" s="42" t="n"/>
      <c r="P255" s="42" t="n"/>
      <c r="Q255" s="42" t="n"/>
      <c r="R255" s="42" t="n"/>
      <c r="S255" s="42" t="n"/>
      <c r="T255" s="42" t="n"/>
      <c r="U255" s="42" t="n"/>
      <c r="V255" s="42" t="n"/>
      <c r="W255" s="42" t="n"/>
      <c r="X255" s="42" t="n"/>
      <c r="Y255" s="42" t="n"/>
      <c r="Z255" s="42" t="n"/>
      <c r="AA255" s="42" t="n"/>
      <c r="AB255" s="42" t="n"/>
      <c r="AC255" s="42" t="n"/>
      <c r="AD255" s="42" t="n"/>
      <c r="AE255" s="42" t="n"/>
      <c r="AF255" s="42" t="n"/>
      <c r="AG255" s="42" t="n"/>
      <c r="AH255" s="42" t="n"/>
      <c r="AI255" s="42" t="n"/>
      <c r="AJ255" s="42" t="n"/>
      <c r="AK255" s="42" t="n"/>
      <c r="AL255" s="42" t="n"/>
      <c r="AM255" s="42" t="n"/>
      <c r="AN255" s="42" t="n"/>
      <c r="AO255" s="42" t="n"/>
      <c r="AP255" s="42" t="n"/>
      <c r="AQ255" s="42" t="n"/>
      <c r="AR255" s="42" t="n"/>
      <c r="AS255" s="42" t="n"/>
      <c r="AT255" s="42" t="n"/>
      <c r="AU255" s="42" t="n"/>
      <c r="AV255" s="42" t="n"/>
      <c r="AW255" s="42" t="n"/>
      <c r="AX255" s="42" t="n"/>
      <c r="AY255" s="42" t="n"/>
      <c r="AZ255" s="42" t="n"/>
      <c r="BA255" s="42" t="n"/>
      <c r="BB255" s="42" t="n"/>
      <c r="BC255" s="42" t="n"/>
      <c r="BD255" s="42" t="n"/>
      <c r="BE255" s="42" t="n"/>
      <c r="BF255" s="42" t="n"/>
      <c r="BG255" s="42" t="n"/>
      <c r="BH255" s="42" t="n"/>
      <c r="BI255" s="42" t="n"/>
      <c r="BJ255" s="42" t="n"/>
      <c r="BK255" s="42" t="n"/>
      <c r="BL255" s="42" t="n"/>
      <c r="BM255" s="42" t="n"/>
      <c r="BN255" s="42" t="n"/>
      <c r="BO255" s="42" t="n"/>
      <c r="BP255" s="42" t="n"/>
      <c r="BQ255" s="42" t="n"/>
      <c r="BR255" s="42" t="n"/>
      <c r="BS255" s="42" t="n"/>
      <c r="BT255" s="42" t="n"/>
      <c r="BU255" s="42" t="n"/>
      <c r="BV255" s="42" t="n"/>
      <c r="BW255" s="42" t="n"/>
      <c r="BX255" s="42" t="n"/>
      <c r="BY255" s="42" t="n"/>
      <c r="BZ255" s="42" t="n"/>
      <c r="CA255" s="42" t="n"/>
      <c r="CB255" s="42" t="n"/>
      <c r="CC255" s="42" t="n"/>
      <c r="CD255" s="42" t="n"/>
      <c r="CE255" s="42" t="n"/>
      <c r="CF255" s="42" t="n"/>
      <c r="CG255" s="42" t="n"/>
      <c r="CH255" s="42" t="n"/>
      <c r="CI255" s="42" t="n"/>
      <c r="CJ255" s="42" t="n"/>
      <c r="CK255" s="42" t="n"/>
      <c r="CL255" s="42" t="n"/>
      <c r="CM255" s="42" t="n"/>
      <c r="CN255" s="42" t="n"/>
      <c r="CO255" s="42" t="n"/>
      <c r="CP255" s="42" t="n"/>
      <c r="CQ255" s="42" t="n"/>
      <c r="CR255" s="42" t="n"/>
      <c r="CS255" s="42" t="n"/>
      <c r="CT255" s="42" t="n"/>
      <c r="CU255" s="42" t="n"/>
      <c r="CV255" s="42" t="n"/>
      <c r="CW255" s="42" t="n"/>
      <c r="CX255" s="42" t="n"/>
      <c r="CY255" s="42" t="n"/>
    </row>
    <row r="256" hidden="1" outlineLevel="1" customFormat="1" s="66">
      <c r="A256" s="37" t="n"/>
      <c r="B256" s="37" t="n"/>
      <c r="C256" s="67" t="inlineStr">
        <is>
          <t>Treasury share $ repurchases</t>
        </is>
      </c>
      <c r="D256" s="42" t="n"/>
      <c r="E256" s="42" t="n"/>
      <c r="F256" s="42" t="n"/>
      <c r="G256" s="42" t="n"/>
      <c r="H256" s="42" t="n"/>
      <c r="I256" s="42" t="n"/>
      <c r="J256" s="42" t="n"/>
      <c r="K256" s="42" t="n"/>
      <c r="L256" s="42" t="n"/>
      <c r="M256" s="42" t="n"/>
      <c r="N256" s="42" t="n"/>
      <c r="O256" s="42" t="n"/>
      <c r="P256" s="42" t="n"/>
      <c r="Q256" s="42" t="n"/>
      <c r="R256" s="42" t="n"/>
      <c r="S256" s="42" t="n"/>
      <c r="T256" s="42" t="n"/>
      <c r="U256" s="42" t="n"/>
      <c r="V256" s="42" t="n"/>
      <c r="W256" s="42" t="n"/>
      <c r="X256" s="42" t="n"/>
      <c r="Y256" s="42" t="n"/>
      <c r="Z256" s="42" t="n"/>
      <c r="AA256" s="42" t="n"/>
      <c r="AB256" s="42" t="n"/>
      <c r="AC256" s="42" t="n"/>
      <c r="AD256" s="42" t="n"/>
      <c r="AE256" s="42" t="n"/>
      <c r="AF256" s="42" t="n"/>
      <c r="AG256" s="42" t="n"/>
      <c r="AH256" s="11" t="n"/>
      <c r="AI256" s="11" t="n"/>
      <c r="AJ256" s="11" t="n"/>
      <c r="AK256" s="11" t="n"/>
      <c r="AL256" s="42" t="n"/>
      <c r="AM256" s="11" t="n"/>
      <c r="AN256" s="11" t="n"/>
      <c r="AO256" s="11" t="n"/>
      <c r="AP256" s="11" t="n"/>
      <c r="AQ256" s="42" t="n"/>
      <c r="AR256" s="11" t="n"/>
      <c r="AS256" s="11" t="n"/>
      <c r="AT256" s="11" t="n"/>
      <c r="AU256" s="11" t="n"/>
      <c r="AV256" s="42" t="n"/>
      <c r="AW256" s="11" t="n"/>
      <c r="AX256" s="11" t="n"/>
      <c r="AY256" s="11" t="n"/>
      <c r="AZ256" s="11" t="n"/>
      <c r="BA256" s="42" t="n"/>
      <c r="BB256" s="11" t="n"/>
      <c r="BC256" s="11" t="n"/>
      <c r="BD256" s="11" t="n"/>
      <c r="BE256" s="11" t="n"/>
      <c r="BF256" s="42" t="n"/>
      <c r="BG256" s="11" t="n"/>
      <c r="BH256" s="11" t="n"/>
      <c r="BI256" s="11" t="n"/>
      <c r="BJ256" s="11" t="n"/>
      <c r="BK256" s="42" t="n"/>
      <c r="BL256" s="11" t="n"/>
      <c r="BM256" s="11" t="n"/>
      <c r="BN256" s="11" t="n"/>
      <c r="BO256" s="11" t="n"/>
      <c r="BP256" s="42" t="n"/>
      <c r="BQ256" s="11" t="n"/>
      <c r="BR256" s="11" t="n"/>
      <c r="BS256" s="11" t="n"/>
      <c r="BT256" s="11" t="n"/>
      <c r="BU256" s="42" t="n"/>
      <c r="BV256" s="11" t="n"/>
      <c r="BW256" s="11" t="n"/>
      <c r="BX256" s="11" t="n"/>
      <c r="BY256" s="11" t="n"/>
      <c r="BZ256" s="42" t="n"/>
      <c r="CA256" s="11" t="n"/>
      <c r="CB256" s="11" t="n"/>
      <c r="CC256" s="11" t="n"/>
      <c r="CD256" s="11" t="n"/>
      <c r="CE256" s="42" t="n"/>
      <c r="CF256" s="11" t="n"/>
      <c r="CG256" s="11" t="n"/>
      <c r="CH256" s="11" t="n"/>
      <c r="CI256" s="11" t="n"/>
      <c r="CJ256" s="42" t="n"/>
      <c r="CK256" s="11" t="n"/>
      <c r="CL256" s="11" t="n"/>
      <c r="CM256" s="11" t="n"/>
      <c r="CN256" s="11" t="n"/>
      <c r="CO256" s="42" t="n"/>
      <c r="CP256" s="11" t="n"/>
      <c r="CQ256" s="11" t="n"/>
      <c r="CR256" s="11" t="n"/>
      <c r="CS256" s="11" t="n"/>
      <c r="CT256" s="42" t="n"/>
      <c r="CU256" s="11" t="n"/>
      <c r="CV256" s="11" t="n"/>
      <c r="CW256" s="11" t="n"/>
      <c r="CX256" s="11" t="n"/>
      <c r="CY256" s="42" t="n"/>
    </row>
    <row r="257" hidden="1" outlineLevel="1" customFormat="1" s="66">
      <c r="A257" s="37" t="n"/>
      <c r="B257" s="37" t="n"/>
      <c r="C257" s="67" t="inlineStr">
        <is>
          <t>Value of shares issued</t>
        </is>
      </c>
      <c r="D257" s="42" t="n"/>
      <c r="E257" s="42" t="n"/>
      <c r="F257" s="42" t="n"/>
      <c r="G257" s="42" t="n"/>
      <c r="H257" s="42" t="n"/>
      <c r="I257" s="42" t="n"/>
      <c r="J257" s="42" t="n"/>
      <c r="K257" s="42" t="n"/>
      <c r="L257" s="42" t="n"/>
      <c r="M257" s="42" t="n"/>
      <c r="N257" s="42" t="n"/>
      <c r="O257" s="42" t="n"/>
      <c r="P257" s="42" t="n"/>
      <c r="Q257" s="42" t="n"/>
      <c r="R257" s="42" t="n"/>
      <c r="S257" s="42" t="n"/>
      <c r="T257" s="42" t="n"/>
      <c r="U257" s="42" t="n"/>
      <c r="V257" s="42" t="n"/>
      <c r="W257" s="42" t="n"/>
      <c r="X257" s="42" t="n"/>
      <c r="Y257" s="42" t="n"/>
      <c r="Z257" s="42" t="n"/>
      <c r="AA257" s="42" t="n"/>
      <c r="AB257" s="42" t="n"/>
      <c r="AC257" s="42" t="n"/>
      <c r="AD257" s="42" t="n"/>
      <c r="AE257" s="42" t="n"/>
      <c r="AF257" s="42" t="n"/>
      <c r="AG257" s="42" t="n"/>
      <c r="AH257" s="11" t="n"/>
      <c r="AI257" s="11" t="n"/>
      <c r="AJ257" s="11" t="n"/>
      <c r="AK257" s="11" t="n"/>
      <c r="AL257" s="42" t="n"/>
      <c r="AM257" s="11" t="n"/>
      <c r="AN257" s="11" t="n"/>
      <c r="AO257" s="11" t="n"/>
      <c r="AP257" s="11" t="n"/>
      <c r="AQ257" s="42" t="n"/>
      <c r="AR257" s="11" t="n"/>
      <c r="AS257" s="11" t="n"/>
      <c r="AT257" s="11" t="n"/>
      <c r="AU257" s="11" t="n"/>
      <c r="AV257" s="42" t="n"/>
      <c r="AW257" s="11" t="n"/>
      <c r="AX257" s="11" t="n"/>
      <c r="AY257" s="11" t="n"/>
      <c r="AZ257" s="11" t="n"/>
      <c r="BA257" s="42" t="n"/>
      <c r="BB257" s="11" t="n"/>
      <c r="BC257" s="11" t="n"/>
      <c r="BD257" s="11" t="n"/>
      <c r="BE257" s="11" t="n"/>
      <c r="BF257" s="42" t="n"/>
      <c r="BG257" s="11" t="n"/>
      <c r="BH257" s="11" t="n"/>
      <c r="BI257" s="11" t="n"/>
      <c r="BJ257" s="11" t="n"/>
      <c r="BK257" s="42" t="n"/>
      <c r="BL257" s="11" t="n"/>
      <c r="BM257" s="11" t="n"/>
      <c r="BN257" s="11" t="n"/>
      <c r="BO257" s="11" t="n"/>
      <c r="BP257" s="42" t="n"/>
      <c r="BQ257" s="11" t="n"/>
      <c r="BR257" s="11" t="n"/>
      <c r="BS257" s="11" t="n"/>
      <c r="BT257" s="11" t="n"/>
      <c r="BU257" s="42" t="n"/>
      <c r="BV257" s="11" t="n"/>
      <c r="BW257" s="11" t="n"/>
      <c r="BX257" s="11" t="n"/>
      <c r="BY257" s="11" t="n"/>
      <c r="BZ257" s="42" t="n"/>
      <c r="CA257" s="11" t="n"/>
      <c r="CB257" s="11" t="n"/>
      <c r="CC257" s="11" t="n"/>
      <c r="CD257" s="11" t="n"/>
      <c r="CE257" s="42" t="n"/>
      <c r="CF257" s="11" t="n"/>
      <c r="CG257" s="11" t="n"/>
      <c r="CH257" s="11" t="n"/>
      <c r="CI257" s="11" t="n"/>
      <c r="CJ257" s="42" t="n"/>
      <c r="CK257" s="11" t="n"/>
      <c r="CL257" s="11" t="n"/>
      <c r="CM257" s="11" t="n"/>
      <c r="CN257" s="11" t="n"/>
      <c r="CO257" s="42" t="n"/>
      <c r="CP257" s="11" t="n"/>
      <c r="CQ257" s="11" t="n"/>
      <c r="CR257" s="11" t="n"/>
      <c r="CS257" s="11" t="n"/>
      <c r="CT257" s="42" t="n"/>
      <c r="CU257" s="11" t="n"/>
      <c r="CV257" s="11" t="n"/>
      <c r="CW257" s="11" t="n"/>
      <c r="CX257" s="11" t="n"/>
      <c r="CY257" s="42" t="n"/>
    </row>
    <row r="258" hidden="1" outlineLevel="1" customFormat="1" s="66">
      <c r="A258" s="37" t="n"/>
      <c r="B258" s="37" t="n"/>
      <c r="C258" s="67" t="inlineStr">
        <is>
          <t>Expected average share price</t>
        </is>
      </c>
      <c r="D258" s="42" t="n"/>
      <c r="E258" s="42" t="n"/>
      <c r="F258" s="42" t="n"/>
      <c r="G258" s="42" t="n"/>
      <c r="H258" s="42" t="n"/>
      <c r="I258" s="42" t="n"/>
      <c r="J258" s="42" t="n"/>
      <c r="K258" s="42" t="n"/>
      <c r="L258" s="42" t="n"/>
      <c r="M258" s="42" t="n"/>
      <c r="N258" s="42" t="n"/>
      <c r="O258" s="42" t="n"/>
      <c r="P258" s="42" t="n"/>
      <c r="Q258" s="42" t="n"/>
      <c r="R258" s="42" t="n"/>
      <c r="S258" s="42" t="n"/>
      <c r="T258" s="42" t="n"/>
      <c r="U258" s="42" t="n"/>
      <c r="V258" s="42" t="n"/>
      <c r="W258" s="42" t="n"/>
      <c r="X258" s="42" t="n"/>
      <c r="Y258" s="42" t="n"/>
      <c r="Z258" s="42" t="n"/>
      <c r="AA258" s="42" t="n"/>
      <c r="AB258" s="42" t="n"/>
      <c r="AC258" s="42" t="n"/>
      <c r="AD258" s="42" t="n"/>
      <c r="AE258" s="42" t="n"/>
      <c r="AF258" s="42" t="n"/>
      <c r="AG258" s="42" t="n"/>
      <c r="AH258" s="68">
        <f>AG258*(1+AH259)</f>
        <v>0</v>
      </c>
      <c r="AI258" s="68">
        <f>AH258*(1+AI259)</f>
        <v>0</v>
      </c>
      <c r="AJ258" s="68">
        <f>AH258*(1+AJ259)</f>
        <v>0</v>
      </c>
      <c r="AK258" s="68">
        <f>AJ258*(1+AK259)</f>
        <v>0</v>
      </c>
      <c r="AL258" s="42" t="n"/>
      <c r="AM258" s="68">
        <f>AK258*(1+AM259)</f>
        <v>0</v>
      </c>
      <c r="AN258" s="68">
        <f>AM258*(1+AN259)</f>
        <v>0</v>
      </c>
      <c r="AO258" s="68">
        <f>AM258*(1+AO259)</f>
        <v>0</v>
      </c>
      <c r="AP258" s="68">
        <f>AO258*(1+AP259)</f>
        <v>0</v>
      </c>
      <c r="AQ258" s="42" t="n"/>
      <c r="AR258" s="68">
        <f>AP258*(1+AR259)</f>
        <v>0</v>
      </c>
      <c r="AS258" s="68">
        <f>AR258*(1+AS259)</f>
        <v>0</v>
      </c>
      <c r="AT258" s="68">
        <f>AR258*(1+AT259)</f>
        <v>0</v>
      </c>
      <c r="AU258" s="68">
        <f>AT258*(1+AU259)</f>
        <v>0</v>
      </c>
      <c r="AV258" s="42" t="n"/>
      <c r="AW258" s="68">
        <f>AU258*(1+AW259)</f>
        <v>0</v>
      </c>
      <c r="AX258" s="68">
        <f>AW258*(1+AX259)</f>
        <v>0</v>
      </c>
      <c r="AY258" s="68">
        <f>AW258*(1+AY259)</f>
        <v>0</v>
      </c>
      <c r="AZ258" s="68">
        <f>AY258*(1+AZ259)</f>
        <v>0</v>
      </c>
      <c r="BA258" s="42" t="n"/>
      <c r="BB258" s="68">
        <f>AZ258*(1+BB259)</f>
        <v>0</v>
      </c>
      <c r="BC258" s="68">
        <f>BB258*(1+BC259)</f>
        <v>0</v>
      </c>
      <c r="BD258" s="68">
        <f>BB258*(1+BD259)</f>
        <v>0</v>
      </c>
      <c r="BE258" s="68">
        <f>BD258*(1+BE259)</f>
        <v>0</v>
      </c>
      <c r="BF258" s="42" t="n"/>
      <c r="BG258" s="68" t="n"/>
      <c r="BH258" s="68" t="n"/>
      <c r="BI258" s="68" t="n"/>
      <c r="BJ258" s="68" t="n"/>
      <c r="BK258" s="42" t="n"/>
      <c r="BL258" s="68" t="n"/>
      <c r="BM258" s="68" t="n"/>
      <c r="BN258" s="68" t="n"/>
      <c r="BO258" s="68" t="n"/>
      <c r="BP258" s="42" t="n"/>
      <c r="BQ258" s="68" t="n"/>
      <c r="BR258" s="68" t="n"/>
      <c r="BS258" s="68" t="n"/>
      <c r="BT258" s="68" t="n"/>
      <c r="BU258" s="42" t="n"/>
      <c r="BV258" s="68" t="n"/>
      <c r="BW258" s="68" t="n"/>
      <c r="BX258" s="68" t="n"/>
      <c r="BY258" s="68" t="n"/>
      <c r="BZ258" s="42" t="n"/>
      <c r="CA258" s="68" t="n"/>
      <c r="CB258" s="68" t="n"/>
      <c r="CC258" s="68" t="n"/>
      <c r="CD258" s="68" t="n"/>
      <c r="CE258" s="42" t="n"/>
      <c r="CF258" s="68" t="n"/>
      <c r="CG258" s="68" t="n"/>
      <c r="CH258" s="68" t="n"/>
      <c r="CI258" s="68" t="n"/>
      <c r="CJ258" s="42" t="n"/>
      <c r="CK258" s="68" t="n"/>
      <c r="CL258" s="68" t="n"/>
      <c r="CM258" s="68" t="n"/>
      <c r="CN258" s="68" t="n"/>
      <c r="CO258" s="42" t="n"/>
      <c r="CP258" s="68" t="n"/>
      <c r="CQ258" s="68" t="n"/>
      <c r="CR258" s="68" t="n"/>
      <c r="CS258" s="68" t="n"/>
      <c r="CT258" s="42" t="n"/>
      <c r="CU258" s="68" t="n"/>
      <c r="CV258" s="68" t="n"/>
      <c r="CW258" s="68" t="n"/>
      <c r="CX258" s="68" t="n"/>
      <c r="CY258" s="42" t="n"/>
    </row>
    <row r="259" hidden="1" outlineLevel="1" customFormat="1" s="66">
      <c r="A259" s="37" t="n"/>
      <c r="B259" s="37" t="n"/>
      <c r="C259" s="67" t="inlineStr">
        <is>
          <t>Consensus EPS growth</t>
        </is>
      </c>
      <c r="D259" s="42" t="n"/>
      <c r="E259" s="42" t="n"/>
      <c r="F259" s="42" t="n"/>
      <c r="G259" s="42" t="n"/>
      <c r="H259" s="42" t="n"/>
      <c r="I259" s="42" t="n"/>
      <c r="J259" s="42" t="n"/>
      <c r="K259" s="42" t="n"/>
      <c r="L259" s="42" t="n"/>
      <c r="M259" s="42" t="n"/>
      <c r="N259" s="42" t="n"/>
      <c r="O259" s="42" t="n"/>
      <c r="P259" s="42" t="n"/>
      <c r="Q259" s="42" t="n"/>
      <c r="R259" s="42" t="n"/>
      <c r="S259" s="42" t="n"/>
      <c r="T259" s="42" t="n"/>
      <c r="U259" s="42" t="n"/>
      <c r="V259" s="42" t="n"/>
      <c r="W259" s="42" t="n"/>
      <c r="X259" s="42" t="n"/>
      <c r="Y259" s="42" t="n"/>
      <c r="Z259" s="42" t="n"/>
      <c r="AA259" s="42" t="n"/>
      <c r="AB259" s="42" t="n"/>
      <c r="AC259" s="42" t="n"/>
      <c r="AD259" s="42" t="n"/>
      <c r="AE259" s="42" t="n"/>
      <c r="AF259" s="42" t="n"/>
      <c r="AG259" s="42" t="n"/>
      <c r="AH259" s="58">
        <f>$AL$264</f>
        <v>0</v>
      </c>
      <c r="AI259" s="58">
        <f>$AL$264</f>
        <v>0</v>
      </c>
      <c r="AJ259" s="58">
        <f>$AL$264</f>
        <v>0</v>
      </c>
      <c r="AK259" s="58">
        <f>$AL$264</f>
        <v>0</v>
      </c>
      <c r="AL259" s="42" t="n"/>
      <c r="AM259" s="58">
        <f>$AL$264</f>
        <v>0</v>
      </c>
      <c r="AN259" s="58">
        <f>$AL$264</f>
        <v>0</v>
      </c>
      <c r="AO259" s="58">
        <f>$AL$264</f>
        <v>0</v>
      </c>
      <c r="AP259" s="58">
        <f>$AL$264</f>
        <v>0</v>
      </c>
      <c r="AQ259" s="42" t="n"/>
      <c r="AR259" s="58">
        <f>$AL$264</f>
        <v>0</v>
      </c>
      <c r="AS259" s="58">
        <f>$AL$264</f>
        <v>0</v>
      </c>
      <c r="AT259" s="58">
        <f>$AL$264</f>
        <v>0</v>
      </c>
      <c r="AU259" s="58">
        <f>$AL$264</f>
        <v>0</v>
      </c>
      <c r="AV259" s="42" t="n"/>
      <c r="AW259" s="58">
        <f>$AL$264</f>
        <v>0</v>
      </c>
      <c r="AX259" s="58">
        <f>$AL$264</f>
        <v>0</v>
      </c>
      <c r="AY259" s="58">
        <f>$AL$264</f>
        <v>0</v>
      </c>
      <c r="AZ259" s="58">
        <f>$AL$264</f>
        <v>0</v>
      </c>
      <c r="BA259" s="42" t="n"/>
      <c r="BB259" s="58">
        <f>$AL$264</f>
        <v>0</v>
      </c>
      <c r="BC259" s="58">
        <f>$AL$264</f>
        <v>0</v>
      </c>
      <c r="BD259" s="58">
        <f>$AL$264</f>
        <v>0</v>
      </c>
      <c r="BE259" s="58">
        <f>$AL$264</f>
        <v>0</v>
      </c>
      <c r="BF259" s="42" t="n"/>
      <c r="BG259" s="58" t="n"/>
      <c r="BH259" s="58" t="n"/>
      <c r="BI259" s="58" t="n"/>
      <c r="BJ259" s="58" t="n"/>
      <c r="BK259" s="42" t="n"/>
      <c r="BL259" s="58" t="n"/>
      <c r="BM259" s="58" t="n"/>
      <c r="BN259" s="58" t="n"/>
      <c r="BO259" s="58" t="n"/>
      <c r="BP259" s="42" t="n"/>
      <c r="BQ259" s="58" t="n"/>
      <c r="BR259" s="58" t="n"/>
      <c r="BS259" s="58" t="n"/>
      <c r="BT259" s="58" t="n"/>
      <c r="BU259" s="42" t="n"/>
      <c r="BV259" s="58" t="n"/>
      <c r="BW259" s="58" t="n"/>
      <c r="BX259" s="58" t="n"/>
      <c r="BY259" s="58" t="n"/>
      <c r="BZ259" s="42" t="n"/>
      <c r="CA259" s="58" t="n"/>
      <c r="CB259" s="58" t="n"/>
      <c r="CC259" s="58" t="n"/>
      <c r="CD259" s="58" t="n"/>
      <c r="CE259" s="42" t="n"/>
      <c r="CF259" s="58" t="n"/>
      <c r="CG259" s="58" t="n"/>
      <c r="CH259" s="58" t="n"/>
      <c r="CI259" s="58" t="n"/>
      <c r="CJ259" s="42" t="n"/>
      <c r="CK259" s="58" t="n"/>
      <c r="CL259" s="58" t="n"/>
      <c r="CM259" s="58" t="n"/>
      <c r="CN259" s="58" t="n"/>
      <c r="CO259" s="42" t="n"/>
      <c r="CP259" s="58" t="n"/>
      <c r="CQ259" s="58" t="n"/>
      <c r="CR259" s="58" t="n"/>
      <c r="CS259" s="58" t="n"/>
      <c r="CT259" s="42" t="n"/>
      <c r="CU259" s="58" t="n"/>
      <c r="CV259" s="58" t="n"/>
      <c r="CW259" s="58" t="n"/>
      <c r="CX259" s="58" t="n"/>
      <c r="CY259" s="42" t="n"/>
    </row>
    <row r="260" hidden="1" outlineLevel="1" customFormat="1" s="66">
      <c r="A260" s="37" t="n"/>
      <c r="B260" s="37" t="n"/>
      <c r="C260" s="67" t="n"/>
      <c r="D260" s="42" t="n"/>
      <c r="E260" s="42" t="n"/>
      <c r="F260" s="42" t="n"/>
      <c r="G260" s="42" t="n"/>
      <c r="H260" s="42" t="n"/>
      <c r="I260" s="42" t="n"/>
      <c r="J260" s="42" t="n"/>
      <c r="K260" s="42" t="n"/>
      <c r="L260" s="42" t="n"/>
      <c r="M260" s="42" t="n"/>
      <c r="N260" s="42" t="n"/>
      <c r="O260" s="42" t="n"/>
      <c r="P260" s="42" t="n"/>
      <c r="Q260" s="42" t="n"/>
      <c r="R260" s="42" t="n"/>
      <c r="S260" s="42" t="n"/>
      <c r="T260" s="42" t="n"/>
      <c r="U260" s="42" t="n"/>
      <c r="V260" s="42" t="n"/>
      <c r="W260" s="42" t="n"/>
      <c r="X260" s="42" t="n"/>
      <c r="Y260" s="42" t="n"/>
      <c r="Z260" s="42" t="n"/>
      <c r="AA260" s="42" t="n"/>
      <c r="AB260" s="42" t="n"/>
      <c r="AC260" s="42" t="n"/>
      <c r="AD260" s="42" t="n"/>
      <c r="AE260" s="42" t="n"/>
      <c r="AF260" s="42" t="n"/>
      <c r="AG260" s="42" t="n"/>
      <c r="AH260" s="12" t="n"/>
      <c r="AI260" s="12" t="n"/>
      <c r="AJ260" s="12" t="n"/>
      <c r="AK260" s="12" t="n"/>
      <c r="AL260" s="42" t="n"/>
      <c r="AM260" s="12" t="n"/>
      <c r="AN260" s="12" t="n"/>
      <c r="AO260" s="12" t="n"/>
      <c r="AP260" s="12" t="n"/>
      <c r="AQ260" s="42" t="n"/>
      <c r="AR260" s="12" t="n"/>
      <c r="AS260" s="12" t="n"/>
      <c r="AT260" s="12" t="n"/>
      <c r="AU260" s="12" t="n"/>
      <c r="AV260" s="42" t="n"/>
      <c r="AW260" s="12" t="n"/>
      <c r="AX260" s="12" t="n"/>
      <c r="AY260" s="12" t="n"/>
      <c r="AZ260" s="12" t="n"/>
      <c r="BA260" s="42" t="n"/>
      <c r="BB260" s="12" t="n"/>
      <c r="BC260" s="12" t="n"/>
      <c r="BD260" s="12" t="n"/>
      <c r="BE260" s="12" t="n"/>
      <c r="BF260" s="42" t="n"/>
      <c r="BG260" s="12" t="n"/>
      <c r="BH260" s="12" t="n"/>
      <c r="BI260" s="12" t="n"/>
      <c r="BJ260" s="12" t="n"/>
      <c r="BK260" s="42" t="n"/>
      <c r="BL260" s="12" t="n"/>
      <c r="BM260" s="12" t="n"/>
      <c r="BN260" s="12" t="n"/>
      <c r="BO260" s="12" t="n"/>
      <c r="BP260" s="42" t="n"/>
      <c r="BQ260" s="12" t="n"/>
      <c r="BR260" s="12" t="n"/>
      <c r="BS260" s="12" t="n"/>
      <c r="BT260" s="12" t="n"/>
      <c r="BU260" s="42" t="n"/>
      <c r="BV260" s="12" t="n"/>
      <c r="BW260" s="12" t="n"/>
      <c r="BX260" s="12" t="n"/>
      <c r="BY260" s="12" t="n"/>
      <c r="BZ260" s="42" t="n"/>
      <c r="CA260" s="12" t="n"/>
      <c r="CB260" s="12" t="n"/>
      <c r="CC260" s="12" t="n"/>
      <c r="CD260" s="12" t="n"/>
      <c r="CE260" s="42" t="n"/>
      <c r="CF260" s="12" t="n"/>
      <c r="CG260" s="12" t="n"/>
      <c r="CH260" s="12" t="n"/>
      <c r="CI260" s="12" t="n"/>
      <c r="CJ260" s="42" t="n"/>
      <c r="CK260" s="12" t="n"/>
      <c r="CL260" s="12" t="n"/>
      <c r="CM260" s="12" t="n"/>
      <c r="CN260" s="12" t="n"/>
      <c r="CO260" s="42" t="n"/>
      <c r="CP260" s="12" t="n"/>
      <c r="CQ260" s="12" t="n"/>
      <c r="CR260" s="12" t="n"/>
      <c r="CS260" s="12" t="n"/>
      <c r="CT260" s="42" t="n"/>
      <c r="CU260" s="12" t="n"/>
      <c r="CV260" s="12" t="n"/>
      <c r="CW260" s="12" t="n"/>
      <c r="CX260" s="12" t="n"/>
      <c r="CY260" s="42" t="n"/>
    </row>
    <row r="261" hidden="1" outlineLevel="1" customFormat="1" s="66">
      <c r="A261" s="37" t="n"/>
      <c r="B261" s="37" t="n"/>
      <c r="C261" s="67" t="inlineStr">
        <is>
          <t>Shares repurchased</t>
        </is>
      </c>
      <c r="D261" s="42" t="n"/>
      <c r="E261" s="42" t="n"/>
      <c r="F261" s="42" t="n"/>
      <c r="G261" s="42" t="n"/>
      <c r="H261" s="42" t="n"/>
      <c r="I261" s="42" t="n"/>
      <c r="J261" s="42" t="n"/>
      <c r="K261" s="42" t="n"/>
      <c r="L261" s="42" t="n"/>
      <c r="M261" s="42" t="n"/>
      <c r="N261" s="42" t="n"/>
      <c r="O261" s="42" t="n"/>
      <c r="P261" s="42" t="n"/>
      <c r="Q261" s="42" t="n"/>
      <c r="R261" s="42" t="n"/>
      <c r="S261" s="42" t="n"/>
      <c r="T261" s="42" t="n"/>
      <c r="U261" s="42" t="n"/>
      <c r="V261" s="42" t="n"/>
      <c r="W261" s="42" t="n"/>
      <c r="X261" s="42" t="n"/>
      <c r="Y261" s="42" t="n"/>
      <c r="Z261" s="42" t="n"/>
      <c r="AA261" s="42" t="n"/>
      <c r="AB261" s="42" t="n"/>
      <c r="AC261" s="42" t="n"/>
      <c r="AD261" s="42" t="n"/>
      <c r="AE261" s="42" t="n"/>
      <c r="AF261" s="42" t="n"/>
      <c r="AG261" s="42" t="n"/>
      <c r="AH261" s="69" t="n"/>
      <c r="AI261" s="69" t="n"/>
      <c r="AJ261" s="69" t="n"/>
      <c r="AK261" s="69" t="n"/>
      <c r="AL261" s="42" t="n"/>
      <c r="AM261" s="69" t="n"/>
      <c r="AN261" s="69" t="n"/>
      <c r="AO261" s="69" t="n"/>
      <c r="AP261" s="69" t="n"/>
      <c r="AQ261" s="42" t="n"/>
      <c r="AR261" s="69" t="n"/>
      <c r="AS261" s="69" t="n"/>
      <c r="AT261" s="69" t="n"/>
      <c r="AU261" s="69" t="n"/>
      <c r="AV261" s="42" t="n"/>
      <c r="AW261" s="69" t="n"/>
      <c r="AX261" s="69" t="n"/>
      <c r="AY261" s="69" t="n"/>
      <c r="AZ261" s="69" t="n"/>
      <c r="BA261" s="42" t="n"/>
      <c r="BB261" s="69" t="n"/>
      <c r="BC261" s="69" t="n"/>
      <c r="BD261" s="69" t="n"/>
      <c r="BE261" s="69" t="n"/>
      <c r="BF261" s="42" t="n"/>
      <c r="BG261" s="69" t="n"/>
      <c r="BH261" s="69" t="n"/>
      <c r="BI261" s="69" t="n"/>
      <c r="BJ261" s="69" t="n"/>
      <c r="BK261" s="42" t="n"/>
      <c r="BL261" s="69" t="n"/>
      <c r="BM261" s="69" t="n"/>
      <c r="BN261" s="69" t="n"/>
      <c r="BO261" s="69" t="n"/>
      <c r="BP261" s="42" t="n"/>
      <c r="BQ261" s="69" t="n"/>
      <c r="BR261" s="69" t="n"/>
      <c r="BS261" s="69" t="n"/>
      <c r="BT261" s="69" t="n"/>
      <c r="BU261" s="42" t="n"/>
      <c r="BV261" s="69" t="n"/>
      <c r="BW261" s="69" t="n"/>
      <c r="BX261" s="69" t="n"/>
      <c r="BY261" s="69" t="n"/>
      <c r="BZ261" s="42" t="n"/>
      <c r="CA261" s="69" t="n"/>
      <c r="CB261" s="69" t="n"/>
      <c r="CC261" s="69" t="n"/>
      <c r="CD261" s="69" t="n"/>
      <c r="CE261" s="42" t="n"/>
      <c r="CF261" s="69" t="n"/>
      <c r="CG261" s="69" t="n"/>
      <c r="CH261" s="69" t="n"/>
      <c r="CI261" s="69" t="n"/>
      <c r="CJ261" s="42" t="n"/>
      <c r="CK261" s="69" t="n"/>
      <c r="CL261" s="69" t="n"/>
      <c r="CM261" s="69" t="n"/>
      <c r="CN261" s="69" t="n"/>
      <c r="CO261" s="42" t="n"/>
      <c r="CP261" s="69" t="n"/>
      <c r="CQ261" s="69" t="n"/>
      <c r="CR261" s="69" t="n"/>
      <c r="CS261" s="69" t="n"/>
      <c r="CT261" s="42" t="n"/>
      <c r="CU261" s="69" t="n"/>
      <c r="CV261" s="69" t="n"/>
      <c r="CW261" s="69" t="n"/>
      <c r="CX261" s="69" t="n"/>
      <c r="CY261" s="42" t="n"/>
    </row>
    <row r="262" hidden="1" outlineLevel="1" customFormat="1" s="66">
      <c r="A262" s="37" t="n"/>
      <c r="B262" s="37" t="n"/>
      <c r="C262" s="67" t="inlineStr">
        <is>
          <t>Shares issued</t>
        </is>
      </c>
      <c r="D262" s="42" t="n"/>
      <c r="E262" s="42" t="n"/>
      <c r="F262" s="42" t="n"/>
      <c r="G262" s="42" t="n"/>
      <c r="H262" s="42" t="n"/>
      <c r="I262" s="42" t="n"/>
      <c r="J262" s="42" t="n"/>
      <c r="K262" s="42" t="n"/>
      <c r="L262" s="42" t="n"/>
      <c r="M262" s="42" t="n"/>
      <c r="N262" s="42" t="n"/>
      <c r="O262" s="42" t="n"/>
      <c r="P262" s="42" t="n"/>
      <c r="Q262" s="42" t="n"/>
      <c r="R262" s="42" t="n"/>
      <c r="S262" s="42" t="n"/>
      <c r="T262" s="42" t="n"/>
      <c r="U262" s="42" t="n"/>
      <c r="V262" s="42" t="n"/>
      <c r="W262" s="42" t="n"/>
      <c r="X262" s="42" t="n"/>
      <c r="Y262" s="42" t="n"/>
      <c r="Z262" s="42" t="n"/>
      <c r="AA262" s="42" t="n"/>
      <c r="AB262" s="42" t="n"/>
      <c r="AC262" s="42" t="n"/>
      <c r="AD262" s="42" t="n"/>
      <c r="AE262" s="42" t="n"/>
      <c r="AF262" s="9" t="n"/>
      <c r="AG262" s="42" t="n"/>
      <c r="AH262" s="69" t="n"/>
      <c r="AI262" s="69" t="n"/>
      <c r="AJ262" s="69" t="n"/>
      <c r="AK262" s="69" t="n"/>
      <c r="AL262" s="42" t="n"/>
      <c r="AM262" s="69" t="n"/>
      <c r="AN262" s="69" t="n"/>
      <c r="AO262" s="69" t="n"/>
      <c r="AP262" s="69" t="n"/>
      <c r="AQ262" s="42" t="n"/>
      <c r="AR262" s="69" t="n"/>
      <c r="AS262" s="69" t="n"/>
      <c r="AT262" s="69" t="n"/>
      <c r="AU262" s="69" t="n"/>
      <c r="AV262" s="42" t="n"/>
      <c r="AW262" s="69" t="n"/>
      <c r="AX262" s="69" t="n"/>
      <c r="AY262" s="69" t="n"/>
      <c r="AZ262" s="69" t="n"/>
      <c r="BA262" s="42" t="n"/>
      <c r="BB262" s="69" t="n"/>
      <c r="BC262" s="69" t="n"/>
      <c r="BD262" s="69" t="n"/>
      <c r="BE262" s="69" t="n"/>
      <c r="BF262" s="42" t="n"/>
      <c r="BG262" s="69" t="n"/>
      <c r="BH262" s="69" t="n"/>
      <c r="BI262" s="69" t="n"/>
      <c r="BJ262" s="69" t="n"/>
      <c r="BK262" s="42" t="n"/>
      <c r="BL262" s="69" t="n"/>
      <c r="BM262" s="69" t="n"/>
      <c r="BN262" s="69" t="n"/>
      <c r="BO262" s="69" t="n"/>
      <c r="BP262" s="42" t="n"/>
      <c r="BQ262" s="69" t="n"/>
      <c r="BR262" s="69" t="n"/>
      <c r="BS262" s="69" t="n"/>
      <c r="BT262" s="69" t="n"/>
      <c r="BU262" s="42" t="n"/>
      <c r="BV262" s="69" t="n"/>
      <c r="BW262" s="69" t="n"/>
      <c r="BX262" s="69" t="n"/>
      <c r="BY262" s="69" t="n"/>
      <c r="BZ262" s="42" t="n"/>
      <c r="CA262" s="69" t="n"/>
      <c r="CB262" s="69" t="n"/>
      <c r="CC262" s="69" t="n"/>
      <c r="CD262" s="69" t="n"/>
      <c r="CE262" s="42" t="n"/>
      <c r="CF262" s="69" t="n"/>
      <c r="CG262" s="69" t="n"/>
      <c r="CH262" s="69" t="n"/>
      <c r="CI262" s="69" t="n"/>
      <c r="CJ262" s="42" t="n"/>
      <c r="CK262" s="69" t="n"/>
      <c r="CL262" s="69" t="n"/>
      <c r="CM262" s="69" t="n"/>
      <c r="CN262" s="69" t="n"/>
      <c r="CO262" s="42" t="n"/>
      <c r="CP262" s="69" t="n"/>
      <c r="CQ262" s="69" t="n"/>
      <c r="CR262" s="69" t="n"/>
      <c r="CS262" s="69" t="n"/>
      <c r="CT262" s="42" t="n"/>
      <c r="CU262" s="69" t="n"/>
      <c r="CV262" s="69" t="n"/>
      <c r="CW262" s="69" t="n"/>
      <c r="CX262" s="69" t="n"/>
      <c r="CY262" s="42" t="n"/>
    </row>
    <row r="263" hidden="1" outlineLevel="1" customFormat="1" s="66">
      <c r="A263" s="37" t="n"/>
      <c r="B263" s="37" t="n"/>
      <c r="C263" s="67" t="inlineStr">
        <is>
          <t>End of period basic shares outstanding</t>
        </is>
      </c>
      <c r="D263" s="42" t="n"/>
      <c r="E263" s="42" t="n"/>
      <c r="F263" s="42" t="n"/>
      <c r="G263" s="42" t="n"/>
      <c r="H263" s="42" t="n"/>
      <c r="I263" s="42" t="n"/>
      <c r="J263" s="42" t="n"/>
      <c r="K263" s="42" t="n"/>
      <c r="L263" s="42" t="n"/>
      <c r="M263" s="42" t="n"/>
      <c r="N263" s="42" t="n"/>
      <c r="O263" s="42" t="n"/>
      <c r="P263" s="42" t="n"/>
      <c r="Q263" s="42" t="n"/>
      <c r="R263" s="42" t="n"/>
      <c r="S263" s="42" t="n"/>
      <c r="T263" s="42" t="n"/>
      <c r="U263" s="42" t="n"/>
      <c r="V263" s="42" t="n"/>
      <c r="W263" s="42" t="n"/>
      <c r="X263" s="42" t="n"/>
      <c r="Y263" s="42" t="n"/>
      <c r="Z263" s="42" t="n"/>
      <c r="AA263" s="42" t="n"/>
      <c r="AB263" s="42" t="n"/>
      <c r="AC263" s="42" t="n"/>
      <c r="AD263" s="42" t="n"/>
      <c r="AE263" s="42" t="n"/>
      <c r="AF263" s="42" t="n"/>
      <c r="AG263" s="42" t="n"/>
      <c r="AH263" s="3" t="n"/>
      <c r="AI263" s="3" t="n"/>
      <c r="AJ263" s="69" t="n"/>
      <c r="AK263" s="69" t="n"/>
      <c r="AL263" s="42" t="n"/>
      <c r="AM263" s="3" t="n"/>
      <c r="AN263" s="3" t="n"/>
      <c r="AO263" s="69" t="n"/>
      <c r="AP263" s="69" t="n"/>
      <c r="AQ263" s="42" t="n"/>
      <c r="AR263" s="3" t="n"/>
      <c r="AS263" s="3" t="n"/>
      <c r="AT263" s="69" t="n"/>
      <c r="AU263" s="69" t="n"/>
      <c r="AV263" s="42" t="n"/>
      <c r="AW263" s="3" t="n"/>
      <c r="AX263" s="3" t="n"/>
      <c r="AY263" s="69" t="n"/>
      <c r="AZ263" s="69" t="n"/>
      <c r="BA263" s="42" t="n"/>
      <c r="BB263" s="3" t="n"/>
      <c r="BC263" s="3" t="n"/>
      <c r="BD263" s="69" t="n"/>
      <c r="BE263" s="69" t="n"/>
      <c r="BF263" s="42" t="n"/>
      <c r="BG263" s="3" t="n"/>
      <c r="BH263" s="3" t="n"/>
      <c r="BI263" s="69" t="n"/>
      <c r="BJ263" s="69" t="n"/>
      <c r="BK263" s="42" t="n"/>
      <c r="BL263" s="3" t="n"/>
      <c r="BM263" s="3" t="n"/>
      <c r="BN263" s="69" t="n"/>
      <c r="BO263" s="69" t="n"/>
      <c r="BP263" s="42" t="n"/>
      <c r="BQ263" s="3" t="n"/>
      <c r="BR263" s="3" t="n"/>
      <c r="BS263" s="69" t="n"/>
      <c r="BT263" s="69" t="n"/>
      <c r="BU263" s="42" t="n"/>
      <c r="BV263" s="3" t="n"/>
      <c r="BW263" s="3" t="n"/>
      <c r="BX263" s="69" t="n"/>
      <c r="BY263" s="69" t="n"/>
      <c r="BZ263" s="42" t="n"/>
      <c r="CA263" s="3" t="n"/>
      <c r="CB263" s="3" t="n"/>
      <c r="CC263" s="69" t="n"/>
      <c r="CD263" s="69" t="n"/>
      <c r="CE263" s="42" t="n"/>
      <c r="CF263" s="3" t="n"/>
      <c r="CG263" s="3" t="n"/>
      <c r="CH263" s="69" t="n"/>
      <c r="CI263" s="69" t="n"/>
      <c r="CJ263" s="42" t="n"/>
      <c r="CK263" s="3" t="n"/>
      <c r="CL263" s="3" t="n"/>
      <c r="CM263" s="69" t="n"/>
      <c r="CN263" s="69" t="n"/>
      <c r="CO263" s="42" t="n"/>
      <c r="CP263" s="3" t="n"/>
      <c r="CQ263" s="3" t="n"/>
      <c r="CR263" s="69" t="n"/>
      <c r="CS263" s="69" t="n"/>
      <c r="CT263" s="42" t="n"/>
      <c r="CU263" s="3" t="n"/>
      <c r="CV263" s="3" t="n"/>
      <c r="CW263" s="69" t="n"/>
      <c r="CX263" s="69" t="n"/>
      <c r="CY263" s="42" t="n"/>
    </row>
    <row r="264" hidden="1" outlineLevel="1" customFormat="1" s="66">
      <c r="A264" s="37" t="n"/>
      <c r="B264" s="37" t="n"/>
      <c r="C264" s="67" t="inlineStr">
        <is>
          <t>Weighted average basic shares outstanding</t>
        </is>
      </c>
      <c r="D264" s="42" t="n"/>
      <c r="E264" s="42" t="n"/>
      <c r="F264" s="42" t="n"/>
      <c r="G264" s="42" t="n"/>
      <c r="H264" s="42" t="n"/>
      <c r="I264" s="42" t="n"/>
      <c r="J264" s="42" t="n"/>
      <c r="K264" s="42" t="n"/>
      <c r="L264" s="42" t="n"/>
      <c r="M264" s="42" t="n"/>
      <c r="N264" s="42" t="n"/>
      <c r="O264" s="42" t="n"/>
      <c r="P264" s="42" t="n"/>
      <c r="Q264" s="42" t="n"/>
      <c r="R264" s="42" t="n"/>
      <c r="S264" s="42" t="n"/>
      <c r="T264" s="42" t="n"/>
      <c r="U264" s="42" t="n"/>
      <c r="V264" s="42" t="n"/>
      <c r="W264" s="42" t="n"/>
      <c r="X264" s="42" t="n"/>
      <c r="Y264" s="42" t="n"/>
      <c r="Z264" s="42" t="n"/>
      <c r="AA264" s="42" t="n"/>
      <c r="AB264" s="42" t="n"/>
      <c r="AC264" s="42" t="n"/>
      <c r="AD264" s="42" t="n"/>
      <c r="AE264" s="42" t="n"/>
      <c r="AF264" s="42" t="n"/>
      <c r="AG264" s="42" t="n"/>
      <c r="AH264" s="69" t="n"/>
      <c r="AI264" s="69" t="n"/>
      <c r="AJ264" s="69" t="n"/>
      <c r="AK264" s="69" t="n"/>
      <c r="AL264" s="42" t="n"/>
      <c r="AM264" s="69" t="n"/>
      <c r="AN264" s="69" t="n"/>
      <c r="AO264" s="69" t="n"/>
      <c r="AP264" s="69" t="n"/>
      <c r="AQ264" s="42" t="n"/>
      <c r="AR264" s="69" t="n"/>
      <c r="AS264" s="69" t="n"/>
      <c r="AT264" s="69" t="n"/>
      <c r="AU264" s="69" t="n"/>
      <c r="AV264" s="42" t="n"/>
      <c r="AW264" s="69" t="n"/>
      <c r="AX264" s="69" t="n"/>
      <c r="AY264" s="69" t="n"/>
      <c r="AZ264" s="69" t="n"/>
      <c r="BA264" s="42" t="n"/>
      <c r="BB264" s="69" t="n"/>
      <c r="BC264" s="69" t="n"/>
      <c r="BD264" s="69" t="n"/>
      <c r="BE264" s="69" t="n"/>
      <c r="BF264" s="42" t="n"/>
      <c r="BG264" s="69" t="n"/>
      <c r="BH264" s="69" t="n"/>
      <c r="BI264" s="69" t="n"/>
      <c r="BJ264" s="69" t="n"/>
      <c r="BK264" s="42" t="n"/>
      <c r="BL264" s="69" t="n"/>
      <c r="BM264" s="69" t="n"/>
      <c r="BN264" s="69" t="n"/>
      <c r="BO264" s="69" t="n"/>
      <c r="BP264" s="42" t="n"/>
      <c r="BQ264" s="69" t="n"/>
      <c r="BR264" s="69" t="n"/>
      <c r="BS264" s="69" t="n"/>
      <c r="BT264" s="69" t="n"/>
      <c r="BU264" s="42" t="n"/>
      <c r="BV264" s="69" t="n"/>
      <c r="BW264" s="69" t="n"/>
      <c r="BX264" s="69" t="n"/>
      <c r="BY264" s="69" t="n"/>
      <c r="BZ264" s="42" t="n"/>
      <c r="CA264" s="69" t="n"/>
      <c r="CB264" s="69" t="n"/>
      <c r="CC264" s="69" t="n"/>
      <c r="CD264" s="69" t="n"/>
      <c r="CE264" s="42" t="n"/>
      <c r="CF264" s="69" t="n"/>
      <c r="CG264" s="69" t="n"/>
      <c r="CH264" s="69" t="n"/>
      <c r="CI264" s="69" t="n"/>
      <c r="CJ264" s="42" t="n"/>
      <c r="CK264" s="69" t="n"/>
      <c r="CL264" s="69" t="n"/>
      <c r="CM264" s="69" t="n"/>
      <c r="CN264" s="69" t="n"/>
      <c r="CO264" s="42" t="n"/>
      <c r="CP264" s="69" t="n"/>
      <c r="CQ264" s="69" t="n"/>
      <c r="CR264" s="69" t="n"/>
      <c r="CS264" s="69" t="n"/>
      <c r="CT264" s="42" t="n"/>
      <c r="CU264" s="69" t="n"/>
      <c r="CV264" s="69" t="n"/>
      <c r="CW264" s="69" t="n"/>
      <c r="CX264" s="69" t="n"/>
      <c r="CY264" s="42" t="n"/>
    </row>
    <row r="265" hidden="1" outlineLevel="1" customFormat="1" s="66">
      <c r="A265" s="37" t="n"/>
      <c r="B265" s="37" t="n"/>
      <c r="C265" s="67" t="n"/>
      <c r="D265" s="42" t="n"/>
      <c r="E265" s="42" t="n"/>
      <c r="F265" s="42" t="n"/>
      <c r="G265" s="42" t="n"/>
      <c r="H265" s="12" t="n"/>
      <c r="I265" s="42" t="n"/>
      <c r="J265" s="42" t="n"/>
      <c r="K265" s="42" t="n"/>
      <c r="L265" s="42" t="n"/>
      <c r="M265" s="12" t="n"/>
      <c r="N265" s="42" t="n"/>
      <c r="O265" s="42" t="n"/>
      <c r="P265" s="42" t="n"/>
      <c r="Q265" s="42" t="n"/>
      <c r="R265" s="12" t="n"/>
      <c r="S265" s="42" t="n"/>
      <c r="T265" s="42" t="n"/>
      <c r="U265" s="42" t="n"/>
      <c r="V265" s="42" t="n"/>
      <c r="W265" s="12" t="n"/>
      <c r="X265" s="42" t="n"/>
      <c r="Y265" s="42" t="n"/>
      <c r="Z265" s="42" t="n"/>
      <c r="AA265" s="42" t="n"/>
      <c r="AB265" s="12" t="n"/>
      <c r="AC265" s="42" t="n"/>
      <c r="AD265" s="42" t="n"/>
      <c r="AE265" s="42" t="n"/>
      <c r="AF265" s="42" t="n"/>
      <c r="AG265" s="12" t="n"/>
      <c r="AH265" s="42" t="n"/>
      <c r="AI265" s="42" t="n"/>
      <c r="AJ265" s="42" t="n"/>
      <c r="AK265" s="42" t="n"/>
      <c r="AL265" s="12" t="n"/>
      <c r="AM265" s="42" t="n"/>
      <c r="AN265" s="42" t="n"/>
      <c r="AO265" s="42" t="n"/>
      <c r="AP265" s="42" t="n"/>
      <c r="AQ265" s="12" t="n"/>
      <c r="AR265" s="42" t="n"/>
      <c r="AS265" s="42" t="n"/>
      <c r="AT265" s="42" t="n"/>
      <c r="AU265" s="42" t="n"/>
      <c r="AV265" s="12" t="n"/>
      <c r="AW265" s="42" t="n"/>
      <c r="AX265" s="42" t="n"/>
      <c r="AY265" s="42" t="n"/>
      <c r="AZ265" s="42" t="n"/>
      <c r="BA265" s="12" t="n"/>
      <c r="BB265" s="42" t="n"/>
      <c r="BC265" s="42" t="n"/>
      <c r="BD265" s="42" t="n"/>
      <c r="BE265" s="42" t="n"/>
      <c r="BF265" s="12" t="n"/>
      <c r="BG265" s="42" t="n"/>
      <c r="BH265" s="42" t="n"/>
      <c r="BI265" s="42" t="n"/>
      <c r="BJ265" s="42" t="n"/>
      <c r="BK265" s="12" t="n"/>
      <c r="BL265" s="42" t="n"/>
      <c r="BM265" s="42" t="n"/>
      <c r="BN265" s="42" t="n"/>
      <c r="BO265" s="42" t="n"/>
      <c r="BP265" s="12" t="n"/>
      <c r="BQ265" s="42" t="n"/>
      <c r="BR265" s="42" t="n"/>
      <c r="BS265" s="42" t="n"/>
      <c r="BT265" s="42" t="n"/>
      <c r="BU265" s="12" t="n"/>
      <c r="BV265" s="42" t="n"/>
      <c r="BW265" s="42" t="n"/>
      <c r="BX265" s="42" t="n"/>
      <c r="BY265" s="42" t="n"/>
      <c r="BZ265" s="12" t="n"/>
      <c r="CA265" s="42" t="n"/>
      <c r="CB265" s="42" t="n"/>
      <c r="CC265" s="42" t="n"/>
      <c r="CD265" s="42" t="n"/>
      <c r="CE265" s="12" t="n"/>
      <c r="CF265" s="42" t="n"/>
      <c r="CG265" s="42" t="n"/>
      <c r="CH265" s="42" t="n"/>
      <c r="CI265" s="42" t="n"/>
      <c r="CJ265" s="12" t="n"/>
      <c r="CK265" s="42" t="n"/>
      <c r="CL265" s="42" t="n"/>
      <c r="CM265" s="42" t="n"/>
      <c r="CN265" s="42" t="n"/>
      <c r="CO265" s="12" t="n"/>
      <c r="CP265" s="42" t="n"/>
      <c r="CQ265" s="42" t="n"/>
      <c r="CR265" s="42" t="n"/>
      <c r="CS265" s="42" t="n"/>
      <c r="CT265" s="12" t="n"/>
      <c r="CU265" s="42" t="n"/>
      <c r="CV265" s="42" t="n"/>
      <c r="CW265" s="42" t="n"/>
      <c r="CX265" s="42" t="n"/>
      <c r="CY265" s="12" t="n"/>
    </row>
    <row r="266" collapsed="1">
      <c r="C266" s="14" t="inlineStr">
        <is>
          <t>Treasury stock (contra account)</t>
        </is>
      </c>
      <c r="D266" s="46" t="n"/>
      <c r="E266" s="46" t="n"/>
      <c r="F266" s="46" t="n"/>
      <c r="G266" s="46" t="n"/>
      <c r="H266" s="12" t="n"/>
      <c r="I266" s="46">
        <f>'Inputs (2)'!D44</f>
        <v>0</v>
      </c>
      <c r="J266" s="46">
        <f>'Inputs (2)'!E44</f>
        <v>0</v>
      </c>
      <c r="K266" s="46">
        <f>'Inputs (2)'!F44</f>
        <v>0</v>
      </c>
      <c r="L266" s="46">
        <f>'Inputs (2)'!G44</f>
        <v>0</v>
      </c>
      <c r="M266" s="12">
        <f>'Inputs (2)'!H44</f>
        <v>0</v>
      </c>
      <c r="N266" s="46">
        <f>'Inputs (2)'!I44</f>
        <v>0</v>
      </c>
      <c r="O266" s="46">
        <f>'Inputs (2)'!J44</f>
        <v>0</v>
      </c>
      <c r="P266" s="46">
        <f>'Inputs (2)'!K44</f>
        <v>0</v>
      </c>
      <c r="Q266" s="46">
        <f>'Inputs (2)'!L44</f>
        <v>0</v>
      </c>
      <c r="R266" s="12">
        <f>'Inputs (2)'!M44</f>
        <v>0</v>
      </c>
      <c r="S266" s="46">
        <f>'Inputs (2)'!N44</f>
        <v>0</v>
      </c>
      <c r="T266" s="46">
        <f>'Inputs (2)'!O44</f>
        <v>0</v>
      </c>
      <c r="U266" s="46">
        <f>'Inputs (2)'!P44</f>
        <v>0</v>
      </c>
      <c r="V266" s="46">
        <f>'Inputs (2)'!Q44</f>
        <v>0</v>
      </c>
      <c r="W266" s="12">
        <f>'Inputs (2)'!R44</f>
        <v>0</v>
      </c>
      <c r="X266" s="46">
        <f>'Inputs (2)'!S44</f>
        <v>0</v>
      </c>
      <c r="Y266" s="46">
        <f>'Inputs (2)'!T44</f>
        <v>0</v>
      </c>
      <c r="Z266" s="46">
        <f>'Inputs (2)'!U44</f>
        <v>0</v>
      </c>
      <c r="AA266" s="46">
        <f>'Inputs (2)'!V44</f>
        <v>-53.617</v>
      </c>
      <c r="AB266" s="12">
        <f>'Inputs (2)'!W44</f>
        <v>-53.617</v>
      </c>
      <c r="AC266" s="46">
        <f>'Inputs (2)'!X44</f>
        <v>-53.617</v>
      </c>
      <c r="AD266" s="46">
        <f>'Inputs (2)'!Y44</f>
        <v>-53.617</v>
      </c>
      <c r="AE266" s="46">
        <f>'Inputs (2)'!Z44</f>
        <v>-53.617</v>
      </c>
      <c r="AF266" s="46">
        <f>'Inputs (2)'!AA44</f>
        <v>-59.16</v>
      </c>
      <c r="AG266" s="12">
        <f>'Inputs (2)'!AB44</f>
        <v>-59.16</v>
      </c>
      <c r="AH266" s="12">
        <f>'Inputs (2)'!AC44</f>
        <v>-59.16</v>
      </c>
      <c r="AI266" s="12">
        <f>'Inputs (2)'!AD44</f>
        <v>-57.109</v>
      </c>
      <c r="AJ266" s="12">
        <f>AI266</f>
        <v>-57.109</v>
      </c>
      <c r="AK266" s="12">
        <f>AJ266</f>
        <v>-57.109</v>
      </c>
      <c r="AL266" s="12">
        <f>AK266</f>
        <v>-57.109</v>
      </c>
      <c r="AM266" s="12">
        <f>AL266</f>
        <v>-57.109</v>
      </c>
      <c r="AN266" s="12">
        <f>AM266</f>
        <v>-57.109</v>
      </c>
      <c r="AO266" s="12">
        <f>AN266</f>
        <v>-57.109</v>
      </c>
      <c r="AP266" s="12">
        <f>AO266</f>
        <v>-57.109</v>
      </c>
      <c r="AQ266" s="12">
        <f>AP266</f>
        <v>-57.109</v>
      </c>
      <c r="AR266" s="12">
        <f>AQ266</f>
        <v>-57.109</v>
      </c>
      <c r="AS266" s="12">
        <f>AR266</f>
        <v>-57.109</v>
      </c>
      <c r="AT266" s="12">
        <f>AS266</f>
        <v>-57.109</v>
      </c>
      <c r="AU266" s="12">
        <f>AT266</f>
        <v>-57.109</v>
      </c>
      <c r="AV266" s="12">
        <f>AU266</f>
        <v>-57.109</v>
      </c>
      <c r="AW266" s="12">
        <f>AV266</f>
        <v>-57.109</v>
      </c>
      <c r="AX266" s="12">
        <f>AW266</f>
        <v>-57.109</v>
      </c>
      <c r="AY266" s="12">
        <f>AX266</f>
        <v>-57.109</v>
      </c>
      <c r="AZ266" s="12">
        <f>AY266</f>
        <v>-57.109</v>
      </c>
      <c r="BA266" s="12">
        <f>AZ266</f>
        <v>-57.109</v>
      </c>
      <c r="BB266" s="12">
        <f>BA266</f>
        <v>-57.109</v>
      </c>
      <c r="BC266" s="12">
        <f>BB266</f>
        <v>-57.109</v>
      </c>
      <c r="BD266" s="12">
        <f>BC266</f>
        <v>-57.109</v>
      </c>
      <c r="BE266" s="12">
        <f>BD266</f>
        <v>-57.109</v>
      </c>
      <c r="BF266" s="12">
        <f>BE266</f>
        <v>-57.109</v>
      </c>
      <c r="BG266" s="12" t="n"/>
      <c r="BH266" s="12" t="n"/>
      <c r="BI266" s="12" t="n"/>
      <c r="BJ266" s="12" t="n"/>
      <c r="BK266" s="12" t="n"/>
      <c r="BL266" s="12" t="n"/>
      <c r="BM266" s="12" t="n"/>
      <c r="BN266" s="12" t="n"/>
      <c r="BO266" s="12" t="n"/>
      <c r="BP266" s="12" t="n"/>
      <c r="BQ266" s="12" t="n"/>
      <c r="BR266" s="12" t="n"/>
      <c r="BS266" s="12" t="n"/>
      <c r="BT266" s="12" t="n"/>
      <c r="BU266" s="12" t="n"/>
      <c r="BV266" s="12" t="n"/>
      <c r="BW266" s="12" t="n"/>
      <c r="BX266" s="12" t="n"/>
      <c r="BY266" s="12" t="n"/>
      <c r="BZ266" s="12" t="n"/>
      <c r="CA266" s="12" t="n"/>
      <c r="CB266" s="12" t="n"/>
      <c r="CC266" s="12" t="n"/>
      <c r="CD266" s="12" t="n"/>
      <c r="CE266" s="12" t="n"/>
      <c r="CF266" s="12" t="n"/>
      <c r="CG266" s="12" t="n"/>
      <c r="CH266" s="12" t="n"/>
      <c r="CI266" s="12" t="n"/>
      <c r="CJ266" s="12" t="n"/>
      <c r="CK266" s="12" t="n"/>
      <c r="CL266" s="12" t="n"/>
      <c r="CM266" s="12" t="n"/>
      <c r="CN266" s="12" t="n"/>
      <c r="CO266" s="12" t="n"/>
      <c r="CP266" s="12" t="n"/>
      <c r="CQ266" s="12" t="n"/>
      <c r="CR266" s="12" t="n"/>
      <c r="CS266" s="12" t="n"/>
      <c r="CT266" s="12" t="n"/>
      <c r="CU266" s="12" t="n"/>
      <c r="CV266" s="12" t="n"/>
      <c r="CW266" s="12" t="n"/>
      <c r="CX266" s="12" t="n"/>
      <c r="CY266" s="12" t="n"/>
    </row>
    <row r="267">
      <c r="C267" s="14" t="inlineStr">
        <is>
          <t>Comprehensive (accumulated) loss</t>
        </is>
      </c>
      <c r="D267" s="46" t="n"/>
      <c r="E267" s="46" t="n"/>
      <c r="F267" s="46" t="n"/>
      <c r="G267" s="46" t="n"/>
      <c r="H267" s="12" t="n"/>
      <c r="I267" s="46">
        <f>'Inputs (2)'!D45</f>
        <v>-644.044</v>
      </c>
      <c r="J267" s="46">
        <f>'Inputs (2)'!E45</f>
        <v>-622.896</v>
      </c>
      <c r="K267" s="46">
        <f>'Inputs (2)'!F45</f>
        <v>-462.533</v>
      </c>
      <c r="L267" s="46">
        <f>'Inputs (2)'!G45</f>
        <v>-405.374</v>
      </c>
      <c r="M267" s="12">
        <f>'Inputs (2)'!H45</f>
        <v>-405.374</v>
      </c>
      <c r="N267" s="46">
        <f>'Inputs (2)'!I45</f>
        <v>-405.374</v>
      </c>
      <c r="O267" s="46">
        <f>'Inputs (2)'!J45</f>
        <v>-405.374</v>
      </c>
      <c r="P267" s="46">
        <f>'Inputs (2)'!K45</f>
        <v>-417.135</v>
      </c>
      <c r="Q267" s="46">
        <f>'Inputs (2)'!L45</f>
        <v>-205.372</v>
      </c>
      <c r="R267" s="12">
        <f>'Inputs (2)'!M45</f>
        <v>-205.372</v>
      </c>
      <c r="S267" s="46">
        <f>'Inputs (2)'!N45</f>
        <v>-204.891</v>
      </c>
      <c r="T267" s="46">
        <f>'Inputs (2)'!O45</f>
        <v>-220.752</v>
      </c>
      <c r="U267" s="46">
        <f>'Inputs (2)'!P45</f>
        <v>-207.049</v>
      </c>
      <c r="V267" s="46">
        <f>'Inputs (2)'!Q45</f>
        <v>-409.321</v>
      </c>
      <c r="W267" s="12">
        <f>'Inputs (2)'!R45</f>
        <v>-409.321</v>
      </c>
      <c r="X267" s="46">
        <f>'Inputs (2)'!S45</f>
        <v>-409.287</v>
      </c>
      <c r="Y267" s="46">
        <f>'Inputs (2)'!T45</f>
        <v>-409.629</v>
      </c>
      <c r="Z267" s="46">
        <f>'Inputs (2)'!U45</f>
        <v>-410.478</v>
      </c>
      <c r="AA267" s="46">
        <f>'Inputs (2)'!V45</f>
        <v>163.68</v>
      </c>
      <c r="AB267" s="12">
        <f>'Inputs (2)'!W45</f>
        <v>163.68</v>
      </c>
      <c r="AC267" s="46">
        <f>'Inputs (2)'!X45</f>
        <v>202.276</v>
      </c>
      <c r="AD267" s="46">
        <f>'Inputs (2)'!Y45</f>
        <v>247.237</v>
      </c>
      <c r="AE267" s="46">
        <f>'Inputs (2)'!Z45</f>
        <v>235.128</v>
      </c>
      <c r="AF267" s="46">
        <f>'Inputs (2)'!AA45</f>
        <v>129.104</v>
      </c>
      <c r="AG267" s="12">
        <f>'Inputs (2)'!AB45</f>
        <v>129.104</v>
      </c>
      <c r="AH267" s="12">
        <f>'Inputs (2)'!AC45</f>
        <v>147.898</v>
      </c>
      <c r="AI267" s="12">
        <f>'Inputs (2)'!AD45</f>
        <v>152.368</v>
      </c>
      <c r="AJ267" s="12">
        <f>AI267</f>
        <v>152.368</v>
      </c>
      <c r="AK267" s="12">
        <f>AJ267</f>
        <v>152.368</v>
      </c>
      <c r="AL267" s="12">
        <f>AK267</f>
        <v>152.368</v>
      </c>
      <c r="AM267" s="12">
        <f>AL267</f>
        <v>152.368</v>
      </c>
      <c r="AN267" s="12">
        <f>AM267</f>
        <v>152.368</v>
      </c>
      <c r="AO267" s="12">
        <f>AN267</f>
        <v>152.368</v>
      </c>
      <c r="AP267" s="12">
        <f>AO267</f>
        <v>152.368</v>
      </c>
      <c r="AQ267" s="12">
        <f>AP267</f>
        <v>152.368</v>
      </c>
      <c r="AR267" s="12">
        <f>AQ267</f>
        <v>152.368</v>
      </c>
      <c r="AS267" s="12">
        <f>AR267</f>
        <v>152.368</v>
      </c>
      <c r="AT267" s="12">
        <f>AS267</f>
        <v>152.368</v>
      </c>
      <c r="AU267" s="12">
        <f>AT267</f>
        <v>152.368</v>
      </c>
      <c r="AV267" s="12">
        <f>AU267</f>
        <v>152.368</v>
      </c>
      <c r="AW267" s="12">
        <f>AV267</f>
        <v>152.368</v>
      </c>
      <c r="AX267" s="12">
        <f>AW267</f>
        <v>152.368</v>
      </c>
      <c r="AY267" s="12">
        <f>AX267</f>
        <v>152.368</v>
      </c>
      <c r="AZ267" s="12">
        <f>AY267</f>
        <v>152.368</v>
      </c>
      <c r="BA267" s="12">
        <f>AZ267</f>
        <v>152.368</v>
      </c>
      <c r="BB267" s="12">
        <f>BA267</f>
        <v>152.368</v>
      </c>
      <c r="BC267" s="12">
        <f>BB267</f>
        <v>152.368</v>
      </c>
      <c r="BD267" s="12">
        <f>BC267</f>
        <v>152.368</v>
      </c>
      <c r="BE267" s="12">
        <f>BD267</f>
        <v>152.368</v>
      </c>
      <c r="BF267" s="12">
        <f>BE267</f>
        <v>152.368</v>
      </c>
      <c r="BG267" s="12" t="n"/>
      <c r="BH267" s="12" t="n"/>
      <c r="BI267" s="12" t="n"/>
      <c r="BJ267" s="12" t="n"/>
      <c r="BK267" s="12" t="n"/>
      <c r="BL267" s="12" t="n"/>
      <c r="BM267" s="12" t="n"/>
      <c r="BN267" s="12" t="n"/>
      <c r="BO267" s="12" t="n"/>
      <c r="BP267" s="12" t="n"/>
      <c r="BQ267" s="12" t="n"/>
      <c r="BR267" s="12" t="n"/>
      <c r="BS267" s="12" t="n"/>
      <c r="BT267" s="12" t="n"/>
      <c r="BU267" s="12" t="n"/>
      <c r="BV267" s="12" t="n"/>
      <c r="BW267" s="12" t="n"/>
      <c r="BX267" s="12" t="n"/>
      <c r="BY267" s="12" t="n"/>
      <c r="BZ267" s="12" t="n"/>
      <c r="CA267" s="12" t="n"/>
      <c r="CB267" s="12" t="n"/>
      <c r="CC267" s="12" t="n"/>
      <c r="CD267" s="12" t="n"/>
      <c r="CE267" s="12" t="n"/>
      <c r="CF267" s="12" t="n"/>
      <c r="CG267" s="12" t="n"/>
      <c r="CH267" s="12" t="n"/>
      <c r="CI267" s="12" t="n"/>
      <c r="CJ267" s="12" t="n"/>
      <c r="CK267" s="12" t="n"/>
      <c r="CL267" s="12" t="n"/>
      <c r="CM267" s="12" t="n"/>
      <c r="CN267" s="12" t="n"/>
      <c r="CO267" s="12" t="n"/>
      <c r="CP267" s="12" t="n"/>
      <c r="CQ267" s="12" t="n"/>
      <c r="CR267" s="12" t="n"/>
      <c r="CS267" s="12" t="n"/>
      <c r="CT267" s="12" t="n"/>
      <c r="CU267" s="12" t="n"/>
      <c r="CV267" s="12" t="n"/>
      <c r="CW267" s="12" t="n"/>
      <c r="CX267" s="12" t="n"/>
      <c r="CY267" s="12" t="n"/>
    </row>
    <row r="268">
      <c r="C268" s="14" t="inlineStr">
        <is>
          <t>Other equity account</t>
        </is>
      </c>
      <c r="D268" s="46" t="n"/>
      <c r="E268" s="46" t="n"/>
      <c r="F268" s="46" t="n"/>
      <c r="G268" s="46" t="n"/>
      <c r="H268" s="12" t="n"/>
      <c r="I268" s="46">
        <f>'Inputs (2)'!D46</f>
        <v>0</v>
      </c>
      <c r="J268" s="46">
        <f>'Inputs (2)'!E46</f>
        <v>0</v>
      </c>
      <c r="K268" s="46">
        <f>'Inputs (2)'!F46</f>
        <v>0</v>
      </c>
      <c r="L268" s="46">
        <f>'Inputs (2)'!G46</f>
        <v>0</v>
      </c>
      <c r="M268" s="12">
        <f>'Inputs (2)'!H46</f>
        <v>0</v>
      </c>
      <c r="N268" s="46">
        <f>'Inputs (2)'!I46</f>
        <v>0</v>
      </c>
      <c r="O268" s="46">
        <f>'Inputs (2)'!J46</f>
        <v>0</v>
      </c>
      <c r="P268" s="46">
        <f>'Inputs (2)'!K46</f>
        <v>0</v>
      </c>
      <c r="Q268" s="46">
        <f>'Inputs (2)'!L46</f>
        <v>0</v>
      </c>
      <c r="R268" s="12">
        <f>'Inputs (2)'!M46</f>
        <v>0</v>
      </c>
      <c r="S268" s="46">
        <f>'Inputs (2)'!N46</f>
        <v>0</v>
      </c>
      <c r="T268" s="46">
        <f>'Inputs (2)'!O46</f>
        <v>0</v>
      </c>
      <c r="U268" s="46">
        <f>'Inputs (2)'!P46</f>
        <v>0</v>
      </c>
      <c r="V268" s="46">
        <f>'Inputs (2)'!Q46</f>
        <v>0</v>
      </c>
      <c r="W268" s="12">
        <f>'Inputs (2)'!R46</f>
        <v>0</v>
      </c>
      <c r="X268" s="46">
        <f>'Inputs (2)'!S46</f>
        <v>0</v>
      </c>
      <c r="Y268" s="46">
        <f>'Inputs (2)'!T46</f>
        <v>0</v>
      </c>
      <c r="Z268" s="46">
        <f>'Inputs (2)'!U46</f>
        <v>0</v>
      </c>
      <c r="AA268" s="46">
        <f>'Inputs (2)'!V46</f>
        <v>0</v>
      </c>
      <c r="AB268" s="12">
        <f>'Inputs (2)'!W46</f>
        <v>0</v>
      </c>
      <c r="AC268" s="46">
        <f>'Inputs (2)'!X46</f>
        <v>0</v>
      </c>
      <c r="AD268" s="46">
        <f>'Inputs (2)'!Y46</f>
        <v>0</v>
      </c>
      <c r="AE268" s="46">
        <f>'Inputs (2)'!Z46</f>
        <v>0</v>
      </c>
      <c r="AF268" s="46">
        <f>'Inputs (2)'!AA46</f>
        <v>0</v>
      </c>
      <c r="AG268" s="12">
        <f>'Inputs (2)'!AB46</f>
        <v>0</v>
      </c>
      <c r="AH268" s="12">
        <f>'Inputs (2)'!AC46</f>
        <v>0</v>
      </c>
      <c r="AI268" s="12">
        <f>'Inputs (2)'!AD46</f>
        <v>0</v>
      </c>
      <c r="AJ268" s="12">
        <f>AI268</f>
        <v>0</v>
      </c>
      <c r="AK268" s="12">
        <f>AJ268</f>
        <v>0</v>
      </c>
      <c r="AL268" s="12">
        <f>AK268</f>
        <v>0</v>
      </c>
      <c r="AM268" s="12">
        <f>AL268</f>
        <v>0</v>
      </c>
      <c r="AN268" s="12">
        <f>AM268</f>
        <v>0</v>
      </c>
      <c r="AO268" s="12">
        <f>AN268</f>
        <v>0</v>
      </c>
      <c r="AP268" s="12">
        <f>AO268</f>
        <v>0</v>
      </c>
      <c r="AQ268" s="12">
        <f>AP268</f>
        <v>0</v>
      </c>
      <c r="AR268" s="12">
        <f>AQ268</f>
        <v>0</v>
      </c>
      <c r="AS268" s="12">
        <f>AR268</f>
        <v>0</v>
      </c>
      <c r="AT268" s="12">
        <f>AS268</f>
        <v>0</v>
      </c>
      <c r="AU268" s="12">
        <f>AT268</f>
        <v>0</v>
      </c>
      <c r="AV268" s="12">
        <f>AU268</f>
        <v>0</v>
      </c>
      <c r="AW268" s="12">
        <f>AV268</f>
        <v>0</v>
      </c>
      <c r="AX268" s="12">
        <f>AW268</f>
        <v>0</v>
      </c>
      <c r="AY268" s="12">
        <f>AX268</f>
        <v>0</v>
      </c>
      <c r="AZ268" s="12">
        <f>AY268</f>
        <v>0</v>
      </c>
      <c r="BA268" s="12">
        <f>AZ268</f>
        <v>0</v>
      </c>
      <c r="BB268" s="12">
        <f>BA268</f>
        <v>0</v>
      </c>
      <c r="BC268" s="12">
        <f>BB268</f>
        <v>0</v>
      </c>
      <c r="BD268" s="12">
        <f>BC268</f>
        <v>0</v>
      </c>
      <c r="BE268" s="12">
        <f>BD268</f>
        <v>0</v>
      </c>
      <c r="BF268" s="12">
        <f>BE268</f>
        <v>0</v>
      </c>
      <c r="BG268" s="12" t="n"/>
      <c r="BH268" s="12" t="n"/>
      <c r="BI268" s="12" t="n"/>
      <c r="BJ268" s="12" t="n"/>
      <c r="BK268" s="12" t="n"/>
      <c r="BL268" s="12" t="n"/>
      <c r="BM268" s="12" t="n"/>
      <c r="BN268" s="12" t="n"/>
      <c r="BO268" s="12" t="n"/>
      <c r="BP268" s="12" t="n"/>
      <c r="BQ268" s="12" t="n"/>
      <c r="BR268" s="12" t="n"/>
      <c r="BS268" s="12" t="n"/>
      <c r="BT268" s="12" t="n"/>
      <c r="BU268" s="12" t="n"/>
      <c r="BV268" s="12" t="n"/>
      <c r="BW268" s="12" t="n"/>
      <c r="BX268" s="12" t="n"/>
      <c r="BY268" s="12" t="n"/>
      <c r="BZ268" s="12" t="n"/>
      <c r="CA268" s="12" t="n"/>
      <c r="CB268" s="12" t="n"/>
      <c r="CC268" s="12" t="n"/>
      <c r="CD268" s="12" t="n"/>
      <c r="CE268" s="12" t="n"/>
      <c r="CF268" s="12" t="n"/>
      <c r="CG268" s="12" t="n"/>
      <c r="CH268" s="12" t="n"/>
      <c r="CI268" s="12" t="n"/>
      <c r="CJ268" s="12" t="n"/>
      <c r="CK268" s="12" t="n"/>
      <c r="CL268" s="12" t="n"/>
      <c r="CM268" s="12" t="n"/>
      <c r="CN268" s="12" t="n"/>
      <c r="CO268" s="12" t="n"/>
      <c r="CP268" s="12" t="n"/>
      <c r="CQ268" s="12" t="n"/>
      <c r="CR268" s="12" t="n"/>
      <c r="CS268" s="12" t="n"/>
      <c r="CT268" s="12" t="n"/>
      <c r="CU268" s="12" t="n"/>
      <c r="CV268" s="12" t="n"/>
      <c r="CW268" s="12" t="n"/>
      <c r="CX268" s="12" t="n"/>
      <c r="CY268" s="12" t="n"/>
    </row>
    <row r="269">
      <c r="C269" s="15" t="inlineStr">
        <is>
          <t>Retained earnings</t>
        </is>
      </c>
      <c r="D269" s="46" t="n"/>
      <c r="E269" s="46" t="n"/>
      <c r="F269" s="46" t="n"/>
      <c r="G269" s="46" t="n"/>
      <c r="H269" s="12" t="n"/>
      <c r="I269" s="46">
        <f>'Inputs (2)'!D47</f>
        <v>1570.953</v>
      </c>
      <c r="J269" s="46">
        <f>'Inputs (2)'!E47</f>
        <v>1779.198</v>
      </c>
      <c r="K269" s="46">
        <f>'Inputs (2)'!F47</f>
        <v>1861.443</v>
      </c>
      <c r="L269" s="46">
        <f>'Inputs (2)'!G47</f>
        <v>1861.941</v>
      </c>
      <c r="M269" s="12">
        <f>'Inputs (2)'!H47</f>
        <v>1861.941</v>
      </c>
      <c r="N269" s="46">
        <f>'Inputs (2)'!I47</f>
        <v>1855.142</v>
      </c>
      <c r="O269" s="46">
        <f>'Inputs (2)'!J47</f>
        <v>1767.067</v>
      </c>
      <c r="P269" s="46">
        <f>'Inputs (2)'!K47</f>
        <v>1997.153</v>
      </c>
      <c r="Q269" s="46">
        <f>'Inputs (2)'!L47</f>
        <v>3815.124</v>
      </c>
      <c r="R269" s="12">
        <f>'Inputs (2)'!M47</f>
        <v>3815.124</v>
      </c>
      <c r="S269" s="46">
        <f>'Inputs (2)'!N47</f>
        <v>4045.076</v>
      </c>
      <c r="T269" s="46">
        <f>'Inputs (2)'!O47</f>
        <v>3363.127</v>
      </c>
      <c r="U269" s="46">
        <f>'Inputs (2)'!P47</f>
        <v>2525.011</v>
      </c>
      <c r="V269" s="46">
        <f>'Inputs (2)'!Q47</f>
        <v>1132.604</v>
      </c>
      <c r="W269" s="12">
        <f>'Inputs (2)'!R47</f>
        <v>1132.604</v>
      </c>
      <c r="X269" s="46">
        <f>'Inputs (2)'!S47</f>
        <v>986.222</v>
      </c>
      <c r="Y269" s="46">
        <f>'Inputs (2)'!T47</f>
        <v>1077.311</v>
      </c>
      <c r="Z269" s="46">
        <f>'Inputs (2)'!U47</f>
        <v>1348.141</v>
      </c>
      <c r="AA269" s="46">
        <f>'Inputs (2)'!V47</f>
        <v>923.944</v>
      </c>
      <c r="AB269" s="12">
        <f>'Inputs (2)'!W47</f>
        <v>923.944</v>
      </c>
      <c r="AC269" s="46">
        <f>'Inputs (2)'!X47</f>
        <v>932.44</v>
      </c>
      <c r="AD269" s="46">
        <f>'Inputs (2)'!Y47</f>
        <v>317.05</v>
      </c>
      <c r="AE269" s="46">
        <f>'Inputs (2)'!Z47</f>
        <v>-79.984</v>
      </c>
      <c r="AF269" s="46">
        <f>'Inputs (2)'!AA47</f>
        <v>259.912</v>
      </c>
      <c r="AG269" s="12">
        <f>'Inputs (2)'!AB47</f>
        <v>259.912</v>
      </c>
      <c r="AH269" s="12">
        <f>'Inputs (2)'!AC47</f>
        <v>-361.426</v>
      </c>
      <c r="AI269" s="12">
        <f>'Inputs (2)'!AD47</f>
        <v>-772.373</v>
      </c>
      <c r="AJ269" s="12">
        <f>AI269+AJ136+AJ137</f>
        <v>-724.150422525474</v>
      </c>
      <c r="AK269" s="12">
        <f>AJ269+AK136+AK137</f>
        <v>-631.60575712487</v>
      </c>
      <c r="AL269" s="12">
        <f>AK269</f>
        <v>-631.60575712487</v>
      </c>
      <c r="AM269" s="12">
        <f>AL269+AM136+AM137</f>
        <v>-660.991182771776</v>
      </c>
      <c r="AN269" s="12">
        <f>AM269+AN136+AN137</f>
        <v>-693.568413099661</v>
      </c>
      <c r="AO269" s="12">
        <f>AN269+AO136+AO137</f>
        <v>-559.176088628447</v>
      </c>
      <c r="AP269" s="12">
        <f>AO269+AP136+AP137</f>
        <v>-374.022484583521</v>
      </c>
      <c r="AQ269" s="12">
        <f>AP269</f>
        <v>-374.022484583521</v>
      </c>
      <c r="AR269" s="12">
        <f>AQ269+AR136+AR137</f>
        <v>-331.090759312493</v>
      </c>
      <c r="AS269" s="12">
        <f>AR269+AS136+AS137</f>
        <v>-291.798590751571</v>
      </c>
      <c r="AT269" s="12">
        <f>AS269+AT136+AT137</f>
        <v>-62.1140817150535</v>
      </c>
      <c r="AU269" s="12">
        <f>AT269+AU136+AU137</f>
        <v>225.452589343178</v>
      </c>
      <c r="AV269" s="12">
        <f>AU269</f>
        <v>225.452589343178</v>
      </c>
      <c r="AW269" s="12">
        <f>AV269+AW136+AW137</f>
        <v>347.907090582353</v>
      </c>
      <c r="AX269" s="12">
        <f>AW269+AX136+AX137</f>
        <v>466.229669416013</v>
      </c>
      <c r="AY269" s="12">
        <f>AX269+AY136+AY137</f>
        <v>800.701202671741</v>
      </c>
      <c r="AZ269" s="12">
        <f>AY269+AZ136+AZ137</f>
        <v>1200.8852996232</v>
      </c>
      <c r="BA269" s="12">
        <f>AZ269</f>
        <v>1200.8852996232</v>
      </c>
      <c r="BB269" s="12">
        <f>BA269+BB136+BB137</f>
        <v>1410.28379199991</v>
      </c>
      <c r="BC269" s="12">
        <f>BB269+BC136+BC137</f>
        <v>1615.01204778204</v>
      </c>
      <c r="BD269" s="12">
        <f>BC269+BD136+BD137</f>
        <v>2064.04952763769</v>
      </c>
      <c r="BE269" s="12">
        <f>BD269+BE136+BE137</f>
        <v>2587.36072068946</v>
      </c>
      <c r="BF269" s="12">
        <f>BE269</f>
        <v>2587.36072068946</v>
      </c>
      <c r="BG269" s="12" t="n"/>
      <c r="BH269" s="12" t="n"/>
      <c r="BI269" s="12" t="n"/>
      <c r="BJ269" s="12" t="n"/>
      <c r="BK269" s="12" t="n"/>
      <c r="BL269" s="12" t="n"/>
      <c r="BM269" s="12" t="n"/>
      <c r="BN269" s="12" t="n"/>
      <c r="BO269" s="12" t="n"/>
      <c r="BP269" s="12" t="n"/>
      <c r="BQ269" s="12" t="n"/>
      <c r="BR269" s="12" t="n"/>
      <c r="BS269" s="12" t="n"/>
      <c r="BT269" s="12" t="n"/>
      <c r="BU269" s="12" t="n"/>
      <c r="BV269" s="12" t="n"/>
      <c r="BW269" s="12" t="n"/>
      <c r="BX269" s="12" t="n"/>
      <c r="BY269" s="12" t="n"/>
      <c r="BZ269" s="12" t="n"/>
      <c r="CA269" s="12" t="n"/>
      <c r="CB269" s="12" t="n"/>
      <c r="CC269" s="12" t="n"/>
      <c r="CD269" s="12" t="n"/>
      <c r="CE269" s="12" t="n"/>
      <c r="CF269" s="12" t="n"/>
      <c r="CG269" s="12" t="n"/>
      <c r="CH269" s="12" t="n"/>
      <c r="CI269" s="12" t="n"/>
      <c r="CJ269" s="12" t="n"/>
      <c r="CK269" s="12" t="n"/>
      <c r="CL269" s="12" t="n"/>
      <c r="CM269" s="12" t="n"/>
      <c r="CN269" s="12" t="n"/>
      <c r="CO269" s="12" t="n"/>
      <c r="CP269" s="12" t="n"/>
      <c r="CQ269" s="12" t="n"/>
      <c r="CR269" s="12" t="n"/>
      <c r="CS269" s="12" t="n"/>
      <c r="CT269" s="12" t="n"/>
      <c r="CU269" s="12" t="n"/>
      <c r="CV269" s="12" t="n"/>
      <c r="CW269" s="12" t="n"/>
      <c r="CX269" s="12" t="n"/>
      <c r="CY269" s="12" t="n"/>
    </row>
    <row r="270" customFormat="1" s="32">
      <c r="A270" s="30" t="inlineStr">
        <is>
          <t xml:space="preserve"> </t>
        </is>
      </c>
      <c r="B270" s="30" t="n"/>
      <c r="C270" s="65" t="inlineStr">
        <is>
          <t>Total Shareholders' Equity</t>
        </is>
      </c>
      <c r="D270" s="35" t="n"/>
      <c r="E270" s="35" t="n"/>
      <c r="F270" s="35" t="n"/>
      <c r="G270" s="35" t="n"/>
      <c r="H270" s="35" t="n"/>
      <c r="I270" s="35">
        <f>SUM(I247+I252+I253+I266+I267+I268+I269)</f>
        <v>8182.847</v>
      </c>
      <c r="J270" s="35">
        <f>SUM(J247+J252+J253+J266+J267+J268+J269)</f>
        <v>8427.995</v>
      </c>
      <c r="K270" s="35">
        <f>SUM(K247+K252+K253+K266+K267+K268+K269)</f>
        <v>9145.291</v>
      </c>
      <c r="L270" s="35">
        <f>SUM(L247+L252+L253+L266+L267+L268+L269)</f>
        <v>9046.515</v>
      </c>
      <c r="M270" s="35">
        <f>SUM(M247,M252,M253,M266,M267,M268,M269)</f>
        <v>9046.515</v>
      </c>
      <c r="N270" s="35">
        <f>SUM(N247+N252+N253+N266+N267+N268+N269)</f>
        <v>12820.277</v>
      </c>
      <c r="O270" s="35">
        <f>SUM(O247+O252+O253+O266+O267+O268+O269)</f>
        <v>12732.202</v>
      </c>
      <c r="P270" s="35">
        <f>SUM(P247+P252+P253+P266+P267+P268+P269)</f>
        <v>12950.527</v>
      </c>
      <c r="Q270" s="35">
        <f>SUM(Q247+Q252+Q253+Q266+Q267+Q268+Q269)</f>
        <v>15253.078</v>
      </c>
      <c r="R270" s="35">
        <f>SUM(R247,R252,R253,R266,R267,R268,R269)</f>
        <v>15253.078</v>
      </c>
      <c r="S270" s="35">
        <f>SUM(S247+S252+S253+S266+S267+S268+S269)</f>
        <v>15483.511</v>
      </c>
      <c r="T270" s="35">
        <f>SUM(T247+T252+T253+T266+T267+T268+T269)</f>
        <v>14785.962</v>
      </c>
      <c r="U270" s="35">
        <f>SUM(U247+U252+U253+U266+U267+U268+U269)</f>
        <v>13962.4</v>
      </c>
      <c r="V270" s="35">
        <f>SUM(V247+V252+V253+V266+V267+V268+V269)</f>
        <v>12368.953</v>
      </c>
      <c r="W270" s="35">
        <f>SUM(W247,W252,W253,W266,W267,W268,W269)</f>
        <v>12368.953</v>
      </c>
      <c r="X270" s="35">
        <f>SUM(X247+X252+X253+X266+X267+X268+X269)</f>
        <v>12223.465</v>
      </c>
      <c r="Y270" s="35">
        <f>SUM(Y247+Y252+Y253+Y266+Y267+Y268+Y269)</f>
        <v>12315.534</v>
      </c>
      <c r="Z270" s="35">
        <f>SUM(Z247+Z252+Z253+Z266+Z267+Z268+Z269)</f>
        <v>12587.285</v>
      </c>
      <c r="AA270" s="35">
        <f>SUM(AA247+AA252+AA253+AA266+AA267+AA268+AA269)</f>
        <v>14483.354</v>
      </c>
      <c r="AB270" s="35">
        <f>SUM(AB247,AB252,AB253,AB266,AB267,AB268,AB269)</f>
        <v>14483.354</v>
      </c>
      <c r="AC270" s="35">
        <f>SUM(AC247+AC252+AC253+AC266+AC267+AC268+AC269)</f>
        <v>14578.748</v>
      </c>
      <c r="AD270" s="35">
        <f>SUM(AD247+AD252+AD253+AD266+AD267+AD268+AD269)</f>
        <v>14063.603</v>
      </c>
      <c r="AE270" s="35">
        <f>SUM(AE247+AE252+AE253+AE266+AE267+AE268+AE269)</f>
        <v>13564.283</v>
      </c>
      <c r="AF270" s="35">
        <f>SUM(AF247+AF252+AF253+AF266+AF267+AF268+AF269)</f>
        <v>13775.463</v>
      </c>
      <c r="AG270" s="35">
        <f>SUM(AG247,AG252,AG253,AG266,AG267,AG268,AG269)</f>
        <v>13775.463</v>
      </c>
      <c r="AH270" s="35">
        <f>SUM(AH247+AH252+AH253+AH266+AH267+AH268+AH269)</f>
        <v>13123.193</v>
      </c>
      <c r="AI270" s="35">
        <f>SUM(AI247+AI252+AI253+AI266+AI267+AI268+AI269)</f>
        <v>12752.85</v>
      </c>
      <c r="AJ270" s="35">
        <f>SUM(AJ247+AJ252+AJ253+AJ266+AJ267+AJ268+AJ269)</f>
        <v>12801.0725774745</v>
      </c>
      <c r="AK270" s="35">
        <f>SUM(AK247+AK252+AK253+AK266+AK267+AK268+AK269)</f>
        <v>12893.6172428751</v>
      </c>
      <c r="AL270" s="35">
        <f>SUM(AL247,AL252,AL253,AL266,AL267,AL268,AL269)</f>
        <v>12893.6172428751</v>
      </c>
      <c r="AM270" s="35">
        <f>SUM(AM247+AM252+AM253+AM266+AM267+AM268+AM269)</f>
        <v>12864.2318172282</v>
      </c>
      <c r="AN270" s="35">
        <f>SUM(AN247+AN252+AN253+AN266+AN267+AN268+AN269)</f>
        <v>12831.6545869003</v>
      </c>
      <c r="AO270" s="35">
        <f>SUM(AO247+AO252+AO253+AO266+AO267+AO268+AO269)</f>
        <v>12966.0469113716</v>
      </c>
      <c r="AP270" s="35">
        <f>SUM(AP247+AP252+AP253+AP266+AP267+AP268+AP269)</f>
        <v>13151.2005154165</v>
      </c>
      <c r="AQ270" s="35">
        <f>SUM(AQ247,AQ252,AQ253,AQ266,AQ267,AQ268,AQ269)</f>
        <v>13151.2005154165</v>
      </c>
      <c r="AR270" s="35">
        <f>SUM(AR247+AR252+AR253+AR266+AR267+AR268+AR269)</f>
        <v>13194.1322406875</v>
      </c>
      <c r="AS270" s="35">
        <f>SUM(AS247+AS252+AS253+AS266+AS267+AS268+AS269)</f>
        <v>13233.4244092484</v>
      </c>
      <c r="AT270" s="35">
        <f>SUM(AT247+AT252+AT253+AT266+AT267+AT268+AT269)</f>
        <v>13463.1089182849</v>
      </c>
      <c r="AU270" s="35">
        <f>SUM(AU247+AU252+AU253+AU266+AU267+AU268+AU269)</f>
        <v>13750.6755893432</v>
      </c>
      <c r="AV270" s="35">
        <f>SUM(AV247,AV252,AV253,AV266,AV267,AV268,AV269)</f>
        <v>13750.6755893432</v>
      </c>
      <c r="AW270" s="35">
        <f>SUM(AW247+AW252+AW253+AW266+AW267+AW268+AW269)</f>
        <v>13873.1300905824</v>
      </c>
      <c r="AX270" s="35">
        <f>SUM(AX247+AX252+AX253+AX266+AX267+AX268+AX269)</f>
        <v>13991.452669416</v>
      </c>
      <c r="AY270" s="35">
        <f>SUM(AY247+AY252+AY253+AY266+AY267+AY268+AY269)</f>
        <v>14325.9242026717</v>
      </c>
      <c r="AZ270" s="35">
        <f>SUM(AZ247+AZ252+AZ253+AZ266+AZ267+AZ268+AZ269)</f>
        <v>14726.1082996232</v>
      </c>
      <c r="BA270" s="35">
        <f>SUM(BA247,BA252,BA253,BA266,BA267,BA268,BA269)</f>
        <v>14726.1082996232</v>
      </c>
      <c r="BB270" s="35">
        <f>SUM(BB247+BB252+BB253+BB266+BB267+BB268+BB269)</f>
        <v>14935.5067919999</v>
      </c>
      <c r="BC270" s="35">
        <f>SUM(BC247+BC252+BC253+BC266+BC267+BC268+BC269)</f>
        <v>15140.235047782</v>
      </c>
      <c r="BD270" s="35">
        <f>SUM(BD247+BD252+BD253+BD266+BD267+BD268+BD269)</f>
        <v>15589.2725276377</v>
      </c>
      <c r="BE270" s="35">
        <f>SUM(BE247+BE252+BE253+BE266+BE267+BE268+BE269)</f>
        <v>16112.5837206895</v>
      </c>
      <c r="BF270" s="35">
        <f>SUM(BF247,BF252,BF253,BF266,BF267,BF268,BF269)</f>
        <v>16112.5837206895</v>
      </c>
      <c r="BG270" s="35" t="n"/>
      <c r="BH270" s="35" t="n"/>
      <c r="BI270" s="35" t="n"/>
      <c r="BJ270" s="35" t="n"/>
      <c r="BK270" s="35" t="n"/>
      <c r="BL270" s="35" t="n"/>
      <c r="BM270" s="35" t="n"/>
      <c r="BN270" s="35" t="n"/>
      <c r="BO270" s="35" t="n"/>
      <c r="BP270" s="35" t="n"/>
      <c r="BQ270" s="35" t="n"/>
      <c r="BR270" s="35" t="n"/>
      <c r="BS270" s="35" t="n"/>
      <c r="BT270" s="35" t="n"/>
      <c r="BU270" s="35" t="n"/>
      <c r="BV270" s="35" t="n"/>
      <c r="BW270" s="35" t="n"/>
      <c r="BX270" s="35" t="n"/>
      <c r="BY270" s="35" t="n"/>
      <c r="BZ270" s="35" t="n"/>
      <c r="CA270" s="35" t="n"/>
      <c r="CB270" s="35" t="n"/>
      <c r="CC270" s="35" t="n"/>
      <c r="CD270" s="35" t="n"/>
      <c r="CE270" s="35" t="n"/>
      <c r="CF270" s="35" t="n"/>
      <c r="CG270" s="35" t="n"/>
      <c r="CH270" s="35" t="n"/>
      <c r="CI270" s="35" t="n"/>
      <c r="CJ270" s="35" t="n"/>
      <c r="CK270" s="35" t="n"/>
      <c r="CL270" s="35" t="n"/>
      <c r="CM270" s="35" t="n"/>
      <c r="CN270" s="35" t="n"/>
      <c r="CO270" s="35" t="n"/>
      <c r="CP270" s="35" t="n"/>
      <c r="CQ270" s="35" t="n"/>
      <c r="CR270" s="35" t="n"/>
      <c r="CS270" s="35" t="n"/>
      <c r="CT270" s="35" t="n"/>
      <c r="CU270" s="35" t="n"/>
      <c r="CV270" s="35" t="n"/>
      <c r="CW270" s="35" t="n"/>
      <c r="CX270" s="35" t="n"/>
      <c r="CY270" s="35" t="n"/>
    </row>
    <row r="271">
      <c r="C271" s="10" t="n"/>
      <c r="D271" s="12" t="n"/>
      <c r="E271" s="12" t="n"/>
      <c r="F271" s="12" t="n"/>
      <c r="G271" s="12" t="n"/>
      <c r="H271" s="12" t="n"/>
      <c r="I271" s="12" t="n"/>
      <c r="J271" s="12" t="n"/>
      <c r="K271" s="12" t="n"/>
      <c r="L271" s="12" t="n"/>
      <c r="M271" s="12" t="n"/>
      <c r="N271" s="12" t="n"/>
      <c r="O271" s="12" t="n"/>
      <c r="P271" s="12" t="n"/>
      <c r="Q271" s="12" t="n"/>
      <c r="R271" s="12" t="n"/>
      <c r="S271" s="12" t="n"/>
      <c r="T271" s="12" t="n"/>
      <c r="U271" s="12" t="n"/>
      <c r="V271" s="12" t="n"/>
      <c r="W271" s="12" t="n"/>
      <c r="X271" s="12" t="n"/>
      <c r="Y271" s="12" t="n"/>
      <c r="Z271" s="12" t="n"/>
      <c r="AA271" s="12" t="n"/>
      <c r="AB271" s="12" t="n"/>
      <c r="AC271" s="12" t="n"/>
      <c r="AD271" s="12" t="n"/>
      <c r="AE271" s="12" t="n"/>
      <c r="AF271" s="12" t="n"/>
      <c r="AG271" s="12" t="n"/>
      <c r="AH271" s="12" t="n"/>
      <c r="AI271" s="12" t="n"/>
      <c r="AJ271" s="12" t="n"/>
      <c r="AK271" s="12" t="n"/>
      <c r="AL271" s="12" t="n"/>
      <c r="AM271" s="12" t="n"/>
      <c r="AN271" s="12" t="n"/>
      <c r="AO271" s="12" t="n"/>
      <c r="AP271" s="12" t="n"/>
      <c r="AQ271" s="12" t="n"/>
      <c r="AR271" s="12" t="n"/>
      <c r="AS271" s="12" t="n"/>
      <c r="AT271" s="12" t="n"/>
      <c r="AU271" s="12" t="n"/>
      <c r="AV271" s="12" t="n"/>
      <c r="AW271" s="12" t="n"/>
      <c r="AX271" s="12" t="n"/>
      <c r="AY271" s="12" t="n"/>
      <c r="AZ271" s="12" t="n"/>
      <c r="BA271" s="12" t="n"/>
      <c r="BB271" s="12" t="n"/>
      <c r="BC271" s="12" t="n"/>
      <c r="BD271" s="12" t="n"/>
      <c r="BE271" s="12" t="n"/>
      <c r="BF271" s="12" t="n"/>
      <c r="BG271" s="12" t="n"/>
      <c r="BH271" s="12" t="n"/>
      <c r="BI271" s="12" t="n"/>
      <c r="BJ271" s="12" t="n"/>
      <c r="BK271" s="12" t="n"/>
      <c r="BL271" s="12" t="n"/>
      <c r="BM271" s="12" t="n"/>
      <c r="BN271" s="12" t="n"/>
      <c r="BO271" s="12" t="n"/>
      <c r="BP271" s="12" t="n"/>
      <c r="BQ271" s="12" t="n"/>
      <c r="BR271" s="12" t="n"/>
      <c r="BS271" s="12" t="n"/>
      <c r="BT271" s="12" t="n"/>
      <c r="BU271" s="12" t="n"/>
      <c r="BV271" s="12" t="n"/>
      <c r="BW271" s="12" t="n"/>
      <c r="BX271" s="12" t="n"/>
      <c r="BY271" s="12" t="n"/>
      <c r="BZ271" s="12" t="n"/>
      <c r="CA271" s="12" t="n"/>
      <c r="CB271" s="12" t="n"/>
      <c r="CC271" s="12" t="n"/>
      <c r="CD271" s="12" t="n"/>
      <c r="CE271" s="12" t="n"/>
      <c r="CF271" s="12" t="n"/>
      <c r="CG271" s="12" t="n"/>
      <c r="CH271" s="12" t="n"/>
      <c r="CI271" s="12" t="n"/>
      <c r="CJ271" s="12" t="n"/>
      <c r="CK271" s="12" t="n"/>
      <c r="CL271" s="12" t="n"/>
      <c r="CM271" s="12" t="n"/>
      <c r="CN271" s="12" t="n"/>
      <c r="CO271" s="12" t="n"/>
      <c r="CP271" s="12" t="n"/>
      <c r="CQ271" s="12" t="n"/>
      <c r="CR271" s="12" t="n"/>
      <c r="CS271" s="12" t="n"/>
      <c r="CT271" s="12" t="n"/>
      <c r="CU271" s="12" t="n"/>
      <c r="CV271" s="12" t="n"/>
      <c r="CW271" s="12" t="n"/>
      <c r="CX271" s="12" t="n"/>
      <c r="CY271" s="12" t="n"/>
    </row>
    <row r="272" customFormat="1" s="32">
      <c r="A272" s="30" t="n"/>
      <c r="B272" s="3" t="n"/>
      <c r="C272" s="33" t="inlineStr">
        <is>
          <t>Total Liabilities + Shareholders' Equity</t>
        </is>
      </c>
      <c r="D272" s="35" t="n"/>
      <c r="E272" s="35" t="n"/>
      <c r="F272" s="35" t="n"/>
      <c r="G272" s="35" t="n"/>
      <c r="H272" s="35" t="n"/>
      <c r="I272" s="35">
        <f>I270+I246</f>
        <v>18260.942</v>
      </c>
      <c r="J272" s="35">
        <f>J270+J246</f>
        <v>18026.959</v>
      </c>
      <c r="K272" s="35">
        <f>K270+K246</f>
        <v>18525.946</v>
      </c>
      <c r="L272" s="35">
        <f>L270+L246</f>
        <v>19562.553</v>
      </c>
      <c r="M272" s="35">
        <f>M270+M246</f>
        <v>19562.553</v>
      </c>
      <c r="N272" s="35">
        <f>N270+N246</f>
        <v>28452.306</v>
      </c>
      <c r="O272" s="35">
        <f>O270+O246</f>
        <v>29391.37</v>
      </c>
      <c r="P272" s="35">
        <f>P270+P246</f>
        <v>29337.895</v>
      </c>
      <c r="Q272" s="35">
        <f>Q270+Q246</f>
        <v>32282.893</v>
      </c>
      <c r="R272" s="35">
        <f>R270+R246</f>
        <v>32282.893</v>
      </c>
      <c r="S272" s="35">
        <f>S270+S246</f>
        <v>33694.157</v>
      </c>
      <c r="T272" s="35">
        <f>T270+T246</f>
        <v>33010.352</v>
      </c>
      <c r="U272" s="35">
        <f>U270+U246</f>
        <v>31219.22</v>
      </c>
      <c r="V272" s="35">
        <f>V270+V246</f>
        <v>28994.557</v>
      </c>
      <c r="W272" s="35">
        <f>W270+W246</f>
        <v>28994.557</v>
      </c>
      <c r="X272" s="35">
        <f>X270+X246</f>
        <v>27694.357</v>
      </c>
      <c r="Y272" s="35">
        <f>Y270+Y246</f>
        <v>29259.449</v>
      </c>
      <c r="Z272" s="35">
        <f>Z270+Z246</f>
        <v>31492.257</v>
      </c>
      <c r="AA272" s="35">
        <f>AA270+AA246</f>
        <v>52754.117</v>
      </c>
      <c r="AB272" s="35">
        <f>AB270+AB246</f>
        <v>52754.117</v>
      </c>
      <c r="AC272" s="35">
        <f>AC270+AC246</f>
        <v>52266.696</v>
      </c>
      <c r="AD272" s="35">
        <f>AD270+AD246</f>
        <v>49202.8</v>
      </c>
      <c r="AE272" s="35">
        <f>AE270+AE246</f>
        <v>48833.477</v>
      </c>
      <c r="AF272" s="35">
        <f>AF270+AF246</f>
        <v>48727.388</v>
      </c>
      <c r="AG272" s="35">
        <f>AG270+AG246</f>
        <v>48727.388</v>
      </c>
      <c r="AH272" s="35">
        <f>AH270+AH246</f>
        <v>47381.486</v>
      </c>
      <c r="AI272" s="35">
        <f>AI270+AI246</f>
        <v>46710.105</v>
      </c>
      <c r="AJ272" s="35">
        <f>AJ270+AJ246</f>
        <v>47185.5524044411</v>
      </c>
      <c r="AK272" s="35">
        <f>AK270+AK246</f>
        <v>47442.9853411543</v>
      </c>
      <c r="AL272" s="35">
        <f>AL270+AL246</f>
        <v>47442.9853411543</v>
      </c>
      <c r="AM272" s="35">
        <f>AM270+AM246</f>
        <v>47191.3238669295</v>
      </c>
      <c r="AN272" s="35">
        <f>AN270+AN246</f>
        <v>47203.7966102518</v>
      </c>
      <c r="AO272" s="35">
        <f>AO270+AO246</f>
        <v>47827.5030189712</v>
      </c>
      <c r="AP272" s="35">
        <f>AP270+AP246</f>
        <v>48231.3387830168</v>
      </c>
      <c r="AQ272" s="35">
        <f>AQ270+AQ246</f>
        <v>48231.3387830168</v>
      </c>
      <c r="AR272" s="35">
        <f>AR270+AR246</f>
        <v>48026.8022338053</v>
      </c>
      <c r="AS272" s="35">
        <f>AS270+AS246</f>
        <v>48169.2572097634</v>
      </c>
      <c r="AT272" s="35">
        <f>AT270+AT246</f>
        <v>48996.3696097433</v>
      </c>
      <c r="AU272" s="35">
        <f>AU270+AU246</f>
        <v>49577.8604118679</v>
      </c>
      <c r="AV272" s="35">
        <f>AV270+AV246</f>
        <v>49577.8604118679</v>
      </c>
      <c r="AW272" s="35">
        <f>AW270+AW246</f>
        <v>49478.0409724367</v>
      </c>
      <c r="AX272" s="35">
        <f>AX270+AX246</f>
        <v>49749.2830691342</v>
      </c>
      <c r="AY272" s="35">
        <f>AY270+AY246</f>
        <v>50823.7091484373</v>
      </c>
      <c r="AZ272" s="35">
        <f>AZ270+AZ246</f>
        <v>51626.9046697961</v>
      </c>
      <c r="BA272" s="35">
        <f>BA270+BA246</f>
        <v>51626.9046697961</v>
      </c>
      <c r="BB272" s="35">
        <f>BB270+BB246</f>
        <v>51650.0071364618</v>
      </c>
      <c r="BC272" s="35">
        <f>BC270+BC246</f>
        <v>52112.0601231913</v>
      </c>
      <c r="BD272" s="35">
        <f>BD270+BD246</f>
        <v>53491.9114386458</v>
      </c>
      <c r="BE272" s="35">
        <f>BE270+BE246</f>
        <v>54576.3296835546</v>
      </c>
      <c r="BF272" s="35">
        <f>BF270+BF246</f>
        <v>54576.3296835546</v>
      </c>
      <c r="BG272" s="35" t="n"/>
      <c r="BH272" s="35" t="n"/>
      <c r="BI272" s="35" t="n"/>
      <c r="BJ272" s="35" t="n"/>
      <c r="BK272" s="35" t="n"/>
      <c r="BL272" s="35" t="n"/>
      <c r="BM272" s="35" t="n"/>
      <c r="BN272" s="35" t="n"/>
      <c r="BO272" s="35" t="n"/>
      <c r="BP272" s="35" t="n"/>
      <c r="BQ272" s="35" t="n"/>
      <c r="BR272" s="35" t="n"/>
      <c r="BS272" s="35" t="n"/>
      <c r="BT272" s="35" t="n"/>
      <c r="BU272" s="35" t="n"/>
      <c r="BV272" s="35" t="n"/>
      <c r="BW272" s="35" t="n"/>
      <c r="BX272" s="35" t="n"/>
      <c r="BY272" s="35" t="n"/>
      <c r="BZ272" s="35" t="n"/>
      <c r="CA272" s="35" t="n"/>
      <c r="CB272" s="35" t="n"/>
      <c r="CC272" s="35" t="n"/>
      <c r="CD272" s="35" t="n"/>
      <c r="CE272" s="35" t="n"/>
      <c r="CF272" s="35" t="n"/>
      <c r="CG272" s="35" t="n"/>
      <c r="CH272" s="35" t="n"/>
      <c r="CI272" s="35" t="n"/>
      <c r="CJ272" s="35" t="n"/>
      <c r="CK272" s="35" t="n"/>
      <c r="CL272" s="35" t="n"/>
      <c r="CM272" s="35" t="n"/>
      <c r="CN272" s="35" t="n"/>
      <c r="CO272" s="35" t="n"/>
      <c r="CP272" s="35" t="n"/>
      <c r="CQ272" s="35" t="n"/>
      <c r="CR272" s="35" t="n"/>
      <c r="CS272" s="35" t="n"/>
      <c r="CT272" s="35" t="n"/>
      <c r="CU272" s="35" t="n"/>
      <c r="CV272" s="35" t="n"/>
      <c r="CW272" s="35" t="n"/>
      <c r="CX272" s="35" t="n"/>
      <c r="CY272" s="35" t="n"/>
    </row>
    <row r="273">
      <c r="C273" s="18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3" t="n"/>
      <c r="Z273" s="3" t="n"/>
      <c r="AA273" s="3" t="n"/>
      <c r="AB273" s="3" t="n"/>
      <c r="AC273" s="3" t="n"/>
      <c r="AD273" s="3" t="n"/>
      <c r="AE273" s="3" t="n"/>
      <c r="AF273" s="3" t="n"/>
      <c r="AG273" s="3" t="n"/>
      <c r="AH273" s="3" t="n"/>
      <c r="AI273" s="3" t="n"/>
      <c r="AJ273" s="3" t="n"/>
      <c r="AK273" s="3" t="n"/>
      <c r="AL273" s="3" t="n"/>
      <c r="AM273" s="3" t="n"/>
      <c r="AN273" s="3" t="n"/>
      <c r="AO273" s="3" t="n"/>
      <c r="AP273" s="3" t="n"/>
      <c r="AQ273" s="3" t="n"/>
      <c r="AR273" s="3" t="n"/>
      <c r="AS273" s="3" t="n"/>
      <c r="AT273" s="3" t="n"/>
      <c r="AU273" s="3" t="n"/>
      <c r="AV273" s="3" t="n"/>
      <c r="AW273" s="3" t="n"/>
      <c r="AX273" s="3" t="n"/>
      <c r="AY273" s="3" t="n"/>
      <c r="AZ273" s="3" t="n"/>
      <c r="BA273" s="3" t="n"/>
      <c r="BB273" s="3" t="n"/>
      <c r="BC273" s="3" t="n"/>
      <c r="BD273" s="3" t="n"/>
      <c r="BE273" s="3" t="n"/>
      <c r="BF273" s="3" t="n"/>
      <c r="BG273" s="3" t="n"/>
      <c r="BH273" s="3" t="n"/>
      <c r="BI273" s="3" t="n"/>
      <c r="BJ273" s="3" t="n"/>
      <c r="BK273" s="3" t="n"/>
      <c r="BL273" s="3" t="n"/>
      <c r="BM273" s="3" t="n"/>
      <c r="BN273" s="3" t="n"/>
      <c r="BO273" s="3" t="n"/>
      <c r="BP273" s="3" t="n"/>
      <c r="BQ273" s="3" t="n"/>
      <c r="BR273" s="3" t="n"/>
      <c r="BS273" s="3" t="n"/>
      <c r="BT273" s="3" t="n"/>
      <c r="BU273" s="3" t="n"/>
      <c r="BV273" s="3" t="n"/>
      <c r="BW273" s="3" t="n"/>
      <c r="BX273" s="3" t="n"/>
      <c r="BY273" s="3" t="n"/>
      <c r="BZ273" s="3" t="n"/>
      <c r="CA273" s="3" t="n"/>
      <c r="CB273" s="3" t="n"/>
      <c r="CC273" s="3" t="n"/>
      <c r="CD273" s="3" t="n"/>
      <c r="CE273" s="3" t="n"/>
      <c r="CF273" s="3" t="n"/>
      <c r="CG273" s="3" t="n"/>
      <c r="CH273" s="3" t="n"/>
      <c r="CI273" s="3" t="n"/>
      <c r="CJ273" s="3" t="n"/>
      <c r="CK273" s="3" t="n"/>
      <c r="CL273" s="3" t="n"/>
      <c r="CM273" s="3" t="n"/>
      <c r="CN273" s="3" t="n"/>
      <c r="CO273" s="3" t="n"/>
      <c r="CP273" s="3" t="n"/>
      <c r="CQ273" s="3" t="n"/>
      <c r="CR273" s="3" t="n"/>
      <c r="CS273" s="3" t="n"/>
      <c r="CT273" s="3" t="n"/>
      <c r="CU273" s="3" t="n"/>
      <c r="CV273" s="3" t="n"/>
      <c r="CW273" s="3" t="n"/>
      <c r="CX273" s="3" t="n"/>
      <c r="CY273" s="3" t="n"/>
    </row>
    <row r="274" customFormat="1" s="32">
      <c r="A274" s="30" t="n"/>
      <c r="B274" s="30" t="n"/>
      <c r="C274" s="31" t="inlineStr">
        <is>
          <t>Cash Flow Statement</t>
        </is>
      </c>
      <c r="D274" s="70" t="n"/>
      <c r="E274" s="70" t="n"/>
      <c r="F274" s="70" t="n"/>
      <c r="G274" s="70" t="n"/>
      <c r="H274" s="70" t="n"/>
      <c r="I274" s="70" t="str">
        <f>I141</f>
        <v>1Q21</v>
      </c>
      <c r="J274" s="70" t="str">
        <f>J141</f>
        <v>2Q21</v>
      </c>
      <c r="K274" s="70" t="str">
        <f>K141</f>
        <v>3Q21</v>
      </c>
      <c r="L274" s="70" t="str">
        <f>L141</f>
        <v>4Q21</v>
      </c>
      <c r="M274" s="70">
        <f>M141</f>
        <v>2021</v>
      </c>
      <c r="N274" s="70" t="str">
        <f>N141</f>
        <v>1Q22</v>
      </c>
      <c r="O274" s="70" t="str">
        <f>O141</f>
        <v>2Q22</v>
      </c>
      <c r="P274" s="70" t="str">
        <f>P141</f>
        <v>3Q22</v>
      </c>
      <c r="Q274" s="70" t="str">
        <f>Q141</f>
        <v>4Q22</v>
      </c>
      <c r="R274" s="70">
        <f>R141</f>
        <v>2022</v>
      </c>
      <c r="S274" s="70" t="str">
        <f>S141</f>
        <v>1Q23</v>
      </c>
      <c r="T274" s="70" t="str">
        <f>T141</f>
        <v>2Q23</v>
      </c>
      <c r="U274" s="70" t="str">
        <f>U141</f>
        <v>3Q23</v>
      </c>
      <c r="V274" s="70" t="str">
        <f>V141</f>
        <v>4Q23</v>
      </c>
      <c r="W274" s="70">
        <f>W141</f>
        <v>2023</v>
      </c>
      <c r="X274" s="70" t="str">
        <f>X141</f>
        <v>1Q24</v>
      </c>
      <c r="Y274" s="70" t="str">
        <f>Y141</f>
        <v>2Q24</v>
      </c>
      <c r="Z274" s="70" t="str">
        <f>Z141</f>
        <v>3Q24</v>
      </c>
      <c r="AA274" s="70" t="str">
        <f>AA141</f>
        <v>4Q24</v>
      </c>
      <c r="AB274" s="70">
        <f>AB141</f>
        <v>2024</v>
      </c>
      <c r="AC274" s="70" t="str">
        <f>AC141</f>
        <v>1Q25</v>
      </c>
      <c r="AD274" s="70" t="str">
        <f>AD141</f>
        <v>2Q25</v>
      </c>
      <c r="AE274" s="70" t="str">
        <f>AE141</f>
        <v>3Q25</v>
      </c>
      <c r="AF274" s="70" t="str">
        <f>AF141</f>
        <v>4Q25</v>
      </c>
      <c r="AG274" s="70">
        <f>AG141</f>
        <v>2025</v>
      </c>
      <c r="AH274" s="70" t="str">
        <f>AH141</f>
        <v>1Q26</v>
      </c>
      <c r="AI274" s="70" t="str">
        <f>AI141</f>
        <v>2Q26</v>
      </c>
      <c r="AJ274" s="70" t="str">
        <f>AJ141</f>
        <v>3Q26</v>
      </c>
      <c r="AK274" s="70" t="str">
        <f>AK141</f>
        <v>4Q26</v>
      </c>
      <c r="AL274" s="70">
        <f>AL141</f>
        <v>2026</v>
      </c>
      <c r="AM274" s="70" t="str">
        <f>AM141</f>
        <v>1Q27</v>
      </c>
      <c r="AN274" s="70" t="str">
        <f>AN141</f>
        <v>2Q27</v>
      </c>
      <c r="AO274" s="70" t="str">
        <f>AO141</f>
        <v>3Q27</v>
      </c>
      <c r="AP274" s="70" t="str">
        <f>AP141</f>
        <v>4Q27</v>
      </c>
      <c r="AQ274" s="70">
        <f>AQ141</f>
        <v>2027</v>
      </c>
      <c r="AR274" s="70" t="str">
        <f>AR141</f>
        <v>1Q28</v>
      </c>
      <c r="AS274" s="70" t="str">
        <f>AS141</f>
        <v>2Q28</v>
      </c>
      <c r="AT274" s="70" t="str">
        <f>AT141</f>
        <v>3Q28</v>
      </c>
      <c r="AU274" s="70" t="str">
        <f>AU141</f>
        <v>4Q28</v>
      </c>
      <c r="AV274" s="70">
        <f>AV141</f>
        <v>2028</v>
      </c>
      <c r="AW274" s="70" t="str">
        <f>AW141</f>
        <v>1Q29</v>
      </c>
      <c r="AX274" s="70" t="str">
        <f>AX141</f>
        <v>2Q29</v>
      </c>
      <c r="AY274" s="70" t="str">
        <f>AY141</f>
        <v>3Q29</v>
      </c>
      <c r="AZ274" s="70" t="str">
        <f>AZ141</f>
        <v>4Q29</v>
      </c>
      <c r="BA274" s="70">
        <f>BA141</f>
        <v>2029</v>
      </c>
      <c r="BB274" s="70" t="str">
        <f>BB141</f>
        <v>1Q30</v>
      </c>
      <c r="BC274" s="70" t="str">
        <f>BC141</f>
        <v>2Q30</v>
      </c>
      <c r="BD274" s="70" t="str">
        <f>BD141</f>
        <v>3Q30</v>
      </c>
      <c r="BE274" s="70" t="str">
        <f>BE141</f>
        <v>4Q30</v>
      </c>
      <c r="BF274" s="70">
        <f>BF141</f>
        <v>2030</v>
      </c>
      <c r="BG274" s="70" t="n"/>
      <c r="BH274" s="70" t="n"/>
      <c r="BI274" s="70" t="n"/>
      <c r="BJ274" s="70" t="n"/>
      <c r="BK274" s="70" t="n"/>
      <c r="BL274" s="70" t="n"/>
      <c r="BM274" s="70" t="n"/>
      <c r="BN274" s="70" t="n"/>
      <c r="BO274" s="70" t="n"/>
      <c r="BP274" s="70" t="n"/>
      <c r="BQ274" s="70" t="n"/>
      <c r="BR274" s="70" t="n"/>
      <c r="BS274" s="70" t="n"/>
      <c r="BT274" s="70" t="n"/>
      <c r="BU274" s="70" t="n"/>
      <c r="BV274" s="70" t="n"/>
      <c r="BW274" s="70" t="n"/>
      <c r="BX274" s="70" t="n"/>
      <c r="BY274" s="70" t="n"/>
      <c r="BZ274" s="70" t="n"/>
      <c r="CA274" s="70" t="n"/>
      <c r="CB274" s="70" t="n"/>
      <c r="CC274" s="70" t="n"/>
      <c r="CD274" s="70" t="n"/>
      <c r="CE274" s="70" t="n"/>
      <c r="CF274" s="70" t="n"/>
      <c r="CG274" s="70" t="n"/>
      <c r="CH274" s="70" t="n"/>
      <c r="CI274" s="70" t="n"/>
      <c r="CJ274" s="70" t="n"/>
      <c r="CK274" s="70" t="n"/>
      <c r="CL274" s="70" t="n"/>
      <c r="CM274" s="70" t="n"/>
      <c r="CN274" s="70" t="n"/>
      <c r="CO274" s="70" t="n"/>
      <c r="CP274" s="70" t="n"/>
      <c r="CQ274" s="70" t="n"/>
      <c r="CR274" s="70" t="n"/>
      <c r="CS274" s="70" t="n"/>
      <c r="CT274" s="70" t="n"/>
      <c r="CU274" s="70" t="n"/>
      <c r="CV274" s="70" t="n"/>
      <c r="CW274" s="70" t="n"/>
      <c r="CX274" s="70" t="n"/>
      <c r="CY274" s="70" t="n"/>
    </row>
    <row r="275">
      <c r="C275" s="18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3" t="n"/>
      <c r="Z275" s="3" t="n"/>
      <c r="AA275" s="3" t="n"/>
      <c r="AB275" s="3" t="n"/>
      <c r="AC275" s="3" t="n"/>
      <c r="AD275" s="3" t="n"/>
      <c r="AE275" s="3" t="n"/>
      <c r="AF275" s="3" t="n"/>
      <c r="AG275" s="3" t="n"/>
      <c r="AH275" s="3" t="n"/>
      <c r="AI275" s="3" t="n"/>
      <c r="AJ275" s="3" t="n"/>
      <c r="AK275" s="3" t="n"/>
      <c r="AL275" s="3" t="n"/>
      <c r="AM275" s="3" t="n"/>
      <c r="AN275" s="3" t="n"/>
      <c r="AO275" s="3" t="n"/>
      <c r="AP275" s="3" t="n"/>
      <c r="AQ275" s="3" t="n"/>
      <c r="AR275" s="3" t="n"/>
      <c r="AS275" s="3" t="n"/>
      <c r="AT275" s="3" t="n"/>
      <c r="AU275" s="3" t="n"/>
      <c r="AV275" s="3" t="n"/>
      <c r="AW275" s="3" t="n"/>
      <c r="AX275" s="3" t="n"/>
      <c r="AY275" s="3" t="n"/>
      <c r="AZ275" s="3" t="n"/>
      <c r="BA275" s="3" t="n"/>
      <c r="BB275" s="3" t="n"/>
      <c r="BC275" s="3" t="n"/>
      <c r="BD275" s="3" t="n"/>
      <c r="BE275" s="3" t="n"/>
      <c r="BF275" s="3" t="n"/>
      <c r="BG275" s="3" t="n"/>
      <c r="BH275" s="3" t="n"/>
      <c r="BI275" s="3" t="n"/>
      <c r="BJ275" s="3" t="n"/>
      <c r="BK275" s="3" t="n"/>
      <c r="BL275" s="3" t="n"/>
      <c r="BM275" s="3" t="n"/>
      <c r="BN275" s="3" t="n"/>
      <c r="BO275" s="3" t="n"/>
      <c r="BP275" s="3" t="n"/>
      <c r="BQ275" s="3" t="n"/>
      <c r="BR275" s="3" t="n"/>
      <c r="BS275" s="3" t="n"/>
      <c r="BT275" s="3" t="n"/>
      <c r="BU275" s="3" t="n"/>
      <c r="BV275" s="3" t="n"/>
      <c r="BW275" s="3" t="n"/>
      <c r="BX275" s="3" t="n"/>
      <c r="BY275" s="3" t="n"/>
      <c r="BZ275" s="3" t="n"/>
      <c r="CA275" s="3" t="n"/>
      <c r="CB275" s="3" t="n"/>
      <c r="CC275" s="3" t="n"/>
      <c r="CD275" s="3" t="n"/>
      <c r="CE275" s="3" t="n"/>
      <c r="CF275" s="3" t="n"/>
      <c r="CG275" s="3" t="n"/>
      <c r="CH275" s="3" t="n"/>
      <c r="CI275" s="3" t="n"/>
      <c r="CJ275" s="3" t="n"/>
      <c r="CK275" s="3" t="n"/>
      <c r="CL275" s="3" t="n"/>
      <c r="CM275" s="3" t="n"/>
      <c r="CN275" s="3" t="n"/>
      <c r="CO275" s="3" t="n"/>
      <c r="CP275" s="3" t="n"/>
      <c r="CQ275" s="3" t="n"/>
      <c r="CR275" s="3" t="n"/>
      <c r="CS275" s="3" t="n"/>
      <c r="CT275" s="3" t="n"/>
      <c r="CU275" s="3" t="n"/>
      <c r="CV275" s="3" t="n"/>
      <c r="CW275" s="3" t="n"/>
      <c r="CX275" s="3" t="n"/>
      <c r="CY275" s="3" t="n"/>
    </row>
    <row r="276">
      <c r="C276" s="10" t="inlineStr">
        <is>
          <t>Net Income</t>
        </is>
      </c>
      <c r="D276" s="12" t="n"/>
      <c r="E276" s="12" t="n"/>
      <c r="F276" s="12" t="n"/>
      <c r="G276" s="12" t="n"/>
      <c r="H276" s="12" t="n"/>
      <c r="I276" s="12">
        <f>I136</f>
        <v>10.128</v>
      </c>
      <c r="J276" s="12">
        <f>J136</f>
        <v>-71.057</v>
      </c>
      <c r="K276" s="12">
        <f>K136</f>
        <v>82.2450000000001</v>
      </c>
      <c r="L276" s="12">
        <f>L136</f>
        <v>14.45</v>
      </c>
      <c r="M276" s="12">
        <f>SUM(I276:L276)</f>
        <v>35.766</v>
      </c>
      <c r="N276" s="12">
        <f>N136</f>
        <v>-6.79899999999995</v>
      </c>
      <c r="O276" s="12">
        <f>O136</f>
        <v>-2.02699999999998</v>
      </c>
      <c r="P276" s="12">
        <f>P136</f>
        <v>230.087</v>
      </c>
      <c r="Q276" s="12">
        <f>Q136</f>
        <v>2453.139</v>
      </c>
      <c r="R276" s="12">
        <f>SUM(N276:Q276)</f>
        <v>2674.4</v>
      </c>
      <c r="S276" s="12">
        <f>S136</f>
        <v>229.952</v>
      </c>
      <c r="T276" s="12">
        <f>T136</f>
        <v>182.882</v>
      </c>
      <c r="U276" s="12">
        <f>U136</f>
        <v>-838.116</v>
      </c>
      <c r="V276" s="12">
        <f>V136</f>
        <v>107.593</v>
      </c>
      <c r="W276" s="12">
        <f>SUM(S276:V276)</f>
        <v>-317.689</v>
      </c>
      <c r="X276" s="12">
        <f>X136</f>
        <v>253.618</v>
      </c>
      <c r="Y276" s="12">
        <f>Y136</f>
        <v>91.0890000000001</v>
      </c>
      <c r="Z276" s="12">
        <f>Z136</f>
        <v>270.83</v>
      </c>
      <c r="AA276" s="12">
        <f>AA136</f>
        <v>-364.599</v>
      </c>
      <c r="AB276" s="12">
        <f>SUM(X276:AA276)</f>
        <v>250.938</v>
      </c>
      <c r="AC276" s="12">
        <f>AC136</f>
        <v>8.49599999999975</v>
      </c>
      <c r="AD276" s="12">
        <f>AD136</f>
        <v>-615.39</v>
      </c>
      <c r="AE276" s="12">
        <f>AE136</f>
        <v>-397.034</v>
      </c>
      <c r="AF276" s="12">
        <f>AF136</f>
        <v>339.896</v>
      </c>
      <c r="AG276" s="12">
        <f>SUM(AC276:AF276)</f>
        <v>-664.032</v>
      </c>
      <c r="AH276" s="12">
        <f>AH136</f>
        <v>-621.338</v>
      </c>
      <c r="AI276" s="12">
        <f>AI136</f>
        <v>-410.947</v>
      </c>
      <c r="AJ276" s="12">
        <f>AJ136</f>
        <v>48.2225774745261</v>
      </c>
      <c r="AK276" s="12">
        <f>AK136</f>
        <v>92.5446654006042</v>
      </c>
      <c r="AL276" s="12">
        <f>SUM(AH276:AK276)</f>
        <v>-891.51775712487</v>
      </c>
      <c r="AM276" s="12">
        <f>AM136</f>
        <v>-29.3854256469056</v>
      </c>
      <c r="AN276" s="12">
        <f>AN136</f>
        <v>-32.5772303278854</v>
      </c>
      <c r="AO276" s="12">
        <f>AO136</f>
        <v>134.392324471214</v>
      </c>
      <c r="AP276" s="12">
        <f>AP136</f>
        <v>185.153604044925</v>
      </c>
      <c r="AQ276" s="12">
        <f>SUM(AM276:AP276)</f>
        <v>257.583272541349</v>
      </c>
      <c r="AR276" s="12">
        <f>AR136</f>
        <v>42.9317252710289</v>
      </c>
      <c r="AS276" s="12">
        <f>AS136</f>
        <v>39.2921685609213</v>
      </c>
      <c r="AT276" s="12">
        <f>AT136</f>
        <v>229.684509036518</v>
      </c>
      <c r="AU276" s="12">
        <f>AU136</f>
        <v>287.566671058231</v>
      </c>
      <c r="AV276" s="12">
        <f>SUM(AR276:AU276)</f>
        <v>599.475073926699</v>
      </c>
      <c r="AW276" s="12">
        <f>AW136</f>
        <v>122.454501239175</v>
      </c>
      <c r="AX276" s="12">
        <f>AX136</f>
        <v>118.32257883366</v>
      </c>
      <c r="AY276" s="12">
        <f>AY136</f>
        <v>334.471533255728</v>
      </c>
      <c r="AZ276" s="12">
        <f>AZ136</f>
        <v>400.18409695146</v>
      </c>
      <c r="BA276" s="12">
        <f>SUM(AW276:AZ276)</f>
        <v>975.432710280024</v>
      </c>
      <c r="BB276" s="12">
        <f>BB136</f>
        <v>209.398492376713</v>
      </c>
      <c r="BC276" s="12">
        <f>BC136</f>
        <v>204.728255782127</v>
      </c>
      <c r="BD276" s="12">
        <f>BD136</f>
        <v>449.037479855647</v>
      </c>
      <c r="BE276" s="12">
        <f>BE136</f>
        <v>523.311193051767</v>
      </c>
      <c r="BF276" s="12">
        <f>SUM(BB276:BE276)</f>
        <v>1386.47542106625</v>
      </c>
      <c r="BG276" s="12" t="n"/>
      <c r="BH276" s="12" t="n"/>
      <c r="BI276" s="12" t="n"/>
      <c r="BJ276" s="12" t="n"/>
      <c r="BK276" s="12" t="n"/>
      <c r="BL276" s="12" t="n"/>
      <c r="BM276" s="12" t="n"/>
      <c r="BN276" s="12" t="n"/>
      <c r="BO276" s="12" t="n"/>
      <c r="BP276" s="12" t="n"/>
      <c r="BQ276" s="12" t="n"/>
      <c r="BR276" s="12" t="n"/>
      <c r="BS276" s="12" t="n"/>
      <c r="BT276" s="12" t="n"/>
      <c r="BU276" s="12" t="n"/>
      <c r="BV276" s="12" t="n"/>
      <c r="BW276" s="12" t="n"/>
      <c r="BX276" s="12" t="n"/>
      <c r="BY276" s="12" t="n"/>
      <c r="BZ276" s="12" t="n"/>
      <c r="CA276" s="12" t="n"/>
      <c r="CB276" s="12" t="n"/>
      <c r="CC276" s="12" t="n"/>
      <c r="CD276" s="12" t="n"/>
      <c r="CE276" s="12" t="n"/>
      <c r="CF276" s="12" t="n"/>
      <c r="CG276" s="12" t="n"/>
      <c r="CH276" s="12" t="n"/>
      <c r="CI276" s="12" t="n"/>
      <c r="CJ276" s="12" t="n"/>
      <c r="CK276" s="12" t="n"/>
      <c r="CL276" s="12" t="n"/>
      <c r="CM276" s="12" t="n"/>
      <c r="CN276" s="12" t="n"/>
      <c r="CO276" s="12" t="n"/>
      <c r="CP276" s="12" t="n"/>
      <c r="CQ276" s="12" t="n"/>
      <c r="CR276" s="12" t="n"/>
      <c r="CS276" s="12" t="n"/>
      <c r="CT276" s="12" t="n"/>
      <c r="CU276" s="12" t="n"/>
      <c r="CV276" s="12" t="n"/>
      <c r="CW276" s="12" t="n"/>
      <c r="CX276" s="12" t="n"/>
      <c r="CY276" s="12" t="n"/>
    </row>
    <row r="277">
      <c r="C277" s="10" t="inlineStr">
        <is>
          <t>Depreciation &amp; amortization</t>
        </is>
      </c>
      <c r="D277" s="12" t="n"/>
      <c r="E277" s="12" t="n"/>
      <c r="F277" s="12" t="n"/>
      <c r="G277" s="12" t="n"/>
      <c r="H277" s="12" t="n"/>
      <c r="I277" s="12">
        <f>-I69</f>
        <v>132.593</v>
      </c>
      <c r="J277" s="12">
        <f>-J69</f>
        <v>131.573</v>
      </c>
      <c r="K277" s="12">
        <f>-K69</f>
        <v>145.397</v>
      </c>
      <c r="L277" s="12">
        <f>-L69</f>
        <v>149.432</v>
      </c>
      <c r="M277" s="12">
        <f>SUM(I277:L277)</f>
        <v>558.995</v>
      </c>
      <c r="N277" s="12">
        <f>-N69</f>
        <v>157.304</v>
      </c>
      <c r="O277" s="12">
        <f>-O69</f>
        <v>161.19</v>
      </c>
      <c r="P277" s="12">
        <f>-P69</f>
        <v>161.353</v>
      </c>
      <c r="Q277" s="12">
        <f>-Q69</f>
        <v>117.907</v>
      </c>
      <c r="R277" s="12">
        <f>SUM(N277:Q277)</f>
        <v>597.754</v>
      </c>
      <c r="S277" s="12">
        <f>-S69</f>
        <v>168.327</v>
      </c>
      <c r="T277" s="12">
        <f>-T69</f>
        <v>169.666</v>
      </c>
      <c r="U277" s="12">
        <f>-U69</f>
        <v>169.643</v>
      </c>
      <c r="V277" s="12">
        <f>-V69</f>
        <v>169.639</v>
      </c>
      <c r="W277" s="12">
        <f>SUM(S277:V277)</f>
        <v>677.275</v>
      </c>
      <c r="X277" s="12">
        <f>-X69</f>
        <v>166.381</v>
      </c>
      <c r="Y277" s="12">
        <f>-Y69</f>
        <v>175.177</v>
      </c>
      <c r="Z277" s="12">
        <f>-Z69</f>
        <v>182.611</v>
      </c>
      <c r="AA277" s="12">
        <f>-AA69</f>
        <v>189.021</v>
      </c>
      <c r="AB277" s="12">
        <f>SUM(X277:AA277)</f>
        <v>713.19</v>
      </c>
      <c r="AC277" s="12">
        <f>-AC69</f>
        <v>458.196</v>
      </c>
      <c r="AD277" s="12">
        <f>-AD69</f>
        <v>521.747</v>
      </c>
      <c r="AE277" s="12">
        <f>-AE69</f>
        <v>465.553</v>
      </c>
      <c r="AF277" s="12">
        <f>-AF69</f>
        <v>477.467</v>
      </c>
      <c r="AG277" s="12">
        <f>SUM(AC277:AF277)</f>
        <v>1922.963</v>
      </c>
      <c r="AH277" s="12">
        <f>-AH69</f>
        <v>466.831</v>
      </c>
      <c r="AI277" s="12">
        <f>-AI69</f>
        <v>465.443</v>
      </c>
      <c r="AJ277" s="12">
        <f>-AJ69</f>
        <v>605.929568113899</v>
      </c>
      <c r="AK277" s="12">
        <f>-AK69</f>
        <v>651.208761218673</v>
      </c>
      <c r="AL277" s="12">
        <f>SUM(AH277:AK277)</f>
        <v>2189.41232933257</v>
      </c>
      <c r="AM277" s="12">
        <f>-AM69</f>
        <v>526.645673238007</v>
      </c>
      <c r="AN277" s="12">
        <f>-AN69</f>
        <v>523.384943717686</v>
      </c>
      <c r="AO277" s="12">
        <f>-AO69</f>
        <v>693.960091869007</v>
      </c>
      <c r="AP277" s="12">
        <f>-AP69</f>
        <v>745.817526561544</v>
      </c>
      <c r="AQ277" s="12">
        <f>SUM(AM277:AP277)</f>
        <v>2489.80823538624</v>
      </c>
      <c r="AR277" s="12">
        <f>-AR69</f>
        <v>600.524463575265</v>
      </c>
      <c r="AS277" s="12">
        <f>-AS69</f>
        <v>596.806313126947</v>
      </c>
      <c r="AT277" s="12">
        <f>-AT69</f>
        <v>791.310045993561</v>
      </c>
      <c r="AU277" s="12">
        <f>-AU69</f>
        <v>850.442133720885</v>
      </c>
      <c r="AV277" s="12">
        <f>SUM(AR277:AU277)</f>
        <v>2839.08295641666</v>
      </c>
      <c r="AW277" s="12">
        <f>-AW69</f>
        <v>681.764479508062</v>
      </c>
      <c r="AX277" s="12">
        <f>-AX69</f>
        <v>677.543331063853</v>
      </c>
      <c r="AY277" s="12">
        <f>-AY69</f>
        <v>898.359874341215</v>
      </c>
      <c r="AZ277" s="12">
        <f>-AZ69</f>
        <v>965.491455911815</v>
      </c>
      <c r="BA277" s="12">
        <f>SUM(AW277:AZ277)</f>
        <v>3223.15914082495</v>
      </c>
      <c r="BB277" s="12">
        <f>-BB69</f>
        <v>770.585966676767</v>
      </c>
      <c r="BC277" s="12">
        <f>-BC69</f>
        <v>765.814879516706</v>
      </c>
      <c r="BD277" s="12">
        <f>-BD69</f>
        <v>1015.39979421098</v>
      </c>
      <c r="BE277" s="12">
        <f>-BE69</f>
        <v>1091.27739745081</v>
      </c>
      <c r="BF277" s="12">
        <f>SUM(BB277:BE277)</f>
        <v>3643.07803785527</v>
      </c>
      <c r="BG277" s="12" t="n"/>
      <c r="BH277" s="12" t="n"/>
      <c r="BI277" s="12" t="n"/>
      <c r="BJ277" s="12" t="n"/>
      <c r="BK277" s="12" t="n"/>
      <c r="BL277" s="12" t="n"/>
      <c r="BM277" s="12" t="n"/>
      <c r="BN277" s="12" t="n"/>
      <c r="BO277" s="12" t="n"/>
      <c r="BP277" s="12" t="n"/>
      <c r="BQ277" s="12" t="n"/>
      <c r="BR277" s="12" t="n"/>
      <c r="BS277" s="12" t="n"/>
      <c r="BT277" s="12" t="n"/>
      <c r="BU277" s="12" t="n"/>
      <c r="BV277" s="12" t="n"/>
      <c r="BW277" s="12" t="n"/>
      <c r="BX277" s="12" t="n"/>
      <c r="BY277" s="12" t="n"/>
      <c r="BZ277" s="12" t="n"/>
      <c r="CA277" s="12" t="n"/>
      <c r="CB277" s="12" t="n"/>
      <c r="CC277" s="12" t="n"/>
      <c r="CD277" s="12" t="n"/>
      <c r="CE277" s="12" t="n"/>
      <c r="CF277" s="12" t="n"/>
      <c r="CG277" s="12" t="n"/>
      <c r="CH277" s="12" t="n"/>
      <c r="CI277" s="12" t="n"/>
      <c r="CJ277" s="12" t="n"/>
      <c r="CK277" s="12" t="n"/>
      <c r="CL277" s="12" t="n"/>
      <c r="CM277" s="12" t="n"/>
      <c r="CN277" s="12" t="n"/>
      <c r="CO277" s="12" t="n"/>
      <c r="CP277" s="12" t="n"/>
      <c r="CQ277" s="12" t="n"/>
      <c r="CR277" s="12" t="n"/>
      <c r="CS277" s="12" t="n"/>
      <c r="CT277" s="12" t="n"/>
      <c r="CU277" s="12" t="n"/>
      <c r="CV277" s="12" t="n"/>
      <c r="CW277" s="12" t="n"/>
      <c r="CX277" s="12" t="n"/>
      <c r="CY277" s="12" t="n"/>
    </row>
    <row r="278">
      <c r="C278" s="10" t="inlineStr">
        <is>
          <t xml:space="preserve">Changes in working capital </t>
        </is>
      </c>
      <c r="D278" s="12" t="n"/>
      <c r="E278" s="12" t="n"/>
      <c r="F278" s="12" t="n"/>
      <c r="G278" s="12" t="n"/>
      <c r="H278" s="12" t="n"/>
      <c r="I278" s="12">
        <f>SUM(I279:I288)</f>
        <v>-2644.365</v>
      </c>
      <c r="J278" s="12">
        <f>SUM(J279:J288)</f>
        <v>-545.779</v>
      </c>
      <c r="K278" s="12">
        <f>SUM(K279:K288)</f>
        <v>547.841</v>
      </c>
      <c r="L278" s="12">
        <f>SUM(L279:L288)</f>
        <v>298.176</v>
      </c>
      <c r="M278" s="12">
        <f>SUM(I278:L278)</f>
        <v>-2344.127</v>
      </c>
      <c r="N278" s="12">
        <f>SUM(N279:N288)</f>
        <v>251.654</v>
      </c>
      <c r="O278" s="12">
        <f>SUM(O279:O288)</f>
        <v>-106.26</v>
      </c>
      <c r="P278" s="12">
        <f>SUM(P279:P288)</f>
        <v>-49.4829999999997</v>
      </c>
      <c r="Q278" s="12">
        <f>SUM(Q279:Q288)</f>
        <v>843.659</v>
      </c>
      <c r="R278" s="12">
        <f>SUM(N278:Q278)</f>
        <v>939.57</v>
      </c>
      <c r="S278" s="12">
        <f>SUM(S279:S288)</f>
        <v>-602.729</v>
      </c>
      <c r="T278" s="12">
        <f>SUM(T279:T288)</f>
        <v>253.885</v>
      </c>
      <c r="U278" s="12">
        <f>SUM(U279:U288)</f>
        <v>585.165</v>
      </c>
      <c r="V278" s="12">
        <f>SUM(V279:V288)</f>
        <v>-529.947</v>
      </c>
      <c r="W278" s="12">
        <f>SUM(S278:V278)</f>
        <v>-293.626</v>
      </c>
      <c r="X278" s="12">
        <f>SUM(X279:X288)</f>
        <v>-128.792</v>
      </c>
      <c r="Y278" s="12">
        <f>SUM(Y279:Y288)</f>
        <v>-172.443</v>
      </c>
      <c r="Z278" s="12">
        <f>SUM(Z279:Z288)</f>
        <v>19.6470000000001</v>
      </c>
      <c r="AA278" s="12">
        <f>SUM(AA279:AA288)</f>
        <v>1720.505</v>
      </c>
      <c r="AB278" s="12">
        <f>SUM(X278:AA278)</f>
        <v>1438.917</v>
      </c>
      <c r="AC278" s="12">
        <f>SUM(AC279:AC288)</f>
        <v>-108.056</v>
      </c>
      <c r="AD278" s="12">
        <f>SUM(AD279:AD288)</f>
        <v>38.6110000000001</v>
      </c>
      <c r="AE278" s="12">
        <f>SUM(AE279:AE288)</f>
        <v>312.148</v>
      </c>
      <c r="AF278" s="12">
        <f>SUM(AF279:AF288)</f>
        <v>-272.458</v>
      </c>
      <c r="AG278" s="12">
        <f>SUM(AC278:AF278)</f>
        <v>-29.7550000000003</v>
      </c>
      <c r="AH278" s="12">
        <f>SUM(AH279:AH288)</f>
        <v>127.068</v>
      </c>
      <c r="AI278" s="12">
        <f>SUM(AI279:AI288)</f>
        <v>164.657</v>
      </c>
      <c r="AJ278" s="12">
        <f>SUM(AJ279:AJ288)</f>
        <v>-21.3569627421758</v>
      </c>
      <c r="AK278" s="12">
        <f>SUM(AK279:AK288)</f>
        <v>26.0995738261471</v>
      </c>
      <c r="AL278" s="12">
        <f>SUM(AH278:AK278)</f>
        <v>296.467611083971</v>
      </c>
      <c r="AM278" s="12">
        <f>SUM(AM279:AM288)</f>
        <v>123.659261145046</v>
      </c>
      <c r="AN278" s="12">
        <f>SUM(AN279:AN288)</f>
        <v>73.2878582124606</v>
      </c>
      <c r="AO278" s="12">
        <f>SUM(AO279:AO288)</f>
        <v>-15.899464113995</v>
      </c>
      <c r="AP278" s="12">
        <f>SUM(AP279:AP288)</f>
        <v>59.729994061964</v>
      </c>
      <c r="AQ278" s="12">
        <f>SUM(AM278:AP278)</f>
        <v>240.777649305475</v>
      </c>
      <c r="AR278" s="12">
        <f>SUM(AR279:AR288)</f>
        <v>177.652922402297</v>
      </c>
      <c r="AS278" s="12">
        <f>SUM(AS279:AS288)</f>
        <v>114.684832440104</v>
      </c>
      <c r="AT278" s="12">
        <f>SUM(AT279:AT288)</f>
        <v>21.3420887837896</v>
      </c>
      <c r="AU278" s="12">
        <f>SUM(AU279:AU288)</f>
        <v>112.673872998971</v>
      </c>
      <c r="AV278" s="12">
        <f>SUM(AR278:AU278)</f>
        <v>426.353716625161</v>
      </c>
      <c r="AW278" s="12">
        <f>SUM(AW279:AW288)</f>
        <v>248.314359112939</v>
      </c>
      <c r="AX278" s="12">
        <f>SUM(AX279:AX288)</f>
        <v>189.474620562421</v>
      </c>
      <c r="AY278" s="12">
        <f>SUM(AY279:AY288)</f>
        <v>85.9348334731745</v>
      </c>
      <c r="AZ278" s="12">
        <f>SUM(AZ279:AZ288)</f>
        <v>197.241309537496</v>
      </c>
      <c r="BA278" s="12">
        <f>SUM(AW278:AZ278)</f>
        <v>720.965122686031</v>
      </c>
      <c r="BB278" s="12">
        <f>SUM(BB279:BB288)</f>
        <v>358.635127735993</v>
      </c>
      <c r="BC278" s="12">
        <f>SUM(BC279:BC288)</f>
        <v>298.642297345533</v>
      </c>
      <c r="BD278" s="12">
        <f>SUM(BD279:BD288)</f>
        <v>191.587273365423</v>
      </c>
      <c r="BE278" s="12">
        <f>SUM(BE279:BE288)</f>
        <v>328.528840984811</v>
      </c>
      <c r="BF278" s="12">
        <f>SUM(BB278:BE278)</f>
        <v>1177.39353943176</v>
      </c>
      <c r="BG278" s="12" t="n"/>
      <c r="BH278" s="12" t="n"/>
      <c r="BI278" s="12" t="n"/>
      <c r="BJ278" s="12" t="n"/>
      <c r="BK278" s="12" t="n"/>
      <c r="BL278" s="12" t="n"/>
      <c r="BM278" s="12" t="n"/>
      <c r="BN278" s="12" t="n"/>
      <c r="BO278" s="12" t="n"/>
      <c r="BP278" s="12" t="n"/>
      <c r="BQ278" s="12" t="n"/>
      <c r="BR278" s="12" t="n"/>
      <c r="BS278" s="12" t="n"/>
      <c r="BT278" s="12" t="n"/>
      <c r="BU278" s="12" t="n"/>
      <c r="BV278" s="12" t="n"/>
      <c r="BW278" s="12" t="n"/>
      <c r="BX278" s="12" t="n"/>
      <c r="BY278" s="12" t="n"/>
      <c r="BZ278" s="12" t="n"/>
      <c r="CA278" s="12" t="n"/>
      <c r="CB278" s="12" t="n"/>
      <c r="CC278" s="12" t="n"/>
      <c r="CD278" s="12" t="n"/>
      <c r="CE278" s="12" t="n"/>
      <c r="CF278" s="12" t="n"/>
      <c r="CG278" s="12" t="n"/>
      <c r="CH278" s="12" t="n"/>
      <c r="CI278" s="12" t="n"/>
      <c r="CJ278" s="12" t="n"/>
      <c r="CK278" s="12" t="n"/>
      <c r="CL278" s="12" t="n"/>
      <c r="CM278" s="12" t="n"/>
      <c r="CN278" s="12" t="n"/>
      <c r="CO278" s="12" t="n"/>
      <c r="CP278" s="12" t="n"/>
      <c r="CQ278" s="12" t="n"/>
      <c r="CR278" s="12" t="n"/>
      <c r="CS278" s="12" t="n"/>
      <c r="CT278" s="12" t="n"/>
      <c r="CU278" s="12" t="n"/>
      <c r="CV278" s="12" t="n"/>
      <c r="CW278" s="12" t="n"/>
      <c r="CX278" s="12" t="n"/>
      <c r="CY278" s="12" t="n"/>
    </row>
    <row r="279" hidden="1" outlineLevel="1">
      <c r="C279" s="10" t="inlineStr">
        <is>
          <t>Accounts receivable</t>
        </is>
      </c>
      <c r="D279" s="12" t="n"/>
      <c r="E279" s="12" t="n"/>
      <c r="F279" s="12" t="n"/>
      <c r="G279" s="12" t="n"/>
      <c r="H279" s="12" t="n"/>
      <c r="I279" s="12">
        <f>(I144-H144)*-1</f>
        <v>-382.854</v>
      </c>
      <c r="J279" s="12">
        <f>(J144-I144)*-1</f>
        <v>57.147</v>
      </c>
      <c r="K279" s="12">
        <f>(K144-J144)*-1</f>
        <v>-4.55099999999999</v>
      </c>
      <c r="L279" s="12">
        <f>(L144-K144)*-1</f>
        <v>1.62700000000001</v>
      </c>
      <c r="M279" s="12">
        <f>SUM(I279:L279)</f>
        <v>-328.631</v>
      </c>
      <c r="N279" s="12">
        <f>(N144-M144)*-1</f>
        <v>-227.404</v>
      </c>
      <c r="O279" s="12">
        <f>(O144-N144)*-1</f>
        <v>6.40099999999995</v>
      </c>
      <c r="P279" s="12">
        <f>(P144-O144)*-1</f>
        <v>-76.282</v>
      </c>
      <c r="Q279" s="12">
        <f>(Q144-P144)*-1</f>
        <v>8.05600000000004</v>
      </c>
      <c r="R279" s="12">
        <f>SUM(N279:Q279)</f>
        <v>-289.229</v>
      </c>
      <c r="S279" s="12">
        <f>(S144-R144)*-1</f>
        <v>40.586</v>
      </c>
      <c r="T279" s="12">
        <f>(T144-S144)*-1</f>
        <v>7.54300000000001</v>
      </c>
      <c r="U279" s="12">
        <f>(U144-T144)*-1</f>
        <v>-87.052</v>
      </c>
      <c r="V279" s="12">
        <f>(V144-U144)*-1</f>
        <v>-22.693</v>
      </c>
      <c r="W279" s="12">
        <f>SUM(S279:V279)</f>
        <v>-61.616</v>
      </c>
      <c r="X279" s="12">
        <f>(X144-W144)*-1</f>
        <v>110.224</v>
      </c>
      <c r="Y279" s="12">
        <f>(Y144-X144)*-1</f>
        <v>-5.80799999999999</v>
      </c>
      <c r="Z279" s="12">
        <f>(Z144-Y144)*-1</f>
        <v>-344.136</v>
      </c>
      <c r="AA279" s="12">
        <f>(AA144-Z144)*-1</f>
        <v>-573.671</v>
      </c>
      <c r="AB279" s="12">
        <f>SUM(X279:AA279)</f>
        <v>-813.391</v>
      </c>
      <c r="AC279" s="12">
        <f>(AC144-AB144)*-1</f>
        <v>88.308</v>
      </c>
      <c r="AD279" s="12">
        <f>(AD144-AC144)*-1</f>
        <v>174.775</v>
      </c>
      <c r="AE279" s="12">
        <f>(AE144-AD144)*-1</f>
        <v>-313.388</v>
      </c>
      <c r="AF279" s="12">
        <f>(AF144-AE144)*-1</f>
        <v>-169.242</v>
      </c>
      <c r="AG279" s="12">
        <f>SUM(AC279:AF279)</f>
        <v>-219.547</v>
      </c>
      <c r="AH279" s="12">
        <f>(AH144-AG144)*-1</f>
        <v>75.079</v>
      </c>
      <c r="AI279" s="12">
        <f>(AI144-AH144)*-1</f>
        <v>228.636</v>
      </c>
      <c r="AJ279" s="12">
        <f>(AJ144-AI144)*-1</f>
        <v>-448.581789708791</v>
      </c>
      <c r="AK279" s="12">
        <f>(AK144-AJ144)*-1</f>
        <v>-138.78869748638</v>
      </c>
      <c r="AL279" s="12">
        <f>SUM(AH279:AK279)</f>
        <v>-283.65548719517</v>
      </c>
      <c r="AM279" s="12">
        <f>(AM144-AL144)*-1</f>
        <v>345.935309722963</v>
      </c>
      <c r="AN279" s="12">
        <f>(AN144-AM144)*-1</f>
        <v>28.2378845622525</v>
      </c>
      <c r="AO279" s="12">
        <f>(AO144-AN144)*-1</f>
        <v>-505.213548362188</v>
      </c>
      <c r="AP279" s="12">
        <f>(AP144-AO144)*-1</f>
        <v>-158.952165938737</v>
      </c>
      <c r="AQ279" s="12">
        <f>SUM(AM279:AP279)</f>
        <v>-289.99252001571</v>
      </c>
      <c r="AR279" s="12">
        <f>(AR144-AQ144)*-1</f>
        <v>425.121196884798</v>
      </c>
      <c r="AS279" s="12">
        <f>(AS144-AR144)*-1</f>
        <v>11.5220250429311</v>
      </c>
      <c r="AT279" s="12">
        <f>(AT144-AS144)*-1</f>
        <v>-576.085802159523</v>
      </c>
      <c r="AU279" s="12">
        <f>(AU144-AT144)*-1</f>
        <v>-181.250258067435</v>
      </c>
      <c r="AV279" s="12">
        <f>SUM(AR279:AU279)</f>
        <v>-320.692838299229</v>
      </c>
      <c r="AW279" s="12">
        <f>(AW144-AV144)*-1</f>
        <v>470.588299783298</v>
      </c>
      <c r="AX279" s="12">
        <f>(AX144-AW144)*-1</f>
        <v>36.5551026986077</v>
      </c>
      <c r="AY279" s="12">
        <f>(AY144-AX144)*-1</f>
        <v>-654.019712574202</v>
      </c>
      <c r="AZ279" s="12">
        <f>(AZ144-AY144)*-1</f>
        <v>-205.770114869865</v>
      </c>
      <c r="BA279" s="12">
        <f>SUM(AW279:AZ279)</f>
        <v>-352.646424962161</v>
      </c>
      <c r="BB279" s="12">
        <f>(BB144-BA144)*-1</f>
        <v>544.931153447057</v>
      </c>
      <c r="BC279" s="12">
        <f>(BC144-BB144)*-1</f>
        <v>41.317566398151</v>
      </c>
      <c r="BD279" s="12">
        <f>(BD144-BC144)*-1</f>
        <v>-739.226562233495</v>
      </c>
      <c r="BE279" s="12">
        <f>(BE144-BD144)*-1</f>
        <v>-232.578210872175</v>
      </c>
      <c r="BF279" s="12">
        <f>SUM(BB279:BE279)</f>
        <v>-385.556053260462</v>
      </c>
      <c r="BG279" s="12" t="n"/>
      <c r="BH279" s="12" t="n"/>
      <c r="BI279" s="12" t="n"/>
      <c r="BJ279" s="12" t="n"/>
      <c r="BK279" s="12" t="n"/>
      <c r="BL279" s="12" t="n"/>
      <c r="BM279" s="12" t="n"/>
      <c r="BN279" s="12" t="n"/>
      <c r="BO279" s="12" t="n"/>
      <c r="BP279" s="12" t="n"/>
      <c r="BQ279" s="12" t="n"/>
      <c r="BR279" s="12" t="n"/>
      <c r="BS279" s="12" t="n"/>
      <c r="BT279" s="12" t="n"/>
      <c r="BU279" s="12" t="n"/>
      <c r="BV279" s="12" t="n"/>
      <c r="BW279" s="12" t="n"/>
      <c r="BX279" s="12" t="n"/>
      <c r="BY279" s="12" t="n"/>
      <c r="BZ279" s="12" t="n"/>
      <c r="CA279" s="12" t="n"/>
      <c r="CB279" s="12" t="n"/>
      <c r="CC279" s="12" t="n"/>
      <c r="CD279" s="12" t="n"/>
      <c r="CE279" s="12" t="n"/>
      <c r="CF279" s="12" t="n"/>
      <c r="CG279" s="12" t="n"/>
      <c r="CH279" s="12" t="n"/>
      <c r="CI279" s="12" t="n"/>
      <c r="CJ279" s="12" t="n"/>
      <c r="CK279" s="12" t="n"/>
      <c r="CL279" s="12" t="n"/>
      <c r="CM279" s="12" t="n"/>
      <c r="CN279" s="12" t="n"/>
      <c r="CO279" s="12" t="n"/>
      <c r="CP279" s="12" t="n"/>
      <c r="CQ279" s="12" t="n"/>
      <c r="CR279" s="12" t="n"/>
      <c r="CS279" s="12" t="n"/>
      <c r="CT279" s="12" t="n"/>
      <c r="CU279" s="12" t="n"/>
      <c r="CV279" s="12" t="n"/>
      <c r="CW279" s="12" t="n"/>
      <c r="CX279" s="12" t="n"/>
      <c r="CY279" s="12" t="n"/>
    </row>
    <row r="280" hidden="1" outlineLevel="1">
      <c r="C280" s="10" t="inlineStr">
        <is>
          <t>Inventories</t>
        </is>
      </c>
      <c r="D280" s="12" t="n"/>
      <c r="E280" s="12" t="n"/>
      <c r="F280" s="12" t="n"/>
      <c r="G280" s="12" t="n"/>
      <c r="H280" s="12" t="n"/>
      <c r="I280" s="12">
        <f>(I148-H148)*-1</f>
        <v>0</v>
      </c>
      <c r="J280" s="12">
        <f>(J148-I148)*-1</f>
        <v>0</v>
      </c>
      <c r="K280" s="12">
        <f>(K148-J148)*-1</f>
        <v>0</v>
      </c>
      <c r="L280" s="12">
        <f>(L148-K148)*-1</f>
        <v>0</v>
      </c>
      <c r="M280" s="12">
        <f>SUM(I280:L280)</f>
        <v>0</v>
      </c>
      <c r="N280" s="12">
        <f>(N148-M148)*-1</f>
        <v>0</v>
      </c>
      <c r="O280" s="12">
        <f>(O148-N148)*-1</f>
        <v>0</v>
      </c>
      <c r="P280" s="12">
        <f>(P148-O148)*-1</f>
        <v>0</v>
      </c>
      <c r="Q280" s="12">
        <f>(Q148-P148)*-1</f>
        <v>0</v>
      </c>
      <c r="R280" s="12">
        <f>SUM(N280:Q280)</f>
        <v>0</v>
      </c>
      <c r="S280" s="12">
        <f>(S148-R148)*-1</f>
        <v>0</v>
      </c>
      <c r="T280" s="12">
        <f>(T148-S148)*-1</f>
        <v>0</v>
      </c>
      <c r="U280" s="12">
        <f>(U148-T148)*-1</f>
        <v>0</v>
      </c>
      <c r="V280" s="12">
        <f>(V148-U148)*-1</f>
        <v>0</v>
      </c>
      <c r="W280" s="12">
        <f>SUM(S280:V280)</f>
        <v>0</v>
      </c>
      <c r="X280" s="12">
        <f>(X148-W148)*-1</f>
        <v>0</v>
      </c>
      <c r="Y280" s="12">
        <f>(Y148-X148)*-1</f>
        <v>0</v>
      </c>
      <c r="Z280" s="12">
        <f>(Z148-Y148)*-1</f>
        <v>0</v>
      </c>
      <c r="AA280" s="12">
        <f>(AA148-Z148)*-1</f>
        <v>0</v>
      </c>
      <c r="AB280" s="12">
        <f>SUM(X280:AA280)</f>
        <v>0</v>
      </c>
      <c r="AC280" s="12">
        <f>(AC148-AB148)*-1</f>
        <v>0</v>
      </c>
      <c r="AD280" s="12">
        <f>(AD148-AC148)*-1</f>
        <v>0</v>
      </c>
      <c r="AE280" s="12">
        <f>(AE148-AD148)*-1</f>
        <v>0</v>
      </c>
      <c r="AF280" s="12">
        <f>(AF148-AE148)*-1</f>
        <v>0</v>
      </c>
      <c r="AG280" s="12">
        <f>SUM(AC280:AF280)</f>
        <v>0</v>
      </c>
      <c r="AH280" s="12">
        <f>(AH148-AG148)*-1</f>
        <v>0</v>
      </c>
      <c r="AI280" s="12">
        <f>(AI148-AH148)*-1</f>
        <v>0</v>
      </c>
      <c r="AJ280" s="12">
        <f>(AJ148-AI148)*-1</f>
        <v>0</v>
      </c>
      <c r="AK280" s="12">
        <f>(AK148-AJ148)*-1</f>
        <v>0</v>
      </c>
      <c r="AL280" s="12">
        <f>SUM(AH280:AK280)</f>
        <v>0</v>
      </c>
      <c r="AM280" s="12">
        <f>(AM148-AL148)*-1</f>
        <v>0</v>
      </c>
      <c r="AN280" s="12">
        <f>(AN148-AM148)*-1</f>
        <v>0</v>
      </c>
      <c r="AO280" s="12">
        <f>(AO148-AN148)*-1</f>
        <v>0</v>
      </c>
      <c r="AP280" s="12">
        <f>(AP148-AO148)*-1</f>
        <v>0</v>
      </c>
      <c r="AQ280" s="12">
        <f>SUM(AM280:AP280)</f>
        <v>0</v>
      </c>
      <c r="AR280" s="12">
        <f>(AR148-AQ148)*-1</f>
        <v>0</v>
      </c>
      <c r="AS280" s="12">
        <f>(AS148-AR148)*-1</f>
        <v>0</v>
      </c>
      <c r="AT280" s="12">
        <f>(AT148-AS148)*-1</f>
        <v>0</v>
      </c>
      <c r="AU280" s="12">
        <f>(AU148-AT148)*-1</f>
        <v>0</v>
      </c>
      <c r="AV280" s="12">
        <f>SUM(AR280:AU280)</f>
        <v>0</v>
      </c>
      <c r="AW280" s="12">
        <f>(AW148-AV148)*-1</f>
        <v>0</v>
      </c>
      <c r="AX280" s="12">
        <f>(AX148-AW148)*-1</f>
        <v>0</v>
      </c>
      <c r="AY280" s="12">
        <f>(AY148-AX148)*-1</f>
        <v>0</v>
      </c>
      <c r="AZ280" s="12">
        <f>(AZ148-AY148)*-1</f>
        <v>0</v>
      </c>
      <c r="BA280" s="12">
        <f>SUM(AW280:AZ280)</f>
        <v>0</v>
      </c>
      <c r="BB280" s="12">
        <f>(BB148-BA148)*-1</f>
        <v>0</v>
      </c>
      <c r="BC280" s="12">
        <f>(BC148-BB148)*-1</f>
        <v>0</v>
      </c>
      <c r="BD280" s="12">
        <f>(BD148-BC148)*-1</f>
        <v>0</v>
      </c>
      <c r="BE280" s="12">
        <f>(BE148-BD148)*-1</f>
        <v>0</v>
      </c>
      <c r="BF280" s="12">
        <f>SUM(BB280:BE280)</f>
        <v>0</v>
      </c>
      <c r="BG280" s="12" t="n"/>
      <c r="BH280" s="12" t="n"/>
      <c r="BI280" s="12" t="n"/>
      <c r="BJ280" s="12" t="n"/>
      <c r="BK280" s="12" t="n"/>
      <c r="BL280" s="12" t="n"/>
      <c r="BM280" s="12" t="n"/>
      <c r="BN280" s="12" t="n"/>
      <c r="BO280" s="12" t="n"/>
      <c r="BP280" s="12" t="n"/>
      <c r="BQ280" s="12" t="n"/>
      <c r="BR280" s="12" t="n"/>
      <c r="BS280" s="12" t="n"/>
      <c r="BT280" s="12" t="n"/>
      <c r="BU280" s="12" t="n"/>
      <c r="BV280" s="12" t="n"/>
      <c r="BW280" s="12" t="n"/>
      <c r="BX280" s="12" t="n"/>
      <c r="BY280" s="12" t="n"/>
      <c r="BZ280" s="12" t="n"/>
      <c r="CA280" s="12" t="n"/>
      <c r="CB280" s="12" t="n"/>
      <c r="CC280" s="12" t="n"/>
      <c r="CD280" s="12" t="n"/>
      <c r="CE280" s="12" t="n"/>
      <c r="CF280" s="12" t="n"/>
      <c r="CG280" s="12" t="n"/>
      <c r="CH280" s="12" t="n"/>
      <c r="CI280" s="12" t="n"/>
      <c r="CJ280" s="12" t="n"/>
      <c r="CK280" s="12" t="n"/>
      <c r="CL280" s="12" t="n"/>
      <c r="CM280" s="12" t="n"/>
      <c r="CN280" s="12" t="n"/>
      <c r="CO280" s="12" t="n"/>
      <c r="CP280" s="12" t="n"/>
      <c r="CQ280" s="12" t="n"/>
      <c r="CR280" s="12" t="n"/>
      <c r="CS280" s="12" t="n"/>
      <c r="CT280" s="12" t="n"/>
      <c r="CU280" s="12" t="n"/>
      <c r="CV280" s="12" t="n"/>
      <c r="CW280" s="12" t="n"/>
      <c r="CX280" s="12" t="n"/>
      <c r="CY280" s="12" t="n"/>
    </row>
    <row r="281" hidden="1" outlineLevel="1">
      <c r="C281" s="10" t="inlineStr">
        <is>
          <t>Deferred income taxes</t>
        </is>
      </c>
      <c r="D281" s="12" t="n"/>
      <c r="E281" s="12" t="n"/>
      <c r="F281" s="12" t="n"/>
      <c r="G281" s="12" t="n"/>
      <c r="H281" s="12" t="n"/>
      <c r="I281" s="12">
        <f>(I152-H152)*-1</f>
        <v>-3908.905</v>
      </c>
      <c r="J281" s="12">
        <f>(J152-I152)*-1</f>
        <v>0.713000000000193</v>
      </c>
      <c r="K281" s="12">
        <f>(K152-J152)*-1</f>
        <v>463.197</v>
      </c>
      <c r="L281" s="12">
        <f>(L152-K152)*-1</f>
        <v>36.1019999999999</v>
      </c>
      <c r="M281" s="12">
        <f>SUM(I281:L281)</f>
        <v>-3408.893</v>
      </c>
      <c r="N281" s="12">
        <f>(N152-M152)*-1</f>
        <v>-7.91499999999996</v>
      </c>
      <c r="O281" s="12">
        <f>(O152-N152)*-1</f>
        <v>-14.069</v>
      </c>
      <c r="P281" s="12">
        <f>(P152-O152)*-1</f>
        <v>60.0509999999999</v>
      </c>
      <c r="Q281" s="12">
        <f>(Q152-P152)*-1</f>
        <v>370.002</v>
      </c>
      <c r="R281" s="12">
        <f>SUM(N281:Q281)</f>
        <v>408.069</v>
      </c>
      <c r="S281" s="12">
        <f>(S152-R152)*-1</f>
        <v>8.78700000000026</v>
      </c>
      <c r="T281" s="12">
        <f>(T152-S152)*-1</f>
        <v>69.2709999999997</v>
      </c>
      <c r="U281" s="12">
        <f>(U152-T152)*-1</f>
        <v>321.57</v>
      </c>
      <c r="V281" s="12">
        <f>(V152-U152)*-1</f>
        <v>-97.5860000000002</v>
      </c>
      <c r="W281" s="12">
        <f>SUM(S281:V281)</f>
        <v>302.042</v>
      </c>
      <c r="X281" s="12">
        <f>(X152-W152)*-1</f>
        <v>1.45000000000027</v>
      </c>
      <c r="Y281" s="12">
        <f>(Y152-X152)*-1</f>
        <v>36.7779999999998</v>
      </c>
      <c r="Z281" s="12">
        <f>(Z152-Y152)*-1</f>
        <v>17.6820000000002</v>
      </c>
      <c r="AA281" s="12">
        <f>(AA152-Z152)*-1</f>
        <v>470.769</v>
      </c>
      <c r="AB281" s="12">
        <f>SUM(X281:AA281)</f>
        <v>526.679</v>
      </c>
      <c r="AC281" s="12">
        <f>(AC152-AB152)*-1</f>
        <v>42.9070000000002</v>
      </c>
      <c r="AD281" s="12">
        <f>(AD152-AC152)*-1</f>
        <v>165.109</v>
      </c>
      <c r="AE281" s="12">
        <f>(AE152-AD152)*-1</f>
        <v>-31.1099999999999</v>
      </c>
      <c r="AF281" s="12">
        <f>(AF152-AE152)*-1</f>
        <v>52.472</v>
      </c>
      <c r="AG281" s="12">
        <f>SUM(AC281:AF281)</f>
        <v>229.378</v>
      </c>
      <c r="AH281" s="12">
        <f>(AH152-AG152)*-1</f>
        <v>-13.4010000000001</v>
      </c>
      <c r="AI281" s="12">
        <f>(AI152-AH152)*-1</f>
        <v>-41.7550000000001</v>
      </c>
      <c r="AJ281" s="12">
        <f>(AJ152-AI152)*-1</f>
        <v>0</v>
      </c>
      <c r="AK281" s="12">
        <f>(AK152-AJ152)*-1</f>
        <v>0</v>
      </c>
      <c r="AL281" s="12">
        <f>SUM(AH281:AK281)</f>
        <v>-55.1560000000002</v>
      </c>
      <c r="AM281" s="12">
        <f>(AM152-AL152)*-1</f>
        <v>0</v>
      </c>
      <c r="AN281" s="12">
        <f>(AN152-AM152)*-1</f>
        <v>0</v>
      </c>
      <c r="AO281" s="12">
        <f>(AO152-AN152)*-1</f>
        <v>0</v>
      </c>
      <c r="AP281" s="12">
        <f>(AP152-AO152)*-1</f>
        <v>0</v>
      </c>
      <c r="AQ281" s="12">
        <f>SUM(AM281:AP281)</f>
        <v>0</v>
      </c>
      <c r="AR281" s="12">
        <f>(AR152-AQ152)*-1</f>
        <v>0</v>
      </c>
      <c r="AS281" s="12">
        <f>(AS152-AR152)*-1</f>
        <v>0</v>
      </c>
      <c r="AT281" s="12">
        <f>(AT152-AS152)*-1</f>
        <v>0</v>
      </c>
      <c r="AU281" s="12">
        <f>(AU152-AT152)*-1</f>
        <v>0</v>
      </c>
      <c r="AV281" s="12">
        <f>SUM(AR281:AU281)</f>
        <v>0</v>
      </c>
      <c r="AW281" s="12">
        <f>(AW152-AV152)*-1</f>
        <v>0</v>
      </c>
      <c r="AX281" s="12">
        <f>(AX152-AW152)*-1</f>
        <v>0</v>
      </c>
      <c r="AY281" s="12">
        <f>(AY152-AX152)*-1</f>
        <v>0</v>
      </c>
      <c r="AZ281" s="12">
        <f>(AZ152-AY152)*-1</f>
        <v>0</v>
      </c>
      <c r="BA281" s="12">
        <f>SUM(AW281:AZ281)</f>
        <v>0</v>
      </c>
      <c r="BB281" s="12">
        <f>(BB152-BA152)*-1</f>
        <v>0</v>
      </c>
      <c r="BC281" s="12">
        <f>(BC152-BB152)*-1</f>
        <v>0</v>
      </c>
      <c r="BD281" s="12">
        <f>(BD152-BC152)*-1</f>
        <v>0</v>
      </c>
      <c r="BE281" s="12">
        <f>(BE152-BD152)*-1</f>
        <v>0</v>
      </c>
      <c r="BF281" s="12">
        <f>SUM(BB281:BE281)</f>
        <v>0</v>
      </c>
      <c r="BG281" s="12" t="n"/>
      <c r="BH281" s="12" t="n"/>
      <c r="BI281" s="12" t="n"/>
      <c r="BJ281" s="12" t="n"/>
      <c r="BK281" s="12" t="n"/>
      <c r="BL281" s="12" t="n"/>
      <c r="BM281" s="12" t="n"/>
      <c r="BN281" s="12" t="n"/>
      <c r="BO281" s="12" t="n"/>
      <c r="BP281" s="12" t="n"/>
      <c r="BQ281" s="12" t="n"/>
      <c r="BR281" s="12" t="n"/>
      <c r="BS281" s="12" t="n"/>
      <c r="BT281" s="12" t="n"/>
      <c r="BU281" s="12" t="n"/>
      <c r="BV281" s="12" t="n"/>
      <c r="BW281" s="12" t="n"/>
      <c r="BX281" s="12" t="n"/>
      <c r="BY281" s="12" t="n"/>
      <c r="BZ281" s="12" t="n"/>
      <c r="CA281" s="12" t="n"/>
      <c r="CB281" s="12" t="n"/>
      <c r="CC281" s="12" t="n"/>
      <c r="CD281" s="12" t="n"/>
      <c r="CE281" s="12" t="n"/>
      <c r="CF281" s="12" t="n"/>
      <c r="CG281" s="12" t="n"/>
      <c r="CH281" s="12" t="n"/>
      <c r="CI281" s="12" t="n"/>
      <c r="CJ281" s="12" t="n"/>
      <c r="CK281" s="12" t="n"/>
      <c r="CL281" s="12" t="n"/>
      <c r="CM281" s="12" t="n"/>
      <c r="CN281" s="12" t="n"/>
      <c r="CO281" s="12" t="n"/>
      <c r="CP281" s="12" t="n"/>
      <c r="CQ281" s="12" t="n"/>
      <c r="CR281" s="12" t="n"/>
      <c r="CS281" s="12" t="n"/>
      <c r="CT281" s="12" t="n"/>
      <c r="CU281" s="12" t="n"/>
      <c r="CV281" s="12" t="n"/>
      <c r="CW281" s="12" t="n"/>
      <c r="CX281" s="12" t="n"/>
      <c r="CY281" s="12" t="n"/>
    </row>
    <row r="282" hidden="1" outlineLevel="1">
      <c r="C282" s="10" t="inlineStr">
        <is>
          <t>Prepaid expenses</t>
        </is>
      </c>
      <c r="D282" s="12" t="n"/>
      <c r="E282" s="12" t="n"/>
      <c r="F282" s="12" t="n"/>
      <c r="G282" s="12" t="n"/>
      <c r="H282" s="12" t="n"/>
      <c r="I282" s="12">
        <f>(I153-H153)*-1</f>
        <v>0</v>
      </c>
      <c r="J282" s="12">
        <f>(J153-I153)*-1</f>
        <v>0</v>
      </c>
      <c r="K282" s="12">
        <f>(K153-J153)*-1</f>
        <v>0</v>
      </c>
      <c r="L282" s="12">
        <f>(L153-K153)*-1</f>
        <v>0</v>
      </c>
      <c r="M282" s="12">
        <f>SUM(I282:L282)</f>
        <v>0</v>
      </c>
      <c r="N282" s="12">
        <f>(N153-M153)*-1</f>
        <v>0</v>
      </c>
      <c r="O282" s="12">
        <f>(O153-N153)*-1</f>
        <v>0</v>
      </c>
      <c r="P282" s="12">
        <f>(P153-O153)*-1</f>
        <v>0</v>
      </c>
      <c r="Q282" s="12">
        <f>(Q153-P153)*-1</f>
        <v>0</v>
      </c>
      <c r="R282" s="12">
        <f>SUM(N282:Q282)</f>
        <v>0</v>
      </c>
      <c r="S282" s="12">
        <f>(S153-R153)*-1</f>
        <v>0</v>
      </c>
      <c r="T282" s="12">
        <f>(T153-S153)*-1</f>
        <v>0</v>
      </c>
      <c r="U282" s="12">
        <f>(U153-T153)*-1</f>
        <v>0</v>
      </c>
      <c r="V282" s="12">
        <f>(V153-U153)*-1</f>
        <v>0</v>
      </c>
      <c r="W282" s="12">
        <f>SUM(S282:V282)</f>
        <v>0</v>
      </c>
      <c r="X282" s="12">
        <f>(X153-W153)*-1</f>
        <v>0</v>
      </c>
      <c r="Y282" s="12">
        <f>(Y153-X153)*-1</f>
        <v>0</v>
      </c>
      <c r="Z282" s="12">
        <f>(Z153-Y153)*-1</f>
        <v>0</v>
      </c>
      <c r="AA282" s="12">
        <f>(AA153-Z153)*-1</f>
        <v>0</v>
      </c>
      <c r="AB282" s="12">
        <f>SUM(X282:AA282)</f>
        <v>0</v>
      </c>
      <c r="AC282" s="12">
        <f>(AC153-AB153)*-1</f>
        <v>0</v>
      </c>
      <c r="AD282" s="12">
        <f>(AD153-AC153)*-1</f>
        <v>0</v>
      </c>
      <c r="AE282" s="12">
        <f>(AE153-AD153)*-1</f>
        <v>0</v>
      </c>
      <c r="AF282" s="12">
        <f>(AF153-AE153)*-1</f>
        <v>0</v>
      </c>
      <c r="AG282" s="12">
        <f>SUM(AC282:AF282)</f>
        <v>0</v>
      </c>
      <c r="AH282" s="12">
        <f>(AH153-AG153)*-1</f>
        <v>0</v>
      </c>
      <c r="AI282" s="12">
        <f>(AI153-AH153)*-1</f>
        <v>0</v>
      </c>
      <c r="AJ282" s="12">
        <f>(AJ153-AI153)*-1</f>
        <v>0</v>
      </c>
      <c r="AK282" s="12">
        <f>(AK153-AJ153)*-1</f>
        <v>0</v>
      </c>
      <c r="AL282" s="12">
        <f>SUM(AH282:AK282)</f>
        <v>0</v>
      </c>
      <c r="AM282" s="12">
        <f>(AM153-AL153)*-1</f>
        <v>0</v>
      </c>
      <c r="AN282" s="12">
        <f>(AN153-AM153)*-1</f>
        <v>0</v>
      </c>
      <c r="AO282" s="12">
        <f>(AO153-AN153)*-1</f>
        <v>0</v>
      </c>
      <c r="AP282" s="12">
        <f>(AP153-AO153)*-1</f>
        <v>0</v>
      </c>
      <c r="AQ282" s="12">
        <f>SUM(AM282:AP282)</f>
        <v>0</v>
      </c>
      <c r="AR282" s="12">
        <f>(AR153-AQ153)*-1</f>
        <v>0</v>
      </c>
      <c r="AS282" s="12">
        <f>(AS153-AR153)*-1</f>
        <v>0</v>
      </c>
      <c r="AT282" s="12">
        <f>(AT153-AS153)*-1</f>
        <v>0</v>
      </c>
      <c r="AU282" s="12">
        <f>(AU153-AT153)*-1</f>
        <v>0</v>
      </c>
      <c r="AV282" s="12">
        <f>SUM(AR282:AU282)</f>
        <v>0</v>
      </c>
      <c r="AW282" s="12">
        <f>(AW153-AV153)*-1</f>
        <v>0</v>
      </c>
      <c r="AX282" s="12">
        <f>(AX153-AW153)*-1</f>
        <v>0</v>
      </c>
      <c r="AY282" s="12">
        <f>(AY153-AX153)*-1</f>
        <v>0</v>
      </c>
      <c r="AZ282" s="12">
        <f>(AZ153-AY153)*-1</f>
        <v>0</v>
      </c>
      <c r="BA282" s="12">
        <f>SUM(AW282:AZ282)</f>
        <v>0</v>
      </c>
      <c r="BB282" s="12">
        <f>(BB153-BA153)*-1</f>
        <v>0</v>
      </c>
      <c r="BC282" s="12">
        <f>(BC153-BB153)*-1</f>
        <v>0</v>
      </c>
      <c r="BD282" s="12">
        <f>(BD153-BC153)*-1</f>
        <v>0</v>
      </c>
      <c r="BE282" s="12">
        <f>(BE153-BD153)*-1</f>
        <v>0</v>
      </c>
      <c r="BF282" s="12">
        <f>SUM(BB282:BE282)</f>
        <v>0</v>
      </c>
      <c r="BG282" s="12" t="n"/>
      <c r="BH282" s="12" t="n"/>
      <c r="BI282" s="12" t="n"/>
      <c r="BJ282" s="12" t="n"/>
      <c r="BK282" s="12" t="n"/>
      <c r="BL282" s="12" t="n"/>
      <c r="BM282" s="12" t="n"/>
      <c r="BN282" s="12" t="n"/>
      <c r="BO282" s="12" t="n"/>
      <c r="BP282" s="12" t="n"/>
      <c r="BQ282" s="12" t="n"/>
      <c r="BR282" s="12" t="n"/>
      <c r="BS282" s="12" t="n"/>
      <c r="BT282" s="12" t="n"/>
      <c r="BU282" s="12" t="n"/>
      <c r="BV282" s="12" t="n"/>
      <c r="BW282" s="12" t="n"/>
      <c r="BX282" s="12" t="n"/>
      <c r="BY282" s="12" t="n"/>
      <c r="BZ282" s="12" t="n"/>
      <c r="CA282" s="12" t="n"/>
      <c r="CB282" s="12" t="n"/>
      <c r="CC282" s="12" t="n"/>
      <c r="CD282" s="12" t="n"/>
      <c r="CE282" s="12" t="n"/>
      <c r="CF282" s="12" t="n"/>
      <c r="CG282" s="12" t="n"/>
      <c r="CH282" s="12" t="n"/>
      <c r="CI282" s="12" t="n"/>
      <c r="CJ282" s="12" t="n"/>
      <c r="CK282" s="12" t="n"/>
      <c r="CL282" s="12" t="n"/>
      <c r="CM282" s="12" t="n"/>
      <c r="CN282" s="12" t="n"/>
      <c r="CO282" s="12" t="n"/>
      <c r="CP282" s="12" t="n"/>
      <c r="CQ282" s="12" t="n"/>
      <c r="CR282" s="12" t="n"/>
      <c r="CS282" s="12" t="n"/>
      <c r="CT282" s="12" t="n"/>
      <c r="CU282" s="12" t="n"/>
      <c r="CV282" s="12" t="n"/>
      <c r="CW282" s="12" t="n"/>
      <c r="CX282" s="12" t="n"/>
      <c r="CY282" s="12" t="n"/>
    </row>
    <row r="283" hidden="1" outlineLevel="1">
      <c r="C283" s="10" t="inlineStr">
        <is>
          <t>Other current assets</t>
        </is>
      </c>
      <c r="D283" s="12" t="n"/>
      <c r="E283" s="12" t="n"/>
      <c r="F283" s="12" t="n"/>
      <c r="G283" s="12" t="n"/>
      <c r="H283" s="12" t="n"/>
      <c r="I283" s="12">
        <f>(I154-H154)*-1</f>
        <v>-153.704</v>
      </c>
      <c r="J283" s="12">
        <f>(J154-I154)*-1</f>
        <v>-15.828</v>
      </c>
      <c r="K283" s="12">
        <f>(K154-J154)*-1</f>
        <v>-2.47799999999998</v>
      </c>
      <c r="L283" s="12">
        <f>(L154-K154)*-1</f>
        <v>-177.789</v>
      </c>
      <c r="M283" s="12">
        <f>SUM(I283:L283)</f>
        <v>-349.799</v>
      </c>
      <c r="N283" s="12">
        <f>(N154-M154)*-1</f>
        <v>-1386.094</v>
      </c>
      <c r="O283" s="12">
        <f>(O154-N154)*-1</f>
        <v>-310.797</v>
      </c>
      <c r="P283" s="12">
        <f>(P154-O154)*-1</f>
        <v>156.293</v>
      </c>
      <c r="Q283" s="12">
        <f>(Q154-P154)*-1</f>
        <v>-528.933</v>
      </c>
      <c r="R283" s="12">
        <f>SUM(N283:Q283)</f>
        <v>-2069.531</v>
      </c>
      <c r="S283" s="12">
        <f>(S154-R154)*-1</f>
        <v>-501.001</v>
      </c>
      <c r="T283" s="12">
        <f>(T154-S154)*-1</f>
        <v>582.79</v>
      </c>
      <c r="U283" s="12">
        <f>(U154-T154)*-1</f>
        <v>109.42</v>
      </c>
      <c r="V283" s="12">
        <f>(V154-U154)*-1</f>
        <v>208.13</v>
      </c>
      <c r="W283" s="12">
        <f>SUM(S283:V283)</f>
        <v>399.339</v>
      </c>
      <c r="X283" s="12">
        <f>(X154-W154)*-1</f>
        <v>335.929</v>
      </c>
      <c r="Y283" s="12">
        <f>(Y154-X154)*-1</f>
        <v>-64.759</v>
      </c>
      <c r="Z283" s="12">
        <f>(Z154-Y154)*-1</f>
        <v>-1712.828</v>
      </c>
      <c r="AA283" s="12">
        <f>(AA154-Z154)*-1</f>
        <v>1019.9</v>
      </c>
      <c r="AB283" s="12">
        <f>SUM(X283:AA283)</f>
        <v>-421.758</v>
      </c>
      <c r="AC283" s="12">
        <f>(AC154-AB154)*-1</f>
        <v>-1085.197</v>
      </c>
      <c r="AD283" s="12">
        <f>(AD154-AC154)*-1</f>
        <v>956.645</v>
      </c>
      <c r="AE283" s="12">
        <f>(AE154-AD154)*-1</f>
        <v>369.826</v>
      </c>
      <c r="AF283" s="12">
        <f>(AF154-AE154)*-1</f>
        <v>-164.796</v>
      </c>
      <c r="AG283" s="12">
        <f>SUM(AC283:AF283)</f>
        <v>76.4779999999996</v>
      </c>
      <c r="AH283" s="12">
        <f>(AH154-AG154)*-1</f>
        <v>165.065</v>
      </c>
      <c r="AI283" s="12">
        <f>(AI154-AH154)*-1</f>
        <v>118.345</v>
      </c>
      <c r="AJ283" s="12">
        <f>(AJ154-AI154)*-1</f>
        <v>0</v>
      </c>
      <c r="AK283" s="12">
        <f>(AK154-AJ154)*-1</f>
        <v>0</v>
      </c>
      <c r="AL283" s="12">
        <f>SUM(AH283:AK283)</f>
        <v>283.41</v>
      </c>
      <c r="AM283" s="12">
        <f>(AM154-AL154)*-1</f>
        <v>0</v>
      </c>
      <c r="AN283" s="12">
        <f>(AN154-AM154)*-1</f>
        <v>0</v>
      </c>
      <c r="AO283" s="12">
        <f>(AO154-AN154)*-1</f>
        <v>0</v>
      </c>
      <c r="AP283" s="12">
        <f>(AP154-AO154)*-1</f>
        <v>0</v>
      </c>
      <c r="AQ283" s="12">
        <f>SUM(AM283:AP283)</f>
        <v>0</v>
      </c>
      <c r="AR283" s="12">
        <f>(AR154-AQ154)*-1</f>
        <v>0</v>
      </c>
      <c r="AS283" s="12">
        <f>(AS154-AR154)*-1</f>
        <v>0</v>
      </c>
      <c r="AT283" s="12">
        <f>(AT154-AS154)*-1</f>
        <v>0</v>
      </c>
      <c r="AU283" s="12">
        <f>(AU154-AT154)*-1</f>
        <v>0</v>
      </c>
      <c r="AV283" s="12">
        <f>SUM(AR283:AU283)</f>
        <v>0</v>
      </c>
      <c r="AW283" s="12">
        <f>(AW154-AV154)*-1</f>
        <v>0</v>
      </c>
      <c r="AX283" s="12">
        <f>(AX154-AW154)*-1</f>
        <v>0</v>
      </c>
      <c r="AY283" s="12">
        <f>(AY154-AX154)*-1</f>
        <v>0</v>
      </c>
      <c r="AZ283" s="12">
        <f>(AZ154-AY154)*-1</f>
        <v>0</v>
      </c>
      <c r="BA283" s="12">
        <f>SUM(AW283:AZ283)</f>
        <v>0</v>
      </c>
      <c r="BB283" s="12">
        <f>(BB154-BA154)*-1</f>
        <v>0</v>
      </c>
      <c r="BC283" s="12">
        <f>(BC154-BB154)*-1</f>
        <v>0</v>
      </c>
      <c r="BD283" s="12">
        <f>(BD154-BC154)*-1</f>
        <v>0</v>
      </c>
      <c r="BE283" s="12">
        <f>(BE154-BD154)*-1</f>
        <v>0</v>
      </c>
      <c r="BF283" s="12">
        <f>SUM(BB283:BE283)</f>
        <v>0</v>
      </c>
      <c r="BG283" s="12" t="n"/>
      <c r="BH283" s="12" t="n"/>
      <c r="BI283" s="12" t="n"/>
      <c r="BJ283" s="12" t="n"/>
      <c r="BK283" s="12" t="n"/>
      <c r="BL283" s="12" t="n"/>
      <c r="BM283" s="12" t="n"/>
      <c r="BN283" s="12" t="n"/>
      <c r="BO283" s="12" t="n"/>
      <c r="BP283" s="12" t="n"/>
      <c r="BQ283" s="12" t="n"/>
      <c r="BR283" s="12" t="n"/>
      <c r="BS283" s="12" t="n"/>
      <c r="BT283" s="12" t="n"/>
      <c r="BU283" s="12" t="n"/>
      <c r="BV283" s="12" t="n"/>
      <c r="BW283" s="12" t="n"/>
      <c r="BX283" s="12" t="n"/>
      <c r="BY283" s="12" t="n"/>
      <c r="BZ283" s="12" t="n"/>
      <c r="CA283" s="12" t="n"/>
      <c r="CB283" s="12" t="n"/>
      <c r="CC283" s="12" t="n"/>
      <c r="CD283" s="12" t="n"/>
      <c r="CE283" s="12" t="n"/>
      <c r="CF283" s="12" t="n"/>
      <c r="CG283" s="12" t="n"/>
      <c r="CH283" s="12" t="n"/>
      <c r="CI283" s="12" t="n"/>
      <c r="CJ283" s="12" t="n"/>
      <c r="CK283" s="12" t="n"/>
      <c r="CL283" s="12" t="n"/>
      <c r="CM283" s="12" t="n"/>
      <c r="CN283" s="12" t="n"/>
      <c r="CO283" s="12" t="n"/>
      <c r="CP283" s="12" t="n"/>
      <c r="CQ283" s="12" t="n"/>
      <c r="CR283" s="12" t="n"/>
      <c r="CS283" s="12" t="n"/>
      <c r="CT283" s="12" t="n"/>
      <c r="CU283" s="12" t="n"/>
      <c r="CV283" s="12" t="n"/>
      <c r="CW283" s="12" t="n"/>
      <c r="CX283" s="12" t="n"/>
      <c r="CY283" s="12" t="n"/>
    </row>
    <row r="284" hidden="1" outlineLevel="1">
      <c r="C284" s="10" t="inlineStr">
        <is>
          <t>Accounts payable</t>
        </is>
      </c>
      <c r="D284" s="12" t="n"/>
      <c r="E284" s="12" t="n"/>
      <c r="F284" s="12" t="n"/>
      <c r="G284" s="12" t="n"/>
      <c r="H284" s="12" t="n"/>
      <c r="I284" s="12">
        <f>I197-H197</f>
        <v>149.588</v>
      </c>
      <c r="J284" s="12">
        <f>J197-I197</f>
        <v>10.573</v>
      </c>
      <c r="K284" s="12">
        <f>K197-J197</f>
        <v>130.239</v>
      </c>
      <c r="L284" s="12">
        <f>L197-K197</f>
        <v>-64.822</v>
      </c>
      <c r="M284" s="12">
        <f>SUM(I284:L284)</f>
        <v>225.578</v>
      </c>
      <c r="N284" s="12">
        <f>N197-M197</f>
        <v>205.843</v>
      </c>
      <c r="O284" s="12">
        <f>O197-N197</f>
        <v>0.461000000000013</v>
      </c>
      <c r="P284" s="12">
        <f>P197-O197</f>
        <v>36.091</v>
      </c>
      <c r="Q284" s="12">
        <f>Q197-P197</f>
        <v>81.046</v>
      </c>
      <c r="R284" s="12">
        <f>SUM(N284:Q284)</f>
        <v>323.441</v>
      </c>
      <c r="S284" s="12">
        <f>S197-R197</f>
        <v>25.038</v>
      </c>
      <c r="T284" s="12">
        <f>T197-S197</f>
        <v>162.317</v>
      </c>
      <c r="U284" s="12">
        <f>U197-T197</f>
        <v>198.642</v>
      </c>
      <c r="V284" s="12">
        <f>V197-U197</f>
        <v>-362.695</v>
      </c>
      <c r="W284" s="12">
        <f>SUM(S284:V284)</f>
        <v>23.302</v>
      </c>
      <c r="X284" s="12">
        <f>X197-W197</f>
        <v>-161.602</v>
      </c>
      <c r="Y284" s="12">
        <f>Y197-X197</f>
        <v>12.225</v>
      </c>
      <c r="Z284" s="12">
        <f>Z197-Y197</f>
        <v>361.79</v>
      </c>
      <c r="AA284" s="12">
        <f>AA197-Z197</f>
        <v>520.776</v>
      </c>
      <c r="AB284" s="12">
        <f>SUM(X284:AA284)</f>
        <v>733.189</v>
      </c>
      <c r="AC284" s="12">
        <f>AC197-AB197</f>
        <v>-268.103</v>
      </c>
      <c r="AD284" s="12">
        <f>AD197-AC197</f>
        <v>-21.1229999999999</v>
      </c>
      <c r="AE284" s="12">
        <f>AE197-AD197</f>
        <v>336.612</v>
      </c>
      <c r="AF284" s="12">
        <f>AF197-AE197</f>
        <v>109.088</v>
      </c>
      <c r="AG284" s="12">
        <f>SUM(AC284:AF284)</f>
        <v>156.474</v>
      </c>
      <c r="AH284" s="12">
        <f>AH197-AG197</f>
        <v>-204.273</v>
      </c>
      <c r="AI284" s="12">
        <f>AI197-AH197</f>
        <v>-127.295</v>
      </c>
      <c r="AJ284" s="12">
        <f>AJ197-AI197</f>
        <v>381.929891833919</v>
      </c>
      <c r="AK284" s="12">
        <f>AK197-AJ197</f>
        <v>113.012807562295</v>
      </c>
      <c r="AL284" s="12">
        <f>SUM(AH284:AK284)</f>
        <v>163.374699396214</v>
      </c>
      <c r="AM284" s="12">
        <f>AM197-AL197</f>
        <v>-281.688071829918</v>
      </c>
      <c r="AN284" s="12">
        <f>AN197-AM197</f>
        <v>-22.9935338525193</v>
      </c>
      <c r="AO284" s="12">
        <f>AO197-AN197</f>
        <v>411.385095133726</v>
      </c>
      <c r="AP284" s="12">
        <f>AP197-AO197</f>
        <v>129.431508949836</v>
      </c>
      <c r="AQ284" s="12">
        <f>SUM(AM284:AP284)</f>
        <v>236.134998401124</v>
      </c>
      <c r="AR284" s="12">
        <f>AR197-AQ197</f>
        <v>-346.167525773552</v>
      </c>
      <c r="AS284" s="12">
        <f>AS197-AR197</f>
        <v>-9.3821501497448</v>
      </c>
      <c r="AT284" s="12">
        <f>AT197-AS197</f>
        <v>469.0949268777</v>
      </c>
      <c r="AU284" s="12">
        <f>AU197-AT197</f>
        <v>147.588390888973</v>
      </c>
      <c r="AV284" s="12">
        <f>SUM(AR284:AU284)</f>
        <v>261.133641843376</v>
      </c>
      <c r="AW284" s="12">
        <f>AW197-AV197</f>
        <v>-383.190460950155</v>
      </c>
      <c r="AX284" s="12">
        <f>AX197-AW197</f>
        <v>-29.7660750588361</v>
      </c>
      <c r="AY284" s="12">
        <f>AY197-AX197</f>
        <v>532.554921674003</v>
      </c>
      <c r="AZ284" s="12">
        <f>AZ197-AY197</f>
        <v>167.554410517769</v>
      </c>
      <c r="BA284" s="12">
        <f>SUM(AW284:AZ284)</f>
        <v>287.152796182781</v>
      </c>
      <c r="BB284" s="12">
        <f>BB197-BA197</f>
        <v>-443.726331427351</v>
      </c>
      <c r="BC284" s="12">
        <f>BC197-BB197</f>
        <v>-33.6440521805084</v>
      </c>
      <c r="BD284" s="12">
        <f>BD197-BC197</f>
        <v>601.937122659642</v>
      </c>
      <c r="BE284" s="12">
        <f>BE197-BD197</f>
        <v>189.383696687977</v>
      </c>
      <c r="BF284" s="12">
        <f>SUM(BB284:BE284)</f>
        <v>313.95043573976</v>
      </c>
      <c r="BG284" s="12" t="n"/>
      <c r="BH284" s="12" t="n"/>
      <c r="BI284" s="12" t="n"/>
      <c r="BJ284" s="12" t="n"/>
      <c r="BK284" s="12" t="n"/>
      <c r="BL284" s="12" t="n"/>
      <c r="BM284" s="12" t="n"/>
      <c r="BN284" s="12" t="n"/>
      <c r="BO284" s="12" t="n"/>
      <c r="BP284" s="12" t="n"/>
      <c r="BQ284" s="12" t="n"/>
      <c r="BR284" s="12" t="n"/>
      <c r="BS284" s="12" t="n"/>
      <c r="BT284" s="12" t="n"/>
      <c r="BU284" s="12" t="n"/>
      <c r="BV284" s="12" t="n"/>
      <c r="BW284" s="12" t="n"/>
      <c r="BX284" s="12" t="n"/>
      <c r="BY284" s="12" t="n"/>
      <c r="BZ284" s="12" t="n"/>
      <c r="CA284" s="12" t="n"/>
      <c r="CB284" s="12" t="n"/>
      <c r="CC284" s="12" t="n"/>
      <c r="CD284" s="12" t="n"/>
      <c r="CE284" s="12" t="n"/>
      <c r="CF284" s="12" t="n"/>
      <c r="CG284" s="12" t="n"/>
      <c r="CH284" s="12" t="n"/>
      <c r="CI284" s="12" t="n"/>
      <c r="CJ284" s="12" t="n"/>
      <c r="CK284" s="12" t="n"/>
      <c r="CL284" s="12" t="n"/>
      <c r="CM284" s="12" t="n"/>
      <c r="CN284" s="12" t="n"/>
      <c r="CO284" s="12" t="n"/>
      <c r="CP284" s="12" t="n"/>
      <c r="CQ284" s="12" t="n"/>
      <c r="CR284" s="12" t="n"/>
      <c r="CS284" s="12" t="n"/>
      <c r="CT284" s="12" t="n"/>
      <c r="CU284" s="12" t="n"/>
      <c r="CV284" s="12" t="n"/>
      <c r="CW284" s="12" t="n"/>
      <c r="CX284" s="12" t="n"/>
      <c r="CY284" s="12" t="n"/>
    </row>
    <row r="285" hidden="1" outlineLevel="1">
      <c r="C285" s="10" t="inlineStr">
        <is>
          <t>Accrued expenses</t>
        </is>
      </c>
      <c r="D285" s="12" t="n"/>
      <c r="E285" s="12" t="n"/>
      <c r="F285" s="12" t="n"/>
      <c r="G285" s="12" t="n"/>
      <c r="H285" s="12" t="n"/>
      <c r="I285" s="12">
        <f>I201-H201</f>
        <v>14.16</v>
      </c>
      <c r="J285" s="12">
        <f>J201-I201</f>
        <v>3.318</v>
      </c>
      <c r="K285" s="12">
        <f>K201-J201</f>
        <v>4.752</v>
      </c>
      <c r="L285" s="12">
        <f>L201-K201</f>
        <v>1.663</v>
      </c>
      <c r="M285" s="12">
        <f>SUM(I285:L285)</f>
        <v>23.893</v>
      </c>
      <c r="N285" s="12">
        <f>N201-M201</f>
        <v>12.636</v>
      </c>
      <c r="O285" s="12">
        <f>O201-N201</f>
        <v>7</v>
      </c>
      <c r="P285" s="12">
        <f>P201-O201</f>
        <v>5.59999999999999</v>
      </c>
      <c r="Q285" s="12">
        <f>Q201-P201</f>
        <v>17.23</v>
      </c>
      <c r="R285" s="12">
        <f>SUM(N285:Q285)</f>
        <v>42.466</v>
      </c>
      <c r="S285" s="12">
        <f>S201-R201</f>
        <v>-28.959</v>
      </c>
      <c r="T285" s="12">
        <f>T201-S201</f>
        <v>26.883</v>
      </c>
      <c r="U285" s="12">
        <f>U201-T201</f>
        <v>13.096</v>
      </c>
      <c r="V285" s="12">
        <f>V201-U201</f>
        <v>21.493</v>
      </c>
      <c r="W285" s="12">
        <f>SUM(S285:V285)</f>
        <v>32.513</v>
      </c>
      <c r="X285" s="12">
        <f>X201-W201</f>
        <v>-35.853</v>
      </c>
      <c r="Y285" s="12">
        <f>Y201-X201</f>
        <v>-14.275</v>
      </c>
      <c r="Z285" s="12">
        <f>Z201-Y201</f>
        <v>20.337</v>
      </c>
      <c r="AA285" s="12">
        <f>AA201-Z201</f>
        <v>47.7</v>
      </c>
      <c r="AB285" s="12">
        <f>SUM(X285:AA285)</f>
        <v>17.909</v>
      </c>
      <c r="AC285" s="12">
        <f>AC201-AB201</f>
        <v>-41.787</v>
      </c>
      <c r="AD285" s="12">
        <f>AD201-AC201</f>
        <v>10.205</v>
      </c>
      <c r="AE285" s="12">
        <f>AE201-AD201</f>
        <v>23.597</v>
      </c>
      <c r="AF285" s="12">
        <f>AF201-AE201</f>
        <v>9.39699999999999</v>
      </c>
      <c r="AG285" s="12">
        <f>SUM(AC285:AF285)</f>
        <v>1.41199999999999</v>
      </c>
      <c r="AH285" s="12">
        <f>AH201-AG201</f>
        <v>-46.16</v>
      </c>
      <c r="AI285" s="12">
        <f>AI201-AH201</f>
        <v>18.961</v>
      </c>
      <c r="AJ285" s="12">
        <f>AJ201-AI201</f>
        <v>13.2197699206297</v>
      </c>
      <c r="AK285" s="12">
        <f>AK201-AJ201</f>
        <v>15.1403615723253</v>
      </c>
      <c r="AL285" s="12">
        <f>SUM(AH285:AK285)</f>
        <v>1.16113149295504</v>
      </c>
      <c r="AM285" s="12">
        <f>AM201-AL201</f>
        <v>17.3399801900505</v>
      </c>
      <c r="AN285" s="12">
        <f>AN201-AM201</f>
        <v>19.8591633069675</v>
      </c>
      <c r="AO285" s="12">
        <f>AO201-AN201</f>
        <v>22.7443378210489</v>
      </c>
      <c r="AP285" s="12">
        <f>AP201-AO201</f>
        <v>26.0486756124565</v>
      </c>
      <c r="AQ285" s="12">
        <f>SUM(AM285:AP285)</f>
        <v>85.9921569305233</v>
      </c>
      <c r="AR285" s="12">
        <f>AR201-AQ201</f>
        <v>28.8063420244151</v>
      </c>
      <c r="AS285" s="12">
        <f>AS201-AR201</f>
        <v>32.847346842171</v>
      </c>
      <c r="AT285" s="12">
        <f>AT201-AS201</f>
        <v>37.455230992377</v>
      </c>
      <c r="AU285" s="12">
        <f>AU201-AT201</f>
        <v>42.7095173145374</v>
      </c>
      <c r="AV285" s="12">
        <f>SUM(AR285:AU285)</f>
        <v>141.8184371735</v>
      </c>
      <c r="AW285" s="12">
        <f>AW201-AV201</f>
        <v>46.9650606253259</v>
      </c>
      <c r="AX285" s="12">
        <f>AX201-AW201</f>
        <v>53.3185774342344</v>
      </c>
      <c r="AY285" s="12">
        <f>AY201-AX201</f>
        <v>60.5316092805688</v>
      </c>
      <c r="AZ285" s="12">
        <f>AZ201-AY201</f>
        <v>68.7204328850463</v>
      </c>
      <c r="BA285" s="12">
        <f>SUM(AW285:AZ285)</f>
        <v>229.535680225175</v>
      </c>
      <c r="BB285" s="12">
        <f>BB201-BA201</f>
        <v>75.133553060553</v>
      </c>
      <c r="BC285" s="12">
        <f>BC201-BB201</f>
        <v>84.9220857865796</v>
      </c>
      <c r="BD285" s="12">
        <f>BD201-BC201</f>
        <v>95.9858859400798</v>
      </c>
      <c r="BE285" s="12">
        <f>BE201-BD201</f>
        <v>108.491097626314</v>
      </c>
      <c r="BF285" s="12">
        <f>SUM(BB285:BE285)</f>
        <v>364.532622413526</v>
      </c>
      <c r="BG285" s="12" t="n"/>
      <c r="BH285" s="12" t="n"/>
      <c r="BI285" s="12" t="n"/>
      <c r="BJ285" s="12" t="n"/>
      <c r="BK285" s="12" t="n"/>
      <c r="BL285" s="12" t="n"/>
      <c r="BM285" s="12" t="n"/>
      <c r="BN285" s="12" t="n"/>
      <c r="BO285" s="12" t="n"/>
      <c r="BP285" s="12" t="n"/>
      <c r="BQ285" s="12" t="n"/>
      <c r="BR285" s="12" t="n"/>
      <c r="BS285" s="12" t="n"/>
      <c r="BT285" s="12" t="n"/>
      <c r="BU285" s="12" t="n"/>
      <c r="BV285" s="12" t="n"/>
      <c r="BW285" s="12" t="n"/>
      <c r="BX285" s="12" t="n"/>
      <c r="BY285" s="12" t="n"/>
      <c r="BZ285" s="12" t="n"/>
      <c r="CA285" s="12" t="n"/>
      <c r="CB285" s="12" t="n"/>
      <c r="CC285" s="12" t="n"/>
      <c r="CD285" s="12" t="n"/>
      <c r="CE285" s="12" t="n"/>
      <c r="CF285" s="12" t="n"/>
      <c r="CG285" s="12" t="n"/>
      <c r="CH285" s="12" t="n"/>
      <c r="CI285" s="12" t="n"/>
      <c r="CJ285" s="12" t="n"/>
      <c r="CK285" s="12" t="n"/>
      <c r="CL285" s="12" t="n"/>
      <c r="CM285" s="12" t="n"/>
      <c r="CN285" s="12" t="n"/>
      <c r="CO285" s="12" t="n"/>
      <c r="CP285" s="12" t="n"/>
      <c r="CQ285" s="12" t="n"/>
      <c r="CR285" s="12" t="n"/>
      <c r="CS285" s="12" t="n"/>
      <c r="CT285" s="12" t="n"/>
      <c r="CU285" s="12" t="n"/>
      <c r="CV285" s="12" t="n"/>
      <c r="CW285" s="12" t="n"/>
      <c r="CX285" s="12" t="n"/>
      <c r="CY285" s="12" t="n"/>
    </row>
    <row r="286" hidden="1" outlineLevel="1">
      <c r="C286" s="10" t="inlineStr">
        <is>
          <t>Taxes payable</t>
        </is>
      </c>
      <c r="D286" s="12" t="n"/>
      <c r="E286" s="12" t="n"/>
      <c r="F286" s="12" t="n"/>
      <c r="G286" s="12" t="n"/>
      <c r="H286" s="12" t="n"/>
      <c r="I286" s="12">
        <f>I203-H203</f>
        <v>112.573</v>
      </c>
      <c r="J286" s="12">
        <f>J203-I203</f>
        <v>10.891</v>
      </c>
      <c r="K286" s="12">
        <f>K203-J203</f>
        <v>-19.663</v>
      </c>
      <c r="L286" s="12">
        <f>L203-K203</f>
        <v>-66.092</v>
      </c>
      <c r="M286" s="12">
        <f>SUM(I286:L286)</f>
        <v>37.709</v>
      </c>
      <c r="N286" s="12">
        <f>N203-M203</f>
        <v>19.685</v>
      </c>
      <c r="O286" s="12">
        <f>O203-N203</f>
        <v>41.564</v>
      </c>
      <c r="P286" s="12">
        <f>P203-O203</f>
        <v>-18.292</v>
      </c>
      <c r="Q286" s="12">
        <f>Q203-P203</f>
        <v>26.795</v>
      </c>
      <c r="R286" s="12">
        <f>SUM(N286:Q286)</f>
        <v>69.752</v>
      </c>
      <c r="S286" s="12">
        <f>S203-R203</f>
        <v>-10.159</v>
      </c>
      <c r="T286" s="12">
        <f>T203-S203</f>
        <v>15.018</v>
      </c>
      <c r="U286" s="12">
        <f>U203-T203</f>
        <v>174.146</v>
      </c>
      <c r="V286" s="12">
        <f>V203-U203</f>
        <v>-209.838</v>
      </c>
      <c r="W286" s="12">
        <f>SUM(S286:V286)</f>
        <v>-30.833</v>
      </c>
      <c r="X286" s="12">
        <f>X203-W203</f>
        <v>15.616</v>
      </c>
      <c r="Y286" s="12">
        <f>Y203-X203</f>
        <v>21.689</v>
      </c>
      <c r="Z286" s="12">
        <f>Z203-Y203</f>
        <v>50.013</v>
      </c>
      <c r="AA286" s="12">
        <f>AA203-Z203</f>
        <v>-13.885</v>
      </c>
      <c r="AB286" s="12">
        <f>SUM(X286:AA286)</f>
        <v>73.433</v>
      </c>
      <c r="AC286" s="12">
        <f>AC203-AB203</f>
        <v>65.649</v>
      </c>
      <c r="AD286" s="12">
        <f>AD203-AC203</f>
        <v>6.07899999999998</v>
      </c>
      <c r="AE286" s="12">
        <f>AE203-AD203</f>
        <v>16.272</v>
      </c>
      <c r="AF286" s="12">
        <f>AF203-AE203</f>
        <v>-74.747</v>
      </c>
      <c r="AG286" s="12">
        <f>SUM(AC286:AF286)</f>
        <v>13.253</v>
      </c>
      <c r="AH286" s="12">
        <f>AH203-AG203</f>
        <v>65.965</v>
      </c>
      <c r="AI286" s="12">
        <f>AI203-AH203</f>
        <v>-8.5</v>
      </c>
      <c r="AJ286" s="12">
        <f>AJ203-AI203</f>
        <v>32.0751652120658</v>
      </c>
      <c r="AK286" s="12">
        <f>AK203-AJ203</f>
        <v>36.7351021779064</v>
      </c>
      <c r="AL286" s="12">
        <f>SUM(AH286:AK286)</f>
        <v>126.275267389972</v>
      </c>
      <c r="AM286" s="12">
        <f>AM203-AL203</f>
        <v>42.0720430619509</v>
      </c>
      <c r="AN286" s="12">
        <f>AN203-AM203</f>
        <v>48.1843441957599</v>
      </c>
      <c r="AO286" s="12">
        <f>AO203-AN203</f>
        <v>55.1846512934188</v>
      </c>
      <c r="AP286" s="12">
        <f>AP203-AO203</f>
        <v>63.2019754384083</v>
      </c>
      <c r="AQ286" s="12">
        <f>SUM(AM286:AP286)</f>
        <v>208.643013989538</v>
      </c>
      <c r="AR286" s="12">
        <f>AR203-AQ203</f>
        <v>69.8929092666367</v>
      </c>
      <c r="AS286" s="12">
        <f>AS203-AR203</f>
        <v>79.6976107047462</v>
      </c>
      <c r="AT286" s="12">
        <f>AT203-AS203</f>
        <v>90.8777330732356</v>
      </c>
      <c r="AU286" s="12">
        <f>AU203-AT203</f>
        <v>103.626222862895</v>
      </c>
      <c r="AV286" s="12">
        <f>SUM(AR286:AU286)</f>
        <v>344.094475907513</v>
      </c>
      <c r="AW286" s="12">
        <f>AW203-AV203</f>
        <v>113.95145965447</v>
      </c>
      <c r="AX286" s="12">
        <f>AX203-AW203</f>
        <v>129.367015488415</v>
      </c>
      <c r="AY286" s="12">
        <f>AY203-AX203</f>
        <v>146.868015092805</v>
      </c>
      <c r="AZ286" s="12">
        <f>AZ203-AY203</f>
        <v>166.736581004546</v>
      </c>
      <c r="BA286" s="12">
        <f>SUM(AW286:AZ286)</f>
        <v>556.923071240236</v>
      </c>
      <c r="BB286" s="12">
        <f>BB203-BA203</f>
        <v>182.296752655734</v>
      </c>
      <c r="BC286" s="12">
        <f>BC203-BB203</f>
        <v>206.046697341311</v>
      </c>
      <c r="BD286" s="12">
        <f>BD203-BC203</f>
        <v>232.890826999197</v>
      </c>
      <c r="BE286" s="12">
        <f>BE203-BD203</f>
        <v>263.232257542695</v>
      </c>
      <c r="BF286" s="12">
        <f>SUM(BB286:BE286)</f>
        <v>884.466534538937</v>
      </c>
      <c r="BG286" s="12" t="n"/>
      <c r="BH286" s="12" t="n"/>
      <c r="BI286" s="12" t="n"/>
      <c r="BJ286" s="12" t="n"/>
      <c r="BK286" s="12" t="n"/>
      <c r="BL286" s="12" t="n"/>
      <c r="BM286" s="12" t="n"/>
      <c r="BN286" s="12" t="n"/>
      <c r="BO286" s="12" t="n"/>
      <c r="BP286" s="12" t="n"/>
      <c r="BQ286" s="12" t="n"/>
      <c r="BR286" s="12" t="n"/>
      <c r="BS286" s="12" t="n"/>
      <c r="BT286" s="12" t="n"/>
      <c r="BU286" s="12" t="n"/>
      <c r="BV286" s="12" t="n"/>
      <c r="BW286" s="12" t="n"/>
      <c r="BX286" s="12" t="n"/>
      <c r="BY286" s="12" t="n"/>
      <c r="BZ286" s="12" t="n"/>
      <c r="CA286" s="12" t="n"/>
      <c r="CB286" s="12" t="n"/>
      <c r="CC286" s="12" t="n"/>
      <c r="CD286" s="12" t="n"/>
      <c r="CE286" s="12" t="n"/>
      <c r="CF286" s="12" t="n"/>
      <c r="CG286" s="12" t="n"/>
      <c r="CH286" s="12" t="n"/>
      <c r="CI286" s="12" t="n"/>
      <c r="CJ286" s="12" t="n"/>
      <c r="CK286" s="12" t="n"/>
      <c r="CL286" s="12" t="n"/>
      <c r="CM286" s="12" t="n"/>
      <c r="CN286" s="12" t="n"/>
      <c r="CO286" s="12" t="n"/>
      <c r="CP286" s="12" t="n"/>
      <c r="CQ286" s="12" t="n"/>
      <c r="CR286" s="12" t="n"/>
      <c r="CS286" s="12" t="n"/>
      <c r="CT286" s="12" t="n"/>
      <c r="CU286" s="12" t="n"/>
      <c r="CV286" s="12" t="n"/>
      <c r="CW286" s="12" t="n"/>
      <c r="CX286" s="12" t="n"/>
      <c r="CY286" s="12" t="n"/>
    </row>
    <row r="287" hidden="1" outlineLevel="1">
      <c r="C287" s="10" t="inlineStr">
        <is>
          <t>Other current liabilities (non-debt)</t>
        </is>
      </c>
      <c r="D287" s="12" t="n"/>
      <c r="E287" s="12" t="n"/>
      <c r="F287" s="12" t="n"/>
      <c r="G287" s="12" t="n"/>
      <c r="H287" s="12" t="n"/>
      <c r="I287" s="12">
        <f>I204-H204</f>
        <v>1169.261</v>
      </c>
      <c r="J287" s="12">
        <f>J204-I204</f>
        <v>-609.379</v>
      </c>
      <c r="K287" s="12">
        <f>K204-J204</f>
        <v>-25.2099999999999</v>
      </c>
      <c r="L287" s="12">
        <f>L204-K204</f>
        <v>569.32</v>
      </c>
      <c r="M287" s="12">
        <f>SUM(I287:L287)</f>
        <v>1103.992</v>
      </c>
      <c r="N287" s="12">
        <f>N204-M204</f>
        <v>1256.348</v>
      </c>
      <c r="O287" s="12">
        <f>O204-N204</f>
        <v>174.151</v>
      </c>
      <c r="P287" s="12">
        <f>P204-O204</f>
        <v>-267.019</v>
      </c>
      <c r="Q287" s="12">
        <f>Q204-P204</f>
        <v>930.167</v>
      </c>
      <c r="R287" s="12">
        <f>SUM(N287:Q287)</f>
        <v>2093.647</v>
      </c>
      <c r="S287" s="12">
        <f>S204-R204</f>
        <v>-150.563</v>
      </c>
      <c r="T287" s="12">
        <f>T204-S204</f>
        <v>-577.809</v>
      </c>
      <c r="U287" s="12">
        <f>U204-T204</f>
        <v>-140.787</v>
      </c>
      <c r="V287" s="12">
        <f>V204-U204</f>
        <v>-83.4160000000002</v>
      </c>
      <c r="W287" s="12">
        <f>SUM(S287:V287)</f>
        <v>-952.575</v>
      </c>
      <c r="X287" s="12">
        <f>X204-W204</f>
        <v>-492.743</v>
      </c>
      <c r="Y287" s="12">
        <f>Y204-X204</f>
        <v>-124.466</v>
      </c>
      <c r="Z287" s="12">
        <f>Z204-Y204</f>
        <v>1573.821</v>
      </c>
      <c r="AA287" s="12">
        <f>AA204-Z204</f>
        <v>-335.274</v>
      </c>
      <c r="AB287" s="12">
        <f>SUM(X287:AA287)</f>
        <v>621.338</v>
      </c>
      <c r="AC287" s="12">
        <f>AC204-AB204</f>
        <v>1010.836</v>
      </c>
      <c r="AD287" s="12">
        <f>AD204-AC204</f>
        <v>-958.381</v>
      </c>
      <c r="AE287" s="12">
        <f>AE204-AD204</f>
        <v>-83.8090000000002</v>
      </c>
      <c r="AF287" s="12">
        <f>AF204-AE204</f>
        <v>-126.965</v>
      </c>
      <c r="AG287" s="12">
        <f>SUM(AC287:AF287)</f>
        <v>-158.319</v>
      </c>
      <c r="AH287" s="12">
        <f>AH204-AG204</f>
        <v>274.021</v>
      </c>
      <c r="AI287" s="12">
        <f>AI204-AH204</f>
        <v>-22.4089999999997</v>
      </c>
      <c r="AJ287" s="12">
        <f>AJ204-AI204</f>
        <v>0</v>
      </c>
      <c r="AK287" s="12">
        <f>AK204-AJ204</f>
        <v>0</v>
      </c>
      <c r="AL287" s="12">
        <f>SUM(AH287:AK287)</f>
        <v>251.612</v>
      </c>
      <c r="AM287" s="12">
        <f>AM204-AL204</f>
        <v>0</v>
      </c>
      <c r="AN287" s="12">
        <f>AN204-AM204</f>
        <v>0</v>
      </c>
      <c r="AO287" s="12">
        <f>AO204-AN204</f>
        <v>0</v>
      </c>
      <c r="AP287" s="12">
        <f>AP204-AO204</f>
        <v>0</v>
      </c>
      <c r="AQ287" s="12">
        <f>SUM(AM287:AP287)</f>
        <v>0</v>
      </c>
      <c r="AR287" s="12">
        <f>AR204-AQ204</f>
        <v>0</v>
      </c>
      <c r="AS287" s="12">
        <f>AS204-AR204</f>
        <v>0</v>
      </c>
      <c r="AT287" s="12">
        <f>AT204-AS204</f>
        <v>0</v>
      </c>
      <c r="AU287" s="12">
        <f>AU204-AT204</f>
        <v>0</v>
      </c>
      <c r="AV287" s="12">
        <f>SUM(AR287:AU287)</f>
        <v>0</v>
      </c>
      <c r="AW287" s="12">
        <f>AW204-AV204</f>
        <v>0</v>
      </c>
      <c r="AX287" s="12">
        <f>AX204-AW204</f>
        <v>0</v>
      </c>
      <c r="AY287" s="12">
        <f>AY204-AX204</f>
        <v>0</v>
      </c>
      <c r="AZ287" s="12">
        <f>AZ204-AY204</f>
        <v>0</v>
      </c>
      <c r="BA287" s="12">
        <f>SUM(AW287:AZ287)</f>
        <v>0</v>
      </c>
      <c r="BB287" s="12">
        <f>BB204-BA204</f>
        <v>0</v>
      </c>
      <c r="BC287" s="12">
        <f>BC204-BB204</f>
        <v>0</v>
      </c>
      <c r="BD287" s="12">
        <f>BD204-BC204</f>
        <v>0</v>
      </c>
      <c r="BE287" s="12">
        <f>BE204-BD204</f>
        <v>0</v>
      </c>
      <c r="BF287" s="12">
        <f>SUM(BB287:BE287)</f>
        <v>0</v>
      </c>
      <c r="BG287" s="12" t="n"/>
      <c r="BH287" s="12" t="n"/>
      <c r="BI287" s="12" t="n"/>
      <c r="BJ287" s="12" t="n"/>
      <c r="BK287" s="12" t="n"/>
      <c r="BL287" s="12" t="n"/>
      <c r="BM287" s="12" t="n"/>
      <c r="BN287" s="12" t="n"/>
      <c r="BO287" s="12" t="n"/>
      <c r="BP287" s="12" t="n"/>
      <c r="BQ287" s="12" t="n"/>
      <c r="BR287" s="12" t="n"/>
      <c r="BS287" s="12" t="n"/>
      <c r="BT287" s="12" t="n"/>
      <c r="BU287" s="12" t="n"/>
      <c r="BV287" s="12" t="n"/>
      <c r="BW287" s="12" t="n"/>
      <c r="BX287" s="12" t="n"/>
      <c r="BY287" s="12" t="n"/>
      <c r="BZ287" s="12" t="n"/>
      <c r="CA287" s="12" t="n"/>
      <c r="CB287" s="12" t="n"/>
      <c r="CC287" s="12" t="n"/>
      <c r="CD287" s="12" t="n"/>
      <c r="CE287" s="12" t="n"/>
      <c r="CF287" s="12" t="n"/>
      <c r="CG287" s="12" t="n"/>
      <c r="CH287" s="12" t="n"/>
      <c r="CI287" s="12" t="n"/>
      <c r="CJ287" s="12" t="n"/>
      <c r="CK287" s="12" t="n"/>
      <c r="CL287" s="12" t="n"/>
      <c r="CM287" s="12" t="n"/>
      <c r="CN287" s="12" t="n"/>
      <c r="CO287" s="12" t="n"/>
      <c r="CP287" s="12" t="n"/>
      <c r="CQ287" s="12" t="n"/>
      <c r="CR287" s="12" t="n"/>
      <c r="CS287" s="12" t="n"/>
      <c r="CT287" s="12" t="n"/>
      <c r="CU287" s="12" t="n"/>
      <c r="CV287" s="12" t="n"/>
      <c r="CW287" s="12" t="n"/>
      <c r="CX287" s="12" t="n"/>
      <c r="CY287" s="12" t="n"/>
    </row>
    <row r="288" hidden="1" outlineLevel="1">
      <c r="C288" s="10" t="inlineStr">
        <is>
          <t>Deferred income taxes</t>
        </is>
      </c>
      <c r="D288" s="12" t="n"/>
      <c r="E288" s="12" t="n"/>
      <c r="F288" s="12" t="n"/>
      <c r="G288" s="12" t="n"/>
      <c r="H288" s="12" t="n"/>
      <c r="I288" s="12">
        <f>I238-H238</f>
        <v>355.516</v>
      </c>
      <c r="J288" s="12">
        <f>J238-I238</f>
        <v>-3.214</v>
      </c>
      <c r="K288" s="12">
        <f>K238-J238</f>
        <v>1.55500000000001</v>
      </c>
      <c r="L288" s="12">
        <f>L238-K238</f>
        <v>-1.83300000000003</v>
      </c>
      <c r="M288" s="12">
        <f>SUM(I288:L288)</f>
        <v>352.024</v>
      </c>
      <c r="N288" s="12">
        <f>N238-M238</f>
        <v>378.555</v>
      </c>
      <c r="O288" s="12">
        <f>O238-N238</f>
        <v>-10.971</v>
      </c>
      <c r="P288" s="12">
        <f>P238-O238</f>
        <v>54.075</v>
      </c>
      <c r="Q288" s="12">
        <f>Q238-P238</f>
        <v>-60.704</v>
      </c>
      <c r="R288" s="12">
        <f>SUM(N288:Q288)</f>
        <v>360.955</v>
      </c>
      <c r="S288" s="12">
        <f>S238-R238</f>
        <v>13.5419999999999</v>
      </c>
      <c r="T288" s="12">
        <f>T238-S238</f>
        <v>-32.1279999999999</v>
      </c>
      <c r="U288" s="12">
        <f>U238-T238</f>
        <v>-3.87</v>
      </c>
      <c r="V288" s="12">
        <f>V238-U238</f>
        <v>16.658</v>
      </c>
      <c r="W288" s="12">
        <f>SUM(S288:V288)</f>
        <v>-5.798</v>
      </c>
      <c r="X288" s="12">
        <f>X238-W238</f>
        <v>98.187</v>
      </c>
      <c r="Y288" s="12">
        <f>Y238-X238</f>
        <v>-33.827</v>
      </c>
      <c r="Z288" s="12">
        <f>Z238-Y238</f>
        <v>52.968</v>
      </c>
      <c r="AA288" s="12">
        <f>AA238-Z238</f>
        <v>584.19</v>
      </c>
      <c r="AB288" s="12">
        <f>SUM(X288:AA288)</f>
        <v>701.518</v>
      </c>
      <c r="AC288" s="12">
        <f>AC238-AB238</f>
        <v>79.3309999999999</v>
      </c>
      <c r="AD288" s="12">
        <f>AD238-AC238</f>
        <v>-294.698</v>
      </c>
      <c r="AE288" s="12">
        <f>AE238-AD238</f>
        <v>-5.85200000000009</v>
      </c>
      <c r="AF288" s="12">
        <f>AF238-AE238</f>
        <v>92.335</v>
      </c>
      <c r="AG288" s="12">
        <f>SUM(AC288:AF288)</f>
        <v>-128.884</v>
      </c>
      <c r="AH288" s="12">
        <f>AH238-AG238</f>
        <v>-189.228</v>
      </c>
      <c r="AI288" s="12">
        <f>AI238-AH238</f>
        <v>-1.32600000000002</v>
      </c>
      <c r="AJ288" s="12">
        <f>AJ238-AI238</f>
        <v>0</v>
      </c>
      <c r="AK288" s="12">
        <f>AK238-AJ238</f>
        <v>0</v>
      </c>
      <c r="AL288" s="12">
        <f>SUM(AH288:AK288)</f>
        <v>-190.554</v>
      </c>
      <c r="AM288" s="12">
        <f>AM238-AL238</f>
        <v>0</v>
      </c>
      <c r="AN288" s="12">
        <f>AN238-AM238</f>
        <v>0</v>
      </c>
      <c r="AO288" s="12">
        <f>AO238-AN238</f>
        <v>0</v>
      </c>
      <c r="AP288" s="12">
        <f>AP238-AO238</f>
        <v>0</v>
      </c>
      <c r="AQ288" s="12">
        <f>SUM(AM288:AP288)</f>
        <v>0</v>
      </c>
      <c r="AR288" s="12">
        <f>AR238-AQ238</f>
        <v>0</v>
      </c>
      <c r="AS288" s="12">
        <f>AS238-AR238</f>
        <v>0</v>
      </c>
      <c r="AT288" s="12">
        <f>AT238-AS238</f>
        <v>0</v>
      </c>
      <c r="AU288" s="12">
        <f>AU238-AT238</f>
        <v>0</v>
      </c>
      <c r="AV288" s="12">
        <f>SUM(AR288:AU288)</f>
        <v>0</v>
      </c>
      <c r="AW288" s="12">
        <f>AW238-AV238</f>
        <v>0</v>
      </c>
      <c r="AX288" s="12">
        <f>AX238-AW238</f>
        <v>0</v>
      </c>
      <c r="AY288" s="12">
        <f>AY238-AX238</f>
        <v>0</v>
      </c>
      <c r="AZ288" s="12">
        <f>AZ238-AY238</f>
        <v>0</v>
      </c>
      <c r="BA288" s="12">
        <f>SUM(AW288:AZ288)</f>
        <v>0</v>
      </c>
      <c r="BB288" s="12">
        <f>BB238-BA238</f>
        <v>0</v>
      </c>
      <c r="BC288" s="12">
        <f>BC238-BB238</f>
        <v>0</v>
      </c>
      <c r="BD288" s="12">
        <f>BD238-BC238</f>
        <v>0</v>
      </c>
      <c r="BE288" s="12">
        <f>BE238-BD238</f>
        <v>0</v>
      </c>
      <c r="BF288" s="12">
        <f>SUM(BB288:BE288)</f>
        <v>0</v>
      </c>
      <c r="BG288" s="12" t="n"/>
      <c r="BH288" s="12" t="n"/>
      <c r="BI288" s="12" t="n"/>
      <c r="BJ288" s="12" t="n"/>
      <c r="BK288" s="12" t="n"/>
      <c r="BL288" s="12" t="n"/>
      <c r="BM288" s="12" t="n"/>
      <c r="BN288" s="12" t="n"/>
      <c r="BO288" s="12" t="n"/>
      <c r="BP288" s="12" t="n"/>
      <c r="BQ288" s="12" t="n"/>
      <c r="BR288" s="12" t="n"/>
      <c r="BS288" s="12" t="n"/>
      <c r="BT288" s="12" t="n"/>
      <c r="BU288" s="12" t="n"/>
      <c r="BV288" s="12" t="n"/>
      <c r="BW288" s="12" t="n"/>
      <c r="BX288" s="12" t="n"/>
      <c r="BY288" s="12" t="n"/>
      <c r="BZ288" s="12" t="n"/>
      <c r="CA288" s="12" t="n"/>
      <c r="CB288" s="12" t="n"/>
      <c r="CC288" s="12" t="n"/>
      <c r="CD288" s="12" t="n"/>
      <c r="CE288" s="12" t="n"/>
      <c r="CF288" s="12" t="n"/>
      <c r="CG288" s="12" t="n"/>
      <c r="CH288" s="12" t="n"/>
      <c r="CI288" s="12" t="n"/>
      <c r="CJ288" s="12" t="n"/>
      <c r="CK288" s="12" t="n"/>
      <c r="CL288" s="12" t="n"/>
      <c r="CM288" s="12" t="n"/>
      <c r="CN288" s="12" t="n"/>
      <c r="CO288" s="12" t="n"/>
      <c r="CP288" s="12" t="n"/>
      <c r="CQ288" s="12" t="n"/>
      <c r="CR288" s="12" t="n"/>
      <c r="CS288" s="12" t="n"/>
      <c r="CT288" s="12" t="n"/>
      <c r="CU288" s="12" t="n"/>
      <c r="CV288" s="12" t="n"/>
      <c r="CW288" s="12" t="n"/>
      <c r="CX288" s="12" t="n"/>
      <c r="CY288" s="12" t="n"/>
    </row>
    <row r="289" collapsed="1">
      <c r="C289" s="10" t="inlineStr">
        <is>
          <t>Equity income in affiliates</t>
        </is>
      </c>
      <c r="D289" s="12" t="n"/>
      <c r="E289" s="12" t="n"/>
      <c r="F289" s="12" t="n"/>
      <c r="G289" s="12" t="n"/>
      <c r="H289" s="12" t="n"/>
      <c r="I289" s="12">
        <f>(I160-H160)*-1</f>
        <v>0</v>
      </c>
      <c r="J289" s="12">
        <f>(J160-I160)*-1</f>
        <v>0</v>
      </c>
      <c r="K289" s="12">
        <f>(K160-J160)*-1</f>
        <v>0</v>
      </c>
      <c r="L289" s="12">
        <f>(L160-K160)*-1</f>
        <v>0</v>
      </c>
      <c r="M289" s="12">
        <f>SUM(I289:L289)</f>
        <v>0</v>
      </c>
      <c r="N289" s="12">
        <f>(N160-M160)*-1</f>
        <v>-1101.829</v>
      </c>
      <c r="O289" s="12">
        <f>(O160-N160)*-1</f>
        <v>86.106</v>
      </c>
      <c r="P289" s="12">
        <f>(P160-O160)*-1</f>
        <v>-62.1570000000002</v>
      </c>
      <c r="Q289" s="12">
        <f>(Q160-P160)*-1</f>
        <v>-1083.871</v>
      </c>
      <c r="R289" s="12">
        <f>SUM(N289:Q289)</f>
        <v>-2161.751</v>
      </c>
      <c r="S289" s="12">
        <f>(S160-R160)*-1</f>
        <v>-30.2599999999998</v>
      </c>
      <c r="T289" s="12">
        <f>(T160-S160)*-1</f>
        <v>64.9369999999999</v>
      </c>
      <c r="U289" s="12">
        <f>(U160-T160)*-1</f>
        <v>15.4650000000001</v>
      </c>
      <c r="V289" s="12">
        <f>(V160-U160)*-1</f>
        <v>54.3020000000001</v>
      </c>
      <c r="W289" s="12">
        <f>SUM(S289:V289)</f>
        <v>104.444</v>
      </c>
      <c r="X289" s="12">
        <f>(X160-W160)*-1</f>
        <v>-54.5920000000001</v>
      </c>
      <c r="Y289" s="12">
        <f>(Y160-X160)*-1</f>
        <v>63.9319999999998</v>
      </c>
      <c r="Z289" s="12">
        <f>(Z160-Y160)*-1</f>
        <v>-57.5839999999998</v>
      </c>
      <c r="AA289" s="12">
        <f>(AA160-Z160)*-1</f>
        <v>-156.007</v>
      </c>
      <c r="AB289" s="12">
        <f>SUM(X289:AA289)</f>
        <v>-204.251</v>
      </c>
      <c r="AC289" s="12">
        <f>(AC160-AB160)*-1</f>
        <v>-37.453</v>
      </c>
      <c r="AD289" s="12">
        <f>(AD160-AC160)*-1</f>
        <v>82.4699999999998</v>
      </c>
      <c r="AE289" s="12">
        <f>(AE160-AD160)*-1</f>
        <v>83.4560000000001</v>
      </c>
      <c r="AF289" s="12">
        <f>(AF160-AE160)*-1</f>
        <v>2.06500000000005</v>
      </c>
      <c r="AG289" s="12">
        <f>SUM(AC289:AF289)</f>
        <v>130.538</v>
      </c>
      <c r="AH289" s="12">
        <f>(AH160-AG160)*-1</f>
        <v>17.5079999999998</v>
      </c>
      <c r="AI289" s="12">
        <f>(AI160-AH160)*-1</f>
        <v>70.3140000000001</v>
      </c>
      <c r="AJ289" s="12">
        <f>(AJ160-AI160)*-1</f>
        <v>-57.38075</v>
      </c>
      <c r="AK289" s="12">
        <f>(AK160-AJ160)*-1</f>
        <v>-57.3807499999998</v>
      </c>
      <c r="AL289" s="12">
        <f>SUM(AH289:AK289)</f>
        <v>-26.9395</v>
      </c>
      <c r="AM289" s="12">
        <f>(AM160-AL160)*-1</f>
        <v>-57.3807499999998</v>
      </c>
      <c r="AN289" s="12">
        <f>(AN160-AM160)*-1</f>
        <v>-57.3807499999998</v>
      </c>
      <c r="AO289" s="12">
        <f>(AO160-AN160)*-1</f>
        <v>-57.3807499999998</v>
      </c>
      <c r="AP289" s="12">
        <f>(AP160-AO160)*-1</f>
        <v>-57.3807499999998</v>
      </c>
      <c r="AQ289" s="12">
        <f>SUM(AM289:AP289)</f>
        <v>-229.522999999999</v>
      </c>
      <c r="AR289" s="12">
        <f>(AR160-AQ160)*-1</f>
        <v>-57.3807499999998</v>
      </c>
      <c r="AS289" s="12">
        <f>(AS160-AR160)*-1</f>
        <v>-57.3807499999998</v>
      </c>
      <c r="AT289" s="12">
        <f>(AT160-AS160)*-1</f>
        <v>-57.3807499999998</v>
      </c>
      <c r="AU289" s="12">
        <f>(AU160-AT160)*-1</f>
        <v>-57.3807499999998</v>
      </c>
      <c r="AV289" s="12">
        <f>SUM(AR289:AU289)</f>
        <v>-229.522999999999</v>
      </c>
      <c r="AW289" s="12">
        <f>(AW160-AV160)*-1</f>
        <v>-57.3807499999998</v>
      </c>
      <c r="AX289" s="12">
        <f>(AX160-AW160)*-1</f>
        <v>-57.3807499999998</v>
      </c>
      <c r="AY289" s="12">
        <f>(AY160-AX160)*-1</f>
        <v>-57.3807499999998</v>
      </c>
      <c r="AZ289" s="12">
        <f>(AZ160-AY160)*-1</f>
        <v>-57.3807499999998</v>
      </c>
      <c r="BA289" s="12">
        <f>SUM(AW289:AZ289)</f>
        <v>-229.522999999999</v>
      </c>
      <c r="BB289" s="12">
        <f>(BB160-BA160)*-1</f>
        <v>-57.3807499999998</v>
      </c>
      <c r="BC289" s="12">
        <f>(BC160-BB160)*-1</f>
        <v>-57.3807499999998</v>
      </c>
      <c r="BD289" s="12">
        <f>(BD160-BC160)*-1</f>
        <v>-57.3807499999998</v>
      </c>
      <c r="BE289" s="12">
        <f>(BE160-BD160)*-1</f>
        <v>-57.3807499999998</v>
      </c>
      <c r="BF289" s="12">
        <f>SUM(BB289:BE289)</f>
        <v>-229.522999999999</v>
      </c>
      <c r="BG289" s="12" t="n"/>
      <c r="BH289" s="12" t="n"/>
      <c r="BI289" s="12" t="n"/>
      <c r="BJ289" s="12" t="n"/>
      <c r="BK289" s="12" t="n"/>
      <c r="BL289" s="12" t="n"/>
      <c r="BM289" s="12" t="n"/>
      <c r="BN289" s="12" t="n"/>
      <c r="BO289" s="12" t="n"/>
      <c r="BP289" s="12" t="n"/>
      <c r="BQ289" s="12" t="n"/>
      <c r="BR289" s="12" t="n"/>
      <c r="BS289" s="12" t="n"/>
      <c r="BT289" s="12" t="n"/>
      <c r="BU289" s="12" t="n"/>
      <c r="BV289" s="12" t="n"/>
      <c r="BW289" s="12" t="n"/>
      <c r="BX289" s="12" t="n"/>
      <c r="BY289" s="12" t="n"/>
      <c r="BZ289" s="12" t="n"/>
      <c r="CA289" s="12" t="n"/>
      <c r="CB289" s="12" t="n"/>
      <c r="CC289" s="12" t="n"/>
      <c r="CD289" s="12" t="n"/>
      <c r="CE289" s="12" t="n"/>
      <c r="CF289" s="12" t="n"/>
      <c r="CG289" s="12" t="n"/>
      <c r="CH289" s="12" t="n"/>
      <c r="CI289" s="12" t="n"/>
      <c r="CJ289" s="12" t="n"/>
      <c r="CK289" s="12" t="n"/>
      <c r="CL289" s="12" t="n"/>
      <c r="CM289" s="12" t="n"/>
      <c r="CN289" s="12" t="n"/>
      <c r="CO289" s="12" t="n"/>
      <c r="CP289" s="12" t="n"/>
      <c r="CQ289" s="12" t="n"/>
      <c r="CR289" s="12" t="n"/>
      <c r="CS289" s="12" t="n"/>
      <c r="CT289" s="12" t="n"/>
      <c r="CU289" s="12" t="n"/>
      <c r="CV289" s="12" t="n"/>
      <c r="CW289" s="12" t="n"/>
      <c r="CX289" s="12" t="n"/>
      <c r="CY289" s="12" t="n"/>
    </row>
    <row r="290">
      <c r="C290" s="10" t="inlineStr">
        <is>
          <t>Dividends received from affiliates</t>
        </is>
      </c>
      <c r="D290" s="12" t="n"/>
      <c r="E290" s="12" t="n"/>
      <c r="F290" s="12" t="n"/>
      <c r="G290" s="12" t="n"/>
      <c r="H290" s="12" t="n"/>
      <c r="I290" s="12">
        <f>-I163</f>
        <v>0</v>
      </c>
      <c r="J290" s="12">
        <f>-J163</f>
        <v>0</v>
      </c>
      <c r="K290" s="12">
        <f>-K163</f>
        <v>0</v>
      </c>
      <c r="L290" s="12">
        <f>-L163</f>
        <v>0</v>
      </c>
      <c r="M290" s="12">
        <f>SUM(I290:L290)</f>
        <v>0</v>
      </c>
      <c r="N290" s="12">
        <f>-N163</f>
        <v>0</v>
      </c>
      <c r="O290" s="12">
        <f>-O163</f>
        <v>0</v>
      </c>
      <c r="P290" s="12">
        <f>-P163</f>
        <v>0</v>
      </c>
      <c r="Q290" s="12">
        <f>-Q163</f>
        <v>0</v>
      </c>
      <c r="R290" s="12">
        <f>SUM(N290:Q290)</f>
        <v>0</v>
      </c>
      <c r="S290" s="12">
        <f>-S163</f>
        <v>0</v>
      </c>
      <c r="T290" s="12">
        <f>-T163</f>
        <v>0</v>
      </c>
      <c r="U290" s="12">
        <f>-U163</f>
        <v>0</v>
      </c>
      <c r="V290" s="12">
        <f>-V163</f>
        <v>0</v>
      </c>
      <c r="W290" s="12">
        <f>SUM(S290:V290)</f>
        <v>0</v>
      </c>
      <c r="X290" s="12">
        <f>-X163</f>
        <v>0</v>
      </c>
      <c r="Y290" s="12">
        <f>-Y163</f>
        <v>0</v>
      </c>
      <c r="Z290" s="12">
        <f>-Z163</f>
        <v>0</v>
      </c>
      <c r="AA290" s="12">
        <f>-AA163</f>
        <v>0</v>
      </c>
      <c r="AB290" s="12">
        <f>SUM(X290:AA290)</f>
        <v>0</v>
      </c>
      <c r="AC290" s="12">
        <f>-AC163</f>
        <v>0</v>
      </c>
      <c r="AD290" s="12">
        <f>-AD163</f>
        <v>0</v>
      </c>
      <c r="AE290" s="12">
        <f>-AE163</f>
        <v>0</v>
      </c>
      <c r="AF290" s="12">
        <f>-AF163</f>
        <v>0</v>
      </c>
      <c r="AG290" s="12">
        <f>SUM(AC290:AF290)</f>
        <v>0</v>
      </c>
      <c r="AH290" s="12">
        <f>-AH163</f>
        <v>0</v>
      </c>
      <c r="AI290" s="12">
        <f>-AI163</f>
        <v>0</v>
      </c>
      <c r="AJ290" s="12">
        <f>-AJ163</f>
        <v>0</v>
      </c>
      <c r="AK290" s="12">
        <f>-AK163</f>
        <v>0</v>
      </c>
      <c r="AL290" s="12">
        <f>SUM(AH290:AK290)</f>
        <v>0</v>
      </c>
      <c r="AM290" s="12">
        <f>-AM163</f>
        <v>0</v>
      </c>
      <c r="AN290" s="12">
        <f>-AN163</f>
        <v>0</v>
      </c>
      <c r="AO290" s="12">
        <f>-AO163</f>
        <v>0</v>
      </c>
      <c r="AP290" s="12">
        <f>-AP163</f>
        <v>0</v>
      </c>
      <c r="AQ290" s="12">
        <f>SUM(AM290:AP290)</f>
        <v>0</v>
      </c>
      <c r="AR290" s="12">
        <f>-AR163</f>
        <v>0</v>
      </c>
      <c r="AS290" s="12">
        <f>-AS163</f>
        <v>0</v>
      </c>
      <c r="AT290" s="12">
        <f>-AT163</f>
        <v>0</v>
      </c>
      <c r="AU290" s="12">
        <f>-AU163</f>
        <v>0</v>
      </c>
      <c r="AV290" s="12">
        <f>SUM(AR290:AU290)</f>
        <v>0</v>
      </c>
      <c r="AW290" s="12">
        <f>-AW163</f>
        <v>0</v>
      </c>
      <c r="AX290" s="12">
        <f>-AX163</f>
        <v>0</v>
      </c>
      <c r="AY290" s="12">
        <f>-AY163</f>
        <v>0</v>
      </c>
      <c r="AZ290" s="12">
        <f>-AZ163</f>
        <v>0</v>
      </c>
      <c r="BA290" s="12">
        <f>SUM(AW290:AZ290)</f>
        <v>0</v>
      </c>
      <c r="BB290" s="12">
        <f>-BB163</f>
        <v>0</v>
      </c>
      <c r="BC290" s="12">
        <f>-BC163</f>
        <v>0</v>
      </c>
      <c r="BD290" s="12">
        <f>-BD163</f>
        <v>0</v>
      </c>
      <c r="BE290" s="12">
        <f>-BE163</f>
        <v>0</v>
      </c>
      <c r="BF290" s="12">
        <f>SUM(BB290:BE290)</f>
        <v>0</v>
      </c>
      <c r="BG290" s="12" t="n"/>
      <c r="BH290" s="12" t="n"/>
      <c r="BI290" s="12" t="n"/>
      <c r="BJ290" s="12" t="n"/>
      <c r="BK290" s="12" t="n"/>
      <c r="BL290" s="12" t="n"/>
      <c r="BM290" s="12" t="n"/>
      <c r="BN290" s="12" t="n"/>
      <c r="BO290" s="12" t="n"/>
      <c r="BP290" s="12" t="n"/>
      <c r="BQ290" s="12" t="n"/>
      <c r="BR290" s="12" t="n"/>
      <c r="BS290" s="12" t="n"/>
      <c r="BT290" s="12" t="n"/>
      <c r="BU290" s="12" t="n"/>
      <c r="BV290" s="12" t="n"/>
      <c r="BW290" s="12" t="n"/>
      <c r="BX290" s="12" t="n"/>
      <c r="BY290" s="12" t="n"/>
      <c r="BZ290" s="12" t="n"/>
      <c r="CA290" s="12" t="n"/>
      <c r="CB290" s="12" t="n"/>
      <c r="CC290" s="12" t="n"/>
      <c r="CD290" s="12" t="n"/>
      <c r="CE290" s="12" t="n"/>
      <c r="CF290" s="12" t="n"/>
      <c r="CG290" s="12" t="n"/>
      <c r="CH290" s="12" t="n"/>
      <c r="CI290" s="12" t="n"/>
      <c r="CJ290" s="12" t="n"/>
      <c r="CK290" s="12" t="n"/>
      <c r="CL290" s="12" t="n"/>
      <c r="CM290" s="12" t="n"/>
      <c r="CN290" s="12" t="n"/>
      <c r="CO290" s="12" t="n"/>
      <c r="CP290" s="12" t="n"/>
      <c r="CQ290" s="12" t="n"/>
      <c r="CR290" s="12" t="n"/>
      <c r="CS290" s="12" t="n"/>
      <c r="CT290" s="12" t="n"/>
      <c r="CU290" s="12" t="n"/>
      <c r="CV290" s="12" t="n"/>
      <c r="CW290" s="12" t="n"/>
      <c r="CX290" s="12" t="n"/>
      <c r="CY290" s="12" t="n"/>
    </row>
    <row r="291">
      <c r="C291" s="71" t="inlineStr">
        <is>
          <t>Minority interest expense</t>
        </is>
      </c>
      <c r="D291" s="12" t="n"/>
      <c r="E291" s="12" t="n"/>
      <c r="F291" s="12" t="n"/>
      <c r="G291" s="12" t="n"/>
      <c r="H291" s="12" t="n"/>
      <c r="I291" s="12">
        <f>-I135</f>
        <v>29.436</v>
      </c>
      <c r="J291" s="12">
        <f>-J135</f>
        <v>-15.169</v>
      </c>
      <c r="K291" s="12">
        <f>-K135</f>
        <v>234.281</v>
      </c>
      <c r="L291" s="12">
        <f>-L135</f>
        <v>-34.187</v>
      </c>
      <c r="M291" s="12">
        <f>SUM(I291:L291)</f>
        <v>214.361</v>
      </c>
      <c r="N291" s="12">
        <f>-N135</f>
        <v>4.214</v>
      </c>
      <c r="O291" s="12">
        <f>-O135</f>
        <v>0</v>
      </c>
      <c r="P291" s="12">
        <f>-P135</f>
        <v>0</v>
      </c>
      <c r="Q291" s="12">
        <f>-Q135</f>
        <v>0</v>
      </c>
      <c r="R291" s="12">
        <f>SUM(N291:Q291)</f>
        <v>4.214</v>
      </c>
      <c r="S291" s="12">
        <f>-S135</f>
        <v>0</v>
      </c>
      <c r="T291" s="12">
        <f>-T135</f>
        <v>0</v>
      </c>
      <c r="U291" s="12">
        <f>-U135</f>
        <v>0</v>
      </c>
      <c r="V291" s="12">
        <f>-V135</f>
        <v>0</v>
      </c>
      <c r="W291" s="12">
        <f>SUM(S291:V291)</f>
        <v>0</v>
      </c>
      <c r="X291" s="12">
        <f>-X135</f>
        <v>0</v>
      </c>
      <c r="Y291" s="12">
        <f>-Y135</f>
        <v>0</v>
      </c>
      <c r="Z291" s="12">
        <f>-Z135</f>
        <v>0</v>
      </c>
      <c r="AA291" s="12">
        <f>-AA135</f>
        <v>20.931</v>
      </c>
      <c r="AB291" s="12">
        <f>SUM(X291:AA291)</f>
        <v>20.931</v>
      </c>
      <c r="AC291" s="12">
        <f>-AC135</f>
        <v>45.501</v>
      </c>
      <c r="AD291" s="12">
        <f>-AD135</f>
        <v>52.537</v>
      </c>
      <c r="AE291" s="12">
        <f>-AE135</f>
        <v>-6.661</v>
      </c>
      <c r="AF291" s="12">
        <f>-AF135</f>
        <v>14.78</v>
      </c>
      <c r="AG291" s="12">
        <f>SUM(AC291:AF291)</f>
        <v>106.157</v>
      </c>
      <c r="AH291" s="12">
        <f>-AH135</f>
        <v>19.732</v>
      </c>
      <c r="AI291" s="12">
        <f>-AI135</f>
        <v>31.886</v>
      </c>
      <c r="AJ291" s="12">
        <f>-AJ135</f>
        <v>14.93425</v>
      </c>
      <c r="AK291" s="12">
        <f>-AK135</f>
        <v>14.93425</v>
      </c>
      <c r="AL291" s="12">
        <f>SUM(AH291:AK291)</f>
        <v>81.4865</v>
      </c>
      <c r="AM291" s="12">
        <f>-AM135</f>
        <v>14.93425</v>
      </c>
      <c r="AN291" s="12">
        <f>-AN135</f>
        <v>14.93425</v>
      </c>
      <c r="AO291" s="12">
        <f>-AO135</f>
        <v>14.93425</v>
      </c>
      <c r="AP291" s="12">
        <f>-AP135</f>
        <v>14.93425</v>
      </c>
      <c r="AQ291" s="12">
        <f>SUM(AM291:AP291)</f>
        <v>59.737</v>
      </c>
      <c r="AR291" s="12">
        <f>-AR135</f>
        <v>14.93425</v>
      </c>
      <c r="AS291" s="12">
        <f>-AS135</f>
        <v>14.93425</v>
      </c>
      <c r="AT291" s="12">
        <f>-AT135</f>
        <v>14.93425</v>
      </c>
      <c r="AU291" s="12">
        <f>-AU135</f>
        <v>14.93425</v>
      </c>
      <c r="AV291" s="12">
        <f>SUM(AR291:AU291)</f>
        <v>59.737</v>
      </c>
      <c r="AW291" s="12">
        <f>-AW135</f>
        <v>14.93425</v>
      </c>
      <c r="AX291" s="12">
        <f>-AX135</f>
        <v>14.93425</v>
      </c>
      <c r="AY291" s="12">
        <f>-AY135</f>
        <v>14.93425</v>
      </c>
      <c r="AZ291" s="12">
        <f>-AZ135</f>
        <v>14.93425</v>
      </c>
      <c r="BA291" s="12">
        <f>SUM(AW291:AZ291)</f>
        <v>59.737</v>
      </c>
      <c r="BB291" s="12">
        <f>-BB135</f>
        <v>14.93425</v>
      </c>
      <c r="BC291" s="12">
        <f>-BC135</f>
        <v>14.93425</v>
      </c>
      <c r="BD291" s="12">
        <f>-BD135</f>
        <v>14.93425</v>
      </c>
      <c r="BE291" s="12">
        <f>-BE135</f>
        <v>14.93425</v>
      </c>
      <c r="BF291" s="12">
        <f>SUM(BB291:BE291)</f>
        <v>59.737</v>
      </c>
      <c r="BG291" s="12" t="n"/>
      <c r="BH291" s="12" t="n"/>
      <c r="BI291" s="12" t="n"/>
      <c r="BJ291" s="12" t="n"/>
      <c r="BK291" s="12" t="n"/>
      <c r="BL291" s="12" t="n"/>
      <c r="BM291" s="12" t="n"/>
      <c r="BN291" s="12" t="n"/>
      <c r="BO291" s="12" t="n"/>
      <c r="BP291" s="12" t="n"/>
      <c r="BQ291" s="12" t="n"/>
      <c r="BR291" s="12" t="n"/>
      <c r="BS291" s="12" t="n"/>
      <c r="BT291" s="12" t="n"/>
      <c r="BU291" s="12" t="n"/>
      <c r="BV291" s="12" t="n"/>
      <c r="BW291" s="12" t="n"/>
      <c r="BX291" s="12" t="n"/>
      <c r="BY291" s="12" t="n"/>
      <c r="BZ291" s="12" t="n"/>
      <c r="CA291" s="12" t="n"/>
      <c r="CB291" s="12" t="n"/>
      <c r="CC291" s="12" t="n"/>
      <c r="CD291" s="12" t="n"/>
      <c r="CE291" s="12" t="n"/>
      <c r="CF291" s="12" t="n"/>
      <c r="CG291" s="12" t="n"/>
      <c r="CH291" s="12" t="n"/>
      <c r="CI291" s="12" t="n"/>
      <c r="CJ291" s="12" t="n"/>
      <c r="CK291" s="12" t="n"/>
      <c r="CL291" s="12" t="n"/>
      <c r="CM291" s="12" t="n"/>
      <c r="CN291" s="12" t="n"/>
      <c r="CO291" s="12" t="n"/>
      <c r="CP291" s="12" t="n"/>
      <c r="CQ291" s="12" t="n"/>
      <c r="CR291" s="12" t="n"/>
      <c r="CS291" s="12" t="n"/>
      <c r="CT291" s="12" t="n"/>
      <c r="CU291" s="12" t="n"/>
      <c r="CV291" s="12" t="n"/>
      <c r="CW291" s="12" t="n"/>
      <c r="CX291" s="12" t="n"/>
      <c r="CY291" s="12" t="n"/>
    </row>
    <row r="292">
      <c r="C292" s="14" t="inlineStr">
        <is>
          <t>Cash from operations</t>
        </is>
      </c>
      <c r="D292" s="12" t="n"/>
      <c r="E292" s="12" t="n"/>
      <c r="F292" s="12" t="n"/>
      <c r="G292" s="12" t="n"/>
      <c r="H292" s="12" t="n"/>
      <c r="I292" s="12">
        <f>SUM(I276,I277,I278,I289,I290,I291)</f>
        <v>-2472.208</v>
      </c>
      <c r="J292" s="12">
        <f>SUM(J276,J277,J278,J289,J290,J291)</f>
        <v>-500.432</v>
      </c>
      <c r="K292" s="12">
        <f>SUM(K276,K277,K278,K289,K290,K291)</f>
        <v>1009.764</v>
      </c>
      <c r="L292" s="12">
        <f>SUM(L276,L277,L278,L289,L290,L291)</f>
        <v>427.871</v>
      </c>
      <c r="M292" s="12">
        <f>SUM(M276,M277,M278,M289,M290,M291)</f>
        <v>-1535.005</v>
      </c>
      <c r="N292" s="12">
        <f>SUM(N276,N277,N278,N289,N290,N291)</f>
        <v>-695.456</v>
      </c>
      <c r="O292" s="12">
        <f>SUM(O276,O277,O278,O289,O290,O291)</f>
        <v>139.009</v>
      </c>
      <c r="P292" s="12">
        <f>SUM(P276,P277,P278,P289,P290,P291)</f>
        <v>279.8</v>
      </c>
      <c r="Q292" s="12">
        <f>SUM(Q276,Q277,Q278,Q289,Q290,Q291)</f>
        <v>2330.834</v>
      </c>
      <c r="R292" s="12">
        <f>SUM(R276,R277,R278,R289,R290,R291)</f>
        <v>2054.187</v>
      </c>
      <c r="S292" s="12">
        <f>SUM(S276,S277,S278,S289,S290,S291)</f>
        <v>-234.71</v>
      </c>
      <c r="T292" s="12">
        <f>SUM(T276,T277,T278,T289,T290,T291)</f>
        <v>671.369999999999</v>
      </c>
      <c r="U292" s="12">
        <f>SUM(U276,U277,U278,U289,U290,U291)</f>
        <v>-67.8429999999997</v>
      </c>
      <c r="V292" s="12">
        <f>SUM(V276,V277,V278,V289,V290,V291)</f>
        <v>-198.413</v>
      </c>
      <c r="W292" s="12">
        <f>SUM(W276,W277,W278,W289,W290,W291)</f>
        <v>170.404</v>
      </c>
      <c r="X292" s="12">
        <f>SUM(X276,X277,X278,X289,X290,X291)</f>
        <v>236.615</v>
      </c>
      <c r="Y292" s="12">
        <f>SUM(Y276,Y277,Y278,Y289,Y290,Y291)</f>
        <v>157.755</v>
      </c>
      <c r="Z292" s="12">
        <f>SUM(Z276,Z277,Z278,Z289,Z290,Z291)</f>
        <v>415.504</v>
      </c>
      <c r="AA292" s="12">
        <f>SUM(AA276,AA277,AA278,AA289,AA290,AA291)</f>
        <v>1409.851</v>
      </c>
      <c r="AB292" s="12">
        <f>SUM(AB276,AB277,AB278,AB289,AB290,AB291)</f>
        <v>2219.725</v>
      </c>
      <c r="AC292" s="12">
        <f>SUM(AC276,AC277,AC278,AC289,AC290,AC291)</f>
        <v>366.683999999999</v>
      </c>
      <c r="AD292" s="12">
        <f>SUM(AD276,AD277,AD278,AD289,AD290,AD291)</f>
        <v>79.9749999999999</v>
      </c>
      <c r="AE292" s="12">
        <f>SUM(AE276,AE277,AE278,AE289,AE290,AE291)</f>
        <v>457.462</v>
      </c>
      <c r="AF292" s="12">
        <f>SUM(AF276,AF277,AF278,AF289,AF290,AF291)</f>
        <v>561.75</v>
      </c>
      <c r="AG292" s="12">
        <f>SUM(AG276,AG277,AG278,AG289,AG290,AG291)</f>
        <v>1465.871</v>
      </c>
      <c r="AH292" s="12">
        <f>SUM(AH276,AH277,AH278,AH289,AH290,AH291)</f>
        <v>9.80099999999933</v>
      </c>
      <c r="AI292" s="12">
        <f>SUM(AI276,AI277,AI278,AI289,AI290,AI291)</f>
        <v>321.353</v>
      </c>
      <c r="AJ292" s="12">
        <f>SUM(AJ276,AJ277,AJ278,AJ289,AJ290,AJ291)</f>
        <v>590.348682846249</v>
      </c>
      <c r="AK292" s="12">
        <f>SUM(AK276,AK277,AK278,AK289,AK290,AK291)</f>
        <v>727.406500445425</v>
      </c>
      <c r="AL292" s="12">
        <f>SUM(AL276,AL277,AL278,AL289,AL290,AL291)</f>
        <v>1648.90918329167</v>
      </c>
      <c r="AM292" s="12">
        <f>SUM(AM276,AM277,AM278,AM289,AM290,AM291)</f>
        <v>578.473008736147</v>
      </c>
      <c r="AN292" s="12">
        <f>SUM(AN276,AN277,AN278,AN289,AN290,AN291)</f>
        <v>521.649071602262</v>
      </c>
      <c r="AO292" s="12">
        <f>SUM(AO276,AO277,AO278,AO289,AO290,AO291)</f>
        <v>770.006452226227</v>
      </c>
      <c r="AP292" s="12">
        <f>SUM(AP276,AP277,AP278,AP289,AP290,AP291)</f>
        <v>948.254624668433</v>
      </c>
      <c r="AQ292" s="12">
        <f>SUM(AQ276,AQ277,AQ278,AQ289,AQ290,AQ291)</f>
        <v>2818.38315723307</v>
      </c>
      <c r="AR292" s="12">
        <f>SUM(AR276,AR277,AR278,AR289,AR290,AR291)</f>
        <v>778.662611248591</v>
      </c>
      <c r="AS292" s="12">
        <f>SUM(AS276,AS277,AS278,AS289,AS290,AS291)</f>
        <v>708.336814127973</v>
      </c>
      <c r="AT292" s="12">
        <f>SUM(AT276,AT277,AT278,AT289,AT290,AT291)</f>
        <v>999.890143813869</v>
      </c>
      <c r="AU292" s="12">
        <f>SUM(AU276,AU277,AU278,AU289,AU290,AU291)</f>
        <v>1208.23617777809</v>
      </c>
      <c r="AV292" s="12">
        <f>SUM(AV276,AV277,AV278,AV289,AV290,AV291)</f>
        <v>3695.12574696852</v>
      </c>
      <c r="AW292" s="12">
        <f>SUM(AW276,AW277,AW278,AW289,AW290,AW291)</f>
        <v>1010.08683986018</v>
      </c>
      <c r="AX292" s="12">
        <f>SUM(AX276,AX277,AX278,AX289,AX290,AX291)</f>
        <v>942.894030459935</v>
      </c>
      <c r="AY292" s="12">
        <f>SUM(AY276,AY277,AY278,AY289,AY290,AY291)</f>
        <v>1276.31974107012</v>
      </c>
      <c r="AZ292" s="12">
        <f>SUM(AZ276,AZ277,AZ278,AZ289,AZ290,AZ291)</f>
        <v>1520.47036240077</v>
      </c>
      <c r="BA292" s="12">
        <f>SUM(BA276,BA277,BA278,BA289,BA290,BA291)</f>
        <v>4749.770973791</v>
      </c>
      <c r="BB292" s="12">
        <f>SUM(BB276,BB277,BB278,BB289,BB290,BB291)</f>
        <v>1296.17308678947</v>
      </c>
      <c r="BC292" s="12">
        <f>SUM(BC276,BC277,BC278,BC289,BC290,BC291)</f>
        <v>1226.73893264437</v>
      </c>
      <c r="BD292" s="12">
        <f>SUM(BD276,BD277,BD278,BD289,BD290,BD291)</f>
        <v>1613.57804743205</v>
      </c>
      <c r="BE292" s="12">
        <f>SUM(BE276,BE277,BE278,BE289,BE290,BE291)</f>
        <v>1900.67093148739</v>
      </c>
      <c r="BF292" s="12">
        <f>SUM(BF276,BF277,BF278,BF289,BF290,BF291)</f>
        <v>6037.16099835328</v>
      </c>
      <c r="BG292" s="12" t="n"/>
      <c r="BH292" s="12" t="n"/>
      <c r="BI292" s="12" t="n"/>
      <c r="BJ292" s="12" t="n"/>
      <c r="BK292" s="12" t="n"/>
      <c r="BL292" s="12" t="n"/>
      <c r="BM292" s="12" t="n"/>
      <c r="BN292" s="12" t="n"/>
      <c r="BO292" s="12" t="n"/>
      <c r="BP292" s="12" t="n"/>
      <c r="BQ292" s="12" t="n"/>
      <c r="BR292" s="12" t="n"/>
      <c r="BS292" s="12" t="n"/>
      <c r="BT292" s="12" t="n"/>
      <c r="BU292" s="12" t="n"/>
      <c r="BV292" s="12" t="n"/>
      <c r="BW292" s="12" t="n"/>
      <c r="BX292" s="12" t="n"/>
      <c r="BY292" s="12" t="n"/>
      <c r="BZ292" s="12" t="n"/>
      <c r="CA292" s="12" t="n"/>
      <c r="CB292" s="12" t="n"/>
      <c r="CC292" s="12" t="n"/>
      <c r="CD292" s="12" t="n"/>
      <c r="CE292" s="12" t="n"/>
      <c r="CF292" s="12" t="n"/>
      <c r="CG292" s="12" t="n"/>
      <c r="CH292" s="12" t="n"/>
      <c r="CI292" s="12" t="n"/>
      <c r="CJ292" s="12" t="n"/>
      <c r="CK292" s="12" t="n"/>
      <c r="CL292" s="12" t="n"/>
      <c r="CM292" s="12" t="n"/>
      <c r="CN292" s="12" t="n"/>
      <c r="CO292" s="12" t="n"/>
      <c r="CP292" s="12" t="n"/>
      <c r="CQ292" s="12" t="n"/>
      <c r="CR292" s="12" t="n"/>
      <c r="CS292" s="12" t="n"/>
      <c r="CT292" s="12" t="n"/>
      <c r="CU292" s="12" t="n"/>
      <c r="CV292" s="12" t="n"/>
      <c r="CW292" s="12" t="n"/>
      <c r="CX292" s="12" t="n"/>
      <c r="CY292" s="12" t="n"/>
    </row>
    <row r="293">
      <c r="C293" s="14" t="n"/>
      <c r="D293" s="12" t="n"/>
      <c r="E293" s="12" t="n"/>
      <c r="F293" s="12" t="n"/>
      <c r="G293" s="12" t="n"/>
      <c r="H293" s="12" t="n"/>
      <c r="I293" s="12" t="n"/>
      <c r="J293" s="12" t="n"/>
      <c r="K293" s="12" t="n"/>
      <c r="L293" s="12" t="n"/>
      <c r="M293" s="12" t="n"/>
      <c r="N293" s="12" t="n"/>
      <c r="O293" s="12" t="n"/>
      <c r="P293" s="12" t="n"/>
      <c r="Q293" s="12" t="n"/>
      <c r="R293" s="12" t="n"/>
      <c r="S293" s="12" t="n"/>
      <c r="T293" s="12" t="n"/>
      <c r="U293" s="12" t="n"/>
      <c r="V293" s="12" t="n"/>
      <c r="W293" s="12" t="n"/>
      <c r="X293" s="12" t="n"/>
      <c r="Y293" s="12" t="n"/>
      <c r="Z293" s="12" t="n"/>
      <c r="AA293" s="12" t="n"/>
      <c r="AB293" s="12" t="n"/>
      <c r="AC293" s="12" t="n"/>
      <c r="AD293" s="12" t="n"/>
      <c r="AE293" s="12" t="n"/>
      <c r="AF293" s="12" t="n"/>
      <c r="AG293" s="12" t="n"/>
      <c r="AH293" s="12" t="n"/>
      <c r="AI293" s="12" t="n"/>
      <c r="AJ293" s="12" t="n"/>
      <c r="AK293" s="12" t="n"/>
      <c r="AL293" s="12" t="n"/>
      <c r="AM293" s="12" t="n"/>
      <c r="AN293" s="12" t="n"/>
      <c r="AO293" s="12" t="n"/>
      <c r="AP293" s="12" t="n"/>
      <c r="AQ293" s="12" t="n"/>
      <c r="AR293" s="12" t="n"/>
      <c r="AS293" s="12" t="n"/>
      <c r="AT293" s="12" t="n"/>
      <c r="AU293" s="12" t="n"/>
      <c r="AV293" s="12" t="n"/>
      <c r="AW293" s="12" t="n"/>
      <c r="AX293" s="12" t="n"/>
      <c r="AY293" s="12" t="n"/>
      <c r="AZ293" s="12" t="n"/>
      <c r="BA293" s="12" t="n"/>
      <c r="BB293" s="12" t="n"/>
      <c r="BC293" s="12" t="n"/>
      <c r="BD293" s="12" t="n"/>
      <c r="BE293" s="12" t="n"/>
      <c r="BF293" s="12" t="n"/>
      <c r="BG293" s="12" t="n"/>
      <c r="BH293" s="12" t="n"/>
      <c r="BI293" s="12" t="n"/>
      <c r="BJ293" s="12" t="n"/>
      <c r="BK293" s="12" t="n"/>
      <c r="BL293" s="12" t="n"/>
      <c r="BM293" s="12" t="n"/>
      <c r="BN293" s="12" t="n"/>
      <c r="BO293" s="12" t="n"/>
      <c r="BP293" s="12" t="n"/>
      <c r="BQ293" s="12" t="n"/>
      <c r="BR293" s="12" t="n"/>
      <c r="BS293" s="12" t="n"/>
      <c r="BT293" s="12" t="n"/>
      <c r="BU293" s="12" t="n"/>
      <c r="BV293" s="12" t="n"/>
      <c r="BW293" s="12" t="n"/>
      <c r="BX293" s="12" t="n"/>
      <c r="BY293" s="12" t="n"/>
      <c r="BZ293" s="12" t="n"/>
      <c r="CA293" s="12" t="n"/>
      <c r="CB293" s="12" t="n"/>
      <c r="CC293" s="12" t="n"/>
      <c r="CD293" s="12" t="n"/>
      <c r="CE293" s="12" t="n"/>
      <c r="CF293" s="12" t="n"/>
      <c r="CG293" s="12" t="n"/>
      <c r="CH293" s="12" t="n"/>
      <c r="CI293" s="12" t="n"/>
      <c r="CJ293" s="12" t="n"/>
      <c r="CK293" s="12" t="n"/>
      <c r="CL293" s="12" t="n"/>
      <c r="CM293" s="12" t="n"/>
      <c r="CN293" s="12" t="n"/>
      <c r="CO293" s="12" t="n"/>
      <c r="CP293" s="12" t="n"/>
      <c r="CQ293" s="12" t="n"/>
      <c r="CR293" s="12" t="n"/>
      <c r="CS293" s="12" t="n"/>
      <c r="CT293" s="12" t="n"/>
      <c r="CU293" s="12" t="n"/>
      <c r="CV293" s="12" t="n"/>
      <c r="CW293" s="12" t="n"/>
      <c r="CX293" s="12" t="n"/>
      <c r="CY293" s="12" t="n"/>
    </row>
    <row r="294">
      <c r="C294" s="10" t="inlineStr">
        <is>
          <t>Purchase of fixed assets (capital expenditures)</t>
        </is>
      </c>
      <c r="D294" s="12" t="n"/>
      <c r="E294" s="12" t="n"/>
      <c r="F294" s="12" t="n"/>
      <c r="G294" s="12" t="n"/>
      <c r="H294" s="12" t="n"/>
      <c r="I294" s="12">
        <f>-I167</f>
        <v>-8850.85</v>
      </c>
      <c r="J294" s="12">
        <f>-J167</f>
        <v>-38.5970000000013</v>
      </c>
      <c r="K294" s="12">
        <f>-K167</f>
        <v>-410.643999999999</v>
      </c>
      <c r="L294" s="12">
        <f>-L167</f>
        <v>-239.185999999999</v>
      </c>
      <c r="M294" s="12">
        <f>SUM(I294:L294)</f>
        <v>-9539.277</v>
      </c>
      <c r="N294" s="12">
        <f>-N167</f>
        <v>-347.708</v>
      </c>
      <c r="O294" s="12">
        <f>-O167</f>
        <v>-734.061000000001</v>
      </c>
      <c r="P294" s="12">
        <f>-P167</f>
        <v>-487.202999999999</v>
      </c>
      <c r="Q294" s="12">
        <f>-Q167</f>
        <v>-445.535000000001</v>
      </c>
      <c r="R294" s="12">
        <f>SUM(N294:Q294)</f>
        <v>-2014.507</v>
      </c>
      <c r="S294" s="12">
        <f>-S167</f>
        <v>-391.291</v>
      </c>
      <c r="T294" s="12">
        <f>-T167</f>
        <v>-727.962</v>
      </c>
      <c r="U294" s="12">
        <f>-U167</f>
        <v>-805.322</v>
      </c>
      <c r="V294" s="12">
        <f>-V167</f>
        <v>-205.012</v>
      </c>
      <c r="W294" s="12">
        <f>SUM(S294:V294)</f>
        <v>-2129.587</v>
      </c>
      <c r="X294" s="12">
        <f>-X167</f>
        <v>-49.6140000000002</v>
      </c>
      <c r="Y294" s="12">
        <f>-Y167</f>
        <v>-111.182999999999</v>
      </c>
      <c r="Z294" s="12">
        <f>-Z167</f>
        <v>-85.8350000000002</v>
      </c>
      <c r="AA294" s="12">
        <f>-AA167</f>
        <v>-14821.007</v>
      </c>
      <c r="AB294" s="12">
        <f>SUM(X294:AA294)</f>
        <v>-15067.639</v>
      </c>
      <c r="AC294" s="12">
        <f>-AC167</f>
        <v>-255.382000000002</v>
      </c>
      <c r="AD294" s="12">
        <f>-AD167</f>
        <v>-331.039000000001</v>
      </c>
      <c r="AE294" s="12">
        <f>-AE167</f>
        <v>-380.302</v>
      </c>
      <c r="AF294" s="12">
        <f>-AF167</f>
        <v>-182.690999999998</v>
      </c>
      <c r="AG294" s="12">
        <f>SUM(AC294:AF294)</f>
        <v>-1149.414</v>
      </c>
      <c r="AH294" s="12">
        <f>-AH167</f>
        <v>-243.715000000002</v>
      </c>
      <c r="AI294" s="12">
        <f>-AI167</f>
        <v>-279.081999999999</v>
      </c>
      <c r="AJ294" s="12">
        <f>-AJ167</f>
        <v>-350.890823724683</v>
      </c>
      <c r="AK294" s="12">
        <f>-AK167</f>
        <v>-377.111781080468</v>
      </c>
      <c r="AL294" s="12">
        <f>SUM(AH294:AK294)</f>
        <v>-1250.79960480515</v>
      </c>
      <c r="AM294" s="12">
        <f>-AM167</f>
        <v>-304.977911325146</v>
      </c>
      <c r="AN294" s="12">
        <f>-AN167</f>
        <v>-303.08963894575</v>
      </c>
      <c r="AO294" s="12">
        <f>-AO167</f>
        <v>-401.868865759329</v>
      </c>
      <c r="AP294" s="12">
        <f>-AP167</f>
        <v>-431.899250366824</v>
      </c>
      <c r="AQ294" s="12">
        <f>SUM(AM294:AP294)</f>
        <v>-1441.83566639705</v>
      </c>
      <c r="AR294" s="12">
        <f>-AR167</f>
        <v>-347.760754350807</v>
      </c>
      <c r="AS294" s="12">
        <f>-AS167</f>
        <v>-345.607591768556</v>
      </c>
      <c r="AT294" s="12">
        <f>-AT167</f>
        <v>-458.243743946333</v>
      </c>
      <c r="AU294" s="12">
        <f>-AU167</f>
        <v>-492.486844238974</v>
      </c>
      <c r="AV294" s="12">
        <f>SUM(AR294:AU294)</f>
        <v>-1644.09893430467</v>
      </c>
      <c r="AW294" s="12">
        <f>-AW167</f>
        <v>-394.806446804467</v>
      </c>
      <c r="AX294" s="12">
        <f>-AX167</f>
        <v>-392.362000564184</v>
      </c>
      <c r="AY294" s="12">
        <f>-AY167</f>
        <v>-520.235771444541</v>
      </c>
      <c r="AZ294" s="12">
        <f>-AZ167</f>
        <v>-559.111339158743</v>
      </c>
      <c r="BA294" s="12">
        <f>SUM(AW294:AZ294)</f>
        <v>-1866.51555797194</v>
      </c>
      <c r="BB294" s="12">
        <f>-BB167</f>
        <v>-446.242531849949</v>
      </c>
      <c r="BC294" s="12">
        <f>-BC167</f>
        <v>-443.479618812271</v>
      </c>
      <c r="BD294" s="12">
        <f>-BD167</f>
        <v>-588.013011660114</v>
      </c>
      <c r="BE294" s="12">
        <f>-BE167</f>
        <v>-631.953357377116</v>
      </c>
      <c r="BF294" s="12">
        <f>SUM(BB294:BE294)</f>
        <v>-2109.68851969945</v>
      </c>
      <c r="BG294" s="12" t="n"/>
      <c r="BH294" s="12" t="n"/>
      <c r="BI294" s="12" t="n"/>
      <c r="BJ294" s="12" t="n"/>
      <c r="BK294" s="12" t="n"/>
      <c r="BL294" s="12" t="n"/>
      <c r="BM294" s="12" t="n"/>
      <c r="BN294" s="12" t="n"/>
      <c r="BO294" s="12" t="n"/>
      <c r="BP294" s="12" t="n"/>
      <c r="BQ294" s="12" t="n"/>
      <c r="BR294" s="12" t="n"/>
      <c r="BS294" s="12" t="n"/>
      <c r="BT294" s="12" t="n"/>
      <c r="BU294" s="12" t="n"/>
      <c r="BV294" s="12" t="n"/>
      <c r="BW294" s="12" t="n"/>
      <c r="BX294" s="12" t="n"/>
      <c r="BY294" s="12" t="n"/>
      <c r="BZ294" s="12" t="n"/>
      <c r="CA294" s="12" t="n"/>
      <c r="CB294" s="12" t="n"/>
      <c r="CC294" s="12" t="n"/>
      <c r="CD294" s="12" t="n"/>
      <c r="CE294" s="12" t="n"/>
      <c r="CF294" s="12" t="n"/>
      <c r="CG294" s="12" t="n"/>
      <c r="CH294" s="12" t="n"/>
      <c r="CI294" s="12" t="n"/>
      <c r="CJ294" s="12" t="n"/>
      <c r="CK294" s="12" t="n"/>
      <c r="CL294" s="12" t="n"/>
      <c r="CM294" s="12" t="n"/>
      <c r="CN294" s="12" t="n"/>
      <c r="CO294" s="12" t="n"/>
      <c r="CP294" s="12" t="n"/>
      <c r="CQ294" s="12" t="n"/>
      <c r="CR294" s="12" t="n"/>
      <c r="CS294" s="12" t="n"/>
      <c r="CT294" s="12" t="n"/>
      <c r="CU294" s="12" t="n"/>
      <c r="CV294" s="12" t="n"/>
      <c r="CW294" s="12" t="n"/>
      <c r="CX294" s="12" t="n"/>
      <c r="CY294" s="12" t="n"/>
    </row>
    <row r="295">
      <c r="C295" s="10" t="inlineStr">
        <is>
          <t>Proceeds from sale of fixed assets</t>
        </is>
      </c>
      <c r="D295" s="12" t="n"/>
      <c r="E295" s="12" t="n"/>
      <c r="F295" s="12" t="n"/>
      <c r="G295" s="12" t="n"/>
      <c r="H295" s="12" t="n"/>
      <c r="I295" s="12">
        <f>-I168</f>
        <v>0</v>
      </c>
      <c r="J295" s="12">
        <f>-J168</f>
        <v>0</v>
      </c>
      <c r="K295" s="12">
        <f>-K168</f>
        <v>0</v>
      </c>
      <c r="L295" s="12">
        <f>-L168</f>
        <v>0</v>
      </c>
      <c r="M295" s="12">
        <f>SUM(I295:L295)</f>
        <v>0</v>
      </c>
      <c r="N295" s="12">
        <f>-N168</f>
        <v>0</v>
      </c>
      <c r="O295" s="12">
        <f>-O168</f>
        <v>0</v>
      </c>
      <c r="P295" s="12">
        <f>-P168</f>
        <v>0</v>
      </c>
      <c r="Q295" s="12">
        <f>-Q168</f>
        <v>0</v>
      </c>
      <c r="R295" s="12">
        <f>SUM(N295:Q295)</f>
        <v>0</v>
      </c>
      <c r="S295" s="12">
        <f>-S168</f>
        <v>0</v>
      </c>
      <c r="T295" s="12">
        <f>-T168</f>
        <v>0</v>
      </c>
      <c r="U295" s="12">
        <f>-U168</f>
        <v>0</v>
      </c>
      <c r="V295" s="12">
        <f>-V168</f>
        <v>0</v>
      </c>
      <c r="W295" s="12">
        <f>SUM(S295:V295)</f>
        <v>0</v>
      </c>
      <c r="X295" s="12">
        <f>-X168</f>
        <v>0</v>
      </c>
      <c r="Y295" s="12">
        <f>-Y168</f>
        <v>0</v>
      </c>
      <c r="Z295" s="12">
        <f>-Z168</f>
        <v>0</v>
      </c>
      <c r="AA295" s="12">
        <f>-AA168</f>
        <v>0</v>
      </c>
      <c r="AB295" s="12">
        <f>SUM(X295:AA295)</f>
        <v>0</v>
      </c>
      <c r="AC295" s="12">
        <f>-AC168</f>
        <v>0</v>
      </c>
      <c r="AD295" s="12">
        <f>-AD168</f>
        <v>0</v>
      </c>
      <c r="AE295" s="12">
        <f>-AE168</f>
        <v>0</v>
      </c>
      <c r="AF295" s="12">
        <f>-AF168</f>
        <v>0</v>
      </c>
      <c r="AG295" s="12">
        <f>SUM(AC295:AF295)</f>
        <v>0</v>
      </c>
      <c r="AH295" s="12">
        <f>-AH168</f>
        <v>0</v>
      </c>
      <c r="AI295" s="12">
        <f>-AI168</f>
        <v>0</v>
      </c>
      <c r="AJ295" s="12">
        <f>-AJ168</f>
        <v>0</v>
      </c>
      <c r="AK295" s="12">
        <f>-AK168</f>
        <v>0</v>
      </c>
      <c r="AL295" s="12">
        <f>SUM(AH295:AK295)</f>
        <v>0</v>
      </c>
      <c r="AM295" s="12">
        <f>-AM168</f>
        <v>0</v>
      </c>
      <c r="AN295" s="12">
        <f>-AN168</f>
        <v>0</v>
      </c>
      <c r="AO295" s="12">
        <f>-AO168</f>
        <v>0</v>
      </c>
      <c r="AP295" s="12">
        <f>-AP168</f>
        <v>0</v>
      </c>
      <c r="AQ295" s="12">
        <f>SUM(AM295:AP295)</f>
        <v>0</v>
      </c>
      <c r="AR295" s="12">
        <f>-AR168</f>
        <v>0</v>
      </c>
      <c r="AS295" s="12">
        <f>-AS168</f>
        <v>0</v>
      </c>
      <c r="AT295" s="12">
        <f>-AT168</f>
        <v>0</v>
      </c>
      <c r="AU295" s="12">
        <f>-AU168</f>
        <v>0</v>
      </c>
      <c r="AV295" s="12">
        <f>SUM(AR295:AU295)</f>
        <v>0</v>
      </c>
      <c r="AW295" s="12">
        <f>-AW168</f>
        <v>0</v>
      </c>
      <c r="AX295" s="12">
        <f>-AX168</f>
        <v>0</v>
      </c>
      <c r="AY295" s="12">
        <f>-AY168</f>
        <v>0</v>
      </c>
      <c r="AZ295" s="12">
        <f>-AZ168</f>
        <v>0</v>
      </c>
      <c r="BA295" s="12">
        <f>SUM(AW295:AZ295)</f>
        <v>0</v>
      </c>
      <c r="BB295" s="12">
        <f>-BB168</f>
        <v>0</v>
      </c>
      <c r="BC295" s="12">
        <f>-BC168</f>
        <v>0</v>
      </c>
      <c r="BD295" s="12">
        <f>-BD168</f>
        <v>0</v>
      </c>
      <c r="BE295" s="12">
        <f>-BE168</f>
        <v>0</v>
      </c>
      <c r="BF295" s="12">
        <f>SUM(BB295:BE295)</f>
        <v>0</v>
      </c>
      <c r="BG295" s="12" t="n"/>
      <c r="BH295" s="12" t="n"/>
      <c r="BI295" s="12" t="n"/>
      <c r="BJ295" s="12" t="n"/>
      <c r="BK295" s="12" t="n"/>
      <c r="BL295" s="12" t="n"/>
      <c r="BM295" s="12" t="n"/>
      <c r="BN295" s="12" t="n"/>
      <c r="BO295" s="12" t="n"/>
      <c r="BP295" s="12" t="n"/>
      <c r="BQ295" s="12" t="n"/>
      <c r="BR295" s="12" t="n"/>
      <c r="BS295" s="12" t="n"/>
      <c r="BT295" s="12" t="n"/>
      <c r="BU295" s="12" t="n"/>
      <c r="BV295" s="12" t="n"/>
      <c r="BW295" s="12" t="n"/>
      <c r="BX295" s="12" t="n"/>
      <c r="BY295" s="12" t="n"/>
      <c r="BZ295" s="12" t="n"/>
      <c r="CA295" s="12" t="n"/>
      <c r="CB295" s="12" t="n"/>
      <c r="CC295" s="12" t="n"/>
      <c r="CD295" s="12" t="n"/>
      <c r="CE295" s="12" t="n"/>
      <c r="CF295" s="12" t="n"/>
      <c r="CG295" s="12" t="n"/>
      <c r="CH295" s="12" t="n"/>
      <c r="CI295" s="12" t="n"/>
      <c r="CJ295" s="12" t="n"/>
      <c r="CK295" s="12" t="n"/>
      <c r="CL295" s="12" t="n"/>
      <c r="CM295" s="12" t="n"/>
      <c r="CN295" s="12" t="n"/>
      <c r="CO295" s="12" t="n"/>
      <c r="CP295" s="12" t="n"/>
      <c r="CQ295" s="12" t="n"/>
      <c r="CR295" s="12" t="n"/>
      <c r="CS295" s="12" t="n"/>
      <c r="CT295" s="12" t="n"/>
      <c r="CU295" s="12" t="n"/>
      <c r="CV295" s="12" t="n"/>
      <c r="CW295" s="12" t="n"/>
      <c r="CX295" s="12" t="n"/>
      <c r="CY295" s="12" t="n"/>
    </row>
    <row r="296">
      <c r="C296" s="10" t="inlineStr">
        <is>
          <t>Var.Right-of-use-assets</t>
        </is>
      </c>
      <c r="D296" s="12" t="n"/>
      <c r="E296" s="12" t="n"/>
      <c r="F296" s="12" t="n"/>
      <c r="G296" s="12" t="n"/>
      <c r="H296" s="12" t="n"/>
      <c r="I296" s="12">
        <f>0</f>
        <v>0</v>
      </c>
      <c r="J296" s="12">
        <f>0</f>
        <v>0</v>
      </c>
      <c r="K296" s="12">
        <f>0</f>
        <v>0</v>
      </c>
      <c r="L296" s="12">
        <f>0</f>
        <v>0</v>
      </c>
      <c r="M296" s="12">
        <f>0</f>
        <v>0</v>
      </c>
      <c r="N296" s="12">
        <f>0</f>
        <v>0</v>
      </c>
      <c r="O296" s="12">
        <f>0</f>
        <v>0</v>
      </c>
      <c r="P296" s="12">
        <f>0</f>
        <v>0</v>
      </c>
      <c r="Q296" s="12">
        <f>0</f>
        <v>0</v>
      </c>
      <c r="R296" s="12">
        <f>0</f>
        <v>0</v>
      </c>
      <c r="S296" s="12">
        <f>0</f>
        <v>0</v>
      </c>
      <c r="T296" s="12">
        <f>0</f>
        <v>0</v>
      </c>
      <c r="U296" s="12">
        <f>0</f>
        <v>0</v>
      </c>
      <c r="V296" s="12">
        <f>0</f>
        <v>0</v>
      </c>
      <c r="W296" s="12">
        <f>0</f>
        <v>0</v>
      </c>
      <c r="X296" s="12">
        <f>0</f>
        <v>0</v>
      </c>
      <c r="Y296" s="12">
        <f>0</f>
        <v>0</v>
      </c>
      <c r="Z296" s="12">
        <f>0</f>
        <v>0</v>
      </c>
      <c r="AA296" s="12">
        <f>0</f>
        <v>0</v>
      </c>
      <c r="AB296" s="12">
        <f>0</f>
        <v>0</v>
      </c>
      <c r="AC296" s="12">
        <f>0</f>
        <v>0</v>
      </c>
      <c r="AD296" s="12">
        <f>0</f>
        <v>0</v>
      </c>
      <c r="AE296" s="12">
        <f>0</f>
        <v>0</v>
      </c>
      <c r="AF296" s="12">
        <f>0</f>
        <v>0</v>
      </c>
      <c r="AG296" s="12">
        <f>0</f>
        <v>0</v>
      </c>
      <c r="AH296" s="12">
        <f>0</f>
        <v>0</v>
      </c>
      <c r="AI296" s="12">
        <f>0</f>
        <v>0</v>
      </c>
      <c r="AJ296" s="12">
        <f>0</f>
        <v>0</v>
      </c>
      <c r="AK296" s="12">
        <f>0</f>
        <v>0</v>
      </c>
      <c r="AL296" s="12">
        <f>0</f>
        <v>0</v>
      </c>
      <c r="AM296" s="12">
        <f>0</f>
        <v>0</v>
      </c>
      <c r="AN296" s="12">
        <f>0</f>
        <v>0</v>
      </c>
      <c r="AO296" s="12">
        <f>0</f>
        <v>0</v>
      </c>
      <c r="AP296" s="12">
        <f>0</f>
        <v>0</v>
      </c>
      <c r="AQ296" s="12">
        <f>0</f>
        <v>0</v>
      </c>
      <c r="AR296" s="12">
        <f>0</f>
        <v>0</v>
      </c>
      <c r="AS296" s="12">
        <f>0</f>
        <v>0</v>
      </c>
      <c r="AT296" s="12">
        <f>0</f>
        <v>0</v>
      </c>
      <c r="AU296" s="12">
        <f>0</f>
        <v>0</v>
      </c>
      <c r="AV296" s="12">
        <f>0</f>
        <v>0</v>
      </c>
      <c r="AW296" s="12">
        <f>0</f>
        <v>0</v>
      </c>
      <c r="AX296" s="12">
        <f>0</f>
        <v>0</v>
      </c>
      <c r="AY296" s="12">
        <f>0</f>
        <v>0</v>
      </c>
      <c r="AZ296" s="12">
        <f>0</f>
        <v>0</v>
      </c>
      <c r="BA296" s="12">
        <f>0</f>
        <v>0</v>
      </c>
      <c r="BB296" s="12">
        <f>0</f>
        <v>0</v>
      </c>
      <c r="BC296" s="12">
        <f>0</f>
        <v>0</v>
      </c>
      <c r="BD296" s="12">
        <f>0</f>
        <v>0</v>
      </c>
      <c r="BE296" s="12">
        <f>0</f>
        <v>0</v>
      </c>
      <c r="BF296" s="12">
        <f>0</f>
        <v>0</v>
      </c>
      <c r="BG296" s="12" t="n"/>
      <c r="BH296" s="12" t="n"/>
      <c r="BI296" s="12" t="n"/>
      <c r="BJ296" s="12" t="n"/>
      <c r="BK296" s="12" t="n"/>
      <c r="BL296" s="12" t="n"/>
      <c r="BM296" s="12" t="n"/>
      <c r="BN296" s="12" t="n"/>
      <c r="BO296" s="12" t="n"/>
      <c r="BP296" s="12" t="n"/>
      <c r="BQ296" s="12" t="n"/>
      <c r="BR296" s="12" t="n"/>
      <c r="BS296" s="12" t="n"/>
      <c r="BT296" s="12" t="n"/>
      <c r="BU296" s="12" t="n"/>
      <c r="BV296" s="12" t="n"/>
      <c r="BW296" s="12" t="n"/>
      <c r="BX296" s="12" t="n"/>
      <c r="BY296" s="12" t="n"/>
      <c r="BZ296" s="12" t="n"/>
      <c r="CA296" s="12" t="n"/>
      <c r="CB296" s="12" t="n"/>
      <c r="CC296" s="12" t="n"/>
      <c r="CD296" s="12" t="n"/>
      <c r="CE296" s="12" t="n"/>
      <c r="CF296" s="12" t="n"/>
      <c r="CG296" s="12" t="n"/>
      <c r="CH296" s="12" t="n"/>
      <c r="CI296" s="12" t="n"/>
      <c r="CJ296" s="12" t="n"/>
      <c r="CK296" s="12" t="n"/>
      <c r="CL296" s="12" t="n"/>
      <c r="CM296" s="12" t="n"/>
      <c r="CN296" s="12" t="n"/>
      <c r="CO296" s="12" t="n"/>
      <c r="CP296" s="12" t="n"/>
      <c r="CQ296" s="12" t="n"/>
      <c r="CR296" s="12" t="n"/>
      <c r="CS296" s="12" t="n"/>
      <c r="CT296" s="12" t="n"/>
      <c r="CU296" s="12" t="n"/>
      <c r="CV296" s="12" t="n"/>
      <c r="CW296" s="12" t="n"/>
      <c r="CX296" s="12" t="n"/>
      <c r="CY296" s="12" t="n"/>
      <c r="CZ296" s="12" t="n"/>
      <c r="DA296" s="12" t="n"/>
      <c r="DB296" s="12" t="n"/>
      <c r="DC296" s="12" t="n"/>
    </row>
    <row r="297">
      <c r="C297" s="10" t="inlineStr">
        <is>
          <t>Purchases of intangible assets</t>
        </is>
      </c>
      <c r="D297" s="12" t="n"/>
      <c r="E297" s="12" t="n"/>
      <c r="F297" s="12" t="n"/>
      <c r="G297" s="12" t="n"/>
      <c r="H297" s="12" t="n"/>
      <c r="I297" s="12">
        <f>-I181</f>
        <v>-1753.735</v>
      </c>
      <c r="J297" s="12">
        <f>-J181</f>
        <v>13.9839999999999</v>
      </c>
      <c r="K297" s="12">
        <f>-K181</f>
        <v>-445.229</v>
      </c>
      <c r="L297" s="12">
        <f>-L181</f>
        <v>-181.452</v>
      </c>
      <c r="M297" s="12">
        <f>SUM(I297:L297)</f>
        <v>-2366.432</v>
      </c>
      <c r="N297" s="12">
        <f>-N181</f>
        <v>-1502.486</v>
      </c>
      <c r="O297" s="12">
        <f>-O181</f>
        <v>40.183</v>
      </c>
      <c r="P297" s="12">
        <f>-P181</f>
        <v>40.3630000000003</v>
      </c>
      <c r="Q297" s="12">
        <f>-Q181</f>
        <v>1200.564</v>
      </c>
      <c r="R297" s="12">
        <f>SUM(N297:Q297)</f>
        <v>-221.376</v>
      </c>
      <c r="S297" s="12">
        <f>-S181</f>
        <v>12.817</v>
      </c>
      <c r="T297" s="12">
        <f>-T181</f>
        <v>17.8890000000001</v>
      </c>
      <c r="U297" s="12">
        <f>-U181</f>
        <v>16.8910000000001</v>
      </c>
      <c r="V297" s="12">
        <f>-V181</f>
        <v>81.7579999999998</v>
      </c>
      <c r="W297" s="12">
        <f>SUM(S297:V297)</f>
        <v>129.355</v>
      </c>
      <c r="X297" s="12">
        <f>-X181</f>
        <v>15.4400000000001</v>
      </c>
      <c r="Y297" s="12">
        <f>-Y181</f>
        <v>16.4560000000001</v>
      </c>
      <c r="Z297" s="12">
        <f>-Z181</f>
        <v>-89.0950000000003</v>
      </c>
      <c r="AA297" s="12">
        <f>-AA181</f>
        <v>-4820.231</v>
      </c>
      <c r="AB297" s="12">
        <f>SUM(X297:AA297)</f>
        <v>-4877.43</v>
      </c>
      <c r="AC297" s="12">
        <f>-AC181</f>
        <v>105.862999999999</v>
      </c>
      <c r="AD297" s="12">
        <f>-AD181</f>
        <v>120.693</v>
      </c>
      <c r="AE297" s="12">
        <f>-AE181</f>
        <v>-0.385999999999513</v>
      </c>
      <c r="AF297" s="12">
        <f>-AF181</f>
        <v>-91.924</v>
      </c>
      <c r="AG297" s="12">
        <f>SUM(AC297:AF297)</f>
        <v>134.246</v>
      </c>
      <c r="AH297" s="12">
        <f>-AH181</f>
        <v>129.451999999999</v>
      </c>
      <c r="AI297" s="12">
        <f>-AI181</f>
        <v>121.353</v>
      </c>
      <c r="AJ297" s="12">
        <f>-AJ181</f>
        <v>0</v>
      </c>
      <c r="AK297" s="12">
        <f>-AK181</f>
        <v>0</v>
      </c>
      <c r="AL297" s="12">
        <f>0</f>
        <v>0</v>
      </c>
      <c r="AM297" s="12">
        <f>-AM181</f>
        <v>0</v>
      </c>
      <c r="AN297" s="12">
        <f>-AN181</f>
        <v>0</v>
      </c>
      <c r="AO297" s="12">
        <f>-AO181</f>
        <v>0</v>
      </c>
      <c r="AP297" s="12">
        <f>-AP181</f>
        <v>0</v>
      </c>
      <c r="AQ297" s="12">
        <f>0</f>
        <v>0</v>
      </c>
      <c r="AR297" s="12">
        <f>-AR181</f>
        <v>0</v>
      </c>
      <c r="AS297" s="12">
        <f>-AS181</f>
        <v>0</v>
      </c>
      <c r="AT297" s="12">
        <f>-AT181</f>
        <v>0</v>
      </c>
      <c r="AU297" s="12">
        <f>-AU181</f>
        <v>0</v>
      </c>
      <c r="AV297" s="12">
        <f>0</f>
        <v>0</v>
      </c>
      <c r="AW297" s="12">
        <f>-AW181</f>
        <v>0</v>
      </c>
      <c r="AX297" s="12">
        <f>-AX181</f>
        <v>0</v>
      </c>
      <c r="AY297" s="12">
        <f>-AY181</f>
        <v>0</v>
      </c>
      <c r="AZ297" s="12">
        <f>-AZ181</f>
        <v>0</v>
      </c>
      <c r="BA297" s="12">
        <f>0</f>
        <v>0</v>
      </c>
      <c r="BB297" s="12">
        <f>-BB181</f>
        <v>0</v>
      </c>
      <c r="BC297" s="12">
        <f>-BC181</f>
        <v>0</v>
      </c>
      <c r="BD297" s="12">
        <f>-BD181</f>
        <v>0</v>
      </c>
      <c r="BE297" s="12">
        <f>-BE181</f>
        <v>0</v>
      </c>
      <c r="BF297" s="12">
        <f>0</f>
        <v>0</v>
      </c>
      <c r="BG297" s="12" t="n"/>
      <c r="BH297" s="12" t="n"/>
      <c r="BI297" s="12" t="n"/>
      <c r="BJ297" s="12" t="n"/>
      <c r="BK297" s="12" t="n"/>
      <c r="BL297" s="12" t="n"/>
      <c r="BM297" s="12" t="n"/>
      <c r="BN297" s="12" t="n"/>
      <c r="BO297" s="12" t="n"/>
      <c r="BP297" s="12" t="n"/>
      <c r="BQ297" s="12" t="n"/>
      <c r="BR297" s="12" t="n"/>
      <c r="BS297" s="12" t="n"/>
      <c r="BT297" s="12" t="n"/>
      <c r="BU297" s="12" t="n"/>
      <c r="BV297" s="12" t="n"/>
      <c r="BW297" s="12" t="n"/>
      <c r="BX297" s="12" t="n"/>
      <c r="BY297" s="12" t="n"/>
      <c r="BZ297" s="12" t="n"/>
      <c r="CA297" s="12" t="n"/>
      <c r="CB297" s="12" t="n"/>
      <c r="CC297" s="12" t="n"/>
      <c r="CD297" s="12" t="n"/>
      <c r="CE297" s="12" t="n"/>
      <c r="CF297" s="12" t="n"/>
      <c r="CG297" s="12" t="n"/>
      <c r="CH297" s="12" t="n"/>
      <c r="CI297" s="12" t="n"/>
      <c r="CJ297" s="12" t="n"/>
      <c r="CK297" s="12" t="n"/>
      <c r="CL297" s="12" t="n"/>
      <c r="CM297" s="12" t="n"/>
      <c r="CN297" s="12" t="n"/>
      <c r="CO297" s="12" t="n"/>
      <c r="CP297" s="12" t="n"/>
      <c r="CQ297" s="12" t="n"/>
      <c r="CR297" s="12" t="n"/>
      <c r="CS297" s="12" t="n"/>
      <c r="CT297" s="12" t="n"/>
      <c r="CU297" s="12" t="n"/>
      <c r="CV297" s="12" t="n"/>
      <c r="CW297" s="12" t="n"/>
      <c r="CX297" s="12" t="n"/>
      <c r="CY297" s="12" t="n"/>
      <c r="CZ297" s="12" t="n"/>
      <c r="DA297" s="12" t="n"/>
      <c r="DB297" s="12" t="n"/>
      <c r="DC297" s="12" t="n"/>
    </row>
    <row r="298">
      <c r="C298" s="71" t="inlineStr">
        <is>
          <t>Purchases/Proceeds from other long-term assets</t>
        </is>
      </c>
      <c r="D298" s="12" t="n"/>
      <c r="E298" s="12" t="n"/>
      <c r="F298" s="12" t="n"/>
      <c r="G298" s="12" t="n"/>
      <c r="H298" s="12" t="n"/>
      <c r="I298" s="12">
        <f>((I188-H188)*-1)+(I239-H239)</f>
        <v>2469.235</v>
      </c>
      <c r="J298" s="12">
        <f>((J188-I188)*-1)+(J239-I239)</f>
        <v>61.0280000000005</v>
      </c>
      <c r="K298" s="12">
        <f>((K188-J188)*-1)+(K239-J239)</f>
        <v>-904.002</v>
      </c>
      <c r="L298" s="12">
        <f>((L188-K188)*-1)+(L239-K239)</f>
        <v>-19.4550000000004</v>
      </c>
      <c r="M298" s="12">
        <f>SUM(I298:L298)</f>
        <v>1606.806</v>
      </c>
      <c r="N298" s="12">
        <f>((N188-M188)*-1)+(N239-M239)</f>
        <v>152.102000000001</v>
      </c>
      <c r="O298" s="12">
        <f>((O188-N188)*-1)+(O239-N239)</f>
        <v>63.7999999999993</v>
      </c>
      <c r="P298" s="12">
        <f>((P188-O188)*-1)+(P239-O239)</f>
        <v>-334.786999999999</v>
      </c>
      <c r="Q298" s="12">
        <f>((Q188-P188)*-1)+(Q239-P239)</f>
        <v>-2789.356</v>
      </c>
      <c r="R298" s="12">
        <f>SUM(N298:Q298)</f>
        <v>-2908.241</v>
      </c>
      <c r="S298" s="12">
        <f>((S188-R188)*-1)+(S239-R239)</f>
        <v>493.268999999998</v>
      </c>
      <c r="T298" s="12">
        <f>((T188-S188)*-1)+(T239-S239)</f>
        <v>3241.29</v>
      </c>
      <c r="U298" s="12">
        <f>((U188-T188)*-1)+(U239-T239)</f>
        <v>-4.09700000000066</v>
      </c>
      <c r="V298" s="12">
        <f>((V188-U188)*-1)+(V239-U239)</f>
        <v>149.830000000001</v>
      </c>
      <c r="W298" s="12">
        <f>SUM(S298:V298)</f>
        <v>3880.292</v>
      </c>
      <c r="X298" s="12">
        <f>((X188-W188)*-1)+(X239-W239)</f>
        <v>-69.0280000000007</v>
      </c>
      <c r="Y298" s="12">
        <f>((Y188-X188)*-1)+(Y239-X239)</f>
        <v>60.3680000000009</v>
      </c>
      <c r="Z298" s="12">
        <f>((Z188-Y188)*-1)+(Z239-Y239)</f>
        <v>-4.09900000000016</v>
      </c>
      <c r="AA298" s="12">
        <f>((AA188-Z188)*-1)+(AA239-Z239)</f>
        <v>-851.786</v>
      </c>
      <c r="AB298" s="12">
        <f>SUM(X298:AA298)</f>
        <v>-864.545</v>
      </c>
      <c r="AC298" s="12">
        <f>((AC188-AB188)*-1)+(AC239-AB239)</f>
        <v>-245.903</v>
      </c>
      <c r="AD298" s="12">
        <f>((AD188-AC188)*-1)+(AD239-AC239)</f>
        <v>340.903</v>
      </c>
      <c r="AE298" s="12">
        <f>((AE188-AD188)*-1)+(AE239-AD239)</f>
        <v>-165.870000000001</v>
      </c>
      <c r="AF298" s="12">
        <f>((AF188-AE188)*-1)+(AF239-AE239)</f>
        <v>-529.77</v>
      </c>
      <c r="AG298" s="12">
        <f>SUM(AC298:AF298)</f>
        <v>-600.640000000001</v>
      </c>
      <c r="AH298" s="12">
        <f>((AH188-AG188)*-1)+(AH239-AG239)</f>
        <v>174.798000000001</v>
      </c>
      <c r="AI298" s="12">
        <f>((AI188-AH188)*-1)+(AI239-AH239)</f>
        <v>92.21</v>
      </c>
      <c r="AJ298" s="12">
        <f>((AJ188-AI188)*-1)+(AJ239-AI239)</f>
        <v>0</v>
      </c>
      <c r="AK298" s="12">
        <f>((AK188-AJ188)*-1)+(AK239-AJ239)</f>
        <v>0</v>
      </c>
      <c r="AL298" s="12">
        <f>SUM(AH298:AK298)</f>
        <v>267.008000000001</v>
      </c>
      <c r="AM298" s="12">
        <f>((AM188-AL188)*-1)+(AM239-AL239)</f>
        <v>0</v>
      </c>
      <c r="AN298" s="12">
        <f>((AN188-AM188)*-1)+(AN239-AM239)</f>
        <v>0</v>
      </c>
      <c r="AO298" s="12">
        <f>((AO188-AN188)*-1)+(AO239-AN239)</f>
        <v>0</v>
      </c>
      <c r="AP298" s="12">
        <f>((AP188-AO188)*-1)+(AP239-AO239)</f>
        <v>0</v>
      </c>
      <c r="AQ298" s="12">
        <f>SUM(AM298:AP298)</f>
        <v>0</v>
      </c>
      <c r="AR298" s="12">
        <f>((AR188-AQ188)*-1)+(AR239-AQ239)</f>
        <v>0</v>
      </c>
      <c r="AS298" s="12">
        <f>((AS188-AR188)*-1)+(AS239-AR239)</f>
        <v>0</v>
      </c>
      <c r="AT298" s="12">
        <f>((AT188-AS188)*-1)+(AT239-AS239)</f>
        <v>0</v>
      </c>
      <c r="AU298" s="12">
        <f>((AU188-AT188)*-1)+(AU239-AT239)</f>
        <v>0</v>
      </c>
      <c r="AV298" s="12">
        <f>SUM(AR298:AU298)</f>
        <v>0</v>
      </c>
      <c r="AW298" s="12">
        <f>((AW188-AV188)*-1)+(AW239-AV239)</f>
        <v>0</v>
      </c>
      <c r="AX298" s="12">
        <f>((AX188-AW188)*-1)+(AX239-AW239)</f>
        <v>0</v>
      </c>
      <c r="AY298" s="12">
        <f>((AY188-AX188)*-1)+(AY239-AX239)</f>
        <v>0</v>
      </c>
      <c r="AZ298" s="12">
        <f>((AZ188-AY188)*-1)+(AZ239-AY239)</f>
        <v>0</v>
      </c>
      <c r="BA298" s="12">
        <f>SUM(AW298:AZ298)</f>
        <v>0</v>
      </c>
      <c r="BB298" s="12">
        <f>((BB188-BA188)*-1)+(BB239-BA239)</f>
        <v>0</v>
      </c>
      <c r="BC298" s="12">
        <f>((BC188-BB188)*-1)+(BC239-BB239)</f>
        <v>0</v>
      </c>
      <c r="BD298" s="12">
        <f>((BD188-BC188)*-1)+(BD239-BC239)</f>
        <v>0</v>
      </c>
      <c r="BE298" s="12">
        <f>((BE188-BD188)*-1)+(BE239-BD239)</f>
        <v>0</v>
      </c>
      <c r="BF298" s="12">
        <f>SUM(BB298:BE298)</f>
        <v>0</v>
      </c>
      <c r="BG298" s="12" t="n"/>
      <c r="BH298" s="12" t="n"/>
      <c r="BI298" s="12" t="n"/>
      <c r="BJ298" s="12" t="n"/>
      <c r="BK298" s="12" t="n"/>
      <c r="BL298" s="12" t="n"/>
      <c r="BM298" s="12" t="n"/>
      <c r="BN298" s="12" t="n"/>
      <c r="BO298" s="12" t="n"/>
      <c r="BP298" s="12" t="n"/>
      <c r="BQ298" s="12" t="n"/>
      <c r="BR298" s="12" t="n"/>
      <c r="BS298" s="12" t="n"/>
      <c r="BT298" s="12" t="n"/>
      <c r="BU298" s="12" t="n"/>
      <c r="BV298" s="12" t="n"/>
      <c r="BW298" s="12" t="n"/>
      <c r="BX298" s="12" t="n"/>
      <c r="BY298" s="12" t="n"/>
      <c r="BZ298" s="12" t="n"/>
      <c r="CA298" s="12" t="n"/>
      <c r="CB298" s="12" t="n"/>
      <c r="CC298" s="12" t="n"/>
      <c r="CD298" s="12" t="n"/>
      <c r="CE298" s="12" t="n"/>
      <c r="CF298" s="12" t="n"/>
      <c r="CG298" s="12" t="n"/>
      <c r="CH298" s="12" t="n"/>
      <c r="CI298" s="12" t="n"/>
      <c r="CJ298" s="12" t="n"/>
      <c r="CK298" s="12" t="n"/>
      <c r="CL298" s="12" t="n"/>
      <c r="CM298" s="12" t="n"/>
      <c r="CN298" s="12" t="n"/>
      <c r="CO298" s="12" t="n"/>
      <c r="CP298" s="12" t="n"/>
      <c r="CQ298" s="12" t="n"/>
      <c r="CR298" s="12" t="n"/>
      <c r="CS298" s="12" t="n"/>
      <c r="CT298" s="12" t="n"/>
      <c r="CU298" s="12" t="n"/>
      <c r="CV298" s="12" t="n"/>
      <c r="CW298" s="12" t="n"/>
      <c r="CX298" s="12" t="n"/>
      <c r="CY298" s="12" t="n"/>
    </row>
    <row r="299">
      <c r="C299" s="14" t="inlineStr">
        <is>
          <t>Cash from investing</t>
        </is>
      </c>
      <c r="D299" s="12" t="n"/>
      <c r="E299" s="12" t="n"/>
      <c r="F299" s="12" t="n"/>
      <c r="G299" s="12" t="n"/>
      <c r="H299" s="12" t="n"/>
      <c r="I299" s="12">
        <f>SUM(I294,I295,I297,I298,I296)</f>
        <v>-8135.35</v>
      </c>
      <c r="J299" s="12">
        <f>SUM(J294,J295,J297,J298,J296)</f>
        <v>36.4149999999991</v>
      </c>
      <c r="K299" s="12">
        <f>SUM(K294,K295,K297,K298,K296)</f>
        <v>-1759.875</v>
      </c>
      <c r="L299" s="12">
        <f>SUM(L294,L295,L297,L298,L296)</f>
        <v>-440.092999999999</v>
      </c>
      <c r="M299" s="12">
        <f>SUM(M294,M295,M297,M298,M296)</f>
        <v>-10298.903</v>
      </c>
      <c r="N299" s="12">
        <f>SUM(N294,N295,N297,N298,N296)</f>
        <v>-1698.092</v>
      </c>
      <c r="O299" s="12">
        <f>SUM(O294,O295,O297,O298,O296)</f>
        <v>-630.078000000002</v>
      </c>
      <c r="P299" s="12">
        <f>SUM(P294,P295,P297,P298,P296)</f>
        <v>-781.626999999998</v>
      </c>
      <c r="Q299" s="12">
        <f>SUM(Q294,Q295,Q297,Q298,Q296)</f>
        <v>-2034.327</v>
      </c>
      <c r="R299" s="12">
        <f>SUM(R294,R295,R297,R298,R296)</f>
        <v>-5144.124</v>
      </c>
      <c r="S299" s="12">
        <f>SUM(S294,S295,S297,S298,S296)</f>
        <v>114.794999999998</v>
      </c>
      <c r="T299" s="12">
        <f>SUM(T294,T295,T297,T298,T296)</f>
        <v>2531.217</v>
      </c>
      <c r="U299" s="12">
        <f>SUM(U294,U295,U297,U298,U296)</f>
        <v>-792.528000000001</v>
      </c>
      <c r="V299" s="12">
        <f>SUM(V294,V295,V297,V298,V296)</f>
        <v>26.5760000000015</v>
      </c>
      <c r="W299" s="12">
        <f>SUM(W294,W295,W297,W298,W296)</f>
        <v>1880.06</v>
      </c>
      <c r="X299" s="12">
        <f>SUM(X294,X295,X297,X298,X296)</f>
        <v>-103.202000000001</v>
      </c>
      <c r="Y299" s="12">
        <f>SUM(Y294,Y295,Y297,Y298,Y296)</f>
        <v>-34.3589999999984</v>
      </c>
      <c r="Z299" s="12">
        <f>SUM(Z294,Z295,Z297,Z298,Z296)</f>
        <v>-179.029000000001</v>
      </c>
      <c r="AA299" s="12">
        <f>SUM(AA294,AA295,AA297,AA298,AA296)</f>
        <v>-20493.024</v>
      </c>
      <c r="AB299" s="12">
        <f>SUM(AB294,AB295,AB297,AB298,AB296)</f>
        <v>-20809.614</v>
      </c>
      <c r="AC299" s="12">
        <f>SUM(AC294,AC295,AC297,AC298,AC296)</f>
        <v>-395.422000000002</v>
      </c>
      <c r="AD299" s="12">
        <f>SUM(AD294,AD295,AD297,AD298,AD296)</f>
        <v>130.556999999999</v>
      </c>
      <c r="AE299" s="12">
        <f>SUM(AE294,AE295,AE297,AE298,AE296)</f>
        <v>-546.558</v>
      </c>
      <c r="AF299" s="12">
        <f>SUM(AF294,AF295,AF297,AF298,AF296)</f>
        <v>-804.384999999998</v>
      </c>
      <c r="AG299" s="12">
        <f>SUM(AG294,AG295,AG297,AG298,AG296)</f>
        <v>-1615.808</v>
      </c>
      <c r="AH299" s="12">
        <f>SUM(AH294,AH295,AH297,AH298,AH296)</f>
        <v>60.5349999999982</v>
      </c>
      <c r="AI299" s="12">
        <f>SUM(AI294,AI295,AI297,AI298,AI296)</f>
        <v>-65.5189999999991</v>
      </c>
      <c r="AJ299" s="12">
        <f>SUM(AJ294,AJ295,AJ297,AJ298,AJ296)</f>
        <v>-350.890823724683</v>
      </c>
      <c r="AK299" s="12">
        <f>SUM(AK294,AK295,AK297,AK298,AK296)</f>
        <v>-377.111781080468</v>
      </c>
      <c r="AL299" s="12">
        <f>SUM(AL294,AL295,AL297,AL298,AL296)</f>
        <v>-983.791604805151</v>
      </c>
      <c r="AM299" s="12">
        <f>SUM(AM294,AM295,AM297,AM298,AM296)</f>
        <v>-304.977911325146</v>
      </c>
      <c r="AN299" s="12">
        <f>SUM(AN294,AN295,AN297,AN298,AN296)</f>
        <v>-303.08963894575</v>
      </c>
      <c r="AO299" s="12">
        <f>SUM(AO294,AO295,AO297,AO298,AO296)</f>
        <v>-401.868865759329</v>
      </c>
      <c r="AP299" s="12">
        <f>SUM(AP294,AP295,AP297,AP298,AP296)</f>
        <v>-431.899250366824</v>
      </c>
      <c r="AQ299" s="12">
        <f>SUM(AQ294,AQ295,AQ297,AQ298,AQ296)</f>
        <v>-1441.83566639705</v>
      </c>
      <c r="AR299" s="12">
        <f>SUM(AR294,AR295,AR297,AR298,AR296)</f>
        <v>-347.760754350807</v>
      </c>
      <c r="AS299" s="12">
        <f>SUM(AS294,AS295,AS297,AS298,AS296)</f>
        <v>-345.607591768556</v>
      </c>
      <c r="AT299" s="12">
        <f>SUM(AT294,AT295,AT297,AT298,AT296)</f>
        <v>-458.243743946333</v>
      </c>
      <c r="AU299" s="12">
        <f>SUM(AU294,AU295,AU297,AU298,AU296)</f>
        <v>-492.486844238974</v>
      </c>
      <c r="AV299" s="12">
        <f>SUM(AV294,AV295,AV297,AV298,AV296)</f>
        <v>-1644.09893430467</v>
      </c>
      <c r="AW299" s="12">
        <f>SUM(AW294,AW295,AW297,AW298,AW296)</f>
        <v>-394.806446804467</v>
      </c>
      <c r="AX299" s="12">
        <f>SUM(AX294,AX295,AX297,AX298,AX296)</f>
        <v>-392.362000564184</v>
      </c>
      <c r="AY299" s="12">
        <f>SUM(AY294,AY295,AY297,AY298,AY296)</f>
        <v>-520.235771444541</v>
      </c>
      <c r="AZ299" s="12">
        <f>SUM(AZ294,AZ295,AZ297,AZ298,AZ296)</f>
        <v>-559.111339158743</v>
      </c>
      <c r="BA299" s="12">
        <f>SUM(BA294,BA295,BA297,BA298,BA296)</f>
        <v>-1866.51555797194</v>
      </c>
      <c r="BB299" s="12">
        <f>SUM(BB294,BB295,BB297,BB298,BB296)</f>
        <v>-446.242531849949</v>
      </c>
      <c r="BC299" s="12">
        <f>SUM(BC294,BC295,BC297,BC298,BC296)</f>
        <v>-443.479618812271</v>
      </c>
      <c r="BD299" s="12">
        <f>SUM(BD294,BD295,BD297,BD298,BD296)</f>
        <v>-588.013011660114</v>
      </c>
      <c r="BE299" s="12">
        <f>SUM(BE294,BE295,BE297,BE298,BE296)</f>
        <v>-631.953357377116</v>
      </c>
      <c r="BF299" s="12">
        <f>SUM(BF294,BF295,BF297,BF298,BF296)</f>
        <v>-2109.68851969945</v>
      </c>
      <c r="BG299" s="12" t="n"/>
      <c r="BH299" s="12" t="n"/>
      <c r="BI299" s="12" t="n"/>
      <c r="BJ299" s="12" t="n"/>
      <c r="BK299" s="12" t="n"/>
      <c r="BL299" s="12" t="n"/>
      <c r="BM299" s="12" t="n"/>
      <c r="BN299" s="12" t="n"/>
      <c r="BO299" s="12" t="n"/>
      <c r="BP299" s="12" t="n"/>
      <c r="BQ299" s="12" t="n"/>
      <c r="BR299" s="12" t="n"/>
      <c r="BS299" s="12" t="n"/>
      <c r="BT299" s="12" t="n"/>
      <c r="BU299" s="12" t="n"/>
      <c r="BV299" s="12" t="n"/>
      <c r="BW299" s="12" t="n"/>
      <c r="BX299" s="12" t="n"/>
      <c r="BY299" s="12" t="n"/>
      <c r="BZ299" s="12" t="n"/>
      <c r="CA299" s="12" t="n"/>
      <c r="CB299" s="12" t="n"/>
      <c r="CC299" s="12" t="n"/>
      <c r="CD299" s="12" t="n"/>
      <c r="CE299" s="12" t="n"/>
      <c r="CF299" s="12" t="n"/>
      <c r="CG299" s="12" t="n"/>
      <c r="CH299" s="12" t="n"/>
      <c r="CI299" s="12" t="n"/>
      <c r="CJ299" s="12" t="n"/>
      <c r="CK299" s="12" t="n"/>
      <c r="CL299" s="12" t="n"/>
      <c r="CM299" s="12" t="n"/>
      <c r="CN299" s="12" t="n"/>
      <c r="CO299" s="12" t="n"/>
      <c r="CP299" s="12" t="n"/>
      <c r="CQ299" s="12" t="n"/>
      <c r="CR299" s="12" t="n"/>
      <c r="CS299" s="12" t="n"/>
      <c r="CT299" s="12" t="n"/>
      <c r="CU299" s="12" t="n"/>
      <c r="CV299" s="12" t="n"/>
      <c r="CW299" s="12" t="n"/>
      <c r="CX299" s="12" t="n"/>
      <c r="CY299" s="12" t="n"/>
    </row>
    <row r="300">
      <c r="C300" s="14" t="n"/>
      <c r="D300" s="12" t="n"/>
      <c r="E300" s="12" t="n"/>
      <c r="F300" s="12" t="n"/>
      <c r="G300" s="12" t="n"/>
      <c r="H300" s="12" t="n"/>
      <c r="I300" s="12" t="n"/>
      <c r="J300" s="12" t="n"/>
      <c r="K300" s="12" t="n"/>
      <c r="L300" s="12" t="n"/>
      <c r="M300" s="12" t="n"/>
      <c r="N300" s="12" t="n"/>
      <c r="O300" s="12" t="n"/>
      <c r="P300" s="12" t="n"/>
      <c r="Q300" s="12" t="n"/>
      <c r="R300" s="12" t="n"/>
      <c r="S300" s="12" t="n"/>
      <c r="T300" s="12" t="n"/>
      <c r="U300" s="12" t="n"/>
      <c r="V300" s="12" t="n"/>
      <c r="W300" s="12" t="n"/>
      <c r="X300" s="12" t="n"/>
      <c r="Y300" s="12" t="n"/>
      <c r="Z300" s="12" t="n"/>
      <c r="AA300" s="12" t="n"/>
      <c r="AB300" s="12" t="n"/>
      <c r="AC300" s="12" t="n"/>
      <c r="AD300" s="12" t="n"/>
      <c r="AE300" s="12" t="n"/>
      <c r="AF300" s="12" t="n"/>
      <c r="AG300" s="12" t="n"/>
      <c r="AH300" s="12" t="n"/>
      <c r="AI300" s="12" t="n"/>
      <c r="AJ300" s="12" t="n"/>
      <c r="AK300" s="12" t="n"/>
      <c r="AL300" s="12" t="n"/>
      <c r="AM300" s="12" t="n"/>
      <c r="AN300" s="12" t="n"/>
      <c r="AO300" s="12" t="n"/>
      <c r="AP300" s="12" t="n"/>
      <c r="AQ300" s="12" t="n"/>
      <c r="AR300" s="12" t="n"/>
      <c r="AS300" s="12" t="n"/>
      <c r="AT300" s="12" t="n"/>
      <c r="AU300" s="12" t="n"/>
      <c r="AV300" s="12" t="n"/>
      <c r="AW300" s="12" t="n"/>
      <c r="AX300" s="12" t="n"/>
      <c r="AY300" s="12" t="n"/>
      <c r="AZ300" s="12" t="n"/>
      <c r="BA300" s="12" t="n"/>
      <c r="BB300" s="12" t="n"/>
      <c r="BC300" s="12" t="n"/>
      <c r="BD300" s="12" t="n"/>
      <c r="BE300" s="12" t="n"/>
      <c r="BF300" s="12" t="n"/>
      <c r="BG300" s="12" t="n"/>
      <c r="BH300" s="12" t="n"/>
      <c r="BI300" s="12" t="n"/>
      <c r="BJ300" s="12" t="n"/>
      <c r="BK300" s="12" t="n"/>
      <c r="BL300" s="12" t="n"/>
      <c r="BM300" s="12" t="n"/>
      <c r="BN300" s="12" t="n"/>
      <c r="BO300" s="12" t="n"/>
      <c r="BP300" s="12" t="n"/>
      <c r="BQ300" s="12" t="n"/>
      <c r="BR300" s="12" t="n"/>
      <c r="BS300" s="12" t="n"/>
      <c r="BT300" s="12" t="n"/>
      <c r="BU300" s="12" t="n"/>
      <c r="BV300" s="12" t="n"/>
      <c r="BW300" s="12" t="n"/>
      <c r="BX300" s="12" t="n"/>
      <c r="BY300" s="12" t="n"/>
      <c r="BZ300" s="12" t="n"/>
      <c r="CA300" s="12" t="n"/>
      <c r="CB300" s="12" t="n"/>
      <c r="CC300" s="12" t="n"/>
      <c r="CD300" s="12" t="n"/>
      <c r="CE300" s="12" t="n"/>
      <c r="CF300" s="12" t="n"/>
      <c r="CG300" s="12" t="n"/>
      <c r="CH300" s="12" t="n"/>
      <c r="CI300" s="12" t="n"/>
      <c r="CJ300" s="12" t="n"/>
      <c r="CK300" s="12" t="n"/>
      <c r="CL300" s="12" t="n"/>
      <c r="CM300" s="12" t="n"/>
      <c r="CN300" s="12" t="n"/>
      <c r="CO300" s="12" t="n"/>
      <c r="CP300" s="12" t="n"/>
      <c r="CQ300" s="12" t="n"/>
      <c r="CR300" s="12" t="n"/>
      <c r="CS300" s="12" t="n"/>
      <c r="CT300" s="12" t="n"/>
      <c r="CU300" s="12" t="n"/>
      <c r="CV300" s="12" t="n"/>
      <c r="CW300" s="12" t="n"/>
      <c r="CX300" s="12" t="n"/>
      <c r="CY300" s="12" t="n"/>
    </row>
    <row r="301">
      <c r="C301" s="14" t="inlineStr">
        <is>
          <t>Convertible preferred stock</t>
        </is>
      </c>
      <c r="D301" s="12" t="n"/>
      <c r="E301" s="12" t="n"/>
      <c r="F301" s="12" t="n"/>
      <c r="G301" s="12" t="n"/>
      <c r="H301" s="12" t="n"/>
      <c r="I301" s="12">
        <f>I252-H252</f>
        <v>0</v>
      </c>
      <c r="J301" s="12">
        <f>J252-I252</f>
        <v>0</v>
      </c>
      <c r="K301" s="12">
        <f>K252-J252</f>
        <v>0</v>
      </c>
      <c r="L301" s="12">
        <f>L252-K252</f>
        <v>0</v>
      </c>
      <c r="M301" s="12">
        <f>SUM(I301:L301)</f>
        <v>0</v>
      </c>
      <c r="N301" s="12">
        <f>N252-M252</f>
        <v>0</v>
      </c>
      <c r="O301" s="12">
        <f>O252-N252</f>
        <v>0</v>
      </c>
      <c r="P301" s="12">
        <f>P252-O252</f>
        <v>0</v>
      </c>
      <c r="Q301" s="12">
        <f>Q252-P252</f>
        <v>0</v>
      </c>
      <c r="R301" s="12">
        <f>SUM(N301:Q301)</f>
        <v>0</v>
      </c>
      <c r="S301" s="12">
        <f>S252-R252</f>
        <v>0</v>
      </c>
      <c r="T301" s="12">
        <f>T252-S252</f>
        <v>0</v>
      </c>
      <c r="U301" s="12">
        <f>U252-T252</f>
        <v>0</v>
      </c>
      <c r="V301" s="12">
        <f>V252-U252</f>
        <v>0</v>
      </c>
      <c r="W301" s="12">
        <f>SUM(S301:V301)</f>
        <v>0</v>
      </c>
      <c r="X301" s="12">
        <f>X252-W252</f>
        <v>0</v>
      </c>
      <c r="Y301" s="12">
        <f>Y252-X252</f>
        <v>0</v>
      </c>
      <c r="Z301" s="12">
        <f>Z252-Y252</f>
        <v>0</v>
      </c>
      <c r="AA301" s="12">
        <f>AA252-Z252</f>
        <v>0</v>
      </c>
      <c r="AB301" s="12">
        <f>SUM(X301:AA301)</f>
        <v>0</v>
      </c>
      <c r="AC301" s="12">
        <f>AC252-AB252</f>
        <v>0</v>
      </c>
      <c r="AD301" s="12">
        <f>AD252-AC252</f>
        <v>0</v>
      </c>
      <c r="AE301" s="12">
        <f>AE252-AD252</f>
        <v>0</v>
      </c>
      <c r="AF301" s="12">
        <f>AF252-AE252</f>
        <v>0</v>
      </c>
      <c r="AG301" s="12">
        <f>SUM(AC301:AF301)</f>
        <v>0</v>
      </c>
      <c r="AH301" s="12">
        <f>AH252-AG252</f>
        <v>0</v>
      </c>
      <c r="AI301" s="12">
        <f>AI252-AH252</f>
        <v>0</v>
      </c>
      <c r="AJ301" s="12">
        <f>AJ252-AI252</f>
        <v>0</v>
      </c>
      <c r="AK301" s="12">
        <f>AK252-AJ252</f>
        <v>0</v>
      </c>
      <c r="AL301" s="12">
        <f>SUM(AH301:AK301)</f>
        <v>0</v>
      </c>
      <c r="AM301" s="12">
        <f>AM252-AL252</f>
        <v>0</v>
      </c>
      <c r="AN301" s="12">
        <f>AN252-AM252</f>
        <v>0</v>
      </c>
      <c r="AO301" s="12">
        <f>AO252-AN252</f>
        <v>0</v>
      </c>
      <c r="AP301" s="12">
        <f>AP252-AO252</f>
        <v>0</v>
      </c>
      <c r="AQ301" s="12">
        <f>SUM(AM301:AP301)</f>
        <v>0</v>
      </c>
      <c r="AR301" s="12">
        <f>AR252-AQ252</f>
        <v>0</v>
      </c>
      <c r="AS301" s="12">
        <f>AS252-AR252</f>
        <v>0</v>
      </c>
      <c r="AT301" s="12">
        <f>AT252-AS252</f>
        <v>0</v>
      </c>
      <c r="AU301" s="12">
        <f>AU252-AT252</f>
        <v>0</v>
      </c>
      <c r="AV301" s="12">
        <f>SUM(AR301:AU301)</f>
        <v>0</v>
      </c>
      <c r="AW301" s="12">
        <f>AW252-AV252</f>
        <v>0</v>
      </c>
      <c r="AX301" s="12">
        <f>AX252-AW252</f>
        <v>0</v>
      </c>
      <c r="AY301" s="12">
        <f>AY252-AX252</f>
        <v>0</v>
      </c>
      <c r="AZ301" s="12">
        <f>AZ252-AY252</f>
        <v>0</v>
      </c>
      <c r="BA301" s="12">
        <f>SUM(AW301:AZ301)</f>
        <v>0</v>
      </c>
      <c r="BB301" s="12">
        <f>BB252-BA252</f>
        <v>0</v>
      </c>
      <c r="BC301" s="12">
        <f>BC252-BB252</f>
        <v>0</v>
      </c>
      <c r="BD301" s="12">
        <f>BD252-BC252</f>
        <v>0</v>
      </c>
      <c r="BE301" s="12">
        <f>BE252-BD252</f>
        <v>0</v>
      </c>
      <c r="BF301" s="12">
        <f>SUM(BB301:BE301)</f>
        <v>0</v>
      </c>
      <c r="BG301" s="12" t="n"/>
      <c r="BH301" s="12" t="n"/>
      <c r="BI301" s="12" t="n"/>
      <c r="BJ301" s="12" t="n"/>
      <c r="BK301" s="12" t="n"/>
      <c r="BL301" s="12" t="n"/>
      <c r="BM301" s="12" t="n"/>
      <c r="BN301" s="12" t="n"/>
      <c r="BO301" s="12" t="n"/>
      <c r="BP301" s="12" t="n"/>
      <c r="BQ301" s="12" t="n"/>
      <c r="BR301" s="12" t="n"/>
      <c r="BS301" s="12" t="n"/>
      <c r="BT301" s="12" t="n"/>
      <c r="BU301" s="12" t="n"/>
      <c r="BV301" s="12" t="n"/>
      <c r="BW301" s="12" t="n"/>
      <c r="BX301" s="12" t="n"/>
      <c r="BY301" s="12" t="n"/>
      <c r="BZ301" s="12" t="n"/>
      <c r="CA301" s="12" t="n"/>
      <c r="CB301" s="12" t="n"/>
      <c r="CC301" s="12" t="n"/>
      <c r="CD301" s="12" t="n"/>
      <c r="CE301" s="12" t="n"/>
      <c r="CF301" s="12" t="n"/>
      <c r="CG301" s="12" t="n"/>
      <c r="CH301" s="12" t="n"/>
      <c r="CI301" s="12" t="n"/>
      <c r="CJ301" s="12" t="n"/>
      <c r="CK301" s="12" t="n"/>
      <c r="CL301" s="12" t="n"/>
      <c r="CM301" s="12" t="n"/>
      <c r="CN301" s="12" t="n"/>
      <c r="CO301" s="12" t="n"/>
      <c r="CP301" s="12" t="n"/>
      <c r="CQ301" s="12" t="n"/>
      <c r="CR301" s="12" t="n"/>
      <c r="CS301" s="12" t="n"/>
      <c r="CT301" s="12" t="n"/>
      <c r="CU301" s="12" t="n"/>
      <c r="CV301" s="12" t="n"/>
      <c r="CW301" s="12" t="n"/>
      <c r="CX301" s="12" t="n"/>
      <c r="CY301" s="12" t="n"/>
    </row>
    <row r="302">
      <c r="C302" s="14" t="inlineStr">
        <is>
          <t>Common stock and APIC</t>
        </is>
      </c>
      <c r="D302" s="12" t="n"/>
      <c r="E302" s="12" t="n"/>
      <c r="F302" s="12" t="n"/>
      <c r="G302" s="12" t="n"/>
      <c r="H302" s="12" t="n"/>
      <c r="I302" s="12">
        <f>I253-H253</f>
        <v>2977.983</v>
      </c>
      <c r="J302" s="12">
        <f>J253-I253</f>
        <v>0</v>
      </c>
      <c r="K302" s="12">
        <f>K253-J253</f>
        <v>0</v>
      </c>
      <c r="L302" s="12">
        <f>L253-K253</f>
        <v>22.8529999999996</v>
      </c>
      <c r="M302" s="12">
        <f>SUM(I302:L302)</f>
        <v>3000.836</v>
      </c>
      <c r="N302" s="12">
        <f>N253-M253</f>
        <v>8369.673</v>
      </c>
      <c r="O302" s="12">
        <f>O253-N253</f>
        <v>0</v>
      </c>
      <c r="P302" s="12">
        <f>P253-O253</f>
        <v>0</v>
      </c>
      <c r="Q302" s="12">
        <f>Q253-P253</f>
        <v>272.816999999999</v>
      </c>
      <c r="R302" s="12">
        <f>SUM(N302:Q302)</f>
        <v>8642.49</v>
      </c>
      <c r="S302" s="12">
        <f>S253-R253</f>
        <v>0</v>
      </c>
      <c r="T302" s="12">
        <f>T253-S253</f>
        <v>0.261000000000422</v>
      </c>
      <c r="U302" s="12">
        <f>U253-T253</f>
        <v>0.851000000000568</v>
      </c>
      <c r="V302" s="12">
        <f>V253-U253</f>
        <v>1.23199999999997</v>
      </c>
      <c r="W302" s="12">
        <f>SUM(S302:V302)</f>
        <v>2.34400000000096</v>
      </c>
      <c r="X302" s="12">
        <f>X253-W253</f>
        <v>0.860000000000582</v>
      </c>
      <c r="Y302" s="12">
        <f>Y253-X253</f>
        <v>1.32200000000012</v>
      </c>
      <c r="Z302" s="12">
        <f>Z253-Y253</f>
        <v>1.76999999999862</v>
      </c>
      <c r="AA302" s="12">
        <f>AA253-Z253</f>
        <v>518.067000000001</v>
      </c>
      <c r="AB302" s="12">
        <f>SUM(X302:AA302)</f>
        <v>522.019</v>
      </c>
      <c r="AC302" s="12">
        <f>AC253-AB253</f>
        <v>2.72899999999936</v>
      </c>
      <c r="AD302" s="12">
        <f>AD253-AC253</f>
        <v>2.67599999999948</v>
      </c>
      <c r="AE302" s="12">
        <f>AE253-AD253</f>
        <v>0.911000000000058</v>
      </c>
      <c r="AF302" s="12">
        <f>AF253-AE253</f>
        <v>4.90100000000166</v>
      </c>
      <c r="AG302" s="12">
        <f>SUM(AC302:AF302)</f>
        <v>11.2170000000006</v>
      </c>
      <c r="AH302" s="12">
        <f>AH253-AG253</f>
        <v>3.34299999999894</v>
      </c>
      <c r="AI302" s="12">
        <f>AI253-AH253</f>
        <v>2.19800000000032</v>
      </c>
      <c r="AJ302" s="12">
        <f>AJ253-AI253</f>
        <v>0</v>
      </c>
      <c r="AK302" s="12">
        <f>AK253-AJ253</f>
        <v>0</v>
      </c>
      <c r="AL302" s="12">
        <f>SUM(AH302:AK302)</f>
        <v>5.54099999999926</v>
      </c>
      <c r="AM302" s="12">
        <f>AM253-AL253</f>
        <v>0</v>
      </c>
      <c r="AN302" s="12">
        <f>AN253-AM253</f>
        <v>0</v>
      </c>
      <c r="AO302" s="12">
        <f>AO253-AN253</f>
        <v>0</v>
      </c>
      <c r="AP302" s="12">
        <f>AP253-AO253</f>
        <v>0</v>
      </c>
      <c r="AQ302" s="12">
        <f>SUM(AM302:AP302)</f>
        <v>0</v>
      </c>
      <c r="AR302" s="12">
        <f>AR253-AQ253</f>
        <v>0</v>
      </c>
      <c r="AS302" s="12">
        <f>AS253-AR253</f>
        <v>0</v>
      </c>
      <c r="AT302" s="12">
        <f>AT253-AS253</f>
        <v>0</v>
      </c>
      <c r="AU302" s="12">
        <f>AU253-AT253</f>
        <v>0</v>
      </c>
      <c r="AV302" s="12">
        <f>SUM(AR302:AU302)</f>
        <v>0</v>
      </c>
      <c r="AW302" s="12">
        <f>AW253-AV253</f>
        <v>0</v>
      </c>
      <c r="AX302" s="12">
        <f>AX253-AW253</f>
        <v>0</v>
      </c>
      <c r="AY302" s="12">
        <f>AY253-AX253</f>
        <v>0</v>
      </c>
      <c r="AZ302" s="12">
        <f>AZ253-AY253</f>
        <v>0</v>
      </c>
      <c r="BA302" s="12">
        <f>SUM(AW302:AZ302)</f>
        <v>0</v>
      </c>
      <c r="BB302" s="12">
        <f>BB253-BA253</f>
        <v>0</v>
      </c>
      <c r="BC302" s="12">
        <f>BC253-BB253</f>
        <v>0</v>
      </c>
      <c r="BD302" s="12">
        <f>BD253-BC253</f>
        <v>0</v>
      </c>
      <c r="BE302" s="12">
        <f>BE253-BD253</f>
        <v>0</v>
      </c>
      <c r="BF302" s="12">
        <f>SUM(BB302:BE302)</f>
        <v>0</v>
      </c>
      <c r="BG302" s="12" t="n"/>
      <c r="BH302" s="12" t="n"/>
      <c r="BI302" s="12" t="n"/>
      <c r="BJ302" s="12" t="n"/>
      <c r="BK302" s="12" t="n"/>
      <c r="BL302" s="12" t="n"/>
      <c r="BM302" s="12" t="n"/>
      <c r="BN302" s="12" t="n"/>
      <c r="BO302" s="12" t="n"/>
      <c r="BP302" s="12" t="n"/>
      <c r="BQ302" s="12" t="n"/>
      <c r="BR302" s="12" t="n"/>
      <c r="BS302" s="12" t="n"/>
      <c r="BT302" s="12" t="n"/>
      <c r="BU302" s="12" t="n"/>
      <c r="BV302" s="12" t="n"/>
      <c r="BW302" s="12" t="n"/>
      <c r="BX302" s="12" t="n"/>
      <c r="BY302" s="12" t="n"/>
      <c r="BZ302" s="12" t="n"/>
      <c r="CA302" s="12" t="n"/>
      <c r="CB302" s="12" t="n"/>
      <c r="CC302" s="12" t="n"/>
      <c r="CD302" s="12" t="n"/>
      <c r="CE302" s="12" t="n"/>
      <c r="CF302" s="12" t="n"/>
      <c r="CG302" s="12" t="n"/>
      <c r="CH302" s="12" t="n"/>
      <c r="CI302" s="12" t="n"/>
      <c r="CJ302" s="12" t="n"/>
      <c r="CK302" s="12" t="n"/>
      <c r="CL302" s="12" t="n"/>
      <c r="CM302" s="12" t="n"/>
      <c r="CN302" s="12" t="n"/>
      <c r="CO302" s="12" t="n"/>
      <c r="CP302" s="12" t="n"/>
      <c r="CQ302" s="12" t="n"/>
      <c r="CR302" s="12" t="n"/>
      <c r="CS302" s="12" t="n"/>
      <c r="CT302" s="12" t="n"/>
      <c r="CU302" s="12" t="n"/>
      <c r="CV302" s="12" t="n"/>
      <c r="CW302" s="12" t="n"/>
      <c r="CX302" s="12" t="n"/>
      <c r="CY302" s="12" t="n"/>
    </row>
    <row r="303">
      <c r="C303" s="14" t="inlineStr">
        <is>
          <t>Treasury stock repurchases</t>
        </is>
      </c>
      <c r="D303" s="12" t="n"/>
      <c r="E303" s="12" t="n"/>
      <c r="F303" s="12" t="n"/>
      <c r="G303" s="12" t="n"/>
      <c r="H303" s="12" t="n"/>
      <c r="I303" s="12">
        <f>I266-H266</f>
        <v>0</v>
      </c>
      <c r="J303" s="12">
        <f>J266-I266</f>
        <v>0</v>
      </c>
      <c r="K303" s="12">
        <f>K266-J266</f>
        <v>0</v>
      </c>
      <c r="L303" s="12">
        <f>L266-K266</f>
        <v>0</v>
      </c>
      <c r="M303" s="12">
        <f>SUM(I303:L303)</f>
        <v>0</v>
      </c>
      <c r="N303" s="12">
        <f>N266-M266</f>
        <v>0</v>
      </c>
      <c r="O303" s="12">
        <f>O266-N266</f>
        <v>0</v>
      </c>
      <c r="P303" s="12">
        <f>P266-O266</f>
        <v>0</v>
      </c>
      <c r="Q303" s="12">
        <f>Q266-P266</f>
        <v>0</v>
      </c>
      <c r="R303" s="12">
        <f>SUM(N303:Q303)</f>
        <v>0</v>
      </c>
      <c r="S303" s="12">
        <f>S266-R266</f>
        <v>0</v>
      </c>
      <c r="T303" s="12">
        <f>T266-S266</f>
        <v>0</v>
      </c>
      <c r="U303" s="12">
        <f>U266-T266</f>
        <v>0</v>
      </c>
      <c r="V303" s="12">
        <f>V266-U266</f>
        <v>0</v>
      </c>
      <c r="W303" s="12">
        <f>SUM(S303:V303)</f>
        <v>0</v>
      </c>
      <c r="X303" s="12">
        <f>X266-W266</f>
        <v>0</v>
      </c>
      <c r="Y303" s="12">
        <f>Y266-X266</f>
        <v>0</v>
      </c>
      <c r="Z303" s="12">
        <f>Z266-Y266</f>
        <v>0</v>
      </c>
      <c r="AA303" s="12">
        <f>AA266-Z266</f>
        <v>-53.617</v>
      </c>
      <c r="AB303" s="12">
        <f>SUM(X303:AA303)</f>
        <v>-53.617</v>
      </c>
      <c r="AC303" s="12">
        <f>AC266-AB266</f>
        <v>0</v>
      </c>
      <c r="AD303" s="12">
        <f>AD266-AC266</f>
        <v>0</v>
      </c>
      <c r="AE303" s="12">
        <f>AE266-AD266</f>
        <v>0</v>
      </c>
      <c r="AF303" s="12">
        <f>AF266-AE266</f>
        <v>-5.543</v>
      </c>
      <c r="AG303" s="12">
        <f>SUM(AC303:AF303)</f>
        <v>-5.543</v>
      </c>
      <c r="AH303" s="12">
        <f>AH266-AG266</f>
        <v>0</v>
      </c>
      <c r="AI303" s="12">
        <f>AI266-AH266</f>
        <v>2.051</v>
      </c>
      <c r="AJ303" s="12">
        <f>AJ266-AI266</f>
        <v>0</v>
      </c>
      <c r="AK303" s="12">
        <f>AK266-AJ266</f>
        <v>0</v>
      </c>
      <c r="AL303" s="12">
        <f>SUM(AH303:AK303)</f>
        <v>2.051</v>
      </c>
      <c r="AM303" s="12">
        <f>AM266-AL266</f>
        <v>0</v>
      </c>
      <c r="AN303" s="12">
        <f>AN266-AM266</f>
        <v>0</v>
      </c>
      <c r="AO303" s="12">
        <f>AO266-AN266</f>
        <v>0</v>
      </c>
      <c r="AP303" s="12">
        <f>AP266-AO266</f>
        <v>0</v>
      </c>
      <c r="AQ303" s="12">
        <f>SUM(AM303:AP303)</f>
        <v>0</v>
      </c>
      <c r="AR303" s="12">
        <f>AR266-AQ266</f>
        <v>0</v>
      </c>
      <c r="AS303" s="12">
        <f>AS266-AR266</f>
        <v>0</v>
      </c>
      <c r="AT303" s="12">
        <f>AT266-AS266</f>
        <v>0</v>
      </c>
      <c r="AU303" s="12">
        <f>AU266-AT266</f>
        <v>0</v>
      </c>
      <c r="AV303" s="12">
        <f>SUM(AR303:AU303)</f>
        <v>0</v>
      </c>
      <c r="AW303" s="12">
        <f>AW266-AV266</f>
        <v>0</v>
      </c>
      <c r="AX303" s="12">
        <f>AX266-AW266</f>
        <v>0</v>
      </c>
      <c r="AY303" s="12">
        <f>AY266-AX266</f>
        <v>0</v>
      </c>
      <c r="AZ303" s="12">
        <f>AZ266-AY266</f>
        <v>0</v>
      </c>
      <c r="BA303" s="12">
        <f>SUM(AW303:AZ303)</f>
        <v>0</v>
      </c>
      <c r="BB303" s="12">
        <f>BB266-BA266</f>
        <v>0</v>
      </c>
      <c r="BC303" s="12">
        <f>BC266-BB266</f>
        <v>0</v>
      </c>
      <c r="BD303" s="12">
        <f>BD266-BC266</f>
        <v>0</v>
      </c>
      <c r="BE303" s="12">
        <f>BE266-BD266</f>
        <v>0</v>
      </c>
      <c r="BF303" s="12">
        <f>SUM(BB303:BE303)</f>
        <v>0</v>
      </c>
      <c r="BG303" s="12" t="n"/>
      <c r="BH303" s="12" t="n"/>
      <c r="BI303" s="12" t="n"/>
      <c r="BJ303" s="12" t="n"/>
      <c r="BK303" s="12" t="n"/>
      <c r="BL303" s="12" t="n"/>
      <c r="BM303" s="12" t="n"/>
      <c r="BN303" s="12" t="n"/>
      <c r="BO303" s="12" t="n"/>
      <c r="BP303" s="12" t="n"/>
      <c r="BQ303" s="12" t="n"/>
      <c r="BR303" s="12" t="n"/>
      <c r="BS303" s="12" t="n"/>
      <c r="BT303" s="12" t="n"/>
      <c r="BU303" s="12" t="n"/>
      <c r="BV303" s="12" t="n"/>
      <c r="BW303" s="12" t="n"/>
      <c r="BX303" s="12" t="n"/>
      <c r="BY303" s="12" t="n"/>
      <c r="BZ303" s="12" t="n"/>
      <c r="CA303" s="12" t="n"/>
      <c r="CB303" s="12" t="n"/>
      <c r="CC303" s="12" t="n"/>
      <c r="CD303" s="12" t="n"/>
      <c r="CE303" s="12" t="n"/>
      <c r="CF303" s="12" t="n"/>
      <c r="CG303" s="12" t="n"/>
      <c r="CH303" s="12" t="n"/>
      <c r="CI303" s="12" t="n"/>
      <c r="CJ303" s="12" t="n"/>
      <c r="CK303" s="12" t="n"/>
      <c r="CL303" s="12" t="n"/>
      <c r="CM303" s="12" t="n"/>
      <c r="CN303" s="12" t="n"/>
      <c r="CO303" s="12" t="n"/>
      <c r="CP303" s="12" t="n"/>
      <c r="CQ303" s="12" t="n"/>
      <c r="CR303" s="12" t="n"/>
      <c r="CS303" s="12" t="n"/>
      <c r="CT303" s="12" t="n"/>
      <c r="CU303" s="12" t="n"/>
      <c r="CV303" s="12" t="n"/>
      <c r="CW303" s="12" t="n"/>
      <c r="CX303" s="12" t="n"/>
      <c r="CY303" s="12" t="n"/>
    </row>
    <row r="304">
      <c r="C304" s="14" t="inlineStr">
        <is>
          <t>Comprehensive accumulated loss</t>
        </is>
      </c>
      <c r="D304" s="12" t="n"/>
      <c r="E304" s="12" t="n"/>
      <c r="F304" s="12" t="n"/>
      <c r="G304" s="12" t="n"/>
      <c r="H304" s="12" t="n"/>
      <c r="I304" s="12">
        <f>I267-H267</f>
        <v>-644.044</v>
      </c>
      <c r="J304" s="12">
        <f>J267-I267</f>
        <v>21.148</v>
      </c>
      <c r="K304" s="12">
        <f>K267-J267</f>
        <v>160.363</v>
      </c>
      <c r="L304" s="12">
        <f>L267-K267</f>
        <v>57.159</v>
      </c>
      <c r="M304" s="12">
        <f>SUM(I304:L304)</f>
        <v>-405.374</v>
      </c>
      <c r="N304" s="12">
        <f>N267-M267</f>
        <v>0</v>
      </c>
      <c r="O304" s="12">
        <f>O267-N267</f>
        <v>0</v>
      </c>
      <c r="P304" s="12">
        <f>P267-O267</f>
        <v>-11.761</v>
      </c>
      <c r="Q304" s="12">
        <f>Q267-P267</f>
        <v>211.763</v>
      </c>
      <c r="R304" s="12">
        <f>SUM(N304:Q304)</f>
        <v>200.002</v>
      </c>
      <c r="S304" s="12">
        <f>S267-R267</f>
        <v>0.481000000000023</v>
      </c>
      <c r="T304" s="12">
        <f>T267-S267</f>
        <v>-15.861</v>
      </c>
      <c r="U304" s="12">
        <f>U267-T267</f>
        <v>13.703</v>
      </c>
      <c r="V304" s="12">
        <f>V267-U267</f>
        <v>-202.272</v>
      </c>
      <c r="W304" s="12">
        <f>SUM(S304:V304)</f>
        <v>-203.949</v>
      </c>
      <c r="X304" s="12">
        <f>X267-W267</f>
        <v>0.0340000000000487</v>
      </c>
      <c r="Y304" s="12">
        <f>Y267-X267</f>
        <v>-0.342000000000041</v>
      </c>
      <c r="Z304" s="12">
        <f>Z267-Y267</f>
        <v>-0.84899999999999</v>
      </c>
      <c r="AA304" s="12">
        <f>AA267-Z267</f>
        <v>574.158</v>
      </c>
      <c r="AB304" s="12">
        <f>SUM(X304:AA304)</f>
        <v>573.001</v>
      </c>
      <c r="AC304" s="12">
        <f>AC267-AB267</f>
        <v>38.596</v>
      </c>
      <c r="AD304" s="12">
        <f>AD267-AC267</f>
        <v>44.961</v>
      </c>
      <c r="AE304" s="12">
        <f>AE267-AD267</f>
        <v>-12.109</v>
      </c>
      <c r="AF304" s="12">
        <f>AF267-AE267</f>
        <v>-106.024</v>
      </c>
      <c r="AG304" s="12">
        <f>SUM(AC304:AF304)</f>
        <v>-34.576</v>
      </c>
      <c r="AH304" s="12">
        <f>AH267-AG267</f>
        <v>18.794</v>
      </c>
      <c r="AI304" s="12">
        <f>AI267-AH267</f>
        <v>4.47</v>
      </c>
      <c r="AJ304" s="12">
        <f>AJ267-AI267</f>
        <v>0</v>
      </c>
      <c r="AK304" s="12">
        <f>AK267-AJ267</f>
        <v>0</v>
      </c>
      <c r="AL304" s="12">
        <f>SUM(AH304:AK304)</f>
        <v>23.264</v>
      </c>
      <c r="AM304" s="12">
        <f>AM267-AL267</f>
        <v>0</v>
      </c>
      <c r="AN304" s="12">
        <f>AN267-AM267</f>
        <v>0</v>
      </c>
      <c r="AO304" s="12">
        <f>AO267-AN267</f>
        <v>0</v>
      </c>
      <c r="AP304" s="12">
        <f>AP267-AO267</f>
        <v>0</v>
      </c>
      <c r="AQ304" s="12">
        <f>SUM(AM304:AP304)</f>
        <v>0</v>
      </c>
      <c r="AR304" s="12">
        <f>AR267-AQ267</f>
        <v>0</v>
      </c>
      <c r="AS304" s="12">
        <f>AS267-AR267</f>
        <v>0</v>
      </c>
      <c r="AT304" s="12">
        <f>AT267-AS267</f>
        <v>0</v>
      </c>
      <c r="AU304" s="12">
        <f>AU267-AT267</f>
        <v>0</v>
      </c>
      <c r="AV304" s="12">
        <f>SUM(AR304:AU304)</f>
        <v>0</v>
      </c>
      <c r="AW304" s="12">
        <f>AW267-AV267</f>
        <v>0</v>
      </c>
      <c r="AX304" s="12">
        <f>AX267-AW267</f>
        <v>0</v>
      </c>
      <c r="AY304" s="12">
        <f>AY267-AX267</f>
        <v>0</v>
      </c>
      <c r="AZ304" s="12">
        <f>AZ267-AY267</f>
        <v>0</v>
      </c>
      <c r="BA304" s="12">
        <f>SUM(AW304:AZ304)</f>
        <v>0</v>
      </c>
      <c r="BB304" s="12">
        <f>BB267-BA267</f>
        <v>0</v>
      </c>
      <c r="BC304" s="12">
        <f>BC267-BB267</f>
        <v>0</v>
      </c>
      <c r="BD304" s="12">
        <f>BD267-BC267</f>
        <v>0</v>
      </c>
      <c r="BE304" s="12">
        <f>BE267-BD267</f>
        <v>0</v>
      </c>
      <c r="BF304" s="12">
        <f>SUM(BB304:BE304)</f>
        <v>0</v>
      </c>
      <c r="BG304" s="12" t="n"/>
      <c r="BH304" s="12" t="n"/>
      <c r="BI304" s="12" t="n"/>
      <c r="BJ304" s="12" t="n"/>
      <c r="BK304" s="12" t="n"/>
      <c r="BL304" s="12" t="n"/>
      <c r="BM304" s="12" t="n"/>
      <c r="BN304" s="12" t="n"/>
      <c r="BO304" s="12" t="n"/>
      <c r="BP304" s="12" t="n"/>
      <c r="BQ304" s="12" t="n"/>
      <c r="BR304" s="12" t="n"/>
      <c r="BS304" s="12" t="n"/>
      <c r="BT304" s="12" t="n"/>
      <c r="BU304" s="12" t="n"/>
      <c r="BV304" s="12" t="n"/>
      <c r="BW304" s="12" t="n"/>
      <c r="BX304" s="12" t="n"/>
      <c r="BY304" s="12" t="n"/>
      <c r="BZ304" s="12" t="n"/>
      <c r="CA304" s="12" t="n"/>
      <c r="CB304" s="12" t="n"/>
      <c r="CC304" s="12" t="n"/>
      <c r="CD304" s="12" t="n"/>
      <c r="CE304" s="12" t="n"/>
      <c r="CF304" s="12" t="n"/>
      <c r="CG304" s="12" t="n"/>
      <c r="CH304" s="12" t="n"/>
      <c r="CI304" s="12" t="n"/>
      <c r="CJ304" s="12" t="n"/>
      <c r="CK304" s="12" t="n"/>
      <c r="CL304" s="12" t="n"/>
      <c r="CM304" s="12" t="n"/>
      <c r="CN304" s="12" t="n"/>
      <c r="CO304" s="12" t="n"/>
      <c r="CP304" s="12" t="n"/>
      <c r="CQ304" s="12" t="n"/>
      <c r="CR304" s="12" t="n"/>
      <c r="CS304" s="12" t="n"/>
      <c r="CT304" s="12" t="n"/>
      <c r="CU304" s="12" t="n"/>
      <c r="CV304" s="12" t="n"/>
      <c r="CW304" s="12" t="n"/>
      <c r="CX304" s="12" t="n"/>
      <c r="CY304" s="12" t="n"/>
    </row>
    <row r="305">
      <c r="C305" s="14" t="inlineStr">
        <is>
          <t>Other equity account</t>
        </is>
      </c>
      <c r="D305" s="12" t="n"/>
      <c r="E305" s="12" t="n"/>
      <c r="F305" s="12" t="n"/>
      <c r="G305" s="12" t="n"/>
      <c r="H305" s="12" t="n"/>
      <c r="I305" s="12">
        <f>I268-H268</f>
        <v>0</v>
      </c>
      <c r="J305" s="12">
        <f>J268-I268</f>
        <v>0</v>
      </c>
      <c r="K305" s="12">
        <f>K268-J268</f>
        <v>0</v>
      </c>
      <c r="L305" s="12">
        <f>L268-K268</f>
        <v>0</v>
      </c>
      <c r="M305" s="12">
        <f>SUM(I305:L305)</f>
        <v>0</v>
      </c>
      <c r="N305" s="12">
        <f>N268-M268</f>
        <v>0</v>
      </c>
      <c r="O305" s="12">
        <f>O268-N268</f>
        <v>0</v>
      </c>
      <c r="P305" s="12">
        <f>P268-O268</f>
        <v>0</v>
      </c>
      <c r="Q305" s="12">
        <f>Q268-P268</f>
        <v>0</v>
      </c>
      <c r="R305" s="12">
        <f>SUM(N305:Q305)</f>
        <v>0</v>
      </c>
      <c r="S305" s="12">
        <f>S268-R268</f>
        <v>0</v>
      </c>
      <c r="T305" s="12">
        <f>T268-S268</f>
        <v>0</v>
      </c>
      <c r="U305" s="12">
        <f>U268-T268</f>
        <v>0</v>
      </c>
      <c r="V305" s="12">
        <f>V268-U268</f>
        <v>0</v>
      </c>
      <c r="W305" s="12">
        <f>SUM(S305:V305)</f>
        <v>0</v>
      </c>
      <c r="X305" s="12">
        <f>X268-W268</f>
        <v>0</v>
      </c>
      <c r="Y305" s="12">
        <f>Y268-X268</f>
        <v>0</v>
      </c>
      <c r="Z305" s="12">
        <f>Z268-Y268</f>
        <v>0</v>
      </c>
      <c r="AA305" s="12">
        <f>AA268-Z268</f>
        <v>0</v>
      </c>
      <c r="AB305" s="12">
        <f>SUM(X305:AA305)</f>
        <v>0</v>
      </c>
      <c r="AC305" s="12">
        <f>AC268-AB268</f>
        <v>0</v>
      </c>
      <c r="AD305" s="12">
        <f>AD268-AC268</f>
        <v>0</v>
      </c>
      <c r="AE305" s="12">
        <f>AE268-AD268</f>
        <v>0</v>
      </c>
      <c r="AF305" s="12">
        <f>AF268-AE268</f>
        <v>0</v>
      </c>
      <c r="AG305" s="12">
        <f>SUM(AC305:AF305)</f>
        <v>0</v>
      </c>
      <c r="AH305" s="12">
        <f>AH268-AG268</f>
        <v>0</v>
      </c>
      <c r="AI305" s="12">
        <f>AI268-AH268</f>
        <v>0</v>
      </c>
      <c r="AJ305" s="12">
        <f>AJ268-AI268</f>
        <v>0</v>
      </c>
      <c r="AK305" s="12">
        <f>AK268-AJ268</f>
        <v>0</v>
      </c>
      <c r="AL305" s="12">
        <f>SUM(AH305:AK305)</f>
        <v>0</v>
      </c>
      <c r="AM305" s="12">
        <f>AM268-AL268</f>
        <v>0</v>
      </c>
      <c r="AN305" s="12">
        <f>AN268-AM268</f>
        <v>0</v>
      </c>
      <c r="AO305" s="12">
        <f>AO268-AN268</f>
        <v>0</v>
      </c>
      <c r="AP305" s="12">
        <f>AP268-AO268</f>
        <v>0</v>
      </c>
      <c r="AQ305" s="12">
        <f>SUM(AM305:AP305)</f>
        <v>0</v>
      </c>
      <c r="AR305" s="12">
        <f>AR268-AQ268</f>
        <v>0</v>
      </c>
      <c r="AS305" s="12">
        <f>AS268-AR268</f>
        <v>0</v>
      </c>
      <c r="AT305" s="12">
        <f>AT268-AS268</f>
        <v>0</v>
      </c>
      <c r="AU305" s="12">
        <f>AU268-AT268</f>
        <v>0</v>
      </c>
      <c r="AV305" s="12">
        <f>SUM(AR305:AU305)</f>
        <v>0</v>
      </c>
      <c r="AW305" s="12">
        <f>AW268-AV268</f>
        <v>0</v>
      </c>
      <c r="AX305" s="12">
        <f>AX268-AW268</f>
        <v>0</v>
      </c>
      <c r="AY305" s="12">
        <f>AY268-AX268</f>
        <v>0</v>
      </c>
      <c r="AZ305" s="12">
        <f>AZ268-AY268</f>
        <v>0</v>
      </c>
      <c r="BA305" s="12">
        <f>SUM(AW305:AZ305)</f>
        <v>0</v>
      </c>
      <c r="BB305" s="12">
        <f>BB268-BA268</f>
        <v>0</v>
      </c>
      <c r="BC305" s="12">
        <f>BC268-BB268</f>
        <v>0</v>
      </c>
      <c r="BD305" s="12">
        <f>BD268-BC268</f>
        <v>0</v>
      </c>
      <c r="BE305" s="12">
        <f>BE268-BD268</f>
        <v>0</v>
      </c>
      <c r="BF305" s="12">
        <f>SUM(BB305:BE305)</f>
        <v>0</v>
      </c>
      <c r="BG305" s="12" t="n"/>
      <c r="BH305" s="12" t="n"/>
      <c r="BI305" s="12" t="n"/>
      <c r="BJ305" s="12" t="n"/>
      <c r="BK305" s="12" t="n"/>
      <c r="BL305" s="12" t="n"/>
      <c r="BM305" s="12" t="n"/>
      <c r="BN305" s="12" t="n"/>
      <c r="BO305" s="12" t="n"/>
      <c r="BP305" s="12" t="n"/>
      <c r="BQ305" s="12" t="n"/>
      <c r="BR305" s="12" t="n"/>
      <c r="BS305" s="12" t="n"/>
      <c r="BT305" s="12" t="n"/>
      <c r="BU305" s="12" t="n"/>
      <c r="BV305" s="12" t="n"/>
      <c r="BW305" s="12" t="n"/>
      <c r="BX305" s="12" t="n"/>
      <c r="BY305" s="12" t="n"/>
      <c r="BZ305" s="12" t="n"/>
      <c r="CA305" s="12" t="n"/>
      <c r="CB305" s="12" t="n"/>
      <c r="CC305" s="12" t="n"/>
      <c r="CD305" s="12" t="n"/>
      <c r="CE305" s="12" t="n"/>
      <c r="CF305" s="12" t="n"/>
      <c r="CG305" s="12" t="n"/>
      <c r="CH305" s="12" t="n"/>
      <c r="CI305" s="12" t="n"/>
      <c r="CJ305" s="12" t="n"/>
      <c r="CK305" s="12" t="n"/>
      <c r="CL305" s="12" t="n"/>
      <c r="CM305" s="12" t="n"/>
      <c r="CN305" s="12" t="n"/>
      <c r="CO305" s="12" t="n"/>
      <c r="CP305" s="12" t="n"/>
      <c r="CQ305" s="12" t="n"/>
      <c r="CR305" s="12" t="n"/>
      <c r="CS305" s="12" t="n"/>
      <c r="CT305" s="12" t="n"/>
      <c r="CU305" s="12" t="n"/>
      <c r="CV305" s="12" t="n"/>
      <c r="CW305" s="12" t="n"/>
      <c r="CX305" s="12" t="n"/>
      <c r="CY305" s="12" t="n"/>
    </row>
    <row r="306">
      <c r="C306" s="10" t="inlineStr">
        <is>
          <t>Common and preferred dividends</t>
        </is>
      </c>
      <c r="D306" s="12" t="n"/>
      <c r="E306" s="12" t="n"/>
      <c r="F306" s="12" t="n"/>
      <c r="G306" s="12" t="n"/>
      <c r="H306" s="12" t="n"/>
      <c r="I306" s="12">
        <f>(I269-H269)-I276</f>
        <v>1560.825</v>
      </c>
      <c r="J306" s="12">
        <f>(J269-I269)-J276</f>
        <v>279.302</v>
      </c>
      <c r="K306" s="12">
        <f>(K269-J269)-K276</f>
        <v>0</v>
      </c>
      <c r="L306" s="12">
        <f>(L269-K269)-L276</f>
        <v>-13.9519999999999</v>
      </c>
      <c r="M306" s="12">
        <f>SUM(I306:L306)</f>
        <v>1826.175</v>
      </c>
      <c r="N306" s="12">
        <f>(N269-M269)-N276</f>
        <v>-2.48689957516035e-14</v>
      </c>
      <c r="O306" s="12">
        <f>(O269-N269)-O276</f>
        <v>-86.0480000000001</v>
      </c>
      <c r="P306" s="12">
        <f>(P269-O269)-P276</f>
        <v>-0.00100000000011846</v>
      </c>
      <c r="Q306" s="12">
        <f>(Q269-P269)-Q276</f>
        <v>-635.168</v>
      </c>
      <c r="R306" s="12">
        <f>SUM(N306:Q306)</f>
        <v>-721.217</v>
      </c>
      <c r="S306" s="12">
        <f>(S269-R269)-S276</f>
        <v>0</v>
      </c>
      <c r="T306" s="12">
        <f>(T269-S269)-T276</f>
        <v>-864.831</v>
      </c>
      <c r="U306" s="12">
        <f>(U269-T269)-U276</f>
        <v>0</v>
      </c>
      <c r="V306" s="12">
        <f>(V269-U269)-V276</f>
        <v>-1500</v>
      </c>
      <c r="W306" s="12">
        <f>SUM(S306:V306)</f>
        <v>-2364.831</v>
      </c>
      <c r="X306" s="12">
        <f>(X269-W269)-X276</f>
        <v>-400</v>
      </c>
      <c r="Y306" s="12">
        <f>(Y269-X269)-Y276</f>
        <v>0</v>
      </c>
      <c r="Z306" s="12">
        <f>(Z269-Y269)-Z276</f>
        <v>0</v>
      </c>
      <c r="AA306" s="12">
        <f>(AA269-Z269)-AA276</f>
        <v>-59.5980000000003</v>
      </c>
      <c r="AB306" s="12">
        <f>SUM(X306:AA306)</f>
        <v>-459.598</v>
      </c>
      <c r="AC306" s="12">
        <f>(AC269-AB269)-AC276</f>
        <v>3.48165940522449e-13</v>
      </c>
      <c r="AD306" s="12">
        <f>(AD269-AC269)-AD276</f>
        <v>0</v>
      </c>
      <c r="AE306" s="12">
        <f>(AE269-AD269)-AE276</f>
        <v>0</v>
      </c>
      <c r="AF306" s="12">
        <f>(AF269-AE269)-AF276</f>
        <v>0</v>
      </c>
      <c r="AG306" s="12">
        <f>SUM(AC306:AF306)</f>
        <v>3.48165940522449e-13</v>
      </c>
      <c r="AH306" s="12">
        <f>(AH269-AG269)-AH276</f>
        <v>0</v>
      </c>
      <c r="AI306" s="12">
        <f>(AI269-AH269)-AI276</f>
        <v>0</v>
      </c>
      <c r="AJ306" s="12">
        <f>(AJ269-AI269)-AJ276</f>
        <v>0</v>
      </c>
      <c r="AK306" s="12">
        <f>(AK269-AJ269)-AK276</f>
        <v>0</v>
      </c>
      <c r="AL306" s="12">
        <f>SUM(AH306:AK306)</f>
        <v>0</v>
      </c>
      <c r="AM306" s="12">
        <f>(AM269-AL269)-AM276</f>
        <v>0</v>
      </c>
      <c r="AN306" s="12">
        <f>(AN269-AM269)-AN276</f>
        <v>0</v>
      </c>
      <c r="AO306" s="12">
        <f>(AO269-AN269)-AO276</f>
        <v>0</v>
      </c>
      <c r="AP306" s="12">
        <f>(AP269-AO269)-AP276</f>
        <v>0</v>
      </c>
      <c r="AQ306" s="12">
        <f>SUM(AM306:AP306)</f>
        <v>0</v>
      </c>
      <c r="AR306" s="12">
        <f>(AR269-AQ269)-AR276</f>
        <v>0</v>
      </c>
      <c r="AS306" s="12">
        <f>(AS269-AR269)-AS276</f>
        <v>0</v>
      </c>
      <c r="AT306" s="12">
        <f>(AT269-AS269)-AT276</f>
        <v>0</v>
      </c>
      <c r="AU306" s="12">
        <f>(AU269-AT269)-AU276</f>
        <v>0</v>
      </c>
      <c r="AV306" s="12">
        <f>SUM(AR306:AU306)</f>
        <v>0</v>
      </c>
      <c r="AW306" s="12">
        <f>(AW269-AV269)-AW276</f>
        <v>0</v>
      </c>
      <c r="AX306" s="12">
        <f>(AX269-AW269)-AX276</f>
        <v>0</v>
      </c>
      <c r="AY306" s="12">
        <f>(AY269-AX269)-AY276</f>
        <v>0</v>
      </c>
      <c r="AZ306" s="12">
        <f>(AZ269-AY269)-AZ276</f>
        <v>0</v>
      </c>
      <c r="BA306" s="12">
        <f>SUM(AW306:AZ306)</f>
        <v>0</v>
      </c>
      <c r="BB306" s="12">
        <f>(BB269-BA269)-BB276</f>
        <v>0</v>
      </c>
      <c r="BC306" s="12">
        <f>(BC269-BB269)-BC276</f>
        <v>0</v>
      </c>
      <c r="BD306" s="12">
        <f>(BD269-BC269)-BD276</f>
        <v>0</v>
      </c>
      <c r="BE306" s="12">
        <f>(BE269-BD269)-BE276</f>
        <v>0</v>
      </c>
      <c r="BF306" s="12">
        <f>SUM(BB306:BE306)</f>
        <v>0</v>
      </c>
      <c r="BG306" s="12" t="n"/>
      <c r="BH306" s="12" t="n"/>
      <c r="BI306" s="12" t="n"/>
      <c r="BJ306" s="12" t="n"/>
      <c r="BK306" s="12" t="n"/>
      <c r="BL306" s="12" t="n"/>
      <c r="BM306" s="12" t="n"/>
      <c r="BN306" s="12" t="n"/>
      <c r="BO306" s="12" t="n"/>
      <c r="BP306" s="12" t="n"/>
      <c r="BQ306" s="12" t="n"/>
      <c r="BR306" s="12" t="n"/>
      <c r="BS306" s="12" t="n"/>
      <c r="BT306" s="12" t="n"/>
      <c r="BU306" s="12" t="n"/>
      <c r="BV306" s="12" t="n"/>
      <c r="BW306" s="12" t="n"/>
      <c r="BX306" s="12" t="n"/>
      <c r="BY306" s="12" t="n"/>
      <c r="BZ306" s="12" t="n"/>
      <c r="CA306" s="12" t="n"/>
      <c r="CB306" s="12" t="n"/>
      <c r="CC306" s="12" t="n"/>
      <c r="CD306" s="12" t="n"/>
      <c r="CE306" s="12" t="n"/>
      <c r="CF306" s="12" t="n"/>
      <c r="CG306" s="12" t="n"/>
      <c r="CH306" s="12" t="n"/>
      <c r="CI306" s="12" t="n"/>
      <c r="CJ306" s="12" t="n"/>
      <c r="CK306" s="12" t="n"/>
      <c r="CL306" s="12" t="n"/>
      <c r="CM306" s="12" t="n"/>
      <c r="CN306" s="12" t="n"/>
      <c r="CO306" s="12" t="n"/>
      <c r="CP306" s="12" t="n"/>
      <c r="CQ306" s="12" t="n"/>
      <c r="CR306" s="12" t="n"/>
      <c r="CS306" s="12" t="n"/>
      <c r="CT306" s="12" t="n"/>
      <c r="CU306" s="12" t="n"/>
      <c r="CV306" s="12" t="n"/>
      <c r="CW306" s="12" t="n"/>
      <c r="CX306" s="12" t="n"/>
      <c r="CY306" s="12" t="n"/>
    </row>
    <row r="307">
      <c r="C307" s="14" t="inlineStr">
        <is>
          <t>Dividends to minority interests</t>
        </is>
      </c>
      <c r="D307" s="12" t="n"/>
      <c r="E307" s="12" t="n"/>
      <c r="F307" s="12" t="n"/>
      <c r="G307" s="12" t="n"/>
      <c r="H307" s="12" t="n"/>
      <c r="I307" s="12">
        <f>(I247-H247)+I135</f>
        <v>4248.519</v>
      </c>
      <c r="J307" s="12">
        <f>(J247-I247)+J135</f>
        <v>30.9240000000001</v>
      </c>
      <c r="K307" s="12">
        <f>(K247-J247)+K135</f>
        <v>240.407</v>
      </c>
      <c r="L307" s="12">
        <f>(L247-K247)+L135</f>
        <v>-145.099</v>
      </c>
      <c r="M307" s="12">
        <f>SUM(I307:L307)</f>
        <v>4374.751</v>
      </c>
      <c r="N307" s="12">
        <f>(N247-M247)+N135</f>
        <v>-4593.326</v>
      </c>
      <c r="O307" s="12">
        <f>(O247-N247)+O135</f>
        <v>0</v>
      </c>
      <c r="P307" s="12">
        <f>(P247-O247)+P135</f>
        <v>0</v>
      </c>
      <c r="Q307" s="12">
        <f>(Q247-P247)+Q135</f>
        <v>0</v>
      </c>
      <c r="R307" s="12">
        <f>SUM(N307:Q307)</f>
        <v>-4593.326</v>
      </c>
      <c r="S307" s="12">
        <f>(S247-R247)+S135</f>
        <v>0</v>
      </c>
      <c r="T307" s="12">
        <f>(T247-S247)+T135</f>
        <v>0</v>
      </c>
      <c r="U307" s="12">
        <f>(U247-T247)+U135</f>
        <v>0</v>
      </c>
      <c r="V307" s="12">
        <f>(V247-U247)+V135</f>
        <v>0</v>
      </c>
      <c r="W307" s="12">
        <f>SUM(S307:V307)</f>
        <v>0</v>
      </c>
      <c r="X307" s="12">
        <f>(X247-W247)+X135</f>
        <v>0</v>
      </c>
      <c r="Y307" s="12">
        <f>(Y247-X247)+Y135</f>
        <v>0</v>
      </c>
      <c r="Z307" s="12">
        <f>(Z247-Y247)+Z135</f>
        <v>0</v>
      </c>
      <c r="AA307" s="12">
        <f>(AA247-Z247)+AA135</f>
        <v>1260.727</v>
      </c>
      <c r="AB307" s="12">
        <f>SUM(X307:AA307)</f>
        <v>1260.727</v>
      </c>
      <c r="AC307" s="12">
        <f>(AC247-AB247)+AC135</f>
        <v>0.0720000000000951</v>
      </c>
      <c r="AD307" s="12">
        <f>(AD247-AC247)+AD135</f>
        <v>0.0709999999999482</v>
      </c>
      <c r="AE307" s="12">
        <f>(AE247-AD247)+AE135</f>
        <v>-84.427</v>
      </c>
      <c r="AF307" s="12">
        <f>(AF247-AE247)+AF135</f>
        <v>-36.83</v>
      </c>
      <c r="AG307" s="12">
        <f>SUM(AC307:AF307)</f>
        <v>-121.114</v>
      </c>
      <c r="AH307" s="12">
        <f>(AH247-AG247)+AH135</f>
        <v>-72.801</v>
      </c>
      <c r="AI307" s="12">
        <f>(AI247-AH247)+AI135</f>
        <v>-0.00100000000000833</v>
      </c>
      <c r="AJ307" s="12">
        <f>(AJ247-AI247)+AJ135</f>
        <v>-14.93425</v>
      </c>
      <c r="AK307" s="12">
        <f>(AK247-AJ247)+AK135</f>
        <v>-14.93425</v>
      </c>
      <c r="AL307" s="12">
        <f>SUM(AH307:AK307)</f>
        <v>-102.6705</v>
      </c>
      <c r="AM307" s="12">
        <f>(AM247-AL247)+AM135</f>
        <v>-14.93425</v>
      </c>
      <c r="AN307" s="12">
        <f>(AN247-AM247)+AN135</f>
        <v>-14.93425</v>
      </c>
      <c r="AO307" s="12">
        <f>(AO247-AN247)+AO135</f>
        <v>-14.93425</v>
      </c>
      <c r="AP307" s="12">
        <f>(AP247-AO247)+AP135</f>
        <v>-14.93425</v>
      </c>
      <c r="AQ307" s="12">
        <f>SUM(AM307:AP307)</f>
        <v>-59.737</v>
      </c>
      <c r="AR307" s="12">
        <f>(AR247-AQ247)+AR135</f>
        <v>-14.93425</v>
      </c>
      <c r="AS307" s="12">
        <f>(AS247-AR247)+AS135</f>
        <v>-14.93425</v>
      </c>
      <c r="AT307" s="12">
        <f>(AT247-AS247)+AT135</f>
        <v>-14.93425</v>
      </c>
      <c r="AU307" s="12">
        <f>(AU247-AT247)+AU135</f>
        <v>-14.93425</v>
      </c>
      <c r="AV307" s="12">
        <f>SUM(AR307:AU307)</f>
        <v>-59.737</v>
      </c>
      <c r="AW307" s="12">
        <f>(AW247-AV247)+AW135</f>
        <v>-14.93425</v>
      </c>
      <c r="AX307" s="12">
        <f>(AX247-AW247)+AX135</f>
        <v>-14.93425</v>
      </c>
      <c r="AY307" s="12">
        <f>(AY247-AX247)+AY135</f>
        <v>-14.93425</v>
      </c>
      <c r="AZ307" s="12">
        <f>(AZ247-AY247)+AZ135</f>
        <v>-14.93425</v>
      </c>
      <c r="BA307" s="12">
        <f>SUM(AW307:AZ307)</f>
        <v>-59.737</v>
      </c>
      <c r="BB307" s="12">
        <f>(BB247-BA247)+BB135</f>
        <v>-14.93425</v>
      </c>
      <c r="BC307" s="12">
        <f>(BC247-BB247)+BC135</f>
        <v>-14.93425</v>
      </c>
      <c r="BD307" s="12">
        <f>(BD247-BC247)+BD135</f>
        <v>-14.93425</v>
      </c>
      <c r="BE307" s="12">
        <f>(BE247-BD247)+BE135</f>
        <v>-14.93425</v>
      </c>
      <c r="BF307" s="12">
        <f>SUM(BB307:BE307)</f>
        <v>-59.737</v>
      </c>
      <c r="BG307" s="12" t="n"/>
      <c r="BH307" s="12" t="n"/>
      <c r="BI307" s="12" t="n"/>
      <c r="BJ307" s="12" t="n"/>
      <c r="BK307" s="12" t="n"/>
      <c r="BL307" s="12" t="n"/>
      <c r="BM307" s="12" t="n"/>
      <c r="BN307" s="12" t="n"/>
      <c r="BO307" s="12" t="n"/>
      <c r="BP307" s="12" t="n"/>
      <c r="BQ307" s="12" t="n"/>
      <c r="BR307" s="12" t="n"/>
      <c r="BS307" s="12" t="n"/>
      <c r="BT307" s="12" t="n"/>
      <c r="BU307" s="12" t="n"/>
      <c r="BV307" s="12" t="n"/>
      <c r="BW307" s="12" t="n"/>
      <c r="BX307" s="12" t="n"/>
      <c r="BY307" s="12" t="n"/>
      <c r="BZ307" s="12" t="n"/>
      <c r="CA307" s="12" t="n"/>
      <c r="CB307" s="12" t="n"/>
      <c r="CC307" s="12" t="n"/>
      <c r="CD307" s="12" t="n"/>
      <c r="CE307" s="12" t="n"/>
      <c r="CF307" s="12" t="n"/>
      <c r="CG307" s="12" t="n"/>
      <c r="CH307" s="12" t="n"/>
      <c r="CI307" s="12" t="n"/>
      <c r="CJ307" s="12" t="n"/>
      <c r="CK307" s="12" t="n"/>
      <c r="CL307" s="12" t="n"/>
      <c r="CM307" s="12" t="n"/>
      <c r="CN307" s="12" t="n"/>
      <c r="CO307" s="12" t="n"/>
      <c r="CP307" s="12" t="n"/>
      <c r="CQ307" s="12" t="n"/>
      <c r="CR307" s="12" t="n"/>
      <c r="CS307" s="12" t="n"/>
      <c r="CT307" s="12" t="n"/>
      <c r="CU307" s="12" t="n"/>
      <c r="CV307" s="12" t="n"/>
      <c r="CW307" s="12" t="n"/>
      <c r="CX307" s="12" t="n"/>
      <c r="CY307" s="12" t="n"/>
    </row>
    <row r="308">
      <c r="C308" s="15" t="inlineStr">
        <is>
          <t>Increases / (decreases) in debt</t>
        </is>
      </c>
      <c r="D308" s="12" t="n"/>
      <c r="E308" s="12" t="n"/>
      <c r="F308" s="12" t="n"/>
      <c r="G308" s="12" t="n"/>
      <c r="H308" s="12" t="n"/>
      <c r="I308" s="12">
        <f>SUM(I211:I213,I216,I237,I234)-SUM(H211:H213,H216,H237,H234)</f>
        <v>3762.712</v>
      </c>
      <c r="J308" s="12">
        <f>SUM(J211:J213,J216,J237,J234)-SUM(I211:I213,I216,I237,I234)</f>
        <v>30.098</v>
      </c>
      <c r="K308" s="12">
        <f>SUM(K211:K213,K216,K237,K234)-SUM(J211:J213,J216,J237,J234)</f>
        <v>535.432</v>
      </c>
      <c r="L308" s="12">
        <f>SUM(L211:L213,L216,L237,L234)-SUM(K211:K213,K216,K237,K234)</f>
        <v>388.13</v>
      </c>
      <c r="M308" s="12">
        <f>SUM(I308:L308)</f>
        <v>4716.372</v>
      </c>
      <c r="N308" s="12">
        <f>SUM(N211:N213,N216,N237,N234)-SUM(M211:M213,M216,M237,M234)</f>
        <v>118.715</v>
      </c>
      <c r="O308" s="12">
        <f>SUM(O211:O213,O216,O237,O234)-SUM(N211:N213,N216,N237,N234)</f>
        <v>756.141999999999</v>
      </c>
      <c r="P308" s="12">
        <f>SUM(P211:P213,P216,P237,P234)-SUM(O211:O213,O216,O237,O234)</f>
        <v>218.221</v>
      </c>
      <c r="Q308" s="12">
        <f>SUM(Q211:Q213,Q216,Q237,Q234)-SUM(P211:P213,P216,P237,P234)</f>
        <v>65.0709999999999</v>
      </c>
      <c r="R308" s="12">
        <f>SUM(N308:Q308)</f>
        <v>1158.149</v>
      </c>
      <c r="S308" s="12">
        <f>SUM(S211:S213,S216,S237,S234)-SUM(R211:R213,R216,R237,R234)</f>
        <v>291.61</v>
      </c>
      <c r="T308" s="12">
        <f>SUM(T211:T213,T216,T237,T234)-SUM(S211:S213,S216,S237,S234)</f>
        <v>561.233000000001</v>
      </c>
      <c r="U308" s="12">
        <f>SUM(U211:U213,U216,U237,U234)-SUM(T211:T213,T216,T237,T234)</f>
        <v>-514.696000000001</v>
      </c>
      <c r="V308" s="12">
        <f>SUM(V211:V213,V216,V237,V234)-SUM(U211:U213,U216,U237,U234)</f>
        <v>205.895</v>
      </c>
      <c r="W308" s="12">
        <f>SUM(S308:V308)</f>
        <v>544.042</v>
      </c>
      <c r="X308" s="12">
        <f>SUM(X211:X213,X216,X237,X234)-SUM(W211:W213,W216,W237,W234)</f>
        <v>119.931000000001</v>
      </c>
      <c r="Y308" s="12">
        <f>SUM(Y211:Y213,Y216,Y237,Y234)-SUM(X211:X213,X216,X237,X234)</f>
        <v>1771.21</v>
      </c>
      <c r="Z308" s="12">
        <f>SUM(Z211:Z213,Z216,Z237,Z234)-SUM(Y211:Y213,Y216,Y237,Y234)</f>
        <v>74.6779999999999</v>
      </c>
      <c r="AA308" s="12">
        <f>SUM(AA211:AA213,AA216,AA237,AA234)-SUM(Z211:Z213,Z216,Z237,Z234)</f>
        <v>18830.917</v>
      </c>
      <c r="AB308" s="12">
        <f>SUM(X308:AA308)</f>
        <v>20796.736</v>
      </c>
      <c r="AC308" s="12">
        <f>SUM(AC211:AC213,AC216,AC237,AC234)-SUM(AB211:AB213,AB216,AB237,AB234)</f>
        <v>-1053.535</v>
      </c>
      <c r="AD308" s="12">
        <f>SUM(AD211:AD213,AD216,AD237,AD234)-SUM(AC211:AC213,AC216,AC237,AC234)</f>
        <v>-1490.998</v>
      </c>
      <c r="AE308" s="12">
        <f>SUM(AE211:AE213,AE216,AE237,AE234)-SUM(AD211:AD213,AD216,AD237,AD234)</f>
        <v>324.121999999999</v>
      </c>
      <c r="AF308" s="12">
        <f>SUM(AF211:AF213,AF216,AF237,AF234)-SUM(AE211:AE213,AE216,AE237,AE234)</f>
        <v>-309.564999999999</v>
      </c>
      <c r="AG308" s="12">
        <f>SUM(AC308:AF308)</f>
        <v>-2529.976</v>
      </c>
      <c r="AH308" s="12">
        <f>SUM(AH211:AH213,AH216,AH237,AH234)-SUM(AG211:AG213,AG216,AG237,AG234)</f>
        <v>-829.012999999999</v>
      </c>
      <c r="AI308" s="12">
        <f>SUM(AI211:AI213,AI216,AI237,AI234)-SUM(AH211:AH213,AH216,AH237,AH234)</f>
        <v>-202.085999999999</v>
      </c>
      <c r="AJ308" s="12">
        <f>SUM(AJ211:AJ213,AJ216,AJ237,AJ234)-SUM(AI211:AI213,AI216,AI237,AI234)</f>
        <v>0</v>
      </c>
      <c r="AK308" s="12">
        <f>SUM(AK211:AK213,AK216,AK237,AK234)-SUM(AJ211:AJ213,AJ216,AJ237,AJ234)</f>
        <v>0</v>
      </c>
      <c r="AL308" s="12">
        <f>SUM(AH308:AK308)</f>
        <v>-1031.099</v>
      </c>
      <c r="AM308" s="12">
        <f>SUM(AM211:AM213,AM216,AM237,AM234)-SUM(AL211:AL213,AL216,AL237,AL234)</f>
        <v>0</v>
      </c>
      <c r="AN308" s="12">
        <f>SUM(AN211:AN213,AN216,AN237,AN234)-SUM(AM211:AM213,AM216,AM237,AM234)</f>
        <v>0</v>
      </c>
      <c r="AO308" s="12">
        <f>SUM(AO211:AO213,AO216,AO237,AO234)-SUM(AN211:AN213,AN216,AN237,AN234)</f>
        <v>0</v>
      </c>
      <c r="AP308" s="12">
        <f>SUM(AP211:AP213,AP216,AP237,AP234)-SUM(AO211:AO213,AO216,AO237,AO234)</f>
        <v>0</v>
      </c>
      <c r="AQ308" s="12">
        <f>SUM(AM308:AP308)</f>
        <v>0</v>
      </c>
      <c r="AR308" s="12">
        <f>SUM(AR211:AR213,AR216,AR237,AR234)-SUM(AQ211:AQ213,AQ216,AQ237,AQ234)</f>
        <v>0</v>
      </c>
      <c r="AS308" s="12">
        <f>SUM(AS211:AS213,AS216,AS237,AS234)-SUM(AR211:AR213,AR216,AR237,AR234)</f>
        <v>0</v>
      </c>
      <c r="AT308" s="12">
        <f>SUM(AT211:AT213,AT216,AT237,AT234)-SUM(AS211:AS213,AS216,AS237,AS234)</f>
        <v>0</v>
      </c>
      <c r="AU308" s="12">
        <f>SUM(AU211:AU213,AU216,AU237,AU234)-SUM(AT211:AT213,AT216,AT237,AT234)</f>
        <v>0</v>
      </c>
      <c r="AV308" s="12">
        <f>SUM(AR308:AU308)</f>
        <v>0</v>
      </c>
      <c r="AW308" s="12">
        <f>SUM(AW211:AW213,AW216,AW237,AW234)-SUM(AV211:AV213,AV216,AV237,AV234)</f>
        <v>0</v>
      </c>
      <c r="AX308" s="12">
        <f>SUM(AX211:AX213,AX216,AX237,AX234)-SUM(AW211:AW213,AW216,AW237,AW234)</f>
        <v>0</v>
      </c>
      <c r="AY308" s="12">
        <f>SUM(AY211:AY213,AY216,AY237,AY234)-SUM(AX211:AX213,AX216,AX237,AX234)</f>
        <v>0</v>
      </c>
      <c r="AZ308" s="12">
        <f>SUM(AZ211:AZ213,AZ216,AZ237,AZ234)-SUM(AY211:AY213,AY216,AY237,AY234)</f>
        <v>0</v>
      </c>
      <c r="BA308" s="12">
        <f>SUM(AW308:AZ308)</f>
        <v>0</v>
      </c>
      <c r="BB308" s="12">
        <f>SUM(BB211:BB213,BB216,BB237,BB234)-SUM(BA211:BA213,BA216,BA237,BA234)</f>
        <v>0</v>
      </c>
      <c r="BC308" s="12">
        <f>SUM(BC211:BC213,BC216,BC237,BC234)-SUM(BB211:BB213,BB216,BB237,BB234)</f>
        <v>0</v>
      </c>
      <c r="BD308" s="12">
        <f>SUM(BD211:BD213,BD216,BD237,BD234)-SUM(BC211:BC213,BC216,BC237,BC234)</f>
        <v>0</v>
      </c>
      <c r="BE308" s="12">
        <f>SUM(BE211:BE213,BE216,BE237,BE234)-SUM(BD211:BD213,BD216,BD237,BD234)</f>
        <v>0</v>
      </c>
      <c r="BF308" s="12">
        <f>SUM(BB308:BE308)</f>
        <v>0</v>
      </c>
      <c r="BG308" s="12" t="n"/>
      <c r="BH308" s="12" t="n"/>
      <c r="BI308" s="12" t="n"/>
      <c r="BJ308" s="12" t="n"/>
      <c r="BK308" s="12" t="n"/>
      <c r="BL308" s="12" t="n"/>
      <c r="BM308" s="12" t="n"/>
      <c r="BN308" s="12" t="n"/>
      <c r="BO308" s="12" t="n"/>
      <c r="BP308" s="12" t="n"/>
      <c r="BQ308" s="12" t="n"/>
      <c r="BR308" s="12" t="n"/>
      <c r="BS308" s="12" t="n"/>
      <c r="BT308" s="12" t="n"/>
      <c r="BU308" s="12" t="n"/>
      <c r="BV308" s="12" t="n"/>
      <c r="BW308" s="12" t="n"/>
      <c r="BX308" s="12" t="n"/>
      <c r="BY308" s="12" t="n"/>
      <c r="BZ308" s="12" t="n"/>
      <c r="CA308" s="12" t="n"/>
      <c r="CB308" s="12" t="n"/>
      <c r="CC308" s="12" t="n"/>
      <c r="CD308" s="12" t="n"/>
      <c r="CE308" s="12" t="n"/>
      <c r="CF308" s="12" t="n"/>
      <c r="CG308" s="12" t="n"/>
      <c r="CH308" s="12" t="n"/>
      <c r="CI308" s="12" t="n"/>
      <c r="CJ308" s="12" t="n"/>
      <c r="CK308" s="12" t="n"/>
      <c r="CL308" s="12" t="n"/>
      <c r="CM308" s="12" t="n"/>
      <c r="CN308" s="12" t="n"/>
      <c r="CO308" s="12" t="n"/>
      <c r="CP308" s="12" t="n"/>
      <c r="CQ308" s="12" t="n"/>
      <c r="CR308" s="12" t="n"/>
      <c r="CS308" s="12" t="n"/>
      <c r="CT308" s="12" t="n"/>
      <c r="CU308" s="12" t="n"/>
      <c r="CV308" s="12" t="n"/>
      <c r="CW308" s="12" t="n"/>
      <c r="CX308" s="12" t="n"/>
      <c r="CY308" s="12" t="n"/>
      <c r="CZ308" s="12" t="n"/>
      <c r="DA308" s="12" t="n"/>
      <c r="DB308" s="12" t="n"/>
      <c r="DC308" s="12" t="n"/>
    </row>
    <row r="309">
      <c r="C309" s="14" t="inlineStr">
        <is>
          <t>Cash from financing</t>
        </is>
      </c>
      <c r="D309" s="12" t="n"/>
      <c r="E309" s="12" t="n"/>
      <c r="F309" s="12" t="n"/>
      <c r="G309" s="12" t="n"/>
      <c r="H309" s="12" t="n"/>
      <c r="I309" s="12">
        <f>SUM(I301,I302,I303,I304,I305,I306,I307,I308)</f>
        <v>11905.995</v>
      </c>
      <c r="J309" s="12">
        <f>SUM(J301,J302,J303,J304,J305,J306,J307,J308)</f>
        <v>361.472</v>
      </c>
      <c r="K309" s="12">
        <f>SUM(K301,K302,K303,K304,K305,K306,K307,K308)</f>
        <v>936.202</v>
      </c>
      <c r="L309" s="12">
        <f>SUM(L301,L302,L303,L304,L305,L306,L307,L308)</f>
        <v>309.091</v>
      </c>
      <c r="M309" s="12">
        <f>SUM(M301,M302,M303,M304,M305,M306,M307,M308)</f>
        <v>13512.76</v>
      </c>
      <c r="N309" s="12">
        <f>SUM(N301,N302,N303,N304,N305,N306,N307,N308)</f>
        <v>3895.062</v>
      </c>
      <c r="O309" s="12">
        <f>SUM(O301,O302,O303,O304,O305,O306,O307,O308)</f>
        <v>670.093999999999</v>
      </c>
      <c r="P309" s="12">
        <f>SUM(P301,P302,P303,P304,P305,P306,P307,P308)</f>
        <v>206.459</v>
      </c>
      <c r="Q309" s="12">
        <f>SUM(Q301,Q302,Q303,Q304,Q305,Q306,Q307,Q308)</f>
        <v>-85.5170000000009</v>
      </c>
      <c r="R309" s="12">
        <f>SUM(R301,R302,R303,R304,R305,R306,R307,R308)</f>
        <v>4686.098</v>
      </c>
      <c r="S309" s="12">
        <f>SUM(S301,S302,S303,S304,S305,S306,S307,S308)</f>
        <v>292.091</v>
      </c>
      <c r="T309" s="12">
        <f>SUM(T301,T302,T303,T304,T305,T306,T307,T308)</f>
        <v>-319.197999999999</v>
      </c>
      <c r="U309" s="12">
        <f>SUM(U301,U302,U303,U304,U305,U306,U307,U308)</f>
        <v>-500.142</v>
      </c>
      <c r="V309" s="12">
        <f>SUM(V301,V302,V303,V304,V305,V306,V307,V308)</f>
        <v>-1495.145</v>
      </c>
      <c r="W309" s="12">
        <f>SUM(W301,W302,W303,W304,W305,W306,W307,W308)</f>
        <v>-2022.394</v>
      </c>
      <c r="X309" s="12">
        <f>SUM(X301,X302,X303,X304,X305,X306,X307,X308)</f>
        <v>-279.174999999999</v>
      </c>
      <c r="Y309" s="12">
        <f>SUM(Y301,Y302,Y303,Y304,Y305,Y306,Y307,Y308)</f>
        <v>1772.19</v>
      </c>
      <c r="Z309" s="12">
        <f>SUM(Z301,Z302,Z303,Z304,Z305,Z306,Z307,Z308)</f>
        <v>75.5989999999985</v>
      </c>
      <c r="AA309" s="12">
        <f>SUM(AA301,AA302,AA303,AA304,AA305,AA306,AA307,AA308)</f>
        <v>21070.654</v>
      </c>
      <c r="AB309" s="12">
        <f>SUM(AB301,AB302,AB303,AB304,AB305,AB306,AB307,AB308)</f>
        <v>22639.268</v>
      </c>
      <c r="AC309" s="12">
        <f>SUM(AC301,AC302,AC303,AC304,AC305,AC306,AC307,AC308)</f>
        <v>-1012.138</v>
      </c>
      <c r="AD309" s="12">
        <f>SUM(AD301,AD302,AD303,AD304,AD305,AD306,AD307,AD308)</f>
        <v>-1443.29</v>
      </c>
      <c r="AE309" s="12">
        <f>SUM(AE301,AE302,AE303,AE304,AE305,AE306,AE307,AE308)</f>
        <v>228.496999999999</v>
      </c>
      <c r="AF309" s="12">
        <f>SUM(AF301,AF302,AF303,AF304,AF305,AF306,AF307,AF308)</f>
        <v>-453.060999999997</v>
      </c>
      <c r="AG309" s="12">
        <f>SUM(AG301,AG302,AG303,AG304,AG305,AG306,AG307,AG308)</f>
        <v>-2679.992</v>
      </c>
      <c r="AH309" s="12">
        <f>SUM(AH301,AH302,AH303,AH304,AH305,AH306,AH307,AH308)</f>
        <v>-879.677</v>
      </c>
      <c r="AI309" s="12">
        <f>SUM(AI301,AI302,AI303,AI304,AI305,AI306,AI307,AI308)</f>
        <v>-193.367999999999</v>
      </c>
      <c r="AJ309" s="12">
        <f>SUM(AJ301,AJ302,AJ303,AJ304,AJ305,AJ306,AJ307,AJ308)</f>
        <v>-14.93425</v>
      </c>
      <c r="AK309" s="12">
        <f>SUM(AK301,AK302,AK303,AK304,AK305,AK306,AK307,AK308)</f>
        <v>-14.93425</v>
      </c>
      <c r="AL309" s="12">
        <f>SUM(AL301,AL302,AL303,AL304,AL305,AL306,AL307,AL308)</f>
        <v>-1102.9135</v>
      </c>
      <c r="AM309" s="12">
        <f>SUM(AM301,AM302,AM303,AM304,AM305,AM306,AM307,AM308)</f>
        <v>-14.93425</v>
      </c>
      <c r="AN309" s="12">
        <f>SUM(AN301,AN302,AN303,AN304,AN305,AN306,AN307,AN308)</f>
        <v>-14.93425</v>
      </c>
      <c r="AO309" s="12">
        <f>SUM(AO301,AO302,AO303,AO304,AO305,AO306,AO307,AO308)</f>
        <v>-14.93425</v>
      </c>
      <c r="AP309" s="12">
        <f>SUM(AP301,AP302,AP303,AP304,AP305,AP306,AP307,AP308)</f>
        <v>-14.93425</v>
      </c>
      <c r="AQ309" s="12">
        <f>SUM(AQ301,AQ302,AQ303,AQ304,AQ305,AQ306,AQ307,AQ308)</f>
        <v>-59.737</v>
      </c>
      <c r="AR309" s="12">
        <f>SUM(AR301,AR302,AR303,AR304,AR305,AR306,AR307,AR308)</f>
        <v>-14.93425</v>
      </c>
      <c r="AS309" s="12">
        <f>SUM(AS301,AS302,AS303,AS304,AS305,AS306,AS307,AS308)</f>
        <v>-14.93425</v>
      </c>
      <c r="AT309" s="12">
        <f>SUM(AT301,AT302,AT303,AT304,AT305,AT306,AT307,AT308)</f>
        <v>-14.93425</v>
      </c>
      <c r="AU309" s="12">
        <f>SUM(AU301,AU302,AU303,AU304,AU305,AU306,AU307,AU308)</f>
        <v>-14.93425</v>
      </c>
      <c r="AV309" s="12">
        <f>SUM(AV301,AV302,AV303,AV304,AV305,AV306,AV307,AV308)</f>
        <v>-59.737</v>
      </c>
      <c r="AW309" s="12">
        <f>SUM(AW301,AW302,AW303,AW304,AW305,AW306,AW307,AW308)</f>
        <v>-14.93425</v>
      </c>
      <c r="AX309" s="12">
        <f>SUM(AX301,AX302,AX303,AX304,AX305,AX306,AX307,AX308)</f>
        <v>-14.93425</v>
      </c>
      <c r="AY309" s="12">
        <f>SUM(AY301,AY302,AY303,AY304,AY305,AY306,AY307,AY308)</f>
        <v>-14.93425</v>
      </c>
      <c r="AZ309" s="12">
        <f>SUM(AZ301,AZ302,AZ303,AZ304,AZ305,AZ306,AZ307,AZ308)</f>
        <v>-14.93425</v>
      </c>
      <c r="BA309" s="12">
        <f>SUM(BA301,BA302,BA303,BA304,BA305,BA306,BA307,BA308)</f>
        <v>-59.737</v>
      </c>
      <c r="BB309" s="12">
        <f>SUM(BB301,BB302,BB303,BB304,BB305,BB306,BB307,BB308)</f>
        <v>-14.93425</v>
      </c>
      <c r="BC309" s="12">
        <f>SUM(BC301,BC302,BC303,BC304,BC305,BC306,BC307,BC308)</f>
        <v>-14.93425</v>
      </c>
      <c r="BD309" s="12">
        <f>SUM(BD301,BD302,BD303,BD304,BD305,BD306,BD307,BD308)</f>
        <v>-14.93425</v>
      </c>
      <c r="BE309" s="12">
        <f>SUM(BE301,BE302,BE303,BE304,BE305,BE306,BE307,BE308)</f>
        <v>-14.93425</v>
      </c>
      <c r="BF309" s="12">
        <f>SUM(BF301,BF302,BF303,BF304,BF305,BF306,BF307,BF308)</f>
        <v>-59.737</v>
      </c>
      <c r="BG309" s="12" t="n"/>
      <c r="BH309" s="12" t="n"/>
      <c r="BI309" s="12" t="n"/>
      <c r="BJ309" s="12" t="n"/>
      <c r="BK309" s="12" t="n"/>
      <c r="BL309" s="12" t="n"/>
      <c r="BM309" s="12" t="n"/>
      <c r="BN309" s="12" t="n"/>
      <c r="BO309" s="12" t="n"/>
      <c r="BP309" s="12" t="n"/>
      <c r="BQ309" s="12" t="n"/>
      <c r="BR309" s="12" t="n"/>
      <c r="BS309" s="12" t="n"/>
      <c r="BT309" s="12" t="n"/>
      <c r="BU309" s="12" t="n"/>
      <c r="BV309" s="12" t="n"/>
      <c r="BW309" s="12" t="n"/>
      <c r="BX309" s="12" t="n"/>
      <c r="BY309" s="12" t="n"/>
      <c r="BZ309" s="12" t="n"/>
      <c r="CA309" s="12" t="n"/>
      <c r="CB309" s="12" t="n"/>
      <c r="CC309" s="12" t="n"/>
      <c r="CD309" s="12" t="n"/>
      <c r="CE309" s="12" t="n"/>
      <c r="CF309" s="12" t="n"/>
      <c r="CG309" s="12" t="n"/>
      <c r="CH309" s="12" t="n"/>
      <c r="CI309" s="12" t="n"/>
      <c r="CJ309" s="12" t="n"/>
      <c r="CK309" s="12" t="n"/>
      <c r="CL309" s="12" t="n"/>
      <c r="CM309" s="12" t="n"/>
      <c r="CN309" s="12" t="n"/>
      <c r="CO309" s="12" t="n"/>
      <c r="CP309" s="12" t="n"/>
      <c r="CQ309" s="12" t="n"/>
      <c r="CR309" s="12" t="n"/>
      <c r="CS309" s="12" t="n"/>
      <c r="CT309" s="12" t="n"/>
      <c r="CU309" s="12" t="n"/>
      <c r="CV309" s="12" t="n"/>
      <c r="CW309" s="12" t="n"/>
      <c r="CX309" s="12" t="n"/>
      <c r="CY309" s="12" t="n"/>
    </row>
    <row r="310">
      <c r="C310" s="14" t="n"/>
      <c r="D310" s="12" t="n"/>
      <c r="E310" s="12" t="n"/>
      <c r="F310" s="12" t="n"/>
      <c r="G310" s="12" t="n"/>
      <c r="H310" s="12" t="n"/>
      <c r="I310" s="12" t="n"/>
      <c r="J310" s="12" t="n"/>
      <c r="K310" s="12" t="n"/>
      <c r="L310" s="12" t="n"/>
      <c r="M310" s="12" t="n"/>
      <c r="N310" s="12" t="n"/>
      <c r="O310" s="12" t="n"/>
      <c r="P310" s="12" t="n"/>
      <c r="Q310" s="12" t="n"/>
      <c r="R310" s="12" t="n"/>
      <c r="S310" s="12" t="n"/>
      <c r="T310" s="12" t="n"/>
      <c r="U310" s="12" t="n"/>
      <c r="V310" s="12" t="n"/>
      <c r="W310" s="12" t="n"/>
      <c r="X310" s="12" t="n"/>
      <c r="Y310" s="12" t="n"/>
      <c r="Z310" s="12" t="n"/>
      <c r="AA310" s="12" t="n"/>
      <c r="AB310" s="12" t="n"/>
      <c r="AC310" s="12" t="n"/>
      <c r="AD310" s="12" t="n"/>
      <c r="AE310" s="12" t="n"/>
      <c r="AF310" s="12" t="n"/>
      <c r="AG310" s="12" t="n"/>
      <c r="AH310" s="12" t="n"/>
      <c r="AI310" s="12" t="n"/>
      <c r="AJ310" s="12" t="n"/>
      <c r="AK310" s="12" t="n"/>
      <c r="AL310" s="12" t="n"/>
      <c r="AM310" s="12" t="n"/>
      <c r="AN310" s="12" t="n"/>
      <c r="AO310" s="12" t="n"/>
      <c r="AP310" s="12" t="n"/>
      <c r="AQ310" s="12" t="n"/>
      <c r="AR310" s="12" t="n"/>
      <c r="AS310" s="12" t="n"/>
      <c r="AT310" s="12" t="n"/>
      <c r="AU310" s="12" t="n"/>
      <c r="AV310" s="12" t="n"/>
      <c r="AW310" s="12" t="n"/>
      <c r="AX310" s="12" t="n"/>
      <c r="AY310" s="12" t="n"/>
      <c r="AZ310" s="12" t="n"/>
      <c r="BA310" s="12" t="n"/>
      <c r="BB310" s="12" t="n"/>
      <c r="BC310" s="12" t="n"/>
      <c r="BD310" s="12" t="n"/>
      <c r="BE310" s="12" t="n"/>
      <c r="BF310" s="12" t="n"/>
      <c r="BG310" s="12" t="n"/>
      <c r="BH310" s="12" t="n"/>
      <c r="BI310" s="12" t="n"/>
      <c r="BJ310" s="12" t="n"/>
      <c r="BK310" s="12" t="n"/>
      <c r="BL310" s="12" t="n"/>
      <c r="BM310" s="12" t="n"/>
      <c r="BN310" s="12" t="n"/>
      <c r="BO310" s="12" t="n"/>
      <c r="BP310" s="12" t="n"/>
      <c r="BQ310" s="12" t="n"/>
      <c r="BR310" s="12" t="n"/>
      <c r="BS310" s="12" t="n"/>
      <c r="BT310" s="12" t="n"/>
      <c r="BU310" s="12" t="n"/>
      <c r="BV310" s="12" t="n"/>
      <c r="BW310" s="12" t="n"/>
      <c r="BX310" s="12" t="n"/>
      <c r="BY310" s="12" t="n"/>
      <c r="BZ310" s="12" t="n"/>
      <c r="CA310" s="12" t="n"/>
      <c r="CB310" s="12" t="n"/>
      <c r="CC310" s="12" t="n"/>
      <c r="CD310" s="12" t="n"/>
      <c r="CE310" s="12" t="n"/>
      <c r="CF310" s="12" t="n"/>
      <c r="CG310" s="12" t="n"/>
      <c r="CH310" s="12" t="n"/>
      <c r="CI310" s="12" t="n"/>
      <c r="CJ310" s="12" t="n"/>
      <c r="CK310" s="12" t="n"/>
      <c r="CL310" s="12" t="n"/>
      <c r="CM310" s="12" t="n"/>
      <c r="CN310" s="12" t="n"/>
      <c r="CO310" s="12" t="n"/>
      <c r="CP310" s="12" t="n"/>
      <c r="CQ310" s="12" t="n"/>
      <c r="CR310" s="12" t="n"/>
      <c r="CS310" s="12" t="n"/>
      <c r="CT310" s="12" t="n"/>
      <c r="CU310" s="12" t="n"/>
      <c r="CV310" s="12" t="n"/>
      <c r="CW310" s="12" t="n"/>
      <c r="CX310" s="12" t="n"/>
      <c r="CY310" s="12" t="n"/>
    </row>
    <row r="311">
      <c r="C311" s="14" t="inlineStr">
        <is>
          <t>Others / cash reconciliation plug</t>
        </is>
      </c>
      <c r="D311" s="12" t="n"/>
      <c r="E311" s="12" t="n"/>
      <c r="F311" s="12" t="n"/>
      <c r="G311" s="12" t="n"/>
      <c r="H311" s="12" t="n"/>
      <c r="I311" s="12">
        <f>0</f>
        <v>0</v>
      </c>
      <c r="J311" s="12">
        <f>J143-I143-SUM(J292,J299,J309)</f>
        <v>0.0170000000004222</v>
      </c>
      <c r="K311" s="12">
        <f>K143-J143-SUM(K292,K299,K309)</f>
        <v>0.380999999999631</v>
      </c>
      <c r="L311" s="12">
        <f>L143-K143-SUM(L292,L299,L309)</f>
        <v>0.386999999999489</v>
      </c>
      <c r="M311" s="12">
        <f>SUM(I311:L311)</f>
        <v>0.784999999999542</v>
      </c>
      <c r="N311" s="12">
        <f>N143-M143-SUM(N292,N299,N309)</f>
        <v>-1.23600000000079</v>
      </c>
      <c r="O311" s="12">
        <f>O143-N143-SUM(O292,O299,O309)</f>
        <v>1.09400000000275</v>
      </c>
      <c r="P311" s="12">
        <f>P143-O143-SUM(P292,P299,P309)</f>
        <v>-74.902000000003</v>
      </c>
      <c r="Q311" s="12">
        <f>Q143-P143-SUM(Q292,Q299,Q309)</f>
        <v>36.6200000000021</v>
      </c>
      <c r="R311" s="12">
        <f>SUM(N311:Q311)</f>
        <v>-38.4239999999989</v>
      </c>
      <c r="S311" s="12">
        <f>S143-R143-SUM(S292,S299,S309)</f>
        <v>-0.814999999998463</v>
      </c>
      <c r="T311" s="12">
        <f>T143-S143-SUM(T292,T299,T309)</f>
        <v>-0.714000000001761</v>
      </c>
      <c r="U311" s="12">
        <f>U143-T143-SUM(U292,U299,U309)</f>
        <v>-20.0879999999991</v>
      </c>
      <c r="V311" s="12">
        <f>V143-U143-SUM(V292,V299,V309)</f>
        <v>0.634999999997945</v>
      </c>
      <c r="W311" s="12">
        <f>SUM(S311:V311)</f>
        <v>-20.9820000000013</v>
      </c>
      <c r="X311" s="12">
        <f>X143-W143-SUM(X292,X299,X309)</f>
        <v>1.98299999999941</v>
      </c>
      <c r="Y311" s="12">
        <f>Y143-X143-SUM(Y292,Y299,Y309)</f>
        <v>1.84500000000003</v>
      </c>
      <c r="Z311" s="12">
        <f>Z143-Y143-SUM(Z292,Z299,Z309)</f>
        <v>-8.39899999999892</v>
      </c>
      <c r="AA311" s="12">
        <f>AA143-Z143-SUM(AA292,AA299,AA309)</f>
        <v>-80.0240000000044</v>
      </c>
      <c r="AB311" s="12">
        <f>SUM(X311:AA311)</f>
        <v>-84.5950000000039</v>
      </c>
      <c r="AC311" s="12">
        <f>AC143-AB143-SUM(AC292,AC299,AC309)</f>
        <v>0.174000000002707</v>
      </c>
      <c r="AD311" s="12">
        <f>AD143-AC143-SUM(AD292,AD299,AD309)</f>
        <v>3.45000000000118</v>
      </c>
      <c r="AE311" s="12">
        <f>AE143-AD143-SUM(AE292,AE299,AE309)</f>
        <v>3.11300000000048</v>
      </c>
      <c r="AF311" s="12">
        <f>AF143-AE143-SUM(AF292,AF299,AF309)</f>
        <v>2.43599999999492</v>
      </c>
      <c r="AG311" s="12">
        <f>SUM(AC311:AF311)</f>
        <v>9.17299999999929</v>
      </c>
      <c r="AH311" s="12">
        <f>AH143-AG143-SUM(AH292,AH299,AH309)</f>
        <v>-1.198999999997</v>
      </c>
      <c r="AI311" s="12">
        <f>AI143-AH143-SUM(AI292,AI299,AI309)</f>
        <v>4.45999999999799</v>
      </c>
      <c r="AJ311" s="12">
        <f>AJ143-AI143-SUM(AJ292,AJ299,AJ309)</f>
        <v>1.56319401867222e-12</v>
      </c>
      <c r="AK311" s="12">
        <f>AK143-AJ143-SUM(AK292,AK299,AK309)</f>
        <v>-3.18323145620525e-12</v>
      </c>
      <c r="AL311" s="12">
        <f>SUM(AH311:AK311)</f>
        <v>3.26099999999937</v>
      </c>
      <c r="AM311" s="12">
        <f>AM143-AL143-SUM(AM292,AM299,AM309)</f>
        <v>3.63797880709171e-12</v>
      </c>
      <c r="AN311" s="12">
        <f>AN143-AM143-SUM(AN292,AN299,AN309)</f>
        <v>-1.29887212096946e-11</v>
      </c>
      <c r="AO311" s="12">
        <f>AO143-AN143-SUM(AO292,AO299,AO309)</f>
        <v>0</v>
      </c>
      <c r="AP311" s="12">
        <f>AP143-AO143-SUM(AP292,AP299,AP309)</f>
        <v>8.24229573481716e-12</v>
      </c>
      <c r="AQ311" s="12">
        <f>SUM(AM311:AP311)</f>
        <v>-1.10844666778576e-12</v>
      </c>
      <c r="AR311" s="12">
        <f>AR143-AQ143-SUM(AR292,AR299,AR309)</f>
        <v>-5.17275111633353e-12</v>
      </c>
      <c r="AS311" s="12">
        <f>AS143-AR143-SUM(AS292,AS299,AS309)</f>
        <v>4.66116034658626e-12</v>
      </c>
      <c r="AT311" s="12">
        <f>AT143-AS143-SUM(AT292,AT299,AT309)</f>
        <v>-2.04636307898909e-12</v>
      </c>
      <c r="AU311" s="12">
        <f>AU143-AT143-SUM(AU292,AU299,AU309)</f>
        <v>0</v>
      </c>
      <c r="AV311" s="12">
        <f>SUM(AR311:AU311)</f>
        <v>-2.55795384873636e-12</v>
      </c>
      <c r="AW311" s="12">
        <f>AW143-AV143-SUM(AW292,AW299,AW309)</f>
        <v>0</v>
      </c>
      <c r="AX311" s="12">
        <f>AX143-AW143-SUM(AX292,AX299,AX309)</f>
        <v>2.61479726759717e-12</v>
      </c>
      <c r="AY311" s="12">
        <f>AY143-AX143-SUM(AY292,AY299,AY309)</f>
        <v>-2.95585778076202e-12</v>
      </c>
      <c r="AZ311" s="12">
        <f>AZ143-AY143-SUM(AZ292,AZ299,AZ309)</f>
        <v>0</v>
      </c>
      <c r="BA311" s="12">
        <f>SUM(AW311:AZ311)</f>
        <v>-3.41060513164848e-13</v>
      </c>
      <c r="BB311" s="12">
        <f>BB143-BA143-SUM(BB292,BB299,BB309)</f>
        <v>0</v>
      </c>
      <c r="BC311" s="12">
        <f>BC143-BB143-SUM(BC292,BC299,BC309)</f>
        <v>8.75388650456443e-12</v>
      </c>
      <c r="BD311" s="12">
        <f>BD143-BC143-SUM(BD292,BD299,BD309)</f>
        <v>0</v>
      </c>
      <c r="BE311" s="12">
        <f>BE143-BD143-SUM(BE292,BE299,BE309)</f>
        <v>0</v>
      </c>
      <c r="BF311" s="12">
        <f>SUM(BB311:BE311)</f>
        <v>8.75388650456443e-12</v>
      </c>
      <c r="BG311" s="12" t="n"/>
      <c r="BH311" s="12" t="n"/>
      <c r="BI311" s="12" t="n"/>
      <c r="BJ311" s="12" t="n"/>
      <c r="BK311" s="12" t="n"/>
      <c r="BL311" s="12" t="n"/>
      <c r="BM311" s="12" t="n"/>
      <c r="BN311" s="12" t="n"/>
      <c r="BO311" s="12" t="n"/>
      <c r="BP311" s="12" t="n"/>
      <c r="BQ311" s="12" t="n"/>
      <c r="BR311" s="12" t="n"/>
      <c r="BS311" s="12" t="n"/>
      <c r="BT311" s="12" t="n"/>
      <c r="BU311" s="12" t="n"/>
      <c r="BV311" s="12" t="n"/>
      <c r="BW311" s="12" t="n"/>
      <c r="BX311" s="12" t="n"/>
      <c r="BY311" s="12" t="n"/>
      <c r="BZ311" s="12" t="n"/>
      <c r="CA311" s="12" t="n"/>
      <c r="CB311" s="12" t="n"/>
      <c r="CC311" s="12" t="n"/>
      <c r="CD311" s="12" t="n"/>
      <c r="CE311" s="12" t="n"/>
      <c r="CF311" s="12" t="n"/>
      <c r="CG311" s="12" t="n"/>
      <c r="CH311" s="12" t="n"/>
      <c r="CI311" s="12" t="n"/>
      <c r="CJ311" s="12" t="n"/>
      <c r="CK311" s="12" t="n"/>
      <c r="CL311" s="12" t="n"/>
      <c r="CM311" s="12" t="n"/>
      <c r="CN311" s="12" t="n"/>
      <c r="CO311" s="12" t="n"/>
      <c r="CP311" s="12" t="n"/>
      <c r="CQ311" s="12" t="n"/>
      <c r="CR311" s="12" t="n"/>
      <c r="CS311" s="12" t="n"/>
      <c r="CT311" s="12" t="n"/>
      <c r="CU311" s="12" t="n"/>
      <c r="CV311" s="12" t="n"/>
      <c r="CW311" s="12" t="n"/>
      <c r="CX311" s="12" t="n"/>
      <c r="CY311" s="12" t="n"/>
    </row>
    <row r="312">
      <c r="C312" s="14" t="n"/>
      <c r="D312" s="12" t="n"/>
      <c r="E312" s="12" t="n"/>
      <c r="F312" s="12" t="n"/>
      <c r="G312" s="12" t="n"/>
      <c r="H312" s="12" t="n"/>
      <c r="I312" s="12" t="n"/>
      <c r="J312" s="12" t="n"/>
      <c r="K312" s="12" t="n"/>
      <c r="L312" s="12" t="n"/>
      <c r="M312" s="12" t="n"/>
      <c r="N312" s="12" t="n"/>
      <c r="O312" s="12" t="n"/>
      <c r="P312" s="12" t="n"/>
      <c r="Q312" s="12" t="n"/>
      <c r="R312" s="12" t="n"/>
      <c r="S312" s="12" t="n"/>
      <c r="T312" s="12" t="n"/>
      <c r="U312" s="12" t="n"/>
      <c r="V312" s="12" t="n"/>
      <c r="W312" s="12" t="n"/>
      <c r="X312" s="12" t="n"/>
      <c r="Y312" s="12" t="n"/>
      <c r="Z312" s="12" t="n"/>
      <c r="AA312" s="12" t="n"/>
      <c r="AB312" s="12" t="n"/>
      <c r="AC312" s="12" t="n"/>
      <c r="AD312" s="12" t="n"/>
      <c r="AE312" s="12" t="n"/>
      <c r="AF312" s="12" t="n"/>
      <c r="AG312" s="12" t="n"/>
      <c r="AH312" s="12" t="n"/>
      <c r="AI312" s="12" t="n"/>
      <c r="AJ312" s="12" t="n"/>
      <c r="AK312" s="12" t="n"/>
      <c r="AL312" s="12" t="n"/>
      <c r="AM312" s="12" t="n"/>
      <c r="AN312" s="12" t="n"/>
      <c r="AO312" s="12" t="n"/>
      <c r="AP312" s="12" t="n"/>
      <c r="AQ312" s="12" t="n"/>
      <c r="AR312" s="12" t="n"/>
      <c r="AS312" s="12" t="n"/>
      <c r="AT312" s="12" t="n"/>
      <c r="AU312" s="12" t="n"/>
      <c r="AV312" s="12" t="n"/>
      <c r="AW312" s="12" t="n"/>
      <c r="AX312" s="12" t="n"/>
      <c r="AY312" s="12" t="n"/>
      <c r="AZ312" s="12" t="n"/>
      <c r="BA312" s="12" t="n"/>
      <c r="BB312" s="12" t="n"/>
      <c r="BC312" s="12" t="n"/>
      <c r="BD312" s="12" t="n"/>
      <c r="BE312" s="12" t="n"/>
      <c r="BF312" s="12" t="n"/>
      <c r="BG312" s="12" t="n"/>
      <c r="BH312" s="12" t="n"/>
      <c r="BI312" s="12" t="n"/>
      <c r="BJ312" s="12" t="n"/>
      <c r="BK312" s="12" t="n"/>
      <c r="BL312" s="12" t="n"/>
      <c r="BM312" s="12" t="n"/>
      <c r="BN312" s="12" t="n"/>
      <c r="BO312" s="12" t="n"/>
      <c r="BP312" s="12" t="n"/>
      <c r="BQ312" s="12" t="n"/>
      <c r="BR312" s="12" t="n"/>
      <c r="BS312" s="12" t="n"/>
      <c r="BT312" s="12" t="n"/>
      <c r="BU312" s="12" t="n"/>
      <c r="BV312" s="12" t="n"/>
      <c r="BW312" s="12" t="n"/>
      <c r="BX312" s="12" t="n"/>
      <c r="BY312" s="12" t="n"/>
      <c r="BZ312" s="12" t="n"/>
      <c r="CA312" s="12" t="n"/>
      <c r="CB312" s="12" t="n"/>
      <c r="CC312" s="12" t="n"/>
      <c r="CD312" s="12" t="n"/>
      <c r="CE312" s="12" t="n"/>
      <c r="CF312" s="12" t="n"/>
      <c r="CG312" s="12" t="n"/>
      <c r="CH312" s="12" t="n"/>
      <c r="CI312" s="12" t="n"/>
      <c r="CJ312" s="12" t="n"/>
      <c r="CK312" s="12" t="n"/>
      <c r="CL312" s="12" t="n"/>
      <c r="CM312" s="12" t="n"/>
      <c r="CN312" s="12" t="n"/>
      <c r="CO312" s="12" t="n"/>
      <c r="CP312" s="12" t="n"/>
      <c r="CQ312" s="12" t="n"/>
      <c r="CR312" s="12" t="n"/>
      <c r="CS312" s="12" t="n"/>
      <c r="CT312" s="12" t="n"/>
      <c r="CU312" s="12" t="n"/>
      <c r="CV312" s="12" t="n"/>
      <c r="CW312" s="12" t="n"/>
      <c r="CX312" s="12" t="n"/>
      <c r="CY312" s="12" t="n"/>
    </row>
    <row r="313">
      <c r="C313" s="14" t="inlineStr">
        <is>
          <t>Total increase/decrease of cash</t>
        </is>
      </c>
      <c r="D313" s="12" t="n"/>
      <c r="E313" s="12" t="n"/>
      <c r="F313" s="12" t="n"/>
      <c r="G313" s="12" t="n"/>
      <c r="H313" s="12" t="n"/>
      <c r="I313" s="12">
        <f>SUM(I292,I299,I309,I311)</f>
        <v>1298.437</v>
      </c>
      <c r="J313" s="12">
        <f>SUM(J292,J299,J309,J311)</f>
        <v>-102.528</v>
      </c>
      <c r="K313" s="12">
        <f>SUM(K292,K299,K309,K311)</f>
        <v>186.472</v>
      </c>
      <c r="L313" s="12">
        <f>SUM(L292,L299,L309,L311)</f>
        <v>297.256</v>
      </c>
      <c r="M313" s="12">
        <f>SUM(I313:L313)</f>
        <v>1679.637</v>
      </c>
      <c r="N313" s="12">
        <f>SUM(N292,N299,N309,N311)</f>
        <v>1500.278</v>
      </c>
      <c r="O313" s="12">
        <f>SUM(O292,O299,O309,O311)</f>
        <v>180.119</v>
      </c>
      <c r="P313" s="12">
        <f>SUM(P292,P299,P309,P311)</f>
        <v>-370.27</v>
      </c>
      <c r="Q313" s="12">
        <f>SUM(Q292,Q299,Q309,Q311)</f>
        <v>247.61</v>
      </c>
      <c r="R313" s="12">
        <f>SUM(N313:Q313)</f>
        <v>1557.737</v>
      </c>
      <c r="S313" s="12">
        <f>SUM(S292,S299,S309,S311)</f>
        <v>171.361</v>
      </c>
      <c r="T313" s="12">
        <f>SUM(T292,T299,T309,T311)</f>
        <v>2882.675</v>
      </c>
      <c r="U313" s="12">
        <f>SUM(U292,U299,U309,U311)</f>
        <v>-1380.601</v>
      </c>
      <c r="V313" s="12">
        <f>SUM(V292,V299,V309,V311)</f>
        <v>-1666.347</v>
      </c>
      <c r="W313" s="12">
        <f>SUM(S313:V313)</f>
        <v>7.08799999999974</v>
      </c>
      <c r="X313" s="12">
        <f>SUM(X292,X299,X309,X311)</f>
        <v>-143.779</v>
      </c>
      <c r="Y313" s="12">
        <f>SUM(Y292,Y299,Y309,Y311)</f>
        <v>1897.431</v>
      </c>
      <c r="Z313" s="12">
        <f>SUM(Z292,Z299,Z309,Z311)</f>
        <v>303.674999999999</v>
      </c>
      <c r="AA313" s="12">
        <f>SUM(AA292,AA299,AA309,AA311)</f>
        <v>1907.457</v>
      </c>
      <c r="AB313" s="12">
        <f>SUM(X313:AA313)</f>
        <v>3964.784</v>
      </c>
      <c r="AC313" s="12">
        <f>SUM(AC292,AC299,AC309,AC311)</f>
        <v>-1040.702</v>
      </c>
      <c r="AD313" s="12">
        <f>SUM(AD292,AD299,AD309,AD311)</f>
        <v>-1229.308</v>
      </c>
      <c r="AE313" s="12">
        <f>SUM(AE292,AE299,AE309,AE311)</f>
        <v>142.514</v>
      </c>
      <c r="AF313" s="12">
        <f>SUM(AF292,AF299,AF309,AF311)</f>
        <v>-693.26</v>
      </c>
      <c r="AG313" s="12">
        <f>SUM(AC313:AF313)</f>
        <v>-2820.756</v>
      </c>
      <c r="AH313" s="12">
        <f>SUM(AH292,AH299,AH309,AH311)</f>
        <v>-810.54</v>
      </c>
      <c r="AI313" s="12">
        <f>SUM(AI292,AI299,AI309,AI311)</f>
        <v>66.9259999999999</v>
      </c>
      <c r="AJ313" s="12">
        <f>SUM(AJ292,AJ299,AJ309,AJ311)</f>
        <v>224.523609121567</v>
      </c>
      <c r="AK313" s="12">
        <f>SUM(AK292,AK299,AK309,AK311)</f>
        <v>335.360469364954</v>
      </c>
      <c r="AL313" s="12">
        <f>SUM(AH313:AK313)</f>
        <v>-183.729921513478</v>
      </c>
      <c r="AM313" s="12">
        <f>SUM(AM292,AM299,AM309,AM311)</f>
        <v>258.560847411005</v>
      </c>
      <c r="AN313" s="12">
        <f>SUM(AN292,AN299,AN309,AN311)</f>
        <v>203.625182656499</v>
      </c>
      <c r="AO313" s="12">
        <f>SUM(AO292,AO299,AO309,AO311)</f>
        <v>353.203336466897</v>
      </c>
      <c r="AP313" s="12">
        <f>SUM(AP292,AP299,AP309,AP311)</f>
        <v>501.421124301618</v>
      </c>
      <c r="AQ313" s="12">
        <f>SUM(AM313:AP313)</f>
        <v>1316.81049083602</v>
      </c>
      <c r="AR313" s="12">
        <f>SUM(AR292,AR299,AR309,AR311)</f>
        <v>415.967606897779</v>
      </c>
      <c r="AS313" s="12">
        <f>SUM(AS292,AS299,AS309,AS311)</f>
        <v>347.794972359421</v>
      </c>
      <c r="AT313" s="12">
        <f>SUM(AT292,AT299,AT309,AT311)</f>
        <v>526.712149867533</v>
      </c>
      <c r="AU313" s="12">
        <f>SUM(AU292,AU299,AU309,AU311)</f>
        <v>700.815083539113</v>
      </c>
      <c r="AV313" s="12">
        <f>SUM(AR313:AU313)</f>
        <v>1991.28981266385</v>
      </c>
      <c r="AW313" s="12">
        <f>SUM(AW292,AW299,AW309,AW311)</f>
        <v>600.346143055709</v>
      </c>
      <c r="AX313" s="12">
        <f>SUM(AX292,AX299,AX309,AX311)</f>
        <v>535.597779895754</v>
      </c>
      <c r="AY313" s="12">
        <f>SUM(AY292,AY299,AY309,AY311)</f>
        <v>741.149719625573</v>
      </c>
      <c r="AZ313" s="12">
        <f>SUM(AZ292,AZ299,AZ309,AZ311)</f>
        <v>946.424773242029</v>
      </c>
      <c r="BA313" s="12">
        <f>SUM(AW313:AZ313)</f>
        <v>2823.51841581907</v>
      </c>
      <c r="BB313" s="12">
        <f>SUM(BB292,BB299,BB309,BB311)</f>
        <v>834.996304939524</v>
      </c>
      <c r="BC313" s="12">
        <f>SUM(BC292,BC299,BC309,BC311)</f>
        <v>768.325063832104</v>
      </c>
      <c r="BD313" s="12">
        <f>SUM(BD292,BD299,BD309,BD311)</f>
        <v>1010.63078577194</v>
      </c>
      <c r="BE313" s="12">
        <f>SUM(BE292,BE299,BE309,BE311)</f>
        <v>1253.78332411028</v>
      </c>
      <c r="BF313" s="12">
        <f>SUM(BB313:BE313)</f>
        <v>3867.73547865384</v>
      </c>
      <c r="BG313" s="12" t="n"/>
      <c r="BH313" s="12" t="n"/>
      <c r="BI313" s="12" t="n"/>
      <c r="BJ313" s="12" t="n"/>
      <c r="BK313" s="12" t="n"/>
      <c r="BL313" s="12" t="n"/>
      <c r="BM313" s="12" t="n"/>
      <c r="BN313" s="12" t="n"/>
      <c r="BO313" s="12" t="n"/>
      <c r="BP313" s="12" t="n"/>
      <c r="BQ313" s="12" t="n"/>
      <c r="BR313" s="12" t="n"/>
      <c r="BS313" s="12" t="n"/>
      <c r="BT313" s="12" t="n"/>
      <c r="BU313" s="12" t="n"/>
      <c r="BV313" s="12" t="n"/>
      <c r="BW313" s="12" t="n"/>
      <c r="BX313" s="12" t="n"/>
      <c r="BY313" s="12" t="n"/>
      <c r="BZ313" s="12" t="n"/>
      <c r="CA313" s="12" t="n"/>
      <c r="CB313" s="12" t="n"/>
      <c r="CC313" s="12" t="n"/>
      <c r="CD313" s="12" t="n"/>
      <c r="CE313" s="12" t="n"/>
      <c r="CF313" s="12" t="n"/>
      <c r="CG313" s="12" t="n"/>
      <c r="CH313" s="12" t="n"/>
      <c r="CI313" s="12" t="n"/>
      <c r="CJ313" s="12" t="n"/>
      <c r="CK313" s="12" t="n"/>
      <c r="CL313" s="12" t="n"/>
      <c r="CM313" s="12" t="n"/>
      <c r="CN313" s="12" t="n"/>
      <c r="CO313" s="12" t="n"/>
      <c r="CP313" s="12" t="n"/>
      <c r="CQ313" s="12" t="n"/>
      <c r="CR313" s="12" t="n"/>
      <c r="CS313" s="12" t="n"/>
      <c r="CT313" s="12" t="n"/>
      <c r="CU313" s="12" t="n"/>
      <c r="CV313" s="12" t="n"/>
      <c r="CW313" s="12" t="n"/>
      <c r="CX313" s="12" t="n"/>
      <c r="CY313" s="12" t="n"/>
    </row>
    <row r="314">
      <c r="C314" s="4" t="inlineStr">
        <is>
          <t>Check</t>
        </is>
      </c>
      <c r="E314" s="72" t="n"/>
      <c r="F314" s="72" t="n"/>
      <c r="G314" s="72" t="n"/>
      <c r="I314" s="72" t="str">
        <f>""</f>
        <v/>
      </c>
      <c r="J314" s="72">
        <f>J143-I143-J313</f>
        <v>0</v>
      </c>
      <c r="K314" s="72">
        <f>K143-J143-K313</f>
        <v>0</v>
      </c>
      <c r="L314" s="72">
        <f>L143-K143-L313</f>
        <v>0</v>
      </c>
      <c r="M314" s="4" t="str">
        <f>""</f>
        <v/>
      </c>
      <c r="N314" s="72">
        <f>N143-M143-N313</f>
        <v>0</v>
      </c>
      <c r="O314" s="72">
        <f>O143-N143-O313</f>
        <v>0</v>
      </c>
      <c r="P314" s="72">
        <f>P143-O143-P313</f>
        <v>0</v>
      </c>
      <c r="Q314" s="72">
        <f>Q143-P143-Q313</f>
        <v>0</v>
      </c>
      <c r="R314" s="4">
        <f>R143-M143-R313</f>
        <v>0</v>
      </c>
      <c r="S314" s="72">
        <f>S143-R143-S313</f>
        <v>0</v>
      </c>
      <c r="T314" s="72">
        <f>T143-S143-T313</f>
        <v>0</v>
      </c>
      <c r="U314" s="72">
        <f>U143-T143-U313</f>
        <v>0</v>
      </c>
      <c r="V314" s="72">
        <f>V143-U143-V313</f>
        <v>0</v>
      </c>
      <c r="W314" s="4">
        <f>W143-R143-W313</f>
        <v>0</v>
      </c>
      <c r="X314" s="72">
        <f>X143-W143-X313</f>
        <v>0</v>
      </c>
      <c r="Y314" s="72">
        <f>Y143-X143-Y313</f>
        <v>0</v>
      </c>
      <c r="Z314" s="72">
        <f>Z143-Y143-Z313</f>
        <v>0</v>
      </c>
      <c r="AA314" s="72">
        <f>AA143-Z143-AA313</f>
        <v>0</v>
      </c>
      <c r="AB314" s="4">
        <f>AB143-W143-AB313</f>
        <v>0</v>
      </c>
      <c r="AC314" s="72">
        <f>AC143-AB143-AC313</f>
        <v>0</v>
      </c>
      <c r="AD314" s="72">
        <f>AD143-AC143-AD313</f>
        <v>0</v>
      </c>
      <c r="AE314" s="72">
        <f>AE143-AD143-AE313</f>
        <v>0</v>
      </c>
      <c r="AF314" s="72">
        <f>AF143-AE143-AF313</f>
        <v>0</v>
      </c>
      <c r="AG314" s="4">
        <f>AG143-AB143-AG313</f>
        <v>0</v>
      </c>
      <c r="AH314" s="72">
        <f>AH143-AG143-AH313</f>
        <v>0</v>
      </c>
      <c r="AI314" s="72">
        <f>AI143-AH143-AI313</f>
        <v>0</v>
      </c>
      <c r="AJ314" s="72">
        <f>AJ143-AI143-AJ313</f>
        <v>0</v>
      </c>
      <c r="AK314" s="72">
        <f>AK143-AJ143-AK313</f>
        <v>0</v>
      </c>
      <c r="AL314" s="4">
        <f>AL143-AG143-AL313</f>
        <v>0</v>
      </c>
      <c r="AM314" s="72">
        <f>AM143-AL143-AM313</f>
        <v>0</v>
      </c>
      <c r="AN314" s="72">
        <f>AN143-AM143-AN313</f>
        <v>0</v>
      </c>
      <c r="AO314" s="72">
        <f>AO143-AN143-AO313</f>
        <v>0</v>
      </c>
      <c r="AP314" s="72">
        <f>AP143-AO143-AP313</f>
        <v>0</v>
      </c>
      <c r="AQ314" s="4">
        <f>AQ143-AL143-AQ313</f>
        <v>0</v>
      </c>
      <c r="AR314" s="72">
        <f>AR143-AQ143-AR313</f>
        <v>0</v>
      </c>
      <c r="AS314" s="72">
        <f>AS143-AR143-AS313</f>
        <v>0</v>
      </c>
      <c r="AT314" s="72">
        <f>AT143-AS143-AT313</f>
        <v>0</v>
      </c>
      <c r="AU314" s="72">
        <f>AU143-AT143-AU313</f>
        <v>0</v>
      </c>
      <c r="AV314" s="4">
        <f>AV143-AQ143-AV313</f>
        <v>0</v>
      </c>
      <c r="AW314" s="72">
        <f>AW143-AV143-AW313</f>
        <v>0</v>
      </c>
      <c r="AX314" s="72">
        <f>AX143-AW143-AX313</f>
        <v>0</v>
      </c>
      <c r="AY314" s="72">
        <f>AY143-AX143-AY313</f>
        <v>0</v>
      </c>
      <c r="AZ314" s="72">
        <f>AZ143-AY143-AZ313</f>
        <v>0</v>
      </c>
      <c r="BA314" s="4">
        <f>BA143-AV143-BA313</f>
        <v>0</v>
      </c>
      <c r="BB314" s="72">
        <f>BB143-BA143-BB313</f>
        <v>0</v>
      </c>
      <c r="BC314" s="72">
        <f>BC143-BB143-BC313</f>
        <v>0</v>
      </c>
      <c r="BD314" s="72">
        <f>BD143-BC143-BD313</f>
        <v>0</v>
      </c>
      <c r="BE314" s="72">
        <f>BE143-BD143-BE313</f>
        <v>0</v>
      </c>
      <c r="BF314" s="4">
        <f>BF143-BA143-BF313</f>
        <v>0</v>
      </c>
      <c r="BG314" s="72" t="n"/>
      <c r="BH314" s="72" t="n"/>
      <c r="BI314" s="72" t="n"/>
      <c r="BJ314" s="72" t="n"/>
      <c r="BL314" s="72" t="n"/>
      <c r="BM314" s="72" t="n"/>
      <c r="BN314" s="72" t="n"/>
      <c r="BO314" s="72" t="n"/>
      <c r="BQ314" s="72" t="n"/>
      <c r="BR314" s="72" t="n"/>
      <c r="BS314" s="72" t="n"/>
      <c r="BT314" s="72" t="n"/>
      <c r="BV314" s="72" t="n"/>
      <c r="BW314" s="72" t="n"/>
      <c r="BX314" s="72" t="n"/>
      <c r="BY314" s="72" t="n"/>
      <c r="CA314" s="72" t="n"/>
      <c r="CB314" s="72" t="n"/>
      <c r="CC314" s="72" t="n"/>
      <c r="CD314" s="72" t="n"/>
      <c r="CF314" s="72" t="n"/>
      <c r="CG314" s="72" t="n"/>
      <c r="CH314" s="72" t="n"/>
      <c r="CI314" s="72" t="n"/>
      <c r="CK314" s="72" t="n"/>
      <c r="CL314" s="72" t="n"/>
      <c r="CM314" s="72" t="n"/>
      <c r="CN314" s="72" t="n"/>
      <c r="CP314" s="72" t="n"/>
      <c r="CQ314" s="72" t="n"/>
      <c r="CR314" s="72" t="n"/>
      <c r="CS314" s="72" t="n"/>
      <c r="CU314" s="72" t="n"/>
      <c r="CV314" s="72" t="n"/>
      <c r="CW314" s="72" t="n"/>
      <c r="CX314" s="72" t="n"/>
    </row>
    <row r="316">
      <c r="C316" s="73" t="inlineStr">
        <is>
          <t>Ratio Analysis</t>
        </is>
      </c>
      <c r="D316" s="73" t="n"/>
      <c r="E316" s="73" t="n"/>
      <c r="F316" s="73" t="n"/>
      <c r="G316" s="73" t="n"/>
      <c r="H316" s="73" t="n"/>
      <c r="I316" s="73" t="n"/>
      <c r="J316" s="73" t="n"/>
      <c r="K316" s="73" t="n"/>
      <c r="L316" s="73" t="n"/>
      <c r="M316" s="73" t="n"/>
      <c r="N316" s="73" t="n"/>
      <c r="O316" s="73" t="n"/>
      <c r="P316" s="73" t="n"/>
      <c r="Q316" s="73" t="n"/>
      <c r="R316" s="73" t="n"/>
      <c r="S316" s="73" t="n"/>
      <c r="T316" s="73" t="n"/>
      <c r="U316" s="73" t="n"/>
      <c r="V316" s="73" t="n"/>
      <c r="W316" s="73" t="n"/>
      <c r="X316" s="73" t="n"/>
      <c r="Y316" s="73" t="n"/>
      <c r="Z316" s="73" t="n"/>
      <c r="AA316" s="73" t="n"/>
      <c r="AB316" s="73" t="n"/>
      <c r="AC316" s="73" t="n"/>
      <c r="AD316" s="73" t="n"/>
      <c r="AE316" s="73" t="n"/>
      <c r="AF316" s="73" t="n"/>
      <c r="AG316" s="73" t="n"/>
      <c r="AH316" s="73" t="n"/>
      <c r="AI316" s="73" t="n"/>
      <c r="AJ316" s="73" t="n"/>
      <c r="AK316" s="73" t="n"/>
      <c r="AL316" s="73" t="n"/>
      <c r="AM316" s="73" t="n"/>
      <c r="AN316" s="73" t="n"/>
      <c r="AO316" s="73" t="n"/>
      <c r="AP316" s="73" t="n"/>
      <c r="AQ316" s="73" t="n"/>
      <c r="AR316" s="73" t="n"/>
      <c r="AS316" s="73" t="n"/>
      <c r="AT316" s="73" t="n"/>
      <c r="AU316" s="73" t="n"/>
      <c r="AV316" s="73" t="n"/>
      <c r="AW316" s="73" t="n"/>
      <c r="AX316" s="73" t="n"/>
      <c r="AY316" s="73" t="n"/>
      <c r="AZ316" s="73" t="n"/>
      <c r="BA316" s="73" t="n"/>
      <c r="BB316" s="73" t="n"/>
      <c r="BC316" s="73" t="n"/>
      <c r="BD316" s="73" t="n"/>
      <c r="BE316" s="73" t="n"/>
      <c r="BF316" s="73" t="n"/>
      <c r="BG316" s="73" t="n"/>
      <c r="BH316" s="73" t="n"/>
      <c r="BI316" s="73" t="n"/>
      <c r="BJ316" s="73" t="n"/>
      <c r="BK316" s="73" t="n"/>
      <c r="BL316" s="73" t="n"/>
      <c r="BM316" s="73" t="n"/>
      <c r="BN316" s="73" t="n"/>
      <c r="BO316" s="73" t="n"/>
      <c r="BP316" s="73" t="n"/>
      <c r="BQ316" s="73" t="n"/>
      <c r="BR316" s="73" t="n"/>
      <c r="BS316" s="73" t="n"/>
      <c r="BT316" s="73" t="n"/>
      <c r="BU316" s="73" t="n"/>
      <c r="BV316" s="73" t="n"/>
      <c r="BW316" s="73" t="n"/>
      <c r="BX316" s="73" t="n"/>
      <c r="BY316" s="73" t="n"/>
      <c r="BZ316" s="73" t="n"/>
      <c r="CA316" s="73" t="n"/>
      <c r="CB316" s="73" t="n"/>
      <c r="CC316" s="73" t="n"/>
      <c r="CD316" s="73" t="n"/>
      <c r="CE316" s="73" t="n"/>
      <c r="CF316" s="73" t="n"/>
      <c r="CG316" s="73" t="n"/>
      <c r="CH316" s="73" t="n"/>
      <c r="CI316" s="73" t="n"/>
      <c r="CJ316" s="73" t="n"/>
      <c r="CK316" s="73" t="n"/>
      <c r="CL316" s="73" t="n"/>
      <c r="CM316" s="73" t="n"/>
      <c r="CN316" s="73" t="n"/>
      <c r="CO316" s="73" t="n"/>
      <c r="CP316" s="73" t="n"/>
      <c r="CQ316" s="73" t="n"/>
      <c r="CR316" s="73" t="n"/>
      <c r="CS316" s="73" t="n"/>
      <c r="CT316" s="73" t="n"/>
      <c r="CU316" s="73" t="n"/>
      <c r="CV316" s="73" t="n"/>
      <c r="CW316" s="73" t="n"/>
      <c r="CX316" s="73" t="n"/>
      <c r="CY316" s="73" t="n"/>
    </row>
    <row r="318" customFormat="1" s="74">
      <c r="C318" s="74" t="inlineStr">
        <is>
          <t>YEAR</t>
        </is>
      </c>
      <c r="E318" s="75" t="n"/>
      <c r="F318" s="75" t="n"/>
      <c r="G318" s="75" t="n"/>
      <c r="H318" s="75" t="n"/>
      <c r="I318" s="75" t="str">
        <f>I274</f>
        <v>1Q21</v>
      </c>
      <c r="J318" s="75" t="str">
        <f>J274</f>
        <v>2Q21</v>
      </c>
      <c r="K318" s="75" t="str">
        <f>K274</f>
        <v>3Q21</v>
      </c>
      <c r="L318" s="75" t="str">
        <f>L274</f>
        <v>4Q21</v>
      </c>
      <c r="M318" s="75">
        <f>M274</f>
        <v>2021</v>
      </c>
      <c r="N318" s="75" t="str">
        <f>N274</f>
        <v>1Q22</v>
      </c>
      <c r="O318" s="75" t="str">
        <f>O274</f>
        <v>2Q22</v>
      </c>
      <c r="P318" s="75" t="str">
        <f>P274</f>
        <v>3Q22</v>
      </c>
      <c r="Q318" s="75" t="str">
        <f>Q274</f>
        <v>4Q22</v>
      </c>
      <c r="R318" s="75">
        <f>R274</f>
        <v>2022</v>
      </c>
      <c r="S318" s="75" t="str">
        <f>S274</f>
        <v>1Q23</v>
      </c>
      <c r="T318" s="75" t="str">
        <f>T274</f>
        <v>2Q23</v>
      </c>
      <c r="U318" s="75" t="str">
        <f>U274</f>
        <v>3Q23</v>
      </c>
      <c r="V318" s="75" t="str">
        <f>V274</f>
        <v>4Q23</v>
      </c>
      <c r="W318" s="75">
        <f>W274</f>
        <v>2023</v>
      </c>
      <c r="X318" s="75" t="str">
        <f>X274</f>
        <v>1Q24</v>
      </c>
      <c r="Y318" s="75" t="str">
        <f>Y274</f>
        <v>2Q24</v>
      </c>
      <c r="Z318" s="75" t="str">
        <f>Z274</f>
        <v>3Q24</v>
      </c>
      <c r="AA318" s="75" t="str">
        <f>AA274</f>
        <v>4Q24</v>
      </c>
      <c r="AB318" s="75">
        <f>AB274</f>
        <v>2024</v>
      </c>
      <c r="AC318" s="75" t="str">
        <f>AC274</f>
        <v>1Q25</v>
      </c>
      <c r="AD318" s="75" t="str">
        <f>AD274</f>
        <v>2Q25</v>
      </c>
      <c r="AE318" s="75" t="str">
        <f>AE274</f>
        <v>3Q25</v>
      </c>
      <c r="AF318" s="75" t="str">
        <f>AF274</f>
        <v>4Q25</v>
      </c>
      <c r="AG318" s="75">
        <f>AG274</f>
        <v>2025</v>
      </c>
      <c r="AH318" s="75" t="str">
        <f>AH274</f>
        <v>1Q26</v>
      </c>
      <c r="AI318" s="75" t="str">
        <f>AI274</f>
        <v>2Q26</v>
      </c>
      <c r="AJ318" s="75" t="str">
        <f>AJ274</f>
        <v>3Q26</v>
      </c>
      <c r="AK318" s="75" t="str">
        <f>AK274</f>
        <v>4Q26</v>
      </c>
      <c r="AL318" s="75">
        <f>AL274</f>
        <v>2026</v>
      </c>
      <c r="AM318" s="75" t="str">
        <f>AM274</f>
        <v>1Q27</v>
      </c>
      <c r="AN318" s="75" t="str">
        <f>AN274</f>
        <v>2Q27</v>
      </c>
      <c r="AO318" s="75" t="str">
        <f>AO274</f>
        <v>3Q27</v>
      </c>
      <c r="AP318" s="75" t="str">
        <f>AP274</f>
        <v>4Q27</v>
      </c>
      <c r="AQ318" s="75">
        <f>AQ274</f>
        <v>2027</v>
      </c>
      <c r="AR318" s="75" t="str">
        <f>AR274</f>
        <v>1Q28</v>
      </c>
      <c r="AS318" s="75" t="str">
        <f>AS274</f>
        <v>2Q28</v>
      </c>
      <c r="AT318" s="75" t="str">
        <f>AT274</f>
        <v>3Q28</v>
      </c>
      <c r="AU318" s="75" t="str">
        <f>AU274</f>
        <v>4Q28</v>
      </c>
      <c r="AV318" s="75">
        <f>AV274</f>
        <v>2028</v>
      </c>
      <c r="AW318" s="75" t="str">
        <f>AW274</f>
        <v>1Q29</v>
      </c>
      <c r="AX318" s="75" t="str">
        <f>AX274</f>
        <v>2Q29</v>
      </c>
      <c r="AY318" s="75" t="str">
        <f>AY274</f>
        <v>3Q29</v>
      </c>
      <c r="AZ318" s="75" t="str">
        <f>AZ274</f>
        <v>4Q29</v>
      </c>
      <c r="BA318" s="75">
        <f>BA274</f>
        <v>2029</v>
      </c>
      <c r="BB318" s="75" t="str">
        <f>BB274</f>
        <v>1Q30</v>
      </c>
      <c r="BC318" s="75" t="str">
        <f>BC274</f>
        <v>2Q30</v>
      </c>
      <c r="BD318" s="75" t="str">
        <f>BD274</f>
        <v>3Q30</v>
      </c>
      <c r="BE318" s="75" t="str">
        <f>BE274</f>
        <v>4Q30</v>
      </c>
      <c r="BF318" s="75">
        <f>BF274</f>
        <v>2030</v>
      </c>
      <c r="BG318" s="75" t="n"/>
      <c r="BH318" s="75" t="n"/>
      <c r="BI318" s="75" t="n"/>
      <c r="BJ318" s="75" t="n"/>
      <c r="BK318" s="75" t="n"/>
      <c r="BL318" s="75" t="n"/>
      <c r="BM318" s="75" t="n"/>
      <c r="BN318" s="75" t="n"/>
      <c r="BO318" s="75" t="n"/>
      <c r="BP318" s="75" t="n"/>
      <c r="BQ318" s="75" t="n"/>
      <c r="BR318" s="75" t="n"/>
      <c r="BS318" s="75" t="n"/>
      <c r="BT318" s="75" t="n"/>
      <c r="BU318" s="75" t="n"/>
      <c r="BV318" s="75" t="n"/>
      <c r="BW318" s="75" t="n"/>
      <c r="BX318" s="75" t="n"/>
      <c r="BY318" s="75" t="n"/>
      <c r="BZ318" s="75" t="n"/>
      <c r="CA318" s="75" t="n"/>
      <c r="CB318" s="75" t="n"/>
      <c r="CC318" s="75" t="n"/>
      <c r="CD318" s="75" t="n"/>
      <c r="CE318" s="75" t="n"/>
      <c r="CF318" s="75" t="n"/>
      <c r="CG318" s="75" t="n"/>
      <c r="CH318" s="75" t="n"/>
      <c r="CI318" s="75" t="n"/>
      <c r="CJ318" s="75" t="n"/>
      <c r="CK318" s="75" t="n"/>
      <c r="CL318" s="75" t="n"/>
      <c r="CM318" s="75" t="n"/>
      <c r="CN318" s="75" t="n"/>
      <c r="CO318" s="75" t="n"/>
      <c r="CP318" s="75" t="n"/>
      <c r="CQ318" s="75" t="n"/>
      <c r="CR318" s="75" t="n"/>
      <c r="CS318" s="75" t="n"/>
      <c r="CT318" s="75" t="n"/>
      <c r="CU318" s="75" t="n"/>
      <c r="CV318" s="75" t="n"/>
      <c r="CW318" s="75" t="n"/>
      <c r="CX318" s="75" t="n"/>
      <c r="CY318" s="75" t="n"/>
    </row>
    <row r="319" customFormat="1" s="77">
      <c r="A319" s="76" t="n"/>
      <c r="B319" s="76" t="n"/>
      <c r="C319" s="74" t="inlineStr">
        <is>
          <t>GROWTH &amp; MARGINS</t>
        </is>
      </c>
    </row>
    <row r="320" customFormat="1" s="77">
      <c r="A320" s="76" t="n"/>
      <c r="B320" s="76" t="n"/>
      <c r="C320" s="77" t="inlineStr">
        <is>
          <t>NET REVENUE GROWTH (YoY)</t>
        </is>
      </c>
      <c r="E320" s="78" t="n"/>
      <c r="F320" s="78" t="n"/>
      <c r="G320" s="78" t="n"/>
      <c r="H320" s="289" t="str">
        <f>""</f>
        <v/>
      </c>
      <c r="I320" s="289" t="str">
        <f>""</f>
        <v/>
      </c>
      <c r="J320" s="289" t="str">
        <f>""</f>
        <v/>
      </c>
      <c r="K320" s="289" t="str">
        <f>""</f>
        <v/>
      </c>
      <c r="L320" s="289" t="str">
        <f>""</f>
        <v/>
      </c>
      <c r="M320" s="289" t="str">
        <f>IFERROR(IF(AND(ISNUMBER(M15),ISNUMBER(H15),H15&lt;&gt;0),M15/H15-1,""),"")</f>
        <v/>
      </c>
      <c r="N320" s="289">
        <f>IFERROR(IF(AND(ISNUMBER(N15),ISNUMBER(I15),I15&lt;&gt;0),N15/I15-1,""),"")</f>
        <v>1.07417536145004</v>
      </c>
      <c r="O320" s="289">
        <f>IFERROR(IF(AND(ISNUMBER(O15),ISNUMBER(J15),J15&lt;&gt;0),O15/J15-1,""),"")</f>
        <v>1.31740789944657</v>
      </c>
      <c r="P320" s="289">
        <f>IFERROR(IF(AND(ISNUMBER(P15),ISNUMBER(K15),K15&lt;&gt;0),P15/K15-1,""),"")</f>
        <v>1.49742938100663</v>
      </c>
      <c r="Q320" s="289">
        <f>IFERROR(IF(AND(ISNUMBER(Q15),ISNUMBER(L15),L15&lt;&gt;0),Q15/L15-1,""),"")</f>
        <v>0.935184207748337</v>
      </c>
      <c r="R320" s="289">
        <f>IFERROR(IF(AND(ISNUMBER(R15),ISNUMBER(M15),M15&lt;&gt;0),R15/M15-1,""),"")</f>
        <v>1.19158823917399</v>
      </c>
      <c r="S320" s="289">
        <f>IFERROR(IF(AND(ISNUMBER(S15),ISNUMBER(N15),N15&lt;&gt;0),S15/N15-1,""),"")</f>
        <v>0.235101610292179</v>
      </c>
      <c r="T320" s="289">
        <f>IFERROR(IF(AND(ISNUMBER(T15),ISNUMBER(O15),O15&lt;&gt;0),T15/O15-1,""),"")</f>
        <v>0.0671537995997491</v>
      </c>
      <c r="U320" s="289">
        <f>IFERROR(IF(AND(ISNUMBER(U15),ISNUMBER(P15),P15&lt;&gt;0),U15/P15-1,""),"")</f>
        <v>0.0569815732136114</v>
      </c>
      <c r="V320" s="289">
        <f>IFERROR(IF(AND(ISNUMBER(V15),ISNUMBER(Q15),Q15&lt;&gt;0),V15/Q15-1,""),"")</f>
        <v>0.14735751825722</v>
      </c>
      <c r="W320" s="289">
        <f>IFERROR(IF(AND(ISNUMBER(W15),ISNUMBER(R15),R15&lt;&gt;0),W15/R15-1,""),"")</f>
        <v>0.120779461414368</v>
      </c>
      <c r="X320" s="289">
        <f>IFERROR(IF(AND(ISNUMBER(X15),ISNUMBER(S15),S15&lt;&gt;0),X15/S15-1,""),"")</f>
        <v>-0.012003449957936</v>
      </c>
      <c r="Y320" s="289">
        <f>IFERROR(IF(AND(ISNUMBER(Y15),ISNUMBER(T15),T15&lt;&gt;0),Y15/T15-1,""),"")</f>
        <v>0.00901614932418893</v>
      </c>
      <c r="Z320" s="289">
        <f>IFERROR(IF(AND(ISNUMBER(Z15),ISNUMBER(U15),U15&lt;&gt;0),Z15/U15-1,""),"")</f>
        <v>0.258160323129984</v>
      </c>
      <c r="AA320" s="289">
        <f>IFERROR(IF(AND(ISNUMBER(AA15),ISNUMBER(V15),V15&lt;&gt;0),AA15/V15-1,""),"")</f>
        <v>0.85822637996551</v>
      </c>
      <c r="AB320" s="289">
        <f>IFERROR(IF(AND(ISNUMBER(AB15),ISNUMBER(W15),W15&lt;&gt;0),AB15/W15-1,""),"")</f>
        <v>0.303800455847645</v>
      </c>
      <c r="AC320" s="289">
        <f>IFERROR(IF(AND(ISNUMBER(AC15),ISNUMBER(X15),X15&lt;&gt;0),AC15/X15-1,""),"")</f>
        <v>1.11251342546248</v>
      </c>
      <c r="AD320" s="289">
        <f>IFERROR(IF(AND(ISNUMBER(AD15),ISNUMBER(Y15),Y15&lt;&gt;0),AD15/Y15-1,""),"")</f>
        <v>0.989958242675227</v>
      </c>
      <c r="AE320" s="289">
        <f>IFERROR(IF(AND(ISNUMBER(AE15),ISNUMBER(Z15),Z15&lt;&gt;0),AE15/Z15-1,""),"")</f>
        <v>0.728498405334738</v>
      </c>
      <c r="AF320" s="289">
        <f>IFERROR(IF(AND(ISNUMBER(AF15),ISNUMBER(AA15),AA15&lt;&gt;0),AF15/AA15-1,""),"")</f>
        <v>0.200850383971011</v>
      </c>
      <c r="AG320" s="289">
        <f>IFERROR(IF(AND(ISNUMBER(AG15),ISNUMBER(AB15),AB15&lt;&gt;0),AG15/AB15-1,""),"")</f>
        <v>0.634867507259039</v>
      </c>
      <c r="AH320" s="289">
        <f>IFERROR(IF(AND(ISNUMBER(AH15),ISNUMBER(AC15),AC15&lt;&gt;0),AH15/AC15-1,""),"")</f>
        <v>0.0414022544433956</v>
      </c>
      <c r="AI320" s="289">
        <f>IFERROR(IF(AND(ISNUMBER(AI15),ISNUMBER(AD15),AD15&lt;&gt;0),AI15/AD15-1,""),"")</f>
        <v>0.0589042771706678</v>
      </c>
      <c r="AJ320" s="289">
        <f>IFERROR(IF(AND(ISNUMBER(AJ15),ISNUMBER(AE15),AE15&lt;&gt;0),AJ15/AE15-1,""),"")</f>
        <v>0.145281775948191</v>
      </c>
      <c r="AK320" s="289">
        <f>IFERROR(IF(AND(ISNUMBER(AK15),ISNUMBER(AF15),AF15&lt;&gt;0),AK15/AF15-1,""),"")</f>
        <v>0.145281775948191</v>
      </c>
      <c r="AL320" s="289">
        <f>IFERROR(IF(AND(ISNUMBER(AL15),ISNUMBER(AG15),AG15&lt;&gt;0),AL15/AG15-1,""),"")</f>
        <v>0.103092307500011</v>
      </c>
      <c r="AM320" s="289">
        <f>IFERROR(IF(AND(ISNUMBER(AM15),ISNUMBER(AH15),AH15&lt;&gt;0),AM15/AH15-1,""),"")</f>
        <v>0.145281775948191</v>
      </c>
      <c r="AN320" s="289">
        <f>IFERROR(IF(AND(ISNUMBER(AN15),ISNUMBER(AI15),AI15&lt;&gt;0),AN15/AI15-1,""),"")</f>
        <v>0.145281775948191</v>
      </c>
      <c r="AO320" s="289">
        <f>IFERROR(IF(AND(ISNUMBER(AO15),ISNUMBER(AJ15),AJ15&lt;&gt;0),AO15/AJ15-1,""),"")</f>
        <v>0.145281775948191</v>
      </c>
      <c r="AP320" s="289">
        <f>IFERROR(IF(AND(ISNUMBER(AP15),ISNUMBER(AK15),AK15&lt;&gt;0),AP15/AK15-1,""),"")</f>
        <v>0.145281775948191</v>
      </c>
      <c r="AQ320" s="289">
        <f>IFERROR(IF(AND(ISNUMBER(AQ15),ISNUMBER(AL15),AL15&lt;&gt;0),AQ15/AL15-1,""),"")</f>
        <v>0.145281775948191</v>
      </c>
      <c r="AR320" s="289">
        <f>IFERROR(IF(AND(ISNUMBER(AR15),ISNUMBER(AM15),AM15&lt;&gt;0),AR15/AM15-1,""),"")</f>
        <v>0.140281775948191</v>
      </c>
      <c r="AS320" s="289">
        <f>IFERROR(IF(AND(ISNUMBER(AS15),ISNUMBER(AN15),AN15&lt;&gt;0),AS15/AN15-1,""),"")</f>
        <v>0.140281775948191</v>
      </c>
      <c r="AT320" s="289">
        <f>IFERROR(IF(AND(ISNUMBER(AT15),ISNUMBER(AO15),AO15&lt;&gt;0),AT15/AO15-1,""),"")</f>
        <v>0.140281775948191</v>
      </c>
      <c r="AU320" s="289">
        <f>IFERROR(IF(AND(ISNUMBER(AU15),ISNUMBER(AP15),AP15&lt;&gt;0),AU15/AP15-1,""),"")</f>
        <v>0.140281775948191</v>
      </c>
      <c r="AV320" s="289">
        <f>IFERROR(IF(AND(ISNUMBER(AV15),ISNUMBER(AQ15),AQ15&lt;&gt;0),AV15/AQ15-1,""),"")</f>
        <v>0.140281775948192</v>
      </c>
      <c r="AW320" s="289">
        <f>IFERROR(IF(AND(ISNUMBER(AW15),ISNUMBER(AR15),AR15&lt;&gt;0),AW15/AR15-1,""),"")</f>
        <v>0.135281775948191</v>
      </c>
      <c r="AX320" s="289">
        <f>IFERROR(IF(AND(ISNUMBER(AX15),ISNUMBER(AS15),AS15&lt;&gt;0),AX15/AS15-1,""),"")</f>
        <v>0.135281775948191</v>
      </c>
      <c r="AY320" s="289">
        <f>IFERROR(IF(AND(ISNUMBER(AY15),ISNUMBER(AT15),AT15&lt;&gt;0),AY15/AT15-1,""),"")</f>
        <v>0.135281775948191</v>
      </c>
      <c r="AZ320" s="289">
        <f>IFERROR(IF(AND(ISNUMBER(AZ15),ISNUMBER(AU15),AU15&lt;&gt;0),AZ15/AU15-1,""),"")</f>
        <v>0.135281775948191</v>
      </c>
      <c r="BA320" s="289">
        <f>IFERROR(IF(AND(ISNUMBER(BA15),ISNUMBER(AV15),AV15&lt;&gt;0),BA15/AV15-1,""),"")</f>
        <v>0.135281775948191</v>
      </c>
      <c r="BB320" s="289">
        <f>IFERROR(IF(AND(ISNUMBER(BB15),ISNUMBER(AW15),AW15&lt;&gt;0),BB15/AW15-1,""),"")</f>
        <v>0.130281775948192</v>
      </c>
      <c r="BC320" s="289">
        <f>IFERROR(IF(AND(ISNUMBER(BC15),ISNUMBER(AX15),AX15&lt;&gt;0),BC15/AX15-1,""),"")</f>
        <v>0.130281775948192</v>
      </c>
      <c r="BD320" s="289">
        <f>IFERROR(IF(AND(ISNUMBER(BD15),ISNUMBER(AY15),AY15&lt;&gt;0),BD15/AY15-1,""),"")</f>
        <v>0.130281775948192</v>
      </c>
      <c r="BE320" s="289">
        <f>IFERROR(IF(AND(ISNUMBER(BE15),ISNUMBER(AZ15),AZ15&lt;&gt;0),BE15/AZ15-1,""),"")</f>
        <v>0.130281775948192</v>
      </c>
      <c r="BF320" s="289">
        <f>IFERROR(IF(AND(ISNUMBER(BF15),ISNUMBER(BA15),BA15&lt;&gt;0),BF15/BA15-1,""),"")</f>
        <v>0.130281775948192</v>
      </c>
      <c r="BG320" s="79" t="n"/>
      <c r="BH320" s="79" t="n"/>
      <c r="BI320" s="79" t="n"/>
      <c r="BJ320" s="79" t="n"/>
      <c r="BK320" s="78" t="n"/>
      <c r="BL320" s="79" t="n"/>
      <c r="BM320" s="79" t="n"/>
      <c r="BN320" s="79" t="n"/>
      <c r="BO320" s="79" t="n"/>
      <c r="BP320" s="78" t="n"/>
      <c r="BQ320" s="79" t="n"/>
      <c r="BR320" s="79" t="n"/>
      <c r="BS320" s="79" t="n"/>
      <c r="BT320" s="79" t="n"/>
      <c r="BU320" s="78" t="n"/>
      <c r="BV320" s="79" t="n"/>
      <c r="BW320" s="79" t="n"/>
      <c r="BX320" s="79" t="n"/>
      <c r="BY320" s="79" t="n"/>
      <c r="BZ320" s="78" t="n"/>
      <c r="CA320" s="79" t="n"/>
      <c r="CB320" s="79" t="n"/>
      <c r="CC320" s="79" t="n"/>
      <c r="CD320" s="79" t="n"/>
      <c r="CE320" s="78" t="n"/>
      <c r="CF320" s="79" t="n"/>
      <c r="CG320" s="79" t="n"/>
      <c r="CH320" s="79" t="n"/>
      <c r="CI320" s="79" t="n"/>
      <c r="CJ320" s="78" t="n"/>
      <c r="CK320" s="79" t="n"/>
      <c r="CL320" s="79" t="n"/>
      <c r="CM320" s="79" t="n"/>
      <c r="CN320" s="79" t="n"/>
      <c r="CO320" s="78" t="n"/>
      <c r="CP320" s="79" t="n"/>
      <c r="CQ320" s="79" t="n"/>
      <c r="CR320" s="79" t="n"/>
      <c r="CS320" s="79" t="n"/>
      <c r="CT320" s="78" t="n"/>
      <c r="CU320" s="79" t="n"/>
      <c r="CV320" s="79" t="n"/>
      <c r="CW320" s="79" t="n"/>
      <c r="CX320" s="79" t="n"/>
      <c r="CY320" s="78" t="n"/>
    </row>
    <row r="321" customFormat="1" s="77">
      <c r="A321" s="76" t="n"/>
      <c r="B321" s="76" t="n"/>
      <c r="C321" s="77" t="inlineStr">
        <is>
          <t>GROSS MARGIN</t>
        </is>
      </c>
      <c r="D321" s="79" t="n"/>
      <c r="E321" s="79" t="n"/>
      <c r="F321" s="79" t="n"/>
      <c r="G321" s="79" t="n"/>
      <c r="H321" s="290" t="str">
        <f>IFERROR(IF(N(H15)&lt;&gt;0,(H15+H53)/H15,""),"")</f>
        <v/>
      </c>
      <c r="I321" s="290">
        <f>IFERROR(IF(N(I15)&lt;&gt;0,(I15+I53)/I15,""),"")</f>
        <v>0.737323666895469</v>
      </c>
      <c r="J321" s="290">
        <f>IFERROR(IF(N(J15)&lt;&gt;0,(J15+J53)/J15,""),"")</f>
        <v>0.533813224483053</v>
      </c>
      <c r="K321" s="290">
        <f>IFERROR(IF(N(K15)&lt;&gt;0,(K15+K53)/K15,""),"")</f>
        <v>1.54276088374765</v>
      </c>
      <c r="L321" s="290">
        <f>IFERROR(IF(N(L15)&lt;&gt;0,(L15+L53)/L15,""),"")</f>
        <v>0.42275446916708</v>
      </c>
      <c r="M321" s="290">
        <f>IFERROR(IF(N(M15)&lt;&gt;0,(M15+M53)/M15,""),"")</f>
        <v>0.791628290636938</v>
      </c>
      <c r="N321" s="290">
        <f>IFERROR(IF(N(N15)&lt;&gt;0,(N15+N53)/N15,""),"")</f>
        <v>0.383629714876473</v>
      </c>
      <c r="O321" s="290">
        <f>IFERROR(IF(N(O15)&lt;&gt;0,(O15+O53)/O15,""),"")</f>
        <v>0.342703959068952</v>
      </c>
      <c r="P321" s="290">
        <f>IFERROR(IF(N(P15)&lt;&gt;0,(P15+P53)/P15,""),"")</f>
        <v>0.3029285184687</v>
      </c>
      <c r="Q321" s="290">
        <f>IFERROR(IF(N(Q15)&lt;&gt;0,(Q15+Q53)/Q15,""),"")</f>
        <v>0.251736153201714</v>
      </c>
      <c r="R321" s="290">
        <f>IFERROR(IF(N(R15)&lt;&gt;0,(R15+R53)/R15,""),"")</f>
        <v>0.315614537830697</v>
      </c>
      <c r="S321" s="290">
        <f>IFERROR(IF(N(S15)&lt;&gt;0,(S15+S53)/S15,""),"")</f>
        <v>0.354676177616277</v>
      </c>
      <c r="T321" s="290">
        <f>IFERROR(IF(N(T15)&lt;&gt;0,(T15+T53)/T15,""),"")</f>
        <v>0.355738827406533</v>
      </c>
      <c r="U321" s="290">
        <f>IFERROR(IF(N(U15)&lt;&gt;0,(U15+U53)/U15,""),"")</f>
        <v>0.305596370320732</v>
      </c>
      <c r="V321" s="290">
        <f>IFERROR(IF(N(V15)&lt;&gt;0,(V15+V53)/V15,""),"")</f>
        <v>0.293606510997815</v>
      </c>
      <c r="W321" s="290">
        <f>IFERROR(IF(N(W15)&lt;&gt;0,(W15+W53)/W15,""),"")</f>
        <v>0.325178707482663</v>
      </c>
      <c r="X321" s="290">
        <f>IFERROR(IF(N(X15)&lt;&gt;0,(X15+X53)/X15,""),"")</f>
        <v>0.327296496464121</v>
      </c>
      <c r="Y321" s="290">
        <f>IFERROR(IF(N(Y15)&lt;&gt;0,(Y15+Y53)/Y15,""),"")</f>
        <v>0.342552817326359</v>
      </c>
      <c r="Z321" s="290">
        <f>IFERROR(IF(N(Z15)&lt;&gt;0,(Z15+Z53)/Z15,""),"")</f>
        <v>0.245360518462886</v>
      </c>
      <c r="AA321" s="290">
        <f>IFERROR(IF(N(AA15)&lt;&gt;0,(AA15+AA53)/AA15,""),"")</f>
        <v>0.216666287623221</v>
      </c>
      <c r="AB321" s="290">
        <f>IFERROR(IF(N(AB15)&lt;&gt;0,(AB15+AB53)/AB15,""),"")</f>
        <v>0.265782385029388</v>
      </c>
      <c r="AC321" s="290">
        <f>IFERROR(IF(N(AC15)&lt;&gt;0,(AC15+AC53)/AC15,""),"")</f>
        <v>0.438459399323172</v>
      </c>
      <c r="AD321" s="290">
        <f>IFERROR(IF(N(AD15)&lt;&gt;0,(AD15+AD53)/AD15,""),"")</f>
        <v>0.352512139021996</v>
      </c>
      <c r="AE321" s="290">
        <f>IFERROR(IF(N(AE15)&lt;&gt;0,(AE15+AE53)/AE15,""),"")</f>
        <v>0.226789744192825</v>
      </c>
      <c r="AF321" s="290">
        <f>IFERROR(IF(N(AF15)&lt;&gt;0,(AF15+AF53)/AF15,""),"")</f>
        <v>0.252465654443018</v>
      </c>
      <c r="AG321" s="290">
        <f>IFERROR(IF(N(AG15)&lt;&gt;0,(AG15+AG53)/AG15,""),"")</f>
        <v>0.309153361111128</v>
      </c>
      <c r="AH321" s="290">
        <f>IFERROR(IF(N(AH15)&lt;&gt;0,(AH15+AH53)/AH15,""),"")</f>
        <v>0.310383521410555</v>
      </c>
      <c r="AI321" s="290">
        <f>IFERROR(IF(N(AI15)&lt;&gt;0,(AI15+AI53)/AI15,""),"")</f>
        <v>0.300337522610873</v>
      </c>
      <c r="AJ321" s="290">
        <f>IFERROR(IF(N(AJ15)&lt;&gt;0,(AJ15+AJ53)/AJ15,""),"")</f>
        <v>0.313491330167073</v>
      </c>
      <c r="AK321" s="290">
        <f>IFERROR(IF(N(AK15)&lt;&gt;0,(AK15+AK53)/AK15,""),"")</f>
        <v>0.313491330167073</v>
      </c>
      <c r="AL321" s="290">
        <f>IFERROR(IF(N(AL15)&lt;&gt;0,(AL15+AL53)/AL15,""),"")</f>
        <v>0.310068890341692</v>
      </c>
      <c r="AM321" s="290">
        <f>IFERROR(IF(N(AM15)&lt;&gt;0,(AM15+AM53)/AM15,""),"")</f>
        <v>0.313491330167073</v>
      </c>
      <c r="AN321" s="290">
        <f>IFERROR(IF(N(AN15)&lt;&gt;0,(AN15+AN53)/AN15,""),"")</f>
        <v>0.313491330167073</v>
      </c>
      <c r="AO321" s="290">
        <f>IFERROR(IF(N(AO15)&lt;&gt;0,(AO15+AO53)/AO15,""),"")</f>
        <v>0.313491330167073</v>
      </c>
      <c r="AP321" s="290">
        <f>IFERROR(IF(N(AP15)&lt;&gt;0,(AP15+AP53)/AP15,""),"")</f>
        <v>0.313491330167073</v>
      </c>
      <c r="AQ321" s="290">
        <f>IFERROR(IF(N(AQ15)&lt;&gt;0,(AQ15+AQ53)/AQ15,""),"")</f>
        <v>0.313491330167073</v>
      </c>
      <c r="AR321" s="290">
        <f>IFERROR(IF(N(AR15)&lt;&gt;0,(AR15+AR53)/AR15,""),"")</f>
        <v>0.313491330167073</v>
      </c>
      <c r="AS321" s="290">
        <f>IFERROR(IF(N(AS15)&lt;&gt;0,(AS15+AS53)/AS15,""),"")</f>
        <v>0.313491330167073</v>
      </c>
      <c r="AT321" s="290">
        <f>IFERROR(IF(N(AT15)&lt;&gt;0,(AT15+AT53)/AT15,""),"")</f>
        <v>0.313491330167073</v>
      </c>
      <c r="AU321" s="290">
        <f>IFERROR(IF(N(AU15)&lt;&gt;0,(AU15+AU53)/AU15,""),"")</f>
        <v>0.313491330167073</v>
      </c>
      <c r="AV321" s="290">
        <f>IFERROR(IF(N(AV15)&lt;&gt;0,(AV15+AV53)/AV15,""),"")</f>
        <v>0.313491330167073</v>
      </c>
      <c r="AW321" s="290">
        <f>IFERROR(IF(N(AW15)&lt;&gt;0,(AW15+AW53)/AW15,""),"")</f>
        <v>0.313491330167073</v>
      </c>
      <c r="AX321" s="290">
        <f>IFERROR(IF(N(AX15)&lt;&gt;0,(AX15+AX53)/AX15,""),"")</f>
        <v>0.313491330167073</v>
      </c>
      <c r="AY321" s="290">
        <f>IFERROR(IF(N(AY15)&lt;&gt;0,(AY15+AY53)/AY15,""),"")</f>
        <v>0.313491330167073</v>
      </c>
      <c r="AZ321" s="290">
        <f>IFERROR(IF(N(AZ15)&lt;&gt;0,(AZ15+AZ53)/AZ15,""),"")</f>
        <v>0.313491330167073</v>
      </c>
      <c r="BA321" s="290">
        <f>IFERROR(IF(N(BA15)&lt;&gt;0,(BA15+BA53)/BA15,""),"")</f>
        <v>0.313491330167073</v>
      </c>
      <c r="BB321" s="290">
        <f>IFERROR(IF(N(BB15)&lt;&gt;0,(BB15+BB53)/BB15,""),"")</f>
        <v>0.313491330167073</v>
      </c>
      <c r="BC321" s="290">
        <f>IFERROR(IF(N(BC15)&lt;&gt;0,(BC15+BC53)/BC15,""),"")</f>
        <v>0.313491330167073</v>
      </c>
      <c r="BD321" s="290">
        <f>IFERROR(IF(N(BD15)&lt;&gt;0,(BD15+BD53)/BD15,""),"")</f>
        <v>0.313491330167073</v>
      </c>
      <c r="BE321" s="290">
        <f>IFERROR(IF(N(BE15)&lt;&gt;0,(BE15+BE53)/BE15,""),"")</f>
        <v>0.313491330167073</v>
      </c>
      <c r="BF321" s="290">
        <f>IFERROR(IF(N(BF15)&lt;&gt;0,(BF15+BF53)/BF15,""),"")</f>
        <v>0.313491330167073</v>
      </c>
      <c r="BG321" s="80" t="n"/>
      <c r="BH321" s="80" t="n"/>
      <c r="BI321" s="80" t="n"/>
      <c r="BJ321" s="80" t="n"/>
      <c r="BL321" s="80" t="n"/>
      <c r="BM321" s="80" t="n"/>
      <c r="BN321" s="80" t="n"/>
      <c r="BO321" s="80" t="n"/>
      <c r="BQ321" s="80" t="n"/>
      <c r="BR321" s="80" t="n"/>
      <c r="BS321" s="80" t="n"/>
      <c r="BT321" s="80" t="n"/>
      <c r="BV321" s="80" t="n"/>
      <c r="BW321" s="80" t="n"/>
      <c r="BX321" s="80" t="n"/>
      <c r="BY321" s="80" t="n"/>
      <c r="CA321" s="80" t="n"/>
      <c r="CB321" s="80" t="n"/>
      <c r="CC321" s="80" t="n"/>
      <c r="CD321" s="80" t="n"/>
      <c r="CF321" s="80" t="n"/>
      <c r="CG321" s="80" t="n"/>
      <c r="CH321" s="80" t="n"/>
      <c r="CI321" s="80" t="n"/>
      <c r="CK321" s="80" t="n"/>
      <c r="CL321" s="80" t="n"/>
      <c r="CM321" s="80" t="n"/>
      <c r="CN321" s="80" t="n"/>
      <c r="CP321" s="80" t="n"/>
      <c r="CQ321" s="80" t="n"/>
      <c r="CR321" s="80" t="n"/>
      <c r="CS321" s="80" t="n"/>
      <c r="CU321" s="80" t="n"/>
      <c r="CV321" s="80" t="n"/>
      <c r="CW321" s="80" t="n"/>
      <c r="CX321" s="80" t="n"/>
    </row>
    <row r="322" customFormat="1" s="77">
      <c r="A322" s="76" t="n"/>
      <c r="B322" s="76" t="n"/>
      <c r="C322" s="77" t="inlineStr">
        <is>
          <t>EBIT MARGIN</t>
        </is>
      </c>
      <c r="D322" s="78" t="n"/>
      <c r="E322" s="78" t="n"/>
      <c r="F322" s="78" t="n"/>
      <c r="G322" s="78" t="n"/>
      <c r="H322" s="290" t="str">
        <f>IFERROR(IF(N(H15)&lt;&gt;0,H72/H15,""),"")</f>
        <v/>
      </c>
      <c r="I322" s="289">
        <f>IFERROR(IF(N(I15)&lt;&gt;0,I72/I15,""),"")</f>
        <v>0.430161314567935</v>
      </c>
      <c r="J322" s="289">
        <f>IFERROR(IF(N(J15)&lt;&gt;0,J72/J15,""),"")</f>
        <v>0.183476623805722</v>
      </c>
      <c r="K322" s="289">
        <f>IFERROR(IF(N(K15)&lt;&gt;0,K72/K15,""),"")</f>
        <v>1.14688069017225</v>
      </c>
      <c r="L322" s="289">
        <f>IFERROR(IF(N(L15)&lt;&gt;0,L72/L15,""),"")</f>
        <v>0.221050601253986</v>
      </c>
      <c r="M322" s="290">
        <f>IFERROR(IF(N(M15)&lt;&gt;0,M72/M15,""),"")</f>
        <v>0.484928253048957</v>
      </c>
      <c r="N322" s="289">
        <f>IFERROR(IF(N(N15)&lt;&gt;0,N72/N15,""),"")</f>
        <v>0.12865921914538</v>
      </c>
      <c r="O322" s="289">
        <f>IFERROR(IF(N(O15)&lt;&gt;0,O72/O15,""),"")</f>
        <v>0.09527013229075</v>
      </c>
      <c r="P322" s="289">
        <f>IFERROR(IF(N(P15)&lt;&gt;0,P72/P15,""),"")</f>
        <v>0.222162439299214</v>
      </c>
      <c r="Q322" s="289">
        <f>IFERROR(IF(N(Q15)&lt;&gt;0,Q72/Q15,""),"")</f>
        <v>0.432944618194455</v>
      </c>
      <c r="R322" s="290">
        <f>IFERROR(IF(N(R15)&lt;&gt;0,R72/R15,""),"")</f>
        <v>0.228512179583176</v>
      </c>
      <c r="S322" s="289">
        <f>IFERROR(IF(N(S15)&lt;&gt;0,S72/S15,""),"")</f>
        <v>0.200461643961513</v>
      </c>
      <c r="T322" s="289">
        <f>IFERROR(IF(N(T15)&lt;&gt;0,T72/T15,""),"")</f>
        <v>0.20057505177136</v>
      </c>
      <c r="U322" s="289">
        <f>IFERROR(IF(N(U15)&lt;&gt;0,U72/U15,""),"")</f>
        <v>0.110929613485881</v>
      </c>
      <c r="V322" s="289">
        <f>IFERROR(IF(N(V15)&lt;&gt;0,V72/V15,""),"")</f>
        <v>0.14578018925845</v>
      </c>
      <c r="W322" s="290">
        <f>IFERROR(IF(N(W15)&lt;&gt;0,W72/W15,""),"")</f>
        <v>0.161860207800527</v>
      </c>
      <c r="X322" s="289">
        <f>IFERROR(IF(N(X15)&lt;&gt;0,X72/X15,""),"")</f>
        <v>0.310020314397319</v>
      </c>
      <c r="Y322" s="289">
        <f>IFERROR(IF(N(Y15)&lt;&gt;0,Y72/Y15,""),"")</f>
        <v>0.15371453989359</v>
      </c>
      <c r="Z322" s="289">
        <f>IFERROR(IF(N(Z15)&lt;&gt;0,Z72/Z15,""),"")</f>
        <v>0.220359431246644</v>
      </c>
      <c r="AA322" s="289">
        <f>IFERROR(IF(N(AA15)&lt;&gt;0,AA72/AA15,""),"")</f>
        <v>0.00636698228350939</v>
      </c>
      <c r="AB322" s="290">
        <f>IFERROR(IF(N(AB15)&lt;&gt;0,AB72/AB15,""),"")</f>
        <v>0.13986201653087</v>
      </c>
      <c r="AC322" s="289">
        <f>IFERROR(IF(N(AC15)&lt;&gt;0,AC72/AC15,""),"")</f>
        <v>0.311388092617865</v>
      </c>
      <c r="AD322" s="289">
        <f>IFERROR(IF(N(AD15)&lt;&gt;0,AD72/AD15,""),"")</f>
        <v>-0.00164060038904479</v>
      </c>
      <c r="AE322" s="289">
        <f>IFERROR(IF(N(AE15)&lt;&gt;0,AE72/AE15,""),"")</f>
        <v>0.0561914133891335</v>
      </c>
      <c r="AF322" s="289">
        <f>IFERROR(IF(N(AF15)&lt;&gt;0,AF72/AF15,""),"")</f>
        <v>0.262361678068058</v>
      </c>
      <c r="AG322" s="290">
        <f>IFERROR(IF(N(AG15)&lt;&gt;0,AG72/AG15,""),"")</f>
        <v>0.160187044773328</v>
      </c>
      <c r="AH322" s="289">
        <f>IFERROR(IF(N(AH15)&lt;&gt;0,AH72/AH15,""),"")</f>
        <v>-0.0542244599589857</v>
      </c>
      <c r="AI322" s="289">
        <f>IFERROR(IF(N(AI15)&lt;&gt;0,AI72/AI15,""),"")</f>
        <v>0.11301721911871</v>
      </c>
      <c r="AJ322" s="289">
        <f>IFERROR(IF(N(AJ15)&lt;&gt;0,AJ72/AJ15,""),"")</f>
        <v>0.114515557140956</v>
      </c>
      <c r="AK322" s="289">
        <f>IFERROR(IF(N(AK15)&lt;&gt;0,AK72/AK15,""),"")</f>
        <v>0.114515557140956</v>
      </c>
      <c r="AL322" s="290">
        <f>IFERROR(IF(N(AL15)&lt;&gt;0,AL72/AL15,""),"")</f>
        <v>0.0785086043985383</v>
      </c>
      <c r="AM322" s="289">
        <f>IFERROR(IF(N(AM15)&lt;&gt;0,AM72/AM15,""),"")</f>
        <v>0.114515557140956</v>
      </c>
      <c r="AN322" s="289">
        <f>IFERROR(IF(N(AN15)&lt;&gt;0,AN72/AN15,""),"")</f>
        <v>0.114515557140956</v>
      </c>
      <c r="AO322" s="289">
        <f>IFERROR(IF(N(AO15)&lt;&gt;0,AO72/AO15,""),"")</f>
        <v>0.114515557140956</v>
      </c>
      <c r="AP322" s="289">
        <f>IFERROR(IF(N(AP15)&lt;&gt;0,AP72/AP15,""),"")</f>
        <v>0.114515557140956</v>
      </c>
      <c r="AQ322" s="290">
        <f>IFERROR(IF(N(AQ15)&lt;&gt;0,AQ72/AQ15,""),"")</f>
        <v>0.114515557140956</v>
      </c>
      <c r="AR322" s="289">
        <f>IFERROR(IF(N(AR15)&lt;&gt;0,AR72/AR15,""),"")</f>
        <v>0.114515557140956</v>
      </c>
      <c r="AS322" s="289">
        <f>IFERROR(IF(N(AS15)&lt;&gt;0,AS72/AS15,""),"")</f>
        <v>0.114515557140956</v>
      </c>
      <c r="AT322" s="289">
        <f>IFERROR(IF(N(AT15)&lt;&gt;0,AT72/AT15,""),"")</f>
        <v>0.114515557140956</v>
      </c>
      <c r="AU322" s="289">
        <f>IFERROR(IF(N(AU15)&lt;&gt;0,AU72/AU15,""),"")</f>
        <v>0.114515557140956</v>
      </c>
      <c r="AV322" s="290">
        <f>IFERROR(IF(N(AV15)&lt;&gt;0,AV72/AV15,""),"")</f>
        <v>0.114515557140956</v>
      </c>
      <c r="AW322" s="289">
        <f>IFERROR(IF(N(AW15)&lt;&gt;0,AW72/AW15,""),"")</f>
        <v>0.114515557140956</v>
      </c>
      <c r="AX322" s="289">
        <f>IFERROR(IF(N(AX15)&lt;&gt;0,AX72/AX15,""),"")</f>
        <v>0.114515557140956</v>
      </c>
      <c r="AY322" s="289">
        <f>IFERROR(IF(N(AY15)&lt;&gt;0,AY72/AY15,""),"")</f>
        <v>0.114515557140956</v>
      </c>
      <c r="AZ322" s="289">
        <f>IFERROR(IF(N(AZ15)&lt;&gt;0,AZ72/AZ15,""),"")</f>
        <v>0.114515557140956</v>
      </c>
      <c r="BA322" s="290">
        <f>IFERROR(IF(N(BA15)&lt;&gt;0,BA72/BA15,""),"")</f>
        <v>0.114515557140956</v>
      </c>
      <c r="BB322" s="289">
        <f>IFERROR(IF(N(BB15)&lt;&gt;0,BB72/BB15,""),"")</f>
        <v>0.114515557140956</v>
      </c>
      <c r="BC322" s="289">
        <f>IFERROR(IF(N(BC15)&lt;&gt;0,BC72/BC15,""),"")</f>
        <v>0.114515557140956</v>
      </c>
      <c r="BD322" s="289">
        <f>IFERROR(IF(N(BD15)&lt;&gt;0,BD72/BD15,""),"")</f>
        <v>0.114515557140956</v>
      </c>
      <c r="BE322" s="289">
        <f>IFERROR(IF(N(BE15)&lt;&gt;0,BE72/BE15,""),"")</f>
        <v>0.114515557140956</v>
      </c>
      <c r="BF322" s="290">
        <f>IFERROR(IF(N(BF15)&lt;&gt;0,BF72/BF15,""),"")</f>
        <v>0.114515557140956</v>
      </c>
      <c r="BG322" s="81" t="n"/>
      <c r="BH322" s="81" t="n"/>
      <c r="BI322" s="81" t="n"/>
      <c r="BJ322" s="81" t="n"/>
      <c r="BL322" s="81" t="n"/>
      <c r="BM322" s="81" t="n"/>
      <c r="BN322" s="81" t="n"/>
      <c r="BO322" s="81" t="n"/>
      <c r="BQ322" s="81" t="n"/>
      <c r="BR322" s="81" t="n"/>
      <c r="BS322" s="81" t="n"/>
      <c r="BT322" s="81" t="n"/>
      <c r="BV322" s="81" t="n"/>
      <c r="BW322" s="81" t="n"/>
      <c r="BX322" s="81" t="n"/>
      <c r="BY322" s="81" t="n"/>
      <c r="CA322" s="81" t="n"/>
      <c r="CB322" s="81" t="n"/>
      <c r="CC322" s="81" t="n"/>
      <c r="CD322" s="81" t="n"/>
      <c r="CF322" s="81" t="n"/>
      <c r="CG322" s="81" t="n"/>
      <c r="CH322" s="81" t="n"/>
      <c r="CI322" s="81" t="n"/>
      <c r="CK322" s="81" t="n"/>
      <c r="CL322" s="81" t="n"/>
      <c r="CM322" s="81" t="n"/>
      <c r="CN322" s="81" t="n"/>
      <c r="CP322" s="81" t="n"/>
      <c r="CQ322" s="81" t="n"/>
      <c r="CR322" s="81" t="n"/>
      <c r="CS322" s="81" t="n"/>
      <c r="CU322" s="81" t="n"/>
      <c r="CV322" s="81" t="n"/>
      <c r="CW322" s="81" t="n"/>
      <c r="CX322" s="81" t="n"/>
    </row>
    <row r="323" customFormat="1" s="77">
      <c r="A323" s="76" t="n"/>
      <c r="B323" s="76" t="n"/>
      <c r="C323" s="77" t="inlineStr">
        <is>
          <t>EBITDA MARGIN</t>
        </is>
      </c>
      <c r="D323" s="78" t="n"/>
      <c r="E323" s="78" t="n"/>
      <c r="F323" s="78" t="n"/>
      <c r="G323" s="78" t="n"/>
      <c r="H323" s="290" t="str">
        <f>IFERROR(IF(N(H15)&lt;&gt;0,H68/H15,""),"")</f>
        <v/>
      </c>
      <c r="I323" s="289">
        <f>IFERROR(IF(N(I15)&lt;&gt;0,I68/I15,""),"")</f>
        <v>0.670300334509944</v>
      </c>
      <c r="J323" s="289">
        <f>IFERROR(IF(N(J15)&lt;&gt;0,J68/J15,""),"")</f>
        <v>0.409895646906578</v>
      </c>
      <c r="K323" s="289">
        <f>IFERROR(IF(N(K15)&lt;&gt;0,K68/K15,""),"")</f>
        <v>1.38284046907305</v>
      </c>
      <c r="L323" s="289">
        <f>IFERROR(IF(N(L15)&lt;&gt;0,L68/L15,""),"")</f>
        <v>0.415797725308968</v>
      </c>
      <c r="M323" s="290">
        <f>IFERROR(IF(N(M15)&lt;&gt;0,M68/M15,""),"")</f>
        <v>0.707037057933964</v>
      </c>
      <c r="N323" s="289">
        <f>IFERROR(IF(N(N15)&lt;&gt;0,N68/N15,""),"")</f>
        <v>0.266011675971703</v>
      </c>
      <c r="O323" s="289">
        <f>IFERROR(IF(N(O15)&lt;&gt;0,O68/O15,""),"")</f>
        <v>0.214966713820541</v>
      </c>
      <c r="P323" s="289">
        <f>IFERROR(IF(N(P15)&lt;&gt;0,P68/P15,""),"")</f>
        <v>0.327011939039613</v>
      </c>
      <c r="Q323" s="289">
        <f>IFERROR(IF(N(Q15)&lt;&gt;0,Q68/Q15,""),"")</f>
        <v>0.512349046260604</v>
      </c>
      <c r="R323" s="290">
        <f>IFERROR(IF(N(R15)&lt;&gt;0,R68/R15,""),"")</f>
        <v>0.336885250954275</v>
      </c>
      <c r="S323" s="289">
        <f>IFERROR(IF(N(S15)&lt;&gt;0,S68/S15,""),"")</f>
        <v>0.319461863118677</v>
      </c>
      <c r="T323" s="289">
        <f>IFERROR(IF(N(T15)&lt;&gt;0,T68/T15,""),"")</f>
        <v>0.318637411209334</v>
      </c>
      <c r="U323" s="289">
        <f>IFERROR(IF(N(U15)&lt;&gt;0,U68/U15,""),"")</f>
        <v>0.215223258473248</v>
      </c>
      <c r="V323" s="289">
        <f>IFERROR(IF(N(V15)&lt;&gt;0,V68/V15,""),"")</f>
        <v>0.245351006220572</v>
      </c>
      <c r="W323" s="290">
        <f>IFERROR(IF(N(W15)&lt;&gt;0,W68/W15,""),"")</f>
        <v>0.271418126171769</v>
      </c>
      <c r="X323" s="289">
        <f>IFERROR(IF(N(X15)&lt;&gt;0,X68/X15,""),"")</f>
        <v>0.42907384523134</v>
      </c>
      <c r="Y323" s="289">
        <f>IFERROR(IF(N(Y15)&lt;&gt;0,Y68/Y15,""),"")</f>
        <v>0.274522514818506</v>
      </c>
      <c r="Z323" s="289">
        <f>IFERROR(IF(N(Z15)&lt;&gt;0,Z68/Z15,""),"")</f>
        <v>0.309589833624154</v>
      </c>
      <c r="AA323" s="289">
        <f>IFERROR(IF(N(AA15)&lt;&gt;0,AA68/AA15,""),"")</f>
        <v>0.0660729582824784</v>
      </c>
      <c r="AB323" s="290">
        <f>IFERROR(IF(N(AB15)&lt;&gt;0,AB68/AB15,""),"")</f>
        <v>0.228347666133454</v>
      </c>
      <c r="AC323" s="289">
        <f>IFERROR(IF(N(AC15)&lt;&gt;0,AC68/AC15,""),"")</f>
        <v>0.466587609740599</v>
      </c>
      <c r="AD323" s="289">
        <f>IFERROR(IF(N(AD15)&lt;&gt;0,AD68/AD15,""),"")</f>
        <v>0.179174425209381</v>
      </c>
      <c r="AE323" s="289">
        <f>IFERROR(IF(N(AE15)&lt;&gt;0,AE68/AE15,""),"")</f>
        <v>0.187800556964158</v>
      </c>
      <c r="AF323" s="289">
        <f>IFERROR(IF(N(AF15)&lt;&gt;0,AF68/AF15,""),"")</f>
        <v>0.387953744204282</v>
      </c>
      <c r="AG323" s="290">
        <f>IFERROR(IF(N(AG15)&lt;&gt;0,AG68/AG15,""),"")</f>
        <v>0.306120869226814</v>
      </c>
      <c r="AH323" s="289">
        <f>IFERROR(IF(N(AH15)&lt;&gt;0,AH68/AH15,""),"")</f>
        <v>0.097613460246834</v>
      </c>
      <c r="AI323" s="289">
        <f>IFERROR(IF(N(AI15)&lt;&gt;0,AI68/AI15,""),"")</f>
        <v>0.265346838601485</v>
      </c>
      <c r="AJ323" s="289">
        <f>IFERROR(IF(N(AJ15)&lt;&gt;0,AJ68/AJ15,""),"")</f>
        <v>0.264079439161123</v>
      </c>
      <c r="AK323" s="289">
        <f>IFERROR(IF(N(AK15)&lt;&gt;0,AK68/AK15,""),"")</f>
        <v>0.264079439161123</v>
      </c>
      <c r="AL323" s="290">
        <f>IFERROR(IF(N(AL15)&lt;&gt;0,AL68/AL15,""),"")</f>
        <v>0.229134880574152</v>
      </c>
      <c r="AM323" s="289">
        <f>IFERROR(IF(N(AM15)&lt;&gt;0,AM68/AM15,""),"")</f>
        <v>0.264079439161123</v>
      </c>
      <c r="AN323" s="289">
        <f>IFERROR(IF(N(AN15)&lt;&gt;0,AN68/AN15,""),"")</f>
        <v>0.264079439161123</v>
      </c>
      <c r="AO323" s="289">
        <f>IFERROR(IF(N(AO15)&lt;&gt;0,AO68/AO15,""),"")</f>
        <v>0.264079439161123</v>
      </c>
      <c r="AP323" s="289">
        <f>IFERROR(IF(N(AP15)&lt;&gt;0,AP68/AP15,""),"")</f>
        <v>0.264079439161123</v>
      </c>
      <c r="AQ323" s="290">
        <f>IFERROR(IF(N(AQ15)&lt;&gt;0,AQ68/AQ15,""),"")</f>
        <v>0.264079439161123</v>
      </c>
      <c r="AR323" s="289">
        <f>IFERROR(IF(N(AR15)&lt;&gt;0,AR68/AR15,""),"")</f>
        <v>0.264079439161123</v>
      </c>
      <c r="AS323" s="289">
        <f>IFERROR(IF(N(AS15)&lt;&gt;0,AS68/AS15,""),"")</f>
        <v>0.264079439161123</v>
      </c>
      <c r="AT323" s="289">
        <f>IFERROR(IF(N(AT15)&lt;&gt;0,AT68/AT15,""),"")</f>
        <v>0.264079439161123</v>
      </c>
      <c r="AU323" s="289">
        <f>IFERROR(IF(N(AU15)&lt;&gt;0,AU68/AU15,""),"")</f>
        <v>0.264079439161123</v>
      </c>
      <c r="AV323" s="290">
        <f>IFERROR(IF(N(AV15)&lt;&gt;0,AV68/AV15,""),"")</f>
        <v>0.264079439161123</v>
      </c>
      <c r="AW323" s="289">
        <f>IFERROR(IF(N(AW15)&lt;&gt;0,AW68/AW15,""),"")</f>
        <v>0.264079439161123</v>
      </c>
      <c r="AX323" s="289">
        <f>IFERROR(IF(N(AX15)&lt;&gt;0,AX68/AX15,""),"")</f>
        <v>0.264079439161123</v>
      </c>
      <c r="AY323" s="289">
        <f>IFERROR(IF(N(AY15)&lt;&gt;0,AY68/AY15,""),"")</f>
        <v>0.264079439161123</v>
      </c>
      <c r="AZ323" s="289">
        <f>IFERROR(IF(N(AZ15)&lt;&gt;0,AZ68/AZ15,""),"")</f>
        <v>0.264079439161123</v>
      </c>
      <c r="BA323" s="290">
        <f>IFERROR(IF(N(BA15)&lt;&gt;0,BA68/BA15,""),"")</f>
        <v>0.264079439161123</v>
      </c>
      <c r="BB323" s="289">
        <f>IFERROR(IF(N(BB15)&lt;&gt;0,BB68/BB15,""),"")</f>
        <v>0.264079439161123</v>
      </c>
      <c r="BC323" s="289">
        <f>IFERROR(IF(N(BC15)&lt;&gt;0,BC68/BC15,""),"")</f>
        <v>0.264079439161123</v>
      </c>
      <c r="BD323" s="289">
        <f>IFERROR(IF(N(BD15)&lt;&gt;0,BD68/BD15,""),"")</f>
        <v>0.264079439161123</v>
      </c>
      <c r="BE323" s="289">
        <f>IFERROR(IF(N(BE15)&lt;&gt;0,BE68/BE15,""),"")</f>
        <v>0.264079439161123</v>
      </c>
      <c r="BF323" s="290">
        <f>IFERROR(IF(N(BF15)&lt;&gt;0,BF68/BF15,""),"")</f>
        <v>0.264079439161123</v>
      </c>
      <c r="BG323" s="81" t="n"/>
      <c r="BH323" s="81" t="n"/>
      <c r="BI323" s="81" t="n"/>
      <c r="BJ323" s="81" t="n"/>
      <c r="BL323" s="81" t="n"/>
      <c r="BM323" s="81" t="n"/>
      <c r="BN323" s="81" t="n"/>
      <c r="BO323" s="81" t="n"/>
      <c r="BQ323" s="81" t="n"/>
      <c r="BR323" s="81" t="n"/>
      <c r="BS323" s="81" t="n"/>
      <c r="BT323" s="81" t="n"/>
      <c r="BV323" s="81" t="n"/>
      <c r="BW323" s="81" t="n"/>
      <c r="BX323" s="81" t="n"/>
      <c r="BY323" s="81" t="n"/>
      <c r="CA323" s="81" t="n"/>
      <c r="CB323" s="81" t="n"/>
      <c r="CC323" s="81" t="n"/>
      <c r="CD323" s="81" t="n"/>
      <c r="CF323" s="81" t="n"/>
      <c r="CG323" s="81" t="n"/>
      <c r="CH323" s="81" t="n"/>
      <c r="CI323" s="81" t="n"/>
      <c r="CK323" s="81" t="n"/>
      <c r="CL323" s="81" t="n"/>
      <c r="CM323" s="81" t="n"/>
      <c r="CN323" s="81" t="n"/>
      <c r="CP323" s="81" t="n"/>
      <c r="CQ323" s="81" t="n"/>
      <c r="CR323" s="81" t="n"/>
      <c r="CS323" s="81" t="n"/>
      <c r="CU323" s="81" t="n"/>
      <c r="CV323" s="81" t="n"/>
      <c r="CW323" s="81" t="n"/>
      <c r="CX323" s="81" t="n"/>
    </row>
    <row r="324" customFormat="1" s="77">
      <c r="A324" s="76" t="n"/>
      <c r="B324" s="76" t="n"/>
      <c r="C324" s="77" t="inlineStr">
        <is>
          <t>ETR</t>
        </is>
      </c>
      <c r="D324" s="78" t="n"/>
      <c r="E324" s="78" t="n"/>
      <c r="F324" s="78" t="n"/>
      <c r="G324" s="78" t="n"/>
      <c r="H324" s="290" t="str">
        <f>IFERROR(IF(N(H129)&lt;&gt;0,-H130/H129,""),"")</f>
        <v/>
      </c>
      <c r="I324" s="289">
        <f>IFERROR(IF(N(I129)&lt;&gt;0,-I130/I129,""),"")</f>
        <v>0.542670874224087</v>
      </c>
      <c r="J324" s="289">
        <f>IFERROR(IF(N(J129)&lt;&gt;0,-J130/J129,""),"")</f>
        <v>0.0761565988814365</v>
      </c>
      <c r="K324" s="289">
        <f>IFERROR(IF(N(K129)&lt;&gt;0,-K130/K129,""),"")</f>
        <v>0.42981335802438</v>
      </c>
      <c r="L324" s="289">
        <f>IFERROR(IF(N(L129)&lt;&gt;0,-L130/L129,""),"")</f>
        <v>0.451323251417769</v>
      </c>
      <c r="M324" s="290">
        <f>IFERROR(IF(N(M129)&lt;&gt;0,-M130/M129,""),"")</f>
        <v>0.511787278561558</v>
      </c>
      <c r="N324" s="289">
        <f>IFERROR(IF(N(N129)&lt;&gt;0,-N130/N129,""),"")</f>
        <v>-0.851357677902624</v>
      </c>
      <c r="O324" s="289">
        <f>IFERROR(IF(N(O129)&lt;&gt;0,-O130/O129,""),"")</f>
        <v>0.0370038542159714</v>
      </c>
      <c r="P324" s="289">
        <f>IFERROR(IF(N(P129)&lt;&gt;0,-P130/P129,""),"")</f>
        <v>0.384464379070258</v>
      </c>
      <c r="Q324" s="289">
        <f>IFERROR(IF(N(Q129)&lt;&gt;0,-Q130/Q129,""),"")</f>
        <v>0.0927352281767556</v>
      </c>
      <c r="R324" s="290">
        <f>IFERROR(IF(N(R129)&lt;&gt;0,-R130/R129,""),"")</f>
        <v>0.1282131029695</v>
      </c>
      <c r="S324" s="289">
        <f>IFERROR(IF(N(S129)&lt;&gt;0,-S130/S129,""),"")</f>
        <v>0.250198972849592</v>
      </c>
      <c r="T324" s="289">
        <f>IFERROR(IF(N(T129)&lt;&gt;0,-T130/T129,""),"")</f>
        <v>0.261659710454789</v>
      </c>
      <c r="U324" s="289">
        <f>IFERROR(IF(N(U129)&lt;&gt;0,-U130/U129,""),"")</f>
        <v>15.6436352783167</v>
      </c>
      <c r="V324" s="289">
        <f>IFERROR(IF(N(V129)&lt;&gt;0,-V130/V129,""),"")</f>
        <v>0.432679738562091</v>
      </c>
      <c r="W324" s="290">
        <f>IFERROR(IF(N(W129)&lt;&gt;0,-W130/W129,""),"")</f>
        <v>1.51272431631469</v>
      </c>
      <c r="X324" s="289">
        <f>IFERROR(IF(N(X129)&lt;&gt;0,-X130/X129,""),"")</f>
        <v>0.423221620554822</v>
      </c>
      <c r="Y324" s="289">
        <f>IFERROR(IF(N(Y129)&lt;&gt;0,-Y130/Y129,""),"")</f>
        <v>0.567427827869324</v>
      </c>
      <c r="Z324" s="289">
        <f>IFERROR(IF(N(Z129)&lt;&gt;0,-Z130/Z129,""),"")</f>
        <v>0.390267638505726</v>
      </c>
      <c r="AA324" s="289">
        <f>IFERROR(IF(N(AA129)&lt;&gt;0,-AA130/AA129,""),"")</f>
        <v>0.162557595195678</v>
      </c>
      <c r="AB324" s="290">
        <f>IFERROR(IF(N(AB129)&lt;&gt;0,-AB130/AB129,""),"")</f>
        <v>0.706316310053034</v>
      </c>
      <c r="AC324" s="289">
        <f>IFERROR(IF(N(AC129)&lt;&gt;0,-AC130/AC129,""),"")</f>
        <v>1.09693700429941</v>
      </c>
      <c r="AD324" s="289">
        <f>IFERROR(IF(N(AD129)&lt;&gt;0,-AD130/AD129,""),"")</f>
        <v>0.110356235781912</v>
      </c>
      <c r="AE324" s="289">
        <f>IFERROR(IF(N(AE129)&lt;&gt;0,-AE130/AE129,""),"")</f>
        <v>-0.0829247935027514</v>
      </c>
      <c r="AF324" s="289">
        <f>IFERROR(IF(N(AF129)&lt;&gt;0,-AF130/AF129,""),"")</f>
        <v>0.479244195095723</v>
      </c>
      <c r="AG324" s="290">
        <f>IFERROR(IF(N(AG129)&lt;&gt;0,-AG130/AG129,""),"")</f>
        <v>-1.36173919501425</v>
      </c>
      <c r="AH324" s="289">
        <f>IFERROR(IF(N(AH129)&lt;&gt;0,-AH130/AH129,""),"")</f>
        <v>0.11030789932139</v>
      </c>
      <c r="AI324" s="289">
        <f>IFERROR(IF(N(AI129)&lt;&gt;0,-AI130/AI129,""),"")</f>
        <v>-0.0822936647863874</v>
      </c>
      <c r="AJ324" s="289">
        <f>IFERROR(IF(N(AJ129)&lt;&gt;0,-AJ130/AJ129,""),"")</f>
        <v>0.271937812701549</v>
      </c>
      <c r="AK324" s="289">
        <f>IFERROR(IF(N(AK129)&lt;&gt;0,-AK130/AK129,""),"")</f>
        <v>0.271937812701549</v>
      </c>
      <c r="AL324" s="290">
        <f>IFERROR(IF(N(AL129)&lt;&gt;0,-AL130/AL129,""),"")</f>
        <v>0.0288297080049408</v>
      </c>
      <c r="AM324" s="289">
        <f>IFERROR(IF(N(AM129)&lt;&gt;0,-AM130/AM129,""),"")</f>
        <v>0.271937812701549</v>
      </c>
      <c r="AN324" s="289">
        <f>IFERROR(IF(N(AN129)&lt;&gt;0,-AN130/AN129,""),"")</f>
        <v>0.271937812701549</v>
      </c>
      <c r="AO324" s="289">
        <f>IFERROR(IF(N(AO129)&lt;&gt;0,-AO130/AO129,""),"")</f>
        <v>0.271937812701549</v>
      </c>
      <c r="AP324" s="289">
        <f>IFERROR(IF(N(AP129)&lt;&gt;0,-AP130/AP129,""),"")</f>
        <v>0.271937812701549</v>
      </c>
      <c r="AQ324" s="290">
        <f>IFERROR(IF(N(AQ129)&lt;&gt;0,-AQ130/AQ129,""),"")</f>
        <v>0.271937812701549</v>
      </c>
      <c r="AR324" s="289">
        <f>IFERROR(IF(N(AR129)&lt;&gt;0,-AR130/AR129,""),"")</f>
        <v>0.271937812701549</v>
      </c>
      <c r="AS324" s="289">
        <f>IFERROR(IF(N(AS129)&lt;&gt;0,-AS130/AS129,""),"")</f>
        <v>0.271937812701549</v>
      </c>
      <c r="AT324" s="289">
        <f>IFERROR(IF(N(AT129)&lt;&gt;0,-AT130/AT129,""),"")</f>
        <v>0.271937812701549</v>
      </c>
      <c r="AU324" s="289">
        <f>IFERROR(IF(N(AU129)&lt;&gt;0,-AU130/AU129,""),"")</f>
        <v>0.271937812701549</v>
      </c>
      <c r="AV324" s="290">
        <f>IFERROR(IF(N(AV129)&lt;&gt;0,-AV130/AV129,""),"")</f>
        <v>0.271937812701549</v>
      </c>
      <c r="AW324" s="289">
        <f>IFERROR(IF(N(AW129)&lt;&gt;0,-AW130/AW129,""),"")</f>
        <v>0.271937812701549</v>
      </c>
      <c r="AX324" s="289">
        <f>IFERROR(IF(N(AX129)&lt;&gt;0,-AX130/AX129,""),"")</f>
        <v>0.271937812701549</v>
      </c>
      <c r="AY324" s="289">
        <f>IFERROR(IF(N(AY129)&lt;&gt;0,-AY130/AY129,""),"")</f>
        <v>0.271937812701549</v>
      </c>
      <c r="AZ324" s="289">
        <f>IFERROR(IF(N(AZ129)&lt;&gt;0,-AZ130/AZ129,""),"")</f>
        <v>0.271937812701549</v>
      </c>
      <c r="BA324" s="290">
        <f>IFERROR(IF(N(BA129)&lt;&gt;0,-BA130/BA129,""),"")</f>
        <v>0.271937812701549</v>
      </c>
      <c r="BB324" s="289">
        <f>IFERROR(IF(N(BB129)&lt;&gt;0,-BB130/BB129,""),"")</f>
        <v>0.271937812701549</v>
      </c>
      <c r="BC324" s="289">
        <f>IFERROR(IF(N(BC129)&lt;&gt;0,-BC130/BC129,""),"")</f>
        <v>0.271937812701549</v>
      </c>
      <c r="BD324" s="289">
        <f>IFERROR(IF(N(BD129)&lt;&gt;0,-BD130/BD129,""),"")</f>
        <v>0.271937812701549</v>
      </c>
      <c r="BE324" s="289">
        <f>IFERROR(IF(N(BE129)&lt;&gt;0,-BE130/BE129,""),"")</f>
        <v>0.271937812701549</v>
      </c>
      <c r="BF324" s="290">
        <f>IFERROR(IF(N(BF129)&lt;&gt;0,-BF130/BF129,""),"")</f>
        <v>0.271937812701549</v>
      </c>
      <c r="BG324" s="81" t="n"/>
      <c r="BH324" s="81" t="n"/>
      <c r="BI324" s="81" t="n"/>
      <c r="BJ324" s="81" t="n"/>
      <c r="BL324" s="81" t="n"/>
      <c r="BM324" s="81" t="n"/>
      <c r="BN324" s="81" t="n"/>
      <c r="BO324" s="81" t="n"/>
      <c r="BQ324" s="81" t="n"/>
      <c r="BR324" s="81" t="n"/>
      <c r="BS324" s="81" t="n"/>
      <c r="BT324" s="81" t="n"/>
      <c r="BV324" s="81" t="n"/>
      <c r="BW324" s="81" t="n"/>
      <c r="BX324" s="81" t="n"/>
      <c r="BY324" s="81" t="n"/>
      <c r="CA324" s="81" t="n"/>
      <c r="CB324" s="81" t="n"/>
      <c r="CC324" s="81" t="n"/>
      <c r="CD324" s="81" t="n"/>
      <c r="CF324" s="81" t="n"/>
      <c r="CG324" s="81" t="n"/>
      <c r="CH324" s="81" t="n"/>
      <c r="CI324" s="81" t="n"/>
      <c r="CK324" s="81" t="n"/>
      <c r="CL324" s="81" t="n"/>
      <c r="CM324" s="81" t="n"/>
      <c r="CN324" s="81" t="n"/>
      <c r="CP324" s="81" t="n"/>
      <c r="CQ324" s="81" t="n"/>
      <c r="CR324" s="81" t="n"/>
      <c r="CS324" s="81" t="n"/>
      <c r="CU324" s="81" t="n"/>
      <c r="CV324" s="81" t="n"/>
      <c r="CW324" s="81" t="n"/>
      <c r="CX324" s="81" t="n"/>
    </row>
    <row r="325" customFormat="1" s="77">
      <c r="A325" s="76" t="n"/>
      <c r="B325" s="76" t="n"/>
    </row>
    <row r="326" customFormat="1" s="77">
      <c r="A326" s="76" t="n"/>
      <c r="B326" s="76" t="n"/>
      <c r="C326" s="74" t="inlineStr">
        <is>
          <t>CAPITAL STRUCTURE</t>
        </is>
      </c>
    </row>
    <row r="327" customFormat="1" s="77">
      <c r="A327" s="76" t="n"/>
      <c r="B327" s="76" t="n"/>
      <c r="C327" s="77" t="inlineStr">
        <is>
          <t>TOTAL DEBT / EQUITY (BOOK VALUE)</t>
        </is>
      </c>
      <c r="H327" s="297" t="str">
        <f>IFERROR(IF(N(H270)&lt;&gt;0,(N(H211)+N(H212)+N(H213)+N(H216)+N(H234)+N(H237))/H270,""),"")</f>
        <v/>
      </c>
      <c r="I327" s="297">
        <f>IFERROR(IF(N(I270)&lt;&gt;0,(N(I211)+N(I212)+N(I213)+N(I216)+N(I234)+N(I237))/I270,""),"")</f>
        <v>0.459829201254771</v>
      </c>
      <c r="J327" s="297">
        <f>IFERROR(IF(N(J270)&lt;&gt;0,(N(J211)+N(J212)+N(J213)+N(J216)+N(J234)+N(J237))/J270,""),"")</f>
        <v>0.450025183925714</v>
      </c>
      <c r="K327" s="297">
        <f>IFERROR(IF(N(K270)&lt;&gt;0,(N(K211)+N(K212)+N(K213)+N(K216)+N(K234)+N(K237))/K270,""),"")</f>
        <v>0.473275481337882</v>
      </c>
      <c r="L327" s="297">
        <f>IFERROR(IF(N(L270)&lt;&gt;0,(N(L211)+N(L212)+N(L213)+N(L216)+N(L234)+N(L237))/L270,""),"")</f>
        <v>0.521346839086654</v>
      </c>
      <c r="M327" s="297">
        <f>IFERROR(IF(N(M270)&lt;&gt;0,(N(M211)+N(M212)+N(M213)+N(M216)+N(M234)+N(M237))/M270,""),"")</f>
        <v>0.521346839086654</v>
      </c>
      <c r="N327" s="297">
        <f>IFERROR(IF(N(N270)&lt;&gt;0,(N(N211)+N(N212)+N(N213)+N(N216)+N(N234)+N(N237))/N270,""),"")</f>
        <v>0.377143723181644</v>
      </c>
      <c r="O327" s="297">
        <f>IFERROR(IF(N(O270)&lt;&gt;0,(N(O211)+N(O212)+N(O213)+N(O216)+N(O234)+N(O237))/O270,""),"")</f>
        <v>0.439140770779477</v>
      </c>
      <c r="P327" s="297">
        <f>IFERROR(IF(N(P270)&lt;&gt;0,(N(P211)+N(P212)+N(P213)+N(P216)+N(P234)+N(P237))/P270,""),"")</f>
        <v>0.448587922329338</v>
      </c>
      <c r="Q327" s="297">
        <f>IFERROR(IF(N(Q270)&lt;&gt;0,(N(Q211)+N(Q212)+N(Q213)+N(Q216)+N(Q234)+N(Q237))/Q270,""),"")</f>
        <v>0.385136757315474</v>
      </c>
      <c r="R327" s="297">
        <f>IFERROR(IF(N(R270)&lt;&gt;0,(N(R211)+N(R212)+N(R213)+N(R216)+N(R234)+N(R237))/R270,""),"")</f>
        <v>0.385136757315474</v>
      </c>
      <c r="S327" s="297">
        <f>IFERROR(IF(N(S270)&lt;&gt;0,(N(S211)+N(S212)+N(S213)+N(S216)+N(S234)+N(S237))/S270,""),"")</f>
        <v>0.39823855196667</v>
      </c>
      <c r="T327" s="297">
        <f>IFERROR(IF(N(T270)&lt;&gt;0,(N(T211)+N(T212)+N(T213)+N(T216)+N(T234)+N(T237))/T270,""),"")</f>
        <v>0.454983179315624</v>
      </c>
      <c r="U327" s="297">
        <f>IFERROR(IF(N(U270)&lt;&gt;0,(N(U211)+N(U212)+N(U213)+N(U216)+N(U234)+N(U237))/U270,""),"")</f>
        <v>0.444957027445138</v>
      </c>
      <c r="V327" s="297">
        <f>IFERROR(IF(N(V270)&lt;&gt;0,(N(V211)+N(V212)+N(V213)+N(V216)+N(V234)+N(V237))/V270,""),"")</f>
        <v>0.518925328602995</v>
      </c>
      <c r="W327" s="297">
        <f>IFERROR(IF(N(W270)&lt;&gt;0,(N(W211)+N(W212)+N(W213)+N(W216)+N(W234)+N(W237))/W270,""),"")</f>
        <v>0.518925328602995</v>
      </c>
      <c r="X327" s="297">
        <f>IFERROR(IF(N(X270)&lt;&gt;0,(N(X211)+N(X212)+N(X213)+N(X216)+N(X234)+N(X237))/X270,""),"")</f>
        <v>0.534913299952182</v>
      </c>
      <c r="Y327" s="297">
        <f>IFERROR(IF(N(Y270)&lt;&gt;0,(N(Y211)+N(Y212)+N(Y213)+N(Y216)+N(Y234)+N(Y237))/Y270,""),"")</f>
        <v>0.674733551951544</v>
      </c>
      <c r="Z327" s="297">
        <f>IFERROR(IF(N(Z270)&lt;&gt;0,(N(Z211)+N(Z212)+N(Z213)+N(Z216)+N(Z234)+N(Z237))/Z270,""),"")</f>
        <v>0.666099321656735</v>
      </c>
      <c r="AA327" s="297">
        <f>IFERROR(IF(N(AA270)&lt;&gt;0,(N(AA211)+N(AA212)+N(AA213)+N(AA216)+N(AA234)+N(AA237))/AA270,""),"")</f>
        <v>1.87907434976733</v>
      </c>
      <c r="AB327" s="297">
        <f>IFERROR(IF(N(AB270)&lt;&gt;0,(N(AB211)+N(AB212)+N(AB213)+N(AB216)+N(AB234)+N(AB237))/AB270,""),"")</f>
        <v>1.87907434976733</v>
      </c>
      <c r="AC327" s="297">
        <f>IFERROR(IF(N(AC270)&lt;&gt;0,(N(AC211)+N(AC212)+N(AC213)+N(AC216)+N(AC234)+N(AC237))/AC270,""),"")</f>
        <v>1.79451376757455</v>
      </c>
      <c r="AD327" s="297">
        <f>IFERROR(IF(N(AD270)&lt;&gt;0,(N(AD211)+N(AD212)+N(AD213)+N(AD216)+N(AD234)+N(AD237))/AD270,""),"")</f>
        <v>1.75422798837538</v>
      </c>
      <c r="AE327" s="297">
        <f>IFERROR(IF(N(AE270)&lt;&gt;0,(N(AE211)+N(AE212)+N(AE213)+N(AE216)+N(AE234)+N(AE237))/AE270,""),"")</f>
        <v>1.84269879948686</v>
      </c>
      <c r="AF327" s="297">
        <f>IFERROR(IF(N(AF270)&lt;&gt;0,(N(AF211)+N(AF212)+N(AF213)+N(AF216)+N(AF234)+N(AF237))/AF270,""),"")</f>
        <v>1.79197773606593</v>
      </c>
      <c r="AG327" s="297">
        <f>IFERROR(IF(N(AG270)&lt;&gt;0,(N(AG211)+N(AG212)+N(AG213)+N(AG216)+N(AG234)+N(AG237))/AG270,""),"")</f>
        <v>1.79197773606593</v>
      </c>
      <c r="AH327" s="297">
        <f>IFERROR(IF(N(AH270)&lt;&gt;0,(N(AH211)+N(AH212)+N(AH213)+N(AH216)+N(AH234)+N(AH237))/AH270,""),"")</f>
        <v>1.81787389700052</v>
      </c>
      <c r="AI327" s="297">
        <f>IFERROR(IF(N(AI270)&lt;&gt;0,(N(AI211)+N(AI212)+N(AI213)+N(AI216)+N(AI234)+N(AI237))/AI270,""),"")</f>
        <v>1.85481864838056</v>
      </c>
      <c r="AJ327" s="297">
        <f>IFERROR(IF(N(AJ270)&lt;&gt;0,(N(AJ211)+N(AJ212)+N(AJ213)+N(AJ216)+N(AJ234)+N(AJ237))/AJ270,""),"")</f>
        <v>1.84783141075407</v>
      </c>
      <c r="AK327" s="297">
        <f>IFERROR(IF(N(AK270)&lt;&gt;0,(N(AK211)+N(AK212)+N(AK213)+N(AK216)+N(AK234)+N(AK237))/AK270,""),"")</f>
        <v>1.83456849652265</v>
      </c>
      <c r="AL327" s="297">
        <f>IFERROR(IF(N(AL270)&lt;&gt;0,(N(AL211)+N(AL212)+N(AL213)+N(AL216)+N(AL234)+N(AL237))/AL270,""),"")</f>
        <v>1.83456849652265</v>
      </c>
      <c r="AM327" s="297">
        <f>IFERROR(IF(N(AM270)&lt;&gt;0,(N(AM211)+N(AM212)+N(AM213)+N(AM216)+N(AM234)+N(AM237))/AM270,""),"")</f>
        <v>1.83875915298117</v>
      </c>
      <c r="AN327" s="297">
        <f>IFERROR(IF(N(AN270)&lt;&gt;0,(N(AN211)+N(AN212)+N(AN213)+N(AN216)+N(AN234)+N(AN237))/AN270,""),"")</f>
        <v>1.84342742705592</v>
      </c>
      <c r="AO327" s="297">
        <f>IFERROR(IF(N(AO270)&lt;&gt;0,(N(AO211)+N(AO212)+N(AO213)+N(AO216)+N(AO234)+N(AO237))/AO270,""),"")</f>
        <v>1.82432040865552</v>
      </c>
      <c r="AP327" s="297">
        <f>IFERROR(IF(N(AP270)&lt;&gt;0,(N(AP211)+N(AP212)+N(AP213)+N(AP216)+N(AP234)+N(AP237))/AP270,""),"")</f>
        <v>1.79863609959192</v>
      </c>
      <c r="AQ327" s="297">
        <f>IFERROR(IF(N(AQ270)&lt;&gt;0,(N(AQ211)+N(AQ212)+N(AQ213)+N(AQ216)+N(AQ234)+N(AQ237))/AQ270,""),"")</f>
        <v>1.79863609959192</v>
      </c>
      <c r="AR327" s="297">
        <f>IFERROR(IF(N(AR270)&lt;&gt;0,(N(AR211)+N(AR212)+N(AR213)+N(AR216)+N(AR234)+N(AR237))/AR270,""),"")</f>
        <v>1.79278360778105</v>
      </c>
      <c r="AS327" s="297">
        <f>IFERROR(IF(N(AS270)&lt;&gt;0,(N(AS211)+N(AS212)+N(AS213)+N(AS216)+N(AS234)+N(AS237))/AS270,""),"")</f>
        <v>1.7874605444883</v>
      </c>
      <c r="AT327" s="297">
        <f>IFERROR(IF(N(AT270)&lt;&gt;0,(N(AT211)+N(AT212)+N(AT213)+N(AT216)+N(AT234)+N(AT237))/AT270,""),"")</f>
        <v>1.75696595367166</v>
      </c>
      <c r="AU327" s="297">
        <f>IFERROR(IF(N(AU270)&lt;&gt;0,(N(AU211)+N(AU212)+N(AU213)+N(AU216)+N(AU234)+N(AU237))/AU270,""),"")</f>
        <v>1.72022267897383</v>
      </c>
      <c r="AV327" s="297">
        <f>IFERROR(IF(N(AV270)&lt;&gt;0,(N(AV211)+N(AV212)+N(AV213)+N(AV216)+N(AV234)+N(AV237))/AV270,""),"")</f>
        <v>1.72022267897383</v>
      </c>
      <c r="AW327" s="297">
        <f>IFERROR(IF(N(AW270)&lt;&gt;0,(N(AW211)+N(AW212)+N(AW213)+N(AW216)+N(AW234)+N(AW237))/AW270,""),"")</f>
        <v>1.70503872201541</v>
      </c>
      <c r="AX327" s="297">
        <f>IFERROR(IF(N(AX270)&lt;&gt;0,(N(AX211)+N(AX212)+N(AX213)+N(AX216)+N(AX234)+N(AX237))/AX270,""),"")</f>
        <v>1.69061959175303</v>
      </c>
      <c r="AY327" s="297">
        <f>IFERROR(IF(N(AY270)&lt;&gt;0,(N(AY211)+N(AY212)+N(AY213)+N(AY216)+N(AY234)+N(AY237))/AY270,""),"")</f>
        <v>1.6511482027518</v>
      </c>
      <c r="AZ327" s="297">
        <f>IFERROR(IF(N(AZ270)&lt;&gt;0,(N(AZ211)+N(AZ212)+N(AZ213)+N(AZ216)+N(AZ234)+N(AZ237))/AZ270,""),"")</f>
        <v>1.60627801444359</v>
      </c>
      <c r="BA327" s="297">
        <f>IFERROR(IF(N(BA270)&lt;&gt;0,(N(BA211)+N(BA212)+N(BA213)+N(BA216)+N(BA234)+N(BA237))/BA270,""),"")</f>
        <v>1.60627801444359</v>
      </c>
      <c r="BB327" s="297">
        <f>IFERROR(IF(N(BB270)&lt;&gt;0,(N(BB211)+N(BB212)+N(BB213)+N(BB216)+N(BB234)+N(BB237))/BB270,""),"")</f>
        <v>1.58375770768423</v>
      </c>
      <c r="BC327" s="297">
        <f>IFERROR(IF(N(BC270)&lt;&gt;0,(N(BC211)+N(BC212)+N(BC213)+N(BC216)+N(BC234)+N(BC237))/BC270,""),"")</f>
        <v>1.56234192701422</v>
      </c>
      <c r="BD327" s="297">
        <f>IFERROR(IF(N(BD270)&lt;&gt;0,(N(BD211)+N(BD212)+N(BD213)+N(BD216)+N(BD234)+N(BD237))/BD270,""),"")</f>
        <v>1.51733982185918</v>
      </c>
      <c r="BE327" s="297">
        <f>IFERROR(IF(N(BE270)&lt;&gt;0,(N(BE211)+N(BE212)+N(BE213)+N(BE216)+N(BE234)+N(BE237))/BE270,""),"")</f>
        <v>1.46805902827531</v>
      </c>
      <c r="BF327" s="297">
        <f>IFERROR(IF(N(BF270)&lt;&gt;0,(N(BF211)+N(BF212)+N(BF213)+N(BF216)+N(BF234)+N(BF237))/BF270,""),"")</f>
        <v>1.46805902827531</v>
      </c>
    </row>
    <row r="328" customFormat="1" s="77">
      <c r="A328" s="76" t="n"/>
      <c r="B328" s="76" t="n"/>
      <c r="C328" s="77" t="inlineStr">
        <is>
          <t>NET DEBT / (NET DEBT + EQUITY) (BOOK VALUE)</t>
        </is>
      </c>
      <c r="H328" s="290" t="str">
        <f>IFERROR(IF(((N(H211)+N(H212)+N(H213)+N(H216)+N(H234)+N(H237))-N(H143)+N(H270))&lt;&gt;0,((N(H211)+N(H212)+N(H213)+N(H216)+N(H234)+N(H237))-N(H143))/((N(H211)+N(H212)+N(H213)+N(H216)+N(H234)+N(H237))-N(H143)+H270),""),"")</f>
        <v/>
      </c>
      <c r="I328" s="290">
        <f>IFERROR(IF(((N(I211)+N(I212)+N(I213)+N(I216)+N(I234)+N(I237))-N(I143)+N(I270))&lt;&gt;0,((N(I211)+N(I212)+N(I213)+N(I216)+N(I234)+N(I237))-N(I143))/((N(I211)+N(I212)+N(I213)+N(I216)+N(I234)+N(I237))-N(I143)+I270),""),"")</f>
        <v>0.231887631779777</v>
      </c>
      <c r="J328" s="290">
        <f>IFERROR(IF(((N(J211)+N(J212)+N(J213)+N(J216)+N(J234)+N(J237))-N(J143)+N(J270))&lt;&gt;0,((N(J211)+N(J212)+N(J213)+N(J216)+N(J234)+N(J237))-N(J143))/((N(J211)+N(J212)+N(J213)+N(J216)+N(J234)+N(J237))-N(J143)+J270),""),"")</f>
        <v>0.235969313289392</v>
      </c>
      <c r="K328" s="290">
        <f>IFERROR(IF(((N(K211)+N(K212)+N(K213)+N(K216)+N(K234)+N(K237))-N(K143)+N(K270))&lt;&gt;0,((N(K211)+N(K212)+N(K213)+N(K216)+N(K234)+N(K237))-N(K143))/((N(K211)+N(K212)+N(K213)+N(K216)+N(K234)+N(K237))-N(K143)+K270),""),"")</f>
        <v>0.244017137821748</v>
      </c>
      <c r="L328" s="290">
        <f>IFERROR(IF(((N(L211)+N(L212)+N(L213)+N(L216)+N(L234)+N(L237))-N(L143)+N(L270))&lt;&gt;0,((N(L211)+N(L212)+N(L213)+N(L216)+N(L234)+N(L237))-N(L143))/((N(L211)+N(L212)+N(L213)+N(L216)+N(L234)+N(L237))-N(L143)+L270),""),"")</f>
        <v>0.251693519849507</v>
      </c>
      <c r="M328" s="290">
        <f>IFERROR(IF(((N(M211)+N(M212)+N(M213)+N(M216)+N(M234)+N(M237))-N(M143)+N(M270))&lt;&gt;0,((N(M211)+N(M212)+N(M213)+N(M216)+N(M234)+N(M237))-N(M143))/((N(M211)+N(M212)+N(M213)+N(M216)+N(M234)+N(M237))-N(M143)+M270),""),"")</f>
        <v>0.251693519849507</v>
      </c>
      <c r="N328" s="290">
        <f>IFERROR(IF(((N(N211)+N(N212)+N(N213)+N(N216)+N(N234)+N(N237))-N(N143)+N(N270))&lt;&gt;0,((N(N211)+N(N212)+N(N213)+N(N216)+N(N234)+N(N237))-N(N143))/((N(N211)+N(N212)+N(N213)+N(N216)+N(N234)+N(N237))-N(N143)+N270),""),"")</f>
        <v>0.114714501250111</v>
      </c>
      <c r="O328" s="290">
        <f>IFERROR(IF(((N(O211)+N(O212)+N(O213)+N(O216)+N(O234)+N(O237))-N(O143)+N(O270))&lt;&gt;0,((N(O211)+N(O212)+N(O213)+N(O216)+N(O234)+N(O237))-N(O143))/((N(O211)+N(O212)+N(O213)+N(O216)+N(O234)+N(O237))-N(O143)+O270),""),"")</f>
        <v>0.14945510744706</v>
      </c>
      <c r="P328" s="290">
        <f>IFERROR(IF(((N(P211)+N(P212)+N(P213)+N(P216)+N(P234)+N(P237))-N(P143)+N(P270))&lt;&gt;0,((N(P211)+N(P212)+N(P213)+N(P216)+N(P234)+N(P237))-N(P143))/((N(P211)+N(P212)+N(P213)+N(P216)+N(P234)+N(P237))-N(P143)+P270),""),"")</f>
        <v>0.17911407637833</v>
      </c>
      <c r="Q328" s="290">
        <f>IFERROR(IF(((N(Q211)+N(Q212)+N(Q213)+N(Q216)+N(Q234)+N(Q237))-N(Q143)+N(Q270))&lt;&gt;0,((N(Q211)+N(Q212)+N(Q213)+N(Q216)+N(Q234)+N(Q237))-N(Q143))/((N(Q211)+N(Q212)+N(Q213)+N(Q216)+N(Q234)+N(Q237))-N(Q143)+Q270),""),"")</f>
        <v>0.147696229604645</v>
      </c>
      <c r="R328" s="290">
        <f>IFERROR(IF(((N(R211)+N(R212)+N(R213)+N(R216)+N(R234)+N(R237))-N(R143)+N(R270))&lt;&gt;0,((N(R211)+N(R212)+N(R213)+N(R216)+N(R234)+N(R237))-N(R143))/((N(R211)+N(R212)+N(R213)+N(R216)+N(R234)+N(R237))-N(R143)+R270),""),"")</f>
        <v>0.147696229604645</v>
      </c>
      <c r="S328" s="290">
        <f>IFERROR(IF(((N(S211)+N(S212)+N(S213)+N(S216)+N(S234)+N(S237))-N(S143)+N(S270))&lt;&gt;0,((N(S211)+N(S212)+N(S213)+N(S216)+N(S234)+N(S237))-N(S143))/((N(S211)+N(S212)+N(S213)+N(S216)+N(S234)+N(S237))-N(S143)+S270),""),"")</f>
        <v>0.151447787921012</v>
      </c>
      <c r="T328" s="290">
        <f>IFERROR(IF(((N(T211)+N(T212)+N(T213)+N(T216)+N(T234)+N(T237))-N(T143)+N(T270))&lt;&gt;0,((N(T211)+N(T212)+N(T213)+N(T216)+N(T234)+N(T237))-N(T143))/((N(T211)+N(T212)+N(T213)+N(T216)+N(T234)+N(T237))-N(T143)+T270),""),"")</f>
        <v>0.0290269545857153</v>
      </c>
      <c r="U328" s="290">
        <f>IFERROR(IF(((N(U211)+N(U212)+N(U213)+N(U216)+N(U234)+N(U237))-N(U143)+N(U270))&lt;&gt;0,((N(U211)+N(U212)+N(U213)+N(U216)+N(U234)+N(U237))-N(U143))/((N(U211)+N(U212)+N(U213)+N(U216)+N(U234)+N(U237))-N(U143)+U270),""),"")</f>
        <v>0.085651538437913</v>
      </c>
      <c r="V328" s="290">
        <f>IFERROR(IF(((N(V211)+N(V212)+N(V213)+N(V216)+N(V234)+N(V237))-N(V143)+N(V270))&lt;&gt;0,((N(V211)+N(V212)+N(V213)+N(V216)+N(V234)+N(V237))-N(V143))/((N(V211)+N(V212)+N(V213)+N(V216)+N(V234)+N(V237))-N(V143)+V270),""),"")</f>
        <v>0.204524023928811</v>
      </c>
      <c r="W328" s="290">
        <f>IFERROR(IF(((N(W211)+N(W212)+N(W213)+N(W216)+N(W234)+N(W237))-N(W143)+N(W270))&lt;&gt;0,((N(W211)+N(W212)+N(W213)+N(W216)+N(W234)+N(W237))-N(W143))/((N(W211)+N(W212)+N(W213)+N(W216)+N(W234)+N(W237))-N(W143)+W270),""),"")</f>
        <v>0.204524023928811</v>
      </c>
      <c r="X328" s="290">
        <f>IFERROR(IF(((N(X211)+N(X212)+N(X213)+N(X216)+N(X234)+N(X237))-N(X143)+N(X270))&lt;&gt;0,((N(X211)+N(X212)+N(X213)+N(X216)+N(X234)+N(X237))-N(X143))/((N(X211)+N(X212)+N(X213)+N(X216)+N(X234)+N(X237))-N(X143)+X270),""),"")</f>
        <v>0.219812560444195</v>
      </c>
      <c r="Y328" s="290">
        <f>IFERROR(IF(((N(Y211)+N(Y212)+N(Y213)+N(Y216)+N(Y234)+N(Y237))-N(Y143)+N(Y270))&lt;&gt;0,((N(Y211)+N(Y212)+N(Y213)+N(Y216)+N(Y234)+N(Y237))-N(Y143))/((N(Y211)+N(Y212)+N(Y213)+N(Y216)+N(Y234)+N(Y237))-N(Y143)+Y270),""),"")</f>
        <v>0.212218848204513</v>
      </c>
      <c r="Z328" s="290">
        <f>IFERROR(IF(((N(Z211)+N(Z212)+N(Z213)+N(Z216)+N(Z234)+N(Z237))-N(Z143)+N(Z270))&lt;&gt;0,((N(Z211)+N(Z212)+N(Z213)+N(Z216)+N(Z234)+N(Z237))-N(Z143))/((N(Z211)+N(Z212)+N(Z213)+N(Z216)+N(Z234)+N(Z237))-N(Z143)+Z270),""),"")</f>
        <v>0.197031872908978</v>
      </c>
      <c r="AA328" s="290">
        <f>IFERROR(IF(((N(AA211)+N(AA212)+N(AA213)+N(AA216)+N(AA234)+N(AA237))-N(AA143)+N(AA270))&lt;&gt;0,((N(AA211)+N(AA212)+N(AA213)+N(AA216)+N(AA234)+N(AA237))-N(AA143))/((N(AA211)+N(AA212)+N(AA213)+N(AA216)+N(AA234)+N(AA237))-N(AA143)+AA270),""),"")</f>
        <v>0.580137568768078</v>
      </c>
      <c r="AB328" s="290">
        <f>IFERROR(IF(((N(AB211)+N(AB212)+N(AB213)+N(AB216)+N(AB234)+N(AB237))-N(AB143)+N(AB270))&lt;&gt;0,((N(AB211)+N(AB212)+N(AB213)+N(AB216)+N(AB234)+N(AB237))-N(AB143))/((N(AB211)+N(AB212)+N(AB213)+N(AB216)+N(AB234)+N(AB237))-N(AB143)+AB270),""),"")</f>
        <v>0.580137568768078</v>
      </c>
      <c r="AC328" s="290">
        <f>IFERROR(IF(((N(AC211)+N(AC212)+N(AC213)+N(AC216)+N(AC234)+N(AC237))-N(AC143)+N(AC270))&lt;&gt;0,((N(AC211)+N(AC212)+N(AC213)+N(AC216)+N(AC234)+N(AC237))-N(AC143))/((N(AC211)+N(AC212)+N(AC213)+N(AC216)+N(AC234)+N(AC237))-N(AC143)+AC270),""),"")</f>
        <v>0.578381259132242</v>
      </c>
      <c r="AD328" s="290">
        <f>IFERROR(IF(((N(AD211)+N(AD212)+N(AD213)+N(AD216)+N(AD234)+N(AD237))-N(AD143)+N(AD270))&lt;&gt;0,((N(AD211)+N(AD212)+N(AD213)+N(AD216)+N(AD234)+N(AD237))-N(AD143))/((N(AD211)+N(AD212)+N(AD213)+N(AD216)+N(AD234)+N(AD237))-N(AD143)+AD270),""),"")</f>
        <v>0.583931854965745</v>
      </c>
      <c r="AE328" s="290">
        <f>IFERROR(IF(((N(AE211)+N(AE212)+N(AE213)+N(AE216)+N(AE234)+N(AE237))-N(AE143)+N(AE270))&lt;&gt;0,((N(AE211)+N(AE212)+N(AE213)+N(AE216)+N(AE234)+N(AE237))-N(AE143))/((N(AE211)+N(AE212)+N(AE213)+N(AE216)+N(AE234)+N(AE237))-N(AE143)+AE270),""),"")</f>
        <v>0.594896368177163</v>
      </c>
      <c r="AF328" s="290">
        <f>IFERROR(IF(((N(AF211)+N(AF212)+N(AF213)+N(AF216)+N(AF234)+N(AF237))-N(AF143)+N(AF270))&lt;&gt;0,((N(AF211)+N(AF212)+N(AF213)+N(AF216)+N(AF234)+N(AF237))-N(AF143))/((N(AF211)+N(AF212)+N(AF213)+N(AF216)+N(AF234)+N(AF237))-N(AF143)+AF270),""),"")</f>
        <v>0.595771000039791</v>
      </c>
      <c r="AG328" s="290">
        <f>IFERROR(IF(((N(AG211)+N(AG212)+N(AG213)+N(AG216)+N(AG234)+N(AG237))-N(AG143)+N(AG270))&lt;&gt;0,((N(AG211)+N(AG212)+N(AG213)+N(AG216)+N(AG234)+N(AG237))-N(AG143))/((N(AG211)+N(AG212)+N(AG213)+N(AG216)+N(AG234)+N(AG237))-N(AG143)+AG270),""),"")</f>
        <v>0.595771000039791</v>
      </c>
      <c r="AH328" s="290">
        <f>IFERROR(IF(((N(AH211)+N(AH212)+N(AH213)+N(AH216)+N(AH234)+N(AH237))-N(AH143)+N(AH270))&lt;&gt;0,((N(AH211)+N(AH212)+N(AH213)+N(AH216)+N(AH234)+N(AH237))-N(AH143))/((N(AH211)+N(AH212)+N(AH213)+N(AH216)+N(AH234)+N(AH237))-N(AH143)+AH270),""),"")</f>
        <v>0.607179661191678</v>
      </c>
      <c r="AI328" s="290">
        <f>IFERROR(IF(((N(AI211)+N(AI212)+N(AI213)+N(AI216)+N(AI234)+N(AI237))-N(AI143)+N(AI270))&lt;&gt;0,((N(AI211)+N(AI212)+N(AI213)+N(AI216)+N(AI234)+N(AI237))-N(AI143))/((N(AI211)+N(AI212)+N(AI213)+N(AI216)+N(AI234)+N(AI237))-N(AI143)+AI270),""),"")</f>
        <v>0.610817063069495</v>
      </c>
      <c r="AJ328" s="290">
        <f>IFERROR(IF(((N(AJ211)+N(AJ212)+N(AJ213)+N(AJ216)+N(AJ234)+N(AJ237))-N(AJ143)+N(AJ270))&lt;&gt;0,((N(AJ211)+N(AJ212)+N(AJ213)+N(AJ216)+N(AJ234)+N(AJ237))-N(AJ143))/((N(AJ211)+N(AJ212)+N(AJ213)+N(AJ216)+N(AJ234)+N(AJ237))-N(AJ143)+AJ270),""),"")</f>
        <v>0.607232255253574</v>
      </c>
      <c r="AK328" s="290">
        <f>IFERROR(IF(((N(AK211)+N(AK212)+N(AK213)+N(AK216)+N(AK234)+N(AK237))-N(AK143)+N(AK270))&lt;&gt;0,((N(AK211)+N(AK212)+N(AK213)+N(AK216)+N(AK234)+N(AK237))-N(AK143))/((N(AK211)+N(AK212)+N(AK213)+N(AK216)+N(AK234)+N(AK237))-N(AK143)+AK270),""),"")</f>
        <v>0.601423296255686</v>
      </c>
      <c r="AL328" s="290">
        <f>IFERROR(IF(((N(AL211)+N(AL212)+N(AL213)+N(AL216)+N(AL234)+N(AL237))-N(AL143)+N(AL270))&lt;&gt;0,((N(AL211)+N(AL212)+N(AL213)+N(AL216)+N(AL234)+N(AL237))-N(AL143))/((N(AL211)+N(AL212)+N(AL213)+N(AL216)+N(AL234)+N(AL237))-N(AL143)+AL270),""),"")</f>
        <v>0.601423296255686</v>
      </c>
      <c r="AM328" s="290">
        <f>IFERROR(IF(((N(AM211)+N(AM212)+N(AM213)+N(AM216)+N(AM234)+N(AM237))-N(AM143)+N(AM270))&lt;&gt;0,((N(AM211)+N(AM212)+N(AM213)+N(AM216)+N(AM234)+N(AM237))-N(AM143))/((N(AM211)+N(AM212)+N(AM213)+N(AM216)+N(AM234)+N(AM237))-N(AM143)+AM270),""),"")</f>
        <v>0.598760163153245</v>
      </c>
      <c r="AN328" s="290">
        <f>IFERROR(IF(((N(AN211)+N(AN212)+N(AN213)+N(AN216)+N(AN234)+N(AN237))-N(AN143)+N(AN270))&lt;&gt;0,((N(AN211)+N(AN212)+N(AN213)+N(AN216)+N(AN234)+N(AN237))-N(AN143))/((N(AN211)+N(AN212)+N(AN213)+N(AN216)+N(AN234)+N(AN237))-N(AN143)+AN270),""),"")</f>
        <v>0.596805832080632</v>
      </c>
      <c r="AO328" s="290">
        <f>IFERROR(IF(((N(AO211)+N(AO212)+N(AO213)+N(AO216)+N(AO234)+N(AO237))-N(AO143)+N(AO270))&lt;&gt;0,((N(AO211)+N(AO212)+N(AO213)+N(AO216)+N(AO234)+N(AO237))-N(AO143))/((N(AO211)+N(AO212)+N(AO213)+N(AO216)+N(AO234)+N(AO237))-N(AO143)+AO270),""),"")</f>
        <v>0.589762412669968</v>
      </c>
      <c r="AP328" s="290">
        <f>IFERROR(IF(((N(AP211)+N(AP212)+N(AP213)+N(AP216)+N(AP234)+N(AP237))-N(AP143)+N(AP270))&lt;&gt;0,((N(AP211)+N(AP212)+N(AP213)+N(AP216)+N(AP234)+N(AP237))-N(AP143))/((N(AP211)+N(AP212)+N(AP213)+N(AP216)+N(AP234)+N(AP237))-N(AP143)+AP270),""),"")</f>
        <v>0.579698519604067</v>
      </c>
      <c r="AQ328" s="290">
        <f>IFERROR(IF(((N(AQ211)+N(AQ212)+N(AQ213)+N(AQ216)+N(AQ234)+N(AQ237))-N(AQ143)+N(AQ270))&lt;&gt;0,((N(AQ211)+N(AQ212)+N(AQ213)+N(AQ216)+N(AQ234)+N(AQ237))-N(AQ143))/((N(AQ211)+N(AQ212)+N(AQ213)+N(AQ216)+N(AQ234)+N(AQ237))-N(AQ143)+AQ270),""),"")</f>
        <v>0.579698519604067</v>
      </c>
      <c r="AR328" s="290">
        <f>IFERROR(IF(((N(AR211)+N(AR212)+N(AR213)+N(AR216)+N(AR234)+N(AR237))-N(AR143)+N(AR270))&lt;&gt;0,((N(AR211)+N(AR212)+N(AR213)+N(AR216)+N(AR234)+N(AR237))-N(AR143))/((N(AR211)+N(AR212)+N(AR213)+N(AR216)+N(AR234)+N(AR237))-N(AR143)+AR270),""),"")</f>
        <v>0.57323864333635</v>
      </c>
      <c r="AS328" s="290">
        <f>IFERROR(IF(((N(AS211)+N(AS212)+N(AS213)+N(AS216)+N(AS234)+N(AS237))-N(AS143)+N(AS270))&lt;&gt;0,((N(AS211)+N(AS212)+N(AS213)+N(AS216)+N(AS234)+N(AS237))-N(AS143))/((N(AS211)+N(AS212)+N(AS213)+N(AS216)+N(AS234)+N(AS237))-N(AS143)+AS270),""),"")</f>
        <v>0.567653596841452</v>
      </c>
      <c r="AT328" s="290">
        <f>IFERROR(IF(((N(AT211)+N(AT212)+N(AT213)+N(AT216)+N(AT234)+N(AT237))-N(AT143)+N(AT270))&lt;&gt;0,((N(AT211)+N(AT212)+N(AT213)+N(AT216)+N(AT234)+N(AT237))-N(AT143))/((N(AT211)+N(AT212)+N(AT213)+N(AT216)+N(AT234)+N(AT237))-N(AT143)+AT270),""),"")</f>
        <v>0.555839432352084</v>
      </c>
      <c r="AU328" s="290">
        <f>IFERROR(IF(((N(AU211)+N(AU212)+N(AU213)+N(AU216)+N(AU234)+N(AU237))-N(AU143)+N(AU270))&lt;&gt;0,((N(AU211)+N(AU212)+N(AU213)+N(AU216)+N(AU234)+N(AU237))-N(AU143))/((N(AU211)+N(AU212)+N(AU213)+N(AU216)+N(AU234)+N(AU237))-N(AU143)+AU270),""),"")</f>
        <v>0.540082069611428</v>
      </c>
      <c r="AV328" s="290">
        <f>IFERROR(IF(((N(AV211)+N(AV212)+N(AV213)+N(AV216)+N(AV234)+N(AV237))-N(AV143)+N(AV270))&lt;&gt;0,((N(AV211)+N(AV212)+N(AV213)+N(AV216)+N(AV234)+N(AV237))-N(AV143))/((N(AV211)+N(AV212)+N(AV213)+N(AV216)+N(AV234)+N(AV237))-N(AV143)+AV270),""),"")</f>
        <v>0.540082069611428</v>
      </c>
      <c r="AW328" s="290">
        <f>IFERROR(IF(((N(AW211)+N(AW212)+N(AW213)+N(AW216)+N(AW234)+N(AW237))-N(AW143)+N(AW270))&lt;&gt;0,((N(AW211)+N(AW212)+N(AW213)+N(AW216)+N(AW234)+N(AW237))-N(AW143))/((N(AW211)+N(AW212)+N(AW213)+N(AW216)+N(AW234)+N(AW237))-N(AW143)+AW270),""),"")</f>
        <v>0.528449067285833</v>
      </c>
      <c r="AX328" s="290">
        <f>IFERROR(IF(((N(AX211)+N(AX212)+N(AX213)+N(AX216)+N(AX234)+N(AX237))-N(AX143)+N(AX270))&lt;&gt;0,((N(AX211)+N(AX212)+N(AX213)+N(AX216)+N(AX234)+N(AX237))-N(AX143))/((N(AX211)+N(AX212)+N(AX213)+N(AX216)+N(AX234)+N(AX237))-N(AX143)+AX270),""),"")</f>
        <v>0.517585027807998</v>
      </c>
      <c r="AY328" s="290">
        <f>IFERROR(IF(((N(AY211)+N(AY212)+N(AY213)+N(AY216)+N(AY234)+N(AY237))-N(AY143)+N(AY270))&lt;&gt;0,((N(AY211)+N(AY212)+N(AY213)+N(AY216)+N(AY234)+N(AY237))-N(AY143))/((N(AY211)+N(AY212)+N(AY213)+N(AY216)+N(AY234)+N(AY237))-N(AY143)+AY270),""),"")</f>
        <v>0.499028085788119</v>
      </c>
      <c r="AZ328" s="290">
        <f>IFERROR(IF(((N(AZ211)+N(AZ212)+N(AZ213)+N(AZ216)+N(AZ234)+N(AZ237))-N(AZ143)+N(AZ270))&lt;&gt;0,((N(AZ211)+N(AZ212)+N(AZ213)+N(AZ216)+N(AZ234)+N(AZ237))-N(AZ143))/((N(AZ211)+N(AZ212)+N(AZ213)+N(AZ216)+N(AZ234)+N(AZ237))-N(AZ143)+AZ270),""),"")</f>
        <v>0.475005454143096</v>
      </c>
      <c r="BA328" s="290">
        <f>IFERROR(IF(((N(BA211)+N(BA212)+N(BA213)+N(BA216)+N(BA234)+N(BA237))-N(BA143)+N(BA270))&lt;&gt;0,((N(BA211)+N(BA212)+N(BA213)+N(BA216)+N(BA234)+N(BA237))-N(BA143))/((N(BA211)+N(BA212)+N(BA213)+N(BA216)+N(BA234)+N(BA237))-N(BA143)+BA270),""),"")</f>
        <v>0.475005454143096</v>
      </c>
      <c r="BB328" s="290">
        <f>IFERROR(IF(((N(BB211)+N(BB212)+N(BB213)+N(BB216)+N(BB234)+N(BB237))-N(BB143)+N(BB270))&lt;&gt;0,((N(BB211)+N(BB212)+N(BB213)+N(BB216)+N(BB234)+N(BB237))-N(BB143))/((N(BB211)+N(BB212)+N(BB213)+N(BB216)+N(BB234)+N(BB237))-N(BB143)+BB270),""),"")</f>
        <v>0.455393959733355</v>
      </c>
      <c r="BC328" s="290">
        <f>IFERROR(IF(((N(BC211)+N(BC212)+N(BC213)+N(BC216)+N(BC234)+N(BC237))-N(BC143)+N(BC270))&lt;&gt;0,((N(BC211)+N(BC212)+N(BC213)+N(BC216)+N(BC234)+N(BC237))-N(BC143))/((N(BC211)+N(BC212)+N(BC213)+N(BC216)+N(BC234)+N(BC237))-N(BC143)+BC270),""),"")</f>
        <v>0.436345161124732</v>
      </c>
      <c r="BD328" s="290">
        <f>IFERROR(IF(((N(BD211)+N(BD212)+N(BD213)+N(BD216)+N(BD234)+N(BD237))-N(BD143)+N(BD270))&lt;&gt;0,((N(BD211)+N(BD212)+N(BD213)+N(BD216)+N(BD234)+N(BD237))-N(BD143))/((N(BD211)+N(BD212)+N(BD213)+N(BD216)+N(BD234)+N(BD237))-N(BD143)+BD270),""),"")</f>
        <v>0.407234721003972</v>
      </c>
      <c r="BE328" s="290">
        <f>IFERROR(IF(((N(BE211)+N(BE212)+N(BE213)+N(BE216)+N(BE234)+N(BE237))-N(BE143)+N(BE270))&lt;&gt;0,((N(BE211)+N(BE212)+N(BE213)+N(BE216)+N(BE234)+N(BE237))-N(BE143))/((N(BE211)+N(BE212)+N(BE213)+N(BE216)+N(BE234)+N(BE237))-N(BE143)+BE270),""),"")</f>
        <v>0.369833233579431</v>
      </c>
      <c r="BF328" s="290">
        <f>IFERROR(IF(((N(BF211)+N(BF212)+N(BF213)+N(BF216)+N(BF234)+N(BF237))-N(BF143)+N(BF270))&lt;&gt;0,((N(BF211)+N(BF212)+N(BF213)+N(BF216)+N(BF234)+N(BF237))-N(BF143))/((N(BF211)+N(BF212)+N(BF213)+N(BF216)+N(BF234)+N(BF237))-N(BF143)+BF270),""),"")</f>
        <v>0.369833233579431</v>
      </c>
    </row>
    <row r="329" customFormat="1" s="77">
      <c r="A329" s="76" t="n"/>
      <c r="B329" s="76" t="n"/>
    </row>
    <row r="330" customFormat="1" s="77">
      <c r="A330" s="76" t="n"/>
      <c r="B330" s="76" t="n"/>
      <c r="C330" s="74" t="inlineStr">
        <is>
          <t>FINANCIAL RISK RATIOS</t>
        </is>
      </c>
    </row>
    <row r="331" customFormat="1" s="77">
      <c r="A331" s="76" t="n"/>
      <c r="B331" s="76" t="n"/>
      <c r="C331" s="77" t="inlineStr">
        <is>
          <t>EBITDA / TOTAL INTEREST (LTM)</t>
        </is>
      </c>
      <c r="D331" s="82" t="n"/>
      <c r="E331" s="82" t="n"/>
      <c r="F331" s="82" t="n"/>
      <c r="G331" s="82" t="n"/>
      <c r="H331" s="297" t="str">
        <f>IFERROR(IF(AND(COUNT(H68)=1,(H73)&lt;&gt;0),(H68)/-(H73),""),"")</f>
        <v/>
      </c>
      <c r="I331" s="297" t="str">
        <f>""</f>
        <v/>
      </c>
      <c r="J331" s="297" t="str">
        <f>""</f>
        <v/>
      </c>
      <c r="K331" s="297" t="str">
        <f>""</f>
        <v/>
      </c>
      <c r="L331" s="297">
        <f>IFERROR(IF(AND(COUNT(I68,J68,K68,L68)=4,(I73+J73+K73+L73)&lt;&gt;0),(I68+J68+K68+L68)/-(I73+J73+K73+L73),""),"")</f>
        <v>2.20048203140747</v>
      </c>
      <c r="M331" s="297">
        <f>IFERROR(IF(AND(COUNT(I68,J68,K68,L68)=4,(I73+J73+K73+L73)&lt;&gt;0),(I68+J68+K68+L68)/-(I73+J73+K73+L73),""),"")</f>
        <v>2.20048203140747</v>
      </c>
      <c r="N331" s="297">
        <f>IFERROR(IF(AND(COUNT(J68,K68,L68,N68)=4,(J73+K73+L73+N73)&lt;&gt;0),(J68+K68+L68+N68)/-(J73+K73+L73+N73),""),"")</f>
        <v>1.91632407774914</v>
      </c>
      <c r="O331" s="297">
        <f>IFERROR(IF(AND(COUNT(K68,L68,N68,O68)=4,(K73+L73+N73+O73)&lt;&gt;0),(K68+L68+N68+O68)/-(K73+L73+N73+O73),""),"")</f>
        <v>1.8122455306821</v>
      </c>
      <c r="P331" s="297">
        <f>IFERROR(IF(AND(COUNT(L68,N68,O68,P68)=4,(L73+N73+O73+P73)&lt;&gt;0),(L68+N68+O68+P68)/-(L73+N73+O73+P73),""),"")</f>
        <v>1.49623149152653</v>
      </c>
      <c r="Q331" s="297">
        <f>IFERROR(IF(AND(COUNT(N68,O68,P68,Q68)=4,(N73+O73+P73+Q73)&lt;&gt;0),(N68+O68+P68+Q68)/-(N73+O73+P73+Q73),""),"")</f>
        <v>1.57921262037485</v>
      </c>
      <c r="R331" s="297">
        <f>IFERROR(IF(AND(COUNT(N68,O68,P68,Q68)=4,(N73+O73+P73+Q73)&lt;&gt;0),(N68+O68+P68+Q68)/-(N73+O73+P73+Q73),""),"")</f>
        <v>1.57921262037485</v>
      </c>
      <c r="S331" s="297">
        <f>IFERROR(IF(AND(COUNT(O68,P68,Q68,S68)=4,(O73+P73+Q73+S73)&lt;&gt;0),(O68+P68+Q68+S68)/-(O73+P73+Q73+S73),""),"")</f>
        <v>1.67372191740349</v>
      </c>
      <c r="T331" s="297">
        <f>IFERROR(IF(AND(COUNT(P68,Q68,S68,T68)=4,(P73+Q73+S73+T73)&lt;&gt;0),(P68+Q68+S68+T68)/-(P73+Q73+S73+T73),""),"")</f>
        <v>1.5477372551728</v>
      </c>
      <c r="U331" s="297">
        <f>IFERROR(IF(AND(COUNT(Q68,S68,T68,U68)=4,(Q73+S73+T73+U73)&lt;&gt;0),(Q68+S68+T68+U68)/-(Q73+S73+T73+U73),""),"")</f>
        <v>1.4097724164876</v>
      </c>
      <c r="V331" s="297">
        <f>IFERROR(IF(AND(COUNT(S68,T68,U68,V68)=4,(S73+T73+U73+V73)&lt;&gt;0),(S68+T68+U68+V68)/-(S73+T73+U73+V73),""),"")</f>
        <v>1.4226904387007</v>
      </c>
      <c r="W331" s="297">
        <f>IFERROR(IF(AND(COUNT(S68,T68,U68,V68)=4,(S73+T73+U73+V73)&lt;&gt;0),(S68+T68+U68+V68)/-(S73+T73+U73+V73),""),"")</f>
        <v>1.4226904387007</v>
      </c>
      <c r="X331" s="297">
        <f>IFERROR(IF(AND(COUNT(T68,U68,V68,X68)=4,(T73+U73+V73+X73)&lt;&gt;0),(T68+U68+V68+X68)/-(T73+U73+V73+X73),""),"")</f>
        <v>1.56549585696119</v>
      </c>
      <c r="Y331" s="297">
        <f>IFERROR(IF(AND(COUNT(U68,V68,X68,Y68)=4,(U73+V73+X73+Y73)&lt;&gt;0),(U68+V68+X68+Y68)/-(U73+V73+X73+Y73),""),"")</f>
        <v>1.91053956706097</v>
      </c>
      <c r="Z331" s="297">
        <f>IFERROR(IF(AND(COUNT(V68,X68,Y68,Z68)=4,(V73+X73+Y73+Z73)&lt;&gt;0),(V68+X68+Y68+Z68)/-(V73+X73+Y73+Z73),""),"")</f>
        <v>2.10506755472739</v>
      </c>
      <c r="AA331" s="297">
        <f>IFERROR(IF(AND(COUNT(X68,Y68,Z68,AA68)=4,(X73+Y73+Z73+AA73)&lt;&gt;0),(X68+Y68+Z68+AA68)/-(X73+Y73+Z73+AA73),""),"")</f>
        <v>1.24678037013126</v>
      </c>
      <c r="AB331" s="297">
        <f>IFERROR(IF(AND(COUNT(X68,Y68,Z68,AA68)=4,(X73+Y73+Z73+AA73)&lt;&gt;0),(X68+Y68+Z68+AA68)/-(X73+Y73+Z73+AA73),""),"")</f>
        <v>1.24678037013126</v>
      </c>
      <c r="AC331" s="297">
        <f>IFERROR(IF(AND(COUNT(Y68,Z68,AA68,AC68)=4,(Y73+Z73+AA73+AC73)&lt;&gt;0),(Y68+Z68+AA68+AC68)/-(Y73+Z73+AA73+AC73),""),"")</f>
        <v>1.17616922451491</v>
      </c>
      <c r="AD331" s="297">
        <f>IFERROR(IF(AND(COUNT(Z68,AA68,AC68,AD68)=4,(Z73+AA73+AC73+AD73)&lt;&gt;0),(Z68+AA68+AC68+AD68)/-(Z73+AA73+AC73+AD73),""),"")</f>
        <v>0.960557284211509</v>
      </c>
      <c r="AE331" s="297">
        <f>IFERROR(IF(AND(COUNT(AA68,AC68,AD68,AE68)=4,(AA73+AC73+AD73+AE73)&lt;&gt;0),(AA68+AC68+AD68+AE68)/-(AA73+AC73+AD73+AE73),""),"")</f>
        <v>0.796422745046136</v>
      </c>
      <c r="AF331" s="297">
        <f>IFERROR(IF(AND(COUNT(AC68,AD68,AE68,AF68)=4,(AC73+AD73+AE73+AF73)&lt;&gt;0),(AC68+AD68+AE68+AF68)/-(AC73+AD73+AE73+AF73),""),"")</f>
        <v>1.13893985366192</v>
      </c>
      <c r="AG331" s="297">
        <f>IFERROR(IF(AND(COUNT(AC68,AD68,AE68,AF68)=4,(AC73+AD73+AE73+AF73)&lt;&gt;0),(AC68+AD68+AE68+AF68)/-(AC73+AD73+AE73+AF73),""),"")</f>
        <v>1.13893985366192</v>
      </c>
      <c r="AH331" s="297">
        <f>IFERROR(IF(AND(COUNT(AD68,AE68,AF68,AH68)=4,(AD73+AE73+AF73+AH73)&lt;&gt;0),(AD68+AE68+AF68+AH68)/-(AD73+AE73+AF73+AH73),""),"")</f>
        <v>0.869430243200068</v>
      </c>
      <c r="AI331" s="297">
        <f>IFERROR(IF(AND(COUNT(AE68,AF68,AH68,AI68)=4,(AE73+AF73+AH73+AI73)&lt;&gt;0),(AE68+AF68+AH68+AI68)/-(AE73+AF73+AH73+AI73),""),"")</f>
        <v>0.918311027552139</v>
      </c>
      <c r="AJ331" s="297">
        <f>IFERROR(IF(AND(COUNT(AF68,AH68,AI68,AJ68)=4,(AF73+AH73+AI73+AJ73)&lt;&gt;0),(AF68+AH68+AI68+AJ68)/-(AF73+AH73+AI73+AJ73),""),"")</f>
        <v>1.051632890932</v>
      </c>
      <c r="AK331" s="297">
        <f>IFERROR(IF(AND(COUNT(AH68,AI68,AJ68,AK68)=4,(AH73+AI73+AJ73+AK73)&lt;&gt;0),(AH68+AI68+AJ68+AK68)/-(AH73+AI73+AJ73+AK73),""),"")</f>
        <v>0.951835671194554</v>
      </c>
      <c r="AL331" s="297">
        <f>IFERROR(IF(AND(COUNT(AH68,AI68,AJ68,AK68)=4,(AH73+AI73+AJ73+AK73)&lt;&gt;0),(AH68+AI68+AJ68+AK68)/-(AH73+AI73+AJ73+AK73),""),"")</f>
        <v>0.951835671194554</v>
      </c>
      <c r="AM331" s="297">
        <f>IFERROR(IF(AND(COUNT(AI68,AJ68,AK68,AM68)=4,(AI73+AJ73+AK73+AM73)&lt;&gt;0),(AI68+AJ68+AK68+AM68)/-(AI73+AJ73+AK73+AM73),""),"")</f>
        <v>1.15181389686925</v>
      </c>
      <c r="AN331" s="297">
        <f>IFERROR(IF(AND(COUNT(AJ68,AK68,AM68,AN68)=4,(AJ73+AK73+AM73+AN73)&lt;&gt;0),(AJ68+AK68+AM68+AN68)/-(AJ73+AK73+AM73+AN73),""),"")</f>
        <v>1.26241499112849</v>
      </c>
      <c r="AO331" s="297">
        <f>IFERROR(IF(AND(COUNT(AK68,AM68,AN68,AO68)=4,(AK73+AM73+AN73+AO73)&lt;&gt;0),(AK68+AM68+AN68+AO68)/-(AK73+AM73+AN73+AO73),""),"")</f>
        <v>1.31058270465642</v>
      </c>
      <c r="AP331" s="297">
        <f>IFERROR(IF(AND(COUNT(AM68,AN68,AO68,AP68)=4,(AM73+AN73+AO73+AP73)&lt;&gt;0),(AM68+AN68+AO68+AP68)/-(AM73+AN73+AO73+AP73),""),"")</f>
        <v>1.36234983850812</v>
      </c>
      <c r="AQ331" s="297">
        <f>IFERROR(IF(AND(COUNT(AM68,AN68,AO68,AP68)=4,(AM73+AN73+AO73+AP73)&lt;&gt;0),(AM68+AN68+AO68+AP68)/-(AM73+AN73+AO73+AP73),""),"")</f>
        <v>1.36234983850812</v>
      </c>
      <c r="AR331" s="297">
        <f>IFERROR(IF(AND(COUNT(AN68,AO68,AP68,AR68)=4,(AN73+AO73+AP73+AR73)&lt;&gt;0),(AN68+AO68+AP68+AR68)/-(AN73+AO73+AP73+AR73),""),"")</f>
        <v>1.40277413972725</v>
      </c>
      <c r="AS331" s="297">
        <f>IFERROR(IF(AND(COUNT(AO68,AP68,AR68,AS68)=4,(AO73+AP73+AR73+AS73)&lt;&gt;0),(AO68+AP68+AR68+AS68)/-(AO73+AP73+AR73+AS73),""),"")</f>
        <v>1.44294815366782</v>
      </c>
      <c r="AT331" s="297">
        <f>IFERROR(IF(AND(COUNT(AP68,AR68,AS68,AT68)=4,(AP73+AR73+AS73+AT73)&lt;&gt;0),(AP68+AR68+AS68+AT68)/-(AP73+AR73+AS73+AT73),""),"")</f>
        <v>1.4962151853996</v>
      </c>
      <c r="AU331" s="297">
        <f>IFERROR(IF(AND(COUNT(AR68,AS68,AT68,AU68)=4,(AR73+AS73+AT73+AU73)&lt;&gt;0),(AR68+AS68+AT68+AU68)/-(AR73+AS73+AT73+AU73),""),"")</f>
        <v>1.55346269331677</v>
      </c>
      <c r="AV331" s="297">
        <f>IFERROR(IF(AND(COUNT(AR68,AS68,AT68,AU68)=4,(AR73+AS73+AT73+AU73)&lt;&gt;0),(AR68+AS68+AT68+AU68)/-(AR73+AS73+AT73+AU73),""),"")</f>
        <v>1.55346269331677</v>
      </c>
      <c r="AW331" s="297">
        <f>IFERROR(IF(AND(COUNT(AS68,AT68,AU68,AW68)=4,(AS73+AT73+AU73+AW73)&lt;&gt;0),(AS68+AT68+AU68+AW68)/-(AS73+AT73+AU73+AW73),""),"")</f>
        <v>1.59791484068035</v>
      </c>
      <c r="AX331" s="297">
        <f>IFERROR(IF(AND(COUNT(AT68,AU68,AW68,AX68)=4,(AT73+AU73+AW73+AX73)&lt;&gt;0),(AT68+AU68+AW68+AX68)/-(AT73+AU73+AW73+AX73),""),"")</f>
        <v>1.64209176233428</v>
      </c>
      <c r="AY331" s="297">
        <f>IFERROR(IF(AND(COUNT(AU68,AW68,AX68,AY68)=4,(AU73+AW73+AX73+AY73)&lt;&gt;0),(AU68+AW68+AX68+AY68)/-(AU73+AW73+AX73+AY73),""),"")</f>
        <v>1.70066627995737</v>
      </c>
      <c r="AZ331" s="297">
        <f>IFERROR(IF(AND(COUNT(AW68,AX68,AY68,AZ68)=4,(AW73+AX73+AY73+AZ73)&lt;&gt;0),(AW68+AX68+AY68+AZ68)/-(AW73+AX73+AY73+AZ73),""),"")</f>
        <v>1.76361788533792</v>
      </c>
      <c r="BA331" s="297">
        <f>IFERROR(IF(AND(COUNT(AW68,AX68,AY68,AZ68)=4,(AW73+AX73+AY73+AZ73)&lt;&gt;0),(AW68+AX68+AY68+AZ68)/-(AW73+AX73+AY73+AZ73),""),"")</f>
        <v>1.76361788533792</v>
      </c>
      <c r="BB331" s="297">
        <f>IFERROR(IF(AND(COUNT(AX68,AY68,AZ68,BB68)=4,(AX73+AY73+AZ73+BB73)&lt;&gt;0),(AX68+AY68+AZ68+BB68)/-(AX73+AY73+AZ73+BB73),""),"")</f>
        <v>1.8122183907827</v>
      </c>
      <c r="BC331" s="297">
        <f>IFERROR(IF(AND(COUNT(AY68,AZ68,BB68,BC68)=4,(AY73+AZ73+BB73+BC73)&lt;&gt;0),(AY68+AZ68+BB68+BC68)/-(AY73+AZ73+BB73+BC73),""),"")</f>
        <v>1.86051798593644</v>
      </c>
      <c r="BD331" s="297">
        <f>IFERROR(IF(AND(COUNT(AZ68,BB68,BC68,BD68)=4,(AZ73+BB73+BC73+BD73)&lt;&gt;0),(AZ68+BB68+BC68+BD68)/-(AZ73+BB73+BC73+BD73),""),"")</f>
        <v>1.92455878782126</v>
      </c>
      <c r="BE331" s="297">
        <f>IFERROR(IF(AND(COUNT(BB68,BC68,BD68,BE68)=4,(BB73+BC73+BD73+BE73)&lt;&gt;0),(BB68+BC68+BD68+BE68)/-(BB73+BC73+BD73+BE73),""),"")</f>
        <v>1.99338515553374</v>
      </c>
      <c r="BF331" s="297">
        <f>IFERROR(IF(AND(COUNT(BB68,BC68,BD68,BE68)=4,(BB73+BC73+BD73+BE73)&lt;&gt;0),(BB68+BC68+BD68+BE68)/-(BB73+BC73+BD73+BE73),""),"")</f>
        <v>1.99338515553374</v>
      </c>
      <c r="BG331" s="82" t="n"/>
      <c r="BH331" s="82" t="n"/>
      <c r="BI331" s="82" t="n"/>
      <c r="BJ331" s="82" t="n"/>
      <c r="BL331" s="82" t="n"/>
      <c r="BM331" s="82" t="n"/>
      <c r="BN331" s="82" t="n"/>
      <c r="BO331" s="82" t="n"/>
      <c r="BQ331" s="82" t="n"/>
      <c r="BR331" s="82" t="n"/>
      <c r="BS331" s="82" t="n"/>
      <c r="BT331" s="82" t="n"/>
      <c r="BV331" s="82" t="n"/>
      <c r="BW331" s="82" t="n"/>
      <c r="BX331" s="82" t="n"/>
      <c r="BY331" s="82" t="n"/>
      <c r="CA331" s="82" t="n"/>
      <c r="CB331" s="82" t="n"/>
      <c r="CC331" s="82" t="n"/>
      <c r="CD331" s="82" t="n"/>
      <c r="CF331" s="82" t="n"/>
      <c r="CG331" s="82" t="n"/>
      <c r="CH331" s="82" t="n"/>
      <c r="CI331" s="82" t="n"/>
      <c r="CK331" s="82" t="n"/>
      <c r="CL331" s="82" t="n"/>
      <c r="CM331" s="82" t="n"/>
      <c r="CN331" s="82" t="n"/>
      <c r="CP331" s="82" t="n"/>
      <c r="CQ331" s="82" t="n"/>
      <c r="CR331" s="82" t="n"/>
      <c r="CS331" s="82" t="n"/>
      <c r="CU331" s="82" t="n"/>
      <c r="CV331" s="82" t="n"/>
      <c r="CW331" s="82" t="n"/>
      <c r="CX331" s="82" t="n"/>
    </row>
    <row r="332" customFormat="1" s="77">
      <c r="A332" s="76" t="n"/>
      <c r="B332" s="76" t="n"/>
      <c r="C332" s="77" t="inlineStr">
        <is>
          <t>(EBITDA - CAPEX) / TOTAL INTEREST (LTM)</t>
        </is>
      </c>
      <c r="D332" s="82" t="n"/>
      <c r="E332" s="82" t="n"/>
      <c r="F332" s="82" t="n"/>
      <c r="G332" s="82" t="n"/>
      <c r="H332" s="297" t="str">
        <f>IFERROR(IF(AND(COUNT(H68)=1,(H73)&lt;&gt;0),((H68)-(H167))/-(H73),""),"")</f>
        <v/>
      </c>
      <c r="I332" s="297" t="str">
        <f>""</f>
        <v/>
      </c>
      <c r="J332" s="297" t="str">
        <f>""</f>
        <v/>
      </c>
      <c r="K332" s="297" t="str">
        <f>""</f>
        <v/>
      </c>
      <c r="L332" s="297">
        <f>IFERROR(IF(AND(COUNT(I68,J68,K68,L68)=4,(I73+J73+K73+L73)&lt;&gt;0),((I68+J68+K68+L68)-(I167+J167+K167+L167))/-(I73+J73+K73+L73),""),"")</f>
        <v>-9.59590359866496</v>
      </c>
      <c r="M332" s="297">
        <f>IFERROR(IF(AND(COUNT(I68,J68,K68,L68)=4,(I73+J73+K73+L73)&lt;&gt;0),((I68+J68+K68+L68)-(I167+J167+K167+L167))/-(I73+J73+K73+L73),""),"")</f>
        <v>-9.59590359866496</v>
      </c>
      <c r="N332" s="297">
        <f>IFERROR(IF(AND(COUNT(J68,K68,L68,N68)=4,(J73+K73+L73+N73)&lt;&gt;0),((J68+K68+L68+N68)-(J167+K167+L167+N167))/-(J73+K73+L73+N73),""),"")</f>
        <v>0.757874141198437</v>
      </c>
      <c r="O332" s="297">
        <f>IFERROR(IF(AND(COUNT(K68,L68,N68,O68)=4,(K73+L73+N73+O73)&lt;&gt;0),((K68+L68+N68+O68)-(K167+L167+N167+O167))/-(K73+L73+N73+O73),""),"")</f>
        <v>0.0345801089431531</v>
      </c>
      <c r="P332" s="297">
        <f>IFERROR(IF(AND(COUNT(L68,N68,O68,P68)=4,(L73+N73+O73+P73)&lt;&gt;0),((L68+N68+O68+P68)-(L167+N167+O167+P167))/-(L73+N73+O73+P73),""),"")</f>
        <v>-0.413805998134495</v>
      </c>
      <c r="Q332" s="297">
        <f>IFERROR(IF(AND(COUNT(N68,O68,P68,Q68)=4,(N73+O73+P73+Q73)&lt;&gt;0),((N68+O68+P68+Q68)-(N167+O167+P167+Q167))/-(N73+O73+P73+Q73),""),"")</f>
        <v>-0.132876154667923</v>
      </c>
      <c r="R332" s="297">
        <f>IFERROR(IF(AND(COUNT(N68,O68,P68,Q68)=4,(N73+O73+P73+Q73)&lt;&gt;0),((N68+O68+P68+Q68)-(N167+O167+P167+Q167))/-(N73+O73+P73+Q73),""),"")</f>
        <v>-0.132876154667923</v>
      </c>
      <c r="S332" s="297">
        <f>IFERROR(IF(AND(COUNT(O68,P68,Q68,S68)=4,(O73+P73+Q73+S73)&lt;&gt;0),((O68+P68+Q68+S68)-(O167+P167+Q167+S167))/-(O73+P73+Q73+S73),""),"")</f>
        <v>-0.0439840355477805</v>
      </c>
      <c r="T332" s="297">
        <f>IFERROR(IF(AND(COUNT(P68,Q68,S68,T68)=4,(P73+Q73+S73+T73)&lt;&gt;0),((P68+Q68+S68+T68)-(P167+Q167+S167+T167))/-(P73+Q73+S73+T73),""),"")</f>
        <v>0.0867369497284117</v>
      </c>
      <c r="U332" s="297">
        <f>IFERROR(IF(AND(COUNT(Q68,S68,T68,U68)=4,(Q73+S73+T73+U73)&lt;&gt;0),((Q68+S68+T68+U68)-(Q167+S167+T167+U167))/-(Q73+S73+T73+U73),""),"")</f>
        <v>-0.243808081935646</v>
      </c>
      <c r="V332" s="297">
        <f>IFERROR(IF(AND(COUNT(S68,T68,U68,V68)=4,(S73+T73+U73+V73)&lt;&gt;0),((S68+T68+U68+V68)-(S167+T167+U167+V167))/-(S73+T73+U73+V73),""),"")</f>
        <v>-0.383009897665616</v>
      </c>
      <c r="W332" s="297">
        <f>IFERROR(IF(AND(COUNT(S68,T68,U68,V68)=4,(S73+T73+U73+V73)&lt;&gt;0),((S68+T68+U68+V68)-(S167+T167+U167+V167))/-(S73+T73+U73+V73),""),"")</f>
        <v>-0.383009897665616</v>
      </c>
      <c r="X332" s="297">
        <f>IFERROR(IF(AND(COUNT(T68,U68,V68,X68)=4,(T73+U73+V73+X73)&lt;&gt;0),((T68+U68+V68+X68)-(T167+U167+V167+X167))/-(T73+U73+V73+X73),""),"")</f>
        <v>0.0323528327272194</v>
      </c>
      <c r="Y332" s="297">
        <f>IFERROR(IF(AND(COUNT(U68,V68,X68,Y68)=4,(U73+V73+X73+Y73)&lt;&gt;0),((U68+V68+X68+Y68)-(U167+V167+X167+Y167))/-(U73+V73+X73+Y73),""),"")</f>
        <v>0.643412270176286</v>
      </c>
      <c r="Z332" s="297">
        <f>IFERROR(IF(AND(COUNT(V68,X68,Y68,Z68)=4,(V73+X73+Y73+Z73)&lt;&gt;0),((V68+X68+Y68+Z68)-(V167+X167+Y167+Z167))/-(V73+X73+Y73+Z73),""),"")</f>
        <v>1.6411325239572</v>
      </c>
      <c r="AA332" s="297">
        <f>IFERROR(IF(AND(COUNT(X68,Y68,Z68,AA68)=4,(X73+Y73+Z73+AA73)&lt;&gt;0),((X68+Y68+Z68+AA68)-(X167+Y167+Z167+AA167))/-(X73+Y73+Z73+AA73),""),"")</f>
        <v>-8.96040927285918</v>
      </c>
      <c r="AB332" s="297">
        <f>IFERROR(IF(AND(COUNT(X68,Y68,Z68,AA68)=4,(X73+Y73+Z73+AA73)&lt;&gt;0),((X68+Y68+Z68+AA68)-(X167+Y167+Z167+AA167))/-(X73+Y73+Z73+AA73),""),"")</f>
        <v>-8.96040927285918</v>
      </c>
      <c r="AC332" s="297">
        <f>IFERROR(IF(AND(COUNT(Y68,Z68,AA68,AC68)=4,(Y73+Z73+AA73+AC73)&lt;&gt;0),((Y68+Z68+AA68+AC68)-(Y167+Z167+AA167+AC167))/-(Y73+Z73+AA73+AC73),""),"")</f>
        <v>-5.6847218634821</v>
      </c>
      <c r="AD332" s="297">
        <f>IFERROR(IF(AND(COUNT(Z68,AA68,AC68,AD68)=4,(Z73+AA73+AC73+AD73)&lt;&gt;0),((Z68+AA68+AC68+AD68)-(Z167+AA167+AC167+AD167))/-(Z73+AA73+AC73+AD73),""),"")</f>
        <v>-4.47629152356565</v>
      </c>
      <c r="AE332" s="297">
        <f>IFERROR(IF(AND(COUNT(AA68,AC68,AD68,AE68)=4,(AA73+AC73+AD73+AE73)&lt;&gt;0),((AA68+AC68+AD68+AE68)-(AA167+AC167+AD167+AE167))/-(AA73+AC73+AD73+AE73),""),"")</f>
        <v>-3.74606381111588</v>
      </c>
      <c r="AF332" s="297">
        <f>IFERROR(IF(AND(COUNT(AC68,AD68,AE68,AF68)=4,(AC73+AD73+AE73+AF73)&lt;&gt;0),((AC68+AD68+AE68+AF68)-(AC167+AD167+AE167+AF167))/-(AC73+AD73+AE73+AF73),""),"")</f>
        <v>0.814399002502215</v>
      </c>
      <c r="AG332" s="297">
        <f>IFERROR(IF(AND(COUNT(AC68,AD68,AE68,AF68)=4,(AC73+AD73+AE73+AF73)&lt;&gt;0),((AC68+AD68+AE68+AF68)-(AC167+AD167+AE167+AF167))/-(AC73+AD73+AE73+AF73),""),"")</f>
        <v>0.814399002502215</v>
      </c>
      <c r="AH332" s="297">
        <f>IFERROR(IF(AND(COUNT(AD68,AE68,AF68,AH68)=4,(AD73+AE73+AF73+AH73)&lt;&gt;0),((AD68+AE68+AF68+AH68)-(AD167+AE167+AF167+AH167))/-(AD73+AE73+AF73+AH73),""),"")</f>
        <v>0.53483105159267</v>
      </c>
      <c r="AI332" s="297">
        <f>IFERROR(IF(AND(COUNT(AE68,AF68,AH68,AI68)=4,(AE73+AF73+AH73+AI73)&lt;&gt;0),((AE68+AF68+AH68+AI68)-(AE167+AF167+AH167+AI167))/-(AE73+AF73+AH73+AI73),""),"")</f>
        <v>0.611522831179891</v>
      </c>
      <c r="AJ332" s="297">
        <f>IFERROR(IF(AND(COUNT(AF68,AH68,AI68,AJ68)=4,(AF73+AH73+AI73+AJ73)&lt;&gt;0),((AF68+AH68+AI68+AJ68)-(AF167+AH167+AI167+AJ167))/-(AF73+AH73+AI73+AJ73),""),"")</f>
        <v>0.747740539158962</v>
      </c>
      <c r="AK332" s="297">
        <f>IFERROR(IF(AND(COUNT(AH68,AI68,AJ68,AK68)=4,(AH73+AI73+AJ73+AK73)&lt;&gt;0),((AH68+AI68+AJ68+AK68)-(AH167+AI167+AJ167+AK167))/-(AH73+AI73+AJ73+AK73),""),"")</f>
        <v>0.594372185270768</v>
      </c>
      <c r="AL332" s="297">
        <f>IFERROR(IF(AND(COUNT(AH68,AI68,AJ68,AK68)=4,(AH73+AI73+AJ73+AK73)&lt;&gt;0),((AH68+AI68+AJ68+AK68)-(AH167+AI167+AJ167+AK167))/-(AH73+AI73+AJ73+AK73),""),"")</f>
        <v>0.594372185270768</v>
      </c>
      <c r="AM332" s="297">
        <f>IFERROR(IF(AND(COUNT(AI68,AJ68,AK68,AM68)=4,(AI73+AJ73+AK73+AM73)&lt;&gt;0),((AI68+AJ68+AK68+AM68)-(AI167+AJ167+AK167+AM167))/-(AI73+AJ73+AK73+AM73),""),"")</f>
        <v>0.770216321840463</v>
      </c>
      <c r="AN332" s="297">
        <f>IFERROR(IF(AND(COUNT(AJ68,AK68,AM68,AN68)=4,(AJ73+AK73+AM73+AN73)&lt;&gt;0),((AJ68+AK68+AM68+AN68)-(AJ167+AK167+AM167+AN167))/-(AJ73+AK73+AM73+AN73),""),"")</f>
        <v>0.848373228830639</v>
      </c>
      <c r="AO332" s="297">
        <f>IFERROR(IF(AND(COUNT(AK68,AM68,AN68,AO68)=4,(AK73+AM73+AN73+AO73)&lt;&gt;0),((AK68+AM68+AN68+AO68)-(AK167+AM167+AN167+AO167))/-(AK73+AM73+AN73+AO73),""),"")</f>
        <v>0.880743090514987</v>
      </c>
      <c r="AP332" s="297">
        <f>IFERROR(IF(AND(COUNT(AM68,AN68,AO68,AP68)=4,(AM73+AN73+AO73+AP73)&lt;&gt;0),((AM68+AN68+AO68+AP68)-(AM167+AN167+AO167+AP167))/-(AM73+AN73+AO73+AP73),""),"")</f>
        <v>0.915531849205042</v>
      </c>
      <c r="AQ332" s="297">
        <f>IFERROR(IF(AND(COUNT(AM68,AN68,AO68,AP68)=4,(AM73+AN73+AO73+AP73)&lt;&gt;0),((AM68+AN68+AO68+AP68)-(AM167+AN167+AO167+AP167))/-(AM73+AN73+AO73+AP73),""),"")</f>
        <v>0.915531849205042</v>
      </c>
      <c r="AR332" s="297">
        <f>IFERROR(IF(AND(COUNT(AN68,AO68,AP68,AR68)=4,(AN73+AO73+AP73+AR73)&lt;&gt;0),((AN68+AO68+AP68+AR68)-(AN167+AO167+AP167+AR167))/-(AN73+AO73+AP73+AR73),""),"")</f>
        <v>0.942697951627387</v>
      </c>
      <c r="AS332" s="297">
        <f>IFERROR(IF(AND(COUNT(AO68,AP68,AR68,AS68)=4,(AO73+AP73+AR73+AS73)&lt;&gt;0),((AO68+AP68+AR68+AS68)-(AO167+AP167+AR167+AS167))/-(AO73+AP73+AR73+AS73),""),"")</f>
        <v>0.969695854980374</v>
      </c>
      <c r="AT332" s="297">
        <f>IFERROR(IF(AND(COUNT(AP68,AR68,AS68,AT68)=4,(AP73+AR73+AS73+AT73)&lt;&gt;0),((AP68+AR68+AS68+AT68)-(AP167+AR167+AS167+AT167))/-(AP73+AR73+AS73+AT73),""),"")</f>
        <v>1.00549258111091</v>
      </c>
      <c r="AU332" s="297">
        <f>IFERROR(IF(AND(COUNT(AR68,AS68,AT68,AU68)=4,(AR73+AS73+AT73+AU73)&lt;&gt;0),((AR68+AS68+AT68+AU68)-(AR167+AS167+AT167+AU167))/-(AR73+AS73+AT73+AU73),""),"")</f>
        <v>1.04396428294866</v>
      </c>
      <c r="AV332" s="297">
        <f>IFERROR(IF(AND(COUNT(AR68,AS68,AT68,AU68)=4,(AR73+AS73+AT73+AU73)&lt;&gt;0),((AR68+AS68+AT68+AU68)-(AR167+AS167+AT167+AU167))/-(AR73+AS73+AT73+AU73),""),"")</f>
        <v>1.04396428294866</v>
      </c>
      <c r="AW332" s="297">
        <f>IFERROR(IF(AND(COUNT(AS68,AT68,AU68,AW68)=4,(AS73+AT73+AU73+AW73)&lt;&gt;0),((AS68+AT68+AU68+AW68)-(AS167+AT167+AU167+AW167))/-(AS73+AT73+AU73+AW73),""),"")</f>
        <v>1.0738371948297</v>
      </c>
      <c r="AX332" s="297">
        <f>IFERROR(IF(AND(COUNT(AT68,AU68,AW68,AX68)=4,(AT73+AU73+AW73+AX73)&lt;&gt;0),((AT68+AU68+AW68+AX68)-(AT167+AU167+AW167+AX167))/-(AT73+AU73+AW73+AX73),""),"")</f>
        <v>1.10352514841606</v>
      </c>
      <c r="AY332" s="297">
        <f>IFERROR(IF(AND(COUNT(AU68,AW68,AX68,AY68)=4,(AU73+AW73+AX73+AY73)&lt;&gt;0),((AU68+AW68+AX68+AY68)-(AU167+AW167+AX167+AY167))/-(AU73+AW73+AX73+AY73),""),"")</f>
        <v>1.14288863268416</v>
      </c>
      <c r="AZ332" s="297">
        <f>IFERROR(IF(AND(COUNT(AW68,AX68,AY68,AZ68)=4,(AW73+AX73+AY73+AZ73)&lt;&gt;0),((AW68+AX68+AY68+AZ68)-(AW167+AX167+AY167+AZ167))/-(AW73+AX73+AY73+AZ73),""),"")</f>
        <v>1.18519362517243</v>
      </c>
      <c r="BA332" s="297">
        <f>IFERROR(IF(AND(COUNT(AW68,AX68,AY68,AZ68)=4,(AW73+AX73+AY73+AZ73)&lt;&gt;0),((AW68+AX68+AY68+AZ68)-(AW167+AX167+AY167+AZ167))/-(AW73+AX73+AY73+AZ73),""),"")</f>
        <v>1.18519362517243</v>
      </c>
      <c r="BB332" s="297">
        <f>IFERROR(IF(AND(COUNT(AX68,AY68,AZ68,BB68)=4,(AX73+AY73+AZ73+BB73)&lt;&gt;0),((AX68+AY68+AZ68+BB68)-(AX167+AY167+AZ167+BB167))/-(AX73+AY73+AZ73+BB73),""),"")</f>
        <v>1.21785433343139</v>
      </c>
      <c r="BC332" s="297">
        <f>IFERROR(IF(AND(COUNT(AY68,AZ68,BB68,BC68)=4,(AY73+AZ73+BB73+BC73)&lt;&gt;0),((AY68+AZ68+BB68+BC68)-(AY167+AZ167+BB167+BC167))/-(AY73+AZ73+BB73+BC73),""),"")</f>
        <v>1.25031282273938</v>
      </c>
      <c r="BD332" s="297">
        <f>IFERROR(IF(AND(COUNT(AZ68,BB68,BC68,BD68)=4,(AZ73+BB73+BC73+BD73)&lt;&gt;0),((AZ68+BB68+BC68+BD68)-(AZ167+BB167+BC167+BD167))/-(AZ73+BB73+BC73+BD73),""),"")</f>
        <v>1.29334978146828</v>
      </c>
      <c r="BE332" s="297">
        <f>IFERROR(IF(AND(COUNT(BB68,BC68,BD68,BE68)=4,(BB73+BC73+BD73+BE73)&lt;&gt;0),((BB68+BC68+BD68+BE68)-(BB167+BC167+BD167+BE167))/-(BB73+BC73+BD73+BE73),""),"")</f>
        <v>1.33960275550237</v>
      </c>
      <c r="BF332" s="297">
        <f>IFERROR(IF(AND(COUNT(BB68,BC68,BD68,BE68)=4,(BB73+BC73+BD73+BE73)&lt;&gt;0),((BB68+BC68+BD68+BE68)-(BB167+BC167+BD167+BE167))/-(BB73+BC73+BD73+BE73),""),"")</f>
        <v>1.33960275550237</v>
      </c>
      <c r="BG332" s="82" t="n"/>
      <c r="BH332" s="82" t="n"/>
      <c r="BI332" s="82" t="n"/>
      <c r="BJ332" s="82" t="n"/>
      <c r="BL332" s="82" t="n"/>
      <c r="BM332" s="82" t="n"/>
      <c r="BN332" s="82" t="n"/>
      <c r="BO332" s="82" t="n"/>
      <c r="BQ332" s="82" t="n"/>
      <c r="BR332" s="82" t="n"/>
      <c r="BS332" s="82" t="n"/>
      <c r="BT332" s="82" t="n"/>
      <c r="BV332" s="82" t="n"/>
      <c r="BW332" s="82" t="n"/>
      <c r="BX332" s="82" t="n"/>
      <c r="BY332" s="82" t="n"/>
      <c r="CA332" s="82" t="n"/>
      <c r="CB332" s="82" t="n"/>
      <c r="CC332" s="82" t="n"/>
      <c r="CD332" s="82" t="n"/>
      <c r="CF332" s="82" t="n"/>
      <c r="CG332" s="82" t="n"/>
      <c r="CH332" s="82" t="n"/>
      <c r="CI332" s="82" t="n"/>
      <c r="CK332" s="82" t="n"/>
      <c r="CL332" s="82" t="n"/>
      <c r="CM332" s="82" t="n"/>
      <c r="CN332" s="82" t="n"/>
      <c r="CP332" s="82" t="n"/>
      <c r="CQ332" s="82" t="n"/>
      <c r="CR332" s="82" t="n"/>
      <c r="CS332" s="82" t="n"/>
      <c r="CU332" s="82" t="n"/>
      <c r="CV332" s="82" t="n"/>
      <c r="CW332" s="82" t="n"/>
      <c r="CX332" s="82" t="n"/>
    </row>
    <row r="333" customFormat="1" s="77">
      <c r="A333" s="76" t="n"/>
      <c r="B333" s="76" t="n"/>
      <c r="C333" s="77" t="inlineStr">
        <is>
          <t>TOTAL DEBT / EBITDA (LTM)</t>
        </is>
      </c>
      <c r="D333" s="82" t="n"/>
      <c r="E333" s="82" t="n"/>
      <c r="F333" s="82" t="n"/>
      <c r="G333" s="82" t="n"/>
      <c r="H333" s="297" t="str">
        <f>IFERROR(IF(AND(COUNT(H68)=1,(H68)&lt;&gt;0),(N(H211)+N(H212)+N(H213)+N(H216)+N(H234)+N(H237))/(H68),""),"")</f>
        <v/>
      </c>
      <c r="I333" s="297" t="str">
        <f>""</f>
        <v/>
      </c>
      <c r="J333" s="297" t="str">
        <f>""</f>
        <v/>
      </c>
      <c r="K333" s="297" t="str">
        <f>""</f>
        <v/>
      </c>
      <c r="L333" s="297">
        <f>IFERROR(IF(AND(COUNT(I68,J68,K68,L68)=4,(I68+J68+K68+L68)&lt;&gt;0),(N(L211)+N(L212)+N(L213)+N(L216)+N(L234)+N(L237))/(I68+J68+K68+L68),""),"")</f>
        <v>2.65047509221982</v>
      </c>
      <c r="M333" s="297">
        <f>IFERROR(IF(AND(COUNT(I68,J68,K68,L68)=4,(I68+J68+K68+L68)&lt;&gt;0),(N(M211)+N(M212)+N(M213)+N(M216)+N(M234)+N(M237))/(I68+J68+K68+L68),""),"")</f>
        <v>2.65047509221982</v>
      </c>
      <c r="N333" s="297">
        <f>IFERROR(IF(AND(COUNT(J68,K68,L68,N68)=4,(J68+K68+L68+N68)&lt;&gt;0),(N(N211)+N(N212)+N(N213)+N(N216)+N(N234)+N(N237))/(J68+K68+L68+N68),""),"")</f>
        <v>2.82095567707844</v>
      </c>
      <c r="O333" s="297">
        <f>IFERROR(IF(AND(COUNT(K68,L68,N68,O68)=4,(K68+L68+N68+O68)&lt;&gt;0),(N(O211)+N(O212)+N(O213)+N(O216)+N(O234)+N(O237))/(K68+L68+N68+O68),""),"")</f>
        <v>3.16732727840239</v>
      </c>
      <c r="P333" s="297">
        <f>IFERROR(IF(AND(COUNT(L68,N68,O68,P68)=4,(L68+N68+O68+P68)&lt;&gt;0),(N(P211)+N(P212)+N(P213)+N(P216)+N(P234)+N(P237))/(L68+N68+O68+P68),""),"")</f>
        <v>4.10149079654115</v>
      </c>
      <c r="Q333" s="297">
        <f>IFERROR(IF(AND(COUNT(N68,O68,P68,Q68)=4,(N68+O68+P68+Q68)&lt;&gt;0),(N(Q211)+N(Q212)+N(Q213)+N(Q216)+N(Q234)+N(Q237))/(N68+O68+P68+Q68),""),"")</f>
        <v>3.16147210143368</v>
      </c>
      <c r="R333" s="297">
        <f>IFERROR(IF(AND(COUNT(N68,O68,P68,Q68)=4,(N68+O68+P68+Q68)&lt;&gt;0),(N(R211)+N(R212)+N(R213)+N(R216)+N(R234)+N(R237))/(N68+O68+P68+Q68),""),"")</f>
        <v>3.16147210143368</v>
      </c>
      <c r="S333" s="297">
        <f>IFERROR(IF(AND(COUNT(O68,P68,Q68,S68)=4,(O68+P68+Q68+S68)&lt;&gt;0),(N(S211)+N(S212)+N(S213)+N(S216)+N(S234)+N(S237))/(O68+P68+Q68+S68),""),"")</f>
        <v>3.07477897067403</v>
      </c>
      <c r="T333" s="297">
        <f>IFERROR(IF(AND(COUNT(P68,Q68,S68,T68)=4,(P68+Q68+S68+T68)&lt;&gt;0),(N(T211)+N(T212)+N(T213)+N(T216)+N(T234)+N(T237))/(P68+Q68+S68+T68),""),"")</f>
        <v>3.09472843582754</v>
      </c>
      <c r="U333" s="297">
        <f>IFERROR(IF(AND(COUNT(Q68,S68,T68,U68)=4,(Q68+S68+T68+U68)&lt;&gt;0),(N(U211)+N(U212)+N(U213)+N(U216)+N(U234)+N(U237))/(Q68+S68+T68+U68),""),"")</f>
        <v>3.07458126201652</v>
      </c>
      <c r="V333" s="297">
        <f>IFERROR(IF(AND(COUNT(S68,T68,U68,V68)=4,(S68+T68+U68+V68)&lt;&gt;0),(N(V211)+N(V212)+N(V213)+N(V216)+N(V234)+N(V237))/(S68+T68+U68+V68),""),"")</f>
        <v>3.82540734511529</v>
      </c>
      <c r="W333" s="297">
        <f>IFERROR(IF(AND(COUNT(S68,T68,U68,V68)=4,(S68+T68+U68+V68)&lt;&gt;0),(N(W211)+N(W212)+N(W213)+N(W216)+N(W234)+N(W237))/(S68+T68+U68+V68),""),"")</f>
        <v>3.82540734511529</v>
      </c>
      <c r="X333" s="297">
        <f>IFERROR(IF(AND(COUNT(T68,U68,V68,X68)=4,(T68+U68+V68+X68)&lt;&gt;0),(N(X211)+N(X212)+N(X213)+N(X216)+N(X234)+N(X237))/(T68+U68+V68+X68),""),"")</f>
        <v>3.58148242889202</v>
      </c>
      <c r="Y333" s="297">
        <f>IFERROR(IF(AND(COUNT(U68,V68,X68,Y68)=4,(U68+V68+X68+Y68)&lt;&gt;0),(N(Y211)+N(Y212)+N(Y213)+N(Y216)+N(Y234)+N(Y237))/(U68+V68+X68+Y68),""),"")</f>
        <v>4.70591726464904</v>
      </c>
      <c r="Z333" s="297">
        <f>IFERROR(IF(AND(COUNT(V68,X68,Y68,Z68)=4,(V68+X68+Y68+Z68)&lt;&gt;0),(N(Z211)+N(Z212)+N(Z213)+N(Z216)+N(Z234)+N(Z237))/(V68+X68+Y68+Z68),""),"")</f>
        <v>4.09134347469231</v>
      </c>
      <c r="AA333" s="297">
        <f>IFERROR(IF(AND(COUNT(X68,Y68,Z68,AA68)=4,(X68+Y68+Z68+AA68)&lt;&gt;0),(N(AA211)+N(AA212)+N(AA213)+N(AA216)+N(AA234)+N(AA237))/(X68+Y68+Z68+AA68),""),"")</f>
        <v>14.7871381836497</v>
      </c>
      <c r="AB333" s="297">
        <f>IFERROR(IF(AND(COUNT(X68,Y68,Z68,AA68)=4,(X68+Y68+Z68+AA68)&lt;&gt;0),(N(AB211)+N(AB212)+N(AB213)+N(AB216)+N(AB234)+N(AB237))/(X68+Y68+Z68+AA68),""),"")</f>
        <v>14.7871381836497</v>
      </c>
      <c r="AC333" s="297">
        <f>IFERROR(IF(AND(COUNT(Y68,Z68,AA68,AC68)=4,(Y68+Z68+AA68+AC68)&lt;&gt;0),(N(AC211)+N(AC212)+N(AC213)+N(AC216)+N(AC234)+N(AC237))/(Y68+Z68+AA68+AC68),""),"")</f>
        <v>9.99175582956344</v>
      </c>
      <c r="AD333" s="297">
        <f>IFERROR(IF(AND(COUNT(Z68,AA68,AC68,AD68)=4,(Z68+AA68+AC68+AD68)&lt;&gt;0),(N(AD211)+N(AD212)+N(AD213)+N(AD216)+N(AD234)+N(AD237))/(Z68+AA68+AC68+AD68),""),"")</f>
        <v>9.01288287123193</v>
      </c>
      <c r="AE333" s="297">
        <f>IFERROR(IF(AND(COUNT(AA68,AC68,AD68,AE68)=4,(AA68+AC68+AD68+AE68)&lt;&gt;0),(N(AE211)+N(AE212)+N(AE213)+N(AE216)+N(AE234)+N(AE237))/(AA68+AC68+AD68+AE68),""),"")</f>
        <v>9.0298700552705</v>
      </c>
      <c r="AF333" s="297">
        <f>IFERROR(IF(AND(COUNT(AC68,AD68,AE68,AF68)=4,(AC68+AD68+AE68+AF68)&lt;&gt;0),(N(AF211)+N(AF212)+N(AF213)+N(AF216)+N(AF234)+N(AF237))/(AC68+AD68+AE68+AF68),""),"")</f>
        <v>6.11971098781776</v>
      </c>
      <c r="AG333" s="297">
        <f>IFERROR(IF(AND(COUNT(AC68,AD68,AE68,AF68)=4,(AC68+AD68+AE68+AF68)&lt;&gt;0),(N(AG211)+N(AG212)+N(AG213)+N(AG216)+N(AG234)+N(AG237))/(AC68+AD68+AE68+AF68),""),"")</f>
        <v>6.11971098781776</v>
      </c>
      <c r="AH333" s="297">
        <f>IFERROR(IF(AND(COUNT(AD68,AE68,AF68,AH68)=4,(AD68+AE68+AF68+AH68)&lt;&gt;0),(N(AH211)+N(AH212)+N(AH213)+N(AH216)+N(AH234)+N(AH237))/(AD68+AE68+AF68+AH68),""),"")</f>
        <v>8.06952023239483</v>
      </c>
      <c r="AI333" s="297">
        <f>IFERROR(IF(AND(COUNT(AE68,AF68,AH68,AI68)=4,(AE68+AF68+AH68+AI68)&lt;&gt;0),(N(AI211)+N(AI212)+N(AI213)+N(AI216)+N(AI234)+N(AI237))/(AE68+AF68+AH68+AI68),""),"")</f>
        <v>7.27799435217725</v>
      </c>
      <c r="AJ333" s="297">
        <f>IFERROR(IF(AND(COUNT(AF68,AH68,AI68,AJ68)=4,(AF68+AH68+AI68+AJ68)&lt;&gt;0),(N(AJ211)+N(AJ212)+N(AJ213)+N(AJ216)+N(AJ234)+N(AJ237))/(AF68+AH68+AI68+AJ68),""),"")</f>
        <v>6.47060110948469</v>
      </c>
      <c r="AK333" s="297">
        <f>IFERROR(IF(AND(COUNT(AH68,AI68,AJ68,AK68)=4,(AH68+AI68+AJ68+AK68)&lt;&gt;0),(N(AK211)+N(AK212)+N(AK213)+N(AK216)+N(AK234)+N(AK237))/(AH68+AI68+AJ68+AK68),""),"")</f>
        <v>7.10216372083917</v>
      </c>
      <c r="AL333" s="297">
        <f>IFERROR(IF(AND(COUNT(AH68,AI68,AJ68,AK68)=4,(AH68+AI68+AJ68+AK68)&lt;&gt;0),(N(AL211)+N(AL212)+N(AL213)+N(AL216)+N(AL234)+N(AL237))/(AH68+AI68+AJ68+AK68),""),"")</f>
        <v>7.10216372083917</v>
      </c>
      <c r="AM333" s="297">
        <f>IFERROR(IF(AND(COUNT(AI68,AJ68,AK68,AM68)=4,(AI68+AJ68+AK68+AM68)&lt;&gt;0),(N(AM211)+N(AM212)+N(AM213)+N(AM216)+N(AM234)+N(AM237))/(AI68+AJ68+AK68+AM68),""),"")</f>
        <v>5.97279307182668</v>
      </c>
      <c r="AN333" s="297">
        <f>IFERROR(IF(AND(COUNT(AJ68,AK68,AM68,AN68)=4,(AJ68+AK68+AM68+AN68)&lt;&gt;0),(N(AN211)+N(AN212)+N(AN213)+N(AN216)+N(AN234)+N(AN237))/(AJ68+AK68+AM68+AN68),""),"")</f>
        <v>5.80659382013947</v>
      </c>
      <c r="AO333" s="297">
        <f>IFERROR(IF(AND(COUNT(AK68,AM68,AN68,AO68)=4,(AK68+AM68+AN68+AO68)&lt;&gt;0),(N(AO211)+N(AO212)+N(AO213)+N(AO216)+N(AO234)+N(AO237))/(AK68+AM68+AN68+AO68),""),"")</f>
        <v>5.59318466503023</v>
      </c>
      <c r="AP333" s="297">
        <f>IFERROR(IF(AND(COUNT(AM68,AN68,AO68,AP68)=4,(AM68+AN68+AO68+AP68)&lt;&gt;0),(N(AP211)+N(AP212)+N(AP213)+N(AP216)+N(AP234)+N(AP237))/(AM68+AN68+AO68+AP68),""),"")</f>
        <v>5.38065251577774</v>
      </c>
      <c r="AQ333" s="297">
        <f>IFERROR(IF(AND(COUNT(AM68,AN68,AO68,AP68)=4,(AM68+AN68+AO68+AP68)&lt;&gt;0),(N(AQ211)+N(AQ212)+N(AQ213)+N(AQ216)+N(AQ234)+N(AQ237))/(AM68+AN68+AO68+AP68),""),"")</f>
        <v>5.38065251577774</v>
      </c>
      <c r="AR333" s="297">
        <f>IFERROR(IF(AND(COUNT(AN68,AO68,AP68,AR68)=4,(AN68+AO68+AP68+AR68)&lt;&gt;0),(N(AR211)+N(AR212)+N(AR213)+N(AR216)+N(AR234)+N(AR237))/(AN68+AO68+AP68+AR68),""),"")</f>
        <v>5.22559610869599</v>
      </c>
      <c r="AS333" s="297">
        <f>IFERROR(IF(AND(COUNT(AO68,AP68,AR68,AS68)=4,(AO68+AP68+AR68+AS68)&lt;&gt;0),(N(AS211)+N(AS212)+N(AS213)+N(AS216)+N(AS234)+N(AS237))/(AO68+AP68+AR68+AS68),""),"")</f>
        <v>5.08010704841</v>
      </c>
      <c r="AT333" s="297">
        <f>IFERROR(IF(AND(COUNT(AP68,AR68,AS68,AT68)=4,(AP68+AR68+AS68+AT68)&lt;&gt;0),(N(AT211)+N(AT212)+N(AT213)+N(AT216)+N(AT234)+N(AT237))/(AP68+AR68+AS68+AT68),""),"")</f>
        <v>4.89924922395462</v>
      </c>
      <c r="AU333" s="297">
        <f>IFERROR(IF(AND(COUNT(AR68,AS68,AT68,AU68)=4,(AR68+AS68+AT68+AU68)&lt;&gt;0),(N(AU211)+N(AU212)+N(AU213)+N(AU216)+N(AU234)+N(AU237))/(AR68+AS68+AT68+AU68),""),"")</f>
        <v>4.71870429684234</v>
      </c>
      <c r="AV333" s="297">
        <f>IFERROR(IF(AND(COUNT(AR68,AS68,AT68,AU68)=4,(AR68+AS68+AT68+AU68)&lt;&gt;0),(N(AV211)+N(AV212)+N(AV213)+N(AV216)+N(AV234)+N(AV237))/(AR68+AS68+AT68+AU68),""),"")</f>
        <v>4.71870429684234</v>
      </c>
      <c r="AW333" s="297">
        <f>IFERROR(IF(AND(COUNT(AS68,AT68,AU68,AW68)=4,(AS68+AT68+AU68+AW68)&lt;&gt;0),(N(AW211)+N(AW212)+N(AW213)+N(AW216)+N(AW234)+N(AW237))/(AS68+AT68+AU68+AW68),""),"")</f>
        <v>4.5874353872432</v>
      </c>
      <c r="AX333" s="297">
        <f>IFERROR(IF(AND(COUNT(AT68,AU68,AW68,AX68)=4,(AT68+AU68+AW68+AX68)&lt;&gt;0),(N(AX211)+N(AX212)+N(AX213)+N(AX216)+N(AX234)+N(AX237))/(AT68+AU68+AW68+AX68),""),"")</f>
        <v>4.46402037576623</v>
      </c>
      <c r="AY333" s="297">
        <f>IFERROR(IF(AND(COUNT(AU68,AW68,AX68,AY68)=4,(AU68+AW68+AX68+AY68)&lt;&gt;0),(N(AY211)+N(AY212)+N(AY213)+N(AY216)+N(AY234)+N(AY237))/(AU68+AW68+AX68+AY68),""),"")</f>
        <v>4.3102701407838</v>
      </c>
      <c r="AZ333" s="297">
        <f>IFERROR(IF(AND(COUNT(AW68,AX68,AY68,AZ68)=4,(AW68+AX68+AY68+AZ68)&lt;&gt;0),(N(AZ211)+N(AZ212)+N(AZ213)+N(AZ216)+N(AZ234)+N(AZ237))/(AW68+AX68+AY68+AZ68),""),"")</f>
        <v>4.15641684453294</v>
      </c>
      <c r="BA333" s="297">
        <f>IFERROR(IF(AND(COUNT(AW68,AX68,AY68,AZ68)=4,(AW68+AX68+AY68+AZ68)&lt;&gt;0),(N(BA211)+N(BA212)+N(BA213)+N(BA216)+N(BA234)+N(BA237))/(AW68+AX68+AY68+AZ68),""),"")</f>
        <v>4.15641684453294</v>
      </c>
      <c r="BB333" s="297">
        <f>IFERROR(IF(AND(COUNT(AX68,AY68,AZ68,BB68)=4,(AX68+AY68+AZ68+BB68)&lt;&gt;0),(N(BB211)+N(BB212)+N(BB213)+N(BB216)+N(BB234)+N(BB237))/(AX68+AY68+AZ68+BB68),""),"")</f>
        <v>4.04494906531223</v>
      </c>
      <c r="BC333" s="297">
        <f>IFERROR(IF(AND(COUNT(AY68,AZ68,BB68,BC68)=4,(AY68+AZ68+BB68+BC68)&lt;&gt;0),(N(BC211)+N(BC212)+N(BC213)+N(BC216)+N(BC234)+N(BC237))/(AY68+AZ68+BB68+BC68),""),"")</f>
        <v>3.93994099565159</v>
      </c>
      <c r="BD333" s="297">
        <f>IFERROR(IF(AND(COUNT(AZ68,BB68,BC68,BD68)=4,(AZ68+BB68+BC68+BD68)&lt;&gt;0),(N(BD211)+N(BD212)+N(BD213)+N(BD216)+N(BD234)+N(BD237))/(AZ68+BB68+BC68+BD68),""),"")</f>
        <v>3.80883719028222</v>
      </c>
      <c r="BE333" s="297">
        <f>IFERROR(IF(AND(COUNT(BB68,BC68,BD68,BE68)=4,(BB68+BC68+BD68+BE68)&lt;&gt;0),(N(BE211)+N(BE212)+N(BE213)+N(BE216)+N(BE234)+N(BE237))/(BB68+BC68+BD68+BE68),""),"")</f>
        <v>3.67732801941899</v>
      </c>
      <c r="BF333" s="297">
        <f>IFERROR(IF(AND(COUNT(BB68,BC68,BD68,BE68)=4,(BB68+BC68+BD68+BE68)&lt;&gt;0),(N(BF211)+N(BF212)+N(BF213)+N(BF216)+N(BF234)+N(BF237))/(BB68+BC68+BD68+BE68),""),"")</f>
        <v>3.67732801941899</v>
      </c>
      <c r="BG333" s="82" t="n"/>
      <c r="BH333" s="82" t="n"/>
      <c r="BI333" s="82" t="n"/>
      <c r="BJ333" s="82" t="n"/>
      <c r="BL333" s="82" t="n"/>
      <c r="BM333" s="82" t="n"/>
      <c r="BN333" s="82" t="n"/>
      <c r="BO333" s="82" t="n"/>
      <c r="BQ333" s="82" t="n"/>
      <c r="BR333" s="82" t="n"/>
      <c r="BS333" s="82" t="n"/>
      <c r="BT333" s="82" t="n"/>
      <c r="BV333" s="82" t="n"/>
      <c r="BW333" s="82" t="n"/>
      <c r="BX333" s="82" t="n"/>
      <c r="BY333" s="82" t="n"/>
      <c r="CA333" s="82" t="n"/>
      <c r="CB333" s="82" t="n"/>
      <c r="CC333" s="82" t="n"/>
      <c r="CD333" s="82" t="n"/>
      <c r="CF333" s="82" t="n"/>
      <c r="CG333" s="82" t="n"/>
      <c r="CH333" s="82" t="n"/>
      <c r="CI333" s="82" t="n"/>
      <c r="CK333" s="82" t="n"/>
      <c r="CL333" s="82" t="n"/>
      <c r="CM333" s="82" t="n"/>
      <c r="CN333" s="82" t="n"/>
      <c r="CP333" s="82" t="n"/>
      <c r="CQ333" s="82" t="n"/>
      <c r="CR333" s="82" t="n"/>
      <c r="CS333" s="82" t="n"/>
      <c r="CU333" s="82" t="n"/>
      <c r="CV333" s="82" t="n"/>
      <c r="CW333" s="82" t="n"/>
      <c r="CX333" s="82" t="n"/>
    </row>
    <row r="334" customFormat="1" s="77">
      <c r="A334" s="76" t="n"/>
      <c r="B334" s="76" t="n"/>
      <c r="C334" s="77" t="inlineStr">
        <is>
          <t>TOTAL DEBT / TOTAL CAPITALIZATION</t>
        </is>
      </c>
      <c r="D334" s="80" t="n"/>
      <c r="E334" s="80" t="n"/>
      <c r="F334" s="80" t="n"/>
      <c r="G334" s="80" t="n"/>
      <c r="H334" s="290" t="str">
        <f>IFERROR(IF(((N(H211)+N(H212)+N(H213)+N(H216)+N(H234)+N(H237))+N(H270))&lt;&gt;0,(N(H211)+N(H212)+N(H213)+N(H216)+N(H234)+N(H237))/((N(H211)+N(H212)+N(H213)+N(H216)+N(H234)+N(H237))+H270),""),"")</f>
        <v/>
      </c>
      <c r="I334" s="290">
        <f>IFERROR(IF(((N(I211)+N(I212)+N(I213)+N(I216)+N(I234)+N(I237))+N(I270))&lt;&gt;0,(N(I211)+N(I212)+N(I213)+N(I216)+N(I234)+N(I237))/((N(I211)+N(I212)+N(I213)+N(I216)+N(I234)+N(I237))+I270),""),"")</f>
        <v>0.314988356760868</v>
      </c>
      <c r="J334" s="290">
        <f>IFERROR(IF(((N(J211)+N(J212)+N(J213)+N(J216)+N(J234)+N(J237))+N(J270))&lt;&gt;0,(N(J211)+N(J212)+N(J213)+N(J216)+N(J234)+N(J237))/((N(J211)+N(J212)+N(J213)+N(J216)+N(J234)+N(J237))+J270),""),"")</f>
        <v>0.310356805464125</v>
      </c>
      <c r="K334" s="290">
        <f>IFERROR(IF(((N(K211)+N(K212)+N(K213)+N(K216)+N(K234)+N(K237))+N(K270))&lt;&gt;0,(N(K211)+N(K212)+N(K213)+N(K216)+N(K234)+N(K237))/((N(K211)+N(K212)+N(K213)+N(K216)+N(K234)+N(K237))+K270),""),"")</f>
        <v>0.321240316107141</v>
      </c>
      <c r="L334" s="290">
        <f>IFERROR(IF(((N(L211)+N(L212)+N(L213)+N(L216)+N(L234)+N(L237))+N(L270))&lt;&gt;0,(N(L211)+N(L212)+N(L213)+N(L216)+N(L234)+N(L237))/((N(L211)+N(L212)+N(L213)+N(L216)+N(L234)+N(L237))+L270),""),"")</f>
        <v>0.342687693359685</v>
      </c>
      <c r="M334" s="290">
        <f>IFERROR(IF(((N(M211)+N(M212)+N(M213)+N(M216)+N(M234)+N(M237))+N(M270))&lt;&gt;0,(N(M211)+N(M212)+N(M213)+N(M216)+N(M234)+N(M237))/((N(M211)+N(M212)+N(M213)+N(M216)+N(M234)+N(M237))+M270),""),"")</f>
        <v>0.342687693359685</v>
      </c>
      <c r="N334" s="290">
        <f>IFERROR(IF(((N(N211)+N(N212)+N(N213)+N(N216)+N(N234)+N(N237))+N(N270))&lt;&gt;0,(N(N211)+N(N212)+N(N213)+N(N216)+N(N234)+N(N237))/((N(N211)+N(N212)+N(N213)+N(N216)+N(N234)+N(N237))+N270),""),"")</f>
        <v>0.273859377807221</v>
      </c>
      <c r="O334" s="290">
        <f>IFERROR(IF(((N(O211)+N(O212)+N(O213)+N(O216)+N(O234)+N(O237))+N(O270))&lt;&gt;0,(N(O211)+N(O212)+N(O213)+N(O216)+N(O234)+N(O237))/((N(O211)+N(O212)+N(O213)+N(O216)+N(O234)+N(O237))+O270),""),"")</f>
        <v>0.305140942217645</v>
      </c>
      <c r="P334" s="290">
        <f>IFERROR(IF(((N(P211)+N(P212)+N(P213)+N(P216)+N(P234)+N(P237))+N(P270))&lt;&gt;0,(N(P211)+N(P212)+N(P213)+N(P216)+N(P234)+N(P237))/((N(P211)+N(P212)+N(P213)+N(P216)+N(P234)+N(P237))+P270),""),"")</f>
        <v>0.309672554502599</v>
      </c>
      <c r="Q334" s="290">
        <f>IFERROR(IF(((N(Q211)+N(Q212)+N(Q213)+N(Q216)+N(Q234)+N(Q237))+N(Q270))&lt;&gt;0,(N(Q211)+N(Q212)+N(Q213)+N(Q216)+N(Q234)+N(Q237))/((N(Q211)+N(Q212)+N(Q213)+N(Q216)+N(Q234)+N(Q237))+Q270),""),"")</f>
        <v>0.27804962598921</v>
      </c>
      <c r="R334" s="290">
        <f>IFERROR(IF(((N(R211)+N(R212)+N(R213)+N(R216)+N(R234)+N(R237))+N(R270))&lt;&gt;0,(N(R211)+N(R212)+N(R213)+N(R216)+N(R234)+N(R237))/((N(R211)+N(R212)+N(R213)+N(R216)+N(R234)+N(R237))+R270),""),"")</f>
        <v>0.27804962598921</v>
      </c>
      <c r="S334" s="290">
        <f>IFERROR(IF(((N(S211)+N(S212)+N(S213)+N(S216)+N(S234)+N(S237))+N(S270))&lt;&gt;0,(N(S211)+N(S212)+N(S213)+N(S216)+N(S234)+N(S237))/((N(S211)+N(S212)+N(S213)+N(S216)+N(S234)+N(S237))+S270),""),"")</f>
        <v>0.284814455592383</v>
      </c>
      <c r="T334" s="290">
        <f>IFERROR(IF(((N(T211)+N(T212)+N(T213)+N(T216)+N(T234)+N(T237))+N(T270))&lt;&gt;0,(N(T211)+N(T212)+N(T213)+N(T216)+N(T234)+N(T237))/((N(T211)+N(T212)+N(T213)+N(T216)+N(T234)+N(T237))+T270),""),"")</f>
        <v>0.31270683110552</v>
      </c>
      <c r="U334" s="290">
        <f>IFERROR(IF(((N(U211)+N(U212)+N(U213)+N(U216)+N(U234)+N(U237))+N(U270))&lt;&gt;0,(N(U211)+N(U212)+N(U213)+N(U216)+N(U234)+N(U237))/((N(U211)+N(U212)+N(U213)+N(U216)+N(U234)+N(U237))+U270),""),"")</f>
        <v>0.307937896417499</v>
      </c>
      <c r="V334" s="290">
        <f>IFERROR(IF(((N(V211)+N(V212)+N(V213)+N(V216)+N(V234)+N(V237))+N(V270))&lt;&gt;0,(N(V211)+N(V212)+N(V213)+N(V216)+N(V234)+N(V237))/((N(V211)+N(V212)+N(V213)+N(V216)+N(V234)+N(V237))+V270),""),"")</f>
        <v>0.341639788889601</v>
      </c>
      <c r="W334" s="290">
        <f>IFERROR(IF(((N(W211)+N(W212)+N(W213)+N(W216)+N(W234)+N(W237))+N(W270))&lt;&gt;0,(N(W211)+N(W212)+N(W213)+N(W216)+N(W234)+N(W237))/((N(W211)+N(W212)+N(W213)+N(W216)+N(W234)+N(W237))+W270),""),"")</f>
        <v>0.341639788889601</v>
      </c>
      <c r="X334" s="290">
        <f>IFERROR(IF(((N(X211)+N(X212)+N(X213)+N(X216)+N(X234)+N(X237))+N(X270))&lt;&gt;0,(N(X211)+N(X212)+N(X213)+N(X216)+N(X234)+N(X237))/((N(X211)+N(X212)+N(X213)+N(X216)+N(X234)+N(X237))+X270),""),"")</f>
        <v>0.348497403709282</v>
      </c>
      <c r="Y334" s="290">
        <f>IFERROR(IF(((N(Y211)+N(Y212)+N(Y213)+N(Y216)+N(Y234)+N(Y237))+N(Y270))&lt;&gt;0,(N(Y211)+N(Y212)+N(Y213)+N(Y216)+N(Y234)+N(Y237))/((N(Y211)+N(Y212)+N(Y213)+N(Y216)+N(Y234)+N(Y237))+Y270),""),"")</f>
        <v>0.402890090286473</v>
      </c>
      <c r="Z334" s="290">
        <f>IFERROR(IF(((N(Z211)+N(Z212)+N(Z213)+N(Z216)+N(Z234)+N(Z237))+N(Z270))&lt;&gt;0,(N(Z211)+N(Z212)+N(Z213)+N(Z216)+N(Z234)+N(Z237))/((N(Z211)+N(Z212)+N(Z213)+N(Z216)+N(Z234)+N(Z237))+Z270),""),"")</f>
        <v>0.399795686246592</v>
      </c>
      <c r="AA334" s="290">
        <f>IFERROR(IF(((N(AA211)+N(AA212)+N(AA213)+N(AA216)+N(AA234)+N(AA237))+N(AA270))&lt;&gt;0,(N(AA211)+N(AA212)+N(AA213)+N(AA216)+N(AA234)+N(AA237))/((N(AA211)+N(AA212)+N(AA213)+N(AA216)+N(AA234)+N(AA237))+AA270),""),"")</f>
        <v>0.652666142477072</v>
      </c>
      <c r="AB334" s="290">
        <f>IFERROR(IF(((N(AB211)+N(AB212)+N(AB213)+N(AB216)+N(AB234)+N(AB237))+N(AB270))&lt;&gt;0,(N(AB211)+N(AB212)+N(AB213)+N(AB216)+N(AB234)+N(AB237))/((N(AB211)+N(AB212)+N(AB213)+N(AB216)+N(AB234)+N(AB237))+AB270),""),"")</f>
        <v>0.652666142477072</v>
      </c>
      <c r="AC334" s="290">
        <f>IFERROR(IF(((N(AC211)+N(AC212)+N(AC213)+N(AC216)+N(AC234)+N(AC237))+N(AC270))&lt;&gt;0,(N(AC211)+N(AC212)+N(AC213)+N(AC216)+N(AC234)+N(AC237))/((N(AC211)+N(AC212)+N(AC213)+N(AC216)+N(AC234)+N(AC237))+AC270),""),"")</f>
        <v>0.642155994504929</v>
      </c>
      <c r="AD334" s="290">
        <f>IFERROR(IF(((N(AD211)+N(AD212)+N(AD213)+N(AD216)+N(AD234)+N(AD237))+N(AD270))&lt;&gt;0,(N(AD211)+N(AD212)+N(AD213)+N(AD216)+N(AD234)+N(AD237))/((N(AD211)+N(AD212)+N(AD213)+N(AD216)+N(AD234)+N(AD237))+AD270),""),"")</f>
        <v>0.636921850979423</v>
      </c>
      <c r="AE334" s="290">
        <f>IFERROR(IF(((N(AE211)+N(AE212)+N(AE213)+N(AE216)+N(AE234)+N(AE237))+N(AE270))&lt;&gt;0,(N(AE211)+N(AE212)+N(AE213)+N(AE216)+N(AE234)+N(AE237))/((N(AE211)+N(AE212)+N(AE213)+N(AE216)+N(AE234)+N(AE237))+AE270),""),"")</f>
        <v>0.648221612440786</v>
      </c>
      <c r="AF334" s="290">
        <f>IFERROR(IF(((N(AF211)+N(AF212)+N(AF213)+N(AF216)+N(AF234)+N(AF237))+N(AF270))&lt;&gt;0,(N(AF211)+N(AF212)+N(AF213)+N(AF216)+N(AF234)+N(AF237))/((N(AF211)+N(AF212)+N(AF213)+N(AF216)+N(AF234)+N(AF237))+AF270),""),"")</f>
        <v>0.641830954780799</v>
      </c>
      <c r="AG334" s="290">
        <f>IFERROR(IF(((N(AG211)+N(AG212)+N(AG213)+N(AG216)+N(AG234)+N(AG237))+N(AG270))&lt;&gt;0,(N(AG211)+N(AG212)+N(AG213)+N(AG216)+N(AG234)+N(AG237))/((N(AG211)+N(AG212)+N(AG213)+N(AG216)+N(AG234)+N(AG237))+AG270),""),"")</f>
        <v>0.641830954780799</v>
      </c>
      <c r="AH334" s="290">
        <f>IFERROR(IF(((N(AH211)+N(AH212)+N(AH213)+N(AH216)+N(AH234)+N(AH237))+N(AH270))&lt;&gt;0,(N(AH211)+N(AH212)+N(AH213)+N(AH216)+N(AH234)+N(AH237))/((N(AH211)+N(AH212)+N(AH213)+N(AH216)+N(AH234)+N(AH237))+AH270),""),"")</f>
        <v>0.645122515573019</v>
      </c>
      <c r="AI334" s="290">
        <f>IFERROR(IF(((N(AI211)+N(AI212)+N(AI213)+N(AI216)+N(AI234)+N(AI237))+N(AI270))&lt;&gt;0,(N(AI211)+N(AI212)+N(AI213)+N(AI216)+N(AI234)+N(AI237))/((N(AI211)+N(AI212)+N(AI213)+N(AI216)+N(AI234)+N(AI237))+AI270),""),"")</f>
        <v>0.649715052629607</v>
      </c>
      <c r="AJ334" s="290">
        <f>IFERROR(IF(((N(AJ211)+N(AJ212)+N(AJ213)+N(AJ216)+N(AJ234)+N(AJ237))+N(AJ270))&lt;&gt;0,(N(AJ211)+N(AJ212)+N(AJ213)+N(AJ216)+N(AJ234)+N(AJ237))/((N(AJ211)+N(AJ212)+N(AJ213)+N(AJ216)+N(AJ234)+N(AJ237))+AJ270),""),"")</f>
        <v>0.64885561827018</v>
      </c>
      <c r="AK334" s="290">
        <f>IFERROR(IF(((N(AK211)+N(AK212)+N(AK213)+N(AK216)+N(AK234)+N(AK237))+N(AK270))&lt;&gt;0,(N(AK211)+N(AK212)+N(AK213)+N(AK216)+N(AK234)+N(AK237))/((N(AK211)+N(AK212)+N(AK213)+N(AK216)+N(AK234)+N(AK237))+AK270),""),"")</f>
        <v>0.647212617642945</v>
      </c>
      <c r="AL334" s="290">
        <f>IFERROR(IF(((N(AL211)+N(AL212)+N(AL213)+N(AL216)+N(AL234)+N(AL237))+N(AL270))&lt;&gt;0,(N(AL211)+N(AL212)+N(AL213)+N(AL216)+N(AL234)+N(AL237))/((N(AL211)+N(AL212)+N(AL213)+N(AL216)+N(AL234)+N(AL237))+AL270),""),"")</f>
        <v>0.647212617642945</v>
      </c>
      <c r="AM334" s="290">
        <f>IFERROR(IF(((N(AM211)+N(AM212)+N(AM213)+N(AM216)+N(AM234)+N(AM237))+N(AM270))&lt;&gt;0,(N(AM211)+N(AM212)+N(AM213)+N(AM216)+N(AM234)+N(AM237))/((N(AM211)+N(AM212)+N(AM213)+N(AM216)+N(AM234)+N(AM237))+AM270),""),"")</f>
        <v>0.647733412343265</v>
      </c>
      <c r="AN334" s="290">
        <f>IFERROR(IF(((N(AN211)+N(AN212)+N(AN213)+N(AN216)+N(AN234)+N(AN237))+N(AN270))&lt;&gt;0,(N(AN211)+N(AN212)+N(AN213)+N(AN216)+N(AN234)+N(AN237))/((N(AN211)+N(AN212)+N(AN213)+N(AN216)+N(AN234)+N(AN237))+AN270),""),"")</f>
        <v>0.648311755564869</v>
      </c>
      <c r="AO334" s="290">
        <f>IFERROR(IF(((N(AO211)+N(AO212)+N(AO213)+N(AO216)+N(AO234)+N(AO237))+N(AO270))&lt;&gt;0,(N(AO211)+N(AO212)+N(AO213)+N(AO216)+N(AO234)+N(AO237))/((N(AO211)+N(AO212)+N(AO213)+N(AO216)+N(AO234)+N(AO237))+AO270),""),"")</f>
        <v>0.645932523471713</v>
      </c>
      <c r="AP334" s="290">
        <f>IFERROR(IF(((N(AP211)+N(AP212)+N(AP213)+N(AP216)+N(AP234)+N(AP237))+N(AP270))&lt;&gt;0,(N(AP211)+N(AP212)+N(AP213)+N(AP216)+N(AP234)+N(AP237))/((N(AP211)+N(AP212)+N(AP213)+N(AP216)+N(AP234)+N(AP237))+AP270),""),"")</f>
        <v>0.64268309118652</v>
      </c>
      <c r="AQ334" s="290">
        <f>IFERROR(IF(((N(AQ211)+N(AQ212)+N(AQ213)+N(AQ216)+N(AQ234)+N(AQ237))+N(AQ270))&lt;&gt;0,(N(AQ211)+N(AQ212)+N(AQ213)+N(AQ216)+N(AQ234)+N(AQ237))/((N(AQ211)+N(AQ212)+N(AQ213)+N(AQ216)+N(AQ234)+N(AQ237))+AQ270),""),"")</f>
        <v>0.64268309118652</v>
      </c>
      <c r="AR334" s="290">
        <f>IFERROR(IF(((N(AR211)+N(AR212)+N(AR213)+N(AR216)+N(AR234)+N(AR237))+N(AR270))&lt;&gt;0,(N(AR211)+N(AR212)+N(AR213)+N(AR216)+N(AR234)+N(AR237))/((N(AR211)+N(AR212)+N(AR213)+N(AR216)+N(AR234)+N(AR237))+AR270),""),"")</f>
        <v>0.641934306254923</v>
      </c>
      <c r="AS334" s="290">
        <f>IFERROR(IF(((N(AS211)+N(AS212)+N(AS213)+N(AS216)+N(AS234)+N(AS237))+N(AS270))&lt;&gt;0,(N(AS211)+N(AS212)+N(AS213)+N(AS216)+N(AS234)+N(AS237))/((N(AS211)+N(AS212)+N(AS213)+N(AS216)+N(AS234)+N(AS237))+AS270),""),"")</f>
        <v>0.64125052748197</v>
      </c>
      <c r="AT334" s="290">
        <f>IFERROR(IF(((N(AT211)+N(AT212)+N(AT213)+N(AT216)+N(AT234)+N(AT237))+N(AT270))&lt;&gt;0,(N(AT211)+N(AT212)+N(AT213)+N(AT216)+N(AT234)+N(AT237))/((N(AT211)+N(AT212)+N(AT213)+N(AT216)+N(AT234)+N(AT237))+AT270),""),"")</f>
        <v>0.637282426840193</v>
      </c>
      <c r="AU334" s="290">
        <f>IFERROR(IF(((N(AU211)+N(AU212)+N(AU213)+N(AU216)+N(AU234)+N(AU237))+N(AU270))&lt;&gt;0,(N(AU211)+N(AU212)+N(AU213)+N(AU216)+N(AU234)+N(AU237))/((N(AU211)+N(AU212)+N(AU213)+N(AU216)+N(AU234)+N(AU237))+AU270),""),"")</f>
        <v>0.632383036973563</v>
      </c>
      <c r="AV334" s="290">
        <f>IFERROR(IF(((N(AV211)+N(AV212)+N(AV213)+N(AV216)+N(AV234)+N(AV237))+N(AV270))&lt;&gt;0,(N(AV211)+N(AV212)+N(AV213)+N(AV216)+N(AV234)+N(AV237))/((N(AV211)+N(AV212)+N(AV213)+N(AV216)+N(AV234)+N(AV237))+AV270),""),"")</f>
        <v>0.632383036973563</v>
      </c>
      <c r="AW334" s="290">
        <f>IFERROR(IF(((N(AW211)+N(AW212)+N(AW213)+N(AW216)+N(AW234)+N(AW237))+N(AW270))&lt;&gt;0,(N(AW211)+N(AW212)+N(AW213)+N(AW216)+N(AW234)+N(AW237))/((N(AW211)+N(AW212)+N(AW213)+N(AW216)+N(AW234)+N(AW237))+AW270),""),"")</f>
        <v>0.63031952486989</v>
      </c>
      <c r="AX334" s="290">
        <f>IFERROR(IF(((N(AX211)+N(AX212)+N(AX213)+N(AX216)+N(AX234)+N(AX237))+N(AX270))&lt;&gt;0,(N(AX211)+N(AX212)+N(AX213)+N(AX216)+N(AX234)+N(AX237))/((N(AX211)+N(AX212)+N(AX213)+N(AX216)+N(AX234)+N(AX237))+AX270),""),"")</f>
        <v>0.628338393481903</v>
      </c>
      <c r="AY334" s="290">
        <f>IFERROR(IF(((N(AY211)+N(AY212)+N(AY213)+N(AY216)+N(AY234)+N(AY237))+N(AY270))&lt;&gt;0,(N(AY211)+N(AY212)+N(AY213)+N(AY216)+N(AY234)+N(AY237))/((N(AY211)+N(AY212)+N(AY213)+N(AY216)+N(AY234)+N(AY237))+AY270),""),"")</f>
        <v>0.622804942039063</v>
      </c>
      <c r="AZ334" s="290">
        <f>IFERROR(IF(((N(AZ211)+N(AZ212)+N(AZ213)+N(AZ216)+N(AZ234)+N(AZ237))+N(AZ270))&lt;&gt;0,(N(AZ211)+N(AZ212)+N(AZ213)+N(AZ216)+N(AZ234)+N(AZ237))/((N(AZ211)+N(AZ212)+N(AZ213)+N(AZ216)+N(AZ234)+N(AZ237))+AZ270),""),"")</f>
        <v>0.6163110786884</v>
      </c>
      <c r="BA334" s="290">
        <f>IFERROR(IF(((N(BA211)+N(BA212)+N(BA213)+N(BA216)+N(BA234)+N(BA237))+N(BA270))&lt;&gt;0,(N(BA211)+N(BA212)+N(BA213)+N(BA216)+N(BA234)+N(BA237))/((N(BA211)+N(BA212)+N(BA213)+N(BA216)+N(BA234)+N(BA237))+BA270),""),"")</f>
        <v>0.6163110786884</v>
      </c>
      <c r="BB334" s="290">
        <f>IFERROR(IF(((N(BB211)+N(BB212)+N(BB213)+N(BB216)+N(BB234)+N(BB237))+N(BB270))&lt;&gt;0,(N(BB211)+N(BB212)+N(BB213)+N(BB216)+N(BB234)+N(BB237))/((N(BB211)+N(BB212)+N(BB213)+N(BB216)+N(BB234)+N(BB237))+BB270),""),"")</f>
        <v>0.612966805275143</v>
      </c>
      <c r="BC334" s="290">
        <f>IFERROR(IF(((N(BC211)+N(BC212)+N(BC213)+N(BC216)+N(BC234)+N(BC237))+N(BC270))&lt;&gt;0,(N(BC211)+N(BC212)+N(BC213)+N(BC216)+N(BC234)+N(BC237))/((N(BC211)+N(BC212)+N(BC213)+N(BC216)+N(BC234)+N(BC237))+BC270),""),"")</f>
        <v>0.609732023092931</v>
      </c>
      <c r="BD334" s="290">
        <f>IFERROR(IF(((N(BD211)+N(BD212)+N(BD213)+N(BD216)+N(BD234)+N(BD237))+N(BD270))&lt;&gt;0,(N(BD211)+N(BD212)+N(BD213)+N(BD216)+N(BD234)+N(BD237))/((N(BD211)+N(BD212)+N(BD213)+N(BD216)+N(BD234)+N(BD237))+BD270),""),"")</f>
        <v>0.602755261202101</v>
      </c>
      <c r="BE334" s="290">
        <f>IFERROR(IF(((N(BE211)+N(BE212)+N(BE213)+N(BE216)+N(BE234)+N(BE237))+N(BE270))&lt;&gt;0,(N(BE211)+N(BE212)+N(BE213)+N(BE216)+N(BE234)+N(BE237))/((N(BE211)+N(BE212)+N(BE213)+N(BE216)+N(BE234)+N(BE237))+BE270),""),"")</f>
        <v>0.594823305057334</v>
      </c>
      <c r="BF334" s="290">
        <f>IFERROR(IF(((N(BF211)+N(BF212)+N(BF213)+N(BF216)+N(BF234)+N(BF237))+N(BF270))&lt;&gt;0,(N(BF211)+N(BF212)+N(BF213)+N(BF216)+N(BF234)+N(BF237))/((N(BF211)+N(BF212)+N(BF213)+N(BF216)+N(BF234)+N(BF237))+BF270),""),"")</f>
        <v>0.594823305057334</v>
      </c>
      <c r="BG334" s="80" t="n"/>
      <c r="BH334" s="80" t="n"/>
      <c r="BI334" s="80" t="n"/>
      <c r="BJ334" s="80" t="n"/>
      <c r="BL334" s="80" t="n"/>
      <c r="BM334" s="80" t="n"/>
      <c r="BN334" s="80" t="n"/>
      <c r="BO334" s="80" t="n"/>
      <c r="BQ334" s="80" t="n"/>
      <c r="BR334" s="80" t="n"/>
      <c r="BS334" s="80" t="n"/>
      <c r="BT334" s="80" t="n"/>
      <c r="BV334" s="80" t="n"/>
      <c r="BW334" s="80" t="n"/>
      <c r="BX334" s="80" t="n"/>
      <c r="BY334" s="80" t="n"/>
      <c r="CA334" s="80" t="n"/>
      <c r="CB334" s="80" t="n"/>
      <c r="CC334" s="80" t="n"/>
      <c r="CD334" s="80" t="n"/>
      <c r="CF334" s="80" t="n"/>
      <c r="CG334" s="80" t="n"/>
      <c r="CH334" s="80" t="n"/>
      <c r="CI334" s="80" t="n"/>
      <c r="CK334" s="80" t="n"/>
      <c r="CL334" s="80" t="n"/>
      <c r="CM334" s="80" t="n"/>
      <c r="CN334" s="80" t="n"/>
      <c r="CP334" s="80" t="n"/>
      <c r="CQ334" s="80" t="n"/>
      <c r="CR334" s="80" t="n"/>
      <c r="CS334" s="80" t="n"/>
      <c r="CU334" s="80" t="n"/>
      <c r="CV334" s="80" t="n"/>
      <c r="CW334" s="80" t="n"/>
      <c r="CX334" s="80" t="n"/>
    </row>
    <row r="335" customFormat="1" s="77">
      <c r="A335" s="76" t="n"/>
      <c r="B335" s="76" t="n"/>
      <c r="C335" s="77" t="inlineStr">
        <is>
          <t>NET DEBT / EBITDA (LTM)</t>
        </is>
      </c>
      <c r="D335" s="82" t="n"/>
      <c r="E335" s="82" t="n"/>
      <c r="F335" s="82" t="n"/>
      <c r="G335" s="82" t="n"/>
      <c r="H335" s="297" t="str">
        <f>IFERROR(IF(AND(COUNT(H68)=1,(H68)&lt;&gt;0),((N(H211)+N(H212)+N(H213)+N(H216)+N(H234)+N(H237))-N(H143))/(H68),""),"")</f>
        <v/>
      </c>
      <c r="I335" s="297" t="str">
        <f>""</f>
        <v/>
      </c>
      <c r="J335" s="297" t="str">
        <f>""</f>
        <v/>
      </c>
      <c r="K335" s="297" t="str">
        <f>""</f>
        <v/>
      </c>
      <c r="L335" s="297">
        <f>IFERROR(IF(AND(COUNT(I68,J68,K68,L68)=4,(I68+J68+K68+L68)&lt;&gt;0),((N(L211)+N(L212)+N(L213)+N(L216)+N(L234)+N(L237))-N(L143))/(I68+J68+K68+L68),""),"")</f>
        <v>1.70997401435505</v>
      </c>
      <c r="M335" s="297">
        <f>IFERROR(IF(AND(COUNT(I68,J68,K68,L68)=4,(I68+J68+K68+L68)&lt;&gt;0),((N(M211)+N(M212)+N(M213)+N(M216)+N(M234)+N(M237))-N(M143))/(I68+J68+K68+L68),""),"")</f>
        <v>1.70997401435505</v>
      </c>
      <c r="N335" s="297">
        <f>IFERROR(IF(AND(COUNT(J68,K68,L68,N68)=4,(J68+K68+L68+N68)&lt;&gt;0),((N(N211)+N(N212)+N(N213)+N(N216)+N(N234)+N(N237))-N(N143))/(J68+K68+L68+N68),""),"")</f>
        <v>0.969224423260593</v>
      </c>
      <c r="O335" s="297">
        <f>IFERROR(IF(AND(COUNT(K68,L68,N68,O68)=4,(K68+L68+N68+O68)&lt;&gt;0),((N(O211)+N(O212)+N(O213)+N(O216)+N(O234)+N(O237))-N(O143))/(K68+L68+N68+O68),""),"")</f>
        <v>1.26736789511937</v>
      </c>
      <c r="P335" s="297">
        <f>IFERROR(IF(AND(COUNT(L68,N68,O68,P68)=4,(L68+N68+O68+P68)&lt;&gt;0),((N(P211)+N(P212)+N(P213)+N(P216)+N(P234)+N(P237))-N(P143))/(L68+N68+O68+P68),""),"")</f>
        <v>1.99499161268095</v>
      </c>
      <c r="Q335" s="297">
        <f>IFERROR(IF(AND(COUNT(N68,O68,P68,Q68)=4,(N68+O68+P68+Q68)&lt;&gt;0),((N(Q211)+N(Q212)+N(Q213)+N(Q216)+N(Q234)+N(Q237))-N(Q143))/(N68+O68+P68+Q68),""),"")</f>
        <v>1.42249052826452</v>
      </c>
      <c r="R335" s="297">
        <f>IFERROR(IF(AND(COUNT(N68,O68,P68,Q68)=4,(N68+O68+P68+Q68)&lt;&gt;0),((N(R211)+N(R212)+N(R213)+N(R216)+N(R234)+N(R237))-N(R143))/(N68+O68+P68+Q68),""),"")</f>
        <v>1.42249052826452</v>
      </c>
      <c r="S335" s="297">
        <f>IFERROR(IF(AND(COUNT(O68,P68,Q68,S68)=4,(O68+P68+Q68+S68)&lt;&gt;0),((N(S211)+N(S212)+N(S213)+N(S216)+N(S234)+N(S237))-N(S143))/(O68+P68+Q68+S68),""),"")</f>
        <v>1.37801824084093</v>
      </c>
      <c r="T335" s="297">
        <f>IFERROR(IF(AND(COUNT(P68,Q68,S68,T68)=4,(P68+Q68+S68+T68)&lt;&gt;0),((N(T211)+N(T212)+N(T213)+N(T216)+N(T234)+N(T237))-N(T143))/(P68+Q68+S68+T68),""),"")</f>
        <v>0.203339384142341</v>
      </c>
      <c r="U335" s="297">
        <f>IFERROR(IF(AND(COUNT(Q68,S68,T68,U68)=4,(Q68+S68+T68+U68)&lt;&gt;0),((N(U211)+N(U212)+N(U213)+N(U216)+N(U234)+N(U237))-N(U143))/(Q68+S68+T68+U68),""),"")</f>
        <v>0.647278728927007</v>
      </c>
      <c r="V335" s="297">
        <f>IFERROR(IF(AND(COUNT(S68,T68,U68,V68)=4,(S68+T68+U68+V68)&lt;&gt;0),((N(V211)+N(V212)+N(V213)+N(V216)+N(V234)+N(V237))-N(V143))/(S68+T68+U68+V68),""),"")</f>
        <v>1.89535287747552</v>
      </c>
      <c r="W335" s="297">
        <f>IFERROR(IF(AND(COUNT(S68,T68,U68,V68)=4,(S68+T68+U68+V68)&lt;&gt;0),((N(W211)+N(W212)+N(W213)+N(W216)+N(W234)+N(W237))-N(W143))/(S68+T68+U68+V68),""),"")</f>
        <v>1.89535287747552</v>
      </c>
      <c r="X335" s="297">
        <f>IFERROR(IF(AND(COUNT(T68,U68,V68,X68)=4,(T68+U68+V68+X68)&lt;&gt;0),((N(X211)+N(X212)+N(X213)+N(X216)+N(X234)+N(X237))-N(X143))/(T68+U68+V68+X68),""),"")</f>
        <v>1.8863964891197</v>
      </c>
      <c r="Y335" s="297">
        <f>IFERROR(IF(AND(COUNT(U68,V68,X68,Y68)=4,(U68+V68+X68+Y68)&lt;&gt;0),((N(Y211)+N(Y212)+N(Y213)+N(Y216)+N(Y234)+N(Y237))-N(Y143))/(U68+V68+X68+Y68),""),"")</f>
        <v>1.87884238240026</v>
      </c>
      <c r="Z335" s="297">
        <f>IFERROR(IF(AND(COUNT(V68,X68,Y68,Z68)=4,(V68+X68+Y68+Z68)&lt;&gt;0),((N(Z211)+N(Z212)+N(Z213)+N(Z216)+N(Z234)+N(Z237))-N(Z143))/(V68+X68+Y68+Z68),""),"")</f>
        <v>1.50718001969455</v>
      </c>
      <c r="AA335" s="297">
        <f>IFERROR(IF(AND(COUNT(X68,Y68,Z68,AA68)=4,(X68+Y68+Z68+AA68)&lt;&gt;0),((N(AA211)+N(AA212)+N(AA213)+N(AA216)+N(AA234)+N(AA237))-N(AA143))/(X68+Y68+Z68+AA68),""),"")</f>
        <v>10.8733693712099</v>
      </c>
      <c r="AB335" s="297">
        <f>IFERROR(IF(AND(COUNT(X68,Y68,Z68,AA68)=4,(X68+Y68+Z68+AA68)&lt;&gt;0),((N(AB211)+N(AB212)+N(AB213)+N(AB216)+N(AB234)+N(AB237))-N(AB143))/(X68+Y68+Z68+AA68),""),"")</f>
        <v>10.8733693712099</v>
      </c>
      <c r="AC335" s="297">
        <f>IFERROR(IF(AND(COUNT(Y68,Z68,AA68,AC68)=4,(Y68+Z68+AA68+AC68)&lt;&gt;0),((N(AC211)+N(AC212)+N(AC213)+N(AC216)+N(AC234)+N(AC237))-N(AC143))/(Y68+Z68+AA68+AC68),""),"")</f>
        <v>7.63817005845318</v>
      </c>
      <c r="AD335" s="297">
        <f>IFERROR(IF(AND(COUNT(Z68,AA68,AC68,AD68)=4,(Z68+AA68+AC68+AD68)&lt;&gt;0),((N(AD211)+N(AD212)+N(AD213)+N(AD216)+N(AD234)+N(AD237))-N(AD143))/(Z68+AA68+AC68+AD68),""),"")</f>
        <v>7.2106662165845</v>
      </c>
      <c r="AE335" s="297">
        <f>IFERROR(IF(AND(COUNT(AA68,AC68,AD68,AE68)=4,(AA68+AC68+AD68+AE68)&lt;&gt;0),((N(AE211)+N(AE212)+N(AE213)+N(AE216)+N(AE234)+N(AE237))-N(AE143))/(AA68+AC68+AD68+AE68),""),"")</f>
        <v>7.1961851473055</v>
      </c>
      <c r="AF335" s="297">
        <f>IFERROR(IF(AND(COUNT(AC68,AD68,AE68,AF68)=4,(AC68+AD68+AE68+AF68)&lt;&gt;0),((N(AF211)+N(AF212)+N(AF213)+N(AF216)+N(AF234)+N(AF237))-N(AF143))/(AC68+AD68+AE68+AF68),""),"")</f>
        <v>5.03326962074898</v>
      </c>
      <c r="AG335" s="297">
        <f>IFERROR(IF(AND(COUNT(AC68,AD68,AE68,AF68)=4,(AC68+AD68+AE68+AF68)&lt;&gt;0),((N(AG211)+N(AG212)+N(AG213)+N(AG216)+N(AG234)+N(AG237))-N(AG143))/(AC68+AD68+AE68+AF68),""),"")</f>
        <v>5.03326962074898</v>
      </c>
      <c r="AH335" s="297">
        <f>IFERROR(IF(AND(COUNT(AD68,AE68,AF68,AH68)=4,(AD68+AE68+AF68+AH68)&lt;&gt;0),((N(AH211)+N(AH212)+N(AH213)+N(AH216)+N(AH234)+N(AH237))-N(AH143))/(AD68+AE68+AF68+AH68),""),"")</f>
        <v>6.86131267360947</v>
      </c>
      <c r="AI335" s="297">
        <f>IFERROR(IF(AND(COUNT(AE68,AF68,AH68,AI68)=4,(AE68+AF68+AH68+AI68)&lt;&gt;0),((N(AI211)+N(AI212)+N(AI213)+N(AI216)+N(AI234)+N(AI237))-N(AI143))/(AE68+AF68+AH68+AI68),""),"")</f>
        <v>6.15839625956355</v>
      </c>
      <c r="AJ335" s="297">
        <f>IFERROR(IF(AND(COUNT(AF68,AH68,AI68,AJ68)=4,(AF68+AH68+AI68+AJ68)&lt;&gt;0),((N(AJ211)+N(AJ212)+N(AJ213)+N(AJ216)+N(AJ234)+N(AJ237))-N(AJ143))/(AF68+AH68+AI68+AJ68),""),"")</f>
        <v>5.41378868578018</v>
      </c>
      <c r="AK335" s="297">
        <f>IFERROR(IF(AND(COUNT(AH68,AI68,AJ68,AK68)=4,(AH68+AI68+AJ68+AK68)&lt;&gt;0),((N(AK211)+N(AK212)+N(AK213)+N(AK216)+N(AK234)+N(AK237))-N(AK143))/(AH68+AI68+AJ68+AK68),""),"")</f>
        <v>5.84150944806312</v>
      </c>
      <c r="AL335" s="297">
        <f>IFERROR(IF(AND(COUNT(AH68,AI68,AJ68,AK68)=4,(AH68+AI68+AJ68+AK68)&lt;&gt;0),((N(AL211)+N(AL212)+N(AL213)+N(AL216)+N(AL234)+N(AL237))-N(AL143))/(AH68+AI68+AJ68+AK68),""),"")</f>
        <v>5.84150944806312</v>
      </c>
      <c r="AM335" s="297">
        <f>IFERROR(IF(AND(COUNT(AI68,AJ68,AK68,AM68)=4,(AI68+AJ68+AK68+AM68)&lt;&gt;0),((N(AM211)+N(AM212)+N(AM213)+N(AM216)+N(AM234)+N(AM237))-N(AM143))/(AI68+AJ68+AK68+AM68),""),"")</f>
        <v>4.84731757978855</v>
      </c>
      <c r="AN335" s="297">
        <f>IFERROR(IF(AND(COUNT(AJ68,AK68,AM68,AN68)=4,(AJ68+AK68+AM68+AN68)&lt;&gt;0),((N(AN211)+N(AN212)+N(AN213)+N(AN216)+N(AN234)+N(AN237))-N(AN143))/(AJ68+AK68+AM68+AN68),""),"")</f>
        <v>4.66245034616403</v>
      </c>
      <c r="AO335" s="297">
        <f>IFERROR(IF(AND(COUNT(AK68,AM68,AN68,AO68)=4,(AK68+AM68+AN68+AO68)&lt;&gt;0),((N(AO211)+N(AO212)+N(AO213)+N(AO216)+N(AO234)+N(AO237))-N(AO143))/(AK68+AM68+AN68+AO68),""),"")</f>
        <v>4.40757471022877</v>
      </c>
      <c r="AP335" s="297">
        <f>IFERROR(IF(AND(COUNT(AM68,AN68,AO68,AP68)=4,(AM68+AN68+AO68+AP68)&lt;&gt;0),((N(AP211)+N(AP212)+N(AP213)+N(AP216)+N(AP234)+N(AP237))-N(AP143))/(AM68+AN68+AO68+AP68),""),"")</f>
        <v>4.12603504130875</v>
      </c>
      <c r="AQ335" s="297">
        <f>IFERROR(IF(AND(COUNT(AM68,AN68,AO68,AP68)=4,(AM68+AN68+AO68+AP68)&lt;&gt;0),((N(AQ211)+N(AQ212)+N(AQ213)+N(AQ216)+N(AQ234)+N(AQ237))-N(AQ143))/(AM68+AN68+AO68+AP68),""),"")</f>
        <v>4.12603504130875</v>
      </c>
      <c r="AR335" s="297">
        <f>IFERROR(IF(AND(COUNT(AN68,AO68,AP68,AR68)=4,(AN68+AO68+AP68+AR68)&lt;&gt;0),((N(AR211)+N(AR212)+N(AR213)+N(AR216)+N(AR234)+N(AR237))-N(AR143))/(AN68+AO68+AP68+AR68),""),"")</f>
        <v>3.9152395537017</v>
      </c>
      <c r="AS335" s="297">
        <f>IFERROR(IF(AND(COUNT(AO68,AP68,AR68,AS68)=4,(AO68+AP68+AR68+AS68)&lt;&gt;0),((N(AS211)+N(AS212)+N(AS213)+N(AS216)+N(AS234)+N(AS237))-N(AS143))/(AO68+AP68+AR68+AS68),""),"")</f>
        <v>3.73153864303195</v>
      </c>
      <c r="AT335" s="297">
        <f>IFERROR(IF(AND(COUNT(AP68,AR68,AS68,AT68)=4,(AP68+AR68+AS68+AT68)&lt;&gt;0),((N(AT211)+N(AT212)+N(AT213)+N(AT216)+N(AT234)+N(AT237))-N(AT143))/(AP68+AR68+AS68+AT68),""),"")</f>
        <v>3.48959913365064</v>
      </c>
      <c r="AU335" s="297">
        <f>IFERROR(IF(AND(COUNT(AR68,AS68,AT68,AU68)=4,(AR68+AS68+AT68+AU68)&lt;&gt;0),((N(AU211)+N(AU212)+N(AU213)+N(AU216)+N(AU234)+N(AU237))-N(AU143))/(AR68+AS68+AT68+AU68),""),"")</f>
        <v>3.22119867296804</v>
      </c>
      <c r="AV335" s="297">
        <f>IFERROR(IF(AND(COUNT(AR68,AS68,AT68,AU68)=4,(AR68+AS68+AT68+AU68)&lt;&gt;0),((N(AV211)+N(AV212)+N(AV213)+N(AV216)+N(AV234)+N(AV237))-N(AV143))/(AR68+AS68+AT68+AU68),""),"")</f>
        <v>3.22119867296804</v>
      </c>
      <c r="AW335" s="297">
        <f>IFERROR(IF(AND(COUNT(AS68,AT68,AU68,AW68)=4,(AS68+AT68+AU68+AW68)&lt;&gt;0),((N(AW211)+N(AW212)+N(AW213)+N(AW216)+N(AW234)+N(AW237))-N(AW143))/(AS68+AT68+AU68+AW68),""),"")</f>
        <v>3.01515915619623</v>
      </c>
      <c r="AX335" s="297">
        <f>IFERROR(IF(AND(COUNT(AT68,AU68,AW68,AX68)=4,(AT68+AU68+AW68+AX68)&lt;&gt;0),((N(AX211)+N(AX212)+N(AX213)+N(AX216)+N(AX234)+N(AX237))-N(AX143))/(AT68+AU68+AW68+AX68),""),"")</f>
        <v>2.83296492589744</v>
      </c>
      <c r="AY335" s="297">
        <f>IFERROR(IF(AND(COUNT(AU68,AW68,AX68,AY68)=4,(AU68+AW68+AX68+AY68)&lt;&gt;0),((N(AY211)+N(AY212)+N(AY213)+N(AY216)+N(AY234)+N(AY237))-N(AY143))/(AU68+AW68+AX68+AY68),""),"")</f>
        <v>2.60033944357749</v>
      </c>
      <c r="AZ335" s="297">
        <f>IFERROR(IF(AND(COUNT(AW68,AX68,AY68,AZ68)=4,(AW68+AX68+AY68+AZ68)&lt;&gt;0),((N(AZ211)+N(AZ212)+N(AZ213)+N(AZ216)+N(AZ234)+N(AZ237))-N(AZ143))/(AW68+AX68+AY68+AZ68),""),"")</f>
        <v>2.34121978673645</v>
      </c>
      <c r="BA335" s="297">
        <f>IFERROR(IF(AND(COUNT(AW68,AX68,AY68,AZ68)=4,(AW68+AX68+AY68+AZ68)&lt;&gt;0),((N(BA211)+N(BA212)+N(BA213)+N(BA216)+N(BA234)+N(BA237))-N(BA143))/(AW68+AX68+AY68+AZ68),""),"")</f>
        <v>2.34121978673645</v>
      </c>
      <c r="BB335" s="297">
        <f>IFERROR(IF(AND(COUNT(AX68,AY68,AZ68,BB68)=4,(AX68+AY68+AZ68+BB68)&lt;&gt;0),((N(BB211)+N(BB212)+N(BB213)+N(BB216)+N(BB234)+N(BB237))-N(BB143))/(AX68+AY68+AZ68+BB68),""),"")</f>
        <v>2.13564531773749</v>
      </c>
      <c r="BC335" s="297">
        <f>IFERROR(IF(AND(COUNT(AY68,AZ68,BB68,BC68)=4,(AY68+AZ68+BB68+BC68)&lt;&gt;0),((N(BC211)+N(BC212)+N(BC213)+N(BC216)+N(BC234)+N(BC237))-N(BC143))/(AY68+AZ68+BB68+BC68),""),"")</f>
        <v>1.9522280780719</v>
      </c>
      <c r="BD335" s="297">
        <f>IFERROR(IF(AND(COUNT(AZ68,BB68,BC68,BD68)=4,(AZ68+BB68+BC68+BD68)&lt;&gt;0),((N(BD211)+N(BD212)+N(BD213)+N(BD216)+N(BD234)+N(BD237))-N(BD143))/(AZ68+BB68+BC68+BD68),""),"")</f>
        <v>1.72453334105431</v>
      </c>
      <c r="BE335" s="297">
        <f>IFERROR(IF(AND(COUNT(BB68,BC68,BD68,BE68)=4,(BB68+BC68+BD68+BE68)&lt;&gt;0),((N(BE211)+N(BE212)+N(BE213)+N(BE216)+N(BE234)+N(BE237))-N(BE143))/(BB68+BC68+BD68+BE68),""),"")</f>
        <v>1.47007432158341</v>
      </c>
      <c r="BF335" s="297">
        <f>IFERROR(IF(AND(COUNT(BB68,BC68,BD68,BE68)=4,(BB68+BC68+BD68+BE68)&lt;&gt;0),((N(BF211)+N(BF212)+N(BF213)+N(BF216)+N(BF234)+N(BF237))-N(BF143))/(BB68+BC68+BD68+BE68),""),"")</f>
        <v>1.47007432158341</v>
      </c>
      <c r="BG335" s="82" t="n"/>
      <c r="BH335" s="82" t="n"/>
      <c r="BI335" s="82" t="n"/>
      <c r="BJ335" s="82" t="n"/>
      <c r="BL335" s="82" t="n"/>
      <c r="BM335" s="82" t="n"/>
      <c r="BN335" s="82" t="n"/>
      <c r="BO335" s="82" t="n"/>
      <c r="BQ335" s="82" t="n"/>
      <c r="BR335" s="82" t="n"/>
      <c r="BS335" s="82" t="n"/>
      <c r="BT335" s="82" t="n"/>
      <c r="BV335" s="82" t="n"/>
      <c r="BW335" s="82" t="n"/>
      <c r="BX335" s="82" t="n"/>
      <c r="BY335" s="82" t="n"/>
      <c r="CA335" s="82" t="n"/>
      <c r="CB335" s="82" t="n"/>
      <c r="CC335" s="82" t="n"/>
      <c r="CD335" s="82" t="n"/>
      <c r="CF335" s="82" t="n"/>
      <c r="CG335" s="82" t="n"/>
      <c r="CH335" s="82" t="n"/>
      <c r="CI335" s="82" t="n"/>
      <c r="CK335" s="82" t="n"/>
      <c r="CL335" s="82" t="n"/>
      <c r="CM335" s="82" t="n"/>
      <c r="CN335" s="82" t="n"/>
      <c r="CP335" s="82" t="n"/>
      <c r="CQ335" s="82" t="n"/>
      <c r="CR335" s="82" t="n"/>
      <c r="CS335" s="82" t="n"/>
      <c r="CU335" s="82" t="n"/>
      <c r="CV335" s="82" t="n"/>
      <c r="CW335" s="82" t="n"/>
      <c r="CX335" s="82" t="n"/>
    </row>
    <row r="336" customFormat="1" s="77">
      <c r="A336" s="76" t="n"/>
      <c r="B336" s="76" t="n"/>
      <c r="C336" s="83" t="inlineStr">
        <is>
          <t>NET DEBT (EX IFRS 16.) / EBITDA (LTM)</t>
        </is>
      </c>
      <c r="D336" s="82" t="n"/>
      <c r="E336" s="82" t="n"/>
      <c r="F336" s="82" t="n"/>
      <c r="G336" s="82" t="n"/>
      <c r="H336" s="297" t="str">
        <f>IFERROR(IF(AND(COUNT(H68)=1,(H68)&lt;&gt;0),((N(H211)+N(H212)+N(H216)+N(H237))-N(H143))/(H68),""),"")</f>
        <v/>
      </c>
      <c r="I336" s="297" t="str">
        <f>""</f>
        <v/>
      </c>
      <c r="J336" s="297" t="str">
        <f>""</f>
        <v/>
      </c>
      <c r="K336" s="297" t="str">
        <f>""</f>
        <v/>
      </c>
      <c r="L336" s="297">
        <f>IFERROR(IF(AND(COUNT(I68,J68,K68,L68)=4,(I68+J68+K68+L68)&lt;&gt;0),((N(L211)+N(L212)+N(L216)+N(L237))-N(L143))/(I68+J68+K68+L68),""),"")</f>
        <v>1.70688428520369</v>
      </c>
      <c r="M336" s="297">
        <f>IFERROR(IF(AND(COUNT(I68,J68,K68,L68)=4,(I68+J68+K68+L68)&lt;&gt;0),((N(M211)+N(M212)+N(M216)+N(M237))-N(M143))/(I68+J68+K68+L68),""),"")</f>
        <v>1.70688428520369</v>
      </c>
      <c r="N336" s="297">
        <f>IFERROR(IF(AND(COUNT(J68,K68,L68,N68)=4,(J68+K68+L68+N68)&lt;&gt;0),((N(N211)+N(N212)+N(N216)+N(N237))-N(N143))/(J68+K68+L68+N68),""),"")</f>
        <v>0.965267571728874</v>
      </c>
      <c r="O336" s="297">
        <f>IFERROR(IF(AND(COUNT(K68,L68,N68,O68)=4,(K68+L68+N68+O68)&lt;&gt;0),((N(O211)+N(O212)+N(O216)+N(O237))-N(O143))/(K68+L68+N68+O68),""),"")</f>
        <v>1.26419389978831</v>
      </c>
      <c r="P336" s="297">
        <f>IFERROR(IF(AND(COUNT(L68,N68,O68,P68)=4,(L68+N68+O68+P68)&lt;&gt;0),((N(P211)+N(P212)+N(P216)+N(P237))-N(P143))/(L68+N68+O68+P68),""),"")</f>
        <v>1.93804397553275</v>
      </c>
      <c r="Q336" s="297">
        <f>IFERROR(IF(AND(COUNT(N68,O68,P68,Q68)=4,(N68+O68+P68+Q68)&lt;&gt;0),((N(Q211)+N(Q212)+N(Q216)+N(Q237))-N(Q143))/(N68+O68+P68+Q68),""),"")</f>
        <v>1.39864758686012</v>
      </c>
      <c r="R336" s="297">
        <f>IFERROR(IF(AND(COUNT(N68,O68,P68,Q68)=4,(N68+O68+P68+Q68)&lt;&gt;0),((N(R211)+N(R212)+N(R216)+N(R237))-N(R143))/(N68+O68+P68+Q68),""),"")</f>
        <v>1.39864758686012</v>
      </c>
      <c r="S336" s="297">
        <f>IFERROR(IF(AND(COUNT(O68,P68,Q68,S68)=4,(O68+P68+Q68+S68)&lt;&gt;0),((N(S211)+N(S212)+N(S216)+N(S237))-N(S143))/(O68+P68+Q68+S68),""),"")</f>
        <v>1.35539371394093</v>
      </c>
      <c r="T336" s="297">
        <f>IFERROR(IF(AND(COUNT(P68,Q68,S68,T68)=4,(P68+Q68+S68+T68)&lt;&gt;0),((N(T211)+N(T212)+N(T216)+N(T237))-N(T143))/(P68+Q68+S68+T68),""),"")</f>
        <v>0.182171519734439</v>
      </c>
      <c r="U336" s="297">
        <f>IFERROR(IF(AND(COUNT(Q68,S68,T68,U68)=4,(Q68+S68+T68+U68)&lt;&gt;0),((N(U211)+N(U212)+N(U216)+N(U237))-N(U143))/(Q68+S68+T68+U68),""),"")</f>
        <v>0.614198366371301</v>
      </c>
      <c r="V336" s="297">
        <f>IFERROR(IF(AND(COUNT(S68,T68,U68,V68)=4,(S68+T68+U68+V68)&lt;&gt;0),((N(V211)+N(V212)+N(V216)+N(V237))-N(V143))/(S68+T68+U68+V68),""),"")</f>
        <v>1.85558297777489</v>
      </c>
      <c r="W336" s="297">
        <f>IFERROR(IF(AND(COUNT(S68,T68,U68,V68)=4,(S68+T68+U68+V68)&lt;&gt;0),((N(W211)+N(W212)+N(W216)+N(W237))-N(W143))/(S68+T68+U68+V68),""),"")</f>
        <v>1.85558297777489</v>
      </c>
      <c r="X336" s="297">
        <f>IFERROR(IF(AND(COUNT(T68,U68,V68,X68)=4,(T68+U68+V68+X68)&lt;&gt;0),((N(X211)+N(X212)+N(X216)+N(X237))-N(X143))/(T68+U68+V68+X68),""),"")</f>
        <v>1.850628191006</v>
      </c>
      <c r="Y336" s="297">
        <f>IFERROR(IF(AND(COUNT(U68,V68,X68,Y68)=4,(U68+V68+X68+Y68)&lt;&gt;0),((N(Y211)+N(Y212)+N(Y216)+N(Y237))-N(Y143))/(U68+V68+X68+Y68),""),"")</f>
        <v>1.84259760029312</v>
      </c>
      <c r="Z336" s="297">
        <f>IFERROR(IF(AND(COUNT(V68,X68,Y68,Z68)=4,(V68+X68+Y68+Z68)&lt;&gt;0),((N(Z211)+N(Z212)+N(Z216)+N(Z237))-N(Z143))/(V68+X68+Y68+Z68),""),"")</f>
        <v>1.47151805154741</v>
      </c>
      <c r="AA336" s="297">
        <f>IFERROR(IF(AND(COUNT(X68,Y68,Z68,AA68)=4,(X68+Y68+Z68+AA68)&lt;&gt;0),((N(AA211)+N(AA212)+N(AA216)+N(AA237))-N(AA143))/(X68+Y68+Z68+AA68),""),"")</f>
        <v>10.7806958110179</v>
      </c>
      <c r="AB336" s="297">
        <f>IFERROR(IF(AND(COUNT(X68,Y68,Z68,AA68)=4,(X68+Y68+Z68+AA68)&lt;&gt;0),((N(AB211)+N(AB212)+N(AB216)+N(AB237))-N(AB143))/(X68+Y68+Z68+AA68),""),"")</f>
        <v>10.7806958110179</v>
      </c>
      <c r="AC336" s="297">
        <f>IFERROR(IF(AND(COUNT(Y68,Z68,AA68,AC68)=4,(Y68+Z68+AA68+AC68)&lt;&gt;0),((N(AC211)+N(AC212)+N(AC216)+N(AC237))-N(AC143))/(Y68+Z68+AA68+AC68),""),"")</f>
        <v>7.57344075528915</v>
      </c>
      <c r="AD336" s="297">
        <f>IFERROR(IF(AND(COUNT(Z68,AA68,AC68,AD68)=4,(Z68+AA68+AC68+AD68)&lt;&gt;0),((N(AD211)+N(AD212)+N(AD216)+N(AD237))-N(AD143))/(Z68+AA68+AC68+AD68),""),"")</f>
        <v>7.14955550733247</v>
      </c>
      <c r="AE336" s="297">
        <f>IFERROR(IF(AND(COUNT(AA68,AC68,AD68,AE68)=4,(AA68+AC68+AD68+AE68)&lt;&gt;0),((N(AE211)+N(AE212)+N(AE216)+N(AE237))-N(AE143))/(AA68+AC68+AD68+AE68),""),"")</f>
        <v>7.13621635369359</v>
      </c>
      <c r="AF336" s="297">
        <f>IFERROR(IF(AND(COUNT(AC68,AD68,AE68,AF68)=4,(AC68+AD68+AE68+AF68)&lt;&gt;0),((N(AF211)+N(AF212)+N(AF216)+N(AF237))-N(AF143))/(AC68+AD68+AE68+AF68),""),"")</f>
        <v>4.99259520940864</v>
      </c>
      <c r="AG336" s="297">
        <f>IFERROR(IF(AND(COUNT(AC68,AD68,AE68,AF68)=4,(AC68+AD68+AE68+AF68)&lt;&gt;0),((N(AG211)+N(AG212)+N(AG216)+N(AG237))-N(AG143))/(AC68+AD68+AE68+AF68),""),"")</f>
        <v>4.99259520940864</v>
      </c>
      <c r="AH336" s="297">
        <f>IFERROR(IF(AND(COUNT(AD68,AE68,AF68,AH68)=4,(AD68+AE68+AF68+AH68)&lt;&gt;0),((N(AH211)+N(AH212)+N(AH216)+N(AH237))-N(AH143))/(AD68+AE68+AF68+AH68),""),"")</f>
        <v>6.80541668301567</v>
      </c>
      <c r="AI336" s="297">
        <f>IFERROR(IF(AND(COUNT(AE68,AF68,AH68,AI68)=4,(AE68+AF68+AH68+AI68)&lt;&gt;0),((N(AI211)+N(AI212)+N(AI216)+N(AI237))-N(AI143))/(AE68+AF68+AH68+AI68),""),"")</f>
        <v>6.10833906135869</v>
      </c>
      <c r="AJ336" s="297">
        <f>IFERROR(IF(AND(COUNT(AF68,AH68,AI68,AJ68)=4,(AF68+AH68+AI68+AJ68)&lt;&gt;0),((N(AJ211)+N(AJ212)+N(AJ216)+N(AJ237))-N(AJ143))/(AF68+AH68+AI68+AJ68),""),"")</f>
        <v>5.36928464434119</v>
      </c>
      <c r="AK336" s="297">
        <f>IFERROR(IF(AND(COUNT(AH68,AI68,AJ68,AK68)=4,(AH68+AI68+AJ68+AK68)&lt;&gt;0),((N(AK211)+N(AK212)+N(AK216)+N(AK237))-N(AK143))/(AH68+AI68+AJ68+AK68),""),"")</f>
        <v>5.79266159247897</v>
      </c>
      <c r="AL336" s="297">
        <f>IFERROR(IF(AND(COUNT(AH68,AI68,AJ68,AK68)=4,(AH68+AI68+AJ68+AK68)&lt;&gt;0),((N(AL211)+N(AL212)+N(AL216)+N(AL237))-N(AL143))/(AH68+AI68+AJ68+AK68),""),"")</f>
        <v>5.79266159247897</v>
      </c>
      <c r="AM336" s="297">
        <f>IFERROR(IF(AND(COUNT(AI68,AJ68,AK68,AM68)=4,(AI68+AJ68+AK68+AM68)&lt;&gt;0),((N(AM211)+N(AM212)+N(AM216)+N(AM237))-N(AM143))/(AI68+AJ68+AK68+AM68),""),"")</f>
        <v>4.80623740410202</v>
      </c>
      <c r="AN336" s="297">
        <f>IFERROR(IF(AND(COUNT(AJ68,AK68,AM68,AN68)=4,(AJ68+AK68+AM68+AN68)&lt;&gt;0),((N(AN211)+N(AN212)+N(AN216)+N(AN237))-N(AN143))/(AJ68+AK68+AM68+AN68),""),"")</f>
        <v>4.62251326958979</v>
      </c>
      <c r="AO336" s="297">
        <f>IFERROR(IF(AND(COUNT(AK68,AM68,AN68,AO68)=4,(AK68+AM68+AN68+AO68)&lt;&gt;0),((N(AO211)+N(AO212)+N(AO216)+N(AO237))-N(AO143))/(AK68+AM68+AN68+AO68),""),"")</f>
        <v>4.36910543698867</v>
      </c>
      <c r="AP336" s="297">
        <f>IFERROR(IF(AND(COUNT(AM68,AN68,AO68,AP68)=4,(AM68+AN68+AO68+AP68)&lt;&gt;0),((N(AP211)+N(AP212)+N(AP216)+N(AP237))-N(AP143))/(AM68+AN68+AO68+AP68),""),"")</f>
        <v>4.08902753945857</v>
      </c>
      <c r="AQ336" s="297">
        <f>IFERROR(IF(AND(COUNT(AM68,AN68,AO68,AP68)=4,(AM68+AN68+AO68+AP68)&lt;&gt;0),((N(AQ211)+N(AQ212)+N(AQ216)+N(AQ237))-N(AQ143))/(AM68+AN68+AO68+AP68),""),"")</f>
        <v>4.08902753945857</v>
      </c>
      <c r="AR336" s="297">
        <f>IFERROR(IF(AND(COUNT(AN68,AO68,AP68,AR68)=4,(AN68+AO68+AP68+AR68)&lt;&gt;0),((N(AR211)+N(AR212)+N(AR216)+N(AR237))-N(AR143))/(AN68+AO68+AP68+AR68),""),"")</f>
        <v>3.87929851177533</v>
      </c>
      <c r="AS336" s="297">
        <f>IFERROR(IF(AND(COUNT(AO68,AP68,AR68,AS68)=4,(AO68+AP68+AR68+AS68)&lt;&gt;0),((N(AS211)+N(AS212)+N(AS216)+N(AS237))-N(AS143))/(AO68+AP68+AR68+AS68),""),"")</f>
        <v>3.69659825793148</v>
      </c>
      <c r="AT336" s="297">
        <f>IFERROR(IF(AND(COUNT(AP68,AR68,AS68,AT68)=4,(AP68+AR68+AS68+AT68)&lt;&gt;0),((N(AT211)+N(AT212)+N(AT216)+N(AT237))-N(AT143))/(AP68+AR68+AS68+AT68),""),"")</f>
        <v>3.45590266762011</v>
      </c>
      <c r="AU336" s="297">
        <f>IFERROR(IF(AND(COUNT(AR68,AS68,AT68,AU68)=4,(AR68+AS68+AT68+AU68)&lt;&gt;0),((N(AU211)+N(AU212)+N(AU216)+N(AU237))-N(AU143))/(AR68+AS68+AT68+AU68),""),"")</f>
        <v>3.18874397393595</v>
      </c>
      <c r="AV336" s="297">
        <f>IFERROR(IF(AND(COUNT(AR68,AS68,AT68,AU68)=4,(AR68+AS68+AT68+AU68)&lt;&gt;0),((N(AV211)+N(AV212)+N(AV216)+N(AV237))-N(AV143))/(AR68+AS68+AT68+AU68),""),"")</f>
        <v>3.18874397393595</v>
      </c>
      <c r="AW336" s="297">
        <f>IFERROR(IF(AND(COUNT(AS68,AT68,AU68,AW68)=4,(AS68+AT68+AU68+AW68)&lt;&gt;0),((N(AW211)+N(AW212)+N(AW216)+N(AW237))-N(AW143))/(AS68+AT68+AU68+AW68),""),"")</f>
        <v>2.98360730944844</v>
      </c>
      <c r="AX336" s="297">
        <f>IFERROR(IF(AND(COUNT(AT68,AU68,AW68,AX68)=4,(AT68+AU68+AW68+AX68)&lt;&gt;0),((N(AX211)+N(AX212)+N(AX216)+N(AX237))-N(AX143))/(AT68+AU68+AW68+AX68),""),"")</f>
        <v>2.80226191323663</v>
      </c>
      <c r="AY336" s="297">
        <f>IFERROR(IF(AND(COUNT(AU68,AW68,AX68,AY68)=4,(AU68+AW68+AX68+AY68)&lt;&gt;0),((N(AY211)+N(AY212)+N(AY216)+N(AY237))-N(AY143))/(AU68+AW68+AX68+AY68),""),"")</f>
        <v>2.57069390714078</v>
      </c>
      <c r="AZ336" s="297">
        <f>IFERROR(IF(AND(COUNT(AW68,AX68,AY68,AZ68)=4,(AW68+AX68+AY68+AZ68)&lt;&gt;0),((N(AZ211)+N(AZ212)+N(AZ216)+N(AZ237))-N(AZ143))/(AW68+AX68+AY68+AZ68),""),"")</f>
        <v>2.31263243536725</v>
      </c>
      <c r="BA336" s="297">
        <f>IFERROR(IF(AND(COUNT(AW68,AX68,AY68,AZ68)=4,(AW68+AX68+AY68+AZ68)&lt;&gt;0),((N(BA211)+N(BA212)+N(BA216)+N(BA237))-N(BA143))/(AW68+AX68+AY68+AZ68),""),"")</f>
        <v>2.31263243536725</v>
      </c>
      <c r="BB336" s="297">
        <f>IFERROR(IF(AND(COUNT(AX68,AY68,AZ68,BB68)=4,(AX68+AY68+AZ68+BB68)&lt;&gt;0),((N(BB211)+N(BB212)+N(BB216)+N(BB237))-N(BB143))/(AX68+AY68+AZ68+BB68),""),"")</f>
        <v>2.10782462878212</v>
      </c>
      <c r="BC336" s="297">
        <f>IFERROR(IF(AND(COUNT(AY68,AZ68,BB68,BC68)=4,(AY68+AZ68+BB68+BC68)&lt;&gt;0),((N(BC211)+N(BC212)+N(BC216)+N(BC237))-N(BC143))/(AY68+AZ68+BB68+BC68),""),"")</f>
        <v>1.92512962239973</v>
      </c>
      <c r="BD336" s="297">
        <f>IFERROR(IF(AND(COUNT(AZ68,BB68,BC68,BD68)=4,(AZ68+BB68+BC68+BD68)&lt;&gt;0),((N(BD211)+N(BD212)+N(BD216)+N(BD237))-N(BD143))/(AZ68+BB68+BC68+BD68),""),"")</f>
        <v>1.69833660209876</v>
      </c>
      <c r="BE336" s="297">
        <f>IFERROR(IF(AND(COUNT(BB68,BC68,BD68,BE68)=4,(BB68+BC68+BD68+BE68)&lt;&gt;0),((N(BE211)+N(BE212)+N(BE216)+N(BE237))-N(BE143))/(BB68+BC68+BD68+BE68),""),"")</f>
        <v>1.44478208740116</v>
      </c>
      <c r="BF336" s="297">
        <f>IFERROR(IF(AND(COUNT(BB68,BC68,BD68,BE68)=4,(BB68+BC68+BD68+BE68)&lt;&gt;0),((N(BF211)+N(BF212)+N(BF216)+N(BF237))-N(BF143))/(BB68+BC68+BD68+BE68),""),"")</f>
        <v>1.44478208740116</v>
      </c>
      <c r="BG336" s="82" t="n"/>
      <c r="BH336" s="82" t="n"/>
      <c r="BI336" s="82" t="n"/>
      <c r="BJ336" s="82" t="n"/>
      <c r="BL336" s="82" t="n"/>
      <c r="BM336" s="82" t="n"/>
      <c r="BN336" s="82" t="n"/>
      <c r="BO336" s="82" t="n"/>
      <c r="BQ336" s="82" t="n"/>
      <c r="BR336" s="82" t="n"/>
      <c r="BS336" s="82" t="n"/>
      <c r="BT336" s="82" t="n"/>
      <c r="BV336" s="82" t="n"/>
      <c r="BW336" s="82" t="n"/>
      <c r="BX336" s="82" t="n"/>
      <c r="BY336" s="82" t="n"/>
      <c r="CA336" s="82" t="n"/>
      <c r="CB336" s="82" t="n"/>
      <c r="CC336" s="82" t="n"/>
      <c r="CD336" s="82" t="n"/>
      <c r="CF336" s="82" t="n"/>
      <c r="CG336" s="82" t="n"/>
      <c r="CH336" s="82" t="n"/>
      <c r="CI336" s="82" t="n"/>
      <c r="CK336" s="82" t="n"/>
      <c r="CL336" s="82" t="n"/>
      <c r="CM336" s="82" t="n"/>
      <c r="CN336" s="82" t="n"/>
      <c r="CP336" s="82" t="n"/>
      <c r="CQ336" s="82" t="n"/>
      <c r="CR336" s="82" t="n"/>
      <c r="CS336" s="82" t="n"/>
      <c r="CU336" s="82" t="n"/>
      <c r="CV336" s="82" t="n"/>
      <c r="CW336" s="82" t="n"/>
      <c r="CX336" s="82" t="n"/>
    </row>
    <row r="337" customFormat="1" s="77">
      <c r="A337" s="76" t="n"/>
      <c r="B337" s="76" t="n"/>
      <c r="C337" s="77" t="inlineStr">
        <is>
          <t>INTEREST COVERAGE (EBIT / INTEREST, LTM)</t>
        </is>
      </c>
      <c r="D337" s="82" t="n"/>
      <c r="E337" s="82" t="n"/>
      <c r="F337" s="82" t="n"/>
      <c r="G337" s="82" t="n"/>
      <c r="H337" s="297" t="str">
        <f>IFERROR(IF(AND(COUNT(H72)=1,(H73)&lt;&gt;0),(H72)/-(H73),""),"")</f>
        <v/>
      </c>
      <c r="I337" s="297" t="str">
        <f>""</f>
        <v/>
      </c>
      <c r="J337" s="297" t="str">
        <f>""</f>
        <v/>
      </c>
      <c r="K337" s="297" t="str">
        <f>""</f>
        <v/>
      </c>
      <c r="L337" s="297">
        <f>IFERROR(IF(AND(COUNT(I72,J72,K72,L72)=4,(I73+J73+K73+L73)&lt;&gt;0),(I72+J72+K72+L72)/-(I73+J73+K73+L73),""),"")</f>
        <v>1.50922203494419</v>
      </c>
      <c r="M337" s="297">
        <f>IFERROR(IF(AND(COUNT(I72,J72,K72,L72)=4,(I73+J73+K73+L73)&lt;&gt;0),(I72+J72+K72+L72)/-(I73+J73+K73+L73),""),"")</f>
        <v>1.50922203494419</v>
      </c>
      <c r="N337" s="297">
        <f>IFERROR(IF(AND(COUNT(J72,K72,L72,N72)=4,(J73+K73+L73+N73)&lt;&gt;0),(J72+K72+L72+N72)/-(J73+K73+L73+N73),""),"")</f>
        <v>1.26371203524091</v>
      </c>
      <c r="O337" s="297">
        <f>IFERROR(IF(AND(COUNT(K72,L72,N72,O72)=4,(K73+L73+N73+O73)&lt;&gt;0),(K72+L72+N72+O72)/-(K73+L73+N73+O73),""),"")</f>
        <v>1.18260605326429</v>
      </c>
      <c r="P337" s="297">
        <f>IFERROR(IF(AND(COUNT(L72,N72,O72,P72)=4,(L73+N73+O73+P73)&lt;&gt;0),(L72+N72+O72+P72)/-(L73+N73+O73+P73),""),"")</f>
        <v>0.831496174448932</v>
      </c>
      <c r="Q337" s="297">
        <f>IFERROR(IF(AND(COUNT(N72,O72,P72,Q72)=4,(N73+O73+P73+Q73)&lt;&gt;0),(N72+O72+P72+Q72)/-(N73+O73+P73+Q73),""),"")</f>
        <v>1.07119357966816</v>
      </c>
      <c r="R337" s="297">
        <f>IFERROR(IF(AND(COUNT(N72,O72,P72,Q72)=4,(N73+O73+P73+Q73)&lt;&gt;0),(N72+O72+P72+Q72)/-(N73+O73+P73+Q73),""),"")</f>
        <v>1.07119357966816</v>
      </c>
      <c r="S337" s="297">
        <f>IFERROR(IF(AND(COUNT(O72,P72,Q72,S72)=4,(O73+P73+Q73+S73)&lt;&gt;0),(O72+P72+Q72+S72)/-(O73+P73+Q73+S73),""),"")</f>
        <v>1.16562952255204</v>
      </c>
      <c r="T337" s="297">
        <f>IFERROR(IF(AND(COUNT(P72,Q72,S72,T72)=4,(P73+Q73+S73+T73)&lt;&gt;0),(P72+Q72+S72+T72)/-(P73+Q73+S73+T73),""),"")</f>
        <v>1.10825831908757</v>
      </c>
      <c r="U337" s="297">
        <f>IFERROR(IF(AND(COUNT(Q72,S72,T72,U72)=4,(Q73+S73+T73+U73)&lt;&gt;0),(Q72+S72+T72+U72)/-(Q73+S73+T73+U73),""),"")</f>
        <v>0.973343007841933</v>
      </c>
      <c r="V337" s="297">
        <f>IFERROR(IF(AND(COUNT(S72,T72,U72,V72)=4,(S73+T73+U73+V73)&lt;&gt;0),(S72+T72+U72+V72)/-(S73+T73+U73+V73),""),"")</f>
        <v>0.848421486405018</v>
      </c>
      <c r="W337" s="297">
        <f>IFERROR(IF(AND(COUNT(S72,T72,U72,V72)=4,(S73+T73+U73+V73)&lt;&gt;0),(S72+T72+U72+V72)/-(S73+T73+U73+V73),""),"")</f>
        <v>0.848421486405018</v>
      </c>
      <c r="X337" s="297">
        <f>IFERROR(IF(AND(COUNT(T72,U72,V72,X72)=4,(T73+U73+V73+X73)&lt;&gt;0),(T72+U72+V72+X72)/-(T73+U73+V73+X73),""),"")</f>
        <v>0.986397387008617</v>
      </c>
      <c r="Y337" s="297">
        <f>IFERROR(IF(AND(COUNT(U72,V72,X72,Y72)=4,(U73+V73+X73+Y73)&lt;&gt;0),(U72+V72+X72+Y72)/-(U73+V73+X73+Y73),""),"")</f>
        <v>1.17389187452191</v>
      </c>
      <c r="Z337" s="297">
        <f>IFERROR(IF(AND(COUNT(V72,X72,Y72,Z72)=4,(V73+X73+Y73+Z73)&lt;&gt;0),(V72+X72+Y72+Z72)/-(V73+X73+Y73+Z73),""),"")</f>
        <v>1.39237827771141</v>
      </c>
      <c r="AA337" s="297">
        <f>IFERROR(IF(AND(COUNT(X72,Y72,Z72,AA72)=4,(X73+Y73+Z73+AA73)&lt;&gt;0),(X72+Y72+Z72+AA72)/-(X73+Y73+Z73+AA73),""),"")</f>
        <v>0.763647904488548</v>
      </c>
      <c r="AB337" s="297">
        <f>IFERROR(IF(AND(COUNT(X72,Y72,Z72,AA72)=4,(X73+Y73+Z73+AA73)&lt;&gt;0),(X72+Y72+Z72+AA72)/-(X73+Y73+Z73+AA73),""),"")</f>
        <v>0.763647904488548</v>
      </c>
      <c r="AC337" s="297">
        <f>IFERROR(IF(AND(COUNT(Y72,Z72,AA72,AC72)=4,(Y73+Z73+AA73+AC73)&lt;&gt;0),(Y72+Z72+AA72+AC72)/-(Y73+Z73+AA73+AC73),""),"")</f>
        <v>0.724715933975846</v>
      </c>
      <c r="AD337" s="297">
        <f>IFERROR(IF(AND(COUNT(Z72,AA72,AC72,AD72)=4,(Z73+AA73+AC73+AD73)&lt;&gt;0),(Z72+AA72+AC72+AD72)/-(Z73+AA73+AC73+AD73),""),"")</f>
        <v>0.486266689172141</v>
      </c>
      <c r="AE337" s="297">
        <f>IFERROR(IF(AND(COUNT(AA72,AC72,AD72,AE72)=4,(AA73+AC73+AD73+AE73)&lt;&gt;0),(AA72+AC72+AD72+AE72)/-(AA73+AC73+AD73+AE73),""),"")</f>
        <v>0.326135281407079</v>
      </c>
      <c r="AF337" s="297">
        <f>IFERROR(IF(AND(COUNT(AC72,AD72,AE72,AF72)=4,(AC73+AD73+AE73+AF73)&lt;&gt;0),(AC72+AD72+AE72+AF72)/-(AC73+AD73+AE73+AF73),""),"")</f>
        <v>0.595984879415371</v>
      </c>
      <c r="AG337" s="297">
        <f>IFERROR(IF(AND(COUNT(AC72,AD72,AE72,AF72)=4,(AC73+AD73+AE73+AF73)&lt;&gt;0),(AC72+AD72+AE72+AF72)/-(AC73+AD73+AE73+AF73),""),"")</f>
        <v>0.595984879415371</v>
      </c>
      <c r="AH337" s="297">
        <f>IFERROR(IF(AND(COUNT(AD72,AE72,AF72,AH72)=4,(AD73+AE73+AF73+AH73)&lt;&gt;0),(AD72+AE72+AF72+AH72)/-(AD73+AE73+AF73+AH73),""),"")</f>
        <v>0.301367985676676</v>
      </c>
      <c r="AI337" s="297">
        <f>IFERROR(IF(AND(COUNT(AE72,AF72,AH72,AI72)=4,(AE73+AF73+AH73+AI73)&lt;&gt;0),(AE72+AF72+AH72+AI72)/-(AE73+AF73+AH73+AI73),""),"")</f>
        <v>0.388449761628066</v>
      </c>
      <c r="AJ337" s="297">
        <f>IFERROR(IF(AND(COUNT(AF72,AH72,AI72,AJ72)=4,(AF73+AH73+AI73+AJ73)&lt;&gt;0),(AF72+AH72+AI72+AJ72)/-(AF73+AH73+AI73+AJ73),""),"")</f>
        <v>0.47177758184501</v>
      </c>
      <c r="AK337" s="297">
        <f>IFERROR(IF(AND(COUNT(AH72,AI72,AJ72,AK72)=4,(AH73+AI73+AJ73+AK73)&lt;&gt;0),(AH72+AI72+AJ72+AK72)/-(AH73+AI73+AJ73+AK73),""),"")</f>
        <v>0.32612795561716</v>
      </c>
      <c r="AL337" s="297">
        <f>IFERROR(IF(AND(COUNT(AH72,AI72,AJ72,AK72)=4,(AH73+AI73+AJ73+AK73)&lt;&gt;0),(AH72+AI72+AJ72+AK72)/-(AH73+AI73+AJ73+AK73),""),"")</f>
        <v>0.32612795561716</v>
      </c>
      <c r="AM337" s="297">
        <f>IFERROR(IF(AND(COUNT(AI72,AJ72,AK72,AM72)=4,(AI73+AJ73+AK73+AM73)&lt;&gt;0),(AI72+AJ72+AK72+AM72)/-(AI73+AJ73+AK73+AM73),""),"")</f>
        <v>0.497653321958833</v>
      </c>
      <c r="AN337" s="297">
        <f>IFERROR(IF(AND(COUNT(AJ72,AK72,AM72,AN72)=4,(AJ73+AK73+AM73+AN73)&lt;&gt;0),(AJ72+AK72+AM72+AN72)/-(AJ73+AK73+AM73+AN73),""),"")</f>
        <v>0.547434349722204</v>
      </c>
      <c r="AO337" s="297">
        <f>IFERROR(IF(AND(COUNT(AK72,AM72,AN72,AO72)=4,(AK73+AM73+AN73+AO73)&lt;&gt;0),(AK72+AM72+AN72+AO72)/-(AK73+AM73+AN73+AO73),""),"")</f>
        <v>0.568321824219948</v>
      </c>
      <c r="AP337" s="297">
        <f>IFERROR(IF(AND(COUNT(AM72,AN72,AO72,AP72)=4,(AM73+AN73+AO73+AP73)&lt;&gt;0),(AM72+AN72+AO72+AP72)/-(AM73+AN73+AO73+AP73),""),"")</f>
        <v>0.590770153379725</v>
      </c>
      <c r="AQ337" s="297">
        <f>IFERROR(IF(AND(COUNT(AM72,AN72,AO72,AP72)=4,(AM73+AN73+AO73+AP73)&lt;&gt;0),(AM72+AN72+AO72+AP72)/-(AM73+AN73+AO73+AP73),""),"")</f>
        <v>0.590770153379725</v>
      </c>
      <c r="AR337" s="297">
        <f>IFERROR(IF(AND(COUNT(AN72,AO72,AP72,AR72)=4,(AN73+AO73+AP73+AR73)&lt;&gt;0),(AN72+AO72+AP72+AR72)/-(AN73+AO73+AP73+AR73),""),"")</f>
        <v>0.608299770190668</v>
      </c>
      <c r="AS337" s="297">
        <f>IFERROR(IF(AND(COUNT(AO72,AP72,AR72,AS72)=4,(AO73+AP73+AR73+AS73)&lt;&gt;0),(AO72+AP72+AR72+AS72)/-(AO73+AP73+AR73+AS73),""),"")</f>
        <v>0.625720852284779</v>
      </c>
      <c r="AT337" s="297">
        <f>IFERROR(IF(AND(COUNT(AP72,AR72,AS72,AT72)=4,(AP73+AR73+AS73+AT73)&lt;&gt;0),(AP72+AR72+AS72+AT72)/-(AP73+AR73+AS73+AT73),""),"")</f>
        <v>0.648819598008363</v>
      </c>
      <c r="AU337" s="297">
        <f>IFERROR(IF(AND(COUNT(AR72,AS72,AT72,AU72)=4,(AR73+AS73+AT73+AU73)&lt;&gt;0),(AR72+AS72+AT72+AU72)/-(AR73+AS73+AT73+AU73),""),"")</f>
        <v>0.673644439673018</v>
      </c>
      <c r="AV337" s="297">
        <f>IFERROR(IF(AND(COUNT(AR72,AS72,AT72,AU72)=4,(AR73+AS73+AT73+AU73)&lt;&gt;0),(AR72+AS72+AT72+AU72)/-(AR73+AS73+AT73+AU73),""),"")</f>
        <v>0.673644439673018</v>
      </c>
      <c r="AW337" s="297">
        <f>IFERROR(IF(AND(COUNT(AS72,AT72,AU72,AW72)=4,(AS73+AT73+AU73+AW73)&lt;&gt;0),(AS72+AT72+AU72+AW72)/-(AS73+AT73+AU73+AW73),""),"")</f>
        <v>0.692920693960828</v>
      </c>
      <c r="AX337" s="297">
        <f>IFERROR(IF(AND(COUNT(AT72,AU72,AW72,AX72)=4,(AT73+AU73+AW73+AX73)&lt;&gt;0),(AT72+AU72+AW72+AX72)/-(AT73+AU73+AW73+AX73),""),"")</f>
        <v>0.712077599216469</v>
      </c>
      <c r="AY337" s="297">
        <f>IFERROR(IF(AND(COUNT(AU72,AW72,AX72,AY72)=4,(AU73+AW73+AX73+AY73)&lt;&gt;0),(AU72+AW72+AX72+AY72)/-(AU73+AW73+AX73+AY73),""),"")</f>
        <v>0.73747788611945</v>
      </c>
      <c r="AZ337" s="297">
        <f>IFERROR(IF(AND(COUNT(AW72,AX72,AY72,AZ72)=4,(AW73+AX73+AY73+AZ73)&lt;&gt;0),(AW72+AX72+AY72+AZ72)/-(AW73+AX73+AY73+AZ73),""),"")</f>
        <v>0.764776255829608</v>
      </c>
      <c r="BA337" s="297">
        <f>IFERROR(IF(AND(COUNT(AW72,AX72,AY72,AZ72)=4,(AW73+AX73+AY73+AZ73)&lt;&gt;0),(AW72+AX72+AY72+AZ72)/-(AW73+AX73+AY73+AZ73),""),"")</f>
        <v>0.764776255829608</v>
      </c>
      <c r="BB337" s="297">
        <f>IFERROR(IF(AND(COUNT(AX72,AY72,AZ72,BB72)=4,(AX73+AY73+AZ73+BB73)&lt;&gt;0),(AX72+AY72+AZ72+BB72)/-(AX73+AY73+AZ73+BB73),""),"")</f>
        <v>0.785851406458601</v>
      </c>
      <c r="BC337" s="297">
        <f>IFERROR(IF(AND(COUNT(AY72,AZ72,BB72,BC72)=4,(AY73+AZ73+BB73+BC73)&lt;&gt;0),(AY72+AZ72+BB72+BC72)/-(AY73+AZ73+BB73+BC73),""),"")</f>
        <v>0.806796070179045</v>
      </c>
      <c r="BD337" s="297">
        <f>IFERROR(IF(AND(COUNT(AZ72,BB72,BC72,BD72)=4,(AZ73+BB73+BC73+BD73)&lt;&gt;0),(AZ72+BB72+BC72+BD72)/-(AZ73+BB73+BC73+BD73),""),"")</f>
        <v>0.834566759676458</v>
      </c>
      <c r="BE337" s="297">
        <f>IFERROR(IF(AND(COUNT(BB72,BC72,BD72,BE72)=4,(BB73+BC73+BD73+BE73)&lt;&gt;0),(BB72+BC72+BD72+BE72)/-(BB73+BC73+BD73+BE73),""),"")</f>
        <v>0.864412664642098</v>
      </c>
      <c r="BF337" s="297">
        <f>IFERROR(IF(AND(COUNT(BB72,BC72,BD72,BE72)=4,(BB73+BC73+BD73+BE73)&lt;&gt;0),(BB72+BC72+BD72+BE72)/-(BB73+BC73+BD73+BE73),""),"")</f>
        <v>0.864412664642098</v>
      </c>
      <c r="BG337" s="82" t="n"/>
      <c r="BH337" s="82" t="n"/>
      <c r="BI337" s="82" t="n"/>
      <c r="BJ337" s="82" t="n"/>
      <c r="BL337" s="82" t="n"/>
      <c r="BM337" s="82" t="n"/>
      <c r="BN337" s="82" t="n"/>
      <c r="BO337" s="82" t="n"/>
      <c r="BQ337" s="82" t="n"/>
      <c r="BR337" s="82" t="n"/>
      <c r="BS337" s="82" t="n"/>
      <c r="BT337" s="82" t="n"/>
      <c r="BV337" s="82" t="n"/>
      <c r="BW337" s="82" t="n"/>
      <c r="BX337" s="82" t="n"/>
      <c r="BY337" s="82" t="n"/>
      <c r="CA337" s="82" t="n"/>
      <c r="CB337" s="82" t="n"/>
      <c r="CC337" s="82" t="n"/>
      <c r="CD337" s="82" t="n"/>
      <c r="CF337" s="82" t="n"/>
      <c r="CG337" s="82" t="n"/>
      <c r="CH337" s="82" t="n"/>
      <c r="CI337" s="82" t="n"/>
      <c r="CK337" s="82" t="n"/>
      <c r="CL337" s="82" t="n"/>
      <c r="CM337" s="82" t="n"/>
      <c r="CN337" s="82" t="n"/>
      <c r="CP337" s="82" t="n"/>
      <c r="CQ337" s="82" t="n"/>
      <c r="CR337" s="82" t="n"/>
      <c r="CS337" s="82" t="n"/>
      <c r="CU337" s="82" t="n"/>
      <c r="CV337" s="82" t="n"/>
      <c r="CW337" s="82" t="n"/>
      <c r="CX337" s="82" t="n"/>
    </row>
    <row r="338" customFormat="1" s="77">
      <c r="A338" s="76" t="n"/>
      <c r="B338" s="76" t="n"/>
    </row>
    <row r="339" customFormat="1" s="77">
      <c r="A339" s="76" t="n"/>
      <c r="B339" s="76" t="n"/>
      <c r="C339" s="74" t="inlineStr">
        <is>
          <t>INTERNAL LIQUIDITY</t>
        </is>
      </c>
    </row>
    <row r="340" customFormat="1" s="77">
      <c r="A340" s="76" t="n"/>
      <c r="B340" s="76" t="n"/>
      <c r="C340" s="77" t="inlineStr">
        <is>
          <t>CURRENT RATIO</t>
        </is>
      </c>
      <c r="D340" s="82" t="n"/>
      <c r="E340" s="82" t="n"/>
      <c r="F340" s="82" t="n"/>
      <c r="G340" s="82" t="n"/>
      <c r="H340" s="297" t="str">
        <f>IFERROR(IF((N(H197)+N(H201)+N(H203)+N(H204)+N(H211)+N(H212)+N(H213))&lt;&gt;0,(N(H143)+(N(H144)+N(H148)+N(H152)+N(H153)+N(H154)))/(N(H197)+N(H201)+N(H203)+N(H204)+N(H211)+N(H212)+N(H213)),""),"")</f>
        <v/>
      </c>
      <c r="I340" s="297">
        <f>IFERROR(IF((N(I197)+N(I201)+N(I203)+N(I204)+N(I211)+N(I212)+N(I213))&lt;&gt;0,(N(I143)+(N(I144)+N(I148)+N(I152)+N(I153)+N(I154)))/(N(I197)+N(I201)+N(I203)+N(I204)+N(I211)+N(I212)+N(I213)),""),"")</f>
        <v>3.67557872201677</v>
      </c>
      <c r="J340" s="297">
        <f>IFERROR(IF((N(J197)+N(J201)+N(J203)+N(J204)+N(J211)+N(J212)+N(J213))&lt;&gt;0,(N(J143)+(N(J144)+N(J148)+N(J152)+N(J153)+N(J154)))/(N(J197)+N(J201)+N(J203)+N(J204)+N(J211)+N(J212)+N(J213)),""),"")</f>
        <v>5.65155079176468</v>
      </c>
      <c r="K340" s="297">
        <f>IFERROR(IF((N(K197)+N(K201)+N(K203)+N(K204)+N(K211)+N(K212)+N(K213))&lt;&gt;0,(N(K143)+(N(K144)+N(K148)+N(K152)+N(K153)+N(K154)))/(N(K197)+N(K201)+N(K203)+N(K204)+N(K211)+N(K212)+N(K213)),""),"")</f>
        <v>4.99484056801603</v>
      </c>
      <c r="L340" s="297">
        <f>IFERROR(IF((N(L197)+N(L201)+N(L203)+N(L204)+N(L211)+N(L212)+N(L213))&lt;&gt;0,(N(L143)+(N(L144)+N(L148)+N(L152)+N(L153)+N(L154)))/(N(L197)+N(L201)+N(L203)+N(L204)+N(L211)+N(L212)+N(L213)),""),"")</f>
        <v>3.59616343779944</v>
      </c>
      <c r="M340" s="297">
        <f>IFERROR(IF((N(M197)+N(M201)+N(M203)+N(M204)+N(M211)+N(M212)+N(M213))&lt;&gt;0,(N(M143)+(N(M144)+N(M148)+N(M152)+N(M153)+N(M154)))/(N(M197)+N(M201)+N(M203)+N(M204)+N(M211)+N(M212)+N(M213)),""),"")</f>
        <v>3.59616343779944</v>
      </c>
      <c r="N340" s="297">
        <f>IFERROR(IF((N(N197)+N(N201)+N(N203)+N(N204)+N(N211)+N(N212)+N(N213))&lt;&gt;0,(N(N143)+(N(N144)+N(N148)+N(N152)+N(N153)+N(N154)))/(N(N197)+N(N201)+N(N203)+N(N204)+N(N211)+N(N212)+N(N213)),""),"")</f>
        <v>2.87133841102118</v>
      </c>
      <c r="O340" s="297">
        <f>IFERROR(IF((N(O197)+N(O201)+N(O203)+N(O204)+N(O211)+N(O212)+N(O213))&lt;&gt;0,(N(O143)+(N(O144)+N(O148)+N(O152)+N(O153)+N(O154)))/(N(O197)+N(O201)+N(O203)+N(O204)+N(O211)+N(O212)+N(O213)),""),"")</f>
        <v>2.8100484777902</v>
      </c>
      <c r="P340" s="297">
        <f>IFERROR(IF((N(P197)+N(P201)+N(P203)+N(P204)+N(P211)+N(P212)+N(P213))&lt;&gt;0,(N(P143)+(N(P144)+N(P148)+N(P152)+N(P153)+N(P154)))/(N(P197)+N(P201)+N(P203)+N(P204)+N(P211)+N(P212)+N(P213)),""),"")</f>
        <v>2.85669776213129</v>
      </c>
      <c r="Q340" s="297">
        <f>IFERROR(IF((N(Q197)+N(Q201)+N(Q203)+N(Q204)+N(Q211)+N(Q212)+N(Q213))&lt;&gt;0,(N(Q143)+(N(Q144)+N(Q148)+N(Q152)+N(Q153)+N(Q154)))/(N(Q197)+N(Q201)+N(Q203)+N(Q204)+N(Q211)+N(Q212)+N(Q213)),""),"")</f>
        <v>2.2075044462925</v>
      </c>
      <c r="R340" s="297">
        <f>IFERROR(IF((N(R197)+N(R201)+N(R203)+N(R204)+N(R211)+N(R212)+N(R213))&lt;&gt;0,(N(R143)+(N(R144)+N(R148)+N(R152)+N(R153)+N(R154)))/(N(R197)+N(R201)+N(R203)+N(R204)+N(R211)+N(R212)+N(R213)),""),"")</f>
        <v>2.2075044462925</v>
      </c>
      <c r="S340" s="297">
        <f>IFERROR(IF((N(S197)+N(S201)+N(S203)+N(S204)+N(S211)+N(S212)+N(S213))&lt;&gt;0,(N(S143)+(N(S144)+N(S148)+N(S152)+N(S153)+N(S154)))/(N(S197)+N(S201)+N(S203)+N(S204)+N(S211)+N(S212)+N(S213)),""),"")</f>
        <v>2.44712972177756</v>
      </c>
      <c r="T340" s="297">
        <f>IFERROR(IF((N(T197)+N(T201)+N(T203)+N(T204)+N(T211)+N(T212)+N(T213))&lt;&gt;0,(N(T143)+(N(T144)+N(T148)+N(T152)+N(T153)+N(T154)))/(N(T197)+N(T201)+N(T203)+N(T204)+N(T211)+N(T212)+N(T213)),""),"")</f>
        <v>2.79368708780573</v>
      </c>
      <c r="U340" s="297">
        <f>IFERROR(IF((N(U197)+N(U201)+N(U203)+N(U204)+N(U211)+N(U212)+N(U213))&lt;&gt;0,(N(U143)+(N(U144)+N(U148)+N(U152)+N(U153)+N(U154)))/(N(U197)+N(U201)+N(U203)+N(U204)+N(U211)+N(U212)+N(U213)),""),"")</f>
        <v>2.55478726909199</v>
      </c>
      <c r="V340" s="297">
        <f>IFERROR(IF((N(V197)+N(V201)+N(V203)+N(V204)+N(V211)+N(V212)+N(V213))&lt;&gt;0,(N(V143)+(N(V144)+N(V148)+N(V152)+N(V153)+N(V154)))/(N(V197)+N(V201)+N(V203)+N(V204)+N(V211)+N(V212)+N(V213)),""),"")</f>
        <v>2.24284639541741</v>
      </c>
      <c r="W340" s="297">
        <f>IFERROR(IF((N(W197)+N(W201)+N(W203)+N(W204)+N(W211)+N(W212)+N(W213))&lt;&gt;0,(N(W143)+(N(W144)+N(W148)+N(W152)+N(W153)+N(W154)))/(N(W197)+N(W201)+N(W203)+N(W204)+N(W211)+N(W212)+N(W213)),""),"")</f>
        <v>2.24284639541741</v>
      </c>
      <c r="X340" s="297">
        <f>IFERROR(IF((N(X197)+N(X201)+N(X203)+N(X204)+N(X211)+N(X212)+N(X213))&lt;&gt;0,(N(X143)+(N(X144)+N(X148)+N(X152)+N(X153)+N(X154)))/(N(X197)+N(X201)+N(X203)+N(X204)+N(X211)+N(X212)+N(X213)),""),"")</f>
        <v>2.52731373642339</v>
      </c>
      <c r="Y340" s="297">
        <f>IFERROR(IF((N(Y197)+N(Y201)+N(Y203)+N(Y204)+N(Y211)+N(Y212)+N(Y213))&lt;&gt;0,(N(Y143)+(N(Y144)+N(Y148)+N(Y152)+N(Y153)+N(Y154)))/(N(Y197)+N(Y201)+N(Y203)+N(Y204)+N(Y211)+N(Y212)+N(Y213)),""),"")</f>
        <v>3.33794419852717</v>
      </c>
      <c r="Z340" s="297">
        <f>IFERROR(IF((N(Z197)+N(Z201)+N(Z203)+N(Z204)+N(Z211)+N(Z212)+N(Z213))&lt;&gt;0,(N(Z143)+(N(Z144)+N(Z148)+N(Z152)+N(Z153)+N(Z154)))/(N(Z197)+N(Z201)+N(Z203)+N(Z204)+N(Z211)+N(Z212)+N(Z213)),""),"")</f>
        <v>2.4508788253707</v>
      </c>
      <c r="AA340" s="297">
        <f>IFERROR(IF((N(AA197)+N(AA201)+N(AA203)+N(AA204)+N(AA211)+N(AA212)+N(AA213))&lt;&gt;0,(N(AA143)+(N(AA144)+N(AA148)+N(AA152)+N(AA153)+N(AA154)))/(N(AA197)+N(AA201)+N(AA203)+N(AA204)+N(AA211)+N(AA212)+N(AA213)),""),"")</f>
        <v>1.86194696529673</v>
      </c>
      <c r="AB340" s="297">
        <f>IFERROR(IF((N(AB197)+N(AB201)+N(AB203)+N(AB204)+N(AB211)+N(AB212)+N(AB213))&lt;&gt;0,(N(AB143)+(N(AB144)+N(AB148)+N(AB152)+N(AB153)+N(AB154)))/(N(AB197)+N(AB201)+N(AB203)+N(AB204)+N(AB211)+N(AB212)+N(AB213)),""),"")</f>
        <v>1.86194696529673</v>
      </c>
      <c r="AC340" s="297">
        <f>IFERROR(IF((N(AC197)+N(AC201)+N(AC203)+N(AC204)+N(AC211)+N(AC212)+N(AC213))&lt;&gt;0,(N(AC143)+(N(AC144)+N(AC148)+N(AC152)+N(AC153)+N(AC154)))/(N(AC197)+N(AC201)+N(AC203)+N(AC204)+N(AC211)+N(AC212)+N(AC213)),""),"")</f>
        <v>1.72989655035275</v>
      </c>
      <c r="AD340" s="297">
        <f>IFERROR(IF((N(AD197)+N(AD201)+N(AD203)+N(AD204)+N(AD211)+N(AD212)+N(AD213))&lt;&gt;0,(N(AD143)+(N(AD144)+N(AD148)+N(AD152)+N(AD153)+N(AD154)))/(N(AD197)+N(AD201)+N(AD203)+N(AD204)+N(AD211)+N(AD212)+N(AD213)),""),"")</f>
        <v>1.67025131354213</v>
      </c>
      <c r="AE340" s="297">
        <f>IFERROR(IF((N(AE197)+N(AE201)+N(AE203)+N(AE204)+N(AE211)+N(AE212)+N(AE213))&lt;&gt;0,(N(AE143)+(N(AE144)+N(AE148)+N(AE152)+N(AE153)+N(AE154)))/(N(AE197)+N(AE201)+N(AE203)+N(AE204)+N(AE211)+N(AE212)+N(AE213)),""),"")</f>
        <v>1.59486265072039</v>
      </c>
      <c r="AF340" s="297">
        <f>IFERROR(IF((N(AF197)+N(AF201)+N(AF203)+N(AF204)+N(AF211)+N(AF212)+N(AF213))&lt;&gt;0,(N(AF143)+(N(AF144)+N(AF148)+N(AF152)+N(AF153)+N(AF154)))/(N(AF197)+N(AF201)+N(AF203)+N(AF204)+N(AF211)+N(AF212)+N(AF213)),""),"")</f>
        <v>1.6251431181662</v>
      </c>
      <c r="AG340" s="297">
        <f>IFERROR(IF((N(AG197)+N(AG201)+N(AG203)+N(AG204)+N(AG211)+N(AG212)+N(AG213))&lt;&gt;0,(N(AG143)+(N(AG144)+N(AG148)+N(AG152)+N(AG153)+N(AG154)))/(N(AG197)+N(AG201)+N(AG203)+N(AG204)+N(AG211)+N(AG212)+N(AG213)),""),"")</f>
        <v>1.6251431181662</v>
      </c>
      <c r="AH340" s="297">
        <f>IFERROR(IF((N(AH197)+N(AH201)+N(AH203)+N(AH204)+N(AH211)+N(AH212)+N(AH213))&lt;&gt;0,(N(AH143)+(N(AH144)+N(AH148)+N(AH152)+N(AH153)+N(AH154)))/(N(AH197)+N(AH201)+N(AH203)+N(AH204)+N(AH211)+N(AH212)+N(AH213)),""),"")</f>
        <v>1.40387161046338</v>
      </c>
      <c r="AI340" s="297">
        <f>IFERROR(IF((N(AI197)+N(AI201)+N(AI203)+N(AI204)+N(AI211)+N(AI212)+N(AI213))&lt;&gt;0,(N(AI143)+(N(AI144)+N(AI148)+N(AI152)+N(AI153)+N(AI154)))/(N(AI197)+N(AI201)+N(AI203)+N(AI204)+N(AI211)+N(AI212)+N(AI213)),""),"")</f>
        <v>1.44007483072837</v>
      </c>
      <c r="AJ340" s="297">
        <f>IFERROR(IF((N(AJ197)+N(AJ201)+N(AJ203)+N(AJ204)+N(AJ211)+N(AJ212)+N(AJ213))&lt;&gt;0,(N(AJ143)+(N(AJ144)+N(AJ148)+N(AJ152)+N(AJ153)+N(AJ154)))/(N(AJ197)+N(AJ201)+N(AJ203)+N(AJ204)+N(AJ211)+N(AJ212)+N(AJ213)),""),"")</f>
        <v>1.44862877459332</v>
      </c>
      <c r="AK340" s="297">
        <f>IFERROR(IF((N(AK197)+N(AK201)+N(AK203)+N(AK204)+N(AK211)+N(AK212)+N(AK213))&lt;&gt;0,(N(AK143)+(N(AK144)+N(AK148)+N(AK152)+N(AK153)+N(AK154)))/(N(AK197)+N(AK201)+N(AK203)+N(AK204)+N(AK211)+N(AK212)+N(AK213)),""),"")</f>
        <v>1.48258002170155</v>
      </c>
      <c r="AL340" s="297">
        <f>IFERROR(IF((N(AL197)+N(AL201)+N(AL203)+N(AL204)+N(AL211)+N(AL212)+N(AL213))&lt;&gt;0,(N(AL143)+(N(AL144)+N(AL148)+N(AL152)+N(AL153)+N(AL154)))/(N(AL197)+N(AL201)+N(AL203)+N(AL204)+N(AL211)+N(AL212)+N(AL213)),""),"")</f>
        <v>1.48258002170155</v>
      </c>
      <c r="AM340" s="297">
        <f>IFERROR(IF((N(AM197)+N(AM201)+N(AM203)+N(AM204)+N(AM211)+N(AM212)+N(AM213))&lt;&gt;0,(N(AM143)+(N(AM144)+N(AM148)+N(AM152)+N(AM153)+N(AM154)))/(N(AM197)+N(AM201)+N(AM203)+N(AM204)+N(AM211)+N(AM212)+N(AM213)),""),"")</f>
        <v>1.51868200106433</v>
      </c>
      <c r="AN340" s="297">
        <f>IFERROR(IF((N(AN197)+N(AN201)+N(AN203)+N(AN204)+N(AN211)+N(AN212)+N(AN213))&lt;&gt;0,(N(AN143)+(N(AN144)+N(AN148)+N(AN152)+N(AN153)+N(AN154)))/(N(AN197)+N(AN201)+N(AN203)+N(AN204)+N(AN211)+N(AN212)+N(AN213)),""),"")</f>
        <v>1.5345226499081</v>
      </c>
      <c r="AO340" s="297">
        <f>IFERROR(IF((N(AO197)+N(AO201)+N(AO203)+N(AO204)+N(AO211)+N(AO212)+N(AO213))&lt;&gt;0,(N(AO143)+(N(AO144)+N(AO148)+N(AO152)+N(AO153)+N(AO154)))/(N(AO197)+N(AO201)+N(AO203)+N(AO204)+N(AO211)+N(AO212)+N(AO213)),""),"")</f>
        <v>1.54937349065407</v>
      </c>
      <c r="AP340" s="297">
        <f>IFERROR(IF((N(AP197)+N(AP201)+N(AP203)+N(AP204)+N(AP211)+N(AP212)+N(AP213))&lt;&gt;0,(N(AP143)+(N(AP144)+N(AP148)+N(AP152)+N(AP153)+N(AP154)))/(N(AP197)+N(AP201)+N(AP203)+N(AP204)+N(AP211)+N(AP212)+N(AP213)),""),"")</f>
        <v>1.59247178068062</v>
      </c>
      <c r="AQ340" s="297">
        <f>IFERROR(IF((N(AQ197)+N(AQ201)+N(AQ203)+N(AQ204)+N(AQ211)+N(AQ212)+N(AQ213))&lt;&gt;0,(N(AQ143)+(N(AQ144)+N(AQ148)+N(AQ152)+N(AQ153)+N(AQ154)))/(N(AQ197)+N(AQ201)+N(AQ203)+N(AQ204)+N(AQ211)+N(AQ212)+N(AQ213)),""),"")</f>
        <v>1.59247178068062</v>
      </c>
      <c r="AR340" s="297">
        <f>IFERROR(IF((N(AR197)+N(AR201)+N(AR203)+N(AR204)+N(AR211)+N(AR212)+N(AR213))&lt;&gt;0,(N(AR143)+(N(AR144)+N(AR148)+N(AR152)+N(AR153)+N(AR154)))/(N(AR197)+N(AR201)+N(AR203)+N(AR204)+N(AR211)+N(AR212)+N(AR213)),""),"")</f>
        <v>1.64583494172255</v>
      </c>
      <c r="AS340" s="297">
        <f>IFERROR(IF((N(AS197)+N(AS201)+N(AS203)+N(AS204)+N(AS211)+N(AS212)+N(AS213))&lt;&gt;0,(N(AS143)+(N(AS144)+N(AS148)+N(AS152)+N(AS153)+N(AS154)))/(N(AS197)+N(AS201)+N(AS203)+N(AS204)+N(AS211)+N(AS212)+N(AS213)),""),"")</f>
        <v>1.66858917657034</v>
      </c>
      <c r="AT340" s="297">
        <f>IFERROR(IF((N(AT197)+N(AT201)+N(AT203)+N(AT204)+N(AT211)+N(AT212)+N(AT213))&lt;&gt;0,(N(AT143)+(N(AT144)+N(AT148)+N(AT152)+N(AT153)+N(AT154)))/(N(AT197)+N(AT201)+N(AT203)+N(AT204)+N(AT211)+N(AT212)+N(AT213)),""),"")</f>
        <v>1.6819750313303</v>
      </c>
      <c r="AU340" s="297">
        <f>IFERROR(IF((N(AU197)+N(AU201)+N(AU203)+N(AU204)+N(AU211)+N(AU212)+N(AU213))&lt;&gt;0,(N(AU143)+(N(AU144)+N(AU148)+N(AU152)+N(AU153)+N(AU154)))/(N(AU197)+N(AU201)+N(AU203)+N(AU204)+N(AU211)+N(AU212)+N(AU213)),""),"")</f>
        <v>1.72920868287843</v>
      </c>
      <c r="AV340" s="297">
        <f>IFERROR(IF((N(AV197)+N(AV201)+N(AV203)+N(AV204)+N(AV211)+N(AV212)+N(AV213))&lt;&gt;0,(N(AV143)+(N(AV144)+N(AV148)+N(AV152)+N(AV153)+N(AV154)))/(N(AV197)+N(AV201)+N(AV203)+N(AV204)+N(AV211)+N(AV212)+N(AV213)),""),"")</f>
        <v>1.72920868287843</v>
      </c>
      <c r="AW340" s="297">
        <f>IFERROR(IF((N(AW197)+N(AW201)+N(AW203)+N(AW204)+N(AW211)+N(AW212)+N(AW213))&lt;&gt;0,(N(AW143)+(N(AW144)+N(AW148)+N(AW152)+N(AW153)+N(AW154)))/(N(AW197)+N(AW201)+N(AW203)+N(AW204)+N(AW211)+N(AW212)+N(AW213)),""),"")</f>
        <v>1.79358829460202</v>
      </c>
      <c r="AX340" s="297">
        <f>IFERROR(IF((N(AX197)+N(AX201)+N(AX203)+N(AX204)+N(AX211)+N(AX212)+N(AX213))&lt;&gt;0,(N(AX143)+(N(AX144)+N(AX148)+N(AX152)+N(AX153)+N(AX154)))/(N(AX197)+N(AX201)+N(AX203)+N(AX204)+N(AX211)+N(AX212)+N(AX213)),""),"")</f>
        <v>1.82120577793747</v>
      </c>
      <c r="AY340" s="297">
        <f>IFERROR(IF((N(AY197)+N(AY201)+N(AY203)+N(AY204)+N(AY211)+N(AY212)+N(AY213))&lt;&gt;0,(N(AY143)+(N(AY144)+N(AY148)+N(AY152)+N(AY153)+N(AY154)))/(N(AY197)+N(AY201)+N(AY203)+N(AY204)+N(AY211)+N(AY212)+N(AY213)),""),"")</f>
        <v>1.82656249062106</v>
      </c>
      <c r="AZ340" s="297">
        <f>IFERROR(IF((N(AZ197)+N(AZ201)+N(AZ203)+N(AZ204)+N(AZ211)+N(AZ212)+N(AZ213))&lt;&gt;0,(N(AZ143)+(N(AZ144)+N(AZ148)+N(AZ152)+N(AZ153)+N(AZ154)))/(N(AZ197)+N(AZ201)+N(AZ203)+N(AZ204)+N(AZ211)+N(AZ212)+N(AZ213)),""),"")</f>
        <v>1.87138991927342</v>
      </c>
      <c r="BA340" s="297">
        <f>IFERROR(IF((N(BA197)+N(BA201)+N(BA203)+N(BA204)+N(BA211)+N(BA212)+N(BA213))&lt;&gt;0,(N(BA143)+(N(BA144)+N(BA148)+N(BA152)+N(BA153)+N(BA154)))/(N(BA197)+N(BA201)+N(BA203)+N(BA204)+N(BA211)+N(BA212)+N(BA213)),""),"")</f>
        <v>1.87138991927342</v>
      </c>
      <c r="BB340" s="297">
        <f>IFERROR(IF((N(BB197)+N(BB201)+N(BB203)+N(BB204)+N(BB211)+N(BB212)+N(BB213))&lt;&gt;0,(N(BB143)+(N(BB144)+N(BB148)+N(BB152)+N(BB153)+N(BB154)))/(N(BB197)+N(BB201)+N(BB203)+N(BB204)+N(BB211)+N(BB212)+N(BB213)),""),"")</f>
        <v>1.94161287240415</v>
      </c>
      <c r="BC340" s="297">
        <f>IFERROR(IF((N(BC197)+N(BC201)+N(BC203)+N(BC204)+N(BC211)+N(BC212)+N(BC213))&lt;&gt;0,(N(BC143)+(N(BC144)+N(BC148)+N(BC152)+N(BC153)+N(BC154)))/(N(BC197)+N(BC201)+N(BC203)+N(BC204)+N(BC211)+N(BC212)+N(BC213)),""),"")</f>
        <v>1.96592507340789</v>
      </c>
      <c r="BD340" s="297">
        <f>IFERROR(IF((N(BD197)+N(BD201)+N(BD203)+N(BD204)+N(BD211)+N(BD212)+N(BD213))&lt;&gt;0,(N(BD143)+(N(BD144)+N(BD148)+N(BD152)+N(BD153)+N(BD154)))/(N(BD197)+N(BD201)+N(BD203)+N(BD204)+N(BD211)+N(BD212)+N(BD213)),""),"")</f>
        <v>1.95814041663058</v>
      </c>
      <c r="BE340" s="297">
        <f>IFERROR(IF((N(BE197)+N(BE201)+N(BE203)+N(BE204)+N(BE211)+N(BE212)+N(BE213))&lt;&gt;0,(N(BE143)+(N(BE144)+N(BE148)+N(BE152)+N(BE153)+N(BE154)))/(N(BE197)+N(BE201)+N(BE203)+N(BE204)+N(BE211)+N(BE212)+N(BE213)),""),"")</f>
        <v>1.99388518157263</v>
      </c>
      <c r="BF340" s="297">
        <f>IFERROR(IF((N(BF197)+N(BF201)+N(BF203)+N(BF204)+N(BF211)+N(BF212)+N(BF213))&lt;&gt;0,(N(BF143)+(N(BF144)+N(BF148)+N(BF152)+N(BF153)+N(BF154)))/(N(BF197)+N(BF201)+N(BF203)+N(BF204)+N(BF211)+N(BF212)+N(BF213)),""),"")</f>
        <v>1.99388518157263</v>
      </c>
      <c r="BG340" s="82" t="n"/>
      <c r="BH340" s="82" t="n"/>
      <c r="BI340" s="82" t="n"/>
      <c r="BJ340" s="82" t="n"/>
      <c r="BL340" s="82" t="n"/>
      <c r="BM340" s="82" t="n"/>
      <c r="BN340" s="82" t="n"/>
      <c r="BO340" s="82" t="n"/>
      <c r="BQ340" s="82" t="n"/>
      <c r="BR340" s="82" t="n"/>
      <c r="BS340" s="82" t="n"/>
      <c r="BT340" s="82" t="n"/>
      <c r="BV340" s="82" t="n"/>
      <c r="BW340" s="82" t="n"/>
      <c r="BX340" s="82" t="n"/>
      <c r="BY340" s="82" t="n"/>
      <c r="CA340" s="82" t="n"/>
      <c r="CB340" s="82" t="n"/>
      <c r="CC340" s="82" t="n"/>
      <c r="CD340" s="82" t="n"/>
      <c r="CF340" s="82" t="n"/>
      <c r="CG340" s="82" t="n"/>
      <c r="CH340" s="82" t="n"/>
      <c r="CI340" s="82" t="n"/>
      <c r="CK340" s="82" t="n"/>
      <c r="CL340" s="82" t="n"/>
      <c r="CM340" s="82" t="n"/>
      <c r="CN340" s="82" t="n"/>
      <c r="CP340" s="82" t="n"/>
      <c r="CQ340" s="82" t="n"/>
      <c r="CR340" s="82" t="n"/>
      <c r="CS340" s="82" t="n"/>
      <c r="CU340" s="82" t="n"/>
      <c r="CV340" s="82" t="n"/>
      <c r="CW340" s="82" t="n"/>
      <c r="CX340" s="82" t="n"/>
    </row>
    <row r="341" customFormat="1" s="77">
      <c r="A341" s="76" t="n"/>
      <c r="B341" s="76" t="n"/>
      <c r="C341" s="77" t="inlineStr">
        <is>
          <t>CASH RATIO</t>
        </is>
      </c>
      <c r="D341" s="82" t="n"/>
      <c r="E341" s="82" t="n"/>
      <c r="F341" s="82" t="n"/>
      <c r="G341" s="82" t="n"/>
      <c r="H341" s="297" t="str">
        <f>IFERROR(IF((N(H197)+N(H201)+N(H203)+N(H204)+N(H211)+N(H212)+N(H213))&lt;&gt;0,N(H143)/(N(H197)+N(H201)+N(H203)+N(H204)+N(H211)+N(H212)+N(H213)),""),"")</f>
        <v/>
      </c>
      <c r="I341" s="297">
        <f>IFERROR(IF((N(I197)+N(I201)+N(I203)+N(I204)+N(I211)+N(I212)+N(I213))&lt;&gt;0,N(I143)/(N(I197)+N(I201)+N(I203)+N(I204)+N(I211)+N(I212)+N(I213)),""),"")</f>
        <v>0.827874360454278</v>
      </c>
      <c r="J341" s="297">
        <f>IFERROR(IF((N(J197)+N(J201)+N(J203)+N(J204)+N(J211)+N(J212)+N(J213))&lt;&gt;0,N(J143)/(N(J197)+N(J201)+N(J203)+N(J204)+N(J211)+N(J212)+N(J213)),""),"")</f>
        <v>1.20223848323916</v>
      </c>
      <c r="K341" s="297">
        <f>IFERROR(IF((N(K197)+N(K201)+N(K203)+N(K204)+N(K211)+N(K212)+N(K213))&lt;&gt;0,N(K143)/(N(K197)+N(K201)+N(K203)+N(K204)+N(K211)+N(K212)+N(K213)),""),"")</f>
        <v>1.29132447938901</v>
      </c>
      <c r="L341" s="297">
        <f>IFERROR(IF((N(L197)+N(L201)+N(L203)+N(L204)+N(L211)+N(L212)+N(L213))&lt;&gt;0,N(L143)/(N(L197)+N(L201)+N(L203)+N(L204)+N(L211)+N(L212)+N(L213)),""),"")</f>
        <v>1.04470412714465</v>
      </c>
      <c r="M341" s="297">
        <f>IFERROR(IF((N(M197)+N(M201)+N(M203)+N(M204)+N(M211)+N(M212)+N(M213))&lt;&gt;0,N(M143)/(N(M197)+N(M201)+N(M203)+N(M204)+N(M211)+N(M212)+N(M213)),""),"")</f>
        <v>1.04470412714465</v>
      </c>
      <c r="N341" s="297">
        <f>IFERROR(IF((N(N197)+N(N201)+N(N203)+N(N204)+N(N211)+N(N212)+N(N213))&lt;&gt;0,N(N143)/(N(N197)+N(N201)+N(N203)+N(N204)+N(N211)+N(N212)+N(N213)),""),"")</f>
        <v>1.02596157016538</v>
      </c>
      <c r="O341" s="297">
        <f>IFERROR(IF((N(O197)+N(O201)+N(O203)+N(O204)+N(O211)+N(O212)+N(O213))&lt;&gt;0,N(O143)/(N(O197)+N(O201)+N(O203)+N(O204)+N(O211)+N(O212)+N(O213)),""),"")</f>
        <v>1.00465187890377</v>
      </c>
      <c r="P341" s="297">
        <f>IFERROR(IF((N(P197)+N(P201)+N(P203)+N(P204)+N(P211)+N(P212)+N(P213))&lt;&gt;0,N(P143)/(N(P197)+N(P201)+N(P203)+N(P204)+N(P211)+N(P212)+N(P213)),""),"")</f>
        <v>0.960847280563789</v>
      </c>
      <c r="Q341" s="297">
        <f>IFERROR(IF((N(Q197)+N(Q201)+N(Q203)+N(Q204)+N(Q211)+N(Q212)+N(Q213))&lt;&gt;0,N(Q143)/(N(Q197)+N(Q201)+N(Q203)+N(Q204)+N(Q211)+N(Q212)+N(Q213)),""),"")</f>
        <v>0.769541062594844</v>
      </c>
      <c r="R341" s="297">
        <f>IFERROR(IF((N(R197)+N(R201)+N(R203)+N(R204)+N(R211)+N(R212)+N(R213))&lt;&gt;0,N(R143)/(N(R197)+N(R201)+N(R203)+N(R204)+N(R211)+N(R212)+N(R213)),""),"")</f>
        <v>0.769541062594844</v>
      </c>
      <c r="S341" s="297">
        <f>IFERROR(IF((N(S197)+N(S201)+N(S203)+N(S204)+N(S211)+N(S212)+N(S213))&lt;&gt;0,N(S143)/(N(S197)+N(S201)+N(S203)+N(S204)+N(S211)+N(S212)+N(S213)),""),"")</f>
        <v>0.841741553868939</v>
      </c>
      <c r="T341" s="297">
        <f>IFERROR(IF((N(T197)+N(T201)+N(T203)+N(T204)+N(T211)+N(T212)+N(T213))&lt;&gt;0,N(T143)/(N(T197)+N(T201)+N(T203)+N(T204)+N(T211)+N(T212)+N(T213)),""),"")</f>
        <v>1.44933784890305</v>
      </c>
      <c r="U341" s="297">
        <f>IFERROR(IF((N(U197)+N(U201)+N(U203)+N(U204)+N(U211)+N(U212)+N(U213))&lt;&gt;0,N(U143)/(N(U197)+N(U201)+N(U203)+N(U204)+N(U211)+N(U212)+N(U213)),""),"")</f>
        <v>1.20592451226936</v>
      </c>
      <c r="V341" s="297">
        <f>IFERROR(IF((N(V197)+N(V201)+N(V203)+N(V204)+N(V211)+N(V212)+N(V213))&lt;&gt;0,N(V143)/(N(V197)+N(V201)+N(V203)+N(V204)+N(V211)+N(V212)+N(V213)),""),"")</f>
        <v>0.840977253527948</v>
      </c>
      <c r="W341" s="297">
        <f>IFERROR(IF((N(W197)+N(W201)+N(W203)+N(W204)+N(W211)+N(W212)+N(W213))&lt;&gt;0,N(W143)/(N(W197)+N(W201)+N(W203)+N(W204)+N(W211)+N(W212)+N(W213)),""),"")</f>
        <v>0.840977253527948</v>
      </c>
      <c r="X341" s="297">
        <f>IFERROR(IF((N(X197)+N(X201)+N(X203)+N(X204)+N(X211)+N(X212)+N(X213))&lt;&gt;0,N(X143)/(N(X197)+N(X201)+N(X203)+N(X204)+N(X211)+N(X212)+N(X213)),""),"")</f>
        <v>0.9721329113427</v>
      </c>
      <c r="Y341" s="297">
        <f>IFERROR(IF((N(Y197)+N(Y201)+N(Y203)+N(Y204)+N(Y211)+N(Y212)+N(Y213))&lt;&gt;0,N(Y143)/(N(Y197)+N(Y201)+N(Y203)+N(Y204)+N(Y211)+N(Y212)+N(Y213)),""),"")</f>
        <v>1.67024534848318</v>
      </c>
      <c r="Z341" s="297">
        <f>IFERROR(IF((N(Z197)+N(Z201)+N(Z203)+N(Z204)+N(Z211)+N(Z212)+N(Z213))&lt;&gt;0,N(Z143)/(N(Z197)+N(Z201)+N(Z203)+N(Z204)+N(Z211)+N(Z212)+N(Z213)),""),"")</f>
        <v>1.05355215586709</v>
      </c>
      <c r="AA341" s="297">
        <f>IFERROR(IF((N(AA197)+N(AA201)+N(AA203)+N(AA204)+N(AA211)+N(AA212)+N(AA213))&lt;&gt;0,N(AA143)/(N(AA197)+N(AA201)+N(AA203)+N(AA204)+N(AA211)+N(AA212)+N(AA213)),""),"")</f>
        <v>1.00766635666619</v>
      </c>
      <c r="AB341" s="297">
        <f>IFERROR(IF((N(AB197)+N(AB201)+N(AB203)+N(AB204)+N(AB211)+N(AB212)+N(AB213))&lt;&gt;0,N(AB143)/(N(AB197)+N(AB201)+N(AB203)+N(AB204)+N(AB211)+N(AB212)+N(AB213)),""),"")</f>
        <v>1.00766635666619</v>
      </c>
      <c r="AC341" s="297">
        <f>IFERROR(IF((N(AC197)+N(AC201)+N(AC203)+N(AC204)+N(AC211)+N(AC212)+N(AC213))&lt;&gt;0,N(AC143)/(N(AC197)+N(AC201)+N(AC203)+N(AC204)+N(AC211)+N(AC212)+N(AC213)),""),"")</f>
        <v>0.806194001186827</v>
      </c>
      <c r="AD341" s="297">
        <f>IFERROR(IF((N(AD197)+N(AD201)+N(AD203)+N(AD204)+N(AD211)+N(AD212)+N(AD213))&lt;&gt;0,N(AD143)/(N(AD197)+N(AD201)+N(AD203)+N(AD204)+N(AD211)+N(AD212)+N(AD213)),""),"")</f>
        <v>0.77025039233342</v>
      </c>
      <c r="AE341" s="297">
        <f>IFERROR(IF((N(AE197)+N(AE201)+N(AE203)+N(AE204)+N(AE211)+N(AE212)+N(AE213))&lt;&gt;0,N(AE143)/(N(AE197)+N(AE201)+N(AE203)+N(AE204)+N(AE211)+N(AE212)+N(AE213)),""),"")</f>
        <v>0.748531710842784</v>
      </c>
      <c r="AF341" s="297">
        <f>IFERROR(IF((N(AF197)+N(AF201)+N(AF203)+N(AF204)+N(AF211)+N(AF212)+N(AF213))&lt;&gt;0,N(AF143)/(N(AF197)+N(AF201)+N(AF203)+N(AF204)+N(AF211)+N(AF212)+N(AF213)),""),"")</f>
        <v>0.684627316311573</v>
      </c>
      <c r="AG341" s="297">
        <f>IFERROR(IF((N(AG197)+N(AG201)+N(AG203)+N(AG204)+N(AG211)+N(AG212)+N(AG213))&lt;&gt;0,N(AG143)/(N(AG197)+N(AG201)+N(AG203)+N(AG204)+N(AG211)+N(AG212)+N(AG213)),""),"")</f>
        <v>0.684627316311573</v>
      </c>
      <c r="AH341" s="297">
        <f>IFERROR(IF((N(AH197)+N(AH201)+N(AH203)+N(AH204)+N(AH211)+N(AH212)+N(AH213))&lt;&gt;0,N(AH143)/(N(AH197)+N(AH201)+N(AH203)+N(AH204)+N(AH211)+N(AH212)+N(AH213)),""),"")</f>
        <v>0.535415888136954</v>
      </c>
      <c r="AI341" s="297">
        <f>IFERROR(IF((N(AI197)+N(AI201)+N(AI203)+N(AI204)+N(AI211)+N(AI212)+N(AI213))&lt;&gt;0,N(AI143)/(N(AI197)+N(AI201)+N(AI203)+N(AI204)+N(AI211)+N(AI212)+N(AI213)),""),"")</f>
        <v>0.574122149472755</v>
      </c>
      <c r="AJ341" s="297">
        <f>IFERROR(IF((N(AJ197)+N(AJ201)+N(AJ203)+N(AJ204)+N(AJ211)+N(AJ212)+N(AJ213))&lt;&gt;0,N(AJ143)/(N(AJ197)+N(AJ201)+N(AJ203)+N(AJ204)+N(AJ211)+N(AJ212)+N(AJ213)),""),"")</f>
        <v>0.571054178962888</v>
      </c>
      <c r="AK341" s="297">
        <f>IFERROR(IF((N(AK197)+N(AK201)+N(AK203)+N(AK204)+N(AK211)+N(AK212)+N(AK213))&lt;&gt;0,N(AK143)/(N(AK197)+N(AK201)+N(AK203)+N(AK204)+N(AK211)+N(AK212)+N(AK213)),""),"")</f>
        <v>0.605858662956009</v>
      </c>
      <c r="AL341" s="297">
        <f>IFERROR(IF((N(AL197)+N(AL201)+N(AL203)+N(AL204)+N(AL211)+N(AL212)+N(AL213))&lt;&gt;0,N(AL143)/(N(AL197)+N(AL201)+N(AL203)+N(AL204)+N(AL211)+N(AL212)+N(AL213)),""),"")</f>
        <v>0.605858662956009</v>
      </c>
      <c r="AM341" s="297">
        <f>IFERROR(IF((N(AM197)+N(AM201)+N(AM203)+N(AM204)+N(AM211)+N(AM212)+N(AM213))&lt;&gt;0,N(AM143)/(N(AM197)+N(AM201)+N(AM203)+N(AM204)+N(AM211)+N(AM212)+N(AM213)),""),"")</f>
        <v>0.664480613140827</v>
      </c>
      <c r="AN341" s="297">
        <f>IFERROR(IF((N(AN197)+N(AN201)+N(AN203)+N(AN204)+N(AN211)+N(AN212)+N(AN213))&lt;&gt;0,N(AN143)/(N(AN197)+N(AN201)+N(AN203)+N(AN204)+N(AN211)+N(AN212)+N(AN213)),""),"")</f>
        <v>0.690201370878076</v>
      </c>
      <c r="AO341" s="297">
        <f>IFERROR(IF((N(AO197)+N(AO201)+N(AO203)+N(AO204)+N(AO211)+N(AO212)+N(AO213))&lt;&gt;0,N(AO143)/(N(AO197)+N(AO201)+N(AO203)+N(AO204)+N(AO211)+N(AO212)+N(AO213)),""),"")</f>
        <v>0.692338566916329</v>
      </c>
      <c r="AP341" s="297">
        <f>IFERROR(IF((N(AP197)+N(AP201)+N(AP203)+N(AP204)+N(AP211)+N(AP212)+N(AP213))&lt;&gt;0,N(AP143)/(N(AP197)+N(AP201)+N(AP203)+N(AP204)+N(AP211)+N(AP212)+N(AP213)),""),"")</f>
        <v>0.739252214505207</v>
      </c>
      <c r="AQ341" s="297">
        <f>IFERROR(IF((N(AQ197)+N(AQ201)+N(AQ203)+N(AQ204)+N(AQ211)+N(AQ212)+N(AQ213))&lt;&gt;0,N(AQ143)/(N(AQ197)+N(AQ201)+N(AQ203)+N(AQ204)+N(AQ211)+N(AQ212)+N(AQ213)),""),"")</f>
        <v>0.739252214505207</v>
      </c>
      <c r="AR341" s="297">
        <f>IFERROR(IF((N(AR197)+N(AR201)+N(AR203)+N(AR204)+N(AR211)+N(AR212)+N(AR213))&lt;&gt;0,N(AR143)/(N(AR197)+N(AR201)+N(AR203)+N(AR204)+N(AR211)+N(AR212)+N(AR213)),""),"")</f>
        <v>0.82227889775942</v>
      </c>
      <c r="AS341" s="297">
        <f>IFERROR(IF((N(AS197)+N(AS201)+N(AS203)+N(AS204)+N(AS211)+N(AS212)+N(AS213))&lt;&gt;0,N(AS143)/(N(AS197)+N(AS201)+N(AS203)+N(AS204)+N(AS211)+N(AS212)+N(AS213)),""),"")</f>
        <v>0.858219881948394</v>
      </c>
      <c r="AT341" s="297">
        <f>IFERROR(IF((N(AT197)+N(AT201)+N(AT203)+N(AT204)+N(AT211)+N(AT212)+N(AT213))&lt;&gt;0,N(AT143)/(N(AT197)+N(AT201)+N(AT203)+N(AT204)+N(AT211)+N(AT212)+N(AT213)),""),"")</f>
        <v>0.859987329333678</v>
      </c>
      <c r="AU341" s="297">
        <f>IFERROR(IF((N(AU197)+N(AU201)+N(AU203)+N(AU204)+N(AU211)+N(AU212)+N(AU213))&lt;&gt;0,N(AU143)/(N(AU197)+N(AU201)+N(AU203)+N(AU204)+N(AU211)+N(AU212)+N(AU213)),""),"")</f>
        <v>0.914573807341918</v>
      </c>
      <c r="AV341" s="297">
        <f>IFERROR(IF((N(AV197)+N(AV201)+N(AV203)+N(AV204)+N(AV211)+N(AV212)+N(AV213))&lt;&gt;0,N(AV143)/(N(AV197)+N(AV201)+N(AV203)+N(AV204)+N(AV211)+N(AV212)+N(AV213)),""),"")</f>
        <v>0.914573807341918</v>
      </c>
      <c r="AW341" s="297">
        <f>IFERROR(IF((N(AW197)+N(AW201)+N(AW203)+N(AW204)+N(AW211)+N(AW212)+N(AW213))&lt;&gt;0,N(AW143)/(N(AW197)+N(AW201)+N(AW203)+N(AW204)+N(AW211)+N(AW212)+N(AW213)),""),"")</f>
        <v>1.01520777592836</v>
      </c>
      <c r="AX341" s="297">
        <f>IFERROR(IF((N(AX197)+N(AX201)+N(AX203)+N(AX204)+N(AX211)+N(AX212)+N(AX213))&lt;&gt;0,N(AX143)/(N(AX197)+N(AX201)+N(AX203)+N(AX204)+N(AX211)+N(AX212)+N(AX213)),""),"")</f>
        <v>1.0619421123059</v>
      </c>
      <c r="AY341" s="297">
        <f>IFERROR(IF((N(AY197)+N(AY201)+N(AY203)+N(AY204)+N(AY211)+N(AY212)+N(AY213))&lt;&gt;0,N(AY143)/(N(AY197)+N(AY201)+N(AY203)+N(AY204)+N(AY211)+N(AY212)+N(AY213)),""),"")</f>
        <v>1.0569143674841</v>
      </c>
      <c r="AZ341" s="297">
        <f>IFERROR(IF((N(AZ197)+N(AZ201)+N(AZ203)+N(AZ204)+N(AZ211)+N(AZ212)+N(AZ213))&lt;&gt;0,N(AZ143)/(N(AZ197)+N(AZ201)+N(AZ203)+N(AZ204)+N(AZ211)+N(AZ212)+N(AZ213)),""),"")</f>
        <v>1.11299062215669</v>
      </c>
      <c r="BA341" s="297">
        <f>IFERROR(IF((N(BA197)+N(BA201)+N(BA203)+N(BA204)+N(BA211)+N(BA212)+N(BA213))&lt;&gt;0,N(BA143)/(N(BA197)+N(BA201)+N(BA203)+N(BA204)+N(BA211)+N(BA212)+N(BA213)),""),"")</f>
        <v>1.11299062215669</v>
      </c>
      <c r="BB341" s="297">
        <f>IFERROR(IF((N(BB197)+N(BB201)+N(BB203)+N(BB204)+N(BB211)+N(BB212)+N(BB213))&lt;&gt;0,N(BB143)/(N(BB197)+N(BB201)+N(BB203)+N(BB204)+N(BB211)+N(BB212)+N(BB213)),""),"")</f>
        <v>1.22759310291785</v>
      </c>
      <c r="BC341" s="297">
        <f>IFERROR(IF((N(BC197)+N(BC201)+N(BC203)+N(BC204)+N(BC211)+N(BC212)+N(BC213))&lt;&gt;0,N(BC143)/(N(BC197)+N(BC201)+N(BC203)+N(BC204)+N(BC211)+N(BC212)+N(BC213)),""),"")</f>
        <v>1.27596837912562</v>
      </c>
      <c r="BD341" s="297">
        <f>IFERROR(IF((N(BD197)+N(BD201)+N(BD203)+N(BD204)+N(BD211)+N(BD212)+N(BD213))&lt;&gt;0,N(BD143)/(N(BD197)+N(BD201)+N(BD203)+N(BD204)+N(BD211)+N(BD212)+N(BD213)),""),"")</f>
        <v>1.25875054669229</v>
      </c>
      <c r="BE341" s="297">
        <f>IFERROR(IF((N(BE197)+N(BE201)+N(BE203)+N(BE204)+N(BE211)+N(BE212)+N(BE213))&lt;&gt;0,N(BE143)/(N(BE197)+N(BE201)+N(BE203)+N(BE204)+N(BE211)+N(BE212)+N(BE213)),""),"")</f>
        <v>1.30923586677463</v>
      </c>
      <c r="BF341" s="297">
        <f>IFERROR(IF((N(BF197)+N(BF201)+N(BF203)+N(BF204)+N(BF211)+N(BF212)+N(BF213))&lt;&gt;0,N(BF143)/(N(BF197)+N(BF201)+N(BF203)+N(BF204)+N(BF211)+N(BF212)+N(BF213)),""),"")</f>
        <v>1.30923586677463</v>
      </c>
      <c r="BG341" s="82" t="n"/>
      <c r="BH341" s="82" t="n"/>
      <c r="BI341" s="82" t="n"/>
      <c r="BJ341" s="82" t="n"/>
      <c r="BL341" s="82" t="n"/>
      <c r="BM341" s="82" t="n"/>
      <c r="BN341" s="82" t="n"/>
      <c r="BO341" s="82" t="n"/>
      <c r="BQ341" s="82" t="n"/>
      <c r="BR341" s="82" t="n"/>
      <c r="BS341" s="82" t="n"/>
      <c r="BT341" s="82" t="n"/>
      <c r="BV341" s="82" t="n"/>
      <c r="BW341" s="82" t="n"/>
      <c r="BX341" s="82" t="n"/>
      <c r="BY341" s="82" t="n"/>
      <c r="CA341" s="82" t="n"/>
      <c r="CB341" s="82" t="n"/>
      <c r="CC341" s="82" t="n"/>
      <c r="CD341" s="82" t="n"/>
      <c r="CF341" s="82" t="n"/>
      <c r="CG341" s="82" t="n"/>
      <c r="CH341" s="82" t="n"/>
      <c r="CI341" s="82" t="n"/>
      <c r="CK341" s="82" t="n"/>
      <c r="CL341" s="82" t="n"/>
      <c r="CM341" s="82" t="n"/>
      <c r="CN341" s="82" t="n"/>
      <c r="CP341" s="82" t="n"/>
      <c r="CQ341" s="82" t="n"/>
      <c r="CR341" s="82" t="n"/>
      <c r="CS341" s="82" t="n"/>
      <c r="CU341" s="82" t="n"/>
      <c r="CV341" s="82" t="n"/>
      <c r="CW341" s="82" t="n"/>
      <c r="CX341" s="82" t="n"/>
    </row>
    <row r="342" customFormat="1" s="77">
      <c r="A342" s="76" t="n"/>
      <c r="B342" s="76" t="n"/>
    </row>
    <row r="343" customFormat="1" s="77">
      <c r="A343" s="76" t="n"/>
      <c r="B343" s="76" t="n"/>
      <c r="C343" s="74" t="inlineStr">
        <is>
          <t>OPERATING EFFICIENCY</t>
        </is>
      </c>
    </row>
    <row r="344" customFormat="1" s="84">
      <c r="A344" s="81" t="n"/>
      <c r="B344" s="81" t="n"/>
      <c r="C344" s="84" t="inlineStr">
        <is>
          <t>RETURN ON CAPITAL (ROIC) - LTM</t>
        </is>
      </c>
      <c r="H344" s="289" t="str">
        <f>IFERROR(IF(AND(COUNT(H346)=1,N(H349)&lt;&gt;0),(H346)/H349,""),"")</f>
        <v/>
      </c>
      <c r="I344" s="289" t="str">
        <f>""</f>
        <v/>
      </c>
      <c r="J344" s="289" t="str">
        <f>""</f>
        <v/>
      </c>
      <c r="K344" s="289" t="str">
        <f>""</f>
        <v/>
      </c>
      <c r="L344" s="289">
        <f>IFERROR(IF(AND(COUNT(I346,J346,K346,L346)=4,N(L349)&lt;&gt;0),(I346+J346+K346+L346)/L349,""),"")</f>
        <v>0.0565161383992971</v>
      </c>
      <c r="M344" s="289">
        <f>IFERROR(IF(AND(COUNT(I346,J346,K346,L346)=4,N(M349)&lt;&gt;0),(I346+J346+K346+L346)/M349,""),"")</f>
        <v>0.0565161383992971</v>
      </c>
      <c r="N344" s="289">
        <f>IFERROR(IF(AND(COUNT(J346,K346,L346,N346)=4,N(N349)&lt;&gt;0),(J346+K346+L346+N346)/N349,""),"")</f>
        <v>0.0525760806911342</v>
      </c>
      <c r="O344" s="289">
        <f>IFERROR(IF(AND(COUNT(K346,L346,N346,O346)=4,N(O349)&lt;&gt;0),(K346+L346+N346+O346)/O349,""),"")</f>
        <v>0.0522656264793722</v>
      </c>
      <c r="P344" s="289">
        <f>IFERROR(IF(AND(COUNT(L346,N346,O346,P346)=4,N(P349)&lt;&gt;0),(L346+N346+O346+P346)/P349,""),"")</f>
        <v>0.0371251456188752</v>
      </c>
      <c r="Q344" s="289">
        <f>IFERROR(IF(AND(COUNT(N346,O346,P346,Q346)=4,N(Q349)&lt;&gt;0),(N346+O346+P346+Q346)/Q349,""),"")</f>
        <v>0.0647269769266343</v>
      </c>
      <c r="R344" s="289">
        <f>IFERROR(IF(AND(COUNT(N346,O346,P346,Q346)=4,N(R349)&lt;&gt;0),(N346+O346+P346+Q346)/R349,""),"")</f>
        <v>0.0647269769266343</v>
      </c>
      <c r="S344" s="289">
        <f>IFERROR(IF(AND(COUNT(O346,P346,Q346,S346)=4,N(S349)&lt;&gt;0),(O346+P346+Q346+S346)/S349,""),"")</f>
        <v>0.0673277807369829</v>
      </c>
      <c r="T344" s="289">
        <f>IFERROR(IF(AND(COUNT(P346,Q346,S346,T346)=4,N(T349)&lt;&gt;0),(P346+Q346+S346+T346)/T349,""),"")</f>
        <v>0.0883731040500618</v>
      </c>
      <c r="U344" s="289">
        <f>IFERROR(IF(AND(COUNT(Q346,S346,T346,U346)=4,N(U349)&lt;&gt;0),(Q346+S346+T346+U346)/U349,""),"")</f>
        <v>0.0728336474268838</v>
      </c>
      <c r="V344" s="289">
        <f>IFERROR(IF(AND(COUNT(S346,T346,U346,V346)=4,N(V349)&lt;&gt;0),(S346+T346+U346+V346)/V349,""),"")</f>
        <v>0.0398855702702918</v>
      </c>
      <c r="W344" s="289">
        <f>IFERROR(IF(AND(COUNT(S346,T346,U346,V346)=4,N(W349)&lt;&gt;0),(S346+T346+U346+V346)/W349,""),"")</f>
        <v>0.0398855702702918</v>
      </c>
      <c r="X344" s="289">
        <f>IFERROR(IF(AND(COUNT(T346,U346,V346,X346)=4,N(X349)&lt;&gt;0),(T346+U346+V346+X346)/X349,""),"")</f>
        <v>0.0420325752786777</v>
      </c>
      <c r="Y344" s="289">
        <f>IFERROR(IF(AND(COUNT(U346,V346,X346,Y346)=4,N(Y349)&lt;&gt;0),(U346+V346+X346+Y346)/Y349,""),"")</f>
        <v>0.0339364104860779</v>
      </c>
      <c r="Z344" s="289">
        <f>IFERROR(IF(AND(COUNT(V346,X346,Y346,Z346)=4,N(Z349)&lt;&gt;0),(V346+X346+Y346+Z346)/Z349,""),"")</f>
        <v>0.0529483828323493</v>
      </c>
      <c r="AA344" s="289">
        <f>IFERROR(IF(AND(COUNT(X346,Y346,Z346,AA346)=4,N(AA349)&lt;&gt;0),(X346+Y346+Z346+AA346)/AA349,""),"")</f>
        <v>0.0189689217487805</v>
      </c>
      <c r="AB344" s="289">
        <f>IFERROR(IF(AND(COUNT(X346,Y346,Z346,AA346)=4,N(AB349)&lt;&gt;0),(X346+Y346+Z346+AA346)/AB349,""),"")</f>
        <v>0.0189689217487805</v>
      </c>
      <c r="AC344" s="289">
        <f>IFERROR(IF(AND(COUNT(Y346,Z346,AA346,AC346)=4,N(AC349)&lt;&gt;0),(Y346+Z346+AA346+AC346)/AC349,""),"")</f>
        <v>0.0114984093020464</v>
      </c>
      <c r="AD344" s="289">
        <f>IFERROR(IF(AND(COUNT(Z346,AA346,AC346,AD346)=4,N(AD349)&lt;&gt;0),(Z346+AA346+AC346+AD346)/AD349,""),"")</f>
        <v>0.00877535562801353</v>
      </c>
      <c r="AE344" s="289">
        <f>IFERROR(IF(AND(COUNT(AA346,AC346,AD346,AE346)=4,N(AE349)&lt;&gt;0),(AA346+AC346+AD346+AE346)/AE349,""),"")</f>
        <v>0.00649826377688951</v>
      </c>
      <c r="AF344" s="289">
        <f>IFERROR(IF(AND(COUNT(AC346,AD346,AE346,AF346)=4,N(AF349)&lt;&gt;0),(AC346+AD346+AE346+AF346)/AF349,""),"")</f>
        <v>0.021487718748216</v>
      </c>
      <c r="AG344" s="289">
        <f>IFERROR(IF(AND(COUNT(AC346,AD346,AE346,AF346)=4,N(AG349)&lt;&gt;0),(AC346+AD346+AE346+AF346)/AG349,""),"")</f>
        <v>0.021487718748216</v>
      </c>
      <c r="AH344" s="289">
        <f>IFERROR(IF(AND(COUNT(AD346,AE346,AF346,AH346)=4,N(AH349)&lt;&gt;0),(AD346+AE346+AF346+AH346)/AH349,""),"")</f>
        <v>0.0174666091918732</v>
      </c>
      <c r="AI344" s="289">
        <f>IFERROR(IF(AND(COUNT(AE346,AF346,AH346,AI346)=4,N(AI349)&lt;&gt;0),(AE346+AF346+AH346+AI346)/AI349,""),"")</f>
        <v>0.0287664845110965</v>
      </c>
      <c r="AJ344" s="289">
        <f>IFERROR(IF(AND(COUNT(AF346,AH346,AI346,AJ346)=4,N(AJ349)&lt;&gt;0),(AF346+AH346+AI346+AJ346)/AJ349,""),"")</f>
        <v>0.033380920913778</v>
      </c>
      <c r="AK344" s="289">
        <f>IFERROR(IF(AND(COUNT(AH346,AI346,AJ346,AK346)=4,N(AK349)&lt;&gt;0),(AH346+AI346+AJ346+AK346)/AK349,""),"")</f>
        <v>0.0287013529731348</v>
      </c>
      <c r="AL344" s="289">
        <f>IFERROR(IF(AND(COUNT(AH346,AI346,AJ346,AK346)=4,N(AL349)&lt;&gt;0),(AH346+AI346+AJ346+AK346)/AL349,""),"")</f>
        <v>0.0287013529731348</v>
      </c>
      <c r="AM344" s="289">
        <f>IFERROR(IF(AND(COUNT(AI346,AJ346,AK346,AM346)=4,N(AM349)&lt;&gt;0),(AI346+AJ346+AK346+AM346)/AM349,""),"")</f>
        <v>0.0433066030394181</v>
      </c>
      <c r="AN344" s="289">
        <f>IFERROR(IF(AND(COUNT(AJ346,AK346,AM346,AN346)=4,N(AN349)&lt;&gt;0),(AJ346+AK346+AM346+AN346)/AN349,""),"")</f>
        <v>0.0419734859834218</v>
      </c>
      <c r="AO344" s="289">
        <f>IFERROR(IF(AND(COUNT(AK346,AM346,AN346,AO346)=4,N(AO349)&lt;&gt;0),(AK346+AM346+AN346+AO346)/AO349,""),"")</f>
        <v>0.0439713350111507</v>
      </c>
      <c r="AP344" s="289">
        <f>IFERROR(IF(AND(COUNT(AM346,AN346,AO346,AP346)=4,N(AP349)&lt;&gt;0),(AM346+AN346+AO346+AP346)/AP349,""),"")</f>
        <v>0.046277623319345</v>
      </c>
      <c r="AQ344" s="289">
        <f>IFERROR(IF(AND(COUNT(AM346,AN346,AO346,AP346)=4,N(AQ349)&lt;&gt;0),(AM346+AN346+AO346+AP346)/AQ349,""),"")</f>
        <v>0.046277623319345</v>
      </c>
      <c r="AR344" s="289">
        <f>IFERROR(IF(AND(COUNT(AN346,AO346,AP346,AR346)=4,N(AR349)&lt;&gt;0),(AN346+AO346+AP346+AR346)/AR349,""),"")</f>
        <v>0.0483445978434345</v>
      </c>
      <c r="AS344" s="289">
        <f>IFERROR(IF(AND(COUNT(AO346,AP346,AR346,AS346)=4,N(AS349)&lt;&gt;0),(AO346+AP346+AR346+AS346)/AS349,""),"")</f>
        <v>0.0503523547179703</v>
      </c>
      <c r="AT344" s="289">
        <f>IFERROR(IF(AND(COUNT(AP346,AR346,AS346,AT346)=4,N(AT349)&lt;&gt;0),(AP346+AR346+AS346+AT346)/AT349,""),"")</f>
        <v>0.05285272186739</v>
      </c>
      <c r="AU344" s="289">
        <f>IFERROR(IF(AND(COUNT(AR346,AS346,AT346,AU346)=4,N(AU349)&lt;&gt;0),(AR346+AS346+AT346+AU346)/AU349,""),"")</f>
        <v>0.055785256181582</v>
      </c>
      <c r="AV344" s="289">
        <f>IFERROR(IF(AND(COUNT(AR346,AS346,AT346,AU346)=4,N(AV349)&lt;&gt;0),(AR346+AS346+AT346+AU346)/AV349,""),"")</f>
        <v>0.055785256181582</v>
      </c>
      <c r="AW344" s="289">
        <f>IFERROR(IF(AND(COUNT(AS346,AT346,AU346,AW346)=4,N(AW349)&lt;&gt;0),(AS346+AT346+AU346+AW346)/AW349,""),"")</f>
        <v>0.0584849990836936</v>
      </c>
      <c r="AX344" s="289">
        <f>IFERROR(IF(AND(COUNT(AT346,AU346,AW346,AX346)=4,N(AX349)&lt;&gt;0),(AT346+AU346+AW346+AX346)/AX349,""),"")</f>
        <v>0.0611445744201187</v>
      </c>
      <c r="AY344" s="289">
        <f>IFERROR(IF(AND(COUNT(AU346,AW346,AX346,AY346)=4,N(AY349)&lt;&gt;0),(AU346+AW346+AX346+AY346)/AY349,""),"")</f>
        <v>0.0644182369574325</v>
      </c>
      <c r="AZ344" s="289">
        <f>IFERROR(IF(AND(COUNT(AW346,AX346,AY346,AZ346)=4,N(AZ349)&lt;&gt;0),(AW346+AX346+AY346+AZ346)/AZ349,""),"")</f>
        <v>0.0683363704335622</v>
      </c>
      <c r="BA344" s="289">
        <f>IFERROR(IF(AND(COUNT(AW346,AX346,AY346,AZ346)=4,N(BA349)&lt;&gt;0),(AW346+AX346+AY346+AZ346)/BA349,""),"")</f>
        <v>0.0683363704335622</v>
      </c>
      <c r="BB344" s="289">
        <f>IFERROR(IF(AND(COUNT(AX346,AY346,AZ346,BB346)=4,N(BB349)&lt;&gt;0),(AX346+AY346+AZ346+BB346)/BB349,""),"")</f>
        <v>0.07209219603671</v>
      </c>
      <c r="BC344" s="289">
        <f>IFERROR(IF(AND(COUNT(AY346,AZ346,BB346,BC346)=4,N(BC349)&lt;&gt;0),(AY346+AZ346+BB346+BC346)/BC349,""),"")</f>
        <v>0.0758528669969883</v>
      </c>
      <c r="BD344" s="289">
        <f>IFERROR(IF(AND(COUNT(AZ346,BB346,BC346,BD346)=4,N(BD349)&lt;&gt;0),(AZ346+BB346+BC346+BD346)/BD349,""),"")</f>
        <v>0.0804567126625462</v>
      </c>
      <c r="BE344" s="289">
        <f>IFERROR(IF(AND(COUNT(BB346,BC346,BD346,BE346)=4,N(BE349)&lt;&gt;0),(BB346+BC346+BD346+BE346)/BE349,""),"")</f>
        <v>0.08611813416049</v>
      </c>
      <c r="BF344" s="289">
        <f>IFERROR(IF(AND(COUNT(BB346,BC346,BD346,BE346)=4,N(BF349)&lt;&gt;0),(BB346+BC346+BD346+BE346)/BF349,""),"")</f>
        <v>0.08611813416049</v>
      </c>
      <c r="BG344" s="81" t="n"/>
      <c r="BH344" s="81" t="n"/>
      <c r="BI344" s="81" t="n"/>
      <c r="BJ344" s="81" t="n"/>
      <c r="BL344" s="81" t="n"/>
      <c r="BM344" s="81" t="n"/>
      <c r="BN344" s="81" t="n"/>
      <c r="BO344" s="81" t="n"/>
      <c r="BQ344" s="81" t="n"/>
      <c r="BR344" s="81" t="n"/>
      <c r="BS344" s="81" t="n"/>
      <c r="BT344" s="81" t="n"/>
      <c r="BV344" s="81" t="n"/>
      <c r="BW344" s="81" t="n"/>
      <c r="BX344" s="81" t="n"/>
      <c r="BY344" s="81" t="n"/>
      <c r="CA344" s="81" t="n"/>
      <c r="CB344" s="81" t="n"/>
      <c r="CC344" s="81" t="n"/>
      <c r="CD344" s="81" t="n"/>
      <c r="CF344" s="81" t="n"/>
      <c r="CG344" s="81" t="n"/>
      <c r="CH344" s="81" t="n"/>
      <c r="CI344" s="81" t="n"/>
      <c r="CK344" s="81" t="n"/>
      <c r="CL344" s="81" t="n"/>
      <c r="CM344" s="81" t="n"/>
      <c r="CN344" s="81" t="n"/>
      <c r="CP344" s="81" t="n"/>
      <c r="CQ344" s="81" t="n"/>
      <c r="CR344" s="81" t="n"/>
      <c r="CS344" s="81" t="n"/>
      <c r="CU344" s="81" t="n"/>
      <c r="CV344" s="81" t="n"/>
      <c r="CW344" s="81" t="n"/>
      <c r="CX344" s="81" t="n"/>
    </row>
    <row r="345" customFormat="1" s="84">
      <c r="A345" s="81" t="n"/>
      <c r="B345" s="81" t="n"/>
      <c r="C345" s="84" t="inlineStr">
        <is>
          <t>RETURN ON CAPITAL (ROIC) - EX GOODWILL - LTM</t>
        </is>
      </c>
      <c r="H345" s="289" t="str">
        <f>IFERROR(IF(AND(COUNT(H346)=1,N(H350)&lt;&gt;0),(H346)/H350,""),"")</f>
        <v/>
      </c>
      <c r="I345" s="289" t="str">
        <f>""</f>
        <v/>
      </c>
      <c r="J345" s="289" t="str">
        <f>""</f>
        <v/>
      </c>
      <c r="K345" s="289" t="str">
        <f>""</f>
        <v/>
      </c>
      <c r="L345" s="289">
        <f>IFERROR(IF(AND(COUNT(I346,J346,K346,L346)=4,N(L350)&lt;&gt;0),(I346+J346+K346+L346)/L350,""),"")</f>
        <v>0.0565161383992971</v>
      </c>
      <c r="M345" s="289">
        <f>IFERROR(IF(AND(COUNT(I346,J346,K346,L346)=4,N(M350)&lt;&gt;0),(I346+J346+K346+L346)/M350,""),"")</f>
        <v>0.0565161383992971</v>
      </c>
      <c r="N345" s="289">
        <f>IFERROR(IF(AND(COUNT(J346,K346,L346,N346)=4,N(N350)&lt;&gt;0),(J346+K346+L346+N346)/N350,""),"")</f>
        <v>0.0525760806911342</v>
      </c>
      <c r="O345" s="289">
        <f>IFERROR(IF(AND(COUNT(K346,L346,N346,O346)=4,N(O350)&lt;&gt;0),(K346+L346+N346+O346)/O350,""),"")</f>
        <v>0.0522656264793722</v>
      </c>
      <c r="P345" s="289">
        <f>IFERROR(IF(AND(COUNT(L346,N346,O346,P346)=4,N(P350)&lt;&gt;0),(L346+N346+O346+P346)/P350,""),"")</f>
        <v>0.0371251456188752</v>
      </c>
      <c r="Q345" s="289">
        <f>IFERROR(IF(AND(COUNT(N346,O346,P346,Q346)=4,N(Q350)&lt;&gt;0),(N346+O346+P346+Q346)/Q350,""),"")</f>
        <v>0.0647269769266343</v>
      </c>
      <c r="R345" s="289">
        <f>IFERROR(IF(AND(COUNT(N346,O346,P346,Q346)=4,N(R350)&lt;&gt;0),(N346+O346+P346+Q346)/R350,""),"")</f>
        <v>0.0647269769266343</v>
      </c>
      <c r="S345" s="289">
        <f>IFERROR(IF(AND(COUNT(O346,P346,Q346,S346)=4,N(S350)&lt;&gt;0),(O346+P346+Q346+S346)/S350,""),"")</f>
        <v>0.0673277807369829</v>
      </c>
      <c r="T345" s="289">
        <f>IFERROR(IF(AND(COUNT(P346,Q346,S346,T346)=4,N(T350)&lt;&gt;0),(P346+Q346+S346+T346)/T350,""),"")</f>
        <v>0.0883731040500618</v>
      </c>
      <c r="U345" s="289">
        <f>IFERROR(IF(AND(COUNT(Q346,S346,T346,U346)=4,N(U350)&lt;&gt;0),(Q346+S346+T346+U346)/U350,""),"")</f>
        <v>0.0728336474268838</v>
      </c>
      <c r="V345" s="289">
        <f>IFERROR(IF(AND(COUNT(S346,T346,U346,V346)=4,N(V350)&lt;&gt;0),(S346+T346+U346+V346)/V350,""),"")</f>
        <v>0.0398855702702918</v>
      </c>
      <c r="W345" s="289">
        <f>IFERROR(IF(AND(COUNT(S346,T346,U346,V346)=4,N(W350)&lt;&gt;0),(S346+T346+U346+V346)/W350,""),"")</f>
        <v>0.0398855702702918</v>
      </c>
      <c r="X345" s="289">
        <f>IFERROR(IF(AND(COUNT(T346,U346,V346,X346)=4,N(X350)&lt;&gt;0),(T346+U346+V346+X346)/X350,""),"")</f>
        <v>0.0420325752786777</v>
      </c>
      <c r="Y345" s="289">
        <f>IFERROR(IF(AND(COUNT(U346,V346,X346,Y346)=4,N(Y350)&lt;&gt;0),(U346+V346+X346+Y346)/Y350,""),"")</f>
        <v>0.0339364104860779</v>
      </c>
      <c r="Z345" s="289">
        <f>IFERROR(IF(AND(COUNT(V346,X346,Y346,Z346)=4,N(Z350)&lt;&gt;0),(V346+X346+Y346+Z346)/Z350,""),"")</f>
        <v>0.0529483828323493</v>
      </c>
      <c r="AA345" s="289">
        <f>IFERROR(IF(AND(COUNT(X346,Y346,Z346,AA346)=4,N(AA350)&lt;&gt;0),(X346+Y346+Z346+AA346)/AA350,""),"")</f>
        <v>0.0189689217487805</v>
      </c>
      <c r="AB345" s="289">
        <f>IFERROR(IF(AND(COUNT(X346,Y346,Z346,AA346)=4,N(AB350)&lt;&gt;0),(X346+Y346+Z346+AA346)/AB350,""),"")</f>
        <v>0.0189689217487805</v>
      </c>
      <c r="AC345" s="289">
        <f>IFERROR(IF(AND(COUNT(Y346,Z346,AA346,AC346)=4,N(AC350)&lt;&gt;0),(Y346+Z346+AA346+AC346)/AC350,""),"")</f>
        <v>0.0114984093020464</v>
      </c>
      <c r="AD345" s="289">
        <f>IFERROR(IF(AND(COUNT(Z346,AA346,AC346,AD346)=4,N(AD350)&lt;&gt;0),(Z346+AA346+AC346+AD346)/AD350,""),"")</f>
        <v>0.00877535562801353</v>
      </c>
      <c r="AE345" s="289">
        <f>IFERROR(IF(AND(COUNT(AA346,AC346,AD346,AE346)=4,N(AE350)&lt;&gt;0),(AA346+AC346+AD346+AE346)/AE350,""),"")</f>
        <v>0.00649826377688951</v>
      </c>
      <c r="AF345" s="289">
        <f>IFERROR(IF(AND(COUNT(AC346,AD346,AE346,AF346)=4,N(AF350)&lt;&gt;0),(AC346+AD346+AE346+AF346)/AF350,""),"")</f>
        <v>0.021487718748216</v>
      </c>
      <c r="AG345" s="289">
        <f>IFERROR(IF(AND(COUNT(AC346,AD346,AE346,AF346)=4,N(AG350)&lt;&gt;0),(AC346+AD346+AE346+AF346)/AG350,""),"")</f>
        <v>0.021487718748216</v>
      </c>
      <c r="AH345" s="289">
        <f>IFERROR(IF(AND(COUNT(AD346,AE346,AF346,AH346)=4,N(AH350)&lt;&gt;0),(AD346+AE346+AF346+AH346)/AH350,""),"")</f>
        <v>0.0174666091918732</v>
      </c>
      <c r="AI345" s="289">
        <f>IFERROR(IF(AND(COUNT(AE346,AF346,AH346,AI346)=4,N(AI350)&lt;&gt;0),(AE346+AF346+AH346+AI346)/AI350,""),"")</f>
        <v>0.0287664845110965</v>
      </c>
      <c r="AJ345" s="289">
        <f>IFERROR(IF(AND(COUNT(AF346,AH346,AI346,AJ346)=4,N(AJ350)&lt;&gt;0),(AF346+AH346+AI346+AJ346)/AJ350,""),"")</f>
        <v>0.033380920913778</v>
      </c>
      <c r="AK345" s="289">
        <f>IFERROR(IF(AND(COUNT(AH346,AI346,AJ346,AK346)=4,N(AK350)&lt;&gt;0),(AH346+AI346+AJ346+AK346)/AK350,""),"")</f>
        <v>0.0287013529731348</v>
      </c>
      <c r="AL345" s="289">
        <f>IFERROR(IF(AND(COUNT(AH346,AI346,AJ346,AK346)=4,N(AL350)&lt;&gt;0),(AH346+AI346+AJ346+AK346)/AL350,""),"")</f>
        <v>0.0287013529731348</v>
      </c>
      <c r="AM345" s="289">
        <f>IFERROR(IF(AND(COUNT(AI346,AJ346,AK346,AM346)=4,N(AM350)&lt;&gt;0),(AI346+AJ346+AK346+AM346)/AM350,""),"")</f>
        <v>0.0433066030394181</v>
      </c>
      <c r="AN345" s="289">
        <f>IFERROR(IF(AND(COUNT(AJ346,AK346,AM346,AN346)=4,N(AN350)&lt;&gt;0),(AJ346+AK346+AM346+AN346)/AN350,""),"")</f>
        <v>0.0419734859834218</v>
      </c>
      <c r="AO345" s="289">
        <f>IFERROR(IF(AND(COUNT(AK346,AM346,AN346,AO346)=4,N(AO350)&lt;&gt;0),(AK346+AM346+AN346+AO346)/AO350,""),"")</f>
        <v>0.0439713350111507</v>
      </c>
      <c r="AP345" s="289">
        <f>IFERROR(IF(AND(COUNT(AM346,AN346,AO346,AP346)=4,N(AP350)&lt;&gt;0),(AM346+AN346+AO346+AP346)/AP350,""),"")</f>
        <v>0.046277623319345</v>
      </c>
      <c r="AQ345" s="289">
        <f>IFERROR(IF(AND(COUNT(AM346,AN346,AO346,AP346)=4,N(AQ350)&lt;&gt;0),(AM346+AN346+AO346+AP346)/AQ350,""),"")</f>
        <v>0.046277623319345</v>
      </c>
      <c r="AR345" s="289">
        <f>IFERROR(IF(AND(COUNT(AN346,AO346,AP346,AR346)=4,N(AR350)&lt;&gt;0),(AN346+AO346+AP346+AR346)/AR350,""),"")</f>
        <v>0.0483445978434345</v>
      </c>
      <c r="AS345" s="289">
        <f>IFERROR(IF(AND(COUNT(AO346,AP346,AR346,AS346)=4,N(AS350)&lt;&gt;0),(AO346+AP346+AR346+AS346)/AS350,""),"")</f>
        <v>0.0503523547179703</v>
      </c>
      <c r="AT345" s="289">
        <f>IFERROR(IF(AND(COUNT(AP346,AR346,AS346,AT346)=4,N(AT350)&lt;&gt;0),(AP346+AR346+AS346+AT346)/AT350,""),"")</f>
        <v>0.05285272186739</v>
      </c>
      <c r="AU345" s="289">
        <f>IFERROR(IF(AND(COUNT(AR346,AS346,AT346,AU346)=4,N(AU350)&lt;&gt;0),(AR346+AS346+AT346+AU346)/AU350,""),"")</f>
        <v>0.055785256181582</v>
      </c>
      <c r="AV345" s="289">
        <f>IFERROR(IF(AND(COUNT(AR346,AS346,AT346,AU346)=4,N(AV350)&lt;&gt;0),(AR346+AS346+AT346+AU346)/AV350,""),"")</f>
        <v>0.055785256181582</v>
      </c>
      <c r="AW345" s="289">
        <f>IFERROR(IF(AND(COUNT(AS346,AT346,AU346,AW346)=4,N(AW350)&lt;&gt;0),(AS346+AT346+AU346+AW346)/AW350,""),"")</f>
        <v>0.0584849990836936</v>
      </c>
      <c r="AX345" s="289">
        <f>IFERROR(IF(AND(COUNT(AT346,AU346,AW346,AX346)=4,N(AX350)&lt;&gt;0),(AT346+AU346+AW346+AX346)/AX350,""),"")</f>
        <v>0.0611445744201187</v>
      </c>
      <c r="AY345" s="289">
        <f>IFERROR(IF(AND(COUNT(AU346,AW346,AX346,AY346)=4,N(AY350)&lt;&gt;0),(AU346+AW346+AX346+AY346)/AY350,""),"")</f>
        <v>0.0644182369574325</v>
      </c>
      <c r="AZ345" s="289">
        <f>IFERROR(IF(AND(COUNT(AW346,AX346,AY346,AZ346)=4,N(AZ350)&lt;&gt;0),(AW346+AX346+AY346+AZ346)/AZ350,""),"")</f>
        <v>0.0683363704335622</v>
      </c>
      <c r="BA345" s="289">
        <f>IFERROR(IF(AND(COUNT(AW346,AX346,AY346,AZ346)=4,N(BA350)&lt;&gt;0),(AW346+AX346+AY346+AZ346)/BA350,""),"")</f>
        <v>0.0683363704335622</v>
      </c>
      <c r="BB345" s="289">
        <f>IFERROR(IF(AND(COUNT(AX346,AY346,AZ346,BB346)=4,N(BB350)&lt;&gt;0),(AX346+AY346+AZ346+BB346)/BB350,""),"")</f>
        <v>0.07209219603671</v>
      </c>
      <c r="BC345" s="289">
        <f>IFERROR(IF(AND(COUNT(AY346,AZ346,BB346,BC346)=4,N(BC350)&lt;&gt;0),(AY346+AZ346+BB346+BC346)/BC350,""),"")</f>
        <v>0.0758528669969883</v>
      </c>
      <c r="BD345" s="289">
        <f>IFERROR(IF(AND(COUNT(AZ346,BB346,BC346,BD346)=4,N(BD350)&lt;&gt;0),(AZ346+BB346+BC346+BD346)/BD350,""),"")</f>
        <v>0.0804567126625462</v>
      </c>
      <c r="BE345" s="289">
        <f>IFERROR(IF(AND(COUNT(BB346,BC346,BD346,BE346)=4,N(BE350)&lt;&gt;0),(BB346+BC346+BD346+BE346)/BE350,""),"")</f>
        <v>0.08611813416049</v>
      </c>
      <c r="BF345" s="289">
        <f>IFERROR(IF(AND(COUNT(BB346,BC346,BD346,BE346)=4,N(BF350)&lt;&gt;0),(BB346+BC346+BD346+BE346)/BF350,""),"")</f>
        <v>0.08611813416049</v>
      </c>
      <c r="BG345" s="81" t="n"/>
      <c r="BH345" s="81" t="n"/>
      <c r="BI345" s="81" t="n"/>
      <c r="BJ345" s="81" t="n"/>
      <c r="BL345" s="81" t="n"/>
      <c r="BM345" s="81" t="n"/>
      <c r="BN345" s="81" t="n"/>
      <c r="BO345" s="81" t="n"/>
      <c r="BQ345" s="81" t="n"/>
      <c r="BR345" s="81" t="n"/>
      <c r="BS345" s="81" t="n"/>
      <c r="BT345" s="81" t="n"/>
      <c r="BV345" s="81" t="n"/>
      <c r="BW345" s="81" t="n"/>
      <c r="BX345" s="81" t="n"/>
      <c r="BY345" s="81" t="n"/>
      <c r="CA345" s="81" t="n"/>
      <c r="CB345" s="81" t="n"/>
      <c r="CC345" s="81" t="n"/>
      <c r="CD345" s="81" t="n"/>
      <c r="CF345" s="81" t="n"/>
      <c r="CG345" s="81" t="n"/>
      <c r="CH345" s="81" t="n"/>
      <c r="CI345" s="81" t="n"/>
      <c r="CK345" s="81" t="n"/>
      <c r="CL345" s="81" t="n"/>
      <c r="CM345" s="81" t="n"/>
      <c r="CN345" s="81" t="n"/>
      <c r="CP345" s="81" t="n"/>
      <c r="CQ345" s="81" t="n"/>
      <c r="CR345" s="81" t="n"/>
      <c r="CS345" s="81" t="n"/>
      <c r="CU345" s="81" t="n"/>
      <c r="CV345" s="81" t="n"/>
      <c r="CW345" s="81" t="n"/>
      <c r="CX345" s="81" t="n"/>
    </row>
    <row r="346" customFormat="1" s="77">
      <c r="A346" s="76" t="n"/>
      <c r="B346" s="76" t="n"/>
      <c r="C346" s="77" t="inlineStr">
        <is>
          <t>NOPLAT</t>
        </is>
      </c>
      <c r="H346" s="298">
        <f>IFERROR(H347*(1-N(H348)),0)</f>
        <v>0</v>
      </c>
      <c r="I346" s="298">
        <f>IFERROR(I347*(1-N(I348)),0)</f>
        <v>108.62206997954</v>
      </c>
      <c r="J346" s="298">
        <f>IFERROR(J347*(1-N(J348)),0)</f>
        <v>98.4992595838601</v>
      </c>
      <c r="K346" s="298">
        <f>IFERROR(K347*(1-N(K348)),0)</f>
        <v>402.951470070813</v>
      </c>
      <c r="L346" s="298">
        <f>IFERROR(L347*(1-N(L348)),0)</f>
        <v>93.0638067107751</v>
      </c>
      <c r="M346" s="298">
        <f>IFERROR(M347*(1-N(M348)),0)</f>
        <v>595.838727666826</v>
      </c>
      <c r="N346" s="298">
        <f>IFERROR(N347*(1-N(N348)),0)</f>
        <v>147.348</v>
      </c>
      <c r="O346" s="298">
        <f>IFERROR(O347*(1-N(O348)),0)</f>
        <v>123.548553519508</v>
      </c>
      <c r="P346" s="298">
        <f>IFERROR(P347*(1-N(P348)),0)</f>
        <v>210.443011297186</v>
      </c>
      <c r="Q346" s="298">
        <f>IFERROR(Q347*(1-N(Q348)),0)</f>
        <v>583.25874745064</v>
      </c>
      <c r="R346" s="298">
        <f>IFERROR(R347*(1-N(R348)),0)</f>
        <v>1098.80543573863</v>
      </c>
      <c r="S346" s="298">
        <f>IFERROR(S347*(1-N(S348)),0)</f>
        <v>212.609830253634</v>
      </c>
      <c r="T346" s="298">
        <f>IFERROR(T347*(1-N(T348)),0)</f>
        <v>212.82215841967</v>
      </c>
      <c r="U346" s="298">
        <f>IFERROR(U347*(1-N(U348)),0)</f>
        <v>0</v>
      </c>
      <c r="V346" s="298">
        <f>IFERROR(V347*(1-N(V348)),0)</f>
        <v>140.903064052288</v>
      </c>
      <c r="W346" s="298">
        <f>IFERROR(W347*(1-N(W348)),0)</f>
        <v>0</v>
      </c>
      <c r="X346" s="298">
        <f>IFERROR(X347*(1-N(X348)),0)</f>
        <v>249.896731013556</v>
      </c>
      <c r="Y346" s="298">
        <f>IFERROR(Y347*(1-N(Y348)),0)</f>
        <v>96.4173091627229</v>
      </c>
      <c r="Z346" s="298">
        <f>IFERROR(Z347*(1-N(Z348)),0)</f>
        <v>274.96978359835</v>
      </c>
      <c r="AA346" s="298">
        <f>IFERROR(AA347*(1-N(AA348)),0)</f>
        <v>16.8803265536409</v>
      </c>
      <c r="AB346" s="298">
        <f>IFERROR(AB347*(1-N(AB348)),0)</f>
        <v>331.064043687106</v>
      </c>
      <c r="AC346" s="298">
        <f>IFERROR(AC347*(1-N(AC348)),0)</f>
        <v>0</v>
      </c>
      <c r="AD346" s="298">
        <f>IFERROR(AD347*(1-N(AD348)),0)</f>
        <v>-4.21157357980846</v>
      </c>
      <c r="AE346" s="298">
        <f>IFERROR(AE347*(1-N(AE348)),0)</f>
        <v>198.771</v>
      </c>
      <c r="AF346" s="298">
        <f>IFERROR(AF347*(1-N(AF348)),0)</f>
        <v>519.416420974064</v>
      </c>
      <c r="AG346" s="298">
        <f>IFERROR(AG347*(1-N(AG348)),0)</f>
        <v>2110.777</v>
      </c>
      <c r="AH346" s="298">
        <f>IFERROR(AH347*(1-N(AH348)),0)</f>
        <v>-148.325018564635</v>
      </c>
      <c r="AI346" s="298">
        <f>IFERROR(AI347*(1-N(AI348)),0)</f>
        <v>345.324</v>
      </c>
      <c r="AJ346" s="298">
        <f>IFERROR(AJ347*(1-N(AJ348)),0)</f>
        <v>337.775684792334</v>
      </c>
      <c r="AK346" s="298">
        <f>IFERROR(AK347*(1-N(AK348)),0)</f>
        <v>363.016589449646</v>
      </c>
      <c r="AL346" s="298">
        <f>IFERROR(AL347*(1-N(AL348)),0)</f>
        <v>1108.25440475104</v>
      </c>
      <c r="AM346" s="298">
        <f>IFERROR(AM347*(1-N(AM348)),0)</f>
        <v>293.578845268447</v>
      </c>
      <c r="AN346" s="298">
        <f>IFERROR(AN347*(1-N(AN348)),0)</f>
        <v>291.761150267893</v>
      </c>
      <c r="AO346" s="298">
        <f>IFERROR(AO347*(1-N(AO348)),0)</f>
        <v>386.848336151081</v>
      </c>
      <c r="AP346" s="298">
        <f>IFERROR(AP347*(1-N(AP348)),0)</f>
        <v>415.756284263547</v>
      </c>
      <c r="AQ346" s="298">
        <f>IFERROR(AQ347*(1-N(AQ348)),0)</f>
        <v>1387.94461595097</v>
      </c>
      <c r="AR346" s="298">
        <f>IFERROR(AR347*(1-N(AR348)),0)</f>
        <v>334.762607063524</v>
      </c>
      <c r="AS346" s="298">
        <f>IFERROR(AS347*(1-N(AS348)),0)</f>
        <v>332.68992258016</v>
      </c>
      <c r="AT346" s="298">
        <f>IFERROR(AT347*(1-N(AT348)),0)</f>
        <v>441.116107768957</v>
      </c>
      <c r="AU346" s="298">
        <f>IFERROR(AU347*(1-N(AU348)),0)</f>
        <v>474.079314181658</v>
      </c>
      <c r="AV346" s="298">
        <f>IFERROR(AV347*(1-N(AV348)),0)</f>
        <v>1582.6479515943</v>
      </c>
      <c r="AW346" s="298">
        <f>IFERROR(AW347*(1-N(AW348)),0)</f>
        <v>380.049887068124</v>
      </c>
      <c r="AX346" s="298">
        <f>IFERROR(AX347*(1-N(AX348)),0)</f>
        <v>377.69680614687</v>
      </c>
      <c r="AY346" s="298">
        <f>IFERROR(AY347*(1-N(AY348)),0)</f>
        <v>500.791078227295</v>
      </c>
      <c r="AZ346" s="298">
        <f>IFERROR(AZ347*(1-N(AZ348)),0)</f>
        <v>538.213605744454</v>
      </c>
      <c r="BA346" s="298">
        <f>IFERROR(BA347*(1-N(BA348)),0)</f>
        <v>1796.75137718674</v>
      </c>
      <c r="BB346" s="298">
        <f>IFERROR(BB347*(1-N(BB348)),0)</f>
        <v>429.563461304269</v>
      </c>
      <c r="BC346" s="298">
        <f>IFERROR(BC347*(1-N(BC348)),0)</f>
        <v>426.903816821644</v>
      </c>
      <c r="BD346" s="298">
        <f>IFERROR(BD347*(1-N(BD348)),0)</f>
        <v>566.035029277757</v>
      </c>
      <c r="BE346" s="298">
        <f>IFERROR(BE347*(1-N(BE348)),0)</f>
        <v>608.33303014032</v>
      </c>
      <c r="BF346" s="298">
        <f>IFERROR(BF347*(1-N(BF348)),0)</f>
        <v>2030.83533754399</v>
      </c>
      <c r="BG346" s="85" t="n"/>
      <c r="BH346" s="76" t="n"/>
      <c r="BI346" s="76" t="n"/>
      <c r="BJ346" s="76" t="n"/>
      <c r="BL346" s="85" t="n"/>
      <c r="BM346" s="76" t="n"/>
      <c r="BN346" s="76" t="n"/>
      <c r="BO346" s="76" t="n"/>
      <c r="BQ346" s="85" t="n"/>
      <c r="BR346" s="76" t="n"/>
      <c r="BS346" s="76" t="n"/>
      <c r="BT346" s="76" t="n"/>
      <c r="BV346" s="85" t="n"/>
      <c r="BW346" s="76" t="n"/>
      <c r="BX346" s="76" t="n"/>
      <c r="BY346" s="76" t="n"/>
      <c r="CA346" s="85" t="n"/>
      <c r="CB346" s="76" t="n"/>
      <c r="CC346" s="76" t="n"/>
      <c r="CD346" s="76" t="n"/>
      <c r="CF346" s="85" t="n"/>
      <c r="CG346" s="76" t="n"/>
      <c r="CH346" s="76" t="n"/>
      <c r="CI346" s="76" t="n"/>
      <c r="CK346" s="85" t="n"/>
      <c r="CL346" s="76" t="n"/>
      <c r="CM346" s="76" t="n"/>
      <c r="CN346" s="76" t="n"/>
      <c r="CP346" s="85" t="n"/>
      <c r="CQ346" s="76" t="n"/>
      <c r="CR346" s="76" t="n"/>
      <c r="CS346" s="76" t="n"/>
      <c r="CU346" s="85" t="n"/>
      <c r="CV346" s="76" t="n"/>
      <c r="CW346" s="76" t="n"/>
      <c r="CX346" s="76" t="n"/>
    </row>
    <row r="347" customFormat="1" s="77">
      <c r="A347" s="76" t="n"/>
      <c r="B347" s="76" t="n"/>
      <c r="C347" s="77" t="inlineStr">
        <is>
          <t>EBIT</t>
        </is>
      </c>
      <c r="D347" s="86" t="n"/>
      <c r="E347" s="86" t="n"/>
      <c r="F347" s="86" t="n"/>
      <c r="G347" s="86" t="n"/>
      <c r="H347" s="298">
        <f>IFERROR(H72,0)</f>
        <v>0</v>
      </c>
      <c r="I347" s="298">
        <f>IFERROR(I72,0)</f>
        <v>237.514</v>
      </c>
      <c r="J347" s="298">
        <f>IFERROR(J72,0)</f>
        <v>106.619</v>
      </c>
      <c r="K347" s="298">
        <f>IFERROR(K72,0)</f>
        <v>706.701</v>
      </c>
      <c r="L347" s="298">
        <f>IFERROR(L72,0)</f>
        <v>169.615</v>
      </c>
      <c r="M347" s="298">
        <f>IFERROR(M72,0)</f>
        <v>1220.449</v>
      </c>
      <c r="N347" s="298">
        <f>IFERROR(N72,0)</f>
        <v>147.348</v>
      </c>
      <c r="O347" s="298">
        <f>IFERROR(O72,0)</f>
        <v>128.296</v>
      </c>
      <c r="P347" s="298">
        <f>IFERROR(P72,0)</f>
        <v>341.886</v>
      </c>
      <c r="Q347" s="298">
        <f>IFERROR(Q72,0)</f>
        <v>642.876</v>
      </c>
      <c r="R347" s="298">
        <f>IFERROR(R72,0)</f>
        <v>1260.406</v>
      </c>
      <c r="S347" s="298">
        <f>IFERROR(S72,0)</f>
        <v>283.555</v>
      </c>
      <c r="T347" s="298">
        <f>IFERROR(T72,0)</f>
        <v>288.244</v>
      </c>
      <c r="U347" s="298">
        <f>IFERROR(U72,0)</f>
        <v>180.437</v>
      </c>
      <c r="V347" s="298">
        <f>IFERROR(V72,0)</f>
        <v>248.366</v>
      </c>
      <c r="W347" s="298">
        <f>IFERROR(W72,0)</f>
        <v>1000.602</v>
      </c>
      <c r="X347" s="298">
        <f>IFERROR(X72,0)</f>
        <v>433.263</v>
      </c>
      <c r="Y347" s="298">
        <f>IFERROR(Y72,0)</f>
        <v>222.893</v>
      </c>
      <c r="Z347" s="298">
        <f>IFERROR(Z72,0)</f>
        <v>450.968</v>
      </c>
      <c r="AA347" s="298">
        <f>IFERROR(AA72,0)</f>
        <v>20.1570000000002</v>
      </c>
      <c r="AB347" s="298">
        <f>IFERROR(AB72,0)</f>
        <v>1127.281</v>
      </c>
      <c r="AC347" s="298">
        <f>IFERROR(AC72,0)</f>
        <v>919.312</v>
      </c>
      <c r="AD347" s="298">
        <f>IFERROR(AD72,0)</f>
        <v>-4.73400000000004</v>
      </c>
      <c r="AE347" s="298">
        <f>IFERROR(AE72,0)</f>
        <v>198.771</v>
      </c>
      <c r="AF347" s="298">
        <f>IFERROR(AF72,0)</f>
        <v>997.428</v>
      </c>
      <c r="AG347" s="298">
        <f>IFERROR(AG72,0)</f>
        <v>2110.777</v>
      </c>
      <c r="AH347" s="298">
        <f>IFERROR(AH72,0)</f>
        <v>-166.715</v>
      </c>
      <c r="AI347" s="298">
        <f>IFERROR(AI72,0)</f>
        <v>345.324</v>
      </c>
      <c r="AJ347" s="298">
        <f>IFERROR(AJ72,0)</f>
        <v>463.937958439629</v>
      </c>
      <c r="AK347" s="298">
        <f>IFERROR(AK72,0)</f>
        <v>498.606569305098</v>
      </c>
      <c r="AL347" s="298">
        <f>IFERROR(AL72,0)</f>
        <v>1141.15352774473</v>
      </c>
      <c r="AM347" s="298">
        <f>IFERROR(AM72,0)</f>
        <v>403.233199567473</v>
      </c>
      <c r="AN347" s="298">
        <f>IFERROR(AN72,0)</f>
        <v>400.736579042104</v>
      </c>
      <c r="AO347" s="298">
        <f>IFERROR(AO72,0)</f>
        <v>531.339688971517</v>
      </c>
      <c r="AP347" s="298">
        <f>IFERROR(AP72,0)</f>
        <v>571.045017193178</v>
      </c>
      <c r="AQ347" s="298">
        <f>IFERROR(AQ72,0)</f>
        <v>1906.35448477427</v>
      </c>
      <c r="AR347" s="298">
        <f>IFERROR(AR72,0)</f>
        <v>459.79946892407</v>
      </c>
      <c r="AS347" s="298">
        <f>IFERROR(AS72,0)</f>
        <v>456.952618037533</v>
      </c>
      <c r="AT347" s="298">
        <f>IFERROR(AT72,0)</f>
        <v>605.8769641722</v>
      </c>
      <c r="AU347" s="298">
        <f>IFERROR(AU72,0)</f>
        <v>651.152226351403</v>
      </c>
      <c r="AV347" s="298">
        <f>IFERROR(AV72,0)</f>
        <v>2173.78127748521</v>
      </c>
      <c r="AW347" s="298">
        <f>IFERROR(AW72,0)</f>
        <v>522.001957660153</v>
      </c>
      <c r="AX347" s="298">
        <f>IFERROR(AX72,0)</f>
        <v>518.769979729826</v>
      </c>
      <c r="AY347" s="298">
        <f>IFERROR(AY72,0)</f>
        <v>687.841075891514</v>
      </c>
      <c r="AZ347" s="298">
        <f>IFERROR(AZ72,0)</f>
        <v>739.241255944839</v>
      </c>
      <c r="BA347" s="298">
        <f>IFERROR(BA72,0)</f>
        <v>2467.85426922633</v>
      </c>
      <c r="BB347" s="298">
        <f>IFERROR(BB72,0)</f>
        <v>590.009299752551</v>
      </c>
      <c r="BC347" s="298">
        <f>IFERROR(BC72,0)</f>
        <v>586.356253997635</v>
      </c>
      <c r="BD347" s="298">
        <f>IFERROR(BD72,0)</f>
        <v>777.454232828776</v>
      </c>
      <c r="BE347" s="298">
        <f>IFERROR(BE72,0)</f>
        <v>835.550919623504</v>
      </c>
      <c r="BF347" s="298">
        <f>IFERROR(BF72,0)</f>
        <v>2789.37070620247</v>
      </c>
      <c r="BG347" s="63" t="n"/>
      <c r="BH347" s="63" t="n"/>
      <c r="BI347" s="63" t="n"/>
      <c r="BJ347" s="63" t="n"/>
      <c r="BL347" s="63" t="n"/>
      <c r="BM347" s="63" t="n"/>
      <c r="BN347" s="63" t="n"/>
      <c r="BO347" s="63" t="n"/>
      <c r="BQ347" s="63" t="n"/>
      <c r="BR347" s="63" t="n"/>
      <c r="BS347" s="63" t="n"/>
      <c r="BT347" s="63" t="n"/>
      <c r="BV347" s="63" t="n"/>
      <c r="BW347" s="63" t="n"/>
      <c r="BX347" s="63" t="n"/>
      <c r="BY347" s="63" t="n"/>
      <c r="CA347" s="63" t="n"/>
      <c r="CB347" s="63" t="n"/>
      <c r="CC347" s="63" t="n"/>
      <c r="CD347" s="63" t="n"/>
      <c r="CF347" s="63" t="n"/>
      <c r="CG347" s="63" t="n"/>
      <c r="CH347" s="63" t="n"/>
      <c r="CI347" s="63" t="n"/>
      <c r="CK347" s="63" t="n"/>
      <c r="CL347" s="63" t="n"/>
      <c r="CM347" s="63" t="n"/>
      <c r="CN347" s="63" t="n"/>
      <c r="CP347" s="63" t="n"/>
      <c r="CQ347" s="63" t="n"/>
      <c r="CR347" s="63" t="n"/>
      <c r="CS347" s="63" t="n"/>
      <c r="CU347" s="63" t="n"/>
      <c r="CV347" s="63" t="n"/>
      <c r="CW347" s="63" t="n"/>
      <c r="CX347" s="63" t="n"/>
    </row>
    <row r="348" customFormat="1" s="77">
      <c r="A348" s="76" t="n"/>
      <c r="B348" s="76" t="n"/>
      <c r="C348" s="77" t="inlineStr">
        <is>
          <t>ETR (LIMITED TO 0%-100%)</t>
        </is>
      </c>
      <c r="D348" s="87" t="n"/>
      <c r="E348" s="87" t="n"/>
      <c r="F348" s="87" t="n"/>
      <c r="G348" s="87" t="n"/>
      <c r="H348" s="290" t="str">
        <f>IFERROR(IF(N(H129)&lt;&gt;0,MAX(0,MIN(1,-H130/H129)),""),"")</f>
        <v/>
      </c>
      <c r="I348" s="290">
        <f>IFERROR(IF(N(I129)&lt;&gt;0,MAX(0,MIN(1,-I130/I129)),""),"")</f>
        <v>0.542670874224087</v>
      </c>
      <c r="J348" s="290">
        <f>IFERROR(IF(N(J129)&lt;&gt;0,MAX(0,MIN(1,-J130/J129)),""),"")</f>
        <v>0.0761565988814365</v>
      </c>
      <c r="K348" s="290">
        <f>IFERROR(IF(N(K129)&lt;&gt;0,MAX(0,MIN(1,-K130/K129)),""),"")</f>
        <v>0.42981335802438</v>
      </c>
      <c r="L348" s="290">
        <f>IFERROR(IF(N(L129)&lt;&gt;0,MAX(0,MIN(1,-L130/L129)),""),"")</f>
        <v>0.451323251417769</v>
      </c>
      <c r="M348" s="290">
        <f>IFERROR(IF(N(M129)&lt;&gt;0,MAX(0,MIN(1,-M130/M129)),""),"")</f>
        <v>0.511787278561558</v>
      </c>
      <c r="N348" s="290">
        <f>IFERROR(IF(N(N129)&lt;&gt;0,MAX(0,MIN(1,-N130/N129)),""),"")</f>
        <v>0</v>
      </c>
      <c r="O348" s="290">
        <f>IFERROR(IF(N(O129)&lt;&gt;0,MAX(0,MIN(1,-O130/O129)),""),"")</f>
        <v>0.0370038542159714</v>
      </c>
      <c r="P348" s="290">
        <f>IFERROR(IF(N(P129)&lt;&gt;0,MAX(0,MIN(1,-P130/P129)),""),"")</f>
        <v>0.384464379070258</v>
      </c>
      <c r="Q348" s="290">
        <f>IFERROR(IF(N(Q129)&lt;&gt;0,MAX(0,MIN(1,-Q130/Q129)),""),"")</f>
        <v>0.0927352281767556</v>
      </c>
      <c r="R348" s="290">
        <f>IFERROR(IF(N(R129)&lt;&gt;0,MAX(0,MIN(1,-R130/R129)),""),"")</f>
        <v>0.1282131029695</v>
      </c>
      <c r="S348" s="290">
        <f>IFERROR(IF(N(S129)&lt;&gt;0,MAX(0,MIN(1,-S130/S129)),""),"")</f>
        <v>0.250198972849592</v>
      </c>
      <c r="T348" s="290">
        <f>IFERROR(IF(N(T129)&lt;&gt;0,MAX(0,MIN(1,-T130/T129)),""),"")</f>
        <v>0.261659710454789</v>
      </c>
      <c r="U348" s="290">
        <f>IFERROR(IF(N(U129)&lt;&gt;0,MAX(0,MIN(1,-U130/U129)),""),"")</f>
        <v>1</v>
      </c>
      <c r="V348" s="290">
        <f>IFERROR(IF(N(V129)&lt;&gt;0,MAX(0,MIN(1,-V130/V129)),""),"")</f>
        <v>0.432679738562091</v>
      </c>
      <c r="W348" s="290">
        <f>IFERROR(IF(N(W129)&lt;&gt;0,MAX(0,MIN(1,-W130/W129)),""),"")</f>
        <v>1</v>
      </c>
      <c r="X348" s="290">
        <f>IFERROR(IF(N(X129)&lt;&gt;0,MAX(0,MIN(1,-X130/X129)),""),"")</f>
        <v>0.423221620554822</v>
      </c>
      <c r="Y348" s="290">
        <f>IFERROR(IF(N(Y129)&lt;&gt;0,MAX(0,MIN(1,-Y130/Y129)),""),"")</f>
        <v>0.567427827869324</v>
      </c>
      <c r="Z348" s="290">
        <f>IFERROR(IF(N(Z129)&lt;&gt;0,MAX(0,MIN(1,-Z130/Z129)),""),"")</f>
        <v>0.390267638505726</v>
      </c>
      <c r="AA348" s="290">
        <f>IFERROR(IF(N(AA129)&lt;&gt;0,MAX(0,MIN(1,-AA130/AA129)),""),"")</f>
        <v>0.162557595195678</v>
      </c>
      <c r="AB348" s="290">
        <f>IFERROR(IF(N(AB129)&lt;&gt;0,MAX(0,MIN(1,-AB130/AB129)),""),"")</f>
        <v>0.706316310053034</v>
      </c>
      <c r="AC348" s="290">
        <f>IFERROR(IF(N(AC129)&lt;&gt;0,MAX(0,MIN(1,-AC130/AC129)),""),"")</f>
        <v>1</v>
      </c>
      <c r="AD348" s="290">
        <f>IFERROR(IF(N(AD129)&lt;&gt;0,MAX(0,MIN(1,-AD130/AD129)),""),"")</f>
        <v>0.110356235781912</v>
      </c>
      <c r="AE348" s="290">
        <f>IFERROR(IF(N(AE129)&lt;&gt;0,MAX(0,MIN(1,-AE130/AE129)),""),"")</f>
        <v>0</v>
      </c>
      <c r="AF348" s="290">
        <f>IFERROR(IF(N(AF129)&lt;&gt;0,MAX(0,MIN(1,-AF130/AF129)),""),"")</f>
        <v>0.479244195095723</v>
      </c>
      <c r="AG348" s="290">
        <f>IFERROR(IF(N(AG129)&lt;&gt;0,MAX(0,MIN(1,-AG130/AG129)),""),"")</f>
        <v>0</v>
      </c>
      <c r="AH348" s="290">
        <f>IFERROR(IF(N(AH129)&lt;&gt;0,MAX(0,MIN(1,-AH130/AH129)),""),"")</f>
        <v>0.11030789932139</v>
      </c>
      <c r="AI348" s="290">
        <f>IFERROR(IF(N(AI129)&lt;&gt;0,MAX(0,MIN(1,-AI130/AI129)),""),"")</f>
        <v>0</v>
      </c>
      <c r="AJ348" s="290">
        <f>IFERROR(IF(N(AJ129)&lt;&gt;0,MAX(0,MIN(1,-AJ130/AJ129)),""),"")</f>
        <v>0.271937812701549</v>
      </c>
      <c r="AK348" s="290">
        <f>IFERROR(IF(N(AK129)&lt;&gt;0,MAX(0,MIN(1,-AK130/AK129)),""),"")</f>
        <v>0.271937812701549</v>
      </c>
      <c r="AL348" s="290">
        <f>IFERROR(IF(N(AL129)&lt;&gt;0,MAX(0,MIN(1,-AL130/AL129)),""),"")</f>
        <v>0.0288297080049408</v>
      </c>
      <c r="AM348" s="290">
        <f>IFERROR(IF(N(AM129)&lt;&gt;0,MAX(0,MIN(1,-AM130/AM129)),""),"")</f>
        <v>0.271937812701549</v>
      </c>
      <c r="AN348" s="290">
        <f>IFERROR(IF(N(AN129)&lt;&gt;0,MAX(0,MIN(1,-AN130/AN129)),""),"")</f>
        <v>0.271937812701549</v>
      </c>
      <c r="AO348" s="290">
        <f>IFERROR(IF(N(AO129)&lt;&gt;0,MAX(0,MIN(1,-AO130/AO129)),""),"")</f>
        <v>0.271937812701549</v>
      </c>
      <c r="AP348" s="290">
        <f>IFERROR(IF(N(AP129)&lt;&gt;0,MAX(0,MIN(1,-AP130/AP129)),""),"")</f>
        <v>0.271937812701549</v>
      </c>
      <c r="AQ348" s="290">
        <f>IFERROR(IF(N(AQ129)&lt;&gt;0,MAX(0,MIN(1,-AQ130/AQ129)),""),"")</f>
        <v>0.271937812701549</v>
      </c>
      <c r="AR348" s="290">
        <f>IFERROR(IF(N(AR129)&lt;&gt;0,MAX(0,MIN(1,-AR130/AR129)),""),"")</f>
        <v>0.271937812701549</v>
      </c>
      <c r="AS348" s="290">
        <f>IFERROR(IF(N(AS129)&lt;&gt;0,MAX(0,MIN(1,-AS130/AS129)),""),"")</f>
        <v>0.271937812701549</v>
      </c>
      <c r="AT348" s="290">
        <f>IFERROR(IF(N(AT129)&lt;&gt;0,MAX(0,MIN(1,-AT130/AT129)),""),"")</f>
        <v>0.271937812701549</v>
      </c>
      <c r="AU348" s="290">
        <f>IFERROR(IF(N(AU129)&lt;&gt;0,MAX(0,MIN(1,-AU130/AU129)),""),"")</f>
        <v>0.271937812701549</v>
      </c>
      <c r="AV348" s="290">
        <f>IFERROR(IF(N(AV129)&lt;&gt;0,MAX(0,MIN(1,-AV130/AV129)),""),"")</f>
        <v>0.271937812701549</v>
      </c>
      <c r="AW348" s="290">
        <f>IFERROR(IF(N(AW129)&lt;&gt;0,MAX(0,MIN(1,-AW130/AW129)),""),"")</f>
        <v>0.271937812701549</v>
      </c>
      <c r="AX348" s="290">
        <f>IFERROR(IF(N(AX129)&lt;&gt;0,MAX(0,MIN(1,-AX130/AX129)),""),"")</f>
        <v>0.271937812701549</v>
      </c>
      <c r="AY348" s="290">
        <f>IFERROR(IF(N(AY129)&lt;&gt;0,MAX(0,MIN(1,-AY130/AY129)),""),"")</f>
        <v>0.271937812701549</v>
      </c>
      <c r="AZ348" s="290">
        <f>IFERROR(IF(N(AZ129)&lt;&gt;0,MAX(0,MIN(1,-AZ130/AZ129)),""),"")</f>
        <v>0.271937812701549</v>
      </c>
      <c r="BA348" s="290">
        <f>IFERROR(IF(N(BA129)&lt;&gt;0,MAX(0,MIN(1,-BA130/BA129)),""),"")</f>
        <v>0.271937812701549</v>
      </c>
      <c r="BB348" s="290">
        <f>IFERROR(IF(N(BB129)&lt;&gt;0,MAX(0,MIN(1,-BB130/BB129)),""),"")</f>
        <v>0.271937812701549</v>
      </c>
      <c r="BC348" s="290">
        <f>IFERROR(IF(N(BC129)&lt;&gt;0,MAX(0,MIN(1,-BC130/BC129)),""),"")</f>
        <v>0.271937812701549</v>
      </c>
      <c r="BD348" s="290">
        <f>IFERROR(IF(N(BD129)&lt;&gt;0,MAX(0,MIN(1,-BD130/BD129)),""),"")</f>
        <v>0.271937812701549</v>
      </c>
      <c r="BE348" s="290">
        <f>IFERROR(IF(N(BE129)&lt;&gt;0,MAX(0,MIN(1,-BE130/BE129)),""),"")</f>
        <v>0.271937812701549</v>
      </c>
      <c r="BF348" s="290">
        <f>IFERROR(IF(N(BF129)&lt;&gt;0,MAX(0,MIN(1,-BF130/BF129)),""),"")</f>
        <v>0.271937812701549</v>
      </c>
      <c r="BG348" s="88" t="n"/>
      <c r="BH348" s="88" t="n"/>
      <c r="BI348" s="88" t="n"/>
      <c r="BJ348" s="88" t="n"/>
      <c r="BL348" s="88" t="n"/>
      <c r="BM348" s="88" t="n"/>
      <c r="BN348" s="88" t="n"/>
      <c r="BO348" s="88" t="n"/>
      <c r="BQ348" s="88" t="n"/>
      <c r="BR348" s="88" t="n"/>
      <c r="BS348" s="88" t="n"/>
      <c r="BT348" s="88" t="n"/>
      <c r="BV348" s="88" t="n"/>
      <c r="BW348" s="88" t="n"/>
      <c r="BX348" s="88" t="n"/>
      <c r="BY348" s="88" t="n"/>
      <c r="CA348" s="88" t="n"/>
      <c r="CB348" s="88" t="n"/>
      <c r="CC348" s="88" t="n"/>
      <c r="CD348" s="88" t="n"/>
      <c r="CF348" s="88" t="n"/>
      <c r="CG348" s="88" t="n"/>
      <c r="CH348" s="88" t="n"/>
      <c r="CI348" s="88" t="n"/>
      <c r="CK348" s="88" t="n"/>
      <c r="CL348" s="88" t="n"/>
      <c r="CM348" s="88" t="n"/>
      <c r="CN348" s="88" t="n"/>
      <c r="CP348" s="88" t="n"/>
      <c r="CQ348" s="88" t="n"/>
      <c r="CR348" s="88" t="n"/>
      <c r="CS348" s="88" t="n"/>
      <c r="CU348" s="88" t="n"/>
      <c r="CV348" s="88" t="n"/>
      <c r="CW348" s="88" t="n"/>
      <c r="CX348" s="88" t="n"/>
    </row>
    <row r="349" customFormat="1" s="77">
      <c r="A349" s="76" t="n"/>
      <c r="B349" s="76" t="n"/>
      <c r="C349" s="77" t="inlineStr">
        <is>
          <t>INVESTED CAPITAL</t>
        </is>
      </c>
      <c r="D349" s="86" t="n"/>
      <c r="E349" s="86" t="n"/>
      <c r="F349" s="86" t="n"/>
      <c r="G349" s="86" t="n"/>
      <c r="H349" s="298">
        <f>IFERROR(H351+H354,0)</f>
        <v>0</v>
      </c>
      <c r="I349" s="298">
        <f>IFERROR(I351+I354,0)</f>
        <v>11008.706</v>
      </c>
      <c r="J349" s="298">
        <f>IFERROR(J351+J354,0)</f>
        <v>11383.266</v>
      </c>
      <c r="K349" s="298">
        <f>IFERROR(K351+K354,0)</f>
        <v>12451.077</v>
      </c>
      <c r="L349" s="298">
        <f>IFERROR(L351+L354,0)</f>
        <v>12441.342</v>
      </c>
      <c r="M349" s="298">
        <f>IFERROR(M351+M354,0)</f>
        <v>12441.342</v>
      </c>
      <c r="N349" s="298">
        <f>IFERROR(N351+N354,0)</f>
        <v>14110.267</v>
      </c>
      <c r="O349" s="298">
        <f>IFERROR(O351+O354,0)</f>
        <v>14673.35</v>
      </c>
      <c r="P349" s="298">
        <f>IFERROR(P351+P354,0)</f>
        <v>15472.084</v>
      </c>
      <c r="Q349" s="298">
        <f>IFERROR(Q351+Q354,0)</f>
        <v>16447.521</v>
      </c>
      <c r="R349" s="298">
        <f>IFERROR(R351+R354,0)</f>
        <v>16447.521</v>
      </c>
      <c r="S349" s="298">
        <f>IFERROR(S351+S354,0)</f>
        <v>16781.485</v>
      </c>
      <c r="T349" s="298">
        <f>IFERROR(T351+T354,0)</f>
        <v>13795.303</v>
      </c>
      <c r="U349" s="298">
        <f>IFERROR(U351+U354,0)</f>
        <v>13849.241</v>
      </c>
      <c r="V349" s="298">
        <f>IFERROR(V351+V354,0)</f>
        <v>14198.996</v>
      </c>
      <c r="W349" s="298">
        <f>IFERROR(W351+W354,0)</f>
        <v>14198.996</v>
      </c>
      <c r="X349" s="298">
        <f>IFERROR(X351+X354,0)</f>
        <v>14360.813</v>
      </c>
      <c r="Y349" s="298">
        <f>IFERROR(Y351+Y354,0)</f>
        <v>14356.766</v>
      </c>
      <c r="Z349" s="298">
        <f>IFERROR(Z351+Z354,0)</f>
        <v>14394.904</v>
      </c>
      <c r="AA349" s="298">
        <f>IFERROR(AA351+AA354,0)</f>
        <v>33642.616</v>
      </c>
      <c r="AB349" s="298">
        <f>IFERROR(AB351+AB354,0)</f>
        <v>33642.616</v>
      </c>
      <c r="AC349" s="298">
        <f>IFERROR(AC351+AC354,0)</f>
        <v>33767.055</v>
      </c>
      <c r="AD349" s="298">
        <f>IFERROR(AD351+AD354,0)</f>
        <v>32777.992</v>
      </c>
      <c r="AE349" s="298">
        <f>IFERROR(AE351+AE354,0)</f>
        <v>32537.884</v>
      </c>
      <c r="AF349" s="298">
        <f>IFERROR(AF351+AF354,0)</f>
        <v>33227.159</v>
      </c>
      <c r="AG349" s="298">
        <f>IFERROR(AG351+AG354,0)</f>
        <v>33227.159</v>
      </c>
      <c r="AH349" s="298">
        <f>IFERROR(AH351+AH354,0)</f>
        <v>32384.696</v>
      </c>
      <c r="AI349" s="298">
        <f>IFERROR(AI351+AI354,0)</f>
        <v>31814.329</v>
      </c>
      <c r="AJ349" s="298">
        <f>IFERROR(AJ351+AJ354,0)</f>
        <v>31580.647218353</v>
      </c>
      <c r="AK349" s="298">
        <f>IFERROR(AK351+AK354,0)</f>
        <v>31280.4506643886</v>
      </c>
      <c r="AL349" s="298">
        <f>IFERROR(AL351+AL354,0)</f>
        <v>31280.4506643886</v>
      </c>
      <c r="AM349" s="298">
        <f>IFERROR(AM351+AM354,0)</f>
        <v>30935.1236413307</v>
      </c>
      <c r="AN349" s="298">
        <f>IFERROR(AN351+AN354,0)</f>
        <v>30641.5404783463</v>
      </c>
      <c r="AO349" s="298">
        <f>IFERROR(AO351+AO354,0)</f>
        <v>30365.3487163506</v>
      </c>
      <c r="AP349" s="298">
        <f>IFERROR(AP351+AP354,0)</f>
        <v>29991.7004460939</v>
      </c>
      <c r="AQ349" s="298">
        <f>IFERROR(AQ351+AQ354,0)</f>
        <v>29991.7004460939</v>
      </c>
      <c r="AR349" s="298">
        <f>IFERROR(AR351+AR354,0)</f>
        <v>29561.2838144672</v>
      </c>
      <c r="AS349" s="298">
        <f>IFERROR(AS351+AS354,0)</f>
        <v>29195.4002606687</v>
      </c>
      <c r="AT349" s="298">
        <f>IFERROR(AT351+AT354,0)</f>
        <v>28840.9918698377</v>
      </c>
      <c r="AU349" s="298">
        <f>IFERROR(AU351+AU354,0)</f>
        <v>28370.3627073568</v>
      </c>
      <c r="AV349" s="298">
        <f>IFERROR(AV351+AV354,0)</f>
        <v>28370.3627073568</v>
      </c>
      <c r="AW349" s="298">
        <f>IFERROR(AW351+AW354,0)</f>
        <v>27835.0903155403</v>
      </c>
      <c r="AX349" s="298">
        <f>IFERROR(AX351+AX354,0)</f>
        <v>27360.4343644782</v>
      </c>
      <c r="AY349" s="298">
        <f>IFERROR(AY351+AY354,0)</f>
        <v>26896.3754281083</v>
      </c>
      <c r="AZ349" s="298">
        <f>IFERROR(AZ351+AZ354,0)</f>
        <v>26292.7540018178</v>
      </c>
      <c r="BA349" s="298">
        <f>IFERROR(BA351+BA354,0)</f>
        <v>26292.7540018178</v>
      </c>
      <c r="BB349" s="298">
        <f>IFERROR(BB351+BB354,0)</f>
        <v>25609.7754392549</v>
      </c>
      <c r="BC349" s="298">
        <f>IFERROR(BC351+BC354,0)</f>
        <v>24988.797881205</v>
      </c>
      <c r="BD349" s="298">
        <f>IFERROR(BD351+BD354,0)</f>
        <v>24369.8238252887</v>
      </c>
      <c r="BE349" s="298">
        <f>IFERROR(BE351+BE354,0)</f>
        <v>23581.9709442302</v>
      </c>
      <c r="BF349" s="298">
        <f>IFERROR(BF351+BF354,0)</f>
        <v>23581.9709442302</v>
      </c>
      <c r="BG349" s="63" t="n"/>
      <c r="BH349" s="63" t="n"/>
      <c r="BI349" s="63" t="n"/>
      <c r="BJ349" s="63" t="n"/>
      <c r="BL349" s="63" t="n"/>
      <c r="BM349" s="63" t="n"/>
      <c r="BN349" s="63" t="n"/>
      <c r="BO349" s="63" t="n"/>
      <c r="BQ349" s="63" t="n"/>
      <c r="BR349" s="63" t="n"/>
      <c r="BS349" s="63" t="n"/>
      <c r="BT349" s="63" t="n"/>
      <c r="BV349" s="63" t="n"/>
      <c r="BW349" s="63" t="n"/>
      <c r="BX349" s="63" t="n"/>
      <c r="BY349" s="63" t="n"/>
      <c r="CA349" s="63" t="n"/>
      <c r="CB349" s="63" t="n"/>
      <c r="CC349" s="63" t="n"/>
      <c r="CD349" s="63" t="n"/>
      <c r="CF349" s="63" t="n"/>
      <c r="CG349" s="63" t="n"/>
      <c r="CH349" s="63" t="n"/>
      <c r="CI349" s="63" t="n"/>
      <c r="CK349" s="63" t="n"/>
      <c r="CL349" s="63" t="n"/>
      <c r="CM349" s="63" t="n"/>
      <c r="CN349" s="63" t="n"/>
      <c r="CP349" s="63" t="n"/>
      <c r="CQ349" s="63" t="n"/>
      <c r="CR349" s="63" t="n"/>
      <c r="CS349" s="63" t="n"/>
      <c r="CU349" s="63" t="n"/>
      <c r="CV349" s="63" t="n"/>
      <c r="CW349" s="63" t="n"/>
      <c r="CX349" s="63" t="n"/>
    </row>
    <row r="350" customFormat="1" s="77">
      <c r="A350" s="76" t="n"/>
      <c r="B350" s="76" t="n"/>
      <c r="C350" s="77" t="inlineStr">
        <is>
          <t>INVESTED CAPITAL - EX GOODWILL</t>
        </is>
      </c>
      <c r="D350" s="89" t="n"/>
      <c r="E350" s="89" t="n"/>
      <c r="F350" s="89" t="n"/>
      <c r="G350" s="89" t="n"/>
      <c r="H350" s="298">
        <f>IFERROR(H349-N(H178),0)</f>
        <v>0</v>
      </c>
      <c r="I350" s="298">
        <f>IFERROR(I349-N(I178),0)</f>
        <v>11008.706</v>
      </c>
      <c r="J350" s="298">
        <f>IFERROR(J349-N(J178),0)</f>
        <v>11383.266</v>
      </c>
      <c r="K350" s="298">
        <f>IFERROR(K349-N(K178),0)</f>
        <v>12451.077</v>
      </c>
      <c r="L350" s="298">
        <f>IFERROR(L349-N(L178),0)</f>
        <v>12441.342</v>
      </c>
      <c r="M350" s="298">
        <f>IFERROR(M349-N(M178),0)</f>
        <v>12441.342</v>
      </c>
      <c r="N350" s="298">
        <f>IFERROR(N349-N(N178),0)</f>
        <v>14110.267</v>
      </c>
      <c r="O350" s="298">
        <f>IFERROR(O349-N(O178),0)</f>
        <v>14673.35</v>
      </c>
      <c r="P350" s="298">
        <f>IFERROR(P349-N(P178),0)</f>
        <v>15472.084</v>
      </c>
      <c r="Q350" s="298">
        <f>IFERROR(Q349-N(Q178),0)</f>
        <v>16447.521</v>
      </c>
      <c r="R350" s="298">
        <f>IFERROR(R349-N(R178),0)</f>
        <v>16447.521</v>
      </c>
      <c r="S350" s="298">
        <f>IFERROR(S349-N(S178),0)</f>
        <v>16781.485</v>
      </c>
      <c r="T350" s="298">
        <f>IFERROR(T349-N(T178),0)</f>
        <v>13795.303</v>
      </c>
      <c r="U350" s="298">
        <f>IFERROR(U349-N(U178),0)</f>
        <v>13849.241</v>
      </c>
      <c r="V350" s="298">
        <f>IFERROR(V349-N(V178),0)</f>
        <v>14198.996</v>
      </c>
      <c r="W350" s="298">
        <f>IFERROR(W349-N(W178),0)</f>
        <v>14198.996</v>
      </c>
      <c r="X350" s="298">
        <f>IFERROR(X349-N(X178),0)</f>
        <v>14360.813</v>
      </c>
      <c r="Y350" s="298">
        <f>IFERROR(Y349-N(Y178),0)</f>
        <v>14356.766</v>
      </c>
      <c r="Z350" s="298">
        <f>IFERROR(Z349-N(Z178),0)</f>
        <v>14394.904</v>
      </c>
      <c r="AA350" s="298">
        <f>IFERROR(AA349-N(AA178),0)</f>
        <v>33642.616</v>
      </c>
      <c r="AB350" s="298">
        <f>IFERROR(AB349-N(AB178),0)</f>
        <v>33642.616</v>
      </c>
      <c r="AC350" s="298">
        <f>IFERROR(AC349-N(AC178),0)</f>
        <v>33767.055</v>
      </c>
      <c r="AD350" s="298">
        <f>IFERROR(AD349-N(AD178),0)</f>
        <v>32777.992</v>
      </c>
      <c r="AE350" s="298">
        <f>IFERROR(AE349-N(AE178),0)</f>
        <v>32537.884</v>
      </c>
      <c r="AF350" s="298">
        <f>IFERROR(AF349-N(AF178),0)</f>
        <v>33227.159</v>
      </c>
      <c r="AG350" s="298">
        <f>IFERROR(AG349-N(AG178),0)</f>
        <v>33227.159</v>
      </c>
      <c r="AH350" s="298">
        <f>IFERROR(AH349-N(AH178),0)</f>
        <v>32384.696</v>
      </c>
      <c r="AI350" s="298">
        <f>IFERROR(AI349-N(AI178),0)</f>
        <v>31814.329</v>
      </c>
      <c r="AJ350" s="298">
        <f>IFERROR(AJ349-N(AJ178),0)</f>
        <v>31580.647218353</v>
      </c>
      <c r="AK350" s="298">
        <f>IFERROR(AK349-N(AK178),0)</f>
        <v>31280.4506643886</v>
      </c>
      <c r="AL350" s="298">
        <f>IFERROR(AL349-N(AL178),0)</f>
        <v>31280.4506643886</v>
      </c>
      <c r="AM350" s="298">
        <f>IFERROR(AM349-N(AM178),0)</f>
        <v>30935.1236413307</v>
      </c>
      <c r="AN350" s="298">
        <f>IFERROR(AN349-N(AN178),0)</f>
        <v>30641.5404783463</v>
      </c>
      <c r="AO350" s="298">
        <f>IFERROR(AO349-N(AO178),0)</f>
        <v>30365.3487163506</v>
      </c>
      <c r="AP350" s="298">
        <f>IFERROR(AP349-N(AP178),0)</f>
        <v>29991.7004460939</v>
      </c>
      <c r="AQ350" s="298">
        <f>IFERROR(AQ349-N(AQ178),0)</f>
        <v>29991.7004460939</v>
      </c>
      <c r="AR350" s="298">
        <f>IFERROR(AR349-N(AR178),0)</f>
        <v>29561.2838144672</v>
      </c>
      <c r="AS350" s="298">
        <f>IFERROR(AS349-N(AS178),0)</f>
        <v>29195.4002606687</v>
      </c>
      <c r="AT350" s="298">
        <f>IFERROR(AT349-N(AT178),0)</f>
        <v>28840.9918698377</v>
      </c>
      <c r="AU350" s="298">
        <f>IFERROR(AU349-N(AU178),0)</f>
        <v>28370.3627073568</v>
      </c>
      <c r="AV350" s="298">
        <f>IFERROR(AV349-N(AV178),0)</f>
        <v>28370.3627073568</v>
      </c>
      <c r="AW350" s="298">
        <f>IFERROR(AW349-N(AW178),0)</f>
        <v>27835.0903155403</v>
      </c>
      <c r="AX350" s="298">
        <f>IFERROR(AX349-N(AX178),0)</f>
        <v>27360.4343644782</v>
      </c>
      <c r="AY350" s="298">
        <f>IFERROR(AY349-N(AY178),0)</f>
        <v>26896.3754281083</v>
      </c>
      <c r="AZ350" s="298">
        <f>IFERROR(AZ349-N(AZ178),0)</f>
        <v>26292.7540018178</v>
      </c>
      <c r="BA350" s="298">
        <f>IFERROR(BA349-N(BA178),0)</f>
        <v>26292.7540018178</v>
      </c>
      <c r="BB350" s="298">
        <f>IFERROR(BB349-N(BB178),0)</f>
        <v>25609.7754392549</v>
      </c>
      <c r="BC350" s="298">
        <f>IFERROR(BC349-N(BC178),0)</f>
        <v>24988.797881205</v>
      </c>
      <c r="BD350" s="298">
        <f>IFERROR(BD349-N(BD178),0)</f>
        <v>24369.8238252887</v>
      </c>
      <c r="BE350" s="298">
        <f>IFERROR(BE349-N(BE178),0)</f>
        <v>23581.9709442302</v>
      </c>
      <c r="BF350" s="298">
        <f>IFERROR(BF349-N(BF178),0)</f>
        <v>23581.9709442302</v>
      </c>
      <c r="BG350" s="90" t="n"/>
      <c r="BH350" s="90" t="n"/>
      <c r="BI350" s="90" t="n"/>
      <c r="BJ350" s="90" t="n"/>
      <c r="BL350" s="90" t="n"/>
      <c r="BM350" s="90" t="n"/>
      <c r="BN350" s="90" t="n"/>
      <c r="BO350" s="90" t="n"/>
      <c r="BQ350" s="90" t="n"/>
      <c r="BR350" s="90" t="n"/>
      <c r="BS350" s="90" t="n"/>
      <c r="BT350" s="90" t="n"/>
      <c r="BV350" s="90" t="n"/>
      <c r="BW350" s="90" t="n"/>
      <c r="BX350" s="90" t="n"/>
      <c r="BY350" s="90" t="n"/>
      <c r="CA350" s="90" t="n"/>
      <c r="CB350" s="90" t="n"/>
      <c r="CC350" s="90" t="n"/>
      <c r="CD350" s="90" t="n"/>
      <c r="CF350" s="90" t="n"/>
      <c r="CG350" s="90" t="n"/>
      <c r="CH350" s="90" t="n"/>
      <c r="CI350" s="90" t="n"/>
      <c r="CK350" s="90" t="n"/>
      <c r="CL350" s="90" t="n"/>
      <c r="CM350" s="90" t="n"/>
      <c r="CN350" s="90" t="n"/>
      <c r="CP350" s="90" t="n"/>
      <c r="CQ350" s="90" t="n"/>
      <c r="CR350" s="90" t="n"/>
      <c r="CS350" s="90" t="n"/>
      <c r="CU350" s="90" t="n"/>
      <c r="CV350" s="90" t="n"/>
      <c r="CW350" s="90" t="n"/>
      <c r="CX350" s="90" t="n"/>
    </row>
    <row r="351" customFormat="1" s="77">
      <c r="A351" s="76" t="n"/>
      <c r="B351" s="76" t="n"/>
      <c r="C351" s="77" t="inlineStr">
        <is>
          <t>OPERATING WORKING CAPITAL</t>
        </is>
      </c>
      <c r="D351" s="91" t="n"/>
      <c r="E351" s="91" t="n"/>
      <c r="F351" s="91" t="n"/>
      <c r="G351" s="91" t="n"/>
      <c r="H351" s="298">
        <f>IFERROR(H352-H353,0)</f>
        <v>0</v>
      </c>
      <c r="I351" s="298">
        <f>IFERROR(I352-I353,0)</f>
        <v>2999.881</v>
      </c>
      <c r="J351" s="298">
        <f>IFERROR(J352-J353,0)</f>
        <v>3542.446</v>
      </c>
      <c r="K351" s="298">
        <f>IFERROR(K352-K353,0)</f>
        <v>2996.16</v>
      </c>
      <c r="L351" s="298">
        <f>IFERROR(L352-L353,0)</f>
        <v>2696.151</v>
      </c>
      <c r="M351" s="298">
        <f>IFERROR(M352-M353,0)</f>
        <v>2696.151</v>
      </c>
      <c r="N351" s="298">
        <f>IFERROR(N352-N353,0)</f>
        <v>2823.052</v>
      </c>
      <c r="O351" s="298">
        <f>IFERROR(O352-O353,0)</f>
        <v>2918.341</v>
      </c>
      <c r="P351" s="298">
        <f>IFERROR(P352-P353,0)</f>
        <v>3021.899</v>
      </c>
      <c r="Q351" s="298">
        <f>IFERROR(Q352-Q353,0)</f>
        <v>2117.536</v>
      </c>
      <c r="R351" s="298">
        <f>IFERROR(R352-R353,0)</f>
        <v>2117.536</v>
      </c>
      <c r="S351" s="298">
        <f>IFERROR(S352-S353,0)</f>
        <v>2733.807</v>
      </c>
      <c r="T351" s="298">
        <f>IFERROR(T352-T353,0)</f>
        <v>2447.794</v>
      </c>
      <c r="U351" s="298">
        <f>IFERROR(U352-U353,0)</f>
        <v>1858.759</v>
      </c>
      <c r="V351" s="298">
        <f>IFERROR(V352-V353,0)</f>
        <v>2405.364</v>
      </c>
      <c r="W351" s="298">
        <f>IFERROR(W352-W353,0)</f>
        <v>2405.364</v>
      </c>
      <c r="X351" s="298">
        <f>IFERROR(X352-X353,0)</f>
        <v>2632.343</v>
      </c>
      <c r="Y351" s="298">
        <f>IFERROR(Y352-Y353,0)</f>
        <v>2770.959</v>
      </c>
      <c r="Z351" s="298">
        <f>IFERROR(Z352-Z353,0)</f>
        <v>2804.28</v>
      </c>
      <c r="AA351" s="298">
        <f>IFERROR(AA352-AA353,0)</f>
        <v>1667.965</v>
      </c>
      <c r="AB351" s="298">
        <f>IFERROR(AB352-AB353,0)</f>
        <v>1667.965</v>
      </c>
      <c r="AC351" s="298">
        <f>IFERROR(AC352-AC353,0)</f>
        <v>1855.352</v>
      </c>
      <c r="AD351" s="298">
        <f>IFERROR(AD352-AD353,0)</f>
        <v>1522.043</v>
      </c>
      <c r="AE351" s="298">
        <f>IFERROR(AE352-AE353,0)</f>
        <v>1204.043</v>
      </c>
      <c r="AF351" s="298">
        <f>IFERROR(AF352-AF353,0)</f>
        <v>1568.836</v>
      </c>
      <c r="AG351" s="298">
        <f>IFERROR(AG352-AG353,0)</f>
        <v>1568.836</v>
      </c>
      <c r="AH351" s="298">
        <f>IFERROR(AH352-AH353,0)</f>
        <v>1252.54</v>
      </c>
      <c r="AI351" s="298">
        <f>IFERROR(AI352-AI353,0)</f>
        <v>1086.557</v>
      </c>
      <c r="AJ351" s="298">
        <f>IFERROR(AJ352-AJ353,0)</f>
        <v>1107.91396274218</v>
      </c>
      <c r="AK351" s="298">
        <f>IFERROR(AK352-AK353,0)</f>
        <v>1081.81438891603</v>
      </c>
      <c r="AL351" s="298">
        <f>IFERROR(AL352-AL353,0)</f>
        <v>1081.81438891603</v>
      </c>
      <c r="AM351" s="298">
        <f>IFERROR(AM352-AM353,0)</f>
        <v>958.155127770983</v>
      </c>
      <c r="AN351" s="298">
        <f>IFERROR(AN352-AN353,0)</f>
        <v>884.867269558522</v>
      </c>
      <c r="AO351" s="298">
        <f>IFERROR(AO352-AO353,0)</f>
        <v>900.766733672517</v>
      </c>
      <c r="AP351" s="298">
        <f>IFERROR(AP352-AP353,0)</f>
        <v>841.036739610553</v>
      </c>
      <c r="AQ351" s="298">
        <f>IFERROR(AQ352-AQ353,0)</f>
        <v>841.036739610553</v>
      </c>
      <c r="AR351" s="298">
        <f>IFERROR(AR352-AR353,0)</f>
        <v>663.383817208256</v>
      </c>
      <c r="AS351" s="298">
        <f>IFERROR(AS352-AS353,0)</f>
        <v>548.698984768153</v>
      </c>
      <c r="AT351" s="298">
        <f>IFERROR(AT352-AT353,0)</f>
        <v>527.356895984363</v>
      </c>
      <c r="AU351" s="298">
        <f>IFERROR(AU352-AU353,0)</f>
        <v>414.683022985393</v>
      </c>
      <c r="AV351" s="298">
        <f>IFERROR(AV352-AV353,0)</f>
        <v>414.683022985393</v>
      </c>
      <c r="AW351" s="298">
        <f>IFERROR(AW352-AW353,0)</f>
        <v>166.368663872453</v>
      </c>
      <c r="AX351" s="298">
        <f>IFERROR(AX352-AX353,0)</f>
        <v>-23.1059566899676</v>
      </c>
      <c r="AY351" s="298">
        <f>IFERROR(AY352-AY353,0)</f>
        <v>-109.040790163142</v>
      </c>
      <c r="AZ351" s="298">
        <f>IFERROR(AZ352-AZ353,0)</f>
        <v>-306.282099700638</v>
      </c>
      <c r="BA351" s="298">
        <f>IFERROR(BA352-BA353,0)</f>
        <v>-306.282099700638</v>
      </c>
      <c r="BB351" s="298">
        <f>IFERROR(BB352-BB353,0)</f>
        <v>-664.91722743663</v>
      </c>
      <c r="BC351" s="298">
        <f>IFERROR(BC352-BC353,0)</f>
        <v>-963.559524782164</v>
      </c>
      <c r="BD351" s="298">
        <f>IFERROR(BD352-BD353,0)</f>
        <v>-1155.14679814759</v>
      </c>
      <c r="BE351" s="298">
        <f>IFERROR(BE352-BE353,0)</f>
        <v>-1483.6756391324</v>
      </c>
      <c r="BF351" s="298">
        <f>IFERROR(BF352-BF353,0)</f>
        <v>-1483.6756391324</v>
      </c>
      <c r="BG351" s="63" t="n"/>
      <c r="BH351" s="63" t="n"/>
      <c r="BI351" s="63" t="n"/>
      <c r="BJ351" s="63" t="n"/>
      <c r="BL351" s="63" t="n"/>
      <c r="BM351" s="63" t="n"/>
      <c r="BN351" s="63" t="n"/>
      <c r="BO351" s="63" t="n"/>
      <c r="BQ351" s="63" t="n"/>
      <c r="BR351" s="63" t="n"/>
      <c r="BS351" s="63" t="n"/>
      <c r="BT351" s="63" t="n"/>
      <c r="BV351" s="63" t="n"/>
      <c r="BW351" s="63" t="n"/>
      <c r="BX351" s="63" t="n"/>
      <c r="BY351" s="63" t="n"/>
      <c r="CA351" s="63" t="n"/>
      <c r="CB351" s="63" t="n"/>
      <c r="CC351" s="63" t="n"/>
      <c r="CD351" s="63" t="n"/>
      <c r="CF351" s="63" t="n"/>
      <c r="CG351" s="63" t="n"/>
      <c r="CH351" s="63" t="n"/>
      <c r="CI351" s="63" t="n"/>
      <c r="CK351" s="63" t="n"/>
      <c r="CL351" s="63" t="n"/>
      <c r="CM351" s="63" t="n"/>
      <c r="CN351" s="63" t="n"/>
      <c r="CP351" s="63" t="n"/>
      <c r="CQ351" s="63" t="n"/>
      <c r="CR351" s="63" t="n"/>
      <c r="CS351" s="63" t="n"/>
      <c r="CU351" s="63" t="n"/>
      <c r="CV351" s="63" t="n"/>
      <c r="CW351" s="63" t="n"/>
      <c r="CX351" s="63" t="n"/>
    </row>
    <row r="352" customFormat="1" s="77">
      <c r="A352" s="76" t="n"/>
      <c r="B352" s="76" t="n"/>
      <c r="C352" s="77" t="inlineStr">
        <is>
          <t>CURRENT ASSETS (OPERATING, EX CASH)</t>
        </is>
      </c>
      <c r="D352" s="89" t="n"/>
      <c r="E352" s="89" t="n"/>
      <c r="F352" s="89" t="n"/>
      <c r="G352" s="89" t="n"/>
      <c r="H352" s="298">
        <f>IFERROR((N(H144)+N(H148)+N(H152)+N(H153)+N(H154)),0)</f>
        <v>0</v>
      </c>
      <c r="I352" s="298">
        <f>IFERROR((N(I144)+N(I148)+N(I152)+N(I153)+N(I154)),0)</f>
        <v>4445.463</v>
      </c>
      <c r="J352" s="298">
        <f>IFERROR((N(J144)+N(J148)+N(J152)+N(J153)+N(J154)),0)</f>
        <v>4403.431</v>
      </c>
      <c r="K352" s="298">
        <f>IFERROR((N(K144)+N(K148)+N(K152)+N(K153)+N(K154)),0)</f>
        <v>3947.263</v>
      </c>
      <c r="L352" s="298">
        <f>IFERROR((N(L144)+N(L148)+N(L152)+N(L153)+N(L154)),0)</f>
        <v>4087.323</v>
      </c>
      <c r="M352" s="298">
        <f>IFERROR((N(M144)+N(M148)+N(M152)+N(M153)+N(M154)),0)</f>
        <v>4087.323</v>
      </c>
      <c r="N352" s="298">
        <f>IFERROR((N(N144)+N(N148)+N(N152)+N(N153)+N(N154)),0)</f>
        <v>5708.736</v>
      </c>
      <c r="O352" s="298">
        <f>IFERROR((N(O144)+N(O148)+N(O152)+N(O153)+N(O154)),0)</f>
        <v>6027.201</v>
      </c>
      <c r="P352" s="298">
        <f>IFERROR((N(P144)+N(P148)+N(P152)+N(P153)+N(P154)),0)</f>
        <v>5887.139</v>
      </c>
      <c r="Q352" s="298">
        <f>IFERROR((N(Q144)+N(Q148)+N(Q152)+N(Q153)+N(Q154)),0)</f>
        <v>6038.014</v>
      </c>
      <c r="R352" s="298">
        <f>IFERROR((N(R144)+N(R148)+N(R152)+N(R153)+N(R154)),0)</f>
        <v>6038.014</v>
      </c>
      <c r="S352" s="298">
        <f>IFERROR((N(S144)+N(S148)+N(S152)+N(S153)+N(S154)),0)</f>
        <v>6489.642</v>
      </c>
      <c r="T352" s="298">
        <f>IFERROR((N(T144)+N(T148)+N(T152)+N(T153)+N(T154)),0)</f>
        <v>5830.038</v>
      </c>
      <c r="U352" s="298">
        <f>IFERROR((N(U144)+N(U148)+N(U152)+N(U153)+N(U154)),0)</f>
        <v>5486.1</v>
      </c>
      <c r="V352" s="298">
        <f>IFERROR((N(V144)+N(V148)+N(V152)+N(V153)+N(V154)),0)</f>
        <v>5398.249</v>
      </c>
      <c r="W352" s="298">
        <f>IFERROR((N(W144)+N(W148)+N(W152)+N(W153)+N(W154)),0)</f>
        <v>5398.249</v>
      </c>
      <c r="X352" s="298">
        <f>IFERROR((N(X144)+N(X148)+N(X152)+N(X153)+N(X154)),0)</f>
        <v>4950.646</v>
      </c>
      <c r="Y352" s="298">
        <f>IFERROR((N(Y144)+N(Y148)+N(Y152)+N(Y153)+N(Y154)),0)</f>
        <v>4984.435</v>
      </c>
      <c r="Z352" s="298">
        <f>IFERROR((N(Z144)+N(Z148)+N(Z152)+N(Z153)+N(Z154)),0)</f>
        <v>7023.717</v>
      </c>
      <c r="AA352" s="298">
        <f>IFERROR((N(AA144)+N(AA148)+N(AA152)+N(AA153)+N(AA154)),0)</f>
        <v>6106.719</v>
      </c>
      <c r="AB352" s="298">
        <f>IFERROR((N(AB144)+N(AB148)+N(AB152)+N(AB153)+N(AB154)),0)</f>
        <v>6106.719</v>
      </c>
      <c r="AC352" s="298">
        <f>IFERROR((N(AC144)+N(AC148)+N(AC152)+N(AC153)+N(AC154)),0)</f>
        <v>7060.701</v>
      </c>
      <c r="AD352" s="298">
        <f>IFERROR((N(AD144)+N(AD148)+N(AD152)+N(AD153)+N(AD154)),0)</f>
        <v>5764.172</v>
      </c>
      <c r="AE352" s="298">
        <f>IFERROR((N(AE144)+N(AE148)+N(AE152)+N(AE153)+N(AE154)),0)</f>
        <v>5738.844</v>
      </c>
      <c r="AF352" s="298">
        <f>IFERROR((N(AF144)+N(AF148)+N(AF152)+N(AF153)+N(AF154)),0)</f>
        <v>6020.41</v>
      </c>
      <c r="AG352" s="298">
        <f>IFERROR((N(AG144)+N(AG148)+N(AG152)+N(AG153)+N(AG154)),0)</f>
        <v>6020.41</v>
      </c>
      <c r="AH352" s="298">
        <f>IFERROR((N(AH144)+N(AH148)+N(AH152)+N(AH153)+N(AH154)),0)</f>
        <v>5793.667</v>
      </c>
      <c r="AI352" s="298">
        <f>IFERROR((N(AI144)+N(AI148)+N(AI152)+N(AI153)+N(AI154)),0)</f>
        <v>5488.441</v>
      </c>
      <c r="AJ352" s="298">
        <f>IFERROR((N(AJ144)+N(AJ148)+N(AJ152)+N(AJ153)+N(AJ154)),0)</f>
        <v>5937.02278970879</v>
      </c>
      <c r="AK352" s="298">
        <f>IFERROR((N(AK144)+N(AK148)+N(AK152)+N(AK153)+N(AK154)),0)</f>
        <v>6075.81148719517</v>
      </c>
      <c r="AL352" s="298">
        <f>IFERROR((N(AL144)+N(AL148)+N(AL152)+N(AL153)+N(AL154)),0)</f>
        <v>6075.81148719517</v>
      </c>
      <c r="AM352" s="298">
        <f>IFERROR((N(AM144)+N(AM148)+N(AM152)+N(AM153)+N(AM154)),0)</f>
        <v>5729.87617747221</v>
      </c>
      <c r="AN352" s="298">
        <f>IFERROR((N(AN144)+N(AN148)+N(AN152)+N(AN153)+N(AN154)),0)</f>
        <v>5701.63829290996</v>
      </c>
      <c r="AO352" s="298">
        <f>IFERROR((N(AO144)+N(AO148)+N(AO152)+N(AO153)+N(AO154)),0)</f>
        <v>6206.85184127214</v>
      </c>
      <c r="AP352" s="298">
        <f>IFERROR((N(AP144)+N(AP148)+N(AP152)+N(AP153)+N(AP154)),0)</f>
        <v>6365.80400721088</v>
      </c>
      <c r="AQ352" s="298">
        <f>IFERROR((N(AQ144)+N(AQ148)+N(AQ152)+N(AQ153)+N(AQ154)),0)</f>
        <v>6365.80400721088</v>
      </c>
      <c r="AR352" s="298">
        <f>IFERROR((N(AR144)+N(AR148)+N(AR152)+N(AR153)+N(AR154)),0)</f>
        <v>5940.68281032608</v>
      </c>
      <c r="AS352" s="298">
        <f>IFERROR((N(AS144)+N(AS148)+N(AS152)+N(AS153)+N(AS154)),0)</f>
        <v>5929.16078528315</v>
      </c>
      <c r="AT352" s="298">
        <f>IFERROR((N(AT144)+N(AT148)+N(AT152)+N(AT153)+N(AT154)),0)</f>
        <v>6505.24658744268</v>
      </c>
      <c r="AU352" s="298">
        <f>IFERROR((N(AU144)+N(AU148)+N(AU152)+N(AU153)+N(AU154)),0)</f>
        <v>6686.49684551011</v>
      </c>
      <c r="AV352" s="298">
        <f>IFERROR((N(AV144)+N(AV148)+N(AV152)+N(AV153)+N(AV154)),0)</f>
        <v>6686.49684551011</v>
      </c>
      <c r="AW352" s="298">
        <f>IFERROR((N(AW144)+N(AW148)+N(AW152)+N(AW153)+N(AW154)),0)</f>
        <v>6215.90854572681</v>
      </c>
      <c r="AX352" s="298">
        <f>IFERROR((N(AX144)+N(AX148)+N(AX152)+N(AX153)+N(AX154)),0)</f>
        <v>6179.3534430282</v>
      </c>
      <c r="AY352" s="298">
        <f>IFERROR((N(AY144)+N(AY148)+N(AY152)+N(AY153)+N(AY154)),0)</f>
        <v>6833.37315560241</v>
      </c>
      <c r="AZ352" s="298">
        <f>IFERROR((N(AZ144)+N(AZ148)+N(AZ152)+N(AZ153)+N(AZ154)),0)</f>
        <v>7039.14327047227</v>
      </c>
      <c r="BA352" s="298">
        <f>IFERROR((N(BA144)+N(BA148)+N(BA152)+N(BA153)+N(BA154)),0)</f>
        <v>7039.14327047227</v>
      </c>
      <c r="BB352" s="298">
        <f>IFERROR((N(BB144)+N(BB148)+N(BB152)+N(BB153)+N(BB154)),0)</f>
        <v>6494.21211702521</v>
      </c>
      <c r="BC352" s="298">
        <f>IFERROR((N(BC144)+N(BC148)+N(BC152)+N(BC153)+N(BC154)),0)</f>
        <v>6452.89455062706</v>
      </c>
      <c r="BD352" s="298">
        <f>IFERROR((N(BD144)+N(BD148)+N(BD152)+N(BD153)+N(BD154)),0)</f>
        <v>7192.12111286056</v>
      </c>
      <c r="BE352" s="298">
        <f>IFERROR((N(BE144)+N(BE148)+N(BE152)+N(BE153)+N(BE154)),0)</f>
        <v>7424.69932373273</v>
      </c>
      <c r="BF352" s="298">
        <f>IFERROR((N(BF144)+N(BF148)+N(BF152)+N(BF153)+N(BF154)),0)</f>
        <v>7424.69932373273</v>
      </c>
      <c r="BG352" s="90" t="n"/>
      <c r="BH352" s="90" t="n"/>
      <c r="BI352" s="90" t="n"/>
      <c r="BJ352" s="90" t="n"/>
      <c r="BL352" s="90" t="n"/>
      <c r="BM352" s="90" t="n"/>
      <c r="BN352" s="90" t="n"/>
      <c r="BO352" s="90" t="n"/>
      <c r="BQ352" s="90" t="n"/>
      <c r="BR352" s="90" t="n"/>
      <c r="BS352" s="90" t="n"/>
      <c r="BT352" s="90" t="n"/>
      <c r="BV352" s="90" t="n"/>
      <c r="BW352" s="90" t="n"/>
      <c r="BX352" s="90" t="n"/>
      <c r="BY352" s="90" t="n"/>
      <c r="CA352" s="90" t="n"/>
      <c r="CB352" s="90" t="n"/>
      <c r="CC352" s="90" t="n"/>
      <c r="CD352" s="90" t="n"/>
      <c r="CF352" s="90" t="n"/>
      <c r="CG352" s="90" t="n"/>
      <c r="CH352" s="90" t="n"/>
      <c r="CI352" s="90" t="n"/>
      <c r="CK352" s="90" t="n"/>
      <c r="CL352" s="90" t="n"/>
      <c r="CM352" s="90" t="n"/>
      <c r="CN352" s="90" t="n"/>
      <c r="CP352" s="90" t="n"/>
      <c r="CQ352" s="90" t="n"/>
      <c r="CR352" s="90" t="n"/>
      <c r="CS352" s="90" t="n"/>
      <c r="CU352" s="90" t="n"/>
      <c r="CV352" s="90" t="n"/>
      <c r="CW352" s="90" t="n"/>
      <c r="CX352" s="90" t="n"/>
    </row>
    <row r="353" customFormat="1" s="77">
      <c r="A353" s="76" t="n"/>
      <c r="B353" s="76" t="n"/>
      <c r="C353" s="77" t="inlineStr">
        <is>
          <t>CURRENT LIABILITIES (OPERATING, EX DEBT)</t>
        </is>
      </c>
      <c r="D353" s="89" t="n"/>
      <c r="E353" s="89" t="n"/>
      <c r="F353" s="89" t="n"/>
      <c r="G353" s="89" t="n"/>
      <c r="H353" s="298">
        <f>IFERROR((N(H197)+N(H201)+N(H203)+N(H204)),0)</f>
        <v>0</v>
      </c>
      <c r="I353" s="298">
        <f>IFERROR((N(I197)+N(I201)+N(I203)+N(I204)),0)</f>
        <v>1445.582</v>
      </c>
      <c r="J353" s="298">
        <f>IFERROR((N(J197)+N(J201)+N(J203)+N(J204)),0)</f>
        <v>860.985</v>
      </c>
      <c r="K353" s="298">
        <f>IFERROR((N(K197)+N(K201)+N(K203)+N(K204)),0)</f>
        <v>951.103</v>
      </c>
      <c r="L353" s="298">
        <f>IFERROR((N(L197)+N(L201)+N(L203)+N(L204)),0)</f>
        <v>1391.172</v>
      </c>
      <c r="M353" s="298">
        <f>IFERROR((N(M197)+N(M201)+N(M203)+N(M204)),0)</f>
        <v>1391.172</v>
      </c>
      <c r="N353" s="298">
        <f>IFERROR((N(N197)+N(N201)+N(N203)+N(N204)),0)</f>
        <v>2885.684</v>
      </c>
      <c r="O353" s="298">
        <f>IFERROR((N(O197)+N(O201)+N(O203)+N(O204)),0)</f>
        <v>3108.86</v>
      </c>
      <c r="P353" s="298">
        <f>IFERROR((N(P197)+N(P201)+N(P203)+N(P204)),0)</f>
        <v>2865.24</v>
      </c>
      <c r="Q353" s="298">
        <f>IFERROR((N(Q197)+N(Q201)+N(Q203)+N(Q204)),0)</f>
        <v>3920.478</v>
      </c>
      <c r="R353" s="298">
        <f>IFERROR((N(R197)+N(R201)+N(R203)+N(R204)),0)</f>
        <v>3920.478</v>
      </c>
      <c r="S353" s="298">
        <f>IFERROR((N(S197)+N(S201)+N(S203)+N(S204)),0)</f>
        <v>3755.835</v>
      </c>
      <c r="T353" s="298">
        <f>IFERROR((N(T197)+N(T201)+N(T203)+N(T204)),0)</f>
        <v>3382.244</v>
      </c>
      <c r="U353" s="298">
        <f>IFERROR((N(U197)+N(U201)+N(U203)+N(U204)),0)</f>
        <v>3627.341</v>
      </c>
      <c r="V353" s="298">
        <f>IFERROR((N(V197)+N(V201)+N(V203)+N(V204)),0)</f>
        <v>2992.885</v>
      </c>
      <c r="W353" s="298">
        <f>IFERROR((N(W197)+N(W201)+N(W203)+N(W204)),0)</f>
        <v>2992.885</v>
      </c>
      <c r="X353" s="298">
        <f>IFERROR((N(X197)+N(X201)+N(X203)+N(X204)),0)</f>
        <v>2318.303</v>
      </c>
      <c r="Y353" s="298">
        <f>IFERROR((N(Y197)+N(Y201)+N(Y203)+N(Y204)),0)</f>
        <v>2213.476</v>
      </c>
      <c r="Z353" s="298">
        <f>IFERROR((N(Z197)+N(Z201)+N(Z203)+N(Z204)),0)</f>
        <v>4219.437</v>
      </c>
      <c r="AA353" s="298">
        <f>IFERROR((N(AA197)+N(AA201)+N(AA203)+N(AA204)),0)</f>
        <v>4438.754</v>
      </c>
      <c r="AB353" s="298">
        <f>IFERROR((N(AB197)+N(AB201)+N(AB203)+N(AB204)),0)</f>
        <v>4438.754</v>
      </c>
      <c r="AC353" s="298">
        <f>IFERROR((N(AC197)+N(AC201)+N(AC203)+N(AC204)),0)</f>
        <v>5205.349</v>
      </c>
      <c r="AD353" s="298">
        <f>IFERROR((N(AD197)+N(AD201)+N(AD203)+N(AD204)),0)</f>
        <v>4242.129</v>
      </c>
      <c r="AE353" s="298">
        <f>IFERROR((N(AE197)+N(AE201)+N(AE203)+N(AE204)),0)</f>
        <v>4534.801</v>
      </c>
      <c r="AF353" s="298">
        <f>IFERROR((N(AF197)+N(AF201)+N(AF203)+N(AF204)),0)</f>
        <v>4451.574</v>
      </c>
      <c r="AG353" s="298">
        <f>IFERROR((N(AG197)+N(AG201)+N(AG203)+N(AG204)),0)</f>
        <v>4451.574</v>
      </c>
      <c r="AH353" s="298">
        <f>IFERROR((N(AH197)+N(AH201)+N(AH203)+N(AH204)),0)</f>
        <v>4541.127</v>
      </c>
      <c r="AI353" s="298">
        <f>IFERROR((N(AI197)+N(AI201)+N(AI203)+N(AI204)),0)</f>
        <v>4401.884</v>
      </c>
      <c r="AJ353" s="298">
        <f>IFERROR((N(AJ197)+N(AJ201)+N(AJ203)+N(AJ204)),0)</f>
        <v>4829.10882696662</v>
      </c>
      <c r="AK353" s="298">
        <f>IFERROR((N(AK197)+N(AK201)+N(AK203)+N(AK204)),0)</f>
        <v>4993.99709827914</v>
      </c>
      <c r="AL353" s="298">
        <f>IFERROR((N(AL197)+N(AL201)+N(AL203)+N(AL204)),0)</f>
        <v>4993.99709827914</v>
      </c>
      <c r="AM353" s="298">
        <f>IFERROR((N(AM197)+N(AM201)+N(AM203)+N(AM204)),0)</f>
        <v>4771.72104970123</v>
      </c>
      <c r="AN353" s="298">
        <f>IFERROR((N(AN197)+N(AN201)+N(AN203)+N(AN204)),0)</f>
        <v>4816.77102335143</v>
      </c>
      <c r="AO353" s="298">
        <f>IFERROR((N(AO197)+N(AO201)+N(AO203)+N(AO204)),0)</f>
        <v>5306.08510759963</v>
      </c>
      <c r="AP353" s="298">
        <f>IFERROR((N(AP197)+N(AP201)+N(AP203)+N(AP204)),0)</f>
        <v>5524.76726760033</v>
      </c>
      <c r="AQ353" s="298">
        <f>IFERROR((N(AQ197)+N(AQ201)+N(AQ203)+N(AQ204)),0)</f>
        <v>5524.76726760033</v>
      </c>
      <c r="AR353" s="298">
        <f>IFERROR((N(AR197)+N(AR201)+N(AR203)+N(AR204)),0)</f>
        <v>5277.29899311783</v>
      </c>
      <c r="AS353" s="298">
        <f>IFERROR((N(AS197)+N(AS201)+N(AS203)+N(AS204)),0)</f>
        <v>5380.461800515</v>
      </c>
      <c r="AT353" s="298">
        <f>IFERROR((N(AT197)+N(AT201)+N(AT203)+N(AT204)),0)</f>
        <v>5977.88969145831</v>
      </c>
      <c r="AU353" s="298">
        <f>IFERROR((N(AU197)+N(AU201)+N(AU203)+N(AU204)),0)</f>
        <v>6271.81382252472</v>
      </c>
      <c r="AV353" s="298">
        <f>IFERROR((N(AV197)+N(AV201)+N(AV203)+N(AV204)),0)</f>
        <v>6271.81382252472</v>
      </c>
      <c r="AW353" s="298">
        <f>IFERROR((N(AW197)+N(AW201)+N(AW203)+N(AW204)),0)</f>
        <v>6049.53988185436</v>
      </c>
      <c r="AX353" s="298">
        <f>IFERROR((N(AX197)+N(AX201)+N(AX203)+N(AX204)),0)</f>
        <v>6202.45939971817</v>
      </c>
      <c r="AY353" s="298">
        <f>IFERROR((N(AY197)+N(AY201)+N(AY203)+N(AY204)),0)</f>
        <v>6942.41394576555</v>
      </c>
      <c r="AZ353" s="298">
        <f>IFERROR((N(AZ197)+N(AZ201)+N(AZ203)+N(AZ204)),0)</f>
        <v>7345.42537017291</v>
      </c>
      <c r="BA353" s="298">
        <f>IFERROR((N(BA197)+N(BA201)+N(BA203)+N(BA204)),0)</f>
        <v>7345.42537017291</v>
      </c>
      <c r="BB353" s="298">
        <f>IFERROR((N(BB197)+N(BB201)+N(BB203)+N(BB204)),0)</f>
        <v>7159.12934446184</v>
      </c>
      <c r="BC353" s="298">
        <f>IFERROR((N(BC197)+N(BC201)+N(BC203)+N(BC204)),0)</f>
        <v>7416.45407540923</v>
      </c>
      <c r="BD353" s="298">
        <f>IFERROR((N(BD197)+N(BD201)+N(BD203)+N(BD204)),0)</f>
        <v>8347.26791100815</v>
      </c>
      <c r="BE353" s="298">
        <f>IFERROR((N(BE197)+N(BE201)+N(BE203)+N(BE204)),0)</f>
        <v>8908.37496286513</v>
      </c>
      <c r="BF353" s="298">
        <f>IFERROR((N(BF197)+N(BF201)+N(BF203)+N(BF204)),0)</f>
        <v>8908.37496286513</v>
      </c>
      <c r="BG353" s="90" t="n"/>
      <c r="BH353" s="90" t="n"/>
      <c r="BI353" s="90" t="n"/>
      <c r="BJ353" s="90" t="n"/>
      <c r="BL353" s="90" t="n"/>
      <c r="BM353" s="90" t="n"/>
      <c r="BN353" s="90" t="n"/>
      <c r="BO353" s="90" t="n"/>
      <c r="BQ353" s="90" t="n"/>
      <c r="BR353" s="90" t="n"/>
      <c r="BS353" s="90" t="n"/>
      <c r="BT353" s="90" t="n"/>
      <c r="BV353" s="90" t="n"/>
      <c r="BW353" s="90" t="n"/>
      <c r="BX353" s="90" t="n"/>
      <c r="BY353" s="90" t="n"/>
      <c r="CA353" s="90" t="n"/>
      <c r="CB353" s="90" t="n"/>
      <c r="CC353" s="90" t="n"/>
      <c r="CD353" s="90" t="n"/>
      <c r="CF353" s="90" t="n"/>
      <c r="CG353" s="90" t="n"/>
      <c r="CH353" s="90" t="n"/>
      <c r="CI353" s="90" t="n"/>
      <c r="CK353" s="90" t="n"/>
      <c r="CL353" s="90" t="n"/>
      <c r="CM353" s="90" t="n"/>
      <c r="CN353" s="90" t="n"/>
      <c r="CP353" s="90" t="n"/>
      <c r="CQ353" s="90" t="n"/>
      <c r="CR353" s="90" t="n"/>
      <c r="CS353" s="90" t="n"/>
      <c r="CU353" s="90" t="n"/>
      <c r="CV353" s="90" t="n"/>
      <c r="CW353" s="90" t="n"/>
      <c r="CX353" s="90" t="n"/>
    </row>
    <row r="354" customFormat="1" s="77">
      <c r="A354" s="76" t="n"/>
      <c r="B354" s="76" t="n"/>
      <c r="C354" s="77" t="inlineStr">
        <is>
          <t>FIXED ASSETS</t>
        </is>
      </c>
      <c r="D354" s="89" t="n"/>
      <c r="E354" s="89" t="n"/>
      <c r="F354" s="89" t="n"/>
      <c r="G354" s="89" t="n"/>
      <c r="H354" s="298">
        <f>IFERROR((N(H165)+N(H175)+N(H178)+N(H179)+N(H188))-N(H239),0)</f>
        <v>0</v>
      </c>
      <c r="I354" s="298">
        <f>IFERROR((N(I165)+N(I175)+N(I178)+N(I179)+N(I188))-N(I239),0)</f>
        <v>8008.825</v>
      </c>
      <c r="J354" s="298">
        <f>IFERROR((N(J165)+N(J175)+N(J178)+N(J179)+N(J188))-N(J239),0)</f>
        <v>7840.82</v>
      </c>
      <c r="K354" s="298">
        <f>IFERROR((N(K165)+N(K175)+N(K178)+N(K179)+N(K188))-N(K239),0)</f>
        <v>9454.917</v>
      </c>
      <c r="L354" s="298">
        <f>IFERROR((N(L165)+N(L175)+N(L178)+N(L179)+N(L188))-N(L239),0)</f>
        <v>9745.191</v>
      </c>
      <c r="M354" s="298">
        <f>IFERROR((N(M165)+N(M175)+N(M178)+N(M179)+N(M188))-N(M239),0)</f>
        <v>9745.191</v>
      </c>
      <c r="N354" s="298">
        <f>IFERROR((N(N165)+N(N175)+N(N178)+N(N179)+N(N188))-N(N239),0)</f>
        <v>11287.215</v>
      </c>
      <c r="O354" s="298">
        <f>IFERROR((N(O165)+N(O175)+N(O178)+N(O179)+N(O188))-N(O239),0)</f>
        <v>11755.009</v>
      </c>
      <c r="P354" s="298">
        <f>IFERROR((N(P165)+N(P175)+N(P178)+N(P179)+N(P188))-N(P239),0)</f>
        <v>12450.185</v>
      </c>
      <c r="Q354" s="298">
        <f>IFERROR((N(Q165)+N(Q175)+N(Q178)+N(Q179)+N(Q188))-N(Q239),0)</f>
        <v>14329.985</v>
      </c>
      <c r="R354" s="298">
        <f>IFERROR((N(R165)+N(R175)+N(R178)+N(R179)+N(R188))-N(R239),0)</f>
        <v>14329.985</v>
      </c>
      <c r="S354" s="298">
        <f>IFERROR((N(S165)+N(S175)+N(S178)+N(S179)+N(S188))-N(S239),0)</f>
        <v>14047.678</v>
      </c>
      <c r="T354" s="298">
        <f>IFERROR((N(T165)+N(T175)+N(T178)+N(T179)+N(T188))-N(T239),0)</f>
        <v>11347.509</v>
      </c>
      <c r="U354" s="298">
        <f>IFERROR((N(U165)+N(U175)+N(U178)+N(U179)+N(U188))-N(U239),0)</f>
        <v>11990.482</v>
      </c>
      <c r="V354" s="298">
        <f>IFERROR((N(V165)+N(V175)+N(V178)+N(V179)+N(V188))-N(V239),0)</f>
        <v>11793.632</v>
      </c>
      <c r="W354" s="298">
        <f>IFERROR((N(W165)+N(W175)+N(W178)+N(W179)+N(W188))-N(W239),0)</f>
        <v>11793.632</v>
      </c>
      <c r="X354" s="298">
        <f>IFERROR((N(X165)+N(X175)+N(X178)+N(X179)+N(X188))-N(X239),0)</f>
        <v>11728.47</v>
      </c>
      <c r="Y354" s="298">
        <f>IFERROR((N(Y165)+N(Y175)+N(Y178)+N(Y179)+N(Y188))-N(Y239),0)</f>
        <v>11585.807</v>
      </c>
      <c r="Z354" s="298">
        <f>IFERROR((N(Z165)+N(Z175)+N(Z178)+N(Z179)+N(Z188))-N(Z239),0)</f>
        <v>11590.624</v>
      </c>
      <c r="AA354" s="298">
        <f>IFERROR((N(AA165)+N(AA175)+N(AA178)+N(AA179)+N(AA188))-N(AA239),0)</f>
        <v>31974.651</v>
      </c>
      <c r="AB354" s="298">
        <f>IFERROR((N(AB165)+N(AB175)+N(AB178)+N(AB179)+N(AB188))-N(AB239),0)</f>
        <v>31974.651</v>
      </c>
      <c r="AC354" s="298">
        <f>IFERROR((N(AC165)+N(AC175)+N(AC178)+N(AC179)+N(AC188))-N(AC239),0)</f>
        <v>31911.703</v>
      </c>
      <c r="AD354" s="298">
        <f>IFERROR((N(AD165)+N(AD175)+N(AD178)+N(AD179)+N(AD188))-N(AD239),0)</f>
        <v>31255.949</v>
      </c>
      <c r="AE354" s="298">
        <f>IFERROR((N(AE165)+N(AE175)+N(AE178)+N(AE179)+N(AE188))-N(AE239),0)</f>
        <v>31333.841</v>
      </c>
      <c r="AF354" s="298">
        <f>IFERROR((N(AF165)+N(AF175)+N(AF178)+N(AF179)+N(AF188))-N(AF239),0)</f>
        <v>31658.323</v>
      </c>
      <c r="AG354" s="298">
        <f>IFERROR((N(AG165)+N(AG175)+N(AG178)+N(AG179)+N(AG188))-N(AG239),0)</f>
        <v>31658.323</v>
      </c>
      <c r="AH354" s="298">
        <f>IFERROR((N(AH165)+N(AH175)+N(AH178)+N(AH179)+N(AH188))-N(AH239),0)</f>
        <v>31132.156</v>
      </c>
      <c r="AI354" s="298">
        <f>IFERROR((N(AI165)+N(AI175)+N(AI178)+N(AI179)+N(AI188))-N(AI239),0)</f>
        <v>30727.772</v>
      </c>
      <c r="AJ354" s="298">
        <f>IFERROR((N(AJ165)+N(AJ175)+N(AJ178)+N(AJ179)+N(AJ188))-N(AJ239),0)</f>
        <v>30472.7332556108</v>
      </c>
      <c r="AK354" s="298">
        <f>IFERROR((N(AK165)+N(AK175)+N(AK178)+N(AK179)+N(AK188))-N(AK239),0)</f>
        <v>30198.6362754726</v>
      </c>
      <c r="AL354" s="298">
        <f>IFERROR((N(AL165)+N(AL175)+N(AL178)+N(AL179)+N(AL188))-N(AL239),0)</f>
        <v>30198.6362754726</v>
      </c>
      <c r="AM354" s="298">
        <f>IFERROR((N(AM165)+N(AM175)+N(AM178)+N(AM179)+N(AM188))-N(AM239),0)</f>
        <v>29976.9685135597</v>
      </c>
      <c r="AN354" s="298">
        <f>IFERROR((N(AN165)+N(AN175)+N(AN178)+N(AN179)+N(AN188))-N(AN239),0)</f>
        <v>29756.6732087878</v>
      </c>
      <c r="AO354" s="298">
        <f>IFERROR((N(AO165)+N(AO175)+N(AO178)+N(AO179)+N(AO188))-N(AO239),0)</f>
        <v>29464.5819826781</v>
      </c>
      <c r="AP354" s="298">
        <f>IFERROR((N(AP165)+N(AP175)+N(AP178)+N(AP179)+N(AP188))-N(AP239),0)</f>
        <v>29150.6637064834</v>
      </c>
      <c r="AQ354" s="298">
        <f>IFERROR((N(AQ165)+N(AQ175)+N(AQ178)+N(AQ179)+N(AQ188))-N(AQ239),0)</f>
        <v>29150.6637064834</v>
      </c>
      <c r="AR354" s="298">
        <f>IFERROR((N(AR165)+N(AR175)+N(AR178)+N(AR179)+N(AR188))-N(AR239),0)</f>
        <v>28897.8999972589</v>
      </c>
      <c r="AS354" s="298">
        <f>IFERROR((N(AS165)+N(AS175)+N(AS178)+N(AS179)+N(AS188))-N(AS239),0)</f>
        <v>28646.7012759005</v>
      </c>
      <c r="AT354" s="298">
        <f>IFERROR((N(AT165)+N(AT175)+N(AT178)+N(AT179)+N(AT188))-N(AT239),0)</f>
        <v>28313.6349738533</v>
      </c>
      <c r="AU354" s="298">
        <f>IFERROR((N(AU165)+N(AU175)+N(AU178)+N(AU179)+N(AU188))-N(AU239),0)</f>
        <v>27955.6796843714</v>
      </c>
      <c r="AV354" s="298">
        <f>IFERROR((N(AV165)+N(AV175)+N(AV178)+N(AV179)+N(AV188))-N(AV239),0)</f>
        <v>27955.6796843714</v>
      </c>
      <c r="AW354" s="298">
        <f>IFERROR((N(AW165)+N(AW175)+N(AW178)+N(AW179)+N(AW188))-N(AW239),0)</f>
        <v>27668.7216516678</v>
      </c>
      <c r="AX354" s="298">
        <f>IFERROR((N(AX165)+N(AX175)+N(AX178)+N(AX179)+N(AX188))-N(AX239),0)</f>
        <v>27383.5403211681</v>
      </c>
      <c r="AY354" s="298">
        <f>IFERROR((N(AY165)+N(AY175)+N(AY178)+N(AY179)+N(AY188))-N(AY239),0)</f>
        <v>27005.4162182715</v>
      </c>
      <c r="AZ354" s="298">
        <f>IFERROR((N(AZ165)+N(AZ175)+N(AZ178)+N(AZ179)+N(AZ188))-N(AZ239),0)</f>
        <v>26599.0361015184</v>
      </c>
      <c r="BA354" s="298">
        <f>IFERROR((N(BA165)+N(BA175)+N(BA178)+N(BA179)+N(BA188))-N(BA239),0)</f>
        <v>26599.0361015184</v>
      </c>
      <c r="BB354" s="298">
        <f>IFERROR((N(BB165)+N(BB175)+N(BB178)+N(BB179)+N(BB188))-N(BB239),0)</f>
        <v>26274.6926666916</v>
      </c>
      <c r="BC354" s="298">
        <f>IFERROR((N(BC165)+N(BC175)+N(BC178)+N(BC179)+N(BC188))-N(BC239),0)</f>
        <v>25952.3574059871</v>
      </c>
      <c r="BD354" s="298">
        <f>IFERROR((N(BD165)+N(BD175)+N(BD178)+N(BD179)+N(BD188))-N(BD239),0)</f>
        <v>25524.9706234363</v>
      </c>
      <c r="BE354" s="298">
        <f>IFERROR((N(BE165)+N(BE175)+N(BE178)+N(BE179)+N(BE188))-N(BE239),0)</f>
        <v>25065.6465833626</v>
      </c>
      <c r="BF354" s="298">
        <f>IFERROR((N(BF165)+N(BF175)+N(BF178)+N(BF179)+N(BF188))-N(BF239),0)</f>
        <v>25065.6465833626</v>
      </c>
      <c r="BG354" s="90" t="n"/>
      <c r="BH354" s="90" t="n"/>
      <c r="BI354" s="90" t="n"/>
      <c r="BJ354" s="90" t="n"/>
      <c r="BL354" s="90" t="n"/>
      <c r="BM354" s="90" t="n"/>
      <c r="BN354" s="90" t="n"/>
      <c r="BO354" s="90" t="n"/>
      <c r="BQ354" s="90" t="n"/>
      <c r="BR354" s="90" t="n"/>
      <c r="BS354" s="90" t="n"/>
      <c r="BT354" s="90" t="n"/>
      <c r="BV354" s="90" t="n"/>
      <c r="BW354" s="90" t="n"/>
      <c r="BX354" s="90" t="n"/>
      <c r="BY354" s="90" t="n"/>
      <c r="CA354" s="90" t="n"/>
      <c r="CB354" s="90" t="n"/>
      <c r="CC354" s="90" t="n"/>
      <c r="CD354" s="90" t="n"/>
      <c r="CF354" s="90" t="n"/>
      <c r="CG354" s="90" t="n"/>
      <c r="CH354" s="90" t="n"/>
      <c r="CI354" s="90" t="n"/>
      <c r="CK354" s="90" t="n"/>
      <c r="CL354" s="90" t="n"/>
      <c r="CM354" s="90" t="n"/>
      <c r="CN354" s="90" t="n"/>
      <c r="CP354" s="90" t="n"/>
      <c r="CQ354" s="90" t="n"/>
      <c r="CR354" s="90" t="n"/>
      <c r="CS354" s="90" t="n"/>
      <c r="CU354" s="90" t="n"/>
      <c r="CV354" s="90" t="n"/>
      <c r="CW354" s="90" t="n"/>
      <c r="CX354" s="90" t="n"/>
    </row>
    <row r="355" customFormat="1" s="77">
      <c r="A355" s="76" t="n"/>
      <c r="B355" s="76" t="n"/>
    </row>
    <row r="356" customFormat="1" s="77">
      <c r="A356" s="76" t="n"/>
      <c r="B356" s="76" t="n"/>
    </row>
    <row r="357" customFormat="1" s="77">
      <c r="A357" s="76" t="n"/>
      <c r="B357" s="76" t="n"/>
    </row>
    <row r="358" customFormat="1" s="77">
      <c r="A358" s="76" t="n"/>
      <c r="B358" s="76" t="n"/>
    </row>
    <row r="359" customFormat="1" s="77">
      <c r="A359" s="76" t="n"/>
      <c r="B359" s="76" t="n"/>
    </row>
    <row r="360" customFormat="1" s="77">
      <c r="A360" s="76" t="n"/>
      <c r="B360" s="76" t="n"/>
    </row>
    <row r="361" customFormat="1" s="77">
      <c r="A361" s="76" t="n"/>
      <c r="B361" s="76" t="n"/>
    </row>
    <row r="362" customFormat="1" s="77">
      <c r="A362" s="76" t="n"/>
      <c r="B362" s="76" t="n"/>
      <c r="C362" s="74" t="inlineStr">
        <is>
          <t>DUPONT ANALYSIS</t>
        </is>
      </c>
    </row>
    <row r="363" customFormat="1" s="77">
      <c r="A363" s="76" t="n"/>
      <c r="B363" s="76" t="n"/>
      <c r="C363" s="77" t="inlineStr">
        <is>
          <t>NET PROFIT MARGIN (LTM)</t>
        </is>
      </c>
      <c r="D363" s="84" t="n"/>
      <c r="E363" s="84" t="n"/>
      <c r="F363" s="84" t="n"/>
      <c r="G363" s="84" t="n"/>
      <c r="H363" s="290" t="str">
        <f>IFERROR(IF(AND(COUNT(H136)=1,(H15)&lt;&gt;0),(H136)/(H15),""),"")</f>
        <v/>
      </c>
      <c r="I363" s="289" t="str">
        <f>""</f>
        <v/>
      </c>
      <c r="J363" s="289" t="str">
        <f>""</f>
        <v/>
      </c>
      <c r="K363" s="289" t="str">
        <f>""</f>
        <v/>
      </c>
      <c r="L363" s="289">
        <f>IFERROR(IF(AND(COUNT(I136,J136,K136,L136)=4,(I15+J15+K15+L15)&lt;&gt;0),(I136+J136+K136+L136)/(I15+J15+K15+L15),""),"")</f>
        <v>0.0142111173007221</v>
      </c>
      <c r="M363" s="290">
        <f>IFERROR(IF(AND(COUNT(I136,J136,K136,L136)=4,(I15+J15+K15+L15)&lt;&gt;0),(I136+J136+K136+L136)/(I15+J15+K15+L15),""),"")</f>
        <v>0.0142111173007221</v>
      </c>
      <c r="N363" s="289">
        <f>IFERROR(IF(AND(COUNT(J136,K136,L136,N136)=4,(J15+K15+L15+N15)&lt;&gt;0),(J136+K136+L136+N136)/(J15+K15+L15+N15),""),"")</f>
        <v>0.00605781143835965</v>
      </c>
      <c r="O363" s="289">
        <f>IFERROR(IF(AND(COUNT(K136,L136,N136,O136)=4,(K15+L15+N15+O15)&lt;&gt;0),(K136+L136+N136+O136)/(K15+L15+N15+O15),""),"")</f>
        <v>0.0226734134622828</v>
      </c>
      <c r="P363" s="289">
        <f>IFERROR(IF(AND(COUNT(L136,N136,O136,P136)=4,(L15+N15+O15+P15)&lt;&gt;0),(L136+N136+O136+P136)/(L15+N15+O15+P15),""),"")</f>
        <v>0.0491256275625885</v>
      </c>
      <c r="Q363" s="289">
        <f>IFERROR(IF(AND(COUNT(N136,O136,P136,Q136)=4,(N15+O15+P15+Q15)&lt;&gt;0),(N136+O136+P136+Q136)/(N15+O15+P15+Q15),""),"")</f>
        <v>0.484869933241547</v>
      </c>
      <c r="R363" s="290">
        <f>IFERROR(IF(AND(COUNT(N136,O136,P136,Q136)=4,(N15+O15+P15+Q15)&lt;&gt;0),(N136+O136+P136+Q136)/(N15+O15+P15+Q15),""),"")</f>
        <v>0.484869933241547</v>
      </c>
      <c r="S363" s="289">
        <f>IFERROR(IF(AND(COUNT(O136,P136,Q136,S136)=4,(O15+P15+Q15+S15)&lt;&gt;0),(O136+P136+Q136+S136)/(O15+P15+Q15+S15),""),"")</f>
        <v>0.50322768116899</v>
      </c>
      <c r="T363" s="289">
        <f>IFERROR(IF(AND(COUNT(P136,Q136,S136,T136)=4,(P15+Q15+S15+T15)&lt;&gt;0),(P136+Q136+S136+T136)/(P15+Q15+S15+T15),""),"")</f>
        <v>0.526953865708682</v>
      </c>
      <c r="U363" s="289">
        <f>IFERROR(IF(AND(COUNT(Q136,S136,T136,U136)=4,(Q15+S15+T15+U15)&lt;&gt;0),(Q136+S136+T136+U136)/(Q15+S15+T15+U15),""),"")</f>
        <v>0.340068722874756</v>
      </c>
      <c r="V363" s="289">
        <f>IFERROR(IF(AND(COUNT(S136,T136,U136,V136)=4,(S15+T15+U15+V15)&lt;&gt;0),(S136+T136+U136+V136)/(S15+T15+U15+V15),""),"")</f>
        <v>-0.0513902706130326</v>
      </c>
      <c r="W363" s="290">
        <f>IFERROR(IF(AND(COUNT(S136,T136,U136,V136)=4,(S15+T15+U15+V15)&lt;&gt;0),(S136+T136+U136+V136)/(S15+T15+U15+V15),""),"")</f>
        <v>-0.0513902706130326</v>
      </c>
      <c r="X363" s="289">
        <f>IFERROR(IF(AND(COUNT(T136,U136,V136,X136)=4,(T15+U15+V15+X15)&lt;&gt;0),(T136+U136+V136+X136)/(T15+U15+V15+X15),""),"")</f>
        <v>-0.0476929837267724</v>
      </c>
      <c r="Y363" s="289">
        <f>IFERROR(IF(AND(COUNT(U136,V136,X136,Y136)=4,(U15+V15+X15+Y15)&lt;&gt;0),(U136+V136+X136+Y136)/(U15+V15+X15+Y15),""),"")</f>
        <v>-0.0624513181570082</v>
      </c>
      <c r="Z363" s="289">
        <f>IFERROR(IF(AND(COUNT(V136,X136,Y136,Z136)=4,(V15+X15+Y15+Z15)&lt;&gt;0),(V136+X136+Y136+Z136)/(V15+X15+Y15+Z15),""),"")</f>
        <v>0.109601868140979</v>
      </c>
      <c r="AA363" s="289">
        <f>IFERROR(IF(AND(COUNT(X136,Y136,Z136,AA136)=4,(X15+Y15+Z15+AA15)&lt;&gt;0),(X136+Y136+Z136+AA136)/(X15+Y15+Z15+AA15),""),"")</f>
        <v>0.0311339361740537</v>
      </c>
      <c r="AB363" s="290">
        <f>IFERROR(IF(AND(COUNT(X136,Y136,Z136,AA136)=4,(X15+Y15+Z15+AA15)&lt;&gt;0),(X136+Y136+Z136+AA136)/(X15+Y15+Z15+AA15),""),"")</f>
        <v>0.0311339361740537</v>
      </c>
      <c r="AC363" s="289">
        <f>IFERROR(IF(AND(COUNT(Y136,Z136,AA136,AC136)=4,(Y15+Z15+AA15+AC15)&lt;&gt;0),(Y136+Z136+AA136+AC136)/(Y15+Z15+AA15+AC15),""),"")</f>
        <v>0.000604905622346071</v>
      </c>
      <c r="AD363" s="289">
        <f>IFERROR(IF(AND(COUNT(Z136,AA136,AC136,AD136)=4,(Z15+AA15+AC15+AD15)&lt;&gt;0),(Z136+AA136+AC136+AD136)/(Z15+AA15+AC15+AD15),""),"")</f>
        <v>-0.0634072284799733</v>
      </c>
      <c r="AE363" s="289">
        <f>IFERROR(IF(AND(COUNT(AA136,AC136,AD136,AE136)=4,(AA15+AC15+AD15+AE15)&lt;&gt;0),(AA136+AC136+AD136+AE136)/(AA15+AC15+AD15+AE15),""),"")</f>
        <v>-0.109123475500967</v>
      </c>
      <c r="AF363" s="289">
        <f>IFERROR(IF(AND(COUNT(AC136,AD136,AE136,AF136)=4,(AC15+AD15+AE15+AF15)&lt;&gt;0),(AC136+AD136+AE136+AF136)/(AC15+AD15+AE15+AF15),""),"")</f>
        <v>-0.0503934445537936</v>
      </c>
      <c r="AG363" s="290">
        <f>IFERROR(IF(AND(COUNT(AC136,AD136,AE136,AF136)=4,(AC15+AD15+AE15+AF15)&lt;&gt;0),(AC136+AD136+AE136+AF136)/(AC15+AD15+AE15+AF15),""),"")</f>
        <v>-0.0503934445537936</v>
      </c>
      <c r="AH363" s="289">
        <f>IFERROR(IF(AND(COUNT(AD136,AE136,AF136,AH136)=4,(AD15+AE15+AF15+AH15)&lt;&gt;0),(AD136+AE136+AF136+AH136)/(AD15+AE15+AF15+AH15),""),"")</f>
        <v>-0.0972891269118466</v>
      </c>
      <c r="AI363" s="289">
        <f>IFERROR(IF(AND(COUNT(AE136,AF136,AH136,AI136)=4,(AE15+AF15+AH15+AI15)&lt;&gt;0),(AE136+AF136+AH136+AI136)/(AE15+AF15+AH15+AI15),""),"")</f>
        <v>-0.0808828082298265</v>
      </c>
      <c r="AJ363" s="289">
        <f>IFERROR(IF(AND(COUNT(AF136,AH136,AI136,AJ136)=4,(AF15+AH15+AI15+AJ15)&lt;&gt;0),(AF136+AH136+AI136+AJ136)/(AF15+AH15+AI15+AJ15),""),"")</f>
        <v>-0.0460675881485083</v>
      </c>
      <c r="AK363" s="289">
        <f>IFERROR(IF(AND(COUNT(AH136,AI136,AJ136,AK136)=4,(AH15+AI15+AJ15+AK15)&lt;&gt;0),(AH136+AI136+AJ136+AK136)/(AH15+AI15+AJ15+AK15),""),"")</f>
        <v>-0.0613342667806619</v>
      </c>
      <c r="AL363" s="290">
        <f>IFERROR(IF(AND(COUNT(AH136,AI136,AJ136,AK136)=4,(AH15+AI15+AJ15+AK15)&lt;&gt;0),(AH136+AI136+AJ136+AK136)/(AH15+AI15+AJ15+AK15),""),"")</f>
        <v>-0.0613342667806619</v>
      </c>
      <c r="AM363" s="289">
        <f>IFERROR(IF(AND(COUNT(AI136,AJ136,AK136,AM136)=4,(AI15+AJ15+AK15+AM15)&lt;&gt;0),(AI136+AJ136+AK136+AM136)/(AI15+AJ15+AK15+AM15),""),"")</f>
        <v>-0.0199949150493128</v>
      </c>
      <c r="AN363" s="289">
        <f>IFERROR(IF(AND(COUNT(AJ136,AK136,AM136,AN136)=4,(AJ15+AK15+AM15+AN15)&lt;&gt;0),(AJ136+AK136+AM136+AN136)/(AJ15+AK15+AM15+AN15),""),"")</f>
        <v>0.00510856387728865</v>
      </c>
      <c r="AO363" s="289">
        <f>IFERROR(IF(AND(COUNT(AK136,AM136,AN136,AO136)=4,(AK15+AM15+AN15+AO15)&lt;&gt;0),(AK136+AM136+AN136+AO136)/(AK15+AM15+AN15+AO15),""),"")</f>
        <v>0.0103015227416044</v>
      </c>
      <c r="AP363" s="289">
        <f>IFERROR(IF(AND(COUNT(AM136,AN136,AO136,AP136)=4,(AM15+AN15+AO15+AP15)&lt;&gt;0),(AM136+AN136+AO136+AP136)/(AM15+AN15+AO15+AP15),""),"")</f>
        <v>0.0154731411187442</v>
      </c>
      <c r="AQ363" s="290">
        <f>IFERROR(IF(AND(COUNT(AM136,AN136,AO136,AP136)=4,(AM15+AN15+AO15+AP15)&lt;&gt;0),(AM136+AN136+AO136+AP136)/(AM15+AN15+AO15+AP15),""),"")</f>
        <v>0.0154731411187442</v>
      </c>
      <c r="AR363" s="289">
        <f>IFERROR(IF(AND(COUNT(AN136,AO136,AP136,AR136)=4,(AN15+AO15+AP15+AR15)&lt;&gt;0),(AN136+AO136+AP136+AR136)/(AN15+AO15+AP15+AR15),""),"")</f>
        <v>0.0192461823606346</v>
      </c>
      <c r="AS363" s="289">
        <f>IFERROR(IF(AND(COUNT(AO136,AP136,AR136,AS136)=4,(AO15+AP15+AR15+AS15)&lt;&gt;0),(AO136+AP136+AR136+AS136)/(AO15+AP15+AR15+AS15),""),"")</f>
        <v>0.0227864180402444</v>
      </c>
      <c r="AT363" s="289">
        <f>IFERROR(IF(AND(COUNT(AP136,AR136,AS136,AT136)=4,(AP15+AR15+AS15+AT15)&lt;&gt;0),(AP136+AR136+AS136+AT136)/(AP15+AR15+AS15+AT15),""),"")</f>
        <v>0.027187294104843</v>
      </c>
      <c r="AU363" s="289">
        <f>IFERROR(IF(AND(COUNT(AR136,AS136,AT136,AU136)=4,(AR15+AS15+AT15+AU15)&lt;&gt;0),(AR136+AS136+AT136+AU136)/(AR15+AS15+AT15+AU15),""),"")</f>
        <v>0.031580556330051</v>
      </c>
      <c r="AV363" s="290">
        <f>IFERROR(IF(AND(COUNT(AR136,AS136,AT136,AU136)=4,(AR15+AS15+AT15+AU15)&lt;&gt;0),(AR136+AS136+AT136+AU136)/(AR15+AS15+AT15+AU15),""),"")</f>
        <v>0.031580556330051</v>
      </c>
      <c r="AW363" s="289">
        <f>IFERROR(IF(AND(COUNT(AS136,AT136,AU136,AW136)=4,(AS15+AT15+AU15+AW15)&lt;&gt;0),(AS136+AT136+AU136+AW136)/(AS15+AT15+AU15+AW15),""),"")</f>
        <v>0.0347747681592622</v>
      </c>
      <c r="AX363" s="289">
        <f>IFERROR(IF(AND(COUNT(AT136,AU136,AW136,AX136)=4,(AT15+AU15+AW15+AX15)&lt;&gt;0),(AT136+AU136+AW136+AX136)/(AT15+AU15+AW15+AX15),""),"")</f>
        <v>0.0377778683660499</v>
      </c>
      <c r="AY363" s="289">
        <f>IFERROR(IF(AND(COUNT(AU136,AW136,AX136,AY136)=4,(AU15+AW15+AX15+AY15)&lt;&gt;0),(AU136+AW136+AX136+AY136)/(AU15+AW15+AX15+AY15),""),"")</f>
        <v>0.0415191260699849</v>
      </c>
      <c r="AZ363" s="289">
        <f>IFERROR(IF(AND(COUNT(AW136,AX136,AY136,AZ136)=4,(AW15+AX15+AY15+AZ15)&lt;&gt;0),(AW136+AX136+AY136+AZ136)/(AW15+AX15+AY15+AZ15),""),"")</f>
        <v>0.0452628915994492</v>
      </c>
      <c r="BA363" s="290">
        <f>IFERROR(IF(AND(COUNT(AW136,AX136,AY136,AZ136)=4,(AW15+AX15+AY15+AZ15)&lt;&gt;0),(AW136+AX136+AY136+AZ136)/(AW15+AX15+AY15+AZ15),""),"")</f>
        <v>0.0452628915994492</v>
      </c>
      <c r="BB363" s="289">
        <f>IFERROR(IF(AND(COUNT(AX136,AY136,AZ136,BB136)=4,(AX15+AY15+AZ15+BB15)&lt;&gt;0),(AX136+AY136+AZ136+BB136)/(AX15+AY15+AZ15+BB15),""),"")</f>
        <v>0.0479752756670095</v>
      </c>
      <c r="BC363" s="289">
        <f>IFERROR(IF(AND(COUNT(AY136,AZ136,BB136,BC136)=4,(AY15+AZ15+BB15+BC15)&lt;&gt;0),(AY136+AZ136+BB136+BC136)/(AY15+AZ15+BB15+BC15),""),"")</f>
        <v>0.0505304733851663</v>
      </c>
      <c r="BD363" s="289">
        <f>IFERROR(IF(AND(COUNT(AZ136,BB136,BC136,BD136)=4,(AZ15+BB15+BC15+BD15)&lt;&gt;0),(AZ136+BB136+BC136+BD136)/(AZ15+BB15+BC15+BD15),""),"")</f>
        <v>0.0537206676759873</v>
      </c>
      <c r="BE363" s="289">
        <f>IFERROR(IF(AND(COUNT(BB136,BC136,BD136,BE136)=4,(BB15+BC15+BD15+BE15)&lt;&gt;0),(BB136+BC136+BD136+BE136)/(BB15+BC15+BD15+BE15),""),"")</f>
        <v>0.0569207258657283</v>
      </c>
      <c r="BF363" s="290">
        <f>IFERROR(IF(AND(COUNT(BB136,BC136,BD136,BE136)=4,(BB15+BC15+BD15+BE15)&lt;&gt;0),(BB136+BC136+BD136+BE136)/(BB15+BC15+BD15+BE15),""),"")</f>
        <v>0.0569207258657283</v>
      </c>
      <c r="BG363" s="81" t="n"/>
      <c r="BH363" s="81" t="n"/>
      <c r="BI363" s="81" t="n"/>
      <c r="BJ363" s="81" t="n"/>
      <c r="BL363" s="81" t="n"/>
      <c r="BM363" s="81" t="n"/>
      <c r="BN363" s="81" t="n"/>
      <c r="BO363" s="81" t="n"/>
      <c r="BQ363" s="81" t="n"/>
      <c r="BR363" s="81" t="n"/>
      <c r="BS363" s="81" t="n"/>
      <c r="BT363" s="81" t="n"/>
      <c r="BV363" s="81" t="n"/>
      <c r="BW363" s="81" t="n"/>
      <c r="BX363" s="81" t="n"/>
      <c r="BY363" s="81" t="n"/>
      <c r="CA363" s="81" t="n"/>
      <c r="CB363" s="81" t="n"/>
      <c r="CC363" s="81" t="n"/>
      <c r="CD363" s="81" t="n"/>
      <c r="CF363" s="81" t="n"/>
      <c r="CG363" s="81" t="n"/>
      <c r="CH363" s="81" t="n"/>
      <c r="CI363" s="81" t="n"/>
      <c r="CK363" s="81" t="n"/>
      <c r="CL363" s="81" t="n"/>
      <c r="CM363" s="81" t="n"/>
      <c r="CN363" s="81" t="n"/>
      <c r="CP363" s="81" t="n"/>
      <c r="CQ363" s="81" t="n"/>
      <c r="CR363" s="81" t="n"/>
      <c r="CS363" s="81" t="n"/>
      <c r="CU363" s="81" t="n"/>
      <c r="CV363" s="81" t="n"/>
      <c r="CW363" s="81" t="n"/>
      <c r="CX363" s="81" t="n"/>
    </row>
    <row r="364" customFormat="1" s="77">
      <c r="A364" s="76" t="n"/>
      <c r="B364" s="76" t="n"/>
      <c r="C364" s="77" t="inlineStr">
        <is>
          <t>ASSET TURNOVER (LTM REVENUE / ASSETS)</t>
        </is>
      </c>
      <c r="D364" s="84" t="n"/>
      <c r="E364" s="84" t="n"/>
      <c r="F364" s="84" t="n"/>
      <c r="G364" s="84" t="n"/>
      <c r="H364" s="297" t="str">
        <f>IFERROR(IF(AND(COUNT(H15)=1,N(H196)&lt;&gt;0),(H15)/H196,""),"")</f>
        <v/>
      </c>
      <c r="I364" s="299" t="str">
        <f>""</f>
        <v/>
      </c>
      <c r="J364" s="299" t="str">
        <f>""</f>
        <v/>
      </c>
      <c r="K364" s="299" t="str">
        <f>""</f>
        <v/>
      </c>
      <c r="L364" s="299">
        <f>IFERROR(IF(AND(COUNT(I15,J15,K15,L15)=4,N(L196)&lt;&gt;0),(I15+J15+K15+L15)/L196,""),"")</f>
        <v>0.128652022054586</v>
      </c>
      <c r="M364" s="297">
        <f>IFERROR(IF(AND(COUNT(I15,J15,K15,L15)=4,N(M196)&lt;&gt;0),(I15+J15+K15+L15)/M196,""),"")</f>
        <v>0.128652022054586</v>
      </c>
      <c r="N364" s="299">
        <f>IFERROR(IF(AND(COUNT(J15,K15,L15,N15)=4,N(N196)&lt;&gt;0),(J15+K15+L15+N15)/N196,""),"")</f>
        <v>0.109301123079444</v>
      </c>
      <c r="O364" s="299">
        <f>IFERROR(IF(AND(COUNT(K15,L15,N15,O15)=4,N(O196)&lt;&gt;0),(K15+L15+N15+O15)/O196,""),"")</f>
        <v>0.13185571138739</v>
      </c>
      <c r="P364" s="299">
        <f>IFERROR(IF(AND(COUNT(L15,N15,O15,P15)=4,N(P196)&lt;&gt;0),(L15+N15+O15+P15)/P196,""),"")</f>
        <v>0.163547077934528</v>
      </c>
      <c r="Q364" s="299">
        <f>IFERROR(IF(AND(COUNT(N15,O15,P15,Q15)=4,N(Q196)&lt;&gt;0),(N15+O15+P15+Q15)/Q196,""),"")</f>
        <v>0.170855381517388</v>
      </c>
      <c r="R364" s="297">
        <f>IFERROR(IF(AND(COUNT(N15,O15,P15,Q15)=4,N(R196)&lt;&gt;0),(N15+O15+P15+Q15)/R196,""),"")</f>
        <v>0.170855381517388</v>
      </c>
      <c r="S364" s="299">
        <f>IFERROR(IF(AND(COUNT(O15,P15,Q15,S15)=4,N(S196)&lt;&gt;0),(O15+P15+Q15+S15)/S196,""),"")</f>
        <v>0.171690242910663</v>
      </c>
      <c r="T364" s="299">
        <f>IFERROR(IF(AND(COUNT(P15,Q15,S15,T15)=4,N(T196)&lt;&gt;0),(P15+Q15+S15+T15)/T196,""),"")</f>
        <v>0.177986317746627</v>
      </c>
      <c r="U364" s="299">
        <f>IFERROR(IF(AND(COUNT(Q15,S15,T15,U15)=4,N(U196)&lt;&gt;0),(Q15+S15+T15+U15)/U196,""),"")</f>
        <v>0.191006693953276</v>
      </c>
      <c r="V364" s="299">
        <f>IFERROR(IF(AND(COUNT(S15,T15,U15,V15)=4,N(V196)&lt;&gt;0),(S15+T15+U15+V15)/V196,""),"")</f>
        <v>0.213208637745353</v>
      </c>
      <c r="W364" s="297">
        <f>IFERROR(IF(AND(COUNT(S15,T15,U15,V15)=4,N(W196)&lt;&gt;0),(S15+T15+U15+V15)/W196,""),"")</f>
        <v>0.213208637745353</v>
      </c>
      <c r="X364" s="299">
        <f>IFERROR(IF(AND(COUNT(T15,U15,V15,X15)=4,N(X196)&lt;&gt;0),(T15+U15+V15+X15)/X196,""),"")</f>
        <v>0.222605312699623</v>
      </c>
      <c r="Y364" s="299">
        <f>IFERROR(IF(AND(COUNT(U15,V15,X15,Y15)=4,N(Y196)&lt;&gt;0),(U15+V15+X15+Y15)/Y196,""),"")</f>
        <v>0.211140954841631</v>
      </c>
      <c r="Z364" s="299">
        <f>IFERROR(IF(AND(COUNT(V15,X15,Y15,Z15)=4,N(Z196)&lt;&gt;0),(V15+X15+Y15+Z15)/Z196,""),"")</f>
        <v>0.209505117400763</v>
      </c>
      <c r="AA364" s="299">
        <f>IFERROR(IF(AND(COUNT(X15,Y15,Z15,AA15)=4,N(AA196)&lt;&gt;0),(X15+Y15+Z15+AA15)/AA196,""),"")</f>
        <v>0.152783355278224</v>
      </c>
      <c r="AB364" s="297">
        <f>IFERROR(IF(AND(COUNT(X15,Y15,Z15,AA15)=4,N(AB196)&lt;&gt;0),(X15+Y15+Z15+AA15)/AB196,""),"")</f>
        <v>0.152783355278224</v>
      </c>
      <c r="AC364" s="299">
        <f>IFERROR(IF(AND(COUNT(Y15,Z15,AA15,AC15)=4,N(AC196)&lt;&gt;0),(Y15+Z15+AA15+AC15)/AC196,""),"")</f>
        <v>0.183955056198693</v>
      </c>
      <c r="AD364" s="299">
        <f>IFERROR(IF(AND(COUNT(Z15,AA15,AC15,AD15)=4,N(AD196)&lt;&gt;0),(Z15+AA15+AC15+AD15)/AD196,""),"")</f>
        <v>0.224584921996309</v>
      </c>
      <c r="AE364" s="299">
        <f>IFERROR(IF(AND(COUNT(AA15,AC15,AD15,AE15)=4,N(AE196)&lt;&gt;0),(AA15+AC15+AD15+AE15)/AE196,""),"")</f>
        <v>0.256813312719879</v>
      </c>
      <c r="AF364" s="299">
        <f>IFERROR(IF(AND(COUNT(AC15,AD15,AE15,AF15)=4,N(AF196)&lt;&gt;0),(AC15+AD15+AE15+AF15)/AF196,""),"")</f>
        <v>0.270421882658681</v>
      </c>
      <c r="AG364" s="297">
        <f>IFERROR(IF(AND(COUNT(AC15,AD15,AE15,AF15)=4,N(AG196)&lt;&gt;0),(AC15+AD15+AE15+AF15)/AG196,""),"")</f>
        <v>0.270421882658681</v>
      </c>
      <c r="AH364" s="299">
        <f>IFERROR(IF(AND(COUNT(AD15,AE15,AF15,AH15)=4,N(AH196)&lt;&gt;0),(AD15+AE15+AF15+AH15)/AH196,""),"")</f>
        <v>0.280683134336479</v>
      </c>
      <c r="AI364" s="299">
        <f>IFERROR(IF(AND(COUNT(AE15,AF15,AH15,AI15)=4,N(AI196)&lt;&gt;0),(AE15+AF15+AH15+AI15)/AI196,""),"")</f>
        <v>0.288356320329402</v>
      </c>
      <c r="AJ364" s="299">
        <f>IFERROR(IF(AND(COUNT(AF15,AH15,AI15,AJ15)=4,N(AJ196)&lt;&gt;0),(AF15+AH15+AI15+AJ15)/AJ196,""),"")</f>
        <v>0.296342243211442</v>
      </c>
      <c r="AK364" s="299">
        <f>IFERROR(IF(AND(COUNT(AH15,AI15,AJ15,AK15)=4,N(AK196)&lt;&gt;0),(AH15+AI15+AJ15+AK15)/AK196,""),"")</f>
        <v>0.306376048702994</v>
      </c>
      <c r="AL364" s="297">
        <f>IFERROR(IF(AND(COUNT(AH15,AI15,AJ15,AK15)=4,N(AL196)&lt;&gt;0),(AH15+AI15+AJ15+AK15)/AL196,""),"")</f>
        <v>0.306376048702994</v>
      </c>
      <c r="AM364" s="299">
        <f>IFERROR(IF(AND(COUNT(AI15,AJ15,AK15,AM15)=4,N(AM196)&lt;&gt;0),(AI15+AJ15+AK15+AM15)/AM196,""),"")</f>
        <v>0.317475058228041</v>
      </c>
      <c r="AN364" s="299">
        <f>IFERROR(IF(AND(COUNT(AJ15,AK15,AM15,AN15)=4,N(AN196)&lt;&gt;0),(AJ15+AK15+AM15+AN15)/AN196,""),"")</f>
        <v>0.32679525210668</v>
      </c>
      <c r="AO364" s="299">
        <f>IFERROR(IF(AND(COUNT(AK15,AM15,AN15,AO15)=4,N(AO196)&lt;&gt;0),(AK15+AM15+AN15+AO15)/AO196,""),"")</f>
        <v>0.334839935896718</v>
      </c>
      <c r="AP364" s="299">
        <f>IFERROR(IF(AND(COUNT(AM15,AN15,AO15,AP15)=4,N(AP196)&lt;&gt;0),(AM15+AN15+AO15+AP15)/AP196,""),"")</f>
        <v>0.345151569876837</v>
      </c>
      <c r="AQ364" s="297">
        <f>IFERROR(IF(AND(COUNT(AM15,AN15,AO15,AP15)=4,N(AQ196)&lt;&gt;0),(AM15+AN15+AO15+AP15)/AQ196,""),"")</f>
        <v>0.345151569876837</v>
      </c>
      <c r="AR364" s="299">
        <f>IFERROR(IF(AND(COUNT(AN15,AO15,AP15,AR15)=4,N(AR196)&lt;&gt;0),(AN15+AO15+AP15+AR15)/AR196,""),"")</f>
        <v>0.356906621712044</v>
      </c>
      <c r="AS364" s="299">
        <f>IFERROR(IF(AND(COUNT(AO15,AP15,AR15,AS15)=4,N(AS196)&lt;&gt;0),(AO15+AP15+AR15+AS15)/AS196,""),"")</f>
        <v>0.366042323091916</v>
      </c>
      <c r="AT364" s="299">
        <f>IFERROR(IF(AND(COUNT(AP15,AR15,AS15,AT15)=4,N(AT196)&lt;&gt;0),(AP15+AR15+AS15+AT15)/AT196,""),"")</f>
        <v>0.373147624790854</v>
      </c>
      <c r="AU364" s="299">
        <f>IFERROR(IF(AND(COUNT(AR15,AS15,AT15,AU15)=4,N(AU196)&lt;&gt;0),(AR15+AS15+AT15+AU15)/AU196,""),"")</f>
        <v>0.382880786321647</v>
      </c>
      <c r="AV364" s="297">
        <f>IFERROR(IF(AND(COUNT(AR15,AS15,AT15,AU15)=4,N(AV196)&lt;&gt;0),(AR15+AS15+AT15+AU15)/AV196,""),"")</f>
        <v>0.382880786321647</v>
      </c>
      <c r="AW364" s="299">
        <f>IFERROR(IF(AND(COUNT(AS15,AT15,AU15,AW15)=4,N(AW196)&lt;&gt;0),(AS15+AT15+AU15+AW15)/AW196,""),"")</f>
        <v>0.394631419710973</v>
      </c>
      <c r="AX364" s="299">
        <f>IFERROR(IF(AND(COUNT(AT15,AU15,AW15,AX15)=4,N(AX196)&lt;&gt;0),(AT15+AU15+AW15+AX15)/AX196,""),"")</f>
        <v>0.403330552570844</v>
      </c>
      <c r="AY364" s="299">
        <f>IFERROR(IF(AND(COUNT(AU15,AW15,AX15,AY15)=4,N(AY196)&lt;&gt;0),(AU15+AW15+AX15+AY15)/AY196,""),"")</f>
        <v>0.40888696831267</v>
      </c>
      <c r="AZ364" s="299">
        <f>IFERROR(IF(AND(COUNT(AW15,AX15,AY15,AZ15)=4,N(AZ196)&lt;&gt;0),(AW15+AX15+AY15+AZ15)/AZ196,""),"")</f>
        <v>0.417425458241587</v>
      </c>
      <c r="BA364" s="297">
        <f>IFERROR(IF(AND(COUNT(AW15,AX15,AY15,AZ15)=4,N(BA196)&lt;&gt;0),(AW15+AX15+AY15+AZ15)/BA196,""),"")</f>
        <v>0.417425458241587</v>
      </c>
      <c r="BB364" s="299">
        <f>IFERROR(IF(AND(COUNT(AX15,AY15,AZ15,BB15)=4,N(BB196)&lt;&gt;0),(AX15+AY15+AZ15+BB15)/BB196,""),"")</f>
        <v>0.428736712031821</v>
      </c>
      <c r="BC364" s="299">
        <f>IFERROR(IF(AND(COUNT(AY15,AZ15,BB15,BC15)=4,N(BC196)&lt;&gt;0),(AY15+AZ15+BB15+BC15)/BC196,""),"")</f>
        <v>0.436260764407004</v>
      </c>
      <c r="BD364" s="299">
        <f>IFERROR(IF(AND(COUNT(AZ15,BB15,BC15,BD15)=4,N(BD196)&lt;&gt;0),(AZ15+BB15+BC15+BD15)/BD196,""),"")</f>
        <v>0.439636346626216</v>
      </c>
      <c r="BE364" s="299">
        <f>IFERROR(IF(AND(COUNT(BB15,BC15,BD15,BE15)=4,N(BE196)&lt;&gt;0),(BB15+BC15+BD15+BE15)/BE196,""),"")</f>
        <v>0.446310824211128</v>
      </c>
      <c r="BF364" s="297">
        <f>IFERROR(IF(AND(COUNT(BB15,BC15,BD15,BE15)=4,N(BF196)&lt;&gt;0),(BB15+BC15+BD15+BE15)/BF196,""),"")</f>
        <v>0.446310824211128</v>
      </c>
      <c r="BG364" s="81" t="n"/>
      <c r="BH364" s="81" t="n"/>
      <c r="BI364" s="81" t="n"/>
      <c r="BJ364" s="81" t="n"/>
      <c r="BL364" s="81" t="n"/>
      <c r="BM364" s="81" t="n"/>
      <c r="BN364" s="81" t="n"/>
      <c r="BO364" s="81" t="n"/>
      <c r="BQ364" s="81" t="n"/>
      <c r="BR364" s="81" t="n"/>
      <c r="BS364" s="81" t="n"/>
      <c r="BT364" s="81" t="n"/>
      <c r="BV364" s="81" t="n"/>
      <c r="BW364" s="81" t="n"/>
      <c r="BX364" s="81" t="n"/>
      <c r="BY364" s="81" t="n"/>
      <c r="CA364" s="81" t="n"/>
      <c r="CB364" s="81" t="n"/>
      <c r="CC364" s="81" t="n"/>
      <c r="CD364" s="81" t="n"/>
      <c r="CF364" s="81" t="n"/>
      <c r="CG364" s="81" t="n"/>
      <c r="CH364" s="81" t="n"/>
      <c r="CI364" s="81" t="n"/>
      <c r="CK364" s="81" t="n"/>
      <c r="CL364" s="81" t="n"/>
      <c r="CM364" s="81" t="n"/>
      <c r="CN364" s="81" t="n"/>
      <c r="CP364" s="81" t="n"/>
      <c r="CQ364" s="81" t="n"/>
      <c r="CR364" s="81" t="n"/>
      <c r="CS364" s="81" t="n"/>
      <c r="CU364" s="81" t="n"/>
      <c r="CV364" s="81" t="n"/>
      <c r="CW364" s="81" t="n"/>
      <c r="CX364" s="81" t="n"/>
    </row>
    <row r="365" customFormat="1" s="77">
      <c r="A365" s="76" t="n"/>
      <c r="B365" s="76" t="n"/>
      <c r="C365" s="77" t="inlineStr">
        <is>
          <t>EQUITY MULTIPLIER (ASSETS / EQUITY)</t>
        </is>
      </c>
      <c r="D365" s="84" t="n"/>
      <c r="E365" s="84" t="n"/>
      <c r="F365" s="84" t="n"/>
      <c r="G365" s="84" t="n"/>
      <c r="H365" s="297" t="str">
        <f>IFERROR(IF(N(H270)&lt;&gt;0,H196/H270,""),"")</f>
        <v/>
      </c>
      <c r="I365" s="299">
        <f>IFERROR(IF(N(I270)&lt;&gt;0,I196/I270,""),"")</f>
        <v>2.23161229826245</v>
      </c>
      <c r="J365" s="299">
        <f>IFERROR(IF(N(J270)&lt;&gt;0,J196/J270,""),"")</f>
        <v>2.13893802737187</v>
      </c>
      <c r="K365" s="299">
        <f>IFERROR(IF(N(K270)&lt;&gt;0,K196/K270,""),"")</f>
        <v>2.02573608647336</v>
      </c>
      <c r="L365" s="299">
        <f>IFERROR(IF(N(L270)&lt;&gt;0,L196/L270,""),"")</f>
        <v>2.16244078520845</v>
      </c>
      <c r="M365" s="297">
        <f>IFERROR(IF(N(M270)&lt;&gt;0,M196/M270,""),"")</f>
        <v>2.16244078520845</v>
      </c>
      <c r="N365" s="299">
        <f>IFERROR(IF(N(N270)&lt;&gt;0,N196/N270,""),"")</f>
        <v>2.21932069018478</v>
      </c>
      <c r="O365" s="299">
        <f>IFERROR(IF(N(O270)&lt;&gt;0,O196/O270,""),"")</f>
        <v>2.30842787445565</v>
      </c>
      <c r="P365" s="299">
        <f>IFERROR(IF(N(P270)&lt;&gt;0,P196/P270,""),"")</f>
        <v>2.26538232768443</v>
      </c>
      <c r="Q365" s="299">
        <f>IFERROR(IF(N(Q270)&lt;&gt;0,Q196/Q270,""),"")</f>
        <v>2.11648383362361</v>
      </c>
      <c r="R365" s="297">
        <f>IFERROR(IF(N(R270)&lt;&gt;0,R196/R270,""),"")</f>
        <v>2.11648383362361</v>
      </c>
      <c r="S365" s="299">
        <f>IFERROR(IF(N(S270)&lt;&gt;0,S196/S270,""),"")</f>
        <v>2.17613156344191</v>
      </c>
      <c r="T365" s="299">
        <f>IFERROR(IF(N(T270)&lt;&gt;0,T196/T270,""),"")</f>
        <v>2.23254678998905</v>
      </c>
      <c r="U365" s="299">
        <f>IFERROR(IF(N(U270)&lt;&gt;0,U196/U270,""),"")</f>
        <v>2.23594940697874</v>
      </c>
      <c r="V365" s="299">
        <f>IFERROR(IF(N(V270)&lt;&gt;0,V196/V270,""),"")</f>
        <v>2.34413996075496</v>
      </c>
      <c r="W365" s="297">
        <f>IFERROR(IF(N(W270)&lt;&gt;0,W196/W270,""),"")</f>
        <v>2.34413996075496</v>
      </c>
      <c r="X365" s="299">
        <f>IFERROR(IF(N(X270)&lt;&gt;0,X196/X270,""),"")</f>
        <v>2.26567155876014</v>
      </c>
      <c r="Y365" s="299">
        <f>IFERROR(IF(N(Y270)&lt;&gt;0,Y196/Y270,""),"")</f>
        <v>2.37581650945871</v>
      </c>
      <c r="Z365" s="299">
        <f>IFERROR(IF(N(Z270)&lt;&gt;0,Z196/Z270,""),"")</f>
        <v>2.50191022130666</v>
      </c>
      <c r="AA365" s="299">
        <f>IFERROR(IF(N(AA270)&lt;&gt;0,AA196/AA270,""),"")</f>
        <v>3.64239643662649</v>
      </c>
      <c r="AB365" s="297">
        <f>IFERROR(IF(N(AB270)&lt;&gt;0,AB196/AB270,""),"")</f>
        <v>3.64239643662649</v>
      </c>
      <c r="AC365" s="299">
        <f>IFERROR(IF(N(AC270)&lt;&gt;0,AC196/AC270,""),"")</f>
        <v>3.5851292580131</v>
      </c>
      <c r="AD365" s="299">
        <f>IFERROR(IF(N(AD270)&lt;&gt;0,AD196/AD270,""),"")</f>
        <v>3.4985913638205</v>
      </c>
      <c r="AE365" s="299">
        <f>IFERROR(IF(N(AE270)&lt;&gt;0,AE196/AE270,""),"")</f>
        <v>3.60015173673389</v>
      </c>
      <c r="AF365" s="299">
        <f>IFERROR(IF(N(AF270)&lt;&gt;0,AF196/AF270,""),"")</f>
        <v>3.53725954619456</v>
      </c>
      <c r="AG365" s="297">
        <f>IFERROR(IF(N(AG270)&lt;&gt;0,AG196/AG270,""),"")</f>
        <v>3.53725954619456</v>
      </c>
      <c r="AH365" s="299">
        <f>IFERROR(IF(N(AH270)&lt;&gt;0,AH196/AH270,""),"")</f>
        <v>3.6105150629119</v>
      </c>
      <c r="AI365" s="299">
        <f>IFERROR(IF(N(AI270)&lt;&gt;0,AI196/AI270,""),"")</f>
        <v>3.66271892165281</v>
      </c>
      <c r="AJ365" s="299">
        <f>IFERROR(IF(N(AJ270)&lt;&gt;0,AJ196/AJ270,""),"")</f>
        <v>3.6860624075729</v>
      </c>
      <c r="AK365" s="299">
        <f>IFERROR(IF(N(AK270)&lt;&gt;0,AK196/AK270,""),"")</f>
        <v>3.67957140711391</v>
      </c>
      <c r="AL365" s="297">
        <f>IFERROR(IF(N(AL270)&lt;&gt;0,AL196/AL270,""),"")</f>
        <v>3.67957140711391</v>
      </c>
      <c r="AM365" s="299">
        <f>IFERROR(IF(N(AM270)&lt;&gt;0,AM196/AM270,""),"")</f>
        <v>3.66841367113186</v>
      </c>
      <c r="AN365" s="299">
        <f>IFERROR(IF(N(AN270)&lt;&gt;0,AN196/AN270,""),"")</f>
        <v>3.67869913350391</v>
      </c>
      <c r="AO365" s="299">
        <f>IFERROR(IF(N(AO270)&lt;&gt;0,AO196/AO270,""),"")</f>
        <v>3.6886726807247</v>
      </c>
      <c r="AP365" s="299">
        <f>IFERROR(IF(N(AP270)&lt;&gt;0,AP196/AP270,""),"")</f>
        <v>3.66744760118878</v>
      </c>
      <c r="AQ365" s="297">
        <f>IFERROR(IF(N(AQ270)&lt;&gt;0,AQ196/AQ270,""),"")</f>
        <v>3.66744760118878</v>
      </c>
      <c r="AR365" s="299">
        <f>IFERROR(IF(N(AR270)&lt;&gt;0,AR196/AR270,""),"")</f>
        <v>3.64001219312493</v>
      </c>
      <c r="AS365" s="299">
        <f>IFERROR(IF(N(AS270)&lt;&gt;0,AS196/AS270,""),"")</f>
        <v>3.63996919618927</v>
      </c>
      <c r="AT365" s="299">
        <f>IFERROR(IF(N(AT270)&lt;&gt;0,AT196/AT270,""),"")</f>
        <v>3.63930574335611</v>
      </c>
      <c r="AU365" s="299">
        <f>IFERROR(IF(N(AU270)&lt;&gt;0,AU196/AU270,""),"")</f>
        <v>3.60548542431551</v>
      </c>
      <c r="AV365" s="297">
        <f>IFERROR(IF(N(AV270)&lt;&gt;0,AV196/AV270,""),"")</f>
        <v>3.60548542431551</v>
      </c>
      <c r="AW365" s="299">
        <f>IFERROR(IF(N(AW270)&lt;&gt;0,AW196/AW270,""),"")</f>
        <v>3.56646558126233</v>
      </c>
      <c r="AX365" s="299">
        <f>IFERROR(IF(N(AX270)&lt;&gt;0,AX196/AX270,""),"")</f>
        <v>3.5556910525725</v>
      </c>
      <c r="AY365" s="299">
        <f>IFERROR(IF(N(AY270)&lt;&gt;0,AY196/AY270,""),"")</f>
        <v>3.54767402294079</v>
      </c>
      <c r="AZ365" s="299">
        <f>IFERROR(IF(N(AZ270)&lt;&gt;0,AZ196/AZ270,""),"")</f>
        <v>3.50580775445724</v>
      </c>
      <c r="BA365" s="297">
        <f>IFERROR(IF(N(BA270)&lt;&gt;0,BA196/BA270,""),"")</f>
        <v>3.50580775445724</v>
      </c>
      <c r="BB365" s="299">
        <f>IFERROR(IF(N(BB270)&lt;&gt;0,BB196/BB270,""),"")</f>
        <v>3.45820251403372</v>
      </c>
      <c r="BC365" s="299">
        <f>IFERROR(IF(N(BC270)&lt;&gt;0,BC196/BC270,""),"")</f>
        <v>3.44195846093059</v>
      </c>
      <c r="BD365" s="299">
        <f>IFERROR(IF(N(BD270)&lt;&gt;0,BD196/BD270,""),"")</f>
        <v>3.4313282639592</v>
      </c>
      <c r="BE365" s="299">
        <f>IFERROR(IF(N(BE270)&lt;&gt;0,BE196/BE270,""),"")</f>
        <v>3.38718672496178</v>
      </c>
      <c r="BF365" s="297">
        <f>IFERROR(IF(N(BF270)&lt;&gt;0,BF196/BF270,""),"")</f>
        <v>3.38718672496178</v>
      </c>
      <c r="BG365" s="81" t="n"/>
      <c r="BH365" s="81" t="n"/>
      <c r="BI365" s="81" t="n"/>
      <c r="BJ365" s="81" t="n"/>
      <c r="BL365" s="81" t="n"/>
      <c r="BM365" s="81" t="n"/>
      <c r="BN365" s="81" t="n"/>
      <c r="BO365" s="81" t="n"/>
      <c r="BQ365" s="81" t="n"/>
      <c r="BR365" s="81" t="n"/>
      <c r="BS365" s="81" t="n"/>
      <c r="BT365" s="81" t="n"/>
      <c r="BV365" s="81" t="n"/>
      <c r="BW365" s="81" t="n"/>
      <c r="BX365" s="81" t="n"/>
      <c r="BY365" s="81" t="n"/>
      <c r="CA365" s="81" t="n"/>
      <c r="CB365" s="81" t="n"/>
      <c r="CC365" s="81" t="n"/>
      <c r="CD365" s="81" t="n"/>
      <c r="CF365" s="81" t="n"/>
      <c r="CG365" s="81" t="n"/>
      <c r="CH365" s="81" t="n"/>
      <c r="CI365" s="81" t="n"/>
      <c r="CK365" s="81" t="n"/>
      <c r="CL365" s="81" t="n"/>
      <c r="CM365" s="81" t="n"/>
      <c r="CN365" s="81" t="n"/>
      <c r="CP365" s="81" t="n"/>
      <c r="CQ365" s="81" t="n"/>
      <c r="CR365" s="81" t="n"/>
      <c r="CS365" s="81" t="n"/>
      <c r="CU365" s="81" t="n"/>
      <c r="CV365" s="81" t="n"/>
      <c r="CW365" s="81" t="n"/>
      <c r="CX365" s="81" t="n"/>
    </row>
    <row r="366" customFormat="1" s="77">
      <c r="A366" s="76" t="n"/>
      <c r="B366" s="76" t="n"/>
      <c r="C366" s="77" t="inlineStr">
        <is>
          <t>ROE - DUPONT</t>
        </is>
      </c>
      <c r="D366" s="84" t="n"/>
      <c r="E366" s="84" t="n"/>
      <c r="F366" s="84" t="n"/>
      <c r="G366" s="84" t="n"/>
      <c r="H366" s="290" t="str">
        <f>IFERROR(IF(COUNT(H363,H364,H365)=3,H363*H364*H365,""),"")</f>
        <v/>
      </c>
      <c r="I366" s="289" t="str">
        <f>IFERROR(IF(COUNT(I363,I364,I365)=3,I363*I364*I365,""),"")</f>
        <v/>
      </c>
      <c r="J366" s="289" t="str">
        <f>IFERROR(IF(COUNT(J363,J364,J365)=3,J363*J364*J365,""),"")</f>
        <v/>
      </c>
      <c r="K366" s="289" t="str">
        <f>IFERROR(IF(COUNT(K363,K364,K365)=3,K363*K364*K365,""),"")</f>
        <v/>
      </c>
      <c r="L366" s="289">
        <f>IFERROR(IF(COUNT(L363,L364,L365)=3,L363*L364*L365,""),"")</f>
        <v>0.00395356664969881</v>
      </c>
      <c r="M366" s="290">
        <f>IFERROR(IF(COUNT(M363,M364,M365)=3,M363*M364*M365,""),"")</f>
        <v>0.00395356664969881</v>
      </c>
      <c r="N366" s="289">
        <f>IFERROR(IF(COUNT(N363,N364,N365)=3,N363*N364*N365,""),"")</f>
        <v>0.00146946902941333</v>
      </c>
      <c r="O366" s="289">
        <f>IFERROR(IF(COUNT(O363,O364,O365)=3,O363*O364*O365,""),"")</f>
        <v>0.00690131997591619</v>
      </c>
      <c r="P366" s="289">
        <f>IFERROR(IF(COUNT(P363,P364,P365)=3,P363*P364*P365,""),"")</f>
        <v>0.0182008809371233</v>
      </c>
      <c r="Q366" s="289">
        <f>IFERROR(IF(COUNT(Q363,Q364,Q365)=3,Q363*Q364*Q365,""),"")</f>
        <v>0.175335102855961</v>
      </c>
      <c r="R366" s="290">
        <f>IFERROR(IF(COUNT(R363,R364,R365)=3,R363*R364*R365,""),"")</f>
        <v>0.175335102855961</v>
      </c>
      <c r="S366" s="289">
        <f>IFERROR(IF(COUNT(S363,S364,S365)=3,S363*S364*S365,""),"")</f>
        <v>0.188016206401765</v>
      </c>
      <c r="T366" s="289">
        <f>IFERROR(IF(COUNT(T363,T364,T365)=3,T363*T364*T365,""),"")</f>
        <v>0.209391854246616</v>
      </c>
      <c r="U366" s="289">
        <f>IFERROR(IF(COUNT(U363,U364,U365)=3,U363*U364*U365,""),"")</f>
        <v>0.145236993640062</v>
      </c>
      <c r="V366" s="289">
        <f>IFERROR(IF(COUNT(V363,V364,V365)=3,V363*V364*V365,""),"")</f>
        <v>-0.025684388969705</v>
      </c>
      <c r="W366" s="290">
        <f>IFERROR(IF(COUNT(W363,W364,W365)=3,W363*W364*W365,""),"")</f>
        <v>-0.025684388969705</v>
      </c>
      <c r="X366" s="289">
        <f>IFERROR(IF(COUNT(X363,X364,X365)=3,X363*X364*X365,""),"")</f>
        <v>-0.024053981420162</v>
      </c>
      <c r="Y366" s="289">
        <f>IFERROR(IF(COUNT(Y363,Y364,Y365)=3,Y363*Y364*Y365,""),"")</f>
        <v>-0.0313275900176152</v>
      </c>
      <c r="Z366" s="289">
        <f>IFERROR(IF(COUNT(Z363,Z364,Z365)=3,Z363*Z364*Z365,""),"")</f>
        <v>0.0574492434230257</v>
      </c>
      <c r="AA366" s="289">
        <f>IFERROR(IF(COUNT(AA363,AA364,AA365)=3,AA363*AA364*AA365,""),"")</f>
        <v>0.0173259591666406</v>
      </c>
      <c r="AB366" s="290">
        <f>IFERROR(IF(COUNT(AB363,AB364,AB365)=3,AB363*AB364*AB365,""),"")</f>
        <v>0.0173259591666406</v>
      </c>
      <c r="AC366" s="289">
        <f>IFERROR(IF(COUNT(AC363,AC364,AC365)=3,AC363*AC364*AC365,""),"")</f>
        <v>0.000398936863439856</v>
      </c>
      <c r="AD366" s="289">
        <f>IFERROR(IF(COUNT(AD363,AD364,AD365)=3,AD363*AD364*AD365,""),"")</f>
        <v>-0.0498210167053208</v>
      </c>
      <c r="AE366" s="289">
        <f>IFERROR(IF(COUNT(AE363,AE364,AE365)=3,AE363*AE364*AE365,""),"")</f>
        <v>-0.10089195278512</v>
      </c>
      <c r="AF366" s="289">
        <f>IFERROR(IF(COUNT(AF363,AF364,AF365)=3,AF363*AF364*AF365,""),"")</f>
        <v>-0.0482039696233804</v>
      </c>
      <c r="AG366" s="290">
        <f>IFERROR(IF(COUNT(AG363,AG364,AG365)=3,AG363*AG364*AG365,""),"")</f>
        <v>-0.0482039696233803</v>
      </c>
      <c r="AH366" s="289">
        <f>IFERROR(IF(COUNT(AH363,AH364,AH365)=3,AH363*AH364*AH365,""),"")</f>
        <v>-0.0985938406910574</v>
      </c>
      <c r="AI366" s="289">
        <f>IFERROR(IF(COUNT(AI363,AI364,AI365)=3,AI363*AI364*AI365,""),"")</f>
        <v>-0.0854258459873676</v>
      </c>
      <c r="AJ366" s="289">
        <f>IFERROR(IF(COUNT(AJ363,AJ364,AJ365)=3,AJ363*AJ364*AJ365,""),"")</f>
        <v>-0.0503212850819224</v>
      </c>
      <c r="AK366" s="289">
        <f>IFERROR(IF(COUNT(AK363,AK364,AK365)=3,AK363*AK364*AK365,""),"")</f>
        <v>-0.0691441152883232</v>
      </c>
      <c r="AL366" s="290">
        <f>IFERROR(IF(COUNT(AL363,AL364,AL365)=3,AL363*AL364*AL365,""),"")</f>
        <v>-0.0691441152883232</v>
      </c>
      <c r="AM366" s="289">
        <f>IFERROR(IF(COUNT(AM363,AM364,AM365)=3,AM363*AM364*AM365,""),"")</f>
        <v>-0.0232866747916178</v>
      </c>
      <c r="AN366" s="289">
        <f>IFERROR(IF(COUNT(AN363,AN364,AN365)=3,AN363*AN364*AN365,""),"")</f>
        <v>0.00614142052894642</v>
      </c>
      <c r="AO366" s="289">
        <f>IFERROR(IF(COUNT(AO363,AO364,AO365)=3,AO363*AO364*AO365,""),"")</f>
        <v>0.0127235644776467</v>
      </c>
      <c r="AP366" s="289">
        <f>IFERROR(IF(COUNT(AP363,AP364,AP365)=3,AP363*AP364*AP365,""),"")</f>
        <v>0.0195862934520234</v>
      </c>
      <c r="AQ366" s="290">
        <f>IFERROR(IF(COUNT(AQ363,AQ364,AQ365)=3,AQ363*AQ364*AQ365,""),"")</f>
        <v>0.0195862934520234</v>
      </c>
      <c r="AR366" s="289">
        <f>IFERROR(IF(COUNT(AR363,AR364,AR365)=3,AR363*AR364*AR365,""),"")</f>
        <v>0.025003571090636</v>
      </c>
      <c r="AS366" s="289">
        <f>IFERROR(IF(COUNT(AS363,AS364,AS365)=3,AS363*AS364*AS365,""),"")</f>
        <v>0.0303602310273753</v>
      </c>
      <c r="AT366" s="289">
        <f>IFERROR(IF(COUNT(AT363,AT364,AT365)=3,AT363*AT364*AT365,""),"")</f>
        <v>0.0369202990134253</v>
      </c>
      <c r="AU366" s="289">
        <f>IFERROR(IF(COUNT(AU363,AU364,AU365)=3,AU363*AU364*AU365,""),"")</f>
        <v>0.0435960451565954</v>
      </c>
      <c r="AV366" s="290">
        <f>IFERROR(IF(COUNT(AV363,AV364,AV365)=3,AV363*AV364*AV365,""),"")</f>
        <v>0.0435960451565954</v>
      </c>
      <c r="AW366" s="289">
        <f>IFERROR(IF(COUNT(AW363,AW364,AW365)=3,AW363*AW364*AW365,""),"")</f>
        <v>0.0489433779876235</v>
      </c>
      <c r="AX366" s="289">
        <f>IFERROR(IF(COUNT(AX363,AX364,AX365)=3,AX363*AX364*AX365,""),"")</f>
        <v>0.0541779526456579</v>
      </c>
      <c r="AY366" s="289">
        <f>IFERROR(IF(COUNT(AY363,AY364,AY365)=3,AY363*AY364*AY365,""),"")</f>
        <v>0.060227547778445</v>
      </c>
      <c r="AZ366" s="289">
        <f>IFERROR(IF(COUNT(AZ363,AZ364,AZ365)=3,AZ363*AZ364*AZ365,""),"")</f>
        <v>0.0662383224700977</v>
      </c>
      <c r="BA366" s="290">
        <f>IFERROR(IF(COUNT(BA363,BA364,BA365)=3,BA363*BA364*BA365,""),"")</f>
        <v>0.0662383224700977</v>
      </c>
      <c r="BB366" s="289">
        <f>IFERROR(IF(COUNT(BB363,BB364,BB365)=3,BB363*BB364*BB365,""),"")</f>
        <v>0.0711309442801509</v>
      </c>
      <c r="BC366" s="289">
        <f>IFERROR(IF(COUNT(BC363,BC364,BC365)=3,BC363*BC364*BC365,""),"")</f>
        <v>0.0758761257497332</v>
      </c>
      <c r="BD366" s="289">
        <f>IFERROR(IF(COUNT(BD363,BD364,BD365)=3,BD363*BD364*BD365,""),"")</f>
        <v>0.0810395945497906</v>
      </c>
      <c r="BE366" s="289">
        <f>IFERROR(IF(COUNT(BE363,BE364,BE365)=3,BE363*BE364*BE365,""),"")</f>
        <v>0.0860492299125151</v>
      </c>
      <c r="BF366" s="290">
        <f>IFERROR(IF(COUNT(BF363,BF364,BF365)=3,BF363*BF364*BF365,""),"")</f>
        <v>0.0860492299125151</v>
      </c>
      <c r="BG366" s="81" t="n"/>
      <c r="BH366" s="81" t="n"/>
      <c r="BI366" s="81" t="n"/>
      <c r="BJ366" s="81" t="n"/>
      <c r="BL366" s="81" t="n"/>
      <c r="BM366" s="81" t="n"/>
      <c r="BN366" s="81" t="n"/>
      <c r="BO366" s="81" t="n"/>
      <c r="BQ366" s="81" t="n"/>
      <c r="BR366" s="81" t="n"/>
      <c r="BS366" s="81" t="n"/>
      <c r="BT366" s="81" t="n"/>
      <c r="BV366" s="81" t="n"/>
      <c r="BW366" s="81" t="n"/>
      <c r="BX366" s="81" t="n"/>
      <c r="BY366" s="81" t="n"/>
      <c r="CA366" s="81" t="n"/>
      <c r="CB366" s="81" t="n"/>
      <c r="CC366" s="81" t="n"/>
      <c r="CD366" s="81" t="n"/>
      <c r="CF366" s="81" t="n"/>
      <c r="CG366" s="81" t="n"/>
      <c r="CH366" s="81" t="n"/>
      <c r="CI366" s="81" t="n"/>
      <c r="CK366" s="81" t="n"/>
      <c r="CL366" s="81" t="n"/>
      <c r="CM366" s="81" t="n"/>
      <c r="CN366" s="81" t="n"/>
      <c r="CP366" s="81" t="n"/>
      <c r="CQ366" s="81" t="n"/>
      <c r="CR366" s="81" t="n"/>
      <c r="CS366" s="81" t="n"/>
      <c r="CU366" s="81" t="n"/>
      <c r="CV366" s="81" t="n"/>
      <c r="CW366" s="81" t="n"/>
      <c r="CX366" s="81" t="n"/>
    </row>
    <row r="367" customFormat="1" s="77">
      <c r="A367" s="76" t="n"/>
      <c r="B367" s="76" t="n"/>
      <c r="C367" s="77" t="inlineStr">
        <is>
          <t>ROE (LTM)</t>
        </is>
      </c>
      <c r="D367" s="84" t="n"/>
      <c r="E367" s="84" t="n"/>
      <c r="F367" s="84" t="n"/>
      <c r="G367" s="84" t="n"/>
      <c r="H367" s="290" t="str">
        <f>IFERROR(IF(AND(COUNT(H136)=1,N(H270)&lt;&gt;0),(H136)/H270,""),"")</f>
        <v/>
      </c>
      <c r="I367" s="289" t="str">
        <f>""</f>
        <v/>
      </c>
      <c r="J367" s="289" t="str">
        <f>""</f>
        <v/>
      </c>
      <c r="K367" s="289" t="str">
        <f>""</f>
        <v/>
      </c>
      <c r="L367" s="289">
        <f>IFERROR(IF(AND(COUNT(I136,J136,K136,L136)=4,N(L270)&lt;&gt;0),(I136+J136+K136+L136)/L270,""),"")</f>
        <v>0.00395356664969881</v>
      </c>
      <c r="M367" s="290">
        <f>IFERROR(IF(AND(COUNT(I136,J136,K136,L136)=4,N(M270)&lt;&gt;0),(I136+J136+K136+L136)/M270,""),"")</f>
        <v>0.00395356664969881</v>
      </c>
      <c r="N367" s="289">
        <f>IFERROR(IF(AND(COUNT(J136,K136,L136,N136)=4,N(N270)&lt;&gt;0),(J136+K136+L136+N136)/N270,""),"")</f>
        <v>0.00146946902941333</v>
      </c>
      <c r="O367" s="289">
        <f>IFERROR(IF(AND(COUNT(K136,L136,N136,O136)=4,N(O270)&lt;&gt;0),(K136+L136+N136+O136)/O270,""),"")</f>
        <v>0.00690131997591619</v>
      </c>
      <c r="P367" s="289">
        <f>IFERROR(IF(AND(COUNT(L136,N136,O136,P136)=4,N(P270)&lt;&gt;0),(L136+N136+O136+P136)/P270,""),"")</f>
        <v>0.0182008809371233</v>
      </c>
      <c r="Q367" s="289">
        <f>IFERROR(IF(AND(COUNT(N136,O136,P136,Q136)=4,N(Q270)&lt;&gt;0),(N136+O136+P136+Q136)/Q270,""),"")</f>
        <v>0.175335102855961</v>
      </c>
      <c r="R367" s="290">
        <f>IFERROR(IF(AND(COUNT(N136,O136,P136,Q136)=4,N(R270)&lt;&gt;0),(N136+O136+P136+Q136)/R270,""),"")</f>
        <v>0.175335102855961</v>
      </c>
      <c r="S367" s="289">
        <f>IFERROR(IF(AND(COUNT(O136,P136,Q136,S136)=4,N(S270)&lt;&gt;0),(O136+P136+Q136+S136)/S270,""),"")</f>
        <v>0.188016206401765</v>
      </c>
      <c r="T367" s="289">
        <f>IFERROR(IF(AND(COUNT(P136,Q136,S136,T136)=4,N(T270)&lt;&gt;0),(P136+Q136+S136+T136)/T270,""),"")</f>
        <v>0.209391854246616</v>
      </c>
      <c r="U367" s="289">
        <f>IFERROR(IF(AND(COUNT(Q136,S136,T136,U136)=4,N(U270)&lt;&gt;0),(Q136+S136+T136+U136)/U270,""),"")</f>
        <v>0.145236993640062</v>
      </c>
      <c r="V367" s="289">
        <f>IFERROR(IF(AND(COUNT(S136,T136,U136,V136)=4,N(V270)&lt;&gt;0),(S136+T136+U136+V136)/V270,""),"")</f>
        <v>-0.025684388969705</v>
      </c>
      <c r="W367" s="290">
        <f>IFERROR(IF(AND(COUNT(S136,T136,U136,V136)=4,N(W270)&lt;&gt;0),(S136+T136+U136+V136)/W270,""),"")</f>
        <v>-0.025684388969705</v>
      </c>
      <c r="X367" s="289">
        <f>IFERROR(IF(AND(COUNT(T136,U136,V136,X136)=4,N(X270)&lt;&gt;0),(T136+U136+V136+X136)/X270,""),"")</f>
        <v>-0.024053981420162</v>
      </c>
      <c r="Y367" s="289">
        <f>IFERROR(IF(AND(COUNT(U136,V136,X136,Y136)=4,N(Y270)&lt;&gt;0),(U136+V136+X136+Y136)/Y270,""),"")</f>
        <v>-0.0313275900176152</v>
      </c>
      <c r="Z367" s="289">
        <f>IFERROR(IF(AND(COUNT(V136,X136,Y136,Z136)=4,N(Z270)&lt;&gt;0),(V136+X136+Y136+Z136)/Z270,""),"")</f>
        <v>0.0574492434230257</v>
      </c>
      <c r="AA367" s="289">
        <f>IFERROR(IF(AND(COUNT(X136,Y136,Z136,AA136)=4,N(AA270)&lt;&gt;0),(X136+Y136+Z136+AA136)/AA270,""),"")</f>
        <v>0.0173259591666406</v>
      </c>
      <c r="AB367" s="290">
        <f>IFERROR(IF(AND(COUNT(X136,Y136,Z136,AA136)=4,N(AB270)&lt;&gt;0),(X136+Y136+Z136+AA136)/AB270,""),"")</f>
        <v>0.0173259591666406</v>
      </c>
      <c r="AC367" s="289">
        <f>IFERROR(IF(AND(COUNT(Y136,Z136,AA136,AC136)=4,N(AC270)&lt;&gt;0),(Y136+Z136+AA136+AC136)/AC270,""),"")</f>
        <v>0.000398936863439856</v>
      </c>
      <c r="AD367" s="289">
        <f>IFERROR(IF(AND(COUNT(Z136,AA136,AC136,AD136)=4,N(AD270)&lt;&gt;0),(Z136+AA136+AC136+AD136)/AD270,""),"")</f>
        <v>-0.0498210167053208</v>
      </c>
      <c r="AE367" s="289">
        <f>IFERROR(IF(AND(COUNT(AA136,AC136,AD136,AE136)=4,N(AE270)&lt;&gt;0),(AA136+AC136+AD136+AE136)/AE270,""),"")</f>
        <v>-0.10089195278512</v>
      </c>
      <c r="AF367" s="289">
        <f>IFERROR(IF(AND(COUNT(AC136,AD136,AE136,AF136)=4,N(AF270)&lt;&gt;0),(AC136+AD136+AE136+AF136)/AF270,""),"")</f>
        <v>-0.0482039696233804</v>
      </c>
      <c r="AG367" s="290">
        <f>IFERROR(IF(AND(COUNT(AC136,AD136,AE136,AF136)=4,N(AG270)&lt;&gt;0),(AC136+AD136+AE136+AF136)/AG270,""),"")</f>
        <v>-0.0482039696233803</v>
      </c>
      <c r="AH367" s="289">
        <f>IFERROR(IF(AND(COUNT(AD136,AE136,AF136,AH136)=4,N(AH270)&lt;&gt;0),(AD136+AE136+AF136+AH136)/AH270,""),"")</f>
        <v>-0.0985938406910574</v>
      </c>
      <c r="AI367" s="289">
        <f>IFERROR(IF(AND(COUNT(AE136,AF136,AH136,AI136)=4,N(AI270)&lt;&gt;0),(AE136+AF136+AH136+AI136)/AI270,""),"")</f>
        <v>-0.0854258459873676</v>
      </c>
      <c r="AJ367" s="289">
        <f>IFERROR(IF(AND(COUNT(AF136,AH136,AI136,AJ136)=4,N(AJ270)&lt;&gt;0),(AF136+AH136+AI136+AJ136)/AJ270,""),"")</f>
        <v>-0.0503212850819224</v>
      </c>
      <c r="AK367" s="289">
        <f>IFERROR(IF(AND(COUNT(AH136,AI136,AJ136,AK136)=4,N(AK270)&lt;&gt;0),(AH136+AI136+AJ136+AK136)/AK270,""),"")</f>
        <v>-0.0691441152883232</v>
      </c>
      <c r="AL367" s="290">
        <f>IFERROR(IF(AND(COUNT(AH136,AI136,AJ136,AK136)=4,N(AL270)&lt;&gt;0),(AH136+AI136+AJ136+AK136)/AL270,""),"")</f>
        <v>-0.0691441152883232</v>
      </c>
      <c r="AM367" s="289">
        <f>IFERROR(IF(AND(COUNT(AI136,AJ136,AK136,AM136)=4,N(AM270)&lt;&gt;0),(AI136+AJ136+AK136+AM136)/AM270,""),"")</f>
        <v>-0.0232866747916178</v>
      </c>
      <c r="AN367" s="289">
        <f>IFERROR(IF(AND(COUNT(AJ136,AK136,AM136,AN136)=4,N(AN270)&lt;&gt;0),(AJ136+AK136+AM136+AN136)/AN270,""),"")</f>
        <v>0.00614142052894642</v>
      </c>
      <c r="AO367" s="289">
        <f>IFERROR(IF(AND(COUNT(AK136,AM136,AN136,AO136)=4,N(AO270)&lt;&gt;0),(AK136+AM136+AN136+AO136)/AO270,""),"")</f>
        <v>0.0127235644776467</v>
      </c>
      <c r="AP367" s="289">
        <f>IFERROR(IF(AND(COUNT(AM136,AN136,AO136,AP136)=4,N(AP270)&lt;&gt;0),(AM136+AN136+AO136+AP136)/AP270,""),"")</f>
        <v>0.0195862934520234</v>
      </c>
      <c r="AQ367" s="290">
        <f>IFERROR(IF(AND(COUNT(AM136,AN136,AO136,AP136)=4,N(AQ270)&lt;&gt;0),(AM136+AN136+AO136+AP136)/AQ270,""),"")</f>
        <v>0.0195862934520234</v>
      </c>
      <c r="AR367" s="289">
        <f>IFERROR(IF(AND(COUNT(AN136,AO136,AP136,AR136)=4,N(AR270)&lt;&gt;0),(AN136+AO136+AP136+AR136)/AR270,""),"")</f>
        <v>0.025003571090636</v>
      </c>
      <c r="AS367" s="289">
        <f>IFERROR(IF(AND(COUNT(AO136,AP136,AR136,AS136)=4,N(AS270)&lt;&gt;0),(AO136+AP136+AR136+AS136)/AS270,""),"")</f>
        <v>0.0303602310273753</v>
      </c>
      <c r="AT367" s="289">
        <f>IFERROR(IF(AND(COUNT(AP136,AR136,AS136,AT136)=4,N(AT270)&lt;&gt;0),(AP136+AR136+AS136+AT136)/AT270,""),"")</f>
        <v>0.0369202990134253</v>
      </c>
      <c r="AU367" s="289">
        <f>IFERROR(IF(AND(COUNT(AR136,AS136,AT136,AU136)=4,N(AU270)&lt;&gt;0),(AR136+AS136+AT136+AU136)/AU270,""),"")</f>
        <v>0.0435960451565954</v>
      </c>
      <c r="AV367" s="290">
        <f>IFERROR(IF(AND(COUNT(AR136,AS136,AT136,AU136)=4,N(AV270)&lt;&gt;0),(AR136+AS136+AT136+AU136)/AV270,""),"")</f>
        <v>0.0435960451565954</v>
      </c>
      <c r="AW367" s="289">
        <f>IFERROR(IF(AND(COUNT(AS136,AT136,AU136,AW136)=4,N(AW270)&lt;&gt;0),(AS136+AT136+AU136+AW136)/AW270,""),"")</f>
        <v>0.0489433779876235</v>
      </c>
      <c r="AX367" s="289">
        <f>IFERROR(IF(AND(COUNT(AT136,AU136,AW136,AX136)=4,N(AX270)&lt;&gt;0),(AT136+AU136+AW136+AX136)/AX270,""),"")</f>
        <v>0.0541779526456579</v>
      </c>
      <c r="AY367" s="289">
        <f>IFERROR(IF(AND(COUNT(AU136,AW136,AX136,AY136)=4,N(AY270)&lt;&gt;0),(AU136+AW136+AX136+AY136)/AY270,""),"")</f>
        <v>0.060227547778445</v>
      </c>
      <c r="AZ367" s="289">
        <f>IFERROR(IF(AND(COUNT(AW136,AX136,AY136,AZ136)=4,N(AZ270)&lt;&gt;0),(AW136+AX136+AY136+AZ136)/AZ270,""),"")</f>
        <v>0.0662383224700977</v>
      </c>
      <c r="BA367" s="290">
        <f>IFERROR(IF(AND(COUNT(AW136,AX136,AY136,AZ136)=4,N(BA270)&lt;&gt;0),(AW136+AX136+AY136+AZ136)/BA270,""),"")</f>
        <v>0.0662383224700977</v>
      </c>
      <c r="BB367" s="289">
        <f>IFERROR(IF(AND(COUNT(AX136,AY136,AZ136,BB136)=4,N(BB270)&lt;&gt;0),(AX136+AY136+AZ136+BB136)/BB270,""),"")</f>
        <v>0.0711309442801509</v>
      </c>
      <c r="BC367" s="289">
        <f>IFERROR(IF(AND(COUNT(AY136,AZ136,BB136,BC136)=4,N(BC270)&lt;&gt;0),(AY136+AZ136+BB136+BC136)/BC270,""),"")</f>
        <v>0.0758761257497332</v>
      </c>
      <c r="BD367" s="289">
        <f>IFERROR(IF(AND(COUNT(AZ136,BB136,BC136,BD136)=4,N(BD270)&lt;&gt;0),(AZ136+BB136+BC136+BD136)/BD270,""),"")</f>
        <v>0.0810395945497906</v>
      </c>
      <c r="BE367" s="289">
        <f>IFERROR(IF(AND(COUNT(BB136,BC136,BD136,BE136)=4,N(BE270)&lt;&gt;0),(BB136+BC136+BD136+BE136)/BE270,""),"")</f>
        <v>0.0860492299125151</v>
      </c>
      <c r="BF367" s="290">
        <f>IFERROR(IF(AND(COUNT(BB136,BC136,BD136,BE136)=4,N(BF270)&lt;&gt;0),(BB136+BC136+BD136+BE136)/BF270,""),"")</f>
        <v>0.0860492299125151</v>
      </c>
      <c r="BG367" s="81" t="n"/>
      <c r="BH367" s="81" t="n"/>
      <c r="BI367" s="81" t="n"/>
      <c r="BJ367" s="81" t="n"/>
      <c r="BL367" s="81" t="n"/>
      <c r="BM367" s="81" t="n"/>
      <c r="BN367" s="81" t="n"/>
      <c r="BO367" s="81" t="n"/>
      <c r="BQ367" s="81" t="n"/>
      <c r="BR367" s="81" t="n"/>
      <c r="BS367" s="81" t="n"/>
      <c r="BT367" s="81" t="n"/>
      <c r="BV367" s="81" t="n"/>
      <c r="BW367" s="81" t="n"/>
      <c r="BX367" s="81" t="n"/>
      <c r="BY367" s="81" t="n"/>
      <c r="CA367" s="81" t="n"/>
      <c r="CB367" s="81" t="n"/>
      <c r="CC367" s="81" t="n"/>
      <c r="CD367" s="81" t="n"/>
      <c r="CF367" s="81" t="n"/>
      <c r="CG367" s="81" t="n"/>
      <c r="CH367" s="81" t="n"/>
      <c r="CI367" s="81" t="n"/>
      <c r="CK367" s="81" t="n"/>
      <c r="CL367" s="81" t="n"/>
      <c r="CM367" s="81" t="n"/>
      <c r="CN367" s="81" t="n"/>
      <c r="CP367" s="81" t="n"/>
      <c r="CQ367" s="81" t="n"/>
      <c r="CR367" s="81" t="n"/>
      <c r="CS367" s="81" t="n"/>
      <c r="CU367" s="81" t="n"/>
      <c r="CV367" s="81" t="n"/>
      <c r="CW367" s="81" t="n"/>
      <c r="CX367" s="81" t="n"/>
    </row>
    <row r="369">
      <c r="C369" s="73" t="inlineStr">
        <is>
          <t>Scenario Analysis</t>
        </is>
      </c>
      <c r="D369" s="73" t="n"/>
      <c r="E369" s="73" t="n"/>
      <c r="F369" s="73" t="n"/>
      <c r="G369" s="73" t="n"/>
      <c r="H369" s="73" t="n"/>
      <c r="I369" s="73" t="n"/>
      <c r="J369" s="73" t="n"/>
      <c r="K369" s="73" t="n"/>
      <c r="L369" s="73" t="n"/>
      <c r="M369" s="73" t="n"/>
      <c r="N369" s="73" t="n"/>
      <c r="O369" s="73" t="n"/>
      <c r="P369" s="73" t="n"/>
      <c r="Q369" s="73" t="n"/>
      <c r="R369" s="73" t="n"/>
      <c r="S369" s="73" t="n"/>
      <c r="T369" s="73" t="n"/>
      <c r="U369" s="73" t="n"/>
      <c r="V369" s="73" t="n"/>
      <c r="W369" s="73" t="n"/>
      <c r="X369" s="73" t="n"/>
      <c r="Y369" s="73" t="n"/>
      <c r="Z369" s="73" t="n"/>
      <c r="AA369" s="73" t="n"/>
      <c r="AB369" s="73" t="n"/>
      <c r="AC369" s="73" t="n"/>
      <c r="AD369" s="73" t="n"/>
      <c r="AE369" s="73" t="n"/>
      <c r="AF369" s="73" t="n"/>
      <c r="AG369" s="73" t="n"/>
      <c r="AH369" s="73" t="n"/>
      <c r="AI369" s="73" t="n"/>
      <c r="AJ369" s="73" t="n"/>
      <c r="AK369" s="73" t="n"/>
      <c r="AL369" s="73" t="n"/>
      <c r="AM369" s="73" t="n"/>
      <c r="AN369" s="73" t="n"/>
      <c r="AO369" s="73" t="n"/>
      <c r="AP369" s="73" t="n"/>
      <c r="AQ369" s="73" t="n"/>
      <c r="AR369" s="73" t="n"/>
      <c r="AS369" s="73" t="n"/>
      <c r="AT369" s="73" t="n"/>
      <c r="AU369" s="73" t="n"/>
      <c r="AV369" s="73" t="n"/>
      <c r="AW369" s="73" t="n"/>
      <c r="AX369" s="73" t="n"/>
      <c r="AY369" s="73" t="n"/>
      <c r="AZ369" s="73" t="n"/>
      <c r="BA369" s="73" t="n"/>
      <c r="BB369" s="73" t="n"/>
      <c r="BC369" s="73" t="n"/>
      <c r="BD369" s="73" t="n"/>
      <c r="BE369" s="73" t="n"/>
      <c r="BF369" s="73" t="n"/>
      <c r="BG369" s="73" t="n"/>
      <c r="BH369" s="73" t="n"/>
      <c r="BI369" s="73" t="n"/>
      <c r="BJ369" s="73" t="n"/>
      <c r="BK369" s="73" t="n"/>
      <c r="BL369" s="73" t="n"/>
      <c r="BM369" s="73" t="n"/>
      <c r="BN369" s="73" t="n"/>
      <c r="BO369" s="73" t="n"/>
      <c r="BP369" s="73" t="n"/>
      <c r="BQ369" s="73" t="n"/>
      <c r="BR369" s="73" t="n"/>
      <c r="BS369" s="73" t="n"/>
      <c r="BT369" s="73" t="n"/>
      <c r="BU369" s="73" t="n"/>
      <c r="BV369" s="73" t="n"/>
      <c r="BW369" s="73" t="n"/>
      <c r="BX369" s="73" t="n"/>
      <c r="BY369" s="73" t="n"/>
      <c r="BZ369" s="73" t="n"/>
      <c r="CA369" s="73" t="n"/>
      <c r="CB369" s="73" t="n"/>
      <c r="CC369" s="73" t="n"/>
      <c r="CD369" s="73" t="n"/>
      <c r="CE369" s="73" t="n"/>
      <c r="CF369" s="73" t="n"/>
      <c r="CG369" s="73" t="n"/>
      <c r="CH369" s="73" t="n"/>
      <c r="CI369" s="73" t="n"/>
      <c r="CJ369" s="73" t="n"/>
      <c r="CK369" s="73" t="n"/>
      <c r="CL369" s="73" t="n"/>
      <c r="CM369" s="73" t="n"/>
      <c r="CN369" s="73" t="n"/>
      <c r="CO369" s="73" t="n"/>
      <c r="CP369" s="73" t="n"/>
      <c r="CQ369" s="73" t="n"/>
      <c r="CR369" s="73" t="n"/>
      <c r="CS369" s="73" t="n"/>
      <c r="CT369" s="73" t="n"/>
      <c r="CU369" s="73" t="n"/>
      <c r="CV369" s="73" t="n"/>
      <c r="CW369" s="73" t="n"/>
      <c r="CX369" s="73" t="n"/>
      <c r="CY369" s="73" t="n"/>
    </row>
    <row r="372">
      <c r="C372" s="4" t="inlineStr">
        <is>
          <t>Bull case</t>
        </is>
      </c>
    </row>
    <row r="373">
      <c r="C373" s="4" t="inlineStr">
        <is>
          <t>Base case</t>
        </is>
      </c>
    </row>
    <row r="374">
      <c r="C374" s="4" t="inlineStr">
        <is>
          <t>Bear case</t>
        </is>
      </c>
    </row>
    <row r="377">
      <c r="C377" s="4" t="inlineStr">
        <is>
          <t>Bull case</t>
        </is>
      </c>
    </row>
    <row r="378">
      <c r="C378" s="4" t="inlineStr">
        <is>
          <t>Base case</t>
        </is>
      </c>
    </row>
    <row r="379">
      <c r="C379" s="4" t="inlineStr">
        <is>
          <t>Bear case</t>
        </is>
      </c>
    </row>
    <row r="382">
      <c r="C382" s="4" t="inlineStr">
        <is>
          <t>% Gross Margin</t>
        </is>
      </c>
    </row>
    <row r="383">
      <c r="C383" s="4" t="inlineStr">
        <is>
          <t>Bull case</t>
        </is>
      </c>
    </row>
    <row r="384">
      <c r="C384" s="4" t="inlineStr">
        <is>
          <t>Base case</t>
        </is>
      </c>
    </row>
    <row r="385">
      <c r="C385" s="4" t="inlineStr">
        <is>
          <t>Bear case</t>
        </is>
      </c>
    </row>
    <row r="388">
      <c r="C388" s="4" t="inlineStr">
        <is>
          <t>Capital expenditures</t>
        </is>
      </c>
    </row>
    <row r="389">
      <c r="C389" s="4" t="inlineStr">
        <is>
          <t>Bull case</t>
        </is>
      </c>
    </row>
    <row r="390">
      <c r="C390" s="4" t="inlineStr">
        <is>
          <t>Base case</t>
        </is>
      </c>
    </row>
    <row r="391">
      <c r="C391" s="4" t="inlineStr">
        <is>
          <t>Bear case</t>
        </is>
      </c>
    </row>
  </sheetData>
  <conditionalFormatting sqref="B1:B4 B13:B1048576">
    <cfRule type="expression" priority="25" dxfId="23">
      <formula>B1&lt;&gt;""</formula>
    </cfRule>
  </conditionalFormatting>
  <conditionalFormatting sqref="D1:CY3">
    <cfRule type="cellIs" priority="18" operator="greaterThan" dxfId="22">
      <formula>1</formula>
    </cfRule>
  </conditionalFormatting>
  <conditionalFormatting sqref="E314:G314">
    <cfRule type="cellIs" priority="16" operator="notEqual" dxfId="0">
      <formula>0</formula>
    </cfRule>
  </conditionalFormatting>
  <conditionalFormatting sqref="E5:H5">
    <cfRule type="cellIs" priority="17" operator="greaterThan" dxfId="18">
      <formula>$B$5</formula>
    </cfRule>
  </conditionalFormatting>
  <conditionalFormatting sqref="I314:L314">
    <cfRule type="cellIs" priority="23" operator="notEqual" dxfId="0">
      <formula>0</formula>
    </cfRule>
  </conditionalFormatting>
  <conditionalFormatting sqref="J5:CY5">
    <cfRule type="cellIs" priority="24" operator="greaterThan" dxfId="18">
      <formula>$B$5</formula>
    </cfRule>
  </conditionalFormatting>
  <conditionalFormatting sqref="N314:Q314">
    <cfRule type="cellIs" priority="22" operator="notEqual" dxfId="0">
      <formula>0</formula>
    </cfRule>
  </conditionalFormatting>
  <conditionalFormatting sqref="S314:V314">
    <cfRule type="cellIs" priority="21" operator="notEqual" dxfId="0">
      <formula>0</formula>
    </cfRule>
  </conditionalFormatting>
  <conditionalFormatting sqref="X314:AA314">
    <cfRule type="cellIs" priority="20" operator="notEqual" dxfId="0">
      <formula>0</formula>
    </cfRule>
  </conditionalFormatting>
  <conditionalFormatting sqref="AC314:AF314">
    <cfRule type="cellIs" priority="19" operator="notEqual" dxfId="0">
      <formula>0</formula>
    </cfRule>
  </conditionalFormatting>
  <conditionalFormatting sqref="AH314:AK314">
    <cfRule type="cellIs" priority="15" operator="notEqual" dxfId="0">
      <formula>0</formula>
    </cfRule>
  </conditionalFormatting>
  <conditionalFormatting sqref="AM314:AP314">
    <cfRule type="cellIs" priority="14" operator="notEqual" dxfId="0">
      <formula>0</formula>
    </cfRule>
  </conditionalFormatting>
  <conditionalFormatting sqref="AR314:AU314">
    <cfRule type="cellIs" priority="13" operator="notEqual" dxfId="0">
      <formula>0</formula>
    </cfRule>
  </conditionalFormatting>
  <conditionalFormatting sqref="AW314:AZ314">
    <cfRule type="cellIs" priority="12" operator="notEqual" dxfId="0">
      <formula>0</formula>
    </cfRule>
  </conditionalFormatting>
  <conditionalFormatting sqref="BB314:BE314">
    <cfRule type="cellIs" priority="11" operator="notEqual" dxfId="0">
      <formula>0</formula>
    </cfRule>
  </conditionalFormatting>
  <conditionalFormatting sqref="BG314:BJ314">
    <cfRule type="cellIs" priority="10" operator="notEqual" dxfId="0">
      <formula>0</formula>
    </cfRule>
  </conditionalFormatting>
  <conditionalFormatting sqref="BL314:BO314">
    <cfRule type="cellIs" priority="9" operator="notEqual" dxfId="0">
      <formula>0</formula>
    </cfRule>
  </conditionalFormatting>
  <conditionalFormatting sqref="BQ314:BT314">
    <cfRule type="cellIs" priority="8" operator="notEqual" dxfId="0">
      <formula>0</formula>
    </cfRule>
  </conditionalFormatting>
  <conditionalFormatting sqref="BV314:BY314">
    <cfRule type="cellIs" priority="7" operator="notEqual" dxfId="0">
      <formula>0</formula>
    </cfRule>
  </conditionalFormatting>
  <conditionalFormatting sqref="CA314:CD314">
    <cfRule type="cellIs" priority="6" operator="notEqual" dxfId="0">
      <formula>0</formula>
    </cfRule>
  </conditionalFormatting>
  <conditionalFormatting sqref="CF314:CI314">
    <cfRule type="cellIs" priority="5" operator="notEqual" dxfId="0">
      <formula>0</formula>
    </cfRule>
  </conditionalFormatting>
  <conditionalFormatting sqref="CK314:CN314">
    <cfRule type="cellIs" priority="4" operator="notEqual" dxfId="0">
      <formula>0</formula>
    </cfRule>
  </conditionalFormatting>
  <conditionalFormatting sqref="CP314:CS314">
    <cfRule type="cellIs" priority="3" operator="notEqual" dxfId="0">
      <formula>0</formula>
    </cfRule>
  </conditionalFormatting>
  <conditionalFormatting sqref="CU314:CX314">
    <cfRule type="cellIs" priority="2" operator="notEqual" dxfId="0">
      <formula>0</formula>
    </cfRule>
  </conditionalFormatting>
  <pageMargins left="0.7" right="0.7" top="0.75" bottom="0.75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3:AB102"/>
  <sheetViews>
    <sheetView zoomScaleNormal="100" workbookViewId="0">
      <selection activeCell="A1" sqref="A1"/>
    </sheetView>
  </sheetViews>
  <sheetFormatPr baseColWidth="8" defaultColWidth="10.42578125" defaultRowHeight="12.75"/>
  <cols>
    <col width="2.28515625" customWidth="1" style="283" min="1" max="1"/>
    <col width="4.85546875" customWidth="1" style="283" min="2" max="2"/>
    <col width="62" customWidth="1" style="283" min="3" max="3"/>
    <col width="14.5703125" customWidth="1" style="283" min="4" max="4"/>
    <col width="12.85546875" customWidth="1" style="283" min="5" max="6"/>
    <col width="13.42578125" customWidth="1" style="283" min="7" max="7"/>
    <col width="16" customWidth="1" style="283" min="8" max="8"/>
    <col width="15.5703125" customWidth="1" style="283" min="9" max="9"/>
    <col width="12.85546875" customWidth="1" style="283" min="10" max="12"/>
    <col width="13.28515625" customWidth="1" style="283" min="13" max="13"/>
    <col width="13.140625" customWidth="1" style="283" min="14" max="14"/>
    <col width="13.28515625" customWidth="1" style="283" min="15" max="15"/>
    <col width="12.28515625" customWidth="1" style="283" min="16" max="20"/>
    <col width="13.28515625" customWidth="1" style="283" min="21" max="22"/>
    <col width="10.5703125" customWidth="1" style="283" min="23" max="23"/>
    <col width="13" customWidth="1" style="283" min="24" max="25"/>
    <col width="11.28515625" customWidth="1" style="283" min="26" max="26"/>
    <col width="10.42578125" customWidth="1" style="283" min="27" max="27"/>
    <col width="21.5703125" customWidth="1" style="283" min="28" max="28"/>
    <col width="10.42578125" customWidth="1" style="283" min="29" max="31"/>
    <col width="9.140625" customWidth="1" style="283" min="32" max="32"/>
    <col width="10.42578125" customWidth="1" style="283" min="33" max="261"/>
    <col width="2.28515625" customWidth="1" style="283" min="262" max="263"/>
    <col width="35.42578125" customWidth="1" style="283" min="264" max="264"/>
    <col width="14.7109375" customWidth="1" style="283" min="265" max="265"/>
    <col width="12.85546875" customWidth="1" style="283" min="266" max="268"/>
    <col width="15.5703125" customWidth="1" style="283" min="269" max="269"/>
    <col width="12.85546875" customWidth="1" style="283" min="270" max="273"/>
    <col width="10.42578125" customWidth="1" style="283" min="274" max="275"/>
    <col width="12.28515625" customWidth="1" style="283" min="276" max="276"/>
    <col width="10.42578125" customWidth="1" style="283" min="277" max="517"/>
    <col width="2.28515625" customWidth="1" style="283" min="518" max="519"/>
    <col width="35.42578125" customWidth="1" style="283" min="520" max="520"/>
    <col width="14.7109375" customWidth="1" style="283" min="521" max="521"/>
    <col width="12.85546875" customWidth="1" style="283" min="522" max="524"/>
    <col width="15.5703125" customWidth="1" style="283" min="525" max="525"/>
    <col width="12.85546875" customWidth="1" style="283" min="526" max="529"/>
    <col width="10.42578125" customWidth="1" style="283" min="530" max="531"/>
    <col width="12.28515625" customWidth="1" style="283" min="532" max="532"/>
    <col width="10.42578125" customWidth="1" style="283" min="533" max="773"/>
    <col width="2.28515625" customWidth="1" style="283" min="774" max="775"/>
    <col width="35.42578125" customWidth="1" style="283" min="776" max="776"/>
    <col width="14.7109375" customWidth="1" style="283" min="777" max="777"/>
    <col width="12.85546875" customWidth="1" style="283" min="778" max="780"/>
    <col width="15.5703125" customWidth="1" style="283" min="781" max="781"/>
    <col width="12.85546875" customWidth="1" style="283" min="782" max="785"/>
    <col width="10.42578125" customWidth="1" style="283" min="786" max="787"/>
    <col width="12.28515625" customWidth="1" style="283" min="788" max="788"/>
    <col width="10.42578125" customWidth="1" style="283" min="789" max="1029"/>
    <col width="2.28515625" customWidth="1" style="283" min="1030" max="1031"/>
    <col width="35.42578125" customWidth="1" style="283" min="1032" max="1032"/>
    <col width="14.7109375" customWidth="1" style="283" min="1033" max="1033"/>
    <col width="12.85546875" customWidth="1" style="283" min="1034" max="1036"/>
    <col width="15.5703125" customWidth="1" style="283" min="1037" max="1037"/>
    <col width="12.85546875" customWidth="1" style="283" min="1038" max="1041"/>
    <col width="10.42578125" customWidth="1" style="283" min="1042" max="1043"/>
    <col width="12.28515625" customWidth="1" style="283" min="1044" max="1044"/>
    <col width="10.42578125" customWidth="1" style="283" min="1045" max="1285"/>
    <col width="2.28515625" customWidth="1" style="283" min="1286" max="1287"/>
    <col width="35.42578125" customWidth="1" style="283" min="1288" max="1288"/>
    <col width="14.7109375" customWidth="1" style="283" min="1289" max="1289"/>
    <col width="12.85546875" customWidth="1" style="283" min="1290" max="1292"/>
    <col width="15.5703125" customWidth="1" style="283" min="1293" max="1293"/>
    <col width="12.85546875" customWidth="1" style="283" min="1294" max="1297"/>
    <col width="10.42578125" customWidth="1" style="283" min="1298" max="1299"/>
    <col width="12.28515625" customWidth="1" style="283" min="1300" max="1300"/>
    <col width="10.42578125" customWidth="1" style="283" min="1301" max="1541"/>
    <col width="2.28515625" customWidth="1" style="283" min="1542" max="1543"/>
    <col width="35.42578125" customWidth="1" style="283" min="1544" max="1544"/>
    <col width="14.7109375" customWidth="1" style="283" min="1545" max="1545"/>
    <col width="12.85546875" customWidth="1" style="283" min="1546" max="1548"/>
    <col width="15.5703125" customWidth="1" style="283" min="1549" max="1549"/>
    <col width="12.85546875" customWidth="1" style="283" min="1550" max="1553"/>
    <col width="10.42578125" customWidth="1" style="283" min="1554" max="1555"/>
    <col width="12.28515625" customWidth="1" style="283" min="1556" max="1556"/>
    <col width="10.42578125" customWidth="1" style="283" min="1557" max="1797"/>
    <col width="2.28515625" customWidth="1" style="283" min="1798" max="1799"/>
    <col width="35.42578125" customWidth="1" style="283" min="1800" max="1800"/>
    <col width="14.7109375" customWidth="1" style="283" min="1801" max="1801"/>
    <col width="12.85546875" customWidth="1" style="283" min="1802" max="1804"/>
    <col width="15.5703125" customWidth="1" style="283" min="1805" max="1805"/>
    <col width="12.85546875" customWidth="1" style="283" min="1806" max="1809"/>
    <col width="10.42578125" customWidth="1" style="283" min="1810" max="1811"/>
    <col width="12.28515625" customWidth="1" style="283" min="1812" max="1812"/>
    <col width="10.42578125" customWidth="1" style="283" min="1813" max="2053"/>
    <col width="2.28515625" customWidth="1" style="283" min="2054" max="2055"/>
    <col width="35.42578125" customWidth="1" style="283" min="2056" max="2056"/>
    <col width="14.7109375" customWidth="1" style="283" min="2057" max="2057"/>
    <col width="12.85546875" customWidth="1" style="283" min="2058" max="2060"/>
    <col width="15.5703125" customWidth="1" style="283" min="2061" max="2061"/>
    <col width="12.85546875" customWidth="1" style="283" min="2062" max="2065"/>
    <col width="10.42578125" customWidth="1" style="283" min="2066" max="2067"/>
    <col width="12.28515625" customWidth="1" style="283" min="2068" max="2068"/>
    <col width="10.42578125" customWidth="1" style="283" min="2069" max="2309"/>
    <col width="2.28515625" customWidth="1" style="283" min="2310" max="2311"/>
    <col width="35.42578125" customWidth="1" style="283" min="2312" max="2312"/>
    <col width="14.7109375" customWidth="1" style="283" min="2313" max="2313"/>
    <col width="12.85546875" customWidth="1" style="283" min="2314" max="2316"/>
    <col width="15.5703125" customWidth="1" style="283" min="2317" max="2317"/>
    <col width="12.85546875" customWidth="1" style="283" min="2318" max="2321"/>
    <col width="10.42578125" customWidth="1" style="283" min="2322" max="2323"/>
    <col width="12.28515625" customWidth="1" style="283" min="2324" max="2324"/>
    <col width="10.42578125" customWidth="1" style="283" min="2325" max="2565"/>
    <col width="2.28515625" customWidth="1" style="283" min="2566" max="2567"/>
    <col width="35.42578125" customWidth="1" style="283" min="2568" max="2568"/>
    <col width="14.7109375" customWidth="1" style="283" min="2569" max="2569"/>
    <col width="12.85546875" customWidth="1" style="283" min="2570" max="2572"/>
    <col width="15.5703125" customWidth="1" style="283" min="2573" max="2573"/>
    <col width="12.85546875" customWidth="1" style="283" min="2574" max="2577"/>
    <col width="10.42578125" customWidth="1" style="283" min="2578" max="2579"/>
    <col width="12.28515625" customWidth="1" style="283" min="2580" max="2580"/>
    <col width="10.42578125" customWidth="1" style="283" min="2581" max="2821"/>
    <col width="2.28515625" customWidth="1" style="283" min="2822" max="2823"/>
    <col width="35.42578125" customWidth="1" style="283" min="2824" max="2824"/>
    <col width="14.7109375" customWidth="1" style="283" min="2825" max="2825"/>
    <col width="12.85546875" customWidth="1" style="283" min="2826" max="2828"/>
    <col width="15.5703125" customWidth="1" style="283" min="2829" max="2829"/>
    <col width="12.85546875" customWidth="1" style="283" min="2830" max="2833"/>
    <col width="10.42578125" customWidth="1" style="283" min="2834" max="2835"/>
    <col width="12.28515625" customWidth="1" style="283" min="2836" max="2836"/>
    <col width="10.42578125" customWidth="1" style="283" min="2837" max="3077"/>
    <col width="2.28515625" customWidth="1" style="283" min="3078" max="3079"/>
    <col width="35.42578125" customWidth="1" style="283" min="3080" max="3080"/>
    <col width="14.7109375" customWidth="1" style="283" min="3081" max="3081"/>
    <col width="12.85546875" customWidth="1" style="283" min="3082" max="3084"/>
    <col width="15.5703125" customWidth="1" style="283" min="3085" max="3085"/>
    <col width="12.85546875" customWidth="1" style="283" min="3086" max="3089"/>
    <col width="10.42578125" customWidth="1" style="283" min="3090" max="3091"/>
    <col width="12.28515625" customWidth="1" style="283" min="3092" max="3092"/>
    <col width="10.42578125" customWidth="1" style="283" min="3093" max="3333"/>
    <col width="2.28515625" customWidth="1" style="283" min="3334" max="3335"/>
    <col width="35.42578125" customWidth="1" style="283" min="3336" max="3336"/>
    <col width="14.7109375" customWidth="1" style="283" min="3337" max="3337"/>
    <col width="12.85546875" customWidth="1" style="283" min="3338" max="3340"/>
    <col width="15.5703125" customWidth="1" style="283" min="3341" max="3341"/>
    <col width="12.85546875" customWidth="1" style="283" min="3342" max="3345"/>
    <col width="10.42578125" customWidth="1" style="283" min="3346" max="3347"/>
    <col width="12.28515625" customWidth="1" style="283" min="3348" max="3348"/>
    <col width="10.42578125" customWidth="1" style="283" min="3349" max="3589"/>
    <col width="2.28515625" customWidth="1" style="283" min="3590" max="3591"/>
    <col width="35.42578125" customWidth="1" style="283" min="3592" max="3592"/>
    <col width="14.7109375" customWidth="1" style="283" min="3593" max="3593"/>
    <col width="12.85546875" customWidth="1" style="283" min="3594" max="3596"/>
    <col width="15.5703125" customWidth="1" style="283" min="3597" max="3597"/>
    <col width="12.85546875" customWidth="1" style="283" min="3598" max="3601"/>
    <col width="10.42578125" customWidth="1" style="283" min="3602" max="3603"/>
    <col width="12.28515625" customWidth="1" style="283" min="3604" max="3604"/>
    <col width="10.42578125" customWidth="1" style="283" min="3605" max="3845"/>
    <col width="2.28515625" customWidth="1" style="283" min="3846" max="3847"/>
    <col width="35.42578125" customWidth="1" style="283" min="3848" max="3848"/>
    <col width="14.7109375" customWidth="1" style="283" min="3849" max="3849"/>
    <col width="12.85546875" customWidth="1" style="283" min="3850" max="3852"/>
    <col width="15.5703125" customWidth="1" style="283" min="3853" max="3853"/>
    <col width="12.85546875" customWidth="1" style="283" min="3854" max="3857"/>
    <col width="10.42578125" customWidth="1" style="283" min="3858" max="3859"/>
    <col width="12.28515625" customWidth="1" style="283" min="3860" max="3860"/>
    <col width="10.42578125" customWidth="1" style="283" min="3861" max="4101"/>
    <col width="2.28515625" customWidth="1" style="283" min="4102" max="4103"/>
    <col width="35.42578125" customWidth="1" style="283" min="4104" max="4104"/>
    <col width="14.7109375" customWidth="1" style="283" min="4105" max="4105"/>
    <col width="12.85546875" customWidth="1" style="283" min="4106" max="4108"/>
    <col width="15.5703125" customWidth="1" style="283" min="4109" max="4109"/>
    <col width="12.85546875" customWidth="1" style="283" min="4110" max="4113"/>
    <col width="10.42578125" customWidth="1" style="283" min="4114" max="4115"/>
    <col width="12.28515625" customWidth="1" style="283" min="4116" max="4116"/>
    <col width="10.42578125" customWidth="1" style="283" min="4117" max="4357"/>
    <col width="2.28515625" customWidth="1" style="283" min="4358" max="4359"/>
    <col width="35.42578125" customWidth="1" style="283" min="4360" max="4360"/>
    <col width="14.7109375" customWidth="1" style="283" min="4361" max="4361"/>
    <col width="12.85546875" customWidth="1" style="283" min="4362" max="4364"/>
    <col width="15.5703125" customWidth="1" style="283" min="4365" max="4365"/>
    <col width="12.85546875" customWidth="1" style="283" min="4366" max="4369"/>
    <col width="10.42578125" customWidth="1" style="283" min="4370" max="4371"/>
    <col width="12.28515625" customWidth="1" style="283" min="4372" max="4372"/>
    <col width="10.42578125" customWidth="1" style="283" min="4373" max="4613"/>
    <col width="2.28515625" customWidth="1" style="283" min="4614" max="4615"/>
    <col width="35.42578125" customWidth="1" style="283" min="4616" max="4616"/>
    <col width="14.7109375" customWidth="1" style="283" min="4617" max="4617"/>
    <col width="12.85546875" customWidth="1" style="283" min="4618" max="4620"/>
    <col width="15.5703125" customWidth="1" style="283" min="4621" max="4621"/>
    <col width="12.85546875" customWidth="1" style="283" min="4622" max="4625"/>
    <col width="10.42578125" customWidth="1" style="283" min="4626" max="4627"/>
    <col width="12.28515625" customWidth="1" style="283" min="4628" max="4628"/>
    <col width="10.42578125" customWidth="1" style="283" min="4629" max="4869"/>
    <col width="2.28515625" customWidth="1" style="283" min="4870" max="4871"/>
    <col width="35.42578125" customWidth="1" style="283" min="4872" max="4872"/>
    <col width="14.7109375" customWidth="1" style="283" min="4873" max="4873"/>
    <col width="12.85546875" customWidth="1" style="283" min="4874" max="4876"/>
    <col width="15.5703125" customWidth="1" style="283" min="4877" max="4877"/>
    <col width="12.85546875" customWidth="1" style="283" min="4878" max="4881"/>
    <col width="10.42578125" customWidth="1" style="283" min="4882" max="4883"/>
    <col width="12.28515625" customWidth="1" style="283" min="4884" max="4884"/>
    <col width="10.42578125" customWidth="1" style="283" min="4885" max="5125"/>
    <col width="2.28515625" customWidth="1" style="283" min="5126" max="5127"/>
    <col width="35.42578125" customWidth="1" style="283" min="5128" max="5128"/>
    <col width="14.7109375" customWidth="1" style="283" min="5129" max="5129"/>
    <col width="12.85546875" customWidth="1" style="283" min="5130" max="5132"/>
    <col width="15.5703125" customWidth="1" style="283" min="5133" max="5133"/>
    <col width="12.85546875" customWidth="1" style="283" min="5134" max="5137"/>
    <col width="10.42578125" customWidth="1" style="283" min="5138" max="5139"/>
    <col width="12.28515625" customWidth="1" style="283" min="5140" max="5140"/>
    <col width="10.42578125" customWidth="1" style="283" min="5141" max="5381"/>
    <col width="2.28515625" customWidth="1" style="283" min="5382" max="5383"/>
    <col width="35.42578125" customWidth="1" style="283" min="5384" max="5384"/>
    <col width="14.7109375" customWidth="1" style="283" min="5385" max="5385"/>
    <col width="12.85546875" customWidth="1" style="283" min="5386" max="5388"/>
    <col width="15.5703125" customWidth="1" style="283" min="5389" max="5389"/>
    <col width="12.85546875" customWidth="1" style="283" min="5390" max="5393"/>
    <col width="10.42578125" customWidth="1" style="283" min="5394" max="5395"/>
    <col width="12.28515625" customWidth="1" style="283" min="5396" max="5396"/>
    <col width="10.42578125" customWidth="1" style="283" min="5397" max="5637"/>
    <col width="2.28515625" customWidth="1" style="283" min="5638" max="5639"/>
    <col width="35.42578125" customWidth="1" style="283" min="5640" max="5640"/>
    <col width="14.7109375" customWidth="1" style="283" min="5641" max="5641"/>
    <col width="12.85546875" customWidth="1" style="283" min="5642" max="5644"/>
    <col width="15.5703125" customWidth="1" style="283" min="5645" max="5645"/>
    <col width="12.85546875" customWidth="1" style="283" min="5646" max="5649"/>
    <col width="10.42578125" customWidth="1" style="283" min="5650" max="5651"/>
    <col width="12.28515625" customWidth="1" style="283" min="5652" max="5652"/>
    <col width="10.42578125" customWidth="1" style="283" min="5653" max="5893"/>
    <col width="2.28515625" customWidth="1" style="283" min="5894" max="5895"/>
    <col width="35.42578125" customWidth="1" style="283" min="5896" max="5896"/>
    <col width="14.7109375" customWidth="1" style="283" min="5897" max="5897"/>
    <col width="12.85546875" customWidth="1" style="283" min="5898" max="5900"/>
    <col width="15.5703125" customWidth="1" style="283" min="5901" max="5901"/>
    <col width="12.85546875" customWidth="1" style="283" min="5902" max="5905"/>
    <col width="10.42578125" customWidth="1" style="283" min="5906" max="5907"/>
    <col width="12.28515625" customWidth="1" style="283" min="5908" max="5908"/>
    <col width="10.42578125" customWidth="1" style="283" min="5909" max="6149"/>
    <col width="2.28515625" customWidth="1" style="283" min="6150" max="6151"/>
    <col width="35.42578125" customWidth="1" style="283" min="6152" max="6152"/>
    <col width="14.7109375" customWidth="1" style="283" min="6153" max="6153"/>
    <col width="12.85546875" customWidth="1" style="283" min="6154" max="6156"/>
    <col width="15.5703125" customWidth="1" style="283" min="6157" max="6157"/>
    <col width="12.85546875" customWidth="1" style="283" min="6158" max="6161"/>
    <col width="10.42578125" customWidth="1" style="283" min="6162" max="6163"/>
    <col width="12.28515625" customWidth="1" style="283" min="6164" max="6164"/>
    <col width="10.42578125" customWidth="1" style="283" min="6165" max="6405"/>
    <col width="2.28515625" customWidth="1" style="283" min="6406" max="6407"/>
    <col width="35.42578125" customWidth="1" style="283" min="6408" max="6408"/>
    <col width="14.7109375" customWidth="1" style="283" min="6409" max="6409"/>
    <col width="12.85546875" customWidth="1" style="283" min="6410" max="6412"/>
    <col width="15.5703125" customWidth="1" style="283" min="6413" max="6413"/>
    <col width="12.85546875" customWidth="1" style="283" min="6414" max="6417"/>
    <col width="10.42578125" customWidth="1" style="283" min="6418" max="6419"/>
    <col width="12.28515625" customWidth="1" style="283" min="6420" max="6420"/>
    <col width="10.42578125" customWidth="1" style="283" min="6421" max="6661"/>
    <col width="2.28515625" customWidth="1" style="283" min="6662" max="6663"/>
    <col width="35.42578125" customWidth="1" style="283" min="6664" max="6664"/>
    <col width="14.7109375" customWidth="1" style="283" min="6665" max="6665"/>
    <col width="12.85546875" customWidth="1" style="283" min="6666" max="6668"/>
    <col width="15.5703125" customWidth="1" style="283" min="6669" max="6669"/>
    <col width="12.85546875" customWidth="1" style="283" min="6670" max="6673"/>
    <col width="10.42578125" customWidth="1" style="283" min="6674" max="6675"/>
    <col width="12.28515625" customWidth="1" style="283" min="6676" max="6676"/>
    <col width="10.42578125" customWidth="1" style="283" min="6677" max="6917"/>
    <col width="2.28515625" customWidth="1" style="283" min="6918" max="6919"/>
    <col width="35.42578125" customWidth="1" style="283" min="6920" max="6920"/>
    <col width="14.7109375" customWidth="1" style="283" min="6921" max="6921"/>
    <col width="12.85546875" customWidth="1" style="283" min="6922" max="6924"/>
    <col width="15.5703125" customWidth="1" style="283" min="6925" max="6925"/>
    <col width="12.85546875" customWidth="1" style="283" min="6926" max="6929"/>
    <col width="10.42578125" customWidth="1" style="283" min="6930" max="6931"/>
    <col width="12.28515625" customWidth="1" style="283" min="6932" max="6932"/>
    <col width="10.42578125" customWidth="1" style="283" min="6933" max="7173"/>
    <col width="2.28515625" customWidth="1" style="283" min="7174" max="7175"/>
    <col width="35.42578125" customWidth="1" style="283" min="7176" max="7176"/>
    <col width="14.7109375" customWidth="1" style="283" min="7177" max="7177"/>
    <col width="12.85546875" customWidth="1" style="283" min="7178" max="7180"/>
    <col width="15.5703125" customWidth="1" style="283" min="7181" max="7181"/>
    <col width="12.85546875" customWidth="1" style="283" min="7182" max="7185"/>
    <col width="10.42578125" customWidth="1" style="283" min="7186" max="7187"/>
    <col width="12.28515625" customWidth="1" style="283" min="7188" max="7188"/>
    <col width="10.42578125" customWidth="1" style="283" min="7189" max="7429"/>
    <col width="2.28515625" customWidth="1" style="283" min="7430" max="7431"/>
    <col width="35.42578125" customWidth="1" style="283" min="7432" max="7432"/>
    <col width="14.7109375" customWidth="1" style="283" min="7433" max="7433"/>
    <col width="12.85546875" customWidth="1" style="283" min="7434" max="7436"/>
    <col width="15.5703125" customWidth="1" style="283" min="7437" max="7437"/>
    <col width="12.85546875" customWidth="1" style="283" min="7438" max="7441"/>
    <col width="10.42578125" customWidth="1" style="283" min="7442" max="7443"/>
    <col width="12.28515625" customWidth="1" style="283" min="7444" max="7444"/>
    <col width="10.42578125" customWidth="1" style="283" min="7445" max="7685"/>
    <col width="2.28515625" customWidth="1" style="283" min="7686" max="7687"/>
    <col width="35.42578125" customWidth="1" style="283" min="7688" max="7688"/>
    <col width="14.7109375" customWidth="1" style="283" min="7689" max="7689"/>
    <col width="12.85546875" customWidth="1" style="283" min="7690" max="7692"/>
    <col width="15.5703125" customWidth="1" style="283" min="7693" max="7693"/>
    <col width="12.85546875" customWidth="1" style="283" min="7694" max="7697"/>
    <col width="10.42578125" customWidth="1" style="283" min="7698" max="7699"/>
    <col width="12.28515625" customWidth="1" style="283" min="7700" max="7700"/>
    <col width="10.42578125" customWidth="1" style="283" min="7701" max="7941"/>
    <col width="2.28515625" customWidth="1" style="283" min="7942" max="7943"/>
    <col width="35.42578125" customWidth="1" style="283" min="7944" max="7944"/>
    <col width="14.7109375" customWidth="1" style="283" min="7945" max="7945"/>
    <col width="12.85546875" customWidth="1" style="283" min="7946" max="7948"/>
    <col width="15.5703125" customWidth="1" style="283" min="7949" max="7949"/>
    <col width="12.85546875" customWidth="1" style="283" min="7950" max="7953"/>
    <col width="10.42578125" customWidth="1" style="283" min="7954" max="7955"/>
    <col width="12.28515625" customWidth="1" style="283" min="7956" max="7956"/>
    <col width="10.42578125" customWidth="1" style="283" min="7957" max="8197"/>
    <col width="2.28515625" customWidth="1" style="283" min="8198" max="8199"/>
    <col width="35.42578125" customWidth="1" style="283" min="8200" max="8200"/>
    <col width="14.7109375" customWidth="1" style="283" min="8201" max="8201"/>
    <col width="12.85546875" customWidth="1" style="283" min="8202" max="8204"/>
    <col width="15.5703125" customWidth="1" style="283" min="8205" max="8205"/>
    <col width="12.85546875" customWidth="1" style="283" min="8206" max="8209"/>
    <col width="10.42578125" customWidth="1" style="283" min="8210" max="8211"/>
    <col width="12.28515625" customWidth="1" style="283" min="8212" max="8212"/>
    <col width="10.42578125" customWidth="1" style="283" min="8213" max="8453"/>
    <col width="2.28515625" customWidth="1" style="283" min="8454" max="8455"/>
    <col width="35.42578125" customWidth="1" style="283" min="8456" max="8456"/>
    <col width="14.7109375" customWidth="1" style="283" min="8457" max="8457"/>
    <col width="12.85546875" customWidth="1" style="283" min="8458" max="8460"/>
    <col width="15.5703125" customWidth="1" style="283" min="8461" max="8461"/>
    <col width="12.85546875" customWidth="1" style="283" min="8462" max="8465"/>
    <col width="10.42578125" customWidth="1" style="283" min="8466" max="8467"/>
    <col width="12.28515625" customWidth="1" style="283" min="8468" max="8468"/>
    <col width="10.42578125" customWidth="1" style="283" min="8469" max="8709"/>
    <col width="2.28515625" customWidth="1" style="283" min="8710" max="8711"/>
    <col width="35.42578125" customWidth="1" style="283" min="8712" max="8712"/>
    <col width="14.7109375" customWidth="1" style="283" min="8713" max="8713"/>
    <col width="12.85546875" customWidth="1" style="283" min="8714" max="8716"/>
    <col width="15.5703125" customWidth="1" style="283" min="8717" max="8717"/>
    <col width="12.85546875" customWidth="1" style="283" min="8718" max="8721"/>
    <col width="10.42578125" customWidth="1" style="283" min="8722" max="8723"/>
    <col width="12.28515625" customWidth="1" style="283" min="8724" max="8724"/>
    <col width="10.42578125" customWidth="1" style="283" min="8725" max="8965"/>
    <col width="2.28515625" customWidth="1" style="283" min="8966" max="8967"/>
    <col width="35.42578125" customWidth="1" style="283" min="8968" max="8968"/>
    <col width="14.7109375" customWidth="1" style="283" min="8969" max="8969"/>
    <col width="12.85546875" customWidth="1" style="283" min="8970" max="8972"/>
    <col width="15.5703125" customWidth="1" style="283" min="8973" max="8973"/>
    <col width="12.85546875" customWidth="1" style="283" min="8974" max="8977"/>
    <col width="10.42578125" customWidth="1" style="283" min="8978" max="8979"/>
    <col width="12.28515625" customWidth="1" style="283" min="8980" max="8980"/>
    <col width="10.42578125" customWidth="1" style="283" min="8981" max="9221"/>
    <col width="2.28515625" customWidth="1" style="283" min="9222" max="9223"/>
    <col width="35.42578125" customWidth="1" style="283" min="9224" max="9224"/>
    <col width="14.7109375" customWidth="1" style="283" min="9225" max="9225"/>
    <col width="12.85546875" customWidth="1" style="283" min="9226" max="9228"/>
    <col width="15.5703125" customWidth="1" style="283" min="9229" max="9229"/>
    <col width="12.85546875" customWidth="1" style="283" min="9230" max="9233"/>
    <col width="10.42578125" customWidth="1" style="283" min="9234" max="9235"/>
    <col width="12.28515625" customWidth="1" style="283" min="9236" max="9236"/>
    <col width="10.42578125" customWidth="1" style="283" min="9237" max="9477"/>
    <col width="2.28515625" customWidth="1" style="283" min="9478" max="9479"/>
    <col width="35.42578125" customWidth="1" style="283" min="9480" max="9480"/>
    <col width="14.7109375" customWidth="1" style="283" min="9481" max="9481"/>
    <col width="12.85546875" customWidth="1" style="283" min="9482" max="9484"/>
    <col width="15.5703125" customWidth="1" style="283" min="9485" max="9485"/>
    <col width="12.85546875" customWidth="1" style="283" min="9486" max="9489"/>
    <col width="10.42578125" customWidth="1" style="283" min="9490" max="9491"/>
    <col width="12.28515625" customWidth="1" style="283" min="9492" max="9492"/>
    <col width="10.42578125" customWidth="1" style="283" min="9493" max="9733"/>
    <col width="2.28515625" customWidth="1" style="283" min="9734" max="9735"/>
    <col width="35.42578125" customWidth="1" style="283" min="9736" max="9736"/>
    <col width="14.7109375" customWidth="1" style="283" min="9737" max="9737"/>
    <col width="12.85546875" customWidth="1" style="283" min="9738" max="9740"/>
    <col width="15.5703125" customWidth="1" style="283" min="9741" max="9741"/>
    <col width="12.85546875" customWidth="1" style="283" min="9742" max="9745"/>
    <col width="10.42578125" customWidth="1" style="283" min="9746" max="9747"/>
    <col width="12.28515625" customWidth="1" style="283" min="9748" max="9748"/>
    <col width="10.42578125" customWidth="1" style="283" min="9749" max="9989"/>
    <col width="2.28515625" customWidth="1" style="283" min="9990" max="9991"/>
    <col width="35.42578125" customWidth="1" style="283" min="9992" max="9992"/>
    <col width="14.7109375" customWidth="1" style="283" min="9993" max="9993"/>
    <col width="12.85546875" customWidth="1" style="283" min="9994" max="9996"/>
    <col width="15.5703125" customWidth="1" style="283" min="9997" max="9997"/>
    <col width="12.85546875" customWidth="1" style="283" min="9998" max="10001"/>
    <col width="10.42578125" customWidth="1" style="283" min="10002" max="10003"/>
    <col width="12.28515625" customWidth="1" style="283" min="10004" max="10004"/>
    <col width="10.42578125" customWidth="1" style="283" min="10005" max="10245"/>
    <col width="2.28515625" customWidth="1" style="283" min="10246" max="10247"/>
    <col width="35.42578125" customWidth="1" style="283" min="10248" max="10248"/>
    <col width="14.7109375" customWidth="1" style="283" min="10249" max="10249"/>
    <col width="12.85546875" customWidth="1" style="283" min="10250" max="10252"/>
    <col width="15.5703125" customWidth="1" style="283" min="10253" max="10253"/>
    <col width="12.85546875" customWidth="1" style="283" min="10254" max="10257"/>
    <col width="10.42578125" customWidth="1" style="283" min="10258" max="10259"/>
    <col width="12.28515625" customWidth="1" style="283" min="10260" max="10260"/>
    <col width="10.42578125" customWidth="1" style="283" min="10261" max="10501"/>
    <col width="2.28515625" customWidth="1" style="283" min="10502" max="10503"/>
    <col width="35.42578125" customWidth="1" style="283" min="10504" max="10504"/>
    <col width="14.7109375" customWidth="1" style="283" min="10505" max="10505"/>
    <col width="12.85546875" customWidth="1" style="283" min="10506" max="10508"/>
    <col width="15.5703125" customWidth="1" style="283" min="10509" max="10509"/>
    <col width="12.85546875" customWidth="1" style="283" min="10510" max="10513"/>
    <col width="10.42578125" customWidth="1" style="283" min="10514" max="10515"/>
    <col width="12.28515625" customWidth="1" style="283" min="10516" max="10516"/>
    <col width="10.42578125" customWidth="1" style="283" min="10517" max="10757"/>
    <col width="2.28515625" customWidth="1" style="283" min="10758" max="10759"/>
    <col width="35.42578125" customWidth="1" style="283" min="10760" max="10760"/>
    <col width="14.7109375" customWidth="1" style="283" min="10761" max="10761"/>
    <col width="12.85546875" customWidth="1" style="283" min="10762" max="10764"/>
    <col width="15.5703125" customWidth="1" style="283" min="10765" max="10765"/>
    <col width="12.85546875" customWidth="1" style="283" min="10766" max="10769"/>
    <col width="10.42578125" customWidth="1" style="283" min="10770" max="10771"/>
    <col width="12.28515625" customWidth="1" style="283" min="10772" max="10772"/>
    <col width="10.42578125" customWidth="1" style="283" min="10773" max="11013"/>
    <col width="2.28515625" customWidth="1" style="283" min="11014" max="11015"/>
    <col width="35.42578125" customWidth="1" style="283" min="11016" max="11016"/>
    <col width="14.7109375" customWidth="1" style="283" min="11017" max="11017"/>
    <col width="12.85546875" customWidth="1" style="283" min="11018" max="11020"/>
    <col width="15.5703125" customWidth="1" style="283" min="11021" max="11021"/>
    <col width="12.85546875" customWidth="1" style="283" min="11022" max="11025"/>
    <col width="10.42578125" customWidth="1" style="283" min="11026" max="11027"/>
    <col width="12.28515625" customWidth="1" style="283" min="11028" max="11028"/>
    <col width="10.42578125" customWidth="1" style="283" min="11029" max="11269"/>
    <col width="2.28515625" customWidth="1" style="283" min="11270" max="11271"/>
    <col width="35.42578125" customWidth="1" style="283" min="11272" max="11272"/>
    <col width="14.7109375" customWidth="1" style="283" min="11273" max="11273"/>
    <col width="12.85546875" customWidth="1" style="283" min="11274" max="11276"/>
    <col width="15.5703125" customWidth="1" style="283" min="11277" max="11277"/>
    <col width="12.85546875" customWidth="1" style="283" min="11278" max="11281"/>
    <col width="10.42578125" customWidth="1" style="283" min="11282" max="11283"/>
    <col width="12.28515625" customWidth="1" style="283" min="11284" max="11284"/>
    <col width="10.42578125" customWidth="1" style="283" min="11285" max="11525"/>
    <col width="2.28515625" customWidth="1" style="283" min="11526" max="11527"/>
    <col width="35.42578125" customWidth="1" style="283" min="11528" max="11528"/>
    <col width="14.7109375" customWidth="1" style="283" min="11529" max="11529"/>
    <col width="12.85546875" customWidth="1" style="283" min="11530" max="11532"/>
    <col width="15.5703125" customWidth="1" style="283" min="11533" max="11533"/>
    <col width="12.85546875" customWidth="1" style="283" min="11534" max="11537"/>
    <col width="10.42578125" customWidth="1" style="283" min="11538" max="11539"/>
    <col width="12.28515625" customWidth="1" style="283" min="11540" max="11540"/>
    <col width="10.42578125" customWidth="1" style="283" min="11541" max="11781"/>
    <col width="2.28515625" customWidth="1" style="283" min="11782" max="11783"/>
    <col width="35.42578125" customWidth="1" style="283" min="11784" max="11784"/>
    <col width="14.7109375" customWidth="1" style="283" min="11785" max="11785"/>
    <col width="12.85546875" customWidth="1" style="283" min="11786" max="11788"/>
    <col width="15.5703125" customWidth="1" style="283" min="11789" max="11789"/>
    <col width="12.85546875" customWidth="1" style="283" min="11790" max="11793"/>
    <col width="10.42578125" customWidth="1" style="283" min="11794" max="11795"/>
    <col width="12.28515625" customWidth="1" style="283" min="11796" max="11796"/>
    <col width="10.42578125" customWidth="1" style="283" min="11797" max="12037"/>
    <col width="2.28515625" customWidth="1" style="283" min="12038" max="12039"/>
    <col width="35.42578125" customWidth="1" style="283" min="12040" max="12040"/>
    <col width="14.7109375" customWidth="1" style="283" min="12041" max="12041"/>
    <col width="12.85546875" customWidth="1" style="283" min="12042" max="12044"/>
    <col width="15.5703125" customWidth="1" style="283" min="12045" max="12045"/>
    <col width="12.85546875" customWidth="1" style="283" min="12046" max="12049"/>
    <col width="10.42578125" customWidth="1" style="283" min="12050" max="12051"/>
    <col width="12.28515625" customWidth="1" style="283" min="12052" max="12052"/>
    <col width="10.42578125" customWidth="1" style="283" min="12053" max="12293"/>
    <col width="2.28515625" customWidth="1" style="283" min="12294" max="12295"/>
    <col width="35.42578125" customWidth="1" style="283" min="12296" max="12296"/>
    <col width="14.7109375" customWidth="1" style="283" min="12297" max="12297"/>
    <col width="12.85546875" customWidth="1" style="283" min="12298" max="12300"/>
    <col width="15.5703125" customWidth="1" style="283" min="12301" max="12301"/>
    <col width="12.85546875" customWidth="1" style="283" min="12302" max="12305"/>
    <col width="10.42578125" customWidth="1" style="283" min="12306" max="12307"/>
    <col width="12.28515625" customWidth="1" style="283" min="12308" max="12308"/>
    <col width="10.42578125" customWidth="1" style="283" min="12309" max="12549"/>
    <col width="2.28515625" customWidth="1" style="283" min="12550" max="12551"/>
    <col width="35.42578125" customWidth="1" style="283" min="12552" max="12552"/>
    <col width="14.7109375" customWidth="1" style="283" min="12553" max="12553"/>
    <col width="12.85546875" customWidth="1" style="283" min="12554" max="12556"/>
    <col width="15.5703125" customWidth="1" style="283" min="12557" max="12557"/>
    <col width="12.85546875" customWidth="1" style="283" min="12558" max="12561"/>
    <col width="10.42578125" customWidth="1" style="283" min="12562" max="12563"/>
    <col width="12.28515625" customWidth="1" style="283" min="12564" max="12564"/>
    <col width="10.42578125" customWidth="1" style="283" min="12565" max="12805"/>
    <col width="2.28515625" customWidth="1" style="283" min="12806" max="12807"/>
    <col width="35.42578125" customWidth="1" style="283" min="12808" max="12808"/>
    <col width="14.7109375" customWidth="1" style="283" min="12809" max="12809"/>
    <col width="12.85546875" customWidth="1" style="283" min="12810" max="12812"/>
    <col width="15.5703125" customWidth="1" style="283" min="12813" max="12813"/>
    <col width="12.85546875" customWidth="1" style="283" min="12814" max="12817"/>
    <col width="10.42578125" customWidth="1" style="283" min="12818" max="12819"/>
    <col width="12.28515625" customWidth="1" style="283" min="12820" max="12820"/>
    <col width="10.42578125" customWidth="1" style="283" min="12821" max="13061"/>
    <col width="2.28515625" customWidth="1" style="283" min="13062" max="13063"/>
    <col width="35.42578125" customWidth="1" style="283" min="13064" max="13064"/>
    <col width="14.7109375" customWidth="1" style="283" min="13065" max="13065"/>
    <col width="12.85546875" customWidth="1" style="283" min="13066" max="13068"/>
    <col width="15.5703125" customWidth="1" style="283" min="13069" max="13069"/>
    <col width="12.85546875" customWidth="1" style="283" min="13070" max="13073"/>
    <col width="10.42578125" customWidth="1" style="283" min="13074" max="13075"/>
    <col width="12.28515625" customWidth="1" style="283" min="13076" max="13076"/>
    <col width="10.42578125" customWidth="1" style="283" min="13077" max="13317"/>
    <col width="2.28515625" customWidth="1" style="283" min="13318" max="13319"/>
    <col width="35.42578125" customWidth="1" style="283" min="13320" max="13320"/>
    <col width="14.7109375" customWidth="1" style="283" min="13321" max="13321"/>
    <col width="12.85546875" customWidth="1" style="283" min="13322" max="13324"/>
    <col width="15.5703125" customWidth="1" style="283" min="13325" max="13325"/>
    <col width="12.85546875" customWidth="1" style="283" min="13326" max="13329"/>
    <col width="10.42578125" customWidth="1" style="283" min="13330" max="13331"/>
    <col width="12.28515625" customWidth="1" style="283" min="13332" max="13332"/>
    <col width="10.42578125" customWidth="1" style="283" min="13333" max="13573"/>
    <col width="2.28515625" customWidth="1" style="283" min="13574" max="13575"/>
    <col width="35.42578125" customWidth="1" style="283" min="13576" max="13576"/>
    <col width="14.7109375" customWidth="1" style="283" min="13577" max="13577"/>
    <col width="12.85546875" customWidth="1" style="283" min="13578" max="13580"/>
    <col width="15.5703125" customWidth="1" style="283" min="13581" max="13581"/>
    <col width="12.85546875" customWidth="1" style="283" min="13582" max="13585"/>
    <col width="10.42578125" customWidth="1" style="283" min="13586" max="13587"/>
    <col width="12.28515625" customWidth="1" style="283" min="13588" max="13588"/>
    <col width="10.42578125" customWidth="1" style="283" min="13589" max="13829"/>
    <col width="2.28515625" customWidth="1" style="283" min="13830" max="13831"/>
    <col width="35.42578125" customWidth="1" style="283" min="13832" max="13832"/>
    <col width="14.7109375" customWidth="1" style="283" min="13833" max="13833"/>
    <col width="12.85546875" customWidth="1" style="283" min="13834" max="13836"/>
    <col width="15.5703125" customWidth="1" style="283" min="13837" max="13837"/>
    <col width="12.85546875" customWidth="1" style="283" min="13838" max="13841"/>
    <col width="10.42578125" customWidth="1" style="283" min="13842" max="13843"/>
    <col width="12.28515625" customWidth="1" style="283" min="13844" max="13844"/>
    <col width="10.42578125" customWidth="1" style="283" min="13845" max="14085"/>
    <col width="2.28515625" customWidth="1" style="283" min="14086" max="14087"/>
    <col width="35.42578125" customWidth="1" style="283" min="14088" max="14088"/>
    <col width="14.7109375" customWidth="1" style="283" min="14089" max="14089"/>
    <col width="12.85546875" customWidth="1" style="283" min="14090" max="14092"/>
    <col width="15.5703125" customWidth="1" style="283" min="14093" max="14093"/>
    <col width="12.85546875" customWidth="1" style="283" min="14094" max="14097"/>
    <col width="10.42578125" customWidth="1" style="283" min="14098" max="14099"/>
    <col width="12.28515625" customWidth="1" style="283" min="14100" max="14100"/>
    <col width="10.42578125" customWidth="1" style="283" min="14101" max="14341"/>
    <col width="2.28515625" customWidth="1" style="283" min="14342" max="14343"/>
    <col width="35.42578125" customWidth="1" style="283" min="14344" max="14344"/>
    <col width="14.7109375" customWidth="1" style="283" min="14345" max="14345"/>
    <col width="12.85546875" customWidth="1" style="283" min="14346" max="14348"/>
    <col width="15.5703125" customWidth="1" style="283" min="14349" max="14349"/>
    <col width="12.85546875" customWidth="1" style="283" min="14350" max="14353"/>
    <col width="10.42578125" customWidth="1" style="283" min="14354" max="14355"/>
    <col width="12.28515625" customWidth="1" style="283" min="14356" max="14356"/>
    <col width="10.42578125" customWidth="1" style="283" min="14357" max="14597"/>
    <col width="2.28515625" customWidth="1" style="283" min="14598" max="14599"/>
    <col width="35.42578125" customWidth="1" style="283" min="14600" max="14600"/>
    <col width="14.7109375" customWidth="1" style="283" min="14601" max="14601"/>
    <col width="12.85546875" customWidth="1" style="283" min="14602" max="14604"/>
    <col width="15.5703125" customWidth="1" style="283" min="14605" max="14605"/>
    <col width="12.85546875" customWidth="1" style="283" min="14606" max="14609"/>
    <col width="10.42578125" customWidth="1" style="283" min="14610" max="14611"/>
    <col width="12.28515625" customWidth="1" style="283" min="14612" max="14612"/>
    <col width="10.42578125" customWidth="1" style="283" min="14613" max="14853"/>
    <col width="2.28515625" customWidth="1" style="283" min="14854" max="14855"/>
    <col width="35.42578125" customWidth="1" style="283" min="14856" max="14856"/>
    <col width="14.7109375" customWidth="1" style="283" min="14857" max="14857"/>
    <col width="12.85546875" customWidth="1" style="283" min="14858" max="14860"/>
    <col width="15.5703125" customWidth="1" style="283" min="14861" max="14861"/>
    <col width="12.85546875" customWidth="1" style="283" min="14862" max="14865"/>
    <col width="10.42578125" customWidth="1" style="283" min="14866" max="14867"/>
    <col width="12.28515625" customWidth="1" style="283" min="14868" max="14868"/>
    <col width="10.42578125" customWidth="1" style="283" min="14869" max="15109"/>
    <col width="2.28515625" customWidth="1" style="283" min="15110" max="15111"/>
    <col width="35.42578125" customWidth="1" style="283" min="15112" max="15112"/>
    <col width="14.7109375" customWidth="1" style="283" min="15113" max="15113"/>
    <col width="12.85546875" customWidth="1" style="283" min="15114" max="15116"/>
    <col width="15.5703125" customWidth="1" style="283" min="15117" max="15117"/>
    <col width="12.85546875" customWidth="1" style="283" min="15118" max="15121"/>
    <col width="10.42578125" customWidth="1" style="283" min="15122" max="15123"/>
    <col width="12.28515625" customWidth="1" style="283" min="15124" max="15124"/>
    <col width="10.42578125" customWidth="1" style="283" min="15125" max="15365"/>
    <col width="2.28515625" customWidth="1" style="283" min="15366" max="15367"/>
    <col width="35.42578125" customWidth="1" style="283" min="15368" max="15368"/>
    <col width="14.7109375" customWidth="1" style="283" min="15369" max="15369"/>
    <col width="12.85546875" customWidth="1" style="283" min="15370" max="15372"/>
    <col width="15.5703125" customWidth="1" style="283" min="15373" max="15373"/>
    <col width="12.85546875" customWidth="1" style="283" min="15374" max="15377"/>
    <col width="10.42578125" customWidth="1" style="283" min="15378" max="15379"/>
    <col width="12.28515625" customWidth="1" style="283" min="15380" max="15380"/>
    <col width="10.42578125" customWidth="1" style="283" min="15381" max="15621"/>
    <col width="2.28515625" customWidth="1" style="283" min="15622" max="15623"/>
    <col width="35.42578125" customWidth="1" style="283" min="15624" max="15624"/>
    <col width="14.7109375" customWidth="1" style="283" min="15625" max="15625"/>
    <col width="12.85546875" customWidth="1" style="283" min="15626" max="15628"/>
    <col width="15.5703125" customWidth="1" style="283" min="15629" max="15629"/>
    <col width="12.85546875" customWidth="1" style="283" min="15630" max="15633"/>
    <col width="10.42578125" customWidth="1" style="283" min="15634" max="15635"/>
    <col width="12.28515625" customWidth="1" style="283" min="15636" max="15636"/>
    <col width="10.42578125" customWidth="1" style="283" min="15637" max="15877"/>
    <col width="2.28515625" customWidth="1" style="283" min="15878" max="15879"/>
    <col width="35.42578125" customWidth="1" style="283" min="15880" max="15880"/>
    <col width="14.7109375" customWidth="1" style="283" min="15881" max="15881"/>
    <col width="12.85546875" customWidth="1" style="283" min="15882" max="15884"/>
    <col width="15.5703125" customWidth="1" style="283" min="15885" max="15885"/>
    <col width="12.85546875" customWidth="1" style="283" min="15886" max="15889"/>
    <col width="10.42578125" customWidth="1" style="283" min="15890" max="15891"/>
    <col width="12.28515625" customWidth="1" style="283" min="15892" max="15892"/>
    <col width="10.42578125" customWidth="1" style="283" min="15893" max="16133"/>
    <col width="2.28515625" customWidth="1" style="283" min="16134" max="16135"/>
    <col width="35.42578125" customWidth="1" style="283" min="16136" max="16136"/>
    <col width="14.7109375" customWidth="1" style="283" min="16137" max="16137"/>
    <col width="12.85546875" customWidth="1" style="283" min="16138" max="16140"/>
    <col width="15.5703125" customWidth="1" style="283" min="16141" max="16141"/>
    <col width="12.85546875" customWidth="1" style="283" min="16142" max="16145"/>
    <col width="10.42578125" customWidth="1" style="283" min="16146" max="16147"/>
    <col width="12.28515625" customWidth="1" style="283" min="16148" max="16148"/>
    <col width="10.42578125" customWidth="1" style="283" min="16149" max="16384"/>
  </cols>
  <sheetData>
    <row r="1" ht="6.75" customFormat="1" customHeight="1" s="93"/>
    <row r="2" ht="6.75" customFormat="1" customHeight="1" s="93"/>
    <row r="3">
      <c r="C3" s="283" t="inlineStr">
        <is>
          <t>Discounted Cash Flow Model</t>
        </is>
      </c>
    </row>
    <row r="4" ht="13.5" customHeight="1">
      <c r="C4" s="94" t="inlineStr">
        <is>
          <t>All figures in millions, except per share data</t>
        </is>
      </c>
      <c r="D4" s="94" t="n"/>
      <c r="E4" s="94" t="n"/>
      <c r="F4" s="94" t="n"/>
      <c r="G4" s="94" t="n"/>
      <c r="H4" s="94" t="n"/>
      <c r="I4" s="94" t="n"/>
      <c r="J4" s="94" t="n"/>
      <c r="K4" s="94" t="n"/>
      <c r="L4" s="94" t="n"/>
      <c r="M4" s="94" t="n"/>
      <c r="N4" s="94" t="n"/>
      <c r="O4" s="94" t="n"/>
      <c r="P4" s="94" t="n"/>
      <c r="Q4" s="94" t="n"/>
      <c r="R4" s="94" t="n"/>
      <c r="S4" s="94" t="n"/>
      <c r="T4" s="94" t="n"/>
      <c r="U4" s="94" t="n"/>
      <c r="V4" s="94" t="n"/>
    </row>
    <row r="7">
      <c r="C7" s="283" t="inlineStr">
        <is>
          <t>Ticker</t>
        </is>
      </c>
      <c r="D7" s="95" t="str">
        <f>IF(Control!B4="","",Control!B4)</f>
        <v>AURE3</v>
      </c>
      <c r="F7" s="283" t="inlineStr">
        <is>
          <t>Last close</t>
        </is>
      </c>
      <c r="G7" s="96" t="str">
        <f>IF(Control!E4="","",Control!E4)</f>
        <v/>
      </c>
    </row>
    <row r="8">
      <c r="C8" s="283" t="inlineStr">
        <is>
          <t>Operating scenario:</t>
        </is>
      </c>
      <c r="D8" s="97" t="str">
        <f>IF(Control!B10=1,"Bull Case",IF(Control!B10=2,"Base Case","Bear Case"))</f>
        <v>Base Case</v>
      </c>
    </row>
    <row r="9">
      <c r="C9" s="283" t="inlineStr">
        <is>
          <t>Last fiscal year end date:</t>
        </is>
      </c>
      <c r="D9" s="98">
        <f>IF(Control!B12="","",DATE(YEAR(Control!B12)-1,12,31))</f>
        <v>46022.0</v>
      </c>
    </row>
    <row r="10">
      <c r="C10" s="283" t="inlineStr">
        <is>
          <t>Valuation / deal date:</t>
        </is>
      </c>
      <c r="D10" s="98">
        <f>IF(Control!B12="","",Control!B12)</f>
        <v>46287.0</v>
      </c>
    </row>
    <row r="11">
      <c r="C11" s="283" t="inlineStr">
        <is>
          <t>Stub year fraction:</t>
        </is>
      </c>
      <c r="D11" s="99">
        <f>IF(Control!B12="","",Control!B13)</f>
        <v>0.273972602739726</v>
      </c>
      <c r="E11" s="100" t="n"/>
      <c r="I11" s="101" t="n"/>
      <c r="O11" s="102" t="n"/>
      <c r="Z11" s="103" t="n"/>
    </row>
    <row r="12">
      <c r="C12" s="283" t="inlineStr">
        <is>
          <t>Weighted average cost of capital:</t>
        </is>
      </c>
      <c r="D12" s="99" t="str">
        <f>IF(Control!E12="","",Control!E12)</f>
        <v/>
      </c>
      <c r="I12" s="101" t="n"/>
    </row>
    <row r="13">
      <c r="D13" s="99" t="n"/>
      <c r="E13" s="99" t="n"/>
    </row>
    <row r="14" ht="14.85" customHeight="1">
      <c r="C14" s="104" t="inlineStr">
        <is>
          <t>Historicals</t>
        </is>
      </c>
      <c r="D14" s="104" t="n"/>
      <c r="E14" s="104" t="n"/>
      <c r="F14" s="104" t="n"/>
      <c r="G14" s="282" t="inlineStr">
        <is>
          <t>Projected Annual Forecast</t>
        </is>
      </c>
    </row>
    <row r="15">
      <c r="C15" s="105" t="n"/>
      <c r="D15" s="105" t="n"/>
      <c r="E15" s="105" t="n"/>
      <c r="F15" s="105" t="n"/>
      <c r="G15" s="288" t="inlineStr">
        <is>
          <t>Granular</t>
        </is>
      </c>
      <c r="H15" s="285" t="n"/>
      <c r="I15" s="285" t="n"/>
      <c r="J15" s="285" t="n"/>
      <c r="K15" s="285" t="n"/>
      <c r="L15" s="285" t="n"/>
      <c r="M15" s="285" t="n"/>
      <c r="N15" s="285" t="n"/>
      <c r="O15" s="285" t="n"/>
      <c r="P15" s="285" t="n"/>
      <c r="Q15" s="285" t="n"/>
      <c r="R15" s="285" t="n"/>
      <c r="S15" s="285" t="n"/>
      <c r="T15" s="285" t="n"/>
      <c r="U15" s="285" t="n"/>
      <c r="V15" s="285" t="n"/>
      <c r="X15" s="106" t="n"/>
      <c r="Y15" s="107" t="n"/>
      <c r="Z15" s="107" t="n"/>
    </row>
    <row r="16">
      <c r="D16" s="108" t="n">
        <v>2023</v>
      </c>
      <c r="E16" s="108" t="n">
        <v>2024</v>
      </c>
      <c r="F16" s="108" t="n">
        <v>2025</v>
      </c>
      <c r="G16" s="108" t="n">
        <v>2026</v>
      </c>
      <c r="H16" s="108" t="n">
        <v>2027</v>
      </c>
      <c r="I16" s="108" t="n">
        <v>2028</v>
      </c>
      <c r="J16" s="108" t="n">
        <v>2029</v>
      </c>
      <c r="K16" s="108" t="n">
        <v>2030</v>
      </c>
      <c r="L16" s="108" t="n"/>
      <c r="M16" s="108" t="n"/>
      <c r="N16" s="108" t="n"/>
      <c r="O16" s="108" t="n"/>
      <c r="P16" s="108" t="n"/>
      <c r="Q16" s="108" t="n"/>
      <c r="R16" s="108" t="n"/>
      <c r="S16" s="108" t="n"/>
      <c r="T16" s="108" t="n"/>
      <c r="U16" s="108" t="n"/>
      <c r="V16" s="108" t="n"/>
      <c r="W16" s="108" t="n"/>
      <c r="X16" s="107" t="n"/>
      <c r="Y16" s="107" t="n"/>
      <c r="Z16" s="107" t="n"/>
    </row>
    <row r="17">
      <c r="C17" s="109" t="n"/>
      <c r="D17" s="110" t="n">
        <v>45291</v>
      </c>
      <c r="E17" s="110" t="n">
        <v>45657</v>
      </c>
      <c r="F17" s="110" t="n">
        <v>46022</v>
      </c>
      <c r="G17" s="110" t="n">
        <v>46387</v>
      </c>
      <c r="H17" s="110" t="n">
        <v>46752</v>
      </c>
      <c r="I17" s="110" t="n">
        <v>47118</v>
      </c>
      <c r="J17" s="110" t="n">
        <v>47483</v>
      </c>
      <c r="K17" s="110" t="n">
        <v>47848</v>
      </c>
      <c r="L17" s="110" t="n"/>
      <c r="M17" s="110" t="n"/>
      <c r="N17" s="110" t="n"/>
      <c r="O17" s="110" t="n"/>
      <c r="P17" s="110" t="n"/>
      <c r="Q17" s="110" t="n"/>
      <c r="R17" s="110" t="n"/>
      <c r="S17" s="110" t="n"/>
      <c r="T17" s="110" t="n"/>
      <c r="U17" s="110" t="n"/>
      <c r="V17" s="110" t="n"/>
      <c r="W17" s="111" t="n"/>
      <c r="X17" s="107" t="n"/>
      <c r="Y17" s="107" t="n"/>
      <c r="Z17" s="107" t="n"/>
    </row>
    <row r="18">
      <c r="C18" s="112" t="inlineStr">
        <is>
          <t>Net Revenues</t>
        </is>
      </c>
      <c r="D18" s="113">
        <f>Model!W15</f>
        <v>6181.89</v>
      </c>
      <c r="E18" s="113">
        <f>Model!AB15</f>
        <v>8059.951</v>
      </c>
      <c r="F18" s="113">
        <f>Model!AG15</f>
        <v>13176.952</v>
      </c>
      <c r="G18" s="113">
        <f>Model!AL15</f>
        <v>14535.3943874969</v>
      </c>
      <c r="H18" s="113">
        <f>Model!AQ15</f>
        <v>16647.1222982198</v>
      </c>
      <c r="I18" s="113">
        <f>Model!AV15</f>
        <v>18982.4101786408</v>
      </c>
      <c r="J18" s="113">
        <f>Model!BA15</f>
        <v>21550.3843393844</v>
      </c>
      <c r="K18" s="113">
        <f>Model!BF15</f>
        <v>24358.0066834855</v>
      </c>
      <c r="L18" s="113" t="n"/>
      <c r="M18" s="113" t="n"/>
      <c r="N18" s="113" t="n"/>
      <c r="O18" s="113" t="n"/>
      <c r="P18" s="113" t="n"/>
      <c r="Q18" s="113" t="n"/>
      <c r="R18" s="113" t="n"/>
      <c r="S18" s="113" t="n"/>
      <c r="T18" s="113" t="n"/>
      <c r="U18" s="113" t="n"/>
      <c r="V18" s="114" t="n"/>
      <c r="X18" s="115" t="n"/>
      <c r="Y18" s="115" t="n"/>
      <c r="Z18" s="107" t="n"/>
    </row>
    <row r="19">
      <c r="C19" s="116" t="n"/>
      <c r="D19" s="109" t="str">
        <f>""</f>
        <v/>
      </c>
      <c r="E19" s="117">
        <f>IFERROR(IF(D18=0,"",E18/D18-1),"")</f>
        <v>0.303800455847645</v>
      </c>
      <c r="F19" s="117">
        <f>IFERROR(IF(E18=0,"",F18/E18-1),"")</f>
        <v>0.634867507259039</v>
      </c>
      <c r="G19" s="117">
        <f>IF(F18=0,"",G18/F18-1)</f>
        <v>0.103092307500011</v>
      </c>
      <c r="H19" s="117">
        <f>IF(G18=0,"",H18/G18-1)</f>
        <v>0.145281775948191</v>
      </c>
      <c r="I19" s="117">
        <f>IF(H18=0,"",I18/H18-1)</f>
        <v>0.140281775948192</v>
      </c>
      <c r="J19" s="117">
        <f>IF(I18=0,"",J18/I18-1)</f>
        <v>0.135281775948191</v>
      </c>
      <c r="K19" s="117">
        <f>IF(J18=0,"",K18/J18-1)</f>
        <v>0.130281775948192</v>
      </c>
      <c r="L19" s="117" t="n"/>
      <c r="M19" s="117" t="n"/>
      <c r="N19" s="117" t="n"/>
      <c r="O19" s="117" t="n"/>
      <c r="P19" s="117" t="n"/>
      <c r="Q19" s="117" t="n"/>
      <c r="R19" s="117" t="n"/>
      <c r="S19" s="117" t="n"/>
      <c r="T19" s="117" t="n"/>
      <c r="U19" s="117" t="n"/>
      <c r="V19" s="118" t="n"/>
      <c r="X19" s="107" t="n"/>
      <c r="Y19" s="107" t="n"/>
      <c r="Z19" s="107" t="n"/>
    </row>
    <row r="20">
      <c r="C20" s="119" t="inlineStr">
        <is>
          <t>EBITDA</t>
        </is>
      </c>
      <c r="D20" s="113">
        <f>Model!W68</f>
        <v>1677.877</v>
      </c>
      <c r="E20" s="113">
        <f>Model!AB68</f>
        <v>1840.471</v>
      </c>
      <c r="F20" s="113">
        <f>Model!AG68</f>
        <v>4033.74</v>
      </c>
      <c r="G20" s="113">
        <f>Model!AL68</f>
        <v>3330.5658570773</v>
      </c>
      <c r="H20" s="113">
        <f>Model!AQ68</f>
        <v>4396.16272016052</v>
      </c>
      <c r="I20" s="113">
        <f>Model!AV68</f>
        <v>5012.86423390186</v>
      </c>
      <c r="J20" s="113">
        <f>Model!BA68</f>
        <v>5691.01341005128</v>
      </c>
      <c r="K20" s="113">
        <f>Model!BF68</f>
        <v>6432.44874405773</v>
      </c>
      <c r="L20" s="113" t="n"/>
      <c r="M20" s="120" t="n"/>
      <c r="N20" s="120" t="n"/>
      <c r="O20" s="120" t="n"/>
      <c r="P20" s="120" t="n"/>
      <c r="Q20" s="120" t="n"/>
      <c r="R20" s="120" t="n"/>
      <c r="S20" s="120" t="n"/>
      <c r="T20" s="120" t="n"/>
      <c r="U20" s="120" t="n"/>
      <c r="V20" s="121" t="n"/>
      <c r="X20" s="107" t="n"/>
      <c r="Y20" s="107" t="n"/>
      <c r="Z20" s="107" t="n"/>
    </row>
    <row r="21">
      <c r="C21" s="116" t="n"/>
      <c r="D21" s="122">
        <f>IFERROR(IF(D18=0,"",D20/D18),"")</f>
        <v>0.271418126171769</v>
      </c>
      <c r="E21" s="122">
        <f>IFERROR(IF(E18=0,"",E20/E18),"")</f>
        <v>0.228347666133454</v>
      </c>
      <c r="F21" s="122">
        <f>IF(F18=0,"",F20/F18)</f>
        <v>0.306120869226814</v>
      </c>
      <c r="G21" s="122">
        <f>IF(G18=0,"",G20/G18)</f>
        <v>0.229134880574152</v>
      </c>
      <c r="H21" s="122">
        <f>IF(H18=0,"",H20/H18)</f>
        <v>0.264079439161123</v>
      </c>
      <c r="I21" s="122">
        <f>IF(I18=0,"",I20/I18)</f>
        <v>0.264079439161123</v>
      </c>
      <c r="J21" s="122">
        <f>IF(J18=0,"",J20/J18)</f>
        <v>0.264079439161123</v>
      </c>
      <c r="K21" s="122">
        <f>IF(K18=0,"",K20/K18)</f>
        <v>0.264079439161123</v>
      </c>
      <c r="L21" s="122" t="n"/>
      <c r="M21" s="109" t="n"/>
      <c r="N21" s="109" t="n"/>
      <c r="O21" s="109" t="n"/>
      <c r="P21" s="109" t="n"/>
      <c r="Q21" s="109" t="n"/>
      <c r="R21" s="109" t="n"/>
      <c r="S21" s="109" t="n"/>
      <c r="T21" s="109" t="n"/>
      <c r="U21" s="109" t="n"/>
      <c r="V21" s="123" t="n"/>
      <c r="X21" s="115" t="n"/>
      <c r="Y21" s="115" t="n"/>
      <c r="Z21" s="107" t="n"/>
    </row>
    <row r="22">
      <c r="C22" s="112" t="inlineStr">
        <is>
          <t>EBIT</t>
        </is>
      </c>
      <c r="D22" s="113">
        <f>Model!W72</f>
        <v>1000.602</v>
      </c>
      <c r="E22" s="113">
        <f>Model!AB72</f>
        <v>1127.281</v>
      </c>
      <c r="F22" s="113">
        <f>Model!AG72</f>
        <v>2110.777</v>
      </c>
      <c r="G22" s="113">
        <f>Model!AL72</f>
        <v>1141.15352774473</v>
      </c>
      <c r="H22" s="113">
        <f>Model!AQ72</f>
        <v>1906.35448477427</v>
      </c>
      <c r="I22" s="113">
        <f>Model!AV72</f>
        <v>2173.78127748521</v>
      </c>
      <c r="J22" s="113">
        <f>Model!BA72</f>
        <v>2467.85426922633</v>
      </c>
      <c r="K22" s="113">
        <f>Model!BF72</f>
        <v>2789.37070620247</v>
      </c>
      <c r="L22" s="113" t="n"/>
      <c r="M22" s="113" t="n"/>
      <c r="N22" s="113" t="n"/>
      <c r="O22" s="113" t="n"/>
      <c r="P22" s="113" t="n"/>
      <c r="Q22" s="113" t="n"/>
      <c r="R22" s="113" t="n"/>
      <c r="S22" s="113" t="n"/>
      <c r="T22" s="113" t="n"/>
      <c r="U22" s="113" t="n"/>
      <c r="V22" s="114" t="n"/>
      <c r="X22" s="115" t="n"/>
      <c r="Y22" s="115" t="n"/>
      <c r="Z22" s="107" t="n"/>
    </row>
    <row r="23">
      <c r="C23" s="116" t="n"/>
      <c r="D23" s="122">
        <f>IFERROR(IF(D18=0,"",D22/D18),"")</f>
        <v>0.161860207800527</v>
      </c>
      <c r="E23" s="122">
        <f>IFERROR(IF(E18=0,"",E22/E18),"")</f>
        <v>0.13986201653087</v>
      </c>
      <c r="F23" s="122">
        <f>IF(F18=0,"",F22/F18)</f>
        <v>0.160187044773328</v>
      </c>
      <c r="G23" s="122">
        <f>IF(G18=0,"",G22/G18)</f>
        <v>0.0785086043985383</v>
      </c>
      <c r="H23" s="122">
        <f>IF(H18=0,"",H22/H18)</f>
        <v>0.114515557140956</v>
      </c>
      <c r="I23" s="122">
        <f>IF(I18=0,"",I22/I18)</f>
        <v>0.114515557140956</v>
      </c>
      <c r="J23" s="122">
        <f>IF(J18=0,"",J22/J18)</f>
        <v>0.114515557140956</v>
      </c>
      <c r="K23" s="122">
        <f>IF(K18=0,"",K22/K18)</f>
        <v>0.114515557140956</v>
      </c>
      <c r="L23" s="122" t="n"/>
      <c r="M23" s="122" t="n"/>
      <c r="N23" s="122" t="n"/>
      <c r="O23" s="122" t="n"/>
      <c r="P23" s="122" t="n"/>
      <c r="Q23" s="122" t="n"/>
      <c r="R23" s="122" t="n"/>
      <c r="S23" s="122" t="n"/>
      <c r="T23" s="122" t="n"/>
      <c r="U23" s="122" t="n"/>
      <c r="V23" s="124" t="n"/>
      <c r="X23" s="107" t="n"/>
      <c r="Y23" s="107" t="n"/>
      <c r="Z23" s="107" t="n"/>
    </row>
    <row r="24">
      <c r="C24" s="112" t="inlineStr">
        <is>
          <t>Tax rate (ETR limitada a 0%-100%)</t>
        </is>
      </c>
      <c r="D24" s="125">
        <f>Model!W348</f>
        <v>1</v>
      </c>
      <c r="E24" s="125">
        <f>Model!AB348</f>
        <v>0.706316310053034</v>
      </c>
      <c r="F24" s="125">
        <f>Model!AG348</f>
        <v>0</v>
      </c>
      <c r="G24" s="125">
        <f>Model!AL348</f>
        <v>0.0288297080049408</v>
      </c>
      <c r="H24" s="125">
        <f>Model!AQ348</f>
        <v>0.271937812701549</v>
      </c>
      <c r="I24" s="125">
        <f>Model!AV348</f>
        <v>0.271937812701549</v>
      </c>
      <c r="J24" s="125">
        <f>Model!BA348</f>
        <v>0.271937812701549</v>
      </c>
      <c r="K24" s="125">
        <f>Model!BF348</f>
        <v>0.271937812701549</v>
      </c>
      <c r="L24" s="125" t="n"/>
      <c r="M24" s="125" t="n"/>
      <c r="N24" s="125" t="n"/>
      <c r="O24" s="125" t="n"/>
      <c r="P24" s="125" t="n"/>
      <c r="Q24" s="125" t="n"/>
      <c r="R24" s="125" t="n"/>
      <c r="S24" s="125" t="n"/>
      <c r="T24" s="125" t="n"/>
      <c r="U24" s="125" t="n"/>
      <c r="V24" s="126" t="n"/>
      <c r="X24" s="107" t="n"/>
      <c r="Y24" s="107" t="n"/>
      <c r="Z24" s="107" t="n"/>
    </row>
    <row r="25">
      <c r="C25" s="116" t="inlineStr">
        <is>
          <t>NOPLAT</t>
        </is>
      </c>
      <c r="D25" s="127">
        <f>D22*(1-D24)</f>
        <v>0</v>
      </c>
      <c r="E25" s="127">
        <f>E22*(1-E24)</f>
        <v>331.064043687106</v>
      </c>
      <c r="F25" s="127">
        <f>F22*(1-F24)</f>
        <v>2110.777</v>
      </c>
      <c r="G25" s="127">
        <f>G22*(1-G24)</f>
        <v>1108.25440475104</v>
      </c>
      <c r="H25" s="127">
        <f>H22*(1-H24)</f>
        <v>1387.94461595097</v>
      </c>
      <c r="I25" s="127">
        <f>I22*(1-I24)</f>
        <v>1582.6479515943</v>
      </c>
      <c r="J25" s="127">
        <f>J22*(1-J24)</f>
        <v>1796.75137718674</v>
      </c>
      <c r="K25" s="127">
        <f>K22*(1-K24)</f>
        <v>2030.83533754399</v>
      </c>
      <c r="L25" s="127" t="n"/>
      <c r="M25" s="127" t="n"/>
      <c r="N25" s="127" t="n"/>
      <c r="O25" s="127" t="n"/>
      <c r="P25" s="127" t="n"/>
      <c r="Q25" s="127" t="n"/>
      <c r="R25" s="127" t="n"/>
      <c r="S25" s="127" t="n"/>
      <c r="T25" s="127" t="n"/>
      <c r="U25" s="127" t="n"/>
      <c r="V25" s="128" t="n"/>
      <c r="X25" s="115" t="n"/>
      <c r="Y25" s="115" t="n"/>
      <c r="Z25" s="107" t="n"/>
    </row>
    <row r="26">
      <c r="C26" s="129" t="inlineStr">
        <is>
          <t>Depreciation &amp; Amortization</t>
        </is>
      </c>
      <c r="D26" s="130">
        <f>-Model!W69</f>
        <v>677.275</v>
      </c>
      <c r="E26" s="130">
        <f>-Model!AB69</f>
        <v>713.19</v>
      </c>
      <c r="F26" s="130">
        <f>-Model!AG69</f>
        <v>1922.963</v>
      </c>
      <c r="G26" s="130">
        <f>-Model!AL69</f>
        <v>2189.41232933257</v>
      </c>
      <c r="H26" s="130">
        <f>-Model!AQ69</f>
        <v>2489.80823538624</v>
      </c>
      <c r="I26" s="130">
        <f>-Model!AV69</f>
        <v>2839.08295641666</v>
      </c>
      <c r="J26" s="130">
        <f>-Model!BA69</f>
        <v>3223.15914082495</v>
      </c>
      <c r="K26" s="130">
        <f>-Model!BF69</f>
        <v>3643.07803785527</v>
      </c>
      <c r="L26" s="131" t="n"/>
      <c r="X26" s="107" t="n"/>
      <c r="Y26" s="107" t="n"/>
      <c r="Z26" s="107" t="n"/>
    </row>
    <row r="27">
      <c r="C27" s="132" t="inlineStr">
        <is>
          <t>Cash from working capital</t>
        </is>
      </c>
      <c r="D27" s="133">
        <f>Model!W278</f>
        <v>-293.626</v>
      </c>
      <c r="E27" s="133">
        <f>Model!AB278</f>
        <v>1438.917</v>
      </c>
      <c r="F27" s="133">
        <f>Model!AG278</f>
        <v>-29.7550000000003</v>
      </c>
      <c r="G27" s="133">
        <f>Model!AL278</f>
        <v>296.467611083971</v>
      </c>
      <c r="H27" s="133">
        <f>Model!AQ278</f>
        <v>240.777649305475</v>
      </c>
      <c r="I27" s="133">
        <f>Model!AV278</f>
        <v>426.353716625161</v>
      </c>
      <c r="J27" s="133">
        <f>Model!BA278</f>
        <v>720.965122686031</v>
      </c>
      <c r="K27" s="133">
        <f>Model!BF278</f>
        <v>1177.39353943176</v>
      </c>
      <c r="L27" s="134" t="n"/>
      <c r="X27" s="107" t="n"/>
      <c r="Y27" s="107" t="n"/>
      <c r="Z27" s="107" t="n"/>
    </row>
    <row r="28">
      <c r="C28" s="135" t="inlineStr">
        <is>
          <t>Accounts receivable</t>
        </is>
      </c>
      <c r="D28" s="136">
        <f>Model!W279</f>
        <v>-61.616</v>
      </c>
      <c r="E28" s="136">
        <f>Model!AB279</f>
        <v>-813.391</v>
      </c>
      <c r="F28" s="136">
        <f>Model!AG279</f>
        <v>-219.547</v>
      </c>
      <c r="G28" s="136">
        <f>Model!AL279</f>
        <v>-283.65548719517</v>
      </c>
      <c r="H28" s="136">
        <f>Model!AQ279</f>
        <v>-289.99252001571</v>
      </c>
      <c r="I28" s="136">
        <f>Model!AV279</f>
        <v>-320.692838299229</v>
      </c>
      <c r="J28" s="136">
        <f>Model!BA279</f>
        <v>-352.646424962161</v>
      </c>
      <c r="K28" s="136">
        <f>Model!BF279</f>
        <v>-385.556053260462</v>
      </c>
      <c r="L28" s="137" t="n"/>
      <c r="X28" s="107" t="n"/>
      <c r="Y28" s="107" t="n"/>
      <c r="Z28" s="107" t="n"/>
    </row>
    <row r="29">
      <c r="C29" s="135" t="inlineStr">
        <is>
          <t>Inventories</t>
        </is>
      </c>
      <c r="D29" s="136">
        <f>Model!W280</f>
        <v>0</v>
      </c>
      <c r="E29" s="136">
        <f>Model!AB280</f>
        <v>0</v>
      </c>
      <c r="F29" s="136">
        <f>Model!AG280</f>
        <v>0</v>
      </c>
      <c r="G29" s="136">
        <f>Model!AL280</f>
        <v>0</v>
      </c>
      <c r="H29" s="136">
        <f>Model!AQ280</f>
        <v>0</v>
      </c>
      <c r="I29" s="136">
        <f>Model!AV280</f>
        <v>0</v>
      </c>
      <c r="J29" s="136">
        <f>Model!BA280</f>
        <v>0</v>
      </c>
      <c r="K29" s="136">
        <f>Model!BF280</f>
        <v>0</v>
      </c>
      <c r="L29" s="137" t="n"/>
      <c r="X29" s="107" t="n"/>
      <c r="Y29" s="107" t="n"/>
      <c r="Z29" s="107" t="n"/>
    </row>
    <row r="30">
      <c r="C30" s="135" t="inlineStr">
        <is>
          <t>Deferred income taxes (assets)</t>
        </is>
      </c>
      <c r="D30" s="136">
        <f>Model!W281</f>
        <v>302.042</v>
      </c>
      <c r="E30" s="136">
        <f>Model!AB281</f>
        <v>526.679</v>
      </c>
      <c r="F30" s="136">
        <f>Model!AG281</f>
        <v>229.378</v>
      </c>
      <c r="G30" s="136">
        <f>Model!AL281</f>
        <v>-55.1560000000002</v>
      </c>
      <c r="H30" s="136">
        <f>Model!AQ281</f>
        <v>0</v>
      </c>
      <c r="I30" s="136">
        <f>Model!AV281</f>
        <v>0</v>
      </c>
      <c r="J30" s="136">
        <f>Model!BA281</f>
        <v>0</v>
      </c>
      <c r="K30" s="136">
        <f>Model!BF281</f>
        <v>0</v>
      </c>
      <c r="L30" s="137" t="n"/>
      <c r="X30" s="107" t="n"/>
      <c r="Y30" s="107" t="n"/>
      <c r="Z30" s="107" t="n"/>
    </row>
    <row r="31">
      <c r="C31" s="135" t="inlineStr">
        <is>
          <t>Prepaid expenses</t>
        </is>
      </c>
      <c r="D31" s="136">
        <f>Model!W282</f>
        <v>0</v>
      </c>
      <c r="E31" s="136">
        <f>Model!AB282</f>
        <v>0</v>
      </c>
      <c r="F31" s="136">
        <f>Model!AG282</f>
        <v>0</v>
      </c>
      <c r="G31" s="136">
        <f>Model!AL282</f>
        <v>0</v>
      </c>
      <c r="H31" s="136">
        <f>Model!AQ282</f>
        <v>0</v>
      </c>
      <c r="I31" s="136">
        <f>Model!AV282</f>
        <v>0</v>
      </c>
      <c r="J31" s="136">
        <f>Model!BA282</f>
        <v>0</v>
      </c>
      <c r="K31" s="136">
        <f>Model!BF282</f>
        <v>0</v>
      </c>
      <c r="L31" s="137" t="n"/>
      <c r="X31" s="107" t="n"/>
      <c r="Y31" s="107" t="n"/>
      <c r="Z31" s="107" t="n"/>
    </row>
    <row r="32">
      <c r="C32" s="135" t="inlineStr">
        <is>
          <t>Other current assets</t>
        </is>
      </c>
      <c r="D32" s="136">
        <f>Model!W283</f>
        <v>399.339</v>
      </c>
      <c r="E32" s="136">
        <f>Model!AB283</f>
        <v>-421.758</v>
      </c>
      <c r="F32" s="136">
        <f>Model!AG283</f>
        <v>76.4779999999996</v>
      </c>
      <c r="G32" s="136">
        <f>Model!AL283</f>
        <v>283.41</v>
      </c>
      <c r="H32" s="136">
        <f>Model!AQ283</f>
        <v>0</v>
      </c>
      <c r="I32" s="136">
        <f>Model!AV283</f>
        <v>0</v>
      </c>
      <c r="J32" s="136">
        <f>Model!BA283</f>
        <v>0</v>
      </c>
      <c r="K32" s="136">
        <f>Model!BF283</f>
        <v>0</v>
      </c>
      <c r="L32" s="137" t="n"/>
      <c r="X32" s="107" t="n"/>
      <c r="Y32" s="107" t="n"/>
      <c r="Z32" s="107" t="n"/>
    </row>
    <row r="33">
      <c r="C33" s="135" t="inlineStr">
        <is>
          <t>Accounts payable</t>
        </is>
      </c>
      <c r="D33" s="136">
        <f>Model!W284</f>
        <v>23.302</v>
      </c>
      <c r="E33" s="136">
        <f>Model!AB284</f>
        <v>733.189</v>
      </c>
      <c r="F33" s="136">
        <f>Model!AG284</f>
        <v>156.474</v>
      </c>
      <c r="G33" s="136">
        <f>Model!AL284</f>
        <v>163.374699396214</v>
      </c>
      <c r="H33" s="136">
        <f>Model!AQ284</f>
        <v>236.134998401124</v>
      </c>
      <c r="I33" s="136">
        <f>Model!AV284</f>
        <v>261.133641843376</v>
      </c>
      <c r="J33" s="136">
        <f>Model!BA284</f>
        <v>287.152796182781</v>
      </c>
      <c r="K33" s="136">
        <f>Model!BF284</f>
        <v>313.95043573976</v>
      </c>
      <c r="L33" s="137" t="n"/>
      <c r="X33" s="107" t="n"/>
      <c r="Y33" s="107" t="n"/>
      <c r="Z33" s="107" t="n"/>
    </row>
    <row r="34">
      <c r="C34" s="135" t="inlineStr">
        <is>
          <t>Accrued expenses</t>
        </is>
      </c>
      <c r="D34" s="136">
        <f>Model!W285</f>
        <v>32.513</v>
      </c>
      <c r="E34" s="136">
        <f>Model!AB285</f>
        <v>17.909</v>
      </c>
      <c r="F34" s="136">
        <f>Model!AG285</f>
        <v>1.41199999999999</v>
      </c>
      <c r="G34" s="136">
        <f>Model!AL285</f>
        <v>1.16113149295504</v>
      </c>
      <c r="H34" s="136">
        <f>Model!AQ285</f>
        <v>85.9921569305233</v>
      </c>
      <c r="I34" s="136">
        <f>Model!AV285</f>
        <v>141.8184371735</v>
      </c>
      <c r="J34" s="136">
        <f>Model!BA285</f>
        <v>229.535680225175</v>
      </c>
      <c r="K34" s="136">
        <f>Model!BF285</f>
        <v>364.532622413526</v>
      </c>
      <c r="L34" s="137" t="n"/>
      <c r="X34" s="107" t="n"/>
      <c r="Y34" s="107" t="n"/>
      <c r="Z34" s="107" t="n"/>
    </row>
    <row r="35">
      <c r="C35" s="135" t="inlineStr">
        <is>
          <t>Taxes payable</t>
        </is>
      </c>
      <c r="D35" s="136">
        <f>Model!W286</f>
        <v>-30.833</v>
      </c>
      <c r="E35" s="136">
        <f>Model!AB286</f>
        <v>73.433</v>
      </c>
      <c r="F35" s="136">
        <f>Model!AG286</f>
        <v>13.253</v>
      </c>
      <c r="G35" s="136">
        <f>Model!AL286</f>
        <v>126.275267389972</v>
      </c>
      <c r="H35" s="136">
        <f>Model!AQ286</f>
        <v>208.643013989538</v>
      </c>
      <c r="I35" s="136">
        <f>Model!AV286</f>
        <v>344.094475907513</v>
      </c>
      <c r="J35" s="136">
        <f>Model!BA286</f>
        <v>556.923071240236</v>
      </c>
      <c r="K35" s="136">
        <f>Model!BF286</f>
        <v>884.466534538937</v>
      </c>
      <c r="L35" s="137" t="n"/>
      <c r="X35" s="107" t="n"/>
      <c r="Y35" s="107" t="n"/>
      <c r="Z35" s="107" t="n"/>
    </row>
    <row r="36">
      <c r="C36" s="135" t="inlineStr">
        <is>
          <t>Other current liabilities</t>
        </is>
      </c>
      <c r="D36" s="136">
        <f>Model!W287</f>
        <v>-952.575</v>
      </c>
      <c r="E36" s="136">
        <f>Model!AB287</f>
        <v>621.338</v>
      </c>
      <c r="F36" s="136">
        <f>Model!AG287</f>
        <v>-158.319</v>
      </c>
      <c r="G36" s="136">
        <f>Model!AL287</f>
        <v>251.612</v>
      </c>
      <c r="H36" s="136">
        <f>Model!AQ287</f>
        <v>0</v>
      </c>
      <c r="I36" s="136">
        <f>Model!AV287</f>
        <v>0</v>
      </c>
      <c r="J36" s="136">
        <f>Model!BA287</f>
        <v>0</v>
      </c>
      <c r="K36" s="136">
        <f>Model!BF287</f>
        <v>0</v>
      </c>
      <c r="L36" s="137" t="n"/>
      <c r="X36" s="107" t="n"/>
      <c r="Y36" s="107" t="n"/>
      <c r="Z36" s="107" t="n"/>
    </row>
    <row r="37">
      <c r="C37" s="135" t="inlineStr">
        <is>
          <t>Deferred tax (liabilities)</t>
        </is>
      </c>
      <c r="D37" s="136">
        <f>Model!W288</f>
        <v>-5.798</v>
      </c>
      <c r="E37" s="136">
        <f>Model!AB288</f>
        <v>701.518</v>
      </c>
      <c r="F37" s="136">
        <f>Model!AG288</f>
        <v>-128.884</v>
      </c>
      <c r="G37" s="136">
        <f>Model!AL288</f>
        <v>-190.554</v>
      </c>
      <c r="H37" s="136">
        <f>Model!AQ288</f>
        <v>0</v>
      </c>
      <c r="I37" s="136">
        <f>Model!AV288</f>
        <v>0</v>
      </c>
      <c r="J37" s="136">
        <f>Model!BA288</f>
        <v>0</v>
      </c>
      <c r="K37" s="136">
        <f>Model!BF288</f>
        <v>0</v>
      </c>
      <c r="L37" s="137" t="n"/>
      <c r="X37" s="107" t="n"/>
      <c r="Y37" s="107" t="n"/>
      <c r="Z37" s="107" t="n"/>
    </row>
    <row r="38">
      <c r="C38" s="135" t="inlineStr">
        <is>
          <t>Other non-current assets</t>
        </is>
      </c>
      <c r="D38" s="136">
        <f>(Model!W188-Model!R188)*-1</f>
        <v>3895.154</v>
      </c>
      <c r="E38" s="136">
        <f>(Model!AB188-Model!W188)*-1</f>
        <v>434.419</v>
      </c>
      <c r="F38" s="136">
        <f>(Model!AG188-Model!AB188)*-1</f>
        <v>72.1579999999999</v>
      </c>
      <c r="G38" s="136">
        <f>(Model!AL188-Model!AG188)*-1</f>
        <v>-9.66499999999996</v>
      </c>
      <c r="H38" s="136">
        <f>(Model!AQ188-Model!AL188)*-1</f>
        <v>0</v>
      </c>
      <c r="I38" s="136">
        <f>(Model!AV188-Model!AQ188)*-1</f>
        <v>0</v>
      </c>
      <c r="J38" s="136">
        <f>(Model!BA188-Model!AV188)*-1</f>
        <v>0</v>
      </c>
      <c r="K38" s="136">
        <f>(Model!BF188-Model!BA188)*-1</f>
        <v>0</v>
      </c>
      <c r="L38" s="137" t="n"/>
      <c r="X38" s="107" t="n"/>
      <c r="Y38" s="107" t="n"/>
      <c r="Z38" s="107" t="n"/>
    </row>
    <row r="39">
      <c r="C39" s="135" t="inlineStr">
        <is>
          <t>Other non-current liabilities</t>
        </is>
      </c>
      <c r="D39" s="136">
        <f>Model!W239-Model!R239</f>
        <v>-14.8620000000001</v>
      </c>
      <c r="E39" s="136">
        <f>Model!AB239-Model!W239</f>
        <v>-1298.964</v>
      </c>
      <c r="F39" s="136">
        <f>Model!AG239-Model!AB239</f>
        <v>-672.798000000001</v>
      </c>
      <c r="G39" s="136">
        <f>Model!AL239-Model!AG239</f>
        <v>276.673000000001</v>
      </c>
      <c r="H39" s="136">
        <f>Model!AQ239-Model!AL239</f>
        <v>0</v>
      </c>
      <c r="I39" s="136">
        <f>Model!AV239-Model!AQ239</f>
        <v>0</v>
      </c>
      <c r="J39" s="136">
        <f>Model!BA239-Model!AV239</f>
        <v>0</v>
      </c>
      <c r="K39" s="136">
        <f>Model!BF239-Model!BA239</f>
        <v>0</v>
      </c>
      <c r="L39" s="137" t="n"/>
      <c r="X39" s="107" t="n"/>
      <c r="Y39" s="107" t="n"/>
      <c r="Z39" s="107" t="n"/>
    </row>
    <row r="40">
      <c r="C40" s="135" t="inlineStr">
        <is>
          <t>Capital expenditures</t>
        </is>
      </c>
      <c r="D40" s="136">
        <f>Model!W294</f>
        <v>-2129.587</v>
      </c>
      <c r="E40" s="136">
        <f>Model!AB294</f>
        <v>-15067.639</v>
      </c>
      <c r="F40" s="136">
        <f>Model!AG294</f>
        <v>-1149.414</v>
      </c>
      <c r="G40" s="136">
        <f>Model!AL294</f>
        <v>-1250.79960480515</v>
      </c>
      <c r="H40" s="136">
        <f>Model!AQ294</f>
        <v>-1441.83566639705</v>
      </c>
      <c r="I40" s="136">
        <f>Model!AV294</f>
        <v>-1644.09893430467</v>
      </c>
      <c r="J40" s="136">
        <f>Model!BA294</f>
        <v>-1866.51555797194</v>
      </c>
      <c r="K40" s="136">
        <f>Model!BF294</f>
        <v>-2109.68851969945</v>
      </c>
      <c r="L40" s="137" t="n"/>
      <c r="X40" s="107" t="n"/>
      <c r="Y40" s="107" t="n"/>
      <c r="Z40" s="107" t="n"/>
    </row>
    <row r="41">
      <c r="C41" s="135" t="inlineStr">
        <is>
          <t>Capital expenditures [IFRS16 - implied lease payments]</t>
        </is>
      </c>
      <c r="D41" s="283">
        <f>0</f>
        <v>0</v>
      </c>
      <c r="E41" s="283">
        <f>0</f>
        <v>0</v>
      </c>
      <c r="F41" s="136">
        <f>0</f>
        <v>0</v>
      </c>
      <c r="G41" s="136">
        <f>0</f>
        <v>0</v>
      </c>
      <c r="H41" s="136">
        <f>0</f>
        <v>0</v>
      </c>
      <c r="I41" s="136">
        <f>0</f>
        <v>0</v>
      </c>
      <c r="J41" s="136">
        <f>0</f>
        <v>0</v>
      </c>
      <c r="K41" s="136">
        <f>0</f>
        <v>0</v>
      </c>
      <c r="L41" s="137" t="n"/>
      <c r="X41" s="107" t="n"/>
      <c r="Y41" s="107" t="n"/>
      <c r="Z41" s="107" t="n"/>
    </row>
    <row r="42">
      <c r="C42" s="138" t="inlineStr">
        <is>
          <t>Purchase of intangible assets</t>
        </is>
      </c>
      <c r="D42" s="139">
        <f>0</f>
        <v>0</v>
      </c>
      <c r="E42" s="139">
        <f>0</f>
        <v>0</v>
      </c>
      <c r="F42" s="139">
        <f>0</f>
        <v>0</v>
      </c>
      <c r="G42" s="139">
        <f>0</f>
        <v>0</v>
      </c>
      <c r="H42" s="139">
        <f>0</f>
        <v>0</v>
      </c>
      <c r="I42" s="139">
        <f>0</f>
        <v>0</v>
      </c>
      <c r="J42" s="139">
        <f>0</f>
        <v>0</v>
      </c>
      <c r="K42" s="139">
        <f>0</f>
        <v>0</v>
      </c>
      <c r="L42" s="140" t="n"/>
      <c r="M42" s="141" t="n"/>
      <c r="X42" s="107" t="n"/>
      <c r="Y42" s="107" t="n"/>
      <c r="Z42" s="107" t="n"/>
      <c r="AB42" s="102" t="n"/>
    </row>
    <row r="43">
      <c r="X43" s="107" t="n"/>
      <c r="Y43" s="107" t="n"/>
      <c r="Z43" s="107" t="n"/>
    </row>
    <row r="44">
      <c r="C44" s="112" t="inlineStr">
        <is>
          <t>Net Investments</t>
        </is>
      </c>
      <c r="D44" s="133">
        <f>SUM(D27,D40:D42,D26)</f>
        <v>-1745.938</v>
      </c>
      <c r="E44" s="133">
        <f>SUM(E27,E40:E42,E26)</f>
        <v>-12915.532</v>
      </c>
      <c r="F44" s="133">
        <f>SUM(F27,F40:F42,F26)</f>
        <v>743.793999999999</v>
      </c>
      <c r="G44" s="133">
        <f>SUM(G27,G40:G42,G26)</f>
        <v>1235.08033561139</v>
      </c>
      <c r="H44" s="133">
        <f>SUM(H27,H40:H42,H26)</f>
        <v>1288.75021829467</v>
      </c>
      <c r="I44" s="133">
        <f>SUM(I27,I40:I42,I26)</f>
        <v>1621.33773873715</v>
      </c>
      <c r="J44" s="133">
        <f>SUM(J27,J40:J42,J26)</f>
        <v>2077.60870553904</v>
      </c>
      <c r="K44" s="133">
        <f>SUM(K27,K40:K42,K26)</f>
        <v>2710.78305758758</v>
      </c>
      <c r="L44" s="133" t="n"/>
      <c r="M44" s="142" t="n"/>
      <c r="N44" s="133" t="n"/>
      <c r="O44" s="133" t="n"/>
      <c r="P44" s="133" t="n"/>
      <c r="Q44" s="133" t="n"/>
      <c r="R44" s="133" t="n"/>
      <c r="S44" s="133" t="n"/>
      <c r="T44" s="133" t="n"/>
      <c r="U44" s="133" t="n"/>
      <c r="V44" s="134" t="n"/>
      <c r="X44" s="107" t="n"/>
      <c r="Y44" s="141" t="n"/>
      <c r="Z44" s="107" t="n"/>
    </row>
    <row r="45">
      <c r="C45" s="143" t="n"/>
      <c r="D45" s="141" t="n"/>
      <c r="E45" s="141" t="n"/>
      <c r="F45" s="141" t="n"/>
      <c r="G45" s="141" t="n"/>
      <c r="H45" s="141" t="n"/>
      <c r="I45" s="141" t="n"/>
      <c r="J45" s="141" t="n"/>
      <c r="K45" s="141" t="n"/>
      <c r="L45" s="141" t="n"/>
      <c r="V45" s="144" t="n"/>
      <c r="X45" s="107" t="n"/>
      <c r="Y45" s="107" t="n"/>
      <c r="Z45" s="107" t="n"/>
    </row>
    <row r="46">
      <c r="C46" s="143" t="inlineStr">
        <is>
          <t>Invested Capital</t>
        </is>
      </c>
      <c r="D46" s="136">
        <f>Model!V349</f>
        <v>14198.996</v>
      </c>
      <c r="E46" s="136">
        <f>Model!AA349</f>
        <v>33642.616</v>
      </c>
      <c r="F46" s="136">
        <f>Model!AF349</f>
        <v>33227.159</v>
      </c>
      <c r="G46" s="136">
        <f>Model!AK349</f>
        <v>31280.4506643886</v>
      </c>
      <c r="H46" s="136">
        <f>Model!AP349</f>
        <v>29991.7004460939</v>
      </c>
      <c r="I46" s="136">
        <f>Model!AU349</f>
        <v>28370.3627073568</v>
      </c>
      <c r="J46" s="136">
        <f>Model!AZ349</f>
        <v>26292.7540018178</v>
      </c>
      <c r="K46" s="136">
        <f>Model!BE349</f>
        <v>23581.9709442302</v>
      </c>
      <c r="L46" s="136" t="n"/>
      <c r="M46" s="145" t="n"/>
      <c r="N46" s="145" t="n"/>
      <c r="O46" s="145" t="n"/>
      <c r="P46" s="145" t="n"/>
      <c r="Q46" s="145" t="n"/>
      <c r="R46" s="145" t="n"/>
      <c r="S46" s="145" t="n"/>
      <c r="T46" s="145" t="n"/>
      <c r="U46" s="145" t="n"/>
      <c r="V46" s="146" t="n"/>
      <c r="X46" s="141" t="n"/>
      <c r="Y46" s="141" t="n"/>
      <c r="Z46" s="107" t="n"/>
    </row>
    <row r="47">
      <c r="C47" s="143" t="inlineStr">
        <is>
          <t>Invested Capital (ex Goodwill)</t>
        </is>
      </c>
      <c r="D47" s="136">
        <f>Model!V350</f>
        <v>14198.996</v>
      </c>
      <c r="E47" s="136">
        <f>Model!AA350</f>
        <v>33642.616</v>
      </c>
      <c r="F47" s="136">
        <f>Model!AF350</f>
        <v>33227.159</v>
      </c>
      <c r="G47" s="136">
        <f>Model!AK350</f>
        <v>31280.4506643886</v>
      </c>
      <c r="H47" s="136">
        <f>Model!AP350</f>
        <v>29991.7004460939</v>
      </c>
      <c r="I47" s="136">
        <f>Model!AU350</f>
        <v>28370.3627073568</v>
      </c>
      <c r="J47" s="136">
        <f>Model!AZ350</f>
        <v>26292.7540018178</v>
      </c>
      <c r="K47" s="136">
        <f>Model!BE350</f>
        <v>23581.9709442302</v>
      </c>
      <c r="L47" s="136" t="n"/>
      <c r="V47" s="144" t="n"/>
      <c r="X47" s="107" t="n"/>
      <c r="Y47" s="107" t="n"/>
      <c r="Z47" s="107" t="n"/>
    </row>
    <row r="48">
      <c r="C48" s="116" t="inlineStr">
        <is>
          <t>Invested Capital / Net Revenues</t>
        </is>
      </c>
      <c r="D48" s="122">
        <f>IFERROR(IF(D18=0,"",D46/D18),"")</f>
        <v>2.29686972754287</v>
      </c>
      <c r="E48" s="122">
        <f>IFERROR(IF(E18=0,"",E46/E18),"")</f>
        <v>4.17404721194955</v>
      </c>
      <c r="F48" s="122">
        <f>IF(F18=0,"",F46/F18)</f>
        <v>2.521611902358</v>
      </c>
      <c r="G48" s="122">
        <f>IF(G18=0,"",G46/G18)</f>
        <v>2.15201939696219</v>
      </c>
      <c r="H48" s="122">
        <f>IF(H18=0,"",H46/H18)</f>
        <v>1.80161471206955</v>
      </c>
      <c r="I48" s="122">
        <f>IF(I18=0,"",I46/I18)</f>
        <v>1.49456061903453</v>
      </c>
      <c r="J48" s="122">
        <f>IF(J18=0,"",J46/J18)</f>
        <v>1.22005963270764</v>
      </c>
      <c r="K48" s="122">
        <f>IF(K18=0,"",K46/K18)</f>
        <v>0.968140425062719</v>
      </c>
      <c r="L48" s="122" t="n"/>
      <c r="M48" s="147" t="n"/>
      <c r="N48" s="147" t="n"/>
      <c r="O48" s="147" t="n"/>
      <c r="P48" s="147" t="n"/>
      <c r="Q48" s="147" t="n"/>
      <c r="R48" s="147" t="n"/>
      <c r="S48" s="147" t="n"/>
      <c r="T48" s="147" t="n"/>
      <c r="U48" s="147" t="n"/>
      <c r="V48" s="148" t="n"/>
      <c r="X48" s="106" t="n"/>
      <c r="Y48" s="107" t="n"/>
      <c r="Z48" s="107" t="n"/>
    </row>
    <row r="49">
      <c r="X49" s="107" t="n"/>
      <c r="Y49" s="107" t="n"/>
      <c r="Z49" s="107" t="n"/>
    </row>
    <row r="50">
      <c r="C50" s="149" t="inlineStr">
        <is>
          <t>ROIC</t>
        </is>
      </c>
      <c r="D50" s="150">
        <f>IF(D46=0,"",D25/D46)</f>
        <v>0</v>
      </c>
      <c r="E50" s="150">
        <f>IF(E46=0,"",E25/E46)</f>
        <v>0.00984061535782789</v>
      </c>
      <c r="F50" s="150">
        <f>IF(F46=0,"",F25/F46)</f>
        <v>0.0635256538183117</v>
      </c>
      <c r="G50" s="150">
        <f>IF(G46=0,"",G25/G46)</f>
        <v>0.0354296175794148</v>
      </c>
      <c r="H50" s="150">
        <f>IF(H46=0,"",H25/H46)</f>
        <v>0.046277623319345</v>
      </c>
      <c r="I50" s="150">
        <f>IF(I46=0,"",I25/I46)</f>
        <v>0.055785256181582</v>
      </c>
      <c r="J50" s="150">
        <f>IF(J46=0,"",J25/J46)</f>
        <v>0.0683363704335622</v>
      </c>
      <c r="K50" s="150">
        <f>IF(K46=0,"",K25/K46)</f>
        <v>0.08611813416049</v>
      </c>
      <c r="L50" s="150" t="n"/>
      <c r="M50" s="151" t="n"/>
      <c r="N50" s="151" t="n"/>
      <c r="O50" s="151" t="n"/>
      <c r="P50" s="151" t="n"/>
      <c r="Q50" s="151" t="n"/>
      <c r="R50" s="151" t="n"/>
      <c r="S50" s="151" t="n"/>
      <c r="T50" s="151" t="n"/>
      <c r="U50" s="151" t="n"/>
      <c r="V50" s="152" t="n"/>
      <c r="X50" s="115" t="n"/>
      <c r="Y50" s="115" t="n"/>
      <c r="Z50" s="153" t="n"/>
    </row>
    <row r="51">
      <c r="C51" s="102" t="inlineStr">
        <is>
          <t>Capital Turnover</t>
        </is>
      </c>
      <c r="D51" s="154">
        <f>IF(D46=0,"",D18/D46)</f>
        <v>0.435375149059835</v>
      </c>
      <c r="E51" s="154">
        <f>IF(E46=0,"",E18/E46)</f>
        <v>0.239575632287335</v>
      </c>
      <c r="F51" s="154">
        <f>IF(F46=0,"",F18/F46)</f>
        <v>0.396571732178487</v>
      </c>
      <c r="G51" s="154">
        <f>IF(G46=0,"",G18/G46)</f>
        <v>0.464679826497666</v>
      </c>
      <c r="H51" s="154">
        <f>IF(H46=0,"",H18/H46)</f>
        <v>0.555057634299222</v>
      </c>
      <c r="I51" s="154">
        <f>IF(I46=0,"",I18/I46)</f>
        <v>0.669092967701765</v>
      </c>
      <c r="J51" s="154">
        <f>IF(J46=0,"",J18/J46)</f>
        <v>0.819632068131566</v>
      </c>
      <c r="K51" s="154">
        <f>IF(K46=0,"",K18/K46)</f>
        <v>1.03290801015278</v>
      </c>
      <c r="L51" s="154" t="n"/>
      <c r="M51" s="154" t="n"/>
      <c r="N51" s="154" t="n"/>
      <c r="O51" s="154" t="n"/>
      <c r="P51" s="154" t="n"/>
      <c r="Q51" s="154" t="n"/>
      <c r="R51" s="154" t="n"/>
      <c r="S51" s="154" t="n"/>
      <c r="T51" s="154" t="n"/>
      <c r="U51" s="154" t="n"/>
      <c r="V51" s="154" t="n"/>
    </row>
    <row r="53" customFormat="1" s="102">
      <c r="A53" s="283" t="n"/>
      <c r="B53" s="283" t="n"/>
      <c r="C53" s="102" t="inlineStr">
        <is>
          <t>Unlevered free cash flows = FCFF</t>
        </is>
      </c>
      <c r="D53" s="155">
        <f>D25+D44</f>
        <v>-1745.938</v>
      </c>
      <c r="E53" s="155">
        <f>E25+E44</f>
        <v>-12584.4679563129</v>
      </c>
      <c r="F53" s="155">
        <f>F25+F44</f>
        <v>2854.571</v>
      </c>
      <c r="G53" s="156">
        <f>G25+G44</f>
        <v>2343.33474036243</v>
      </c>
      <c r="H53" s="155">
        <f>H25+H44</f>
        <v>2676.69483424564</v>
      </c>
      <c r="I53" s="155">
        <f>I25+I44</f>
        <v>3203.98569033145</v>
      </c>
      <c r="J53" s="155">
        <f>J25+J44</f>
        <v>3874.36008272578</v>
      </c>
      <c r="K53" s="155">
        <f>K25+K44</f>
        <v>4741.61839513157</v>
      </c>
      <c r="L53" s="155" t="n"/>
      <c r="M53" s="155" t="n"/>
      <c r="N53" s="155" t="n"/>
      <c r="O53" s="155" t="n"/>
      <c r="P53" s="155" t="n"/>
      <c r="Q53" s="155" t="n"/>
      <c r="R53" s="155" t="n"/>
      <c r="S53" s="155" t="n"/>
      <c r="T53" s="155" t="n"/>
      <c r="U53" s="155" t="n"/>
      <c r="V53" s="155" t="n"/>
    </row>
    <row r="54">
      <c r="C54" s="157" t="inlineStr">
        <is>
          <t>Discount factor</t>
        </is>
      </c>
      <c r="G54" s="158" t="str">
        <f>IF(Control!E12="","",1/(1+Control!E12)^Control!B13)</f>
        <v/>
      </c>
      <c r="H54" s="158" t="str">
        <f>IF(G54="","",G54/(1+Control!E12))</f>
        <v/>
      </c>
      <c r="I54" s="158" t="str">
        <f>IF(H54="","",H54/(1+Control!E12))</f>
        <v/>
      </c>
      <c r="J54" s="158" t="str">
        <f>IF(I54="","",I54/(1+Control!E12))</f>
        <v/>
      </c>
      <c r="K54" s="158" t="str">
        <f>IF(J54="","",J54/(1+Control!E12))</f>
        <v/>
      </c>
      <c r="L54" s="158" t="n"/>
      <c r="M54" s="158" t="n"/>
      <c r="N54" s="158" t="n"/>
      <c r="O54" s="158" t="n"/>
      <c r="P54" s="158" t="n"/>
      <c r="Q54" s="158" t="n"/>
      <c r="R54" s="158" t="n"/>
      <c r="S54" s="158" t="n"/>
      <c r="T54" s="158" t="n"/>
      <c r="U54" s="158" t="n"/>
      <c r="V54" s="158" t="n"/>
    </row>
    <row r="55">
      <c r="C55" s="157" t="inlineStr">
        <is>
          <t>Midyear adjustment factor</t>
        </is>
      </c>
      <c r="G55" s="159" t="str">
        <f>IF(Control!E12="","",(1+Control!E12)^0.5)</f>
        <v/>
      </c>
      <c r="H55" s="158" t="str">
        <f>G55</f>
        <v/>
      </c>
      <c r="I55" s="158" t="str">
        <f>H55</f>
        <v/>
      </c>
      <c r="J55" s="158" t="str">
        <f>I55</f>
        <v/>
      </c>
      <c r="K55" s="158" t="str">
        <f>J55</f>
        <v/>
      </c>
      <c r="L55" s="158" t="n"/>
      <c r="M55" s="158" t="n"/>
      <c r="N55" s="158" t="n"/>
      <c r="O55" s="158" t="n"/>
      <c r="P55" s="158" t="n"/>
      <c r="Q55" s="158" t="n"/>
      <c r="R55" s="158" t="n"/>
      <c r="S55" s="158" t="n"/>
      <c r="T55" s="158" t="n"/>
      <c r="U55" s="158" t="n"/>
      <c r="V55" s="158" t="n"/>
    </row>
    <row r="56">
      <c r="C56" s="157" t="inlineStr">
        <is>
          <t>Present value of free cash flows</t>
        </is>
      </c>
      <c r="G56" s="141" t="str">
        <f>IF(G54="","",G53*G54*G55)</f>
        <v/>
      </c>
      <c r="H56" s="141" t="str">
        <f>IF(H54="","",H53*H54*H55)</f>
        <v/>
      </c>
      <c r="I56" s="141" t="str">
        <f>IF(I54="","",I53*I54*I55)</f>
        <v/>
      </c>
      <c r="J56" s="141" t="str">
        <f>IF(J54="","",J53*J54*J55)</f>
        <v/>
      </c>
      <c r="K56" s="141" t="str">
        <f>IF(K54="","",K53*K54*K55)</f>
        <v/>
      </c>
      <c r="L56" s="141" t="n"/>
      <c r="M56" s="141" t="n"/>
      <c r="N56" s="141" t="n"/>
      <c r="O56" s="141" t="n"/>
      <c r="P56" s="141" t="n"/>
      <c r="Q56" s="141" t="n"/>
      <c r="R56" s="141" t="n"/>
      <c r="S56" s="141" t="n"/>
      <c r="T56" s="141" t="n"/>
      <c r="U56" s="141" t="n"/>
      <c r="V56" s="141" t="n"/>
    </row>
    <row r="57">
      <c r="C57" s="102" t="inlineStr">
        <is>
          <t>Sum of present values of FCFs</t>
        </is>
      </c>
      <c r="G57" s="155" t="str">
        <f>IF(COUNT(G56:K56)=0,"",SUM(G56:K56))</f>
        <v/>
      </c>
      <c r="H57" s="141" t="n"/>
      <c r="N57" s="160" t="n"/>
    </row>
    <row r="59">
      <c r="C59" s="102" t="n"/>
      <c r="D59" s="95">
        <f>IF(Control!B9="","",Control!B9)</f>
        <v>47848.0</v>
      </c>
      <c r="E59" s="161" t="n"/>
      <c r="F59" s="162" t="n"/>
      <c r="G59" s="162" t="n"/>
      <c r="H59" s="95">
        <f>IF(Control!B7="","",Control!B7)</f>
        <v>46203.0</v>
      </c>
      <c r="I59" s="162" t="n"/>
      <c r="J59" s="162" t="n"/>
      <c r="K59" s="162" t="n"/>
      <c r="L59" s="162" t="n"/>
    </row>
    <row r="60" ht="13.5" customHeight="1">
      <c r="C60" s="163" t="inlineStr">
        <is>
          <t>Terminal value</t>
        </is>
      </c>
      <c r="D60" s="164" t="n"/>
      <c r="E60" s="165" t="inlineStr">
        <is>
          <t>Equity value calculations</t>
        </is>
      </c>
      <c r="F60" s="166" t="n"/>
      <c r="G60" s="166" t="n"/>
      <c r="H60" s="166" t="n"/>
      <c r="I60" s="167" t="inlineStr">
        <is>
          <t xml:space="preserve"> Shares Outstanding Worksheet</t>
        </is>
      </c>
      <c r="J60" s="168" t="n"/>
      <c r="K60" s="169" t="n"/>
      <c r="L60" s="170" t="n"/>
    </row>
    <row r="61">
      <c r="C61" s="143" t="n"/>
      <c r="D61" s="144" t="n"/>
      <c r="I61" s="143" t="n"/>
      <c r="L61" s="144" t="n"/>
    </row>
    <row r="62">
      <c r="C62" s="171" t="inlineStr">
        <is>
          <t>Key value driver method</t>
        </is>
      </c>
      <c r="D62" s="172" t="n"/>
      <c r="E62" s="173" t="inlineStr">
        <is>
          <t>Enterprise value</t>
        </is>
      </c>
      <c r="H62" s="155" t="str">
        <f>D80</f>
        <v/>
      </c>
      <c r="I62" s="174" t="inlineStr">
        <is>
          <t>Basic Shares Outanding :</t>
        </is>
      </c>
      <c r="J62" s="97" t="n"/>
      <c r="L62" s="175" t="n"/>
    </row>
    <row r="63" ht="13.5" customHeight="1">
      <c r="C63" s="171" t="inlineStr">
        <is>
          <t>g</t>
        </is>
      </c>
      <c r="D63" s="176" t="str">
        <f>IF(Control!E13="","",Control!E13)</f>
        <v/>
      </c>
      <c r="E63" s="157" t="inlineStr">
        <is>
          <t>Calculation of net debt:</t>
        </is>
      </c>
      <c r="H63" s="141" t="n"/>
      <c r="I63" s="174" t="inlineStr">
        <is>
          <t>Current Share Price:</t>
        </is>
      </c>
      <c r="L63" s="177" t="n"/>
    </row>
    <row r="64" ht="13.5" customHeight="1">
      <c r="C64" s="171" t="inlineStr">
        <is>
          <t>RONIC</t>
        </is>
      </c>
      <c r="D64" s="178">
        <f>K50</f>
        <v>0.08611813416049</v>
      </c>
      <c r="E64" s="157" t="inlineStr">
        <is>
          <t>Current portion of long-term debt</t>
        </is>
      </c>
      <c r="H64" s="137">
        <f>IFERROR(INDEX(Model!$I$211:$BF$211,1,MATCH(Control!$B$7,Model!$I$5:$BF$5,0)),"")</f>
        <v>1922.546</v>
      </c>
      <c r="I64" s="179" t="inlineStr">
        <is>
          <t>Options / Warrants Data</t>
        </is>
      </c>
      <c r="J64" s="109" t="n"/>
      <c r="K64" s="109" t="n"/>
      <c r="L64" s="180" t="n"/>
    </row>
    <row r="65">
      <c r="C65" s="171" t="inlineStr">
        <is>
          <t>NOPLAT (t+1)</t>
        </is>
      </c>
      <c r="D65" s="181" t="str">
        <f>IF(D63="","",K25*(1+D63))</f>
        <v/>
      </c>
      <c r="E65" s="157" t="inlineStr">
        <is>
          <t>Short term debt</t>
        </is>
      </c>
      <c r="H65" s="137">
        <f>IFERROR(INDEX(Model!$I$212:$BF$212,1,MATCH(Control!$B$7,Model!$I$5:$BF$5,0)),"")</f>
        <v>0</v>
      </c>
      <c r="I65" s="179" t="n"/>
      <c r="J65" s="182" t="inlineStr">
        <is>
          <t># of options</t>
        </is>
      </c>
      <c r="K65" s="182" t="inlineStr">
        <is>
          <t xml:space="preserve">$ strike </t>
        </is>
      </c>
      <c r="L65" s="180" t="n"/>
    </row>
    <row r="66">
      <c r="C66" s="171" t="inlineStr">
        <is>
          <t>Terminal value</t>
        </is>
      </c>
      <c r="D66" s="181" t="str">
        <f>IF(OR(Control!E12="",D64="",D64&lt;=D63,Control!E12&lt;=D63),"",(D65*(1-D63/D64))/(Control!E12-D63))</f>
        <v/>
      </c>
      <c r="E66" s="157" t="inlineStr">
        <is>
          <t>Long term debt</t>
        </is>
      </c>
      <c r="H66" s="137">
        <f>IFERROR(INDEX(Model!$I$216:$BF$216,1,MATCH(Control!$B$7,Model!$I$5:$BF$5,0)),"")</f>
        <v>21568.987</v>
      </c>
      <c r="I66" s="157" t="inlineStr">
        <is>
          <t>Batch 1</t>
        </is>
      </c>
      <c r="J66" s="183" t="n"/>
      <c r="K66" s="184" t="n"/>
      <c r="L66" s="185" t="n"/>
    </row>
    <row r="67">
      <c r="C67" s="171" t="inlineStr">
        <is>
          <t>Midyear adjusted terminal value</t>
        </is>
      </c>
      <c r="D67" s="181" t="str">
        <f>IF(D66="","",D66*K55)</f>
        <v/>
      </c>
      <c r="E67" s="157" t="inlineStr">
        <is>
          <t>Convertible debt</t>
        </is>
      </c>
      <c r="H67" s="137">
        <f>IFERROR(INDEX(Model!$I$237:$BF$237,1,MATCH(Control!$B$7,Model!$I$5:$BF$5,0)),"")</f>
        <v>0</v>
      </c>
      <c r="I67" s="157" t="inlineStr">
        <is>
          <t>Batch 2</t>
        </is>
      </c>
      <c r="J67" s="186" t="n"/>
      <c r="K67" s="187" t="n"/>
      <c r="L67" s="185" t="n"/>
    </row>
    <row r="68">
      <c r="C68" s="171" t="inlineStr">
        <is>
          <t>Present value of terminal value</t>
        </is>
      </c>
      <c r="D68" s="181" t="str">
        <f>IF(D67="","",D67*K54)</f>
        <v/>
      </c>
      <c r="E68" s="157" t="inlineStr">
        <is>
          <t>Minority interest</t>
        </is>
      </c>
      <c r="H68" s="137">
        <f>IFERROR(INDEX(Model!$I$247:$BF$247,1,MATCH(Control!$B$7,Model!$I$5:$BF$5,0)),"")</f>
        <v>1245.517</v>
      </c>
      <c r="I68" s="157" t="inlineStr">
        <is>
          <t>Batch 3</t>
        </is>
      </c>
      <c r="J68" s="186" t="n"/>
      <c r="K68" s="187" t="n"/>
      <c r="L68" s="185" t="n"/>
    </row>
    <row r="69">
      <c r="C69" s="174" t="inlineStr">
        <is>
          <t>Enterprise value</t>
        </is>
      </c>
      <c r="D69" s="188" t="str">
        <f>IF(OR(D68="",G57=""),"",D68+G57)</f>
        <v/>
      </c>
      <c r="E69" s="157" t="inlineStr">
        <is>
          <t>Convertible preferred stock</t>
        </is>
      </c>
      <c r="H69" s="137">
        <f>IFERROR(INDEX(Model!$I$252:$BF$252,1,MATCH(Control!$B$7,Model!$I$5:$BF$5,0)),"")</f>
        <v>0</v>
      </c>
      <c r="I69" s="157" t="inlineStr">
        <is>
          <t>Batch 4</t>
        </is>
      </c>
      <c r="J69" s="186" t="n"/>
      <c r="K69" s="187" t="n"/>
      <c r="L69" s="185" t="n"/>
    </row>
    <row r="70">
      <c r="C70" s="143" t="n"/>
      <c r="D70" s="144" t="n"/>
      <c r="E70" s="157" t="inlineStr">
        <is>
          <t>Short term operating leases</t>
        </is>
      </c>
      <c r="H70" s="137">
        <f>IFERROR(INDEX(Model!$I$213:$BF$213,1,MATCH(Control!$B$7,Model!$I$5:$BF$5,0)),"")</f>
        <v>13.608</v>
      </c>
      <c r="I70" s="157" t="inlineStr">
        <is>
          <t>Batch 5</t>
        </is>
      </c>
      <c r="J70" s="186" t="n"/>
      <c r="K70" s="187" t="n"/>
      <c r="L70" s="185" t="n"/>
    </row>
    <row r="71">
      <c r="C71" s="171" t="inlineStr">
        <is>
          <t>Exit multiple method</t>
        </is>
      </c>
      <c r="D71" s="172" t="n"/>
      <c r="E71" s="157" t="inlineStr">
        <is>
          <t>Long term operating leases</t>
        </is>
      </c>
      <c r="H71" s="137">
        <f>IFERROR(INDEX(Model!$I$234:$BF$234,1,MATCH(Control!$B$7,Model!$I$5:$BF$5,0)),"")</f>
        <v>149.083</v>
      </c>
      <c r="I71" s="179" t="inlineStr">
        <is>
          <t>Batch 6</t>
        </is>
      </c>
      <c r="J71" s="189" t="n"/>
      <c r="K71" s="190" t="n"/>
      <c r="L71" s="191" t="n"/>
    </row>
    <row r="72">
      <c r="C72" s="174" t="inlineStr">
        <is>
          <t>Exit EV / EBITDA multiple</t>
        </is>
      </c>
      <c r="D72" s="192" t="str">
        <f>IF(Control!E14="","",Control!E14)</f>
        <v/>
      </c>
      <c r="E72" s="157" t="inlineStr">
        <is>
          <t>Less: Excess cash</t>
        </is>
      </c>
      <c r="H72" s="137">
        <f>IFERROR(-INDEX(Model!$I$143:$BF$143,1,MATCH(Control!$B$7,Model!$I$5:$BF$5,0)),"")</f>
        <v>-3638.808</v>
      </c>
      <c r="J72" s="162" t="n"/>
      <c r="K72" s="193" t="inlineStr">
        <is>
          <t>Total in-the-$ options:</t>
        </is>
      </c>
      <c r="L72" s="185" t="n"/>
    </row>
    <row r="73">
      <c r="C73" s="174" t="inlineStr">
        <is>
          <t>LTM EBITDA at end of projection</t>
        </is>
      </c>
      <c r="D73" s="188">
        <f>K20</f>
        <v>6432.44874405773</v>
      </c>
      <c r="E73" s="157" t="inlineStr">
        <is>
          <t>Less: Equity investments</t>
        </is>
      </c>
      <c r="H73" s="137">
        <f>IFERROR(-INDEX(Model!$I$160:$BF$160,1,MATCH(Control!$B$7,Model!$I$5:$BF$5,0)),"")</f>
        <v>-2043.198</v>
      </c>
      <c r="J73" s="162" t="n"/>
      <c r="K73" s="193" t="inlineStr">
        <is>
          <t>Total $ proceeds:</t>
        </is>
      </c>
      <c r="L73" s="194" t="n"/>
    </row>
    <row r="74">
      <c r="C74" s="174" t="inlineStr">
        <is>
          <t>Terminal value</t>
        </is>
      </c>
      <c r="D74" s="188" t="str">
        <f>IF(OR(D72="",D73=""),"",D73*D72)</f>
        <v/>
      </c>
      <c r="E74" s="157" t="inlineStr">
        <is>
          <t>Net debt</t>
        </is>
      </c>
      <c r="H74" s="188">
        <f>IFERROR(SUM(H64:H73),"")</f>
        <v>19217.735</v>
      </c>
      <c r="J74" s="162" t="n"/>
      <c r="K74" s="193" t="inlineStr">
        <is>
          <t>Total shares repurchased:</t>
        </is>
      </c>
      <c r="L74" s="185" t="n"/>
    </row>
    <row r="75">
      <c r="C75" s="174" t="inlineStr">
        <is>
          <t>Present value of terminal value</t>
        </is>
      </c>
      <c r="D75" s="188" t="str">
        <f>IF(OR(D74="",K54="",K55=""),"",D74*K54*K55)</f>
        <v/>
      </c>
      <c r="E75" s="173" t="inlineStr">
        <is>
          <t>Equity value</t>
        </is>
      </c>
      <c r="H75" s="181" t="str">
        <f>IFERROR(IF(H62="","",H62-H74),"")</f>
        <v/>
      </c>
      <c r="J75" s="162" t="n"/>
      <c r="K75" s="195" t="inlineStr">
        <is>
          <t>Basic shares outstanding</t>
        </is>
      </c>
      <c r="L75" s="172" t="n"/>
    </row>
    <row r="76" ht="13.5" customHeight="1">
      <c r="C76" s="174" t="inlineStr">
        <is>
          <t>Enterprise value</t>
        </is>
      </c>
      <c r="D76" s="188" t="str">
        <f>IF(OR(D75="",G57=""),"",G57+D75)</f>
        <v/>
      </c>
      <c r="E76" s="157" t="inlineStr">
        <is>
          <t>Shares outstanding</t>
        </is>
      </c>
      <c r="H76" s="188" t="str">
        <f>IF(Control!E5="","",Control!E5)</f>
        <v/>
      </c>
      <c r="J76" s="196" t="n"/>
      <c r="K76" s="195" t="inlineStr">
        <is>
          <t>New shares from options:</t>
        </is>
      </c>
      <c r="L76" s="172" t="n"/>
    </row>
    <row r="77" ht="13.5" customHeight="1">
      <c r="C77" s="143" t="n"/>
      <c r="D77" s="197" t="n"/>
      <c r="E77" s="173" t="inlineStr">
        <is>
          <t>Equity value / share</t>
        </is>
      </c>
      <c r="H77" s="198" t="str">
        <f>IFERROR(IF(OR(H75="",H76="",H76=0),"",H75/H76),"")</f>
        <v/>
      </c>
      <c r="K77" s="195" t="inlineStr">
        <is>
          <t>New shares from convert. pref. stock:</t>
        </is>
      </c>
      <c r="L77" s="199" t="n"/>
    </row>
    <row r="78">
      <c r="C78" s="171" t="inlineStr">
        <is>
          <t>Select a terminal value method</t>
        </is>
      </c>
      <c r="D78" s="200" t="n"/>
      <c r="F78" s="160" t="n"/>
      <c r="H78" s="201" t="n"/>
      <c r="K78" s="195" t="inlineStr">
        <is>
          <t>New shares from convertible debt:</t>
        </is>
      </c>
      <c r="L78" s="202" t="n"/>
    </row>
    <row r="79">
      <c r="C79" s="174" t="inlineStr">
        <is>
          <t>Perpetual growth = 1 / Exit multiple = 2</t>
        </is>
      </c>
      <c r="D79" s="203">
        <f>Control!B11</f>
        <v>1</v>
      </c>
      <c r="H79" s="201" t="n"/>
      <c r="K79" s="204" t="inlineStr">
        <is>
          <t>Total Shares Outstanding:</t>
        </is>
      </c>
      <c r="L79" s="205" t="n"/>
    </row>
    <row r="80">
      <c r="C80" s="174" t="inlineStr">
        <is>
          <t>Enterprise value</t>
        </is>
      </c>
      <c r="D80" s="172" t="str">
        <f>IF(D79=1,D69,D76)</f>
        <v/>
      </c>
      <c r="H80" s="144" t="n"/>
      <c r="K80" s="204" t="n"/>
      <c r="L80" s="205" t="n"/>
    </row>
    <row r="81">
      <c r="C81" s="206" t="inlineStr">
        <is>
          <t>Terminal value as percent of total value</t>
        </is>
      </c>
      <c r="D81" s="207" t="str">
        <f>IFERROR(IF(D79=1,D68/D69,D75/D76),"")</f>
        <v/>
      </c>
      <c r="E81" s="109" t="n"/>
      <c r="F81" s="109" t="n"/>
      <c r="G81" s="109" t="n"/>
      <c r="H81" s="123" t="n"/>
      <c r="I81" s="109" t="n"/>
      <c r="J81" s="109" t="n"/>
      <c r="K81" s="109" t="n"/>
      <c r="L81" s="123" t="n"/>
    </row>
    <row r="83" ht="13.5" customHeight="1">
      <c r="C83" s="208" t="inlineStr">
        <is>
          <t>Analysis of WACC</t>
        </is>
      </c>
      <c r="D83" s="209" t="n"/>
      <c r="E83" s="210" t="n"/>
      <c r="F83" s="210" t="n"/>
      <c r="G83" s="208" t="n"/>
      <c r="H83" s="209" t="n"/>
      <c r="I83" s="210" t="n"/>
      <c r="J83" s="210" t="n"/>
      <c r="K83" s="210" t="n"/>
      <c r="L83" s="210" t="n"/>
    </row>
    <row r="85">
      <c r="C85" s="211" t="inlineStr">
        <is>
          <t>Cost of debt</t>
        </is>
      </c>
      <c r="D85" s="109" t="n"/>
      <c r="F85" s="211" t="inlineStr">
        <is>
          <t>Capital structure</t>
        </is>
      </c>
      <c r="G85" s="211" t="n"/>
      <c r="H85" s="211" t="n"/>
      <c r="I85" s="211" t="n"/>
      <c r="J85" s="211" t="n"/>
    </row>
    <row r="86">
      <c r="C86" s="157" t="inlineStr">
        <is>
          <t>Cost of debt</t>
        </is>
      </c>
      <c r="D86" s="212">
        <f>IF(Control!E9="","",Control!E9)</f>
        <v>0.13736426154844</v>
      </c>
      <c r="G86" s="284" t="inlineStr">
        <is>
          <t>Current capital structure</t>
        </is>
      </c>
      <c r="H86" s="285" t="n"/>
      <c r="I86" s="286" t="inlineStr">
        <is>
          <t>Target capital structure</t>
        </is>
      </c>
      <c r="J86" s="287" t="n"/>
    </row>
    <row r="87">
      <c r="C87" s="157" t="inlineStr">
        <is>
          <t>Marginal tax rate</t>
        </is>
      </c>
      <c r="D87" s="212" t="str">
        <f>IF(Control!E10="","",Control!E10)</f>
        <v/>
      </c>
      <c r="F87" s="109" t="n"/>
      <c r="G87" s="182" t="inlineStr">
        <is>
          <t>Market value</t>
        </is>
      </c>
      <c r="H87" s="182" t="inlineStr">
        <is>
          <t>% Weight</t>
        </is>
      </c>
      <c r="I87" s="182" t="inlineStr">
        <is>
          <t>override</t>
        </is>
      </c>
      <c r="J87" s="213" t="inlineStr">
        <is>
          <t>% Weight</t>
        </is>
      </c>
      <c r="K87" s="214" t="n"/>
      <c r="L87" s="215" t="n"/>
    </row>
    <row r="88">
      <c r="C88" s="283" t="inlineStr">
        <is>
          <t>Cost of debt after tax shield</t>
        </is>
      </c>
      <c r="D88" s="216" t="str">
        <f>IF(OR(D86="",D87=""),"",D86*(1-D87))</f>
        <v/>
      </c>
      <c r="F88" s="283" t="inlineStr">
        <is>
          <t>Net debt</t>
        </is>
      </c>
      <c r="G88" s="217">
        <f>IFERROR(H74,"")</f>
        <v>19217.735</v>
      </c>
      <c r="H88" s="97">
        <f>IFERROR(debt/totalcap,"")</f>
        <v>1</v>
      </c>
      <c r="I88" s="212" t="n"/>
      <c r="J88" s="97">
        <f>IFERROR(IF(I88,I88,H88),"")</f>
        <v>1</v>
      </c>
      <c r="L88" s="218" t="n"/>
    </row>
    <row r="89">
      <c r="F89" s="283" t="inlineStr">
        <is>
          <t>Equity</t>
        </is>
      </c>
      <c r="G89" s="217">
        <f>L63*L79</f>
        <v>0</v>
      </c>
      <c r="H89" s="97">
        <f>IFERROR(1-H88,"")</f>
        <v>0</v>
      </c>
      <c r="J89" s="97">
        <f>IFERROR(1-debt_weight,"")</f>
        <v>0</v>
      </c>
    </row>
    <row r="90">
      <c r="C90" s="211" t="inlineStr">
        <is>
          <t>Cost of equity</t>
        </is>
      </c>
      <c r="D90" s="109" t="n"/>
      <c r="F90" s="283" t="inlineStr">
        <is>
          <t>Total</t>
        </is>
      </c>
      <c r="G90" s="214">
        <f>IFERROR(SUM(G88:G89),"")</f>
        <v>19217.735</v>
      </c>
    </row>
    <row r="91">
      <c r="C91" s="157" t="inlineStr">
        <is>
          <t>Risk-Free Rate (rf)</t>
        </is>
      </c>
      <c r="D91" s="212" t="str">
        <f>IF(Control!E6="","",Control!E6)</f>
        <v/>
      </c>
      <c r="E91" s="195" t="n"/>
    </row>
    <row r="92">
      <c r="C92" s="157" t="inlineStr">
        <is>
          <t>Market Risk Premium (rm-rf)</t>
        </is>
      </c>
      <c r="D92" s="212" t="str">
        <f>IF(Control!E7="","",Control!E7)</f>
        <v/>
      </c>
      <c r="F92" s="211" t="inlineStr">
        <is>
          <t>Weighted average cost of capital</t>
        </is>
      </c>
      <c r="G92" s="109" t="n"/>
      <c r="H92" s="109" t="n"/>
      <c r="I92" s="109" t="n"/>
      <c r="J92" s="109" t="n"/>
    </row>
    <row r="93">
      <c r="C93" s="157" t="inlineStr">
        <is>
          <t>Raw (observed) beta</t>
        </is>
      </c>
      <c r="D93" s="219" t="str">
        <f>IF(Control!E8="","",Control!E8)</f>
        <v/>
      </c>
      <c r="F93" s="283" t="inlineStr">
        <is>
          <t>Weighted average cost of capital:</t>
        </is>
      </c>
      <c r="J93" s="97" t="str">
        <f>IF(Control!E12="","",Control!E12)</f>
        <v/>
      </c>
    </row>
    <row r="94">
      <c r="C94" s="157" t="inlineStr">
        <is>
          <t>Cost of equity using relevered industry beta</t>
        </is>
      </c>
      <c r="D94" s="216" t="str">
        <f>IF(COUNT(D91:D93)&lt;3,"",D91+D93*D92)</f>
        <v/>
      </c>
      <c r="E94" s="102" t="n"/>
    </row>
    <row r="95">
      <c r="C95" s="157" t="n"/>
      <c r="D95" s="216" t="n"/>
      <c r="E95" s="102" t="n"/>
      <c r="G95" s="214" t="n"/>
    </row>
    <row r="96">
      <c r="C96" s="211" t="inlineStr">
        <is>
          <t>Industry beta calculation</t>
        </is>
      </c>
      <c r="D96" s="109" t="n"/>
      <c r="E96" s="109" t="n"/>
      <c r="F96" s="109" t="n"/>
      <c r="G96" s="109" t="n"/>
      <c r="H96" s="109" t="n"/>
      <c r="I96" s="109" t="n"/>
      <c r="J96" s="109" t="n"/>
      <c r="K96" s="109" t="n"/>
      <c r="L96" s="109" t="n"/>
      <c r="M96" s="109" t="n"/>
    </row>
    <row r="97" ht="25.5" customHeight="1">
      <c r="C97" s="220" t="inlineStr">
        <is>
          <t xml:space="preserve">Comps </t>
        </is>
      </c>
      <c r="D97" s="221" t="inlineStr">
        <is>
          <t>Raw beta</t>
        </is>
      </c>
      <c r="E97" s="221" t="inlineStr">
        <is>
          <t>Share price</t>
        </is>
      </c>
      <c r="F97" s="221" t="inlineStr">
        <is>
          <t>Shares</t>
        </is>
      </c>
      <c r="G97" s="221" t="inlineStr">
        <is>
          <t>Market cap.</t>
        </is>
      </c>
      <c r="H97" s="221" t="inlineStr">
        <is>
          <t>Debt</t>
        </is>
      </c>
      <c r="I97" s="221" t="inlineStr">
        <is>
          <t>D / E</t>
        </is>
      </c>
      <c r="J97" s="221" t="inlineStr">
        <is>
          <t>Tax rate</t>
        </is>
      </c>
      <c r="K97" s="221" t="inlineStr">
        <is>
          <t>Unl. Beta</t>
        </is>
      </c>
      <c r="L97" s="221" t="n"/>
      <c r="M97" s="221" t="n"/>
    </row>
    <row r="98">
      <c r="C98" s="283" t="str">
        <f>ticker</f>
        <v>AURE3</v>
      </c>
      <c r="D98" s="222" t="n"/>
      <c r="E98" s="223" t="n"/>
      <c r="F98" s="141" t="n"/>
      <c r="G98" s="141" t="n"/>
      <c r="H98" s="141" t="n"/>
      <c r="I98" s="224" t="n"/>
      <c r="J98" s="224" t="n"/>
      <c r="K98" s="222" t="n"/>
      <c r="L98" s="225" t="n"/>
    </row>
    <row r="99">
      <c r="C99" s="226" t="inlineStr">
        <is>
          <t>TICKER 2</t>
        </is>
      </c>
      <c r="D99" s="219" t="n"/>
      <c r="E99" s="227" t="n"/>
      <c r="F99" s="228" t="n"/>
      <c r="G99" s="141" t="n"/>
      <c r="H99" s="228" t="n"/>
      <c r="I99" s="224" t="n"/>
      <c r="J99" s="229" t="n"/>
      <c r="K99" s="222" t="n"/>
      <c r="L99" s="225" t="n"/>
    </row>
    <row r="100">
      <c r="C100" s="226" t="inlineStr">
        <is>
          <t>TICKER 3</t>
        </is>
      </c>
      <c r="D100" s="219" t="n"/>
      <c r="E100" s="227" t="n"/>
      <c r="F100" s="228" t="n"/>
      <c r="G100" s="141" t="n"/>
      <c r="H100" s="228" t="n"/>
      <c r="I100" s="224" t="n"/>
      <c r="J100" s="229" t="n"/>
      <c r="K100" s="222" t="n"/>
      <c r="L100" s="225" t="n"/>
    </row>
    <row r="101">
      <c r="C101" s="230" t="inlineStr">
        <is>
          <t>TICKER 4</t>
        </is>
      </c>
      <c r="D101" s="231" t="n"/>
      <c r="E101" s="232" t="n"/>
      <c r="F101" s="233" t="n"/>
      <c r="G101" s="127" t="n"/>
      <c r="H101" s="233" t="n"/>
      <c r="I101" s="234" t="n"/>
      <c r="J101" s="235" t="n"/>
      <c r="K101" s="236" t="n"/>
      <c r="L101" s="225" t="n"/>
      <c r="M101" s="237" t="n"/>
    </row>
    <row r="102">
      <c r="D102" s="222" t="n"/>
      <c r="E102" s="204" t="n"/>
      <c r="F102" s="161" t="n"/>
      <c r="G102" s="141" t="n"/>
      <c r="I102" s="222" t="n"/>
      <c r="J102" s="237" t="n"/>
      <c r="K102" s="238" t="n"/>
      <c r="L102" s="238" t="n"/>
      <c r="M102" s="238" t="n"/>
    </row>
  </sheetData>
  <mergeCells count="4">
    <mergeCell ref="G14:V14"/>
    <mergeCell ref="G86:H86"/>
    <mergeCell ref="I86:J86"/>
    <mergeCell ref="G15:V15"/>
  </mergeCells>
  <pageMargins left="0.7" right="0.7" top="0.75" bottom="0.75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FF70AD47"/>
    <outlinePr summaryBelow="1" summaryRight="1"/>
    <pageSetUpPr/>
  </sheetPr>
  <dimension ref="A1:F33"/>
  <sheetViews>
    <sheetView showGridLines="0" zoomScaleNormal="100" workbookViewId="0">
      <pane ySplit="1" topLeftCell="A2" activePane="bottomLeft" state="frozen"/>
      <selection pane="bottomLeft" activeCell="B3" sqref="B3:B12"/>
    </sheetView>
  </sheetViews>
  <sheetFormatPr baseColWidth="8" defaultColWidth="9.7109375" defaultRowHeight="12.75"/>
  <cols>
    <col width="43.140625" customWidth="1" min="1" max="1"/>
    <col width="27.28515625" customWidth="1" min="2" max="2"/>
    <col width="18.140625" customWidth="1" min="3" max="3"/>
    <col width="34" customWidth="1" min="4" max="4"/>
    <col width="18.140625" customWidth="1" min="5" max="6"/>
  </cols>
  <sheetData>
    <row r="1" ht="18" customHeight="1">
      <c r="A1" s="239" t="inlineStr">
        <is>
          <t>CONTROL &amp; ASSUMPTIONS – BASE MODEL</t>
        </is>
      </c>
      <c r="B1" s="239" t="n"/>
      <c r="C1" s="239" t="n"/>
      <c r="D1" s="239" t="n"/>
      <c r="E1" s="239" t="n"/>
      <c r="F1" s="239" t="n"/>
    </row>
    <row r="3" ht="14.25" customHeight="1">
      <c r="A3" t="inlineStr">
        <is>
          <t>Company</t>
        </is>
      </c>
      <c r="B3" s="240" t="inlineStr">
        <is>
          <t>Auren Energia S.A.</t>
        </is>
      </c>
      <c r="D3" s="241" t="inlineStr">
        <is>
          <t>Valuation assumptions</t>
        </is>
      </c>
      <c r="E3" s="241" t="n"/>
      <c r="F3" s="241" t="n"/>
    </row>
    <row r="4" ht="14.25" customHeight="1">
      <c r="A4" t="inlineStr">
        <is>
          <t>Ticker</t>
        </is>
      </c>
      <c r="B4" s="240" t="inlineStr">
        <is>
          <t>AURE3</t>
        </is>
      </c>
      <c r="D4" t="inlineStr">
        <is>
          <t>Last close (R$/share)</t>
        </is>
      </c>
      <c r="E4" s="242" t="n"/>
    </row>
    <row r="5" ht="14.25" customHeight="1">
      <c r="A5" t="inlineStr">
        <is>
          <t>Currency</t>
        </is>
      </c>
      <c r="B5" s="240" t="n"/>
      <c r="D5" t="inlineStr">
        <is>
          <t>Shares outstanding (mm)</t>
        </is>
      </c>
      <c r="E5" s="243" t="n"/>
    </row>
    <row r="6" ht="14.25" customHeight="1">
      <c r="A6" t="inlineStr">
        <is>
          <t>Model unit</t>
        </is>
      </c>
      <c r="B6" s="240" t="inlineStr">
        <is>
          <t>R$ milhões</t>
        </is>
      </c>
      <c r="D6" t="inlineStr">
        <is>
          <t>Risk-free rate</t>
        </is>
      </c>
      <c r="E6" s="244" t="n"/>
    </row>
    <row r="7" ht="14.25" customHeight="1">
      <c r="A7" t="inlineStr">
        <is>
          <t>Last actual period</t>
        </is>
      </c>
      <c r="B7" s="245" t="n">
        <v>46203</v>
      </c>
      <c r="D7" t="inlineStr">
        <is>
          <t>Market risk premium</t>
        </is>
      </c>
      <c r="E7" s="244" t="n"/>
    </row>
    <row r="8" ht="14.25" customHeight="1">
      <c r="A8" t="inlineStr">
        <is>
          <t>Quarterly forecast through</t>
        </is>
      </c>
      <c r="B8" s="245" t="n">
        <v>47118</v>
      </c>
      <c r="D8" t="inlineStr">
        <is>
          <t>Beta</t>
        </is>
      </c>
      <c r="E8" s="246" t="n"/>
    </row>
    <row r="9" ht="15" customHeight="1">
      <c r="A9" t="inlineStr">
        <is>
          <t>Forecast end</t>
        </is>
      </c>
      <c r="B9" s="245" t="n">
        <v>47848</v>
      </c>
      <c r="D9" t="inlineStr">
        <is>
          <t>Pre-tax cost of debt</t>
        </is>
      </c>
      <c r="E9" s="247">
        <f>IFERROR(-Model!AG73/AVERAGE(Model!AB91,Model!AG91),"")</f>
        <v>0.13736426154844</v>
      </c>
    </row>
    <row r="10" ht="14.25" customHeight="1">
      <c r="A10" t="inlineStr">
        <is>
          <t>Scenario (1 Bull / 2 Base / 3 Bear)</t>
        </is>
      </c>
      <c r="B10" s="240" t="n">
        <v>2</v>
      </c>
      <c r="D10" t="inlineStr">
        <is>
          <t>Marginal tax rate</t>
        </is>
      </c>
      <c r="E10" s="244" t="n"/>
    </row>
    <row r="11" ht="14.25" customHeight="1">
      <c r="A11" t="inlineStr">
        <is>
          <t>Terminal method (1 Perpetuity / 2 Exit)</t>
        </is>
      </c>
      <c r="B11" s="240" t="n">
        <v>1</v>
      </c>
      <c r="D11" t="inlineStr">
        <is>
          <t>Target debt weight</t>
        </is>
      </c>
      <c r="E11" s="244" t="n"/>
    </row>
    <row r="12" ht="15" customHeight="1">
      <c r="A12" t="inlineStr">
        <is>
          <t>Valuation date</t>
        </is>
      </c>
      <c r="B12" s="245" t="n">
        <v>46287</v>
      </c>
      <c r="D12" t="inlineStr">
        <is>
          <t>WACC</t>
        </is>
      </c>
      <c r="E12" s="247" t="str">
        <f>IF(COUNT(E6:E11)&lt;6,"",E11*E9*(1-E10)+(1-E11)*(E6+E8*E7))</f>
        <v/>
      </c>
    </row>
    <row r="13" ht="15" customHeight="1">
      <c r="A13" t="inlineStr">
        <is>
          <t>Stub year fraction</t>
        </is>
      </c>
      <c r="B13" s="247">
        <f>IFERROR((DATE(YEAR(B12),12,31)-B12)/365,"")</f>
        <v>0.273972602739726</v>
      </c>
      <c r="D13" t="inlineStr">
        <is>
          <t>Terminal growth</t>
        </is>
      </c>
      <c r="E13" s="244" t="n"/>
    </row>
    <row r="14" ht="14.25" customHeight="1">
      <c r="D14" t="inlineStr">
        <is>
          <t>Exit EV/EBITDA</t>
        </is>
      </c>
      <c r="E14" s="248" t="n"/>
    </row>
    <row r="15" ht="14.25" customHeight="1">
      <c r="D15" t="inlineStr">
        <is>
          <t>Dividend payout</t>
        </is>
      </c>
      <c r="E15" s="244" t="n"/>
    </row>
    <row r="17" ht="14.25" customHeight="1">
      <c r="A17" s="241" t="inlineStr">
        <is>
          <t>Forecast drivers</t>
        </is>
      </c>
      <c r="B17" s="241" t="inlineStr">
        <is>
          <t>2026E</t>
        </is>
      </c>
      <c r="C17" s="241" t="inlineStr">
        <is>
          <t>2027E</t>
        </is>
      </c>
      <c r="D17" s="241" t="inlineStr">
        <is>
          <t>2028E</t>
        </is>
      </c>
      <c r="E17" s="241" t="inlineStr">
        <is>
          <t>2029E</t>
        </is>
      </c>
      <c r="F17" s="241" t="inlineStr">
        <is>
          <t>2030E</t>
        </is>
      </c>
    </row>
    <row r="18" ht="15" customHeight="1">
      <c r="A18" t="inlineStr">
        <is>
          <t>Revenue growth</t>
        </is>
      </c>
      <c r="B18" s="247">
        <f>IFERROR(AVERAGE(Model!AC16:AF16,Model!AH16:AI16),"")</f>
        <v>0.145281775948191</v>
      </c>
      <c r="C18" s="247">
        <f>IF(B18="","",B18)</f>
        <v>0.145281775948191</v>
      </c>
      <c r="D18" s="247">
        <f>IF(C18="","",MAX(0,C18-0.5%))</f>
        <v>0.140281775948191</v>
      </c>
      <c r="E18" s="247">
        <f>IF(D18="","",MAX(0,D18-0.5%))</f>
        <v>0.135281775948191</v>
      </c>
      <c r="F18" s="247">
        <f>IF(E18="","",MAX(0,E18-0.5%))</f>
        <v>0.130281775948191</v>
      </c>
    </row>
    <row r="19" ht="15" customHeight="1">
      <c r="A19" t="inlineStr">
        <is>
          <t>Gross margin</t>
        </is>
      </c>
      <c r="B19" s="247">
        <f>IFERROR(AVERAGE(Model!AC54:AF54,Model!AH54:AI54),"")</f>
        <v>0.313491330167073</v>
      </c>
      <c r="C19" s="247">
        <f>IF(B19="","",B19)</f>
        <v>0.313491330167073</v>
      </c>
      <c r="D19" s="247">
        <f>IF(C19="","",C19)</f>
        <v>0.313491330167073</v>
      </c>
      <c r="E19" s="247">
        <f>IF(D19="","",D19)</f>
        <v>0.313491330167073</v>
      </c>
      <c r="F19" s="247">
        <f>IF(E19="","",E19)</f>
        <v>0.313491330167073</v>
      </c>
    </row>
    <row r="20" ht="15" customHeight="1">
      <c r="A20" t="inlineStr">
        <is>
          <t>SG&amp;A / Revenue</t>
        </is>
      </c>
      <c r="B20" s="247">
        <f>IFERROR(AVERAGE(Model!AC58:AF58,Model!AH58:AI58),"")</f>
        <v>0.0494118910059498</v>
      </c>
      <c r="C20" s="247">
        <f>IF(B20="","",B20)</f>
        <v>0.0494118910059498</v>
      </c>
      <c r="D20" s="247">
        <f>IF(C20="","",C20)</f>
        <v>0.0494118910059498</v>
      </c>
      <c r="E20" s="247">
        <f>IF(D20="","",D20)</f>
        <v>0.0494118910059498</v>
      </c>
      <c r="F20" s="247">
        <f>IF(E20="","",E20)</f>
        <v>0.0494118910059498</v>
      </c>
    </row>
    <row r="21" ht="15" customHeight="1">
      <c r="A21" t="inlineStr">
        <is>
          <t>D&amp;A / Revenue</t>
        </is>
      </c>
      <c r="B21" s="247">
        <f>IFERROR(AVERAGE(Model!AC70:AF70,Model!AH70:AI70),"")</f>
        <v>0.149563882020167</v>
      </c>
      <c r="C21" s="247">
        <f>IF(B21="","",B21)</f>
        <v>0.149563882020167</v>
      </c>
      <c r="D21" s="247">
        <f>IF(C21="","",C21)</f>
        <v>0.149563882020167</v>
      </c>
      <c r="E21" s="247">
        <f>IF(D21="","",D21)</f>
        <v>0.149563882020167</v>
      </c>
      <c r="F21" s="247">
        <f>IF(E21="","",E21)</f>
        <v>0.149563882020167</v>
      </c>
    </row>
    <row r="22" ht="15" customHeight="1">
      <c r="A22" t="inlineStr">
        <is>
          <t>Effective tax rate</t>
        </is>
      </c>
      <c r="B22" s="247">
        <f>IFERROR(AVERAGE(Model!AC131:AF131,Model!AH131:AI131),"")</f>
        <v>0.271937812701549</v>
      </c>
      <c r="C22" s="247">
        <f>IF(B22="","",B22)</f>
        <v>0.271937812701549</v>
      </c>
      <c r="D22" s="247">
        <f>IF(C22="","",C22)</f>
        <v>0.271937812701549</v>
      </c>
      <c r="E22" s="247">
        <f>IF(D22="","",D22)</f>
        <v>0.271937812701549</v>
      </c>
      <c r="F22" s="247">
        <f>IF(E22="","",E22)</f>
        <v>0.271937812701549</v>
      </c>
    </row>
    <row r="23" ht="15" customHeight="1">
      <c r="A23" t="inlineStr">
        <is>
          <t>Financial income / Revenue</t>
        </is>
      </c>
      <c r="B23" s="247">
        <f>IFERROR(AVERAGE(Model!AC122:AF122,Model!AH122:AI122)/AVERAGE(Model!AC15:AF15,Model!AH15:AI15),"")</f>
        <v>0.0865694935501585</v>
      </c>
      <c r="C23" s="247">
        <f>IF(B23="","",B23)</f>
        <v>0.0865694935501585</v>
      </c>
      <c r="D23" s="247">
        <f>IF(C23="","",C23)</f>
        <v>0.0865694935501585</v>
      </c>
      <c r="E23" s="247">
        <f>IF(D23="","",D23)</f>
        <v>0.0865694935501585</v>
      </c>
      <c r="F23" s="247">
        <f>IF(E23="","",E23)</f>
        <v>0.0865694935501585</v>
      </c>
    </row>
    <row r="24" ht="15" customHeight="1">
      <c r="A24" t="inlineStr">
        <is>
          <t>Capex / Revenue</t>
        </is>
      </c>
      <c r="B24" s="247">
        <f>IFERROR(-AVERAGE(Model!AC294:AF294,Model!AH294:AI294)/AVERAGE(Model!AC15:AF15,Model!AH15:AI15),"")</f>
        <v>0.0866117062497483</v>
      </c>
      <c r="C24" s="247">
        <f>IF(B24="","",B24)</f>
        <v>0.0866117062497483</v>
      </c>
      <c r="D24" s="247">
        <f>IF(C24="","",C24)</f>
        <v>0.0866117062497483</v>
      </c>
      <c r="E24" s="247">
        <f>IF(D24="","",D24)</f>
        <v>0.0866117062497483</v>
      </c>
      <c r="F24" s="247">
        <f>IF(E24="","",E24)</f>
        <v>0.0866117062497483</v>
      </c>
    </row>
    <row r="25" ht="15" customHeight="1">
      <c r="A25" t="inlineStr">
        <is>
          <t>DSO</t>
        </is>
      </c>
      <c r="B25" s="249">
        <f>IFERROR(AVERAGE(Model!AC145:AF145,Model!AH145:AI145),"")</f>
        <v>42.1764456408676</v>
      </c>
      <c r="C25" s="249">
        <f>IF(B25="","",B25)</f>
        <v>42.1764456408676</v>
      </c>
      <c r="D25" s="249">
        <f>IF(C25="","",C25)</f>
        <v>42.1764456408676</v>
      </c>
      <c r="E25" s="249">
        <f>IF(D25="","",D25)</f>
        <v>42.1764456408676</v>
      </c>
      <c r="F25" s="249">
        <f>IF(E25="","",E25)</f>
        <v>42.1764456408676</v>
      </c>
    </row>
    <row r="26" ht="15" customHeight="1">
      <c r="A26" t="inlineStr">
        <is>
          <t>DIO</t>
        </is>
      </c>
      <c r="B26" s="249">
        <f>IFERROR(AVERAGE(Model!AC149:AF149,Model!AH149:AI149),"")</f>
        <v>0</v>
      </c>
      <c r="C26" s="249">
        <f>IF(B26="","",B26)</f>
        <v>0</v>
      </c>
      <c r="D26" s="249">
        <f>IF(C26="","",C26)</f>
        <v>0</v>
      </c>
      <c r="E26" s="249">
        <f>IF(D26="","",D26)</f>
        <v>0</v>
      </c>
      <c r="F26" s="249">
        <f>IF(E26="","",E26)</f>
        <v>0</v>
      </c>
    </row>
    <row r="27" ht="15" customHeight="1">
      <c r="A27" t="inlineStr">
        <is>
          <t>DPO</t>
        </is>
      </c>
      <c r="B27" s="249">
        <f>IFERROR(AVERAGE(Model!AC198:AF198,Model!AH198:AI198),"")</f>
        <v>50.0262000339697</v>
      </c>
      <c r="C27" s="249">
        <f>IF(B27="","",B27)</f>
        <v>50.0262000339697</v>
      </c>
      <c r="D27" s="249">
        <f>IF(C27="","",C27)</f>
        <v>50.0262000339697</v>
      </c>
      <c r="E27" s="249">
        <f>IF(D27="","",D27)</f>
        <v>50.0262000339697</v>
      </c>
      <c r="F27" s="249">
        <f>IF(E27="","",E27)</f>
        <v>50.0262000339697</v>
      </c>
    </row>
    <row r="29">
      <c r="A29" t="inlineStr">
        <is>
          <t>Model status</t>
        </is>
      </c>
    </row>
    <row r="30">
      <c r="A30" t="inlineStr">
        <is>
          <t>Source</t>
        </is>
      </c>
    </row>
    <row r="31">
      <c r="A31" t="inlineStr">
        <is>
          <t>Unit flow</t>
        </is>
      </c>
      <c r="B31" t="inlineStr">
        <is>
          <t>R$ mil → R$ milhões via Inputs (2)</t>
        </is>
      </c>
    </row>
    <row r="32">
      <c r="A32" t="inlineStr">
        <is>
          <t>Historical coverage</t>
        </is>
      </c>
      <c r="B32" t="str">
        <f>IF(B7="","","1Q21–"&amp;ROUNDUP(MONTH(B7)/3,0)&amp;"Q"&amp;RIGHT(YEAR(B7),2))</f>
        <v>1Q21–2Q26</v>
      </c>
    </row>
    <row r="33">
      <c r="A33" t="inlineStr">
        <is>
          <t>Valuation readiness</t>
        </is>
      </c>
      <c r="B33" t="str">
        <f>IF(OR(B3="",B4=""),"PENDING COMPANY SETUP",IF(OR(E4="",E5="",E12=""),"PENDING MARKET INPUTS","READY"))</f>
        <v>PENDING MARKET INPUTS</v>
      </c>
    </row>
  </sheetData>
  <pageMargins left="0.7" right="0.7" top="0.75" bottom="0.75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2026-09-23T00:39:42Z</dcterms:created>
  <dcterms:modified xmlns:dcterms="http://purl.org/dc/terms/" xmlns:xsi="http://www.w3.org/2001/XMLSchema-instance" xsi:type="dcterms:W3CDTF">2026-10-13T21:40:32Z</dcterms:modified>
  <cp:lastModifiedBy>Lucas Nascimento</cp:lastModifiedBy>
  <cp:revision>0</cp:revision>
</cp:coreProperties>
</file>