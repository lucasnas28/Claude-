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Caterpillar Inc. (CAT, CIK 18230)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10635000000</v>
      </c>
      <c r="L6" s="259" t="n">
        <v>9997000000</v>
      </c>
      <c r="M6" s="259" t="n">
        <v>9881000000</v>
      </c>
      <c r="N6" s="259" t="n">
        <v>11235000000</v>
      </c>
      <c r="O6" s="259" t="n">
        <v>11887000000</v>
      </c>
      <c r="P6" s="259" t="n">
        <v>12889000000</v>
      </c>
      <c r="Q6" s="259" t="n">
        <v>12397000000</v>
      </c>
      <c r="R6" s="259" t="n">
        <v>13798000000</v>
      </c>
      <c r="S6" s="259" t="n">
        <v>13589000000</v>
      </c>
      <c r="T6" s="259" t="n">
        <v>14247000000</v>
      </c>
      <c r="U6" s="259" t="n">
        <v>14994000000</v>
      </c>
      <c r="V6" s="259" t="n">
        <v>16597000000</v>
      </c>
      <c r="W6" s="259" t="n">
        <v>15862000000</v>
      </c>
      <c r="X6" s="259" t="n">
        <v>17318000000</v>
      </c>
      <c r="Y6" s="259" t="n">
        <v>16810000000</v>
      </c>
      <c r="Z6" s="259" t="n">
        <v>17070000000</v>
      </c>
      <c r="AA6" s="259" t="n">
        <v>15799000000</v>
      </c>
      <c r="AB6" s="259" t="n">
        <v>16689000000</v>
      </c>
      <c r="AC6" s="259" t="n">
        <v>16106000000</v>
      </c>
      <c r="AD6" s="259" t="n">
        <v>16215000000</v>
      </c>
      <c r="AE6" s="259" t="n">
        <v>14249000000</v>
      </c>
      <c r="AF6" s="259" t="n">
        <v>16569000000</v>
      </c>
      <c r="AG6" s="259" t="n">
        <v>17638000000</v>
      </c>
      <c r="AH6" s="259" t="n">
        <v>19133000000</v>
      </c>
      <c r="AI6" s="259" t="n">
        <v>17415000000</v>
      </c>
      <c r="AJ6" s="259" t="n">
        <v>20543000000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7266000000</v>
      </c>
      <c r="L7" s="259" t="n">
        <v>7113000000</v>
      </c>
      <c r="M7" s="259" t="n">
        <v>6919000000</v>
      </c>
      <c r="N7" s="259" t="n">
        <v>7784000000</v>
      </c>
      <c r="O7" s="259" t="n">
        <v>8012000000</v>
      </c>
      <c r="P7" s="259" t="n">
        <v>8881000000</v>
      </c>
      <c r="Q7" s="259" t="n">
        <v>8617000000</v>
      </c>
      <c r="R7" s="259" t="n">
        <v>10003000000</v>
      </c>
      <c r="S7" s="259" t="n">
        <v>9559000000</v>
      </c>
      <c r="T7" s="259" t="n">
        <v>9975000000</v>
      </c>
      <c r="U7" s="259" t="n">
        <v>10202000000</v>
      </c>
      <c r="V7" s="259" t="n">
        <v>11614000000</v>
      </c>
      <c r="W7" s="259" t="n">
        <v>10103000000</v>
      </c>
      <c r="X7" s="259" t="n">
        <v>11065000000</v>
      </c>
      <c r="Y7" s="259" t="n">
        <v>10583000000</v>
      </c>
      <c r="Z7" s="259" t="n">
        <v>11016000000</v>
      </c>
      <c r="AA7" s="259" t="n">
        <v>9662000000</v>
      </c>
      <c r="AB7" s="259" t="n">
        <v>10150000000</v>
      </c>
      <c r="AC7" s="259" t="n">
        <v>10066000000</v>
      </c>
      <c r="AD7" s="259" t="n">
        <v>10321000000</v>
      </c>
      <c r="AE7" s="259" t="n">
        <v>8965000000</v>
      </c>
      <c r="AF7" s="259" t="n">
        <v>10807000000</v>
      </c>
      <c r="AG7" s="259" t="n">
        <v>11673000000</v>
      </c>
      <c r="AH7" s="259" t="n">
        <v>13307000000</v>
      </c>
      <c r="AI7" s="259" t="n">
        <v>11306000000</v>
      </c>
      <c r="AJ7" s="259" t="n">
        <v>12781000000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1404000000</v>
      </c>
      <c r="L8" s="259" t="n">
        <v>784000000</v>
      </c>
      <c r="M8" s="259" t="n">
        <v>985000000</v>
      </c>
      <c r="N8" s="259" t="n">
        <v>1380000000</v>
      </c>
      <c r="O8" s="259" t="n">
        <v>1814000000</v>
      </c>
      <c r="P8" s="259" t="n">
        <v>1789000000</v>
      </c>
      <c r="Q8" s="259" t="n">
        <v>1664000000</v>
      </c>
      <c r="R8" s="259" t="n">
        <v>1611000000</v>
      </c>
      <c r="S8" s="259" t="n">
        <v>1855000000</v>
      </c>
      <c r="T8" s="259" t="n">
        <v>1944000000</v>
      </c>
      <c r="U8" s="259" t="n">
        <v>2425000000</v>
      </c>
      <c r="V8" s="259" t="n">
        <v>1680000000</v>
      </c>
      <c r="W8" s="259" t="n">
        <v>2731000000</v>
      </c>
      <c r="X8" s="259" t="n">
        <v>3652000000</v>
      </c>
      <c r="Y8" s="259" t="n">
        <v>3449000000</v>
      </c>
      <c r="Z8" s="259" t="n">
        <v>3134000000</v>
      </c>
      <c r="AA8" s="259" t="n">
        <v>3519000000</v>
      </c>
      <c r="AB8" s="259" t="n">
        <v>3482000000</v>
      </c>
      <c r="AC8" s="259" t="n">
        <v>3147000000</v>
      </c>
      <c r="AD8" s="259" t="n">
        <v>2924000000</v>
      </c>
      <c r="AE8" s="259" t="n">
        <v>2579000000</v>
      </c>
      <c r="AF8" s="259" t="n">
        <v>2860000000</v>
      </c>
      <c r="AG8" s="259" t="n">
        <v>3052000000</v>
      </c>
      <c r="AH8" s="259" t="n">
        <v>2660000000</v>
      </c>
      <c r="AI8" s="259" t="n">
        <v>3085000000</v>
      </c>
      <c r="AJ8" s="259" t="n">
        <v>4295000000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1965000000</v>
      </c>
      <c r="L9" s="259">
        <f>N(L6)-N(L7)-N(L8)</f>
        <v>2100000000</v>
      </c>
      <c r="M9" s="259">
        <f>N(M6)-N(M7)-N(M8)</f>
        <v>1977000000</v>
      </c>
      <c r="N9" s="259">
        <f>N(N6)-N(N7)-N(N8)</f>
        <v>2071000000</v>
      </c>
      <c r="O9" s="259">
        <f>N(O6)-N(O7)-N(O8)</f>
        <v>2061000000</v>
      </c>
      <c r="P9" s="259">
        <f>N(P6)-N(P7)-N(P8)</f>
        <v>2219000000</v>
      </c>
      <c r="Q9" s="259">
        <f>N(Q6)-N(Q7)-N(Q8)</f>
        <v>2116000000</v>
      </c>
      <c r="R9" s="259">
        <f>N(R6)-N(R7)-N(R8)</f>
        <v>2184000000</v>
      </c>
      <c r="S9" s="259">
        <f>N(S6)-N(S7)-N(S8)</f>
        <v>2175000000</v>
      </c>
      <c r="T9" s="259">
        <f>N(T6)-N(T7)-N(T8)</f>
        <v>2328000000</v>
      </c>
      <c r="U9" s="259">
        <f>N(U6)-N(U7)-N(U8)</f>
        <v>2367000000</v>
      </c>
      <c r="V9" s="259">
        <f>N(V6)-N(V7)-N(V8)</f>
        <v>3303000000</v>
      </c>
      <c r="W9" s="259">
        <f>N(W6)-N(W7)-N(W8)</f>
        <v>3028000000</v>
      </c>
      <c r="X9" s="259">
        <f>N(X6)-N(X7)-N(X8)</f>
        <v>2601000000</v>
      </c>
      <c r="Y9" s="259">
        <f>N(Y6)-N(Y7)-N(Y8)</f>
        <v>2778000000</v>
      </c>
      <c r="Z9" s="259">
        <f>N(Z6)-N(Z7)-N(Z8)</f>
        <v>2920000000</v>
      </c>
      <c r="AA9" s="259">
        <f>N(AA6)-N(AA7)-N(AA8)</f>
        <v>2618000000</v>
      </c>
      <c r="AB9" s="259">
        <f>N(AB6)-N(AB7)-N(AB8)</f>
        <v>3057000000</v>
      </c>
      <c r="AC9" s="259">
        <f>N(AC6)-N(AC7)-N(AC8)</f>
        <v>2893000000</v>
      </c>
      <c r="AD9" s="259">
        <f>N(AD6)-N(AD7)-N(AD8)</f>
        <v>2970000000</v>
      </c>
      <c r="AE9" s="259">
        <f>N(AE6)-N(AE7)-N(AE8)</f>
        <v>2705000000</v>
      </c>
      <c r="AF9" s="259">
        <f>N(AF6)-N(AF7)-N(AF8)</f>
        <v>2902000000</v>
      </c>
      <c r="AG9" s="259">
        <f>N(AG6)-N(AG7)-N(AG8)</f>
        <v>2913000000</v>
      </c>
      <c r="AH9" s="259">
        <f>N(AH6)-N(AH7)-N(AH8)</f>
        <v>3166000000</v>
      </c>
      <c r="AI9" s="259">
        <f>N(AI6)-N(AI7)-N(AI8)</f>
        <v>3024000000</v>
      </c>
      <c r="AJ9" s="259">
        <f>N(AJ6)-N(AJ7)-N(AJ8)</f>
        <v>3467000000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1513000000</v>
      </c>
      <c r="L10" s="259" t="n">
        <v>678000000</v>
      </c>
      <c r="M10" s="259" t="n">
        <v>863000000</v>
      </c>
      <c r="N10" s="259" t="n">
        <v>941000000</v>
      </c>
      <c r="O10" s="259" t="n">
        <v>1997000000</v>
      </c>
      <c r="P10" s="259" t="n">
        <v>1870000000</v>
      </c>
      <c r="Q10" s="259" t="n">
        <v>1775000000</v>
      </c>
      <c r="R10" s="259" t="n">
        <v>2562000000</v>
      </c>
      <c r="S10" s="259" t="n">
        <v>1999000000</v>
      </c>
      <c r="T10" s="259" t="n">
        <v>2096000000</v>
      </c>
      <c r="U10" s="259" t="n">
        <v>2558000000</v>
      </c>
      <c r="V10" s="259" t="n">
        <v>2099000000</v>
      </c>
      <c r="W10" s="259" t="n">
        <v>2634000000</v>
      </c>
      <c r="X10" s="259" t="n">
        <v>3652000000</v>
      </c>
      <c r="Y10" s="259" t="n">
        <v>3515000000</v>
      </c>
      <c r="Z10" s="259" t="n">
        <v>3249000000</v>
      </c>
      <c r="AA10" s="259" t="n">
        <v>3532000000</v>
      </c>
      <c r="AB10" s="259" t="n">
        <v>3500000000</v>
      </c>
      <c r="AC10" s="259" t="n">
        <v>3098000000</v>
      </c>
      <c r="AD10" s="259" t="n">
        <v>3243000000</v>
      </c>
      <c r="AE10" s="259" t="n">
        <v>2570000000</v>
      </c>
      <c r="AF10" s="259" t="n">
        <v>2818000000</v>
      </c>
      <c r="AG10" s="259" t="n">
        <v>3127000000</v>
      </c>
      <c r="AH10" s="259" t="n">
        <v>3026000000</v>
      </c>
      <c r="AI10" s="259" t="n">
        <v>3211000000</v>
      </c>
      <c r="AJ10" s="259" t="n">
        <v>4558000000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109000000</v>
      </c>
      <c r="L11" s="259">
        <f>N(L10)-N(L8)</f>
        <v>-106000000</v>
      </c>
      <c r="M11" s="259">
        <f>N(M10)-N(M8)</f>
        <v>-122000000</v>
      </c>
      <c r="N11" s="259">
        <f>N(N10)-N(N8)</f>
        <v>-439000000</v>
      </c>
      <c r="O11" s="259">
        <f>N(O10)-N(O8)</f>
        <v>183000000</v>
      </c>
      <c r="P11" s="259">
        <f>N(P10)-N(P8)</f>
        <v>81000000</v>
      </c>
      <c r="Q11" s="259">
        <f>N(Q10)-N(Q8)</f>
        <v>111000000</v>
      </c>
      <c r="R11" s="259">
        <f>N(R10)-N(R8)</f>
        <v>951000000</v>
      </c>
      <c r="S11" s="259">
        <f>N(S10)-N(S8)</f>
        <v>144000000</v>
      </c>
      <c r="T11" s="259">
        <f>N(T10)-N(T8)</f>
        <v>152000000</v>
      </c>
      <c r="U11" s="259">
        <f>N(U10)-N(U8)</f>
        <v>133000000</v>
      </c>
      <c r="V11" s="259">
        <f>N(V10)-N(V8)</f>
        <v>419000000</v>
      </c>
      <c r="W11" s="259">
        <f>N(W10)-N(W8)</f>
        <v>-97000000</v>
      </c>
      <c r="X11" s="259">
        <f>N(X10)-N(X8)</f>
        <v>0</v>
      </c>
      <c r="Y11" s="259">
        <f>N(Y10)-N(Y8)</f>
        <v>66000000</v>
      </c>
      <c r="Z11" s="259">
        <f>N(Z10)-N(Z8)</f>
        <v>115000000</v>
      </c>
      <c r="AA11" s="259">
        <f>N(AA10)-N(AA8)</f>
        <v>13000000</v>
      </c>
      <c r="AB11" s="259">
        <f>N(AB10)-N(AB8)</f>
        <v>18000000</v>
      </c>
      <c r="AC11" s="259">
        <f>N(AC10)-N(AC8)</f>
        <v>-49000000</v>
      </c>
      <c r="AD11" s="259">
        <f>N(AD10)-N(AD8)</f>
        <v>319000000</v>
      </c>
      <c r="AE11" s="259">
        <f>N(AE10)-N(AE8)</f>
        <v>-9000000</v>
      </c>
      <c r="AF11" s="259">
        <f>N(AF10)-N(AF8)</f>
        <v>-42000000</v>
      </c>
      <c r="AG11" s="259">
        <f>N(AG10)-N(AG8)</f>
        <v>75000000</v>
      </c>
      <c r="AH11" s="259">
        <f>N(AH10)-N(AH8)</f>
        <v>366000000</v>
      </c>
      <c r="AI11" s="259">
        <f>N(AI10)-N(AI8)</f>
        <v>126000000</v>
      </c>
      <c r="AJ11" s="259">
        <f>N(AJ10)-N(AJ8)</f>
        <v>263000000</v>
      </c>
    </row>
    <row r="12">
      <c r="A12" t="n">
        <v>7</v>
      </c>
      <c r="B12" t="n">
        <v>-1</v>
      </c>
      <c r="G12" t="inlineStr">
        <is>
          <t>moeda</t>
        </is>
      </c>
      <c r="H12" t="inlineStr">
        <is>
          <t>Imposto de renda (divulgado positivo) [us-gaap:IncomeTaxExpenseBenefit]</t>
        </is>
      </c>
      <c r="J12" t="inlineStr">
        <is>
          <t>fonte</t>
        </is>
      </c>
      <c r="K12" s="259" t="n">
        <v>425000000</v>
      </c>
      <c r="L12" s="259" t="n">
        <v>227000000</v>
      </c>
      <c r="M12" s="259" t="n">
        <v>187000000</v>
      </c>
      <c r="N12" s="259" t="n">
        <v>167000000</v>
      </c>
      <c r="O12" s="259" t="n">
        <v>475000000</v>
      </c>
      <c r="P12" s="259" t="n">
        <v>470000000</v>
      </c>
      <c r="Q12" s="259" t="n">
        <v>368000000</v>
      </c>
      <c r="R12" s="259" t="n">
        <v>429000000</v>
      </c>
      <c r="S12" s="259" t="n">
        <v>469000000</v>
      </c>
      <c r="T12" s="259" t="n">
        <v>427000000</v>
      </c>
      <c r="U12" s="259" t="n">
        <v>527000000</v>
      </c>
      <c r="V12" s="259" t="n">
        <v>644000000</v>
      </c>
      <c r="W12" s="259" t="n">
        <v>708000000</v>
      </c>
      <c r="X12" s="259" t="n">
        <v>752000000</v>
      </c>
      <c r="Y12" s="259" t="n">
        <v>734000000</v>
      </c>
      <c r="Z12" s="259" t="n">
        <v>587000000</v>
      </c>
      <c r="AA12" s="259" t="n">
        <v>688000000</v>
      </c>
      <c r="AB12" s="259" t="n">
        <v>836000000</v>
      </c>
      <c r="AC12" s="259" t="n">
        <v>642000000</v>
      </c>
      <c r="AD12" s="259" t="n">
        <v>463000000</v>
      </c>
      <c r="AE12" s="259" t="n">
        <v>574000000</v>
      </c>
      <c r="AF12" s="259" t="n">
        <v>646000000</v>
      </c>
      <c r="AG12" s="259" t="n">
        <v>836000000</v>
      </c>
      <c r="AH12" s="259" t="n">
        <v>712000000</v>
      </c>
      <c r="AI12" s="259" t="n">
        <v>670000000</v>
      </c>
      <c r="AJ12" s="259" t="n">
        <v>1055000000</v>
      </c>
    </row>
    <row r="13">
      <c r="A13" t="n">
        <v>9</v>
      </c>
      <c r="B13" t="n">
        <v>-1</v>
      </c>
      <c r="G13" t="inlineStr">
        <is>
          <t>moeda</t>
        </is>
      </c>
      <c r="H13" t="inlineStr">
        <is>
          <t>Lucro atribuído a não controladores (divulgado positivo) [us-gaap:NetIncomeLossAttributableToNoncontrollingInterest]</t>
        </is>
      </c>
      <c r="J13" t="inlineStr">
        <is>
          <t>fonte</t>
        </is>
      </c>
      <c r="K13" s="259" t="n">
        <v>1000000</v>
      </c>
      <c r="L13" s="259" t="n">
        <v>1000000</v>
      </c>
      <c r="M13" s="259" t="n">
        <v>3000000</v>
      </c>
      <c r="N13" s="259" t="n">
        <v>0</v>
      </c>
      <c r="O13" s="259" t="n">
        <v>1000000</v>
      </c>
      <c r="P13" s="259" t="n">
        <v>1000000</v>
      </c>
      <c r="Q13" s="259" t="n">
        <v>2000000</v>
      </c>
      <c r="R13" s="259" t="n">
        <v>0</v>
      </c>
      <c r="S13" s="259" t="n">
        <v>0</v>
      </c>
      <c r="T13" s="259" t="n">
        <v>0</v>
      </c>
      <c r="U13" s="259" t="n">
        <v>-1000000</v>
      </c>
      <c r="V13" s="259" t="n">
        <v>0</v>
      </c>
      <c r="W13" s="259" t="n">
        <v>-1000000</v>
      </c>
      <c r="X13" s="259" t="n">
        <v>2000000</v>
      </c>
      <c r="Y13" s="259" t="n">
        <v>-1000000</v>
      </c>
      <c r="Z13" s="259" t="n">
        <v>-3000000</v>
      </c>
      <c r="AA13" s="259" t="n">
        <v>-2000000</v>
      </c>
      <c r="AB13" s="259" t="n">
        <v>0</v>
      </c>
      <c r="AC13" s="259" t="n">
        <v>-1000000</v>
      </c>
      <c r="AD13" s="259" t="n">
        <v>-1000000</v>
      </c>
      <c r="AE13" s="259" t="n">
        <v>0</v>
      </c>
      <c r="AF13" s="259" t="n">
        <v>0</v>
      </c>
      <c r="AG13" s="259" t="n">
        <v>-1000000</v>
      </c>
      <c r="AH13" s="259" t="n">
        <v>-1000000</v>
      </c>
      <c r="AI13" s="259" t="n">
        <v>-1000000</v>
      </c>
      <c r="AJ13" s="259" t="n">
        <v>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1092000000</v>
      </c>
      <c r="L14" s="259" t="n">
        <v>458000000</v>
      </c>
      <c r="M14" s="259" t="n">
        <v>668000000</v>
      </c>
      <c r="N14" s="259" t="n">
        <v>780000000</v>
      </c>
      <c r="O14" s="259" t="n">
        <v>1530000000</v>
      </c>
      <c r="P14" s="259" t="n">
        <v>1413000000</v>
      </c>
      <c r="Q14" s="259" t="n">
        <v>1426000000</v>
      </c>
      <c r="R14" s="259" t="n">
        <v>2120000000</v>
      </c>
      <c r="S14" s="259" t="n">
        <v>1537000000</v>
      </c>
      <c r="T14" s="259" t="n">
        <v>1673000000</v>
      </c>
      <c r="U14" s="259" t="n">
        <v>2041000000</v>
      </c>
      <c r="V14" s="259" t="n">
        <v>1454000000</v>
      </c>
      <c r="W14" s="259" t="n">
        <v>1943000000</v>
      </c>
      <c r="X14" s="259" t="n">
        <v>2922000000</v>
      </c>
      <c r="Y14" s="259" t="n">
        <v>2794000000</v>
      </c>
      <c r="Z14" s="259" t="n">
        <v>2676000000</v>
      </c>
      <c r="AA14" s="259" t="n">
        <v>2856000000</v>
      </c>
      <c r="AB14" s="259" t="n">
        <v>2681000000</v>
      </c>
      <c r="AC14" s="259" t="n">
        <v>2464000000</v>
      </c>
      <c r="AD14" s="259" t="n">
        <v>2791000000</v>
      </c>
      <c r="AE14" s="259" t="n">
        <v>2003000000</v>
      </c>
      <c r="AF14" s="259" t="n">
        <v>2179000000</v>
      </c>
      <c r="AG14" s="259" t="n">
        <v>2300000000</v>
      </c>
      <c r="AH14" s="259" t="n">
        <v>2402000000</v>
      </c>
      <c r="AI14" s="259" t="n">
        <v>2549000000</v>
      </c>
      <c r="AJ14" s="259" t="n">
        <v>3593000000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N(K14)-(N(K10)-N(K12)-N(K13))</f>
        <v>5000000</v>
      </c>
      <c r="L15" s="259">
        <f>N(L14)-(N(L10)-N(L12)-N(L13))</f>
        <v>8000000</v>
      </c>
      <c r="M15" s="259">
        <f>N(M14)-(N(M10)-N(M12)-N(M13))</f>
        <v>-5000000</v>
      </c>
      <c r="N15" s="259">
        <f>N(N14)-(N(N10)-N(N12)-N(N13))</f>
        <v>6000000</v>
      </c>
      <c r="O15" s="259">
        <f>N(O14)-(N(O10)-N(O12)-N(O13))</f>
        <v>9000000</v>
      </c>
      <c r="P15" s="259">
        <f>N(P14)-(N(P10)-N(P12)-N(P13))</f>
        <v>14000000</v>
      </c>
      <c r="Q15" s="259">
        <f>N(Q14)-(N(Q10)-N(Q12)-N(Q13))</f>
        <v>21000000</v>
      </c>
      <c r="R15" s="259">
        <f>N(R14)-(N(R10)-N(R12)-N(R13))</f>
        <v>-13000000</v>
      </c>
      <c r="S15" s="259">
        <f>N(S14)-(N(S10)-N(S12)-N(S13))</f>
        <v>7000000</v>
      </c>
      <c r="T15" s="259">
        <f>N(T14)-(N(T10)-N(T12)-N(T13))</f>
        <v>4000000</v>
      </c>
      <c r="U15" s="259">
        <f>N(U14)-(N(U10)-N(U12)-N(U13))</f>
        <v>9000000</v>
      </c>
      <c r="V15" s="259">
        <f>N(V14)-(N(V10)-N(V12)-N(V13))</f>
        <v>-1000000</v>
      </c>
      <c r="W15" s="259">
        <f>N(W14)-(N(W10)-N(W12)-N(W13))</f>
        <v>16000000</v>
      </c>
      <c r="X15" s="259">
        <f>N(X14)-(N(X10)-N(X12)-N(X13))</f>
        <v>24000000</v>
      </c>
      <c r="Y15" s="259">
        <f>N(Y14)-(N(Y10)-N(Y12)-N(Y13))</f>
        <v>12000000</v>
      </c>
      <c r="Z15" s="259">
        <f>N(Z14)-(N(Z10)-N(Z12)-N(Z13))</f>
        <v>11000000</v>
      </c>
      <c r="AA15" s="259">
        <f>N(AA14)-(N(AA10)-N(AA12)-N(AA13))</f>
        <v>10000000</v>
      </c>
      <c r="AB15" s="259">
        <f>N(AB14)-(N(AB10)-N(AB12)-N(AB13))</f>
        <v>17000000</v>
      </c>
      <c r="AC15" s="259">
        <f>N(AC14)-(N(AC10)-N(AC12)-N(AC13))</f>
        <v>7000000</v>
      </c>
      <c r="AD15" s="259">
        <f>N(AD14)-(N(AD10)-N(AD12)-N(AD13))</f>
        <v>10000000</v>
      </c>
      <c r="AE15" s="259">
        <f>N(AE14)-(N(AE10)-N(AE12)-N(AE13))</f>
        <v>7000000</v>
      </c>
      <c r="AF15" s="259">
        <f>N(AF14)-(N(AF10)-N(AF12)-N(AF13))</f>
        <v>7000000</v>
      </c>
      <c r="AG15" s="259">
        <f>N(AG14)-(N(AG10)-N(AG12)-N(AG13))</f>
        <v>8000000</v>
      </c>
      <c r="AH15" s="259">
        <f>N(AH14)-(N(AH10)-N(AH12)-N(AH13))</f>
        <v>87000000</v>
      </c>
      <c r="AI15" s="259">
        <f>N(AI14)-(N(AI10)-N(AI12)-N(AI13))</f>
        <v>7000000</v>
      </c>
      <c r="AJ15" s="259">
        <f>N(AJ14)-(N(AJ10)-N(AJ12)-N(AJ13))</f>
        <v>90000000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1092000000</v>
      </c>
      <c r="L16" s="259">
        <f>N(L14)</f>
        <v>458000000</v>
      </c>
      <c r="M16" s="259">
        <f>N(M14)</f>
        <v>668000000</v>
      </c>
      <c r="N16" s="259">
        <f>N(N14)</f>
        <v>780000000</v>
      </c>
      <c r="O16" s="259">
        <f>N(O14)</f>
        <v>1530000000</v>
      </c>
      <c r="P16" s="259">
        <f>N(P14)</f>
        <v>1413000000</v>
      </c>
      <c r="Q16" s="259">
        <f>N(Q14)</f>
        <v>1426000000</v>
      </c>
      <c r="R16" s="259">
        <f>N(R14)</f>
        <v>2120000000</v>
      </c>
      <c r="S16" s="259">
        <f>N(S14)</f>
        <v>1537000000</v>
      </c>
      <c r="T16" s="259">
        <f>N(T14)</f>
        <v>1673000000</v>
      </c>
      <c r="U16" s="259">
        <f>N(U14)</f>
        <v>2041000000</v>
      </c>
      <c r="V16" s="259">
        <f>N(V14)</f>
        <v>1454000000</v>
      </c>
      <c r="W16" s="259">
        <f>N(W14)</f>
        <v>1943000000</v>
      </c>
      <c r="X16" s="259">
        <f>N(X14)</f>
        <v>2922000000</v>
      </c>
      <c r="Y16" s="259">
        <f>N(Y14)</f>
        <v>2794000000</v>
      </c>
      <c r="Z16" s="259">
        <f>N(Z14)</f>
        <v>2676000000</v>
      </c>
      <c r="AA16" s="259">
        <f>N(AA14)</f>
        <v>2856000000</v>
      </c>
      <c r="AB16" s="259">
        <f>N(AB14)</f>
        <v>2681000000</v>
      </c>
      <c r="AC16" s="259">
        <f>N(AC14)</f>
        <v>2464000000</v>
      </c>
      <c r="AD16" s="259">
        <f>N(AD14)</f>
        <v>2791000000</v>
      </c>
      <c r="AE16" s="259">
        <f>N(AE14)</f>
        <v>2003000000</v>
      </c>
      <c r="AF16" s="259">
        <f>N(AF14)</f>
        <v>2179000000</v>
      </c>
      <c r="AG16" s="259">
        <f>N(AG14)</f>
        <v>2300000000</v>
      </c>
      <c r="AH16" s="259">
        <f>N(AH14)</f>
        <v>2402000000</v>
      </c>
      <c r="AI16" s="259">
        <f>N(AI14)</f>
        <v>2549000000</v>
      </c>
      <c r="AJ16" s="259">
        <f>N(AJ14)</f>
        <v>3593000000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t="inlineStr">
        <is>
          <t>fonte</t>
        </is>
      </c>
      <c r="K18" s="259" t="n">
        <v>614000000</v>
      </c>
      <c r="L18" s="259" t="n">
        <v>608000000</v>
      </c>
      <c r="M18" s="259" t="n">
        <v>593000000</v>
      </c>
      <c r="N18" s="259" t="n">
        <v>617000000</v>
      </c>
      <c r="O18" s="259" t="n">
        <v>586000000</v>
      </c>
      <c r="P18" s="259" t="n">
        <v>587000000</v>
      </c>
      <c r="Q18" s="259" t="n">
        <v>593000000</v>
      </c>
      <c r="R18" s="259" t="n">
        <v>586000000</v>
      </c>
      <c r="S18" s="259" t="n">
        <v>557000000</v>
      </c>
      <c r="T18" s="259" t="n">
        <v>553000000</v>
      </c>
      <c r="U18" s="259" t="n">
        <v>551000000</v>
      </c>
      <c r="V18" s="259" t="n">
        <v>558000000</v>
      </c>
      <c r="W18" s="259" t="n">
        <v>532000000</v>
      </c>
      <c r="X18" s="259" t="n">
        <v>542000000</v>
      </c>
      <c r="Y18" s="259" t="n">
        <v>525000000</v>
      </c>
      <c r="Z18" s="259" t="n">
        <v>545000000</v>
      </c>
      <c r="AA18" s="259" t="n">
        <v>524000000</v>
      </c>
      <c r="AB18" s="259" t="n">
        <v>531000000</v>
      </c>
      <c r="AC18" s="259" t="n">
        <v>543000000</v>
      </c>
      <c r="AD18" s="259" t="n">
        <v>555000000</v>
      </c>
      <c r="AE18" s="259" t="n">
        <v>540000000</v>
      </c>
      <c r="AF18" s="259" t="n">
        <v>554000000</v>
      </c>
      <c r="AG18" s="259" t="n">
        <v>570000000</v>
      </c>
      <c r="AH18" s="259" t="n">
        <v>598000000</v>
      </c>
      <c r="AI18" s="259" t="n">
        <v>595000000</v>
      </c>
      <c r="AJ18" s="259" t="n">
        <v>616000000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567000000</v>
      </c>
      <c r="L19" s="259" t="n">
        <v>558000000</v>
      </c>
      <c r="M19" s="259" t="n">
        <v>558000000</v>
      </c>
      <c r="N19" s="259" t="n">
        <v>560000000</v>
      </c>
      <c r="O19" s="259" t="n">
        <v>562000000</v>
      </c>
      <c r="P19" s="259" t="n">
        <v>564000000</v>
      </c>
      <c r="Q19" s="259" t="n">
        <v>607000000</v>
      </c>
      <c r="R19" s="259" t="n">
        <v>599000000</v>
      </c>
      <c r="S19" s="259" t="n">
        <v>595000000</v>
      </c>
      <c r="T19" s="259" t="n">
        <v>592000000</v>
      </c>
      <c r="U19" s="259" t="n">
        <v>633000000</v>
      </c>
      <c r="V19" s="259" t="n">
        <v>620000000</v>
      </c>
      <c r="W19" s="259" t="n">
        <v>620000000</v>
      </c>
      <c r="X19" s="259" t="n">
        <v>618000000</v>
      </c>
      <c r="Y19" s="259" t="n">
        <v>663000000</v>
      </c>
      <c r="Z19" s="259" t="n">
        <v>662000000</v>
      </c>
      <c r="AA19" s="259" t="n">
        <v>648000000</v>
      </c>
      <c r="AB19" s="259" t="n">
        <v>635000000</v>
      </c>
      <c r="AC19" s="259" t="n">
        <v>683000000</v>
      </c>
      <c r="AD19" s="259" t="n">
        <v>680000000</v>
      </c>
      <c r="AE19" s="259" t="n">
        <v>674000000</v>
      </c>
      <c r="AF19" s="259" t="n">
        <v>662000000</v>
      </c>
      <c r="AG19" s="259" t="n">
        <v>707000000</v>
      </c>
      <c r="AH19" s="259" t="n">
        <v>706000000</v>
      </c>
      <c r="AI19" s="259" t="n">
        <v>703000000</v>
      </c>
      <c r="AJ19" s="259" t="n">
        <v>696000000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CashCashEquivalentsAndShortTermInvestments</t>
        </is>
      </c>
      <c r="J21" t="inlineStr">
        <is>
          <t>fonte</t>
        </is>
      </c>
      <c r="K21" s="259" t="n">
        <v>7123000000</v>
      </c>
      <c r="L21" s="259" t="n">
        <v>8784000000</v>
      </c>
      <c r="M21" s="259" t="n">
        <v>9315000000</v>
      </c>
      <c r="N21" s="259" t="n">
        <v>9352000000</v>
      </c>
      <c r="O21" s="259" t="n">
        <v>11342000000</v>
      </c>
      <c r="P21" s="259" t="n">
        <v>10831000000</v>
      </c>
      <c r="Q21" s="259" t="n">
        <v>0</v>
      </c>
      <c r="R21" s="259" t="n">
        <v>0</v>
      </c>
      <c r="S21" s="259" t="n">
        <v>0</v>
      </c>
      <c r="T21" s="259" t="n">
        <v>0</v>
      </c>
      <c r="U21" s="259" t="n">
        <v>0</v>
      </c>
      <c r="V21" s="259" t="n">
        <v>0</v>
      </c>
      <c r="W21" s="259" t="n">
        <v>0</v>
      </c>
      <c r="X21" s="259" t="n">
        <v>0</v>
      </c>
      <c r="Y21" s="259" t="n">
        <v>0</v>
      </c>
      <c r="Z21" s="259" t="n">
        <v>0</v>
      </c>
      <c r="AA21" s="259" t="n">
        <v>0</v>
      </c>
      <c r="AB21" s="259" t="n">
        <v>0</v>
      </c>
      <c r="AC21" s="259" t="n">
        <v>0</v>
      </c>
      <c r="AD21" s="259" t="n">
        <v>0</v>
      </c>
      <c r="AE21" s="259" t="n">
        <v>0</v>
      </c>
      <c r="AF21" s="259" t="n">
        <v>0</v>
      </c>
      <c r="AG21" s="259" t="n">
        <v>0</v>
      </c>
      <c r="AH21" s="259" t="n">
        <v>0</v>
      </c>
      <c r="AI21" s="259" t="n">
        <v>0</v>
      </c>
      <c r="AJ21" s="259" t="n">
        <v>0</v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CashAndCashEquivalentsAtCarryingValue</t>
        </is>
      </c>
      <c r="J22" t="inlineStr">
        <is>
          <t>fonte</t>
        </is>
      </c>
      <c r="K22" s="259" t="n">
        <v>0</v>
      </c>
      <c r="L22" s="259" t="n">
        <v>0</v>
      </c>
      <c r="M22" s="259" t="n">
        <v>0</v>
      </c>
      <c r="N22" s="259" t="n">
        <v>0</v>
      </c>
      <c r="O22" s="259" t="n">
        <v>0</v>
      </c>
      <c r="P22" s="259" t="n">
        <v>0</v>
      </c>
      <c r="Q22" s="259" t="n">
        <v>9446000000</v>
      </c>
      <c r="R22" s="259" t="n">
        <v>9254000000</v>
      </c>
      <c r="S22" s="259" t="n">
        <v>6526000000</v>
      </c>
      <c r="T22" s="259" t="n">
        <v>6014000000</v>
      </c>
      <c r="U22" s="259" t="n">
        <v>6346000000</v>
      </c>
      <c r="V22" s="259" t="n">
        <v>7004000000</v>
      </c>
      <c r="W22" s="259" t="n">
        <v>6789000000</v>
      </c>
      <c r="X22" s="259" t="n">
        <v>7387000000</v>
      </c>
      <c r="Y22" s="259" t="n">
        <v>6545000000</v>
      </c>
      <c r="Z22" s="259" t="n">
        <v>6978000000</v>
      </c>
      <c r="AA22" s="259" t="n">
        <v>4959000000</v>
      </c>
      <c r="AB22" s="259" t="n">
        <v>4341000000</v>
      </c>
      <c r="AC22" s="259" t="n">
        <v>5638000000</v>
      </c>
      <c r="AD22" s="259" t="n">
        <v>6889000000</v>
      </c>
      <c r="AE22" s="259" t="n">
        <v>3562000000</v>
      </c>
      <c r="AF22" s="259" t="n">
        <v>5442000000</v>
      </c>
      <c r="AG22" s="259" t="n">
        <v>7538000000</v>
      </c>
      <c r="AH22" s="259" t="n">
        <v>9980000000</v>
      </c>
      <c r="AI22" s="259" t="n">
        <v>4072000000</v>
      </c>
      <c r="AJ22" s="259" t="n">
        <v>6713000000</v>
      </c>
    </row>
    <row r="23">
      <c r="A23" t="n">
        <v>12</v>
      </c>
      <c r="B23" t="n">
        <v>1</v>
      </c>
      <c r="G23" t="inlineStr">
        <is>
          <t>moeda</t>
        </is>
      </c>
      <c r="H23" t="inlineStr">
        <is>
          <t>AccountsReceivableNetCurrent</t>
        </is>
      </c>
      <c r="J23" t="inlineStr">
        <is>
          <t>fonte</t>
        </is>
      </c>
      <c r="K23" s="259" t="n">
        <v>7834000000</v>
      </c>
      <c r="L23" s="259" t="n">
        <v>7134000000</v>
      </c>
      <c r="M23" s="259" t="n">
        <v>6969000000</v>
      </c>
      <c r="N23" s="259" t="n">
        <v>7317000000</v>
      </c>
      <c r="O23" s="259" t="n">
        <v>7955000000</v>
      </c>
      <c r="P23" s="259" t="n">
        <v>7840000000</v>
      </c>
      <c r="Q23" s="259" t="n">
        <v>7647000000</v>
      </c>
      <c r="R23" s="259" t="n">
        <v>8477000000</v>
      </c>
      <c r="S23" s="259" t="n">
        <v>9135000000</v>
      </c>
      <c r="T23" s="259" t="n">
        <v>8393000000</v>
      </c>
      <c r="U23" s="259" t="n">
        <v>8158000000</v>
      </c>
      <c r="V23" s="259" t="n">
        <v>8856000000</v>
      </c>
      <c r="W23" s="259" t="n">
        <v>9230000000</v>
      </c>
      <c r="X23" s="259" t="n">
        <v>9416000000</v>
      </c>
      <c r="Y23" s="259" t="n">
        <v>9134000000</v>
      </c>
      <c r="Z23" s="259" t="n">
        <v>9310000000</v>
      </c>
      <c r="AA23" s="259" t="n">
        <v>9296000000</v>
      </c>
      <c r="AB23" s="259" t="n">
        <v>9421000000</v>
      </c>
      <c r="AC23" s="259" t="n">
        <v>9086000000</v>
      </c>
      <c r="AD23" s="259" t="n">
        <v>9282000000</v>
      </c>
      <c r="AE23" s="259" t="n">
        <v>9116000000</v>
      </c>
      <c r="AF23" s="259" t="n">
        <v>9704000000</v>
      </c>
      <c r="AG23" s="259" t="n">
        <v>10146000000</v>
      </c>
      <c r="AH23" s="259" t="n">
        <v>10920000000</v>
      </c>
      <c r="AI23" s="259" t="n">
        <v>11447000000</v>
      </c>
      <c r="AJ23" s="259" t="n">
        <v>13188000000</v>
      </c>
    </row>
    <row r="24">
      <c r="A24" t="n">
        <v>13</v>
      </c>
      <c r="B24" t="n">
        <v>1</v>
      </c>
      <c r="G24" t="inlineStr">
        <is>
          <t>moeda</t>
        </is>
      </c>
      <c r="H24" t="inlineStr">
        <is>
          <t>InventoryNet</t>
        </is>
      </c>
      <c r="J24" t="inlineStr">
        <is>
          <t>fonte</t>
        </is>
      </c>
      <c r="K24" s="259" t="n">
        <v>11748000000</v>
      </c>
      <c r="L24" s="259" t="n">
        <v>11371000000</v>
      </c>
      <c r="M24" s="259" t="n">
        <v>11453000000</v>
      </c>
      <c r="N24" s="259" t="n">
        <v>11402000000</v>
      </c>
      <c r="O24" s="259" t="n">
        <v>12149000000</v>
      </c>
      <c r="P24" s="259" t="n">
        <v>12672000000</v>
      </c>
      <c r="Q24" s="259" t="n">
        <v>13666000000</v>
      </c>
      <c r="R24" s="259" t="n">
        <v>14038000000</v>
      </c>
      <c r="S24" s="259" t="n">
        <v>15038000000</v>
      </c>
      <c r="T24" s="259" t="n">
        <v>15881000000</v>
      </c>
      <c r="U24" s="259" t="n">
        <v>16860000000</v>
      </c>
      <c r="V24" s="259" t="n">
        <v>16270000000</v>
      </c>
      <c r="W24" s="259" t="n">
        <v>17633000000</v>
      </c>
      <c r="X24" s="259" t="n">
        <v>17746000000</v>
      </c>
      <c r="Y24" s="259" t="n">
        <v>17580000000</v>
      </c>
      <c r="Z24" s="259" t="n">
        <v>16565000000</v>
      </c>
      <c r="AA24" s="259" t="n">
        <v>16953000000</v>
      </c>
      <c r="AB24" s="259" t="n">
        <v>17082000000</v>
      </c>
      <c r="AC24" s="259" t="n">
        <v>17312000000</v>
      </c>
      <c r="AD24" s="259" t="n">
        <v>16827000000</v>
      </c>
      <c r="AE24" s="259" t="n">
        <v>17862000000</v>
      </c>
      <c r="AF24" s="259" t="n">
        <v>18595000000</v>
      </c>
      <c r="AG24" s="259" t="n">
        <v>18958000000</v>
      </c>
      <c r="AH24" s="259" t="n">
        <v>18135000000</v>
      </c>
      <c r="AI24" s="259" t="n">
        <v>19626000000</v>
      </c>
      <c r="AJ24" s="259" t="n">
        <v>20627000000</v>
      </c>
    </row>
    <row r="25">
      <c r="A25" t="n">
        <v>16</v>
      </c>
      <c r="B25" t="n">
        <v>1</v>
      </c>
      <c r="G25" t="inlineStr">
        <is>
          <t>moeda</t>
        </is>
      </c>
      <c r="H25" t="inlineStr">
        <is>
          <t>NotesAndLoansReceivableNetCurrent</t>
        </is>
      </c>
      <c r="J25" t="inlineStr">
        <is>
          <t>fonte</t>
        </is>
      </c>
      <c r="K25" s="259" t="n">
        <v>9120000000</v>
      </c>
      <c r="L25" s="259" t="n">
        <v>8781000000</v>
      </c>
      <c r="M25" s="259" t="n">
        <v>8966000000</v>
      </c>
      <c r="N25" s="259" t="n">
        <v>9463000000</v>
      </c>
      <c r="O25" s="259" t="n">
        <v>9333000000</v>
      </c>
      <c r="P25" s="259" t="n">
        <v>9523000000</v>
      </c>
      <c r="Q25" s="259" t="n">
        <v>8919000000</v>
      </c>
      <c r="R25" s="259" t="n">
        <v>8898000000</v>
      </c>
      <c r="S25" s="259" t="n">
        <v>9003000000</v>
      </c>
      <c r="T25" s="259" t="n">
        <v>8922000000</v>
      </c>
      <c r="U25" s="259" t="n">
        <v>8918000000</v>
      </c>
      <c r="V25" s="259" t="n">
        <v>9013000000</v>
      </c>
      <c r="W25" s="259" t="n">
        <v>9119000000</v>
      </c>
      <c r="X25" s="259" t="n">
        <v>9288000000</v>
      </c>
      <c r="Y25" s="259" t="n">
        <v>9608000000</v>
      </c>
      <c r="Z25" s="259" t="n">
        <v>9510000000</v>
      </c>
      <c r="AA25" s="259" t="n">
        <v>9446000000</v>
      </c>
      <c r="AB25" s="259" t="n">
        <v>9516000000</v>
      </c>
      <c r="AC25" s="259" t="n">
        <v>9816000000</v>
      </c>
      <c r="AD25" s="259" t="n">
        <v>9565000000</v>
      </c>
      <c r="AE25" s="259" t="n">
        <v>9655000000</v>
      </c>
      <c r="AF25" s="259" t="n">
        <v>10147000000</v>
      </c>
      <c r="AG25" s="259" t="n">
        <v>10315000000</v>
      </c>
      <c r="AH25" s="259" t="n">
        <v>10649000000</v>
      </c>
      <c r="AI25" s="259" t="n">
        <v>10443000000</v>
      </c>
      <c r="AJ25" s="259" t="n">
        <v>10844000000</v>
      </c>
    </row>
    <row r="26">
      <c r="A26" t="n">
        <v>16</v>
      </c>
      <c r="B26" t="n">
        <v>1</v>
      </c>
      <c r="G26" t="inlineStr">
        <is>
          <t>moeda</t>
        </is>
      </c>
      <c r="H26" t="inlineStr">
        <is>
          <t>PrepaidExpenseAndOtherAssetsCurrent</t>
        </is>
      </c>
      <c r="J26" t="inlineStr">
        <is>
          <t>fonte</t>
        </is>
      </c>
      <c r="K26" s="259" t="n">
        <v>1761000000</v>
      </c>
      <c r="L26" s="259" t="n">
        <v>1792000000</v>
      </c>
      <c r="M26" s="259" t="n">
        <v>1831000000</v>
      </c>
      <c r="N26" s="259" t="n">
        <v>1930000000</v>
      </c>
      <c r="O26" s="259" t="n">
        <v>1802000000</v>
      </c>
      <c r="P26" s="259" t="n">
        <v>2080000000</v>
      </c>
      <c r="Q26" s="259" t="n">
        <v>2215000000</v>
      </c>
      <c r="R26" s="259" t="n">
        <v>2788000000</v>
      </c>
      <c r="S26" s="259" t="n">
        <v>2868000000</v>
      </c>
      <c r="T26" s="259" t="n">
        <v>2772000000</v>
      </c>
      <c r="U26" s="259" t="n">
        <v>2295000000</v>
      </c>
      <c r="V26" s="259" t="n">
        <v>2642000000</v>
      </c>
      <c r="W26" s="259" t="n">
        <v>2889000000</v>
      </c>
      <c r="X26" s="259" t="n">
        <v>3163000000</v>
      </c>
      <c r="Y26" s="259" t="n">
        <v>5138000000</v>
      </c>
      <c r="Z26" s="259" t="n">
        <v>4586000000</v>
      </c>
      <c r="AA26" s="259" t="n">
        <v>3010000000</v>
      </c>
      <c r="AB26" s="259" t="n">
        <v>2736000000</v>
      </c>
      <c r="AC26" s="259" t="n">
        <v>3094000000</v>
      </c>
      <c r="AD26" s="259" t="n">
        <v>3119000000</v>
      </c>
      <c r="AE26" s="259" t="n">
        <v>2824000000</v>
      </c>
      <c r="AF26" s="259" t="n">
        <v>2867000000</v>
      </c>
      <c r="AG26" s="259" t="n">
        <v>2861000000</v>
      </c>
      <c r="AH26" s="259" t="n">
        <v>2801000000</v>
      </c>
      <c r="AI26" s="259" t="n">
        <v>2980000000</v>
      </c>
      <c r="AJ26" s="259" t="n">
        <v>3078000000</v>
      </c>
    </row>
    <row r="27">
      <c r="A27" t="n">
        <v>18</v>
      </c>
      <c r="B27" t="n">
        <v>1</v>
      </c>
      <c r="G27" t="inlineStr">
        <is>
          <t>moeda</t>
        </is>
      </c>
      <c r="H27" t="inlineStr">
        <is>
          <t>PropertyPlantAndEquipmentNet</t>
        </is>
      </c>
      <c r="J27" t="inlineStr">
        <is>
          <t>fonte</t>
        </is>
      </c>
      <c r="K27" s="259" t="n">
        <v>12488000000</v>
      </c>
      <c r="L27" s="259" t="n">
        <v>12357000000</v>
      </c>
      <c r="M27" s="259" t="n">
        <v>12232000000</v>
      </c>
      <c r="N27" s="259" t="n">
        <v>12401000000</v>
      </c>
      <c r="O27" s="259" t="n">
        <v>12132000000</v>
      </c>
      <c r="P27" s="259" t="n">
        <v>12014000000</v>
      </c>
      <c r="Q27" s="259" t="n">
        <v>11904000000</v>
      </c>
      <c r="R27" s="259" t="n">
        <v>12090000000</v>
      </c>
      <c r="S27" s="259" t="n">
        <v>11932000000</v>
      </c>
      <c r="T27" s="259" t="n">
        <v>11744000000</v>
      </c>
      <c r="U27" s="259" t="n">
        <v>11643000000</v>
      </c>
      <c r="V27" s="259" t="n">
        <v>12028000000</v>
      </c>
      <c r="W27" s="259" t="n">
        <v>11973000000</v>
      </c>
      <c r="X27" s="259" t="n">
        <v>12124000000</v>
      </c>
      <c r="Y27" s="259" t="n">
        <v>12287000000</v>
      </c>
      <c r="Z27" s="259" t="n">
        <v>12680000000</v>
      </c>
      <c r="AA27" s="259" t="n">
        <v>12538000000</v>
      </c>
      <c r="AB27" s="259" t="n">
        <v>12582000000</v>
      </c>
      <c r="AC27" s="259" t="n">
        <v>12837000000</v>
      </c>
      <c r="AD27" s="259" t="n">
        <v>13361000000</v>
      </c>
      <c r="AE27" s="259" t="n">
        <v>13432000000</v>
      </c>
      <c r="AF27" s="259" t="n">
        <v>13896000000</v>
      </c>
      <c r="AG27" s="259" t="n">
        <v>14310000000</v>
      </c>
      <c r="AH27" s="259" t="n">
        <v>15140000000</v>
      </c>
      <c r="AI27" s="259" t="n">
        <v>15249000000</v>
      </c>
      <c r="AJ27" s="259" t="n">
        <v>15628000000</v>
      </c>
    </row>
    <row r="28">
      <c r="A28" t="n">
        <v>20</v>
      </c>
      <c r="B28" t="n">
        <v>1</v>
      </c>
      <c r="G28" t="inlineStr">
        <is>
          <t>moeda</t>
        </is>
      </c>
      <c r="H28" t="inlineStr">
        <is>
          <t>Goodwill</t>
        </is>
      </c>
      <c r="J28" t="inlineStr">
        <is>
          <t>fonte</t>
        </is>
      </c>
      <c r="K28" s="259" t="n">
        <v>6140000000</v>
      </c>
      <c r="L28" s="259" t="n">
        <v>6192000000</v>
      </c>
      <c r="M28" s="259" t="n">
        <v>6304000000</v>
      </c>
      <c r="N28" s="259" t="n">
        <v>6394000000</v>
      </c>
      <c r="O28" s="259" t="n">
        <v>6343000000</v>
      </c>
      <c r="P28" s="259" t="n">
        <v>6372000000</v>
      </c>
      <c r="Q28" s="259" t="n">
        <v>6353000000</v>
      </c>
      <c r="R28" s="259" t="n">
        <v>6324000000</v>
      </c>
      <c r="S28" s="259" t="n">
        <v>6293000000</v>
      </c>
      <c r="T28" s="259" t="n">
        <v>6195000000</v>
      </c>
      <c r="U28" s="259" t="n">
        <v>6092000000</v>
      </c>
      <c r="V28" s="259" t="n">
        <v>5288000000</v>
      </c>
      <c r="W28" s="259" t="n">
        <v>5309000000</v>
      </c>
      <c r="X28" s="259" t="n">
        <v>5293000000</v>
      </c>
      <c r="Y28" s="259" t="n">
        <v>5268000000</v>
      </c>
      <c r="Z28" s="259" t="n">
        <v>5308000000</v>
      </c>
      <c r="AA28" s="259" t="n">
        <v>5277000000</v>
      </c>
      <c r="AB28" s="259" t="n">
        <v>5264000000</v>
      </c>
      <c r="AC28" s="259" t="n">
        <v>5317000000</v>
      </c>
      <c r="AD28" s="259" t="n">
        <v>5241000000</v>
      </c>
      <c r="AE28" s="259" t="n">
        <v>5270000000</v>
      </c>
      <c r="AF28" s="259" t="n">
        <v>5331000000</v>
      </c>
      <c r="AG28" s="259" t="n">
        <v>5329000000</v>
      </c>
      <c r="AH28" s="259" t="n">
        <v>5321000000</v>
      </c>
      <c r="AI28" s="259" t="n">
        <v>5865000000</v>
      </c>
      <c r="AJ28" s="259" t="n">
        <v>5859000000</v>
      </c>
    </row>
    <row r="29">
      <c r="A29" t="n">
        <v>21</v>
      </c>
      <c r="B29" t="n">
        <v>1</v>
      </c>
      <c r="G29" t="inlineStr">
        <is>
          <t>moeda</t>
        </is>
      </c>
      <c r="H29" t="inlineStr">
        <is>
          <t>IntangibleAssetsNetExcludingGoodwill</t>
        </is>
      </c>
      <c r="J29" t="inlineStr">
        <is>
          <t>fonte</t>
        </is>
      </c>
      <c r="K29" s="259" t="n">
        <v>1478000000</v>
      </c>
      <c r="L29" s="259" t="n">
        <v>1420000000</v>
      </c>
      <c r="M29" s="259" t="n">
        <v>1363000000</v>
      </c>
      <c r="N29" s="259" t="n">
        <v>1308000000</v>
      </c>
      <c r="O29" s="259" t="n">
        <v>1246000000</v>
      </c>
      <c r="P29" s="259" t="n">
        <v>1176000000</v>
      </c>
      <c r="Q29" s="259" t="n">
        <v>1121000000</v>
      </c>
      <c r="R29" s="259" t="n">
        <v>1042000000</v>
      </c>
      <c r="S29" s="259" t="n">
        <v>967000000</v>
      </c>
      <c r="T29" s="259" t="n">
        <v>889000000</v>
      </c>
      <c r="U29" s="259" t="n">
        <v>806000000</v>
      </c>
      <c r="V29" s="259" t="n">
        <v>758000000</v>
      </c>
      <c r="W29" s="259" t="n">
        <v>694000000</v>
      </c>
      <c r="X29" s="259" t="n">
        <v>630000000</v>
      </c>
      <c r="Y29" s="259" t="n">
        <v>604000000</v>
      </c>
      <c r="Z29" s="259" t="n">
        <v>564000000</v>
      </c>
      <c r="AA29" s="259" t="n">
        <v>516000000</v>
      </c>
      <c r="AB29" s="259" t="n">
        <v>488000000</v>
      </c>
      <c r="AC29" s="259" t="n">
        <v>448000000</v>
      </c>
      <c r="AD29" s="259" t="n">
        <v>399000000</v>
      </c>
      <c r="AE29" s="259" t="n">
        <v>361000000</v>
      </c>
      <c r="AF29" s="259" t="n">
        <v>321000000</v>
      </c>
      <c r="AG29" s="259" t="n">
        <v>281000000</v>
      </c>
      <c r="AH29" s="259" t="n">
        <v>241000000</v>
      </c>
      <c r="AI29" s="259" t="n">
        <v>419000000</v>
      </c>
      <c r="AJ29" s="259" t="n">
        <v>420000000</v>
      </c>
    </row>
    <row r="30">
      <c r="A30" t="n">
        <v>22</v>
      </c>
      <c r="B30" t="n">
        <v>1</v>
      </c>
      <c r="G30" t="inlineStr">
        <is>
          <t>moeda</t>
        </is>
      </c>
      <c r="H30" t="inlineStr">
        <is>
          <t>AccountsReceivableNetNoncurrent</t>
        </is>
      </c>
      <c r="J30" t="inlineStr">
        <is>
          <t>fonte</t>
        </is>
      </c>
      <c r="K30" s="259" t="n">
        <v>1196000000</v>
      </c>
      <c r="L30" s="259" t="n">
        <v>1167000000</v>
      </c>
      <c r="M30" s="259" t="n">
        <v>1149000000</v>
      </c>
      <c r="N30" s="259" t="n">
        <v>1185000000</v>
      </c>
      <c r="O30" s="259" t="n">
        <v>1115000000</v>
      </c>
      <c r="P30" s="259" t="n">
        <v>1206000000</v>
      </c>
      <c r="Q30" s="259" t="n">
        <v>1273000000</v>
      </c>
      <c r="R30" s="259" t="n">
        <v>1204000000</v>
      </c>
      <c r="S30" s="259" t="n">
        <v>1204000000</v>
      </c>
      <c r="T30" s="259" t="n">
        <v>1197000000</v>
      </c>
      <c r="U30" s="259" t="n">
        <v>1278000000</v>
      </c>
      <c r="V30" s="259" t="n">
        <v>1265000000</v>
      </c>
      <c r="W30" s="259" t="n">
        <v>1209000000</v>
      </c>
      <c r="X30" s="259" t="n">
        <v>1161000000</v>
      </c>
      <c r="Y30" s="259" t="n">
        <v>1110000000</v>
      </c>
      <c r="Z30" s="259" t="n">
        <v>1238000000</v>
      </c>
      <c r="AA30" s="259" t="n">
        <v>1200000000</v>
      </c>
      <c r="AB30" s="259" t="n">
        <v>1181000000</v>
      </c>
      <c r="AC30" s="259" t="n">
        <v>1346000000</v>
      </c>
      <c r="AD30" s="259" t="n">
        <v>1225000000</v>
      </c>
      <c r="AE30" s="259" t="n">
        <v>1261000000</v>
      </c>
      <c r="AF30" s="259" t="n">
        <v>1607000000</v>
      </c>
      <c r="AG30" s="259" t="n">
        <v>1618000000</v>
      </c>
      <c r="AH30" s="259" t="n">
        <v>2142000000</v>
      </c>
      <c r="AI30" s="259" t="n">
        <v>2490000000</v>
      </c>
      <c r="AJ30" s="259" t="n">
        <v>3086000000</v>
      </c>
    </row>
    <row r="31">
      <c r="A31" t="n">
        <v>22</v>
      </c>
      <c r="B31" t="n">
        <v>1</v>
      </c>
      <c r="G31" t="inlineStr">
        <is>
          <t>moeda</t>
        </is>
      </c>
      <c r="H31" t="inlineStr">
        <is>
          <t>NotesAndLoansReceivableNetNoncurrent</t>
        </is>
      </c>
      <c r="J31" t="inlineStr">
        <is>
          <t>fonte</t>
        </is>
      </c>
      <c r="K31" s="259" t="n">
        <v>12021000000</v>
      </c>
      <c r="L31" s="259" t="n">
        <v>12560000000</v>
      </c>
      <c r="M31" s="259" t="n">
        <v>12209000000</v>
      </c>
      <c r="N31" s="259" t="n">
        <v>12222000000</v>
      </c>
      <c r="O31" s="259" t="n">
        <v>11966000000</v>
      </c>
      <c r="P31" s="259" t="n">
        <v>12590000000</v>
      </c>
      <c r="Q31" s="259" t="n">
        <v>12605000000</v>
      </c>
      <c r="R31" s="259" t="n">
        <v>12707000000</v>
      </c>
      <c r="S31" s="259" t="n">
        <v>12665000000</v>
      </c>
      <c r="T31" s="259" t="n">
        <v>12372000000</v>
      </c>
      <c r="U31" s="259" t="n">
        <v>11859000000</v>
      </c>
      <c r="V31" s="259" t="n">
        <v>12013000000</v>
      </c>
      <c r="W31" s="259" t="n">
        <v>11845000000</v>
      </c>
      <c r="X31" s="259" t="n">
        <v>12022000000</v>
      </c>
      <c r="Y31" s="259" t="n">
        <v>11907000000</v>
      </c>
      <c r="Z31" s="259" t="n">
        <v>12664000000</v>
      </c>
      <c r="AA31" s="259" t="n">
        <v>12531000000</v>
      </c>
      <c r="AB31" s="259" t="n">
        <v>12797000000</v>
      </c>
      <c r="AC31" s="259" t="n">
        <v>13263000000</v>
      </c>
      <c r="AD31" s="259" t="n">
        <v>13242000000</v>
      </c>
      <c r="AE31" s="259" t="n">
        <v>13452000000</v>
      </c>
      <c r="AF31" s="259" t="n">
        <v>13835000000</v>
      </c>
      <c r="AG31" s="259" t="n">
        <v>13985000000</v>
      </c>
      <c r="AH31" s="259" t="n">
        <v>14272000000</v>
      </c>
      <c r="AI31" s="259" t="n">
        <v>14341000000</v>
      </c>
      <c r="AJ31" s="259" t="n">
        <v>14364000000</v>
      </c>
    </row>
    <row r="32">
      <c r="A32" t="n">
        <v>22</v>
      </c>
      <c r="B32" t="n">
        <v>1</v>
      </c>
      <c r="G32" t="inlineStr">
        <is>
          <t>moeda</t>
        </is>
      </c>
      <c r="H32" t="inlineStr">
        <is>
          <t>NoncurrentDeferredAndRefundableIncomeTaxes</t>
        </is>
      </c>
      <c r="J32" t="inlineStr">
        <is>
          <t>fonte</t>
        </is>
      </c>
      <c r="K32" s="259" t="n">
        <v>1426000000</v>
      </c>
      <c r="L32" s="259" t="n">
        <v>1459000000</v>
      </c>
      <c r="M32" s="259" t="n">
        <v>1440000000</v>
      </c>
      <c r="N32" s="259" t="n">
        <v>1523000000</v>
      </c>
      <c r="O32" s="259" t="n">
        <v>1391000000</v>
      </c>
      <c r="P32" s="259" t="n">
        <v>1455000000</v>
      </c>
      <c r="Q32" s="259" t="n">
        <v>1744000000</v>
      </c>
      <c r="R32" s="259" t="n">
        <v>1840000000</v>
      </c>
      <c r="S32" s="259" t="n">
        <v>1973000000</v>
      </c>
      <c r="T32" s="259" t="n">
        <v>2121000000</v>
      </c>
      <c r="U32" s="259" t="n">
        <v>2218000000</v>
      </c>
      <c r="V32" s="259" t="n">
        <v>2213000000</v>
      </c>
      <c r="W32" s="259" t="n">
        <v>2405000000</v>
      </c>
      <c r="X32" s="259" t="n">
        <v>2607000000</v>
      </c>
      <c r="Y32" s="259" t="n">
        <v>2719000000</v>
      </c>
      <c r="Z32" s="259" t="n">
        <v>2816000000</v>
      </c>
      <c r="AA32" s="259" t="n">
        <v>2860000000</v>
      </c>
      <c r="AB32" s="259" t="n">
        <v>2920000000</v>
      </c>
      <c r="AC32" s="259" t="n">
        <v>3050000000</v>
      </c>
      <c r="AD32" s="259" t="n">
        <v>3312000000</v>
      </c>
      <c r="AE32" s="259" t="n">
        <v>3334000000</v>
      </c>
      <c r="AF32" s="259" t="n">
        <v>3427000000</v>
      </c>
      <c r="AG32" s="259" t="n">
        <v>3000000000</v>
      </c>
      <c r="AH32" s="259" t="n">
        <v>2882000000</v>
      </c>
      <c r="AI32" s="259" t="n">
        <v>2419000000</v>
      </c>
      <c r="AJ32" s="259" t="n">
        <v>2286000000</v>
      </c>
    </row>
    <row r="33">
      <c r="A33" t="n">
        <v>22</v>
      </c>
      <c r="B33" t="n">
        <v>1</v>
      </c>
      <c r="G33" t="inlineStr">
        <is>
          <t>moeda</t>
        </is>
      </c>
      <c r="H33" t="inlineStr">
        <is>
          <t>OtherAssetsNoncurrent</t>
        </is>
      </c>
      <c r="J33" t="inlineStr">
        <is>
          <t>fonte</t>
        </is>
      </c>
      <c r="K33" s="259" t="n">
        <v>3559000000</v>
      </c>
      <c r="L33" s="259" t="n">
        <v>3549000000</v>
      </c>
      <c r="M33" s="259" t="n">
        <v>3510000000</v>
      </c>
      <c r="N33" s="259" t="n">
        <v>3827000000</v>
      </c>
      <c r="O33" s="259" t="n">
        <v>3955000000</v>
      </c>
      <c r="P33" s="259" t="n">
        <v>3938000000</v>
      </c>
      <c r="Q33" s="259" t="n">
        <v>3891000000</v>
      </c>
      <c r="R33" s="259" t="n">
        <v>4131000000</v>
      </c>
      <c r="S33" s="259" t="n">
        <v>4672000000</v>
      </c>
      <c r="T33" s="259" t="n">
        <v>4607000000</v>
      </c>
      <c r="U33" s="259" t="n">
        <v>4434000000</v>
      </c>
      <c r="V33" s="259" t="n">
        <v>4593000000</v>
      </c>
      <c r="W33" s="259" t="n">
        <v>4554000000</v>
      </c>
      <c r="X33" s="259" t="n">
        <v>4590000000</v>
      </c>
      <c r="Y33" s="259" t="n">
        <v>4891000000</v>
      </c>
      <c r="Z33" s="259" t="n">
        <v>5257000000</v>
      </c>
      <c r="AA33" s="259" t="n">
        <v>5155000000</v>
      </c>
      <c r="AB33" s="259" t="n">
        <v>5008000000</v>
      </c>
      <c r="AC33" s="259" t="n">
        <v>5066000000</v>
      </c>
      <c r="AD33" s="259" t="n">
        <v>5302000000</v>
      </c>
      <c r="AE33" s="259" t="n">
        <v>4845000000</v>
      </c>
      <c r="AF33" s="259" t="n">
        <v>5153000000</v>
      </c>
      <c r="AG33" s="259" t="n">
        <v>5381000000</v>
      </c>
      <c r="AH33" s="259" t="n">
        <v>6102000000</v>
      </c>
      <c r="AI33" s="259" t="n">
        <v>6199000000</v>
      </c>
      <c r="AJ33" s="259" t="n">
        <v>6516000000</v>
      </c>
    </row>
    <row r="34">
      <c r="A34" t="n">
        <v>23</v>
      </c>
      <c r="B34" t="n">
        <v>1</v>
      </c>
      <c r="G34" t="inlineStr">
        <is>
          <t>moeda</t>
        </is>
      </c>
      <c r="H34" t="inlineStr">
        <is>
          <t>AccountsPayableCurrent</t>
        </is>
      </c>
      <c r="J34" t="inlineStr">
        <is>
          <t>fonte</t>
        </is>
      </c>
      <c r="K34" s="259" t="n">
        <v>5769000000</v>
      </c>
      <c r="L34" s="259" t="n">
        <v>5083000000</v>
      </c>
      <c r="M34" s="259" t="n">
        <v>5193000000</v>
      </c>
      <c r="N34" s="259" t="n">
        <v>6128000000</v>
      </c>
      <c r="O34" s="259" t="n">
        <v>6694000000</v>
      </c>
      <c r="P34" s="259" t="n">
        <v>6921000000</v>
      </c>
      <c r="Q34" s="259" t="n">
        <v>7218000000</v>
      </c>
      <c r="R34" s="259" t="n">
        <v>8154000000</v>
      </c>
      <c r="S34" s="259" t="n">
        <v>8361000000</v>
      </c>
      <c r="T34" s="259" t="n">
        <v>8092000000</v>
      </c>
      <c r="U34" s="259" t="n">
        <v>8260000000</v>
      </c>
      <c r="V34" s="259" t="n">
        <v>8689000000</v>
      </c>
      <c r="W34" s="259" t="n">
        <v>8951000000</v>
      </c>
      <c r="X34" s="259" t="n">
        <v>8443000000</v>
      </c>
      <c r="Y34" s="259" t="n">
        <v>7827000000</v>
      </c>
      <c r="Z34" s="259" t="n">
        <v>7906000000</v>
      </c>
      <c r="AA34" s="259" t="n">
        <v>7778000000</v>
      </c>
      <c r="AB34" s="259" t="n">
        <v>7575000000</v>
      </c>
      <c r="AC34" s="259" t="n">
        <v>7705000000</v>
      </c>
      <c r="AD34" s="259" t="n">
        <v>7675000000</v>
      </c>
      <c r="AE34" s="259" t="n">
        <v>7792000000</v>
      </c>
      <c r="AF34" s="259" t="n">
        <v>8563000000</v>
      </c>
      <c r="AG34" s="259" t="n">
        <v>8729000000</v>
      </c>
      <c r="AH34" s="259" t="n">
        <v>8968000000</v>
      </c>
      <c r="AI34" s="259" t="n">
        <v>9641000000</v>
      </c>
      <c r="AJ34" s="259" t="n">
        <v>10313000000</v>
      </c>
    </row>
    <row r="35">
      <c r="A35" t="n">
        <v>24</v>
      </c>
      <c r="B35" t="n">
        <v>1</v>
      </c>
      <c r="G35" t="inlineStr">
        <is>
          <t>moeda</t>
        </is>
      </c>
      <c r="H35" t="inlineStr">
        <is>
          <t>AccruedLiabilitiesCurrent</t>
        </is>
      </c>
      <c r="J35" t="inlineStr">
        <is>
          <t>fonte</t>
        </is>
      </c>
      <c r="K35" s="259" t="n">
        <v>3776000000</v>
      </c>
      <c r="L35" s="259" t="n">
        <v>3547000000</v>
      </c>
      <c r="M35" s="259" t="n">
        <v>3510000000</v>
      </c>
      <c r="N35" s="259" t="n">
        <v>3642000000</v>
      </c>
      <c r="O35" s="259" t="n">
        <v>3574000000</v>
      </c>
      <c r="P35" s="259" t="n">
        <v>3556000000</v>
      </c>
      <c r="Q35" s="259" t="n">
        <v>3579000000</v>
      </c>
      <c r="R35" s="259" t="n">
        <v>3757000000</v>
      </c>
      <c r="S35" s="259" t="n">
        <v>3846000000</v>
      </c>
      <c r="T35" s="259" t="n">
        <v>3782000000</v>
      </c>
      <c r="U35" s="259" t="n">
        <v>4013000000</v>
      </c>
      <c r="V35" s="259" t="n">
        <v>4080000000</v>
      </c>
      <c r="W35" s="259" t="n">
        <v>4121000000</v>
      </c>
      <c r="X35" s="259" t="n">
        <v>4493000000</v>
      </c>
      <c r="Y35" s="259" t="n">
        <v>4669000000</v>
      </c>
      <c r="Z35" s="259" t="n">
        <v>4958000000</v>
      </c>
      <c r="AA35" s="259" t="n">
        <v>4821000000</v>
      </c>
      <c r="AB35" s="259" t="n">
        <v>4947000000</v>
      </c>
      <c r="AC35" s="259" t="n">
        <v>4980000000</v>
      </c>
      <c r="AD35" s="259" t="n">
        <v>5243000000</v>
      </c>
      <c r="AE35" s="259" t="n">
        <v>4990000000</v>
      </c>
      <c r="AF35" s="259" t="n">
        <v>5207000000</v>
      </c>
      <c r="AG35" s="259" t="n">
        <v>5187000000</v>
      </c>
      <c r="AH35" s="259" t="n">
        <v>5587000000</v>
      </c>
      <c r="AI35" s="259" t="n">
        <v>5454000000</v>
      </c>
      <c r="AJ35" s="259" t="n">
        <v>5825000000</v>
      </c>
    </row>
    <row r="36">
      <c r="A36" t="n">
        <v>24</v>
      </c>
      <c r="B36" t="n">
        <v>1</v>
      </c>
      <c r="G36" t="inlineStr">
        <is>
          <t>moeda</t>
        </is>
      </c>
      <c r="H36" t="inlineStr">
        <is>
          <t>EmployeeRelatedLiabilitiesCurrent</t>
        </is>
      </c>
      <c r="J36" t="inlineStr">
        <is>
          <t>fonte</t>
        </is>
      </c>
      <c r="K36" s="259" t="n">
        <v>878000000</v>
      </c>
      <c r="L36" s="259" t="n">
        <v>958000000</v>
      </c>
      <c r="M36" s="259" t="n">
        <v>1069000000</v>
      </c>
      <c r="N36" s="259" t="n">
        <v>1096000000</v>
      </c>
      <c r="O36" s="259" t="n">
        <v>1283000000</v>
      </c>
      <c r="P36" s="259" t="n">
        <v>1759000000</v>
      </c>
      <c r="Q36" s="259" t="n">
        <v>2075000000</v>
      </c>
      <c r="R36" s="259" t="n">
        <v>2242000000</v>
      </c>
      <c r="S36" s="259" t="n">
        <v>1275000000</v>
      </c>
      <c r="T36" s="259" t="n">
        <v>1772000000</v>
      </c>
      <c r="U36" s="259" t="n">
        <v>2204000000</v>
      </c>
      <c r="V36" s="259" t="n">
        <v>2313000000</v>
      </c>
      <c r="W36" s="259" t="n">
        <v>1368000000</v>
      </c>
      <c r="X36" s="259" t="n">
        <v>1755000000</v>
      </c>
      <c r="Y36" s="259" t="n">
        <v>2300000000</v>
      </c>
      <c r="Z36" s="259" t="n">
        <v>2757000000</v>
      </c>
      <c r="AA36" s="259" t="n">
        <v>1291000000</v>
      </c>
      <c r="AB36" s="259" t="n">
        <v>1677000000</v>
      </c>
      <c r="AC36" s="259" t="n">
        <v>2078000000</v>
      </c>
      <c r="AD36" s="259" t="n">
        <v>2391000000</v>
      </c>
      <c r="AE36" s="259" t="n">
        <v>1259000000</v>
      </c>
      <c r="AF36" s="259" t="n">
        <v>1618000000</v>
      </c>
      <c r="AG36" s="259" t="n">
        <v>2126000000</v>
      </c>
      <c r="AH36" s="259" t="n">
        <v>2554000000</v>
      </c>
      <c r="AI36" s="259" t="n">
        <v>1434000000</v>
      </c>
      <c r="AJ36" s="259" t="n">
        <v>2148000000</v>
      </c>
    </row>
    <row r="37">
      <c r="A37" t="n">
        <v>26</v>
      </c>
      <c r="B37" t="n">
        <v>1</v>
      </c>
      <c r="G37" t="inlineStr">
        <is>
          <t>moeda</t>
        </is>
      </c>
      <c r="H37" t="inlineStr">
        <is>
          <t>ShorttermBorrowingsMachineryEnergyTransportation</t>
        </is>
      </c>
      <c r="J37" t="inlineStr">
        <is>
          <t>fonte</t>
        </is>
      </c>
      <c r="K37" s="259" t="n">
        <v>0</v>
      </c>
      <c r="L37" s="259" t="n">
        <v>13000000</v>
      </c>
      <c r="M37" s="259" t="n">
        <v>0</v>
      </c>
      <c r="N37" s="259" t="n">
        <v>0</v>
      </c>
      <c r="O37" s="259" t="n">
        <v>0</v>
      </c>
      <c r="P37" s="259" t="n">
        <v>0</v>
      </c>
      <c r="Q37" s="259" t="n">
        <v>0</v>
      </c>
      <c r="R37" s="259" t="n">
        <v>0</v>
      </c>
      <c r="S37" s="259" t="n">
        <v>0</v>
      </c>
      <c r="T37" s="259" t="n">
        <v>0</v>
      </c>
      <c r="U37" s="259" t="n">
        <v>0</v>
      </c>
      <c r="V37" s="259" t="n">
        <v>0</v>
      </c>
      <c r="W37" s="259" t="n">
        <v>0</v>
      </c>
      <c r="X37" s="259" t="n">
        <v>0</v>
      </c>
      <c r="Y37" s="259" t="n">
        <v>0</v>
      </c>
      <c r="Z37" s="259" t="n">
        <v>0</v>
      </c>
      <c r="AA37" s="259" t="n">
        <v>0</v>
      </c>
      <c r="AB37" s="259" t="n">
        <v>0</v>
      </c>
      <c r="AC37" s="259" t="n">
        <v>0</v>
      </c>
      <c r="AD37" s="259" t="n">
        <v>0</v>
      </c>
      <c r="AE37" s="259" t="n">
        <v>0</v>
      </c>
      <c r="AF37" s="259" t="n">
        <v>0</v>
      </c>
      <c r="AG37" s="259" t="n">
        <v>0</v>
      </c>
      <c r="AH37" s="259" t="n">
        <v>0</v>
      </c>
      <c r="AI37" s="259" t="n">
        <v>0</v>
      </c>
      <c r="AJ37" s="259" t="n">
        <v>0</v>
      </c>
    </row>
    <row r="38">
      <c r="A38" t="n">
        <v>26</v>
      </c>
      <c r="B38" t="n">
        <v>1</v>
      </c>
      <c r="G38" t="inlineStr">
        <is>
          <t>moeda</t>
        </is>
      </c>
      <c r="H38" t="inlineStr">
        <is>
          <t>ShortTermBorrowingsFinancialProducts</t>
        </is>
      </c>
      <c r="J38" t="inlineStr">
        <is>
          <t>fonte</t>
        </is>
      </c>
      <c r="K38" s="259" t="n">
        <v>4789000000</v>
      </c>
      <c r="L38" s="259" t="n">
        <v>4301000000</v>
      </c>
      <c r="M38" s="259" t="n">
        <v>0</v>
      </c>
      <c r="N38" s="259" t="n">
        <v>0</v>
      </c>
      <c r="O38" s="259" t="n">
        <v>0</v>
      </c>
      <c r="P38" s="259" t="n">
        <v>0</v>
      </c>
      <c r="Q38" s="259" t="n">
        <v>0</v>
      </c>
      <c r="R38" s="259" t="n">
        <v>0</v>
      </c>
      <c r="S38" s="259" t="n">
        <v>0</v>
      </c>
      <c r="T38" s="259" t="n">
        <v>0</v>
      </c>
      <c r="U38" s="259" t="n">
        <v>0</v>
      </c>
      <c r="V38" s="259" t="n">
        <v>0</v>
      </c>
      <c r="W38" s="259" t="n">
        <v>0</v>
      </c>
      <c r="X38" s="259" t="n">
        <v>0</v>
      </c>
      <c r="Y38" s="259" t="n">
        <v>0</v>
      </c>
      <c r="Z38" s="259" t="n">
        <v>0</v>
      </c>
      <c r="AA38" s="259" t="n">
        <v>0</v>
      </c>
      <c r="AB38" s="259" t="n">
        <v>0</v>
      </c>
      <c r="AC38" s="259" t="n">
        <v>0</v>
      </c>
      <c r="AD38" s="259" t="n">
        <v>0</v>
      </c>
      <c r="AE38" s="259" t="n">
        <v>0</v>
      </c>
      <c r="AF38" s="259" t="n">
        <v>0</v>
      </c>
      <c r="AG38" s="259" t="n">
        <v>0</v>
      </c>
      <c r="AH38" s="259" t="n">
        <v>0</v>
      </c>
      <c r="AI38" s="259" t="n">
        <v>0</v>
      </c>
      <c r="AJ38" s="259" t="n">
        <v>0</v>
      </c>
    </row>
    <row r="39">
      <c r="A39" t="n">
        <v>26</v>
      </c>
      <c r="B39" t="n">
        <v>1</v>
      </c>
      <c r="G39" t="inlineStr">
        <is>
          <t>moeda</t>
        </is>
      </c>
      <c r="H39" t="inlineStr">
        <is>
          <t>ContractWithCustomerLiabilityCurrent</t>
        </is>
      </c>
      <c r="J39" t="inlineStr">
        <is>
          <t>fonte</t>
        </is>
      </c>
      <c r="K39" s="259" t="n">
        <v>1295000000</v>
      </c>
      <c r="L39" s="259" t="n">
        <v>1227000000</v>
      </c>
      <c r="M39" s="259" t="n">
        <v>1209000000</v>
      </c>
      <c r="N39" s="259" t="n">
        <v>1108000000</v>
      </c>
      <c r="O39" s="259" t="n">
        <v>1168000000</v>
      </c>
      <c r="P39" s="259" t="n">
        <v>1157000000</v>
      </c>
      <c r="Q39" s="259" t="n">
        <v>1155000000</v>
      </c>
      <c r="R39" s="259" t="n">
        <v>1087000000</v>
      </c>
      <c r="S39" s="259" t="n">
        <v>1388000000</v>
      </c>
      <c r="T39" s="259" t="n">
        <v>1608000000</v>
      </c>
      <c r="U39" s="259" t="n">
        <v>1831000000</v>
      </c>
      <c r="V39" s="259" t="n">
        <v>1860000000</v>
      </c>
      <c r="W39" s="259" t="n">
        <v>2202000000</v>
      </c>
      <c r="X39" s="259" t="n">
        <v>2137000000</v>
      </c>
      <c r="Y39" s="259" t="n">
        <v>2333000000</v>
      </c>
      <c r="Z39" s="259" t="n">
        <v>1929000000</v>
      </c>
      <c r="AA39" s="259" t="n">
        <v>2194000000</v>
      </c>
      <c r="AB39" s="259" t="n">
        <v>2324000000</v>
      </c>
      <c r="AC39" s="259" t="n">
        <v>2404000000</v>
      </c>
      <c r="AD39" s="259" t="n">
        <v>2322000000</v>
      </c>
      <c r="AE39" s="259" t="n">
        <v>2951000000</v>
      </c>
      <c r="AF39" s="259" t="n">
        <v>3412000000</v>
      </c>
      <c r="AG39" s="259" t="n">
        <v>3391000000</v>
      </c>
      <c r="AH39" s="259" t="n">
        <v>3314000000</v>
      </c>
      <c r="AI39" s="259" t="n">
        <v>4382000000</v>
      </c>
      <c r="AJ39" s="259" t="n">
        <v>4777000000</v>
      </c>
    </row>
    <row r="40">
      <c r="A40" t="n">
        <v>26</v>
      </c>
      <c r="B40" t="n">
        <v>1</v>
      </c>
      <c r="G40" t="inlineStr">
        <is>
          <t>moeda</t>
        </is>
      </c>
      <c r="H40" t="inlineStr">
        <is>
          <t>DividendsPayableCurrent</t>
        </is>
      </c>
      <c r="J40" t="inlineStr">
        <is>
          <t>fonte</t>
        </is>
      </c>
      <c r="K40" s="259" t="n">
        <v>0</v>
      </c>
      <c r="L40" s="259" t="n">
        <v>558000000</v>
      </c>
      <c r="M40" s="259" t="n">
        <v>0</v>
      </c>
      <c r="N40" s="259" t="n">
        <v>562000000</v>
      </c>
      <c r="O40" s="259" t="n">
        <v>0</v>
      </c>
      <c r="P40" s="259" t="n">
        <v>608000000</v>
      </c>
      <c r="Q40" s="259" t="n">
        <v>0</v>
      </c>
      <c r="R40" s="259" t="n">
        <v>595000000</v>
      </c>
      <c r="S40" s="259" t="n">
        <v>0</v>
      </c>
      <c r="T40" s="259" t="n">
        <v>633000000</v>
      </c>
      <c r="U40" s="259" t="n">
        <v>0</v>
      </c>
      <c r="V40" s="259" t="n">
        <v>620000000</v>
      </c>
      <c r="W40" s="259" t="n">
        <v>0</v>
      </c>
      <c r="X40" s="259" t="n">
        <v>663000000</v>
      </c>
      <c r="Y40" s="259" t="n">
        <v>0</v>
      </c>
      <c r="Z40" s="259" t="n">
        <v>649000000</v>
      </c>
      <c r="AA40" s="259" t="n">
        <v>0</v>
      </c>
      <c r="AB40" s="259" t="n">
        <v>684000000</v>
      </c>
      <c r="AC40" s="259" t="n">
        <v>0</v>
      </c>
      <c r="AD40" s="259" t="n">
        <v>674000000</v>
      </c>
      <c r="AE40" s="259" t="n">
        <v>0</v>
      </c>
      <c r="AF40" s="259" t="n">
        <v>707000000</v>
      </c>
      <c r="AG40" s="259" t="n">
        <v>0</v>
      </c>
      <c r="AH40" s="259" t="n">
        <v>703000000</v>
      </c>
      <c r="AI40" s="259" t="n">
        <v>0</v>
      </c>
      <c r="AJ40" s="259" t="n">
        <v>749000000</v>
      </c>
    </row>
    <row r="41">
      <c r="A41" t="n">
        <v>26</v>
      </c>
      <c r="B41" t="n">
        <v>1</v>
      </c>
      <c r="G41" t="inlineStr">
        <is>
          <t>moeda</t>
        </is>
      </c>
      <c r="H41" t="inlineStr">
        <is>
          <t>OtherLiabilitiesCurrent</t>
        </is>
      </c>
      <c r="J41" t="inlineStr">
        <is>
          <t>fonte</t>
        </is>
      </c>
      <c r="K41" s="259" t="n">
        <v>2074000000</v>
      </c>
      <c r="L41" s="259" t="n">
        <v>2143000000</v>
      </c>
      <c r="M41" s="259" t="n">
        <v>1978000000</v>
      </c>
      <c r="N41" s="259" t="n">
        <v>2017000000</v>
      </c>
      <c r="O41" s="259" t="n">
        <v>2035000000</v>
      </c>
      <c r="P41" s="259" t="n">
        <v>2126000000</v>
      </c>
      <c r="Q41" s="259" t="n">
        <v>2319000000</v>
      </c>
      <c r="R41" s="259" t="n">
        <v>2256000000</v>
      </c>
      <c r="S41" s="259" t="n">
        <v>2355000000</v>
      </c>
      <c r="T41" s="259" t="n">
        <v>2333000000</v>
      </c>
      <c r="U41" s="259" t="n">
        <v>2878000000</v>
      </c>
      <c r="V41" s="259" t="n">
        <v>2690000000</v>
      </c>
      <c r="W41" s="259" t="n">
        <v>3035000000</v>
      </c>
      <c r="X41" s="259" t="n">
        <v>3109000000</v>
      </c>
      <c r="Y41" s="259" t="n">
        <v>3115000000</v>
      </c>
      <c r="Z41" s="259" t="n">
        <v>3123000000</v>
      </c>
      <c r="AA41" s="259" t="n">
        <v>3265000000</v>
      </c>
      <c r="AB41" s="259" t="n">
        <v>2882000000</v>
      </c>
      <c r="AC41" s="259" t="n">
        <v>2934000000</v>
      </c>
      <c r="AD41" s="259" t="n">
        <v>2909000000</v>
      </c>
      <c r="AE41" s="259" t="n">
        <v>2834000000</v>
      </c>
      <c r="AF41" s="259" t="n">
        <v>2627000000</v>
      </c>
      <c r="AG41" s="259" t="n">
        <v>2760000000</v>
      </c>
      <c r="AH41" s="259" t="n">
        <v>2798000000</v>
      </c>
      <c r="AI41" s="259" t="n">
        <v>2567000000</v>
      </c>
      <c r="AJ41" s="259" t="n">
        <v>2871000000</v>
      </c>
    </row>
    <row r="42">
      <c r="A42" t="n">
        <v>26</v>
      </c>
      <c r="B42" t="n">
        <v>1</v>
      </c>
      <c r="G42" t="inlineStr">
        <is>
          <t>moeda</t>
        </is>
      </c>
      <c r="H42" t="inlineStr">
        <is>
          <t>LongtermDebtDuewithinOneYearMachineryEnergyTransportation</t>
        </is>
      </c>
      <c r="J42" t="inlineStr">
        <is>
          <t>fonte</t>
        </is>
      </c>
      <c r="K42" s="259" t="n">
        <v>143000000</v>
      </c>
      <c r="L42" s="259" t="n">
        <v>1395000000</v>
      </c>
      <c r="M42" s="259" t="n">
        <v>0</v>
      </c>
      <c r="N42" s="259" t="n">
        <v>0</v>
      </c>
      <c r="O42" s="259" t="n">
        <v>0</v>
      </c>
      <c r="P42" s="259" t="n">
        <v>0</v>
      </c>
      <c r="Q42" s="259" t="n">
        <v>0</v>
      </c>
      <c r="R42" s="259" t="n">
        <v>0</v>
      </c>
      <c r="S42" s="259" t="n">
        <v>0</v>
      </c>
      <c r="T42" s="259" t="n">
        <v>0</v>
      </c>
      <c r="U42" s="259" t="n">
        <v>0</v>
      </c>
      <c r="V42" s="259" t="n">
        <v>0</v>
      </c>
      <c r="W42" s="259" t="n">
        <v>0</v>
      </c>
      <c r="X42" s="259" t="n">
        <v>0</v>
      </c>
      <c r="Y42" s="259" t="n">
        <v>0</v>
      </c>
      <c r="Z42" s="259" t="n">
        <v>0</v>
      </c>
      <c r="AA42" s="259" t="n">
        <v>0</v>
      </c>
      <c r="AB42" s="259" t="n">
        <v>0</v>
      </c>
      <c r="AC42" s="259" t="n">
        <v>0</v>
      </c>
      <c r="AD42" s="259" t="n">
        <v>0</v>
      </c>
      <c r="AE42" s="259" t="n">
        <v>0</v>
      </c>
      <c r="AF42" s="259" t="n">
        <v>0</v>
      </c>
      <c r="AG42" s="259" t="n">
        <v>0</v>
      </c>
      <c r="AH42" s="259" t="n">
        <v>0</v>
      </c>
      <c r="AI42" s="259" t="n">
        <v>0</v>
      </c>
      <c r="AJ42" s="259" t="n">
        <v>0</v>
      </c>
    </row>
    <row r="43">
      <c r="A43" t="n">
        <v>26</v>
      </c>
      <c r="B43" t="n">
        <v>1</v>
      </c>
      <c r="G43" t="inlineStr">
        <is>
          <t>moeda</t>
        </is>
      </c>
      <c r="H43" t="inlineStr">
        <is>
          <t>LongTermDebtDueWithinOneYearFinancialProducts</t>
        </is>
      </c>
      <c r="J43" t="inlineStr">
        <is>
          <t>fonte</t>
        </is>
      </c>
      <c r="K43" s="259" t="n">
        <v>7792000000</v>
      </c>
      <c r="L43" s="259" t="n">
        <v>6006000000</v>
      </c>
      <c r="M43" s="259" t="n">
        <v>0</v>
      </c>
      <c r="N43" s="259" t="n">
        <v>0</v>
      </c>
      <c r="O43" s="259" t="n">
        <v>0</v>
      </c>
      <c r="P43" s="259" t="n">
        <v>0</v>
      </c>
      <c r="Q43" s="259" t="n">
        <v>0</v>
      </c>
      <c r="R43" s="259" t="n">
        <v>0</v>
      </c>
      <c r="S43" s="259" t="n">
        <v>0</v>
      </c>
      <c r="T43" s="259" t="n">
        <v>0</v>
      </c>
      <c r="U43" s="259" t="n">
        <v>0</v>
      </c>
      <c r="V43" s="259" t="n">
        <v>0</v>
      </c>
      <c r="W43" s="259" t="n">
        <v>0</v>
      </c>
      <c r="X43" s="259" t="n">
        <v>0</v>
      </c>
      <c r="Y43" s="259" t="n">
        <v>0</v>
      </c>
      <c r="Z43" s="259" t="n">
        <v>0</v>
      </c>
      <c r="AA43" s="259" t="n">
        <v>0</v>
      </c>
      <c r="AB43" s="259" t="n">
        <v>0</v>
      </c>
      <c r="AC43" s="259" t="n">
        <v>0</v>
      </c>
      <c r="AD43" s="259" t="n">
        <v>0</v>
      </c>
      <c r="AE43" s="259" t="n">
        <v>0</v>
      </c>
      <c r="AF43" s="259" t="n">
        <v>0</v>
      </c>
      <c r="AG43" s="259" t="n">
        <v>0</v>
      </c>
      <c r="AH43" s="259" t="n">
        <v>0</v>
      </c>
      <c r="AI43" s="259" t="n">
        <v>0</v>
      </c>
      <c r="AJ43" s="259" t="n">
        <v>0</v>
      </c>
    </row>
    <row r="44">
      <c r="A44" t="n">
        <v>27</v>
      </c>
      <c r="B44" t="n">
        <v>1</v>
      </c>
      <c r="G44" t="inlineStr">
        <is>
          <t>moeda</t>
        </is>
      </c>
      <c r="H44" t="inlineStr">
        <is>
          <t>ShortTermBorrowings[MachineryEnergyTransportationMember]</t>
        </is>
      </c>
      <c r="J44" t="inlineStr">
        <is>
          <t>fonte</t>
        </is>
      </c>
      <c r="K44" s="259" t="n">
        <v>0</v>
      </c>
      <c r="L44" s="259" t="n">
        <v>0</v>
      </c>
      <c r="M44" s="259" t="n">
        <v>0</v>
      </c>
      <c r="N44" s="259" t="n">
        <v>10000000</v>
      </c>
      <c r="O44" s="259" t="n">
        <v>0</v>
      </c>
      <c r="P44" s="259" t="n">
        <v>4000000</v>
      </c>
      <c r="Q44" s="259" t="n">
        <v>0</v>
      </c>
      <c r="R44" s="259" t="n">
        <v>9000000</v>
      </c>
      <c r="S44" s="259" t="n">
        <v>0</v>
      </c>
      <c r="T44" s="259" t="n">
        <v>0</v>
      </c>
      <c r="U44" s="259" t="n">
        <v>3000000</v>
      </c>
      <c r="V44" s="259" t="n">
        <v>3000000</v>
      </c>
      <c r="W44" s="259" t="n">
        <v>0</v>
      </c>
      <c r="X44" s="259" t="n">
        <v>0</v>
      </c>
      <c r="Y44" s="259" t="n">
        <v>0</v>
      </c>
      <c r="Z44" s="259" t="n">
        <v>0</v>
      </c>
      <c r="AA44" s="259" t="n">
        <v>0</v>
      </c>
      <c r="AB44" s="259" t="n">
        <v>0</v>
      </c>
      <c r="AC44" s="259" t="n">
        <v>0</v>
      </c>
      <c r="AD44" s="259" t="n">
        <v>0</v>
      </c>
      <c r="AE44" s="259" t="n">
        <v>0</v>
      </c>
      <c r="AF44" s="259" t="n">
        <v>0</v>
      </c>
      <c r="AG44" s="259" t="n">
        <v>0</v>
      </c>
      <c r="AH44" s="259" t="n">
        <v>0</v>
      </c>
      <c r="AI44" s="259" t="n">
        <v>0</v>
      </c>
      <c r="AJ44" s="259" t="n">
        <v>0</v>
      </c>
    </row>
    <row r="45">
      <c r="A45" t="n">
        <v>27</v>
      </c>
      <c r="B45" t="n">
        <v>1</v>
      </c>
      <c r="G45" t="inlineStr">
        <is>
          <t>moeda</t>
        </is>
      </c>
      <c r="H45" t="inlineStr">
        <is>
          <t>ShortTermBorrowings[FinancialProductsMember]</t>
        </is>
      </c>
      <c r="J45" t="inlineStr">
        <is>
          <t>fonte</t>
        </is>
      </c>
      <c r="K45" s="259" t="n">
        <v>0</v>
      </c>
      <c r="L45" s="259" t="n">
        <v>0</v>
      </c>
      <c r="M45" s="259" t="n">
        <v>2660000000</v>
      </c>
      <c r="N45" s="259" t="n">
        <v>2005000000</v>
      </c>
      <c r="O45" s="259" t="n">
        <v>3625000000</v>
      </c>
      <c r="P45" s="259" t="n">
        <v>3421000000</v>
      </c>
      <c r="Q45" s="259" t="n">
        <v>3247000000</v>
      </c>
      <c r="R45" s="259" t="n">
        <v>5395000000</v>
      </c>
      <c r="S45" s="259" t="n">
        <v>4501000000</v>
      </c>
      <c r="T45" s="259" t="n">
        <v>5002000000</v>
      </c>
      <c r="U45" s="259" t="n">
        <v>4199000000</v>
      </c>
      <c r="V45" s="259" t="n">
        <v>5954000000</v>
      </c>
      <c r="W45" s="259" t="n">
        <v>5841000000</v>
      </c>
      <c r="X45" s="259" t="n">
        <v>5548000000</v>
      </c>
      <c r="Y45" s="259" t="n">
        <v>4218000000</v>
      </c>
      <c r="Z45" s="259" t="n">
        <v>4643000000</v>
      </c>
      <c r="AA45" s="259" t="n">
        <v>3568000000</v>
      </c>
      <c r="AB45" s="259" t="n">
        <v>5298000000</v>
      </c>
      <c r="AC45" s="259" t="n">
        <v>3725000000</v>
      </c>
      <c r="AD45" s="259" t="n">
        <v>4393000000</v>
      </c>
      <c r="AE45" s="259" t="n">
        <v>3454000000</v>
      </c>
      <c r="AF45" s="259" t="n">
        <v>4485000000</v>
      </c>
      <c r="AG45" s="259" t="n">
        <v>4509000000</v>
      </c>
      <c r="AH45" s="259" t="n">
        <v>5514000000</v>
      </c>
      <c r="AI45" s="259" t="n">
        <v>4729000000</v>
      </c>
      <c r="AJ45" s="259" t="n">
        <v>5046000000</v>
      </c>
    </row>
    <row r="46">
      <c r="A46" t="n">
        <v>27</v>
      </c>
      <c r="B46" t="n">
        <v>1</v>
      </c>
      <c r="G46" t="inlineStr">
        <is>
          <t>moeda</t>
        </is>
      </c>
      <c r="H46" t="inlineStr">
        <is>
          <t>LongTermDebtAndCapitalLeaseObligationsCurrent[MachineryEnergyTransportationMember]</t>
        </is>
      </c>
      <c r="J46" t="inlineStr">
        <is>
          <t>fonte</t>
        </is>
      </c>
      <c r="K46" s="259" t="n">
        <v>0</v>
      </c>
      <c r="L46" s="259" t="n">
        <v>0</v>
      </c>
      <c r="M46" s="259" t="n">
        <v>1397000000</v>
      </c>
      <c r="N46" s="259" t="n">
        <v>1420000000</v>
      </c>
      <c r="O46" s="259" t="n">
        <v>1301000000</v>
      </c>
      <c r="P46" s="259" t="n">
        <v>50000000</v>
      </c>
      <c r="Q46" s="259" t="n">
        <v>48000000</v>
      </c>
      <c r="R46" s="259" t="n">
        <v>45000000</v>
      </c>
      <c r="S46" s="259" t="n">
        <v>127000000</v>
      </c>
      <c r="T46" s="259" t="n">
        <v>124000000</v>
      </c>
      <c r="U46" s="259" t="n">
        <v>120000000</v>
      </c>
      <c r="V46" s="259" t="n">
        <v>120000000</v>
      </c>
      <c r="W46" s="259" t="n">
        <v>37000000</v>
      </c>
      <c r="X46" s="259" t="n">
        <v>1043000000</v>
      </c>
      <c r="Y46" s="259" t="n">
        <v>1043000000</v>
      </c>
      <c r="Z46" s="259" t="n">
        <v>1044000000</v>
      </c>
      <c r="AA46" s="259" t="n">
        <v>1045000000</v>
      </c>
      <c r="AB46" s="259" t="n">
        <v>45000000</v>
      </c>
      <c r="AC46" s="259" t="n">
        <v>46000000</v>
      </c>
      <c r="AD46" s="259" t="n">
        <v>46000000</v>
      </c>
      <c r="AE46" s="259" t="n">
        <v>29000000</v>
      </c>
      <c r="AF46" s="259" t="n">
        <v>30000000</v>
      </c>
      <c r="AG46" s="259" t="n">
        <v>32000000</v>
      </c>
      <c r="AH46" s="259" t="n">
        <v>0</v>
      </c>
      <c r="AI46" s="259" t="n">
        <v>0</v>
      </c>
      <c r="AJ46" s="259" t="n">
        <v>0</v>
      </c>
    </row>
    <row r="47">
      <c r="A47" t="n">
        <v>27</v>
      </c>
      <c r="B47" t="n">
        <v>1</v>
      </c>
      <c r="G47" t="inlineStr">
        <is>
          <t>moeda</t>
        </is>
      </c>
      <c r="H47" t="inlineStr">
        <is>
          <t>LongTermDebtAndCapitalLeaseObligationsCurrent[FinancialProductsMember]</t>
        </is>
      </c>
      <c r="J47" t="inlineStr">
        <is>
          <t>fonte</t>
        </is>
      </c>
      <c r="K47" s="259" t="n">
        <v>0</v>
      </c>
      <c r="L47" s="259" t="n">
        <v>0</v>
      </c>
      <c r="M47" s="259" t="n">
        <v>7962000000</v>
      </c>
      <c r="N47" s="259" t="n">
        <v>7729000000</v>
      </c>
      <c r="O47" s="259" t="n">
        <v>6898000000</v>
      </c>
      <c r="P47" s="259" t="n">
        <v>7906000000</v>
      </c>
      <c r="Q47" s="259" t="n">
        <v>6335000000</v>
      </c>
      <c r="R47" s="259" t="n">
        <v>6307000000</v>
      </c>
      <c r="S47" s="259" t="n">
        <v>7679000000</v>
      </c>
      <c r="T47" s="259" t="n">
        <v>5617000000</v>
      </c>
      <c r="U47" s="259" t="n">
        <v>6694000000</v>
      </c>
      <c r="V47" s="259" t="n">
        <v>5202000000</v>
      </c>
      <c r="W47" s="259" t="n">
        <v>6287000000</v>
      </c>
      <c r="X47" s="259" t="n">
        <v>8123000000</v>
      </c>
      <c r="Y47" s="259" t="n">
        <v>7619000000</v>
      </c>
      <c r="Z47" s="259" t="n">
        <v>7719000000</v>
      </c>
      <c r="AA47" s="259" t="n">
        <v>8409000000</v>
      </c>
      <c r="AB47" s="259" t="n">
        <v>8132000000</v>
      </c>
      <c r="AC47" s="259" t="n">
        <v>8346000000</v>
      </c>
      <c r="AD47" s="259" t="n">
        <v>6619000000</v>
      </c>
      <c r="AE47" s="259" t="n">
        <v>9286000000</v>
      </c>
      <c r="AF47" s="259" t="n">
        <v>8285000000</v>
      </c>
      <c r="AG47" s="259" t="n">
        <v>9257000000</v>
      </c>
      <c r="AH47" s="259" t="n">
        <v>7085000000</v>
      </c>
      <c r="AI47" s="259" t="n">
        <v>7660000000</v>
      </c>
      <c r="AJ47" s="259" t="n">
        <v>8026000000</v>
      </c>
    </row>
    <row r="48">
      <c r="A48" t="n">
        <v>27</v>
      </c>
      <c r="B48" t="n">
        <v>1</v>
      </c>
      <c r="G48" t="inlineStr">
        <is>
          <t>moeda</t>
        </is>
      </c>
      <c r="H48" t="inlineStr">
        <is>
          <t>LongTermDebtAndCapitalLeaseObligationsCurrent[MachineryPowerEnergyMember]</t>
        </is>
      </c>
      <c r="J48" t="inlineStr">
        <is>
          <t>fonte</t>
        </is>
      </c>
      <c r="K48" s="259" t="n">
        <v>0</v>
      </c>
      <c r="L48" s="259" t="n">
        <v>0</v>
      </c>
      <c r="M48" s="259" t="n">
        <v>0</v>
      </c>
      <c r="N48" s="259" t="n">
        <v>0</v>
      </c>
      <c r="O48" s="259" t="n">
        <v>0</v>
      </c>
      <c r="P48" s="259" t="n">
        <v>0</v>
      </c>
      <c r="Q48" s="259" t="n">
        <v>0</v>
      </c>
      <c r="R48" s="259" t="n">
        <v>0</v>
      </c>
      <c r="S48" s="259" t="n">
        <v>0</v>
      </c>
      <c r="T48" s="259" t="n">
        <v>0</v>
      </c>
      <c r="U48" s="259" t="n">
        <v>0</v>
      </c>
      <c r="V48" s="259" t="n">
        <v>0</v>
      </c>
      <c r="W48" s="259" t="n">
        <v>0</v>
      </c>
      <c r="X48" s="259" t="n">
        <v>0</v>
      </c>
      <c r="Y48" s="259" t="n">
        <v>0</v>
      </c>
      <c r="Z48" s="259" t="n">
        <v>0</v>
      </c>
      <c r="AA48" s="259" t="n">
        <v>0</v>
      </c>
      <c r="AB48" s="259" t="n">
        <v>0</v>
      </c>
      <c r="AC48" s="259" t="n">
        <v>0</v>
      </c>
      <c r="AD48" s="259" t="n">
        <v>0</v>
      </c>
      <c r="AE48" s="259" t="n">
        <v>0</v>
      </c>
      <c r="AF48" s="259" t="n">
        <v>0</v>
      </c>
      <c r="AG48" s="259" t="n">
        <v>0</v>
      </c>
      <c r="AH48" s="259" t="n">
        <v>35000000</v>
      </c>
      <c r="AI48" s="259" t="n">
        <v>35000000</v>
      </c>
      <c r="AJ48" s="259" t="n">
        <v>35000000</v>
      </c>
    </row>
    <row r="49">
      <c r="A49" t="n">
        <v>30</v>
      </c>
      <c r="B49" t="n">
        <v>1</v>
      </c>
      <c r="G49" t="inlineStr">
        <is>
          <t>moeda</t>
        </is>
      </c>
      <c r="H49" t="inlineStr">
        <is>
          <t>LongTermDebtAndCapitalLeaseObligations[MachineryEnergyTransportationMember]</t>
        </is>
      </c>
      <c r="J49" t="inlineStr">
        <is>
          <t>fonte</t>
        </is>
      </c>
      <c r="K49" s="259" t="n">
        <v>0</v>
      </c>
      <c r="L49" s="259" t="n">
        <v>0</v>
      </c>
      <c r="M49" s="259" t="n">
        <v>9742000000</v>
      </c>
      <c r="N49" s="259" t="n">
        <v>9749000000</v>
      </c>
      <c r="O49" s="259" t="n">
        <v>9751000000</v>
      </c>
      <c r="P49" s="259" t="n">
        <v>9752000000</v>
      </c>
      <c r="Q49" s="259" t="n">
        <v>9759000000</v>
      </c>
      <c r="R49" s="259" t="n">
        <v>9746000000</v>
      </c>
      <c r="S49" s="259" t="n">
        <v>9636000000</v>
      </c>
      <c r="T49" s="259" t="n">
        <v>9589000000</v>
      </c>
      <c r="U49" s="259" t="n">
        <v>9479000000</v>
      </c>
      <c r="V49" s="259" t="n">
        <v>9498000000</v>
      </c>
      <c r="W49" s="259" t="n">
        <v>9558000000</v>
      </c>
      <c r="X49" s="259" t="n">
        <v>8535000000</v>
      </c>
      <c r="Y49" s="259" t="n">
        <v>8470000000</v>
      </c>
      <c r="Z49" s="259" t="n">
        <v>8579000000</v>
      </c>
      <c r="AA49" s="259" t="n">
        <v>8539000000</v>
      </c>
      <c r="AB49" s="259" t="n">
        <v>8537000000</v>
      </c>
      <c r="AC49" s="259" t="n">
        <v>8634000000</v>
      </c>
      <c r="AD49" s="259" t="n">
        <v>8564000000</v>
      </c>
      <c r="AE49" s="259" t="n">
        <v>8618000000</v>
      </c>
      <c r="AF49" s="259" t="n">
        <v>10654000000</v>
      </c>
      <c r="AG49" s="259" t="n">
        <v>10669000000</v>
      </c>
      <c r="AH49" s="259" t="n">
        <v>0</v>
      </c>
      <c r="AI49" s="259" t="n">
        <v>0</v>
      </c>
      <c r="AJ49" s="259" t="n">
        <v>0</v>
      </c>
    </row>
    <row r="50">
      <c r="A50" t="n">
        <v>30</v>
      </c>
      <c r="B50" t="n">
        <v>1</v>
      </c>
      <c r="G50" t="inlineStr">
        <is>
          <t>moeda</t>
        </is>
      </c>
      <c r="H50" t="inlineStr">
        <is>
          <t>LongTermDebtAndCapitalLeaseObligations[FinancialProductsMember]</t>
        </is>
      </c>
      <c r="J50" t="inlineStr">
        <is>
          <t>fonte</t>
        </is>
      </c>
      <c r="K50" s="259" t="n">
        <v>0</v>
      </c>
      <c r="L50" s="259" t="n">
        <v>0</v>
      </c>
      <c r="M50" s="259" t="n">
        <v>16365000000</v>
      </c>
      <c r="N50" s="259" t="n">
        <v>16250000000</v>
      </c>
      <c r="O50" s="259" t="n">
        <v>16605000000</v>
      </c>
      <c r="P50" s="259" t="n">
        <v>16452000000</v>
      </c>
      <c r="Q50" s="259" t="n">
        <v>17395000000</v>
      </c>
      <c r="R50" s="259" t="n">
        <v>16287000000</v>
      </c>
      <c r="S50" s="259" t="n">
        <v>15641000000</v>
      </c>
      <c r="T50" s="259" t="n">
        <v>16630000000</v>
      </c>
      <c r="U50" s="259" t="n">
        <v>16030000000</v>
      </c>
      <c r="V50" s="259" t="n">
        <v>16216000000</v>
      </c>
      <c r="W50" s="259" t="n">
        <v>15315000000</v>
      </c>
      <c r="X50" s="259" t="n">
        <v>14450000000</v>
      </c>
      <c r="Y50" s="259" t="n">
        <v>15789000000</v>
      </c>
      <c r="Z50" s="259" t="n">
        <v>15893000000</v>
      </c>
      <c r="AA50" s="259" t="n">
        <v>16292000000</v>
      </c>
      <c r="AB50" s="259" t="n">
        <v>15299000000</v>
      </c>
      <c r="AC50" s="259" t="n">
        <v>17150000000</v>
      </c>
      <c r="AD50" s="259" t="n">
        <v>18787000000</v>
      </c>
      <c r="AE50" s="259" t="n">
        <v>17201000000</v>
      </c>
      <c r="AF50" s="259" t="n">
        <v>17294000000</v>
      </c>
      <c r="AG50" s="259" t="n">
        <v>17067000000</v>
      </c>
      <c r="AH50" s="259" t="n">
        <v>20018000000</v>
      </c>
      <c r="AI50" s="259" t="n">
        <v>19971000000</v>
      </c>
      <c r="AJ50" s="259" t="n">
        <v>21384000000</v>
      </c>
    </row>
    <row r="51">
      <c r="A51" t="n">
        <v>30</v>
      </c>
      <c r="B51" t="n">
        <v>1</v>
      </c>
      <c r="G51" t="inlineStr">
        <is>
          <t>moeda</t>
        </is>
      </c>
      <c r="H51" t="inlineStr">
        <is>
          <t>LongTermDebtAndCapitalLeaseObligations[MachineryPowerEnergyMember]</t>
        </is>
      </c>
      <c r="J51" t="inlineStr">
        <is>
          <t>fonte</t>
        </is>
      </c>
      <c r="K51" s="259" t="n">
        <v>0</v>
      </c>
      <c r="L51" s="259" t="n">
        <v>0</v>
      </c>
      <c r="M51" s="259" t="n">
        <v>0</v>
      </c>
      <c r="N51" s="259" t="n">
        <v>0</v>
      </c>
      <c r="O51" s="259" t="n">
        <v>0</v>
      </c>
      <c r="P51" s="259" t="n">
        <v>0</v>
      </c>
      <c r="Q51" s="259" t="n">
        <v>0</v>
      </c>
      <c r="R51" s="259" t="n">
        <v>0</v>
      </c>
      <c r="S51" s="259" t="n">
        <v>0</v>
      </c>
      <c r="T51" s="259" t="n">
        <v>0</v>
      </c>
      <c r="U51" s="259" t="n">
        <v>0</v>
      </c>
      <c r="V51" s="259" t="n">
        <v>0</v>
      </c>
      <c r="W51" s="259" t="n">
        <v>0</v>
      </c>
      <c r="X51" s="259" t="n">
        <v>0</v>
      </c>
      <c r="Y51" s="259" t="n">
        <v>0</v>
      </c>
      <c r="Z51" s="259" t="n">
        <v>0</v>
      </c>
      <c r="AA51" s="259" t="n">
        <v>0</v>
      </c>
      <c r="AB51" s="259" t="n">
        <v>0</v>
      </c>
      <c r="AC51" s="259" t="n">
        <v>0</v>
      </c>
      <c r="AD51" s="259" t="n">
        <v>0</v>
      </c>
      <c r="AE51" s="259" t="n">
        <v>0</v>
      </c>
      <c r="AF51" s="259" t="n">
        <v>0</v>
      </c>
      <c r="AG51" s="259" t="n">
        <v>0</v>
      </c>
      <c r="AH51" s="259" t="n">
        <v>10678000000</v>
      </c>
      <c r="AI51" s="259" t="n">
        <v>10671000000</v>
      </c>
      <c r="AJ51" s="259" t="n">
        <v>10655000000</v>
      </c>
    </row>
    <row r="52">
      <c r="A52" t="n">
        <v>34</v>
      </c>
      <c r="B52" t="n">
        <v>1</v>
      </c>
      <c r="G52" t="inlineStr">
        <is>
          <t>moeda</t>
        </is>
      </c>
      <c r="H52" t="inlineStr">
        <is>
          <t>LongtermDebtDueafterOneYearMachineryEnergyTransportationNoncurrent</t>
        </is>
      </c>
      <c r="J52" t="inlineStr">
        <is>
          <t>fonte</t>
        </is>
      </c>
      <c r="K52" s="259" t="n">
        <v>8998000000</v>
      </c>
      <c r="L52" s="259" t="n">
        <v>9729000000</v>
      </c>
      <c r="M52" s="259" t="n">
        <v>0</v>
      </c>
      <c r="N52" s="259" t="n">
        <v>0</v>
      </c>
      <c r="O52" s="259" t="n">
        <v>0</v>
      </c>
      <c r="P52" s="259" t="n">
        <v>0</v>
      </c>
      <c r="Q52" s="259" t="n">
        <v>0</v>
      </c>
      <c r="R52" s="259" t="n">
        <v>0</v>
      </c>
      <c r="S52" s="259" t="n">
        <v>0</v>
      </c>
      <c r="T52" s="259" t="n">
        <v>0</v>
      </c>
      <c r="U52" s="259" t="n">
        <v>0</v>
      </c>
      <c r="V52" s="259" t="n">
        <v>0</v>
      </c>
      <c r="W52" s="259" t="n">
        <v>0</v>
      </c>
      <c r="X52" s="259" t="n">
        <v>0</v>
      </c>
      <c r="Y52" s="259" t="n">
        <v>0</v>
      </c>
      <c r="Z52" s="259" t="n">
        <v>0</v>
      </c>
      <c r="AA52" s="259" t="n">
        <v>0</v>
      </c>
      <c r="AB52" s="259" t="n">
        <v>0</v>
      </c>
      <c r="AC52" s="259" t="n">
        <v>0</v>
      </c>
      <c r="AD52" s="259" t="n">
        <v>0</v>
      </c>
      <c r="AE52" s="259" t="n">
        <v>0</v>
      </c>
      <c r="AF52" s="259" t="n">
        <v>0</v>
      </c>
      <c r="AG52" s="259" t="n">
        <v>0</v>
      </c>
      <c r="AH52" s="259" t="n">
        <v>0</v>
      </c>
      <c r="AI52" s="259" t="n">
        <v>0</v>
      </c>
      <c r="AJ52" s="259" t="n">
        <v>0</v>
      </c>
    </row>
    <row r="53">
      <c r="A53" t="n">
        <v>34</v>
      </c>
      <c r="B53" t="n">
        <v>1</v>
      </c>
      <c r="G53" t="inlineStr">
        <is>
          <t>moeda</t>
        </is>
      </c>
      <c r="H53" t="inlineStr">
        <is>
          <t>LongTermDebtDueAfterOneYearFinancialProducts</t>
        </is>
      </c>
      <c r="J53" t="inlineStr">
        <is>
          <t>fonte</t>
        </is>
      </c>
      <c r="K53" s="259" t="n">
        <v>15371000000</v>
      </c>
      <c r="L53" s="259" t="n">
        <v>17178000000</v>
      </c>
      <c r="M53" s="259" t="n">
        <v>0</v>
      </c>
      <c r="N53" s="259" t="n">
        <v>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34</v>
      </c>
      <c r="B54" t="n">
        <v>1</v>
      </c>
      <c r="G54" t="inlineStr">
        <is>
          <t>moeda</t>
        </is>
      </c>
      <c r="H54" t="inlineStr">
        <is>
          <t>PensionAndOtherPostretirementAndPostemploymentBenefitPlansLiabilitiesNoncurrent</t>
        </is>
      </c>
      <c r="J54" t="inlineStr">
        <is>
          <t>fonte</t>
        </is>
      </c>
      <c r="K54" s="259" t="n">
        <v>6333000000</v>
      </c>
      <c r="L54" s="259" t="n">
        <v>6285000000</v>
      </c>
      <c r="M54" s="259" t="n">
        <v>6254000000</v>
      </c>
      <c r="N54" s="259" t="n">
        <v>6872000000</v>
      </c>
      <c r="O54" s="259" t="n">
        <v>6698000000</v>
      </c>
      <c r="P54" s="259" t="n">
        <v>6581000000</v>
      </c>
      <c r="Q54" s="259" t="n">
        <v>6395000000</v>
      </c>
      <c r="R54" s="259" t="n">
        <v>5592000000</v>
      </c>
      <c r="S54" s="259" t="n">
        <v>5363000000</v>
      </c>
      <c r="T54" s="259" t="n">
        <v>5160000000</v>
      </c>
      <c r="U54" s="259" t="n">
        <v>5038000000</v>
      </c>
      <c r="V54" s="259" t="n">
        <v>4203000000</v>
      </c>
      <c r="W54" s="259" t="n">
        <v>4069000000</v>
      </c>
      <c r="X54" s="259" t="n">
        <v>4084000000</v>
      </c>
      <c r="Y54" s="259" t="n">
        <v>4060000000</v>
      </c>
      <c r="Z54" s="259" t="n">
        <v>4098000000</v>
      </c>
      <c r="AA54" s="259" t="n">
        <v>4068000000</v>
      </c>
      <c r="AB54" s="259" t="n">
        <v>3993000000</v>
      </c>
      <c r="AC54" s="259" t="n">
        <v>4029000000</v>
      </c>
      <c r="AD54" s="259" t="n">
        <v>3757000000</v>
      </c>
      <c r="AE54" s="259" t="n">
        <v>3575000000</v>
      </c>
      <c r="AF54" s="259" t="n">
        <v>3611000000</v>
      </c>
      <c r="AG54" s="259" t="n">
        <v>3664000000</v>
      </c>
      <c r="AH54" s="259" t="n">
        <v>3838000000</v>
      </c>
      <c r="AI54" s="259" t="n">
        <v>3659000000</v>
      </c>
      <c r="AJ54" s="259" t="n">
        <v>3744000000</v>
      </c>
    </row>
    <row r="55">
      <c r="A55" t="n">
        <v>34</v>
      </c>
      <c r="B55" t="n">
        <v>1</v>
      </c>
      <c r="G55" t="inlineStr">
        <is>
          <t>moeda</t>
        </is>
      </c>
      <c r="H55" t="inlineStr">
        <is>
          <t>OtherLiabilitiesNoncurrent</t>
        </is>
      </c>
      <c r="J55" t="inlineStr">
        <is>
          <t>fonte</t>
        </is>
      </c>
      <c r="K55" s="259" t="n">
        <v>4437000000</v>
      </c>
      <c r="L55" s="259" t="n">
        <v>4366000000</v>
      </c>
      <c r="M55" s="259" t="n">
        <v>4408000000</v>
      </c>
      <c r="N55" s="259" t="n">
        <v>4358000000</v>
      </c>
      <c r="O55" s="259" t="n">
        <v>4480000000</v>
      </c>
      <c r="P55" s="259" t="n">
        <v>4524000000</v>
      </c>
      <c r="Q55" s="259" t="n">
        <v>4564000000</v>
      </c>
      <c r="R55" s="259" t="n">
        <v>4805000000</v>
      </c>
      <c r="S55" s="259" t="n">
        <v>5007000000</v>
      </c>
      <c r="T55" s="259" t="n">
        <v>5006000000</v>
      </c>
      <c r="U55" s="259" t="n">
        <v>4536000000</v>
      </c>
      <c r="V55" s="259" t="n">
        <v>4604000000</v>
      </c>
      <c r="W55" s="259" t="n">
        <v>4695000000</v>
      </c>
      <c r="X55" s="259" t="n">
        <v>4788000000</v>
      </c>
      <c r="Y55" s="259" t="n">
        <v>4841000000</v>
      </c>
      <c r="Z55" s="259" t="n">
        <v>4675000000</v>
      </c>
      <c r="AA55" s="259" t="n">
        <v>4826000000</v>
      </c>
      <c r="AB55" s="259" t="n">
        <v>4807000000</v>
      </c>
      <c r="AC55" s="259" t="n">
        <v>4839000000</v>
      </c>
      <c r="AD55" s="259" t="n">
        <v>4890000000</v>
      </c>
      <c r="AE55" s="259" t="n">
        <v>4915000000</v>
      </c>
      <c r="AF55" s="259" t="n">
        <v>5169000000</v>
      </c>
      <c r="AG55" s="259" t="n">
        <v>5672000000</v>
      </c>
      <c r="AH55" s="259" t="n">
        <v>6175000000</v>
      </c>
      <c r="AI55" s="259" t="n">
        <v>6687000000</v>
      </c>
      <c r="AJ55" s="259" t="n">
        <v>7642000000</v>
      </c>
    </row>
    <row r="56">
      <c r="A56" t="n">
        <v>35</v>
      </c>
      <c r="B56" t="n">
        <v>1</v>
      </c>
      <c r="G56" t="inlineStr">
        <is>
          <t>moeda</t>
        </is>
      </c>
      <c r="H56" t="inlineStr">
        <is>
          <t>MinorityInterest</t>
        </is>
      </c>
      <c r="J56" t="inlineStr">
        <is>
          <t>fonte</t>
        </is>
      </c>
      <c r="K56" s="259" t="n">
        <v>42000000</v>
      </c>
      <c r="L56" s="259" t="n">
        <v>43000000</v>
      </c>
      <c r="M56" s="259" t="n">
        <v>45000000</v>
      </c>
      <c r="N56" s="259" t="n">
        <v>47000000</v>
      </c>
      <c r="O56" s="259" t="n">
        <v>44000000</v>
      </c>
      <c r="P56" s="259" t="n">
        <v>47000000</v>
      </c>
      <c r="Q56" s="259" t="n">
        <v>30000000</v>
      </c>
      <c r="R56" s="259" t="n">
        <v>32000000</v>
      </c>
      <c r="S56" s="259" t="n">
        <v>32000000</v>
      </c>
      <c r="T56" s="259" t="n">
        <v>32000000</v>
      </c>
      <c r="U56" s="259" t="n">
        <v>31000000</v>
      </c>
      <c r="V56" s="259" t="n">
        <v>22000000</v>
      </c>
      <c r="W56" s="259" t="n">
        <v>21000000</v>
      </c>
      <c r="X56" s="259" t="n">
        <v>21000000</v>
      </c>
      <c r="Y56" s="259" t="n">
        <v>18000000</v>
      </c>
      <c r="Z56" s="259" t="n">
        <v>9000000</v>
      </c>
      <c r="AA56" s="259" t="n">
        <v>6000000</v>
      </c>
      <c r="AB56" s="259" t="n">
        <v>6000000</v>
      </c>
      <c r="AC56" s="259" t="n">
        <v>6000000</v>
      </c>
      <c r="AD56" s="259" t="n">
        <v>3000000</v>
      </c>
      <c r="AE56" s="259" t="n">
        <v>3000000</v>
      </c>
      <c r="AF56" s="259" t="n">
        <v>2000000</v>
      </c>
      <c r="AG56" s="259" t="n">
        <v>1000000</v>
      </c>
      <c r="AH56" s="259" t="n">
        <v>0</v>
      </c>
      <c r="AI56" s="259" t="n">
        <v>-1000000</v>
      </c>
      <c r="AJ56" s="259" t="n">
        <v>-1000000</v>
      </c>
    </row>
    <row r="57">
      <c r="A57" t="n">
        <v>37</v>
      </c>
      <c r="B57" t="n">
        <v>1</v>
      </c>
      <c r="G57" t="inlineStr">
        <is>
          <t>moeda</t>
        </is>
      </c>
      <c r="H57" t="inlineStr">
        <is>
          <t>CommonStocksIncludingAdditionalPaidInCapital</t>
        </is>
      </c>
      <c r="J57" t="inlineStr">
        <is>
          <t>fonte</t>
        </is>
      </c>
      <c r="K57" s="259" t="n">
        <v>6046000000</v>
      </c>
      <c r="L57" s="259" t="n">
        <v>6120000000</v>
      </c>
      <c r="M57" s="259" t="n">
        <v>6204000000</v>
      </c>
      <c r="N57" s="259" t="n">
        <v>6230000000</v>
      </c>
      <c r="O57" s="259" t="n">
        <v>6215000000</v>
      </c>
      <c r="P57" s="259" t="n">
        <v>6293000000</v>
      </c>
      <c r="Q57" s="259" t="n">
        <v>6352000000</v>
      </c>
      <c r="R57" s="259" t="n">
        <v>6398000000</v>
      </c>
      <c r="S57" s="259" t="n">
        <v>6281000000</v>
      </c>
      <c r="T57" s="259" t="n">
        <v>6464000000</v>
      </c>
      <c r="U57" s="259" t="n">
        <v>6523000000</v>
      </c>
      <c r="V57" s="259" t="n">
        <v>6560000000</v>
      </c>
      <c r="W57" s="259" t="n">
        <v>6546000000</v>
      </c>
      <c r="X57" s="259" t="n">
        <v>6478000000</v>
      </c>
      <c r="Y57" s="259" t="n">
        <v>6698000000</v>
      </c>
      <c r="Z57" s="259" t="n">
        <v>6403000000</v>
      </c>
      <c r="AA57" s="259" t="n">
        <v>5663000000</v>
      </c>
      <c r="AB57" s="259" t="n">
        <v>5517000000</v>
      </c>
      <c r="AC57" s="259" t="n">
        <v>5584000000</v>
      </c>
      <c r="AD57" s="259" t="n">
        <v>6941000000</v>
      </c>
      <c r="AE57" s="259" t="n">
        <v>6043000000</v>
      </c>
      <c r="AF57" s="259" t="n">
        <v>6143000000</v>
      </c>
      <c r="AG57" s="259" t="n">
        <v>6223000000</v>
      </c>
      <c r="AH57" s="259" t="n">
        <v>7181000000</v>
      </c>
      <c r="AI57" s="259" t="n">
        <v>5852000000</v>
      </c>
      <c r="AJ57" s="259" t="n">
        <v>5654000000</v>
      </c>
    </row>
    <row r="58">
      <c r="A58" t="n">
        <v>38</v>
      </c>
      <c r="B58" t="n">
        <v>1</v>
      </c>
      <c r="G58" t="inlineStr">
        <is>
          <t>moeda</t>
        </is>
      </c>
      <c r="H58" t="inlineStr">
        <is>
          <t>TreasuryStockValue (divulgado positivo, lançado negativo)</t>
        </is>
      </c>
      <c r="J58" t="inlineStr">
        <is>
          <t>fonte</t>
        </is>
      </c>
      <c r="K58" s="259" t="n">
        <v>-25341000000</v>
      </c>
      <c r="L58" s="259" t="n">
        <v>-25412000000</v>
      </c>
      <c r="M58" s="259" t="n">
        <v>-25315000000</v>
      </c>
      <c r="N58" s="259" t="n">
        <v>-25178000000</v>
      </c>
      <c r="O58" s="259" t="n">
        <v>-25049000000</v>
      </c>
      <c r="P58" s="259" t="n">
        <v>-25240000000</v>
      </c>
      <c r="Q58" s="259" t="n">
        <v>-26608000000</v>
      </c>
      <c r="R58" s="259" t="n">
        <v>-27643000000</v>
      </c>
      <c r="S58" s="259" t="n">
        <v>-28326000000</v>
      </c>
      <c r="T58" s="259" t="n">
        <v>-29501000000</v>
      </c>
      <c r="U58" s="259" t="n">
        <v>-30883000000</v>
      </c>
      <c r="V58" s="259" t="n">
        <v>-31748000000</v>
      </c>
      <c r="W58" s="259" t="n">
        <v>-32108000000</v>
      </c>
      <c r="X58" s="259" t="n">
        <v>-33391000000</v>
      </c>
      <c r="Y58" s="259" t="n">
        <v>-33865000000</v>
      </c>
      <c r="Z58" s="259" t="n">
        <v>-36339000000</v>
      </c>
      <c r="AA58" s="259" t="n">
        <v>-40039000000</v>
      </c>
      <c r="AB58" s="259" t="n">
        <v>-41612000000</v>
      </c>
      <c r="AC58" s="259" t="n">
        <v>-42390000000</v>
      </c>
      <c r="AD58" s="259" t="n">
        <v>-44331000000</v>
      </c>
      <c r="AE58" s="259" t="n">
        <v>-47127000000</v>
      </c>
      <c r="AF58" s="259" t="n">
        <v>-47958000000</v>
      </c>
      <c r="AG58" s="259" t="n">
        <v>-48302000000</v>
      </c>
      <c r="AH58" s="259" t="n">
        <v>-49539000000</v>
      </c>
      <c r="AI58" s="259" t="n">
        <v>-53307000000</v>
      </c>
      <c r="AJ58" s="259" t="n">
        <v>-54533000000</v>
      </c>
    </row>
    <row r="59">
      <c r="A59" t="n">
        <v>39</v>
      </c>
      <c r="B59" t="n">
        <v>1</v>
      </c>
      <c r="G59" t="inlineStr">
        <is>
          <t>moeda</t>
        </is>
      </c>
      <c r="H59" t="inlineStr">
        <is>
          <t>AccumulatedOtherComprehensiveIncomeLossNetOfTax</t>
        </is>
      </c>
      <c r="J59" t="inlineStr">
        <is>
          <t>fonte</t>
        </is>
      </c>
      <c r="K59" s="259" t="n">
        <v>-2012000000</v>
      </c>
      <c r="L59" s="259" t="n">
        <v>-1815000000</v>
      </c>
      <c r="M59" s="259" t="n">
        <v>-1448000000</v>
      </c>
      <c r="N59" s="259" t="n">
        <v>-888000000</v>
      </c>
      <c r="O59" s="259" t="n">
        <v>-1290000000</v>
      </c>
      <c r="P59" s="259" t="n">
        <v>-1154000000</v>
      </c>
      <c r="Q59" s="259" t="n">
        <v>-1440000000</v>
      </c>
      <c r="R59" s="259" t="n">
        <v>-1553000000</v>
      </c>
      <c r="S59" s="259" t="n">
        <v>-1710000000</v>
      </c>
      <c r="T59" s="259" t="n">
        <v>-2499000000</v>
      </c>
      <c r="U59" s="259" t="n">
        <v>-3353000000</v>
      </c>
      <c r="V59" s="259" t="n">
        <v>-2457000000</v>
      </c>
      <c r="W59" s="259" t="n">
        <v>-1746000000</v>
      </c>
      <c r="X59" s="259" t="n">
        <v>-1946000000</v>
      </c>
      <c r="Y59" s="259" t="n">
        <v>-2232000000</v>
      </c>
      <c r="Z59" s="259" t="n">
        <v>-1820000000</v>
      </c>
      <c r="AA59" s="259" t="n">
        <v>-2093000000</v>
      </c>
      <c r="AB59" s="259" t="n">
        <v>-2230000000</v>
      </c>
      <c r="AC59" s="259" t="n">
        <v>-1717000000</v>
      </c>
      <c r="AD59" s="259" t="n">
        <v>-2471000000</v>
      </c>
      <c r="AE59" s="259" t="n">
        <v>-2205000000</v>
      </c>
      <c r="AF59" s="259" t="n">
        <v>-1684000000</v>
      </c>
      <c r="AG59" s="259" t="n">
        <v>-1723000000</v>
      </c>
      <c r="AH59" s="259" t="n">
        <v>-1772000000</v>
      </c>
      <c r="AI59" s="259" t="n">
        <v>-1881000000</v>
      </c>
      <c r="AJ59" s="259" t="n">
        <v>-1867000000</v>
      </c>
    </row>
    <row r="60">
      <c r="A60" t="n">
        <v>41</v>
      </c>
      <c r="B60" t="n">
        <v>1</v>
      </c>
      <c r="G60" t="inlineStr">
        <is>
          <t>moeda</t>
        </is>
      </c>
      <c r="H60" t="inlineStr">
        <is>
          <t>RetainedEarningsAccumulatedDeficit</t>
        </is>
      </c>
      <c r="J60" t="inlineStr">
        <is>
          <t>fonte</t>
        </is>
      </c>
      <c r="K60" s="259" t="n">
        <v>35504000000</v>
      </c>
      <c r="L60" s="259" t="n">
        <v>34841000000</v>
      </c>
      <c r="M60" s="259" t="n">
        <v>35508000000</v>
      </c>
      <c r="N60" s="259" t="n">
        <v>35167000000</v>
      </c>
      <c r="O60" s="259" t="n">
        <v>36697000000</v>
      </c>
      <c r="P60" s="259" t="n">
        <v>36934000000</v>
      </c>
      <c r="Q60" s="259" t="n">
        <v>38361000000</v>
      </c>
      <c r="R60" s="259" t="n">
        <v>39282000000</v>
      </c>
      <c r="S60" s="259" t="n">
        <v>40820000000</v>
      </c>
      <c r="T60" s="259" t="n">
        <v>41263000000</v>
      </c>
      <c r="U60" s="259" t="n">
        <v>43304000000</v>
      </c>
      <c r="V60" s="259" t="n">
        <v>43514000000</v>
      </c>
      <c r="W60" s="259" t="n">
        <v>45457000000</v>
      </c>
      <c r="X60" s="259" t="n">
        <v>47094000000</v>
      </c>
      <c r="Y60" s="259" t="n">
        <v>49888000000</v>
      </c>
      <c r="Z60" s="259" t="n">
        <v>51250000000</v>
      </c>
      <c r="AA60" s="259" t="n">
        <v>54108000000</v>
      </c>
      <c r="AB60" s="259" t="n">
        <v>55455000000</v>
      </c>
      <c r="AC60" s="259" t="n">
        <v>57920000000</v>
      </c>
      <c r="AD60" s="259" t="n">
        <v>59352000000</v>
      </c>
      <c r="AE60" s="259" t="n">
        <v>61356000000</v>
      </c>
      <c r="AF60" s="259" t="n">
        <v>62160000000</v>
      </c>
      <c r="AG60" s="259" t="n">
        <v>64460000000</v>
      </c>
      <c r="AH60" s="259" t="n">
        <v>65448000000</v>
      </c>
      <c r="AI60" s="259" t="n">
        <v>67997000000</v>
      </c>
      <c r="AJ60" s="259" t="n">
        <v>70141000000</v>
      </c>
    </row>
    <row r="61">
      <c r="A61" t="n">
        <v>14</v>
      </c>
      <c r="B61" t="n">
        <v>1</v>
      </c>
      <c r="G61" t="inlineStr">
        <is>
          <t>moeda</t>
        </is>
      </c>
      <c r="H61" t="inlineStr">
        <is>
          <t>[vazio] IR diferido ativo: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15</v>
      </c>
      <c r="B62" t="n">
        <v>1</v>
      </c>
      <c r="G62" t="inlineStr">
        <is>
          <t>moeda</t>
        </is>
      </c>
      <c r="H62" t="inlineStr">
        <is>
          <t>[vazio] Despesas antecipadas: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17</v>
      </c>
      <c r="B63" t="n">
        <v>1</v>
      </c>
      <c r="G63" t="inlineStr">
        <is>
          <t>moeda</t>
        </is>
      </c>
      <c r="H63" t="inlineStr">
        <is>
          <t>[vazio] Investimentos em coligadas: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A64" t="n">
        <v>19</v>
      </c>
      <c r="B64" t="n">
        <v>1</v>
      </c>
      <c r="G64" t="inlineStr">
        <is>
          <t>moeda</t>
        </is>
      </c>
      <c r="H64" t="inlineStr">
        <is>
          <t>[vazio] Direito de uso: não aparece como linha própria nas demonstrações (zero)</t>
        </is>
      </c>
      <c r="J64" t="inlineStr">
        <is>
          <t>derivada</t>
        </is>
      </c>
      <c r="K64" s="259" t="n">
        <v>0</v>
      </c>
      <c r="L64" s="259" t="n">
        <v>0</v>
      </c>
      <c r="M64" s="259" t="n">
        <v>0</v>
      </c>
      <c r="N64" s="259" t="n">
        <v>0</v>
      </c>
      <c r="O64" s="259" t="n">
        <v>0</v>
      </c>
      <c r="P64" s="259" t="n">
        <v>0</v>
      </c>
      <c r="Q64" s="259" t="n">
        <v>0</v>
      </c>
      <c r="R64" s="259" t="n">
        <v>0</v>
      </c>
      <c r="S64" s="259" t="n">
        <v>0</v>
      </c>
      <c r="T64" s="259" t="n">
        <v>0</v>
      </c>
      <c r="U64" s="259" t="n">
        <v>0</v>
      </c>
      <c r="V64" s="259" t="n">
        <v>0</v>
      </c>
      <c r="W64" s="259" t="n">
        <v>0</v>
      </c>
      <c r="X64" s="259" t="n">
        <v>0</v>
      </c>
      <c r="Y64" s="259" t="n">
        <v>0</v>
      </c>
      <c r="Z64" s="259" t="n">
        <v>0</v>
      </c>
      <c r="AA64" s="259" t="n">
        <v>0</v>
      </c>
      <c r="AB64" s="259" t="n">
        <v>0</v>
      </c>
      <c r="AC64" s="259" t="n">
        <v>0</v>
      </c>
      <c r="AD64" s="259" t="n">
        <v>0</v>
      </c>
      <c r="AE64" s="259" t="n">
        <v>0</v>
      </c>
      <c r="AF64" s="259" t="n">
        <v>0</v>
      </c>
      <c r="AG64" s="259" t="n">
        <v>0</v>
      </c>
      <c r="AH64" s="259" t="n">
        <v>0</v>
      </c>
      <c r="AI64" s="259" t="n">
        <v>0</v>
      </c>
      <c r="AJ64" s="259" t="n">
        <v>0</v>
      </c>
    </row>
    <row r="65">
      <c r="A65" t="n">
        <v>25</v>
      </c>
      <c r="B65" t="n">
        <v>1</v>
      </c>
      <c r="G65" t="inlineStr">
        <is>
          <t>moeda</t>
        </is>
      </c>
      <c r="H65" t="inlineStr">
        <is>
          <t>[vazio] Impostos a pagar: não aparece como linha própria nas demonstrações (zero)</t>
        </is>
      </c>
      <c r="J65" t="inlineStr">
        <is>
          <t>derivada</t>
        </is>
      </c>
      <c r="K65" s="259" t="n">
        <v>0</v>
      </c>
      <c r="L65" s="259" t="n">
        <v>0</v>
      </c>
      <c r="M65" s="259" t="n">
        <v>0</v>
      </c>
      <c r="N65" s="259" t="n">
        <v>0</v>
      </c>
      <c r="O65" s="259" t="n">
        <v>0</v>
      </c>
      <c r="P65" s="259" t="n">
        <v>0</v>
      </c>
      <c r="Q65" s="259" t="n">
        <v>0</v>
      </c>
      <c r="R65" s="259" t="n">
        <v>0</v>
      </c>
      <c r="S65" s="259" t="n">
        <v>0</v>
      </c>
      <c r="T65" s="259" t="n">
        <v>0</v>
      </c>
      <c r="U65" s="259" t="n">
        <v>0</v>
      </c>
      <c r="V65" s="259" t="n">
        <v>0</v>
      </c>
      <c r="W65" s="259" t="n">
        <v>0</v>
      </c>
      <c r="X65" s="259" t="n">
        <v>0</v>
      </c>
      <c r="Y65" s="259" t="n">
        <v>0</v>
      </c>
      <c r="Z65" s="259" t="n">
        <v>0</v>
      </c>
      <c r="AA65" s="259" t="n">
        <v>0</v>
      </c>
      <c r="AB65" s="259" t="n">
        <v>0</v>
      </c>
      <c r="AC65" s="259" t="n">
        <v>0</v>
      </c>
      <c r="AD65" s="259" t="n">
        <v>0</v>
      </c>
      <c r="AE65" s="259" t="n">
        <v>0</v>
      </c>
      <c r="AF65" s="259" t="n">
        <v>0</v>
      </c>
      <c r="AG65" s="259" t="n">
        <v>0</v>
      </c>
      <c r="AH65" s="259" t="n">
        <v>0</v>
      </c>
      <c r="AI65" s="259" t="n">
        <v>0</v>
      </c>
      <c r="AJ65" s="259" t="n">
        <v>0</v>
      </c>
    </row>
    <row r="66">
      <c r="A66" t="n">
        <v>28</v>
      </c>
      <c r="B66" t="n">
        <v>1</v>
      </c>
      <c r="G66" t="inlineStr">
        <is>
          <t>moeda</t>
        </is>
      </c>
      <c r="H66" t="inlineStr">
        <is>
          <t>[vazio] Revolving: não aparece como linha própria nas demonstrações (zero)</t>
        </is>
      </c>
      <c r="J66" t="inlineStr">
        <is>
          <t>derivada</t>
        </is>
      </c>
      <c r="K66" s="259" t="n">
        <v>0</v>
      </c>
      <c r="L66" s="259" t="n">
        <v>0</v>
      </c>
      <c r="M66" s="259" t="n">
        <v>0</v>
      </c>
      <c r="N66" s="259" t="n">
        <v>0</v>
      </c>
      <c r="O66" s="259" t="n">
        <v>0</v>
      </c>
      <c r="P66" s="259" t="n">
        <v>0</v>
      </c>
      <c r="Q66" s="259" t="n">
        <v>0</v>
      </c>
      <c r="R66" s="259" t="n">
        <v>0</v>
      </c>
      <c r="S66" s="259" t="n">
        <v>0</v>
      </c>
      <c r="T66" s="259" t="n">
        <v>0</v>
      </c>
      <c r="U66" s="259" t="n">
        <v>0</v>
      </c>
      <c r="V66" s="259" t="n">
        <v>0</v>
      </c>
      <c r="W66" s="259" t="n">
        <v>0</v>
      </c>
      <c r="X66" s="259" t="n">
        <v>0</v>
      </c>
      <c r="Y66" s="259" t="n">
        <v>0</v>
      </c>
      <c r="Z66" s="259" t="n">
        <v>0</v>
      </c>
      <c r="AA66" s="259" t="n">
        <v>0</v>
      </c>
      <c r="AB66" s="259" t="n">
        <v>0</v>
      </c>
      <c r="AC66" s="259" t="n">
        <v>0</v>
      </c>
      <c r="AD66" s="259" t="n">
        <v>0</v>
      </c>
      <c r="AE66" s="259" t="n">
        <v>0</v>
      </c>
      <c r="AF66" s="259" t="n">
        <v>0</v>
      </c>
      <c r="AG66" s="259" t="n">
        <v>0</v>
      </c>
      <c r="AH66" s="259" t="n">
        <v>0</v>
      </c>
      <c r="AI66" s="259" t="n">
        <v>0</v>
      </c>
      <c r="AJ66" s="259" t="n">
        <v>0</v>
      </c>
    </row>
    <row r="67">
      <c r="A67" t="n">
        <v>29</v>
      </c>
      <c r="B67" t="n">
        <v>1</v>
      </c>
      <c r="G67" t="inlineStr">
        <is>
          <t>moeda</t>
        </is>
      </c>
      <c r="H67" t="inlineStr">
        <is>
          <t>[vazio] Arrendamento CP: não aparece como linha própria nas demonstrações (zero)</t>
        </is>
      </c>
      <c r="J67" t="inlineStr">
        <is>
          <t>derivada</t>
        </is>
      </c>
      <c r="K67" s="259" t="n">
        <v>0</v>
      </c>
      <c r="L67" s="259" t="n">
        <v>0</v>
      </c>
      <c r="M67" s="259" t="n">
        <v>0</v>
      </c>
      <c r="N67" s="259" t="n">
        <v>0</v>
      </c>
      <c r="O67" s="259" t="n">
        <v>0</v>
      </c>
      <c r="P67" s="259" t="n">
        <v>0</v>
      </c>
      <c r="Q67" s="259" t="n">
        <v>0</v>
      </c>
      <c r="R67" s="259" t="n">
        <v>0</v>
      </c>
      <c r="S67" s="259" t="n">
        <v>0</v>
      </c>
      <c r="T67" s="259" t="n">
        <v>0</v>
      </c>
      <c r="U67" s="259" t="n">
        <v>0</v>
      </c>
      <c r="V67" s="259" t="n">
        <v>0</v>
      </c>
      <c r="W67" s="259" t="n">
        <v>0</v>
      </c>
      <c r="X67" s="259" t="n">
        <v>0</v>
      </c>
      <c r="Y67" s="259" t="n">
        <v>0</v>
      </c>
      <c r="Z67" s="259" t="n">
        <v>0</v>
      </c>
      <c r="AA67" s="259" t="n">
        <v>0</v>
      </c>
      <c r="AB67" s="259" t="n">
        <v>0</v>
      </c>
      <c r="AC67" s="259" t="n">
        <v>0</v>
      </c>
      <c r="AD67" s="259" t="n">
        <v>0</v>
      </c>
      <c r="AE67" s="259" t="n">
        <v>0</v>
      </c>
      <c r="AF67" s="259" t="n">
        <v>0</v>
      </c>
      <c r="AG67" s="259" t="n">
        <v>0</v>
      </c>
      <c r="AH67" s="259" t="n">
        <v>0</v>
      </c>
      <c r="AI67" s="259" t="n">
        <v>0</v>
      </c>
      <c r="AJ67" s="259" t="n">
        <v>0</v>
      </c>
    </row>
    <row r="68">
      <c r="A68" t="n">
        <v>31</v>
      </c>
      <c r="B68" t="n">
        <v>1</v>
      </c>
      <c r="G68" t="inlineStr">
        <is>
          <t>moeda</t>
        </is>
      </c>
      <c r="H68" t="inlineStr">
        <is>
          <t>[vazio] Arrendamento LP: não aparece como linha própria nas demonstrações (zero)</t>
        </is>
      </c>
      <c r="J68" t="inlineStr">
        <is>
          <t>derivada</t>
        </is>
      </c>
      <c r="K68" s="259" t="n">
        <v>0</v>
      </c>
      <c r="L68" s="259" t="n">
        <v>0</v>
      </c>
      <c r="M68" s="259" t="n">
        <v>0</v>
      </c>
      <c r="N68" s="259" t="n">
        <v>0</v>
      </c>
      <c r="O68" s="259" t="n">
        <v>0</v>
      </c>
      <c r="P68" s="259" t="n">
        <v>0</v>
      </c>
      <c r="Q68" s="259" t="n">
        <v>0</v>
      </c>
      <c r="R68" s="259" t="n">
        <v>0</v>
      </c>
      <c r="S68" s="259" t="n">
        <v>0</v>
      </c>
      <c r="T68" s="259" t="n">
        <v>0</v>
      </c>
      <c r="U68" s="259" t="n">
        <v>0</v>
      </c>
      <c r="V68" s="259" t="n">
        <v>0</v>
      </c>
      <c r="W68" s="259" t="n">
        <v>0</v>
      </c>
      <c r="X68" s="259" t="n">
        <v>0</v>
      </c>
      <c r="Y68" s="259" t="n">
        <v>0</v>
      </c>
      <c r="Z68" s="259" t="n">
        <v>0</v>
      </c>
      <c r="AA68" s="259" t="n">
        <v>0</v>
      </c>
      <c r="AB68" s="259" t="n">
        <v>0</v>
      </c>
      <c r="AC68" s="259" t="n">
        <v>0</v>
      </c>
      <c r="AD68" s="259" t="n">
        <v>0</v>
      </c>
      <c r="AE68" s="259" t="n">
        <v>0</v>
      </c>
      <c r="AF68" s="259" t="n">
        <v>0</v>
      </c>
      <c r="AG68" s="259" t="n">
        <v>0</v>
      </c>
      <c r="AH68" s="259" t="n">
        <v>0</v>
      </c>
      <c r="AI68" s="259" t="n">
        <v>0</v>
      </c>
      <c r="AJ68" s="259" t="n">
        <v>0</v>
      </c>
    </row>
    <row r="69">
      <c r="A69" t="n">
        <v>32</v>
      </c>
      <c r="B69" t="n">
        <v>1</v>
      </c>
      <c r="G69" t="inlineStr">
        <is>
          <t>moeda</t>
        </is>
      </c>
      <c r="H69" t="inlineStr">
        <is>
          <t>[vazio] Dívida conversível: não aparece como linha própria nas demonstrações (zero)</t>
        </is>
      </c>
      <c r="J69" t="inlineStr">
        <is>
          <t>derivada</t>
        </is>
      </c>
      <c r="K69" s="259" t="n">
        <v>0</v>
      </c>
      <c r="L69" s="259" t="n">
        <v>0</v>
      </c>
      <c r="M69" s="259" t="n">
        <v>0</v>
      </c>
      <c r="N69" s="259" t="n">
        <v>0</v>
      </c>
      <c r="O69" s="259" t="n">
        <v>0</v>
      </c>
      <c r="P69" s="259" t="n">
        <v>0</v>
      </c>
      <c r="Q69" s="259" t="n">
        <v>0</v>
      </c>
      <c r="R69" s="259" t="n">
        <v>0</v>
      </c>
      <c r="S69" s="259" t="n">
        <v>0</v>
      </c>
      <c r="T69" s="259" t="n">
        <v>0</v>
      </c>
      <c r="U69" s="259" t="n">
        <v>0</v>
      </c>
      <c r="V69" s="259" t="n">
        <v>0</v>
      </c>
      <c r="W69" s="259" t="n">
        <v>0</v>
      </c>
      <c r="X69" s="259" t="n">
        <v>0</v>
      </c>
      <c r="Y69" s="259" t="n">
        <v>0</v>
      </c>
      <c r="Z69" s="259" t="n">
        <v>0</v>
      </c>
      <c r="AA69" s="259" t="n">
        <v>0</v>
      </c>
      <c r="AB69" s="259" t="n">
        <v>0</v>
      </c>
      <c r="AC69" s="259" t="n">
        <v>0</v>
      </c>
      <c r="AD69" s="259" t="n">
        <v>0</v>
      </c>
      <c r="AE69" s="259" t="n">
        <v>0</v>
      </c>
      <c r="AF69" s="259" t="n">
        <v>0</v>
      </c>
      <c r="AG69" s="259" t="n">
        <v>0</v>
      </c>
      <c r="AH69" s="259" t="n">
        <v>0</v>
      </c>
      <c r="AI69" s="259" t="n">
        <v>0</v>
      </c>
      <c r="AJ69" s="259" t="n">
        <v>0</v>
      </c>
    </row>
    <row r="70">
      <c r="A70" t="n">
        <v>33</v>
      </c>
      <c r="B70" t="n">
        <v>1</v>
      </c>
      <c r="G70" t="inlineStr">
        <is>
          <t>moeda</t>
        </is>
      </c>
      <c r="H70" t="inlineStr">
        <is>
          <t>[vazio] IR diferido passivo: não aparece como linha própria nas demonstrações (zero)</t>
        </is>
      </c>
      <c r="J70" t="inlineStr">
        <is>
          <t>derivada</t>
        </is>
      </c>
      <c r="K70" s="259" t="n">
        <v>0</v>
      </c>
      <c r="L70" s="259" t="n">
        <v>0</v>
      </c>
      <c r="M70" s="259" t="n">
        <v>0</v>
      </c>
      <c r="N70" s="259" t="n">
        <v>0</v>
      </c>
      <c r="O70" s="259" t="n">
        <v>0</v>
      </c>
      <c r="P70" s="259" t="n">
        <v>0</v>
      </c>
      <c r="Q70" s="259" t="n">
        <v>0</v>
      </c>
      <c r="R70" s="259" t="n">
        <v>0</v>
      </c>
      <c r="S70" s="259" t="n">
        <v>0</v>
      </c>
      <c r="T70" s="259" t="n">
        <v>0</v>
      </c>
      <c r="U70" s="259" t="n">
        <v>0</v>
      </c>
      <c r="V70" s="259" t="n">
        <v>0</v>
      </c>
      <c r="W70" s="259" t="n">
        <v>0</v>
      </c>
      <c r="X70" s="259" t="n">
        <v>0</v>
      </c>
      <c r="Y70" s="259" t="n">
        <v>0</v>
      </c>
      <c r="Z70" s="259" t="n">
        <v>0</v>
      </c>
      <c r="AA70" s="259" t="n">
        <v>0</v>
      </c>
      <c r="AB70" s="259" t="n">
        <v>0</v>
      </c>
      <c r="AC70" s="259" t="n">
        <v>0</v>
      </c>
      <c r="AD70" s="259" t="n">
        <v>0</v>
      </c>
      <c r="AE70" s="259" t="n">
        <v>0</v>
      </c>
      <c r="AF70" s="259" t="n">
        <v>0</v>
      </c>
      <c r="AG70" s="259" t="n">
        <v>0</v>
      </c>
      <c r="AH70" s="259" t="n">
        <v>0</v>
      </c>
      <c r="AI70" s="259" t="n">
        <v>0</v>
      </c>
      <c r="AJ70" s="259" t="n">
        <v>0</v>
      </c>
    </row>
    <row r="71">
      <c r="A71" t="n">
        <v>40</v>
      </c>
      <c r="B71" t="n">
        <v>1</v>
      </c>
      <c r="G71" t="inlineStr">
        <is>
          <t>moeda</t>
        </is>
      </c>
      <c r="H71" t="inlineStr">
        <is>
          <t>[vazio] Outras contas do PL: não aparece como linha própria nas demonstrações (zero)</t>
        </is>
      </c>
      <c r="J71" t="inlineStr">
        <is>
          <t>derivada</t>
        </is>
      </c>
      <c r="K71" s="259" t="n">
        <v>0</v>
      </c>
      <c r="L71" s="259" t="n">
        <v>0</v>
      </c>
      <c r="M71" s="259" t="n">
        <v>0</v>
      </c>
      <c r="N71" s="259" t="n">
        <v>0</v>
      </c>
      <c r="O71" s="259" t="n">
        <v>0</v>
      </c>
      <c r="P71" s="259" t="n">
        <v>0</v>
      </c>
      <c r="Q71" s="259" t="n">
        <v>0</v>
      </c>
      <c r="R71" s="259" t="n">
        <v>0</v>
      </c>
      <c r="S71" s="259" t="n">
        <v>0</v>
      </c>
      <c r="T71" s="259" t="n">
        <v>0</v>
      </c>
      <c r="U71" s="259" t="n">
        <v>0</v>
      </c>
      <c r="V71" s="259" t="n">
        <v>0</v>
      </c>
      <c r="W71" s="259" t="n">
        <v>0</v>
      </c>
      <c r="X71" s="259" t="n">
        <v>0</v>
      </c>
      <c r="Y71" s="259" t="n">
        <v>0</v>
      </c>
      <c r="Z71" s="259" t="n">
        <v>0</v>
      </c>
      <c r="AA71" s="259" t="n">
        <v>0</v>
      </c>
      <c r="AB71" s="259" t="n">
        <v>0</v>
      </c>
      <c r="AC71" s="259" t="n">
        <v>0</v>
      </c>
      <c r="AD71" s="259" t="n">
        <v>0</v>
      </c>
      <c r="AE71" s="259" t="n">
        <v>0</v>
      </c>
      <c r="AF71" s="259" t="n">
        <v>0</v>
      </c>
      <c r="AG71" s="259" t="n">
        <v>0</v>
      </c>
      <c r="AH71" s="259" t="n">
        <v>0</v>
      </c>
      <c r="AI71" s="259" t="n">
        <v>0</v>
      </c>
      <c r="AJ71" s="259" t="n">
        <v>0</v>
      </c>
    </row>
    <row r="72">
      <c r="H72" s="254" t="inlineStr">
        <is>
          <t>BALANÇO - totais divulgados (memória)</t>
        </is>
      </c>
    </row>
    <row r="73">
      <c r="G73" t="inlineStr">
        <is>
          <t>moeda</t>
        </is>
      </c>
      <c r="H73" t="inlineStr">
        <is>
          <t>Total do ativo [us-gaap:Assets]</t>
        </is>
      </c>
      <c r="J73" t="inlineStr">
        <is>
          <t>memoria</t>
        </is>
      </c>
      <c r="K73" s="259" t="n">
        <v>75894000000</v>
      </c>
      <c r="L73" s="259" t="n">
        <v>76566000000</v>
      </c>
      <c r="M73" s="259" t="n">
        <v>76741000000</v>
      </c>
      <c r="N73" s="259" t="n">
        <v>78324000000</v>
      </c>
      <c r="O73" s="259" t="n">
        <v>80729000000</v>
      </c>
      <c r="P73" s="259" t="n">
        <v>81697000000</v>
      </c>
      <c r="Q73" s="259" t="n">
        <v>80784000000</v>
      </c>
      <c r="R73" s="259" t="n">
        <v>82793000000</v>
      </c>
      <c r="S73" s="259" t="n">
        <v>82276000000</v>
      </c>
      <c r="T73" s="259" t="n">
        <v>81107000000</v>
      </c>
      <c r="U73" s="259" t="n">
        <v>80907000000</v>
      </c>
      <c r="V73" s="259" t="n">
        <v>81943000000</v>
      </c>
      <c r="W73" s="259" t="n">
        <v>83649000000</v>
      </c>
      <c r="X73" s="259" t="n">
        <v>85427000000</v>
      </c>
      <c r="Y73" s="259" t="n">
        <v>86791000000</v>
      </c>
      <c r="Z73" s="259" t="n">
        <v>87476000000</v>
      </c>
      <c r="AA73" s="259" t="n">
        <v>83741000000</v>
      </c>
      <c r="AB73" s="259" t="n">
        <v>83336000000</v>
      </c>
      <c r="AC73" s="259" t="n">
        <v>86273000000</v>
      </c>
      <c r="AD73" s="259" t="n">
        <v>87764000000</v>
      </c>
      <c r="AE73" s="259" t="n">
        <v>84974000000</v>
      </c>
      <c r="AF73" s="259" t="n">
        <v>90325000000</v>
      </c>
      <c r="AG73" s="259" t="n">
        <v>93722000000</v>
      </c>
      <c r="AH73" s="259" t="n">
        <v>98585000000</v>
      </c>
      <c r="AI73" s="259" t="n">
        <v>95550000000</v>
      </c>
      <c r="AJ73" s="259" t="n">
        <v>102609000000</v>
      </c>
    </row>
    <row r="74">
      <c r="G74" t="inlineStr">
        <is>
          <t>moeda</t>
        </is>
      </c>
      <c r="H74" t="inlineStr">
        <is>
          <t>Total do passivo + PL [us-gaap:LiabilitiesAndStockholdersEquity]</t>
        </is>
      </c>
      <c r="J74" t="inlineStr">
        <is>
          <t>memoria</t>
        </is>
      </c>
      <c r="K74" s="259" t="n">
        <v>75894000000</v>
      </c>
      <c r="L74" s="259" t="n">
        <v>76566000000</v>
      </c>
      <c r="M74" s="259" t="n">
        <v>76741000000</v>
      </c>
      <c r="N74" s="259" t="n">
        <v>78324000000</v>
      </c>
      <c r="O74" s="259" t="n">
        <v>80729000000</v>
      </c>
      <c r="P74" s="259" t="n">
        <v>81697000000</v>
      </c>
      <c r="Q74" s="259" t="n">
        <v>80784000000</v>
      </c>
      <c r="R74" s="259" t="n">
        <v>82793000000</v>
      </c>
      <c r="S74" s="259" t="n">
        <v>82276000000</v>
      </c>
      <c r="T74" s="259" t="n">
        <v>81107000000</v>
      </c>
      <c r="U74" s="259" t="n">
        <v>80907000000</v>
      </c>
      <c r="V74" s="259" t="n">
        <v>81943000000</v>
      </c>
      <c r="W74" s="259" t="n">
        <v>83649000000</v>
      </c>
      <c r="X74" s="259" t="n">
        <v>85427000000</v>
      </c>
      <c r="Y74" s="259" t="n">
        <v>86791000000</v>
      </c>
      <c r="Z74" s="259" t="n">
        <v>87476000000</v>
      </c>
      <c r="AA74" s="259" t="n">
        <v>83741000000</v>
      </c>
      <c r="AB74" s="259" t="n">
        <v>83336000000</v>
      </c>
      <c r="AC74" s="259" t="n">
        <v>86273000000</v>
      </c>
      <c r="AD74" s="259" t="n">
        <v>87764000000</v>
      </c>
      <c r="AE74" s="259" t="n">
        <v>84974000000</v>
      </c>
      <c r="AF74" s="259" t="n">
        <v>90325000000</v>
      </c>
      <c r="AG74" s="259" t="n">
        <v>93722000000</v>
      </c>
      <c r="AH74" s="259" t="n">
        <v>98585000000</v>
      </c>
      <c r="AI74" s="259" t="n">
        <v>95550000000</v>
      </c>
      <c r="AJ74" s="259" t="n">
        <v>102609000000</v>
      </c>
    </row>
    <row r="75">
      <c r="H75" s="254" t="inlineStr">
        <is>
          <t>CHECKS (devem ser 0)</t>
        </is>
      </c>
    </row>
    <row r="76">
      <c r="G76" t="inlineStr">
        <is>
          <t>moeda</t>
        </is>
      </c>
      <c r="H76" t="inlineStr">
        <is>
          <t>CHECK: contas de ativo - ativo total (USD, arredondado a 100 mil)</t>
        </is>
      </c>
      <c r="J76" t="inlineStr">
        <is>
          <t>derivada</t>
        </is>
      </c>
      <c r="K76" s="260">
        <f>ROUND(N(K21)+N(K22)+N(K23)+N(K24)+N(K25)+N(K26)+N(K27)+N(K28)+N(K29)+N(K30)+N(K31)+N(K32)+N(K33)-N(K73),-5)</f>
        <v>0</v>
      </c>
      <c r="L76" s="260">
        <f>ROUND(N(L21)+N(L22)+N(L23)+N(L24)+N(L25)+N(L26)+N(L27)+N(L28)+N(L29)+N(L30)+N(L31)+N(L32)+N(L33)-N(L73),-5)</f>
        <v>0</v>
      </c>
      <c r="M76" s="260">
        <f>ROUND(N(M21)+N(M22)+N(M23)+N(M24)+N(M25)+N(M26)+N(M27)+N(M28)+N(M29)+N(M30)+N(M31)+N(M32)+N(M33)-N(M73),-5)</f>
        <v>0</v>
      </c>
      <c r="N76" s="260">
        <f>ROUND(N(N21)+N(N22)+N(N23)+N(N24)+N(N25)+N(N26)+N(N27)+N(N28)+N(N29)+N(N30)+N(N31)+N(N32)+N(N33)-N(N73),-5)</f>
        <v>0</v>
      </c>
      <c r="O76" s="260">
        <f>ROUND(N(O21)+N(O22)+N(O23)+N(O24)+N(O25)+N(O26)+N(O27)+N(O28)+N(O29)+N(O30)+N(O31)+N(O32)+N(O33)-N(O73),-5)</f>
        <v>0</v>
      </c>
      <c r="P76" s="260">
        <f>ROUND(N(P21)+N(P22)+N(P23)+N(P24)+N(P25)+N(P26)+N(P27)+N(P28)+N(P29)+N(P30)+N(P31)+N(P32)+N(P33)-N(P73),-5)</f>
        <v>0</v>
      </c>
      <c r="Q76" s="260">
        <f>ROUND(N(Q21)+N(Q22)+N(Q23)+N(Q24)+N(Q25)+N(Q26)+N(Q27)+N(Q28)+N(Q29)+N(Q30)+N(Q31)+N(Q32)+N(Q33)-N(Q73),-5)</f>
        <v>0</v>
      </c>
      <c r="R76" s="260">
        <f>ROUND(N(R21)+N(R22)+N(R23)+N(R24)+N(R25)+N(R26)+N(R27)+N(R28)+N(R29)+N(R30)+N(R31)+N(R32)+N(R33)-N(R73),-5)</f>
        <v>0</v>
      </c>
      <c r="S76" s="260">
        <f>ROUND(N(S21)+N(S22)+N(S23)+N(S24)+N(S25)+N(S26)+N(S27)+N(S28)+N(S29)+N(S30)+N(S31)+N(S32)+N(S33)-N(S73),-5)</f>
        <v>0</v>
      </c>
      <c r="T76" s="260">
        <f>ROUND(N(T21)+N(T22)+N(T23)+N(T24)+N(T25)+N(T26)+N(T27)+N(T28)+N(T29)+N(T30)+N(T31)+N(T32)+N(T33)-N(T73),-5)</f>
        <v>0</v>
      </c>
      <c r="U76" s="260">
        <f>ROUND(N(U21)+N(U22)+N(U23)+N(U24)+N(U25)+N(U26)+N(U27)+N(U28)+N(U29)+N(U30)+N(U31)+N(U32)+N(U33)-N(U73),-5)</f>
        <v>0</v>
      </c>
      <c r="V76" s="260">
        <f>ROUND(N(V21)+N(V22)+N(V23)+N(V24)+N(V25)+N(V26)+N(V27)+N(V28)+N(V29)+N(V30)+N(V31)+N(V32)+N(V33)-N(V73),-5)</f>
        <v>0</v>
      </c>
      <c r="W76" s="260">
        <f>ROUND(N(W21)+N(W22)+N(W23)+N(W24)+N(W25)+N(W26)+N(W27)+N(W28)+N(W29)+N(W30)+N(W31)+N(W32)+N(W33)-N(W73),-5)</f>
        <v>0</v>
      </c>
      <c r="X76" s="260">
        <f>ROUND(N(X21)+N(X22)+N(X23)+N(X24)+N(X25)+N(X26)+N(X27)+N(X28)+N(X29)+N(X30)+N(X31)+N(X32)+N(X33)-N(X73),-5)</f>
        <v>0</v>
      </c>
      <c r="Y76" s="260">
        <f>ROUND(N(Y21)+N(Y22)+N(Y23)+N(Y24)+N(Y25)+N(Y26)+N(Y27)+N(Y28)+N(Y29)+N(Y30)+N(Y31)+N(Y32)+N(Y33)-N(Y73),-5)</f>
        <v>0</v>
      </c>
      <c r="Z76" s="260">
        <f>ROUND(N(Z21)+N(Z22)+N(Z23)+N(Z24)+N(Z25)+N(Z26)+N(Z27)+N(Z28)+N(Z29)+N(Z30)+N(Z31)+N(Z32)+N(Z33)-N(Z73),-5)</f>
        <v>0</v>
      </c>
      <c r="AA76" s="260">
        <f>ROUND(N(AA21)+N(AA22)+N(AA23)+N(AA24)+N(AA25)+N(AA26)+N(AA27)+N(AA28)+N(AA29)+N(AA30)+N(AA31)+N(AA32)+N(AA33)-N(AA73),-5)</f>
        <v>0</v>
      </c>
      <c r="AB76" s="260">
        <f>ROUND(N(AB21)+N(AB22)+N(AB23)+N(AB24)+N(AB25)+N(AB26)+N(AB27)+N(AB28)+N(AB29)+N(AB30)+N(AB31)+N(AB32)+N(AB33)-N(AB73),-5)</f>
        <v>0</v>
      </c>
      <c r="AC76" s="260">
        <f>ROUND(N(AC21)+N(AC22)+N(AC23)+N(AC24)+N(AC25)+N(AC26)+N(AC27)+N(AC28)+N(AC29)+N(AC30)+N(AC31)+N(AC32)+N(AC33)-N(AC73),-5)</f>
        <v>0</v>
      </c>
      <c r="AD76" s="260">
        <f>ROUND(N(AD21)+N(AD22)+N(AD23)+N(AD24)+N(AD25)+N(AD26)+N(AD27)+N(AD28)+N(AD29)+N(AD30)+N(AD31)+N(AD32)+N(AD33)-N(AD73),-5)</f>
        <v>0</v>
      </c>
      <c r="AE76" s="260">
        <f>ROUND(N(AE21)+N(AE22)+N(AE23)+N(AE24)+N(AE25)+N(AE26)+N(AE27)+N(AE28)+N(AE29)+N(AE30)+N(AE31)+N(AE32)+N(AE33)-N(AE73),-5)</f>
        <v>0</v>
      </c>
      <c r="AF76" s="260">
        <f>ROUND(N(AF21)+N(AF22)+N(AF23)+N(AF24)+N(AF25)+N(AF26)+N(AF27)+N(AF28)+N(AF29)+N(AF30)+N(AF31)+N(AF32)+N(AF33)-N(AF73),-5)</f>
        <v>0</v>
      </c>
      <c r="AG76" s="260">
        <f>ROUND(N(AG21)+N(AG22)+N(AG23)+N(AG24)+N(AG25)+N(AG26)+N(AG27)+N(AG28)+N(AG29)+N(AG30)+N(AG31)+N(AG32)+N(AG33)-N(AG73),-5)</f>
        <v>0</v>
      </c>
      <c r="AH76" s="260">
        <f>ROUND(N(AH21)+N(AH22)+N(AH23)+N(AH24)+N(AH25)+N(AH26)+N(AH27)+N(AH28)+N(AH29)+N(AH30)+N(AH31)+N(AH32)+N(AH33)-N(AH73),-5)</f>
        <v>0</v>
      </c>
      <c r="AI76" s="260">
        <f>ROUND(N(AI21)+N(AI22)+N(AI23)+N(AI24)+N(AI25)+N(AI26)+N(AI27)+N(AI28)+N(AI29)+N(AI30)+N(AI31)+N(AI32)+N(AI33)-N(AI73),-5)</f>
        <v>0</v>
      </c>
      <c r="AJ76" s="260">
        <f>ROUND(N(AJ21)+N(AJ22)+N(AJ23)+N(AJ24)+N(AJ25)+N(AJ26)+N(AJ27)+N(AJ28)+N(AJ29)+N(AJ30)+N(AJ31)+N(AJ32)+N(AJ33)-N(AJ73),-5)</f>
        <v>0</v>
      </c>
    </row>
    <row r="77">
      <c r="G77" t="inlineStr">
        <is>
          <t>moeda</t>
        </is>
      </c>
      <c r="H77" t="inlineStr">
        <is>
          <t>CHECK: passivo + PL (contas) - passivo + PL total</t>
        </is>
      </c>
      <c r="J77" t="inlineStr">
        <is>
          <t>derivada</t>
        </is>
      </c>
      <c r="K77" s="260">
        <f>ROUND(N(K34)+N(K35)+N(K36)+N(K37)+N(K38)+N(K39)+N(K40)+N(K41)+N(K42)+N(K43)+N(K44)+N(K45)+N(K46)+N(K47)+N(K48)+N(K49)+N(K50)+N(K51)+N(K52)+N(K53)+N(K54)+N(K55)+N(K56)+N(K57)+N(K58)+N(K59)+N(K60)-N(K74),-5)</f>
        <v>0</v>
      </c>
      <c r="L77" s="260">
        <f>ROUND(N(L34)+N(L35)+N(L36)+N(L37)+N(L38)+N(L39)+N(L40)+N(L41)+N(L42)+N(L43)+N(L44)+N(L45)+N(L46)+N(L47)+N(L48)+N(L49)+N(L50)+N(L51)+N(L52)+N(L53)+N(L54)+N(L55)+N(L56)+N(L57)+N(L58)+N(L59)+N(L60)-N(L74),-5)</f>
        <v>0</v>
      </c>
      <c r="M77" s="260">
        <f>ROUND(N(M34)+N(M35)+N(M36)+N(M37)+N(M38)+N(M39)+N(M40)+N(M41)+N(M42)+N(M43)+N(M44)+N(M45)+N(M46)+N(M47)+N(M48)+N(M49)+N(M50)+N(M51)+N(M52)+N(M53)+N(M54)+N(M55)+N(M56)+N(M57)+N(M58)+N(M59)+N(M60)-N(M74),-5)</f>
        <v>0</v>
      </c>
      <c r="N77" s="260">
        <f>ROUND(N(N34)+N(N35)+N(N36)+N(N37)+N(N38)+N(N39)+N(N40)+N(N41)+N(N42)+N(N43)+N(N44)+N(N45)+N(N46)+N(N47)+N(N48)+N(N49)+N(N50)+N(N51)+N(N52)+N(N53)+N(N54)+N(N55)+N(N56)+N(N57)+N(N58)+N(N59)+N(N60)-N(N74),-5)</f>
        <v>0</v>
      </c>
      <c r="O77" s="260">
        <f>ROUND(N(O34)+N(O35)+N(O36)+N(O37)+N(O38)+N(O39)+N(O40)+N(O41)+N(O42)+N(O43)+N(O44)+N(O45)+N(O46)+N(O47)+N(O48)+N(O49)+N(O50)+N(O51)+N(O52)+N(O53)+N(O54)+N(O55)+N(O56)+N(O57)+N(O58)+N(O59)+N(O60)-N(O74),-5)</f>
        <v>0</v>
      </c>
      <c r="P77" s="260">
        <f>ROUND(N(P34)+N(P35)+N(P36)+N(P37)+N(P38)+N(P39)+N(P40)+N(P41)+N(P42)+N(P43)+N(P44)+N(P45)+N(P46)+N(P47)+N(P48)+N(P49)+N(P50)+N(P51)+N(P52)+N(P53)+N(P54)+N(P55)+N(P56)+N(P57)+N(P58)+N(P59)+N(P60)-N(P74),-5)</f>
        <v>0</v>
      </c>
      <c r="Q77" s="260">
        <f>ROUND(N(Q34)+N(Q35)+N(Q36)+N(Q37)+N(Q38)+N(Q39)+N(Q40)+N(Q41)+N(Q42)+N(Q43)+N(Q44)+N(Q45)+N(Q46)+N(Q47)+N(Q48)+N(Q49)+N(Q50)+N(Q51)+N(Q52)+N(Q53)+N(Q54)+N(Q55)+N(Q56)+N(Q57)+N(Q58)+N(Q59)+N(Q60)-N(Q74),-5)</f>
        <v>0</v>
      </c>
      <c r="R77" s="260">
        <f>ROUND(N(R34)+N(R35)+N(R36)+N(R37)+N(R38)+N(R39)+N(R40)+N(R41)+N(R42)+N(R43)+N(R44)+N(R45)+N(R46)+N(R47)+N(R48)+N(R49)+N(R50)+N(R51)+N(R52)+N(R53)+N(R54)+N(R55)+N(R56)+N(R57)+N(R58)+N(R59)+N(R60)-N(R74),-5)</f>
        <v>0</v>
      </c>
      <c r="S77" s="260">
        <f>ROUND(N(S34)+N(S35)+N(S36)+N(S37)+N(S38)+N(S39)+N(S40)+N(S41)+N(S42)+N(S43)+N(S44)+N(S45)+N(S46)+N(S47)+N(S48)+N(S49)+N(S50)+N(S51)+N(S52)+N(S53)+N(S54)+N(S55)+N(S56)+N(S57)+N(S58)+N(S59)+N(S60)-N(S74),-5)</f>
        <v>0</v>
      </c>
      <c r="T77" s="260">
        <f>ROUND(N(T34)+N(T35)+N(T36)+N(T37)+N(T38)+N(T39)+N(T40)+N(T41)+N(T42)+N(T43)+N(T44)+N(T45)+N(T46)+N(T47)+N(T48)+N(T49)+N(T50)+N(T51)+N(T52)+N(T53)+N(T54)+N(T55)+N(T56)+N(T57)+N(T58)+N(T59)+N(T60)-N(T74),-5)</f>
        <v>0</v>
      </c>
      <c r="U77" s="260">
        <f>ROUND(N(U34)+N(U35)+N(U36)+N(U37)+N(U38)+N(U39)+N(U40)+N(U41)+N(U42)+N(U43)+N(U44)+N(U45)+N(U46)+N(U47)+N(U48)+N(U49)+N(U50)+N(U51)+N(U52)+N(U53)+N(U54)+N(U55)+N(U56)+N(U57)+N(U58)+N(U59)+N(U60)-N(U74),-5)</f>
        <v>0</v>
      </c>
      <c r="V77" s="260">
        <f>ROUND(N(V34)+N(V35)+N(V36)+N(V37)+N(V38)+N(V39)+N(V40)+N(V41)+N(V42)+N(V43)+N(V44)+N(V45)+N(V46)+N(V47)+N(V48)+N(V49)+N(V50)+N(V51)+N(V52)+N(V53)+N(V54)+N(V55)+N(V56)+N(V57)+N(V58)+N(V59)+N(V60)-N(V74),-5)</f>
        <v>0</v>
      </c>
      <c r="W77" s="260">
        <f>ROUND(N(W34)+N(W35)+N(W36)+N(W37)+N(W38)+N(W39)+N(W40)+N(W41)+N(W42)+N(W43)+N(W44)+N(W45)+N(W46)+N(W47)+N(W48)+N(W49)+N(W50)+N(W51)+N(W52)+N(W53)+N(W54)+N(W55)+N(W56)+N(W57)+N(W58)+N(W59)+N(W60)-N(W74),-5)</f>
        <v>0</v>
      </c>
      <c r="X77" s="260">
        <f>ROUND(N(X34)+N(X35)+N(X36)+N(X37)+N(X38)+N(X39)+N(X40)+N(X41)+N(X42)+N(X43)+N(X44)+N(X45)+N(X46)+N(X47)+N(X48)+N(X49)+N(X50)+N(X51)+N(X52)+N(X53)+N(X54)+N(X55)+N(X56)+N(X57)+N(X58)+N(X59)+N(X60)-N(X74),-5)</f>
        <v>0</v>
      </c>
      <c r="Y77" s="260">
        <f>ROUND(N(Y34)+N(Y35)+N(Y36)+N(Y37)+N(Y38)+N(Y39)+N(Y40)+N(Y41)+N(Y42)+N(Y43)+N(Y44)+N(Y45)+N(Y46)+N(Y47)+N(Y48)+N(Y49)+N(Y50)+N(Y51)+N(Y52)+N(Y53)+N(Y54)+N(Y55)+N(Y56)+N(Y57)+N(Y58)+N(Y59)+N(Y60)-N(Y74),-5)</f>
        <v>0</v>
      </c>
      <c r="Z77" s="260">
        <f>ROUND(N(Z34)+N(Z35)+N(Z36)+N(Z37)+N(Z38)+N(Z39)+N(Z40)+N(Z41)+N(Z42)+N(Z43)+N(Z44)+N(Z45)+N(Z46)+N(Z47)+N(Z48)+N(Z49)+N(Z50)+N(Z51)+N(Z52)+N(Z53)+N(Z54)+N(Z55)+N(Z56)+N(Z57)+N(Z58)+N(Z59)+N(Z60)-N(Z74),-5)</f>
        <v>0</v>
      </c>
      <c r="AA77" s="260">
        <f>ROUND(N(AA34)+N(AA35)+N(AA36)+N(AA37)+N(AA38)+N(AA39)+N(AA40)+N(AA41)+N(AA42)+N(AA43)+N(AA44)+N(AA45)+N(AA46)+N(AA47)+N(AA48)+N(AA49)+N(AA50)+N(AA51)+N(AA52)+N(AA53)+N(AA54)+N(AA55)+N(AA56)+N(AA57)+N(AA58)+N(AA59)+N(AA60)-N(AA74),-5)</f>
        <v>0</v>
      </c>
      <c r="AB77" s="260">
        <f>ROUND(N(AB34)+N(AB35)+N(AB36)+N(AB37)+N(AB38)+N(AB39)+N(AB40)+N(AB41)+N(AB42)+N(AB43)+N(AB44)+N(AB45)+N(AB46)+N(AB47)+N(AB48)+N(AB49)+N(AB50)+N(AB51)+N(AB52)+N(AB53)+N(AB54)+N(AB55)+N(AB56)+N(AB57)+N(AB58)+N(AB59)+N(AB60)-N(AB74),-5)</f>
        <v>0</v>
      </c>
      <c r="AC77" s="260">
        <f>ROUND(N(AC34)+N(AC35)+N(AC36)+N(AC37)+N(AC38)+N(AC39)+N(AC40)+N(AC41)+N(AC42)+N(AC43)+N(AC44)+N(AC45)+N(AC46)+N(AC47)+N(AC48)+N(AC49)+N(AC50)+N(AC51)+N(AC52)+N(AC53)+N(AC54)+N(AC55)+N(AC56)+N(AC57)+N(AC58)+N(AC59)+N(AC60)-N(AC74),-5)</f>
        <v>0</v>
      </c>
      <c r="AD77" s="260">
        <f>ROUND(N(AD34)+N(AD35)+N(AD36)+N(AD37)+N(AD38)+N(AD39)+N(AD40)+N(AD41)+N(AD42)+N(AD43)+N(AD44)+N(AD45)+N(AD46)+N(AD47)+N(AD48)+N(AD49)+N(AD50)+N(AD51)+N(AD52)+N(AD53)+N(AD54)+N(AD55)+N(AD56)+N(AD57)+N(AD58)+N(AD59)+N(AD60)-N(AD74),-5)</f>
        <v>0</v>
      </c>
      <c r="AE77" s="260">
        <f>ROUND(N(AE34)+N(AE35)+N(AE36)+N(AE37)+N(AE38)+N(AE39)+N(AE40)+N(AE41)+N(AE42)+N(AE43)+N(AE44)+N(AE45)+N(AE46)+N(AE47)+N(AE48)+N(AE49)+N(AE50)+N(AE51)+N(AE52)+N(AE53)+N(AE54)+N(AE55)+N(AE56)+N(AE57)+N(AE58)+N(AE59)+N(AE60)-N(AE74),-5)</f>
        <v>0</v>
      </c>
      <c r="AF77" s="260">
        <f>ROUND(N(AF34)+N(AF35)+N(AF36)+N(AF37)+N(AF38)+N(AF39)+N(AF40)+N(AF41)+N(AF42)+N(AF43)+N(AF44)+N(AF45)+N(AF46)+N(AF47)+N(AF48)+N(AF49)+N(AF50)+N(AF51)+N(AF52)+N(AF53)+N(AF54)+N(AF55)+N(AF56)+N(AF57)+N(AF58)+N(AF59)+N(AF60)-N(AF74),-5)</f>
        <v>0</v>
      </c>
      <c r="AG77" s="260">
        <f>ROUND(N(AG34)+N(AG35)+N(AG36)+N(AG37)+N(AG38)+N(AG39)+N(AG40)+N(AG41)+N(AG42)+N(AG43)+N(AG44)+N(AG45)+N(AG46)+N(AG47)+N(AG48)+N(AG49)+N(AG50)+N(AG51)+N(AG52)+N(AG53)+N(AG54)+N(AG55)+N(AG56)+N(AG57)+N(AG58)+N(AG59)+N(AG60)-N(AG74),-5)</f>
        <v>0</v>
      </c>
      <c r="AH77" s="260">
        <f>ROUND(N(AH34)+N(AH35)+N(AH36)+N(AH37)+N(AH38)+N(AH39)+N(AH40)+N(AH41)+N(AH42)+N(AH43)+N(AH44)+N(AH45)+N(AH46)+N(AH47)+N(AH48)+N(AH49)+N(AH50)+N(AH51)+N(AH52)+N(AH53)+N(AH54)+N(AH55)+N(AH56)+N(AH57)+N(AH58)+N(AH59)+N(AH60)-N(AH74),-5)</f>
        <v>0</v>
      </c>
      <c r="AI77" s="260">
        <f>ROUND(N(AI34)+N(AI35)+N(AI36)+N(AI37)+N(AI38)+N(AI39)+N(AI40)+N(AI41)+N(AI42)+N(AI43)+N(AI44)+N(AI45)+N(AI46)+N(AI47)+N(AI48)+N(AI49)+N(AI50)+N(AI51)+N(AI52)+N(AI53)+N(AI54)+N(AI55)+N(AI56)+N(AI57)+N(AI58)+N(AI59)+N(AI60)-N(AI74),-5)</f>
        <v>0</v>
      </c>
      <c r="AJ77" s="260">
        <f>ROUND(N(AJ34)+N(AJ35)+N(AJ36)+N(AJ37)+N(AJ38)+N(AJ39)+N(AJ40)+N(AJ41)+N(AJ42)+N(AJ43)+N(AJ44)+N(AJ45)+N(AJ46)+N(AJ47)+N(AJ48)+N(AJ49)+N(AJ50)+N(AJ51)+N(AJ52)+N(AJ53)+N(AJ54)+N(AJ55)+N(AJ56)+N(AJ57)+N(AJ58)+N(AJ59)+N(AJ60)-N(AJ74),-5)</f>
        <v>0</v>
      </c>
    </row>
    <row r="78">
      <c r="H78" t="inlineStr">
        <is>
          <t>CHECK: receita - custo - despesas + não operacional - IR - minoritários + outros após IR - lucro (deve ser 0)</t>
        </is>
      </c>
      <c r="J78" t="inlineStr">
        <is>
          <t>derivada</t>
        </is>
      </c>
      <c r="K78">
        <f>ROUND(N(K6)-N(K7)-N(K9)+N(K11)-N(K12)-N(K13)+N(K15)-N(K16),-5)</f>
        <v>0</v>
      </c>
      <c r="L78">
        <f>ROUND(N(L6)-N(L7)-N(L9)+N(L11)-N(L12)-N(L13)+N(L15)-N(L16),-5)</f>
        <v>0</v>
      </c>
      <c r="M78">
        <f>ROUND(N(M6)-N(M7)-N(M9)+N(M11)-N(M12)-N(M13)+N(M15)-N(M16),-5)</f>
        <v>0</v>
      </c>
      <c r="N78">
        <f>ROUND(N(N6)-N(N7)-N(N9)+N(N11)-N(N12)-N(N13)+N(N15)-N(N16),-5)</f>
        <v>0</v>
      </c>
      <c r="O78">
        <f>ROUND(N(O6)-N(O7)-N(O9)+N(O11)-N(O12)-N(O13)+N(O15)-N(O16),-5)</f>
        <v>0</v>
      </c>
      <c r="P78">
        <f>ROUND(N(P6)-N(P7)-N(P9)+N(P11)-N(P12)-N(P13)+N(P15)-N(P16),-5)</f>
        <v>0</v>
      </c>
      <c r="Q78">
        <f>ROUND(N(Q6)-N(Q7)-N(Q9)+N(Q11)-N(Q12)-N(Q13)+N(Q15)-N(Q16),-5)</f>
        <v>0</v>
      </c>
      <c r="R78">
        <f>ROUND(N(R6)-N(R7)-N(R9)+N(R11)-N(R12)-N(R13)+N(R15)-N(R16),-5)</f>
        <v>0</v>
      </c>
      <c r="S78">
        <f>ROUND(N(S6)-N(S7)-N(S9)+N(S11)-N(S12)-N(S13)+N(S15)-N(S16),-5)</f>
        <v>0</v>
      </c>
      <c r="T78">
        <f>ROUND(N(T6)-N(T7)-N(T9)+N(T11)-N(T12)-N(T13)+N(T15)-N(T16),-5)</f>
        <v>0</v>
      </c>
      <c r="U78">
        <f>ROUND(N(U6)-N(U7)-N(U9)+N(U11)-N(U12)-N(U13)+N(U15)-N(U16),-5)</f>
        <v>0</v>
      </c>
      <c r="V78">
        <f>ROUND(N(V6)-N(V7)-N(V9)+N(V11)-N(V12)-N(V13)+N(V15)-N(V16),-5)</f>
        <v>0</v>
      </c>
      <c r="W78">
        <f>ROUND(N(W6)-N(W7)-N(W9)+N(W11)-N(W12)-N(W13)+N(W15)-N(W16),-5)</f>
        <v>0</v>
      </c>
      <c r="X78">
        <f>ROUND(N(X6)-N(X7)-N(X9)+N(X11)-N(X12)-N(X13)+N(X15)-N(X16),-5)</f>
        <v>0</v>
      </c>
      <c r="Y78">
        <f>ROUND(N(Y6)-N(Y7)-N(Y9)+N(Y11)-N(Y12)-N(Y13)+N(Y15)-N(Y16),-5)</f>
        <v>0</v>
      </c>
      <c r="Z78">
        <f>ROUND(N(Z6)-N(Z7)-N(Z9)+N(Z11)-N(Z12)-N(Z13)+N(Z15)-N(Z16),-5)</f>
        <v>0</v>
      </c>
      <c r="AA78">
        <f>ROUND(N(AA6)-N(AA7)-N(AA9)+N(AA11)-N(AA12)-N(AA13)+N(AA15)-N(AA16),-5)</f>
        <v>0</v>
      </c>
      <c r="AB78">
        <f>ROUND(N(AB6)-N(AB7)-N(AB9)+N(AB11)-N(AB12)-N(AB13)+N(AB15)-N(AB16),-5)</f>
        <v>0</v>
      </c>
      <c r="AC78">
        <f>ROUND(N(AC6)-N(AC7)-N(AC9)+N(AC11)-N(AC12)-N(AC13)+N(AC15)-N(AC16),-5)</f>
        <v>0</v>
      </c>
      <c r="AD78">
        <f>ROUND(N(AD6)-N(AD7)-N(AD9)+N(AD11)-N(AD12)-N(AD13)+N(AD15)-N(AD16),-5)</f>
        <v>0</v>
      </c>
      <c r="AE78">
        <f>ROUND(N(AE6)-N(AE7)-N(AE9)+N(AE11)-N(AE12)-N(AE13)+N(AE15)-N(AE16),-5)</f>
        <v>0</v>
      </c>
      <c r="AF78">
        <f>ROUND(N(AF6)-N(AF7)-N(AF9)+N(AF11)-N(AF12)-N(AF13)+N(AF15)-N(AF16),-5)</f>
        <v>0</v>
      </c>
      <c r="AG78">
        <f>ROUND(N(AG6)-N(AG7)-N(AG9)+N(AG11)-N(AG12)-N(AG13)+N(AG15)-N(AG16),-5)</f>
        <v>0</v>
      </c>
      <c r="AH78">
        <f>ROUND(N(AH6)-N(AH7)-N(AH9)+N(AH11)-N(AH12)-N(AH13)+N(AH15)-N(AH16),-5)</f>
        <v>0</v>
      </c>
      <c r="AI78">
        <f>ROUND(N(AI6)-N(AI7)-N(AI9)+N(AI11)-N(AI12)-N(AI13)+N(AI15)-N(AI16),-5)</f>
        <v>0</v>
      </c>
      <c r="AJ78">
        <f>ROUND(N(AJ6)-N(AJ7)-N(AJ9)+N(AJ11)-N(AJ12)-N(AJ13)+N(AJ15)-N(AJ16),-5)</f>
        <v>0</v>
      </c>
    </row>
    <row r="80">
      <c r="H80" s="254" t="inlineStr">
        <is>
          <t>DRIVERS DE RECEITA (codigos 45+): segmentos Construction Industries, Resource Industries, Energy &amp; Transportation (Power &amp; Energy desde 2025) e Financial Products; regiões - SEC XBRL (USD, fator 0,000001).</t>
        </is>
      </c>
    </row>
    <row r="81">
      <c r="A81" t="n">
        <v>45</v>
      </c>
      <c r="B81" t="n">
        <v>1</v>
      </c>
      <c r="G81" t="inlineStr">
        <is>
          <t>moeda</t>
        </is>
      </c>
      <c r="H81" t="inlineStr">
        <is>
          <t>Construction Industries - receita (USD)</t>
        </is>
      </c>
      <c r="J81" t="inlineStr">
        <is>
          <t>fonte</t>
        </is>
      </c>
      <c r="K81" s="262" t="n">
        <v>4312000000</v>
      </c>
      <c r="L81" s="262" t="n">
        <v>4032000000</v>
      </c>
      <c r="M81" s="262" t="n">
        <v>4048000000</v>
      </c>
      <c r="N81" s="262" t="n">
        <v>4484000000</v>
      </c>
      <c r="O81" s="262" t="n">
        <v>5441000000</v>
      </c>
      <c r="P81" s="262" t="n">
        <v>5603000000</v>
      </c>
      <c r="Q81" s="262" t="n">
        <v>5261000000</v>
      </c>
      <c r="R81" s="262" t="n"/>
      <c r="S81" s="262" t="n">
        <v>6086000000</v>
      </c>
      <c r="T81" s="262" t="n">
        <v>6033000000</v>
      </c>
      <c r="U81" s="262" t="n">
        <v>6276000000</v>
      </c>
      <c r="V81" s="262" t="n">
        <v>6845000000</v>
      </c>
      <c r="W81" s="262" t="n">
        <v>6746000000</v>
      </c>
      <c r="X81" s="262" t="n">
        <v>7154000000</v>
      </c>
      <c r="Y81" s="262" t="n">
        <v>6999000000</v>
      </c>
      <c r="Z81" s="262" t="n">
        <v>6519000000</v>
      </c>
      <c r="AA81" s="262" t="n">
        <v>6424000000</v>
      </c>
      <c r="AB81" s="262" t="n">
        <v>6683000000</v>
      </c>
      <c r="AC81" s="262" t="n">
        <v>6345000000</v>
      </c>
      <c r="AD81" s="262" t="n">
        <v>6003000000</v>
      </c>
      <c r="AE81" s="262" t="n">
        <v>5184000000</v>
      </c>
      <c r="AF81" s="262" t="n">
        <v>6190000000</v>
      </c>
      <c r="AG81" s="262" t="n">
        <v>6760000000</v>
      </c>
      <c r="AH81" s="262" t="n">
        <v>6926000000</v>
      </c>
      <c r="AI81" s="262" t="n">
        <v>7161000000</v>
      </c>
      <c r="AJ81" s="262" t="n">
        <v>8346000000</v>
      </c>
    </row>
    <row r="82">
      <c r="A82" t="n">
        <v>46</v>
      </c>
      <c r="B82" t="n">
        <v>1</v>
      </c>
      <c r="G82" t="inlineStr">
        <is>
          <t>moeda</t>
        </is>
      </c>
      <c r="H82" t="inlineStr">
        <is>
          <t>Resource Industries - receita (USD)</t>
        </is>
      </c>
      <c r="J82" t="inlineStr">
        <is>
          <t>fonte</t>
        </is>
      </c>
      <c r="K82" s="262" t="n">
        <v>1979000000</v>
      </c>
      <c r="L82" s="262" t="n">
        <v>1710000000</v>
      </c>
      <c r="M82" s="262" t="n">
        <v>1704000000</v>
      </c>
      <c r="N82" s="262" t="n">
        <v>2053000000</v>
      </c>
      <c r="O82" s="262" t="n">
        <v>2097000000</v>
      </c>
      <c r="P82" s="262" t="n">
        <v>2471000000</v>
      </c>
      <c r="Q82" s="262" t="n">
        <v>2291000000</v>
      </c>
      <c r="R82" s="262" t="n"/>
      <c r="S82" s="262" t="n">
        <v>2759000000</v>
      </c>
      <c r="T82" s="262" t="n">
        <v>2961000000</v>
      </c>
      <c r="U82" s="262" t="n">
        <v>3087000000</v>
      </c>
      <c r="V82" s="262" t="n">
        <v>3436000000</v>
      </c>
      <c r="W82" s="262" t="n">
        <v>3427000000</v>
      </c>
      <c r="X82" s="262" t="n">
        <v>3563000000</v>
      </c>
      <c r="Y82" s="262" t="n">
        <v>3351000000</v>
      </c>
      <c r="Z82" s="262" t="n">
        <v>3242000000</v>
      </c>
      <c r="AA82" s="262" t="n">
        <v>3193000000</v>
      </c>
      <c r="AB82" s="262" t="n">
        <v>3206000000</v>
      </c>
      <c r="AC82" s="262" t="n">
        <v>3048000000</v>
      </c>
      <c r="AD82" s="262" t="n">
        <v>2962000000</v>
      </c>
      <c r="AE82" s="262" t="n">
        <v>3661000000</v>
      </c>
      <c r="AF82" s="262" t="n">
        <v>3886000000</v>
      </c>
      <c r="AG82" s="262" t="n">
        <v>3110000000</v>
      </c>
      <c r="AH82" s="262" t="n">
        <v>3353000000</v>
      </c>
      <c r="AI82" s="262" t="n">
        <v>3797000000</v>
      </c>
      <c r="AJ82" s="262" t="n">
        <v>4648000000</v>
      </c>
    </row>
    <row r="83">
      <c r="A83" t="n">
        <v>47</v>
      </c>
      <c r="B83" t="n">
        <v>1</v>
      </c>
      <c r="G83" t="inlineStr">
        <is>
          <t>moeda</t>
        </is>
      </c>
      <c r="H83" t="inlineStr">
        <is>
          <t>Energy &amp; Transportation / Power &amp; Energy - receita (USD)</t>
        </is>
      </c>
      <c r="J83" t="inlineStr">
        <is>
          <t>fonte</t>
        </is>
      </c>
      <c r="K83" s="262" t="n">
        <v>3618000000</v>
      </c>
      <c r="L83" s="262" t="n">
        <v>3541000000</v>
      </c>
      <c r="M83" s="262" t="n">
        <v>3475000000</v>
      </c>
      <c r="N83" s="262" t="n">
        <v>4030000000</v>
      </c>
      <c r="O83" s="262" t="n">
        <v>3658000000</v>
      </c>
      <c r="P83" s="262" t="n">
        <v>4120000000</v>
      </c>
      <c r="Q83" s="262" t="n">
        <v>4141000000</v>
      </c>
      <c r="R83" s="262" t="n"/>
      <c r="S83" s="262" t="n">
        <v>4032000000</v>
      </c>
      <c r="T83" s="262" t="n">
        <v>5705000000</v>
      </c>
      <c r="U83" s="262" t="n">
        <v>6186000000</v>
      </c>
      <c r="V83" s="262" t="n">
        <v>6823000000</v>
      </c>
      <c r="W83" s="262" t="n">
        <v>6254000000</v>
      </c>
      <c r="X83" s="262" t="n">
        <v>7219000000</v>
      </c>
      <c r="Y83" s="262" t="n">
        <v>6859000000</v>
      </c>
      <c r="Z83" s="262" t="n">
        <v>7669000000</v>
      </c>
      <c r="AA83" s="262" t="n">
        <v>6681000000</v>
      </c>
      <c r="AB83" s="262" t="n">
        <v>7337000000</v>
      </c>
      <c r="AC83" s="262" t="n">
        <v>7187000000</v>
      </c>
      <c r="AD83" s="262" t="n">
        <v>7649000000</v>
      </c>
      <c r="AE83" s="262" t="n">
        <v>6568000000</v>
      </c>
      <c r="AF83" s="262" t="n">
        <v>7836000000</v>
      </c>
      <c r="AG83" s="262" t="n">
        <v>8397000000</v>
      </c>
      <c r="AH83" s="262" t="n">
        <v>9400000000</v>
      </c>
      <c r="AI83" s="262" t="n">
        <v>7031000000</v>
      </c>
      <c r="AJ83" s="262" t="n">
        <v>8238000000</v>
      </c>
    </row>
    <row r="84">
      <c r="A84" t="n">
        <v>48</v>
      </c>
      <c r="B84" t="n">
        <v>1</v>
      </c>
      <c r="G84" t="inlineStr">
        <is>
          <t>moeda</t>
        </is>
      </c>
      <c r="H84" t="inlineStr">
        <is>
          <t>Financial Products - receita (USD)</t>
        </is>
      </c>
      <c r="J84" t="inlineStr">
        <is>
          <t>fonte</t>
        </is>
      </c>
      <c r="K84" s="262" t="n">
        <v>814000000</v>
      </c>
      <c r="L84" s="262" t="n">
        <v>763000000</v>
      </c>
      <c r="M84" s="262" t="n">
        <v>724000000</v>
      </c>
      <c r="N84" s="262" t="n">
        <v>743000000</v>
      </c>
      <c r="O84" s="262" t="n">
        <v>761000000</v>
      </c>
      <c r="P84" s="262" t="n">
        <v>774000000</v>
      </c>
      <c r="Q84" s="262" t="n">
        <v>762000000</v>
      </c>
      <c r="R84" s="262" t="n"/>
      <c r="S84" s="262" t="n">
        <v>783000000</v>
      </c>
      <c r="T84" s="262" t="n">
        <v>798000000</v>
      </c>
      <c r="U84" s="262" t="n">
        <v>819000000</v>
      </c>
      <c r="V84" s="262" t="n">
        <v>853000000</v>
      </c>
      <c r="W84" s="262" t="n">
        <v>902000000</v>
      </c>
      <c r="X84" s="262" t="n">
        <v>923000000</v>
      </c>
      <c r="Y84" s="262" t="n">
        <v>979000000</v>
      </c>
      <c r="Z84" s="262" t="n">
        <v>981000000</v>
      </c>
      <c r="AA84" s="262" t="n">
        <v>991000000</v>
      </c>
      <c r="AB84" s="262" t="n">
        <v>1004000000</v>
      </c>
      <c r="AC84" s="262" t="n">
        <v>1034000000</v>
      </c>
      <c r="AD84" s="262" t="n">
        <v>1024000000</v>
      </c>
      <c r="AE84" s="262" t="n">
        <v>1007000000</v>
      </c>
      <c r="AF84" s="262" t="n">
        <v>1042000000</v>
      </c>
      <c r="AG84" s="262" t="n">
        <v>1076000000</v>
      </c>
      <c r="AH84" s="262" t="n">
        <v>1095000000</v>
      </c>
      <c r="AI84" s="262" t="n">
        <v>1096000000</v>
      </c>
      <c r="AJ84" s="262" t="n">
        <v>1145000000</v>
      </c>
    </row>
    <row r="85">
      <c r="A85" t="n">
        <v>49</v>
      </c>
      <c r="B85" t="n">
        <v>1</v>
      </c>
      <c r="G85" t="inlineStr">
        <is>
          <t>moeda</t>
        </is>
      </c>
      <c r="H85" t="inlineStr">
        <is>
          <t>Receita América do Norte (USD)</t>
        </is>
      </c>
      <c r="J85" t="inlineStr">
        <is>
          <t>fonte</t>
        </is>
      </c>
      <c r="K85" s="262" t="n">
        <v>4980000000</v>
      </c>
      <c r="L85" s="262" t="n">
        <v>4386000000</v>
      </c>
      <c r="M85" s="262" t="n">
        <v>4251000000</v>
      </c>
      <c r="N85" s="262" t="n">
        <v>4597000000</v>
      </c>
      <c r="O85" s="262" t="n">
        <v>4991000000</v>
      </c>
      <c r="P85" s="262" t="n">
        <v>5719000000</v>
      </c>
      <c r="Q85" s="262" t="n">
        <v>5455000000</v>
      </c>
      <c r="R85" s="262" t="n"/>
      <c r="S85" s="262" t="n">
        <v>6137000000</v>
      </c>
      <c r="T85" s="262" t="n">
        <v>6771000000</v>
      </c>
      <c r="U85" s="262" t="n">
        <v>7135000000</v>
      </c>
      <c r="V85" s="262" t="n">
        <v>7938000000</v>
      </c>
      <c r="W85" s="262" t="n">
        <v>7950000000</v>
      </c>
      <c r="X85" s="262" t="n">
        <v>8922000000</v>
      </c>
      <c r="Y85" s="262" t="n">
        <v>8927000000</v>
      </c>
      <c r="Z85" s="262" t="n">
        <v>8807000000</v>
      </c>
      <c r="AA85" s="262" t="n">
        <v>8573000000</v>
      </c>
      <c r="AB85" s="262" t="n">
        <v>9043000000</v>
      </c>
      <c r="AC85" s="262" t="n">
        <v>8545000000</v>
      </c>
      <c r="AD85" s="262" t="n">
        <v>8236000000</v>
      </c>
      <c r="AE85" s="262" t="n">
        <v>7738000000</v>
      </c>
      <c r="AF85" s="262" t="n">
        <v>8851000000</v>
      </c>
      <c r="AG85" s="262" t="n">
        <v>9681000000</v>
      </c>
      <c r="AH85" s="262" t="n">
        <v>10339000000</v>
      </c>
      <c r="AI85" s="262" t="n">
        <v>10230000000</v>
      </c>
      <c r="AJ85" s="262" t="n">
        <v>12094000000</v>
      </c>
    </row>
    <row r="86">
      <c r="A86" t="n">
        <v>50</v>
      </c>
      <c r="B86" t="n">
        <v>1</v>
      </c>
      <c r="G86" t="inlineStr">
        <is>
          <t>moeda</t>
        </is>
      </c>
      <c r="H86" t="inlineStr">
        <is>
          <t>Receita América Latina (USD)</t>
        </is>
      </c>
      <c r="J86" t="inlineStr">
        <is>
          <t>fonte</t>
        </is>
      </c>
      <c r="K86" s="262" t="n">
        <v>892000000</v>
      </c>
      <c r="L86" s="262" t="n">
        <v>730000000</v>
      </c>
      <c r="M86" s="262" t="n">
        <v>772000000</v>
      </c>
      <c r="N86" s="262" t="n">
        <v>1038000000</v>
      </c>
      <c r="O86" s="262" t="n">
        <v>1104000000</v>
      </c>
      <c r="P86" s="262" t="n">
        <v>1221000000</v>
      </c>
      <c r="Q86" s="262" t="n">
        <v>1329000000</v>
      </c>
      <c r="R86" s="262" t="n"/>
      <c r="S86" s="262" t="n">
        <v>1393000000</v>
      </c>
      <c r="T86" s="262" t="n">
        <v>1547000000</v>
      </c>
      <c r="U86" s="262" t="n">
        <v>1809000000</v>
      </c>
      <c r="V86" s="262" t="n">
        <v>1989000000</v>
      </c>
      <c r="W86" s="262" t="n">
        <v>1539000000</v>
      </c>
      <c r="X86" s="262" t="n">
        <v>1642000000</v>
      </c>
      <c r="Y86" s="262" t="n">
        <v>1603000000</v>
      </c>
      <c r="Z86" s="262" t="n">
        <v>1881000000</v>
      </c>
      <c r="AA86" s="262" t="n">
        <v>1559000000</v>
      </c>
      <c r="AB86" s="262" t="n">
        <v>1719000000</v>
      </c>
      <c r="AC86" s="262" t="n">
        <v>1678000000</v>
      </c>
      <c r="AD86" s="262" t="n">
        <v>1752000000</v>
      </c>
      <c r="AE86" s="262" t="n">
        <v>1515000000</v>
      </c>
      <c r="AF86" s="262" t="n">
        <v>1656000000</v>
      </c>
      <c r="AG86" s="262" t="n">
        <v>1850000000</v>
      </c>
      <c r="AH86" s="262" t="n">
        <v>1967000000</v>
      </c>
      <c r="AI86" s="262" t="n">
        <v>1592000000</v>
      </c>
      <c r="AJ86" s="262" t="n">
        <v>1821000000</v>
      </c>
    </row>
    <row r="87">
      <c r="A87" t="n">
        <v>51</v>
      </c>
      <c r="B87" t="n">
        <v>1</v>
      </c>
      <c r="G87" t="inlineStr">
        <is>
          <t>moeda</t>
        </is>
      </c>
      <c r="H87" t="inlineStr">
        <is>
          <t>Receita EAME (USD)</t>
        </is>
      </c>
      <c r="J87" t="inlineStr">
        <is>
          <t>fonte</t>
        </is>
      </c>
      <c r="K87" s="262" t="n">
        <v>2437000000</v>
      </c>
      <c r="L87" s="262" t="n">
        <v>2333000000</v>
      </c>
      <c r="M87" s="262" t="n">
        <v>2384000000</v>
      </c>
      <c r="N87" s="262" t="n">
        <v>2704000000</v>
      </c>
      <c r="O87" s="262" t="n">
        <v>2743000000</v>
      </c>
      <c r="P87" s="262" t="n">
        <v>3102000000</v>
      </c>
      <c r="Q87" s="262" t="n">
        <v>2939000000</v>
      </c>
      <c r="R87" s="262" t="n"/>
      <c r="S87" s="262" t="n">
        <v>3145000000</v>
      </c>
      <c r="T87" s="262" t="n">
        <v>2998000000</v>
      </c>
      <c r="U87" s="262" t="n">
        <v>3145000000</v>
      </c>
      <c r="V87" s="262" t="n">
        <v>3526000000</v>
      </c>
      <c r="W87" s="262" t="n">
        <v>3418000000</v>
      </c>
      <c r="X87" s="262" t="n">
        <v>3533000000</v>
      </c>
      <c r="Y87" s="262" t="n">
        <v>3402000000</v>
      </c>
      <c r="Z87" s="262" t="n">
        <v>3320000000</v>
      </c>
      <c r="AA87" s="262" t="n">
        <v>2852000000</v>
      </c>
      <c r="AB87" s="262" t="n">
        <v>2997000000</v>
      </c>
      <c r="AC87" s="262" t="n">
        <v>3199000000</v>
      </c>
      <c r="AD87" s="262" t="n">
        <v>3268000000</v>
      </c>
      <c r="AE87" s="262" t="n">
        <v>2506000000</v>
      </c>
      <c r="AF87" s="262" t="n">
        <v>3180000000</v>
      </c>
      <c r="AG87" s="262" t="n">
        <v>3231000000</v>
      </c>
      <c r="AH87" s="262" t="n">
        <v>3876000000</v>
      </c>
      <c r="AI87" s="262" t="n">
        <v>3008000000</v>
      </c>
      <c r="AJ87" s="262" t="n">
        <v>3625000000</v>
      </c>
    </row>
    <row r="88">
      <c r="A88" t="n">
        <v>52</v>
      </c>
      <c r="B88" t="n">
        <v>1</v>
      </c>
      <c r="G88" t="inlineStr">
        <is>
          <t>moeda</t>
        </is>
      </c>
      <c r="H88" t="inlineStr">
        <is>
          <t>Receita Ásia-Pacífico (USD)</t>
        </is>
      </c>
      <c r="J88" t="inlineStr">
        <is>
          <t>fonte</t>
        </is>
      </c>
      <c r="K88" s="262" t="n">
        <v>2326000000</v>
      </c>
      <c r="L88" s="262" t="n">
        <v>2548000000</v>
      </c>
      <c r="M88" s="262" t="n">
        <v>2474000000</v>
      </c>
      <c r="N88" s="262" t="n">
        <v>2896000000</v>
      </c>
      <c r="O88" s="262" t="n">
        <v>3049000000</v>
      </c>
      <c r="P88" s="262" t="n">
        <v>2847000000</v>
      </c>
      <c r="Q88" s="262" t="n">
        <v>2674000000</v>
      </c>
      <c r="R88" s="262" t="n"/>
      <c r="S88" s="262" t="n">
        <v>2914000000</v>
      </c>
      <c r="T88" s="262" t="n">
        <v>2931000000</v>
      </c>
      <c r="U88" s="262" t="n">
        <v>2905000000</v>
      </c>
      <c r="V88" s="262" t="n">
        <v>3144000000</v>
      </c>
      <c r="W88" s="262" t="n">
        <v>2955000000</v>
      </c>
      <c r="X88" s="262" t="n">
        <v>3221000000</v>
      </c>
      <c r="Y88" s="262" t="n">
        <v>2878000000</v>
      </c>
      <c r="Z88" s="262" t="n">
        <v>3062000000</v>
      </c>
      <c r="AA88" s="262" t="n">
        <v>2815000000</v>
      </c>
      <c r="AB88" s="262" t="n">
        <v>2930000000</v>
      </c>
      <c r="AC88" s="262" t="n">
        <v>2684000000</v>
      </c>
      <c r="AD88" s="262" t="n">
        <v>2959000000</v>
      </c>
      <c r="AE88" s="262" t="n">
        <v>2490000000</v>
      </c>
      <c r="AF88" s="262" t="n">
        <v>2882000000</v>
      </c>
      <c r="AG88" s="262" t="n">
        <v>2876000000</v>
      </c>
      <c r="AH88" s="262" t="n">
        <v>2951000000</v>
      </c>
      <c r="AI88" s="262" t="n">
        <v>2585000000</v>
      </c>
      <c r="AJ88" s="262" t="n">
        <v>3003000000</v>
      </c>
    </row>
    <row r="89">
      <c r="H89" t="inlineStr">
        <is>
          <t>Notas: valores dimensionais das instâncias XBRL. A soma dos segmentos inclui vendas entre segmentos; a diferença para a linha 15 são eliminações e corporate. O 4T21 dos segmentos fica vazio (10-K de 2021 etiquetado em base diferente dos 9M).</t>
        </is>
      </c>
    </row>
    <row r="123">
      <c r="H123" s="254" t="inlineStr">
        <is>
          <t>CONVENCOES</t>
        </is>
      </c>
    </row>
    <row r="124">
      <c r="H124" t="inlineStr">
        <is>
          <t>Linhas de origem: 5 a 89. As formulas da Inputs (2) varrem as linhas 5 a 120; as linhas 90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52: drivers de receita (memoria); alimentam o bloco logo abaixo da receita liquida no Model.</t>
        </is>
      </c>
    </row>
    <row r="143">
      <c r="H143" s="254" t="n"/>
    </row>
    <row r="144"/>
    <row r="145"/>
    <row r="146"/>
    <row r="147"/>
    <row r="148"/>
    <row r="149"/>
    <row r="150"/>
    <row r="151"/>
    <row r="152"/>
    <row r="153"/>
    <row r="15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0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52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11887</v>
      </c>
      <c r="E4" s="6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12889</v>
      </c>
      <c r="F4" s="6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12397</v>
      </c>
      <c r="G4" s="6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13798</v>
      </c>
      <c r="H4" s="3">
        <f>SUM(D4:G4)</f>
        <v>50971</v>
      </c>
      <c r="I4" s="6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13589</v>
      </c>
      <c r="J4" s="6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14247</v>
      </c>
      <c r="K4" s="6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14994</v>
      </c>
      <c r="L4" s="6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16597</v>
      </c>
      <c r="M4" s="3">
        <f>SUM(I4:L4)</f>
        <v>59427</v>
      </c>
      <c r="N4" s="6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15862</v>
      </c>
      <c r="O4" s="6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17318</v>
      </c>
      <c r="P4" s="6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16810</v>
      </c>
      <c r="Q4" s="6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17070</v>
      </c>
      <c r="R4" s="3">
        <f>SUM(N4:Q4)</f>
        <v>67060</v>
      </c>
      <c r="S4" s="6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15799</v>
      </c>
      <c r="T4" s="6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16689</v>
      </c>
      <c r="U4" s="6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16106</v>
      </c>
      <c r="V4" s="6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16215</v>
      </c>
      <c r="W4" s="3">
        <f>SUM(S4:V4)</f>
        <v>64809</v>
      </c>
      <c r="X4" s="6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14249</v>
      </c>
      <c r="Y4" s="6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16569</v>
      </c>
      <c r="Z4" s="6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17638</v>
      </c>
      <c r="AA4" s="6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19133</v>
      </c>
      <c r="AB4" s="3">
        <f>SUM(X4:AA4)</f>
        <v>67589</v>
      </c>
      <c r="AC4" s="6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17415</v>
      </c>
      <c r="AD4" s="6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20543</v>
      </c>
      <c r="AE4" s="6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6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3" t="e">
        <f>SUM(AC4:AF4)</f>
        <v>#N/A</v>
      </c>
      <c r="AH4" s="6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10635</v>
      </c>
      <c r="AI4" s="6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9997</v>
      </c>
      <c r="AJ4" s="6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9881</v>
      </c>
      <c r="AK4" s="6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11235</v>
      </c>
      <c r="AL4" s="3">
        <f>SUM(AH4:AK4)</f>
        <v>41748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-8012</v>
      </c>
      <c r="E5" s="6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-8881</v>
      </c>
      <c r="F5" s="6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-8617</v>
      </c>
      <c r="G5" s="6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-10003</v>
      </c>
      <c r="H5" s="3">
        <f>SUM(D5:G5)</f>
        <v>-35513</v>
      </c>
      <c r="I5" s="6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-9559</v>
      </c>
      <c r="J5" s="6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-9975</v>
      </c>
      <c r="K5" s="6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-10202</v>
      </c>
      <c r="L5" s="6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-11614</v>
      </c>
      <c r="M5" s="3">
        <f>SUM(I5:L5)</f>
        <v>-41350</v>
      </c>
      <c r="N5" s="6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-10103</v>
      </c>
      <c r="O5" s="6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-11065</v>
      </c>
      <c r="P5" s="6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-10583</v>
      </c>
      <c r="Q5" s="6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-11016</v>
      </c>
      <c r="R5" s="3">
        <f>SUM(N5:Q5)</f>
        <v>-42767</v>
      </c>
      <c r="S5" s="6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-9662</v>
      </c>
      <c r="T5" s="6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-10150</v>
      </c>
      <c r="U5" s="6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-10066</v>
      </c>
      <c r="V5" s="6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-10321</v>
      </c>
      <c r="W5" s="3">
        <f>SUM(S5:V5)</f>
        <v>-40199</v>
      </c>
      <c r="X5" s="6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-8965</v>
      </c>
      <c r="Y5" s="6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-10807</v>
      </c>
      <c r="Z5" s="6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-11673</v>
      </c>
      <c r="AA5" s="6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-13307</v>
      </c>
      <c r="AB5" s="3">
        <f>SUM(X5:AA5)</f>
        <v>-44752</v>
      </c>
      <c r="AC5" s="6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-11306</v>
      </c>
      <c r="AD5" s="6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-12781</v>
      </c>
      <c r="AE5" s="6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6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3" t="e">
        <f>SUM(AC5:AF5)</f>
        <v>#N/A</v>
      </c>
      <c r="AH5" s="6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-7266</v>
      </c>
      <c r="AI5" s="6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-7113</v>
      </c>
      <c r="AJ5" s="6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-6919</v>
      </c>
      <c r="AK5" s="6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-7784</v>
      </c>
      <c r="AL5" s="3">
        <f>SUM(AH5:AK5)</f>
        <v>-29082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-1475</v>
      </c>
      <c r="E6" s="6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-1632</v>
      </c>
      <c r="F6" s="6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-1523</v>
      </c>
      <c r="G6" s="6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-1598</v>
      </c>
      <c r="H6" s="3">
        <f>SUM(D6:G6)</f>
        <v>-6228</v>
      </c>
      <c r="I6" s="6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-1618</v>
      </c>
      <c r="J6" s="6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-1775</v>
      </c>
      <c r="K6" s="6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-1816</v>
      </c>
      <c r="L6" s="6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-2745</v>
      </c>
      <c r="M6" s="3">
        <f>SUM(I6:L6)</f>
        <v>-7954</v>
      </c>
      <c r="N6" s="6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-2496</v>
      </c>
      <c r="O6" s="6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-2059</v>
      </c>
      <c r="P6" s="6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-2253</v>
      </c>
      <c r="Q6" s="6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-2375</v>
      </c>
      <c r="R6" s="3">
        <f>SUM(N6:Q6)</f>
        <v>-9183</v>
      </c>
      <c r="S6" s="6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-2094</v>
      </c>
      <c r="T6" s="6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-2526</v>
      </c>
      <c r="U6" s="6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-2350</v>
      </c>
      <c r="V6" s="6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-2415</v>
      </c>
      <c r="W6" s="3">
        <f>SUM(S6:V6)</f>
        <v>-9385</v>
      </c>
      <c r="X6" s="6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-2165</v>
      </c>
      <c r="Y6" s="6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-2348</v>
      </c>
      <c r="Z6" s="6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-2343</v>
      </c>
      <c r="AA6" s="6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-2568</v>
      </c>
      <c r="AB6" s="3">
        <f>SUM(X6:AA6)</f>
        <v>-9424</v>
      </c>
      <c r="AC6" s="6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-2429</v>
      </c>
      <c r="AD6" s="6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-2851</v>
      </c>
      <c r="AE6" s="6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6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3" t="e">
        <f>SUM(AC6:AF6)</f>
        <v>#N/A</v>
      </c>
      <c r="AH6" s="6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-1351</v>
      </c>
      <c r="AI6" s="6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-1492</v>
      </c>
      <c r="AJ6" s="6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-1384</v>
      </c>
      <c r="AK6" s="6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-1454</v>
      </c>
      <c r="AL6" s="3">
        <f>SUM(AH6:AK6)</f>
        <v>-5681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-586</v>
      </c>
      <c r="E7" s="6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-587</v>
      </c>
      <c r="F7" s="6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-593</v>
      </c>
      <c r="G7" s="6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-586</v>
      </c>
      <c r="H7" s="3">
        <f>SUM(D7:G7)</f>
        <v>-2352</v>
      </c>
      <c r="I7" s="6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-557</v>
      </c>
      <c r="J7" s="6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-553</v>
      </c>
      <c r="K7" s="6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-551</v>
      </c>
      <c r="L7" s="6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-558</v>
      </c>
      <c r="M7" s="3">
        <f>SUM(I7:L7)</f>
        <v>-2219</v>
      </c>
      <c r="N7" s="6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-532</v>
      </c>
      <c r="O7" s="6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-542</v>
      </c>
      <c r="P7" s="6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-525</v>
      </c>
      <c r="Q7" s="6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-545</v>
      </c>
      <c r="R7" s="3">
        <f>SUM(N7:Q7)</f>
        <v>-2144</v>
      </c>
      <c r="S7" s="6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-524</v>
      </c>
      <c r="T7" s="6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-531</v>
      </c>
      <c r="U7" s="6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-543</v>
      </c>
      <c r="V7" s="6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-555</v>
      </c>
      <c r="W7" s="3">
        <f>SUM(S7:V7)</f>
        <v>-2153</v>
      </c>
      <c r="X7" s="6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-540</v>
      </c>
      <c r="Y7" s="6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-554</v>
      </c>
      <c r="Z7" s="6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-570</v>
      </c>
      <c r="AA7" s="6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-598</v>
      </c>
      <c r="AB7" s="3">
        <f>SUM(X7:AA7)</f>
        <v>-2262</v>
      </c>
      <c r="AC7" s="6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-595</v>
      </c>
      <c r="AD7" s="6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-616</v>
      </c>
      <c r="AE7" s="6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6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3" t="e">
        <f>SUM(AC7:AF7)</f>
        <v>#N/A</v>
      </c>
      <c r="AH7" s="6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-614</v>
      </c>
      <c r="AI7" s="6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-608</v>
      </c>
      <c r="AJ7" s="6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-593</v>
      </c>
      <c r="AK7" s="6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-617</v>
      </c>
      <c r="AL7" s="3">
        <f>SUM(AH7:AK7)</f>
        <v>-2432</v>
      </c>
    </row>
    <row r="8">
      <c r="B8" s="46" t="n">
        <v>5</v>
      </c>
      <c r="C8" s="26" t="inlineStr">
        <is>
          <t>Interest Expense</t>
        </is>
      </c>
      <c r="D8" s="6" t="e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8" s="6" t="e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8" s="6" t="e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8" s="6" t="e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8" s="3" t="e">
        <f>SUM(D8:G8)</f>
        <v>#N/A</v>
      </c>
      <c r="I8" s="6" t="e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8" s="6" t="e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8" s="6" t="e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8" s="6" t="e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8" s="3" t="e">
        <f>SUM(I8:L8)</f>
        <v>#N/A</v>
      </c>
      <c r="N8" s="6" t="e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8" s="6" t="e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8" s="6" t="e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8" s="6" t="e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8" s="3" t="e">
        <f>SUM(N8:Q8)</f>
        <v>#N/A</v>
      </c>
      <c r="S8" s="6" t="e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8" s="6" t="e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8" s="6" t="e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8" s="6" t="e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8" s="3" t="e">
        <f>SUM(S8:V8)</f>
        <v>#N/A</v>
      </c>
      <c r="X8" s="6" t="e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8" s="6" t="e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8" s="6" t="e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8" s="6" t="e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8" s="3" t="e">
        <f>SUM(X8:AA8)</f>
        <v>#N/A</v>
      </c>
      <c r="AC8" s="6" t="e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8" s="6" t="e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8" s="6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6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3" t="e">
        <f>SUM(AC8:AF8)</f>
        <v>#N/A</v>
      </c>
      <c r="AH8" s="6" t="e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8" s="6" t="e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8" s="6" t="e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8" s="6" t="e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8" s="3" t="e">
        <f>SUM(AH8:AK8)</f>
        <v>#N/A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183</v>
      </c>
      <c r="E9" s="6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81</v>
      </c>
      <c r="F9" s="6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111</v>
      </c>
      <c r="G9" s="6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951</v>
      </c>
      <c r="H9" s="3">
        <f>SUM(D9:G9)</f>
        <v>1326</v>
      </c>
      <c r="I9" s="6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144</v>
      </c>
      <c r="J9" s="6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152</v>
      </c>
      <c r="K9" s="6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133</v>
      </c>
      <c r="L9" s="6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419</v>
      </c>
      <c r="M9" s="3">
        <f>SUM(I9:L9)</f>
        <v>848</v>
      </c>
      <c r="N9" s="6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-97</v>
      </c>
      <c r="O9" s="6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0</v>
      </c>
      <c r="P9" s="6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66</v>
      </c>
      <c r="Q9" s="6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115</v>
      </c>
      <c r="R9" s="3">
        <f>SUM(N9:Q9)</f>
        <v>84</v>
      </c>
      <c r="S9" s="6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13</v>
      </c>
      <c r="T9" s="6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18</v>
      </c>
      <c r="U9" s="6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-49</v>
      </c>
      <c r="V9" s="6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319</v>
      </c>
      <c r="W9" s="3">
        <f>SUM(S9:V9)</f>
        <v>301</v>
      </c>
      <c r="X9" s="6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-9</v>
      </c>
      <c r="Y9" s="6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-42</v>
      </c>
      <c r="Z9" s="6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75</v>
      </c>
      <c r="AA9" s="6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366</v>
      </c>
      <c r="AB9" s="3">
        <f>SUM(X9:AA9)</f>
        <v>390</v>
      </c>
      <c r="AC9" s="6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126</v>
      </c>
      <c r="AD9" s="6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263</v>
      </c>
      <c r="AE9" s="6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6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3" t="e">
        <f>SUM(AC9:AF9)</f>
        <v>#N/A</v>
      </c>
      <c r="AH9" s="6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109</v>
      </c>
      <c r="AI9" s="6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-106</v>
      </c>
      <c r="AJ9" s="6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-122</v>
      </c>
      <c r="AK9" s="6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-439</v>
      </c>
      <c r="AL9" s="3">
        <f>SUM(AH9:AK9)</f>
        <v>-558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-475</v>
      </c>
      <c r="E10" s="6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-470</v>
      </c>
      <c r="F10" s="6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-368</v>
      </c>
      <c r="G10" s="6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-429</v>
      </c>
      <c r="H10" s="3">
        <f>SUM(D10:G10)</f>
        <v>-1742</v>
      </c>
      <c r="I10" s="6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-469</v>
      </c>
      <c r="J10" s="6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-427</v>
      </c>
      <c r="K10" s="6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-527</v>
      </c>
      <c r="L10" s="6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-644</v>
      </c>
      <c r="M10" s="3">
        <f>SUM(I10:L10)</f>
        <v>-2067</v>
      </c>
      <c r="N10" s="6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-708</v>
      </c>
      <c r="O10" s="6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-752</v>
      </c>
      <c r="P10" s="6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-734</v>
      </c>
      <c r="Q10" s="6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-587</v>
      </c>
      <c r="R10" s="3">
        <f>SUM(N10:Q10)</f>
        <v>-2781</v>
      </c>
      <c r="S10" s="6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-688</v>
      </c>
      <c r="T10" s="6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-836</v>
      </c>
      <c r="U10" s="6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-642</v>
      </c>
      <c r="V10" s="6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-463</v>
      </c>
      <c r="W10" s="3">
        <f>SUM(S10:V10)</f>
        <v>-2629</v>
      </c>
      <c r="X10" s="6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-574</v>
      </c>
      <c r="Y10" s="6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-646</v>
      </c>
      <c r="Z10" s="6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-836</v>
      </c>
      <c r="AA10" s="6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-712</v>
      </c>
      <c r="AB10" s="3">
        <f>SUM(X10:AA10)</f>
        <v>-2768</v>
      </c>
      <c r="AC10" s="6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-670</v>
      </c>
      <c r="AD10" s="6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-1055</v>
      </c>
      <c r="AE10" s="6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6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-425</v>
      </c>
      <c r="AI10" s="6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-227</v>
      </c>
      <c r="AJ10" s="6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-187</v>
      </c>
      <c r="AK10" s="6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-167</v>
      </c>
      <c r="AL10" s="3">
        <f>SUM(AH10:AK10)</f>
        <v>-1006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9</v>
      </c>
      <c r="E11" s="6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14</v>
      </c>
      <c r="F11" s="6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21</v>
      </c>
      <c r="G11" s="6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-13</v>
      </c>
      <c r="H11" s="3">
        <f>SUM(D11:G11)</f>
        <v>31</v>
      </c>
      <c r="I11" s="6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7</v>
      </c>
      <c r="J11" s="6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4</v>
      </c>
      <c r="K11" s="6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9</v>
      </c>
      <c r="L11" s="6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-1</v>
      </c>
      <c r="M11" s="3">
        <f>SUM(I11:L11)</f>
        <v>19</v>
      </c>
      <c r="N11" s="6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16</v>
      </c>
      <c r="O11" s="6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24</v>
      </c>
      <c r="P11" s="6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12</v>
      </c>
      <c r="Q11" s="6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11</v>
      </c>
      <c r="R11" s="3">
        <f>SUM(N11:Q11)</f>
        <v>63</v>
      </c>
      <c r="S11" s="6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10</v>
      </c>
      <c r="T11" s="6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17</v>
      </c>
      <c r="U11" s="6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7</v>
      </c>
      <c r="V11" s="6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10</v>
      </c>
      <c r="W11" s="3">
        <f>SUM(S11:V11)</f>
        <v>44</v>
      </c>
      <c r="X11" s="6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7</v>
      </c>
      <c r="Y11" s="6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7</v>
      </c>
      <c r="Z11" s="6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8</v>
      </c>
      <c r="AA11" s="6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87</v>
      </c>
      <c r="AB11" s="3">
        <f>SUM(X11:AA11)</f>
        <v>109</v>
      </c>
      <c r="AC11" s="6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7</v>
      </c>
      <c r="AD11" s="6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90</v>
      </c>
      <c r="AE11" s="6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6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5</v>
      </c>
      <c r="AI11" s="6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8</v>
      </c>
      <c r="AJ11" s="6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-5</v>
      </c>
      <c r="AK11" s="6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6</v>
      </c>
      <c r="AL11" s="3">
        <f>SUM(AH11:AK11)</f>
        <v>14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-1</v>
      </c>
      <c r="E12" s="6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-1</v>
      </c>
      <c r="F12" s="6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-2</v>
      </c>
      <c r="G12" s="6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0</v>
      </c>
      <c r="H12" s="3">
        <f>SUM(D12:G12)</f>
        <v>-4</v>
      </c>
      <c r="I12" s="6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0</v>
      </c>
      <c r="J12" s="6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0</v>
      </c>
      <c r="K12" s="6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1</v>
      </c>
      <c r="L12" s="6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0</v>
      </c>
      <c r="M12" s="3">
        <f>SUM(I12:L12)</f>
        <v>1</v>
      </c>
      <c r="N12" s="6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1</v>
      </c>
      <c r="O12" s="6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-2</v>
      </c>
      <c r="P12" s="6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1</v>
      </c>
      <c r="Q12" s="6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3</v>
      </c>
      <c r="R12" s="3">
        <f>SUM(N12:Q12)</f>
        <v>3</v>
      </c>
      <c r="S12" s="6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2</v>
      </c>
      <c r="T12" s="6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0</v>
      </c>
      <c r="U12" s="6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1</v>
      </c>
      <c r="V12" s="6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1</v>
      </c>
      <c r="W12" s="3">
        <f>SUM(S12:V12)</f>
        <v>4</v>
      </c>
      <c r="X12" s="6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0</v>
      </c>
      <c r="Y12" s="6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0</v>
      </c>
      <c r="Z12" s="6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1</v>
      </c>
      <c r="AA12" s="6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1</v>
      </c>
      <c r="AB12" s="3">
        <f>SUM(X12:AA12)</f>
        <v>2</v>
      </c>
      <c r="AC12" s="6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1</v>
      </c>
      <c r="AD12" s="6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2" s="6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6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-1</v>
      </c>
      <c r="AI12" s="6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-1</v>
      </c>
      <c r="AJ12" s="6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-3</v>
      </c>
      <c r="AK12" s="6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2" s="3">
        <f>SUM(AH12:AK12)</f>
        <v>-5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-562</v>
      </c>
      <c r="E13" s="6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-564</v>
      </c>
      <c r="F13" s="6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-607</v>
      </c>
      <c r="G13" s="6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-599</v>
      </c>
      <c r="H13" s="3">
        <f>SUM(D13:G13)</f>
        <v>-2332</v>
      </c>
      <c r="I13" s="6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-595</v>
      </c>
      <c r="J13" s="6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-592</v>
      </c>
      <c r="K13" s="6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-633</v>
      </c>
      <c r="L13" s="6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-620</v>
      </c>
      <c r="M13" s="3">
        <f>SUM(I13:L13)</f>
        <v>-2440</v>
      </c>
      <c r="N13" s="6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-620</v>
      </c>
      <c r="O13" s="6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-618</v>
      </c>
      <c r="P13" s="6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-663</v>
      </c>
      <c r="Q13" s="6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-662</v>
      </c>
      <c r="R13" s="3">
        <f>SUM(N13:Q13)</f>
        <v>-2563</v>
      </c>
      <c r="S13" s="6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-648</v>
      </c>
      <c r="T13" s="6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-635</v>
      </c>
      <c r="U13" s="6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-683</v>
      </c>
      <c r="V13" s="6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-680</v>
      </c>
      <c r="W13" s="3">
        <f>SUM(S13:V13)</f>
        <v>-2646</v>
      </c>
      <c r="X13" s="6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-674</v>
      </c>
      <c r="Y13" s="6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-662</v>
      </c>
      <c r="Z13" s="6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-707</v>
      </c>
      <c r="AA13" s="6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-706</v>
      </c>
      <c r="AB13" s="3">
        <f>SUM(X13:AA13)</f>
        <v>-2749</v>
      </c>
      <c r="AC13" s="6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-703</v>
      </c>
      <c r="AD13" s="6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-696</v>
      </c>
      <c r="AE13" s="6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6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-567</v>
      </c>
      <c r="AI13" s="6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-558</v>
      </c>
      <c r="AJ13" s="6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-558</v>
      </c>
      <c r="AK13" s="6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-560</v>
      </c>
      <c r="AL13" s="3">
        <f>SUM(AH13:AK13)</f>
        <v>-2243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11342</v>
      </c>
      <c r="E15" s="6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10831</v>
      </c>
      <c r="F15" s="6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9446</v>
      </c>
      <c r="G15" s="6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9254</v>
      </c>
      <c r="H15" s="3">
        <f>G15</f>
        <v>9254</v>
      </c>
      <c r="I15" s="6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6526</v>
      </c>
      <c r="J15" s="6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6014</v>
      </c>
      <c r="K15" s="6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6346</v>
      </c>
      <c r="L15" s="6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7004</v>
      </c>
      <c r="M15" s="3">
        <f>L15</f>
        <v>7004</v>
      </c>
      <c r="N15" s="6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6789</v>
      </c>
      <c r="O15" s="6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7387</v>
      </c>
      <c r="P15" s="6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6545</v>
      </c>
      <c r="Q15" s="6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6978</v>
      </c>
      <c r="R15" s="3">
        <f>Q15</f>
        <v>6978</v>
      </c>
      <c r="S15" s="6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4959</v>
      </c>
      <c r="T15" s="6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4341</v>
      </c>
      <c r="U15" s="6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5638</v>
      </c>
      <c r="V15" s="6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6889</v>
      </c>
      <c r="W15" s="3">
        <f>V15</f>
        <v>6889</v>
      </c>
      <c r="X15" s="6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3562</v>
      </c>
      <c r="Y15" s="6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5442</v>
      </c>
      <c r="Z15" s="6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7538</v>
      </c>
      <c r="AA15" s="6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9980</v>
      </c>
      <c r="AB15" s="3">
        <f>AA15</f>
        <v>9980</v>
      </c>
      <c r="AC15" s="6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4072</v>
      </c>
      <c r="AD15" s="6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6713</v>
      </c>
      <c r="AE15" s="6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6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3" t="e">
        <f>AF15</f>
        <v>#N/A</v>
      </c>
      <c r="AH15" s="6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7123</v>
      </c>
      <c r="AI15" s="6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8784</v>
      </c>
      <c r="AJ15" s="6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9315</v>
      </c>
      <c r="AK15" s="6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9352</v>
      </c>
      <c r="AL15" s="3">
        <f>AK15</f>
        <v>9352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7955</v>
      </c>
      <c r="E16" s="6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7840</v>
      </c>
      <c r="F16" s="6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7647</v>
      </c>
      <c r="G16" s="6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8477</v>
      </c>
      <c r="H16" s="3">
        <f>G16</f>
        <v>8477</v>
      </c>
      <c r="I16" s="6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9135</v>
      </c>
      <c r="J16" s="6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8393</v>
      </c>
      <c r="K16" s="6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8158</v>
      </c>
      <c r="L16" s="6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8856</v>
      </c>
      <c r="M16" s="3">
        <f>L16</f>
        <v>8856</v>
      </c>
      <c r="N16" s="6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9230</v>
      </c>
      <c r="O16" s="6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9416</v>
      </c>
      <c r="P16" s="6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9134</v>
      </c>
      <c r="Q16" s="6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9310</v>
      </c>
      <c r="R16" s="3">
        <f>Q16</f>
        <v>9310</v>
      </c>
      <c r="S16" s="6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9296</v>
      </c>
      <c r="T16" s="6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9421</v>
      </c>
      <c r="U16" s="6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9086</v>
      </c>
      <c r="V16" s="6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9282</v>
      </c>
      <c r="W16" s="3">
        <f>V16</f>
        <v>9282</v>
      </c>
      <c r="X16" s="6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9116</v>
      </c>
      <c r="Y16" s="6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9704</v>
      </c>
      <c r="Z16" s="6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10146</v>
      </c>
      <c r="AA16" s="6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10920</v>
      </c>
      <c r="AB16" s="3">
        <f>AA16</f>
        <v>10920</v>
      </c>
      <c r="AC16" s="6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11447</v>
      </c>
      <c r="AD16" s="6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13188</v>
      </c>
      <c r="AE16" s="6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6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3" t="e">
        <f>AF16</f>
        <v>#N/A</v>
      </c>
      <c r="AH16" s="6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7834</v>
      </c>
      <c r="AI16" s="6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7134</v>
      </c>
      <c r="AJ16" s="6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6969</v>
      </c>
      <c r="AK16" s="6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7317</v>
      </c>
      <c r="AL16" s="3">
        <f>AK16</f>
        <v>7317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12149</v>
      </c>
      <c r="E17" s="6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12672</v>
      </c>
      <c r="F17" s="6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13666</v>
      </c>
      <c r="G17" s="6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14038</v>
      </c>
      <c r="H17" s="3">
        <f>G17</f>
        <v>14038</v>
      </c>
      <c r="I17" s="6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15038</v>
      </c>
      <c r="J17" s="6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15881</v>
      </c>
      <c r="K17" s="6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16860</v>
      </c>
      <c r="L17" s="6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16270</v>
      </c>
      <c r="M17" s="3">
        <f>L17</f>
        <v>16270</v>
      </c>
      <c r="N17" s="6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17633</v>
      </c>
      <c r="O17" s="6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17746</v>
      </c>
      <c r="P17" s="6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17580</v>
      </c>
      <c r="Q17" s="6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16565</v>
      </c>
      <c r="R17" s="3">
        <f>Q17</f>
        <v>16565</v>
      </c>
      <c r="S17" s="6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16953</v>
      </c>
      <c r="T17" s="6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17082</v>
      </c>
      <c r="U17" s="6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17312</v>
      </c>
      <c r="V17" s="6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16827</v>
      </c>
      <c r="W17" s="3">
        <f>V17</f>
        <v>16827</v>
      </c>
      <c r="X17" s="6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17862</v>
      </c>
      <c r="Y17" s="6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18595</v>
      </c>
      <c r="Z17" s="6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18958</v>
      </c>
      <c r="AA17" s="6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18135</v>
      </c>
      <c r="AB17" s="3">
        <f>AA17</f>
        <v>18135</v>
      </c>
      <c r="AC17" s="6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19626</v>
      </c>
      <c r="AD17" s="6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20627</v>
      </c>
      <c r="AE17" s="6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6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3" t="e">
        <f>AF17</f>
        <v>#N/A</v>
      </c>
      <c r="AH17" s="6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11748</v>
      </c>
      <c r="AI17" s="6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11371</v>
      </c>
      <c r="AJ17" s="6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11453</v>
      </c>
      <c r="AK17" s="6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11402</v>
      </c>
      <c r="AL17" s="3">
        <f>AK17</f>
        <v>11402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6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6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6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3">
        <f>G18</f>
        <v>0</v>
      </c>
      <c r="I18" s="6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6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6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6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3">
        <f>L18</f>
        <v>0</v>
      </c>
      <c r="N18" s="6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6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6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6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0</v>
      </c>
      <c r="R18" s="3">
        <f>Q18</f>
        <v>0</v>
      </c>
      <c r="S18" s="6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0</v>
      </c>
      <c r="T18" s="6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0</v>
      </c>
      <c r="U18" s="6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0</v>
      </c>
      <c r="V18" s="6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0</v>
      </c>
      <c r="W18" s="3">
        <f>V18</f>
        <v>0</v>
      </c>
      <c r="X18" s="6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0</v>
      </c>
      <c r="Y18" s="6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0</v>
      </c>
      <c r="Z18" s="6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0</v>
      </c>
      <c r="AA18" s="6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8" s="3">
        <f>AA18</f>
        <v>0</v>
      </c>
      <c r="AC18" s="6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8" s="6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8" s="6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6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3" t="e">
        <f>AF18</f>
        <v>#N/A</v>
      </c>
      <c r="AH18" s="6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6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6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6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6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6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6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3">
        <f>G19</f>
        <v>0</v>
      </c>
      <c r="I19" s="6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6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6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6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3">
        <f>L19</f>
        <v>0</v>
      </c>
      <c r="N19" s="6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6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6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6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3">
        <f>Q19</f>
        <v>0</v>
      </c>
      <c r="S19" s="6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6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6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6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3">
        <f>V19</f>
        <v>0</v>
      </c>
      <c r="X19" s="6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6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6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6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3">
        <f>AA19</f>
        <v>0</v>
      </c>
      <c r="AC19" s="6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6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6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6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3" t="e">
        <f>AF19</f>
        <v>#N/A</v>
      </c>
      <c r="AH19" s="6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6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6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6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11135</v>
      </c>
      <c r="E20" s="6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11603</v>
      </c>
      <c r="F20" s="6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11134</v>
      </c>
      <c r="G20" s="6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11686</v>
      </c>
      <c r="H20" s="3">
        <f>G20</f>
        <v>11686</v>
      </c>
      <c r="I20" s="6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11871</v>
      </c>
      <c r="J20" s="6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11694</v>
      </c>
      <c r="K20" s="6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11213</v>
      </c>
      <c r="L20" s="6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11655</v>
      </c>
      <c r="M20" s="3">
        <f>L20</f>
        <v>11655</v>
      </c>
      <c r="N20" s="6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12008</v>
      </c>
      <c r="O20" s="6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12451</v>
      </c>
      <c r="P20" s="6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14746</v>
      </c>
      <c r="Q20" s="6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14096</v>
      </c>
      <c r="R20" s="3">
        <f>Q20</f>
        <v>14096</v>
      </c>
      <c r="S20" s="6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12456</v>
      </c>
      <c r="T20" s="6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12252</v>
      </c>
      <c r="U20" s="6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12910</v>
      </c>
      <c r="V20" s="6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12684</v>
      </c>
      <c r="W20" s="3">
        <f>V20</f>
        <v>12684</v>
      </c>
      <c r="X20" s="6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12479</v>
      </c>
      <c r="Y20" s="6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13014</v>
      </c>
      <c r="Z20" s="6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13176</v>
      </c>
      <c r="AA20" s="6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13450</v>
      </c>
      <c r="AB20" s="3">
        <f>AA20</f>
        <v>13450</v>
      </c>
      <c r="AC20" s="6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13423</v>
      </c>
      <c r="AD20" s="6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13922</v>
      </c>
      <c r="AE20" s="6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6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3" t="e">
        <f>AF20</f>
        <v>#N/A</v>
      </c>
      <c r="AH20" s="6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10881</v>
      </c>
      <c r="AI20" s="6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10573</v>
      </c>
      <c r="AJ20" s="6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10797</v>
      </c>
      <c r="AK20" s="6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11393</v>
      </c>
      <c r="AL20" s="3">
        <f>AK20</f>
        <v>11393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6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6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6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3">
        <f>G21</f>
        <v>0</v>
      </c>
      <c r="I21" s="6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6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6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6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3">
        <f>L21</f>
        <v>0</v>
      </c>
      <c r="N21" s="6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6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6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6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3">
        <f>Q21</f>
        <v>0</v>
      </c>
      <c r="S21" s="6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6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6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6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3">
        <f>V21</f>
        <v>0</v>
      </c>
      <c r="X21" s="6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6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6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6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3">
        <f>AA21</f>
        <v>0</v>
      </c>
      <c r="AC21" s="6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6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6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6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3" t="e">
        <f>AF21</f>
        <v>#N/A</v>
      </c>
      <c r="AH21" s="6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6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6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6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12132</v>
      </c>
      <c r="E22" s="6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12014</v>
      </c>
      <c r="F22" s="6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11904</v>
      </c>
      <c r="G22" s="6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12090</v>
      </c>
      <c r="H22" s="3">
        <f>G22</f>
        <v>12090</v>
      </c>
      <c r="I22" s="6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11932</v>
      </c>
      <c r="J22" s="6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11744</v>
      </c>
      <c r="K22" s="6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11643</v>
      </c>
      <c r="L22" s="6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12028</v>
      </c>
      <c r="M22" s="3">
        <f>L22</f>
        <v>12028</v>
      </c>
      <c r="N22" s="6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11973</v>
      </c>
      <c r="O22" s="6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12124</v>
      </c>
      <c r="P22" s="6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12287</v>
      </c>
      <c r="Q22" s="6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12680</v>
      </c>
      <c r="R22" s="3">
        <f>Q22</f>
        <v>12680</v>
      </c>
      <c r="S22" s="6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12538</v>
      </c>
      <c r="T22" s="6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12582</v>
      </c>
      <c r="U22" s="6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12837</v>
      </c>
      <c r="V22" s="6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13361</v>
      </c>
      <c r="W22" s="3">
        <f>V22</f>
        <v>13361</v>
      </c>
      <c r="X22" s="6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13432</v>
      </c>
      <c r="Y22" s="6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13896</v>
      </c>
      <c r="Z22" s="6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14310</v>
      </c>
      <c r="AA22" s="6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15140</v>
      </c>
      <c r="AB22" s="3">
        <f>AA22</f>
        <v>15140</v>
      </c>
      <c r="AC22" s="6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15249</v>
      </c>
      <c r="AD22" s="6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15628</v>
      </c>
      <c r="AE22" s="6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6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3" t="e">
        <f>AF22</f>
        <v>#N/A</v>
      </c>
      <c r="AH22" s="6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12488</v>
      </c>
      <c r="AI22" s="6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12357</v>
      </c>
      <c r="AJ22" s="6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12232</v>
      </c>
      <c r="AK22" s="6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12401</v>
      </c>
      <c r="AL22" s="3">
        <f>AK22</f>
        <v>12401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0</v>
      </c>
      <c r="E23" s="6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0</v>
      </c>
      <c r="F23" s="6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0</v>
      </c>
      <c r="G23" s="6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0</v>
      </c>
      <c r="H23" s="3">
        <f>G23</f>
        <v>0</v>
      </c>
      <c r="I23" s="6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0</v>
      </c>
      <c r="J23" s="6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0</v>
      </c>
      <c r="K23" s="6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0</v>
      </c>
      <c r="L23" s="6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0</v>
      </c>
      <c r="M23" s="3">
        <f>L23</f>
        <v>0</v>
      </c>
      <c r="N23" s="6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0</v>
      </c>
      <c r="O23" s="6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0</v>
      </c>
      <c r="P23" s="6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0</v>
      </c>
      <c r="Q23" s="6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0</v>
      </c>
      <c r="R23" s="3">
        <f>Q23</f>
        <v>0</v>
      </c>
      <c r="S23" s="6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0</v>
      </c>
      <c r="T23" s="6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0</v>
      </c>
      <c r="U23" s="6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0</v>
      </c>
      <c r="V23" s="6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0</v>
      </c>
      <c r="W23" s="3">
        <f>V23</f>
        <v>0</v>
      </c>
      <c r="X23" s="6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0</v>
      </c>
      <c r="Y23" s="6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0</v>
      </c>
      <c r="Z23" s="6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0</v>
      </c>
      <c r="AA23" s="6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3" s="3">
        <f>AA23</f>
        <v>0</v>
      </c>
      <c r="AC23" s="6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3" s="6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3" s="6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6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3" t="e">
        <f>AF23</f>
        <v>#N/A</v>
      </c>
      <c r="AH23" s="6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3" s="6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3" s="6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3" s="6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6343</v>
      </c>
      <c r="E24" s="6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6372</v>
      </c>
      <c r="F24" s="6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6353</v>
      </c>
      <c r="G24" s="6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6324</v>
      </c>
      <c r="H24" s="3">
        <f>G24</f>
        <v>6324</v>
      </c>
      <c r="I24" s="6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6293</v>
      </c>
      <c r="J24" s="6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6195</v>
      </c>
      <c r="K24" s="6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6092</v>
      </c>
      <c r="L24" s="6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5288</v>
      </c>
      <c r="M24" s="3">
        <f>L24</f>
        <v>5288</v>
      </c>
      <c r="N24" s="6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5309</v>
      </c>
      <c r="O24" s="6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5293</v>
      </c>
      <c r="P24" s="6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5268</v>
      </c>
      <c r="Q24" s="6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5308</v>
      </c>
      <c r="R24" s="3">
        <f>Q24</f>
        <v>5308</v>
      </c>
      <c r="S24" s="6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5277</v>
      </c>
      <c r="T24" s="6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5264</v>
      </c>
      <c r="U24" s="6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5317</v>
      </c>
      <c r="V24" s="6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5241</v>
      </c>
      <c r="W24" s="3">
        <f>V24</f>
        <v>5241</v>
      </c>
      <c r="X24" s="6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5270</v>
      </c>
      <c r="Y24" s="6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5331</v>
      </c>
      <c r="Z24" s="6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5329</v>
      </c>
      <c r="AA24" s="6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5321</v>
      </c>
      <c r="AB24" s="3">
        <f>AA24</f>
        <v>5321</v>
      </c>
      <c r="AC24" s="6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5865</v>
      </c>
      <c r="AD24" s="6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5859</v>
      </c>
      <c r="AE24" s="6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6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3" t="e">
        <f>AF24</f>
        <v>#N/A</v>
      </c>
      <c r="AH24" s="6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6140</v>
      </c>
      <c r="AI24" s="6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6192</v>
      </c>
      <c r="AJ24" s="6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6304</v>
      </c>
      <c r="AK24" s="6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6394</v>
      </c>
      <c r="AL24" s="3">
        <f>AK24</f>
        <v>6394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1246</v>
      </c>
      <c r="E25" s="6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1176</v>
      </c>
      <c r="F25" s="6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1121</v>
      </c>
      <c r="G25" s="6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1042</v>
      </c>
      <c r="H25" s="3">
        <f>G25</f>
        <v>1042</v>
      </c>
      <c r="I25" s="6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967</v>
      </c>
      <c r="J25" s="6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889</v>
      </c>
      <c r="K25" s="6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806</v>
      </c>
      <c r="L25" s="6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758</v>
      </c>
      <c r="M25" s="3">
        <f>L25</f>
        <v>758</v>
      </c>
      <c r="N25" s="6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694</v>
      </c>
      <c r="O25" s="6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630</v>
      </c>
      <c r="P25" s="6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604</v>
      </c>
      <c r="Q25" s="6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564</v>
      </c>
      <c r="R25" s="3">
        <f>Q25</f>
        <v>564</v>
      </c>
      <c r="S25" s="6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516</v>
      </c>
      <c r="T25" s="6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488</v>
      </c>
      <c r="U25" s="6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448</v>
      </c>
      <c r="V25" s="6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399</v>
      </c>
      <c r="W25" s="3">
        <f>V25</f>
        <v>399</v>
      </c>
      <c r="X25" s="6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361</v>
      </c>
      <c r="Y25" s="6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321</v>
      </c>
      <c r="Z25" s="6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281</v>
      </c>
      <c r="AA25" s="6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241</v>
      </c>
      <c r="AB25" s="3">
        <f>AA25</f>
        <v>241</v>
      </c>
      <c r="AC25" s="6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419</v>
      </c>
      <c r="AD25" s="6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420</v>
      </c>
      <c r="AE25" s="6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6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3" t="e">
        <f>AF25</f>
        <v>#N/A</v>
      </c>
      <c r="AH25" s="6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1478</v>
      </c>
      <c r="AI25" s="6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1420</v>
      </c>
      <c r="AJ25" s="6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1363</v>
      </c>
      <c r="AK25" s="6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1308</v>
      </c>
      <c r="AL25" s="3">
        <f>AK25</f>
        <v>1308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18427</v>
      </c>
      <c r="E26" s="6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19189</v>
      </c>
      <c r="F26" s="6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19513</v>
      </c>
      <c r="G26" s="6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19882</v>
      </c>
      <c r="H26" s="3">
        <f>G26</f>
        <v>19882</v>
      </c>
      <c r="I26" s="6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20514</v>
      </c>
      <c r="J26" s="6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20297</v>
      </c>
      <c r="K26" s="6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19789</v>
      </c>
      <c r="L26" s="6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20084</v>
      </c>
      <c r="M26" s="3">
        <f>L26</f>
        <v>20084</v>
      </c>
      <c r="N26" s="6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20013</v>
      </c>
      <c r="O26" s="6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20380</v>
      </c>
      <c r="P26" s="6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20627</v>
      </c>
      <c r="Q26" s="6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21975</v>
      </c>
      <c r="R26" s="3">
        <f>Q26</f>
        <v>21975</v>
      </c>
      <c r="S26" s="6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21746</v>
      </c>
      <c r="T26" s="6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21906</v>
      </c>
      <c r="U26" s="6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22725</v>
      </c>
      <c r="V26" s="6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23081</v>
      </c>
      <c r="W26" s="3">
        <f>V26</f>
        <v>23081</v>
      </c>
      <c r="X26" s="6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22892</v>
      </c>
      <c r="Y26" s="6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24022</v>
      </c>
      <c r="Z26" s="6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23984</v>
      </c>
      <c r="AA26" s="6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25398</v>
      </c>
      <c r="AB26" s="3">
        <f>AA26</f>
        <v>25398</v>
      </c>
      <c r="AC26" s="6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25449</v>
      </c>
      <c r="AD26" s="6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26252</v>
      </c>
      <c r="AE26" s="6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6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3" t="e">
        <f>AF26</f>
        <v>#N/A</v>
      </c>
      <c r="AH26" s="6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18202</v>
      </c>
      <c r="AI26" s="6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18735</v>
      </c>
      <c r="AJ26" s="6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18308</v>
      </c>
      <c r="AK26" s="6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18757</v>
      </c>
      <c r="AL26" s="3">
        <f>AK26</f>
        <v>18757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6694</v>
      </c>
      <c r="E28" s="6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6921</v>
      </c>
      <c r="F28" s="6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7218</v>
      </c>
      <c r="G28" s="6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8154</v>
      </c>
      <c r="H28" s="3">
        <f>G28</f>
        <v>8154</v>
      </c>
      <c r="I28" s="6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8361</v>
      </c>
      <c r="J28" s="6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8092</v>
      </c>
      <c r="K28" s="6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8260</v>
      </c>
      <c r="L28" s="6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8689</v>
      </c>
      <c r="M28" s="3">
        <f>L28</f>
        <v>8689</v>
      </c>
      <c r="N28" s="6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8951</v>
      </c>
      <c r="O28" s="6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8443</v>
      </c>
      <c r="P28" s="6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7827</v>
      </c>
      <c r="Q28" s="6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7906</v>
      </c>
      <c r="R28" s="3">
        <f>Q28</f>
        <v>7906</v>
      </c>
      <c r="S28" s="6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7778</v>
      </c>
      <c r="T28" s="6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7575</v>
      </c>
      <c r="U28" s="6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7705</v>
      </c>
      <c r="V28" s="6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7675</v>
      </c>
      <c r="W28" s="3">
        <f>V28</f>
        <v>7675</v>
      </c>
      <c r="X28" s="6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7792</v>
      </c>
      <c r="Y28" s="6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8563</v>
      </c>
      <c r="Z28" s="6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8729</v>
      </c>
      <c r="AA28" s="6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8968</v>
      </c>
      <c r="AB28" s="3">
        <f>AA28</f>
        <v>8968</v>
      </c>
      <c r="AC28" s="6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9641</v>
      </c>
      <c r="AD28" s="6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10313</v>
      </c>
      <c r="AE28" s="6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6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3" t="e">
        <f>AF28</f>
        <v>#N/A</v>
      </c>
      <c r="AH28" s="6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5769</v>
      </c>
      <c r="AI28" s="6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5083</v>
      </c>
      <c r="AJ28" s="6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5193</v>
      </c>
      <c r="AK28" s="6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6128</v>
      </c>
      <c r="AL28" s="3">
        <f>AK28</f>
        <v>6128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4857</v>
      </c>
      <c r="E29" s="6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5315</v>
      </c>
      <c r="F29" s="6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5654</v>
      </c>
      <c r="G29" s="6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5999</v>
      </c>
      <c r="H29" s="3">
        <f>G29</f>
        <v>5999</v>
      </c>
      <c r="I29" s="6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5121</v>
      </c>
      <c r="J29" s="6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5554</v>
      </c>
      <c r="K29" s="6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6217</v>
      </c>
      <c r="L29" s="6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6393</v>
      </c>
      <c r="M29" s="3">
        <f>L29</f>
        <v>6393</v>
      </c>
      <c r="N29" s="6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5489</v>
      </c>
      <c r="O29" s="6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6248</v>
      </c>
      <c r="P29" s="6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6969</v>
      </c>
      <c r="Q29" s="6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7715</v>
      </c>
      <c r="R29" s="3">
        <f>Q29</f>
        <v>7715</v>
      </c>
      <c r="S29" s="6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6112</v>
      </c>
      <c r="T29" s="6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6624</v>
      </c>
      <c r="U29" s="6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7058</v>
      </c>
      <c r="V29" s="6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7634</v>
      </c>
      <c r="W29" s="3">
        <f>V29</f>
        <v>7634</v>
      </c>
      <c r="X29" s="6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6249</v>
      </c>
      <c r="Y29" s="6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6825</v>
      </c>
      <c r="Z29" s="6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7313</v>
      </c>
      <c r="AA29" s="6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8141</v>
      </c>
      <c r="AB29" s="3">
        <f>AA29</f>
        <v>8141</v>
      </c>
      <c r="AC29" s="6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6888</v>
      </c>
      <c r="AD29" s="6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7973</v>
      </c>
      <c r="AE29" s="6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6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3" t="e">
        <f>AF29</f>
        <v>#N/A</v>
      </c>
      <c r="AH29" s="6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4654</v>
      </c>
      <c r="AI29" s="6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4505</v>
      </c>
      <c r="AJ29" s="6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4579</v>
      </c>
      <c r="AK29" s="6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4738</v>
      </c>
      <c r="AL29" s="3">
        <f>AK29</f>
        <v>4738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6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6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6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3">
        <f>G30</f>
        <v>0</v>
      </c>
      <c r="I30" s="6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6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6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6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3">
        <f>L30</f>
        <v>0</v>
      </c>
      <c r="N30" s="6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6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6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6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3">
        <f>Q30</f>
        <v>0</v>
      </c>
      <c r="S30" s="6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6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6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6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3">
        <f>V30</f>
        <v>0</v>
      </c>
      <c r="X30" s="6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6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6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6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3">
        <f>AA30</f>
        <v>0</v>
      </c>
      <c r="AC30" s="6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6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6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6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3" t="e">
        <f>AF30</f>
        <v>#N/A</v>
      </c>
      <c r="AH30" s="6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6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6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6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3203</v>
      </c>
      <c r="E31" s="6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3891</v>
      </c>
      <c r="F31" s="6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3474</v>
      </c>
      <c r="G31" s="6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3938</v>
      </c>
      <c r="H31" s="3">
        <f>G31</f>
        <v>3938</v>
      </c>
      <c r="I31" s="6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3743</v>
      </c>
      <c r="J31" s="6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4574</v>
      </c>
      <c r="K31" s="6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4709</v>
      </c>
      <c r="L31" s="6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5170</v>
      </c>
      <c r="M31" s="3">
        <f>L31</f>
        <v>5170</v>
      </c>
      <c r="N31" s="6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5237</v>
      </c>
      <c r="O31" s="6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5909</v>
      </c>
      <c r="P31" s="6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5448</v>
      </c>
      <c r="Q31" s="6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5701</v>
      </c>
      <c r="R31" s="3">
        <f>Q31</f>
        <v>5701</v>
      </c>
      <c r="S31" s="6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5459</v>
      </c>
      <c r="T31" s="6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5890</v>
      </c>
      <c r="U31" s="6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5338</v>
      </c>
      <c r="V31" s="6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5905</v>
      </c>
      <c r="W31" s="3">
        <f>V31</f>
        <v>5905</v>
      </c>
      <c r="X31" s="6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5785</v>
      </c>
      <c r="Y31" s="6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6746</v>
      </c>
      <c r="Z31" s="6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6151</v>
      </c>
      <c r="AA31" s="6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6815</v>
      </c>
      <c r="AB31" s="3">
        <f>AA31</f>
        <v>6815</v>
      </c>
      <c r="AC31" s="6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6949</v>
      </c>
      <c r="AD31" s="6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8397</v>
      </c>
      <c r="AE31" s="6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6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3" t="e">
        <f>AF31</f>
        <v>#N/A</v>
      </c>
      <c r="AH31" s="6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16093</v>
      </c>
      <c r="AI31" s="6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15643</v>
      </c>
      <c r="AJ31" s="6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3187</v>
      </c>
      <c r="AK31" s="6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3687</v>
      </c>
      <c r="AL31" s="3">
        <f>AK31</f>
        <v>3687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11824</v>
      </c>
      <c r="E32" s="6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11381</v>
      </c>
      <c r="F32" s="6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9630</v>
      </c>
      <c r="G32" s="6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11756</v>
      </c>
      <c r="H32" s="3">
        <f>G32</f>
        <v>11756</v>
      </c>
      <c r="I32" s="6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12307</v>
      </c>
      <c r="J32" s="6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10743</v>
      </c>
      <c r="K32" s="6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11016</v>
      </c>
      <c r="L32" s="6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11279</v>
      </c>
      <c r="M32" s="3">
        <f>L32</f>
        <v>11279</v>
      </c>
      <c r="N32" s="6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12165</v>
      </c>
      <c r="O32" s="6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14714</v>
      </c>
      <c r="P32" s="6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12880</v>
      </c>
      <c r="Q32" s="6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13406</v>
      </c>
      <c r="R32" s="3">
        <f>Q32</f>
        <v>13406</v>
      </c>
      <c r="S32" s="6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13022</v>
      </c>
      <c r="T32" s="6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13475</v>
      </c>
      <c r="U32" s="6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12117</v>
      </c>
      <c r="V32" s="6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11058</v>
      </c>
      <c r="W32" s="3">
        <f>V32</f>
        <v>11058</v>
      </c>
      <c r="X32" s="6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12769</v>
      </c>
      <c r="Y32" s="6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12800</v>
      </c>
      <c r="Z32" s="6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13798</v>
      </c>
      <c r="AA32" s="6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12634</v>
      </c>
      <c r="AB32" s="3">
        <f>AA32</f>
        <v>12634</v>
      </c>
      <c r="AC32" s="6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12424</v>
      </c>
      <c r="AD32" s="6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13107</v>
      </c>
      <c r="AE32" s="6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6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3" t="e">
        <f>AF32</f>
        <v>#N/A</v>
      </c>
      <c r="AH32" s="6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2" s="6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2" s="6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12019</v>
      </c>
      <c r="AK32" s="6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11164</v>
      </c>
      <c r="AL32" s="3">
        <f>AK32</f>
        <v>11164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6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6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6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3">
        <f>G33</f>
        <v>0</v>
      </c>
      <c r="I33" s="6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6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6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6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3">
        <f>L33</f>
        <v>0</v>
      </c>
      <c r="N33" s="6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6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6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6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3">
        <f>Q33</f>
        <v>0</v>
      </c>
      <c r="S33" s="6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6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6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6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3">
        <f>V33</f>
        <v>0</v>
      </c>
      <c r="X33" s="6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6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6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6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3">
        <f>AA33</f>
        <v>0</v>
      </c>
      <c r="AC33" s="6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6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6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6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3" t="e">
        <f>AF33</f>
        <v>#N/A</v>
      </c>
      <c r="AH33" s="6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6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6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6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6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6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6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3">
        <f>G34</f>
        <v>0</v>
      </c>
      <c r="I34" s="6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6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6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6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3">
        <f>L34</f>
        <v>0</v>
      </c>
      <c r="N34" s="6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6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6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6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3">
        <f>Q34</f>
        <v>0</v>
      </c>
      <c r="S34" s="6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6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6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6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3">
        <f>V34</f>
        <v>0</v>
      </c>
      <c r="X34" s="6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6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6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6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3">
        <f>AA34</f>
        <v>0</v>
      </c>
      <c r="AC34" s="6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6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6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6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3" t="e">
        <f>AF34</f>
        <v>#N/A</v>
      </c>
      <c r="AH34" s="6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6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6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6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26356</v>
      </c>
      <c r="E35" s="6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26204</v>
      </c>
      <c r="F35" s="6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27154</v>
      </c>
      <c r="G35" s="6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26033</v>
      </c>
      <c r="H35" s="3">
        <f>G35</f>
        <v>26033</v>
      </c>
      <c r="I35" s="6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25277</v>
      </c>
      <c r="J35" s="6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26219</v>
      </c>
      <c r="K35" s="6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25509</v>
      </c>
      <c r="L35" s="6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25714</v>
      </c>
      <c r="M35" s="3">
        <f>L35</f>
        <v>25714</v>
      </c>
      <c r="N35" s="6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24873</v>
      </c>
      <c r="O35" s="6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22985</v>
      </c>
      <c r="P35" s="6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24259</v>
      </c>
      <c r="Q35" s="6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24472</v>
      </c>
      <c r="R35" s="3">
        <f>Q35</f>
        <v>24472</v>
      </c>
      <c r="S35" s="6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24831</v>
      </c>
      <c r="T35" s="6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23836</v>
      </c>
      <c r="U35" s="6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25784</v>
      </c>
      <c r="V35" s="6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27351</v>
      </c>
      <c r="W35" s="3">
        <f>V35</f>
        <v>27351</v>
      </c>
      <c r="X35" s="6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25819</v>
      </c>
      <c r="Y35" s="6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27948</v>
      </c>
      <c r="Z35" s="6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27736</v>
      </c>
      <c r="AA35" s="6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30696</v>
      </c>
      <c r="AB35" s="3">
        <f>AA35</f>
        <v>30696</v>
      </c>
      <c r="AC35" s="6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30642</v>
      </c>
      <c r="AD35" s="6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32039</v>
      </c>
      <c r="AE35" s="6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6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3" t="e">
        <f>AF35</f>
        <v>#N/A</v>
      </c>
      <c r="AH35" s="6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5" s="6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5" s="6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26107</v>
      </c>
      <c r="AK35" s="6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25999</v>
      </c>
      <c r="AL35" s="3">
        <f>AK35</f>
        <v>25999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0</v>
      </c>
      <c r="E36" s="6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0</v>
      </c>
      <c r="F36" s="6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0</v>
      </c>
      <c r="G36" s="6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0</v>
      </c>
      <c r="H36" s="3">
        <f>G36</f>
        <v>0</v>
      </c>
      <c r="I36" s="6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0</v>
      </c>
      <c r="J36" s="6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0</v>
      </c>
      <c r="K36" s="6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0</v>
      </c>
      <c r="L36" s="6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0</v>
      </c>
      <c r="M36" s="3">
        <f>L36</f>
        <v>0</v>
      </c>
      <c r="N36" s="6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0</v>
      </c>
      <c r="O36" s="6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0</v>
      </c>
      <c r="P36" s="6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0</v>
      </c>
      <c r="Q36" s="6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0</v>
      </c>
      <c r="R36" s="3">
        <f>Q36</f>
        <v>0</v>
      </c>
      <c r="S36" s="6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0</v>
      </c>
      <c r="T36" s="6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0</v>
      </c>
      <c r="U36" s="6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0</v>
      </c>
      <c r="V36" s="6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0</v>
      </c>
      <c r="W36" s="3">
        <f>V36</f>
        <v>0</v>
      </c>
      <c r="X36" s="6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0</v>
      </c>
      <c r="Y36" s="6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0</v>
      </c>
      <c r="Z36" s="6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0</v>
      </c>
      <c r="AA36" s="6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6" s="3">
        <f>AA36</f>
        <v>0</v>
      </c>
      <c r="AC36" s="6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6" s="6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6" s="6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6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3" t="e">
        <f>AF36</f>
        <v>#N/A</v>
      </c>
      <c r="AH36" s="6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6" s="6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6" s="6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6" s="6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6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6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6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3">
        <f>G37</f>
        <v>0</v>
      </c>
      <c r="I37" s="6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6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6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6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3">
        <f>L37</f>
        <v>0</v>
      </c>
      <c r="N37" s="6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6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6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6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3">
        <f>Q37</f>
        <v>0</v>
      </c>
      <c r="S37" s="6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6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6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6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3">
        <f>V37</f>
        <v>0</v>
      </c>
      <c r="X37" s="6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6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6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6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3">
        <f>AA37</f>
        <v>0</v>
      </c>
      <c r="AC37" s="6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6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6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6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3" t="e">
        <f>AF37</f>
        <v>#N/A</v>
      </c>
      <c r="AH37" s="6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6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6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6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0</v>
      </c>
      <c r="E38" s="6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0</v>
      </c>
      <c r="F38" s="6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0</v>
      </c>
      <c r="G38" s="6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0</v>
      </c>
      <c r="H38" s="3">
        <f>G38</f>
        <v>0</v>
      </c>
      <c r="I38" s="6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0</v>
      </c>
      <c r="J38" s="6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0</v>
      </c>
      <c r="K38" s="6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0</v>
      </c>
      <c r="L38" s="6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0</v>
      </c>
      <c r="M38" s="3">
        <f>L38</f>
        <v>0</v>
      </c>
      <c r="N38" s="6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6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6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6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3">
        <f>Q38</f>
        <v>0</v>
      </c>
      <c r="S38" s="6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6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6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6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3">
        <f>V38</f>
        <v>0</v>
      </c>
      <c r="X38" s="6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6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6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6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3">
        <f>AA38</f>
        <v>0</v>
      </c>
      <c r="AC38" s="6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6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6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6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3" t="e">
        <f>AF38</f>
        <v>#N/A</v>
      </c>
      <c r="AH38" s="6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8" s="6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8" s="6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8" s="6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11178</v>
      </c>
      <c r="E39" s="6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11105</v>
      </c>
      <c r="F39" s="6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10959</v>
      </c>
      <c r="G39" s="6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10397</v>
      </c>
      <c r="H39" s="3">
        <f>G39</f>
        <v>10397</v>
      </c>
      <c r="I39" s="6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10370</v>
      </c>
      <c r="J39" s="6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10166</v>
      </c>
      <c r="K39" s="6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9574</v>
      </c>
      <c r="L39" s="6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8807</v>
      </c>
      <c r="M39" s="3">
        <f>L39</f>
        <v>8807</v>
      </c>
      <c r="N39" s="6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8764</v>
      </c>
      <c r="O39" s="6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8872</v>
      </c>
      <c r="P39" s="6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8901</v>
      </c>
      <c r="Q39" s="6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8773</v>
      </c>
      <c r="R39" s="3">
        <f>Q39</f>
        <v>8773</v>
      </c>
      <c r="S39" s="6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8894</v>
      </c>
      <c r="T39" s="6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8800</v>
      </c>
      <c r="U39" s="6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8868</v>
      </c>
      <c r="V39" s="6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8647</v>
      </c>
      <c r="W39" s="3">
        <f>V39</f>
        <v>8647</v>
      </c>
      <c r="X39" s="6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8490</v>
      </c>
      <c r="Y39" s="6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8780</v>
      </c>
      <c r="Z39" s="6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9336</v>
      </c>
      <c r="AA39" s="6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10013</v>
      </c>
      <c r="AB39" s="3">
        <f>AA39</f>
        <v>10013</v>
      </c>
      <c r="AC39" s="6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10346</v>
      </c>
      <c r="AD39" s="6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11386</v>
      </c>
      <c r="AE39" s="6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6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3" t="e">
        <f>AF39</f>
        <v>#N/A</v>
      </c>
      <c r="AH39" s="6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35139</v>
      </c>
      <c r="AI39" s="6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37558</v>
      </c>
      <c r="AJ39" s="6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10662</v>
      </c>
      <c r="AK39" s="6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11230</v>
      </c>
      <c r="AL39" s="3">
        <f>AK39</f>
        <v>11230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44</v>
      </c>
      <c r="E41" s="6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47</v>
      </c>
      <c r="F41" s="6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30</v>
      </c>
      <c r="G41" s="6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32</v>
      </c>
      <c r="H41" s="3">
        <f>G41</f>
        <v>32</v>
      </c>
      <c r="I41" s="6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32</v>
      </c>
      <c r="J41" s="6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32</v>
      </c>
      <c r="K41" s="6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31</v>
      </c>
      <c r="L41" s="6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22</v>
      </c>
      <c r="M41" s="3">
        <f>L41</f>
        <v>22</v>
      </c>
      <c r="N41" s="6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21</v>
      </c>
      <c r="O41" s="6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21</v>
      </c>
      <c r="P41" s="6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18</v>
      </c>
      <c r="Q41" s="6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9</v>
      </c>
      <c r="R41" s="3">
        <f>Q41</f>
        <v>9</v>
      </c>
      <c r="S41" s="6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6</v>
      </c>
      <c r="T41" s="6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6</v>
      </c>
      <c r="U41" s="6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6</v>
      </c>
      <c r="V41" s="6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3</v>
      </c>
      <c r="W41" s="3">
        <f>V41</f>
        <v>3</v>
      </c>
      <c r="X41" s="6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3</v>
      </c>
      <c r="Y41" s="6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2</v>
      </c>
      <c r="Z41" s="6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1</v>
      </c>
      <c r="AA41" s="6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1" s="3">
        <f>AA41</f>
        <v>0</v>
      </c>
      <c r="AC41" s="6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-1</v>
      </c>
      <c r="AD41" s="6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-1</v>
      </c>
      <c r="AE41" s="6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6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3" t="e">
        <f>AF41</f>
        <v>#N/A</v>
      </c>
      <c r="AH41" s="6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42</v>
      </c>
      <c r="AI41" s="6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43</v>
      </c>
      <c r="AJ41" s="6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45</v>
      </c>
      <c r="AK41" s="6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47</v>
      </c>
      <c r="AL41" s="3">
        <f>AK41</f>
        <v>47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6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6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6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3" t="e">
        <f>G42</f>
        <v>#N/A</v>
      </c>
      <c r="I42" s="6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6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6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6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3" t="e">
        <f>L42</f>
        <v>#N/A</v>
      </c>
      <c r="N42" s="6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6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6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6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3" t="e">
        <f>Q42</f>
        <v>#N/A</v>
      </c>
      <c r="S42" s="6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6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6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6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3" t="e">
        <f>V42</f>
        <v>#N/A</v>
      </c>
      <c r="X42" s="6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6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6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6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3" t="e">
        <f>AA42</f>
        <v>#N/A</v>
      </c>
      <c r="AC42" s="6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6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6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6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3" t="e">
        <f>AF42</f>
        <v>#N/A</v>
      </c>
      <c r="AH42" s="6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6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6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6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6215</v>
      </c>
      <c r="E43" s="6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6293</v>
      </c>
      <c r="F43" s="6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6352</v>
      </c>
      <c r="G43" s="6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6398</v>
      </c>
      <c r="H43" s="3">
        <f>G43</f>
        <v>6398</v>
      </c>
      <c r="I43" s="6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6281</v>
      </c>
      <c r="J43" s="6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6464</v>
      </c>
      <c r="K43" s="6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6523</v>
      </c>
      <c r="L43" s="6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6560</v>
      </c>
      <c r="M43" s="3">
        <f>L43</f>
        <v>6560</v>
      </c>
      <c r="N43" s="6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6546</v>
      </c>
      <c r="O43" s="6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6478</v>
      </c>
      <c r="P43" s="6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6698</v>
      </c>
      <c r="Q43" s="6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6403</v>
      </c>
      <c r="R43" s="3">
        <f>Q43</f>
        <v>6403</v>
      </c>
      <c r="S43" s="6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5663</v>
      </c>
      <c r="T43" s="6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5517</v>
      </c>
      <c r="U43" s="6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5584</v>
      </c>
      <c r="V43" s="6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6941</v>
      </c>
      <c r="W43" s="3">
        <f>V43</f>
        <v>6941</v>
      </c>
      <c r="X43" s="6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6043</v>
      </c>
      <c r="Y43" s="6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6143</v>
      </c>
      <c r="Z43" s="6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6223</v>
      </c>
      <c r="AA43" s="6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7181</v>
      </c>
      <c r="AB43" s="3">
        <f>AA43</f>
        <v>7181</v>
      </c>
      <c r="AC43" s="6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5852</v>
      </c>
      <c r="AD43" s="6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5654</v>
      </c>
      <c r="AE43" s="6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6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3" t="e">
        <f>AF43</f>
        <v>#N/A</v>
      </c>
      <c r="AH43" s="6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6046</v>
      </c>
      <c r="AI43" s="6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6120</v>
      </c>
      <c r="AJ43" s="6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6204</v>
      </c>
      <c r="AK43" s="6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6230</v>
      </c>
      <c r="AL43" s="3">
        <f>AK43</f>
        <v>6230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-25049</v>
      </c>
      <c r="E44" s="6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-25240</v>
      </c>
      <c r="F44" s="6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-26608</v>
      </c>
      <c r="G44" s="6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-27643</v>
      </c>
      <c r="H44" s="3">
        <f>G44</f>
        <v>-27643</v>
      </c>
      <c r="I44" s="6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-28326</v>
      </c>
      <c r="J44" s="6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-29501</v>
      </c>
      <c r="K44" s="6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-30883</v>
      </c>
      <c r="L44" s="6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-31748</v>
      </c>
      <c r="M44" s="3">
        <f>L44</f>
        <v>-31748</v>
      </c>
      <c r="N44" s="6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-32108</v>
      </c>
      <c r="O44" s="6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-33391</v>
      </c>
      <c r="P44" s="6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-33865</v>
      </c>
      <c r="Q44" s="6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-36339</v>
      </c>
      <c r="R44" s="3">
        <f>Q44</f>
        <v>-36339</v>
      </c>
      <c r="S44" s="6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-40039</v>
      </c>
      <c r="T44" s="6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-41612</v>
      </c>
      <c r="U44" s="6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-42390</v>
      </c>
      <c r="V44" s="6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-44331</v>
      </c>
      <c r="W44" s="3">
        <f>V44</f>
        <v>-44331</v>
      </c>
      <c r="X44" s="6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-47127</v>
      </c>
      <c r="Y44" s="6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-47958</v>
      </c>
      <c r="Z44" s="6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-48302</v>
      </c>
      <c r="AA44" s="6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-49539</v>
      </c>
      <c r="AB44" s="3">
        <f>AA44</f>
        <v>-49539</v>
      </c>
      <c r="AC44" s="6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-53307</v>
      </c>
      <c r="AD44" s="6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-54533</v>
      </c>
      <c r="AE44" s="6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6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3" t="e">
        <f>AF44</f>
        <v>#N/A</v>
      </c>
      <c r="AH44" s="6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-25341</v>
      </c>
      <c r="AI44" s="6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-25412</v>
      </c>
      <c r="AJ44" s="6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-25315</v>
      </c>
      <c r="AK44" s="6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-25178</v>
      </c>
      <c r="AL44" s="3">
        <f>AK44</f>
        <v>-25178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-1290</v>
      </c>
      <c r="E45" s="6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-1154</v>
      </c>
      <c r="F45" s="6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-1440</v>
      </c>
      <c r="G45" s="6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-1553</v>
      </c>
      <c r="H45" s="3">
        <f>G45</f>
        <v>-1553</v>
      </c>
      <c r="I45" s="6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-1710</v>
      </c>
      <c r="J45" s="6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-2499</v>
      </c>
      <c r="K45" s="6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-3353</v>
      </c>
      <c r="L45" s="6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-2457</v>
      </c>
      <c r="M45" s="3">
        <f>L45</f>
        <v>-2457</v>
      </c>
      <c r="N45" s="6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-1746</v>
      </c>
      <c r="O45" s="6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-1946</v>
      </c>
      <c r="P45" s="6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-2232</v>
      </c>
      <c r="Q45" s="6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-1820</v>
      </c>
      <c r="R45" s="3">
        <f>Q45</f>
        <v>-1820</v>
      </c>
      <c r="S45" s="6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-2093</v>
      </c>
      <c r="T45" s="6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-2230</v>
      </c>
      <c r="U45" s="6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-1717</v>
      </c>
      <c r="V45" s="6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-2471</v>
      </c>
      <c r="W45" s="3">
        <f>V45</f>
        <v>-2471</v>
      </c>
      <c r="X45" s="6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-2205</v>
      </c>
      <c r="Y45" s="6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-1684</v>
      </c>
      <c r="Z45" s="6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-1723</v>
      </c>
      <c r="AA45" s="6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-1772</v>
      </c>
      <c r="AB45" s="3">
        <f>AA45</f>
        <v>-1772</v>
      </c>
      <c r="AC45" s="6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-1881</v>
      </c>
      <c r="AD45" s="6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-1867</v>
      </c>
      <c r="AE45" s="6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6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3" t="e">
        <f>AF45</f>
        <v>#N/A</v>
      </c>
      <c r="AH45" s="6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-2012</v>
      </c>
      <c r="AI45" s="6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-1815</v>
      </c>
      <c r="AJ45" s="6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-1448</v>
      </c>
      <c r="AK45" s="6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-888</v>
      </c>
      <c r="AL45" s="3">
        <f>AK45</f>
        <v>-888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6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6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6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3">
        <f>G46</f>
        <v>0</v>
      </c>
      <c r="I46" s="6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6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6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6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3">
        <f>L46</f>
        <v>0</v>
      </c>
      <c r="N46" s="6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6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6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6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3">
        <f>Q46</f>
        <v>0</v>
      </c>
      <c r="S46" s="6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6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6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6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3">
        <f>V46</f>
        <v>0</v>
      </c>
      <c r="X46" s="6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6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6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6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3">
        <f>AA46</f>
        <v>0</v>
      </c>
      <c r="AC46" s="6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6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6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6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3" t="e">
        <f>AF46</f>
        <v>#N/A</v>
      </c>
      <c r="AH46" s="6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6" s="6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6" s="6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6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36697</v>
      </c>
      <c r="E47" s="6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36934</v>
      </c>
      <c r="F47" s="6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38361</v>
      </c>
      <c r="G47" s="6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39282</v>
      </c>
      <c r="H47" s="3">
        <f>G47</f>
        <v>39282</v>
      </c>
      <c r="I47" s="6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40820</v>
      </c>
      <c r="J47" s="6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41263</v>
      </c>
      <c r="K47" s="6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43304</v>
      </c>
      <c r="L47" s="6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43514</v>
      </c>
      <c r="M47" s="3">
        <f>L47</f>
        <v>43514</v>
      </c>
      <c r="N47" s="6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45457</v>
      </c>
      <c r="O47" s="6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47094</v>
      </c>
      <c r="P47" s="6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49888</v>
      </c>
      <c r="Q47" s="6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51250</v>
      </c>
      <c r="R47" s="3">
        <f>Q47</f>
        <v>51250</v>
      </c>
      <c r="S47" s="6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54108</v>
      </c>
      <c r="T47" s="6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55455</v>
      </c>
      <c r="U47" s="6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57920</v>
      </c>
      <c r="V47" s="6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59352</v>
      </c>
      <c r="W47" s="3">
        <f>V47</f>
        <v>59352</v>
      </c>
      <c r="X47" s="6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61356</v>
      </c>
      <c r="Y47" s="6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62160</v>
      </c>
      <c r="Z47" s="6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64460</v>
      </c>
      <c r="AA47" s="6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65448</v>
      </c>
      <c r="AB47" s="3">
        <f>AA47</f>
        <v>65448</v>
      </c>
      <c r="AC47" s="6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67997</v>
      </c>
      <c r="AD47" s="6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70141</v>
      </c>
      <c r="AE47" s="6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6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3" t="e">
        <f>AF47</f>
        <v>#N/A</v>
      </c>
      <c r="AH47" s="6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35504</v>
      </c>
      <c r="AI47" s="6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34841</v>
      </c>
      <c r="AJ47" s="6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35508</v>
      </c>
      <c r="AK47" s="6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35167</v>
      </c>
      <c r="AL47" s="3">
        <f>AK47</f>
        <v>35167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1530</v>
      </c>
      <c r="E50" s="6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1413</v>
      </c>
      <c r="F50" s="6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1426</v>
      </c>
      <c r="G50" s="6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2120</v>
      </c>
      <c r="H50" s="3">
        <f>SUM(D50:G50)</f>
        <v>6489</v>
      </c>
      <c r="I50" s="6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1537</v>
      </c>
      <c r="J50" s="6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1673</v>
      </c>
      <c r="K50" s="6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2041</v>
      </c>
      <c r="L50" s="6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1454</v>
      </c>
      <c r="M50" s="3">
        <f>SUM(I50:L50)</f>
        <v>6705</v>
      </c>
      <c r="N50" s="6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1943</v>
      </c>
      <c r="O50" s="6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2922</v>
      </c>
      <c r="P50" s="6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2794</v>
      </c>
      <c r="Q50" s="6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2676</v>
      </c>
      <c r="R50" s="3">
        <f>SUM(N50:Q50)</f>
        <v>10335</v>
      </c>
      <c r="S50" s="6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2856</v>
      </c>
      <c r="T50" s="6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2681</v>
      </c>
      <c r="U50" s="6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2464</v>
      </c>
      <c r="V50" s="6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2791</v>
      </c>
      <c r="W50" s="3">
        <f>SUM(S50:V50)</f>
        <v>10792</v>
      </c>
      <c r="X50" s="6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2003</v>
      </c>
      <c r="Y50" s="6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2179</v>
      </c>
      <c r="Z50" s="6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2300</v>
      </c>
      <c r="AA50" s="6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2402</v>
      </c>
      <c r="AB50" s="3">
        <f>SUM(X50:AA50)</f>
        <v>8884</v>
      </c>
      <c r="AC50" s="6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2549</v>
      </c>
      <c r="AD50" s="6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3593</v>
      </c>
      <c r="AE50" s="6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6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3" t="e">
        <f>SUM(AC50:AF50)</f>
        <v>#N/A</v>
      </c>
      <c r="AH5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1092</v>
      </c>
      <c r="AI5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458</v>
      </c>
      <c r="AJ5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668</v>
      </c>
      <c r="AK5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780</v>
      </c>
      <c r="AL50">
        <f>SUM(AH50:AK50)</f>
        <v>2998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Construction Industries - receita (USD)</t>
        </is>
      </c>
      <c r="D53" s="26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5441</v>
      </c>
      <c r="E53" s="26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5603</v>
      </c>
      <c r="F53" s="26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5261</v>
      </c>
      <c r="G53" s="263" t="e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3" s="264" t="e">
        <f>SUM(D53:G53)</f>
        <v>#N/A</v>
      </c>
      <c r="I53" s="26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6086</v>
      </c>
      <c r="J53" s="26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6033</v>
      </c>
      <c r="K53" s="26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6276</v>
      </c>
      <c r="L53" s="26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6845</v>
      </c>
      <c r="M53" s="264">
        <f>SUM(I53:L53)</f>
        <v>25240</v>
      </c>
      <c r="N53" s="26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6746</v>
      </c>
      <c r="O53" s="26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7154</v>
      </c>
      <c r="P53" s="26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6999</v>
      </c>
      <c r="Q53" s="26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6519</v>
      </c>
      <c r="R53" s="264">
        <f>SUM(N53:Q53)</f>
        <v>27418</v>
      </c>
      <c r="S53" s="26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6424</v>
      </c>
      <c r="T53" s="26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6683</v>
      </c>
      <c r="U53" s="26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6345</v>
      </c>
      <c r="V53" s="26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6003</v>
      </c>
      <c r="W53" s="264">
        <f>SUM(S53:V53)</f>
        <v>25455</v>
      </c>
      <c r="X53" s="26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5184</v>
      </c>
      <c r="Y53" s="26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6190</v>
      </c>
      <c r="Z53" s="26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6760</v>
      </c>
      <c r="AA53" s="26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6926</v>
      </c>
      <c r="AB53" s="264">
        <f>SUM(X53:AA53)</f>
        <v>25060</v>
      </c>
      <c r="AC53" s="26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7161</v>
      </c>
      <c r="AD53" s="26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8346</v>
      </c>
      <c r="AE53" s="26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26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4312</v>
      </c>
      <c r="AI53" s="26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4032</v>
      </c>
      <c r="AJ53" s="26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4048</v>
      </c>
      <c r="AK53" s="26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4484</v>
      </c>
      <c r="AL53" s="264">
        <f>SUM(AH53:AK53)</f>
        <v>16876</v>
      </c>
    </row>
    <row r="54">
      <c r="B54" s="46" t="n">
        <v>46</v>
      </c>
      <c r="C54" s="29" t="inlineStr">
        <is>
          <t>Resource Industries - receita (USD)</t>
        </is>
      </c>
      <c r="D54" s="26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2097</v>
      </c>
      <c r="E54" s="26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2471</v>
      </c>
      <c r="F54" s="26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2291</v>
      </c>
      <c r="G54" s="263" t="e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4" s="264" t="e">
        <f>SUM(D54:G54)</f>
        <v>#N/A</v>
      </c>
      <c r="I54" s="26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2759</v>
      </c>
      <c r="J54" s="26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2961</v>
      </c>
      <c r="K54" s="26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3087</v>
      </c>
      <c r="L54" s="26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3436</v>
      </c>
      <c r="M54" s="264">
        <f>SUM(I54:L54)</f>
        <v>12243</v>
      </c>
      <c r="N54" s="26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3427</v>
      </c>
      <c r="O54" s="26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3563</v>
      </c>
      <c r="P54" s="26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3351</v>
      </c>
      <c r="Q54" s="26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3242</v>
      </c>
      <c r="R54" s="264">
        <f>SUM(N54:Q54)</f>
        <v>13583</v>
      </c>
      <c r="S54" s="26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3193</v>
      </c>
      <c r="T54" s="26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3206</v>
      </c>
      <c r="U54" s="26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3048</v>
      </c>
      <c r="V54" s="26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2962</v>
      </c>
      <c r="W54" s="264">
        <f>SUM(S54:V54)</f>
        <v>12409</v>
      </c>
      <c r="X54" s="26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3661</v>
      </c>
      <c r="Y54" s="26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3886</v>
      </c>
      <c r="Z54" s="26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3110</v>
      </c>
      <c r="AA54" s="26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3353</v>
      </c>
      <c r="AB54" s="264">
        <f>SUM(X54:AA54)</f>
        <v>14010</v>
      </c>
      <c r="AC54" s="26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3797</v>
      </c>
      <c r="AD54" s="26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4648</v>
      </c>
      <c r="AE54" s="26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26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1979</v>
      </c>
      <c r="AI54" s="26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1710</v>
      </c>
      <c r="AJ54" s="26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1704</v>
      </c>
      <c r="AK54" s="26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2053</v>
      </c>
      <c r="AL54" s="264">
        <f>SUM(AH54:AK54)</f>
        <v>7446</v>
      </c>
    </row>
    <row r="55">
      <c r="B55" s="46" t="n">
        <v>47</v>
      </c>
      <c r="C55" s="29" t="inlineStr">
        <is>
          <t>Energy &amp; Transportation / Power &amp; Energy - receita (USD)</t>
        </is>
      </c>
      <c r="D55" s="26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3658</v>
      </c>
      <c r="E55" s="26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4120</v>
      </c>
      <c r="F55" s="26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4141</v>
      </c>
      <c r="G55" s="263" t="e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5" s="264" t="e">
        <f>SUM(D55:G55)</f>
        <v>#N/A</v>
      </c>
      <c r="I55" s="26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4032</v>
      </c>
      <c r="J55" s="26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5705</v>
      </c>
      <c r="K55" s="26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6186</v>
      </c>
      <c r="L55" s="26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6823</v>
      </c>
      <c r="M55" s="264">
        <f>SUM(I55:L55)</f>
        <v>22746</v>
      </c>
      <c r="N55" s="26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6254</v>
      </c>
      <c r="O55" s="26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7219</v>
      </c>
      <c r="P55" s="26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6859</v>
      </c>
      <c r="Q55" s="26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7669</v>
      </c>
      <c r="R55" s="264">
        <f>SUM(N55:Q55)</f>
        <v>28001</v>
      </c>
      <c r="S55" s="26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6681</v>
      </c>
      <c r="T55" s="26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7337</v>
      </c>
      <c r="U55" s="26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7187</v>
      </c>
      <c r="V55" s="26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7649</v>
      </c>
      <c r="W55" s="264">
        <f>SUM(S55:V55)</f>
        <v>28854</v>
      </c>
      <c r="X55" s="26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6568</v>
      </c>
      <c r="Y55" s="26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7836</v>
      </c>
      <c r="Z55" s="26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8397</v>
      </c>
      <c r="AA55" s="26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9400</v>
      </c>
      <c r="AB55" s="264">
        <f>SUM(X55:AA55)</f>
        <v>32201</v>
      </c>
      <c r="AC55" s="26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7031</v>
      </c>
      <c r="AD55" s="26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8238</v>
      </c>
      <c r="AE55" s="26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26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3618</v>
      </c>
      <c r="AI55" s="26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3541</v>
      </c>
      <c r="AJ55" s="26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3475</v>
      </c>
      <c r="AK55" s="26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4030</v>
      </c>
      <c r="AL55" s="264">
        <f>SUM(AH55:AK55)</f>
        <v>14664</v>
      </c>
    </row>
    <row r="56">
      <c r="B56" s="46" t="n">
        <v>48</v>
      </c>
      <c r="C56" s="29" t="inlineStr">
        <is>
          <t>Financial Products - receita (USD)</t>
        </is>
      </c>
      <c r="D56" s="26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761</v>
      </c>
      <c r="E56" s="26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774</v>
      </c>
      <c r="F56" s="26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762</v>
      </c>
      <c r="G56" s="263" t="e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6" s="264" t="e">
        <f>SUM(D56:G56)</f>
        <v>#N/A</v>
      </c>
      <c r="I56" s="26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783</v>
      </c>
      <c r="J56" s="26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798</v>
      </c>
      <c r="K56" s="26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819</v>
      </c>
      <c r="L56" s="26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853</v>
      </c>
      <c r="M56" s="264">
        <f>SUM(I56:L56)</f>
        <v>3253</v>
      </c>
      <c r="N56" s="26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902</v>
      </c>
      <c r="O56" s="26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923</v>
      </c>
      <c r="P56" s="26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979</v>
      </c>
      <c r="Q56" s="26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981</v>
      </c>
      <c r="R56" s="264">
        <f>SUM(N56:Q56)</f>
        <v>3785</v>
      </c>
      <c r="S56" s="26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991</v>
      </c>
      <c r="T56" s="26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1004</v>
      </c>
      <c r="U56" s="26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1034</v>
      </c>
      <c r="V56" s="26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1024</v>
      </c>
      <c r="W56" s="264">
        <f>SUM(S56:V56)</f>
        <v>4053</v>
      </c>
      <c r="X56" s="26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1007</v>
      </c>
      <c r="Y56" s="26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1042</v>
      </c>
      <c r="Z56" s="26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1076</v>
      </c>
      <c r="AA56" s="26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1095</v>
      </c>
      <c r="AB56" s="264">
        <f>SUM(X56:AA56)</f>
        <v>4220</v>
      </c>
      <c r="AC56" s="26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1096</v>
      </c>
      <c r="AD56" s="26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1145</v>
      </c>
      <c r="AE56" s="26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26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814</v>
      </c>
      <c r="AI56" s="26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763</v>
      </c>
      <c r="AJ56" s="26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724</v>
      </c>
      <c r="AK56" s="26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743</v>
      </c>
      <c r="AL56" s="264">
        <f>SUM(AH56:AK56)</f>
        <v>3044</v>
      </c>
    </row>
    <row r="57">
      <c r="B57" s="46" t="n">
        <v>49</v>
      </c>
      <c r="C57" s="29" t="inlineStr">
        <is>
          <t>Receita América do Norte (USD)</t>
        </is>
      </c>
      <c r="D57" s="26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4991</v>
      </c>
      <c r="E57" s="26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5719</v>
      </c>
      <c r="F57" s="26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5455</v>
      </c>
      <c r="G57" s="263" t="e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7" s="264" t="e">
        <f>SUM(D57:G57)</f>
        <v>#N/A</v>
      </c>
      <c r="I57" s="26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6137</v>
      </c>
      <c r="J57" s="26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6771</v>
      </c>
      <c r="K57" s="26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7135</v>
      </c>
      <c r="L57" s="26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7938</v>
      </c>
      <c r="M57" s="264">
        <f>SUM(I57:L57)</f>
        <v>27981</v>
      </c>
      <c r="N57" s="26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7950</v>
      </c>
      <c r="O57" s="26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8922</v>
      </c>
      <c r="P57" s="26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8927</v>
      </c>
      <c r="Q57" s="26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8807</v>
      </c>
      <c r="R57" s="264">
        <f>SUM(N57:Q57)</f>
        <v>34606</v>
      </c>
      <c r="S57" s="26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8573</v>
      </c>
      <c r="T57" s="26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9043</v>
      </c>
      <c r="U57" s="26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8545</v>
      </c>
      <c r="V57" s="26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8236</v>
      </c>
      <c r="W57" s="264">
        <f>SUM(S57:V57)</f>
        <v>34397</v>
      </c>
      <c r="X57" s="26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7738</v>
      </c>
      <c r="Y57" s="26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8851</v>
      </c>
      <c r="Z57" s="26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9681</v>
      </c>
      <c r="AA57" s="26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10339</v>
      </c>
      <c r="AB57" s="264">
        <f>SUM(X57:AA57)</f>
        <v>36609</v>
      </c>
      <c r="AC57" s="26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10230</v>
      </c>
      <c r="AD57" s="26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12094</v>
      </c>
      <c r="AE57" s="26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26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4980</v>
      </c>
      <c r="AI57" s="26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4386</v>
      </c>
      <c r="AJ57" s="26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4251</v>
      </c>
      <c r="AK57" s="26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4597</v>
      </c>
      <c r="AL57" s="264">
        <f>SUM(AH57:AK57)</f>
        <v>18214</v>
      </c>
    </row>
    <row r="58">
      <c r="B58" s="46" t="n">
        <v>50</v>
      </c>
      <c r="C58" s="29" t="inlineStr">
        <is>
          <t>Receita América Latina (USD)</t>
        </is>
      </c>
      <c r="D58" s="26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1104</v>
      </c>
      <c r="E58" s="26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1221</v>
      </c>
      <c r="F58" s="26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1329</v>
      </c>
      <c r="G58" s="263" t="e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8" s="264" t="e">
        <f>SUM(D58:G58)</f>
        <v>#N/A</v>
      </c>
      <c r="I58" s="26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1393</v>
      </c>
      <c r="J58" s="26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1547</v>
      </c>
      <c r="K58" s="26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1809</v>
      </c>
      <c r="L58" s="26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1989</v>
      </c>
      <c r="M58" s="264">
        <f>SUM(I58:L58)</f>
        <v>6738</v>
      </c>
      <c r="N58" s="26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1539</v>
      </c>
      <c r="O58" s="26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1642</v>
      </c>
      <c r="P58" s="26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1603</v>
      </c>
      <c r="Q58" s="26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1881</v>
      </c>
      <c r="R58" s="264">
        <f>SUM(N58:Q58)</f>
        <v>6665</v>
      </c>
      <c r="S58" s="26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1559</v>
      </c>
      <c r="T58" s="26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1719</v>
      </c>
      <c r="U58" s="26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1678</v>
      </c>
      <c r="V58" s="26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1752</v>
      </c>
      <c r="W58" s="264">
        <f>SUM(S58:V58)</f>
        <v>6708</v>
      </c>
      <c r="X58" s="26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1515</v>
      </c>
      <c r="Y58" s="26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1656</v>
      </c>
      <c r="Z58" s="26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1850</v>
      </c>
      <c r="AA58" s="26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1967</v>
      </c>
      <c r="AB58" s="264">
        <f>SUM(X58:AA58)</f>
        <v>6988</v>
      </c>
      <c r="AC58" s="26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1592</v>
      </c>
      <c r="AD58" s="26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1821</v>
      </c>
      <c r="AE58" s="26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26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892</v>
      </c>
      <c r="AI58" s="26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730</v>
      </c>
      <c r="AJ58" s="26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772</v>
      </c>
      <c r="AK58" s="26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1038</v>
      </c>
      <c r="AL58" s="264">
        <f>SUM(AH58:AK58)</f>
        <v>3432</v>
      </c>
    </row>
    <row r="59">
      <c r="B59" s="46" t="n">
        <v>51</v>
      </c>
      <c r="C59" s="29" t="inlineStr">
        <is>
          <t>Receita EAME (USD)</t>
        </is>
      </c>
      <c r="D59" s="26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2743</v>
      </c>
      <c r="E59" s="26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3102</v>
      </c>
      <c r="F59" s="26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2939</v>
      </c>
      <c r="G59" s="263" t="e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9" s="264" t="e">
        <f>SUM(D59:G59)</f>
        <v>#N/A</v>
      </c>
      <c r="I59" s="26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3145</v>
      </c>
      <c r="J59" s="26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2998</v>
      </c>
      <c r="K59" s="26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3145</v>
      </c>
      <c r="L59" s="26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3526</v>
      </c>
      <c r="M59" s="264">
        <f>SUM(I59:L59)</f>
        <v>12814</v>
      </c>
      <c r="N59" s="26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3418</v>
      </c>
      <c r="O59" s="26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3533</v>
      </c>
      <c r="P59" s="26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3402</v>
      </c>
      <c r="Q59" s="26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3320</v>
      </c>
      <c r="R59" s="264">
        <f>SUM(N59:Q59)</f>
        <v>13673</v>
      </c>
      <c r="S59" s="26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2852</v>
      </c>
      <c r="T59" s="26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2997</v>
      </c>
      <c r="U59" s="26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3199</v>
      </c>
      <c r="V59" s="26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3268</v>
      </c>
      <c r="W59" s="264">
        <f>SUM(S59:V59)</f>
        <v>12316</v>
      </c>
      <c r="X59" s="26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2506</v>
      </c>
      <c r="Y59" s="26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3180</v>
      </c>
      <c r="Z59" s="26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3231</v>
      </c>
      <c r="AA59" s="26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3876</v>
      </c>
      <c r="AB59" s="264">
        <f>SUM(X59:AA59)</f>
        <v>12793</v>
      </c>
      <c r="AC59" s="26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3008</v>
      </c>
      <c r="AD59" s="26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3625</v>
      </c>
      <c r="AE59" s="26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26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2437</v>
      </c>
      <c r="AI59" s="26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2333</v>
      </c>
      <c r="AJ59" s="26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2384</v>
      </c>
      <c r="AK59" s="26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2704</v>
      </c>
      <c r="AL59" s="264">
        <f>SUM(AH59:AK59)</f>
        <v>9858</v>
      </c>
    </row>
    <row r="60">
      <c r="B60" s="46" t="n">
        <v>52</v>
      </c>
      <c r="C60" s="29" t="inlineStr">
        <is>
          <t>Receita Ásia-Pacífico (USD)</t>
        </is>
      </c>
      <c r="D60" s="26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3049</v>
      </c>
      <c r="E60" s="26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2847</v>
      </c>
      <c r="F60" s="26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2674</v>
      </c>
      <c r="G60" s="263" t="e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60" s="264" t="e">
        <f>SUM(D60:G60)</f>
        <v>#N/A</v>
      </c>
      <c r="I60" s="26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2914</v>
      </c>
      <c r="J60" s="26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2931</v>
      </c>
      <c r="K60" s="26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2905</v>
      </c>
      <c r="L60" s="26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3144</v>
      </c>
      <c r="M60" s="264">
        <f>SUM(I60:L60)</f>
        <v>11894</v>
      </c>
      <c r="N60" s="26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2955</v>
      </c>
      <c r="O60" s="26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3221</v>
      </c>
      <c r="P60" s="26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2878</v>
      </c>
      <c r="Q60" s="26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3062</v>
      </c>
      <c r="R60" s="264">
        <f>SUM(N60:Q60)</f>
        <v>12116</v>
      </c>
      <c r="S60" s="26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2815</v>
      </c>
      <c r="T60" s="26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2930</v>
      </c>
      <c r="U60" s="26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2684</v>
      </c>
      <c r="V60" s="26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2959</v>
      </c>
      <c r="W60" s="264">
        <f>SUM(S60:V60)</f>
        <v>11388</v>
      </c>
      <c r="X60" s="26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2490</v>
      </c>
      <c r="Y60" s="26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2882</v>
      </c>
      <c r="Z60" s="263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2876</v>
      </c>
      <c r="AA60" s="263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2951</v>
      </c>
      <c r="AB60" s="264">
        <f>SUM(X60:AA60)</f>
        <v>11199</v>
      </c>
      <c r="AC60" s="263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2585</v>
      </c>
      <c r="AD60" s="263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3003</v>
      </c>
      <c r="AE60" s="26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26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2326</v>
      </c>
      <c r="AI60" s="26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2548</v>
      </c>
      <c r="AJ60" s="26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2474</v>
      </c>
      <c r="AK60" s="26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2896</v>
      </c>
      <c r="AL60" s="264">
        <f>SUM(AH60:AK60)</f>
        <v>10244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75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ABS(D180-D256)</f>
        <v>0</v>
      </c>
      <c r="E2" s="3">
        <f>ABS(E180-E256)</f>
        <v>0</v>
      </c>
      <c r="F2" s="3">
        <f>ABS(F180-F256)</f>
        <v>0</v>
      </c>
      <c r="G2" s="3">
        <f>ABS(G180-G256)</f>
        <v>0</v>
      </c>
      <c r="H2" s="3">
        <f>ABS(H180-H256)</f>
        <v>0</v>
      </c>
      <c r="I2" s="3">
        <f>ABS(I180-I256)</f>
        <v>0</v>
      </c>
      <c r="J2" s="3">
        <f>ABS(J180-J256)</f>
        <v>0</v>
      </c>
      <c r="K2" s="3">
        <f>ABS(K180-K256)</f>
        <v>0</v>
      </c>
      <c r="L2" s="3">
        <f>ABS(L180-L256)</f>
        <v>0</v>
      </c>
      <c r="M2" s="3">
        <f>ABS(M180-M256)</f>
        <v>0</v>
      </c>
      <c r="N2" s="3">
        <f>ABS(N180-N256)</f>
        <v>0</v>
      </c>
      <c r="O2" s="3">
        <f>ABS(O180-O256)</f>
        <v>0</v>
      </c>
      <c r="P2" s="3">
        <f>ABS(P180-P256)</f>
        <v>0</v>
      </c>
      <c r="Q2" s="3">
        <f>ABS(Q180-Q256)</f>
        <v>0</v>
      </c>
      <c r="R2" s="3">
        <f>ABS(R180-R256)</f>
        <v>0</v>
      </c>
      <c r="S2" s="3">
        <f>ABS(S180-S256)</f>
        <v>0</v>
      </c>
      <c r="T2" s="3">
        <f>ABS(T180-T256)</f>
        <v>0</v>
      </c>
      <c r="U2" s="3">
        <f>ABS(U180-U256)</f>
        <v>0</v>
      </c>
      <c r="V2" s="3">
        <f>ABS(V180-V256)</f>
        <v>0</v>
      </c>
      <c r="W2" s="3">
        <f>ABS(W180-W256)</f>
        <v>0</v>
      </c>
      <c r="X2" s="3">
        <f>ABS(X180-X256)</f>
        <v>0</v>
      </c>
      <c r="Y2" s="3">
        <f>ABS(Y180-Y256)</f>
        <v>0</v>
      </c>
      <c r="Z2" s="3">
        <f>ABS(Z180-Z256)</f>
        <v>0</v>
      </c>
      <c r="AA2" s="3">
        <f>ABS(AA180-AA256)</f>
        <v>0</v>
      </c>
      <c r="AB2" s="3">
        <f>ABS(AB180-AB256)</f>
        <v>0</v>
      </c>
      <c r="AC2" s="3">
        <f>ABS(AC180-AC256)</f>
        <v>0</v>
      </c>
      <c r="AD2" s="3">
        <f>ABS(AD180-AD256)</f>
        <v>0</v>
      </c>
      <c r="AE2" s="3">
        <f>ABS(AE180-AE256)</f>
        <v>0</v>
      </c>
      <c r="AF2" s="3">
        <f>ABS(AF180-AF256)</f>
        <v>0</v>
      </c>
      <c r="AG2" s="3">
        <f>ABS(AG180-AG256)</f>
        <v>0</v>
      </c>
      <c r="AH2" s="3">
        <f>ABS(AH180-AH256)</f>
        <v>0</v>
      </c>
      <c r="AI2" s="3">
        <f>ABS(AI180-AI256)</f>
        <v>0</v>
      </c>
      <c r="AJ2" s="3">
        <f>ABS(AJ180-AJ256)</f>
        <v>0</v>
      </c>
      <c r="AK2" s="3">
        <f>ABS(AK180-AK256)</f>
        <v>0</v>
      </c>
      <c r="AL2" s="3">
        <f>ABS(AL180-AL256)</f>
        <v>0</v>
      </c>
      <c r="AM2" s="3" t="e">
        <f>ABS(AM180-AM256)</f>
        <v>#DIV/0!</v>
      </c>
      <c r="AN2" s="3" t="e">
        <f>ABS(AN180-AN256)</f>
        <v>#DIV/0!</v>
      </c>
      <c r="AO2" s="3" t="e">
        <f>ABS(AO180-AO256)</f>
        <v>#DIV/0!</v>
      </c>
      <c r="AP2" s="3" t="e">
        <f>ABS(AP180-AP256)</f>
        <v>#DIV/0!</v>
      </c>
      <c r="AQ2" s="3" t="e">
        <f>ABS(AQ180-AQ256)</f>
        <v>#DIV/0!</v>
      </c>
      <c r="AR2" s="3" t="e">
        <f>ABS(AR180-AR256)</f>
        <v>#DIV/0!</v>
      </c>
      <c r="AS2" s="3" t="e">
        <f>ABS(AS180-AS256)</f>
        <v>#DIV/0!</v>
      </c>
      <c r="AT2" s="3" t="e">
        <f>ABS(AT180-AT256)</f>
        <v>#DIV/0!</v>
      </c>
      <c r="AU2" s="3" t="e">
        <f>ABS(AU180-AU256)</f>
        <v>#DIV/0!</v>
      </c>
      <c r="AV2" s="3" t="e">
        <f>ABS(AV180-AV256)</f>
        <v>#DIV/0!</v>
      </c>
      <c r="AW2" s="3" t="e">
        <f>ABS(AW180-AW256)</f>
        <v>#DIV/0!</v>
      </c>
      <c r="AX2" s="3" t="e">
        <f>ABS(AX180-AX256)</f>
        <v>#DIV/0!</v>
      </c>
      <c r="AY2" s="3" t="e">
        <f>ABS(AY180-AY256)</f>
        <v>#DIV/0!</v>
      </c>
      <c r="AZ2" s="3" t="e">
        <f>ABS(AZ180-AZ256)</f>
        <v>#DIV/0!</v>
      </c>
      <c r="BA2" s="3" t="e">
        <f>ABS(BA180-BA256)</f>
        <v>#DIV/0!</v>
      </c>
      <c r="BB2" s="3" t="e">
        <f>ABS(BB180-BB256)</f>
        <v>#DIV/0!</v>
      </c>
      <c r="BC2" s="3" t="e">
        <f>ABS(BC180-BC256)</f>
        <v>#DIV/0!</v>
      </c>
      <c r="BD2" s="3" t="e">
        <f>ABS(BD180-BD256)</f>
        <v>#DIV/0!</v>
      </c>
      <c r="BE2" s="3" t="e">
        <f>ABS(BE180-BE256)</f>
        <v>#DIV/0!</v>
      </c>
      <c r="BF2" s="3" t="e">
        <f>ABS(BF180-BF256)</f>
        <v>#DIV/0!</v>
      </c>
      <c r="BG2" s="3" t="e">
        <f>ABS(BG180-BG256)</f>
        <v>#DIV/0!</v>
      </c>
      <c r="BH2" s="3" t="e">
        <f>ABS(BH180-BH256)</f>
        <v>#DIV/0!</v>
      </c>
      <c r="BI2" s="3" t="e">
        <f>ABS(BI180-BI256)</f>
        <v>#DIV/0!</v>
      </c>
      <c r="BJ2" s="3" t="e">
        <f>ABS(BJ180-BJ256)</f>
        <v>#DIV/0!</v>
      </c>
      <c r="BK2" s="3" t="e">
        <f>ABS(BK180-BK256)</f>
        <v>#DIV/0!</v>
      </c>
      <c r="BL2" s="3" t="e">
        <f>ABS(BL180-BL256)</f>
        <v>#DIV/0!</v>
      </c>
      <c r="BM2" s="3" t="e">
        <f>ABS(BM180-BM256)</f>
        <v>#DIV/0!</v>
      </c>
      <c r="BN2" s="3" t="e">
        <f>ABS(BN180-BN256)</f>
        <v>#DIV/0!</v>
      </c>
      <c r="BO2" s="3" t="e">
        <f>ABS(BO180-BO256)</f>
        <v>#DIV/0!</v>
      </c>
      <c r="BP2" s="3" t="e">
        <f>ABS(BP180-BP256)</f>
        <v>#DIV/0!</v>
      </c>
      <c r="BQ2" s="3" t="e">
        <f>ABS(BQ180-BQ256)</f>
        <v>#DIV/0!</v>
      </c>
      <c r="BR2" s="3" t="e">
        <f>ABS(BR180-BR256)</f>
        <v>#DIV/0!</v>
      </c>
      <c r="BS2" s="3" t="e">
        <f>ABS(BS180-BS256)</f>
        <v>#DIV/0!</v>
      </c>
      <c r="BT2" s="3" t="e">
        <f>ABS(BT180-BT256)</f>
        <v>#DIV/0!</v>
      </c>
      <c r="BU2" s="3" t="e">
        <f>ABS(BU180-BU256)</f>
        <v>#DIV/0!</v>
      </c>
      <c r="BV2" s="3" t="e">
        <f>ABS(BV180-BV256)</f>
        <v>#DIV/0!</v>
      </c>
      <c r="BW2" s="3" t="e">
        <f>ABS(BW180-BW256)</f>
        <v>#DIV/0!</v>
      </c>
      <c r="BX2" s="3" t="e">
        <f>ABS(BX180-BX256)</f>
        <v>#DIV/0!</v>
      </c>
      <c r="BY2" s="3" t="e">
        <f>ABS(BY180-BY256)</f>
        <v>#DIV/0!</v>
      </c>
      <c r="BZ2" s="3" t="e">
        <f>ABS(BZ180-BZ256)</f>
        <v>#DIV/0!</v>
      </c>
      <c r="CA2" s="3" t="e">
        <f>ABS(CA180-CA256)</f>
        <v>#DIV/0!</v>
      </c>
      <c r="CB2" s="3" t="e">
        <f>ABS(CB180-CB256)</f>
        <v>#DIV/0!</v>
      </c>
      <c r="CC2" s="3" t="e">
        <f>ABS(CC180-CC256)</f>
        <v>#DIV/0!</v>
      </c>
      <c r="CD2" s="3" t="e">
        <f>ABS(CD180-CD256)</f>
        <v>#DIV/0!</v>
      </c>
      <c r="CE2" s="3" t="e">
        <f>ABS(CE180-CE256)</f>
        <v>#DIV/0!</v>
      </c>
      <c r="CF2" s="3" t="e">
        <f>ABS(CF180-CF256)</f>
        <v>#DIV/0!</v>
      </c>
      <c r="CG2" s="3" t="e">
        <f>ABS(CG180-CG256)</f>
        <v>#DIV/0!</v>
      </c>
      <c r="CH2" s="3" t="e">
        <f>ABS(CH180-CH256)</f>
        <v>#DIV/0!</v>
      </c>
      <c r="CI2" s="3" t="e">
        <f>ABS(CI180-CI256)</f>
        <v>#DIV/0!</v>
      </c>
      <c r="CJ2" s="3" t="e">
        <f>ABS(CJ180-CJ256)</f>
        <v>#DIV/0!</v>
      </c>
      <c r="CK2" s="3" t="e">
        <f>ABS(CK180-CK256)</f>
        <v>#DIV/0!</v>
      </c>
      <c r="CL2" s="3" t="e">
        <f>ABS(CL180-CL256)</f>
        <v>#DIV/0!</v>
      </c>
      <c r="CM2" s="3" t="e">
        <f>ABS(CM180-CM256)</f>
        <v>#DIV/0!</v>
      </c>
      <c r="CN2" s="3" t="e">
        <f>ABS(CN180-CN256)</f>
        <v>#DIV/0!</v>
      </c>
      <c r="CO2" s="3" t="e">
        <f>ABS(CO180-CO256)</f>
        <v>#DIV/0!</v>
      </c>
      <c r="CP2" s="3" t="e">
        <f>ABS(CP180-CP256)</f>
        <v>#DIV/0!</v>
      </c>
      <c r="CQ2" s="3" t="e">
        <f>ABS(CQ180-CQ256)</f>
        <v>#DIV/0!</v>
      </c>
      <c r="CR2" s="3" t="e">
        <f>ABS(CR180-CR256)</f>
        <v>#DIV/0!</v>
      </c>
      <c r="CS2" s="3" t="e">
        <f>ABS(CS180-CS256)</f>
        <v>#DIV/0!</v>
      </c>
      <c r="CT2" s="3" t="e">
        <f>ABS(CT180-CT256)</f>
        <v>#DIV/0!</v>
      </c>
      <c r="CU2" s="3" t="e">
        <f>ABS(CU180-CU256)</f>
        <v>#DIV/0!</v>
      </c>
      <c r="CV2" s="3" t="e">
        <f>ABS(CV180-CV256)</f>
        <v>#DIV/0!</v>
      </c>
      <c r="CW2" s="3" t="e">
        <f>ABS(CW180-CW256)</f>
        <v>#DIV/0!</v>
      </c>
      <c r="CX2" s="3" t="e">
        <f>ABS(CX180-CX256)</f>
        <v>#DIV/0!</v>
      </c>
      <c r="CY2" s="3" t="e">
        <f>ABS(CY180-CY256)</f>
        <v>#DIV/0!</v>
      </c>
    </row>
    <row r="3" outlineLevel="1">
      <c r="C3" s="5" t="inlineStr">
        <is>
          <t>IS</t>
        </is>
      </c>
      <c r="D3" s="3">
        <f>IF(COUNT(D4)=0,"",ABS(D120-D4))</f>
        <v>0</v>
      </c>
      <c r="E3" s="3">
        <f>IF(COUNT(E4)=0,"",ABS(E120-E4))</f>
        <v>0</v>
      </c>
      <c r="F3" s="3">
        <f>IF(COUNT(F4)=0,"",ABS(F120-F4))</f>
        <v>0</v>
      </c>
      <c r="G3" s="3">
        <f>IF(COUNT(G4)=0,"",ABS(G120-G4))</f>
        <v>0</v>
      </c>
      <c r="H3" s="3">
        <f>IF(COUNT(H4)=0,"",ABS(H120-H4))</f>
        <v>0</v>
      </c>
      <c r="I3" s="3">
        <f>IF(COUNT(I4)=0,"",ABS(I120-I4))</f>
        <v>0</v>
      </c>
      <c r="J3" s="3">
        <f>IF(COUNT(J4)=0,"",ABS(J120-J4))</f>
        <v>0</v>
      </c>
      <c r="K3" s="3">
        <f>IF(COUNT(K4)=0,"",ABS(K120-K4))</f>
        <v>0</v>
      </c>
      <c r="L3" s="3">
        <f>IF(COUNT(L4)=0,"",ABS(L120-L4))</f>
        <v>0</v>
      </c>
      <c r="M3" s="3">
        <f>IF(COUNT(M4)=0,"",ABS(M120-M4))</f>
        <v>0</v>
      </c>
      <c r="N3" s="3">
        <f>IF(COUNT(N4)=0,"",ABS(N120-N4))</f>
        <v>0</v>
      </c>
      <c r="O3" s="3">
        <f>IF(COUNT(O4)=0,"",ABS(O120-O4))</f>
        <v>0</v>
      </c>
      <c r="P3" s="3">
        <f>IF(COUNT(P4)=0,"",ABS(P120-P4))</f>
        <v>0</v>
      </c>
      <c r="Q3" s="3">
        <f>IF(COUNT(Q4)=0,"",ABS(Q120-Q4))</f>
        <v>0</v>
      </c>
      <c r="R3" s="3">
        <f>IF(COUNT(R4)=0,"",ABS(R120-R4))</f>
        <v>0</v>
      </c>
      <c r="S3" s="3">
        <f>IF(COUNT(S4)=0,"",ABS(S120-S4))</f>
        <v>0</v>
      </c>
      <c r="T3" s="3">
        <f>IF(COUNT(T4)=0,"",ABS(T120-T4))</f>
        <v>0</v>
      </c>
      <c r="U3" s="3">
        <f>IF(COUNT(U4)=0,"",ABS(U120-U4))</f>
        <v>0</v>
      </c>
      <c r="V3" s="3">
        <f>IF(COUNT(V4)=0,"",ABS(V120-V4))</f>
        <v>0</v>
      </c>
      <c r="W3" s="3">
        <f>IF(COUNT(W4)=0,"",ABS(W120-W4))</f>
        <v>0</v>
      </c>
      <c r="X3" s="3">
        <f>IF(COUNT(X4)=0,"",ABS(X120-X4))</f>
        <v>0</v>
      </c>
      <c r="Y3" s="3">
        <f>IF(COUNT(Y4)=0,"",ABS(Y120-Y4))</f>
        <v>0</v>
      </c>
      <c r="Z3" s="3">
        <f>IF(COUNT(Z4)=0,"",ABS(Z120-Z4))</f>
        <v>0</v>
      </c>
      <c r="AA3" s="3">
        <f>IF(COUNT(AA4)=0,"",ABS(AA120-AA4))</f>
        <v>0</v>
      </c>
      <c r="AB3" s="3">
        <f>IF(COUNT(AB4)=0,"",ABS(AB120-AB4))</f>
        <v>0</v>
      </c>
      <c r="AC3" s="3">
        <f>IF(COUNT(AC4)=0,"",ABS(AC120-AC4))</f>
        <v>0</v>
      </c>
      <c r="AD3" s="3">
        <f>IF(COUNT(AD4)=0,"",ABS(AD120-AD4))</f>
        <v>0</v>
      </c>
      <c r="AE3" s="3">
        <f>IF(COUNT(AE4)=0,"",ABS(AE120-AE4))</f>
        <v>0</v>
      </c>
      <c r="AF3" s="3">
        <f>IF(COUNT(AF4)=0,"",ABS(AF120-AF4))</f>
        <v>0</v>
      </c>
      <c r="AG3" s="3">
        <f>IF(COUNT(AG4)=0,"",ABS(AG120-AG4))</f>
        <v>0</v>
      </c>
      <c r="AH3" s="3">
        <f>IF(COUNT(AH4)=0,"",ABS(AH120-AH4))</f>
        <v>0</v>
      </c>
      <c r="AI3" s="3">
        <f>IF(COUNT(AI4)=0,"",ABS(AI120-AI4))</f>
        <v>0</v>
      </c>
      <c r="AJ3" s="3" t="str">
        <f>IF(COUNT(AJ4)=0,"",ABS(AJ120-AJ4))</f>
        <v/>
      </c>
      <c r="AK3" s="3" t="str">
        <f>IF(COUNT(AK4)=0,"",ABS(AK120-AK4))</f>
        <v/>
      </c>
      <c r="AL3" s="3" t="str">
        <f>IF(COUNT(AL4)=0,"",ABS(AL120-AL4))</f>
        <v/>
      </c>
      <c r="AM3" s="3" t="str">
        <f>IF(COUNT(AM4)=0,"",ABS(AM120-AM4))</f>
        <v/>
      </c>
      <c r="AN3" s="3" t="str">
        <f>IF(COUNT(AN4)=0,"",ABS(AN120-AN4))</f>
        <v/>
      </c>
      <c r="AO3" s="3" t="str">
        <f>IF(COUNT(AO4)=0,"",ABS(AO120-AO4))</f>
        <v/>
      </c>
      <c r="AP3" s="3" t="str">
        <f>IF(COUNT(AP4)=0,"",ABS(AP120-AP4))</f>
        <v/>
      </c>
      <c r="AQ3" s="3" t="str">
        <f>IF(COUNT(AQ4)=0,"",ABS(AQ120-AQ4))</f>
        <v/>
      </c>
      <c r="AR3" s="3" t="str">
        <f>IF(COUNT(AR4)=0,"",ABS(AR120-AR4))</f>
        <v/>
      </c>
      <c r="AS3" s="3" t="str">
        <f>IF(COUNT(AS4)=0,"",ABS(AS120-AS4))</f>
        <v/>
      </c>
      <c r="AT3" s="3" t="str">
        <f>IF(COUNT(AT4)=0,"",ABS(AT120-AT4))</f>
        <v/>
      </c>
      <c r="AU3" s="3" t="str">
        <f>IF(COUNT(AU4)=0,"",ABS(AU120-AU4))</f>
        <v/>
      </c>
      <c r="AV3" s="3" t="str">
        <f>IF(COUNT(AV4)=0,"",ABS(AV120-AV4))</f>
        <v/>
      </c>
      <c r="AW3" s="3" t="str">
        <f>IF(COUNT(AW4)=0,"",ABS(AW120-AW4))</f>
        <v/>
      </c>
      <c r="AX3" s="3" t="str">
        <f>IF(COUNT(AX4)=0,"",ABS(AX120-AX4))</f>
        <v/>
      </c>
      <c r="AY3" s="3" t="str">
        <f>IF(COUNT(AY4)=0,"",ABS(AY120-AY4))</f>
        <v/>
      </c>
      <c r="AZ3" s="3" t="str">
        <f>IF(COUNT(AZ4)=0,"",ABS(AZ120-AZ4))</f>
        <v/>
      </c>
      <c r="BA3" s="3" t="str">
        <f>IF(COUNT(BA4)=0,"",ABS(BA120-BA4))</f>
        <v/>
      </c>
      <c r="BB3" s="3" t="str">
        <f>IF(COUNT(BB4)=0,"",ABS(BB120-BB4))</f>
        <v/>
      </c>
      <c r="BC3" s="3" t="str">
        <f>IF(COUNT(BC4)=0,"",ABS(BC120-BC4))</f>
        <v/>
      </c>
      <c r="BD3" s="3" t="str">
        <f>IF(COUNT(BD4)=0,"",ABS(BD120-BD4))</f>
        <v/>
      </c>
      <c r="BE3" s="3" t="str">
        <f>IF(COUNT(BE4)=0,"",ABS(BE120-BE4))</f>
        <v/>
      </c>
      <c r="BF3" s="3" t="str">
        <f>IF(COUNT(BF4)=0,"",ABS(BF120-BF4))</f>
        <v/>
      </c>
      <c r="BG3" s="3" t="str">
        <f>IF(COUNT(BG4)=0,"",ABS(BG120-BG4))</f>
        <v/>
      </c>
      <c r="BH3" s="3" t="str">
        <f>IF(COUNT(BH4)=0,"",ABS(BH120-BH4))</f>
        <v/>
      </c>
      <c r="BI3" s="3" t="str">
        <f>IF(COUNT(BI4)=0,"",ABS(BI120-BI4))</f>
        <v/>
      </c>
      <c r="BJ3" s="3" t="str">
        <f>IF(COUNT(BJ4)=0,"",ABS(BJ120-BJ4))</f>
        <v/>
      </c>
      <c r="BK3" s="3" t="str">
        <f>IF(COUNT(BK4)=0,"",ABS(BK120-BK4))</f>
        <v/>
      </c>
      <c r="BL3" s="3" t="str">
        <f>IF(COUNT(BL4)=0,"",ABS(BL120-BL4))</f>
        <v/>
      </c>
      <c r="BM3" s="3" t="str">
        <f>IF(COUNT(BM4)=0,"",ABS(BM120-BM4))</f>
        <v/>
      </c>
      <c r="BN3" s="3" t="str">
        <f>IF(COUNT(BN4)=0,"",ABS(BN120-BN4))</f>
        <v/>
      </c>
      <c r="BO3" s="3" t="str">
        <f>IF(COUNT(BO4)=0,"",ABS(BO120-BO4))</f>
        <v/>
      </c>
      <c r="BP3" s="3" t="str">
        <f>IF(COUNT(BP4)=0,"",ABS(BP120-BP4))</f>
        <v/>
      </c>
      <c r="BQ3" s="3" t="str">
        <f>IF(COUNT(BQ4)=0,"",ABS(BQ120-BQ4))</f>
        <v/>
      </c>
      <c r="BR3" s="3" t="str">
        <f>IF(COUNT(BR4)=0,"",ABS(BR120-BR4))</f>
        <v/>
      </c>
      <c r="BS3" s="3" t="str">
        <f>IF(COUNT(BS4)=0,"",ABS(BS120-BS4))</f>
        <v/>
      </c>
      <c r="BT3" s="3" t="str">
        <f>IF(COUNT(BT4)=0,"",ABS(BT120-BT4))</f>
        <v/>
      </c>
      <c r="BU3" s="3" t="str">
        <f>IF(COUNT(BU4)=0,"",ABS(BU120-BU4))</f>
        <v/>
      </c>
      <c r="BV3" s="3" t="str">
        <f>IF(COUNT(BV4)=0,"",ABS(BV120-BV4))</f>
        <v/>
      </c>
      <c r="BW3" s="3" t="str">
        <f>IF(COUNT(BW4)=0,"",ABS(BW120-BW4))</f>
        <v/>
      </c>
      <c r="BX3" s="3" t="str">
        <f>IF(COUNT(BX4)=0,"",ABS(BX120-BX4))</f>
        <v/>
      </c>
      <c r="BY3" s="3" t="str">
        <f>IF(COUNT(BY4)=0,"",ABS(BY120-BY4))</f>
        <v/>
      </c>
      <c r="BZ3" s="3" t="str">
        <f>IF(COUNT(BZ4)=0,"",ABS(BZ120-BZ4))</f>
        <v/>
      </c>
      <c r="CA3" s="3" t="str">
        <f>IF(COUNT(CA4)=0,"",ABS(CA120-CA4))</f>
        <v/>
      </c>
      <c r="CB3" s="3" t="str">
        <f>IF(COUNT(CB4)=0,"",ABS(CB120-CB4))</f>
        <v/>
      </c>
      <c r="CC3" s="3" t="str">
        <f>IF(COUNT(CC4)=0,"",ABS(CC120-CC4))</f>
        <v/>
      </c>
      <c r="CD3" s="3" t="str">
        <f>IF(COUNT(CD4)=0,"",ABS(CD120-CD4))</f>
        <v/>
      </c>
      <c r="CE3" s="3" t="str">
        <f>IF(COUNT(CE4)=0,"",ABS(CE120-CE4))</f>
        <v/>
      </c>
      <c r="CF3" s="3" t="str">
        <f>IF(COUNT(CF4)=0,"",ABS(CF120-CF4))</f>
        <v/>
      </c>
      <c r="CG3" s="3" t="str">
        <f>IF(COUNT(CG4)=0,"",ABS(CG120-CG4))</f>
        <v/>
      </c>
      <c r="CH3" s="3" t="str">
        <f>IF(COUNT(CH4)=0,"",ABS(CH120-CH4))</f>
        <v/>
      </c>
      <c r="CI3" s="3" t="str">
        <f>IF(COUNT(CI4)=0,"",ABS(CI120-CI4))</f>
        <v/>
      </c>
      <c r="CJ3" s="3" t="str">
        <f>IF(COUNT(CJ4)=0,"",ABS(CJ120-CJ4))</f>
        <v/>
      </c>
      <c r="CK3" s="3" t="str">
        <f>IF(COUNT(CK4)=0,"",ABS(CK120-CK4))</f>
        <v/>
      </c>
      <c r="CL3" s="3" t="str">
        <f>IF(COUNT(CL4)=0,"",ABS(CL120-CL4))</f>
        <v/>
      </c>
      <c r="CM3" s="3" t="str">
        <f>IF(COUNT(CM4)=0,"",ABS(CM120-CM4))</f>
        <v/>
      </c>
      <c r="CN3" s="3" t="str">
        <f>IF(COUNT(CN4)=0,"",ABS(CN120-CN4))</f>
        <v/>
      </c>
      <c r="CO3" s="3" t="str">
        <f>IF(COUNT(CO4)=0,"",ABS(CO120-CO4))</f>
        <v/>
      </c>
      <c r="CP3" s="3" t="str">
        <f>IF(COUNT(CP4)=0,"",ABS(CP120-CP4))</f>
        <v/>
      </c>
      <c r="CQ3" s="3" t="str">
        <f>IF(COUNT(CQ4)=0,"",ABS(CQ120-CQ4))</f>
        <v/>
      </c>
      <c r="CR3" s="3" t="str">
        <f>IF(COUNT(CR4)=0,"",ABS(CR120-CR4))</f>
        <v/>
      </c>
      <c r="CS3" s="3" t="str">
        <f>IF(COUNT(CS4)=0,"",ABS(CS120-CS4))</f>
        <v/>
      </c>
      <c r="CT3" s="3" t="str">
        <f>IF(COUNT(CT4)=0,"",ABS(CT120-CT4))</f>
        <v/>
      </c>
      <c r="CU3" s="3" t="str">
        <f>IF(COUNT(CU4)=0,"",ABS(CU120-CU4))</f>
        <v/>
      </c>
      <c r="CV3" s="3" t="str">
        <f>IF(COUNT(CV4)=0,"",ABS(CV120-CV4))</f>
        <v/>
      </c>
      <c r="CW3" s="3" t="str">
        <f>IF(COUNT(CW4)=0,"",ABS(CW120-CW4))</f>
        <v/>
      </c>
      <c r="CX3" s="3" t="str">
        <f>IF(COUNT(CX4)=0,"",ABS(CX120-CX4))</f>
        <v/>
      </c>
      <c r="CY3" s="3" t="str">
        <f>IF(COUNT(CY4)=0,"",ABS(CY120-CY4))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1092</v>
      </c>
      <c r="E4" s="16">
        <f>INDEX('Inputs (2)'!$D$50:$AL$50,MATCH(E$7,'Inputs (2)'!$D$2:$AL$2,0))</f>
        <v>458</v>
      </c>
      <c r="F4" s="16">
        <f>INDEX('Inputs (2)'!$D$50:$AL$50,MATCH(F$7,'Inputs (2)'!$D$2:$AL$2,0))</f>
        <v>668</v>
      </c>
      <c r="G4" s="16">
        <f>INDEX('Inputs (2)'!$D$50:$AL$50,MATCH(G$7,'Inputs (2)'!$D$2:$AL$2,0))</f>
        <v>780</v>
      </c>
      <c r="H4" s="16">
        <f>IF(COUNT(D4:G4)=4,SUM(D4:G4),"")</f>
        <v>2998</v>
      </c>
      <c r="I4" s="16">
        <f>INDEX('Inputs (2)'!$D$50:$AL$50,MATCH(I$7,'Inputs (2)'!$D$2:$AL$2,0))</f>
        <v>1530</v>
      </c>
      <c r="J4" s="16">
        <f>INDEX('Inputs (2)'!$D$50:$AL$50,MATCH(J$7,'Inputs (2)'!$D$2:$AL$2,0))</f>
        <v>1413</v>
      </c>
      <c r="K4" s="16">
        <f>INDEX('Inputs (2)'!$D$50:$AL$50,MATCH(K$7,'Inputs (2)'!$D$2:$AL$2,0))</f>
        <v>1426</v>
      </c>
      <c r="L4" s="16">
        <f>INDEX('Inputs (2)'!$D$50:$AL$50,MATCH(L$7,'Inputs (2)'!$D$2:$AL$2,0))</f>
        <v>2120</v>
      </c>
      <c r="M4" s="16">
        <f>IF(COUNT(I4:L4)=4,SUM(I4:L4),"")</f>
        <v>6489</v>
      </c>
      <c r="N4" s="16">
        <f>INDEX('Inputs (2)'!$D$50:$AL$50,MATCH(N$7,'Inputs (2)'!$D$2:$AL$2,0))</f>
        <v>1537</v>
      </c>
      <c r="O4" s="16">
        <f>INDEX('Inputs (2)'!$D$50:$AL$50,MATCH(O$7,'Inputs (2)'!$D$2:$AL$2,0))</f>
        <v>1673</v>
      </c>
      <c r="P4" s="16">
        <f>INDEX('Inputs (2)'!$D$50:$AL$50,MATCH(P$7,'Inputs (2)'!$D$2:$AL$2,0))</f>
        <v>2041</v>
      </c>
      <c r="Q4" s="16">
        <f>INDEX('Inputs (2)'!$D$50:$AL$50,MATCH(Q$7,'Inputs (2)'!$D$2:$AL$2,0))</f>
        <v>1454</v>
      </c>
      <c r="R4" s="16">
        <f>IF(COUNT(N4:Q4)=4,SUM(N4:Q4),"")</f>
        <v>6705</v>
      </c>
      <c r="S4" s="16">
        <f>INDEX('Inputs (2)'!$D$50:$AL$50,MATCH(S$7,'Inputs (2)'!$D$2:$AL$2,0))</f>
        <v>1943</v>
      </c>
      <c r="T4" s="16">
        <f>INDEX('Inputs (2)'!$D$50:$AL$50,MATCH(T$7,'Inputs (2)'!$D$2:$AL$2,0))</f>
        <v>2922</v>
      </c>
      <c r="U4" s="16">
        <f>INDEX('Inputs (2)'!$D$50:$AL$50,MATCH(U$7,'Inputs (2)'!$D$2:$AL$2,0))</f>
        <v>2794</v>
      </c>
      <c r="V4" s="16">
        <f>INDEX('Inputs (2)'!$D$50:$AL$50,MATCH(V$7,'Inputs (2)'!$D$2:$AL$2,0))</f>
        <v>2676</v>
      </c>
      <c r="W4" s="16">
        <f>IF(COUNT(S4:V4)=4,SUM(S4:V4),"")</f>
        <v>10335</v>
      </c>
      <c r="X4" s="16">
        <f>INDEX('Inputs (2)'!$D$50:$AL$50,MATCH(X$7,'Inputs (2)'!$D$2:$AL$2,0))</f>
        <v>2856</v>
      </c>
      <c r="Y4" s="16">
        <f>INDEX('Inputs (2)'!$D$50:$AL$50,MATCH(Y$7,'Inputs (2)'!$D$2:$AL$2,0))</f>
        <v>2681</v>
      </c>
      <c r="Z4" s="16">
        <f>INDEX('Inputs (2)'!$D$50:$AL$50,MATCH(Z$7,'Inputs (2)'!$D$2:$AL$2,0))</f>
        <v>2464</v>
      </c>
      <c r="AA4" s="16">
        <f>INDEX('Inputs (2)'!$D$50:$AL$50,MATCH(AA$7,'Inputs (2)'!$D$2:$AL$2,0))</f>
        <v>2791</v>
      </c>
      <c r="AB4" s="16">
        <f>IF(COUNT(X4:AA4)=4,SUM(X4:AA4),"")</f>
        <v>10792</v>
      </c>
      <c r="AC4" s="16">
        <f>INDEX('Inputs (2)'!$D$50:$AL$50,MATCH(AC$7,'Inputs (2)'!$D$2:$AL$2,0))</f>
        <v>2003</v>
      </c>
      <c r="AD4" s="16">
        <f>INDEX('Inputs (2)'!$D$50:$AL$50,MATCH(AD$7,'Inputs (2)'!$D$2:$AL$2,0))</f>
        <v>2179</v>
      </c>
      <c r="AE4" s="16">
        <f>INDEX('Inputs (2)'!$D$50:$AL$50,MATCH(AE$7,'Inputs (2)'!$D$2:$AL$2,0))</f>
        <v>2300</v>
      </c>
      <c r="AF4" s="16">
        <f>INDEX('Inputs (2)'!$D$50:$AL$50,MATCH(AF$7,'Inputs (2)'!$D$2:$AL$2,0))</f>
        <v>2402</v>
      </c>
      <c r="AG4" s="16">
        <f>IF(COUNT(AC4:AF4)=4,SUM(AC4:AF4),"")</f>
        <v>8884</v>
      </c>
      <c r="AH4" s="6">
        <f>INDEX('Inputs (2)'!$D$50:$AL$50,MATCH(AH$7,'Inputs (2)'!$D$2:$AL$2,0))</f>
        <v>2549</v>
      </c>
      <c r="AI4" s="6">
        <f>INDEX('Inputs (2)'!$D$50:$AL$50,MATCH(AI$7,'Inputs (2)'!$D$2:$AL$2,0))</f>
        <v>3593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10635</v>
      </c>
      <c r="E15" s="15">
        <f>INDEX('Inputs (2)'!$D$4:$AL$4,MATCH(E$7,'Inputs (2)'!$D$2:$AL$2,0))</f>
        <v>9997</v>
      </c>
      <c r="F15" s="15">
        <f>INDEX('Inputs (2)'!$D$4:$AL$4,MATCH(F$7,'Inputs (2)'!$D$2:$AL$2,0))</f>
        <v>9881</v>
      </c>
      <c r="G15" s="15">
        <f>INDEX('Inputs (2)'!$D$4:$AL$4,MATCH(G$7,'Inputs (2)'!$D$2:$AL$2,0))</f>
        <v>11235</v>
      </c>
      <c r="H15" s="16">
        <f>SUM(D15:G15)</f>
        <v>41748</v>
      </c>
      <c r="I15" s="15">
        <f>INDEX('Inputs (2)'!$D$4:$AL$4,MATCH(I$7,'Inputs (2)'!$D$2:$AL$2,0))</f>
        <v>11887</v>
      </c>
      <c r="J15" s="15">
        <f>INDEX('Inputs (2)'!$D$4:$AL$4,MATCH(J$7,'Inputs (2)'!$D$2:$AL$2,0))</f>
        <v>12889</v>
      </c>
      <c r="K15" s="15">
        <f>INDEX('Inputs (2)'!$D$4:$AL$4,MATCH(K$7,'Inputs (2)'!$D$2:$AL$2,0))</f>
        <v>12397</v>
      </c>
      <c r="L15" s="15">
        <f>INDEX('Inputs (2)'!$D$4:$AL$4,MATCH(L$7,'Inputs (2)'!$D$2:$AL$2,0))</f>
        <v>13798</v>
      </c>
      <c r="M15" s="16">
        <f>SUM(I15:L15)</f>
        <v>50971</v>
      </c>
      <c r="N15" s="15">
        <f>INDEX('Inputs (2)'!$D$4:$AL$4,MATCH(N$7,'Inputs (2)'!$D$2:$AL$2,0))</f>
        <v>13589</v>
      </c>
      <c r="O15" s="15">
        <f>INDEX('Inputs (2)'!$D$4:$AL$4,MATCH(O$7,'Inputs (2)'!$D$2:$AL$2,0))</f>
        <v>14247</v>
      </c>
      <c r="P15" s="15">
        <f>INDEX('Inputs (2)'!$D$4:$AL$4,MATCH(P$7,'Inputs (2)'!$D$2:$AL$2,0))</f>
        <v>14994</v>
      </c>
      <c r="Q15" s="15">
        <f>INDEX('Inputs (2)'!$D$4:$AL$4,MATCH(Q$7,'Inputs (2)'!$D$2:$AL$2,0))</f>
        <v>16597</v>
      </c>
      <c r="R15" s="16">
        <f>SUM(N15:Q15)</f>
        <v>59427</v>
      </c>
      <c r="S15" s="15">
        <f>INDEX('Inputs (2)'!$D$4:$AL$4,MATCH(S$7,'Inputs (2)'!$D$2:$AL$2,0))</f>
        <v>15862</v>
      </c>
      <c r="T15" s="15">
        <f>INDEX('Inputs (2)'!$D$4:$AL$4,MATCH(T$7,'Inputs (2)'!$D$2:$AL$2,0))</f>
        <v>17318</v>
      </c>
      <c r="U15" s="15">
        <f>INDEX('Inputs (2)'!$D$4:$AL$4,MATCH(U$7,'Inputs (2)'!$D$2:$AL$2,0))</f>
        <v>16810</v>
      </c>
      <c r="V15" s="15">
        <f>INDEX('Inputs (2)'!$D$4:$AL$4,MATCH(V$7,'Inputs (2)'!$D$2:$AL$2,0))</f>
        <v>17070</v>
      </c>
      <c r="W15" s="16">
        <f>SUM(S15:V15)</f>
        <v>67060</v>
      </c>
      <c r="X15" s="15">
        <f>INDEX('Inputs (2)'!$D$4:$AL$4,MATCH(X$7,'Inputs (2)'!$D$2:$AL$2,0))</f>
        <v>15799</v>
      </c>
      <c r="Y15" s="15">
        <f>INDEX('Inputs (2)'!$D$4:$AL$4,MATCH(Y$7,'Inputs (2)'!$D$2:$AL$2,0))</f>
        <v>16689</v>
      </c>
      <c r="Z15" s="15">
        <f>INDEX('Inputs (2)'!$D$4:$AL$4,MATCH(Z$7,'Inputs (2)'!$D$2:$AL$2,0))</f>
        <v>16106</v>
      </c>
      <c r="AA15" s="15">
        <f>INDEX('Inputs (2)'!$D$4:$AL$4,MATCH(AA$7,'Inputs (2)'!$D$2:$AL$2,0))</f>
        <v>16215</v>
      </c>
      <c r="AB15" s="16">
        <f>SUM(X15:AA15)</f>
        <v>64809</v>
      </c>
      <c r="AC15" s="15">
        <f>INDEX('Inputs (2)'!$D$4:$AL$4,MATCH(AC$7,'Inputs (2)'!$D$2:$AL$2,0))</f>
        <v>14249</v>
      </c>
      <c r="AD15" s="15">
        <f>INDEX('Inputs (2)'!$D$4:$AL$4,MATCH(AD$7,'Inputs (2)'!$D$2:$AL$2,0))</f>
        <v>16569</v>
      </c>
      <c r="AE15" s="15">
        <f>INDEX('Inputs (2)'!$D$4:$AL$4,MATCH(AE$7,'Inputs (2)'!$D$2:$AL$2,0))</f>
        <v>17638</v>
      </c>
      <c r="AF15" s="15">
        <f>INDEX('Inputs (2)'!$D$4:$AL$4,MATCH(AF$7,'Inputs (2)'!$D$2:$AL$2,0))</f>
        <v>19133</v>
      </c>
      <c r="AG15" s="16">
        <f>SUM(AC15:AF15)</f>
        <v>67589</v>
      </c>
      <c r="AH15" s="16">
        <f>INDEX('Inputs (2)'!$D$4:$AL$4,MATCH(AH$7,'Inputs (2)'!$D$2:$AL$2,0))</f>
        <v>17415</v>
      </c>
      <c r="AI15" s="16">
        <f>INDEX('Inputs (2)'!$D$4:$AL$4,MATCH(AI$7,'Inputs (2)'!$D$2:$AL$2,0))</f>
        <v>20543</v>
      </c>
      <c r="AJ15" s="16">
        <f>AE15*(1+AJ16)</f>
        <v>17638</v>
      </c>
      <c r="AK15" s="16">
        <f>AF15*(1+AK16)</f>
        <v>19133</v>
      </c>
      <c r="AL15" s="16">
        <f>SUM(AH15:AK15)</f>
        <v>74729</v>
      </c>
      <c r="AM15" s="16">
        <f>AH15*(1+AM16)</f>
        <v>17415</v>
      </c>
      <c r="AN15" s="16">
        <f>AI15*(1+AN16)</f>
        <v>20543</v>
      </c>
      <c r="AO15" s="16">
        <f>AJ15*(1+AO16)</f>
        <v>17638</v>
      </c>
      <c r="AP15" s="16">
        <f>AK15*(1+AP16)</f>
        <v>19133</v>
      </c>
      <c r="AQ15" s="16">
        <f>SUM(AM15:AP15)</f>
        <v>74729</v>
      </c>
      <c r="AR15" s="16">
        <f>AM15*(1+AR16)</f>
        <v>17415</v>
      </c>
      <c r="AS15" s="16">
        <f>AN15*(1+AS16)</f>
        <v>20543</v>
      </c>
      <c r="AT15" s="16">
        <f>AO15*(1+AT16)</f>
        <v>17638</v>
      </c>
      <c r="AU15" s="16">
        <f>AP15*(1+AU16)</f>
        <v>19133</v>
      </c>
      <c r="AV15" s="16">
        <f>SUM(AR15:AU15)</f>
        <v>74729</v>
      </c>
      <c r="AW15" s="16">
        <f>AR15*(1+AW16)</f>
        <v>17415</v>
      </c>
      <c r="AX15" s="16">
        <f>AS15*(1+AX16)</f>
        <v>20543</v>
      </c>
      <c r="AY15" s="16">
        <f>AT15*(1+AY16)</f>
        <v>17638</v>
      </c>
      <c r="AZ15" s="16">
        <f>AU15*(1+AZ16)</f>
        <v>19133</v>
      </c>
      <c r="BA15" s="16">
        <f>SUM(AW15:AZ15)</f>
        <v>74729</v>
      </c>
      <c r="BB15" s="16">
        <f>AW15*(1+BB16)</f>
        <v>17415</v>
      </c>
      <c r="BC15" s="16">
        <f>AX15*(1+BC16)</f>
        <v>20543</v>
      </c>
      <c r="BD15" s="16">
        <f>AY15*(1+BD16)</f>
        <v>17638</v>
      </c>
      <c r="BE15" s="16">
        <f>AZ15*(1+BE16)</f>
        <v>19133</v>
      </c>
      <c r="BF15" s="16">
        <f>SUM(BB15:BE15)</f>
        <v>74729</v>
      </c>
      <c r="BG15" s="16">
        <f>BB15*(1+BG16)</f>
        <v>17415</v>
      </c>
      <c r="BH15" s="16">
        <f>BC15*(1+BH16)</f>
        <v>20543</v>
      </c>
      <c r="BI15" s="16">
        <f>BD15*(1+BI16)</f>
        <v>17638</v>
      </c>
      <c r="BJ15" s="16">
        <f>BE15*(1+BJ16)</f>
        <v>19133</v>
      </c>
      <c r="BK15" s="16">
        <f>SUM(BG15:BJ15)</f>
        <v>74729</v>
      </c>
      <c r="BL15" s="16">
        <f>BG15*(1+BL16)</f>
        <v>17415</v>
      </c>
      <c r="BM15" s="16">
        <f>BH15*(1+BM16)</f>
        <v>20543</v>
      </c>
      <c r="BN15" s="16">
        <f>BI15*(1+BN16)</f>
        <v>17638</v>
      </c>
      <c r="BO15" s="16">
        <f>BJ15*(1+BO16)</f>
        <v>19133</v>
      </c>
      <c r="BP15" s="16">
        <f>SUM(BL15:BO15)</f>
        <v>74729</v>
      </c>
      <c r="BQ15" s="16">
        <f>BL15*(1+BQ16)</f>
        <v>17415</v>
      </c>
      <c r="BR15" s="16">
        <f>BM15*(1+BR16)</f>
        <v>20543</v>
      </c>
      <c r="BS15" s="16">
        <f>BN15*(1+BS16)</f>
        <v>17638</v>
      </c>
      <c r="BT15" s="16">
        <f>BO15*(1+BT16)</f>
        <v>19133</v>
      </c>
      <c r="BU15" s="16">
        <f>SUM(BQ15:BT15)</f>
        <v>74729</v>
      </c>
      <c r="BV15" s="16">
        <f>BQ15*(1+BV16)</f>
        <v>17415</v>
      </c>
      <c r="BW15" s="16">
        <f>BR15*(1+BW16)</f>
        <v>20543</v>
      </c>
      <c r="BX15" s="16">
        <f>BS15*(1+BX16)</f>
        <v>17638</v>
      </c>
      <c r="BY15" s="16">
        <f>BT15*(1+BY16)</f>
        <v>19133</v>
      </c>
      <c r="BZ15" s="16">
        <f>SUM(BV15:BY15)</f>
        <v>74729</v>
      </c>
      <c r="CA15" s="16">
        <f>BV15*(1+CA16)</f>
        <v>17415</v>
      </c>
      <c r="CB15" s="16">
        <f>BW15*(1+CB16)</f>
        <v>20543</v>
      </c>
      <c r="CC15" s="16">
        <f>BX15*(1+CC16)</f>
        <v>17638</v>
      </c>
      <c r="CD15" s="16">
        <f>BY15*(1+CD16)</f>
        <v>19133</v>
      </c>
      <c r="CE15" s="16">
        <f>SUM(CA15:CD15)</f>
        <v>74729</v>
      </c>
      <c r="CF15" s="16">
        <f>CA15*(1+CF16)</f>
        <v>17415</v>
      </c>
      <c r="CG15" s="16">
        <f>CB15*(1+CG16)</f>
        <v>20543</v>
      </c>
      <c r="CH15" s="16">
        <f>CC15*(1+CH16)</f>
        <v>17638</v>
      </c>
      <c r="CI15" s="16">
        <f>CD15*(1+CI16)</f>
        <v>19133</v>
      </c>
      <c r="CJ15" s="16">
        <f>SUM(CF15:CI15)</f>
        <v>74729</v>
      </c>
      <c r="CK15" s="16">
        <f>CF15*(1+CK16)</f>
        <v>17415</v>
      </c>
      <c r="CL15" s="16">
        <f>CG15*(1+CL16)</f>
        <v>20543</v>
      </c>
      <c r="CM15" s="16">
        <f>CH15*(1+CM16)</f>
        <v>17638</v>
      </c>
      <c r="CN15" s="16">
        <f>CI15*(1+CN16)</f>
        <v>19133</v>
      </c>
      <c r="CO15" s="16">
        <f>SUM(CK15:CN15)</f>
        <v>74729</v>
      </c>
      <c r="CP15" s="16">
        <f>CK15*(1+CP16)</f>
        <v>17415</v>
      </c>
      <c r="CQ15" s="16">
        <f>CL15*(1+CQ16)</f>
        <v>20543</v>
      </c>
      <c r="CR15" s="16">
        <f>CM15*(1+CR16)</f>
        <v>17638</v>
      </c>
      <c r="CS15" s="16">
        <f>CN15*(1+CS16)</f>
        <v>19133</v>
      </c>
      <c r="CT15" s="16">
        <f>SUM(CP15:CS15)</f>
        <v>74729</v>
      </c>
      <c r="CU15" s="16">
        <f>CP15*(1+CU16)</f>
        <v>17415</v>
      </c>
      <c r="CV15" s="16">
        <f>CQ15*(1+CV16)</f>
        <v>20543</v>
      </c>
      <c r="CW15" s="16">
        <f>CR15*(1+CW16)</f>
        <v>17638</v>
      </c>
      <c r="CX15" s="16">
        <f>CS15*(1+CX16)</f>
        <v>19133</v>
      </c>
      <c r="CY15" s="16">
        <f>SUM(CU15:CX15)</f>
        <v>74729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0.143181626987465</v>
      </c>
      <c r="O16" s="47">
        <f>O15/J15-1</f>
        <v>0.105361160679649</v>
      </c>
      <c r="P16" s="47">
        <f>P15/K15-1</f>
        <v>0.209486166007905</v>
      </c>
      <c r="Q16" s="47">
        <f>Q15/L15-1</f>
        <v>0.202855486302363</v>
      </c>
      <c r="R16" s="47">
        <f>R15/M15-1</f>
        <v>0.165898255870985</v>
      </c>
      <c r="S16" s="47">
        <f>S15/N15-1</f>
        <v>0.167267642946501</v>
      </c>
      <c r="T16" s="47">
        <f>T15/O15-1</f>
        <v>0.215554151751246</v>
      </c>
      <c r="U16" s="47">
        <f>U15/P15-1</f>
        <v>0.121115112711751</v>
      </c>
      <c r="V16" s="47">
        <f>V15/Q15-1</f>
        <v>0.0284991263481351</v>
      </c>
      <c r="W16" s="47">
        <f>W15/R15-1</f>
        <v>0.128443300183418</v>
      </c>
      <c r="X16" s="47">
        <f>X15/S15-1</f>
        <v>-0.00397175639894087</v>
      </c>
      <c r="Y16" s="47">
        <f>Y15/T15-1</f>
        <v>-0.036320591292297</v>
      </c>
      <c r="Z16" s="47">
        <f>Z15/U15-1</f>
        <v>-0.0418798334324807</v>
      </c>
      <c r="AA16" s="47">
        <f>AA15/V15-1</f>
        <v>-0.0500878734622144</v>
      </c>
      <c r="AB16" s="47">
        <f>AB15/W15-1</f>
        <v>-0.0335669549657024</v>
      </c>
      <c r="AC16" s="47">
        <f>AC15/X15-1</f>
        <v>-0.0981074751566555</v>
      </c>
      <c r="AD16" s="47">
        <f>AD15/Y15-1</f>
        <v>-0.00719036491101921</v>
      </c>
      <c r="AE16" s="47">
        <f>AE15/Z15-1</f>
        <v>0.0951198311188377</v>
      </c>
      <c r="AF16" s="44">
        <f>AF15/AA15-1</f>
        <v>0.179956830095591</v>
      </c>
      <c r="AG16" s="47">
        <f>AG15/AB15-1</f>
        <v>0.0428952768905553</v>
      </c>
      <c r="AH16" s="44">
        <f>AH15/AC15-1</f>
        <v>0.22219103094954</v>
      </c>
      <c r="AI16" s="44">
        <f>AI15/AD15-1</f>
        <v>0.239845494598346</v>
      </c>
      <c r="AJ16" s="44" t="n"/>
      <c r="AK16" s="44" t="n"/>
      <c r="AL16" s="22">
        <f>AL15/AG15-1</f>
        <v>0.105638491470506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Receita não alocada aos segmentos (linha 15 - soma)</t>
        </is>
      </c>
      <c r="D17" s="15">
        <f>IF(COUNT(D24)=0,"",D24)</f>
        <v>-88</v>
      </c>
      <c r="E17" s="15">
        <f>IF(COUNT(E24)=0,"",E24)</f>
        <v>-49</v>
      </c>
      <c r="F17" s="15">
        <f>IF(COUNT(F24)=0,"",F24)</f>
        <v>-70</v>
      </c>
      <c r="G17" s="15">
        <f>IF(COUNT(G24)=0,"",G24)</f>
        <v>-75</v>
      </c>
      <c r="H17" s="16">
        <f>IF(COUNT(H24)=0,"",H24)</f>
        <v>-282</v>
      </c>
      <c r="I17" s="15">
        <f>IF(COUNT(I24)=0,"",I24)</f>
        <v>-70</v>
      </c>
      <c r="J17" s="15">
        <f>IF(COUNT(J24)=0,"",J24)</f>
        <v>-79</v>
      </c>
      <c r="K17" s="15">
        <f>IF(COUNT(K24)=0,"",K24)</f>
        <v>-58</v>
      </c>
      <c r="L17" s="15" t="str">
        <f>IF(COUNT(L24)=0,"",L24)</f>
        <v/>
      </c>
      <c r="M17" s="16" t="str">
        <f>IF(COUNT(M24)=0,"",M24)</f>
        <v/>
      </c>
      <c r="N17" s="15">
        <f>IF(COUNT(N24)=0,"",N24)</f>
        <v>-71</v>
      </c>
      <c r="O17" s="15">
        <f>IF(COUNT(O24)=0,"",O24)</f>
        <v>-1250</v>
      </c>
      <c r="P17" s="15">
        <f>IF(COUNT(P24)=0,"",P24)</f>
        <v>-1374</v>
      </c>
      <c r="Q17" s="15">
        <f>IF(COUNT(Q24)=0,"",Q24)</f>
        <v>-1360</v>
      </c>
      <c r="R17" s="16">
        <f>IF(COUNT(R24)=0,"",R24)</f>
        <v>-4055</v>
      </c>
      <c r="S17" s="15">
        <f>IF(COUNT(S24)=0,"",S24)</f>
        <v>-1467</v>
      </c>
      <c r="T17" s="15">
        <f>IF(COUNT(T24)=0,"",T24)</f>
        <v>-1541</v>
      </c>
      <c r="U17" s="15">
        <f>IF(COUNT(U24)=0,"",U24)</f>
        <v>-1378</v>
      </c>
      <c r="V17" s="15">
        <f>IF(COUNT(V24)=0,"",V24)</f>
        <v>-1341</v>
      </c>
      <c r="W17" s="16">
        <f>IF(COUNT(W24)=0,"",W24)</f>
        <v>-5727</v>
      </c>
      <c r="X17" s="15">
        <f>IF(COUNT(X24)=0,"",X24)</f>
        <v>-1490</v>
      </c>
      <c r="Y17" s="15">
        <f>IF(COUNT(Y24)=0,"",Y24)</f>
        <v>-1541</v>
      </c>
      <c r="Z17" s="15">
        <f>IF(COUNT(Z24)=0,"",Z24)</f>
        <v>-1508</v>
      </c>
      <c r="AA17" s="15">
        <f>IF(COUNT(AA24)=0,"",AA24)</f>
        <v>-1423</v>
      </c>
      <c r="AB17" s="16">
        <f>IF(COUNT(AB24)=0,"",AB24)</f>
        <v>-5962</v>
      </c>
      <c r="AC17" s="15">
        <f>IF(COUNT(AC24)=0,"",AC24)</f>
        <v>-2171</v>
      </c>
      <c r="AD17" s="15">
        <f>IF(COUNT(AD24)=0,"",AD24)</f>
        <v>-2385</v>
      </c>
      <c r="AE17" s="15">
        <f>IF(COUNT(AE24)=0,"",AE24)</f>
        <v>-1705</v>
      </c>
      <c r="AF17" s="15">
        <f>IF(COUNT(AF24)=0,"",AF24)</f>
        <v>-1641</v>
      </c>
      <c r="AG17" s="16">
        <f>IF(COUNT(AG24)=0,"",AG24)</f>
        <v>-7902</v>
      </c>
      <c r="AH17" s="16">
        <f>IF(COUNT(AH24)=0,"",AH24)</f>
        <v>-1670</v>
      </c>
      <c r="AI17" s="16">
        <f>IF(COUNT(AI24)=0,"",AI24)</f>
        <v>-1834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Segmentos - receita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Construction Industries</t>
        </is>
      </c>
      <c r="D19" s="265">
        <f>IFERROR(INDEX('Inputs (2)'!$D$53:$AL$53,MATCH(D$7,'Inputs (2)'!$D$2:$AL$2,0)),"")</f>
        <v>4312</v>
      </c>
      <c r="E19" s="265">
        <f>IFERROR(INDEX('Inputs (2)'!$D$53:$AL$53,MATCH(E$7,'Inputs (2)'!$D$2:$AL$2,0)),"")</f>
        <v>4032</v>
      </c>
      <c r="F19" s="265">
        <f>IFERROR(INDEX('Inputs (2)'!$D$53:$AL$53,MATCH(F$7,'Inputs (2)'!$D$2:$AL$2,0)),"")</f>
        <v>4048</v>
      </c>
      <c r="G19" s="265">
        <f>IFERROR(INDEX('Inputs (2)'!$D$53:$AL$53,MATCH(G$7,'Inputs (2)'!$D$2:$AL$2,0)),"")</f>
        <v>4484</v>
      </c>
      <c r="H19" s="266">
        <f>IF(COUNT(D19:G19)=4,SUM(D19:G19),"")</f>
        <v>16876</v>
      </c>
      <c r="I19" s="265">
        <f>IFERROR(INDEX('Inputs (2)'!$D$53:$AL$53,MATCH(I$7,'Inputs (2)'!$D$2:$AL$2,0)),"")</f>
        <v>5441</v>
      </c>
      <c r="J19" s="265">
        <f>IFERROR(INDEX('Inputs (2)'!$D$53:$AL$53,MATCH(J$7,'Inputs (2)'!$D$2:$AL$2,0)),"")</f>
        <v>5603</v>
      </c>
      <c r="K19" s="265">
        <f>IFERROR(INDEX('Inputs (2)'!$D$53:$AL$53,MATCH(K$7,'Inputs (2)'!$D$2:$AL$2,0)),"")</f>
        <v>5261</v>
      </c>
      <c r="L19" s="265" t="str">
        <f>IFERROR(INDEX('Inputs (2)'!$D$53:$AL$53,MATCH(L$7,'Inputs (2)'!$D$2:$AL$2,0)),"")</f>
        <v/>
      </c>
      <c r="M19" s="266" t="str">
        <f>IF(COUNT(I19:L19)=4,SUM(I19:L19),"")</f>
        <v/>
      </c>
      <c r="N19" s="265">
        <f>IFERROR(INDEX('Inputs (2)'!$D$53:$AL$53,MATCH(N$7,'Inputs (2)'!$D$2:$AL$2,0)),"")</f>
        <v>6086</v>
      </c>
      <c r="O19" s="265">
        <f>IFERROR(INDEX('Inputs (2)'!$D$53:$AL$53,MATCH(O$7,'Inputs (2)'!$D$2:$AL$2,0)),"")</f>
        <v>6033</v>
      </c>
      <c r="P19" s="265">
        <f>IFERROR(INDEX('Inputs (2)'!$D$53:$AL$53,MATCH(P$7,'Inputs (2)'!$D$2:$AL$2,0)),"")</f>
        <v>6276</v>
      </c>
      <c r="Q19" s="265">
        <f>IFERROR(INDEX('Inputs (2)'!$D$53:$AL$53,MATCH(Q$7,'Inputs (2)'!$D$2:$AL$2,0)),"")</f>
        <v>6845</v>
      </c>
      <c r="R19" s="266">
        <f>IF(COUNT(N19:Q19)=4,SUM(N19:Q19),"")</f>
        <v>25240</v>
      </c>
      <c r="S19" s="265">
        <f>IFERROR(INDEX('Inputs (2)'!$D$53:$AL$53,MATCH(S$7,'Inputs (2)'!$D$2:$AL$2,0)),"")</f>
        <v>6746</v>
      </c>
      <c r="T19" s="265">
        <f>IFERROR(INDEX('Inputs (2)'!$D$53:$AL$53,MATCH(T$7,'Inputs (2)'!$D$2:$AL$2,0)),"")</f>
        <v>7154</v>
      </c>
      <c r="U19" s="265">
        <f>IFERROR(INDEX('Inputs (2)'!$D$53:$AL$53,MATCH(U$7,'Inputs (2)'!$D$2:$AL$2,0)),"")</f>
        <v>6999</v>
      </c>
      <c r="V19" s="265">
        <f>IFERROR(INDEX('Inputs (2)'!$D$53:$AL$53,MATCH(V$7,'Inputs (2)'!$D$2:$AL$2,0)),"")</f>
        <v>6519</v>
      </c>
      <c r="W19" s="266">
        <f>IF(COUNT(S19:V19)=4,SUM(S19:V19),"")</f>
        <v>27418</v>
      </c>
      <c r="X19" s="265">
        <f>IFERROR(INDEX('Inputs (2)'!$D$53:$AL$53,MATCH(X$7,'Inputs (2)'!$D$2:$AL$2,0)),"")</f>
        <v>6424</v>
      </c>
      <c r="Y19" s="265">
        <f>IFERROR(INDEX('Inputs (2)'!$D$53:$AL$53,MATCH(Y$7,'Inputs (2)'!$D$2:$AL$2,0)),"")</f>
        <v>6683</v>
      </c>
      <c r="Z19" s="265">
        <f>IFERROR(INDEX('Inputs (2)'!$D$53:$AL$53,MATCH(Z$7,'Inputs (2)'!$D$2:$AL$2,0)),"")</f>
        <v>6345</v>
      </c>
      <c r="AA19" s="265">
        <f>IFERROR(INDEX('Inputs (2)'!$D$53:$AL$53,MATCH(AA$7,'Inputs (2)'!$D$2:$AL$2,0)),"")</f>
        <v>6003</v>
      </c>
      <c r="AB19" s="266">
        <f>IF(COUNT(X19:AA19)=4,SUM(X19:AA19),"")</f>
        <v>25455</v>
      </c>
      <c r="AC19" s="265">
        <f>IFERROR(INDEX('Inputs (2)'!$D$53:$AL$53,MATCH(AC$7,'Inputs (2)'!$D$2:$AL$2,0)),"")</f>
        <v>5184</v>
      </c>
      <c r="AD19" s="265">
        <f>IFERROR(INDEX('Inputs (2)'!$D$53:$AL$53,MATCH(AD$7,'Inputs (2)'!$D$2:$AL$2,0)),"")</f>
        <v>6190</v>
      </c>
      <c r="AE19" s="265">
        <f>IFERROR(INDEX('Inputs (2)'!$D$53:$AL$53,MATCH(AE$7,'Inputs (2)'!$D$2:$AL$2,0)),"")</f>
        <v>6760</v>
      </c>
      <c r="AF19" s="265">
        <f>IFERROR(INDEX('Inputs (2)'!$D$53:$AL$53,MATCH(AF$7,'Inputs (2)'!$D$2:$AL$2,0)),"")</f>
        <v>6926</v>
      </c>
      <c r="AG19" s="266">
        <f>IF(COUNT(AC19:AF19)=4,SUM(AC19:AF19),"")</f>
        <v>25060</v>
      </c>
      <c r="AH19" s="266">
        <f>IFERROR(INDEX('Inputs (2)'!$D$53:$AL$53,MATCH(AH$7,'Inputs (2)'!$D$2:$AL$2,0)),"")</f>
        <v>7161</v>
      </c>
      <c r="AI19" s="266">
        <f>IFERROR(INDEX('Inputs (2)'!$D$53:$AL$53,MATCH(AI$7,'Inputs (2)'!$D$2:$AL$2,0)),"")</f>
        <v>8346</v>
      </c>
    </row>
    <row r="20">
      <c r="C20" s="14" t="inlineStr">
        <is>
          <t xml:space="preserve">   Resource Industries</t>
        </is>
      </c>
      <c r="D20" s="265">
        <f>IFERROR(INDEX('Inputs (2)'!$D$54:$AL$54,MATCH(D$7,'Inputs (2)'!$D$2:$AL$2,0)),"")</f>
        <v>1979</v>
      </c>
      <c r="E20" s="265">
        <f>IFERROR(INDEX('Inputs (2)'!$D$54:$AL$54,MATCH(E$7,'Inputs (2)'!$D$2:$AL$2,0)),"")</f>
        <v>1710</v>
      </c>
      <c r="F20" s="265">
        <f>IFERROR(INDEX('Inputs (2)'!$D$54:$AL$54,MATCH(F$7,'Inputs (2)'!$D$2:$AL$2,0)),"")</f>
        <v>1704</v>
      </c>
      <c r="G20" s="265">
        <f>IFERROR(INDEX('Inputs (2)'!$D$54:$AL$54,MATCH(G$7,'Inputs (2)'!$D$2:$AL$2,0)),"")</f>
        <v>2053</v>
      </c>
      <c r="H20" s="266">
        <f>IF(COUNT(D20:G20)=4,SUM(D20:G20),"")</f>
        <v>7446</v>
      </c>
      <c r="I20" s="265">
        <f>IFERROR(INDEX('Inputs (2)'!$D$54:$AL$54,MATCH(I$7,'Inputs (2)'!$D$2:$AL$2,0)),"")</f>
        <v>2097</v>
      </c>
      <c r="J20" s="265">
        <f>IFERROR(INDEX('Inputs (2)'!$D$54:$AL$54,MATCH(J$7,'Inputs (2)'!$D$2:$AL$2,0)),"")</f>
        <v>2471</v>
      </c>
      <c r="K20" s="265">
        <f>IFERROR(INDEX('Inputs (2)'!$D$54:$AL$54,MATCH(K$7,'Inputs (2)'!$D$2:$AL$2,0)),"")</f>
        <v>2291</v>
      </c>
      <c r="L20" s="265" t="str">
        <f>IFERROR(INDEX('Inputs (2)'!$D$54:$AL$54,MATCH(L$7,'Inputs (2)'!$D$2:$AL$2,0)),"")</f>
        <v/>
      </c>
      <c r="M20" s="266" t="str">
        <f>IF(COUNT(I20:L20)=4,SUM(I20:L20),"")</f>
        <v/>
      </c>
      <c r="N20" s="265">
        <f>IFERROR(INDEX('Inputs (2)'!$D$54:$AL$54,MATCH(N$7,'Inputs (2)'!$D$2:$AL$2,0)),"")</f>
        <v>2759</v>
      </c>
      <c r="O20" s="265">
        <f>IFERROR(INDEX('Inputs (2)'!$D$54:$AL$54,MATCH(O$7,'Inputs (2)'!$D$2:$AL$2,0)),"")</f>
        <v>2961</v>
      </c>
      <c r="P20" s="265">
        <f>IFERROR(INDEX('Inputs (2)'!$D$54:$AL$54,MATCH(P$7,'Inputs (2)'!$D$2:$AL$2,0)),"")</f>
        <v>3087</v>
      </c>
      <c r="Q20" s="265">
        <f>IFERROR(INDEX('Inputs (2)'!$D$54:$AL$54,MATCH(Q$7,'Inputs (2)'!$D$2:$AL$2,0)),"")</f>
        <v>3436</v>
      </c>
      <c r="R20" s="266">
        <f>IF(COUNT(N20:Q20)=4,SUM(N20:Q20),"")</f>
        <v>12243</v>
      </c>
      <c r="S20" s="265">
        <f>IFERROR(INDEX('Inputs (2)'!$D$54:$AL$54,MATCH(S$7,'Inputs (2)'!$D$2:$AL$2,0)),"")</f>
        <v>3427</v>
      </c>
      <c r="T20" s="265">
        <f>IFERROR(INDEX('Inputs (2)'!$D$54:$AL$54,MATCH(T$7,'Inputs (2)'!$D$2:$AL$2,0)),"")</f>
        <v>3563</v>
      </c>
      <c r="U20" s="265">
        <f>IFERROR(INDEX('Inputs (2)'!$D$54:$AL$54,MATCH(U$7,'Inputs (2)'!$D$2:$AL$2,0)),"")</f>
        <v>3351</v>
      </c>
      <c r="V20" s="265">
        <f>IFERROR(INDEX('Inputs (2)'!$D$54:$AL$54,MATCH(V$7,'Inputs (2)'!$D$2:$AL$2,0)),"")</f>
        <v>3242</v>
      </c>
      <c r="W20" s="266">
        <f>IF(COUNT(S20:V20)=4,SUM(S20:V20),"")</f>
        <v>13583</v>
      </c>
      <c r="X20" s="265">
        <f>IFERROR(INDEX('Inputs (2)'!$D$54:$AL$54,MATCH(X$7,'Inputs (2)'!$D$2:$AL$2,0)),"")</f>
        <v>3193</v>
      </c>
      <c r="Y20" s="265">
        <f>IFERROR(INDEX('Inputs (2)'!$D$54:$AL$54,MATCH(Y$7,'Inputs (2)'!$D$2:$AL$2,0)),"")</f>
        <v>3206</v>
      </c>
      <c r="Z20" s="265">
        <f>IFERROR(INDEX('Inputs (2)'!$D$54:$AL$54,MATCH(Z$7,'Inputs (2)'!$D$2:$AL$2,0)),"")</f>
        <v>3048</v>
      </c>
      <c r="AA20" s="265">
        <f>IFERROR(INDEX('Inputs (2)'!$D$54:$AL$54,MATCH(AA$7,'Inputs (2)'!$D$2:$AL$2,0)),"")</f>
        <v>2962</v>
      </c>
      <c r="AB20" s="266">
        <f>IF(COUNT(X20:AA20)=4,SUM(X20:AA20),"")</f>
        <v>12409</v>
      </c>
      <c r="AC20" s="265">
        <f>IFERROR(INDEX('Inputs (2)'!$D$54:$AL$54,MATCH(AC$7,'Inputs (2)'!$D$2:$AL$2,0)),"")</f>
        <v>3661</v>
      </c>
      <c r="AD20" s="265">
        <f>IFERROR(INDEX('Inputs (2)'!$D$54:$AL$54,MATCH(AD$7,'Inputs (2)'!$D$2:$AL$2,0)),"")</f>
        <v>3886</v>
      </c>
      <c r="AE20" s="265">
        <f>IFERROR(INDEX('Inputs (2)'!$D$54:$AL$54,MATCH(AE$7,'Inputs (2)'!$D$2:$AL$2,0)),"")</f>
        <v>3110</v>
      </c>
      <c r="AF20" s="265">
        <f>IFERROR(INDEX('Inputs (2)'!$D$54:$AL$54,MATCH(AF$7,'Inputs (2)'!$D$2:$AL$2,0)),"")</f>
        <v>3353</v>
      </c>
      <c r="AG20" s="266">
        <f>IF(COUNT(AC20:AF20)=4,SUM(AC20:AF20),"")</f>
        <v>14010</v>
      </c>
      <c r="AH20" s="266">
        <f>IFERROR(INDEX('Inputs (2)'!$D$54:$AL$54,MATCH(AH$7,'Inputs (2)'!$D$2:$AL$2,0)),"")</f>
        <v>3797</v>
      </c>
      <c r="AI20" s="266">
        <f>IFERROR(INDEX('Inputs (2)'!$D$54:$AL$54,MATCH(AI$7,'Inputs (2)'!$D$2:$AL$2,0)),"")</f>
        <v>4648</v>
      </c>
    </row>
    <row r="21">
      <c r="C21" s="14" t="inlineStr">
        <is>
          <t xml:space="preserve">   Energy &amp; Transportation / Power &amp; Energy</t>
        </is>
      </c>
      <c r="D21" s="265">
        <f>IFERROR(INDEX('Inputs (2)'!$D$55:$AL$55,MATCH(D$7,'Inputs (2)'!$D$2:$AL$2,0)),"")</f>
        <v>3618</v>
      </c>
      <c r="E21" s="265">
        <f>IFERROR(INDEX('Inputs (2)'!$D$55:$AL$55,MATCH(E$7,'Inputs (2)'!$D$2:$AL$2,0)),"")</f>
        <v>3541</v>
      </c>
      <c r="F21" s="265">
        <f>IFERROR(INDEX('Inputs (2)'!$D$55:$AL$55,MATCH(F$7,'Inputs (2)'!$D$2:$AL$2,0)),"")</f>
        <v>3475</v>
      </c>
      <c r="G21" s="265">
        <f>IFERROR(INDEX('Inputs (2)'!$D$55:$AL$55,MATCH(G$7,'Inputs (2)'!$D$2:$AL$2,0)),"")</f>
        <v>4030</v>
      </c>
      <c r="H21" s="266">
        <f>IF(COUNT(D21:G21)=4,SUM(D21:G21),"")</f>
        <v>14664</v>
      </c>
      <c r="I21" s="265">
        <f>IFERROR(INDEX('Inputs (2)'!$D$55:$AL$55,MATCH(I$7,'Inputs (2)'!$D$2:$AL$2,0)),"")</f>
        <v>3658</v>
      </c>
      <c r="J21" s="265">
        <f>IFERROR(INDEX('Inputs (2)'!$D$55:$AL$55,MATCH(J$7,'Inputs (2)'!$D$2:$AL$2,0)),"")</f>
        <v>4120</v>
      </c>
      <c r="K21" s="265">
        <f>IFERROR(INDEX('Inputs (2)'!$D$55:$AL$55,MATCH(K$7,'Inputs (2)'!$D$2:$AL$2,0)),"")</f>
        <v>4141</v>
      </c>
      <c r="L21" s="265" t="str">
        <f>IFERROR(INDEX('Inputs (2)'!$D$55:$AL$55,MATCH(L$7,'Inputs (2)'!$D$2:$AL$2,0)),"")</f>
        <v/>
      </c>
      <c r="M21" s="266" t="str">
        <f>IF(COUNT(I21:L21)=4,SUM(I21:L21),"")</f>
        <v/>
      </c>
      <c r="N21" s="265">
        <f>IFERROR(INDEX('Inputs (2)'!$D$55:$AL$55,MATCH(N$7,'Inputs (2)'!$D$2:$AL$2,0)),"")</f>
        <v>4032</v>
      </c>
      <c r="O21" s="265">
        <f>IFERROR(INDEX('Inputs (2)'!$D$55:$AL$55,MATCH(O$7,'Inputs (2)'!$D$2:$AL$2,0)),"")</f>
        <v>5705</v>
      </c>
      <c r="P21" s="265">
        <f>IFERROR(INDEX('Inputs (2)'!$D$55:$AL$55,MATCH(P$7,'Inputs (2)'!$D$2:$AL$2,0)),"")</f>
        <v>6186</v>
      </c>
      <c r="Q21" s="265">
        <f>IFERROR(INDEX('Inputs (2)'!$D$55:$AL$55,MATCH(Q$7,'Inputs (2)'!$D$2:$AL$2,0)),"")</f>
        <v>6823</v>
      </c>
      <c r="R21" s="266">
        <f>IF(COUNT(N21:Q21)=4,SUM(N21:Q21),"")</f>
        <v>22746</v>
      </c>
      <c r="S21" s="265">
        <f>IFERROR(INDEX('Inputs (2)'!$D$55:$AL$55,MATCH(S$7,'Inputs (2)'!$D$2:$AL$2,0)),"")</f>
        <v>6254</v>
      </c>
      <c r="T21" s="265">
        <f>IFERROR(INDEX('Inputs (2)'!$D$55:$AL$55,MATCH(T$7,'Inputs (2)'!$D$2:$AL$2,0)),"")</f>
        <v>7219</v>
      </c>
      <c r="U21" s="265">
        <f>IFERROR(INDEX('Inputs (2)'!$D$55:$AL$55,MATCH(U$7,'Inputs (2)'!$D$2:$AL$2,0)),"")</f>
        <v>6859</v>
      </c>
      <c r="V21" s="265">
        <f>IFERROR(INDEX('Inputs (2)'!$D$55:$AL$55,MATCH(V$7,'Inputs (2)'!$D$2:$AL$2,0)),"")</f>
        <v>7669</v>
      </c>
      <c r="W21" s="266">
        <f>IF(COUNT(S21:V21)=4,SUM(S21:V21),"")</f>
        <v>28001</v>
      </c>
      <c r="X21" s="265">
        <f>IFERROR(INDEX('Inputs (2)'!$D$55:$AL$55,MATCH(X$7,'Inputs (2)'!$D$2:$AL$2,0)),"")</f>
        <v>6681</v>
      </c>
      <c r="Y21" s="265">
        <f>IFERROR(INDEX('Inputs (2)'!$D$55:$AL$55,MATCH(Y$7,'Inputs (2)'!$D$2:$AL$2,0)),"")</f>
        <v>7337</v>
      </c>
      <c r="Z21" s="265">
        <f>IFERROR(INDEX('Inputs (2)'!$D$55:$AL$55,MATCH(Z$7,'Inputs (2)'!$D$2:$AL$2,0)),"")</f>
        <v>7187</v>
      </c>
      <c r="AA21" s="265">
        <f>IFERROR(INDEX('Inputs (2)'!$D$55:$AL$55,MATCH(AA$7,'Inputs (2)'!$D$2:$AL$2,0)),"")</f>
        <v>7649</v>
      </c>
      <c r="AB21" s="266">
        <f>IF(COUNT(X21:AA21)=4,SUM(X21:AA21),"")</f>
        <v>28854</v>
      </c>
      <c r="AC21" s="265">
        <f>IFERROR(INDEX('Inputs (2)'!$D$55:$AL$55,MATCH(AC$7,'Inputs (2)'!$D$2:$AL$2,0)),"")</f>
        <v>6568</v>
      </c>
      <c r="AD21" s="265">
        <f>IFERROR(INDEX('Inputs (2)'!$D$55:$AL$55,MATCH(AD$7,'Inputs (2)'!$D$2:$AL$2,0)),"")</f>
        <v>7836</v>
      </c>
      <c r="AE21" s="265">
        <f>IFERROR(INDEX('Inputs (2)'!$D$55:$AL$55,MATCH(AE$7,'Inputs (2)'!$D$2:$AL$2,0)),"")</f>
        <v>8397</v>
      </c>
      <c r="AF21" s="265">
        <f>IFERROR(INDEX('Inputs (2)'!$D$55:$AL$55,MATCH(AF$7,'Inputs (2)'!$D$2:$AL$2,0)),"")</f>
        <v>9400</v>
      </c>
      <c r="AG21" s="266">
        <f>IF(COUNT(AC21:AF21)=4,SUM(AC21:AF21),"")</f>
        <v>32201</v>
      </c>
      <c r="AH21" s="266">
        <f>IFERROR(INDEX('Inputs (2)'!$D$55:$AL$55,MATCH(AH$7,'Inputs (2)'!$D$2:$AL$2,0)),"")</f>
        <v>7031</v>
      </c>
      <c r="AI21" s="266">
        <f>IFERROR(INDEX('Inputs (2)'!$D$55:$AL$55,MATCH(AI$7,'Inputs (2)'!$D$2:$AL$2,0)),"")</f>
        <v>8238</v>
      </c>
    </row>
    <row r="22">
      <c r="C22" s="14" t="inlineStr">
        <is>
          <t xml:space="preserve">   Financial Products</t>
        </is>
      </c>
      <c r="D22" s="265">
        <f>IFERROR(INDEX('Inputs (2)'!$D$56:$AL$56,MATCH(D$7,'Inputs (2)'!$D$2:$AL$2,0)),"")</f>
        <v>814</v>
      </c>
      <c r="E22" s="265">
        <f>IFERROR(INDEX('Inputs (2)'!$D$56:$AL$56,MATCH(E$7,'Inputs (2)'!$D$2:$AL$2,0)),"")</f>
        <v>763</v>
      </c>
      <c r="F22" s="265">
        <f>IFERROR(INDEX('Inputs (2)'!$D$56:$AL$56,MATCH(F$7,'Inputs (2)'!$D$2:$AL$2,0)),"")</f>
        <v>724</v>
      </c>
      <c r="G22" s="265">
        <f>IFERROR(INDEX('Inputs (2)'!$D$56:$AL$56,MATCH(G$7,'Inputs (2)'!$D$2:$AL$2,0)),"")</f>
        <v>743</v>
      </c>
      <c r="H22" s="266">
        <f>IF(COUNT(D22:G22)=4,SUM(D22:G22),"")</f>
        <v>3044</v>
      </c>
      <c r="I22" s="265">
        <f>IFERROR(INDEX('Inputs (2)'!$D$56:$AL$56,MATCH(I$7,'Inputs (2)'!$D$2:$AL$2,0)),"")</f>
        <v>761</v>
      </c>
      <c r="J22" s="265">
        <f>IFERROR(INDEX('Inputs (2)'!$D$56:$AL$56,MATCH(J$7,'Inputs (2)'!$D$2:$AL$2,0)),"")</f>
        <v>774</v>
      </c>
      <c r="K22" s="265">
        <f>IFERROR(INDEX('Inputs (2)'!$D$56:$AL$56,MATCH(K$7,'Inputs (2)'!$D$2:$AL$2,0)),"")</f>
        <v>762</v>
      </c>
      <c r="L22" s="265" t="str">
        <f>IFERROR(INDEX('Inputs (2)'!$D$56:$AL$56,MATCH(L$7,'Inputs (2)'!$D$2:$AL$2,0)),"")</f>
        <v/>
      </c>
      <c r="M22" s="266" t="str">
        <f>IF(COUNT(I22:L22)=4,SUM(I22:L22),"")</f>
        <v/>
      </c>
      <c r="N22" s="265">
        <f>IFERROR(INDEX('Inputs (2)'!$D$56:$AL$56,MATCH(N$7,'Inputs (2)'!$D$2:$AL$2,0)),"")</f>
        <v>783</v>
      </c>
      <c r="O22" s="265">
        <f>IFERROR(INDEX('Inputs (2)'!$D$56:$AL$56,MATCH(O$7,'Inputs (2)'!$D$2:$AL$2,0)),"")</f>
        <v>798</v>
      </c>
      <c r="P22" s="265">
        <f>IFERROR(INDEX('Inputs (2)'!$D$56:$AL$56,MATCH(P$7,'Inputs (2)'!$D$2:$AL$2,0)),"")</f>
        <v>819</v>
      </c>
      <c r="Q22" s="265">
        <f>IFERROR(INDEX('Inputs (2)'!$D$56:$AL$56,MATCH(Q$7,'Inputs (2)'!$D$2:$AL$2,0)),"")</f>
        <v>853</v>
      </c>
      <c r="R22" s="266">
        <f>IF(COUNT(N22:Q22)=4,SUM(N22:Q22),"")</f>
        <v>3253</v>
      </c>
      <c r="S22" s="265">
        <f>IFERROR(INDEX('Inputs (2)'!$D$56:$AL$56,MATCH(S$7,'Inputs (2)'!$D$2:$AL$2,0)),"")</f>
        <v>902</v>
      </c>
      <c r="T22" s="265">
        <f>IFERROR(INDEX('Inputs (2)'!$D$56:$AL$56,MATCH(T$7,'Inputs (2)'!$D$2:$AL$2,0)),"")</f>
        <v>923</v>
      </c>
      <c r="U22" s="265">
        <f>IFERROR(INDEX('Inputs (2)'!$D$56:$AL$56,MATCH(U$7,'Inputs (2)'!$D$2:$AL$2,0)),"")</f>
        <v>979</v>
      </c>
      <c r="V22" s="265">
        <f>IFERROR(INDEX('Inputs (2)'!$D$56:$AL$56,MATCH(V$7,'Inputs (2)'!$D$2:$AL$2,0)),"")</f>
        <v>981</v>
      </c>
      <c r="W22" s="266">
        <f>IF(COUNT(S22:V22)=4,SUM(S22:V22),"")</f>
        <v>3785</v>
      </c>
      <c r="X22" s="265">
        <f>IFERROR(INDEX('Inputs (2)'!$D$56:$AL$56,MATCH(X$7,'Inputs (2)'!$D$2:$AL$2,0)),"")</f>
        <v>991</v>
      </c>
      <c r="Y22" s="265">
        <f>IFERROR(INDEX('Inputs (2)'!$D$56:$AL$56,MATCH(Y$7,'Inputs (2)'!$D$2:$AL$2,0)),"")</f>
        <v>1004</v>
      </c>
      <c r="Z22" s="265">
        <f>IFERROR(INDEX('Inputs (2)'!$D$56:$AL$56,MATCH(Z$7,'Inputs (2)'!$D$2:$AL$2,0)),"")</f>
        <v>1034</v>
      </c>
      <c r="AA22" s="265">
        <f>IFERROR(INDEX('Inputs (2)'!$D$56:$AL$56,MATCH(AA$7,'Inputs (2)'!$D$2:$AL$2,0)),"")</f>
        <v>1024</v>
      </c>
      <c r="AB22" s="266">
        <f>IF(COUNT(X22:AA22)=4,SUM(X22:AA22),"")</f>
        <v>4053</v>
      </c>
      <c r="AC22" s="265">
        <f>IFERROR(INDEX('Inputs (2)'!$D$56:$AL$56,MATCH(AC$7,'Inputs (2)'!$D$2:$AL$2,0)),"")</f>
        <v>1007</v>
      </c>
      <c r="AD22" s="265">
        <f>IFERROR(INDEX('Inputs (2)'!$D$56:$AL$56,MATCH(AD$7,'Inputs (2)'!$D$2:$AL$2,0)),"")</f>
        <v>1042</v>
      </c>
      <c r="AE22" s="265">
        <f>IFERROR(INDEX('Inputs (2)'!$D$56:$AL$56,MATCH(AE$7,'Inputs (2)'!$D$2:$AL$2,0)),"")</f>
        <v>1076</v>
      </c>
      <c r="AF22" s="265">
        <f>IFERROR(INDEX('Inputs (2)'!$D$56:$AL$56,MATCH(AF$7,'Inputs (2)'!$D$2:$AL$2,0)),"")</f>
        <v>1095</v>
      </c>
      <c r="AG22" s="266">
        <f>IF(COUNT(AC22:AF22)=4,SUM(AC22:AF22),"")</f>
        <v>4220</v>
      </c>
      <c r="AH22" s="266">
        <f>IFERROR(INDEX('Inputs (2)'!$D$56:$AL$56,MATCH(AH$7,'Inputs (2)'!$D$2:$AL$2,0)),"")</f>
        <v>1096</v>
      </c>
      <c r="AI22" s="266">
        <f>IFERROR(INDEX('Inputs (2)'!$D$56:$AL$56,MATCH(AI$7,'Inputs (2)'!$D$2:$AL$2,0)),"")</f>
        <v>1145</v>
      </c>
    </row>
    <row r="23">
      <c r="C23" s="267" t="inlineStr">
        <is>
          <t>Receita (soma dos segmentos)</t>
        </is>
      </c>
      <c r="D23" s="265">
        <f>IF(COUNT(D19,D20,D21,D22)=0,"",N(D19)+N(D20)+N(D21)+N(D22))</f>
        <v>10723</v>
      </c>
      <c r="E23" s="265">
        <f>IF(COUNT(E19,E20,E21,E22)=0,"",N(E19)+N(E20)+N(E21)+N(E22))</f>
        <v>10046</v>
      </c>
      <c r="F23" s="265">
        <f>IF(COUNT(F19,F20,F21,F22)=0,"",N(F19)+N(F20)+N(F21)+N(F22))</f>
        <v>9951</v>
      </c>
      <c r="G23" s="265">
        <f>IF(COUNT(G19,G20,G21,G22)=0,"",N(G19)+N(G20)+N(G21)+N(G22))</f>
        <v>11310</v>
      </c>
      <c r="H23" s="266">
        <f>IF(COUNT(H19,H20,H21,H22)=0,"",N(H19)+N(H20)+N(H21)+N(H22))</f>
        <v>42030</v>
      </c>
      <c r="I23" s="265">
        <f>IF(COUNT(I19,I20,I21,I22)=0,"",N(I19)+N(I20)+N(I21)+N(I22))</f>
        <v>11957</v>
      </c>
      <c r="J23" s="265">
        <f>IF(COUNT(J19,J20,J21,J22)=0,"",N(J19)+N(J20)+N(J21)+N(J22))</f>
        <v>12968</v>
      </c>
      <c r="K23" s="265">
        <f>IF(COUNT(K19,K20,K21,K22)=0,"",N(K19)+N(K20)+N(K21)+N(K22))</f>
        <v>12455</v>
      </c>
      <c r="L23" s="265" t="str">
        <f>IF(COUNT(L19,L20,L21,L22)=0,"",N(L19)+N(L20)+N(L21)+N(L22))</f>
        <v/>
      </c>
      <c r="M23" s="266" t="str">
        <f>IF(COUNT(M19,M20,M21,M22)=0,"",N(M19)+N(M20)+N(M21)+N(M22))</f>
        <v/>
      </c>
      <c r="N23" s="265">
        <f>IF(COUNT(N19,N20,N21,N22)=0,"",N(N19)+N(N20)+N(N21)+N(N22))</f>
        <v>13660</v>
      </c>
      <c r="O23" s="265">
        <f>IF(COUNT(O19,O20,O21,O22)=0,"",N(O19)+N(O20)+N(O21)+N(O22))</f>
        <v>15497</v>
      </c>
      <c r="P23" s="265">
        <f>IF(COUNT(P19,P20,P21,P22)=0,"",N(P19)+N(P20)+N(P21)+N(P22))</f>
        <v>16368</v>
      </c>
      <c r="Q23" s="265">
        <f>IF(COUNT(Q19,Q20,Q21,Q22)=0,"",N(Q19)+N(Q20)+N(Q21)+N(Q22))</f>
        <v>17957</v>
      </c>
      <c r="R23" s="266">
        <f>IF(COUNT(R19,R20,R21,R22)=0,"",N(R19)+N(R20)+N(R21)+N(R22))</f>
        <v>63482</v>
      </c>
      <c r="S23" s="265">
        <f>IF(COUNT(S19,S20,S21,S22)=0,"",N(S19)+N(S20)+N(S21)+N(S22))</f>
        <v>17329</v>
      </c>
      <c r="T23" s="265">
        <f>IF(COUNT(T19,T20,T21,T22)=0,"",N(T19)+N(T20)+N(T21)+N(T22))</f>
        <v>18859</v>
      </c>
      <c r="U23" s="265">
        <f>IF(COUNT(U19,U20,U21,U22)=0,"",N(U19)+N(U20)+N(U21)+N(U22))</f>
        <v>18188</v>
      </c>
      <c r="V23" s="265">
        <f>IF(COUNT(V19,V20,V21,V22)=0,"",N(V19)+N(V20)+N(V21)+N(V22))</f>
        <v>18411</v>
      </c>
      <c r="W23" s="266">
        <f>IF(COUNT(W19,W20,W21,W22)=0,"",N(W19)+N(W20)+N(W21)+N(W22))</f>
        <v>72787</v>
      </c>
      <c r="X23" s="265">
        <f>IF(COUNT(X19,X20,X21,X22)=0,"",N(X19)+N(X20)+N(X21)+N(X22))</f>
        <v>17289</v>
      </c>
      <c r="Y23" s="265">
        <f>IF(COUNT(Y19,Y20,Y21,Y22)=0,"",N(Y19)+N(Y20)+N(Y21)+N(Y22))</f>
        <v>18230</v>
      </c>
      <c r="Z23" s="265">
        <f>IF(COUNT(Z19,Z20,Z21,Z22)=0,"",N(Z19)+N(Z20)+N(Z21)+N(Z22))</f>
        <v>17614</v>
      </c>
      <c r="AA23" s="265">
        <f>IF(COUNT(AA19,AA20,AA21,AA22)=0,"",N(AA19)+N(AA20)+N(AA21)+N(AA22))</f>
        <v>17638</v>
      </c>
      <c r="AB23" s="266">
        <f>IF(COUNT(AB19,AB20,AB21,AB22)=0,"",N(AB19)+N(AB20)+N(AB21)+N(AB22))</f>
        <v>70771</v>
      </c>
      <c r="AC23" s="265">
        <f>IF(COUNT(AC19,AC20,AC21,AC22)=0,"",N(AC19)+N(AC20)+N(AC21)+N(AC22))</f>
        <v>16420</v>
      </c>
      <c r="AD23" s="265">
        <f>IF(COUNT(AD19,AD20,AD21,AD22)=0,"",N(AD19)+N(AD20)+N(AD21)+N(AD22))</f>
        <v>18954</v>
      </c>
      <c r="AE23" s="265">
        <f>IF(COUNT(AE19,AE20,AE21,AE22)=0,"",N(AE19)+N(AE20)+N(AE21)+N(AE22))</f>
        <v>19343</v>
      </c>
      <c r="AF23" s="265">
        <f>IF(COUNT(AF19,AF20,AF21,AF22)=0,"",N(AF19)+N(AF20)+N(AF21)+N(AF22))</f>
        <v>20774</v>
      </c>
      <c r="AG23" s="266">
        <f>IF(COUNT(AG19,AG20,AG21,AG22)=0,"",N(AG19)+N(AG20)+N(AG21)+N(AG22))</f>
        <v>75491</v>
      </c>
      <c r="AH23" s="266">
        <f>IF(COUNT(AH19,AH20,AH21,AH22)=0,"",N(AH19)+N(AH20)+N(AH21)+N(AH22))</f>
        <v>19085</v>
      </c>
      <c r="AI23" s="266">
        <f>IF(COUNT(AI19,AI20,AI21,AI22)=0,"",N(AI19)+N(AI20)+N(AI21)+N(AI22))</f>
        <v>22377</v>
      </c>
    </row>
    <row r="24">
      <c r="C24" s="14" t="inlineStr">
        <is>
          <t>Receita não alocada aos segmentos (linha 15 - soma)</t>
        </is>
      </c>
      <c r="D24" s="265">
        <f>IF(COUNT(D23)=0,"",ROUND(D15-D23,1))</f>
        <v>-88</v>
      </c>
      <c r="E24" s="265">
        <f>IF(COUNT(E23)=0,"",ROUND(E15-E23,1))</f>
        <v>-49</v>
      </c>
      <c r="F24" s="265">
        <f>IF(COUNT(F23)=0,"",ROUND(F15-F23,1))</f>
        <v>-70</v>
      </c>
      <c r="G24" s="265">
        <f>IF(COUNT(G23)=0,"",ROUND(G15-G23,1))</f>
        <v>-75</v>
      </c>
      <c r="H24" s="266">
        <f>IF(COUNT(H23)=0,"",ROUND(H15-H23,1))</f>
        <v>-282</v>
      </c>
      <c r="I24" s="265">
        <f>IF(COUNT(I23)=0,"",ROUND(I15-I23,1))</f>
        <v>-70</v>
      </c>
      <c r="J24" s="265">
        <f>IF(COUNT(J23)=0,"",ROUND(J15-J23,1))</f>
        <v>-79</v>
      </c>
      <c r="K24" s="265">
        <f>IF(COUNT(K23)=0,"",ROUND(K15-K23,1))</f>
        <v>-58</v>
      </c>
      <c r="L24" s="265" t="str">
        <f>IF(COUNT(L23)=0,"",ROUND(L15-L23,1))</f>
        <v/>
      </c>
      <c r="M24" s="266" t="str">
        <f>IF(COUNT(M23)=0,"",ROUND(M15-M23,1))</f>
        <v/>
      </c>
      <c r="N24" s="265">
        <f>IF(COUNT(N23)=0,"",ROUND(N15-N23,1))</f>
        <v>-71</v>
      </c>
      <c r="O24" s="265">
        <f>IF(COUNT(O23)=0,"",ROUND(O15-O23,1))</f>
        <v>-1250</v>
      </c>
      <c r="P24" s="265">
        <f>IF(COUNT(P23)=0,"",ROUND(P15-P23,1))</f>
        <v>-1374</v>
      </c>
      <c r="Q24" s="265">
        <f>IF(COUNT(Q23)=0,"",ROUND(Q15-Q23,1))</f>
        <v>-1360</v>
      </c>
      <c r="R24" s="266">
        <f>IF(COUNT(R23)=0,"",ROUND(R15-R23,1))</f>
        <v>-4055</v>
      </c>
      <c r="S24" s="265">
        <f>IF(COUNT(S23)=0,"",ROUND(S15-S23,1))</f>
        <v>-1467</v>
      </c>
      <c r="T24" s="265">
        <f>IF(COUNT(T23)=0,"",ROUND(T15-T23,1))</f>
        <v>-1541</v>
      </c>
      <c r="U24" s="265">
        <f>IF(COUNT(U23)=0,"",ROUND(U15-U23,1))</f>
        <v>-1378</v>
      </c>
      <c r="V24" s="265">
        <f>IF(COUNT(V23)=0,"",ROUND(V15-V23,1))</f>
        <v>-1341</v>
      </c>
      <c r="W24" s="266">
        <f>IF(COUNT(W23)=0,"",ROUND(W15-W23,1))</f>
        <v>-5727</v>
      </c>
      <c r="X24" s="265">
        <f>IF(COUNT(X23)=0,"",ROUND(X15-X23,1))</f>
        <v>-1490</v>
      </c>
      <c r="Y24" s="265">
        <f>IF(COUNT(Y23)=0,"",ROUND(Y15-Y23,1))</f>
        <v>-1541</v>
      </c>
      <c r="Z24" s="265">
        <f>IF(COUNT(Z23)=0,"",ROUND(Z15-Z23,1))</f>
        <v>-1508</v>
      </c>
      <c r="AA24" s="265">
        <f>IF(COUNT(AA23)=0,"",ROUND(AA15-AA23,1))</f>
        <v>-1423</v>
      </c>
      <c r="AB24" s="266">
        <f>IF(COUNT(AB23)=0,"",ROUND(AB15-AB23,1))</f>
        <v>-5962</v>
      </c>
      <c r="AC24" s="265">
        <f>IF(COUNT(AC23)=0,"",ROUND(AC15-AC23,1))</f>
        <v>-2171</v>
      </c>
      <c r="AD24" s="265">
        <f>IF(COUNT(AD23)=0,"",ROUND(AD15-AD23,1))</f>
        <v>-2385</v>
      </c>
      <c r="AE24" s="265">
        <f>IF(COUNT(AE23)=0,"",ROUND(AE15-AE23,1))</f>
        <v>-1705</v>
      </c>
      <c r="AF24" s="265">
        <f>IF(COUNT(AF23)=0,"",ROUND(AF15-AF23,1))</f>
        <v>-1641</v>
      </c>
      <c r="AG24" s="266">
        <f>IF(COUNT(AG23)=0,"",ROUND(AG15-AG23,1))</f>
        <v>-7902</v>
      </c>
      <c r="AH24" s="266">
        <f>IF(COUNT(AH23)=0,"",ROUND(AH15-AH23,1))</f>
        <v>-1670</v>
      </c>
      <c r="AI24" s="266">
        <f>IF(COUNT(AI23)=0,"",ROUND(AI15-AI23,1))</f>
        <v>-1834</v>
      </c>
    </row>
    <row r="25">
      <c r="C25" s="14" t="inlineStr">
        <is>
          <t xml:space="preserve">   % YoY Construction Industries</t>
        </is>
      </c>
      <c r="D25" s="268" t="str">
        <f>""</f>
        <v/>
      </c>
      <c r="E25" s="268" t="str">
        <f>""</f>
        <v/>
      </c>
      <c r="F25" s="268" t="str">
        <f>""</f>
        <v/>
      </c>
      <c r="G25" s="268" t="str">
        <f>""</f>
        <v/>
      </c>
      <c r="H25" s="269" t="str">
        <f>""</f>
        <v/>
      </c>
      <c r="I25" s="268">
        <f>IFERROR(I19/D19-1,"")</f>
        <v>0.26182745825603</v>
      </c>
      <c r="J25" s="268">
        <f>IFERROR(J19/E19-1,"")</f>
        <v>0.389632936507937</v>
      </c>
      <c r="K25" s="268">
        <f>IFERROR(K19/F19-1,"")</f>
        <v>0.299654150197628</v>
      </c>
      <c r="L25" s="268" t="str">
        <f>IFERROR(L19/G19-1,"")</f>
        <v/>
      </c>
      <c r="M25" s="269" t="str">
        <f>IFERROR(M19/H19-1,"")</f>
        <v/>
      </c>
      <c r="N25" s="268">
        <f>IFERROR(N19/I19-1,"")</f>
        <v>0.118544385223305</v>
      </c>
      <c r="O25" s="268">
        <f>IFERROR(O19/J19-1,"")</f>
        <v>0.07674460110655</v>
      </c>
      <c r="P25" s="268">
        <f>IFERROR(P19/K19-1,"")</f>
        <v>0.192929100931382</v>
      </c>
      <c r="Q25" s="268" t="str">
        <f>IFERROR(Q19/L19-1,"")</f>
        <v/>
      </c>
      <c r="R25" s="269" t="str">
        <f>IFERROR(R19/M19-1,"")</f>
        <v/>
      </c>
      <c r="S25" s="268">
        <f>IFERROR(S19/N19-1,"")</f>
        <v>0.108445612882024</v>
      </c>
      <c r="T25" s="268">
        <f>IFERROR(T19/O19-1,"")</f>
        <v>0.185811370793967</v>
      </c>
      <c r="U25" s="268">
        <f>IFERROR(U19/P19-1,"")</f>
        <v>0.115200764818356</v>
      </c>
      <c r="V25" s="268">
        <f>IFERROR(V19/Q19-1,"")</f>
        <v>-0.0476260043827611</v>
      </c>
      <c r="W25" s="269">
        <f>IFERROR(W19/R19-1,"")</f>
        <v>0.0862916006339145</v>
      </c>
      <c r="X25" s="268">
        <f>IFERROR(X19/S19-1,"")</f>
        <v>-0.0477319893270086</v>
      </c>
      <c r="Y25" s="268">
        <f>IFERROR(Y19/T19-1,"")</f>
        <v>-0.0658372938216383</v>
      </c>
      <c r="Z25" s="268">
        <f>IFERROR(Z19/U19-1,"")</f>
        <v>-0.0934419202743249</v>
      </c>
      <c r="AA25" s="268">
        <f>IFERROR(AA19/V19-1,"")</f>
        <v>-0.0791532443626323</v>
      </c>
      <c r="AB25" s="269">
        <f>IFERROR(AB19/W19-1,"")</f>
        <v>-0.0715953023561164</v>
      </c>
      <c r="AC25" s="268">
        <f>IFERROR(AC19/X19-1,"")</f>
        <v>-0.193026151930262</v>
      </c>
      <c r="AD25" s="268">
        <f>IFERROR(AD19/Y19-1,"")</f>
        <v>-0.0737692653000149</v>
      </c>
      <c r="AE25" s="268">
        <f>IFERROR(AE19/Z19-1,"")</f>
        <v>0.0654058313632782</v>
      </c>
      <c r="AF25" s="268">
        <f>IFERROR(AF19/AA19-1,"")</f>
        <v>0.15375645510578</v>
      </c>
      <c r="AG25" s="269">
        <f>IFERROR(AG19/AB19-1,"")</f>
        <v>-0.0155175800432135</v>
      </c>
      <c r="AH25" s="269">
        <f>IFERROR(AH19/AC19-1,"")</f>
        <v>0.381365740740741</v>
      </c>
      <c r="AI25" s="269">
        <f>IFERROR(AI19/AD19-1,"")</f>
        <v>0.348303715670436</v>
      </c>
    </row>
    <row r="26">
      <c r="C26" s="14" t="inlineStr">
        <is>
          <t xml:space="preserve">   % YoY Resource Industries</t>
        </is>
      </c>
      <c r="D26" s="268" t="str">
        <f>""</f>
        <v/>
      </c>
      <c r="E26" s="268" t="str">
        <f>""</f>
        <v/>
      </c>
      <c r="F26" s="268" t="str">
        <f>""</f>
        <v/>
      </c>
      <c r="G26" s="268" t="str">
        <f>""</f>
        <v/>
      </c>
      <c r="H26" s="269" t="str">
        <f>""</f>
        <v/>
      </c>
      <c r="I26" s="268">
        <f>IFERROR(I20/D20-1,"")</f>
        <v>0.0596260737746337</v>
      </c>
      <c r="J26" s="268">
        <f>IFERROR(J20/E20-1,"")</f>
        <v>0.445029239766082</v>
      </c>
      <c r="K26" s="268">
        <f>IFERROR(K20/F20-1,"")</f>
        <v>0.344483568075117</v>
      </c>
      <c r="L26" s="268" t="str">
        <f>IFERROR(L20/G20-1,"")</f>
        <v/>
      </c>
      <c r="M26" s="269" t="str">
        <f>IFERROR(M20/H20-1,"")</f>
        <v/>
      </c>
      <c r="N26" s="268">
        <f>IFERROR(N20/I20-1,"")</f>
        <v>0.315689079637578</v>
      </c>
      <c r="O26" s="268">
        <f>IFERROR(O20/J20-1,"")</f>
        <v>0.198300283286119</v>
      </c>
      <c r="P26" s="268">
        <f>IFERROR(P20/K20-1,"")</f>
        <v>0.347446529899607</v>
      </c>
      <c r="Q26" s="268" t="str">
        <f>IFERROR(Q20/L20-1,"")</f>
        <v/>
      </c>
      <c r="R26" s="269" t="str">
        <f>IFERROR(R20/M20-1,"")</f>
        <v/>
      </c>
      <c r="S26" s="268">
        <f>IFERROR(S20/N20-1,"")</f>
        <v>0.242116708952519</v>
      </c>
      <c r="T26" s="268">
        <f>IFERROR(T20/O20-1,"")</f>
        <v>0.203309692671395</v>
      </c>
      <c r="U26" s="268">
        <f>IFERROR(U20/P20-1,"")</f>
        <v>0.0855199222546161</v>
      </c>
      <c r="V26" s="268">
        <f>IFERROR(V20/Q20-1,"")</f>
        <v>-0.0564610011641443</v>
      </c>
      <c r="W26" s="269">
        <f>IFERROR(W20/R20-1,"")</f>
        <v>0.109450298129543</v>
      </c>
      <c r="X26" s="268">
        <f>IFERROR(X20/S20-1,"")</f>
        <v>-0.0682812955938138</v>
      </c>
      <c r="Y26" s="268">
        <f>IFERROR(Y20/T20-1,"")</f>
        <v>-0.100196463654224</v>
      </c>
      <c r="Z26" s="268">
        <f>IFERROR(Z20/U20-1,"")</f>
        <v>-0.0904207699194271</v>
      </c>
      <c r="AA26" s="268">
        <f>IFERROR(AA20/V20-1,"")</f>
        <v>-0.0863664404688463</v>
      </c>
      <c r="AB26" s="269">
        <f>IFERROR(AB20/W20-1,"")</f>
        <v>-0.0864315688728558</v>
      </c>
      <c r="AC26" s="268">
        <f>IFERROR(AC20/X20-1,"")</f>
        <v>0.146570623238334</v>
      </c>
      <c r="AD26" s="268">
        <f>IFERROR(AD20/Y20-1,"")</f>
        <v>0.212102308172177</v>
      </c>
      <c r="AE26" s="268">
        <f>IFERROR(AE20/Z20-1,"")</f>
        <v>0.0203412073490814</v>
      </c>
      <c r="AF26" s="268">
        <f>IFERROR(AF20/AA20-1,"")</f>
        <v>0.132005401755571</v>
      </c>
      <c r="AG26" s="269">
        <f>IFERROR(AG20/AB20-1,"")</f>
        <v>0.129019260214361</v>
      </c>
      <c r="AH26" s="269">
        <f>IFERROR(AH20/AC20-1,"")</f>
        <v>0.0371483201311118</v>
      </c>
      <c r="AI26" s="269">
        <f>IFERROR(AI20/AD20-1,"")</f>
        <v>0.196088522902728</v>
      </c>
    </row>
    <row r="27">
      <c r="C27" s="14" t="inlineStr">
        <is>
          <t xml:space="preserve">   % YoY Energy &amp; Transportation / Power &amp; Energy</t>
        </is>
      </c>
      <c r="D27" s="268" t="str">
        <f>""</f>
        <v/>
      </c>
      <c r="E27" s="268" t="str">
        <f>""</f>
        <v/>
      </c>
      <c r="F27" s="268" t="str">
        <f>""</f>
        <v/>
      </c>
      <c r="G27" s="268" t="str">
        <f>""</f>
        <v/>
      </c>
      <c r="H27" s="269" t="str">
        <f>""</f>
        <v/>
      </c>
      <c r="I27" s="268">
        <f>IFERROR(I21/D21-1,"")</f>
        <v>0.0110558319513543</v>
      </c>
      <c r="J27" s="268">
        <f>IFERROR(J21/E21-1,"")</f>
        <v>0.163513131883649</v>
      </c>
      <c r="K27" s="268">
        <f>IFERROR(K21/F21-1,"")</f>
        <v>0.191654676258993</v>
      </c>
      <c r="L27" s="268" t="str">
        <f>IFERROR(L21/G21-1,"")</f>
        <v/>
      </c>
      <c r="M27" s="269" t="str">
        <f>IFERROR(M21/H21-1,"")</f>
        <v/>
      </c>
      <c r="N27" s="268">
        <f>IFERROR(N21/I21-1,"")</f>
        <v>0.102241662110443</v>
      </c>
      <c r="O27" s="268">
        <f>IFERROR(O21/J21-1,"")</f>
        <v>0.384708737864078</v>
      </c>
      <c r="P27" s="268">
        <f>IFERROR(P21/K21-1,"")</f>
        <v>0.493842067133543</v>
      </c>
      <c r="Q27" s="268" t="str">
        <f>IFERROR(Q21/L21-1,"")</f>
        <v/>
      </c>
      <c r="R27" s="269" t="str">
        <f>IFERROR(R21/M21-1,"")</f>
        <v/>
      </c>
      <c r="S27" s="268">
        <f>IFERROR(S21/N21-1,"")</f>
        <v>0.55109126984127</v>
      </c>
      <c r="T27" s="268">
        <f>IFERROR(T21/O21-1,"")</f>
        <v>0.265381244522349</v>
      </c>
      <c r="U27" s="268">
        <f>IFERROR(U21/P21-1,"")</f>
        <v>0.108794051083091</v>
      </c>
      <c r="V27" s="268">
        <f>IFERROR(V21/Q21-1,"")</f>
        <v>0.123992378719038</v>
      </c>
      <c r="W27" s="269">
        <f>IFERROR(W21/R21-1,"")</f>
        <v>0.231029631583575</v>
      </c>
      <c r="X27" s="268">
        <f>IFERROR(X21/S21-1,"")</f>
        <v>0.0682763031659739</v>
      </c>
      <c r="Y27" s="268">
        <f>IFERROR(Y21/T21-1,"")</f>
        <v>0.0163457542595928</v>
      </c>
      <c r="Z27" s="268">
        <f>IFERROR(Z21/U21-1,"")</f>
        <v>0.0478203819798804</v>
      </c>
      <c r="AA27" s="268">
        <f>IFERROR(AA21/V21-1,"")</f>
        <v>-0.00260790194288696</v>
      </c>
      <c r="AB27" s="269">
        <f>IFERROR(AB21/W21-1,"")</f>
        <v>0.0304631977429377</v>
      </c>
      <c r="AC27" s="268">
        <f>IFERROR(AC21/X21-1,"")</f>
        <v>-0.016913635683281</v>
      </c>
      <c r="AD27" s="268">
        <f>IFERROR(AD21/Y21-1,"")</f>
        <v>0.0680114488210439</v>
      </c>
      <c r="AE27" s="268">
        <f>IFERROR(AE21/Z21-1,"")</f>
        <v>0.168359538054821</v>
      </c>
      <c r="AF27" s="268">
        <f>IFERROR(AF21/AA21-1,"")</f>
        <v>0.228918812916721</v>
      </c>
      <c r="AG27" s="269">
        <f>IFERROR(AG21/AB21-1,"")</f>
        <v>0.115997781936647</v>
      </c>
      <c r="AH27" s="269">
        <f>IFERROR(AH21/AC21-1,"")</f>
        <v>0.0704933008526187</v>
      </c>
      <c r="AI27" s="269">
        <f>IFERROR(AI21/AD21-1,"")</f>
        <v>0.0513016845329251</v>
      </c>
    </row>
    <row r="28"/>
    <row r="29">
      <c r="C29" s="12" t="inlineStr">
        <is>
          <t>Outras aberturas (USD milhões)</t>
        </is>
      </c>
      <c r="D29" s="12" t="str">
        <f>D7</f>
        <v>1Q20</v>
      </c>
      <c r="E29" s="12" t="str">
        <f>E7</f>
        <v>2Q20</v>
      </c>
      <c r="F29" s="12" t="str">
        <f>F7</f>
        <v>3Q20</v>
      </c>
      <c r="G29" s="12" t="str">
        <f>G7</f>
        <v>4Q20</v>
      </c>
      <c r="H29" s="12">
        <f>H7</f>
        <v>2020</v>
      </c>
      <c r="I29" s="12" t="str">
        <f>I7</f>
        <v>1Q21</v>
      </c>
      <c r="J29" s="12" t="str">
        <f>J7</f>
        <v>2Q21</v>
      </c>
      <c r="K29" s="12" t="str">
        <f>K7</f>
        <v>3Q21</v>
      </c>
      <c r="L29" s="12" t="str">
        <f>L7</f>
        <v>4Q21</v>
      </c>
      <c r="M29" s="12">
        <f>M7</f>
        <v>2021</v>
      </c>
      <c r="N29" s="12" t="str">
        <f>N7</f>
        <v>1Q22</v>
      </c>
      <c r="O29" s="12" t="str">
        <f>O7</f>
        <v>2Q22</v>
      </c>
      <c r="P29" s="12" t="str">
        <f>P7</f>
        <v>3Q22</v>
      </c>
      <c r="Q29" s="12" t="str">
        <f>Q7</f>
        <v>4Q22</v>
      </c>
      <c r="R29" s="12">
        <f>R7</f>
        <v>2022</v>
      </c>
      <c r="S29" s="12" t="str">
        <f>S7</f>
        <v>1Q23</v>
      </c>
      <c r="T29" s="12" t="str">
        <f>T7</f>
        <v>2Q23</v>
      </c>
      <c r="U29" s="12" t="str">
        <f>U7</f>
        <v>3Q23</v>
      </c>
      <c r="V29" s="12" t="str">
        <f>V7</f>
        <v>4Q23</v>
      </c>
      <c r="W29" s="12">
        <f>W7</f>
        <v>2023</v>
      </c>
      <c r="X29" s="12" t="str">
        <f>X7</f>
        <v>1Q24</v>
      </c>
      <c r="Y29" s="12" t="str">
        <f>Y7</f>
        <v>2Q24</v>
      </c>
      <c r="Z29" s="12" t="str">
        <f>Z7</f>
        <v>3Q24</v>
      </c>
      <c r="AA29" s="12" t="str">
        <f>AA7</f>
        <v>4Q24</v>
      </c>
      <c r="AB29" s="12">
        <f>AB7</f>
        <v>2024</v>
      </c>
      <c r="AC29" s="12" t="str">
        <f>AC7</f>
        <v>1Q25</v>
      </c>
      <c r="AD29" s="12" t="str">
        <f>AD7</f>
        <v>2Q25</v>
      </c>
      <c r="AE29" s="12" t="str">
        <f>AE7</f>
        <v>3Q25</v>
      </c>
      <c r="AF29" s="12" t="str">
        <f>AF7</f>
        <v>4Q25</v>
      </c>
      <c r="AG29" s="12">
        <f>AG7</f>
        <v>2025</v>
      </c>
      <c r="AH29" s="12" t="str">
        <f>AH7</f>
        <v>1Q26</v>
      </c>
      <c r="AI29" s="12" t="str">
        <f>AI7</f>
        <v>2Q26</v>
      </c>
    </row>
    <row r="30">
      <c r="C30" s="14" t="inlineStr">
        <is>
          <t xml:space="preserve">   Receita América do Norte</t>
        </is>
      </c>
      <c r="D30" s="265">
        <f>IFERROR(INDEX('Inputs (2)'!$D$57:$AL$57,MATCH(D$7,'Inputs (2)'!$D$2:$AL$2,0)),"")</f>
        <v>4980</v>
      </c>
      <c r="E30" s="265">
        <f>IFERROR(INDEX('Inputs (2)'!$D$57:$AL$57,MATCH(E$7,'Inputs (2)'!$D$2:$AL$2,0)),"")</f>
        <v>4386</v>
      </c>
      <c r="F30" s="265">
        <f>IFERROR(INDEX('Inputs (2)'!$D$57:$AL$57,MATCH(F$7,'Inputs (2)'!$D$2:$AL$2,0)),"")</f>
        <v>4251</v>
      </c>
      <c r="G30" s="265">
        <f>IFERROR(INDEX('Inputs (2)'!$D$57:$AL$57,MATCH(G$7,'Inputs (2)'!$D$2:$AL$2,0)),"")</f>
        <v>4597</v>
      </c>
      <c r="H30" s="266">
        <f>IF(COUNT(D30:G30)=4,SUM(D30:G30),"")</f>
        <v>18214</v>
      </c>
      <c r="I30" s="265">
        <f>IFERROR(INDEX('Inputs (2)'!$D$57:$AL$57,MATCH(I$7,'Inputs (2)'!$D$2:$AL$2,0)),"")</f>
        <v>4991</v>
      </c>
      <c r="J30" s="265">
        <f>IFERROR(INDEX('Inputs (2)'!$D$57:$AL$57,MATCH(J$7,'Inputs (2)'!$D$2:$AL$2,0)),"")</f>
        <v>5719</v>
      </c>
      <c r="K30" s="265">
        <f>IFERROR(INDEX('Inputs (2)'!$D$57:$AL$57,MATCH(K$7,'Inputs (2)'!$D$2:$AL$2,0)),"")</f>
        <v>5455</v>
      </c>
      <c r="L30" s="265" t="str">
        <f>IFERROR(INDEX('Inputs (2)'!$D$57:$AL$57,MATCH(L$7,'Inputs (2)'!$D$2:$AL$2,0)),"")</f>
        <v/>
      </c>
      <c r="M30" s="266" t="str">
        <f>IF(COUNT(I30:L30)=4,SUM(I30:L30),"")</f>
        <v/>
      </c>
      <c r="N30" s="265">
        <f>IFERROR(INDEX('Inputs (2)'!$D$57:$AL$57,MATCH(N$7,'Inputs (2)'!$D$2:$AL$2,0)),"")</f>
        <v>6137</v>
      </c>
      <c r="O30" s="265">
        <f>IFERROR(INDEX('Inputs (2)'!$D$57:$AL$57,MATCH(O$7,'Inputs (2)'!$D$2:$AL$2,0)),"")</f>
        <v>6771</v>
      </c>
      <c r="P30" s="265">
        <f>IFERROR(INDEX('Inputs (2)'!$D$57:$AL$57,MATCH(P$7,'Inputs (2)'!$D$2:$AL$2,0)),"")</f>
        <v>7135</v>
      </c>
      <c r="Q30" s="265">
        <f>IFERROR(INDEX('Inputs (2)'!$D$57:$AL$57,MATCH(Q$7,'Inputs (2)'!$D$2:$AL$2,0)),"")</f>
        <v>7938</v>
      </c>
      <c r="R30" s="266">
        <f>IF(COUNT(N30:Q30)=4,SUM(N30:Q30),"")</f>
        <v>27981</v>
      </c>
      <c r="S30" s="265">
        <f>IFERROR(INDEX('Inputs (2)'!$D$57:$AL$57,MATCH(S$7,'Inputs (2)'!$D$2:$AL$2,0)),"")</f>
        <v>7950</v>
      </c>
      <c r="T30" s="265">
        <f>IFERROR(INDEX('Inputs (2)'!$D$57:$AL$57,MATCH(T$7,'Inputs (2)'!$D$2:$AL$2,0)),"")</f>
        <v>8922</v>
      </c>
      <c r="U30" s="265">
        <f>IFERROR(INDEX('Inputs (2)'!$D$57:$AL$57,MATCH(U$7,'Inputs (2)'!$D$2:$AL$2,0)),"")</f>
        <v>8927</v>
      </c>
      <c r="V30" s="265">
        <f>IFERROR(INDEX('Inputs (2)'!$D$57:$AL$57,MATCH(V$7,'Inputs (2)'!$D$2:$AL$2,0)),"")</f>
        <v>8807</v>
      </c>
      <c r="W30" s="266">
        <f>IF(COUNT(S30:V30)=4,SUM(S30:V30),"")</f>
        <v>34606</v>
      </c>
      <c r="X30" s="265">
        <f>IFERROR(INDEX('Inputs (2)'!$D$57:$AL$57,MATCH(X$7,'Inputs (2)'!$D$2:$AL$2,0)),"")</f>
        <v>8573</v>
      </c>
      <c r="Y30" s="265">
        <f>IFERROR(INDEX('Inputs (2)'!$D$57:$AL$57,MATCH(Y$7,'Inputs (2)'!$D$2:$AL$2,0)),"")</f>
        <v>9043</v>
      </c>
      <c r="Z30" s="265">
        <f>IFERROR(INDEX('Inputs (2)'!$D$57:$AL$57,MATCH(Z$7,'Inputs (2)'!$D$2:$AL$2,0)),"")</f>
        <v>8545</v>
      </c>
      <c r="AA30" s="265">
        <f>IFERROR(INDEX('Inputs (2)'!$D$57:$AL$57,MATCH(AA$7,'Inputs (2)'!$D$2:$AL$2,0)),"")</f>
        <v>8236</v>
      </c>
      <c r="AB30" s="266">
        <f>IF(COUNT(X30:AA30)=4,SUM(X30:AA30),"")</f>
        <v>34397</v>
      </c>
      <c r="AC30" s="265">
        <f>IFERROR(INDEX('Inputs (2)'!$D$57:$AL$57,MATCH(AC$7,'Inputs (2)'!$D$2:$AL$2,0)),"")</f>
        <v>7738</v>
      </c>
      <c r="AD30" s="265">
        <f>IFERROR(INDEX('Inputs (2)'!$D$57:$AL$57,MATCH(AD$7,'Inputs (2)'!$D$2:$AL$2,0)),"")</f>
        <v>8851</v>
      </c>
      <c r="AE30" s="265">
        <f>IFERROR(INDEX('Inputs (2)'!$D$57:$AL$57,MATCH(AE$7,'Inputs (2)'!$D$2:$AL$2,0)),"")</f>
        <v>9681</v>
      </c>
      <c r="AF30" s="265">
        <f>IFERROR(INDEX('Inputs (2)'!$D$57:$AL$57,MATCH(AF$7,'Inputs (2)'!$D$2:$AL$2,0)),"")</f>
        <v>10339</v>
      </c>
      <c r="AG30" s="266">
        <f>IF(COUNT(AC30:AF30)=4,SUM(AC30:AF30),"")</f>
        <v>36609</v>
      </c>
      <c r="AH30" s="266">
        <f>IFERROR(INDEX('Inputs (2)'!$D$57:$AL$57,MATCH(AH$7,'Inputs (2)'!$D$2:$AL$2,0)),"")</f>
        <v>10230</v>
      </c>
      <c r="AI30" s="266">
        <f>IFERROR(INDEX('Inputs (2)'!$D$57:$AL$57,MATCH(AI$7,'Inputs (2)'!$D$2:$AL$2,0)),"")</f>
        <v>12094</v>
      </c>
    </row>
    <row r="31">
      <c r="C31" s="14" t="inlineStr">
        <is>
          <t xml:space="preserve">   Receita América Latina</t>
        </is>
      </c>
      <c r="D31" s="265">
        <f>IFERROR(INDEX('Inputs (2)'!$D$58:$AL$58,MATCH(D$7,'Inputs (2)'!$D$2:$AL$2,0)),"")</f>
        <v>892</v>
      </c>
      <c r="E31" s="265">
        <f>IFERROR(INDEX('Inputs (2)'!$D$58:$AL$58,MATCH(E$7,'Inputs (2)'!$D$2:$AL$2,0)),"")</f>
        <v>730</v>
      </c>
      <c r="F31" s="265">
        <f>IFERROR(INDEX('Inputs (2)'!$D$58:$AL$58,MATCH(F$7,'Inputs (2)'!$D$2:$AL$2,0)),"")</f>
        <v>772</v>
      </c>
      <c r="G31" s="265">
        <f>IFERROR(INDEX('Inputs (2)'!$D$58:$AL$58,MATCH(G$7,'Inputs (2)'!$D$2:$AL$2,0)),"")</f>
        <v>1038</v>
      </c>
      <c r="H31" s="266">
        <f>IF(COUNT(D31:G31)=4,SUM(D31:G31),"")</f>
        <v>3432</v>
      </c>
      <c r="I31" s="265">
        <f>IFERROR(INDEX('Inputs (2)'!$D$58:$AL$58,MATCH(I$7,'Inputs (2)'!$D$2:$AL$2,0)),"")</f>
        <v>1104</v>
      </c>
      <c r="J31" s="265">
        <f>IFERROR(INDEX('Inputs (2)'!$D$58:$AL$58,MATCH(J$7,'Inputs (2)'!$D$2:$AL$2,0)),"")</f>
        <v>1221</v>
      </c>
      <c r="K31" s="265">
        <f>IFERROR(INDEX('Inputs (2)'!$D$58:$AL$58,MATCH(K$7,'Inputs (2)'!$D$2:$AL$2,0)),"")</f>
        <v>1329</v>
      </c>
      <c r="L31" s="265" t="str">
        <f>IFERROR(INDEX('Inputs (2)'!$D$58:$AL$58,MATCH(L$7,'Inputs (2)'!$D$2:$AL$2,0)),"")</f>
        <v/>
      </c>
      <c r="M31" s="266" t="str">
        <f>IF(COUNT(I31:L31)=4,SUM(I31:L31),"")</f>
        <v/>
      </c>
      <c r="N31" s="265">
        <f>IFERROR(INDEX('Inputs (2)'!$D$58:$AL$58,MATCH(N$7,'Inputs (2)'!$D$2:$AL$2,0)),"")</f>
        <v>1393</v>
      </c>
      <c r="O31" s="265">
        <f>IFERROR(INDEX('Inputs (2)'!$D$58:$AL$58,MATCH(O$7,'Inputs (2)'!$D$2:$AL$2,0)),"")</f>
        <v>1547</v>
      </c>
      <c r="P31" s="265">
        <f>IFERROR(INDEX('Inputs (2)'!$D$58:$AL$58,MATCH(P$7,'Inputs (2)'!$D$2:$AL$2,0)),"")</f>
        <v>1809</v>
      </c>
      <c r="Q31" s="265">
        <f>IFERROR(INDEX('Inputs (2)'!$D$58:$AL$58,MATCH(Q$7,'Inputs (2)'!$D$2:$AL$2,0)),"")</f>
        <v>1989</v>
      </c>
      <c r="R31" s="266">
        <f>IF(COUNT(N31:Q31)=4,SUM(N31:Q31),"")</f>
        <v>6738</v>
      </c>
      <c r="S31" s="265">
        <f>IFERROR(INDEX('Inputs (2)'!$D$58:$AL$58,MATCH(S$7,'Inputs (2)'!$D$2:$AL$2,0)),"")</f>
        <v>1539</v>
      </c>
      <c r="T31" s="265">
        <f>IFERROR(INDEX('Inputs (2)'!$D$58:$AL$58,MATCH(T$7,'Inputs (2)'!$D$2:$AL$2,0)),"")</f>
        <v>1642</v>
      </c>
      <c r="U31" s="265">
        <f>IFERROR(INDEX('Inputs (2)'!$D$58:$AL$58,MATCH(U$7,'Inputs (2)'!$D$2:$AL$2,0)),"")</f>
        <v>1603</v>
      </c>
      <c r="V31" s="265">
        <f>IFERROR(INDEX('Inputs (2)'!$D$58:$AL$58,MATCH(V$7,'Inputs (2)'!$D$2:$AL$2,0)),"")</f>
        <v>1881</v>
      </c>
      <c r="W31" s="266">
        <f>IF(COUNT(S31:V31)=4,SUM(S31:V31),"")</f>
        <v>6665</v>
      </c>
      <c r="X31" s="265">
        <f>IFERROR(INDEX('Inputs (2)'!$D$58:$AL$58,MATCH(X$7,'Inputs (2)'!$D$2:$AL$2,0)),"")</f>
        <v>1559</v>
      </c>
      <c r="Y31" s="265">
        <f>IFERROR(INDEX('Inputs (2)'!$D$58:$AL$58,MATCH(Y$7,'Inputs (2)'!$D$2:$AL$2,0)),"")</f>
        <v>1719</v>
      </c>
      <c r="Z31" s="265">
        <f>IFERROR(INDEX('Inputs (2)'!$D$58:$AL$58,MATCH(Z$7,'Inputs (2)'!$D$2:$AL$2,0)),"")</f>
        <v>1678</v>
      </c>
      <c r="AA31" s="265">
        <f>IFERROR(INDEX('Inputs (2)'!$D$58:$AL$58,MATCH(AA$7,'Inputs (2)'!$D$2:$AL$2,0)),"")</f>
        <v>1752</v>
      </c>
      <c r="AB31" s="266">
        <f>IF(COUNT(X31:AA31)=4,SUM(X31:AA31),"")</f>
        <v>6708</v>
      </c>
      <c r="AC31" s="265">
        <f>IFERROR(INDEX('Inputs (2)'!$D$58:$AL$58,MATCH(AC$7,'Inputs (2)'!$D$2:$AL$2,0)),"")</f>
        <v>1515</v>
      </c>
      <c r="AD31" s="265">
        <f>IFERROR(INDEX('Inputs (2)'!$D$58:$AL$58,MATCH(AD$7,'Inputs (2)'!$D$2:$AL$2,0)),"")</f>
        <v>1656</v>
      </c>
      <c r="AE31" s="265">
        <f>IFERROR(INDEX('Inputs (2)'!$D$58:$AL$58,MATCH(AE$7,'Inputs (2)'!$D$2:$AL$2,0)),"")</f>
        <v>1850</v>
      </c>
      <c r="AF31" s="265">
        <f>IFERROR(INDEX('Inputs (2)'!$D$58:$AL$58,MATCH(AF$7,'Inputs (2)'!$D$2:$AL$2,0)),"")</f>
        <v>1967</v>
      </c>
      <c r="AG31" s="266">
        <f>IF(COUNT(AC31:AF31)=4,SUM(AC31:AF31),"")</f>
        <v>6988</v>
      </c>
      <c r="AH31" s="266">
        <f>IFERROR(INDEX('Inputs (2)'!$D$58:$AL$58,MATCH(AH$7,'Inputs (2)'!$D$2:$AL$2,0)),"")</f>
        <v>1592</v>
      </c>
      <c r="AI31" s="266">
        <f>IFERROR(INDEX('Inputs (2)'!$D$58:$AL$58,MATCH(AI$7,'Inputs (2)'!$D$2:$AL$2,0)),"")</f>
        <v>1821</v>
      </c>
    </row>
    <row r="32">
      <c r="C32" s="14" t="inlineStr">
        <is>
          <t xml:space="preserve">   Receita EAME</t>
        </is>
      </c>
      <c r="D32" s="265">
        <f>IFERROR(INDEX('Inputs (2)'!$D$59:$AL$59,MATCH(D$7,'Inputs (2)'!$D$2:$AL$2,0)),"")</f>
        <v>2437</v>
      </c>
      <c r="E32" s="265">
        <f>IFERROR(INDEX('Inputs (2)'!$D$59:$AL$59,MATCH(E$7,'Inputs (2)'!$D$2:$AL$2,0)),"")</f>
        <v>2333</v>
      </c>
      <c r="F32" s="265">
        <f>IFERROR(INDEX('Inputs (2)'!$D$59:$AL$59,MATCH(F$7,'Inputs (2)'!$D$2:$AL$2,0)),"")</f>
        <v>2384</v>
      </c>
      <c r="G32" s="265">
        <f>IFERROR(INDEX('Inputs (2)'!$D$59:$AL$59,MATCH(G$7,'Inputs (2)'!$D$2:$AL$2,0)),"")</f>
        <v>2704</v>
      </c>
      <c r="H32" s="266">
        <f>IF(COUNT(D32:G32)=4,SUM(D32:G32),"")</f>
        <v>9858</v>
      </c>
      <c r="I32" s="265">
        <f>IFERROR(INDEX('Inputs (2)'!$D$59:$AL$59,MATCH(I$7,'Inputs (2)'!$D$2:$AL$2,0)),"")</f>
        <v>2743</v>
      </c>
      <c r="J32" s="265">
        <f>IFERROR(INDEX('Inputs (2)'!$D$59:$AL$59,MATCH(J$7,'Inputs (2)'!$D$2:$AL$2,0)),"")</f>
        <v>3102</v>
      </c>
      <c r="K32" s="265">
        <f>IFERROR(INDEX('Inputs (2)'!$D$59:$AL$59,MATCH(K$7,'Inputs (2)'!$D$2:$AL$2,0)),"")</f>
        <v>2939</v>
      </c>
      <c r="L32" s="265" t="str">
        <f>IFERROR(INDEX('Inputs (2)'!$D$59:$AL$59,MATCH(L$7,'Inputs (2)'!$D$2:$AL$2,0)),"")</f>
        <v/>
      </c>
      <c r="M32" s="266" t="str">
        <f>IF(COUNT(I32:L32)=4,SUM(I32:L32),"")</f>
        <v/>
      </c>
      <c r="N32" s="265">
        <f>IFERROR(INDEX('Inputs (2)'!$D$59:$AL$59,MATCH(N$7,'Inputs (2)'!$D$2:$AL$2,0)),"")</f>
        <v>3145</v>
      </c>
      <c r="O32" s="265">
        <f>IFERROR(INDEX('Inputs (2)'!$D$59:$AL$59,MATCH(O$7,'Inputs (2)'!$D$2:$AL$2,0)),"")</f>
        <v>2998</v>
      </c>
      <c r="P32" s="265">
        <f>IFERROR(INDEX('Inputs (2)'!$D$59:$AL$59,MATCH(P$7,'Inputs (2)'!$D$2:$AL$2,0)),"")</f>
        <v>3145</v>
      </c>
      <c r="Q32" s="265">
        <f>IFERROR(INDEX('Inputs (2)'!$D$59:$AL$59,MATCH(Q$7,'Inputs (2)'!$D$2:$AL$2,0)),"")</f>
        <v>3526</v>
      </c>
      <c r="R32" s="266">
        <f>IF(COUNT(N32:Q32)=4,SUM(N32:Q32),"")</f>
        <v>12814</v>
      </c>
      <c r="S32" s="265">
        <f>IFERROR(INDEX('Inputs (2)'!$D$59:$AL$59,MATCH(S$7,'Inputs (2)'!$D$2:$AL$2,0)),"")</f>
        <v>3418</v>
      </c>
      <c r="T32" s="265">
        <f>IFERROR(INDEX('Inputs (2)'!$D$59:$AL$59,MATCH(T$7,'Inputs (2)'!$D$2:$AL$2,0)),"")</f>
        <v>3533</v>
      </c>
      <c r="U32" s="265">
        <f>IFERROR(INDEX('Inputs (2)'!$D$59:$AL$59,MATCH(U$7,'Inputs (2)'!$D$2:$AL$2,0)),"")</f>
        <v>3402</v>
      </c>
      <c r="V32" s="265">
        <f>IFERROR(INDEX('Inputs (2)'!$D$59:$AL$59,MATCH(V$7,'Inputs (2)'!$D$2:$AL$2,0)),"")</f>
        <v>3320</v>
      </c>
      <c r="W32" s="266">
        <f>IF(COUNT(S32:V32)=4,SUM(S32:V32),"")</f>
        <v>13673</v>
      </c>
      <c r="X32" s="265">
        <f>IFERROR(INDEX('Inputs (2)'!$D$59:$AL$59,MATCH(X$7,'Inputs (2)'!$D$2:$AL$2,0)),"")</f>
        <v>2852</v>
      </c>
      <c r="Y32" s="265">
        <f>IFERROR(INDEX('Inputs (2)'!$D$59:$AL$59,MATCH(Y$7,'Inputs (2)'!$D$2:$AL$2,0)),"")</f>
        <v>2997</v>
      </c>
      <c r="Z32" s="265">
        <f>IFERROR(INDEX('Inputs (2)'!$D$59:$AL$59,MATCH(Z$7,'Inputs (2)'!$D$2:$AL$2,0)),"")</f>
        <v>3199</v>
      </c>
      <c r="AA32" s="265">
        <f>IFERROR(INDEX('Inputs (2)'!$D$59:$AL$59,MATCH(AA$7,'Inputs (2)'!$D$2:$AL$2,0)),"")</f>
        <v>3268</v>
      </c>
      <c r="AB32" s="266">
        <f>IF(COUNT(X32:AA32)=4,SUM(X32:AA32),"")</f>
        <v>12316</v>
      </c>
      <c r="AC32" s="265">
        <f>IFERROR(INDEX('Inputs (2)'!$D$59:$AL$59,MATCH(AC$7,'Inputs (2)'!$D$2:$AL$2,0)),"")</f>
        <v>2506</v>
      </c>
      <c r="AD32" s="265">
        <f>IFERROR(INDEX('Inputs (2)'!$D$59:$AL$59,MATCH(AD$7,'Inputs (2)'!$D$2:$AL$2,0)),"")</f>
        <v>3180</v>
      </c>
      <c r="AE32" s="265">
        <f>IFERROR(INDEX('Inputs (2)'!$D$59:$AL$59,MATCH(AE$7,'Inputs (2)'!$D$2:$AL$2,0)),"")</f>
        <v>3231</v>
      </c>
      <c r="AF32" s="265">
        <f>IFERROR(INDEX('Inputs (2)'!$D$59:$AL$59,MATCH(AF$7,'Inputs (2)'!$D$2:$AL$2,0)),"")</f>
        <v>3876</v>
      </c>
      <c r="AG32" s="266">
        <f>IF(COUNT(AC32:AF32)=4,SUM(AC32:AF32),"")</f>
        <v>12793</v>
      </c>
      <c r="AH32" s="266">
        <f>IFERROR(INDEX('Inputs (2)'!$D$59:$AL$59,MATCH(AH$7,'Inputs (2)'!$D$2:$AL$2,0)),"")</f>
        <v>3008</v>
      </c>
      <c r="AI32" s="266">
        <f>IFERROR(INDEX('Inputs (2)'!$D$59:$AL$59,MATCH(AI$7,'Inputs (2)'!$D$2:$AL$2,0)),"")</f>
        <v>3625</v>
      </c>
    </row>
    <row r="33">
      <c r="C33" s="14" t="inlineStr">
        <is>
          <t xml:space="preserve">   Receita Ásia-Pacífico</t>
        </is>
      </c>
      <c r="D33" s="265">
        <f>IFERROR(INDEX('Inputs (2)'!$D$60:$AL$60,MATCH(D$7,'Inputs (2)'!$D$2:$AL$2,0)),"")</f>
        <v>2326</v>
      </c>
      <c r="E33" s="265">
        <f>IFERROR(INDEX('Inputs (2)'!$D$60:$AL$60,MATCH(E$7,'Inputs (2)'!$D$2:$AL$2,0)),"")</f>
        <v>2548</v>
      </c>
      <c r="F33" s="265">
        <f>IFERROR(INDEX('Inputs (2)'!$D$60:$AL$60,MATCH(F$7,'Inputs (2)'!$D$2:$AL$2,0)),"")</f>
        <v>2474</v>
      </c>
      <c r="G33" s="265">
        <f>IFERROR(INDEX('Inputs (2)'!$D$60:$AL$60,MATCH(G$7,'Inputs (2)'!$D$2:$AL$2,0)),"")</f>
        <v>2896</v>
      </c>
      <c r="H33" s="266">
        <f>IF(COUNT(D33:G33)=4,SUM(D33:G33),"")</f>
        <v>10244</v>
      </c>
      <c r="I33" s="265">
        <f>IFERROR(INDEX('Inputs (2)'!$D$60:$AL$60,MATCH(I$7,'Inputs (2)'!$D$2:$AL$2,0)),"")</f>
        <v>3049</v>
      </c>
      <c r="J33" s="265">
        <f>IFERROR(INDEX('Inputs (2)'!$D$60:$AL$60,MATCH(J$7,'Inputs (2)'!$D$2:$AL$2,0)),"")</f>
        <v>2847</v>
      </c>
      <c r="K33" s="265">
        <f>IFERROR(INDEX('Inputs (2)'!$D$60:$AL$60,MATCH(K$7,'Inputs (2)'!$D$2:$AL$2,0)),"")</f>
        <v>2674</v>
      </c>
      <c r="L33" s="265" t="str">
        <f>IFERROR(INDEX('Inputs (2)'!$D$60:$AL$60,MATCH(L$7,'Inputs (2)'!$D$2:$AL$2,0)),"")</f>
        <v/>
      </c>
      <c r="M33" s="266" t="str">
        <f>IF(COUNT(I33:L33)=4,SUM(I33:L33),"")</f>
        <v/>
      </c>
      <c r="N33" s="265">
        <f>IFERROR(INDEX('Inputs (2)'!$D$60:$AL$60,MATCH(N$7,'Inputs (2)'!$D$2:$AL$2,0)),"")</f>
        <v>2914</v>
      </c>
      <c r="O33" s="265">
        <f>IFERROR(INDEX('Inputs (2)'!$D$60:$AL$60,MATCH(O$7,'Inputs (2)'!$D$2:$AL$2,0)),"")</f>
        <v>2931</v>
      </c>
      <c r="P33" s="265">
        <f>IFERROR(INDEX('Inputs (2)'!$D$60:$AL$60,MATCH(P$7,'Inputs (2)'!$D$2:$AL$2,0)),"")</f>
        <v>2905</v>
      </c>
      <c r="Q33" s="265">
        <f>IFERROR(INDEX('Inputs (2)'!$D$60:$AL$60,MATCH(Q$7,'Inputs (2)'!$D$2:$AL$2,0)),"")</f>
        <v>3144</v>
      </c>
      <c r="R33" s="266">
        <f>IF(COUNT(N33:Q33)=4,SUM(N33:Q33),"")</f>
        <v>11894</v>
      </c>
      <c r="S33" s="265">
        <f>IFERROR(INDEX('Inputs (2)'!$D$60:$AL$60,MATCH(S$7,'Inputs (2)'!$D$2:$AL$2,0)),"")</f>
        <v>2955</v>
      </c>
      <c r="T33" s="265">
        <f>IFERROR(INDEX('Inputs (2)'!$D$60:$AL$60,MATCH(T$7,'Inputs (2)'!$D$2:$AL$2,0)),"")</f>
        <v>3221</v>
      </c>
      <c r="U33" s="265">
        <f>IFERROR(INDEX('Inputs (2)'!$D$60:$AL$60,MATCH(U$7,'Inputs (2)'!$D$2:$AL$2,0)),"")</f>
        <v>2878</v>
      </c>
      <c r="V33" s="265">
        <f>IFERROR(INDEX('Inputs (2)'!$D$60:$AL$60,MATCH(V$7,'Inputs (2)'!$D$2:$AL$2,0)),"")</f>
        <v>3062</v>
      </c>
      <c r="W33" s="266">
        <f>IF(COUNT(S33:V33)=4,SUM(S33:V33),"")</f>
        <v>12116</v>
      </c>
      <c r="X33" s="265">
        <f>IFERROR(INDEX('Inputs (2)'!$D$60:$AL$60,MATCH(X$7,'Inputs (2)'!$D$2:$AL$2,0)),"")</f>
        <v>2815</v>
      </c>
      <c r="Y33" s="265">
        <f>IFERROR(INDEX('Inputs (2)'!$D$60:$AL$60,MATCH(Y$7,'Inputs (2)'!$D$2:$AL$2,0)),"")</f>
        <v>2930</v>
      </c>
      <c r="Z33" s="265">
        <f>IFERROR(INDEX('Inputs (2)'!$D$60:$AL$60,MATCH(Z$7,'Inputs (2)'!$D$2:$AL$2,0)),"")</f>
        <v>2684</v>
      </c>
      <c r="AA33" s="265">
        <f>IFERROR(INDEX('Inputs (2)'!$D$60:$AL$60,MATCH(AA$7,'Inputs (2)'!$D$2:$AL$2,0)),"")</f>
        <v>2959</v>
      </c>
      <c r="AB33" s="266">
        <f>IF(COUNT(X33:AA33)=4,SUM(X33:AA33),"")</f>
        <v>11388</v>
      </c>
      <c r="AC33" s="265">
        <f>IFERROR(INDEX('Inputs (2)'!$D$60:$AL$60,MATCH(AC$7,'Inputs (2)'!$D$2:$AL$2,0)),"")</f>
        <v>2490</v>
      </c>
      <c r="AD33" s="265">
        <f>IFERROR(INDEX('Inputs (2)'!$D$60:$AL$60,MATCH(AD$7,'Inputs (2)'!$D$2:$AL$2,0)),"")</f>
        <v>2882</v>
      </c>
      <c r="AE33" s="265">
        <f>IFERROR(INDEX('Inputs (2)'!$D$60:$AL$60,MATCH(AE$7,'Inputs (2)'!$D$2:$AL$2,0)),"")</f>
        <v>2876</v>
      </c>
      <c r="AF33" s="265">
        <f>IFERROR(INDEX('Inputs (2)'!$D$60:$AL$60,MATCH(AF$7,'Inputs (2)'!$D$2:$AL$2,0)),"")</f>
        <v>2951</v>
      </c>
      <c r="AG33" s="266">
        <f>IF(COUNT(AC33:AF33)=4,SUM(AC33:AF33),"")</f>
        <v>11199</v>
      </c>
      <c r="AH33" s="266">
        <f>IFERROR(INDEX('Inputs (2)'!$D$60:$AL$60,MATCH(AH$7,'Inputs (2)'!$D$2:$AL$2,0)),"")</f>
        <v>2585</v>
      </c>
      <c r="AI33" s="266">
        <f>IFERROR(INDEX('Inputs (2)'!$D$60:$AL$60,MATCH(AI$7,'Inputs (2)'!$D$2:$AL$2,0)),"")</f>
        <v>3003</v>
      </c>
    </row>
    <row r="34"/>
    <row r="35" hidden="1" outlineLevel="1" customFormat="1" s="23">
      <c r="A35" s="18" t="n"/>
      <c r="B35" s="19" t="n"/>
      <c r="C35" s="20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  <c r="CA35" s="21" t="n"/>
      <c r="CB35" s="21" t="n"/>
      <c r="CC35" s="21" t="n"/>
      <c r="CD35" s="21" t="n"/>
      <c r="CE35" s="21" t="n"/>
      <c r="CF35" s="21" t="n"/>
      <c r="CG35" s="21" t="n"/>
      <c r="CH35" s="21" t="n"/>
      <c r="CI35" s="21" t="n"/>
      <c r="CJ35" s="21" t="n"/>
      <c r="CK35" s="21" t="n"/>
      <c r="CL35" s="21" t="n"/>
      <c r="CM35" s="21" t="n"/>
      <c r="CN35" s="21" t="n"/>
      <c r="CO35" s="21" t="n"/>
      <c r="CP35" s="21" t="n"/>
      <c r="CQ35" s="21" t="n"/>
      <c r="CR35" s="21" t="n"/>
      <c r="CS35" s="21" t="n"/>
      <c r="CT35" s="21" t="n"/>
      <c r="CU35" s="21" t="n"/>
      <c r="CV35" s="21" t="n"/>
      <c r="CW35" s="21" t="n"/>
      <c r="CX35" s="21" t="n"/>
      <c r="CY35" s="21" t="n"/>
    </row>
    <row r="36" hidden="1" outlineLevel="1" customFormat="1" s="23">
      <c r="A36" s="18" t="n"/>
      <c r="B36" s="19" t="n"/>
      <c r="C36" s="20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  <c r="CA36" s="21" t="n"/>
      <c r="CB36" s="21" t="n"/>
      <c r="CC36" s="21" t="n"/>
      <c r="CD36" s="21" t="n"/>
      <c r="CE36" s="21" t="n"/>
      <c r="CF36" s="21" t="n"/>
      <c r="CG36" s="21" t="n"/>
      <c r="CH36" s="21" t="n"/>
      <c r="CI36" s="21" t="n"/>
      <c r="CJ36" s="21" t="n"/>
      <c r="CK36" s="21" t="n"/>
      <c r="CL36" s="21" t="n"/>
      <c r="CM36" s="21" t="n"/>
      <c r="CN36" s="21" t="n"/>
      <c r="CO36" s="21" t="n"/>
      <c r="CP36" s="21" t="n"/>
      <c r="CQ36" s="21" t="n"/>
      <c r="CR36" s="21" t="n"/>
      <c r="CS36" s="21" t="n"/>
      <c r="CT36" s="21" t="n"/>
      <c r="CU36" s="21" t="n"/>
      <c r="CV36" s="21" t="n"/>
      <c r="CW36" s="21" t="n"/>
      <c r="CX36" s="21" t="n"/>
      <c r="CY36" s="21" t="n"/>
    </row>
    <row r="37" collapsed="1">
      <c r="C37" s="24" t="inlineStr">
        <is>
          <t>COGS (cash)</t>
        </is>
      </c>
      <c r="D37" s="25">
        <f>INDEX('Inputs (2)'!$D$5:$AL$5,MATCH(D$7,'Inputs (2)'!$D$2:$AL$2,0))</f>
        <v>-7266</v>
      </c>
      <c r="E37" s="25">
        <f>INDEX('Inputs (2)'!$D$5:$AL$5,MATCH(E$7,'Inputs (2)'!$D$2:$AL$2,0))</f>
        <v>-7113</v>
      </c>
      <c r="F37" s="25">
        <f>INDEX('Inputs (2)'!$D$5:$AL$5,MATCH(F$7,'Inputs (2)'!$D$2:$AL$2,0))</f>
        <v>-6919</v>
      </c>
      <c r="G37" s="25">
        <f>INDEX('Inputs (2)'!$D$5:$AL$5,MATCH(G$7,'Inputs (2)'!$D$2:$AL$2,0))</f>
        <v>-7784</v>
      </c>
      <c r="H37" s="3">
        <f>SUM(D37:G37)</f>
        <v>-29082</v>
      </c>
      <c r="I37" s="25">
        <f>INDEX('Inputs (2)'!$D$5:$AL$5,MATCH(I$7,'Inputs (2)'!$D$2:$AL$2,0))</f>
        <v>-8012</v>
      </c>
      <c r="J37" s="25">
        <f>INDEX('Inputs (2)'!$D$5:$AL$5,MATCH(J$7,'Inputs (2)'!$D$2:$AL$2,0))</f>
        <v>-8881</v>
      </c>
      <c r="K37" s="25">
        <f>INDEX('Inputs (2)'!$D$5:$AL$5,MATCH(K$7,'Inputs (2)'!$D$2:$AL$2,0))</f>
        <v>-8617</v>
      </c>
      <c r="L37" s="25">
        <f>INDEX('Inputs (2)'!$D$5:$AL$5,MATCH(L$7,'Inputs (2)'!$D$2:$AL$2,0))</f>
        <v>-10003</v>
      </c>
      <c r="M37" s="3">
        <f>SUM(I37:L37)</f>
        <v>-35513</v>
      </c>
      <c r="N37" s="25">
        <f>INDEX('Inputs (2)'!$D$5:$AL$5,MATCH(N$7,'Inputs (2)'!$D$2:$AL$2,0))</f>
        <v>-9559</v>
      </c>
      <c r="O37" s="25">
        <f>INDEX('Inputs (2)'!$D$5:$AL$5,MATCH(O$7,'Inputs (2)'!$D$2:$AL$2,0))</f>
        <v>-9975</v>
      </c>
      <c r="P37" s="25">
        <f>INDEX('Inputs (2)'!$D$5:$AL$5,MATCH(P$7,'Inputs (2)'!$D$2:$AL$2,0))</f>
        <v>-10202</v>
      </c>
      <c r="Q37" s="25">
        <f>INDEX('Inputs (2)'!$D$5:$AL$5,MATCH(Q$7,'Inputs (2)'!$D$2:$AL$2,0))</f>
        <v>-11614</v>
      </c>
      <c r="R37" s="3">
        <f>SUM(N37:Q37)</f>
        <v>-41350</v>
      </c>
      <c r="S37" s="25">
        <f>INDEX('Inputs (2)'!$D$5:$AL$5,MATCH(S$7,'Inputs (2)'!$D$2:$AL$2,0))</f>
        <v>-10103</v>
      </c>
      <c r="T37" s="25">
        <f>INDEX('Inputs (2)'!$D$5:$AL$5,MATCH(T$7,'Inputs (2)'!$D$2:$AL$2,0))</f>
        <v>-11065</v>
      </c>
      <c r="U37" s="25">
        <f>INDEX('Inputs (2)'!$D$5:$AL$5,MATCH(U$7,'Inputs (2)'!$D$2:$AL$2,0))</f>
        <v>-10583</v>
      </c>
      <c r="V37" s="25">
        <f>INDEX('Inputs (2)'!$D$5:$AL$5,MATCH(V$7,'Inputs (2)'!$D$2:$AL$2,0))</f>
        <v>-11016</v>
      </c>
      <c r="W37" s="3">
        <f>SUM(S37:V37)</f>
        <v>-42767</v>
      </c>
      <c r="X37" s="25">
        <f>INDEX('Inputs (2)'!$D$5:$AL$5,MATCH(X$7,'Inputs (2)'!$D$2:$AL$2,0))</f>
        <v>-9662</v>
      </c>
      <c r="Y37" s="25">
        <f>INDEX('Inputs (2)'!$D$5:$AL$5,MATCH(Y$7,'Inputs (2)'!$D$2:$AL$2,0))</f>
        <v>-10150</v>
      </c>
      <c r="Z37" s="25">
        <f>INDEX('Inputs (2)'!$D$5:$AL$5,MATCH(Z$7,'Inputs (2)'!$D$2:$AL$2,0))</f>
        <v>-10066</v>
      </c>
      <c r="AA37" s="25">
        <f>INDEX('Inputs (2)'!$D$5:$AL$5,MATCH(AA$7,'Inputs (2)'!$D$2:$AL$2,0))</f>
        <v>-10321</v>
      </c>
      <c r="AB37" s="3">
        <f>SUM(X37:AA37)</f>
        <v>-40199</v>
      </c>
      <c r="AC37" s="25">
        <f>INDEX('Inputs (2)'!$D$5:$AL$5,MATCH(AC$7,'Inputs (2)'!$D$2:$AL$2,0))</f>
        <v>-8965</v>
      </c>
      <c r="AD37" s="25">
        <f>INDEX('Inputs (2)'!$D$5:$AL$5,MATCH(AD$7,'Inputs (2)'!$D$2:$AL$2,0))</f>
        <v>-10807</v>
      </c>
      <c r="AE37" s="25">
        <f>INDEX('Inputs (2)'!$D$5:$AL$5,MATCH(AE$7,'Inputs (2)'!$D$2:$AL$2,0))</f>
        <v>-11673</v>
      </c>
      <c r="AF37" s="25">
        <f>INDEX('Inputs (2)'!$D$5:$AL$5,MATCH(AF$7,'Inputs (2)'!$D$2:$AL$2,0))</f>
        <v>-13307</v>
      </c>
      <c r="AG37" s="3">
        <f>SUM(AC37:AF37)</f>
        <v>-44752</v>
      </c>
      <c r="AH37" s="3">
        <f>INDEX('Inputs (2)'!$D$5:$AL$5,MATCH(AH$7,'Inputs (2)'!$D$2:$AL$2,0))</f>
        <v>-11306</v>
      </c>
      <c r="AI37" s="3">
        <f>INDEX('Inputs (2)'!$D$5:$AL$5,MATCH(AI$7,'Inputs (2)'!$D$2:$AL$2,0))</f>
        <v>-12781</v>
      </c>
      <c r="AJ37" s="3">
        <f>(100%-AJ38)*-AJ15</f>
        <v>-17638</v>
      </c>
      <c r="AK37" s="3">
        <f>(100%-AK38)*-AK15</f>
        <v>-19133</v>
      </c>
      <c r="AL37" s="3">
        <f>SUM(AH37:AK37)</f>
        <v>-60858</v>
      </c>
      <c r="AM37" s="3">
        <f>(100%-AM38)*-AM15</f>
        <v>-17415</v>
      </c>
      <c r="AN37" s="3">
        <f>(100%-AN38)*-AN15</f>
        <v>-20543</v>
      </c>
      <c r="AO37" s="3">
        <f>(100%-AO38)*-AO15</f>
        <v>-17638</v>
      </c>
      <c r="AP37" s="3">
        <f>(100%-AP38)*-AP15</f>
        <v>-19133</v>
      </c>
      <c r="AQ37" s="3">
        <f>SUM(AM37:AP37)</f>
        <v>-74729</v>
      </c>
      <c r="AR37" s="3">
        <f>(100%-AR38)*-AR15</f>
        <v>-17415</v>
      </c>
      <c r="AS37" s="3">
        <f>(100%-AS38)*-AS15</f>
        <v>-20543</v>
      </c>
      <c r="AT37" s="3">
        <f>(100%-AT38)*-AT15</f>
        <v>-17638</v>
      </c>
      <c r="AU37" s="3">
        <f>(100%-AU38)*-AU15</f>
        <v>-19133</v>
      </c>
      <c r="AV37" s="3">
        <f>SUM(AR37:AU37)</f>
        <v>-74729</v>
      </c>
      <c r="AW37" s="3">
        <f>(100%-AW38)*-AW15</f>
        <v>-17415</v>
      </c>
      <c r="AX37" s="3">
        <f>(100%-AX38)*-AX15</f>
        <v>-20543</v>
      </c>
      <c r="AY37" s="3">
        <f>(100%-AY38)*-AY15</f>
        <v>-17638</v>
      </c>
      <c r="AZ37" s="3">
        <f>(100%-AZ38)*-AZ15</f>
        <v>-19133</v>
      </c>
      <c r="BA37" s="3">
        <f>SUM(AW37:AZ37)</f>
        <v>-74729</v>
      </c>
      <c r="BB37" s="3">
        <f>(100%-BB38)*-BB15</f>
        <v>-17415</v>
      </c>
      <c r="BC37" s="3">
        <f>(100%-BC38)*-BC15</f>
        <v>-20543</v>
      </c>
      <c r="BD37" s="3">
        <f>(100%-BD38)*-BD15</f>
        <v>-17638</v>
      </c>
      <c r="BE37" s="3">
        <f>(100%-BE38)*-BE15</f>
        <v>-19133</v>
      </c>
      <c r="BF37" s="3">
        <f>SUM(BB37:BE37)</f>
        <v>-74729</v>
      </c>
      <c r="BG37" s="3">
        <f>(100%-BG38)*-BG15</f>
        <v>-17415</v>
      </c>
      <c r="BH37" s="3">
        <f>(100%-BH38)*-BH15</f>
        <v>-20543</v>
      </c>
      <c r="BI37" s="3">
        <f>(100%-BI38)*-BI15</f>
        <v>-17638</v>
      </c>
      <c r="BJ37" s="3">
        <f>(100%-BJ38)*-BJ15</f>
        <v>-19133</v>
      </c>
      <c r="BK37" s="3">
        <f>SUM(BG37:BJ37)</f>
        <v>-74729</v>
      </c>
      <c r="BL37" s="3">
        <f>(100%-BL38)*-BL15</f>
        <v>-17415</v>
      </c>
      <c r="BM37" s="3">
        <f>(100%-BM38)*-BM15</f>
        <v>-20543</v>
      </c>
      <c r="BN37" s="3">
        <f>(100%-BN38)*-BN15</f>
        <v>-17638</v>
      </c>
      <c r="BO37" s="3">
        <f>(100%-BO38)*-BO15</f>
        <v>-19133</v>
      </c>
      <c r="BP37" s="3">
        <f>SUM(BL37:BO37)</f>
        <v>-74729</v>
      </c>
      <c r="BQ37" s="3">
        <f>(100%-BQ38)*-BQ15</f>
        <v>-17415</v>
      </c>
      <c r="BR37" s="3">
        <f>(100%-BR38)*-BR15</f>
        <v>-20543</v>
      </c>
      <c r="BS37" s="3">
        <f>(100%-BS38)*-BS15</f>
        <v>-17638</v>
      </c>
      <c r="BT37" s="3">
        <f>(100%-BT38)*-BT15</f>
        <v>-19133</v>
      </c>
      <c r="BU37" s="3">
        <f>SUM(BQ37:BT37)</f>
        <v>-74729</v>
      </c>
      <c r="BV37" s="3">
        <f>(100%-BV38)*-BV15</f>
        <v>-17415</v>
      </c>
      <c r="BW37" s="3">
        <f>(100%-BW38)*-BW15</f>
        <v>-20543</v>
      </c>
      <c r="BX37" s="3">
        <f>(100%-BX38)*-BX15</f>
        <v>-17638</v>
      </c>
      <c r="BY37" s="3">
        <f>(100%-BY38)*-BY15</f>
        <v>-19133</v>
      </c>
      <c r="BZ37" s="3">
        <f>SUM(BV37:BY37)</f>
        <v>-74729</v>
      </c>
      <c r="CA37" s="3">
        <f>(100%-CA38)*-CA15</f>
        <v>-17415</v>
      </c>
      <c r="CB37" s="3">
        <f>(100%-CB38)*-CB15</f>
        <v>-20543</v>
      </c>
      <c r="CC37" s="3">
        <f>(100%-CC38)*-CC15</f>
        <v>-17638</v>
      </c>
      <c r="CD37" s="3">
        <f>(100%-CD38)*-CD15</f>
        <v>-19133</v>
      </c>
      <c r="CE37" s="3">
        <f>SUM(CA37:CD37)</f>
        <v>-74729</v>
      </c>
      <c r="CF37" s="3">
        <f>(100%-CF38)*-CF15</f>
        <v>-17415</v>
      </c>
      <c r="CG37" s="3">
        <f>(100%-CG38)*-CG15</f>
        <v>-20543</v>
      </c>
      <c r="CH37" s="3">
        <f>(100%-CH38)*-CH15</f>
        <v>-17638</v>
      </c>
      <c r="CI37" s="3">
        <f>(100%-CI38)*-CI15</f>
        <v>-19133</v>
      </c>
      <c r="CJ37" s="3">
        <f>SUM(CF37:CI37)</f>
        <v>-74729</v>
      </c>
      <c r="CK37" s="3">
        <f>(100%-CK38)*-CK15</f>
        <v>-17415</v>
      </c>
      <c r="CL37" s="3">
        <f>(100%-CL38)*-CL15</f>
        <v>-20543</v>
      </c>
      <c r="CM37" s="3">
        <f>(100%-CM38)*-CM15</f>
        <v>-17638</v>
      </c>
      <c r="CN37" s="3">
        <f>(100%-CN38)*-CN15</f>
        <v>-19133</v>
      </c>
      <c r="CO37" s="3">
        <f>SUM(CK37:CN37)</f>
        <v>-74729</v>
      </c>
      <c r="CP37" s="3">
        <f>(100%-CP38)*-CP15</f>
        <v>-17415</v>
      </c>
      <c r="CQ37" s="3">
        <f>(100%-CQ38)*-CQ15</f>
        <v>-20543</v>
      </c>
      <c r="CR37" s="3">
        <f>(100%-CR38)*-CR15</f>
        <v>-17638</v>
      </c>
      <c r="CS37" s="3">
        <f>(100%-CS38)*-CS15</f>
        <v>-19133</v>
      </c>
      <c r="CT37" s="3">
        <f>SUM(CP37:CS37)</f>
        <v>-74729</v>
      </c>
      <c r="CU37" s="3">
        <f>(100%-CU38)*-CU15</f>
        <v>-17415</v>
      </c>
      <c r="CV37" s="3">
        <f>(100%-CV38)*-CV15</f>
        <v>-20543</v>
      </c>
      <c r="CW37" s="3">
        <f>(100%-CW38)*-CW15</f>
        <v>-17638</v>
      </c>
      <c r="CX37" s="3">
        <f>(100%-CX38)*-CX15</f>
        <v>-19133</v>
      </c>
      <c r="CY37" s="3">
        <f>SUM(CU37:CX37)</f>
        <v>-74729</v>
      </c>
    </row>
    <row r="38" hidden="1" outlineLevel="1" customFormat="1" s="1">
      <c r="C38" s="57" t="inlineStr">
        <is>
          <t>% Gross Margin</t>
        </is>
      </c>
      <c r="D38" s="54">
        <f>(D15+D37)/D$15</f>
        <v>0.316784203102962</v>
      </c>
      <c r="E38" s="54">
        <f>(E15+E37)/E$15</f>
        <v>0.288486545963789</v>
      </c>
      <c r="F38" s="54">
        <f>(F15+F37)/F$15</f>
        <v>0.299767230037446</v>
      </c>
      <c r="G38" s="54">
        <f>(G15+G37)/G$15</f>
        <v>0.307165109034268</v>
      </c>
      <c r="H38" s="54">
        <f>(H15+H37)/H$15</f>
        <v>0.30339177924691</v>
      </c>
      <c r="I38" s="54">
        <f>(I15+I37)/I$15</f>
        <v>0.325986371666526</v>
      </c>
      <c r="J38" s="54">
        <f>(J15+J37)/J$15</f>
        <v>0.310962836527271</v>
      </c>
      <c r="K38" s="54">
        <f>(K15+K37)/K$15</f>
        <v>0.304912478825522</v>
      </c>
      <c r="L38" s="54">
        <f>(L15+L37)/L$15</f>
        <v>0.275039860849398</v>
      </c>
      <c r="M38" s="54">
        <f>(M15+M37)/M$15</f>
        <v>0.303270487139746</v>
      </c>
      <c r="N38" s="54">
        <f>(N15+N37)/N$15</f>
        <v>0.296563396865111</v>
      </c>
      <c r="O38" s="54">
        <f>(O15+O37)/O$15</f>
        <v>0.299852600547484</v>
      </c>
      <c r="P38" s="54">
        <f>(P15+P37)/P$15</f>
        <v>0.319594504468454</v>
      </c>
      <c r="Q38" s="54">
        <f>(Q15+Q37)/Q$15</f>
        <v>0.300234982225703</v>
      </c>
      <c r="R38" s="54">
        <f>(R15+R37)/R$15</f>
        <v>0.304188331903007</v>
      </c>
      <c r="S38" s="54">
        <f>(S15+S37)/S$15</f>
        <v>0.363068969865086</v>
      </c>
      <c r="T38" s="54">
        <f>(T15+T37)/T$15</f>
        <v>0.361069407552835</v>
      </c>
      <c r="U38" s="54">
        <f>(U15+U37)/U$15</f>
        <v>0.370434265318263</v>
      </c>
      <c r="V38" s="54">
        <f>(V15+V37)/V$15</f>
        <v>0.354657293497364</v>
      </c>
      <c r="W38" s="54">
        <f>(W15+W37)/W$15</f>
        <v>0.36225767968983</v>
      </c>
      <c r="X38" s="54">
        <f>(X15+X37)/X$15</f>
        <v>0.388442306475093</v>
      </c>
      <c r="Y38" s="54">
        <f>(Y15+Y37)/Y$15</f>
        <v>0.391814967942956</v>
      </c>
      <c r="Z38" s="54">
        <f>(Z15+Z37)/Z$15</f>
        <v>0.375015522165653</v>
      </c>
      <c r="AA38" s="54">
        <f>(AA15+AA37)/AA$15</f>
        <v>0.363490595127968</v>
      </c>
      <c r="AB38" s="54">
        <f>(AB15+AB37)/AB$15</f>
        <v>0.379731210171427</v>
      </c>
      <c r="AC38" s="54">
        <f>(AC15+AC37)/AC$15</f>
        <v>0.370833040915152</v>
      </c>
      <c r="AD38" s="54">
        <f>(AD15+AD37)/AD$15</f>
        <v>0.347757861065846</v>
      </c>
      <c r="AE38" s="54">
        <f>(AE15+AE37)/AE$15</f>
        <v>0.338190271005783</v>
      </c>
      <c r="AF38" s="44">
        <f>(AF15+AF37)/AF$15</f>
        <v>0.304500078398578</v>
      </c>
      <c r="AG38" s="54">
        <f>(AG15+AG37)/AG$15</f>
        <v>0.337880424329403</v>
      </c>
      <c r="AH38" s="55">
        <f>(AH15+AH37)/AH$15</f>
        <v>0.350789549239162</v>
      </c>
      <c r="AI38" s="55">
        <f>(AI15+AI37)/AI$15</f>
        <v>0.377841600545198</v>
      </c>
      <c r="AJ38" s="55" t="n"/>
      <c r="AK38" s="55" t="n"/>
      <c r="AL38" s="54">
        <f>(AL15+AL37)/AL$15</f>
        <v>0.185617364075526</v>
      </c>
      <c r="AM38" s="55" t="n"/>
      <c r="AN38" s="55" t="n"/>
      <c r="AO38" s="55" t="n"/>
      <c r="AP38" s="55" t="n"/>
      <c r="AQ38" s="54">
        <f>(AQ15+AQ37)/AQ$15</f>
        <v>0</v>
      </c>
      <c r="AR38" s="55" t="n"/>
      <c r="AS38" s="55" t="n"/>
      <c r="AT38" s="55" t="n"/>
      <c r="AU38" s="55" t="n"/>
      <c r="AV38" s="54">
        <f>(AV15+AV37)/AV$15</f>
        <v>0</v>
      </c>
      <c r="AW38" s="55" t="n"/>
      <c r="AX38" s="55" t="n"/>
      <c r="AY38" s="55" t="n"/>
      <c r="AZ38" s="55" t="n"/>
      <c r="BA38" s="54">
        <f>(BA15+BA37)/BA$15</f>
        <v>0</v>
      </c>
      <c r="BB38" s="55" t="n"/>
      <c r="BC38" s="55" t="n"/>
      <c r="BD38" s="55" t="n"/>
      <c r="BE38" s="55" t="n"/>
      <c r="BF38" s="54">
        <f>(BF15+BF37)/BF$15</f>
        <v>0</v>
      </c>
      <c r="BG38" s="55" t="n"/>
      <c r="BH38" s="55" t="n"/>
      <c r="BI38" s="55" t="n"/>
      <c r="BJ38" s="55" t="n"/>
      <c r="BK38" s="54">
        <f>(BK15+BK37)/BK$15</f>
        <v>0</v>
      </c>
      <c r="BL38" s="55" t="n"/>
      <c r="BM38" s="55" t="n"/>
      <c r="BN38" s="55" t="n"/>
      <c r="BO38" s="55" t="n"/>
      <c r="BP38" s="54">
        <f>(BP15+BP37)/BP$15</f>
        <v>0</v>
      </c>
      <c r="BQ38" s="55" t="n"/>
      <c r="BR38" s="55" t="n"/>
      <c r="BS38" s="55" t="n"/>
      <c r="BT38" s="55" t="n"/>
      <c r="BU38" s="54">
        <f>(BU15+BU37)/BU$15</f>
        <v>0</v>
      </c>
      <c r="BV38" s="55" t="n"/>
      <c r="BW38" s="55" t="n"/>
      <c r="BX38" s="55" t="n"/>
      <c r="BY38" s="55" t="n"/>
      <c r="BZ38" s="54">
        <f>(BZ15+BZ37)/BZ$15</f>
        <v>0</v>
      </c>
      <c r="CA38" s="55" t="n"/>
      <c r="CB38" s="55" t="n"/>
      <c r="CC38" s="55" t="n"/>
      <c r="CD38" s="55" t="n"/>
      <c r="CE38" s="54">
        <f>(CE15+CE37)/CE$15</f>
        <v>0</v>
      </c>
      <c r="CF38" s="55" t="n"/>
      <c r="CG38" s="55" t="n"/>
      <c r="CH38" s="55" t="n"/>
      <c r="CI38" s="55" t="n"/>
      <c r="CJ38" s="54">
        <f>(CJ15+CJ37)/CJ$15</f>
        <v>0</v>
      </c>
      <c r="CK38" s="55" t="n"/>
      <c r="CL38" s="55" t="n"/>
      <c r="CM38" s="55" t="n"/>
      <c r="CN38" s="55" t="n"/>
      <c r="CO38" s="54">
        <f>(CO15+CO37)/CO$15</f>
        <v>0</v>
      </c>
      <c r="CP38" s="55" t="n"/>
      <c r="CQ38" s="55" t="n"/>
      <c r="CR38" s="55" t="n"/>
      <c r="CS38" s="55" t="n"/>
      <c r="CT38" s="54">
        <f>(CT15+CT37)/CT$15</f>
        <v>0</v>
      </c>
      <c r="CU38" s="55" t="n"/>
      <c r="CV38" s="55" t="n"/>
      <c r="CW38" s="55" t="n"/>
      <c r="CX38" s="55" t="n"/>
      <c r="CY38" s="54">
        <f>(CY15+CY37)/CY$15</f>
        <v>0</v>
      </c>
    </row>
    <row r="39" hidden="1" outlineLevel="1"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  <c r="CO39" s="32" t="n"/>
      <c r="CP39" s="32" t="n"/>
      <c r="CQ39" s="32" t="n"/>
      <c r="CR39" s="32" t="n"/>
      <c r="CS39" s="32" t="n"/>
      <c r="CT39" s="32" t="n"/>
      <c r="CU39" s="32" t="n"/>
      <c r="CV39" s="32" t="n"/>
      <c r="CW39" s="32" t="n"/>
      <c r="CX39" s="32" t="n"/>
      <c r="CY39" s="32" t="n"/>
    </row>
    <row r="40" hidden="1" outlineLevel="1"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  <c r="CO40" s="32" t="n"/>
      <c r="CP40" s="32" t="n"/>
      <c r="CQ40" s="32" t="n"/>
      <c r="CR40" s="32" t="n"/>
      <c r="CS40" s="32" t="n"/>
      <c r="CT40" s="32" t="n"/>
      <c r="CU40" s="32" t="n"/>
      <c r="CV40" s="32" t="n"/>
      <c r="CW40" s="32" t="n"/>
      <c r="CX40" s="32" t="n"/>
      <c r="CY40" s="32" t="n"/>
    </row>
    <row r="41" collapsed="1">
      <c r="C41" s="24" t="inlineStr">
        <is>
          <t>SG&amp;A and Other (cash)</t>
        </is>
      </c>
      <c r="D41" s="25">
        <f>INDEX('Inputs (2)'!$D$6:$AL$6,MATCH(D$7,'Inputs (2)'!$D$2:$AL$2,0))</f>
        <v>-1351</v>
      </c>
      <c r="E41" s="25">
        <f>INDEX('Inputs (2)'!$D$6:$AL$6,MATCH(E$7,'Inputs (2)'!$D$2:$AL$2,0))</f>
        <v>-1492</v>
      </c>
      <c r="F41" s="25">
        <f>INDEX('Inputs (2)'!$D$6:$AL$6,MATCH(F$7,'Inputs (2)'!$D$2:$AL$2,0))</f>
        <v>-1384</v>
      </c>
      <c r="G41" s="25">
        <f>INDEX('Inputs (2)'!$D$6:$AL$6,MATCH(G$7,'Inputs (2)'!$D$2:$AL$2,0))</f>
        <v>-1454</v>
      </c>
      <c r="H41" s="3">
        <f>SUM(D41:G41)</f>
        <v>-5681</v>
      </c>
      <c r="I41" s="25">
        <f>INDEX('Inputs (2)'!$D$6:$AL$6,MATCH(I$7,'Inputs (2)'!$D$2:$AL$2,0))</f>
        <v>-1475</v>
      </c>
      <c r="J41" s="25">
        <f>INDEX('Inputs (2)'!$D$6:$AL$6,MATCH(J$7,'Inputs (2)'!$D$2:$AL$2,0))</f>
        <v>-1632</v>
      </c>
      <c r="K41" s="25">
        <f>INDEX('Inputs (2)'!$D$6:$AL$6,MATCH(K$7,'Inputs (2)'!$D$2:$AL$2,0))</f>
        <v>-1523</v>
      </c>
      <c r="L41" s="25">
        <f>INDEX('Inputs (2)'!$D$6:$AL$6,MATCH(L$7,'Inputs (2)'!$D$2:$AL$2,0))</f>
        <v>-1598</v>
      </c>
      <c r="M41" s="3">
        <f>SUM(I41:L41)</f>
        <v>-6228</v>
      </c>
      <c r="N41" s="25">
        <f>INDEX('Inputs (2)'!$D$6:$AL$6,MATCH(N$7,'Inputs (2)'!$D$2:$AL$2,0))</f>
        <v>-1618</v>
      </c>
      <c r="O41" s="25">
        <f>INDEX('Inputs (2)'!$D$6:$AL$6,MATCH(O$7,'Inputs (2)'!$D$2:$AL$2,0))</f>
        <v>-1775</v>
      </c>
      <c r="P41" s="25">
        <f>INDEX('Inputs (2)'!$D$6:$AL$6,MATCH(P$7,'Inputs (2)'!$D$2:$AL$2,0))</f>
        <v>-1816</v>
      </c>
      <c r="Q41" s="25">
        <f>INDEX('Inputs (2)'!$D$6:$AL$6,MATCH(Q$7,'Inputs (2)'!$D$2:$AL$2,0))</f>
        <v>-2745</v>
      </c>
      <c r="R41" s="3">
        <f>SUM(N41:Q41)</f>
        <v>-7954</v>
      </c>
      <c r="S41" s="25">
        <f>INDEX('Inputs (2)'!$D$6:$AL$6,MATCH(S$7,'Inputs (2)'!$D$2:$AL$2,0))</f>
        <v>-2496</v>
      </c>
      <c r="T41" s="25">
        <f>INDEX('Inputs (2)'!$D$6:$AL$6,MATCH(T$7,'Inputs (2)'!$D$2:$AL$2,0))</f>
        <v>-2059</v>
      </c>
      <c r="U41" s="25">
        <f>INDEX('Inputs (2)'!$D$6:$AL$6,MATCH(U$7,'Inputs (2)'!$D$2:$AL$2,0))</f>
        <v>-2253</v>
      </c>
      <c r="V41" s="25">
        <f>INDEX('Inputs (2)'!$D$6:$AL$6,MATCH(V$7,'Inputs (2)'!$D$2:$AL$2,0))</f>
        <v>-2375</v>
      </c>
      <c r="W41" s="3">
        <f>SUM(S41:V41)</f>
        <v>-9183</v>
      </c>
      <c r="X41" s="25">
        <f>INDEX('Inputs (2)'!$D$6:$AL$6,MATCH(X$7,'Inputs (2)'!$D$2:$AL$2,0))</f>
        <v>-2094</v>
      </c>
      <c r="Y41" s="25">
        <f>INDEX('Inputs (2)'!$D$6:$AL$6,MATCH(Y$7,'Inputs (2)'!$D$2:$AL$2,0))</f>
        <v>-2526</v>
      </c>
      <c r="Z41" s="25">
        <f>INDEX('Inputs (2)'!$D$6:$AL$6,MATCH(Z$7,'Inputs (2)'!$D$2:$AL$2,0))</f>
        <v>-2350</v>
      </c>
      <c r="AA41" s="25">
        <f>INDEX('Inputs (2)'!$D$6:$AL$6,MATCH(AA$7,'Inputs (2)'!$D$2:$AL$2,0))</f>
        <v>-2415</v>
      </c>
      <c r="AB41" s="3">
        <f>SUM(X41:AA41)</f>
        <v>-9385</v>
      </c>
      <c r="AC41" s="25">
        <f>INDEX('Inputs (2)'!$D$6:$AL$6,MATCH(AC$7,'Inputs (2)'!$D$2:$AL$2,0))</f>
        <v>-2165</v>
      </c>
      <c r="AD41" s="25">
        <f>INDEX('Inputs (2)'!$D$6:$AL$6,MATCH(AD$7,'Inputs (2)'!$D$2:$AL$2,0))</f>
        <v>-2348</v>
      </c>
      <c r="AE41" s="25">
        <f>INDEX('Inputs (2)'!$D$6:$AL$6,MATCH(AE$7,'Inputs (2)'!$D$2:$AL$2,0))</f>
        <v>-2343</v>
      </c>
      <c r="AF41" s="25">
        <f>INDEX('Inputs (2)'!$D$6:$AL$6,MATCH(AF$7,'Inputs (2)'!$D$2:$AL$2,0))</f>
        <v>-2568</v>
      </c>
      <c r="AG41" s="3">
        <f>SUM(AC41:AF41)</f>
        <v>-9424</v>
      </c>
      <c r="AH41" s="3">
        <f>INDEX('Inputs (2)'!$D$6:$AL$6,MATCH(AH$7,'Inputs (2)'!$D$2:$AL$2,0))</f>
        <v>-2429</v>
      </c>
      <c r="AI41" s="3">
        <f>INDEX('Inputs (2)'!$D$6:$AL$6,MATCH(AI$7,'Inputs (2)'!$D$2:$AL$2,0))</f>
        <v>-2851</v>
      </c>
      <c r="AJ41" s="3">
        <f>-AJ15*AJ42</f>
        <v>0</v>
      </c>
      <c r="AK41" s="3">
        <f>-AK15*AK42</f>
        <v>0</v>
      </c>
      <c r="AL41" s="3">
        <f>SUM(AH41:AK41)</f>
        <v>-5280</v>
      </c>
      <c r="AM41" s="3">
        <f>-AM15*AM42</f>
        <v>0</v>
      </c>
      <c r="AN41" s="3">
        <f>-AN15*AN42</f>
        <v>0</v>
      </c>
      <c r="AO41" s="3">
        <f>-AO15*AO42</f>
        <v>0</v>
      </c>
      <c r="AP41" s="3">
        <f>-AP15*AP42</f>
        <v>0</v>
      </c>
      <c r="AQ41" s="3">
        <f>SUM(AM41:AP41)</f>
        <v>0</v>
      </c>
      <c r="AR41" s="3">
        <f>-AR15*AR42</f>
        <v>0</v>
      </c>
      <c r="AS41" s="3">
        <f>-AS15*AS42</f>
        <v>0</v>
      </c>
      <c r="AT41" s="3">
        <f>-AT15*AT42</f>
        <v>0</v>
      </c>
      <c r="AU41" s="3">
        <f>-AU15*AU42</f>
        <v>0</v>
      </c>
      <c r="AV41" s="3">
        <f>SUM(AR41:AU41)</f>
        <v>0</v>
      </c>
      <c r="AW41" s="3">
        <f>-AW15*AW42</f>
        <v>0</v>
      </c>
      <c r="AX41" s="3">
        <f>-AX15*AX42</f>
        <v>0</v>
      </c>
      <c r="AY41" s="3">
        <f>-AY15*AY42</f>
        <v>0</v>
      </c>
      <c r="AZ41" s="3">
        <f>-AZ15*AZ42</f>
        <v>0</v>
      </c>
      <c r="BA41" s="3">
        <f>SUM(AW41:AZ41)</f>
        <v>0</v>
      </c>
      <c r="BB41" s="3">
        <f>-BB15*BB42</f>
        <v>0</v>
      </c>
      <c r="BC41" s="3">
        <f>-BC15*BC42</f>
        <v>0</v>
      </c>
      <c r="BD41" s="3">
        <f>-BD15*BD42</f>
        <v>0</v>
      </c>
      <c r="BE41" s="3">
        <f>-BE15*BE42</f>
        <v>0</v>
      </c>
      <c r="BF41" s="3">
        <f>SUM(BB41:BE41)</f>
        <v>0</v>
      </c>
      <c r="BG41" s="3">
        <f>-BG15*BG42</f>
        <v>0</v>
      </c>
      <c r="BH41" s="3">
        <f>-BH15*BH42</f>
        <v>0</v>
      </c>
      <c r="BI41" s="3">
        <f>-BI15*BI42</f>
        <v>0</v>
      </c>
      <c r="BJ41" s="3">
        <f>-BJ15*BJ42</f>
        <v>0</v>
      </c>
      <c r="BK41" s="3">
        <f>SUM(BG41:BJ41)</f>
        <v>0</v>
      </c>
      <c r="BL41" s="3">
        <f>-BL15*BL42</f>
        <v>0</v>
      </c>
      <c r="BM41" s="3">
        <f>-BM15*BM42</f>
        <v>0</v>
      </c>
      <c r="BN41" s="3">
        <f>-BN15*BN42</f>
        <v>0</v>
      </c>
      <c r="BO41" s="3">
        <f>-BO15*BO42</f>
        <v>0</v>
      </c>
      <c r="BP41" s="3">
        <f>SUM(BL41:BO41)</f>
        <v>0</v>
      </c>
      <c r="BQ41" s="3">
        <f>-BQ15*BQ42</f>
        <v>0</v>
      </c>
      <c r="BR41" s="3">
        <f>-BR15*BR42</f>
        <v>0</v>
      </c>
      <c r="BS41" s="3">
        <f>-BS15*BS42</f>
        <v>0</v>
      </c>
      <c r="BT41" s="3">
        <f>-BT15*BT42</f>
        <v>0</v>
      </c>
      <c r="BU41" s="3">
        <f>SUM(BQ41:BT41)</f>
        <v>0</v>
      </c>
      <c r="BV41" s="3">
        <f>-BV15*BV42</f>
        <v>0</v>
      </c>
      <c r="BW41" s="3">
        <f>-BW15*BW42</f>
        <v>0</v>
      </c>
      <c r="BX41" s="3">
        <f>-BX15*BX42</f>
        <v>0</v>
      </c>
      <c r="BY41" s="3">
        <f>-BY15*BY42</f>
        <v>0</v>
      </c>
      <c r="BZ41" s="3">
        <f>SUM(BV41:BY41)</f>
        <v>0</v>
      </c>
      <c r="CA41" s="3">
        <f>-CA15*CA42</f>
        <v>0</v>
      </c>
      <c r="CB41" s="3">
        <f>-CB15*CB42</f>
        <v>0</v>
      </c>
      <c r="CC41" s="3">
        <f>-CC15*CC42</f>
        <v>0</v>
      </c>
      <c r="CD41" s="3">
        <f>-CD15*CD42</f>
        <v>0</v>
      </c>
      <c r="CE41" s="3">
        <f>SUM(CA41:CD41)</f>
        <v>0</v>
      </c>
      <c r="CF41" s="3">
        <f>-CF15*CF42</f>
        <v>0</v>
      </c>
      <c r="CG41" s="3">
        <f>-CG15*CG42</f>
        <v>0</v>
      </c>
      <c r="CH41" s="3">
        <f>-CH15*CH42</f>
        <v>0</v>
      </c>
      <c r="CI41" s="3">
        <f>-CI15*CI42</f>
        <v>0</v>
      </c>
      <c r="CJ41" s="3">
        <f>SUM(CF41:CI41)</f>
        <v>0</v>
      </c>
      <c r="CK41" s="3">
        <f>-CK15*CK42</f>
        <v>0</v>
      </c>
      <c r="CL41" s="3">
        <f>-CL15*CL42</f>
        <v>0</v>
      </c>
      <c r="CM41" s="3">
        <f>-CM15*CM42</f>
        <v>0</v>
      </c>
      <c r="CN41" s="3">
        <f>-CN15*CN42</f>
        <v>0</v>
      </c>
      <c r="CO41" s="3">
        <f>SUM(CK41:CN41)</f>
        <v>0</v>
      </c>
      <c r="CP41" s="3">
        <f>-CP15*CP42</f>
        <v>0</v>
      </c>
      <c r="CQ41" s="3">
        <f>-CQ15*CQ42</f>
        <v>0</v>
      </c>
      <c r="CR41" s="3">
        <f>-CR15*CR42</f>
        <v>0</v>
      </c>
      <c r="CS41" s="3">
        <f>-CS15*CS42</f>
        <v>0</v>
      </c>
      <c r="CT41" s="3">
        <f>SUM(CP41:CS41)</f>
        <v>0</v>
      </c>
      <c r="CU41" s="3">
        <f>-CU15*CU42</f>
        <v>0</v>
      </c>
      <c r="CV41" s="3">
        <f>-CV15*CV42</f>
        <v>0</v>
      </c>
      <c r="CW41" s="3">
        <f>-CW15*CW42</f>
        <v>0</v>
      </c>
      <c r="CX41" s="3">
        <f>-CX15*CX42</f>
        <v>0</v>
      </c>
      <c r="CY41" s="3">
        <f>SUM(CU41:CX41)</f>
        <v>0</v>
      </c>
    </row>
    <row r="42" hidden="1" outlineLevel="1">
      <c r="C42" s="33" t="inlineStr">
        <is>
          <t>% SG&amp;A and Other Margin</t>
        </is>
      </c>
      <c r="D42" s="56">
        <f>-(D41/D$15)</f>
        <v>0.127033380347908</v>
      </c>
      <c r="E42" s="56">
        <f>-(E41/E$15)</f>
        <v>0.14924477343203</v>
      </c>
      <c r="F42" s="56">
        <f>-(F41/F$15)</f>
        <v>0.14006679485882</v>
      </c>
      <c r="G42" s="56">
        <f>-(G41/G$15)</f>
        <v>0.129417000445038</v>
      </c>
      <c r="H42" s="56">
        <f>-(H41/H$15)</f>
        <v>0.136078375011977</v>
      </c>
      <c r="I42" s="56">
        <f>-(I41/I$15)</f>
        <v>0.124085135021452</v>
      </c>
      <c r="J42" s="56">
        <f>-(J41/J$15)</f>
        <v>0.126619598106913</v>
      </c>
      <c r="K42" s="56">
        <f>-(K41/K$15)</f>
        <v>0.122852302976527</v>
      </c>
      <c r="L42" s="56">
        <f>-(L41/L$15)</f>
        <v>0.115813886070445</v>
      </c>
      <c r="M42" s="56">
        <f>-(M41/M$15)</f>
        <v>0.122187126012831</v>
      </c>
      <c r="N42" s="56">
        <f>-(N41/N$15)</f>
        <v>0.119066892339392</v>
      </c>
      <c r="O42" s="56">
        <f>-(O41/O$15)</f>
        <v>0.124587632484032</v>
      </c>
      <c r="P42" s="56">
        <f>-(P41/P$15)</f>
        <v>0.121115112711751</v>
      </c>
      <c r="Q42" s="56">
        <f>-(Q41/Q$15)</f>
        <v>0.165391335783575</v>
      </c>
      <c r="R42" s="56">
        <f>-(R41/R$15)</f>
        <v>0.133844885321487</v>
      </c>
      <c r="S42" s="56">
        <f>-(S41/S$15)</f>
        <v>0.157357205900895</v>
      </c>
      <c r="T42" s="56">
        <f>-(T41/T$15)</f>
        <v>0.1188936366786</v>
      </c>
      <c r="U42" s="56">
        <f>-(U41/U$15)</f>
        <v>0.134027364663891</v>
      </c>
      <c r="V42" s="56">
        <f>-(V41/V$15)</f>
        <v>0.139132981839484</v>
      </c>
      <c r="W42" s="56">
        <f>-(W41/W$15)</f>
        <v>0.136937071279451</v>
      </c>
      <c r="X42" s="56">
        <f>-(X41/X$15)</f>
        <v>0.132540034179378</v>
      </c>
      <c r="Y42" s="56">
        <f>-(Y41/Y$15)</f>
        <v>0.151357181376955</v>
      </c>
      <c r="Z42" s="56">
        <f>-(Z41/Z$15)</f>
        <v>0.145908357133987</v>
      </c>
      <c r="AA42" s="56">
        <f>-(AA41/AA$15)</f>
        <v>0.148936170212766</v>
      </c>
      <c r="AB42" s="56">
        <f>-(AB41/AB$15)</f>
        <v>0.144810134394914</v>
      </c>
      <c r="AC42" s="56">
        <f>-(AC41/AC$15)</f>
        <v>0.151940487051723</v>
      </c>
      <c r="AD42" s="56">
        <f>-(AD41/AD$15)</f>
        <v>0.141710423079244</v>
      </c>
      <c r="AE42" s="56">
        <f>-(AE41/AE$15)</f>
        <v>0.132838190271006</v>
      </c>
      <c r="AF42" s="44">
        <f>-(AF41/AF$15)</f>
        <v>0.134218366173627</v>
      </c>
      <c r="AG42" s="56">
        <f>-(AG41/AG$15)</f>
        <v>0.139430972495524</v>
      </c>
      <c r="AH42" s="45">
        <f>-(AH41/AH$15)</f>
        <v>0.139477461958082</v>
      </c>
      <c r="AI42" s="45">
        <f>-(AI41/AI$15)</f>
        <v>0.138782066884097</v>
      </c>
      <c r="AJ42" s="45" t="n"/>
      <c r="AK42" s="45" t="n"/>
      <c r="AL42" s="56">
        <f>-(AL41/AL$15)</f>
        <v>0.0706553011548395</v>
      </c>
      <c r="AM42" s="45" t="n"/>
      <c r="AN42" s="45" t="n"/>
      <c r="AO42" s="45" t="n"/>
      <c r="AP42" s="45" t="n"/>
      <c r="AQ42" s="56">
        <f>-(AQ41/AQ$15)</f>
        <v>0</v>
      </c>
      <c r="AR42" s="45" t="n"/>
      <c r="AS42" s="45" t="n"/>
      <c r="AT42" s="45" t="n"/>
      <c r="AU42" s="45" t="n"/>
      <c r="AV42" s="56">
        <f>-(AV41/AV$15)</f>
        <v>0</v>
      </c>
      <c r="AW42" s="45" t="n"/>
      <c r="AX42" s="45" t="n"/>
      <c r="AY42" s="45" t="n"/>
      <c r="AZ42" s="45" t="n"/>
      <c r="BA42" s="56">
        <f>-(BA41/BA$15)</f>
        <v>0</v>
      </c>
      <c r="BB42" s="45" t="n"/>
      <c r="BC42" s="45" t="n"/>
      <c r="BD42" s="45" t="n"/>
      <c r="BE42" s="45" t="n"/>
      <c r="BF42" s="56">
        <f>-(BF41/BF$15)</f>
        <v>0</v>
      </c>
      <c r="BG42" s="45" t="n"/>
      <c r="BH42" s="45" t="n"/>
      <c r="BI42" s="45" t="n"/>
      <c r="BJ42" s="45" t="n"/>
      <c r="BK42" s="56">
        <f>-(BK41/BK$15)</f>
        <v>0</v>
      </c>
      <c r="BL42" s="45" t="n"/>
      <c r="BM42" s="45" t="n"/>
      <c r="BN42" s="45" t="n"/>
      <c r="BO42" s="45" t="n"/>
      <c r="BP42" s="56">
        <f>-(BP41/BP$15)</f>
        <v>0</v>
      </c>
      <c r="BQ42" s="45" t="n"/>
      <c r="BR42" s="45" t="n"/>
      <c r="BS42" s="45" t="n"/>
      <c r="BT42" s="45" t="n"/>
      <c r="BU42" s="56">
        <f>-(BU41/BU$15)</f>
        <v>0</v>
      </c>
      <c r="BV42" s="45" t="n"/>
      <c r="BW42" s="45" t="n"/>
      <c r="BX42" s="45" t="n"/>
      <c r="BY42" s="45" t="n"/>
      <c r="BZ42" s="56">
        <f>-(BZ41/BZ$15)</f>
        <v>0</v>
      </c>
      <c r="CA42" s="45" t="n"/>
      <c r="CB42" s="45" t="n"/>
      <c r="CC42" s="45" t="n"/>
      <c r="CD42" s="45" t="n"/>
      <c r="CE42" s="56">
        <f>-(CE41/CE$15)</f>
        <v>0</v>
      </c>
      <c r="CF42" s="45" t="n"/>
      <c r="CG42" s="45" t="n"/>
      <c r="CH42" s="45" t="n"/>
      <c r="CI42" s="45" t="n"/>
      <c r="CJ42" s="56">
        <f>-(CJ41/CJ$15)</f>
        <v>0</v>
      </c>
      <c r="CK42" s="45" t="n"/>
      <c r="CL42" s="45" t="n"/>
      <c r="CM42" s="45" t="n"/>
      <c r="CN42" s="45" t="n"/>
      <c r="CO42" s="56">
        <f>-(CO41/CO$15)</f>
        <v>0</v>
      </c>
      <c r="CP42" s="45" t="n"/>
      <c r="CQ42" s="45" t="n"/>
      <c r="CR42" s="45" t="n"/>
      <c r="CS42" s="45" t="n"/>
      <c r="CT42" s="56">
        <f>-(CT41/CT$15)</f>
        <v>0</v>
      </c>
      <c r="CU42" s="45" t="n"/>
      <c r="CV42" s="45" t="n"/>
      <c r="CW42" s="45" t="n"/>
      <c r="CX42" s="45" t="n"/>
      <c r="CY42" s="56">
        <f>-(CY41/CY$15)</f>
        <v>0</v>
      </c>
    </row>
    <row r="43" hidden="1" outlineLevel="1"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32" t="n"/>
      <c r="AG43" s="32" t="n"/>
      <c r="AH43" s="32" t="n"/>
      <c r="AI43" s="32" t="n"/>
      <c r="AJ43" s="32" t="n"/>
      <c r="AK43" s="32" t="n"/>
      <c r="AL43" s="32" t="n"/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  <c r="AV43" s="32" t="n"/>
      <c r="AW43" s="32" t="n"/>
      <c r="AX43" s="3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  <c r="CU43" s="32" t="n"/>
      <c r="CV43" s="32" t="n"/>
      <c r="CW43" s="32" t="n"/>
      <c r="CX43" s="32" t="n"/>
      <c r="CY43" s="32" t="n"/>
    </row>
    <row r="44" hidden="1" outlineLevel="1">
      <c r="C44" s="32" t="inlineStr">
        <is>
          <t>Com Vendas</t>
        </is>
      </c>
      <c r="D44" s="6" t="n"/>
      <c r="E44" s="6" t="n"/>
      <c r="F44" s="6" t="n"/>
      <c r="G44" s="6" t="n"/>
      <c r="H44" s="32" t="n"/>
      <c r="I44" s="6" t="n"/>
      <c r="J44" s="6" t="n"/>
      <c r="K44" s="6" t="n"/>
      <c r="L44" s="6" t="n"/>
      <c r="M44" s="32" t="n"/>
      <c r="N44" s="6" t="n"/>
      <c r="O44" s="6" t="n"/>
      <c r="P44" s="6" t="n"/>
      <c r="Q44" s="6" t="n"/>
      <c r="R44" s="32" t="n"/>
      <c r="S44" s="6" t="n"/>
      <c r="T44" s="6" t="n"/>
      <c r="U44" s="6" t="n"/>
      <c r="V44" s="6" t="n"/>
      <c r="W44" s="32" t="n"/>
      <c r="X44" s="6" t="n"/>
      <c r="Y44" s="6" t="n"/>
      <c r="Z44" s="6" t="n"/>
      <c r="AA44" s="6" t="n"/>
      <c r="AB44" s="32" t="n"/>
      <c r="AC44" s="6" t="n"/>
      <c r="AD44" s="6" t="n"/>
      <c r="AE44" s="6" t="n"/>
      <c r="AF44" s="6" t="n"/>
      <c r="AG44" s="32" t="n"/>
      <c r="AH44" s="32" t="n"/>
      <c r="AI44" s="32" t="n"/>
      <c r="AJ44" s="32" t="n"/>
      <c r="AK44" s="32" t="n"/>
      <c r="AL44" s="32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  <c r="AV44" s="32" t="n"/>
      <c r="AW44" s="32" t="n"/>
      <c r="AX44" s="3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  <c r="CU44" s="32" t="n"/>
      <c r="CV44" s="32" t="n"/>
      <c r="CW44" s="32" t="n"/>
      <c r="CX44" s="32" t="n"/>
      <c r="CY44" s="32" t="n"/>
    </row>
    <row r="45" hidden="1" outlineLevel="1">
      <c r="C45" s="32" t="inlineStr">
        <is>
          <t>Gerais &amp; Administrativas</t>
        </is>
      </c>
      <c r="D45" s="6" t="n"/>
      <c r="E45" s="6" t="n"/>
      <c r="F45" s="6" t="n"/>
      <c r="G45" s="6" t="n"/>
      <c r="H45" s="32" t="n"/>
      <c r="I45" s="6" t="n"/>
      <c r="J45" s="6" t="n"/>
      <c r="K45" s="6" t="n"/>
      <c r="L45" s="6" t="n"/>
      <c r="M45" s="32" t="n"/>
      <c r="N45" s="6" t="n"/>
      <c r="O45" s="6" t="n"/>
      <c r="P45" s="6" t="n"/>
      <c r="Q45" s="6" t="n"/>
      <c r="R45" s="32" t="n"/>
      <c r="S45" s="6" t="n"/>
      <c r="T45" s="6" t="n"/>
      <c r="U45" s="6" t="n"/>
      <c r="V45" s="6" t="n"/>
      <c r="W45" s="32" t="n"/>
      <c r="X45" s="6" t="n"/>
      <c r="Y45" s="6" t="n"/>
      <c r="Z45" s="6" t="n"/>
      <c r="AA45" s="6" t="n"/>
      <c r="AB45" s="32" t="n"/>
      <c r="AC45" s="6" t="n"/>
      <c r="AD45" s="6" t="n"/>
      <c r="AE45" s="6" t="n"/>
      <c r="AF45" s="6" t="n"/>
      <c r="AG45" s="32" t="n"/>
      <c r="AH45" s="32" t="n"/>
      <c r="AI45" s="32" t="n"/>
      <c r="AJ45" s="32" t="n"/>
      <c r="AK45" s="32" t="n"/>
      <c r="AL45" s="32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  <c r="AV45" s="32" t="n"/>
      <c r="AW45" s="32" t="n"/>
      <c r="AX45" s="3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  <c r="CO45" s="32" t="n"/>
      <c r="CP45" s="32" t="n"/>
      <c r="CQ45" s="32" t="n"/>
      <c r="CR45" s="32" t="n"/>
      <c r="CS45" s="32" t="n"/>
      <c r="CT45" s="32" t="n"/>
      <c r="CU45" s="32" t="n"/>
      <c r="CV45" s="32" t="n"/>
      <c r="CW45" s="32" t="n"/>
      <c r="CX45" s="32" t="n"/>
      <c r="CY45" s="32" t="n"/>
    </row>
    <row r="46" hidden="1" outlineLevel="1">
      <c r="C46" s="32" t="inlineStr">
        <is>
          <t>Outras Receitas (Despesas) Operacionais, Líquidas</t>
        </is>
      </c>
      <c r="D46" s="6" t="n"/>
      <c r="E46" s="6" t="n"/>
      <c r="F46" s="6" t="n"/>
      <c r="G46" s="6" t="n"/>
      <c r="H46" s="32" t="n"/>
      <c r="I46" s="6" t="n"/>
      <c r="J46" s="6" t="n"/>
      <c r="K46" s="6" t="n"/>
      <c r="L46" s="6" t="n"/>
      <c r="M46" s="32" t="n"/>
      <c r="N46" s="6" t="n"/>
      <c r="O46" s="6" t="n"/>
      <c r="P46" s="6" t="n"/>
      <c r="Q46" s="6" t="n"/>
      <c r="R46" s="32" t="n"/>
      <c r="S46" s="6" t="n"/>
      <c r="T46" s="6" t="n"/>
      <c r="U46" s="6" t="n"/>
      <c r="V46" s="6" t="n"/>
      <c r="W46" s="32" t="n"/>
      <c r="X46" s="6" t="n"/>
      <c r="Y46" s="6" t="n"/>
      <c r="Z46" s="6" t="n"/>
      <c r="AA46" s="6" t="n"/>
      <c r="AB46" s="32" t="n"/>
      <c r="AC46" s="6" t="n"/>
      <c r="AD46" s="6" t="n"/>
      <c r="AE46" s="6" t="n"/>
      <c r="AF46" s="6" t="n"/>
      <c r="AG46" s="32" t="n"/>
      <c r="AH46" s="32" t="n"/>
      <c r="AI46" s="32" t="n"/>
      <c r="AJ46" s="32" t="n"/>
      <c r="AK46" s="32" t="n"/>
      <c r="AL46" s="32" t="n"/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  <c r="AV46" s="32" t="n"/>
      <c r="AW46" s="32" t="n"/>
      <c r="AX46" s="3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  <c r="CO46" s="32" t="n"/>
      <c r="CP46" s="32" t="n"/>
      <c r="CQ46" s="32" t="n"/>
      <c r="CR46" s="32" t="n"/>
      <c r="CS46" s="32" t="n"/>
      <c r="CT46" s="32" t="n"/>
      <c r="CU46" s="32" t="n"/>
      <c r="CV46" s="32" t="n"/>
      <c r="CW46" s="32" t="n"/>
      <c r="CX46" s="32" t="n"/>
      <c r="CY46" s="32" t="n"/>
    </row>
    <row r="47" hidden="1" outlineLevel="1"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32" t="n"/>
      <c r="AG47" s="32" t="n"/>
      <c r="AH47" s="32" t="n"/>
      <c r="AI47" s="32" t="n"/>
      <c r="AJ47" s="32" t="n"/>
      <c r="AK47" s="32" t="n"/>
      <c r="AL47" s="32" t="n"/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  <c r="AV47" s="32" t="n"/>
      <c r="AW47" s="32" t="n"/>
      <c r="AX47" s="3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  <c r="CU47" s="32" t="n"/>
      <c r="CV47" s="32" t="n"/>
      <c r="CW47" s="32" t="n"/>
      <c r="CX47" s="32" t="n"/>
      <c r="CY47" s="32" t="n"/>
    </row>
    <row r="48" hidden="1" outlineLevel="1">
      <c r="C48" s="32" t="inlineStr">
        <is>
          <t>Com Vendas (%)</t>
        </is>
      </c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  <c r="AL48" s="32" t="n"/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  <c r="AV48" s="32" t="n"/>
      <c r="AW48" s="32" t="n"/>
      <c r="AX48" s="3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  <c r="CU48" s="32" t="n"/>
      <c r="CV48" s="32" t="n"/>
      <c r="CW48" s="32" t="n"/>
      <c r="CX48" s="32" t="n"/>
      <c r="CY48" s="32" t="n"/>
    </row>
    <row r="49" hidden="1" outlineLevel="1">
      <c r="C49" s="32" t="inlineStr">
        <is>
          <t>Gerais &amp; Administrativas (%)</t>
        </is>
      </c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32" t="n"/>
      <c r="AG49" s="32" t="n"/>
      <c r="AH49" s="32" t="n"/>
      <c r="AI49" s="32" t="n"/>
      <c r="AJ49" s="32" t="n"/>
      <c r="AK49" s="32" t="n"/>
      <c r="AL49" s="32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  <c r="AV49" s="32" t="n"/>
      <c r="AW49" s="32" t="n"/>
      <c r="AX49" s="3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  <c r="CU49" s="32" t="n"/>
      <c r="CV49" s="32" t="n"/>
      <c r="CW49" s="32" t="n"/>
      <c r="CX49" s="32" t="n"/>
      <c r="CY49" s="32" t="n"/>
    </row>
    <row r="50" hidden="1" outlineLevel="1">
      <c r="C50" s="32" t="inlineStr">
        <is>
          <t>Outras Receitas (Despesas) Operacionais, Líquidas (%)</t>
        </is>
      </c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collapsed="1" customFormat="1" s="17">
      <c r="A52" s="13" t="n"/>
      <c r="B52" s="1" t="n"/>
      <c r="C52" s="14" t="inlineStr">
        <is>
          <t>EBITDA</t>
        </is>
      </c>
      <c r="D52" s="16">
        <f>SUM(D15,D37,D41)</f>
        <v>2018</v>
      </c>
      <c r="E52" s="16">
        <f>SUM(E15,E37,E41)</f>
        <v>1392</v>
      </c>
      <c r="F52" s="16">
        <f>SUM(F15,F37,F41)</f>
        <v>1578</v>
      </c>
      <c r="G52" s="16">
        <f>SUM(G15,G37,G41)</f>
        <v>1997</v>
      </c>
      <c r="H52" s="16">
        <f>SUM(D52:G52)</f>
        <v>6985</v>
      </c>
      <c r="I52" s="16">
        <f>SUM(I15,I37,I41)</f>
        <v>2400</v>
      </c>
      <c r="J52" s="16">
        <f>SUM(J15,J37,J41)</f>
        <v>2376</v>
      </c>
      <c r="K52" s="16">
        <f>SUM(K15,K37,K41)</f>
        <v>2257</v>
      </c>
      <c r="L52" s="16">
        <f>SUM(L15,L37,L41)</f>
        <v>2197</v>
      </c>
      <c r="M52" s="16">
        <f>SUM(I52:L52)</f>
        <v>9230</v>
      </c>
      <c r="N52" s="16">
        <f>SUM(N15,N37,N41)</f>
        <v>2412</v>
      </c>
      <c r="O52" s="16">
        <f>SUM(O15,O37,O41)</f>
        <v>2497</v>
      </c>
      <c r="P52" s="16">
        <f>SUM(P15,P37,P41)</f>
        <v>2976</v>
      </c>
      <c r="Q52" s="16">
        <f>SUM(Q15,Q37,Q41)</f>
        <v>2238</v>
      </c>
      <c r="R52" s="16">
        <f>SUM(N52:Q52)</f>
        <v>10123</v>
      </c>
      <c r="S52" s="16">
        <f>SUM(S15,S37,S41)</f>
        <v>3263</v>
      </c>
      <c r="T52" s="16">
        <f>SUM(T15,T37,T41)</f>
        <v>4194</v>
      </c>
      <c r="U52" s="16">
        <f>SUM(U15,U37,U41)</f>
        <v>3974</v>
      </c>
      <c r="V52" s="16">
        <f>SUM(V15,V37,V41)</f>
        <v>3679</v>
      </c>
      <c r="W52" s="16">
        <f>SUM(S52:V52)</f>
        <v>15110</v>
      </c>
      <c r="X52" s="16">
        <f>SUM(X15,X37,X41)</f>
        <v>4043</v>
      </c>
      <c r="Y52" s="16">
        <f>SUM(Y15,Y37,Y41)</f>
        <v>4013</v>
      </c>
      <c r="Z52" s="16">
        <f>SUM(Z15,Z37,Z41)</f>
        <v>3690</v>
      </c>
      <c r="AA52" s="16">
        <f>SUM(AA15,AA37,AA41)</f>
        <v>3479</v>
      </c>
      <c r="AB52" s="16">
        <f>SUM(X52:AA52)</f>
        <v>15225</v>
      </c>
      <c r="AC52" s="16">
        <f>SUM(AC15,AC37,AC41)</f>
        <v>3119</v>
      </c>
      <c r="AD52" s="16">
        <f>SUM(AD15,AD37,AD41)</f>
        <v>3414</v>
      </c>
      <c r="AE52" s="16">
        <f>SUM(AE15,AE37,AE41)</f>
        <v>3622</v>
      </c>
      <c r="AF52" s="16">
        <f>SUM(AF15,AF37,AF41)</f>
        <v>3258</v>
      </c>
      <c r="AG52" s="16">
        <f>SUM(AC52:AF52)</f>
        <v>13413</v>
      </c>
      <c r="AH52" s="16">
        <f>SUM(AH15,AH37,AH41)</f>
        <v>3680</v>
      </c>
      <c r="AI52" s="16">
        <f>SUM(AI15,AI37,AI41)</f>
        <v>4911</v>
      </c>
      <c r="AJ52" s="16">
        <f>SUM(AJ15,AJ37,AJ41)</f>
        <v>0</v>
      </c>
      <c r="AK52" s="16">
        <f>SUM(AK15,AK37,AK41)</f>
        <v>0</v>
      </c>
      <c r="AL52" s="16">
        <f>SUM(AH52:AK52)</f>
        <v>8591</v>
      </c>
      <c r="AM52" s="16">
        <f>SUM(AM15,AM37,AM41)</f>
        <v>0</v>
      </c>
      <c r="AN52" s="16">
        <f>SUM(AN15,AN37,AN41)</f>
        <v>0</v>
      </c>
      <c r="AO52" s="16">
        <f>SUM(AO15,AO37,AO41)</f>
        <v>0</v>
      </c>
      <c r="AP52" s="16">
        <f>SUM(AP15,AP37,AP41)</f>
        <v>0</v>
      </c>
      <c r="AQ52" s="16">
        <f>SUM(AM52:AP52)</f>
        <v>0</v>
      </c>
      <c r="AR52" s="16">
        <f>SUM(AR15,AR37,AR41)</f>
        <v>0</v>
      </c>
      <c r="AS52" s="16">
        <f>SUM(AS15,AS37,AS41)</f>
        <v>0</v>
      </c>
      <c r="AT52" s="16">
        <f>SUM(AT15,AT37,AT41)</f>
        <v>0</v>
      </c>
      <c r="AU52" s="16">
        <f>SUM(AU15,AU37,AU41)</f>
        <v>0</v>
      </c>
      <c r="AV52" s="16">
        <f>SUM(AR52:AU52)</f>
        <v>0</v>
      </c>
      <c r="AW52" s="16">
        <f>SUM(AW15,AW37,AW41)</f>
        <v>0</v>
      </c>
      <c r="AX52" s="16">
        <f>SUM(AX15,AX37,AX41)</f>
        <v>0</v>
      </c>
      <c r="AY52" s="16">
        <f>SUM(AY15,AY37,AY41)</f>
        <v>0</v>
      </c>
      <c r="AZ52" s="16">
        <f>SUM(AZ15,AZ37,AZ41)</f>
        <v>0</v>
      </c>
      <c r="BA52" s="16">
        <f>SUM(AW52:AZ52)</f>
        <v>0</v>
      </c>
      <c r="BB52" s="16">
        <f>SUM(BB15,BB37,BB41)</f>
        <v>0</v>
      </c>
      <c r="BC52" s="16">
        <f>SUM(BC15,BC37,BC41)</f>
        <v>0</v>
      </c>
      <c r="BD52" s="16">
        <f>SUM(BD15,BD37,BD41)</f>
        <v>0</v>
      </c>
      <c r="BE52" s="16">
        <f>SUM(BE15,BE37,BE41)</f>
        <v>0</v>
      </c>
      <c r="BF52" s="16">
        <f>SUM(BB52:BE52)</f>
        <v>0</v>
      </c>
      <c r="BG52" s="16">
        <f>SUM(BG15,BG37,BG41)</f>
        <v>0</v>
      </c>
      <c r="BH52" s="16">
        <f>SUM(BH15,BH37,BH41)</f>
        <v>0</v>
      </c>
      <c r="BI52" s="16">
        <f>SUM(BI15,BI37,BI41)</f>
        <v>0</v>
      </c>
      <c r="BJ52" s="16">
        <f>SUM(BJ15,BJ37,BJ41)</f>
        <v>0</v>
      </c>
      <c r="BK52" s="16">
        <f>SUM(BG52:BJ52)</f>
        <v>0</v>
      </c>
      <c r="BL52" s="16">
        <f>SUM(BL15,BL37,BL41)</f>
        <v>0</v>
      </c>
      <c r="BM52" s="16">
        <f>SUM(BM15,BM37,BM41)</f>
        <v>0</v>
      </c>
      <c r="BN52" s="16">
        <f>SUM(BN15,BN37,BN41)</f>
        <v>0</v>
      </c>
      <c r="BO52" s="16">
        <f>SUM(BO15,BO37,BO41)</f>
        <v>0</v>
      </c>
      <c r="BP52" s="16">
        <f>SUM(BL52:BO52)</f>
        <v>0</v>
      </c>
      <c r="BQ52" s="16">
        <f>SUM(BQ15,BQ37,BQ41)</f>
        <v>0</v>
      </c>
      <c r="BR52" s="16">
        <f>SUM(BR15,BR37,BR41)</f>
        <v>0</v>
      </c>
      <c r="BS52" s="16">
        <f>SUM(BS15,BS37,BS41)</f>
        <v>0</v>
      </c>
      <c r="BT52" s="16">
        <f>SUM(BT15,BT37,BT41)</f>
        <v>0</v>
      </c>
      <c r="BU52" s="16">
        <f>SUM(BQ52:BT52)</f>
        <v>0</v>
      </c>
      <c r="BV52" s="16">
        <f>SUM(BV15,BV37,BV41)</f>
        <v>0</v>
      </c>
      <c r="BW52" s="16">
        <f>SUM(BW15,BW37,BW41)</f>
        <v>0</v>
      </c>
      <c r="BX52" s="16">
        <f>SUM(BX15,BX37,BX41)</f>
        <v>0</v>
      </c>
      <c r="BY52" s="16">
        <f>SUM(BY15,BY37,BY41)</f>
        <v>0</v>
      </c>
      <c r="BZ52" s="16">
        <f>SUM(BV52:BY52)</f>
        <v>0</v>
      </c>
      <c r="CA52" s="16">
        <f>SUM(CA15,CA37,CA41)</f>
        <v>0</v>
      </c>
      <c r="CB52" s="16">
        <f>SUM(CB15,CB37,CB41)</f>
        <v>0</v>
      </c>
      <c r="CC52" s="16">
        <f>SUM(CC15,CC37,CC41)</f>
        <v>0</v>
      </c>
      <c r="CD52" s="16">
        <f>SUM(CD15,CD37,CD41)</f>
        <v>0</v>
      </c>
      <c r="CE52" s="16">
        <f>SUM(CA52:CD52)</f>
        <v>0</v>
      </c>
      <c r="CF52" s="16">
        <f>SUM(CF15,CF37,CF41)</f>
        <v>0</v>
      </c>
      <c r="CG52" s="16">
        <f>SUM(CG15,CG37,CG41)</f>
        <v>0</v>
      </c>
      <c r="CH52" s="16">
        <f>SUM(CH15,CH37,CH41)</f>
        <v>0</v>
      </c>
      <c r="CI52" s="16">
        <f>SUM(CI15,CI37,CI41)</f>
        <v>0</v>
      </c>
      <c r="CJ52" s="16">
        <f>SUM(CF52:CI52)</f>
        <v>0</v>
      </c>
      <c r="CK52" s="16">
        <f>SUM(CK15,CK37,CK41)</f>
        <v>0</v>
      </c>
      <c r="CL52" s="16">
        <f>SUM(CL15,CL37,CL41)</f>
        <v>0</v>
      </c>
      <c r="CM52" s="16">
        <f>SUM(CM15,CM37,CM41)</f>
        <v>0</v>
      </c>
      <c r="CN52" s="16">
        <f>SUM(CN15,CN37,CN41)</f>
        <v>0</v>
      </c>
      <c r="CO52" s="16">
        <f>SUM(CK52:CN52)</f>
        <v>0</v>
      </c>
      <c r="CP52" s="16">
        <f>SUM(CP15,CP37,CP41)</f>
        <v>0</v>
      </c>
      <c r="CQ52" s="16">
        <f>SUM(CQ15,CQ37,CQ41)</f>
        <v>0</v>
      </c>
      <c r="CR52" s="16">
        <f>SUM(CR15,CR37,CR41)</f>
        <v>0</v>
      </c>
      <c r="CS52" s="16">
        <f>SUM(CS15,CS37,CS41)</f>
        <v>0</v>
      </c>
      <c r="CT52" s="16">
        <f>SUM(CP52:CS52)</f>
        <v>0</v>
      </c>
      <c r="CU52" s="16">
        <f>SUM(CU15,CU37,CU41)</f>
        <v>0</v>
      </c>
      <c r="CV52" s="16">
        <f>SUM(CV15,CV37,CV41)</f>
        <v>0</v>
      </c>
      <c r="CW52" s="16">
        <f>SUM(CW15,CW37,CW41)</f>
        <v>0</v>
      </c>
      <c r="CX52" s="16">
        <f>SUM(CX15,CX37,CX41)</f>
        <v>0</v>
      </c>
      <c r="CY52" s="16">
        <f>SUM(CU52:CX52)</f>
        <v>0</v>
      </c>
    </row>
    <row r="53" ht="13.5" customHeight="1">
      <c r="C53" s="24" t="inlineStr">
        <is>
          <t>D&amp;A</t>
        </is>
      </c>
      <c r="D53" s="25">
        <f>INDEX('Inputs (2)'!$D$7:$AL$7,MATCH(D$7,'Inputs (2)'!$D$2:$AL$2,0))</f>
        <v>-614</v>
      </c>
      <c r="E53" s="25">
        <f>INDEX('Inputs (2)'!$D$7:$AL$7,MATCH(E$7,'Inputs (2)'!$D$2:$AL$2,0))</f>
        <v>-608</v>
      </c>
      <c r="F53" s="25">
        <f>INDEX('Inputs (2)'!$D$7:$AL$7,MATCH(F$7,'Inputs (2)'!$D$2:$AL$2,0))</f>
        <v>-593</v>
      </c>
      <c r="G53" s="25">
        <f>INDEX('Inputs (2)'!$D$7:$AL$7,MATCH(G$7,'Inputs (2)'!$D$2:$AL$2,0))</f>
        <v>-617</v>
      </c>
      <c r="H53" s="3">
        <f>SUM(D53:G53)</f>
        <v>-2432</v>
      </c>
      <c r="I53" s="25">
        <f>INDEX('Inputs (2)'!$D$7:$AL$7,MATCH(I$7,'Inputs (2)'!$D$2:$AL$2,0))</f>
        <v>-586</v>
      </c>
      <c r="J53" s="25">
        <f>INDEX('Inputs (2)'!$D$7:$AL$7,MATCH(J$7,'Inputs (2)'!$D$2:$AL$2,0))</f>
        <v>-587</v>
      </c>
      <c r="K53" s="25">
        <f>INDEX('Inputs (2)'!$D$7:$AL$7,MATCH(K$7,'Inputs (2)'!$D$2:$AL$2,0))</f>
        <v>-593</v>
      </c>
      <c r="L53" s="25">
        <f>INDEX('Inputs (2)'!$D$7:$AL$7,MATCH(L$7,'Inputs (2)'!$D$2:$AL$2,0))</f>
        <v>-586</v>
      </c>
      <c r="M53" s="3">
        <f>SUM(I53:L53)</f>
        <v>-2352</v>
      </c>
      <c r="N53" s="25">
        <f>INDEX('Inputs (2)'!$D$7:$AL$7,MATCH(N$7,'Inputs (2)'!$D$2:$AL$2,0))</f>
        <v>-557</v>
      </c>
      <c r="O53" s="25">
        <f>INDEX('Inputs (2)'!$D$7:$AL$7,MATCH(O$7,'Inputs (2)'!$D$2:$AL$2,0))</f>
        <v>-553</v>
      </c>
      <c r="P53" s="25">
        <f>INDEX('Inputs (2)'!$D$7:$AL$7,MATCH(P$7,'Inputs (2)'!$D$2:$AL$2,0))</f>
        <v>-551</v>
      </c>
      <c r="Q53" s="25">
        <f>INDEX('Inputs (2)'!$D$7:$AL$7,MATCH(Q$7,'Inputs (2)'!$D$2:$AL$2,0))</f>
        <v>-558</v>
      </c>
      <c r="R53" s="3">
        <f>SUM(N53:Q53)</f>
        <v>-2219</v>
      </c>
      <c r="S53" s="25">
        <f>INDEX('Inputs (2)'!$D$7:$AL$7,MATCH(S$7,'Inputs (2)'!$D$2:$AL$2,0))</f>
        <v>-532</v>
      </c>
      <c r="T53" s="25">
        <f>INDEX('Inputs (2)'!$D$7:$AL$7,MATCH(T$7,'Inputs (2)'!$D$2:$AL$2,0))</f>
        <v>-542</v>
      </c>
      <c r="U53" s="25">
        <f>INDEX('Inputs (2)'!$D$7:$AL$7,MATCH(U$7,'Inputs (2)'!$D$2:$AL$2,0))</f>
        <v>-525</v>
      </c>
      <c r="V53" s="25">
        <f>INDEX('Inputs (2)'!$D$7:$AL$7,MATCH(V$7,'Inputs (2)'!$D$2:$AL$2,0))</f>
        <v>-545</v>
      </c>
      <c r="W53" s="3">
        <f>SUM(S53:V53)</f>
        <v>-2144</v>
      </c>
      <c r="X53" s="25">
        <f>INDEX('Inputs (2)'!$D$7:$AL$7,MATCH(X$7,'Inputs (2)'!$D$2:$AL$2,0))</f>
        <v>-524</v>
      </c>
      <c r="Y53" s="25">
        <f>INDEX('Inputs (2)'!$D$7:$AL$7,MATCH(Y$7,'Inputs (2)'!$D$2:$AL$2,0))</f>
        <v>-531</v>
      </c>
      <c r="Z53" s="25">
        <f>INDEX('Inputs (2)'!$D$7:$AL$7,MATCH(Z$7,'Inputs (2)'!$D$2:$AL$2,0))</f>
        <v>-543</v>
      </c>
      <c r="AA53" s="25">
        <f>INDEX('Inputs (2)'!$D$7:$AL$7,MATCH(AA$7,'Inputs (2)'!$D$2:$AL$2,0))</f>
        <v>-555</v>
      </c>
      <c r="AB53" s="3">
        <f>SUM(X53:AA53)</f>
        <v>-2153</v>
      </c>
      <c r="AC53" s="25">
        <f>INDEX('Inputs (2)'!$D$7:$AL$7,MATCH(AC$7,'Inputs (2)'!$D$2:$AL$2,0))</f>
        <v>-540</v>
      </c>
      <c r="AD53" s="25">
        <f>INDEX('Inputs (2)'!$D$7:$AL$7,MATCH(AD$7,'Inputs (2)'!$D$2:$AL$2,0))</f>
        <v>-554</v>
      </c>
      <c r="AE53" s="25">
        <f>INDEX('Inputs (2)'!$D$7:$AL$7,MATCH(AE$7,'Inputs (2)'!$D$2:$AL$2,0))</f>
        <v>-570</v>
      </c>
      <c r="AF53" s="25">
        <f>INDEX('Inputs (2)'!$D$7:$AL$7,MATCH(AF$7,'Inputs (2)'!$D$2:$AL$2,0))</f>
        <v>-598</v>
      </c>
      <c r="AG53" s="3">
        <f>SUM(AC53:AF53)</f>
        <v>-2262</v>
      </c>
      <c r="AH53" s="3">
        <f>INDEX('Inputs (2)'!$D$7:$AL$7,MATCH(AH$7,'Inputs (2)'!$D$2:$AL$2,0))</f>
        <v>-595</v>
      </c>
      <c r="AI53" s="3">
        <f>INDEX('Inputs (2)'!$D$7:$AL$7,MATCH(AI$7,'Inputs (2)'!$D$2:$AL$2,0))</f>
        <v>-616</v>
      </c>
      <c r="AJ53" s="3">
        <f>-AJ54*AJ15</f>
        <v>0</v>
      </c>
      <c r="AK53" s="3">
        <f>-AK54*AK15</f>
        <v>0</v>
      </c>
      <c r="AL53" s="3">
        <f>SUM(AH53:AK53)</f>
        <v>-1211</v>
      </c>
      <c r="AM53" s="3">
        <f>-AM54*AM15</f>
        <v>0</v>
      </c>
      <c r="AN53" s="3">
        <f>-AN54*AN15</f>
        <v>0</v>
      </c>
      <c r="AO53" s="3">
        <f>-AO54*AO15</f>
        <v>0</v>
      </c>
      <c r="AP53" s="3">
        <f>-AP54*AP15</f>
        <v>0</v>
      </c>
      <c r="AQ53" s="3">
        <f>SUM(AM53:AP53)</f>
        <v>0</v>
      </c>
      <c r="AR53" s="3">
        <f>-AR54*AR15</f>
        <v>0</v>
      </c>
      <c r="AS53" s="3">
        <f>-AS54*AS15</f>
        <v>0</v>
      </c>
      <c r="AT53" s="3">
        <f>-AT54*AT15</f>
        <v>0</v>
      </c>
      <c r="AU53" s="3">
        <f>-AU54*AU15</f>
        <v>0</v>
      </c>
      <c r="AV53" s="3">
        <f>SUM(AR53:AU53)</f>
        <v>0</v>
      </c>
      <c r="AW53" s="3">
        <f>-AW54*AW15</f>
        <v>0</v>
      </c>
      <c r="AX53" s="3">
        <f>-AX54*AX15</f>
        <v>0</v>
      </c>
      <c r="AY53" s="3">
        <f>-AY54*AY15</f>
        <v>0</v>
      </c>
      <c r="AZ53" s="3">
        <f>-AZ54*AZ15</f>
        <v>0</v>
      </c>
      <c r="BA53" s="3">
        <f>SUM(AW53:AZ53)</f>
        <v>0</v>
      </c>
      <c r="BB53" s="3">
        <f>-BB54*BB15</f>
        <v>0</v>
      </c>
      <c r="BC53" s="3">
        <f>-BC54*BC15</f>
        <v>0</v>
      </c>
      <c r="BD53" s="3">
        <f>-BD54*BD15</f>
        <v>0</v>
      </c>
      <c r="BE53" s="3">
        <f>-BE54*BE15</f>
        <v>0</v>
      </c>
      <c r="BF53" s="3">
        <f>SUM(BB53:BE53)</f>
        <v>0</v>
      </c>
      <c r="BG53" s="3">
        <f>-BG54*BG15</f>
        <v>0</v>
      </c>
      <c r="BH53" s="3">
        <f>-BH54*BH15</f>
        <v>0</v>
      </c>
      <c r="BI53" s="3">
        <f>-BI54*BI15</f>
        <v>0</v>
      </c>
      <c r="BJ53" s="3">
        <f>-BJ54*BJ15</f>
        <v>0</v>
      </c>
      <c r="BK53" s="3">
        <f>SUM(BG53:BJ53)</f>
        <v>0</v>
      </c>
      <c r="BL53" s="3">
        <f>-BL54*BL15</f>
        <v>0</v>
      </c>
      <c r="BM53" s="3">
        <f>-BM54*BM15</f>
        <v>0</v>
      </c>
      <c r="BN53" s="3">
        <f>-BN54*BN15</f>
        <v>0</v>
      </c>
      <c r="BO53" s="3">
        <f>-BO54*BO15</f>
        <v>0</v>
      </c>
      <c r="BP53" s="3">
        <f>SUM(BL53:BO53)</f>
        <v>0</v>
      </c>
      <c r="BQ53" s="3">
        <f>-BQ54*BQ15</f>
        <v>0</v>
      </c>
      <c r="BR53" s="3">
        <f>-BR54*BR15</f>
        <v>0</v>
      </c>
      <c r="BS53" s="3">
        <f>-BS54*BS15</f>
        <v>0</v>
      </c>
      <c r="BT53" s="3">
        <f>-BT54*BT15</f>
        <v>0</v>
      </c>
      <c r="BU53" s="3">
        <f>SUM(BQ53:BT53)</f>
        <v>0</v>
      </c>
      <c r="BV53" s="3">
        <f>-BV54*BV15</f>
        <v>0</v>
      </c>
      <c r="BW53" s="3">
        <f>-BW54*BW15</f>
        <v>0</v>
      </c>
      <c r="BX53" s="3">
        <f>-BX54*BX15</f>
        <v>0</v>
      </c>
      <c r="BY53" s="3">
        <f>-BY54*BY15</f>
        <v>0</v>
      </c>
      <c r="BZ53" s="3">
        <f>SUM(BV53:BY53)</f>
        <v>0</v>
      </c>
      <c r="CA53" s="3">
        <f>-CA54*CA15</f>
        <v>0</v>
      </c>
      <c r="CB53" s="3">
        <f>-CB54*CB15</f>
        <v>0</v>
      </c>
      <c r="CC53" s="3">
        <f>-CC54*CC15</f>
        <v>0</v>
      </c>
      <c r="CD53" s="3">
        <f>-CD54*CD15</f>
        <v>0</v>
      </c>
      <c r="CE53" s="3">
        <f>SUM(CA53:CD53)</f>
        <v>0</v>
      </c>
      <c r="CF53" s="3">
        <f>-CF54*CF15</f>
        <v>0</v>
      </c>
      <c r="CG53" s="3">
        <f>-CG54*CG15</f>
        <v>0</v>
      </c>
      <c r="CH53" s="3">
        <f>-CH54*CH15</f>
        <v>0</v>
      </c>
      <c r="CI53" s="3">
        <f>-CI54*CI15</f>
        <v>0</v>
      </c>
      <c r="CJ53" s="3">
        <f>SUM(CF53:CI53)</f>
        <v>0</v>
      </c>
      <c r="CK53" s="3">
        <f>-CK54*CK15</f>
        <v>0</v>
      </c>
      <c r="CL53" s="3">
        <f>-CL54*CL15</f>
        <v>0</v>
      </c>
      <c r="CM53" s="3">
        <f>-CM54*CM15</f>
        <v>0</v>
      </c>
      <c r="CN53" s="3">
        <f>-CN54*CN15</f>
        <v>0</v>
      </c>
      <c r="CO53" s="3">
        <f>SUM(CK53:CN53)</f>
        <v>0</v>
      </c>
      <c r="CP53" s="3">
        <f>-CP54*CP15</f>
        <v>0</v>
      </c>
      <c r="CQ53" s="3">
        <f>-CQ54*CQ15</f>
        <v>0</v>
      </c>
      <c r="CR53" s="3">
        <f>-CR54*CR15</f>
        <v>0</v>
      </c>
      <c r="CS53" s="3">
        <f>-CS54*CS15</f>
        <v>0</v>
      </c>
      <c r="CT53" s="3">
        <f>SUM(CP53:CS53)</f>
        <v>0</v>
      </c>
      <c r="CU53" s="3">
        <f>-CU54*CU15</f>
        <v>0</v>
      </c>
      <c r="CV53" s="3">
        <f>-CV54*CV15</f>
        <v>0</v>
      </c>
      <c r="CW53" s="3">
        <f>-CW54*CW15</f>
        <v>0</v>
      </c>
      <c r="CX53" s="3">
        <f>-CX54*CX15</f>
        <v>0</v>
      </c>
      <c r="CY53" s="3">
        <f>SUM(CU53:CX53)</f>
        <v>0</v>
      </c>
    </row>
    <row r="54" hidden="1" outlineLevel="1" customFormat="1" s="247">
      <c r="A54" s="48" t="n"/>
      <c r="B54" s="48" t="n"/>
      <c r="C54" s="246" t="inlineStr">
        <is>
          <t>% of Revenue</t>
        </is>
      </c>
      <c r="D54" s="48">
        <f>-D53/D15</f>
        <v>0.0577338975082276</v>
      </c>
      <c r="E54" s="48">
        <f>-E53/E15</f>
        <v>0.0608182454736421</v>
      </c>
      <c r="F54" s="48">
        <f>-F53/F15</f>
        <v>0.0600141686064164</v>
      </c>
      <c r="G54" s="48">
        <f>-G53/G15</f>
        <v>0.0549176680017802</v>
      </c>
      <c r="H54" s="48" t="n"/>
      <c r="I54" s="48">
        <f>-I53/I15</f>
        <v>0.0492975519475057</v>
      </c>
      <c r="J54" s="48">
        <f>-J53/J15</f>
        <v>0.0455427108386997</v>
      </c>
      <c r="K54" s="48">
        <f>-K53/K15</f>
        <v>0.0478341534242155</v>
      </c>
      <c r="L54" s="48">
        <f>-L53/L15</f>
        <v>0.0424699231772721</v>
      </c>
      <c r="M54" s="48" t="n"/>
      <c r="N54" s="48">
        <f>-N53/N15</f>
        <v>0.0409890352490985</v>
      </c>
      <c r="O54" s="48">
        <f>-O53/O15</f>
        <v>0.0388151891626307</v>
      </c>
      <c r="P54" s="48">
        <f>-P53/P15</f>
        <v>0.0367480325463519</v>
      </c>
      <c r="Q54" s="48">
        <f>-Q53/Q15</f>
        <v>0.0336205338314153</v>
      </c>
      <c r="R54" s="48" t="n"/>
      <c r="S54" s="48">
        <f>-S53/S15</f>
        <v>0.0335392762577229</v>
      </c>
      <c r="T54" s="48">
        <f>-T53/T15</f>
        <v>0.0312969165030604</v>
      </c>
      <c r="U54" s="48">
        <f>-U53/U15</f>
        <v>0.0312314098750744</v>
      </c>
      <c r="V54" s="48">
        <f>-V53/V15</f>
        <v>0.0319273579379028</v>
      </c>
      <c r="W54" s="48" t="n"/>
      <c r="X54" s="48">
        <f>-X53/X15</f>
        <v>0.0331666561174758</v>
      </c>
      <c r="Y54" s="48">
        <f>-Y53/Y15</f>
        <v>0.0318173647312601</v>
      </c>
      <c r="Z54" s="48">
        <f>-Z53/Z15</f>
        <v>0.0337141437973426</v>
      </c>
      <c r="AA54" s="48">
        <f>-AA53/AA15</f>
        <v>0.0342275670675301</v>
      </c>
      <c r="AB54" s="48" t="n"/>
      <c r="AC54" s="48">
        <f>-AC53/AC15</f>
        <v>0.0378973963085129</v>
      </c>
      <c r="AD54" s="48">
        <f>-AD53/AD15</f>
        <v>0.033435934576619</v>
      </c>
      <c r="AE54" s="48">
        <f>-AE53/AE15</f>
        <v>0.032316589182447</v>
      </c>
      <c r="AF54" s="218">
        <f>-AF53/AF15</f>
        <v>0.0312548999111483</v>
      </c>
      <c r="AG54" s="48" t="n"/>
      <c r="AH54" s="218">
        <f>-AH53/AH15</f>
        <v>0.0341659488946311</v>
      </c>
      <c r="AI54" s="218">
        <f>-AI53/AI15</f>
        <v>0.0299858832692401</v>
      </c>
      <c r="AJ54" s="218" t="n"/>
      <c r="AK54" s="218" t="n"/>
      <c r="AL54" s="48" t="n"/>
      <c r="AM54" s="218" t="n"/>
      <c r="AN54" s="218" t="n"/>
      <c r="AO54" s="218" t="n"/>
      <c r="AP54" s="218" t="n"/>
      <c r="AQ54" s="48" t="n"/>
      <c r="AR54" s="218" t="n"/>
      <c r="AS54" s="218" t="n"/>
      <c r="AT54" s="218" t="n"/>
      <c r="AU54" s="218" t="n"/>
      <c r="AV54" s="48" t="n"/>
      <c r="AW54" s="218" t="n"/>
      <c r="AX54" s="218" t="n"/>
      <c r="AY54" s="218" t="n"/>
      <c r="AZ54" s="218" t="n"/>
      <c r="BA54" s="48" t="n"/>
      <c r="BB54" s="218" t="n"/>
      <c r="BC54" s="218" t="n"/>
      <c r="BD54" s="218" t="n"/>
      <c r="BE54" s="218" t="n"/>
      <c r="BF54" s="48" t="n"/>
      <c r="BG54" s="218" t="n"/>
      <c r="BH54" s="218" t="n"/>
      <c r="BI54" s="218" t="n"/>
      <c r="BJ54" s="218" t="n"/>
      <c r="BK54" s="48" t="n"/>
      <c r="BL54" s="218" t="n"/>
      <c r="BM54" s="218" t="n"/>
      <c r="BN54" s="218" t="n"/>
      <c r="BO54" s="218" t="n"/>
      <c r="BP54" s="48" t="n"/>
      <c r="BQ54" s="218" t="n"/>
      <c r="BR54" s="218" t="n"/>
      <c r="BS54" s="218" t="n"/>
      <c r="BT54" s="218" t="n"/>
      <c r="BU54" s="48" t="n"/>
      <c r="BV54" s="218" t="n"/>
      <c r="BW54" s="218" t="n"/>
      <c r="BX54" s="218" t="n"/>
      <c r="BY54" s="218" t="n"/>
      <c r="BZ54" s="48" t="n"/>
      <c r="CA54" s="218" t="n"/>
      <c r="CB54" s="218" t="n"/>
      <c r="CC54" s="218" t="n"/>
      <c r="CD54" s="218" t="n"/>
      <c r="CE54" s="48" t="n"/>
      <c r="CF54" s="218" t="n"/>
      <c r="CG54" s="218" t="n"/>
      <c r="CH54" s="218" t="n"/>
      <c r="CI54" s="218" t="n"/>
      <c r="CJ54" s="48" t="n"/>
      <c r="CK54" s="218" t="n"/>
      <c r="CL54" s="218" t="n"/>
      <c r="CM54" s="218" t="n"/>
      <c r="CN54" s="218" t="n"/>
      <c r="CO54" s="48" t="n"/>
      <c r="CP54" s="218" t="n"/>
      <c r="CQ54" s="218" t="n"/>
      <c r="CR54" s="218" t="n"/>
      <c r="CS54" s="218" t="n"/>
      <c r="CT54" s="48" t="n"/>
      <c r="CU54" s="218" t="n"/>
      <c r="CV54" s="218" t="n"/>
      <c r="CW54" s="218" t="n"/>
      <c r="CX54" s="218" t="n"/>
      <c r="CY54" s="48" t="n"/>
    </row>
    <row r="55" hidden="1" outlineLevel="1">
      <c r="C55" s="32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</row>
    <row r="56" collapsed="1" customFormat="1" s="17">
      <c r="A56" s="13" t="n"/>
      <c r="B56" s="1" t="n"/>
      <c r="C56" s="14" t="inlineStr">
        <is>
          <t>Operating Profit - EBIT</t>
        </is>
      </c>
      <c r="D56" s="16">
        <f>SUM(D52,D53)</f>
        <v>1404</v>
      </c>
      <c r="E56" s="16">
        <f>SUM(E52,E53)</f>
        <v>784</v>
      </c>
      <c r="F56" s="16">
        <f>SUM(F52,F53)</f>
        <v>985</v>
      </c>
      <c r="G56" s="16">
        <f>SUM(G52,G53)</f>
        <v>1380</v>
      </c>
      <c r="H56" s="16">
        <f>SUM(D56:G56)</f>
        <v>4553</v>
      </c>
      <c r="I56" s="16">
        <f>SUM(I52,I53)</f>
        <v>1814</v>
      </c>
      <c r="J56" s="16">
        <f>SUM(J52,J53)</f>
        <v>1789</v>
      </c>
      <c r="K56" s="16">
        <f>SUM(K52,K53)</f>
        <v>1664</v>
      </c>
      <c r="L56" s="16">
        <f>SUM(L52,L53)</f>
        <v>1611</v>
      </c>
      <c r="M56" s="16">
        <f>SUM(I56:L56)</f>
        <v>6878</v>
      </c>
      <c r="N56" s="16">
        <f>SUM(N52,N53)</f>
        <v>1855</v>
      </c>
      <c r="O56" s="16">
        <f>SUM(O52,O53)</f>
        <v>1944</v>
      </c>
      <c r="P56" s="16">
        <f>SUM(P52,P53)</f>
        <v>2425</v>
      </c>
      <c r="Q56" s="16">
        <f>SUM(Q52,Q53)</f>
        <v>1680</v>
      </c>
      <c r="R56" s="16">
        <f>SUM(N56:Q56)</f>
        <v>7904</v>
      </c>
      <c r="S56" s="16">
        <f>SUM(S52,S53)</f>
        <v>2731</v>
      </c>
      <c r="T56" s="16">
        <f>SUM(T52,T53)</f>
        <v>3652</v>
      </c>
      <c r="U56" s="16">
        <f>SUM(U52,U53)</f>
        <v>3449</v>
      </c>
      <c r="V56" s="16">
        <f>SUM(V52,V53)</f>
        <v>3134</v>
      </c>
      <c r="W56" s="16">
        <f>SUM(S56:V56)</f>
        <v>12966</v>
      </c>
      <c r="X56" s="16">
        <f>SUM(X52,X53)</f>
        <v>3519</v>
      </c>
      <c r="Y56" s="16">
        <f>SUM(Y52,Y53)</f>
        <v>3482</v>
      </c>
      <c r="Z56" s="16">
        <f>SUM(Z52,Z53)</f>
        <v>3147</v>
      </c>
      <c r="AA56" s="16">
        <f>SUM(AA52,AA53)</f>
        <v>2924</v>
      </c>
      <c r="AB56" s="16">
        <f>SUM(X56:AA56)</f>
        <v>13072</v>
      </c>
      <c r="AC56" s="16">
        <f>SUM(AC52,AC53)</f>
        <v>2579</v>
      </c>
      <c r="AD56" s="16">
        <f>SUM(AD52,AD53)</f>
        <v>2860</v>
      </c>
      <c r="AE56" s="16">
        <f>SUM(AE52,AE53)</f>
        <v>3052</v>
      </c>
      <c r="AF56" s="16">
        <f>SUM(AF52,AF53)</f>
        <v>2660</v>
      </c>
      <c r="AG56" s="16">
        <f>SUM(AC56:AF56)</f>
        <v>11151</v>
      </c>
      <c r="AH56" s="16">
        <f>SUM(AH52,AH53)</f>
        <v>3085</v>
      </c>
      <c r="AI56" s="16">
        <f>SUM(AI52,AI53)</f>
        <v>4295</v>
      </c>
      <c r="AJ56" s="16">
        <f>SUM(AJ52,AJ53)</f>
        <v>0</v>
      </c>
      <c r="AK56" s="16">
        <f>SUM(AK52,AK53)</f>
        <v>0</v>
      </c>
      <c r="AL56" s="16">
        <f>SUM(AL52,AL53)</f>
        <v>7380</v>
      </c>
      <c r="AM56" s="16">
        <f>SUM(AM52,AM53)</f>
        <v>0</v>
      </c>
      <c r="AN56" s="16">
        <f>SUM(AN52,AN53)</f>
        <v>0</v>
      </c>
      <c r="AO56" s="16">
        <f>SUM(AO52,AO53)</f>
        <v>0</v>
      </c>
      <c r="AP56" s="16">
        <f>SUM(AP52,AP53)</f>
        <v>0</v>
      </c>
      <c r="AQ56" s="16">
        <f>SUM(AQ52,AQ53)</f>
        <v>0</v>
      </c>
      <c r="AR56" s="16">
        <f>SUM(AR52,AR53)</f>
        <v>0</v>
      </c>
      <c r="AS56" s="16">
        <f>SUM(AS52,AS53)</f>
        <v>0</v>
      </c>
      <c r="AT56" s="16">
        <f>SUM(AT52,AT53)</f>
        <v>0</v>
      </c>
      <c r="AU56" s="16">
        <f>SUM(AU52,AU53)</f>
        <v>0</v>
      </c>
      <c r="AV56" s="16">
        <f>SUM(AV52,AV53)</f>
        <v>0</v>
      </c>
      <c r="AW56" s="16">
        <f>SUM(AW52,AW53)</f>
        <v>0</v>
      </c>
      <c r="AX56" s="16">
        <f>SUM(AX52,AX53)</f>
        <v>0</v>
      </c>
      <c r="AY56" s="16">
        <f>SUM(AY52,AY53)</f>
        <v>0</v>
      </c>
      <c r="AZ56" s="16">
        <f>SUM(AZ52,AZ53)</f>
        <v>0</v>
      </c>
      <c r="BA56" s="16">
        <f>SUM(BA52,BA53)</f>
        <v>0</v>
      </c>
      <c r="BB56" s="16">
        <f>SUM(BB52,BB53)</f>
        <v>0</v>
      </c>
      <c r="BC56" s="16">
        <f>SUM(BC52,BC53)</f>
        <v>0</v>
      </c>
      <c r="BD56" s="16">
        <f>SUM(BD52,BD53)</f>
        <v>0</v>
      </c>
      <c r="BE56" s="16">
        <f>SUM(BE52,BE53)</f>
        <v>0</v>
      </c>
      <c r="BF56" s="16">
        <f>SUM(BF52,BF53)</f>
        <v>0</v>
      </c>
      <c r="BG56" s="16">
        <f>SUM(BG52,BG53)</f>
        <v>0</v>
      </c>
      <c r="BH56" s="16">
        <f>SUM(BH52,BH53)</f>
        <v>0</v>
      </c>
      <c r="BI56" s="16">
        <f>SUM(BI52,BI53)</f>
        <v>0</v>
      </c>
      <c r="BJ56" s="16">
        <f>SUM(BJ52,BJ53)</f>
        <v>0</v>
      </c>
      <c r="BK56" s="16">
        <f>SUM(BK52,BK53)</f>
        <v>0</v>
      </c>
      <c r="BL56" s="16">
        <f>SUM(BL52,BL53)</f>
        <v>0</v>
      </c>
      <c r="BM56" s="16">
        <f>SUM(BM52,BM53)</f>
        <v>0</v>
      </c>
      <c r="BN56" s="16">
        <f>SUM(BN52,BN53)</f>
        <v>0</v>
      </c>
      <c r="BO56" s="16">
        <f>SUM(BO52,BO53)</f>
        <v>0</v>
      </c>
      <c r="BP56" s="16">
        <f>SUM(BP52,BP53)</f>
        <v>0</v>
      </c>
      <c r="BQ56" s="16">
        <f>SUM(BQ52,BQ53)</f>
        <v>0</v>
      </c>
      <c r="BR56" s="16">
        <f>SUM(BR52,BR53)</f>
        <v>0</v>
      </c>
      <c r="BS56" s="16">
        <f>SUM(BS52,BS53)</f>
        <v>0</v>
      </c>
      <c r="BT56" s="16">
        <f>SUM(BT52,BT53)</f>
        <v>0</v>
      </c>
      <c r="BU56" s="16">
        <f>SUM(BU52,BU53)</f>
        <v>0</v>
      </c>
      <c r="BV56" s="16">
        <f>SUM(BV52,BV53)</f>
        <v>0</v>
      </c>
      <c r="BW56" s="16">
        <f>SUM(BW52,BW53)</f>
        <v>0</v>
      </c>
      <c r="BX56" s="16">
        <f>SUM(BX52,BX53)</f>
        <v>0</v>
      </c>
      <c r="BY56" s="16">
        <f>SUM(BY52,BY53)</f>
        <v>0</v>
      </c>
      <c r="BZ56" s="16">
        <f>SUM(BZ52,BZ53)</f>
        <v>0</v>
      </c>
      <c r="CA56" s="16">
        <f>SUM(CA52,CA53)</f>
        <v>0</v>
      </c>
      <c r="CB56" s="16">
        <f>SUM(CB52,CB53)</f>
        <v>0</v>
      </c>
      <c r="CC56" s="16">
        <f>SUM(CC52,CC53)</f>
        <v>0</v>
      </c>
      <c r="CD56" s="16">
        <f>SUM(CD52,CD53)</f>
        <v>0</v>
      </c>
      <c r="CE56" s="16">
        <f>SUM(CE52,CE53)</f>
        <v>0</v>
      </c>
      <c r="CF56" s="16">
        <f>SUM(CF52,CF53)</f>
        <v>0</v>
      </c>
      <c r="CG56" s="16">
        <f>SUM(CG52,CG53)</f>
        <v>0</v>
      </c>
      <c r="CH56" s="16">
        <f>SUM(CH52,CH53)</f>
        <v>0</v>
      </c>
      <c r="CI56" s="16">
        <f>SUM(CI52,CI53)</f>
        <v>0</v>
      </c>
      <c r="CJ56" s="16">
        <f>SUM(CJ52,CJ53)</f>
        <v>0</v>
      </c>
      <c r="CK56" s="16">
        <f>SUM(CK52,CK53)</f>
        <v>0</v>
      </c>
      <c r="CL56" s="16">
        <f>SUM(CL52,CL53)</f>
        <v>0</v>
      </c>
      <c r="CM56" s="16">
        <f>SUM(CM52,CM53)</f>
        <v>0</v>
      </c>
      <c r="CN56" s="16">
        <f>SUM(CN52,CN53)</f>
        <v>0</v>
      </c>
      <c r="CO56" s="16">
        <f>SUM(CO52,CO53)</f>
        <v>0</v>
      </c>
      <c r="CP56" s="16">
        <f>SUM(CP52,CP53)</f>
        <v>0</v>
      </c>
      <c r="CQ56" s="16">
        <f>SUM(CQ52,CQ53)</f>
        <v>0</v>
      </c>
      <c r="CR56" s="16">
        <f>SUM(CR52,CR53)</f>
        <v>0</v>
      </c>
      <c r="CS56" s="16">
        <f>SUM(CS52,CS53)</f>
        <v>0</v>
      </c>
      <c r="CT56" s="16">
        <f>SUM(CT52,CT53)</f>
        <v>0</v>
      </c>
      <c r="CU56" s="16">
        <f>SUM(CU52,CU53)</f>
        <v>0</v>
      </c>
      <c r="CV56" s="16">
        <f>SUM(CV52,CV53)</f>
        <v>0</v>
      </c>
      <c r="CW56" s="16">
        <f>SUM(CW52,CW53)</f>
        <v>0</v>
      </c>
      <c r="CX56" s="16">
        <f>SUM(CX52,CX53)</f>
        <v>0</v>
      </c>
      <c r="CY56" s="16">
        <f>SUM(CY52,CY53)</f>
        <v>0</v>
      </c>
    </row>
    <row r="57">
      <c r="C57" s="26" t="inlineStr">
        <is>
          <t>Interest Expense</t>
        </is>
      </c>
      <c r="D57" s="25" t="n"/>
      <c r="E57" s="25" t="n"/>
      <c r="F57" s="25" t="n"/>
      <c r="G57" s="25" t="n"/>
      <c r="H57" s="3">
        <f>SUM(D57:G57)</f>
        <v>0</v>
      </c>
      <c r="I57" s="25" t="n"/>
      <c r="J57" s="25" t="n"/>
      <c r="K57" s="25" t="n"/>
      <c r="L57" s="25" t="n"/>
      <c r="M57" s="3">
        <f>SUM(I57:L57)</f>
        <v>0</v>
      </c>
      <c r="N57" s="25" t="n"/>
      <c r="O57" s="25" t="n"/>
      <c r="P57" s="25" t="n"/>
      <c r="Q57" s="25" t="n"/>
      <c r="R57" s="3">
        <f>SUM(N57:Q57)</f>
        <v>0</v>
      </c>
      <c r="S57" s="25" t="n"/>
      <c r="T57" s="25" t="n"/>
      <c r="U57" s="25" t="n"/>
      <c r="V57" s="25" t="n"/>
      <c r="W57" s="3">
        <f>SUM(S57:V57)</f>
        <v>0</v>
      </c>
      <c r="X57" s="25" t="n"/>
      <c r="Y57" s="25" t="n"/>
      <c r="Z57" s="25" t="n"/>
      <c r="AA57" s="25" t="n"/>
      <c r="AB57" s="3">
        <f>SUM(X57:AA57)</f>
        <v>0</v>
      </c>
      <c r="AC57" s="25" t="n"/>
      <c r="AD57" s="25" t="n"/>
      <c r="AE57" s="25" t="n"/>
      <c r="AF57" s="25" t="n"/>
      <c r="AG57" s="3">
        <f>SUM(AC57:AF57)</f>
        <v>0</v>
      </c>
      <c r="AH57" s="3" t="n"/>
      <c r="AI57" s="3" t="n"/>
      <c r="AJ57" s="3" t="n"/>
      <c r="AK57" s="3" t="n"/>
      <c r="AL57" s="3">
        <f>SUM(AH57:AK57)</f>
        <v>0</v>
      </c>
      <c r="AM57" s="3" t="n"/>
      <c r="AN57" s="3" t="n"/>
      <c r="AO57" s="3" t="n"/>
      <c r="AP57" s="3" t="n"/>
      <c r="AQ57" s="3">
        <f>SUM(AM57:AP57)</f>
        <v>0</v>
      </c>
      <c r="AR57" s="3" t="n"/>
      <c r="AS57" s="3" t="n"/>
      <c r="AT57" s="3" t="n"/>
      <c r="AU57" s="3" t="n"/>
      <c r="AV57" s="3">
        <f>SUM(AR57:AU57)</f>
        <v>0</v>
      </c>
      <c r="AW57" s="3" t="n"/>
      <c r="AX57" s="3" t="n"/>
      <c r="AY57" s="3" t="n"/>
      <c r="AZ57" s="3" t="n"/>
      <c r="BA57" s="3">
        <f>SUM(AW57:AZ57)</f>
        <v>0</v>
      </c>
      <c r="BB57" s="3" t="n"/>
      <c r="BC57" s="3" t="n"/>
      <c r="BD57" s="3" t="n"/>
      <c r="BE57" s="3" t="n"/>
      <c r="BF57" s="3">
        <f>SUM(BB57:BE57)</f>
        <v>0</v>
      </c>
      <c r="BG57" s="3" t="n"/>
      <c r="BH57" s="3" t="n"/>
      <c r="BI57" s="3" t="n"/>
      <c r="BJ57" s="3" t="n"/>
      <c r="BK57" s="3">
        <f>SUM(BG57:BJ57)</f>
        <v>0</v>
      </c>
      <c r="BL57" s="3" t="n"/>
      <c r="BM57" s="3" t="n"/>
      <c r="BN57" s="3" t="n"/>
      <c r="BO57" s="3" t="n"/>
      <c r="BP57" s="3">
        <f>SUM(BL57:BO57)</f>
        <v>0</v>
      </c>
      <c r="BQ57" s="3" t="n"/>
      <c r="BR57" s="3" t="n"/>
      <c r="BS57" s="3" t="n"/>
      <c r="BT57" s="3" t="n"/>
      <c r="BU57" s="3">
        <f>SUM(BQ57:BT57)</f>
        <v>0</v>
      </c>
      <c r="BV57" s="3" t="n"/>
      <c r="BW57" s="3" t="n"/>
      <c r="BX57" s="3" t="n"/>
      <c r="BY57" s="3" t="n"/>
      <c r="BZ57" s="3">
        <f>SUM(BV57:BY57)</f>
        <v>0</v>
      </c>
      <c r="CA57" s="3" t="n"/>
      <c r="CB57" s="3" t="n"/>
      <c r="CC57" s="3" t="n"/>
      <c r="CD57" s="3" t="n"/>
      <c r="CE57" s="3">
        <f>SUM(CA57:CD57)</f>
        <v>0</v>
      </c>
      <c r="CF57" s="3" t="n"/>
      <c r="CG57" s="3" t="n"/>
      <c r="CH57" s="3" t="n"/>
      <c r="CI57" s="3" t="n"/>
      <c r="CJ57" s="3">
        <f>SUM(CF57:CI57)</f>
        <v>0</v>
      </c>
      <c r="CK57" s="3" t="n"/>
      <c r="CL57" s="3" t="n"/>
      <c r="CM57" s="3" t="n"/>
      <c r="CN57" s="3" t="n"/>
      <c r="CO57" s="3">
        <f>SUM(CK57:CN57)</f>
        <v>0</v>
      </c>
      <c r="CP57" s="3" t="n"/>
      <c r="CQ57" s="3" t="n"/>
      <c r="CR57" s="3" t="n"/>
      <c r="CS57" s="3" t="n"/>
      <c r="CT57" s="3">
        <f>SUM(CP57:CS57)</f>
        <v>0</v>
      </c>
      <c r="CU57" s="3" t="n"/>
      <c r="CV57" s="3" t="n"/>
      <c r="CW57" s="3" t="n"/>
      <c r="CX57" s="3" t="n"/>
      <c r="CY57" s="3">
        <f>SUM(CU57:CX57)</f>
        <v>0</v>
      </c>
    </row>
    <row r="58" hidden="1" outlineLevel="1">
      <c r="C58" s="32" t="inlineStr">
        <is>
          <t>% of Debt</t>
        </is>
      </c>
      <c r="D58" s="48">
        <f>IFERROR(-D57/SUM(D195+D200),0)</f>
        <v>0</v>
      </c>
      <c r="E58" s="48">
        <f>IFERROR(-E57/SUM(E195+E200),0)</f>
        <v>0</v>
      </c>
      <c r="F58" s="48">
        <f>IFERROR(-F57/SUM(F195+F200),0)</f>
        <v>0</v>
      </c>
      <c r="G58" s="48">
        <f>IFERROR(-G57/SUM(G195+G200),0)</f>
        <v>0</v>
      </c>
      <c r="H58" s="3" t="n"/>
      <c r="I58" s="48">
        <f>IFERROR(-I57/SUM(I195+I200),0)</f>
        <v>0</v>
      </c>
      <c r="J58" s="48">
        <f>IFERROR(-J57/SUM(J195+J200),0)</f>
        <v>0</v>
      </c>
      <c r="K58" s="48">
        <f>IFERROR(-K57/SUM(K195+K200),0)</f>
        <v>0</v>
      </c>
      <c r="L58" s="48">
        <f>IFERROR(-L57/SUM(L195+L200),0)</f>
        <v>0</v>
      </c>
      <c r="M58" s="3" t="n"/>
      <c r="N58" s="48">
        <f>IFERROR(-N57/SUM(N195+N200),0)</f>
        <v>0</v>
      </c>
      <c r="O58" s="48">
        <f>IFERROR(-O57/SUM(O195+O200),0)</f>
        <v>0</v>
      </c>
      <c r="P58" s="48">
        <f>IFERROR(-P57/SUM(P195+P200),0)</f>
        <v>0</v>
      </c>
      <c r="Q58" s="48">
        <f>IFERROR(-Q57/SUM(Q195+Q200),0)</f>
        <v>0</v>
      </c>
      <c r="R58" s="3" t="n"/>
      <c r="S58" s="48">
        <f>IFERROR(-S57/SUM(S195+S200),0)</f>
        <v>0</v>
      </c>
      <c r="T58" s="48">
        <f>IFERROR(-T57/SUM(T195+T200),0)</f>
        <v>0</v>
      </c>
      <c r="U58" s="48">
        <f>IFERROR(-U57/SUM(U195+U200),0)</f>
        <v>0</v>
      </c>
      <c r="V58" s="48">
        <f>IFERROR(-V57/SUM(V195+V200),0)</f>
        <v>0</v>
      </c>
      <c r="W58" s="3" t="n"/>
      <c r="X58" s="48">
        <f>IFERROR(-X57/SUM(X195+X200),0)</f>
        <v>0</v>
      </c>
      <c r="Y58" s="48">
        <f>IFERROR(-Y57/SUM(Y195+Y200),0)</f>
        <v>0</v>
      </c>
      <c r="Z58" s="48">
        <f>IFERROR(-Z57/SUM(Z195+Z200),0)</f>
        <v>0</v>
      </c>
      <c r="AA58" s="48">
        <f>IFERROR(-AA57/SUM(AA195+AA200),0)</f>
        <v>0</v>
      </c>
      <c r="AB58" s="3" t="n"/>
      <c r="AC58" s="48">
        <f>IFERROR(-AC57/SUM(AC195+AC200),0)</f>
        <v>0</v>
      </c>
      <c r="AD58" s="48">
        <f>IFERROR(-AD57/SUM(AD195+AD200),0)</f>
        <v>0</v>
      </c>
      <c r="AE58" s="48">
        <f>IFERROR(-AE57/SUM(AE195+AE200),0)</f>
        <v>0</v>
      </c>
      <c r="AF58" s="231">
        <f>IFERROR(-AF57/SUM(AF195+AF200),0)</f>
        <v>0</v>
      </c>
      <c r="AG58" s="3" t="n"/>
      <c r="AH58" s="6">
        <f>IFERROR(-AH57/SUM(AH195+AH200),0)</f>
        <v>0</v>
      </c>
      <c r="AI58" s="6">
        <f>IFERROR(-AI57/SUM(AI195+AI200),0)</f>
        <v>0</v>
      </c>
      <c r="AJ58" s="6" t="n"/>
      <c r="AK58" s="6" t="n"/>
      <c r="AL58" s="3" t="n"/>
      <c r="AM58" s="6" t="n"/>
      <c r="AN58" s="6" t="n"/>
      <c r="AO58" s="6" t="n"/>
      <c r="AP58" s="6" t="n"/>
      <c r="AQ58" s="3" t="n"/>
      <c r="AR58" s="6" t="n"/>
      <c r="AS58" s="6" t="n"/>
      <c r="AT58" s="6" t="n"/>
      <c r="AU58" s="6" t="n"/>
      <c r="AV58" s="3" t="n"/>
      <c r="AW58" s="6" t="n"/>
      <c r="AX58" s="6" t="n"/>
      <c r="AY58" s="6" t="n"/>
      <c r="AZ58" s="6" t="n"/>
      <c r="BA58" s="3" t="n"/>
      <c r="BB58" s="6" t="n"/>
      <c r="BC58" s="6" t="n"/>
      <c r="BD58" s="6" t="n"/>
      <c r="BE58" s="6" t="n"/>
      <c r="BF58" s="3" t="n"/>
      <c r="BG58" s="6" t="n"/>
      <c r="BH58" s="6" t="n"/>
      <c r="BI58" s="6" t="n"/>
      <c r="BJ58" s="6" t="n"/>
      <c r="BK58" s="3" t="n"/>
      <c r="BL58" s="6" t="n"/>
      <c r="BM58" s="6" t="n"/>
      <c r="BN58" s="6" t="n"/>
      <c r="BO58" s="6" t="n"/>
      <c r="BP58" s="3" t="n"/>
      <c r="BQ58" s="6" t="n"/>
      <c r="BR58" s="6" t="n"/>
      <c r="BS58" s="6" t="n"/>
      <c r="BT58" s="6" t="n"/>
      <c r="BU58" s="3" t="n"/>
      <c r="BV58" s="6" t="n"/>
      <c r="BW58" s="6" t="n"/>
      <c r="BX58" s="6" t="n"/>
      <c r="BY58" s="6" t="n"/>
      <c r="BZ58" s="3" t="n"/>
      <c r="CA58" s="6" t="n"/>
      <c r="CB58" s="6" t="n"/>
      <c r="CC58" s="6" t="n"/>
      <c r="CD58" s="6" t="n"/>
      <c r="CE58" s="3" t="n"/>
      <c r="CF58" s="6" t="n"/>
      <c r="CG58" s="6" t="n"/>
      <c r="CH58" s="6" t="n"/>
      <c r="CI58" s="6" t="n"/>
      <c r="CJ58" s="3" t="n"/>
      <c r="CK58" s="6" t="n"/>
      <c r="CL58" s="6" t="n"/>
      <c r="CM58" s="6" t="n"/>
      <c r="CN58" s="6" t="n"/>
      <c r="CO58" s="3" t="n"/>
      <c r="CP58" s="6" t="n"/>
      <c r="CQ58" s="6" t="n"/>
      <c r="CR58" s="6" t="n"/>
      <c r="CS58" s="6" t="n"/>
      <c r="CT58" s="3" t="n"/>
      <c r="CU58" s="6" t="n"/>
      <c r="CV58" s="6" t="n"/>
      <c r="CW58" s="6" t="n"/>
      <c r="CX58" s="6" t="n"/>
      <c r="CY58" s="3" t="n"/>
    </row>
    <row r="59" hidden="1" outlineLevel="1">
      <c r="C59" s="32" t="inlineStr">
        <is>
          <t>%CDI</t>
        </is>
      </c>
      <c r="D59" s="6" t="n"/>
      <c r="E59" s="6" t="n"/>
      <c r="F59" s="6" t="n"/>
      <c r="G59" s="6" t="n"/>
      <c r="H59" s="3" t="n"/>
      <c r="I59" s="6" t="n"/>
      <c r="J59" s="6" t="n"/>
      <c r="K59" s="6" t="n"/>
      <c r="L59" s="6" t="n"/>
      <c r="M59" s="3" t="n"/>
      <c r="N59" s="6" t="n"/>
      <c r="O59" s="6" t="n"/>
      <c r="P59" s="6" t="n"/>
      <c r="Q59" s="6" t="n"/>
      <c r="R59" s="3" t="n"/>
      <c r="S59" s="6" t="n"/>
      <c r="T59" s="6" t="n"/>
      <c r="U59" s="6" t="n"/>
      <c r="V59" s="6" t="n"/>
      <c r="W59" s="3" t="n"/>
      <c r="X59" s="6" t="n"/>
      <c r="Y59" s="6" t="n"/>
      <c r="Z59" s="6" t="n"/>
      <c r="AA59" s="6" t="n"/>
      <c r="AB59" s="3" t="n"/>
      <c r="AC59" s="6" t="n"/>
      <c r="AD59" s="6" t="n"/>
      <c r="AE59" s="6" t="n"/>
      <c r="AF59" s="6" t="n"/>
      <c r="AG59" s="3" t="n"/>
      <c r="AH59" s="6" t="n"/>
      <c r="AI59" s="6" t="n"/>
      <c r="AJ59" s="6" t="n"/>
      <c r="AK59" s="6" t="n"/>
      <c r="AL59" s="3" t="n"/>
      <c r="AM59" s="6" t="n"/>
      <c r="AN59" s="6" t="n"/>
      <c r="AO59" s="6" t="n"/>
      <c r="AP59" s="6" t="n"/>
      <c r="AQ59" s="3" t="n"/>
      <c r="AR59" s="6" t="n"/>
      <c r="AS59" s="6" t="n"/>
      <c r="AT59" s="6" t="n"/>
      <c r="AU59" s="6" t="n"/>
      <c r="AV59" s="3" t="n"/>
      <c r="AW59" s="6" t="n"/>
      <c r="AX59" s="6" t="n"/>
      <c r="AY59" s="6" t="n"/>
      <c r="AZ59" s="6" t="n"/>
      <c r="BA59" s="3" t="n"/>
      <c r="BB59" s="6" t="n"/>
      <c r="BC59" s="6" t="n"/>
      <c r="BD59" s="6" t="n"/>
      <c r="BE59" s="6" t="n"/>
      <c r="BF59" s="3" t="n"/>
      <c r="BG59" s="6" t="n"/>
      <c r="BH59" s="6" t="n"/>
      <c r="BI59" s="6" t="n"/>
      <c r="BJ59" s="6" t="n"/>
      <c r="BK59" s="3" t="n"/>
      <c r="BL59" s="6" t="n"/>
      <c r="BM59" s="6" t="n"/>
      <c r="BN59" s="6" t="n"/>
      <c r="BO59" s="6" t="n"/>
      <c r="BP59" s="3" t="n"/>
      <c r="BQ59" s="6" t="n"/>
      <c r="BR59" s="6" t="n"/>
      <c r="BS59" s="6" t="n"/>
      <c r="BT59" s="6" t="n"/>
      <c r="BU59" s="3" t="n"/>
      <c r="BV59" s="6" t="n"/>
      <c r="BW59" s="6" t="n"/>
      <c r="BX59" s="6" t="n"/>
      <c r="BY59" s="6" t="n"/>
      <c r="BZ59" s="3" t="n"/>
      <c r="CA59" s="6" t="n"/>
      <c r="CB59" s="6" t="n"/>
      <c r="CC59" s="6" t="n"/>
      <c r="CD59" s="6" t="n"/>
      <c r="CE59" s="3" t="n"/>
      <c r="CF59" s="6" t="n"/>
      <c r="CG59" s="6" t="n"/>
      <c r="CH59" s="6" t="n"/>
      <c r="CI59" s="6" t="n"/>
      <c r="CJ59" s="3" t="n"/>
      <c r="CK59" s="6" t="n"/>
      <c r="CL59" s="6" t="n"/>
      <c r="CM59" s="6" t="n"/>
      <c r="CN59" s="6" t="n"/>
      <c r="CO59" s="3" t="n"/>
      <c r="CP59" s="6" t="n"/>
      <c r="CQ59" s="6" t="n"/>
      <c r="CR59" s="6" t="n"/>
      <c r="CS59" s="6" t="n"/>
      <c r="CT59" s="3" t="n"/>
      <c r="CU59" s="6" t="n"/>
      <c r="CV59" s="6" t="n"/>
      <c r="CW59" s="6" t="n"/>
      <c r="CX59" s="6" t="n"/>
      <c r="CY59" s="3" t="n"/>
    </row>
    <row r="60" hidden="1" outlineLevel="1">
      <c r="C60" s="34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</row>
    <row r="61" hidden="1" outlineLevel="1">
      <c r="C61" s="3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</row>
    <row r="62" hidden="1" outlineLevel="1">
      <c r="C62" s="34" t="inlineStr">
        <is>
          <t>RECEITA FINANCEIRA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</row>
    <row r="63" hidden="1" outlineLevel="1">
      <c r="C63" s="34" t="inlineStr">
        <is>
          <t>DESPESA FINANCEIRA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hidden="1" outlineLevel="1">
      <c r="C64" s="34" t="inlineStr">
        <is>
          <t>OUTROS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Cash and equivalents (inc. investment securities)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Interest on cash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Average interest rate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inlineStr">
        <is>
          <t>% CDI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Current portion of long-term debt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Short term debt (Revolving credit facility)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Long term debt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Convertible debt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Total debt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Interest expense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Average interest rate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Stake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PRE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CDI+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Spread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PRE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CDI+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RECEITAS FINANCEIRAS - Rendimentos de aplicações financeiras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RECEITAS FINANCEIRAS - Variação cambial ativa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RECEITAS FINANCEIRAS - Atualização de contas a pagar por aquisição de empresas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RECEITAS FINANCEIRAS - Resultado positivo com instrumentos derivativos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RECEITAS FINANCEIRAS - Descontos obtidos de fornecedores por antecipação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RECEITAS FINANCEIRAS - Atualização monetária sobre Exclusão ICMS da base de PIS/COFINS (nota explicativa nº 7)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RECEITAS FINANCEIRAS - Outras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DESPESAS FINANCEIRAS - Encargos sobre empréstimos, financiamentos e debêntures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DESPESAS FINANCEIRAS - Variação cambial passiva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DESPESAS FINANCEIRAS - Resultado negativo com instrumentos derivativos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DESPESAS FINANCEIRAS - Juros sobre arrendamento - IFRS16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DESPESAS FINANCEIRAS - Despesas bancárias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DESPESAS FINANCEIRAS - Despesas com obtenção de empréstimos e financiamentos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DESPESAS FINANCEIRAS - Atualização de contas a pagar por aquisição de empresas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DESPESAS FINANCEIRAS - Outras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CHECK [EX IFRS-16]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collapsed="1">
      <c r="C106" s="26" t="inlineStr">
        <is>
          <t>Nonoperating Income / (Loss)</t>
        </is>
      </c>
      <c r="D106" s="25">
        <f>INDEX('Inputs (2)'!$D$9:$AL$9,MATCH(D$7,'Inputs (2)'!$D$2:$AL$2,0))</f>
        <v>109</v>
      </c>
      <c r="E106" s="25">
        <f>INDEX('Inputs (2)'!$D$9:$AL$9,MATCH(E$7,'Inputs (2)'!$D$2:$AL$2,0))</f>
        <v>-106</v>
      </c>
      <c r="F106" s="25">
        <f>INDEX('Inputs (2)'!$D$9:$AL$9,MATCH(F$7,'Inputs (2)'!$D$2:$AL$2,0))</f>
        <v>-122</v>
      </c>
      <c r="G106" s="25">
        <f>INDEX('Inputs (2)'!$D$9:$AL$9,MATCH(G$7,'Inputs (2)'!$D$2:$AL$2,0))</f>
        <v>-439</v>
      </c>
      <c r="H106" s="3">
        <f>SUM(D106:G106)</f>
        <v>-558</v>
      </c>
      <c r="I106" s="25">
        <f>INDEX('Inputs (2)'!$D$9:$AL$9,MATCH(I$7,'Inputs (2)'!$D$2:$AL$2,0))</f>
        <v>183</v>
      </c>
      <c r="J106" s="25">
        <f>INDEX('Inputs (2)'!$D$9:$AL$9,MATCH(J$7,'Inputs (2)'!$D$2:$AL$2,0))</f>
        <v>81</v>
      </c>
      <c r="K106" s="25">
        <f>INDEX('Inputs (2)'!$D$9:$AL$9,MATCH(K$7,'Inputs (2)'!$D$2:$AL$2,0))</f>
        <v>111</v>
      </c>
      <c r="L106" s="25">
        <f>INDEX('Inputs (2)'!$D$9:$AL$9,MATCH(L$7,'Inputs (2)'!$D$2:$AL$2,0))</f>
        <v>951</v>
      </c>
      <c r="M106" s="3">
        <f>SUM(I106:L106)</f>
        <v>1326</v>
      </c>
      <c r="N106" s="25">
        <f>INDEX('Inputs (2)'!$D$9:$AL$9,MATCH(N$7,'Inputs (2)'!$D$2:$AL$2,0))</f>
        <v>144</v>
      </c>
      <c r="O106" s="25">
        <f>INDEX('Inputs (2)'!$D$9:$AL$9,MATCH(O$7,'Inputs (2)'!$D$2:$AL$2,0))</f>
        <v>152</v>
      </c>
      <c r="P106" s="25">
        <f>INDEX('Inputs (2)'!$D$9:$AL$9,MATCH(P$7,'Inputs (2)'!$D$2:$AL$2,0))</f>
        <v>133</v>
      </c>
      <c r="Q106" s="25">
        <f>INDEX('Inputs (2)'!$D$9:$AL$9,MATCH(Q$7,'Inputs (2)'!$D$2:$AL$2,0))</f>
        <v>419</v>
      </c>
      <c r="R106" s="3">
        <f>SUM(N106:Q106)</f>
        <v>848</v>
      </c>
      <c r="S106" s="25">
        <f>INDEX('Inputs (2)'!$D$9:$AL$9,MATCH(S$7,'Inputs (2)'!$D$2:$AL$2,0))</f>
        <v>-97</v>
      </c>
      <c r="T106" s="25">
        <f>INDEX('Inputs (2)'!$D$9:$AL$9,MATCH(T$7,'Inputs (2)'!$D$2:$AL$2,0))</f>
        <v>0</v>
      </c>
      <c r="U106" s="25">
        <f>INDEX('Inputs (2)'!$D$9:$AL$9,MATCH(U$7,'Inputs (2)'!$D$2:$AL$2,0))</f>
        <v>66</v>
      </c>
      <c r="V106" s="25">
        <f>INDEX('Inputs (2)'!$D$9:$AL$9,MATCH(V$7,'Inputs (2)'!$D$2:$AL$2,0))</f>
        <v>115</v>
      </c>
      <c r="W106" s="3">
        <f>SUM(S106:V106)</f>
        <v>84</v>
      </c>
      <c r="X106" s="25">
        <f>INDEX('Inputs (2)'!$D$9:$AL$9,MATCH(X$7,'Inputs (2)'!$D$2:$AL$2,0))</f>
        <v>13</v>
      </c>
      <c r="Y106" s="25">
        <f>INDEX('Inputs (2)'!$D$9:$AL$9,MATCH(Y$7,'Inputs (2)'!$D$2:$AL$2,0))</f>
        <v>18</v>
      </c>
      <c r="Z106" s="25">
        <f>INDEX('Inputs (2)'!$D$9:$AL$9,MATCH(Z$7,'Inputs (2)'!$D$2:$AL$2,0))</f>
        <v>-49</v>
      </c>
      <c r="AA106" s="25">
        <f>INDEX('Inputs (2)'!$D$9:$AL$9,MATCH(AA$7,'Inputs (2)'!$D$2:$AL$2,0))</f>
        <v>319</v>
      </c>
      <c r="AB106" s="3">
        <f>SUM(X106:AA106)</f>
        <v>301</v>
      </c>
      <c r="AC106" s="25">
        <f>INDEX('Inputs (2)'!$D$9:$AL$9,MATCH(AC$7,'Inputs (2)'!$D$2:$AL$2,0))</f>
        <v>-9</v>
      </c>
      <c r="AD106" s="25">
        <f>INDEX('Inputs (2)'!$D$9:$AL$9,MATCH(AD$7,'Inputs (2)'!$D$2:$AL$2,0))</f>
        <v>-42</v>
      </c>
      <c r="AE106" s="25">
        <f>INDEX('Inputs (2)'!$D$9:$AL$9,MATCH(AE$7,'Inputs (2)'!$D$2:$AL$2,0))</f>
        <v>75</v>
      </c>
      <c r="AF106" s="25">
        <f>INDEX('Inputs (2)'!$D$9:$AL$9,MATCH(AF$7,'Inputs (2)'!$D$2:$AL$2,0))</f>
        <v>366</v>
      </c>
      <c r="AG106" s="3">
        <f>SUM(AC106:AF106)</f>
        <v>390</v>
      </c>
      <c r="AH106" s="3">
        <f>INDEX('Inputs (2)'!$D$9:$AL$9,MATCH(AH$7,'Inputs (2)'!$D$2:$AL$2,0))</f>
        <v>126</v>
      </c>
      <c r="AI106" s="3">
        <f>INDEX('Inputs (2)'!$D$9:$AL$9,MATCH(AI$7,'Inputs (2)'!$D$2:$AL$2,0))</f>
        <v>263</v>
      </c>
      <c r="AJ106" s="3">
        <f>AH106</f>
        <v>126</v>
      </c>
      <c r="AK106" s="3">
        <f>AI106</f>
        <v>263</v>
      </c>
      <c r="AL106" s="3">
        <f>SUM(AH106:AK106)</f>
        <v>778</v>
      </c>
      <c r="AM106" s="3">
        <f>AK106</f>
        <v>263</v>
      </c>
      <c r="AN106" s="3">
        <f>AL106</f>
        <v>778</v>
      </c>
      <c r="AO106" s="3">
        <f>AM106</f>
        <v>263</v>
      </c>
      <c r="AP106" s="3">
        <f>AN106</f>
        <v>778</v>
      </c>
      <c r="AQ106" s="3">
        <f>SUM(AM106:AP106)</f>
        <v>2082</v>
      </c>
      <c r="AR106" s="3">
        <f>AP106</f>
        <v>778</v>
      </c>
      <c r="AS106" s="3">
        <f>AQ106</f>
        <v>2082</v>
      </c>
      <c r="AT106" s="3">
        <f>AR106</f>
        <v>778</v>
      </c>
      <c r="AU106" s="3">
        <f>AS106</f>
        <v>2082</v>
      </c>
      <c r="AV106" s="3">
        <f>SUM(AR106:AU106)</f>
        <v>5720</v>
      </c>
      <c r="AW106" s="3">
        <f>AU106</f>
        <v>2082</v>
      </c>
      <c r="AX106" s="3">
        <f>AV106</f>
        <v>5720</v>
      </c>
      <c r="AY106" s="3">
        <f>AW106</f>
        <v>2082</v>
      </c>
      <c r="AZ106" s="3">
        <f>AX106</f>
        <v>5720</v>
      </c>
      <c r="BA106" s="3">
        <f>SUM(AW106:AZ106)</f>
        <v>15604</v>
      </c>
      <c r="BB106" s="3">
        <f>AZ106</f>
        <v>5720</v>
      </c>
      <c r="BC106" s="3">
        <f>BA106</f>
        <v>15604</v>
      </c>
      <c r="BD106" s="3">
        <f>BB106</f>
        <v>5720</v>
      </c>
      <c r="BE106" s="3">
        <f>BC106</f>
        <v>15604</v>
      </c>
      <c r="BF106" s="3">
        <f>SUM(BB106:BE106)</f>
        <v>42648</v>
      </c>
      <c r="BG106" s="3">
        <f>BE106</f>
        <v>15604</v>
      </c>
      <c r="BH106" s="3">
        <f>BF106</f>
        <v>42648</v>
      </c>
      <c r="BI106" s="3">
        <f>BG106</f>
        <v>15604</v>
      </c>
      <c r="BJ106" s="3">
        <f>BH106</f>
        <v>42648</v>
      </c>
      <c r="BK106" s="3">
        <f>SUM(BG106:BJ106)</f>
        <v>116504</v>
      </c>
      <c r="BL106" s="3">
        <f>BJ106</f>
        <v>42648</v>
      </c>
      <c r="BM106" s="3">
        <f>BK106</f>
        <v>116504</v>
      </c>
      <c r="BN106" s="3">
        <f>BL106</f>
        <v>42648</v>
      </c>
      <c r="BO106" s="3">
        <f>BM106</f>
        <v>116504</v>
      </c>
      <c r="BP106" s="3">
        <f>SUM(BL106:BO106)</f>
        <v>318304</v>
      </c>
      <c r="BQ106" s="3">
        <f>BO106</f>
        <v>116504</v>
      </c>
      <c r="BR106" s="3">
        <f>BP106</f>
        <v>318304</v>
      </c>
      <c r="BS106" s="3">
        <f>BQ106</f>
        <v>116504</v>
      </c>
      <c r="BT106" s="3">
        <f>BR106</f>
        <v>318304</v>
      </c>
      <c r="BU106" s="3">
        <f>SUM(BQ106:BT106)</f>
        <v>869616</v>
      </c>
      <c r="BV106" s="3">
        <f>BT106</f>
        <v>318304</v>
      </c>
      <c r="BW106" s="3">
        <f>BU106</f>
        <v>869616</v>
      </c>
      <c r="BX106" s="3">
        <f>BV106</f>
        <v>318304</v>
      </c>
      <c r="BY106" s="3">
        <f>BW106</f>
        <v>869616</v>
      </c>
      <c r="BZ106" s="3">
        <f>SUM(BV106:BY106)</f>
        <v>2375840</v>
      </c>
      <c r="CA106" s="3">
        <f>BY106</f>
        <v>869616</v>
      </c>
      <c r="CB106" s="3">
        <f>BZ106</f>
        <v>2375840</v>
      </c>
      <c r="CC106" s="3">
        <f>CA106</f>
        <v>869616</v>
      </c>
      <c r="CD106" s="3">
        <f>CB106</f>
        <v>2375840</v>
      </c>
      <c r="CE106" s="3">
        <f>SUM(CA106:CD106)</f>
        <v>6490912</v>
      </c>
      <c r="CF106" s="3">
        <f>CD106</f>
        <v>2375840</v>
      </c>
      <c r="CG106" s="3">
        <f>CE106</f>
        <v>6490912</v>
      </c>
      <c r="CH106" s="3">
        <f>CF106</f>
        <v>2375840</v>
      </c>
      <c r="CI106" s="3">
        <f>CG106</f>
        <v>6490912</v>
      </c>
      <c r="CJ106" s="3">
        <f>SUM(CF106:CI106)</f>
        <v>17733504</v>
      </c>
      <c r="CK106" s="3">
        <f>CI106</f>
        <v>6490912</v>
      </c>
      <c r="CL106" s="3">
        <f>CJ106</f>
        <v>17733504</v>
      </c>
      <c r="CM106" s="3">
        <f>CK106</f>
        <v>6490912</v>
      </c>
      <c r="CN106" s="3">
        <f>CL106</f>
        <v>17733504</v>
      </c>
      <c r="CO106" s="3">
        <f>SUM(CK106:CN106)</f>
        <v>48448832</v>
      </c>
      <c r="CP106" s="3">
        <f>CN106</f>
        <v>17733504</v>
      </c>
      <c r="CQ106" s="3">
        <f>CO106</f>
        <v>48448832</v>
      </c>
      <c r="CR106" s="3">
        <f>CP106</f>
        <v>17733504</v>
      </c>
      <c r="CS106" s="3">
        <f>CQ106</f>
        <v>48448832</v>
      </c>
      <c r="CT106" s="3">
        <f>SUM(CP106:CS106)</f>
        <v>132364672</v>
      </c>
      <c r="CU106" s="3">
        <f>CS106</f>
        <v>48448832</v>
      </c>
      <c r="CV106" s="3">
        <f>CT106</f>
        <v>132364672</v>
      </c>
      <c r="CW106" s="3">
        <f>CU106</f>
        <v>48448832</v>
      </c>
      <c r="CX106" s="3">
        <f>CV106</f>
        <v>132364672</v>
      </c>
      <c r="CY106" s="3">
        <f>SUM(CU106:CX106)</f>
        <v>361627008</v>
      </c>
    </row>
    <row r="107" hidden="1" outlineLevel="1">
      <c r="C107" s="34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2" t="inlineStr">
        <is>
          <t>Resultado Não Recorrente</t>
        </is>
      </c>
      <c r="D108" s="6" t="n"/>
      <c r="E108" s="6" t="n"/>
      <c r="F108" s="6" t="n"/>
      <c r="G108" s="6" t="n"/>
      <c r="H108" s="3" t="n"/>
      <c r="I108" s="6" t="n"/>
      <c r="J108" s="6" t="n"/>
      <c r="K108" s="6" t="n"/>
      <c r="L108" s="6" t="n"/>
      <c r="M108" s="3" t="n"/>
      <c r="N108" s="6" t="n"/>
      <c r="O108" s="6" t="n"/>
      <c r="P108" s="6" t="n"/>
      <c r="Q108" s="6" t="n"/>
      <c r="R108" s="3" t="n"/>
      <c r="S108" s="6" t="n"/>
      <c r="T108" s="6" t="n"/>
      <c r="U108" s="6" t="n"/>
      <c r="V108" s="6" t="n"/>
      <c r="W108" s="3" t="n"/>
      <c r="X108" s="6" t="n"/>
      <c r="Y108" s="6" t="n"/>
      <c r="Z108" s="6" t="n"/>
      <c r="AA108" s="6" t="n"/>
      <c r="AB108" s="3" t="n"/>
      <c r="AC108" s="6" t="n"/>
      <c r="AD108" s="6" t="n"/>
      <c r="AE108" s="6" t="n"/>
      <c r="AF108" s="6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2" t="inlineStr">
        <is>
          <t>Plano de Opção de Compra de Ações</t>
        </is>
      </c>
      <c r="D109" s="6" t="n"/>
      <c r="E109" s="6" t="n"/>
      <c r="F109" s="6" t="n"/>
      <c r="G109" s="6" t="n"/>
      <c r="H109" s="3" t="n"/>
      <c r="I109" s="6" t="n"/>
      <c r="J109" s="6" t="n"/>
      <c r="K109" s="6" t="n"/>
      <c r="L109" s="6" t="n"/>
      <c r="M109" s="3" t="n"/>
      <c r="N109" s="6" t="n"/>
      <c r="O109" s="6" t="n"/>
      <c r="P109" s="6" t="n"/>
      <c r="Q109" s="6" t="n"/>
      <c r="R109" s="3" t="n"/>
      <c r="S109" s="6" t="n"/>
      <c r="T109" s="6" t="n"/>
      <c r="U109" s="6" t="n"/>
      <c r="V109" s="6" t="n"/>
      <c r="W109" s="3" t="n"/>
      <c r="X109" s="6" t="n"/>
      <c r="Y109" s="6" t="n"/>
      <c r="Z109" s="6" t="n"/>
      <c r="AA109" s="6" t="n"/>
      <c r="AB109" s="3" t="n"/>
      <c r="AC109" s="6" t="n"/>
      <c r="AD109" s="6" t="n"/>
      <c r="AE109" s="6" t="n"/>
      <c r="AF109" s="6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2" t="inlineStr">
        <is>
          <t>Baixa Imobilizado</t>
        </is>
      </c>
      <c r="D110" s="6" t="n"/>
      <c r="E110" s="6" t="n"/>
      <c r="F110" s="6" t="n"/>
      <c r="G110" s="6" t="n"/>
      <c r="H110" s="3" t="n"/>
      <c r="I110" s="6" t="n"/>
      <c r="J110" s="6" t="n"/>
      <c r="K110" s="6" t="n"/>
      <c r="L110" s="6" t="n"/>
      <c r="M110" s="3" t="n"/>
      <c r="N110" s="6" t="n"/>
      <c r="O110" s="6" t="n"/>
      <c r="P110" s="6" t="n"/>
      <c r="Q110" s="6" t="n"/>
      <c r="R110" s="3" t="n"/>
      <c r="S110" s="6" t="n"/>
      <c r="T110" s="6" t="n"/>
      <c r="U110" s="6" t="n"/>
      <c r="V110" s="6" t="n"/>
      <c r="W110" s="3" t="n"/>
      <c r="X110" s="6" t="n"/>
      <c r="Y110" s="6" t="n"/>
      <c r="Z110" s="6" t="n"/>
      <c r="AA110" s="6" t="n"/>
      <c r="AB110" s="3" t="n"/>
      <c r="AC110" s="6" t="n"/>
      <c r="AD110" s="6" t="n"/>
      <c r="AE110" s="6" t="n"/>
      <c r="AF110" s="6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collapsed="1" customFormat="1" s="17">
      <c r="A113" s="13" t="n"/>
      <c r="B113" s="1" t="n"/>
      <c r="C113" s="14" t="inlineStr">
        <is>
          <t>Pretax Income - EBT</t>
        </is>
      </c>
      <c r="D113" s="16">
        <f>SUM(D56,D57,D106)</f>
        <v>1513</v>
      </c>
      <c r="E113" s="16">
        <f>SUM(E56,E57,E106)</f>
        <v>678</v>
      </c>
      <c r="F113" s="16">
        <f>SUM(F56,F57,F106)</f>
        <v>863</v>
      </c>
      <c r="G113" s="16">
        <f>SUM(G56,G57,G106)</f>
        <v>941</v>
      </c>
      <c r="H113" s="16">
        <f>SUM(D113:G113)</f>
        <v>3995</v>
      </c>
      <c r="I113" s="16">
        <f>SUM(I56,I57,I106)</f>
        <v>1997</v>
      </c>
      <c r="J113" s="16">
        <f>SUM(J56,J57,J106)</f>
        <v>1870</v>
      </c>
      <c r="K113" s="16">
        <f>SUM(K56,K57,K106)</f>
        <v>1775</v>
      </c>
      <c r="L113" s="16">
        <f>SUM(L56,L57,L106)</f>
        <v>2562</v>
      </c>
      <c r="M113" s="16">
        <f>SUM(I113:L113)</f>
        <v>8204</v>
      </c>
      <c r="N113" s="16">
        <f>SUM(N56,N57,N106)</f>
        <v>1999</v>
      </c>
      <c r="O113" s="16">
        <f>SUM(O56,O57,O106)</f>
        <v>2096</v>
      </c>
      <c r="P113" s="16">
        <f>SUM(P56,P57,P106)</f>
        <v>2558</v>
      </c>
      <c r="Q113" s="16">
        <f>SUM(Q56,Q57,Q106)</f>
        <v>2099</v>
      </c>
      <c r="R113" s="16">
        <f>SUM(N113:Q113)</f>
        <v>8752</v>
      </c>
      <c r="S113" s="16">
        <f>SUM(S56,S57,S106)</f>
        <v>2634</v>
      </c>
      <c r="T113" s="16">
        <f>SUM(T56,T57,T106)</f>
        <v>3652</v>
      </c>
      <c r="U113" s="16">
        <f>SUM(U56,U57,U106)</f>
        <v>3515</v>
      </c>
      <c r="V113" s="16">
        <f>SUM(V56,V57,V106)</f>
        <v>3249</v>
      </c>
      <c r="W113" s="16">
        <f>SUM(S113:V113)</f>
        <v>13050</v>
      </c>
      <c r="X113" s="16">
        <f>SUM(X56,X57,X106)</f>
        <v>3532</v>
      </c>
      <c r="Y113" s="16">
        <f>SUM(Y56,Y57,Y106)</f>
        <v>3500</v>
      </c>
      <c r="Z113" s="16">
        <f>SUM(Z56,Z57,Z106)</f>
        <v>3098</v>
      </c>
      <c r="AA113" s="16">
        <f>SUM(AA56,AA57,AA106)</f>
        <v>3243</v>
      </c>
      <c r="AB113" s="16">
        <f>SUM(X113:AA113)</f>
        <v>13373</v>
      </c>
      <c r="AC113" s="16">
        <f>SUM(AC56,AC57,AC106)</f>
        <v>2570</v>
      </c>
      <c r="AD113" s="16">
        <f>SUM(AD56,AD57,AD106)</f>
        <v>2818</v>
      </c>
      <c r="AE113" s="16">
        <f>SUM(AE56,AE57,AE106)</f>
        <v>3127</v>
      </c>
      <c r="AF113" s="16">
        <f>SUM(AF56,AF57,AF106)</f>
        <v>3026</v>
      </c>
      <c r="AG113" s="16">
        <f>SUM(AC113:AF113)</f>
        <v>11541</v>
      </c>
      <c r="AH113" s="16">
        <f>SUM(AH56,AH57,AH106)</f>
        <v>3211</v>
      </c>
      <c r="AI113" s="16">
        <f>SUM(AI56,AI57,AI106)</f>
        <v>4558</v>
      </c>
      <c r="AJ113" s="16">
        <f>SUM(AJ56,AJ57,AJ106)</f>
        <v>126</v>
      </c>
      <c r="AK113" s="16">
        <f>SUM(AK56,AK57,AK106)</f>
        <v>263</v>
      </c>
      <c r="AL113" s="16">
        <f>SUM(AH113:AK113)</f>
        <v>8158</v>
      </c>
      <c r="AM113" s="16">
        <f>SUM(AM56,AM57,AM106)</f>
        <v>263</v>
      </c>
      <c r="AN113" s="16">
        <f>SUM(AN56,AN57,AN106)</f>
        <v>778</v>
      </c>
      <c r="AO113" s="16">
        <f>SUM(AO56,AO57,AO106)</f>
        <v>263</v>
      </c>
      <c r="AP113" s="16">
        <f>SUM(AP56,AP57,AP106)</f>
        <v>778</v>
      </c>
      <c r="AQ113" s="16">
        <f>SUM(AM113:AP113)</f>
        <v>2082</v>
      </c>
      <c r="AR113" s="16">
        <f>SUM(AR56,AR57,AR106)</f>
        <v>778</v>
      </c>
      <c r="AS113" s="16">
        <f>SUM(AS56,AS57,AS106)</f>
        <v>2082</v>
      </c>
      <c r="AT113" s="16">
        <f>SUM(AT56,AT57,AT106)</f>
        <v>778</v>
      </c>
      <c r="AU113" s="16">
        <f>SUM(AU56,AU57,AU106)</f>
        <v>2082</v>
      </c>
      <c r="AV113" s="16">
        <f>SUM(AR113:AU113)</f>
        <v>5720</v>
      </c>
      <c r="AW113" s="16">
        <f>SUM(AW56,AW57,AW106)</f>
        <v>2082</v>
      </c>
      <c r="AX113" s="16">
        <f>SUM(AX56,AX57,AX106)</f>
        <v>5720</v>
      </c>
      <c r="AY113" s="16">
        <f>SUM(AY56,AY57,AY106)</f>
        <v>2082</v>
      </c>
      <c r="AZ113" s="16">
        <f>SUM(AZ56,AZ57,AZ106)</f>
        <v>5720</v>
      </c>
      <c r="BA113" s="16">
        <f>SUM(AW113:AZ113)</f>
        <v>15604</v>
      </c>
      <c r="BB113" s="16">
        <f>SUM(BB56,BB57,BB106)</f>
        <v>5720</v>
      </c>
      <c r="BC113" s="16">
        <f>SUM(BC56,BC57,BC106)</f>
        <v>15604</v>
      </c>
      <c r="BD113" s="16">
        <f>SUM(BD56,BD57,BD106)</f>
        <v>5720</v>
      </c>
      <c r="BE113" s="16">
        <f>SUM(BE56,BE57,BE106)</f>
        <v>15604</v>
      </c>
      <c r="BF113" s="16">
        <f>SUM(BB113:BE113)</f>
        <v>42648</v>
      </c>
      <c r="BG113" s="16">
        <f>SUM(BG56,BG57,BG106)</f>
        <v>15604</v>
      </c>
      <c r="BH113" s="16">
        <f>SUM(BH56,BH57,BH106)</f>
        <v>42648</v>
      </c>
      <c r="BI113" s="16">
        <f>SUM(BI56,BI57,BI106)</f>
        <v>15604</v>
      </c>
      <c r="BJ113" s="16">
        <f>SUM(BJ56,BJ57,BJ106)</f>
        <v>42648</v>
      </c>
      <c r="BK113" s="16">
        <f>SUM(BG113:BJ113)</f>
        <v>116504</v>
      </c>
      <c r="BL113" s="16">
        <f>SUM(BL56,BL57,BL106)</f>
        <v>42648</v>
      </c>
      <c r="BM113" s="16">
        <f>SUM(BM56,BM57,BM106)</f>
        <v>116504</v>
      </c>
      <c r="BN113" s="16">
        <f>SUM(BN56,BN57,BN106)</f>
        <v>42648</v>
      </c>
      <c r="BO113" s="16">
        <f>SUM(BO56,BO57,BO106)</f>
        <v>116504</v>
      </c>
      <c r="BP113" s="16">
        <f>SUM(BL113:BO113)</f>
        <v>318304</v>
      </c>
      <c r="BQ113" s="16">
        <f>SUM(BQ56,BQ57,BQ106)</f>
        <v>116504</v>
      </c>
      <c r="BR113" s="16">
        <f>SUM(BR56,BR57,BR106)</f>
        <v>318304</v>
      </c>
      <c r="BS113" s="16">
        <f>SUM(BS56,BS57,BS106)</f>
        <v>116504</v>
      </c>
      <c r="BT113" s="16">
        <f>SUM(BT56,BT57,BT106)</f>
        <v>318304</v>
      </c>
      <c r="BU113" s="16">
        <f>SUM(BQ113:BT113)</f>
        <v>869616</v>
      </c>
      <c r="BV113" s="16">
        <f>SUM(BV56,BV57,BV106)</f>
        <v>318304</v>
      </c>
      <c r="BW113" s="16">
        <f>SUM(BW56,BW57,BW106)</f>
        <v>869616</v>
      </c>
      <c r="BX113" s="16">
        <f>SUM(BX56,BX57,BX106)</f>
        <v>318304</v>
      </c>
      <c r="BY113" s="16">
        <f>SUM(BY56,BY57,BY106)</f>
        <v>869616</v>
      </c>
      <c r="BZ113" s="16">
        <f>SUM(BV113:BY113)</f>
        <v>2375840</v>
      </c>
      <c r="CA113" s="16">
        <f>SUM(CA56,CA57,CA106)</f>
        <v>869616</v>
      </c>
      <c r="CB113" s="16">
        <f>SUM(CB56,CB57,CB106)</f>
        <v>2375840</v>
      </c>
      <c r="CC113" s="16">
        <f>SUM(CC56,CC57,CC106)</f>
        <v>869616</v>
      </c>
      <c r="CD113" s="16">
        <f>SUM(CD56,CD57,CD106)</f>
        <v>2375840</v>
      </c>
      <c r="CE113" s="16">
        <f>SUM(CA113:CD113)</f>
        <v>6490912</v>
      </c>
      <c r="CF113" s="16">
        <f>SUM(CF56,CF57,CF106)</f>
        <v>2375840</v>
      </c>
      <c r="CG113" s="16">
        <f>SUM(CG56,CG57,CG106)</f>
        <v>6490912</v>
      </c>
      <c r="CH113" s="16">
        <f>SUM(CH56,CH57,CH106)</f>
        <v>2375840</v>
      </c>
      <c r="CI113" s="16">
        <f>SUM(CI56,CI57,CI106)</f>
        <v>6490912</v>
      </c>
      <c r="CJ113" s="16">
        <f>SUM(CF113:CI113)</f>
        <v>17733504</v>
      </c>
      <c r="CK113" s="16">
        <f>SUM(CK56,CK57,CK106)</f>
        <v>6490912</v>
      </c>
      <c r="CL113" s="16">
        <f>SUM(CL56,CL57,CL106)</f>
        <v>17733504</v>
      </c>
      <c r="CM113" s="16">
        <f>SUM(CM56,CM57,CM106)</f>
        <v>6490912</v>
      </c>
      <c r="CN113" s="16">
        <f>SUM(CN56,CN57,CN106)</f>
        <v>17733504</v>
      </c>
      <c r="CO113" s="16">
        <f>SUM(CK113:CN113)</f>
        <v>48448832</v>
      </c>
      <c r="CP113" s="16">
        <f>SUM(CP56,CP57,CP106)</f>
        <v>17733504</v>
      </c>
      <c r="CQ113" s="16">
        <f>SUM(CQ56,CQ57,CQ106)</f>
        <v>48448832</v>
      </c>
      <c r="CR113" s="16">
        <f>SUM(CR56,CR57,CR106)</f>
        <v>17733504</v>
      </c>
      <c r="CS113" s="16">
        <f>SUM(CS56,CS57,CS106)</f>
        <v>48448832</v>
      </c>
      <c r="CT113" s="16">
        <f>SUM(CP113:CS113)</f>
        <v>132364672</v>
      </c>
      <c r="CU113" s="16">
        <f>SUM(CU56,CU57,CU106)</f>
        <v>48448832</v>
      </c>
      <c r="CV113" s="16">
        <f>SUM(CV56,CV57,CV106)</f>
        <v>132364672</v>
      </c>
      <c r="CW113" s="16">
        <f>SUM(CW56,CW57,CW106)</f>
        <v>48448832</v>
      </c>
      <c r="CX113" s="16">
        <f>SUM(CX56,CX57,CX106)</f>
        <v>132364672</v>
      </c>
      <c r="CY113" s="16">
        <f>SUM(CU113:CX113)</f>
        <v>361627008</v>
      </c>
    </row>
    <row r="114">
      <c r="C114" s="26" t="inlineStr">
        <is>
          <t>Taxes</t>
        </is>
      </c>
      <c r="D114" s="25">
        <f>INDEX('Inputs (2)'!$D$10:$AL$10,MATCH(D$7,'Inputs (2)'!$D$2:$AL$2,0))</f>
        <v>-425</v>
      </c>
      <c r="E114" s="25">
        <f>INDEX('Inputs (2)'!$D$10:$AL$10,MATCH(E$7,'Inputs (2)'!$D$2:$AL$2,0))</f>
        <v>-227</v>
      </c>
      <c r="F114" s="25">
        <f>INDEX('Inputs (2)'!$D$10:$AL$10,MATCH(F$7,'Inputs (2)'!$D$2:$AL$2,0))</f>
        <v>-187</v>
      </c>
      <c r="G114" s="25">
        <f>INDEX('Inputs (2)'!$D$10:$AL$10,MATCH(G$7,'Inputs (2)'!$D$2:$AL$2,0))</f>
        <v>-167</v>
      </c>
      <c r="H114" s="3">
        <f>SUM(D114:G114)</f>
        <v>-1006</v>
      </c>
      <c r="I114" s="25">
        <f>INDEX('Inputs (2)'!$D$10:$AL$10,MATCH(I$7,'Inputs (2)'!$D$2:$AL$2,0))</f>
        <v>-475</v>
      </c>
      <c r="J114" s="25">
        <f>INDEX('Inputs (2)'!$D$10:$AL$10,MATCH(J$7,'Inputs (2)'!$D$2:$AL$2,0))</f>
        <v>-470</v>
      </c>
      <c r="K114" s="25">
        <f>INDEX('Inputs (2)'!$D$10:$AL$10,MATCH(K$7,'Inputs (2)'!$D$2:$AL$2,0))</f>
        <v>-368</v>
      </c>
      <c r="L114" s="25">
        <f>INDEX('Inputs (2)'!$D$10:$AL$10,MATCH(L$7,'Inputs (2)'!$D$2:$AL$2,0))</f>
        <v>-429</v>
      </c>
      <c r="M114" s="3">
        <f>SUM(I114:L114)</f>
        <v>-1742</v>
      </c>
      <c r="N114" s="25">
        <f>INDEX('Inputs (2)'!$D$10:$AL$10,MATCH(N$7,'Inputs (2)'!$D$2:$AL$2,0))</f>
        <v>-469</v>
      </c>
      <c r="O114" s="25">
        <f>INDEX('Inputs (2)'!$D$10:$AL$10,MATCH(O$7,'Inputs (2)'!$D$2:$AL$2,0))</f>
        <v>-427</v>
      </c>
      <c r="P114" s="25">
        <f>INDEX('Inputs (2)'!$D$10:$AL$10,MATCH(P$7,'Inputs (2)'!$D$2:$AL$2,0))</f>
        <v>-527</v>
      </c>
      <c r="Q114" s="25">
        <f>INDEX('Inputs (2)'!$D$10:$AL$10,MATCH(Q$7,'Inputs (2)'!$D$2:$AL$2,0))</f>
        <v>-644</v>
      </c>
      <c r="R114" s="3">
        <f>SUM(N114:Q114)</f>
        <v>-2067</v>
      </c>
      <c r="S114" s="25">
        <f>INDEX('Inputs (2)'!$D$10:$AL$10,MATCH(S$7,'Inputs (2)'!$D$2:$AL$2,0))</f>
        <v>-708</v>
      </c>
      <c r="T114" s="25">
        <f>INDEX('Inputs (2)'!$D$10:$AL$10,MATCH(T$7,'Inputs (2)'!$D$2:$AL$2,0))</f>
        <v>-752</v>
      </c>
      <c r="U114" s="25">
        <f>INDEX('Inputs (2)'!$D$10:$AL$10,MATCH(U$7,'Inputs (2)'!$D$2:$AL$2,0))</f>
        <v>-734</v>
      </c>
      <c r="V114" s="25">
        <f>INDEX('Inputs (2)'!$D$10:$AL$10,MATCH(V$7,'Inputs (2)'!$D$2:$AL$2,0))</f>
        <v>-587</v>
      </c>
      <c r="W114" s="3">
        <f>SUM(S114:V114)</f>
        <v>-2781</v>
      </c>
      <c r="X114" s="25">
        <f>INDEX('Inputs (2)'!$D$10:$AL$10,MATCH(X$7,'Inputs (2)'!$D$2:$AL$2,0))</f>
        <v>-688</v>
      </c>
      <c r="Y114" s="25">
        <f>INDEX('Inputs (2)'!$D$10:$AL$10,MATCH(Y$7,'Inputs (2)'!$D$2:$AL$2,0))</f>
        <v>-836</v>
      </c>
      <c r="Z114" s="25">
        <f>INDEX('Inputs (2)'!$D$10:$AL$10,MATCH(Z$7,'Inputs (2)'!$D$2:$AL$2,0))</f>
        <v>-642</v>
      </c>
      <c r="AA114" s="25">
        <f>INDEX('Inputs (2)'!$D$10:$AL$10,MATCH(AA$7,'Inputs (2)'!$D$2:$AL$2,0))</f>
        <v>-463</v>
      </c>
      <c r="AB114" s="3">
        <f>SUM(X114:AA114)</f>
        <v>-2629</v>
      </c>
      <c r="AC114" s="25">
        <f>INDEX('Inputs (2)'!$D$10:$AL$10,MATCH(AC$7,'Inputs (2)'!$D$2:$AL$2,0))</f>
        <v>-574</v>
      </c>
      <c r="AD114" s="25">
        <f>INDEX('Inputs (2)'!$D$10:$AL$10,MATCH(AD$7,'Inputs (2)'!$D$2:$AL$2,0))</f>
        <v>-646</v>
      </c>
      <c r="AE114" s="25">
        <f>INDEX('Inputs (2)'!$D$10:$AL$10,MATCH(AE$7,'Inputs (2)'!$D$2:$AL$2,0))</f>
        <v>-836</v>
      </c>
      <c r="AF114" s="25">
        <f>INDEX('Inputs (2)'!$D$10:$AL$10,MATCH(AF$7,'Inputs (2)'!$D$2:$AL$2,0))</f>
        <v>-712</v>
      </c>
      <c r="AG114" s="3">
        <f>SUM(AC114:AF114)</f>
        <v>-2768</v>
      </c>
      <c r="AH114" s="3">
        <f>INDEX('Inputs (2)'!$D$10:$AL$10,MATCH(AH$7,'Inputs (2)'!$D$2:$AL$2,0))</f>
        <v>-670</v>
      </c>
      <c r="AI114" s="3">
        <f>INDEX('Inputs (2)'!$D$10:$AL$10,MATCH(AI$7,'Inputs (2)'!$D$2:$AL$2,0))</f>
        <v>-1055</v>
      </c>
      <c r="AJ114" s="3">
        <f>AJ115*-AJ113</f>
        <v>0</v>
      </c>
      <c r="AK114" s="3">
        <f>AK115*-AK113</f>
        <v>0</v>
      </c>
      <c r="AL114" s="3">
        <f>SUM(AH114:AK114)</f>
        <v>-1725</v>
      </c>
      <c r="AM114" s="3">
        <f>AM115*-AM113</f>
        <v>0</v>
      </c>
      <c r="AN114" s="3">
        <f>AN115*-AN113</f>
        <v>0</v>
      </c>
      <c r="AO114" s="3">
        <f>AO115*-AO113</f>
        <v>0</v>
      </c>
      <c r="AP114" s="3">
        <f>AP115*-AP113</f>
        <v>0</v>
      </c>
      <c r="AQ114" s="3">
        <f>SUM(AM114:AP114)</f>
        <v>0</v>
      </c>
      <c r="AR114" s="3">
        <f>AR115*-AR113</f>
        <v>0</v>
      </c>
      <c r="AS114" s="3">
        <f>AS115*-AS113</f>
        <v>0</v>
      </c>
      <c r="AT114" s="3">
        <f>AT115*-AT113</f>
        <v>0</v>
      </c>
      <c r="AU114" s="3">
        <f>AU115*-AU113</f>
        <v>0</v>
      </c>
      <c r="AV114" s="3">
        <f>SUM(AR114:AU114)</f>
        <v>0</v>
      </c>
      <c r="AW114" s="3">
        <f>AW115*-AW113</f>
        <v>0</v>
      </c>
      <c r="AX114" s="3">
        <f>AX115*-AX113</f>
        <v>0</v>
      </c>
      <c r="AY114" s="3">
        <f>AY115*-AY113</f>
        <v>0</v>
      </c>
      <c r="AZ114" s="3">
        <f>AZ115*-AZ113</f>
        <v>0</v>
      </c>
      <c r="BA114" s="3">
        <f>SUM(AW114:AZ114)</f>
        <v>0</v>
      </c>
      <c r="BB114" s="3">
        <f>BB115*-BB113</f>
        <v>0</v>
      </c>
      <c r="BC114" s="3">
        <f>BC115*-BC113</f>
        <v>0</v>
      </c>
      <c r="BD114" s="3">
        <f>BD115*-BD113</f>
        <v>0</v>
      </c>
      <c r="BE114" s="3">
        <f>BE115*-BE113</f>
        <v>0</v>
      </c>
      <c r="BF114" s="3">
        <f>SUM(BB114:BE114)</f>
        <v>0</v>
      </c>
      <c r="BG114" s="3">
        <f>BG115*-BG113</f>
        <v>0</v>
      </c>
      <c r="BH114" s="3">
        <f>BH115*-BH113</f>
        <v>0</v>
      </c>
      <c r="BI114" s="3">
        <f>BI115*-BI113</f>
        <v>0</v>
      </c>
      <c r="BJ114" s="3">
        <f>BJ115*-BJ113</f>
        <v>0</v>
      </c>
      <c r="BK114" s="3">
        <f>SUM(BG114:BJ114)</f>
        <v>0</v>
      </c>
      <c r="BL114" s="3">
        <f>BL115*-BL113</f>
        <v>0</v>
      </c>
      <c r="BM114" s="3">
        <f>BM115*-BM113</f>
        <v>0</v>
      </c>
      <c r="BN114" s="3">
        <f>BN115*-BN113</f>
        <v>0</v>
      </c>
      <c r="BO114" s="3">
        <f>BO115*-BO113</f>
        <v>0</v>
      </c>
      <c r="BP114" s="3">
        <f>SUM(BL114:BO114)</f>
        <v>0</v>
      </c>
      <c r="BQ114" s="3">
        <f>BQ115*-BQ113</f>
        <v>0</v>
      </c>
      <c r="BR114" s="3">
        <f>BR115*-BR113</f>
        <v>0</v>
      </c>
      <c r="BS114" s="3">
        <f>BS115*-BS113</f>
        <v>0</v>
      </c>
      <c r="BT114" s="3">
        <f>BT115*-BT113</f>
        <v>0</v>
      </c>
      <c r="BU114" s="3">
        <f>SUM(BQ114:BT114)</f>
        <v>0</v>
      </c>
      <c r="BV114" s="3">
        <f>BV115*-BV113</f>
        <v>0</v>
      </c>
      <c r="BW114" s="3">
        <f>BW115*-BW113</f>
        <v>0</v>
      </c>
      <c r="BX114" s="3">
        <f>BX115*-BX113</f>
        <v>0</v>
      </c>
      <c r="BY114" s="3">
        <f>BY115*-BY113</f>
        <v>0</v>
      </c>
      <c r="BZ114" s="3">
        <f>SUM(BV114:BY114)</f>
        <v>0</v>
      </c>
      <c r="CA114" s="3">
        <f>CA115*-CA113</f>
        <v>0</v>
      </c>
      <c r="CB114" s="3">
        <f>CB115*-CB113</f>
        <v>0</v>
      </c>
      <c r="CC114" s="3">
        <f>CC115*-CC113</f>
        <v>0</v>
      </c>
      <c r="CD114" s="3">
        <f>CD115*-CD113</f>
        <v>0</v>
      </c>
      <c r="CE114" s="3">
        <f>SUM(CA114:CD114)</f>
        <v>0</v>
      </c>
      <c r="CF114" s="3">
        <f>CF115*-CF113</f>
        <v>0</v>
      </c>
      <c r="CG114" s="3">
        <f>CG115*-CG113</f>
        <v>0</v>
      </c>
      <c r="CH114" s="3">
        <f>CH115*-CH113</f>
        <v>0</v>
      </c>
      <c r="CI114" s="3">
        <f>CI115*-CI113</f>
        <v>0</v>
      </c>
      <c r="CJ114" s="3">
        <f>SUM(CF114:CI114)</f>
        <v>0</v>
      </c>
      <c r="CK114" s="3">
        <f>CK115*-CK113</f>
        <v>0</v>
      </c>
      <c r="CL114" s="3">
        <f>CL115*-CL113</f>
        <v>0</v>
      </c>
      <c r="CM114" s="3">
        <f>CM115*-CM113</f>
        <v>0</v>
      </c>
      <c r="CN114" s="3">
        <f>CN115*-CN113</f>
        <v>0</v>
      </c>
      <c r="CO114" s="3">
        <f>SUM(CK114:CN114)</f>
        <v>0</v>
      </c>
      <c r="CP114" s="3">
        <f>CP115*-CP113</f>
        <v>0</v>
      </c>
      <c r="CQ114" s="3">
        <f>CQ115*-CQ113</f>
        <v>0</v>
      </c>
      <c r="CR114" s="3">
        <f>CR115*-CR113</f>
        <v>0</v>
      </c>
      <c r="CS114" s="3">
        <f>CS115*-CS113</f>
        <v>0</v>
      </c>
      <c r="CT114" s="3">
        <f>SUM(CP114:CS114)</f>
        <v>0</v>
      </c>
      <c r="CU114" s="3">
        <f>CU115*-CU113</f>
        <v>0</v>
      </c>
      <c r="CV114" s="3">
        <f>CV115*-CV113</f>
        <v>0</v>
      </c>
      <c r="CW114" s="3">
        <f>CW115*-CW113</f>
        <v>0</v>
      </c>
      <c r="CX114" s="3">
        <f>CX115*-CX113</f>
        <v>0</v>
      </c>
      <c r="CY114" s="3">
        <f>SUM(CU114:CX114)</f>
        <v>0</v>
      </c>
    </row>
    <row r="115" hidden="1" outlineLevel="1">
      <c r="C115" s="34" t="inlineStr">
        <is>
          <t>% ETR</t>
        </is>
      </c>
      <c r="D115" s="48">
        <f>-D114/D113</f>
        <v>0.280898876404494</v>
      </c>
      <c r="E115" s="48">
        <f>-E114/E113</f>
        <v>0.334808259587021</v>
      </c>
      <c r="F115" s="48">
        <f>-F114/F113</f>
        <v>0.216685979142526</v>
      </c>
      <c r="G115" s="48">
        <f>-G114/G113</f>
        <v>0.177470775770457</v>
      </c>
      <c r="H115" s="48">
        <f>-H114/H113</f>
        <v>0.251814768460576</v>
      </c>
      <c r="I115" s="48">
        <f>-I114/I113</f>
        <v>0.237856785177767</v>
      </c>
      <c r="J115" s="48">
        <f>-J114/J113</f>
        <v>0.251336898395722</v>
      </c>
      <c r="K115" s="48">
        <f>-K114/K113</f>
        <v>0.207323943661972</v>
      </c>
      <c r="L115" s="48">
        <f>-L114/L113</f>
        <v>0.167447306791569</v>
      </c>
      <c r="M115" s="48">
        <f>-M114/M113</f>
        <v>0.212335446123842</v>
      </c>
      <c r="N115" s="48">
        <f>-N114/N113</f>
        <v>0.234617308654327</v>
      </c>
      <c r="O115" s="48">
        <f>-O114/O113</f>
        <v>0.203721374045802</v>
      </c>
      <c r="P115" s="48">
        <f>-P114/P113</f>
        <v>0.206020328381548</v>
      </c>
      <c r="Q115" s="48">
        <f>-Q114/Q113</f>
        <v>0.306812767984755</v>
      </c>
      <c r="R115" s="48">
        <f>-R114/R113</f>
        <v>0.236174588665448</v>
      </c>
      <c r="S115" s="48">
        <f>-S114/S113</f>
        <v>0.26879271070615</v>
      </c>
      <c r="T115" s="48">
        <f>-T114/T113</f>
        <v>0.205914567360351</v>
      </c>
      <c r="U115" s="48">
        <f>-U114/U113</f>
        <v>0.208819345661451</v>
      </c>
      <c r="V115" s="48">
        <f>-V114/V113</f>
        <v>0.180670975684826</v>
      </c>
      <c r="W115" s="48">
        <f>-W114/W113</f>
        <v>0.213103448275862</v>
      </c>
      <c r="X115" s="48">
        <f>-X114/X113</f>
        <v>0.194790486976217</v>
      </c>
      <c r="Y115" s="48">
        <f>-Y114/Y113</f>
        <v>0.238857142857143</v>
      </c>
      <c r="Z115" s="48">
        <f>-Z114/Z113</f>
        <v>0.207230471271788</v>
      </c>
      <c r="AA115" s="48">
        <f>-AA114/AA113</f>
        <v>0.142769041011409</v>
      </c>
      <c r="AB115" s="48">
        <f>-AB114/AB113</f>
        <v>0.196590144320646</v>
      </c>
      <c r="AC115" s="48">
        <f>-AC114/AC113</f>
        <v>0.223346303501946</v>
      </c>
      <c r="AD115" s="48">
        <f>-AD114/AD113</f>
        <v>0.229240596167495</v>
      </c>
      <c r="AE115" s="48">
        <f>-AE114/AE113</f>
        <v>0.267348896706108</v>
      </c>
      <c r="AF115" s="44">
        <f>-AF114/AF113</f>
        <v>0.235294117647059</v>
      </c>
      <c r="AG115" s="48">
        <f>-AG114/AG113</f>
        <v>0.239840568408284</v>
      </c>
      <c r="AH115" s="44">
        <f>-AH114/AH113</f>
        <v>0.208657739022112</v>
      </c>
      <c r="AI115" s="44">
        <f>-AI114/AI113</f>
        <v>0.231461167178587</v>
      </c>
      <c r="AJ115" s="44" t="n"/>
      <c r="AK115" s="44" t="n"/>
      <c r="AL115" s="48">
        <f>-AL114/AL113</f>
        <v>0.211448884530522</v>
      </c>
      <c r="AM115" s="44" t="n"/>
      <c r="AN115" s="44" t="n"/>
      <c r="AO115" s="44" t="n"/>
      <c r="AP115" s="44" t="n"/>
      <c r="AQ115" s="48">
        <f>-AQ114/AQ113</f>
        <v>0</v>
      </c>
      <c r="AR115" s="44" t="n"/>
      <c r="AS115" s="44" t="n"/>
      <c r="AT115" s="44" t="n"/>
      <c r="AU115" s="44" t="n"/>
      <c r="AV115" s="48">
        <f>-AV114/AV113</f>
        <v>0</v>
      </c>
      <c r="AW115" s="44" t="n"/>
      <c r="AX115" s="44" t="n"/>
      <c r="AY115" s="44" t="n"/>
      <c r="AZ115" s="44" t="n"/>
      <c r="BA115" s="48">
        <f>-BA114/BA113</f>
        <v>0</v>
      </c>
      <c r="BB115" s="44" t="n"/>
      <c r="BC115" s="44" t="n"/>
      <c r="BD115" s="44" t="n"/>
      <c r="BE115" s="44" t="n"/>
      <c r="BF115" s="48">
        <f>-BF114/BF113</f>
        <v>0</v>
      </c>
      <c r="BG115" s="44" t="n"/>
      <c r="BH115" s="44" t="n"/>
      <c r="BI115" s="44" t="n"/>
      <c r="BJ115" s="44" t="n"/>
      <c r="BK115" s="48">
        <f>-BK114/BK113</f>
        <v>0</v>
      </c>
      <c r="BL115" s="44" t="n"/>
      <c r="BM115" s="44" t="n"/>
      <c r="BN115" s="44" t="n"/>
      <c r="BO115" s="44" t="n"/>
      <c r="BP115" s="48">
        <f>-BP114/BP113</f>
        <v>0</v>
      </c>
      <c r="BQ115" s="44" t="n"/>
      <c r="BR115" s="44" t="n"/>
      <c r="BS115" s="44" t="n"/>
      <c r="BT115" s="44" t="n"/>
      <c r="BU115" s="48">
        <f>-BU114/BU113</f>
        <v>0</v>
      </c>
      <c r="BV115" s="44" t="n"/>
      <c r="BW115" s="44" t="n"/>
      <c r="BX115" s="44" t="n"/>
      <c r="BY115" s="44" t="n"/>
      <c r="BZ115" s="48">
        <f>-BZ114/BZ113</f>
        <v>0</v>
      </c>
      <c r="CA115" s="44" t="n"/>
      <c r="CB115" s="44" t="n"/>
      <c r="CC115" s="44" t="n"/>
      <c r="CD115" s="44" t="n"/>
      <c r="CE115" s="48">
        <f>-CE114/CE113</f>
        <v>0</v>
      </c>
      <c r="CF115" s="44" t="n"/>
      <c r="CG115" s="44" t="n"/>
      <c r="CH115" s="44" t="n"/>
      <c r="CI115" s="44" t="n"/>
      <c r="CJ115" s="48">
        <f>-CJ114/CJ113</f>
        <v>0</v>
      </c>
      <c r="CK115" s="44" t="n"/>
      <c r="CL115" s="44" t="n"/>
      <c r="CM115" s="44" t="n"/>
      <c r="CN115" s="44" t="n"/>
      <c r="CO115" s="48">
        <f>-CO114/CO113</f>
        <v>0</v>
      </c>
      <c r="CP115" s="44" t="n"/>
      <c r="CQ115" s="44" t="n"/>
      <c r="CR115" s="44" t="n"/>
      <c r="CS115" s="44" t="n"/>
      <c r="CT115" s="48">
        <f>-CT114/CT113</f>
        <v>0</v>
      </c>
      <c r="CU115" s="44" t="n"/>
      <c r="CV115" s="44" t="n"/>
      <c r="CW115" s="44" t="n"/>
      <c r="CX115" s="44" t="n"/>
      <c r="CY115" s="48">
        <f>-CY114/CY113</f>
        <v>0</v>
      </c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collapsed="1">
      <c r="C118" s="26" t="inlineStr">
        <is>
          <t>Equity in Income of Affiliates, after tax (enter as +)</t>
        </is>
      </c>
      <c r="D118" s="25">
        <f>INDEX('Inputs (2)'!$D$11:$AL$11,MATCH(D$7,'Inputs (2)'!$D$2:$AL$2,0))</f>
        <v>5</v>
      </c>
      <c r="E118" s="25">
        <f>INDEX('Inputs (2)'!$D$11:$AL$11,MATCH(E$7,'Inputs (2)'!$D$2:$AL$2,0))</f>
        <v>8</v>
      </c>
      <c r="F118" s="25">
        <f>INDEX('Inputs (2)'!$D$11:$AL$11,MATCH(F$7,'Inputs (2)'!$D$2:$AL$2,0))</f>
        <v>-5</v>
      </c>
      <c r="G118" s="25">
        <f>INDEX('Inputs (2)'!$D$11:$AL$11,MATCH(G$7,'Inputs (2)'!$D$2:$AL$2,0))</f>
        <v>6</v>
      </c>
      <c r="H118" s="3">
        <f>SUM(D118:G118)</f>
        <v>14</v>
      </c>
      <c r="I118" s="25">
        <f>INDEX('Inputs (2)'!$D$11:$AL$11,MATCH(I$7,'Inputs (2)'!$D$2:$AL$2,0))</f>
        <v>9</v>
      </c>
      <c r="J118" s="25">
        <f>INDEX('Inputs (2)'!$D$11:$AL$11,MATCH(J$7,'Inputs (2)'!$D$2:$AL$2,0))</f>
        <v>14</v>
      </c>
      <c r="K118" s="25">
        <f>INDEX('Inputs (2)'!$D$11:$AL$11,MATCH(K$7,'Inputs (2)'!$D$2:$AL$2,0))</f>
        <v>21</v>
      </c>
      <c r="L118" s="25">
        <f>INDEX('Inputs (2)'!$D$11:$AL$11,MATCH(L$7,'Inputs (2)'!$D$2:$AL$2,0))</f>
        <v>-13</v>
      </c>
      <c r="M118" s="3">
        <f>SUM(I118:L118)</f>
        <v>31</v>
      </c>
      <c r="N118" s="25">
        <f>INDEX('Inputs (2)'!$D$11:$AL$11,MATCH(N$7,'Inputs (2)'!$D$2:$AL$2,0))</f>
        <v>7</v>
      </c>
      <c r="O118" s="25">
        <f>INDEX('Inputs (2)'!$D$11:$AL$11,MATCH(O$7,'Inputs (2)'!$D$2:$AL$2,0))</f>
        <v>4</v>
      </c>
      <c r="P118" s="25">
        <f>INDEX('Inputs (2)'!$D$11:$AL$11,MATCH(P$7,'Inputs (2)'!$D$2:$AL$2,0))</f>
        <v>9</v>
      </c>
      <c r="Q118" s="25">
        <f>INDEX('Inputs (2)'!$D$11:$AL$11,MATCH(Q$7,'Inputs (2)'!$D$2:$AL$2,0))</f>
        <v>-1</v>
      </c>
      <c r="R118" s="3">
        <f>SUM(N118:Q118)</f>
        <v>19</v>
      </c>
      <c r="S118" s="25">
        <f>INDEX('Inputs (2)'!$D$11:$AL$11,MATCH(S$7,'Inputs (2)'!$D$2:$AL$2,0))</f>
        <v>16</v>
      </c>
      <c r="T118" s="25">
        <f>INDEX('Inputs (2)'!$D$11:$AL$11,MATCH(T$7,'Inputs (2)'!$D$2:$AL$2,0))</f>
        <v>24</v>
      </c>
      <c r="U118" s="25">
        <f>INDEX('Inputs (2)'!$D$11:$AL$11,MATCH(U$7,'Inputs (2)'!$D$2:$AL$2,0))</f>
        <v>12</v>
      </c>
      <c r="V118" s="25">
        <f>INDEX('Inputs (2)'!$D$11:$AL$11,MATCH(V$7,'Inputs (2)'!$D$2:$AL$2,0))</f>
        <v>11</v>
      </c>
      <c r="W118" s="3">
        <f>SUM(S118:V118)</f>
        <v>63</v>
      </c>
      <c r="X118" s="25">
        <f>INDEX('Inputs (2)'!$D$11:$AL$11,MATCH(X$7,'Inputs (2)'!$D$2:$AL$2,0))</f>
        <v>10</v>
      </c>
      <c r="Y118" s="25">
        <f>INDEX('Inputs (2)'!$D$11:$AL$11,MATCH(Y$7,'Inputs (2)'!$D$2:$AL$2,0))</f>
        <v>17</v>
      </c>
      <c r="Z118" s="25">
        <f>INDEX('Inputs (2)'!$D$11:$AL$11,MATCH(Z$7,'Inputs (2)'!$D$2:$AL$2,0))</f>
        <v>7</v>
      </c>
      <c r="AA118" s="25">
        <f>INDEX('Inputs (2)'!$D$11:$AL$11,MATCH(AA$7,'Inputs (2)'!$D$2:$AL$2,0))</f>
        <v>10</v>
      </c>
      <c r="AB118" s="3">
        <f>SUM(X118:AA118)</f>
        <v>44</v>
      </c>
      <c r="AC118" s="25">
        <f>INDEX('Inputs (2)'!$D$11:$AL$11,MATCH(AC$7,'Inputs (2)'!$D$2:$AL$2,0))</f>
        <v>7</v>
      </c>
      <c r="AD118" s="25">
        <f>INDEX('Inputs (2)'!$D$11:$AL$11,MATCH(AD$7,'Inputs (2)'!$D$2:$AL$2,0))</f>
        <v>7</v>
      </c>
      <c r="AE118" s="25">
        <f>INDEX('Inputs (2)'!$D$11:$AL$11,MATCH(AE$7,'Inputs (2)'!$D$2:$AL$2,0))</f>
        <v>8</v>
      </c>
      <c r="AF118" s="25">
        <f>INDEX('Inputs (2)'!$D$11:$AL$11,MATCH(AF$7,'Inputs (2)'!$D$2:$AL$2,0))</f>
        <v>87</v>
      </c>
      <c r="AG118" s="3">
        <f>SUM(AC118:AF118)</f>
        <v>109</v>
      </c>
      <c r="AH118" s="3">
        <f>INDEX('Inputs (2)'!$D$11:$AL$11,MATCH(AH$7,'Inputs (2)'!$D$2:$AL$2,0))</f>
        <v>7</v>
      </c>
      <c r="AI118" s="3">
        <f>INDEX('Inputs (2)'!$D$11:$AL$11,MATCH(AI$7,'Inputs (2)'!$D$2:$AL$2,0))</f>
        <v>90</v>
      </c>
      <c r="AJ118" s="3">
        <f>AE118*(1+AJ146)</f>
        <v>8</v>
      </c>
      <c r="AK118" s="3">
        <f>AF118*(1+AK146)</f>
        <v>87</v>
      </c>
      <c r="AL118" s="3">
        <f>SUM(AH118:AK118)</f>
        <v>192</v>
      </c>
      <c r="AM118" s="3">
        <f>AH118*(1+AM146)</f>
        <v>7</v>
      </c>
      <c r="AN118" s="3">
        <f>AI118*(1+AN146)</f>
        <v>90</v>
      </c>
      <c r="AO118" s="3">
        <f>AJ118*(1+AO146)</f>
        <v>8</v>
      </c>
      <c r="AP118" s="3">
        <f>AK118*(1+AP146)</f>
        <v>87</v>
      </c>
      <c r="AQ118" s="3">
        <f>SUM(AM118:AP118)</f>
        <v>192</v>
      </c>
      <c r="AR118" s="3">
        <f>AM118*(1+AR146)</f>
        <v>7</v>
      </c>
      <c r="AS118" s="3">
        <f>AN118*(1+AS146)</f>
        <v>90</v>
      </c>
      <c r="AT118" s="3">
        <f>AO118*(1+AT146)</f>
        <v>8</v>
      </c>
      <c r="AU118" s="3">
        <f>AP118*(1+AU146)</f>
        <v>87</v>
      </c>
      <c r="AV118" s="3">
        <f>SUM(AR118:AU118)</f>
        <v>192</v>
      </c>
      <c r="AW118" s="3">
        <f>AR118*(1+AW146)</f>
        <v>7</v>
      </c>
      <c r="AX118" s="3">
        <f>AS118*(1+AX146)</f>
        <v>90</v>
      </c>
      <c r="AY118" s="3">
        <f>AT118*(1+AY146)</f>
        <v>8</v>
      </c>
      <c r="AZ118" s="3">
        <f>AU118*(1+AZ146)</f>
        <v>87</v>
      </c>
      <c r="BA118" s="3">
        <f>SUM(AW118:AZ118)</f>
        <v>192</v>
      </c>
      <c r="BB118" s="3">
        <f>AW118*(1+BB146)</f>
        <v>7</v>
      </c>
      <c r="BC118" s="3">
        <f>AX118*(1+BC146)</f>
        <v>90</v>
      </c>
      <c r="BD118" s="3">
        <f>AY118*(1+BD146)</f>
        <v>8</v>
      </c>
      <c r="BE118" s="3">
        <f>AZ118*(1+BE146)</f>
        <v>87</v>
      </c>
      <c r="BF118" s="3">
        <f>SUM(BB118:BE118)</f>
        <v>192</v>
      </c>
      <c r="BG118" s="3">
        <f>BB118*(1+BG146)</f>
        <v>7</v>
      </c>
      <c r="BH118" s="3">
        <f>BC118*(1+BH146)</f>
        <v>90</v>
      </c>
      <c r="BI118" s="3">
        <f>BD118*(1+BI146)</f>
        <v>8</v>
      </c>
      <c r="BJ118" s="3">
        <f>BE118*(1+BJ146)</f>
        <v>87</v>
      </c>
      <c r="BK118" s="3">
        <f>SUM(BG118:BJ118)</f>
        <v>192</v>
      </c>
      <c r="BL118" s="3">
        <f>BG118*(1+BL146)</f>
        <v>7</v>
      </c>
      <c r="BM118" s="3">
        <f>BH118*(1+BM146)</f>
        <v>90</v>
      </c>
      <c r="BN118" s="3">
        <f>BI118*(1+BN146)</f>
        <v>8</v>
      </c>
      <c r="BO118" s="3">
        <f>BJ118*(1+BO146)</f>
        <v>87</v>
      </c>
      <c r="BP118" s="3">
        <f>SUM(BL118:BO118)</f>
        <v>192</v>
      </c>
      <c r="BQ118" s="3">
        <f>BL118*(1+BQ146)</f>
        <v>7</v>
      </c>
      <c r="BR118" s="3">
        <f>BM118*(1+BR146)</f>
        <v>90</v>
      </c>
      <c r="BS118" s="3">
        <f>BN118*(1+BS146)</f>
        <v>8</v>
      </c>
      <c r="BT118" s="3">
        <f>BO118*(1+BT146)</f>
        <v>87</v>
      </c>
      <c r="BU118" s="3">
        <f>SUM(BQ118:BT118)</f>
        <v>192</v>
      </c>
      <c r="BV118" s="3">
        <f>BQ118*(1+BV146)</f>
        <v>7</v>
      </c>
      <c r="BW118" s="3">
        <f>BR118*(1+BW146)</f>
        <v>90</v>
      </c>
      <c r="BX118" s="3">
        <f>BS118*(1+BX146)</f>
        <v>8</v>
      </c>
      <c r="BY118" s="3">
        <f>BT118*(1+BY146)</f>
        <v>87</v>
      </c>
      <c r="BZ118" s="3">
        <f>SUM(BV118:BY118)</f>
        <v>192</v>
      </c>
      <c r="CA118" s="3">
        <f>BV118*(1+CA146)</f>
        <v>7</v>
      </c>
      <c r="CB118" s="3">
        <f>BW118*(1+CB146)</f>
        <v>90</v>
      </c>
      <c r="CC118" s="3">
        <f>BX118*(1+CC146)</f>
        <v>8</v>
      </c>
      <c r="CD118" s="3">
        <f>BY118*(1+CD146)</f>
        <v>87</v>
      </c>
      <c r="CE118" s="3">
        <f>SUM(CA118:CD118)</f>
        <v>192</v>
      </c>
      <c r="CF118" s="3">
        <f>CA118*(1+CF146)</f>
        <v>7</v>
      </c>
      <c r="CG118" s="3">
        <f>CB118*(1+CG146)</f>
        <v>90</v>
      </c>
      <c r="CH118" s="3">
        <f>CC118*(1+CH146)</f>
        <v>8</v>
      </c>
      <c r="CI118" s="3">
        <f>CD118*(1+CI146)</f>
        <v>87</v>
      </c>
      <c r="CJ118" s="3">
        <f>SUM(CF118:CI118)</f>
        <v>192</v>
      </c>
      <c r="CK118" s="3">
        <f>CF118*(1+CK146)</f>
        <v>7</v>
      </c>
      <c r="CL118" s="3">
        <f>CG118*(1+CL146)</f>
        <v>90</v>
      </c>
      <c r="CM118" s="3">
        <f>CH118*(1+CM146)</f>
        <v>8</v>
      </c>
      <c r="CN118" s="3">
        <f>CI118*(1+CN146)</f>
        <v>87</v>
      </c>
      <c r="CO118" s="3">
        <f>SUM(CK118:CN118)</f>
        <v>192</v>
      </c>
      <c r="CP118" s="3">
        <f>CK118*(1+CP146)</f>
        <v>7</v>
      </c>
      <c r="CQ118" s="3">
        <f>CL118*(1+CQ146)</f>
        <v>90</v>
      </c>
      <c r="CR118" s="3">
        <f>CM118*(1+CR146)</f>
        <v>8</v>
      </c>
      <c r="CS118" s="3">
        <f>CN118*(1+CS146)</f>
        <v>87</v>
      </c>
      <c r="CT118" s="3">
        <f>SUM(CP118:CS118)</f>
        <v>192</v>
      </c>
      <c r="CU118" s="3">
        <f>CP118*(1+CU146)</f>
        <v>7</v>
      </c>
      <c r="CV118" s="3">
        <f>CQ118*(1+CV146)</f>
        <v>90</v>
      </c>
      <c r="CW118" s="3">
        <f>CR118*(1+CW146)</f>
        <v>8</v>
      </c>
      <c r="CX118" s="3">
        <f>CS118*(1+CX146)</f>
        <v>87</v>
      </c>
      <c r="CY118" s="3">
        <f>SUM(CU118:CX118)</f>
        <v>192</v>
      </c>
    </row>
    <row r="119">
      <c r="C119" s="26" t="inlineStr">
        <is>
          <t>Minority Interest Expense, after tax (enter as - )</t>
        </is>
      </c>
      <c r="D119" s="25">
        <f>INDEX('Inputs (2)'!$D$12:$AL$12,MATCH(D$7,'Inputs (2)'!$D$2:$AL$2,0))</f>
        <v>-1</v>
      </c>
      <c r="E119" s="25">
        <f>INDEX('Inputs (2)'!$D$12:$AL$12,MATCH(E$7,'Inputs (2)'!$D$2:$AL$2,0))</f>
        <v>-1</v>
      </c>
      <c r="F119" s="25">
        <f>INDEX('Inputs (2)'!$D$12:$AL$12,MATCH(F$7,'Inputs (2)'!$D$2:$AL$2,0))</f>
        <v>-3</v>
      </c>
      <c r="G119" s="25">
        <f>INDEX('Inputs (2)'!$D$12:$AL$12,MATCH(G$7,'Inputs (2)'!$D$2:$AL$2,0))</f>
        <v>0</v>
      </c>
      <c r="H119" s="3">
        <f>SUM(D119:G119)</f>
        <v>-5</v>
      </c>
      <c r="I119" s="25">
        <f>INDEX('Inputs (2)'!$D$12:$AL$12,MATCH(I$7,'Inputs (2)'!$D$2:$AL$2,0))</f>
        <v>-1</v>
      </c>
      <c r="J119" s="25">
        <f>INDEX('Inputs (2)'!$D$12:$AL$12,MATCH(J$7,'Inputs (2)'!$D$2:$AL$2,0))</f>
        <v>-1</v>
      </c>
      <c r="K119" s="25">
        <f>INDEX('Inputs (2)'!$D$12:$AL$12,MATCH(K$7,'Inputs (2)'!$D$2:$AL$2,0))</f>
        <v>-2</v>
      </c>
      <c r="L119" s="25">
        <f>INDEX('Inputs (2)'!$D$12:$AL$12,MATCH(L$7,'Inputs (2)'!$D$2:$AL$2,0))</f>
        <v>0</v>
      </c>
      <c r="M119" s="3">
        <f>SUM(I119:L119)</f>
        <v>-4</v>
      </c>
      <c r="N119" s="25">
        <f>INDEX('Inputs (2)'!$D$12:$AL$12,MATCH(N$7,'Inputs (2)'!$D$2:$AL$2,0))</f>
        <v>0</v>
      </c>
      <c r="O119" s="25">
        <f>INDEX('Inputs (2)'!$D$12:$AL$12,MATCH(O$7,'Inputs (2)'!$D$2:$AL$2,0))</f>
        <v>0</v>
      </c>
      <c r="P119" s="25">
        <f>INDEX('Inputs (2)'!$D$12:$AL$12,MATCH(P$7,'Inputs (2)'!$D$2:$AL$2,0))</f>
        <v>1</v>
      </c>
      <c r="Q119" s="25">
        <f>INDEX('Inputs (2)'!$D$12:$AL$12,MATCH(Q$7,'Inputs (2)'!$D$2:$AL$2,0))</f>
        <v>0</v>
      </c>
      <c r="R119" s="3">
        <f>SUM(N119:Q119)</f>
        <v>1</v>
      </c>
      <c r="S119" s="25">
        <f>INDEX('Inputs (2)'!$D$12:$AL$12,MATCH(S$7,'Inputs (2)'!$D$2:$AL$2,0))</f>
        <v>1</v>
      </c>
      <c r="T119" s="25">
        <f>INDEX('Inputs (2)'!$D$12:$AL$12,MATCH(T$7,'Inputs (2)'!$D$2:$AL$2,0))</f>
        <v>-2</v>
      </c>
      <c r="U119" s="25">
        <f>INDEX('Inputs (2)'!$D$12:$AL$12,MATCH(U$7,'Inputs (2)'!$D$2:$AL$2,0))</f>
        <v>1</v>
      </c>
      <c r="V119" s="25">
        <f>INDEX('Inputs (2)'!$D$12:$AL$12,MATCH(V$7,'Inputs (2)'!$D$2:$AL$2,0))</f>
        <v>3</v>
      </c>
      <c r="W119" s="3">
        <f>SUM(S119:V119)</f>
        <v>3</v>
      </c>
      <c r="X119" s="25">
        <f>INDEX('Inputs (2)'!$D$12:$AL$12,MATCH(X$7,'Inputs (2)'!$D$2:$AL$2,0))</f>
        <v>2</v>
      </c>
      <c r="Y119" s="25">
        <f>INDEX('Inputs (2)'!$D$12:$AL$12,MATCH(Y$7,'Inputs (2)'!$D$2:$AL$2,0))</f>
        <v>0</v>
      </c>
      <c r="Z119" s="25">
        <f>INDEX('Inputs (2)'!$D$12:$AL$12,MATCH(Z$7,'Inputs (2)'!$D$2:$AL$2,0))</f>
        <v>1</v>
      </c>
      <c r="AA119" s="25">
        <f>INDEX('Inputs (2)'!$D$12:$AL$12,MATCH(AA$7,'Inputs (2)'!$D$2:$AL$2,0))</f>
        <v>1</v>
      </c>
      <c r="AB119" s="3">
        <f>SUM(X119:AA119)</f>
        <v>4</v>
      </c>
      <c r="AC119" s="25">
        <f>INDEX('Inputs (2)'!$D$12:$AL$12,MATCH(AC$7,'Inputs (2)'!$D$2:$AL$2,0))</f>
        <v>0</v>
      </c>
      <c r="AD119" s="25">
        <f>INDEX('Inputs (2)'!$D$12:$AL$12,MATCH(AD$7,'Inputs (2)'!$D$2:$AL$2,0))</f>
        <v>0</v>
      </c>
      <c r="AE119" s="25">
        <f>INDEX('Inputs (2)'!$D$12:$AL$12,MATCH(AE$7,'Inputs (2)'!$D$2:$AL$2,0))</f>
        <v>1</v>
      </c>
      <c r="AF119" s="25">
        <f>INDEX('Inputs (2)'!$D$12:$AL$12,MATCH(AF$7,'Inputs (2)'!$D$2:$AL$2,0))</f>
        <v>1</v>
      </c>
      <c r="AG119" s="3">
        <f>SUM(AC119:AF119)</f>
        <v>2</v>
      </c>
      <c r="AH119" s="3">
        <f>INDEX('Inputs (2)'!$D$12:$AL$12,MATCH(AH$7,'Inputs (2)'!$D$2:$AL$2,0))</f>
        <v>1</v>
      </c>
      <c r="AI119" s="3">
        <f>INDEX('Inputs (2)'!$D$12:$AL$12,MATCH(AI$7,'Inputs (2)'!$D$2:$AL$2,0))</f>
        <v>0</v>
      </c>
      <c r="AJ119" s="3">
        <f>AE119*(1+AJ233)</f>
        <v>1</v>
      </c>
      <c r="AK119" s="3">
        <f>AF119*(1+AK233)</f>
        <v>1</v>
      </c>
      <c r="AL119" s="3">
        <f>SUM(AH119:AK119)</f>
        <v>3</v>
      </c>
      <c r="AM119" s="3">
        <f>AH119*(1+AM233)</f>
        <v>1</v>
      </c>
      <c r="AN119" s="3">
        <f>AI119*(1+AN233)</f>
        <v>0</v>
      </c>
      <c r="AO119" s="3">
        <f>AJ119*(1+AO233)</f>
        <v>1</v>
      </c>
      <c r="AP119" s="3">
        <f>AK119*(1+AP233)</f>
        <v>1</v>
      </c>
      <c r="AQ119" s="3">
        <f>SUM(AM119:AP119)</f>
        <v>3</v>
      </c>
      <c r="AR119" s="3">
        <f>AM119*(1+AR233)</f>
        <v>1</v>
      </c>
      <c r="AS119" s="3">
        <f>AN119*(1+AS233)</f>
        <v>0</v>
      </c>
      <c r="AT119" s="3">
        <f>AO119*(1+AT233)</f>
        <v>1</v>
      </c>
      <c r="AU119" s="3">
        <f>AP119*(1+AU233)</f>
        <v>1</v>
      </c>
      <c r="AV119" s="3">
        <f>SUM(AR119:AU119)</f>
        <v>3</v>
      </c>
      <c r="AW119" s="3">
        <f>AR119*(1+AW233)</f>
        <v>1</v>
      </c>
      <c r="AX119" s="3">
        <f>AS119*(1+AX233)</f>
        <v>0</v>
      </c>
      <c r="AY119" s="3">
        <f>AT119*(1+AY233)</f>
        <v>1</v>
      </c>
      <c r="AZ119" s="3">
        <f>AU119*(1+AZ233)</f>
        <v>1</v>
      </c>
      <c r="BA119" s="3">
        <f>SUM(AW119:AZ119)</f>
        <v>3</v>
      </c>
      <c r="BB119" s="3">
        <f>AW119*(1+BB233)</f>
        <v>1</v>
      </c>
      <c r="BC119" s="3">
        <f>AX119*(1+BC233)</f>
        <v>0</v>
      </c>
      <c r="BD119" s="3">
        <f>AY119*(1+BD233)</f>
        <v>1</v>
      </c>
      <c r="BE119" s="3">
        <f>AZ119*(1+BE233)</f>
        <v>1</v>
      </c>
      <c r="BF119" s="3">
        <f>SUM(BB119:BE119)</f>
        <v>3</v>
      </c>
      <c r="BG119" s="3">
        <f>BB119*(1+BG233)</f>
        <v>1</v>
      </c>
      <c r="BH119" s="3">
        <f>BC119*(1+BH233)</f>
        <v>0</v>
      </c>
      <c r="BI119" s="3">
        <f>BD119*(1+BI233)</f>
        <v>1</v>
      </c>
      <c r="BJ119" s="3">
        <f>BE119*(1+BJ233)</f>
        <v>1</v>
      </c>
      <c r="BK119" s="3">
        <f>SUM(BG119:BJ119)</f>
        <v>3</v>
      </c>
      <c r="BL119" s="3">
        <f>BG119*(1+BL233)</f>
        <v>1</v>
      </c>
      <c r="BM119" s="3">
        <f>BH119*(1+BM233)</f>
        <v>0</v>
      </c>
      <c r="BN119" s="3">
        <f>BI119*(1+BN233)</f>
        <v>1</v>
      </c>
      <c r="BO119" s="3">
        <f>BJ119*(1+BO233)</f>
        <v>1</v>
      </c>
      <c r="BP119" s="3">
        <f>SUM(BL119:BO119)</f>
        <v>3</v>
      </c>
      <c r="BQ119" s="3">
        <f>BL119*(1+BQ233)</f>
        <v>1</v>
      </c>
      <c r="BR119" s="3">
        <f>BM119*(1+BR233)</f>
        <v>0</v>
      </c>
      <c r="BS119" s="3">
        <f>BN119*(1+BS233)</f>
        <v>1</v>
      </c>
      <c r="BT119" s="3">
        <f>BO119*(1+BT233)</f>
        <v>1</v>
      </c>
      <c r="BU119" s="3">
        <f>SUM(BQ119:BT119)</f>
        <v>3</v>
      </c>
      <c r="BV119" s="3">
        <f>BQ119*(1+BV233)</f>
        <v>1</v>
      </c>
      <c r="BW119" s="3">
        <f>BR119*(1+BW233)</f>
        <v>0</v>
      </c>
      <c r="BX119" s="3">
        <f>BS119*(1+BX233)</f>
        <v>1</v>
      </c>
      <c r="BY119" s="3">
        <f>BT119*(1+BY233)</f>
        <v>1</v>
      </c>
      <c r="BZ119" s="3">
        <f>SUM(BV119:BY119)</f>
        <v>3</v>
      </c>
      <c r="CA119" s="3">
        <f>BV119*(1+CA233)</f>
        <v>1</v>
      </c>
      <c r="CB119" s="3">
        <f>BW119*(1+CB233)</f>
        <v>0</v>
      </c>
      <c r="CC119" s="3">
        <f>BX119*(1+CC233)</f>
        <v>1</v>
      </c>
      <c r="CD119" s="3">
        <f>BY119*(1+CD233)</f>
        <v>1</v>
      </c>
      <c r="CE119" s="3">
        <f>SUM(CA119:CD119)</f>
        <v>3</v>
      </c>
      <c r="CF119" s="3">
        <f>CA119*(1+CF233)</f>
        <v>1</v>
      </c>
      <c r="CG119" s="3">
        <f>CB119*(1+CG233)</f>
        <v>0</v>
      </c>
      <c r="CH119" s="3">
        <f>CC119*(1+CH233)</f>
        <v>1</v>
      </c>
      <c r="CI119" s="3">
        <f>CD119*(1+CI233)</f>
        <v>1</v>
      </c>
      <c r="CJ119" s="3">
        <f>SUM(CF119:CI119)</f>
        <v>3</v>
      </c>
      <c r="CK119" s="3">
        <f>CF119*(1+CK233)</f>
        <v>1</v>
      </c>
      <c r="CL119" s="3">
        <f>CG119*(1+CL233)</f>
        <v>0</v>
      </c>
      <c r="CM119" s="3">
        <f>CH119*(1+CM233)</f>
        <v>1</v>
      </c>
      <c r="CN119" s="3">
        <f>CI119*(1+CN233)</f>
        <v>1</v>
      </c>
      <c r="CO119" s="3">
        <f>SUM(CK119:CN119)</f>
        <v>3</v>
      </c>
      <c r="CP119" s="3">
        <f>CK119*(1+CP233)</f>
        <v>1</v>
      </c>
      <c r="CQ119" s="3">
        <f>CL119*(1+CQ233)</f>
        <v>0</v>
      </c>
      <c r="CR119" s="3">
        <f>CM119*(1+CR233)</f>
        <v>1</v>
      </c>
      <c r="CS119" s="3">
        <f>CN119*(1+CS233)</f>
        <v>1</v>
      </c>
      <c r="CT119" s="3">
        <f>SUM(CP119:CS119)</f>
        <v>3</v>
      </c>
      <c r="CU119" s="3">
        <f>CP119*(1+CU233)</f>
        <v>1</v>
      </c>
      <c r="CV119" s="3">
        <f>CQ119*(1+CV233)</f>
        <v>0</v>
      </c>
      <c r="CW119" s="3">
        <f>CR119*(1+CW233)</f>
        <v>1</v>
      </c>
      <c r="CX119" s="3">
        <f>CS119*(1+CX233)</f>
        <v>1</v>
      </c>
      <c r="CY119" s="3">
        <f>SUM(CU119:CX119)</f>
        <v>3</v>
      </c>
    </row>
    <row r="120" customFormat="1" s="17">
      <c r="A120" s="13" t="n"/>
      <c r="B120" s="1" t="n"/>
      <c r="C120" s="14" t="inlineStr">
        <is>
          <t>Net Income</t>
        </is>
      </c>
      <c r="D120" s="16">
        <f>SUM(D113,D114,D118,D119)</f>
        <v>1092</v>
      </c>
      <c r="E120" s="16">
        <f>SUM(E113,E114,E118,E119)</f>
        <v>458</v>
      </c>
      <c r="F120" s="16">
        <f>SUM(F113,F114,F118,F119)</f>
        <v>668</v>
      </c>
      <c r="G120" s="16">
        <f>SUM(G113,G114,G118,G119)</f>
        <v>780</v>
      </c>
      <c r="H120" s="16">
        <f>SUM(D120:G120)</f>
        <v>2998</v>
      </c>
      <c r="I120" s="16">
        <f>SUM(I113,I114,I118,I119)</f>
        <v>1530</v>
      </c>
      <c r="J120" s="16">
        <f>SUM(J113,J114,J118,J119)</f>
        <v>1413</v>
      </c>
      <c r="K120" s="16">
        <f>SUM(K113,K114,K118,K119)</f>
        <v>1426</v>
      </c>
      <c r="L120" s="16">
        <f>SUM(L113,L114,L118,L119)</f>
        <v>2120</v>
      </c>
      <c r="M120" s="16">
        <f>SUM(I120:L120)</f>
        <v>6489</v>
      </c>
      <c r="N120" s="16">
        <f>SUM(N113,N114,N118,N119)</f>
        <v>1537</v>
      </c>
      <c r="O120" s="16">
        <f>SUM(O113,O114,O118,O119)</f>
        <v>1673</v>
      </c>
      <c r="P120" s="16">
        <f>SUM(P113,P114,P118,P119)</f>
        <v>2041</v>
      </c>
      <c r="Q120" s="16">
        <f>SUM(Q113,Q114,Q118,Q119)</f>
        <v>1454</v>
      </c>
      <c r="R120" s="16">
        <f>SUM(N120:Q120)</f>
        <v>6705</v>
      </c>
      <c r="S120" s="16">
        <f>SUM(S113,S114,S118,S119)</f>
        <v>1943</v>
      </c>
      <c r="T120" s="16">
        <f>SUM(T113,T114,T118,T119)</f>
        <v>2922</v>
      </c>
      <c r="U120" s="16">
        <f>SUM(U113,U114,U118,U119)</f>
        <v>2794</v>
      </c>
      <c r="V120" s="16">
        <f>SUM(V113,V114,V118,V119)</f>
        <v>2676</v>
      </c>
      <c r="W120" s="16">
        <f>SUM(S120:V120)</f>
        <v>10335</v>
      </c>
      <c r="X120" s="16">
        <f>SUM(X113,X114,X118,X119)</f>
        <v>2856</v>
      </c>
      <c r="Y120" s="16">
        <f>SUM(Y113,Y114,Y118,Y119)</f>
        <v>2681</v>
      </c>
      <c r="Z120" s="16">
        <f>SUM(Z113,Z114,Z118,Z119)</f>
        <v>2464</v>
      </c>
      <c r="AA120" s="16">
        <f>SUM(AA113,AA114,AA118,AA119)</f>
        <v>2791</v>
      </c>
      <c r="AB120" s="16">
        <f>SUM(X120:AA120)</f>
        <v>10792</v>
      </c>
      <c r="AC120" s="16">
        <f>SUM(AC113,AC114,AC118,AC119)</f>
        <v>2003</v>
      </c>
      <c r="AD120" s="16">
        <f>SUM(AD113,AD114,AD118,AD119)</f>
        <v>2179</v>
      </c>
      <c r="AE120" s="16">
        <f>SUM(AE113,AE114,AE118,AE119)</f>
        <v>2300</v>
      </c>
      <c r="AF120" s="16">
        <f>SUM(AF113,AF114,AF118,AF119)</f>
        <v>2402</v>
      </c>
      <c r="AG120" s="16">
        <f>SUM(AC120:AF120)</f>
        <v>8884</v>
      </c>
      <c r="AH120" s="16">
        <f>SUM(AH113,AH114,AH118,AH119)</f>
        <v>2549</v>
      </c>
      <c r="AI120" s="16">
        <f>SUM(AI113,AI114,AI118,AI119)</f>
        <v>3593</v>
      </c>
      <c r="AJ120" s="16">
        <f>SUM(AJ113,AJ114,AJ118,AJ119)</f>
        <v>135</v>
      </c>
      <c r="AK120" s="16">
        <f>SUM(AK113,AK114,AK118,AK119)</f>
        <v>351</v>
      </c>
      <c r="AL120" s="16">
        <f>SUM(AH120:AK120)</f>
        <v>6628</v>
      </c>
      <c r="AM120" s="16">
        <f>SUM(AM113,AM114,AM118,AM119)</f>
        <v>271</v>
      </c>
      <c r="AN120" s="16">
        <f>SUM(AN113,AN114,AN118,AN119)</f>
        <v>868</v>
      </c>
      <c r="AO120" s="16">
        <f>SUM(AO113,AO114,AO118,AO119)</f>
        <v>272</v>
      </c>
      <c r="AP120" s="16">
        <f>SUM(AP113,AP114,AP118,AP119)</f>
        <v>866</v>
      </c>
      <c r="AQ120" s="16">
        <f>SUM(AM120:AP120)</f>
        <v>2277</v>
      </c>
      <c r="AR120" s="16">
        <f>SUM(AR113,AR114,AR118,AR119)</f>
        <v>786</v>
      </c>
      <c r="AS120" s="16">
        <f>SUM(AS113,AS114,AS118,AS119)</f>
        <v>2172</v>
      </c>
      <c r="AT120" s="16">
        <f>SUM(AT113,AT114,AT118,AT119)</f>
        <v>787</v>
      </c>
      <c r="AU120" s="16">
        <f>SUM(AU113,AU114,AU118,AU119)</f>
        <v>2170</v>
      </c>
      <c r="AV120" s="16">
        <f>SUM(AR120:AU120)</f>
        <v>5915</v>
      </c>
      <c r="AW120" s="16">
        <f>SUM(AW113,AW114,AW118,AW119)</f>
        <v>2090</v>
      </c>
      <c r="AX120" s="16">
        <f>SUM(AX113,AX114,AX118,AX119)</f>
        <v>5810</v>
      </c>
      <c r="AY120" s="16">
        <f>SUM(AY113,AY114,AY118,AY119)</f>
        <v>2091</v>
      </c>
      <c r="AZ120" s="16">
        <f>SUM(AZ113,AZ114,AZ118,AZ119)</f>
        <v>5808</v>
      </c>
      <c r="BA120" s="16">
        <f>SUM(AW120:AZ120)</f>
        <v>15799</v>
      </c>
      <c r="BB120" s="16">
        <f>SUM(BB113,BB114,BB118,BB119)</f>
        <v>5728</v>
      </c>
      <c r="BC120" s="16">
        <f>SUM(BC113,BC114,BC118,BC119)</f>
        <v>15694</v>
      </c>
      <c r="BD120" s="16">
        <f>SUM(BD113,BD114,BD118,BD119)</f>
        <v>5729</v>
      </c>
      <c r="BE120" s="16">
        <f>SUM(BE113,BE114,BE118,BE119)</f>
        <v>15692</v>
      </c>
      <c r="BF120" s="16">
        <f>SUM(BB120:BE120)</f>
        <v>42843</v>
      </c>
      <c r="BG120" s="16">
        <f>SUM(BG113,BG114,BG118,BG119)</f>
        <v>15612</v>
      </c>
      <c r="BH120" s="16">
        <f>SUM(BH113,BH114,BH118,BH119)</f>
        <v>42738</v>
      </c>
      <c r="BI120" s="16">
        <f>SUM(BI113,BI114,BI118,BI119)</f>
        <v>15613</v>
      </c>
      <c r="BJ120" s="16">
        <f>SUM(BJ113,BJ114,BJ118,BJ119)</f>
        <v>42736</v>
      </c>
      <c r="BK120" s="16">
        <f>SUM(BG120:BJ120)</f>
        <v>116699</v>
      </c>
      <c r="BL120" s="16">
        <f>SUM(BL113,BL114,BL118,BL119)</f>
        <v>42656</v>
      </c>
      <c r="BM120" s="16">
        <f>SUM(BM113,BM114,BM118,BM119)</f>
        <v>116594</v>
      </c>
      <c r="BN120" s="16">
        <f>SUM(BN113,BN114,BN118,BN119)</f>
        <v>42657</v>
      </c>
      <c r="BO120" s="16">
        <f>SUM(BO113,BO114,BO118,BO119)</f>
        <v>116592</v>
      </c>
      <c r="BP120" s="16">
        <f>SUM(BL120:BO120)</f>
        <v>318499</v>
      </c>
      <c r="BQ120" s="16">
        <f>SUM(BQ113,BQ114,BQ118,BQ119)</f>
        <v>116512</v>
      </c>
      <c r="BR120" s="16">
        <f>SUM(BR113,BR114,BR118,BR119)</f>
        <v>318394</v>
      </c>
      <c r="BS120" s="16">
        <f>SUM(BS113,BS114,BS118,BS119)</f>
        <v>116513</v>
      </c>
      <c r="BT120" s="16">
        <f>SUM(BT113,BT114,BT118,BT119)</f>
        <v>318392</v>
      </c>
      <c r="BU120" s="16">
        <f>SUM(BQ120:BT120)</f>
        <v>869811</v>
      </c>
      <c r="BV120" s="16">
        <f>SUM(BV113,BV114,BV118,BV119)</f>
        <v>318312</v>
      </c>
      <c r="BW120" s="16">
        <f>SUM(BW113,BW114,BW118,BW119)</f>
        <v>869706</v>
      </c>
      <c r="BX120" s="16">
        <f>SUM(BX113,BX114,BX118,BX119)</f>
        <v>318313</v>
      </c>
      <c r="BY120" s="16">
        <f>SUM(BY113,BY114,BY118,BY119)</f>
        <v>869704</v>
      </c>
      <c r="BZ120" s="16">
        <f>SUM(BV120:BY120)</f>
        <v>2376035</v>
      </c>
      <c r="CA120" s="16">
        <f>SUM(CA113,CA114,CA118,CA119)</f>
        <v>869624</v>
      </c>
      <c r="CB120" s="16">
        <f>SUM(CB113,CB114,CB118,CB119)</f>
        <v>2375930</v>
      </c>
      <c r="CC120" s="16">
        <f>SUM(CC113,CC114,CC118,CC119)</f>
        <v>869625</v>
      </c>
      <c r="CD120" s="16">
        <f>SUM(CD113,CD114,CD118,CD119)</f>
        <v>2375928</v>
      </c>
      <c r="CE120" s="16">
        <f>SUM(CA120:CD120)</f>
        <v>6491107</v>
      </c>
      <c r="CF120" s="16">
        <f>SUM(CF113,CF114,CF118,CF119)</f>
        <v>2375848</v>
      </c>
      <c r="CG120" s="16">
        <f>SUM(CG113,CG114,CG118,CG119)</f>
        <v>6491002</v>
      </c>
      <c r="CH120" s="16">
        <f>SUM(CH113,CH114,CH118,CH119)</f>
        <v>2375849</v>
      </c>
      <c r="CI120" s="16">
        <f>SUM(CI113,CI114,CI118,CI119)</f>
        <v>6491000</v>
      </c>
      <c r="CJ120" s="16">
        <f>SUM(CF120:CI120)</f>
        <v>17733699</v>
      </c>
      <c r="CK120" s="16">
        <f>SUM(CK113,CK114,CK118,CK119)</f>
        <v>6490920</v>
      </c>
      <c r="CL120" s="16">
        <f>SUM(CL113,CL114,CL118,CL119)</f>
        <v>17733594</v>
      </c>
      <c r="CM120" s="16">
        <f>SUM(CM113,CM114,CM118,CM119)</f>
        <v>6490921</v>
      </c>
      <c r="CN120" s="16">
        <f>SUM(CN113,CN114,CN118,CN119)</f>
        <v>17733592</v>
      </c>
      <c r="CO120" s="16">
        <f>SUM(CK120:CN120)</f>
        <v>48449027</v>
      </c>
      <c r="CP120" s="16">
        <f>SUM(CP113,CP114,CP118,CP119)</f>
        <v>17733512</v>
      </c>
      <c r="CQ120" s="16">
        <f>SUM(CQ113,CQ114,CQ118,CQ119)</f>
        <v>48448922</v>
      </c>
      <c r="CR120" s="16">
        <f>SUM(CR113,CR114,CR118,CR119)</f>
        <v>17733513</v>
      </c>
      <c r="CS120" s="16">
        <f>SUM(CS113,CS114,CS118,CS119)</f>
        <v>48448920</v>
      </c>
      <c r="CT120" s="16">
        <f>SUM(CP120:CS120)</f>
        <v>132364867</v>
      </c>
      <c r="CU120" s="16">
        <f>SUM(CU113,CU114,CU118,CU119)</f>
        <v>48448840</v>
      </c>
      <c r="CV120" s="16">
        <f>SUM(CV113,CV114,CV118,CV119)</f>
        <v>132364762</v>
      </c>
      <c r="CW120" s="16">
        <f>SUM(CW113,CW114,CW118,CW119)</f>
        <v>48448841</v>
      </c>
      <c r="CX120" s="16">
        <f>SUM(CX113,CX114,CX118,CX119)</f>
        <v>132364760</v>
      </c>
      <c r="CY120" s="16">
        <f>SUM(CU120:CX120)</f>
        <v>361627203</v>
      </c>
    </row>
    <row r="121">
      <c r="C121" s="24" t="inlineStr">
        <is>
          <t>Common Dividends</t>
        </is>
      </c>
      <c r="D121" s="25">
        <f>INDEX('Inputs (2)'!$D$13:$AL$13,MATCH(D$7,'Inputs (2)'!$D$2:$AL$2,0))</f>
        <v>-567</v>
      </c>
      <c r="E121" s="25">
        <f>INDEX('Inputs (2)'!$D$13:$AL$13,MATCH(E$7,'Inputs (2)'!$D$2:$AL$2,0))</f>
        <v>-558</v>
      </c>
      <c r="F121" s="25">
        <f>INDEX('Inputs (2)'!$D$13:$AL$13,MATCH(F$7,'Inputs (2)'!$D$2:$AL$2,0))</f>
        <v>-558</v>
      </c>
      <c r="G121" s="25">
        <f>INDEX('Inputs (2)'!$D$13:$AL$13,MATCH(G$7,'Inputs (2)'!$D$2:$AL$2,0))</f>
        <v>-560</v>
      </c>
      <c r="H121" s="3">
        <f>SUM(D121:G121)</f>
        <v>-2243</v>
      </c>
      <c r="I121" s="25">
        <f>INDEX('Inputs (2)'!$D$13:$AL$13,MATCH(I$7,'Inputs (2)'!$D$2:$AL$2,0))</f>
        <v>-562</v>
      </c>
      <c r="J121" s="25">
        <f>INDEX('Inputs (2)'!$D$13:$AL$13,MATCH(J$7,'Inputs (2)'!$D$2:$AL$2,0))</f>
        <v>-564</v>
      </c>
      <c r="K121" s="25">
        <f>INDEX('Inputs (2)'!$D$13:$AL$13,MATCH(K$7,'Inputs (2)'!$D$2:$AL$2,0))</f>
        <v>-607</v>
      </c>
      <c r="L121" s="25">
        <f>INDEX('Inputs (2)'!$D$13:$AL$13,MATCH(L$7,'Inputs (2)'!$D$2:$AL$2,0))</f>
        <v>-599</v>
      </c>
      <c r="M121" s="3">
        <f>SUM(I121:L121)</f>
        <v>-2332</v>
      </c>
      <c r="N121" s="25">
        <f>INDEX('Inputs (2)'!$D$13:$AL$13,MATCH(N$7,'Inputs (2)'!$D$2:$AL$2,0))</f>
        <v>-595</v>
      </c>
      <c r="O121" s="25">
        <f>INDEX('Inputs (2)'!$D$13:$AL$13,MATCH(O$7,'Inputs (2)'!$D$2:$AL$2,0))</f>
        <v>-592</v>
      </c>
      <c r="P121" s="25">
        <f>INDEX('Inputs (2)'!$D$13:$AL$13,MATCH(P$7,'Inputs (2)'!$D$2:$AL$2,0))</f>
        <v>-633</v>
      </c>
      <c r="Q121" s="25">
        <f>INDEX('Inputs (2)'!$D$13:$AL$13,MATCH(Q$7,'Inputs (2)'!$D$2:$AL$2,0))</f>
        <v>-620</v>
      </c>
      <c r="R121" s="3">
        <f>SUM(N121:Q121)</f>
        <v>-2440</v>
      </c>
      <c r="S121" s="25">
        <f>INDEX('Inputs (2)'!$D$13:$AL$13,MATCH(S$7,'Inputs (2)'!$D$2:$AL$2,0))</f>
        <v>-620</v>
      </c>
      <c r="T121" s="25">
        <f>INDEX('Inputs (2)'!$D$13:$AL$13,MATCH(T$7,'Inputs (2)'!$D$2:$AL$2,0))</f>
        <v>-618</v>
      </c>
      <c r="U121" s="25">
        <f>INDEX('Inputs (2)'!$D$13:$AL$13,MATCH(U$7,'Inputs (2)'!$D$2:$AL$2,0))</f>
        <v>-663</v>
      </c>
      <c r="V121" s="25">
        <f>INDEX('Inputs (2)'!$D$13:$AL$13,MATCH(V$7,'Inputs (2)'!$D$2:$AL$2,0))</f>
        <v>-662</v>
      </c>
      <c r="W121" s="3">
        <f>SUM(S121:V121)</f>
        <v>-2563</v>
      </c>
      <c r="X121" s="25">
        <f>INDEX('Inputs (2)'!$D$13:$AL$13,MATCH(X$7,'Inputs (2)'!$D$2:$AL$2,0))</f>
        <v>-648</v>
      </c>
      <c r="Y121" s="25">
        <f>INDEX('Inputs (2)'!$D$13:$AL$13,MATCH(Y$7,'Inputs (2)'!$D$2:$AL$2,0))</f>
        <v>-635</v>
      </c>
      <c r="Z121" s="25">
        <f>INDEX('Inputs (2)'!$D$13:$AL$13,MATCH(Z$7,'Inputs (2)'!$D$2:$AL$2,0))</f>
        <v>-683</v>
      </c>
      <c r="AA121" s="25">
        <f>INDEX('Inputs (2)'!$D$13:$AL$13,MATCH(AA$7,'Inputs (2)'!$D$2:$AL$2,0))</f>
        <v>-680</v>
      </c>
      <c r="AB121" s="3">
        <f>SUM(X121:AA121)</f>
        <v>-2646</v>
      </c>
      <c r="AC121" s="25">
        <f>INDEX('Inputs (2)'!$D$13:$AL$13,MATCH(AC$7,'Inputs (2)'!$D$2:$AL$2,0))</f>
        <v>-674</v>
      </c>
      <c r="AD121" s="25">
        <f>INDEX('Inputs (2)'!$D$13:$AL$13,MATCH(AD$7,'Inputs (2)'!$D$2:$AL$2,0))</f>
        <v>-662</v>
      </c>
      <c r="AE121" s="25">
        <f>INDEX('Inputs (2)'!$D$13:$AL$13,MATCH(AE$7,'Inputs (2)'!$D$2:$AL$2,0))</f>
        <v>-707</v>
      </c>
      <c r="AF121" s="25">
        <f>INDEX('Inputs (2)'!$D$13:$AL$13,MATCH(AF$7,'Inputs (2)'!$D$2:$AL$2,0))</f>
        <v>-706</v>
      </c>
      <c r="AG121" s="3">
        <f>SUM(AC121:AF121)</f>
        <v>-2749</v>
      </c>
      <c r="AH121" s="3">
        <f>INDEX('Inputs (2)'!$D$13:$AL$13,MATCH(AH$7,'Inputs (2)'!$D$2:$AL$2,0))</f>
        <v>-703</v>
      </c>
      <c r="AI121" s="3">
        <f>INDEX('Inputs (2)'!$D$13:$AL$13,MATCH(AI$7,'Inputs (2)'!$D$2:$AL$2,0))</f>
        <v>-696</v>
      </c>
      <c r="AJ121" s="3" t="n"/>
      <c r="AK121" s="3" t="n"/>
      <c r="AL121" s="3">
        <f>SUM(AH121:AK121)</f>
        <v>-1399</v>
      </c>
      <c r="AM121" s="3" t="n"/>
      <c r="AN121" s="3" t="n"/>
      <c r="AO121" s="3" t="n"/>
      <c r="AP121" s="3" t="n"/>
      <c r="AQ121" s="3">
        <f>SUM(AM121:AP121)</f>
        <v>0</v>
      </c>
      <c r="AR121" s="3" t="n"/>
      <c r="AS121" s="3" t="n"/>
      <c r="AT121" s="3" t="n"/>
      <c r="AU121" s="3" t="n"/>
      <c r="AV121" s="3">
        <f>SUM(AR121:AU121)</f>
        <v>0</v>
      </c>
      <c r="AW121" s="3" t="n"/>
      <c r="AX121" s="3" t="n"/>
      <c r="AY121" s="3" t="n"/>
      <c r="AZ121" s="3" t="n"/>
      <c r="BA121" s="3">
        <f>SUM(AW121:AZ121)</f>
        <v>0</v>
      </c>
      <c r="BB121" s="3" t="n"/>
      <c r="BC121" s="3" t="n"/>
      <c r="BD121" s="3" t="n"/>
      <c r="BE121" s="3" t="n"/>
      <c r="BF121" s="3">
        <f>SUM(BB121:BE121)</f>
        <v>0</v>
      </c>
      <c r="BG121" s="3" t="n"/>
      <c r="BH121" s="3" t="n"/>
      <c r="BI121" s="3" t="n"/>
      <c r="BJ121" s="3" t="n"/>
      <c r="BK121" s="3">
        <f>SUM(BG121:BJ121)</f>
        <v>0</v>
      </c>
      <c r="BL121" s="3" t="n"/>
      <c r="BM121" s="3" t="n"/>
      <c r="BN121" s="3" t="n"/>
      <c r="BO121" s="3" t="n"/>
      <c r="BP121" s="3">
        <f>SUM(BL121:BO121)</f>
        <v>0</v>
      </c>
      <c r="BQ121" s="3" t="n"/>
      <c r="BR121" s="3" t="n"/>
      <c r="BS121" s="3" t="n"/>
      <c r="BT121" s="3" t="n"/>
      <c r="BU121" s="3">
        <f>SUM(BQ121:BT121)</f>
        <v>0</v>
      </c>
      <c r="BV121" s="3" t="n"/>
      <c r="BW121" s="3" t="n"/>
      <c r="BX121" s="3" t="n"/>
      <c r="BY121" s="3" t="n"/>
      <c r="BZ121" s="3">
        <f>SUM(BV121:BY121)</f>
        <v>0</v>
      </c>
      <c r="CA121" s="3" t="n"/>
      <c r="CB121" s="3" t="n"/>
      <c r="CC121" s="3" t="n"/>
      <c r="CD121" s="3" t="n"/>
      <c r="CE121" s="3">
        <f>SUM(CA121:CD121)</f>
        <v>0</v>
      </c>
      <c r="CF121" s="3" t="n"/>
      <c r="CG121" s="3" t="n"/>
      <c r="CH121" s="3" t="n"/>
      <c r="CI121" s="3" t="n"/>
      <c r="CJ121" s="3">
        <f>SUM(CF121:CI121)</f>
        <v>0</v>
      </c>
      <c r="CK121" s="3" t="n"/>
      <c r="CL121" s="3" t="n"/>
      <c r="CM121" s="3" t="n"/>
      <c r="CN121" s="3" t="n"/>
      <c r="CO121" s="3">
        <f>SUM(CK121:CN121)</f>
        <v>0</v>
      </c>
      <c r="CP121" s="3" t="n"/>
      <c r="CQ121" s="3" t="n"/>
      <c r="CR121" s="3" t="n"/>
      <c r="CS121" s="3" t="n"/>
      <c r="CT121" s="3">
        <f>SUM(CP121:CS121)</f>
        <v>0</v>
      </c>
      <c r="CU121" s="3" t="n"/>
      <c r="CV121" s="3" t="n"/>
      <c r="CW121" s="3" t="n"/>
      <c r="CX121" s="3" t="n"/>
      <c r="CY121" s="3">
        <f>SUM(CU121:CX121)</f>
        <v>0</v>
      </c>
    </row>
    <row r="122" hidden="1" outlineLevel="1">
      <c r="C122" s="32" t="inlineStr">
        <is>
          <t>% DVD Payout</t>
        </is>
      </c>
      <c r="D122" s="40">
        <f>-D121/D120</f>
        <v>0.519230769230769</v>
      </c>
      <c r="E122" s="40">
        <f>-E121/E120</f>
        <v>1.21834061135371</v>
      </c>
      <c r="F122" s="40">
        <f>-F121/F120</f>
        <v>0.835329341317365</v>
      </c>
      <c r="G122" s="40">
        <f>-G121/G120</f>
        <v>0.717948717948718</v>
      </c>
      <c r="H122" s="40">
        <f>-H121/H120</f>
        <v>0.748165443629086</v>
      </c>
      <c r="I122" s="40">
        <f>-I121/I120</f>
        <v>0.367320261437909</v>
      </c>
      <c r="J122" s="40">
        <f>-J121/J120</f>
        <v>0.399150743099788</v>
      </c>
      <c r="K122" s="40">
        <f>-K121/K120</f>
        <v>0.425666199158485</v>
      </c>
      <c r="L122" s="40">
        <f>-L121/L120</f>
        <v>0.282547169811321</v>
      </c>
      <c r="M122" s="40">
        <f>-M121/M120</f>
        <v>0.359377407921097</v>
      </c>
      <c r="N122" s="40">
        <f>-N121/N120</f>
        <v>0.38711776187378</v>
      </c>
      <c r="O122" s="40">
        <f>-O121/O120</f>
        <v>0.353855349671249</v>
      </c>
      <c r="P122" s="40">
        <f>-P121/P120</f>
        <v>0.310142087212151</v>
      </c>
      <c r="Q122" s="40">
        <f>-Q121/Q120</f>
        <v>0.426409903713893</v>
      </c>
      <c r="R122" s="40">
        <f>-R121/R120</f>
        <v>0.363907531692767</v>
      </c>
      <c r="S122" s="40">
        <f>-S121/S120</f>
        <v>0.319094184251158</v>
      </c>
      <c r="T122" s="40">
        <f>-T121/T120</f>
        <v>0.211498973305955</v>
      </c>
      <c r="U122" s="40">
        <f>-U121/U120</f>
        <v>0.237294201861131</v>
      </c>
      <c r="V122" s="40">
        <f>-V121/V120</f>
        <v>0.247384155455904</v>
      </c>
      <c r="W122" s="40">
        <f>-W121/W120</f>
        <v>0.247992259313014</v>
      </c>
      <c r="X122" s="40">
        <f>-X121/X120</f>
        <v>0.226890756302521</v>
      </c>
      <c r="Y122" s="40">
        <f>-Y121/Y120</f>
        <v>0.236851920925028</v>
      </c>
      <c r="Z122" s="40">
        <f>-Z121/Z120</f>
        <v>0.277191558441558</v>
      </c>
      <c r="AA122" s="40">
        <f>-AA121/AA120</f>
        <v>0.243640272303834</v>
      </c>
      <c r="AB122" s="40">
        <f>-AB121/AB120</f>
        <v>0.245181616011861</v>
      </c>
      <c r="AC122" s="40">
        <f>-AC121/AC120</f>
        <v>0.336495257114329</v>
      </c>
      <c r="AD122" s="40">
        <f>-AD121/AD120</f>
        <v>0.303809086737035</v>
      </c>
      <c r="AE122" s="40">
        <f>-AE121/AE120</f>
        <v>0.307391304347826</v>
      </c>
      <c r="AF122" s="44">
        <f>-AF121/AF120</f>
        <v>0.293921731890092</v>
      </c>
      <c r="AG122" s="3" t="n"/>
      <c r="AH122" s="44">
        <f>-AH121/AH120</f>
        <v>0.275794429187917</v>
      </c>
      <c r="AI122" s="44">
        <f>-AI121/AI120</f>
        <v>0.193709991650431</v>
      </c>
      <c r="AJ122" s="44" t="n"/>
      <c r="AK122" s="44" t="n"/>
      <c r="AL122" s="3">
        <f>-AL121/AL120</f>
        <v>0.211074230537115</v>
      </c>
      <c r="AM122" s="44" t="n"/>
      <c r="AN122" s="44" t="n"/>
      <c r="AO122" s="44" t="n"/>
      <c r="AP122" s="44" t="n"/>
      <c r="AQ122" s="3">
        <f>-AQ121/AQ120</f>
        <v>0</v>
      </c>
      <c r="AR122" s="44" t="n"/>
      <c r="AS122" s="44" t="n"/>
      <c r="AT122" s="44" t="n"/>
      <c r="AU122" s="44" t="n"/>
      <c r="AV122" s="3">
        <f>-AV121/AV120</f>
        <v>0</v>
      </c>
      <c r="AW122" s="44" t="n"/>
      <c r="AX122" s="44" t="n"/>
      <c r="AY122" s="44" t="n"/>
      <c r="AZ122" s="44" t="n"/>
      <c r="BA122" s="3">
        <f>-BA121/BA120</f>
        <v>0</v>
      </c>
      <c r="BB122" s="44" t="n"/>
      <c r="BC122" s="44" t="n"/>
      <c r="BD122" s="44" t="n"/>
      <c r="BE122" s="44" t="n"/>
      <c r="BF122" s="3">
        <f>-BF121/BF120</f>
        <v>0</v>
      </c>
      <c r="BG122" s="44" t="n"/>
      <c r="BH122" s="44" t="n"/>
      <c r="BI122" s="44" t="n"/>
      <c r="BJ122" s="44" t="n"/>
      <c r="BK122" s="3">
        <f>-BK121/BK120</f>
        <v>0</v>
      </c>
      <c r="BL122" s="44" t="n"/>
      <c r="BM122" s="44" t="n"/>
      <c r="BN122" s="44" t="n"/>
      <c r="BO122" s="44" t="n"/>
      <c r="BP122" s="3">
        <f>-BP121/BP120</f>
        <v>0</v>
      </c>
      <c r="BQ122" s="44" t="n"/>
      <c r="BR122" s="44" t="n"/>
      <c r="BS122" s="44" t="n"/>
      <c r="BT122" s="44" t="n"/>
      <c r="BU122" s="3">
        <f>-BU121/BU120</f>
        <v>0</v>
      </c>
      <c r="BV122" s="44" t="n"/>
      <c r="BW122" s="44" t="n"/>
      <c r="BX122" s="44" t="n"/>
      <c r="BY122" s="44" t="n"/>
      <c r="BZ122" s="3">
        <f>-BZ121/BZ120</f>
        <v>0</v>
      </c>
      <c r="CA122" s="44" t="n"/>
      <c r="CB122" s="44" t="n"/>
      <c r="CC122" s="44" t="n"/>
      <c r="CD122" s="44" t="n"/>
      <c r="CE122" s="3">
        <f>-CE121/CE120</f>
        <v>0</v>
      </c>
      <c r="CF122" s="44" t="n"/>
      <c r="CG122" s="44" t="n"/>
      <c r="CH122" s="44" t="n"/>
      <c r="CI122" s="44" t="n"/>
      <c r="CJ122" s="3">
        <f>-CJ121/CJ120</f>
        <v>0</v>
      </c>
      <c r="CK122" s="44" t="n"/>
      <c r="CL122" s="44" t="n"/>
      <c r="CM122" s="44" t="n"/>
      <c r="CN122" s="44" t="n"/>
      <c r="CO122" s="3">
        <f>-CO121/CO120</f>
        <v>0</v>
      </c>
      <c r="CP122" s="44" t="n"/>
      <c r="CQ122" s="44" t="n"/>
      <c r="CR122" s="44" t="n"/>
      <c r="CS122" s="44" t="n"/>
      <c r="CT122" s="3">
        <f>-CT121/CT120</f>
        <v>0</v>
      </c>
      <c r="CU122" s="44" t="n"/>
      <c r="CV122" s="44" t="n"/>
      <c r="CW122" s="44" t="n"/>
      <c r="CX122" s="44" t="n"/>
      <c r="CY122" s="3">
        <f>-CY121/CY120</f>
        <v>0</v>
      </c>
    </row>
    <row r="123" hidden="1" outlineLevel="1">
      <c r="C123" s="5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K123" s="1" t="n"/>
      <c r="BL123" s="1" t="n"/>
      <c r="BM123" s="1" t="n"/>
      <c r="BN123" s="1" t="n"/>
      <c r="BO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</row>
    <row r="124" hidden="1" outlineLevel="1">
      <c r="C124" s="5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</row>
    <row r="125" collapsed="1" ht="11.25" customHeight="1">
      <c r="C125" s="12" t="inlineStr">
        <is>
          <t>Balance Sheet</t>
        </is>
      </c>
      <c r="D125" s="12" t="str">
        <f>D13</f>
        <v>1Q20</v>
      </c>
      <c r="E125" s="12" t="str">
        <f>E13</f>
        <v>2Q20</v>
      </c>
      <c r="F125" s="12" t="str">
        <f>F13</f>
        <v>3Q20</v>
      </c>
      <c r="G125" s="12" t="str">
        <f>G13</f>
        <v>4Q20</v>
      </c>
      <c r="H125" s="12">
        <f>H13</f>
        <v>2020</v>
      </c>
      <c r="I125" s="12" t="str">
        <f>I13</f>
        <v>1Q21</v>
      </c>
      <c r="J125" s="12" t="str">
        <f>J13</f>
        <v>2Q21</v>
      </c>
      <c r="K125" s="12" t="str">
        <f>K13</f>
        <v>3Q21</v>
      </c>
      <c r="L125" s="12" t="str">
        <f>L13</f>
        <v>4Q21</v>
      </c>
      <c r="M125" s="12">
        <f>M13</f>
        <v>2021</v>
      </c>
      <c r="N125" s="12" t="str">
        <f>N13</f>
        <v>1Q22</v>
      </c>
      <c r="O125" s="12" t="str">
        <f>O13</f>
        <v>2Q22</v>
      </c>
      <c r="P125" s="12" t="str">
        <f>P13</f>
        <v>3Q22</v>
      </c>
      <c r="Q125" s="12" t="str">
        <f>Q13</f>
        <v>4Q22</v>
      </c>
      <c r="R125" s="12">
        <f>R13</f>
        <v>2022</v>
      </c>
      <c r="S125" s="12" t="str">
        <f>S13</f>
        <v>1Q23</v>
      </c>
      <c r="T125" s="12" t="str">
        <f>T13</f>
        <v>2Q23</v>
      </c>
      <c r="U125" s="12" t="str">
        <f>U13</f>
        <v>3Q23</v>
      </c>
      <c r="V125" s="12" t="str">
        <f>V13</f>
        <v>4Q23</v>
      </c>
      <c r="W125" s="12">
        <f>W13</f>
        <v>2023</v>
      </c>
      <c r="X125" s="12" t="str">
        <f>X13</f>
        <v>1Q24</v>
      </c>
      <c r="Y125" s="12" t="str">
        <f>Y13</f>
        <v>2Q24</v>
      </c>
      <c r="Z125" s="12" t="str">
        <f>Z13</f>
        <v>3Q24</v>
      </c>
      <c r="AA125" s="12" t="str">
        <f>AA13</f>
        <v>4Q24</v>
      </c>
      <c r="AB125" s="12">
        <f>AB13</f>
        <v>2024</v>
      </c>
      <c r="AC125" s="12" t="str">
        <f>AC13</f>
        <v>1Q25</v>
      </c>
      <c r="AD125" s="12" t="str">
        <f>AD13</f>
        <v>2Q25</v>
      </c>
      <c r="AE125" s="12" t="str">
        <f>AE13</f>
        <v>3Q25</v>
      </c>
      <c r="AF125" s="12" t="str">
        <f>AF13</f>
        <v>4Q25</v>
      </c>
      <c r="AG125" s="12">
        <f>AG13</f>
        <v>2025</v>
      </c>
      <c r="AH125" s="12" t="str">
        <f>AH13</f>
        <v>1Q26</v>
      </c>
      <c r="AI125" s="12" t="str">
        <f>AI13</f>
        <v>2Q26</v>
      </c>
      <c r="AJ125" s="12" t="str">
        <f>AJ13</f>
        <v>3Q26</v>
      </c>
      <c r="AK125" s="12" t="str">
        <f>AK13</f>
        <v>4Q26</v>
      </c>
      <c r="AL125" s="12">
        <f>AL13</f>
        <v>2026</v>
      </c>
      <c r="AM125" s="12" t="str">
        <f>AM13</f>
        <v>1Q27</v>
      </c>
      <c r="AN125" s="12" t="str">
        <f>AN13</f>
        <v>2Q27</v>
      </c>
      <c r="AO125" s="12" t="str">
        <f>AO13</f>
        <v>3Q27</v>
      </c>
      <c r="AP125" s="12" t="str">
        <f>AP13</f>
        <v>4Q27</v>
      </c>
      <c r="AQ125" s="12">
        <f>AQ13</f>
        <v>2027</v>
      </c>
      <c r="AR125" s="12" t="str">
        <f>AR13</f>
        <v>1Q28</v>
      </c>
      <c r="AS125" s="12" t="str">
        <f>AS13</f>
        <v>2Q28</v>
      </c>
      <c r="AT125" s="12" t="str">
        <f>AT13</f>
        <v>3Q28</v>
      </c>
      <c r="AU125" s="12" t="str">
        <f>AU13</f>
        <v>4Q28</v>
      </c>
      <c r="AV125" s="12">
        <f>AV13</f>
        <v>2028</v>
      </c>
      <c r="AW125" s="12" t="str">
        <f>AW13</f>
        <v>1Q29</v>
      </c>
      <c r="AX125" s="12" t="str">
        <f>AX13</f>
        <v>2Q29</v>
      </c>
      <c r="AY125" s="12" t="str">
        <f>AY13</f>
        <v>3Q29</v>
      </c>
      <c r="AZ125" s="12" t="str">
        <f>AZ13</f>
        <v>4Q29</v>
      </c>
      <c r="BA125" s="12">
        <f>BA13</f>
        <v>2029</v>
      </c>
      <c r="BB125" s="12" t="str">
        <f>BB13</f>
        <v>1Q30</v>
      </c>
      <c r="BC125" s="12" t="str">
        <f>BC13</f>
        <v>2Q30</v>
      </c>
      <c r="BD125" s="12" t="str">
        <f>BD13</f>
        <v>3Q30</v>
      </c>
      <c r="BE125" s="12" t="str">
        <f>BE13</f>
        <v>4Q30</v>
      </c>
      <c r="BF125" s="12">
        <f>BF13</f>
        <v>2030</v>
      </c>
      <c r="BG125" s="12" t="str">
        <f>BG13</f>
        <v>1Q31</v>
      </c>
      <c r="BH125" s="12" t="str">
        <f>BH13</f>
        <v>2Q31</v>
      </c>
      <c r="BI125" s="12" t="str">
        <f>BI13</f>
        <v>3Q31</v>
      </c>
      <c r="BJ125" s="12" t="str">
        <f>BJ13</f>
        <v>4Q31</v>
      </c>
      <c r="BK125" s="12">
        <f>BK13</f>
        <v>2031</v>
      </c>
      <c r="BL125" s="12" t="str">
        <f>BL13</f>
        <v>1Q32</v>
      </c>
      <c r="BM125" s="12" t="str">
        <f>BM13</f>
        <v>2Q32</v>
      </c>
      <c r="BN125" s="12" t="str">
        <f>BN13</f>
        <v>3Q32</v>
      </c>
      <c r="BO125" s="12" t="str">
        <f>BO13</f>
        <v>4Q32</v>
      </c>
      <c r="BP125" s="12">
        <f>BP13</f>
        <v>2032</v>
      </c>
      <c r="BQ125" s="12" t="str">
        <f>BQ13</f>
        <v>1Q33</v>
      </c>
      <c r="BR125" s="12" t="str">
        <f>BR13</f>
        <v>2Q33</v>
      </c>
      <c r="BS125" s="12" t="str">
        <f>BS13</f>
        <v>3Q33</v>
      </c>
      <c r="BT125" s="12" t="str">
        <f>BT13</f>
        <v>4Q33</v>
      </c>
      <c r="BU125" s="12">
        <f>BU13</f>
        <v>2033</v>
      </c>
      <c r="BV125" s="12" t="str">
        <f>BV13</f>
        <v>1Q34</v>
      </c>
      <c r="BW125" s="12" t="str">
        <f>BW13</f>
        <v>2Q34</v>
      </c>
      <c r="BX125" s="12" t="str">
        <f>BX13</f>
        <v>3Q34</v>
      </c>
      <c r="BY125" s="12" t="str">
        <f>BY13</f>
        <v>4Q34</v>
      </c>
      <c r="BZ125" s="12">
        <f>BZ13</f>
        <v>2034</v>
      </c>
      <c r="CA125" s="12" t="str">
        <f>CA13</f>
        <v>1Q35</v>
      </c>
      <c r="CB125" s="12" t="str">
        <f>CB13</f>
        <v>2Q35</v>
      </c>
      <c r="CC125" s="12" t="str">
        <f>CC13</f>
        <v>3Q35</v>
      </c>
      <c r="CD125" s="12" t="str">
        <f>CD13</f>
        <v>4Q35</v>
      </c>
      <c r="CE125" s="12">
        <f>CE13</f>
        <v>2035</v>
      </c>
      <c r="CF125" s="12" t="str">
        <f>CF13</f>
        <v>1Q36</v>
      </c>
      <c r="CG125" s="12" t="str">
        <f>CG13</f>
        <v>2Q36</v>
      </c>
      <c r="CH125" s="12" t="str">
        <f>CH13</f>
        <v>3Q36</v>
      </c>
      <c r="CI125" s="12" t="str">
        <f>CI13</f>
        <v>4Q36</v>
      </c>
      <c r="CJ125" s="12">
        <f>CJ13</f>
        <v>2036</v>
      </c>
      <c r="CK125" s="12" t="str">
        <f>CK13</f>
        <v>1Q37</v>
      </c>
      <c r="CL125" s="12" t="str">
        <f>CL13</f>
        <v>2Q37</v>
      </c>
      <c r="CM125" s="12" t="str">
        <f>CM13</f>
        <v>3Q37</v>
      </c>
      <c r="CN125" s="12" t="str">
        <f>CN13</f>
        <v>4Q37</v>
      </c>
      <c r="CO125" s="12">
        <f>CO13</f>
        <v>2037</v>
      </c>
      <c r="CP125" s="12" t="str">
        <f>CP13</f>
        <v>1Q38</v>
      </c>
      <c r="CQ125" s="12" t="str">
        <f>CQ13</f>
        <v>2Q38</v>
      </c>
      <c r="CR125" s="12" t="str">
        <f>CR13</f>
        <v>3Q38</v>
      </c>
      <c r="CS125" s="12" t="str">
        <f>CS13</f>
        <v>4Q38</v>
      </c>
      <c r="CT125" s="12">
        <f>CT13</f>
        <v>2038</v>
      </c>
      <c r="CU125" s="12" t="str">
        <f>CU13</f>
        <v>1Q39</v>
      </c>
      <c r="CV125" s="12" t="str">
        <f>CV13</f>
        <v>2Q39</v>
      </c>
      <c r="CW125" s="12" t="str">
        <f>CW13</f>
        <v>3Q39</v>
      </c>
      <c r="CX125" s="12" t="str">
        <f>CX13</f>
        <v>4Q39</v>
      </c>
      <c r="CY125" s="12">
        <f>CY13</f>
        <v>2039</v>
      </c>
    </row>
    <row r="126">
      <c r="C126" s="5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  <c r="BA126" s="1" t="n"/>
      <c r="BB126" s="1" t="n"/>
      <c r="BC126" s="1" t="n"/>
      <c r="BD126" s="1" t="n"/>
      <c r="BE126" s="1" t="n"/>
      <c r="BF126" s="1" t="n"/>
      <c r="BG126" s="1" t="n"/>
      <c r="BH126" s="1" t="n"/>
      <c r="BI126" s="1" t="n"/>
      <c r="BJ126" s="1" t="n"/>
      <c r="BK126" s="1" t="n"/>
      <c r="BL126" s="1" t="n"/>
      <c r="BM126" s="1" t="n"/>
      <c r="BN126" s="1" t="n"/>
      <c r="BO126" s="1" t="n"/>
      <c r="BP126" s="1" t="n"/>
      <c r="BQ126" s="1" t="n"/>
      <c r="BR126" s="1" t="n"/>
      <c r="BS126" s="1" t="n"/>
      <c r="BT126" s="1" t="n"/>
      <c r="BU126" s="1" t="n"/>
      <c r="BV126" s="1" t="n"/>
      <c r="BW126" s="1" t="n"/>
      <c r="BX126" s="1" t="n"/>
      <c r="BY126" s="1" t="n"/>
      <c r="BZ126" s="1" t="n"/>
      <c r="CA126" s="1" t="n"/>
      <c r="CB126" s="1" t="n"/>
      <c r="CC126" s="1" t="n"/>
      <c r="CD126" s="1" t="n"/>
      <c r="CE126" s="1" t="n"/>
      <c r="CF126" s="1" t="n"/>
      <c r="CG126" s="1" t="n"/>
      <c r="CH126" s="1" t="n"/>
      <c r="CI126" s="1" t="n"/>
      <c r="CJ126" s="1" t="n"/>
      <c r="CK126" s="1" t="n"/>
      <c r="CL126" s="1" t="n"/>
      <c r="CM126" s="1" t="n"/>
      <c r="CN126" s="1" t="n"/>
      <c r="CO126" s="1" t="n"/>
      <c r="CP126" s="1" t="n"/>
      <c r="CQ126" s="1" t="n"/>
      <c r="CR126" s="1" t="n"/>
      <c r="CS126" s="1" t="n"/>
      <c r="CT126" s="1" t="n"/>
      <c r="CU126" s="1" t="n"/>
      <c r="CV126" s="1" t="n"/>
      <c r="CW126" s="1" t="n"/>
      <c r="CX126" s="1" t="n"/>
      <c r="CY126" s="1" t="n"/>
    </row>
    <row r="127">
      <c r="C127" s="24" t="inlineStr">
        <is>
          <t>Cash and equivalents (inc. investment securities)</t>
        </is>
      </c>
      <c r="D127" s="25">
        <f>INDEX('Inputs (2)'!$D$15:$AL$15,MATCH(D$7,'Inputs (2)'!$D$2:$AL$2,0))</f>
        <v>7123</v>
      </c>
      <c r="E127" s="25">
        <f>INDEX('Inputs (2)'!$D$15:$AL$15,MATCH(E$7,'Inputs (2)'!$D$2:$AL$2,0))</f>
        <v>8784</v>
      </c>
      <c r="F127" s="25">
        <f>INDEX('Inputs (2)'!$D$15:$AL$15,MATCH(F$7,'Inputs (2)'!$D$2:$AL$2,0))</f>
        <v>9315</v>
      </c>
      <c r="G127" s="25">
        <f>INDEX('Inputs (2)'!$D$15:$AL$15,MATCH(G$7,'Inputs (2)'!$D$2:$AL$2,0))</f>
        <v>9352</v>
      </c>
      <c r="H127" s="3">
        <f>G127</f>
        <v>9352</v>
      </c>
      <c r="I127" s="25">
        <f>INDEX('Inputs (2)'!$D$15:$AL$15,MATCH(I$7,'Inputs (2)'!$D$2:$AL$2,0))</f>
        <v>11342</v>
      </c>
      <c r="J127" s="25">
        <f>INDEX('Inputs (2)'!$D$15:$AL$15,MATCH(J$7,'Inputs (2)'!$D$2:$AL$2,0))</f>
        <v>10831</v>
      </c>
      <c r="K127" s="25">
        <f>INDEX('Inputs (2)'!$D$15:$AL$15,MATCH(K$7,'Inputs (2)'!$D$2:$AL$2,0))</f>
        <v>9446</v>
      </c>
      <c r="L127" s="25">
        <f>INDEX('Inputs (2)'!$D$15:$AL$15,MATCH(L$7,'Inputs (2)'!$D$2:$AL$2,0))</f>
        <v>9254</v>
      </c>
      <c r="M127" s="3">
        <f>L127</f>
        <v>9254</v>
      </c>
      <c r="N127" s="25">
        <f>INDEX('Inputs (2)'!$D$15:$AL$15,MATCH(N$7,'Inputs (2)'!$D$2:$AL$2,0))</f>
        <v>6526</v>
      </c>
      <c r="O127" s="25">
        <f>INDEX('Inputs (2)'!$D$15:$AL$15,MATCH(O$7,'Inputs (2)'!$D$2:$AL$2,0))</f>
        <v>6014</v>
      </c>
      <c r="P127" s="25">
        <f>INDEX('Inputs (2)'!$D$15:$AL$15,MATCH(P$7,'Inputs (2)'!$D$2:$AL$2,0))</f>
        <v>6346</v>
      </c>
      <c r="Q127" s="25">
        <f>INDEX('Inputs (2)'!$D$15:$AL$15,MATCH(Q$7,'Inputs (2)'!$D$2:$AL$2,0))</f>
        <v>7004</v>
      </c>
      <c r="R127" s="3">
        <f>Q127</f>
        <v>7004</v>
      </c>
      <c r="S127" s="25">
        <f>INDEX('Inputs (2)'!$D$15:$AL$15,MATCH(S$7,'Inputs (2)'!$D$2:$AL$2,0))</f>
        <v>6789</v>
      </c>
      <c r="T127" s="25">
        <f>INDEX('Inputs (2)'!$D$15:$AL$15,MATCH(T$7,'Inputs (2)'!$D$2:$AL$2,0))</f>
        <v>7387</v>
      </c>
      <c r="U127" s="25">
        <f>INDEX('Inputs (2)'!$D$15:$AL$15,MATCH(U$7,'Inputs (2)'!$D$2:$AL$2,0))</f>
        <v>6545</v>
      </c>
      <c r="V127" s="25">
        <f>INDEX('Inputs (2)'!$D$15:$AL$15,MATCH(V$7,'Inputs (2)'!$D$2:$AL$2,0))</f>
        <v>6978</v>
      </c>
      <c r="W127" s="3">
        <f>V127</f>
        <v>6978</v>
      </c>
      <c r="X127" s="25">
        <f>INDEX('Inputs (2)'!$D$15:$AL$15,MATCH(X$7,'Inputs (2)'!$D$2:$AL$2,0))</f>
        <v>4959</v>
      </c>
      <c r="Y127" s="25">
        <f>INDEX('Inputs (2)'!$D$15:$AL$15,MATCH(Y$7,'Inputs (2)'!$D$2:$AL$2,0))</f>
        <v>4341</v>
      </c>
      <c r="Z127" s="25">
        <f>INDEX('Inputs (2)'!$D$15:$AL$15,MATCH(Z$7,'Inputs (2)'!$D$2:$AL$2,0))</f>
        <v>5638</v>
      </c>
      <c r="AA127" s="25">
        <f>INDEX('Inputs (2)'!$D$15:$AL$15,MATCH(AA$7,'Inputs (2)'!$D$2:$AL$2,0))</f>
        <v>6889</v>
      </c>
      <c r="AB127" s="3">
        <f>AA127</f>
        <v>6889</v>
      </c>
      <c r="AC127" s="25">
        <f>INDEX('Inputs (2)'!$D$15:$AL$15,MATCH(AC$7,'Inputs (2)'!$D$2:$AL$2,0))</f>
        <v>3562</v>
      </c>
      <c r="AD127" s="25">
        <f>INDEX('Inputs (2)'!$D$15:$AL$15,MATCH(AD$7,'Inputs (2)'!$D$2:$AL$2,0))</f>
        <v>5442</v>
      </c>
      <c r="AE127" s="25">
        <f>INDEX('Inputs (2)'!$D$15:$AL$15,MATCH(AE$7,'Inputs (2)'!$D$2:$AL$2,0))</f>
        <v>7538</v>
      </c>
      <c r="AF127" s="25">
        <f>INDEX('Inputs (2)'!$D$15:$AL$15,MATCH(AF$7,'Inputs (2)'!$D$2:$AL$2,0))</f>
        <v>9980</v>
      </c>
      <c r="AG127" s="3">
        <f>AF127</f>
        <v>9980</v>
      </c>
      <c r="AH127" s="3">
        <f>INDEX('Inputs (2)'!$D$15:$AL$15,MATCH(AH$7,'Inputs (2)'!$D$2:$AL$2,0))</f>
        <v>4072</v>
      </c>
      <c r="AI127" s="3">
        <f>INDEX('Inputs (2)'!$D$15:$AL$15,MATCH(AI$7,'Inputs (2)'!$D$2:$AL$2,0))</f>
        <v>6713</v>
      </c>
      <c r="AJ127" s="3">
        <f>AI127+AJ297</f>
        <v>22788</v>
      </c>
      <c r="AK127" s="3">
        <f>AJ127+AK297</f>
        <v>23051</v>
      </c>
      <c r="AL127" s="3">
        <f>AK127</f>
        <v>23051</v>
      </c>
      <c r="AM127" s="3" t="e">
        <f>AL127+AM297</f>
        <v>#DIV/0!</v>
      </c>
      <c r="AN127" s="3" t="e">
        <f>AM127+AN297</f>
        <v>#DIV/0!</v>
      </c>
      <c r="AO127" s="3" t="e">
        <f>AN127+AO297</f>
        <v>#DIV/0!</v>
      </c>
      <c r="AP127" s="3" t="e">
        <f>AO127+AP297</f>
        <v>#DIV/0!</v>
      </c>
      <c r="AQ127" s="3" t="e">
        <f>AP127</f>
        <v>#DIV/0!</v>
      </c>
      <c r="AR127" s="3" t="e">
        <f>AQ127+AR297</f>
        <v>#DIV/0!</v>
      </c>
      <c r="AS127" s="3" t="e">
        <f>AR127+AS297</f>
        <v>#DIV/0!</v>
      </c>
      <c r="AT127" s="3" t="e">
        <f>AS127+AT297</f>
        <v>#DIV/0!</v>
      </c>
      <c r="AU127" s="3" t="e">
        <f>AT127+AU297</f>
        <v>#DIV/0!</v>
      </c>
      <c r="AV127" s="3" t="e">
        <f>AU127</f>
        <v>#DIV/0!</v>
      </c>
      <c r="AW127" s="3" t="e">
        <f>AV127+AW297</f>
        <v>#DIV/0!</v>
      </c>
      <c r="AX127" s="3" t="e">
        <f>AW127+AX297</f>
        <v>#DIV/0!</v>
      </c>
      <c r="AY127" s="3" t="e">
        <f>AX127+AY297</f>
        <v>#DIV/0!</v>
      </c>
      <c r="AZ127" s="3" t="e">
        <f>AY127+AZ297</f>
        <v>#DIV/0!</v>
      </c>
      <c r="BA127" s="3" t="e">
        <f>AZ127</f>
        <v>#DIV/0!</v>
      </c>
      <c r="BB127" s="3" t="e">
        <f>BA127+BB297</f>
        <v>#DIV/0!</v>
      </c>
      <c r="BC127" s="3" t="e">
        <f>BB127+BC297</f>
        <v>#DIV/0!</v>
      </c>
      <c r="BD127" s="3" t="e">
        <f>BC127+BD297</f>
        <v>#DIV/0!</v>
      </c>
      <c r="BE127" s="3" t="e">
        <f>BD127+BE297</f>
        <v>#DIV/0!</v>
      </c>
      <c r="BF127" s="3" t="e">
        <f>BE127</f>
        <v>#DIV/0!</v>
      </c>
      <c r="BG127" s="3" t="e">
        <f>BF127+BG297</f>
        <v>#DIV/0!</v>
      </c>
      <c r="BH127" s="3" t="e">
        <f>BG127+BH297</f>
        <v>#DIV/0!</v>
      </c>
      <c r="BI127" s="3" t="e">
        <f>BH127+BI297</f>
        <v>#DIV/0!</v>
      </c>
      <c r="BJ127" s="3" t="e">
        <f>BI127+BJ297</f>
        <v>#DIV/0!</v>
      </c>
      <c r="BK127" s="3" t="e">
        <f>BJ127</f>
        <v>#DIV/0!</v>
      </c>
      <c r="BL127" s="3" t="e">
        <f>BK127+BL297</f>
        <v>#DIV/0!</v>
      </c>
      <c r="BM127" s="3" t="e">
        <f>BL127+BM297</f>
        <v>#DIV/0!</v>
      </c>
      <c r="BN127" s="3" t="e">
        <f>BM127+BN297</f>
        <v>#DIV/0!</v>
      </c>
      <c r="BO127" s="3" t="e">
        <f>BN127+BO297</f>
        <v>#DIV/0!</v>
      </c>
      <c r="BP127" s="3" t="e">
        <f>BO127</f>
        <v>#DIV/0!</v>
      </c>
      <c r="BQ127" s="3" t="e">
        <f>BP127+BQ297</f>
        <v>#DIV/0!</v>
      </c>
      <c r="BR127" s="3" t="e">
        <f>BQ127+BR297</f>
        <v>#DIV/0!</v>
      </c>
      <c r="BS127" s="3" t="e">
        <f>BR127+BS297</f>
        <v>#DIV/0!</v>
      </c>
      <c r="BT127" s="3" t="e">
        <f>BS127+BT297</f>
        <v>#DIV/0!</v>
      </c>
      <c r="BU127" s="3" t="e">
        <f>BT127</f>
        <v>#DIV/0!</v>
      </c>
      <c r="BV127" s="3" t="e">
        <f>BU127+BV297</f>
        <v>#DIV/0!</v>
      </c>
      <c r="BW127" s="3" t="e">
        <f>BV127+BW297</f>
        <v>#DIV/0!</v>
      </c>
      <c r="BX127" s="3" t="e">
        <f>BW127+BX297</f>
        <v>#DIV/0!</v>
      </c>
      <c r="BY127" s="3" t="e">
        <f>BX127+BY297</f>
        <v>#DIV/0!</v>
      </c>
      <c r="BZ127" s="3" t="e">
        <f>BY127</f>
        <v>#DIV/0!</v>
      </c>
      <c r="CA127" s="3" t="e">
        <f>BZ127+CA297</f>
        <v>#DIV/0!</v>
      </c>
      <c r="CB127" s="3" t="e">
        <f>CA127+CB297</f>
        <v>#DIV/0!</v>
      </c>
      <c r="CC127" s="3" t="e">
        <f>CB127+CC297</f>
        <v>#DIV/0!</v>
      </c>
      <c r="CD127" s="3" t="e">
        <f>CC127+CD297</f>
        <v>#DIV/0!</v>
      </c>
      <c r="CE127" s="3" t="e">
        <f>CD127</f>
        <v>#DIV/0!</v>
      </c>
      <c r="CF127" s="3" t="e">
        <f>CE127+CF297</f>
        <v>#DIV/0!</v>
      </c>
      <c r="CG127" s="3" t="e">
        <f>CF127+CG297</f>
        <v>#DIV/0!</v>
      </c>
      <c r="CH127" s="3" t="e">
        <f>CG127+CH297</f>
        <v>#DIV/0!</v>
      </c>
      <c r="CI127" s="3" t="e">
        <f>CH127+CI297</f>
        <v>#DIV/0!</v>
      </c>
      <c r="CJ127" s="3" t="e">
        <f>CI127</f>
        <v>#DIV/0!</v>
      </c>
      <c r="CK127" s="3" t="e">
        <f>CJ127+CK297</f>
        <v>#DIV/0!</v>
      </c>
      <c r="CL127" s="3" t="e">
        <f>CK127+CL297</f>
        <v>#DIV/0!</v>
      </c>
      <c r="CM127" s="3" t="e">
        <f>CL127+CM297</f>
        <v>#DIV/0!</v>
      </c>
      <c r="CN127" s="3" t="e">
        <f>CM127+CN297</f>
        <v>#DIV/0!</v>
      </c>
      <c r="CO127" s="3" t="e">
        <f>CN127</f>
        <v>#DIV/0!</v>
      </c>
      <c r="CP127" s="3" t="e">
        <f>CO127+CP297</f>
        <v>#DIV/0!</v>
      </c>
      <c r="CQ127" s="3" t="e">
        <f>CP127+CQ297</f>
        <v>#DIV/0!</v>
      </c>
      <c r="CR127" s="3" t="e">
        <f>CQ127+CR297</f>
        <v>#DIV/0!</v>
      </c>
      <c r="CS127" s="3" t="e">
        <f>CR127+CS297</f>
        <v>#DIV/0!</v>
      </c>
      <c r="CT127" s="3" t="e">
        <f>CS127</f>
        <v>#DIV/0!</v>
      </c>
      <c r="CU127" s="3" t="e">
        <f>CT127+CU297</f>
        <v>#DIV/0!</v>
      </c>
      <c r="CV127" s="3" t="e">
        <f>CU127+CV297</f>
        <v>#DIV/0!</v>
      </c>
      <c r="CW127" s="3" t="e">
        <f>CV127+CW297</f>
        <v>#DIV/0!</v>
      </c>
      <c r="CX127" s="3" t="e">
        <f>CW127+CX297</f>
        <v>#DIV/0!</v>
      </c>
      <c r="CY127" s="3" t="e">
        <f>CX127</f>
        <v>#DIV/0!</v>
      </c>
    </row>
    <row r="128">
      <c r="C128" s="26" t="inlineStr">
        <is>
          <t>Accounts receivable</t>
        </is>
      </c>
      <c r="D128" s="25">
        <f>INDEX('Inputs (2)'!$D$16:$AL$16,MATCH(D$7,'Inputs (2)'!$D$2:$AL$2,0))</f>
        <v>7834</v>
      </c>
      <c r="E128" s="25">
        <f>INDEX('Inputs (2)'!$D$16:$AL$16,MATCH(E$7,'Inputs (2)'!$D$2:$AL$2,0))</f>
        <v>7134</v>
      </c>
      <c r="F128" s="25">
        <f>INDEX('Inputs (2)'!$D$16:$AL$16,MATCH(F$7,'Inputs (2)'!$D$2:$AL$2,0))</f>
        <v>6969</v>
      </c>
      <c r="G128" s="25">
        <f>INDEX('Inputs (2)'!$D$16:$AL$16,MATCH(G$7,'Inputs (2)'!$D$2:$AL$2,0))</f>
        <v>7317</v>
      </c>
      <c r="H128" s="3">
        <f>G128</f>
        <v>7317</v>
      </c>
      <c r="I128" s="25">
        <f>INDEX('Inputs (2)'!$D$16:$AL$16,MATCH(I$7,'Inputs (2)'!$D$2:$AL$2,0))</f>
        <v>7955</v>
      </c>
      <c r="J128" s="25">
        <f>INDEX('Inputs (2)'!$D$16:$AL$16,MATCH(J$7,'Inputs (2)'!$D$2:$AL$2,0))</f>
        <v>7840</v>
      </c>
      <c r="K128" s="25">
        <f>INDEX('Inputs (2)'!$D$16:$AL$16,MATCH(K$7,'Inputs (2)'!$D$2:$AL$2,0))</f>
        <v>7647</v>
      </c>
      <c r="L128" s="25">
        <f>INDEX('Inputs (2)'!$D$16:$AL$16,MATCH(L$7,'Inputs (2)'!$D$2:$AL$2,0))</f>
        <v>8477</v>
      </c>
      <c r="M128" s="3">
        <f>L128</f>
        <v>8477</v>
      </c>
      <c r="N128" s="25">
        <f>INDEX('Inputs (2)'!$D$16:$AL$16,MATCH(N$7,'Inputs (2)'!$D$2:$AL$2,0))</f>
        <v>9135</v>
      </c>
      <c r="O128" s="25">
        <f>INDEX('Inputs (2)'!$D$16:$AL$16,MATCH(O$7,'Inputs (2)'!$D$2:$AL$2,0))</f>
        <v>8393</v>
      </c>
      <c r="P128" s="25">
        <f>INDEX('Inputs (2)'!$D$16:$AL$16,MATCH(P$7,'Inputs (2)'!$D$2:$AL$2,0))</f>
        <v>8158</v>
      </c>
      <c r="Q128" s="25">
        <f>INDEX('Inputs (2)'!$D$16:$AL$16,MATCH(Q$7,'Inputs (2)'!$D$2:$AL$2,0))</f>
        <v>8856</v>
      </c>
      <c r="R128" s="3">
        <f>Q128</f>
        <v>8856</v>
      </c>
      <c r="S128" s="25">
        <f>INDEX('Inputs (2)'!$D$16:$AL$16,MATCH(S$7,'Inputs (2)'!$D$2:$AL$2,0))</f>
        <v>9230</v>
      </c>
      <c r="T128" s="25">
        <f>INDEX('Inputs (2)'!$D$16:$AL$16,MATCH(T$7,'Inputs (2)'!$D$2:$AL$2,0))</f>
        <v>9416</v>
      </c>
      <c r="U128" s="25">
        <f>INDEX('Inputs (2)'!$D$16:$AL$16,MATCH(U$7,'Inputs (2)'!$D$2:$AL$2,0))</f>
        <v>9134</v>
      </c>
      <c r="V128" s="25">
        <f>INDEX('Inputs (2)'!$D$16:$AL$16,MATCH(V$7,'Inputs (2)'!$D$2:$AL$2,0))</f>
        <v>9310</v>
      </c>
      <c r="W128" s="3">
        <f>V128</f>
        <v>9310</v>
      </c>
      <c r="X128" s="25">
        <f>INDEX('Inputs (2)'!$D$16:$AL$16,MATCH(X$7,'Inputs (2)'!$D$2:$AL$2,0))</f>
        <v>9296</v>
      </c>
      <c r="Y128" s="25">
        <f>INDEX('Inputs (2)'!$D$16:$AL$16,MATCH(Y$7,'Inputs (2)'!$D$2:$AL$2,0))</f>
        <v>9421</v>
      </c>
      <c r="Z128" s="25">
        <f>INDEX('Inputs (2)'!$D$16:$AL$16,MATCH(Z$7,'Inputs (2)'!$D$2:$AL$2,0))</f>
        <v>9086</v>
      </c>
      <c r="AA128" s="25">
        <f>INDEX('Inputs (2)'!$D$16:$AL$16,MATCH(AA$7,'Inputs (2)'!$D$2:$AL$2,0))</f>
        <v>9282</v>
      </c>
      <c r="AB128" s="3">
        <f>AA128</f>
        <v>9282</v>
      </c>
      <c r="AC128" s="25">
        <f>INDEX('Inputs (2)'!$D$16:$AL$16,MATCH(AC$7,'Inputs (2)'!$D$2:$AL$2,0))</f>
        <v>9116</v>
      </c>
      <c r="AD128" s="25">
        <f>INDEX('Inputs (2)'!$D$16:$AL$16,MATCH(AD$7,'Inputs (2)'!$D$2:$AL$2,0))</f>
        <v>9704</v>
      </c>
      <c r="AE128" s="25">
        <f>INDEX('Inputs (2)'!$D$16:$AL$16,MATCH(AE$7,'Inputs (2)'!$D$2:$AL$2,0))</f>
        <v>10146</v>
      </c>
      <c r="AF128" s="25">
        <f>INDEX('Inputs (2)'!$D$16:$AL$16,MATCH(AF$7,'Inputs (2)'!$D$2:$AL$2,0))</f>
        <v>10920</v>
      </c>
      <c r="AG128" s="3">
        <f>AF128</f>
        <v>10920</v>
      </c>
      <c r="AH128" s="3">
        <f>INDEX('Inputs (2)'!$D$16:$AL$16,MATCH(AH$7,'Inputs (2)'!$D$2:$AL$2,0))</f>
        <v>11447</v>
      </c>
      <c r="AI128" s="3">
        <f>INDEX('Inputs (2)'!$D$16:$AL$16,MATCH(AI$7,'Inputs (2)'!$D$2:$AL$2,0))</f>
        <v>13188</v>
      </c>
      <c r="AJ128" s="3">
        <f>(AJ129/(AJ$5-AI$5))*AJ$15</f>
        <v>0</v>
      </c>
      <c r="AK128" s="3">
        <f>(AK129/(AK$5-AJ$5))*AK$15</f>
        <v>0</v>
      </c>
      <c r="AL128" s="3">
        <f>AK128</f>
        <v>0</v>
      </c>
      <c r="AM128" s="3">
        <f>(AM129/(AM$5-AL$5))*AM$15</f>
        <v>0</v>
      </c>
      <c r="AN128" s="3">
        <f>(AN129/(AN$5-AM$5))*AN$15</f>
        <v>0</v>
      </c>
      <c r="AO128" s="3">
        <f>(AO129/(AO$5-AN$5))*AO$15</f>
        <v>0</v>
      </c>
      <c r="AP128" s="3">
        <f>(AP129/(AP$5-AO$5))*AP$15</f>
        <v>0</v>
      </c>
      <c r="AQ128" s="3">
        <f>AP128</f>
        <v>0</v>
      </c>
      <c r="AR128" s="3">
        <f>(AR129/(AR$5-AQ$5))*AR$15</f>
        <v>0</v>
      </c>
      <c r="AS128" s="3">
        <f>(AS129/(AS$5-AR$5))*AS$15</f>
        <v>0</v>
      </c>
      <c r="AT128" s="3">
        <f>(AT129/(AT$5-AS$5))*AT$15</f>
        <v>0</v>
      </c>
      <c r="AU128" s="3">
        <f>(AU129/(AU$5-AT$5))*AU$15</f>
        <v>0</v>
      </c>
      <c r="AV128" s="3">
        <f>AU128</f>
        <v>0</v>
      </c>
      <c r="AW128" s="3">
        <f>(AW129/(AW$5-AV$5))*AW$15</f>
        <v>0</v>
      </c>
      <c r="AX128" s="3">
        <f>(AX129/(AX$5-AW$5))*AX$15</f>
        <v>0</v>
      </c>
      <c r="AY128" s="3">
        <f>(AY129/(AY$5-AX$5))*AY$15</f>
        <v>0</v>
      </c>
      <c r="AZ128" s="3">
        <f>(AZ129/(AZ$5-AY$5))*AZ$15</f>
        <v>0</v>
      </c>
      <c r="BA128" s="3">
        <f>AZ128</f>
        <v>0</v>
      </c>
      <c r="BB128" s="3">
        <f>(BB129/(BB$5-BA$5))*BB$15</f>
        <v>0</v>
      </c>
      <c r="BC128" s="3">
        <f>(BC129/(BC$5-BB$5))*BC$15</f>
        <v>0</v>
      </c>
      <c r="BD128" s="3">
        <f>(BD129/(BD$5-BC$5))*BD$15</f>
        <v>0</v>
      </c>
      <c r="BE128" s="3">
        <f>(BE129/(BE$5-BD$5))*BE$15</f>
        <v>0</v>
      </c>
      <c r="BF128" s="3">
        <f>BE128</f>
        <v>0</v>
      </c>
      <c r="BG128" s="3">
        <f>(BG129/(BG$5-BF$5))*BG$15</f>
        <v>0</v>
      </c>
      <c r="BH128" s="3">
        <f>(BH129/(BH$5-BG$5))*BH$15</f>
        <v>0</v>
      </c>
      <c r="BI128" s="3">
        <f>(BI129/(BI$5-BH$5))*BI$15</f>
        <v>0</v>
      </c>
      <c r="BJ128" s="3">
        <f>(BJ129/(BJ$5-BI$5))*BJ$15</f>
        <v>0</v>
      </c>
      <c r="BK128" s="3">
        <f>BJ128</f>
        <v>0</v>
      </c>
      <c r="BL128" s="3">
        <f>(BL129/(BL$5-BK$5))*BL$15</f>
        <v>0</v>
      </c>
      <c r="BM128" s="3">
        <f>(BM129/(BM$5-BL$5))*BM$15</f>
        <v>0</v>
      </c>
      <c r="BN128" s="3">
        <f>(BN129/(BN$5-BM$5))*BN$15</f>
        <v>0</v>
      </c>
      <c r="BO128" s="3">
        <f>(BO129/(BO$5-BN$5))*BO$15</f>
        <v>0</v>
      </c>
      <c r="BP128" s="3">
        <f>BO128</f>
        <v>0</v>
      </c>
      <c r="BQ128" s="3">
        <f>(BQ129/(BQ$5-BP$5))*BQ$15</f>
        <v>0</v>
      </c>
      <c r="BR128" s="3">
        <f>(BR129/(BR$5-BQ$5))*BR$15</f>
        <v>0</v>
      </c>
      <c r="BS128" s="3">
        <f>(BS129/(BS$5-BR$5))*BS$15</f>
        <v>0</v>
      </c>
      <c r="BT128" s="3">
        <f>(BT129/(BT$5-BS$5))*BT$15</f>
        <v>0</v>
      </c>
      <c r="BU128" s="3">
        <f>BT128</f>
        <v>0</v>
      </c>
      <c r="BV128" s="3">
        <f>(BV129/(BV$5-BU$5))*BV$15</f>
        <v>0</v>
      </c>
      <c r="BW128" s="3">
        <f>(BW129/(BW$5-BV$5))*BW$15</f>
        <v>0</v>
      </c>
      <c r="BX128" s="3">
        <f>(BX129/(BX$5-BW$5))*BX$15</f>
        <v>0</v>
      </c>
      <c r="BY128" s="3">
        <f>(BY129/(BY$5-BX$5))*BY$15</f>
        <v>0</v>
      </c>
      <c r="BZ128" s="3">
        <f>BY128</f>
        <v>0</v>
      </c>
      <c r="CA128" s="3">
        <f>(CA129/(CA$5-BZ$5))*CA$15</f>
        <v>0</v>
      </c>
      <c r="CB128" s="3">
        <f>(CB129/(CB$5-CA$5))*CB$15</f>
        <v>0</v>
      </c>
      <c r="CC128" s="3">
        <f>(CC129/(CC$5-CB$5))*CC$15</f>
        <v>0</v>
      </c>
      <c r="CD128" s="3">
        <f>(CD129/(CD$5-CC$5))*CD$15</f>
        <v>0</v>
      </c>
      <c r="CE128" s="3">
        <f>CD128</f>
        <v>0</v>
      </c>
      <c r="CF128" s="3">
        <f>(CF129/(CF$5-CE$5))*CF$15</f>
        <v>0</v>
      </c>
      <c r="CG128" s="3">
        <f>(CG129/(CG$5-CF$5))*CG$15</f>
        <v>0</v>
      </c>
      <c r="CH128" s="3">
        <f>(CH129/(CH$5-CG$5))*CH$15</f>
        <v>0</v>
      </c>
      <c r="CI128" s="3">
        <f>(CI129/(CI$5-CH$5))*CI$15</f>
        <v>0</v>
      </c>
      <c r="CJ128" s="3">
        <f>CI128</f>
        <v>0</v>
      </c>
      <c r="CK128" s="3">
        <f>(CK129/(CK$5-CJ$5))*CK$15</f>
        <v>0</v>
      </c>
      <c r="CL128" s="3">
        <f>(CL129/(CL$5-CK$5))*CL$15</f>
        <v>0</v>
      </c>
      <c r="CM128" s="3">
        <f>(CM129/(CM$5-CL$5))*CM$15</f>
        <v>0</v>
      </c>
      <c r="CN128" s="3">
        <f>(CN129/(CN$5-CM$5))*CN$15</f>
        <v>0</v>
      </c>
      <c r="CO128" s="3">
        <f>CN128</f>
        <v>0</v>
      </c>
      <c r="CP128" s="3">
        <f>(CP129/(CP$5-CO$5))*CP$15</f>
        <v>0</v>
      </c>
      <c r="CQ128" s="3">
        <f>(CQ129/(CQ$5-CP$5))*CQ$15</f>
        <v>0</v>
      </c>
      <c r="CR128" s="3">
        <f>(CR129/(CR$5-CQ$5))*CR$15</f>
        <v>0</v>
      </c>
      <c r="CS128" s="3">
        <f>(CS129/(CS$5-CR$5))*CS$15</f>
        <v>0</v>
      </c>
      <c r="CT128" s="3">
        <f>CS128</f>
        <v>0</v>
      </c>
      <c r="CU128" s="3">
        <f>(CU129/(CU$5-CT$5))*CU$15</f>
        <v>0</v>
      </c>
      <c r="CV128" s="3">
        <f>(CV129/(CV$5-CU$5))*CV$15</f>
        <v>0</v>
      </c>
      <c r="CW128" s="3">
        <f>(CW129/(CW$5-CV$5))*CW$15</f>
        <v>0</v>
      </c>
      <c r="CX128" s="3">
        <f>(CX129/(CX$5-CW$5))*CX$15</f>
        <v>0</v>
      </c>
      <c r="CY128" s="3">
        <f>CX128</f>
        <v>0</v>
      </c>
    </row>
    <row r="129" hidden="1" outlineLevel="1">
      <c r="C129" s="34" t="inlineStr">
        <is>
          <t>DSO</t>
        </is>
      </c>
      <c r="D129" s="3" t="n"/>
      <c r="E129" s="3">
        <f>(E128/E$15)*(E$5-D$5)</f>
        <v>64.9388816644994</v>
      </c>
      <c r="F129" s="3">
        <f>(F128/F$15)*(F$5-E$5)</f>
        <v>64.8869547616638</v>
      </c>
      <c r="G129" s="3">
        <f>(G128/G$15)*(G$5-F$5)</f>
        <v>59.9166889185581</v>
      </c>
      <c r="H129" s="3" t="n"/>
      <c r="I129" s="3">
        <f>(I128/I$15)*(I$5-H$5)</f>
        <v>60.2296626566838</v>
      </c>
      <c r="J129" s="3">
        <f>(J128/J$15)*(J$5-I$5)</f>
        <v>55.3526262704632</v>
      </c>
      <c r="K129" s="3">
        <f>(K128/K$15)*(K$5-J$5)</f>
        <v>56.7495361781076</v>
      </c>
      <c r="L129" s="3">
        <f>(L128/L$15)*(L$5-K$5)</f>
        <v>56.5215248586752</v>
      </c>
      <c r="M129" s="3" t="n"/>
      <c r="N129" s="3">
        <f>(N128/N$15)*(N$5-M$5)</f>
        <v>60.5011406284495</v>
      </c>
      <c r="O129" s="3">
        <f>(O128/O$15)*(O$5-N$5)</f>
        <v>53.6086895486769</v>
      </c>
      <c r="P129" s="3">
        <f>(P128/P$15)*(P$5-O$5)</f>
        <v>50.0557556355876</v>
      </c>
      <c r="Q129" s="3">
        <f>(Q128/Q$15)*(Q$5-P$5)</f>
        <v>49.090317527264</v>
      </c>
      <c r="R129" s="3" t="n"/>
      <c r="S129" s="3">
        <f>(S128/S$15)*(S$5-R$5)</f>
        <v>52.3704450888917</v>
      </c>
      <c r="T129" s="3">
        <f>(T128/T$15)*(T$5-S$5)</f>
        <v>49.4777687954729</v>
      </c>
      <c r="U129" s="3">
        <f>(U128/U$15)*(U$5-T$5)</f>
        <v>49.9897679952409</v>
      </c>
      <c r="V129" s="3">
        <f>(V128/V$15)*(V$5-U$5)</f>
        <v>50.1769185705917</v>
      </c>
      <c r="W129" s="3" t="n"/>
      <c r="X129" s="3">
        <f>(X128/X$15)*(X$5-W$5)</f>
        <v>53.5436420026584</v>
      </c>
      <c r="Y129" s="3">
        <f>(Y128/Y$15)*(Y$5-X$5)</f>
        <v>51.3698244352568</v>
      </c>
      <c r="Z129" s="3">
        <f>(Z128/Z$15)*(Z$5-Y$5)</f>
        <v>51.9006581398237</v>
      </c>
      <c r="AA129" s="3">
        <f>(AA128/AA$15)*(AA$5-Z$5)</f>
        <v>52.663829787234</v>
      </c>
      <c r="AB129" s="3" t="n"/>
      <c r="AC129" s="3">
        <f>(AC128/AC$15)*(AC$5-AB$5)</f>
        <v>57.5787774580672</v>
      </c>
      <c r="AD129" s="3">
        <f>(AD128/AD$15)*(AD$5-AC$5)</f>
        <v>53.2961554710604</v>
      </c>
      <c r="AE129" s="3">
        <f>(AE128/AE$15)*(AE$5-AD$5)</f>
        <v>52.9216464451752</v>
      </c>
      <c r="AF129" s="6">
        <f>(AF128/AF$15)*(AF$5-AE$5)</f>
        <v>52.5082318507291</v>
      </c>
      <c r="AG129" s="3" t="n"/>
      <c r="AH129" s="6">
        <f>(AH128/AH$15)*(AH$5-AG$5)</f>
        <v>59.1576227390181</v>
      </c>
      <c r="AI129" s="6">
        <f>(AI128/AI$15)*(AI$5-AH$5)</f>
        <v>58.4193155819501</v>
      </c>
      <c r="AJ129" s="6" t="n"/>
      <c r="AK129" s="6" t="n"/>
      <c r="AL129" s="3" t="n"/>
      <c r="AM129" s="6" t="n"/>
      <c r="AN129" s="6" t="n"/>
      <c r="AO129" s="6" t="n"/>
      <c r="AP129" s="6" t="n"/>
      <c r="AQ129" s="3" t="n"/>
      <c r="AR129" s="6" t="n"/>
      <c r="AS129" s="6" t="n"/>
      <c r="AT129" s="6" t="n"/>
      <c r="AU129" s="6" t="n"/>
      <c r="AV129" s="3" t="n"/>
      <c r="AW129" s="6" t="n"/>
      <c r="AX129" s="6" t="n"/>
      <c r="AY129" s="6" t="n"/>
      <c r="AZ129" s="6" t="n"/>
      <c r="BA129" s="3" t="n"/>
      <c r="BB129" s="6" t="n"/>
      <c r="BC129" s="6" t="n"/>
      <c r="BD129" s="6" t="n"/>
      <c r="BE129" s="6" t="n"/>
      <c r="BF129" s="3" t="n"/>
      <c r="BG129" s="6" t="n"/>
      <c r="BH129" s="6" t="n"/>
      <c r="BI129" s="6" t="n"/>
      <c r="BJ129" s="6" t="n"/>
      <c r="BK129" s="3" t="n"/>
      <c r="BL129" s="6" t="n"/>
      <c r="BM129" s="6" t="n"/>
      <c r="BN129" s="6" t="n"/>
      <c r="BO129" s="6" t="n"/>
      <c r="BP129" s="3" t="n"/>
      <c r="BQ129" s="6" t="n"/>
      <c r="BR129" s="6" t="n"/>
      <c r="BS129" s="6" t="n"/>
      <c r="BT129" s="6" t="n"/>
      <c r="BU129" s="3" t="n"/>
      <c r="BV129" s="6" t="n"/>
      <c r="BW129" s="6" t="n"/>
      <c r="BX129" s="6" t="n"/>
      <c r="BY129" s="6" t="n"/>
      <c r="BZ129" s="3" t="n"/>
      <c r="CA129" s="6" t="n"/>
      <c r="CB129" s="6" t="n"/>
      <c r="CC129" s="6" t="n"/>
      <c r="CD129" s="6" t="n"/>
      <c r="CE129" s="3" t="n"/>
      <c r="CF129" s="6" t="n"/>
      <c r="CG129" s="6" t="n"/>
      <c r="CH129" s="6" t="n"/>
      <c r="CI129" s="6" t="n"/>
      <c r="CJ129" s="3" t="n"/>
      <c r="CK129" s="6" t="n"/>
      <c r="CL129" s="6" t="n"/>
      <c r="CM129" s="6" t="n"/>
      <c r="CN129" s="6" t="n"/>
      <c r="CO129" s="3" t="n"/>
      <c r="CP129" s="6" t="n"/>
      <c r="CQ129" s="6" t="n"/>
      <c r="CR129" s="6" t="n"/>
      <c r="CS129" s="6" t="n"/>
      <c r="CT129" s="3" t="n"/>
      <c r="CU129" s="6" t="n"/>
      <c r="CV129" s="6" t="n"/>
      <c r="CW129" s="6" t="n"/>
      <c r="CX129" s="6" t="n"/>
      <c r="CY129" s="3" t="n"/>
    </row>
    <row r="130" hidden="1" outlineLevel="1">
      <c r="C130" s="34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  <c r="BZ130" s="3" t="n"/>
      <c r="CA130" s="3" t="n"/>
      <c r="CB130" s="3" t="n"/>
      <c r="CC130" s="3" t="n"/>
      <c r="CD130" s="3" t="n"/>
      <c r="CE130" s="3" t="n"/>
      <c r="CF130" s="3" t="n"/>
      <c r="CG130" s="3" t="n"/>
      <c r="CH130" s="3" t="n"/>
      <c r="CI130" s="3" t="n"/>
      <c r="CJ130" s="3" t="n"/>
      <c r="CK130" s="3" t="n"/>
      <c r="CL130" s="3" t="n"/>
      <c r="CM130" s="3" t="n"/>
      <c r="CN130" s="3" t="n"/>
      <c r="CO130" s="3" t="n"/>
      <c r="CP130" s="3" t="n"/>
      <c r="CQ130" s="3" t="n"/>
      <c r="CR130" s="3" t="n"/>
      <c r="CS130" s="3" t="n"/>
      <c r="CT130" s="3" t="n"/>
      <c r="CU130" s="3" t="n"/>
      <c r="CV130" s="3" t="n"/>
      <c r="CW130" s="3" t="n"/>
      <c r="CX130" s="3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>
      <c r="C132" s="26" t="inlineStr">
        <is>
          <t>Inventories</t>
        </is>
      </c>
      <c r="D132" s="25">
        <f>INDEX('Inputs (2)'!$D$17:$AL$17,MATCH(D$7,'Inputs (2)'!$D$2:$AL$2,0))</f>
        <v>11748</v>
      </c>
      <c r="E132" s="25">
        <f>INDEX('Inputs (2)'!$D$17:$AL$17,MATCH(E$7,'Inputs (2)'!$D$2:$AL$2,0))</f>
        <v>11371</v>
      </c>
      <c r="F132" s="25">
        <f>INDEX('Inputs (2)'!$D$17:$AL$17,MATCH(F$7,'Inputs (2)'!$D$2:$AL$2,0))</f>
        <v>11453</v>
      </c>
      <c r="G132" s="25">
        <f>INDEX('Inputs (2)'!$D$17:$AL$17,MATCH(G$7,'Inputs (2)'!$D$2:$AL$2,0))</f>
        <v>11402</v>
      </c>
      <c r="H132" s="3">
        <f>G132</f>
        <v>11402</v>
      </c>
      <c r="I132" s="25">
        <f>INDEX('Inputs (2)'!$D$17:$AL$17,MATCH(I$7,'Inputs (2)'!$D$2:$AL$2,0))</f>
        <v>12149</v>
      </c>
      <c r="J132" s="25">
        <f>INDEX('Inputs (2)'!$D$17:$AL$17,MATCH(J$7,'Inputs (2)'!$D$2:$AL$2,0))</f>
        <v>12672</v>
      </c>
      <c r="K132" s="25">
        <f>INDEX('Inputs (2)'!$D$17:$AL$17,MATCH(K$7,'Inputs (2)'!$D$2:$AL$2,0))</f>
        <v>13666</v>
      </c>
      <c r="L132" s="25">
        <f>INDEX('Inputs (2)'!$D$17:$AL$17,MATCH(L$7,'Inputs (2)'!$D$2:$AL$2,0))</f>
        <v>14038</v>
      </c>
      <c r="M132" s="3">
        <f>L132</f>
        <v>14038</v>
      </c>
      <c r="N132" s="25">
        <f>INDEX('Inputs (2)'!$D$17:$AL$17,MATCH(N$7,'Inputs (2)'!$D$2:$AL$2,0))</f>
        <v>15038</v>
      </c>
      <c r="O132" s="25">
        <f>INDEX('Inputs (2)'!$D$17:$AL$17,MATCH(O$7,'Inputs (2)'!$D$2:$AL$2,0))</f>
        <v>15881</v>
      </c>
      <c r="P132" s="25">
        <f>INDEX('Inputs (2)'!$D$17:$AL$17,MATCH(P$7,'Inputs (2)'!$D$2:$AL$2,0))</f>
        <v>16860</v>
      </c>
      <c r="Q132" s="25">
        <f>INDEX('Inputs (2)'!$D$17:$AL$17,MATCH(Q$7,'Inputs (2)'!$D$2:$AL$2,0))</f>
        <v>16270</v>
      </c>
      <c r="R132" s="3">
        <f>Q132</f>
        <v>16270</v>
      </c>
      <c r="S132" s="25">
        <f>INDEX('Inputs (2)'!$D$17:$AL$17,MATCH(S$7,'Inputs (2)'!$D$2:$AL$2,0))</f>
        <v>17633</v>
      </c>
      <c r="T132" s="25">
        <f>INDEX('Inputs (2)'!$D$17:$AL$17,MATCH(T$7,'Inputs (2)'!$D$2:$AL$2,0))</f>
        <v>17746</v>
      </c>
      <c r="U132" s="25">
        <f>INDEX('Inputs (2)'!$D$17:$AL$17,MATCH(U$7,'Inputs (2)'!$D$2:$AL$2,0))</f>
        <v>17580</v>
      </c>
      <c r="V132" s="25">
        <f>INDEX('Inputs (2)'!$D$17:$AL$17,MATCH(V$7,'Inputs (2)'!$D$2:$AL$2,0))</f>
        <v>16565</v>
      </c>
      <c r="W132" s="3">
        <f>V132</f>
        <v>16565</v>
      </c>
      <c r="X132" s="25">
        <f>INDEX('Inputs (2)'!$D$17:$AL$17,MATCH(X$7,'Inputs (2)'!$D$2:$AL$2,0))</f>
        <v>16953</v>
      </c>
      <c r="Y132" s="25">
        <f>INDEX('Inputs (2)'!$D$17:$AL$17,MATCH(Y$7,'Inputs (2)'!$D$2:$AL$2,0))</f>
        <v>17082</v>
      </c>
      <c r="Z132" s="25">
        <f>INDEX('Inputs (2)'!$D$17:$AL$17,MATCH(Z$7,'Inputs (2)'!$D$2:$AL$2,0))</f>
        <v>17312</v>
      </c>
      <c r="AA132" s="25">
        <f>INDEX('Inputs (2)'!$D$17:$AL$17,MATCH(AA$7,'Inputs (2)'!$D$2:$AL$2,0))</f>
        <v>16827</v>
      </c>
      <c r="AB132" s="3">
        <f>AA132</f>
        <v>16827</v>
      </c>
      <c r="AC132" s="25">
        <f>INDEX('Inputs (2)'!$D$17:$AL$17,MATCH(AC$7,'Inputs (2)'!$D$2:$AL$2,0))</f>
        <v>17862</v>
      </c>
      <c r="AD132" s="25">
        <f>INDEX('Inputs (2)'!$D$17:$AL$17,MATCH(AD$7,'Inputs (2)'!$D$2:$AL$2,0))</f>
        <v>18595</v>
      </c>
      <c r="AE132" s="25">
        <f>INDEX('Inputs (2)'!$D$17:$AL$17,MATCH(AE$7,'Inputs (2)'!$D$2:$AL$2,0))</f>
        <v>18958</v>
      </c>
      <c r="AF132" s="25">
        <f>INDEX('Inputs (2)'!$D$17:$AL$17,MATCH(AF$7,'Inputs (2)'!$D$2:$AL$2,0))</f>
        <v>18135</v>
      </c>
      <c r="AG132" s="3">
        <f>AF132</f>
        <v>18135</v>
      </c>
      <c r="AH132" s="3">
        <f>INDEX('Inputs (2)'!$D$17:$AL$17,MATCH(AH$7,'Inputs (2)'!$D$2:$AL$2,0))</f>
        <v>19626</v>
      </c>
      <c r="AI132" s="3">
        <f>INDEX('Inputs (2)'!$D$17:$AL$17,MATCH(AI$7,'Inputs (2)'!$D$2:$AL$2,0))</f>
        <v>20627</v>
      </c>
      <c r="AJ132" s="3">
        <f>(AJ133/(AJ$5-AI$5))*-AJ$37</f>
        <v>0</v>
      </c>
      <c r="AK132" s="3">
        <f>(AK133/(AK$5-AJ$5))*-AK$37</f>
        <v>0</v>
      </c>
      <c r="AL132" s="3">
        <f>AK132</f>
        <v>0</v>
      </c>
      <c r="AM132" s="3">
        <f>(AM133/(AM$5-AL$5))*-AM$37</f>
        <v>0</v>
      </c>
      <c r="AN132" s="3">
        <f>(AN133/(AN$5-AM$5))*-AN$37</f>
        <v>0</v>
      </c>
      <c r="AO132" s="3">
        <f>(AO133/(AO$5-AN$5))*-AO$37</f>
        <v>0</v>
      </c>
      <c r="AP132" s="3">
        <f>(AP133/(AP$5-AO$5))*-AP$37</f>
        <v>0</v>
      </c>
      <c r="AQ132" s="3">
        <f>AP132</f>
        <v>0</v>
      </c>
      <c r="AR132" s="3">
        <f>(AR133/(AR$5-AQ$5))*-AR$37</f>
        <v>0</v>
      </c>
      <c r="AS132" s="3">
        <f>(AS133/(AS$5-AR$5))*-AS$37</f>
        <v>0</v>
      </c>
      <c r="AT132" s="3">
        <f>(AT133/(AT$5-AS$5))*-AT$37</f>
        <v>0</v>
      </c>
      <c r="AU132" s="3">
        <f>(AU133/(AU$5-AT$5))*-AU$37</f>
        <v>0</v>
      </c>
      <c r="AV132" s="3">
        <f>AU132</f>
        <v>0</v>
      </c>
      <c r="AW132" s="3">
        <f>(AW133/(AW$5-AV$5))*-AW$37</f>
        <v>0</v>
      </c>
      <c r="AX132" s="3">
        <f>(AX133/(AX$5-AW$5))*-AX$37</f>
        <v>0</v>
      </c>
      <c r="AY132" s="3">
        <f>(AY133/(AY$5-AX$5))*-AY$37</f>
        <v>0</v>
      </c>
      <c r="AZ132" s="3">
        <f>(AZ133/(AZ$5-AY$5))*-AZ$37</f>
        <v>0</v>
      </c>
      <c r="BA132" s="3">
        <f>AZ132</f>
        <v>0</v>
      </c>
      <c r="BB132" s="3">
        <f>(BB133/(BB$5-BA$5))*-BB$37</f>
        <v>0</v>
      </c>
      <c r="BC132" s="3">
        <f>(BC133/(BC$5-BB$5))*-BC$37</f>
        <v>0</v>
      </c>
      <c r="BD132" s="3">
        <f>(BD133/(BD$5-BC$5))*-BD$37</f>
        <v>0</v>
      </c>
      <c r="BE132" s="3">
        <f>(BE133/(BE$5-BD$5))*-BE$37</f>
        <v>0</v>
      </c>
      <c r="BF132" s="3">
        <f>BE132</f>
        <v>0</v>
      </c>
      <c r="BG132" s="3">
        <f>(BG133/(BG$5-BF$5))*-BG$37</f>
        <v>0</v>
      </c>
      <c r="BH132" s="3">
        <f>(BH133/(BH$5-BG$5))*-BH$37</f>
        <v>0</v>
      </c>
      <c r="BI132" s="3">
        <f>(BI133/(BI$5-BH$5))*-BI$37</f>
        <v>0</v>
      </c>
      <c r="BJ132" s="3">
        <f>(BJ133/(BJ$5-BI$5))*-BJ$37</f>
        <v>0</v>
      </c>
      <c r="BK132" s="3">
        <f>BJ132</f>
        <v>0</v>
      </c>
      <c r="BL132" s="3">
        <f>(BL133/(BL$5-BK$5))*-BL$37</f>
        <v>0</v>
      </c>
      <c r="BM132" s="3">
        <f>(BM133/(BM$5-BL$5))*-BM$37</f>
        <v>0</v>
      </c>
      <c r="BN132" s="3">
        <f>(BN133/(BN$5-BM$5))*-BN$37</f>
        <v>0</v>
      </c>
      <c r="BO132" s="3">
        <f>(BO133/(BO$5-BN$5))*-BO$37</f>
        <v>0</v>
      </c>
      <c r="BP132" s="3">
        <f>BO132</f>
        <v>0</v>
      </c>
      <c r="BQ132" s="3">
        <f>(BQ133/(BQ$5-BP$5))*-BQ$37</f>
        <v>0</v>
      </c>
      <c r="BR132" s="3">
        <f>(BR133/(BR$5-BQ$5))*-BR$37</f>
        <v>0</v>
      </c>
      <c r="BS132" s="3">
        <f>(BS133/(BS$5-BR$5))*-BS$37</f>
        <v>0</v>
      </c>
      <c r="BT132" s="3">
        <f>(BT133/(BT$5-BS$5))*-BT$37</f>
        <v>0</v>
      </c>
      <c r="BU132" s="3">
        <f>BT132</f>
        <v>0</v>
      </c>
      <c r="BV132" s="3">
        <f>(BV133/(BV$5-BU$5))*-BV$37</f>
        <v>0</v>
      </c>
      <c r="BW132" s="3">
        <f>(BW133/(BW$5-BV$5))*-BW$37</f>
        <v>0</v>
      </c>
      <c r="BX132" s="3">
        <f>(BX133/(BX$5-BW$5))*-BX$37</f>
        <v>0</v>
      </c>
      <c r="BY132" s="3">
        <f>(BY133/(BY$5-BX$5))*-BY$37</f>
        <v>0</v>
      </c>
      <c r="BZ132" s="3">
        <f>BY132</f>
        <v>0</v>
      </c>
      <c r="CA132" s="3">
        <f>(CA133/(CA$5-BZ$5))*-CA$37</f>
        <v>0</v>
      </c>
      <c r="CB132" s="3">
        <f>(CB133/(CB$5-CA$5))*-CB$37</f>
        <v>0</v>
      </c>
      <c r="CC132" s="3">
        <f>(CC133/(CC$5-CB$5))*-CC$37</f>
        <v>0</v>
      </c>
      <c r="CD132" s="3">
        <f>(CD133/(CD$5-CC$5))*-CD$37</f>
        <v>0</v>
      </c>
      <c r="CE132" s="3">
        <f>CD132</f>
        <v>0</v>
      </c>
      <c r="CF132" s="3">
        <f>(CF133/(CF$5-CE$5))*-CF$37</f>
        <v>0</v>
      </c>
      <c r="CG132" s="3">
        <f>(CG133/(CG$5-CF$5))*-CG$37</f>
        <v>0</v>
      </c>
      <c r="CH132" s="3">
        <f>(CH133/(CH$5-CG$5))*-CH$37</f>
        <v>0</v>
      </c>
      <c r="CI132" s="3">
        <f>(CI133/(CI$5-CH$5))*-CI$37</f>
        <v>0</v>
      </c>
      <c r="CJ132" s="3">
        <f>CI132</f>
        <v>0</v>
      </c>
      <c r="CK132" s="3">
        <f>(CK133/(CK$5-CJ$5))*-CK$37</f>
        <v>0</v>
      </c>
      <c r="CL132" s="3">
        <f>(CL133/(CL$5-CK$5))*-CL$37</f>
        <v>0</v>
      </c>
      <c r="CM132" s="3">
        <f>(CM133/(CM$5-CL$5))*-CM$37</f>
        <v>0</v>
      </c>
      <c r="CN132" s="3">
        <f>(CN133/(CN$5-CM$5))*-CN$37</f>
        <v>0</v>
      </c>
      <c r="CO132" s="3">
        <f>CN132</f>
        <v>0</v>
      </c>
      <c r="CP132" s="3">
        <f>(CP133/(CP$5-CO$5))*-CP$37</f>
        <v>0</v>
      </c>
      <c r="CQ132" s="3">
        <f>(CQ133/(CQ$5-CP$5))*-CQ$37</f>
        <v>0</v>
      </c>
      <c r="CR132" s="3">
        <f>(CR133/(CR$5-CQ$5))*-CR$37</f>
        <v>0</v>
      </c>
      <c r="CS132" s="3">
        <f>(CS133/(CS$5-CR$5))*-CS$37</f>
        <v>0</v>
      </c>
      <c r="CT132" s="3">
        <f>CS132</f>
        <v>0</v>
      </c>
      <c r="CU132" s="3">
        <f>(CU133/(CU$5-CT$5))*-CU$37</f>
        <v>0</v>
      </c>
      <c r="CV132" s="3">
        <f>(CV133/(CV$5-CU$5))*-CV$37</f>
        <v>0</v>
      </c>
      <c r="CW132" s="3">
        <f>(CW133/(CW$5-CV$5))*-CW$37</f>
        <v>0</v>
      </c>
      <c r="CX132" s="3">
        <f>(CX133/(CX$5-CW$5))*-CX$37</f>
        <v>0</v>
      </c>
      <c r="CY132" s="3">
        <f>CX132</f>
        <v>0</v>
      </c>
    </row>
    <row r="133" hidden="1" outlineLevel="1">
      <c r="C133" s="34" t="inlineStr">
        <is>
          <t>DIO</t>
        </is>
      </c>
      <c r="D133" s="3" t="n"/>
      <c r="E133" s="3">
        <f>((E132/E$37)*(E$5-D$5))*-1</f>
        <v>145.474623928019</v>
      </c>
      <c r="F133" s="3">
        <f>((F132/F$37)*(F$5-E$5))*-1</f>
        <v>152.287324757913</v>
      </c>
      <c r="G133" s="3">
        <f>((G132/G$37)*(G$5-F$5))*-1</f>
        <v>134.761562178828</v>
      </c>
      <c r="H133" s="3" t="n"/>
      <c r="I133" s="3">
        <f>((I132/I$37)*(I$5-H$5))*-1</f>
        <v>136.471542685971</v>
      </c>
      <c r="J133" s="3">
        <f>((J132/J$37)*(J$5-I$5))*-1</f>
        <v>129.844837293098</v>
      </c>
      <c r="K133" s="3">
        <f>((K132/K$37)*(K$5-J$5))*-1</f>
        <v>145.905999767901</v>
      </c>
      <c r="L133" s="3">
        <f>((L132/L$37)*(L$5-K$5))*-1</f>
        <v>129.110866739978</v>
      </c>
      <c r="M133" s="3" t="n"/>
      <c r="N133" s="3">
        <f>((N132/N$37)*(N$5-M$5))*-1</f>
        <v>141.585939951878</v>
      </c>
      <c r="O133" s="3">
        <f>((O132/O$37)*(O$5-N$5))*-1</f>
        <v>144.879298245614</v>
      </c>
      <c r="P133" s="3">
        <f>((P132/P$37)*(P$5-O$5))*-1</f>
        <v>152.040776318369</v>
      </c>
      <c r="Q133" s="3">
        <f>((Q132/Q$37)*(Q$5-P$5))*-1</f>
        <v>128.882383330463</v>
      </c>
      <c r="R133" s="3" t="n"/>
      <c r="S133" s="3">
        <f>((S132/S$37)*(S$5-R$5))*-1</f>
        <v>157.079085420172</v>
      </c>
      <c r="T133" s="3">
        <f>((T132/T$37)*(T$5-S$5))*-1</f>
        <v>145.945413465883</v>
      </c>
      <c r="U133" s="3">
        <f>((U132/U$37)*(U$5-T$5))*-1</f>
        <v>152.826230747425</v>
      </c>
      <c r="V133" s="3">
        <f>((V132/V$37)*(V$5-U$5))*-1</f>
        <v>138.342411038489</v>
      </c>
      <c r="W133" s="3" t="n"/>
      <c r="X133" s="3">
        <f>((X132/X$37)*(X$5-W$5))*-1</f>
        <v>159.669116125026</v>
      </c>
      <c r="Y133" s="3">
        <f>((Y132/Y$37)*(Y$5-X$5))*-1</f>
        <v>153.148965517241</v>
      </c>
      <c r="Z133" s="3">
        <f>((Z132/Z$37)*(Z$5-Y$5))*-1</f>
        <v>158.226107689251</v>
      </c>
      <c r="AA133" s="3">
        <f>((AA132/AA$37)*(AA$5-Z$5))*-1</f>
        <v>149.993605270807</v>
      </c>
      <c r="AB133" s="3" t="n"/>
      <c r="AC133" s="3">
        <f>((AC132/AC$37)*(AC$5-AB$5))*-1</f>
        <v>179.317345231456</v>
      </c>
      <c r="AD133" s="3">
        <f>((AD132/AD$37)*(AD$5-AC$5))*-1</f>
        <v>156.578606458777</v>
      </c>
      <c r="AE133" s="3">
        <f>((AE132/AE$37)*(AE$5-AD$5))*-1</f>
        <v>149.41625974471</v>
      </c>
      <c r="AF133" s="6">
        <f>((AF132/AF$37)*(AF$5-AE$5))*-1</f>
        <v>125.379123769445</v>
      </c>
      <c r="AG133" s="3" t="n"/>
      <c r="AH133" s="6">
        <f>((AH132/AH$37)*(AH$5-AG$5))*-1</f>
        <v>156.230320183973</v>
      </c>
      <c r="AI133" s="6">
        <f>((AI132/AI$37)*(AI$5-AH$5))*-1</f>
        <v>146.863078006416</v>
      </c>
      <c r="AJ133" s="6" t="n"/>
      <c r="AK133" s="6" t="n"/>
      <c r="AL133" s="3" t="n"/>
      <c r="AM133" s="6" t="n"/>
      <c r="AN133" s="6" t="n"/>
      <c r="AO133" s="6" t="n"/>
      <c r="AP133" s="6" t="n"/>
      <c r="AQ133" s="3" t="n"/>
      <c r="AR133" s="6" t="n"/>
      <c r="AS133" s="6" t="n"/>
      <c r="AT133" s="6" t="n"/>
      <c r="AU133" s="6" t="n"/>
      <c r="AV133" s="3" t="n"/>
      <c r="AW133" s="6" t="n"/>
      <c r="AX133" s="6" t="n"/>
      <c r="AY133" s="6" t="n"/>
      <c r="AZ133" s="6" t="n"/>
      <c r="BA133" s="3" t="n"/>
      <c r="BB133" s="6" t="n"/>
      <c r="BC133" s="6" t="n"/>
      <c r="BD133" s="6" t="n"/>
      <c r="BE133" s="6" t="n"/>
      <c r="BF133" s="3" t="n"/>
      <c r="BG133" s="6" t="n"/>
      <c r="BH133" s="6" t="n"/>
      <c r="BI133" s="6" t="n"/>
      <c r="BJ133" s="6" t="n"/>
      <c r="BK133" s="3" t="n"/>
      <c r="BL133" s="6" t="n"/>
      <c r="BM133" s="6" t="n"/>
      <c r="BN133" s="6" t="n"/>
      <c r="BO133" s="6" t="n"/>
      <c r="BP133" s="3" t="n"/>
      <c r="BQ133" s="6" t="n"/>
      <c r="BR133" s="6" t="n"/>
      <c r="BS133" s="6" t="n"/>
      <c r="BT133" s="6" t="n"/>
      <c r="BU133" s="3" t="n"/>
      <c r="BV133" s="6" t="n"/>
      <c r="BW133" s="6" t="n"/>
      <c r="BX133" s="6" t="n"/>
      <c r="BY133" s="6" t="n"/>
      <c r="BZ133" s="3" t="n"/>
      <c r="CA133" s="6" t="n"/>
      <c r="CB133" s="6" t="n"/>
      <c r="CC133" s="6" t="n"/>
      <c r="CD133" s="6" t="n"/>
      <c r="CE133" s="3" t="n"/>
      <c r="CF133" s="6" t="n"/>
      <c r="CG133" s="6" t="n"/>
      <c r="CH133" s="6" t="n"/>
      <c r="CI133" s="6" t="n"/>
      <c r="CJ133" s="3" t="n"/>
      <c r="CK133" s="6" t="n"/>
      <c r="CL133" s="6" t="n"/>
      <c r="CM133" s="6" t="n"/>
      <c r="CN133" s="6" t="n"/>
      <c r="CO133" s="3" t="n"/>
      <c r="CP133" s="6" t="n"/>
      <c r="CQ133" s="6" t="n"/>
      <c r="CR133" s="6" t="n"/>
      <c r="CS133" s="6" t="n"/>
      <c r="CT133" s="3" t="n"/>
      <c r="CU133" s="6" t="n"/>
      <c r="CV133" s="6" t="n"/>
      <c r="CW133" s="6" t="n"/>
      <c r="CX133" s="6" t="n"/>
      <c r="CY133" s="3" t="n"/>
    </row>
    <row r="134" hidden="1" outlineLevel="1">
      <c r="C134" s="34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  <c r="BZ134" s="3" t="n"/>
      <c r="CA134" s="3" t="n"/>
      <c r="CB134" s="3" t="n"/>
      <c r="CC134" s="3" t="n"/>
      <c r="CD134" s="3" t="n"/>
      <c r="CE134" s="3" t="n"/>
      <c r="CF134" s="3" t="n"/>
      <c r="CG134" s="3" t="n"/>
      <c r="CH134" s="3" t="n"/>
      <c r="CI134" s="3" t="n"/>
      <c r="CJ134" s="3" t="n"/>
      <c r="CK134" s="3" t="n"/>
      <c r="CL134" s="3" t="n"/>
      <c r="CM134" s="3" t="n"/>
      <c r="CN134" s="3" t="n"/>
      <c r="CO134" s="3" t="n"/>
      <c r="CP134" s="3" t="n"/>
      <c r="CQ134" s="3" t="n"/>
      <c r="CR134" s="3" t="n"/>
      <c r="CS134" s="3" t="n"/>
      <c r="CT134" s="3" t="n"/>
      <c r="CU134" s="3" t="n"/>
      <c r="CV134" s="3" t="n"/>
      <c r="CW134" s="3" t="n"/>
      <c r="CX134" s="3" t="n"/>
      <c r="CY134" s="3" t="n"/>
    </row>
    <row r="135" hidden="1" outlineLevel="1">
      <c r="C135" s="34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  <c r="BZ135" s="3" t="n"/>
      <c r="CA135" s="3" t="n"/>
      <c r="CB135" s="3" t="n"/>
      <c r="CC135" s="3" t="n"/>
      <c r="CD135" s="3" t="n"/>
      <c r="CE135" s="3" t="n"/>
      <c r="CF135" s="3" t="n"/>
      <c r="CG135" s="3" t="n"/>
      <c r="CH135" s="3" t="n"/>
      <c r="CI135" s="3" t="n"/>
      <c r="CJ135" s="3" t="n"/>
      <c r="CK135" s="3" t="n"/>
      <c r="CL135" s="3" t="n"/>
      <c r="CM135" s="3" t="n"/>
      <c r="CN135" s="3" t="n"/>
      <c r="CO135" s="3" t="n"/>
      <c r="CP135" s="3" t="n"/>
      <c r="CQ135" s="3" t="n"/>
      <c r="CR135" s="3" t="n"/>
      <c r="CS135" s="3" t="n"/>
      <c r="CT135" s="3" t="n"/>
      <c r="CU135" s="3" t="n"/>
      <c r="CV135" s="3" t="n"/>
      <c r="CW135" s="3" t="n"/>
      <c r="CX135" s="3" t="n"/>
      <c r="CY135" s="3" t="n"/>
    </row>
    <row r="136" collapsed="1">
      <c r="C136" s="26" t="inlineStr">
        <is>
          <t>Deferred income taxes</t>
        </is>
      </c>
      <c r="D136" s="25">
        <f>INDEX('Inputs (2)'!$D$18:$AL$18,MATCH(D$7,'Inputs (2)'!$D$2:$AL$2,0))</f>
        <v>0</v>
      </c>
      <c r="E136" s="25">
        <f>INDEX('Inputs (2)'!$D$18:$AL$18,MATCH(E$7,'Inputs (2)'!$D$2:$AL$2,0))</f>
        <v>0</v>
      </c>
      <c r="F136" s="25">
        <f>INDEX('Inputs (2)'!$D$18:$AL$18,MATCH(F$7,'Inputs (2)'!$D$2:$AL$2,0))</f>
        <v>0</v>
      </c>
      <c r="G136" s="25">
        <f>INDEX('Inputs (2)'!$D$18:$AL$18,MATCH(G$7,'Inputs (2)'!$D$2:$AL$2,0))</f>
        <v>0</v>
      </c>
      <c r="H136" s="3">
        <f>G136</f>
        <v>0</v>
      </c>
      <c r="I136" s="25">
        <f>INDEX('Inputs (2)'!$D$18:$AL$18,MATCH(I$7,'Inputs (2)'!$D$2:$AL$2,0))</f>
        <v>0</v>
      </c>
      <c r="J136" s="25">
        <f>INDEX('Inputs (2)'!$D$18:$AL$18,MATCH(J$7,'Inputs (2)'!$D$2:$AL$2,0))</f>
        <v>0</v>
      </c>
      <c r="K136" s="25">
        <f>INDEX('Inputs (2)'!$D$18:$AL$18,MATCH(K$7,'Inputs (2)'!$D$2:$AL$2,0))</f>
        <v>0</v>
      </c>
      <c r="L136" s="25">
        <f>INDEX('Inputs (2)'!$D$18:$AL$18,MATCH(L$7,'Inputs (2)'!$D$2:$AL$2,0))</f>
        <v>0</v>
      </c>
      <c r="M136" s="3">
        <f>L136</f>
        <v>0</v>
      </c>
      <c r="N136" s="25">
        <f>INDEX('Inputs (2)'!$D$18:$AL$18,MATCH(N$7,'Inputs (2)'!$D$2:$AL$2,0))</f>
        <v>0</v>
      </c>
      <c r="O136" s="25">
        <f>INDEX('Inputs (2)'!$D$18:$AL$18,MATCH(O$7,'Inputs (2)'!$D$2:$AL$2,0))</f>
        <v>0</v>
      </c>
      <c r="P136" s="25">
        <f>INDEX('Inputs (2)'!$D$18:$AL$18,MATCH(P$7,'Inputs (2)'!$D$2:$AL$2,0))</f>
        <v>0</v>
      </c>
      <c r="Q136" s="25">
        <f>INDEX('Inputs (2)'!$D$18:$AL$18,MATCH(Q$7,'Inputs (2)'!$D$2:$AL$2,0))</f>
        <v>0</v>
      </c>
      <c r="R136" s="3">
        <f>Q136</f>
        <v>0</v>
      </c>
      <c r="S136" s="25">
        <f>INDEX('Inputs (2)'!$D$18:$AL$18,MATCH(S$7,'Inputs (2)'!$D$2:$AL$2,0))</f>
        <v>0</v>
      </c>
      <c r="T136" s="25">
        <f>INDEX('Inputs (2)'!$D$18:$AL$18,MATCH(T$7,'Inputs (2)'!$D$2:$AL$2,0))</f>
        <v>0</v>
      </c>
      <c r="U136" s="25">
        <f>INDEX('Inputs (2)'!$D$18:$AL$18,MATCH(U$7,'Inputs (2)'!$D$2:$AL$2,0))</f>
        <v>0</v>
      </c>
      <c r="V136" s="25">
        <f>INDEX('Inputs (2)'!$D$18:$AL$18,MATCH(V$7,'Inputs (2)'!$D$2:$AL$2,0))</f>
        <v>0</v>
      </c>
      <c r="W136" s="3">
        <f>V136</f>
        <v>0</v>
      </c>
      <c r="X136" s="25">
        <f>INDEX('Inputs (2)'!$D$18:$AL$18,MATCH(X$7,'Inputs (2)'!$D$2:$AL$2,0))</f>
        <v>0</v>
      </c>
      <c r="Y136" s="25">
        <f>INDEX('Inputs (2)'!$D$18:$AL$18,MATCH(Y$7,'Inputs (2)'!$D$2:$AL$2,0))</f>
        <v>0</v>
      </c>
      <c r="Z136" s="25">
        <f>INDEX('Inputs (2)'!$D$18:$AL$18,MATCH(Z$7,'Inputs (2)'!$D$2:$AL$2,0))</f>
        <v>0</v>
      </c>
      <c r="AA136" s="25">
        <f>INDEX('Inputs (2)'!$D$18:$AL$18,MATCH(AA$7,'Inputs (2)'!$D$2:$AL$2,0))</f>
        <v>0</v>
      </c>
      <c r="AB136" s="3">
        <f>AA136</f>
        <v>0</v>
      </c>
      <c r="AC136" s="25">
        <f>INDEX('Inputs (2)'!$D$18:$AL$18,MATCH(AC$7,'Inputs (2)'!$D$2:$AL$2,0))</f>
        <v>0</v>
      </c>
      <c r="AD136" s="25">
        <f>INDEX('Inputs (2)'!$D$18:$AL$18,MATCH(AD$7,'Inputs (2)'!$D$2:$AL$2,0))</f>
        <v>0</v>
      </c>
      <c r="AE136" s="25">
        <f>INDEX('Inputs (2)'!$D$18:$AL$18,MATCH(AE$7,'Inputs (2)'!$D$2:$AL$2,0))</f>
        <v>0</v>
      </c>
      <c r="AF136" s="25">
        <f>INDEX('Inputs (2)'!$D$18:$AL$18,MATCH(AF$7,'Inputs (2)'!$D$2:$AL$2,0))</f>
        <v>0</v>
      </c>
      <c r="AG136" s="3">
        <f>AF136</f>
        <v>0</v>
      </c>
      <c r="AH136" s="3">
        <f>INDEX('Inputs (2)'!$D$18:$AL$18,MATCH(AH$7,'Inputs (2)'!$D$2:$AL$2,0))</f>
        <v>0</v>
      </c>
      <c r="AI136" s="3">
        <f>INDEX('Inputs (2)'!$D$18:$AL$18,MATCH(AI$7,'Inputs (2)'!$D$2:$AL$2,0))</f>
        <v>0</v>
      </c>
      <c r="AJ136" s="3">
        <f>AI136</f>
        <v>0</v>
      </c>
      <c r="AK136" s="3">
        <f>AJ136</f>
        <v>0</v>
      </c>
      <c r="AL136" s="3">
        <f>AK136</f>
        <v>0</v>
      </c>
      <c r="AM136" s="3">
        <f>AL136</f>
        <v>0</v>
      </c>
      <c r="AN136" s="3">
        <f>AM136</f>
        <v>0</v>
      </c>
      <c r="AO136" s="3">
        <f>AN136</f>
        <v>0</v>
      </c>
      <c r="AP136" s="3">
        <f>AO136</f>
        <v>0</v>
      </c>
      <c r="AQ136" s="3">
        <f>AP136</f>
        <v>0</v>
      </c>
      <c r="AR136" s="3">
        <f>AQ136</f>
        <v>0</v>
      </c>
      <c r="AS136" s="3">
        <f>AR136</f>
        <v>0</v>
      </c>
      <c r="AT136" s="3">
        <f>AS136</f>
        <v>0</v>
      </c>
      <c r="AU136" s="3">
        <f>AT136</f>
        <v>0</v>
      </c>
      <c r="AV136" s="3">
        <f>AU136</f>
        <v>0</v>
      </c>
      <c r="AW136" s="3">
        <f>AV136</f>
        <v>0</v>
      </c>
      <c r="AX136" s="3">
        <f>AW136</f>
        <v>0</v>
      </c>
      <c r="AY136" s="3">
        <f>AX136</f>
        <v>0</v>
      </c>
      <c r="AZ136" s="3">
        <f>AY136</f>
        <v>0</v>
      </c>
      <c r="BA136" s="3">
        <f>AZ136</f>
        <v>0</v>
      </c>
      <c r="BB136" s="3">
        <f>BA136</f>
        <v>0</v>
      </c>
      <c r="BC136" s="3">
        <f>BB136</f>
        <v>0</v>
      </c>
      <c r="BD136" s="3">
        <f>BC136</f>
        <v>0</v>
      </c>
      <c r="BE136" s="3">
        <f>BD136</f>
        <v>0</v>
      </c>
      <c r="BF136" s="3">
        <f>BE136</f>
        <v>0</v>
      </c>
      <c r="BG136" s="3">
        <f>BF136</f>
        <v>0</v>
      </c>
      <c r="BH136" s="3">
        <f>BG136</f>
        <v>0</v>
      </c>
      <c r="BI136" s="3">
        <f>BH136</f>
        <v>0</v>
      </c>
      <c r="BJ136" s="3">
        <f>BI136</f>
        <v>0</v>
      </c>
      <c r="BK136" s="3">
        <f>BJ136</f>
        <v>0</v>
      </c>
      <c r="BL136" s="3">
        <f>BK136</f>
        <v>0</v>
      </c>
      <c r="BM136" s="3">
        <f>BL136</f>
        <v>0</v>
      </c>
      <c r="BN136" s="3">
        <f>BM136</f>
        <v>0</v>
      </c>
      <c r="BO136" s="3">
        <f>BN136</f>
        <v>0</v>
      </c>
      <c r="BP136" s="3">
        <f>BO136</f>
        <v>0</v>
      </c>
      <c r="BQ136" s="3">
        <f>BP136</f>
        <v>0</v>
      </c>
      <c r="BR136" s="3">
        <f>BQ136</f>
        <v>0</v>
      </c>
      <c r="BS136" s="3">
        <f>BR136</f>
        <v>0</v>
      </c>
      <c r="BT136" s="3">
        <f>BS136</f>
        <v>0</v>
      </c>
      <c r="BU136" s="3">
        <f>BT136</f>
        <v>0</v>
      </c>
      <c r="BV136" s="3">
        <f>BU136</f>
        <v>0</v>
      </c>
      <c r="BW136" s="3">
        <f>BV136</f>
        <v>0</v>
      </c>
      <c r="BX136" s="3">
        <f>BW136</f>
        <v>0</v>
      </c>
      <c r="BY136" s="3">
        <f>BX136</f>
        <v>0</v>
      </c>
      <c r="BZ136" s="3">
        <f>BY136</f>
        <v>0</v>
      </c>
      <c r="CA136" s="3">
        <f>BZ136</f>
        <v>0</v>
      </c>
      <c r="CB136" s="3">
        <f>CA136</f>
        <v>0</v>
      </c>
      <c r="CC136" s="3">
        <f>CB136</f>
        <v>0</v>
      </c>
      <c r="CD136" s="3">
        <f>CC136</f>
        <v>0</v>
      </c>
      <c r="CE136" s="3">
        <f>CD136</f>
        <v>0</v>
      </c>
      <c r="CF136" s="3">
        <f>CE136</f>
        <v>0</v>
      </c>
      <c r="CG136" s="3">
        <f>CF136</f>
        <v>0</v>
      </c>
      <c r="CH136" s="3">
        <f>CG136</f>
        <v>0</v>
      </c>
      <c r="CI136" s="3">
        <f>CH136</f>
        <v>0</v>
      </c>
      <c r="CJ136" s="3">
        <f>CI136</f>
        <v>0</v>
      </c>
      <c r="CK136" s="3">
        <f>CJ136</f>
        <v>0</v>
      </c>
      <c r="CL136" s="3">
        <f>CK136</f>
        <v>0</v>
      </c>
      <c r="CM136" s="3">
        <f>CL136</f>
        <v>0</v>
      </c>
      <c r="CN136" s="3">
        <f>CM136</f>
        <v>0</v>
      </c>
      <c r="CO136" s="3">
        <f>CN136</f>
        <v>0</v>
      </c>
      <c r="CP136" s="3">
        <f>CO136</f>
        <v>0</v>
      </c>
      <c r="CQ136" s="3">
        <f>CP136</f>
        <v>0</v>
      </c>
      <c r="CR136" s="3">
        <f>CQ136</f>
        <v>0</v>
      </c>
      <c r="CS136" s="3">
        <f>CR136</f>
        <v>0</v>
      </c>
      <c r="CT136" s="3">
        <f>CS136</f>
        <v>0</v>
      </c>
      <c r="CU136" s="3">
        <f>CT136</f>
        <v>0</v>
      </c>
      <c r="CV136" s="3">
        <f>CU136</f>
        <v>0</v>
      </c>
      <c r="CW136" s="3">
        <f>CV136</f>
        <v>0</v>
      </c>
      <c r="CX136" s="3">
        <f>CW136</f>
        <v>0</v>
      </c>
      <c r="CY136" s="3">
        <f>CX136</f>
        <v>0</v>
      </c>
    </row>
    <row r="137">
      <c r="C137" s="26" t="inlineStr">
        <is>
          <t>Prepaid expenses</t>
        </is>
      </c>
      <c r="D137" s="25">
        <f>INDEX('Inputs (2)'!$D$19:$AL$19,MATCH(D$7,'Inputs (2)'!$D$2:$AL$2,0))</f>
        <v>0</v>
      </c>
      <c r="E137" s="25">
        <f>INDEX('Inputs (2)'!$D$19:$AL$19,MATCH(E$7,'Inputs (2)'!$D$2:$AL$2,0))</f>
        <v>0</v>
      </c>
      <c r="F137" s="25">
        <f>INDEX('Inputs (2)'!$D$19:$AL$19,MATCH(F$7,'Inputs (2)'!$D$2:$AL$2,0))</f>
        <v>0</v>
      </c>
      <c r="G137" s="25">
        <f>INDEX('Inputs (2)'!$D$19:$AL$19,MATCH(G$7,'Inputs (2)'!$D$2:$AL$2,0))</f>
        <v>0</v>
      </c>
      <c r="H137" s="3">
        <f>G137</f>
        <v>0</v>
      </c>
      <c r="I137" s="25">
        <f>INDEX('Inputs (2)'!$D$19:$AL$19,MATCH(I$7,'Inputs (2)'!$D$2:$AL$2,0))</f>
        <v>0</v>
      </c>
      <c r="J137" s="25">
        <f>INDEX('Inputs (2)'!$D$19:$AL$19,MATCH(J$7,'Inputs (2)'!$D$2:$AL$2,0))</f>
        <v>0</v>
      </c>
      <c r="K137" s="25">
        <f>INDEX('Inputs (2)'!$D$19:$AL$19,MATCH(K$7,'Inputs (2)'!$D$2:$AL$2,0))</f>
        <v>0</v>
      </c>
      <c r="L137" s="25">
        <f>INDEX('Inputs (2)'!$D$19:$AL$19,MATCH(L$7,'Inputs (2)'!$D$2:$AL$2,0))</f>
        <v>0</v>
      </c>
      <c r="M137" s="3">
        <f>L137</f>
        <v>0</v>
      </c>
      <c r="N137" s="25">
        <f>INDEX('Inputs (2)'!$D$19:$AL$19,MATCH(N$7,'Inputs (2)'!$D$2:$AL$2,0))</f>
        <v>0</v>
      </c>
      <c r="O137" s="25">
        <f>INDEX('Inputs (2)'!$D$19:$AL$19,MATCH(O$7,'Inputs (2)'!$D$2:$AL$2,0))</f>
        <v>0</v>
      </c>
      <c r="P137" s="25">
        <f>INDEX('Inputs (2)'!$D$19:$AL$19,MATCH(P$7,'Inputs (2)'!$D$2:$AL$2,0))</f>
        <v>0</v>
      </c>
      <c r="Q137" s="25">
        <f>INDEX('Inputs (2)'!$D$19:$AL$19,MATCH(Q$7,'Inputs (2)'!$D$2:$AL$2,0))</f>
        <v>0</v>
      </c>
      <c r="R137" s="3">
        <f>Q137</f>
        <v>0</v>
      </c>
      <c r="S137" s="25">
        <f>INDEX('Inputs (2)'!$D$19:$AL$19,MATCH(S$7,'Inputs (2)'!$D$2:$AL$2,0))</f>
        <v>0</v>
      </c>
      <c r="T137" s="25">
        <f>INDEX('Inputs (2)'!$D$19:$AL$19,MATCH(T$7,'Inputs (2)'!$D$2:$AL$2,0))</f>
        <v>0</v>
      </c>
      <c r="U137" s="25">
        <f>INDEX('Inputs (2)'!$D$19:$AL$19,MATCH(U$7,'Inputs (2)'!$D$2:$AL$2,0))</f>
        <v>0</v>
      </c>
      <c r="V137" s="25">
        <f>INDEX('Inputs (2)'!$D$19:$AL$19,MATCH(V$7,'Inputs (2)'!$D$2:$AL$2,0))</f>
        <v>0</v>
      </c>
      <c r="W137" s="3">
        <f>V137</f>
        <v>0</v>
      </c>
      <c r="X137" s="25">
        <f>INDEX('Inputs (2)'!$D$19:$AL$19,MATCH(X$7,'Inputs (2)'!$D$2:$AL$2,0))</f>
        <v>0</v>
      </c>
      <c r="Y137" s="25">
        <f>INDEX('Inputs (2)'!$D$19:$AL$19,MATCH(Y$7,'Inputs (2)'!$D$2:$AL$2,0))</f>
        <v>0</v>
      </c>
      <c r="Z137" s="25">
        <f>INDEX('Inputs (2)'!$D$19:$AL$19,MATCH(Z$7,'Inputs (2)'!$D$2:$AL$2,0))</f>
        <v>0</v>
      </c>
      <c r="AA137" s="25">
        <f>INDEX('Inputs (2)'!$D$19:$AL$19,MATCH(AA$7,'Inputs (2)'!$D$2:$AL$2,0))</f>
        <v>0</v>
      </c>
      <c r="AB137" s="3">
        <f>AA137</f>
        <v>0</v>
      </c>
      <c r="AC137" s="25">
        <f>INDEX('Inputs (2)'!$D$19:$AL$19,MATCH(AC$7,'Inputs (2)'!$D$2:$AL$2,0))</f>
        <v>0</v>
      </c>
      <c r="AD137" s="25">
        <f>INDEX('Inputs (2)'!$D$19:$AL$19,MATCH(AD$7,'Inputs (2)'!$D$2:$AL$2,0))</f>
        <v>0</v>
      </c>
      <c r="AE137" s="25">
        <f>INDEX('Inputs (2)'!$D$19:$AL$19,MATCH(AE$7,'Inputs (2)'!$D$2:$AL$2,0))</f>
        <v>0</v>
      </c>
      <c r="AF137" s="25">
        <f>INDEX('Inputs (2)'!$D$19:$AL$19,MATCH(AF$7,'Inputs (2)'!$D$2:$AL$2,0))</f>
        <v>0</v>
      </c>
      <c r="AG137" s="3">
        <f>AF137</f>
        <v>0</v>
      </c>
      <c r="AH137" s="3">
        <f>INDEX('Inputs (2)'!$D$19:$AL$19,MATCH(AH$7,'Inputs (2)'!$D$2:$AL$2,0))</f>
        <v>0</v>
      </c>
      <c r="AI137" s="3">
        <f>INDEX('Inputs (2)'!$D$19:$AL$19,MATCH(AI$7,'Inputs (2)'!$D$2:$AL$2,0))</f>
        <v>0</v>
      </c>
      <c r="AJ137" s="3">
        <f>AI137</f>
        <v>0</v>
      </c>
      <c r="AK137" s="3">
        <f>AJ137</f>
        <v>0</v>
      </c>
      <c r="AL137" s="3">
        <f>AK137</f>
        <v>0</v>
      </c>
      <c r="AM137" s="3">
        <f>AL137</f>
        <v>0</v>
      </c>
      <c r="AN137" s="3">
        <f>AM137</f>
        <v>0</v>
      </c>
      <c r="AO137" s="3">
        <f>AN137</f>
        <v>0</v>
      </c>
      <c r="AP137" s="3">
        <f>AO137</f>
        <v>0</v>
      </c>
      <c r="AQ137" s="3">
        <f>AP137</f>
        <v>0</v>
      </c>
      <c r="AR137" s="3">
        <f>AQ137</f>
        <v>0</v>
      </c>
      <c r="AS137" s="3">
        <f>AR137</f>
        <v>0</v>
      </c>
      <c r="AT137" s="3">
        <f>AS137</f>
        <v>0</v>
      </c>
      <c r="AU137" s="3">
        <f>AT137</f>
        <v>0</v>
      </c>
      <c r="AV137" s="3">
        <f>AU137</f>
        <v>0</v>
      </c>
      <c r="AW137" s="3">
        <f>AV137</f>
        <v>0</v>
      </c>
      <c r="AX137" s="3">
        <f>AW137</f>
        <v>0</v>
      </c>
      <c r="AY137" s="3">
        <f>AX137</f>
        <v>0</v>
      </c>
      <c r="AZ137" s="3">
        <f>AY137</f>
        <v>0</v>
      </c>
      <c r="BA137" s="3">
        <f>AZ137</f>
        <v>0</v>
      </c>
      <c r="BB137" s="3">
        <f>BA137</f>
        <v>0</v>
      </c>
      <c r="BC137" s="3">
        <f>BB137</f>
        <v>0</v>
      </c>
      <c r="BD137" s="3">
        <f>BC137</f>
        <v>0</v>
      </c>
      <c r="BE137" s="3">
        <f>BD137</f>
        <v>0</v>
      </c>
      <c r="BF137" s="3">
        <f>BE137</f>
        <v>0</v>
      </c>
      <c r="BG137" s="3">
        <f>BF137</f>
        <v>0</v>
      </c>
      <c r="BH137" s="3">
        <f>BG137</f>
        <v>0</v>
      </c>
      <c r="BI137" s="3">
        <f>BH137</f>
        <v>0</v>
      </c>
      <c r="BJ137" s="3">
        <f>BI137</f>
        <v>0</v>
      </c>
      <c r="BK137" s="3">
        <f>BJ137</f>
        <v>0</v>
      </c>
      <c r="BL137" s="3">
        <f>BK137</f>
        <v>0</v>
      </c>
      <c r="BM137" s="3">
        <f>BL137</f>
        <v>0</v>
      </c>
      <c r="BN137" s="3">
        <f>BM137</f>
        <v>0</v>
      </c>
      <c r="BO137" s="3">
        <f>BN137</f>
        <v>0</v>
      </c>
      <c r="BP137" s="3">
        <f>BO137</f>
        <v>0</v>
      </c>
      <c r="BQ137" s="3">
        <f>BP137</f>
        <v>0</v>
      </c>
      <c r="BR137" s="3">
        <f>BQ137</f>
        <v>0</v>
      </c>
      <c r="BS137" s="3">
        <f>BR137</f>
        <v>0</v>
      </c>
      <c r="BT137" s="3">
        <f>BS137</f>
        <v>0</v>
      </c>
      <c r="BU137" s="3">
        <f>BT137</f>
        <v>0</v>
      </c>
      <c r="BV137" s="3">
        <f>BU137</f>
        <v>0</v>
      </c>
      <c r="BW137" s="3">
        <f>BV137</f>
        <v>0</v>
      </c>
      <c r="BX137" s="3">
        <f>BW137</f>
        <v>0</v>
      </c>
      <c r="BY137" s="3">
        <f>BX137</f>
        <v>0</v>
      </c>
      <c r="BZ137" s="3">
        <f>BY137</f>
        <v>0</v>
      </c>
      <c r="CA137" s="3">
        <f>BZ137</f>
        <v>0</v>
      </c>
      <c r="CB137" s="3">
        <f>CA137</f>
        <v>0</v>
      </c>
      <c r="CC137" s="3">
        <f>CB137</f>
        <v>0</v>
      </c>
      <c r="CD137" s="3">
        <f>CC137</f>
        <v>0</v>
      </c>
      <c r="CE137" s="3">
        <f>CD137</f>
        <v>0</v>
      </c>
      <c r="CF137" s="3">
        <f>CE137</f>
        <v>0</v>
      </c>
      <c r="CG137" s="3">
        <f>CF137</f>
        <v>0</v>
      </c>
      <c r="CH137" s="3">
        <f>CG137</f>
        <v>0</v>
      </c>
      <c r="CI137" s="3">
        <f>CH137</f>
        <v>0</v>
      </c>
      <c r="CJ137" s="3">
        <f>CI137</f>
        <v>0</v>
      </c>
      <c r="CK137" s="3">
        <f>CJ137</f>
        <v>0</v>
      </c>
      <c r="CL137" s="3">
        <f>CK137</f>
        <v>0</v>
      </c>
      <c r="CM137" s="3">
        <f>CL137</f>
        <v>0</v>
      </c>
      <c r="CN137" s="3">
        <f>CM137</f>
        <v>0</v>
      </c>
      <c r="CO137" s="3">
        <f>CN137</f>
        <v>0</v>
      </c>
      <c r="CP137" s="3">
        <f>CO137</f>
        <v>0</v>
      </c>
      <c r="CQ137" s="3">
        <f>CP137</f>
        <v>0</v>
      </c>
      <c r="CR137" s="3">
        <f>CQ137</f>
        <v>0</v>
      </c>
      <c r="CS137" s="3">
        <f>CR137</f>
        <v>0</v>
      </c>
      <c r="CT137" s="3">
        <f>CS137</f>
        <v>0</v>
      </c>
      <c r="CU137" s="3">
        <f>CT137</f>
        <v>0</v>
      </c>
      <c r="CV137" s="3">
        <f>CU137</f>
        <v>0</v>
      </c>
      <c r="CW137" s="3">
        <f>CV137</f>
        <v>0</v>
      </c>
      <c r="CX137" s="3">
        <f>CW137</f>
        <v>0</v>
      </c>
      <c r="CY137" s="3">
        <f>CX137</f>
        <v>0</v>
      </c>
    </row>
    <row r="138">
      <c r="C138" s="26" t="inlineStr">
        <is>
          <t>Other current assets</t>
        </is>
      </c>
      <c r="D138" s="25">
        <f>INDEX('Inputs (2)'!$D$20:$AL$20,MATCH(D$7,'Inputs (2)'!$D$2:$AL$2,0))</f>
        <v>10881</v>
      </c>
      <c r="E138" s="25">
        <f>INDEX('Inputs (2)'!$D$20:$AL$20,MATCH(E$7,'Inputs (2)'!$D$2:$AL$2,0))</f>
        <v>10573</v>
      </c>
      <c r="F138" s="25">
        <f>INDEX('Inputs (2)'!$D$20:$AL$20,MATCH(F$7,'Inputs (2)'!$D$2:$AL$2,0))</f>
        <v>10797</v>
      </c>
      <c r="G138" s="25">
        <f>INDEX('Inputs (2)'!$D$20:$AL$20,MATCH(G$7,'Inputs (2)'!$D$2:$AL$2,0))</f>
        <v>11393</v>
      </c>
      <c r="H138" s="3">
        <f>G138</f>
        <v>11393</v>
      </c>
      <c r="I138" s="25">
        <f>INDEX('Inputs (2)'!$D$20:$AL$20,MATCH(I$7,'Inputs (2)'!$D$2:$AL$2,0))</f>
        <v>11135</v>
      </c>
      <c r="J138" s="25">
        <f>INDEX('Inputs (2)'!$D$20:$AL$20,MATCH(J$7,'Inputs (2)'!$D$2:$AL$2,0))</f>
        <v>11603</v>
      </c>
      <c r="K138" s="25">
        <f>INDEX('Inputs (2)'!$D$20:$AL$20,MATCH(K$7,'Inputs (2)'!$D$2:$AL$2,0))</f>
        <v>11134</v>
      </c>
      <c r="L138" s="25">
        <f>INDEX('Inputs (2)'!$D$20:$AL$20,MATCH(L$7,'Inputs (2)'!$D$2:$AL$2,0))</f>
        <v>11686</v>
      </c>
      <c r="M138" s="3">
        <f>L138</f>
        <v>11686</v>
      </c>
      <c r="N138" s="25">
        <f>INDEX('Inputs (2)'!$D$20:$AL$20,MATCH(N$7,'Inputs (2)'!$D$2:$AL$2,0))</f>
        <v>11871</v>
      </c>
      <c r="O138" s="25">
        <f>INDEX('Inputs (2)'!$D$20:$AL$20,MATCH(O$7,'Inputs (2)'!$D$2:$AL$2,0))</f>
        <v>11694</v>
      </c>
      <c r="P138" s="25">
        <f>INDEX('Inputs (2)'!$D$20:$AL$20,MATCH(P$7,'Inputs (2)'!$D$2:$AL$2,0))</f>
        <v>11213</v>
      </c>
      <c r="Q138" s="25">
        <f>INDEX('Inputs (2)'!$D$20:$AL$20,MATCH(Q$7,'Inputs (2)'!$D$2:$AL$2,0))</f>
        <v>11655</v>
      </c>
      <c r="R138" s="3">
        <f>Q138</f>
        <v>11655</v>
      </c>
      <c r="S138" s="25">
        <f>INDEX('Inputs (2)'!$D$20:$AL$20,MATCH(S$7,'Inputs (2)'!$D$2:$AL$2,0))</f>
        <v>12008</v>
      </c>
      <c r="T138" s="25">
        <f>INDEX('Inputs (2)'!$D$20:$AL$20,MATCH(T$7,'Inputs (2)'!$D$2:$AL$2,0))</f>
        <v>12451</v>
      </c>
      <c r="U138" s="25">
        <f>INDEX('Inputs (2)'!$D$20:$AL$20,MATCH(U$7,'Inputs (2)'!$D$2:$AL$2,0))</f>
        <v>14746</v>
      </c>
      <c r="V138" s="25">
        <f>INDEX('Inputs (2)'!$D$20:$AL$20,MATCH(V$7,'Inputs (2)'!$D$2:$AL$2,0))</f>
        <v>14096</v>
      </c>
      <c r="W138" s="3">
        <f>V138</f>
        <v>14096</v>
      </c>
      <c r="X138" s="25">
        <f>INDEX('Inputs (2)'!$D$20:$AL$20,MATCH(X$7,'Inputs (2)'!$D$2:$AL$2,0))</f>
        <v>12456</v>
      </c>
      <c r="Y138" s="25">
        <f>INDEX('Inputs (2)'!$D$20:$AL$20,MATCH(Y$7,'Inputs (2)'!$D$2:$AL$2,0))</f>
        <v>12252</v>
      </c>
      <c r="Z138" s="25">
        <f>INDEX('Inputs (2)'!$D$20:$AL$20,MATCH(Z$7,'Inputs (2)'!$D$2:$AL$2,0))</f>
        <v>12910</v>
      </c>
      <c r="AA138" s="25">
        <f>INDEX('Inputs (2)'!$D$20:$AL$20,MATCH(AA$7,'Inputs (2)'!$D$2:$AL$2,0))</f>
        <v>12684</v>
      </c>
      <c r="AB138" s="3">
        <f>AA138</f>
        <v>12684</v>
      </c>
      <c r="AC138" s="25">
        <f>INDEX('Inputs (2)'!$D$20:$AL$20,MATCH(AC$7,'Inputs (2)'!$D$2:$AL$2,0))</f>
        <v>12479</v>
      </c>
      <c r="AD138" s="25">
        <f>INDEX('Inputs (2)'!$D$20:$AL$20,MATCH(AD$7,'Inputs (2)'!$D$2:$AL$2,0))</f>
        <v>13014</v>
      </c>
      <c r="AE138" s="25">
        <f>INDEX('Inputs (2)'!$D$20:$AL$20,MATCH(AE$7,'Inputs (2)'!$D$2:$AL$2,0))</f>
        <v>13176</v>
      </c>
      <c r="AF138" s="25">
        <f>INDEX('Inputs (2)'!$D$20:$AL$20,MATCH(AF$7,'Inputs (2)'!$D$2:$AL$2,0))</f>
        <v>13450</v>
      </c>
      <c r="AG138" s="3">
        <f>AF138</f>
        <v>13450</v>
      </c>
      <c r="AH138" s="3">
        <f>INDEX('Inputs (2)'!$D$20:$AL$20,MATCH(AH$7,'Inputs (2)'!$D$2:$AL$2,0))</f>
        <v>13423</v>
      </c>
      <c r="AI138" s="3">
        <f>INDEX('Inputs (2)'!$D$20:$AL$20,MATCH(AI$7,'Inputs (2)'!$D$2:$AL$2,0))</f>
        <v>13922</v>
      </c>
      <c r="AJ138" s="3">
        <f>AI138</f>
        <v>13922</v>
      </c>
      <c r="AK138" s="3">
        <f>AJ138</f>
        <v>13922</v>
      </c>
      <c r="AL138" s="3">
        <f>AK138</f>
        <v>13922</v>
      </c>
      <c r="AM138" s="3">
        <f>AL138</f>
        <v>13922</v>
      </c>
      <c r="AN138" s="3">
        <f>AM138</f>
        <v>13922</v>
      </c>
      <c r="AO138" s="3">
        <f>AN138</f>
        <v>13922</v>
      </c>
      <c r="AP138" s="3">
        <f>AO138</f>
        <v>13922</v>
      </c>
      <c r="AQ138" s="3">
        <f>AP138</f>
        <v>13922</v>
      </c>
      <c r="AR138" s="3">
        <f>AQ138</f>
        <v>13922</v>
      </c>
      <c r="AS138" s="3">
        <f>AR138</f>
        <v>13922</v>
      </c>
      <c r="AT138" s="3">
        <f>AS138</f>
        <v>13922</v>
      </c>
      <c r="AU138" s="3">
        <f>AT138</f>
        <v>13922</v>
      </c>
      <c r="AV138" s="3">
        <f>AU138</f>
        <v>13922</v>
      </c>
      <c r="AW138" s="3">
        <f>AV138</f>
        <v>13922</v>
      </c>
      <c r="AX138" s="3">
        <f>AW138</f>
        <v>13922</v>
      </c>
      <c r="AY138" s="3">
        <f>AX138</f>
        <v>13922</v>
      </c>
      <c r="AZ138" s="3">
        <f>AY138</f>
        <v>13922</v>
      </c>
      <c r="BA138" s="3">
        <f>AZ138</f>
        <v>13922</v>
      </c>
      <c r="BB138" s="3">
        <f>BA138</f>
        <v>13922</v>
      </c>
      <c r="BC138" s="3">
        <f>BB138</f>
        <v>13922</v>
      </c>
      <c r="BD138" s="3">
        <f>BC138</f>
        <v>13922</v>
      </c>
      <c r="BE138" s="3">
        <f>BD138</f>
        <v>13922</v>
      </c>
      <c r="BF138" s="3">
        <f>BE138</f>
        <v>13922</v>
      </c>
      <c r="BG138" s="3">
        <f>BF138</f>
        <v>13922</v>
      </c>
      <c r="BH138" s="3">
        <f>BG138</f>
        <v>13922</v>
      </c>
      <c r="BI138" s="3">
        <f>BH138</f>
        <v>13922</v>
      </c>
      <c r="BJ138" s="3">
        <f>BI138</f>
        <v>13922</v>
      </c>
      <c r="BK138" s="3">
        <f>BJ138</f>
        <v>13922</v>
      </c>
      <c r="BL138" s="3">
        <f>BK138</f>
        <v>13922</v>
      </c>
      <c r="BM138" s="3">
        <f>BL138</f>
        <v>13922</v>
      </c>
      <c r="BN138" s="3">
        <f>BM138</f>
        <v>13922</v>
      </c>
      <c r="BO138" s="3">
        <f>BN138</f>
        <v>13922</v>
      </c>
      <c r="BP138" s="3">
        <f>BO138</f>
        <v>13922</v>
      </c>
      <c r="BQ138" s="3">
        <f>BP138</f>
        <v>13922</v>
      </c>
      <c r="BR138" s="3">
        <f>BQ138</f>
        <v>13922</v>
      </c>
      <c r="BS138" s="3">
        <f>BR138</f>
        <v>13922</v>
      </c>
      <c r="BT138" s="3">
        <f>BS138</f>
        <v>13922</v>
      </c>
      <c r="BU138" s="3">
        <f>BT138</f>
        <v>13922</v>
      </c>
      <c r="BV138" s="3">
        <f>BU138</f>
        <v>13922</v>
      </c>
      <c r="BW138" s="3">
        <f>BV138</f>
        <v>13922</v>
      </c>
      <c r="BX138" s="3">
        <f>BW138</f>
        <v>13922</v>
      </c>
      <c r="BY138" s="3">
        <f>BX138</f>
        <v>13922</v>
      </c>
      <c r="BZ138" s="3">
        <f>BY138</f>
        <v>13922</v>
      </c>
      <c r="CA138" s="3">
        <f>BZ138</f>
        <v>13922</v>
      </c>
      <c r="CB138" s="3">
        <f>CA138</f>
        <v>13922</v>
      </c>
      <c r="CC138" s="3">
        <f>CB138</f>
        <v>13922</v>
      </c>
      <c r="CD138" s="3">
        <f>CC138</f>
        <v>13922</v>
      </c>
      <c r="CE138" s="3">
        <f>CD138</f>
        <v>13922</v>
      </c>
      <c r="CF138" s="3">
        <f>CE138</f>
        <v>13922</v>
      </c>
      <c r="CG138" s="3">
        <f>CF138</f>
        <v>13922</v>
      </c>
      <c r="CH138" s="3">
        <f>CG138</f>
        <v>13922</v>
      </c>
      <c r="CI138" s="3">
        <f>CH138</f>
        <v>13922</v>
      </c>
      <c r="CJ138" s="3">
        <f>CI138</f>
        <v>13922</v>
      </c>
      <c r="CK138" s="3">
        <f>CJ138</f>
        <v>13922</v>
      </c>
      <c r="CL138" s="3">
        <f>CK138</f>
        <v>13922</v>
      </c>
      <c r="CM138" s="3">
        <f>CL138</f>
        <v>13922</v>
      </c>
      <c r="CN138" s="3">
        <f>CM138</f>
        <v>13922</v>
      </c>
      <c r="CO138" s="3">
        <f>CN138</f>
        <v>13922</v>
      </c>
      <c r="CP138" s="3">
        <f>CO138</f>
        <v>13922</v>
      </c>
      <c r="CQ138" s="3">
        <f>CP138</f>
        <v>13922</v>
      </c>
      <c r="CR138" s="3">
        <f>CQ138</f>
        <v>13922</v>
      </c>
      <c r="CS138" s="3">
        <f>CR138</f>
        <v>13922</v>
      </c>
      <c r="CT138" s="3">
        <f>CS138</f>
        <v>13922</v>
      </c>
      <c r="CU138" s="3">
        <f>CT138</f>
        <v>13922</v>
      </c>
      <c r="CV138" s="3">
        <f>CU138</f>
        <v>13922</v>
      </c>
      <c r="CW138" s="3">
        <f>CV138</f>
        <v>13922</v>
      </c>
      <c r="CX138" s="3">
        <f>CW138</f>
        <v>13922</v>
      </c>
      <c r="CY138" s="3">
        <f>CX138</f>
        <v>13922</v>
      </c>
    </row>
    <row r="139" hidden="1" outlineLevel="1">
      <c r="C139" s="38" t="inlineStr">
        <is>
          <t>%(Var.)</t>
        </is>
      </c>
      <c r="D139" s="3" t="n"/>
      <c r="E139" s="47">
        <f>(E138-D138)/D138</f>
        <v>-0.028306221854609</v>
      </c>
      <c r="F139" s="47">
        <f>(F138-E138)/E138</f>
        <v>0.0211860399129859</v>
      </c>
      <c r="G139" s="47">
        <f>(G138-F138)/F138</f>
        <v>0.0552005186625915</v>
      </c>
      <c r="H139" s="3" t="n"/>
      <c r="I139" s="47">
        <f>(I138-H138)/H138</f>
        <v>-0.0226454840691653</v>
      </c>
      <c r="J139" s="47">
        <f>(J138-I138)/I138</f>
        <v>0.0420296362819937</v>
      </c>
      <c r="K139" s="47">
        <f>(K138-J138)/J138</f>
        <v>-0.0404205808842541</v>
      </c>
      <c r="L139" s="47">
        <f>(L138-K138)/K138</f>
        <v>0.0495778695886474</v>
      </c>
      <c r="M139" s="3" t="n"/>
      <c r="N139" s="47">
        <f>(N138-M138)/M138</f>
        <v>0.0158309087797364</v>
      </c>
      <c r="O139" s="47">
        <f>(O138-N138)/N138</f>
        <v>-0.0149102855698762</v>
      </c>
      <c r="P139" s="47">
        <f>(P138-O138)/O138</f>
        <v>-0.0411322045493415</v>
      </c>
      <c r="Q139" s="47">
        <f>(Q138-P138)/P138</f>
        <v>0.0394185320610006</v>
      </c>
      <c r="R139" s="3" t="n"/>
      <c r="S139" s="47">
        <f>(S138-R138)/R138</f>
        <v>0.0302874302874303</v>
      </c>
      <c r="T139" s="47">
        <f>(T138-S138)/S138</f>
        <v>0.036892071952032</v>
      </c>
      <c r="U139" s="47">
        <f>(U138-T138)/T138</f>
        <v>0.184322544373946</v>
      </c>
      <c r="V139" s="47">
        <f>(V138-U138)/U138</f>
        <v>-0.0440797504407975</v>
      </c>
      <c r="W139" s="3" t="n"/>
      <c r="X139" s="47">
        <f>(X138-W138)/W138</f>
        <v>-0.116345062429058</v>
      </c>
      <c r="Y139" s="47">
        <f>(Y138-X138)/X138</f>
        <v>-0.0163776493256262</v>
      </c>
      <c r="Z139" s="47">
        <f>(Z138-Y138)/Y138</f>
        <v>0.0537055174665361</v>
      </c>
      <c r="AA139" s="47">
        <f>(AA138-Z138)/Z138</f>
        <v>-0.0175058094500387</v>
      </c>
      <c r="AB139" s="3" t="n"/>
      <c r="AC139" s="47">
        <f>(AC138-AB138)/AB138</f>
        <v>-0.0161620939766635</v>
      </c>
      <c r="AD139" s="47">
        <f>(AD138-AC138)/AC138</f>
        <v>0.0428720250020034</v>
      </c>
      <c r="AE139" s="47">
        <f>(AE138-AD138)/AD138</f>
        <v>0.012448132780083</v>
      </c>
      <c r="AF139" s="218">
        <f>(AF138-AE138)/AE138</f>
        <v>0.0207953855494839</v>
      </c>
      <c r="AG139" s="3" t="n"/>
      <c r="AH139" s="3">
        <f>(AH138-AG138)/AG138</f>
        <v>-0.00200743494423792</v>
      </c>
      <c r="AI139" s="3">
        <f>(AI138-AH138)/AH138</f>
        <v>0.0371749981375251</v>
      </c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  <c r="BZ139" s="3" t="n"/>
      <c r="CA139" s="3" t="n"/>
      <c r="CB139" s="3" t="n"/>
      <c r="CC139" s="3" t="n"/>
      <c r="CD139" s="3" t="n"/>
      <c r="CE139" s="3" t="n"/>
      <c r="CF139" s="3" t="n"/>
      <c r="CG139" s="3" t="n"/>
      <c r="CH139" s="3" t="n"/>
      <c r="CI139" s="3" t="n"/>
      <c r="CJ139" s="3" t="n"/>
      <c r="CK139" s="3" t="n"/>
      <c r="CL139" s="3" t="n"/>
      <c r="CM139" s="3" t="n"/>
      <c r="CN139" s="3" t="n"/>
      <c r="CO139" s="3" t="n"/>
      <c r="CP139" s="3" t="n"/>
      <c r="CQ139" s="3" t="n"/>
      <c r="CR139" s="3" t="n"/>
      <c r="CS139" s="3" t="n"/>
      <c r="CT139" s="3" t="n"/>
      <c r="CU139" s="3" t="n"/>
      <c r="CV139" s="3" t="n"/>
      <c r="CW139" s="3" t="n"/>
      <c r="CX139" s="3" t="n"/>
      <c r="CY139" s="3" t="n"/>
    </row>
    <row r="140" hidden="1" outlineLevel="1">
      <c r="C140" s="34" t="n"/>
      <c r="D140" s="3" t="n"/>
      <c r="E140" s="47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52" t="inlineStr">
        <is>
          <t xml:space="preserve">Impostos e Contribuições a Recuperar </t>
        </is>
      </c>
      <c r="D141" s="6" t="n"/>
      <c r="E141" s="6" t="n"/>
      <c r="F141" s="6" t="n"/>
      <c r="G141" s="6" t="n"/>
      <c r="H141" s="3" t="n"/>
      <c r="I141" s="6" t="n"/>
      <c r="J141" s="6" t="n"/>
      <c r="K141" s="6" t="n"/>
      <c r="L141" s="6" t="n"/>
      <c r="M141" s="3" t="n"/>
      <c r="N141" s="6" t="n"/>
      <c r="O141" s="6" t="n"/>
      <c r="P141" s="6" t="n"/>
      <c r="Q141" s="6" t="n"/>
      <c r="R141" s="3" t="n"/>
      <c r="S141" s="6" t="n"/>
      <c r="T141" s="6" t="n"/>
      <c r="U141" s="6" t="n"/>
      <c r="V141" s="6" t="n"/>
      <c r="W141" s="3" t="n"/>
      <c r="X141" s="6" t="n"/>
      <c r="Y141" s="6" t="n"/>
      <c r="Z141" s="6" t="n"/>
      <c r="AA141" s="6" t="n"/>
      <c r="AB141" s="3" t="n"/>
      <c r="AC141" s="6" t="n"/>
      <c r="AD141" s="6" t="n"/>
      <c r="AE141" s="6" t="n"/>
      <c r="AF141" s="6" t="n"/>
      <c r="AG141" s="3">
        <f>AF141</f>
        <v>0</v>
      </c>
      <c r="AH141" s="216">
        <f>AG141*AH15/AG15</f>
        <v>0</v>
      </c>
      <c r="AI141" s="216">
        <f>AH141*AI15/AH15</f>
        <v>0</v>
      </c>
      <c r="AJ141" s="216">
        <f>AI141*AJ15/AI15</f>
        <v>0</v>
      </c>
      <c r="AK141" s="216">
        <f>AJ141*AK15/AJ15</f>
        <v>0</v>
      </c>
      <c r="AL141" s="3">
        <f>AK141</f>
        <v>0</v>
      </c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hidden="1" outlineLevel="1">
      <c r="C142" s="52" t="inlineStr">
        <is>
          <t>Outros Créditos</t>
        </is>
      </c>
      <c r="D142" s="6" t="n"/>
      <c r="E142" s="6" t="n"/>
      <c r="F142" s="6" t="n"/>
      <c r="G142" s="6" t="n"/>
      <c r="H142" s="3" t="n"/>
      <c r="I142" s="6" t="n"/>
      <c r="J142" s="6" t="n"/>
      <c r="K142" s="6" t="n"/>
      <c r="L142" s="6" t="n"/>
      <c r="M142" s="3" t="n"/>
      <c r="N142" s="6" t="n"/>
      <c r="O142" s="6" t="n"/>
      <c r="P142" s="6" t="n"/>
      <c r="Q142" s="6" t="n"/>
      <c r="R142" s="3" t="n"/>
      <c r="S142" s="6" t="n"/>
      <c r="T142" s="6" t="n"/>
      <c r="U142" s="6" t="n"/>
      <c r="V142" s="6" t="n"/>
      <c r="W142" s="3" t="n"/>
      <c r="X142" s="6" t="n"/>
      <c r="Y142" s="6" t="n"/>
      <c r="Z142" s="6" t="n"/>
      <c r="AA142" s="6" t="n"/>
      <c r="AB142" s="3" t="n"/>
      <c r="AC142" s="6" t="n"/>
      <c r="AD142" s="6" t="n"/>
      <c r="AE142" s="6" t="n"/>
      <c r="AF142" s="6" t="n"/>
      <c r="AG142" s="3">
        <f>AF142</f>
        <v>0</v>
      </c>
      <c r="AH142" s="3">
        <f>AG142</f>
        <v>0</v>
      </c>
      <c r="AI142" s="3">
        <f>AH142</f>
        <v>0</v>
      </c>
      <c r="AJ142" s="3">
        <f>AI142</f>
        <v>0</v>
      </c>
      <c r="AK142" s="3">
        <f>AJ142</f>
        <v>0</v>
      </c>
      <c r="AL142" s="3">
        <f>AK142</f>
        <v>0</v>
      </c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>
      <c r="C144" s="26" t="inlineStr">
        <is>
          <t>Equity in affiliates</t>
        </is>
      </c>
      <c r="D144" s="25">
        <f>INDEX('Inputs (2)'!$D$21:$AL$21,MATCH(D$7,'Inputs (2)'!$D$2:$AL$2,0))</f>
        <v>0</v>
      </c>
      <c r="E144" s="25">
        <f>INDEX('Inputs (2)'!$D$21:$AL$21,MATCH(E$7,'Inputs (2)'!$D$2:$AL$2,0))</f>
        <v>0</v>
      </c>
      <c r="F144" s="25">
        <f>INDEX('Inputs (2)'!$D$21:$AL$21,MATCH(F$7,'Inputs (2)'!$D$2:$AL$2,0))</f>
        <v>0</v>
      </c>
      <c r="G144" s="25">
        <f>INDEX('Inputs (2)'!$D$21:$AL$21,MATCH(G$7,'Inputs (2)'!$D$2:$AL$2,0))</f>
        <v>0</v>
      </c>
      <c r="H144" s="3">
        <f>G144</f>
        <v>0</v>
      </c>
      <c r="I144" s="25">
        <f>INDEX('Inputs (2)'!$D$21:$AL$21,MATCH(I$7,'Inputs (2)'!$D$2:$AL$2,0))</f>
        <v>0</v>
      </c>
      <c r="J144" s="25">
        <f>INDEX('Inputs (2)'!$D$21:$AL$21,MATCH(J$7,'Inputs (2)'!$D$2:$AL$2,0))</f>
        <v>0</v>
      </c>
      <c r="K144" s="25">
        <f>INDEX('Inputs (2)'!$D$21:$AL$21,MATCH(K$7,'Inputs (2)'!$D$2:$AL$2,0))</f>
        <v>0</v>
      </c>
      <c r="L144" s="25">
        <f>INDEX('Inputs (2)'!$D$21:$AL$21,MATCH(L$7,'Inputs (2)'!$D$2:$AL$2,0))</f>
        <v>0</v>
      </c>
      <c r="M144" s="3">
        <f>L144</f>
        <v>0</v>
      </c>
      <c r="N144" s="25">
        <f>INDEX('Inputs (2)'!$D$21:$AL$21,MATCH(N$7,'Inputs (2)'!$D$2:$AL$2,0))</f>
        <v>0</v>
      </c>
      <c r="O144" s="25">
        <f>INDEX('Inputs (2)'!$D$21:$AL$21,MATCH(O$7,'Inputs (2)'!$D$2:$AL$2,0))</f>
        <v>0</v>
      </c>
      <c r="P144" s="25">
        <f>INDEX('Inputs (2)'!$D$21:$AL$21,MATCH(P$7,'Inputs (2)'!$D$2:$AL$2,0))</f>
        <v>0</v>
      </c>
      <c r="Q144" s="25">
        <f>INDEX('Inputs (2)'!$D$21:$AL$21,MATCH(Q$7,'Inputs (2)'!$D$2:$AL$2,0))</f>
        <v>0</v>
      </c>
      <c r="R144" s="3">
        <f>Q144</f>
        <v>0</v>
      </c>
      <c r="S144" s="25">
        <f>INDEX('Inputs (2)'!$D$21:$AL$21,MATCH(S$7,'Inputs (2)'!$D$2:$AL$2,0))</f>
        <v>0</v>
      </c>
      <c r="T144" s="25">
        <f>INDEX('Inputs (2)'!$D$21:$AL$21,MATCH(T$7,'Inputs (2)'!$D$2:$AL$2,0))</f>
        <v>0</v>
      </c>
      <c r="U144" s="25">
        <f>INDEX('Inputs (2)'!$D$21:$AL$21,MATCH(U$7,'Inputs (2)'!$D$2:$AL$2,0))</f>
        <v>0</v>
      </c>
      <c r="V144" s="25">
        <f>INDEX('Inputs (2)'!$D$21:$AL$21,MATCH(V$7,'Inputs (2)'!$D$2:$AL$2,0))</f>
        <v>0</v>
      </c>
      <c r="W144" s="3">
        <f>V144</f>
        <v>0</v>
      </c>
      <c r="X144" s="25">
        <f>INDEX('Inputs (2)'!$D$21:$AL$21,MATCH(X$7,'Inputs (2)'!$D$2:$AL$2,0))</f>
        <v>0</v>
      </c>
      <c r="Y144" s="25">
        <f>INDEX('Inputs (2)'!$D$21:$AL$21,MATCH(Y$7,'Inputs (2)'!$D$2:$AL$2,0))</f>
        <v>0</v>
      </c>
      <c r="Z144" s="25">
        <f>INDEX('Inputs (2)'!$D$21:$AL$21,MATCH(Z$7,'Inputs (2)'!$D$2:$AL$2,0))</f>
        <v>0</v>
      </c>
      <c r="AA144" s="25">
        <f>INDEX('Inputs (2)'!$D$21:$AL$21,MATCH(AA$7,'Inputs (2)'!$D$2:$AL$2,0))</f>
        <v>0</v>
      </c>
      <c r="AB144" s="3">
        <f>AA144</f>
        <v>0</v>
      </c>
      <c r="AC144" s="25">
        <f>INDEX('Inputs (2)'!$D$21:$AL$21,MATCH(AC$7,'Inputs (2)'!$D$2:$AL$2,0))</f>
        <v>0</v>
      </c>
      <c r="AD144" s="25">
        <f>INDEX('Inputs (2)'!$D$21:$AL$21,MATCH(AD$7,'Inputs (2)'!$D$2:$AL$2,0))</f>
        <v>0</v>
      </c>
      <c r="AE144" s="25">
        <f>INDEX('Inputs (2)'!$D$21:$AL$21,MATCH(AE$7,'Inputs (2)'!$D$2:$AL$2,0))</f>
        <v>0</v>
      </c>
      <c r="AF144" s="25">
        <f>INDEX('Inputs (2)'!$D$21:$AL$21,MATCH(AF$7,'Inputs (2)'!$D$2:$AL$2,0))</f>
        <v>0</v>
      </c>
      <c r="AG144" s="3">
        <f>AF144</f>
        <v>0</v>
      </c>
      <c r="AH144" s="3">
        <f>INDEX('Inputs (2)'!$D$21:$AL$21,MATCH(AH$7,'Inputs (2)'!$D$2:$AL$2,0))</f>
        <v>0</v>
      </c>
      <c r="AI144" s="3">
        <f>INDEX('Inputs (2)'!$D$21:$AL$21,MATCH(AI$7,'Inputs (2)'!$D$2:$AL$2,0))</f>
        <v>0</v>
      </c>
      <c r="AJ144" s="3">
        <f>AI144+AJ118+AJ147</f>
        <v>8</v>
      </c>
      <c r="AK144" s="3">
        <f>AJ144+AK118+AK147</f>
        <v>95</v>
      </c>
      <c r="AL144" s="3">
        <f>AK144</f>
        <v>95</v>
      </c>
      <c r="AM144" s="3">
        <f>AL144+AM118+AM147</f>
        <v>102</v>
      </c>
      <c r="AN144" s="3">
        <f>AM144+AN118+AN147</f>
        <v>192</v>
      </c>
      <c r="AO144" s="3">
        <f>AN144+AO118+AO147</f>
        <v>200</v>
      </c>
      <c r="AP144" s="3">
        <f>AO144+AP118+AP147</f>
        <v>287</v>
      </c>
      <c r="AQ144" s="3">
        <f>AP144</f>
        <v>287</v>
      </c>
      <c r="AR144" s="3">
        <f>AQ144+AR118+AR147</f>
        <v>294</v>
      </c>
      <c r="AS144" s="3">
        <f>AR144+AS118+AS147</f>
        <v>384</v>
      </c>
      <c r="AT144" s="3">
        <f>AS144+AT118+AT147</f>
        <v>392</v>
      </c>
      <c r="AU144" s="3">
        <f>AT144+AU118+AU147</f>
        <v>479</v>
      </c>
      <c r="AV144" s="3">
        <f>AU144</f>
        <v>479</v>
      </c>
      <c r="AW144" s="3">
        <f>AV144+AW118+AW147</f>
        <v>486</v>
      </c>
      <c r="AX144" s="3">
        <f>AW144+AX118+AX147</f>
        <v>576</v>
      </c>
      <c r="AY144" s="3">
        <f>AX144+AY118+AY147</f>
        <v>584</v>
      </c>
      <c r="AZ144" s="3">
        <f>AY144+AZ118+AZ147</f>
        <v>671</v>
      </c>
      <c r="BA144" s="3">
        <f>AZ144</f>
        <v>671</v>
      </c>
      <c r="BB144" s="3">
        <f>BA144+BB118+BB147</f>
        <v>678</v>
      </c>
      <c r="BC144" s="3">
        <f>BB144+BC118+BC147</f>
        <v>768</v>
      </c>
      <c r="BD144" s="3">
        <f>BC144+BD118+BD147</f>
        <v>776</v>
      </c>
      <c r="BE144" s="3">
        <f>BD144+BE118+BE147</f>
        <v>863</v>
      </c>
      <c r="BF144" s="3">
        <f>BE144</f>
        <v>863</v>
      </c>
      <c r="BG144" s="3">
        <f>BF144+BG118+BG147</f>
        <v>870</v>
      </c>
      <c r="BH144" s="3">
        <f>BG144+BH118+BH147</f>
        <v>960</v>
      </c>
      <c r="BI144" s="3">
        <f>BH144+BI118+BI147</f>
        <v>968</v>
      </c>
      <c r="BJ144" s="3">
        <f>BI144+BJ118+BJ147</f>
        <v>1055</v>
      </c>
      <c r="BK144" s="3">
        <f>BJ144</f>
        <v>1055</v>
      </c>
      <c r="BL144" s="3">
        <f>BK144+BL118+BL147</f>
        <v>1062</v>
      </c>
      <c r="BM144" s="3">
        <f>BL144+BM118+BM147</f>
        <v>1152</v>
      </c>
      <c r="BN144" s="3">
        <f>BM144+BN118+BN147</f>
        <v>1160</v>
      </c>
      <c r="BO144" s="3">
        <f>BN144+BO118+BO147</f>
        <v>1247</v>
      </c>
      <c r="BP144" s="3">
        <f>BO144</f>
        <v>1247</v>
      </c>
      <c r="BQ144" s="3">
        <f>BP144+BQ118+BQ147</f>
        <v>1254</v>
      </c>
      <c r="BR144" s="3">
        <f>BQ144+BR118+BR147</f>
        <v>1344</v>
      </c>
      <c r="BS144" s="3">
        <f>BR144+BS118+BS147</f>
        <v>1352</v>
      </c>
      <c r="BT144" s="3">
        <f>BS144+BT118+BT147</f>
        <v>1439</v>
      </c>
      <c r="BU144" s="3">
        <f>BT144</f>
        <v>1439</v>
      </c>
      <c r="BV144" s="3">
        <f>BU144+BV118+BV147</f>
        <v>1446</v>
      </c>
      <c r="BW144" s="3">
        <f>BV144+BW118+BW147</f>
        <v>1536</v>
      </c>
      <c r="BX144" s="3">
        <f>BW144+BX118+BX147</f>
        <v>1544</v>
      </c>
      <c r="BY144" s="3">
        <f>BX144+BY118+BY147</f>
        <v>1631</v>
      </c>
      <c r="BZ144" s="3">
        <f>BY144</f>
        <v>1631</v>
      </c>
      <c r="CA144" s="3">
        <f>BZ144+CA118+CA147</f>
        <v>1638</v>
      </c>
      <c r="CB144" s="3">
        <f>CA144+CB118+CB147</f>
        <v>1728</v>
      </c>
      <c r="CC144" s="3">
        <f>CB144+CC118+CC147</f>
        <v>1736</v>
      </c>
      <c r="CD144" s="3">
        <f>CC144+CD118+CD147</f>
        <v>1823</v>
      </c>
      <c r="CE144" s="3">
        <f>CD144</f>
        <v>1823</v>
      </c>
      <c r="CF144" s="3">
        <f>CE144+CF118+CF147</f>
        <v>1830</v>
      </c>
      <c r="CG144" s="3">
        <f>CF144+CG118+CG147</f>
        <v>1920</v>
      </c>
      <c r="CH144" s="3">
        <f>CG144+CH118+CH147</f>
        <v>1928</v>
      </c>
      <c r="CI144" s="3">
        <f>CH144+CI118+CI147</f>
        <v>2015</v>
      </c>
      <c r="CJ144" s="3">
        <f>CI144</f>
        <v>2015</v>
      </c>
      <c r="CK144" s="3">
        <f>CJ144+CK118+CK147</f>
        <v>2022</v>
      </c>
      <c r="CL144" s="3">
        <f>CK144+CL118+CL147</f>
        <v>2112</v>
      </c>
      <c r="CM144" s="3">
        <f>CL144+CM118+CM147</f>
        <v>2120</v>
      </c>
      <c r="CN144" s="3">
        <f>CM144+CN118+CN147</f>
        <v>2207</v>
      </c>
      <c r="CO144" s="3">
        <f>CN144</f>
        <v>2207</v>
      </c>
      <c r="CP144" s="3">
        <f>CO144+CP118+CP147</f>
        <v>2214</v>
      </c>
      <c r="CQ144" s="3">
        <f>CP144+CQ118+CQ147</f>
        <v>2304</v>
      </c>
      <c r="CR144" s="3">
        <f>CQ144+CR118+CR147</f>
        <v>2312</v>
      </c>
      <c r="CS144" s="3">
        <f>CR144+CS118+CS147</f>
        <v>2399</v>
      </c>
      <c r="CT144" s="3">
        <f>CS144</f>
        <v>2399</v>
      </c>
      <c r="CU144" s="3">
        <f>CT144+CU118+CU147</f>
        <v>2406</v>
      </c>
      <c r="CV144" s="3">
        <f>CU144+CV118+CV147</f>
        <v>2496</v>
      </c>
      <c r="CW144" s="3">
        <f>CV144+CW118+CW147</f>
        <v>2504</v>
      </c>
      <c r="CX144" s="3">
        <f>CW144+CX118+CX147</f>
        <v>2591</v>
      </c>
      <c r="CY144" s="3">
        <f>CX144</f>
        <v>2591</v>
      </c>
    </row>
    <row r="145" hidden="1" outlineLevel="1">
      <c r="C145" s="3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</row>
    <row r="146" hidden="1" outlineLevel="1">
      <c r="C146" s="34" t="inlineStr">
        <is>
          <t>Equity in Income - % YoY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>
        <f>IF(I118=0,0,N118/I118-1)</f>
        <v>-0.222222222222222</v>
      </c>
      <c r="O146" s="3">
        <f>IF(J118=0,0,O118/J118-1)</f>
        <v>-0.714285714285714</v>
      </c>
      <c r="P146" s="3">
        <f>IF(K118=0,0,P118/K118-1)</f>
        <v>-0.571428571428571</v>
      </c>
      <c r="Q146" s="3">
        <f>IF(L118=0,0,Q118/L118-1)</f>
        <v>-0.923076923076923</v>
      </c>
      <c r="R146" s="3" t="n"/>
      <c r="S146" s="3">
        <f>IF(N118=0,0,S118/N118-1)</f>
        <v>1.28571428571429</v>
      </c>
      <c r="T146" s="3">
        <f>IF(O118=0,0,T118/O118-1)</f>
        <v>5</v>
      </c>
      <c r="U146" s="3">
        <f>IF(P118=0,0,U118/P118-1)</f>
        <v>0.333333333333333</v>
      </c>
      <c r="V146" s="3">
        <f>IF(Q118=0,0,V118/Q118-1)</f>
        <v>-12</v>
      </c>
      <c r="W146" s="3" t="n"/>
      <c r="X146" s="3">
        <f>IF(S118=0,0,X118/S118-1)</f>
        <v>-0.375</v>
      </c>
      <c r="Y146" s="3">
        <f>IF(T118=0,0,Y118/T118-1)</f>
        <v>-0.291666666666667</v>
      </c>
      <c r="Z146" s="3">
        <f>IF(U118=0,0,Z118/U118-1)</f>
        <v>-0.416666666666667</v>
      </c>
      <c r="AA146" s="3">
        <f>IF(V118=0,0,AA118/V118-1)</f>
        <v>-0.0909090909090909</v>
      </c>
      <c r="AB146" s="3" t="n"/>
      <c r="AC146" s="3">
        <f>IF(X118=0,0,AC118/X118-1)</f>
        <v>-0.3</v>
      </c>
      <c r="AD146" s="3">
        <f>IF(Y118=0,0,AD118/Y118-1)</f>
        <v>-0.588235294117647</v>
      </c>
      <c r="AE146" s="3">
        <f>IF(Z118=0,0,AE118/Z118-1)</f>
        <v>0.142857142857143</v>
      </c>
      <c r="AF146" s="3">
        <f>IF(AA118=0,0,AF118/AA118-1)</f>
        <v>7.7</v>
      </c>
      <c r="AG146" s="3" t="n"/>
      <c r="AH146" s="6">
        <f>IF(AC118=0,0,AH118/AC118-1)</f>
        <v>0</v>
      </c>
      <c r="AI146" s="6">
        <f>IF(AD118=0,0,AI118/AD118-1)</f>
        <v>11.8571428571429</v>
      </c>
      <c r="AJ146" s="6" t="n"/>
      <c r="AK146" s="6" t="n"/>
      <c r="AL146" s="3" t="n"/>
      <c r="AM146" s="6" t="n"/>
      <c r="AN146" s="6" t="n"/>
      <c r="AO146" s="6" t="n"/>
      <c r="AP146" s="6" t="n"/>
      <c r="AQ146" s="3" t="n"/>
      <c r="AR146" s="6" t="n"/>
      <c r="AS146" s="6" t="n"/>
      <c r="AT146" s="6" t="n"/>
      <c r="AU146" s="6" t="n"/>
      <c r="AV146" s="3" t="n"/>
      <c r="AW146" s="6" t="n"/>
      <c r="AX146" s="6" t="n"/>
      <c r="AY146" s="6" t="n"/>
      <c r="AZ146" s="6" t="n"/>
      <c r="BA146" s="3" t="n"/>
      <c r="BB146" s="6" t="n"/>
      <c r="BC146" s="6" t="n"/>
      <c r="BD146" s="6" t="n"/>
      <c r="BE146" s="6" t="n"/>
      <c r="BF146" s="3" t="n"/>
      <c r="BG146" s="6" t="n"/>
      <c r="BH146" s="6" t="n"/>
      <c r="BI146" s="6" t="n"/>
      <c r="BJ146" s="6" t="n"/>
      <c r="BK146" s="3" t="n"/>
      <c r="BL146" s="6" t="n"/>
      <c r="BM146" s="6" t="n"/>
      <c r="BN146" s="6" t="n"/>
      <c r="BO146" s="6" t="n"/>
      <c r="BP146" s="3" t="n"/>
      <c r="BQ146" s="6" t="n"/>
      <c r="BR146" s="6" t="n"/>
      <c r="BS146" s="6" t="n"/>
      <c r="BT146" s="6" t="n"/>
      <c r="BU146" s="3" t="n"/>
      <c r="BV146" s="6" t="n"/>
      <c r="BW146" s="6" t="n"/>
      <c r="BX146" s="6" t="n"/>
      <c r="BY146" s="6" t="n"/>
      <c r="BZ146" s="3" t="n"/>
      <c r="CA146" s="6" t="n"/>
      <c r="CB146" s="6" t="n"/>
      <c r="CC146" s="6" t="n"/>
      <c r="CD146" s="6" t="n"/>
      <c r="CE146" s="3" t="n"/>
      <c r="CF146" s="6" t="n"/>
      <c r="CG146" s="6" t="n"/>
      <c r="CH146" s="6" t="n"/>
      <c r="CI146" s="6" t="n"/>
      <c r="CJ146" s="3" t="n"/>
      <c r="CK146" s="6" t="n"/>
      <c r="CL146" s="6" t="n"/>
      <c r="CM146" s="6" t="n"/>
      <c r="CN146" s="6" t="n"/>
      <c r="CO146" s="3" t="n"/>
      <c r="CP146" s="6" t="n"/>
      <c r="CQ146" s="6" t="n"/>
      <c r="CR146" s="6" t="n"/>
      <c r="CS146" s="6" t="n"/>
      <c r="CT146" s="3" t="n"/>
      <c r="CU146" s="6" t="n"/>
      <c r="CV146" s="6" t="n"/>
      <c r="CW146" s="6" t="n"/>
      <c r="CX146" s="6" t="n"/>
      <c r="CY146" s="3" t="n"/>
    </row>
    <row r="147" hidden="1" outlineLevel="1">
      <c r="C147" s="34" t="inlineStr">
        <is>
          <t>Dividends (enter as -)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6" t="n"/>
      <c r="AI147" s="6" t="n"/>
      <c r="AJ147" s="6" t="n"/>
      <c r="AK147" s="6" t="n"/>
      <c r="AL147" s="3" t="n"/>
      <c r="AM147" s="6" t="n"/>
      <c r="AN147" s="6" t="n"/>
      <c r="AO147" s="6" t="n"/>
      <c r="AP147" s="6" t="n"/>
      <c r="AQ147" s="3" t="n"/>
      <c r="AR147" s="6" t="n"/>
      <c r="AS147" s="6" t="n"/>
      <c r="AT147" s="6" t="n"/>
      <c r="AU147" s="6" t="n"/>
      <c r="AV147" s="3" t="n"/>
      <c r="AW147" s="6" t="n"/>
      <c r="AX147" s="6" t="n"/>
      <c r="AY147" s="6" t="n"/>
      <c r="AZ147" s="6" t="n"/>
      <c r="BA147" s="3" t="n"/>
      <c r="BB147" s="6" t="n"/>
      <c r="BC147" s="6" t="n"/>
      <c r="BD147" s="6" t="n"/>
      <c r="BE147" s="6" t="n"/>
      <c r="BF147" s="3" t="n"/>
      <c r="BG147" s="6" t="n"/>
      <c r="BH147" s="6" t="n"/>
      <c r="BI147" s="6" t="n"/>
      <c r="BJ147" s="6" t="n"/>
      <c r="BK147" s="3" t="n"/>
      <c r="BL147" s="6" t="n"/>
      <c r="BM147" s="6" t="n"/>
      <c r="BN147" s="6" t="n"/>
      <c r="BO147" s="6" t="n"/>
      <c r="BP147" s="3" t="n"/>
      <c r="BQ147" s="6" t="n"/>
      <c r="BR147" s="6" t="n"/>
      <c r="BS147" s="6" t="n"/>
      <c r="BT147" s="6" t="n"/>
      <c r="BU147" s="3" t="n"/>
      <c r="BV147" s="6" t="n"/>
      <c r="BW147" s="6" t="n"/>
      <c r="BX147" s="6" t="n"/>
      <c r="BY147" s="6" t="n"/>
      <c r="BZ147" s="3" t="n"/>
      <c r="CA147" s="6" t="n"/>
      <c r="CB147" s="6" t="n"/>
      <c r="CC147" s="6" t="n"/>
      <c r="CD147" s="6" t="n"/>
      <c r="CE147" s="3" t="n"/>
      <c r="CF147" s="6" t="n"/>
      <c r="CG147" s="6" t="n"/>
      <c r="CH147" s="6" t="n"/>
      <c r="CI147" s="6" t="n"/>
      <c r="CJ147" s="3" t="n"/>
      <c r="CK147" s="6" t="n"/>
      <c r="CL147" s="6" t="n"/>
      <c r="CM147" s="6" t="n"/>
      <c r="CN147" s="6" t="n"/>
      <c r="CO147" s="3" t="n"/>
      <c r="CP147" s="6" t="n"/>
      <c r="CQ147" s="6" t="n"/>
      <c r="CR147" s="6" t="n"/>
      <c r="CS147" s="6" t="n"/>
      <c r="CT147" s="3" t="n"/>
      <c r="CU147" s="6" t="n"/>
      <c r="CV147" s="6" t="n"/>
      <c r="CW147" s="6" t="n"/>
      <c r="CX147" s="6" t="n"/>
      <c r="CY147" s="3" t="n"/>
    </row>
    <row r="148" hidden="1" outlineLevel="1">
      <c r="C148" s="34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  <c r="BZ148" s="3" t="n"/>
      <c r="CA148" s="3" t="n"/>
      <c r="CB148" s="3" t="n"/>
      <c r="CC148" s="3" t="n"/>
      <c r="CD148" s="3" t="n"/>
      <c r="CE148" s="3" t="n"/>
      <c r="CF148" s="3" t="n"/>
      <c r="CG148" s="3" t="n"/>
      <c r="CH148" s="3" t="n"/>
      <c r="CI148" s="3" t="n"/>
      <c r="CJ148" s="3" t="n"/>
      <c r="CK148" s="3" t="n"/>
      <c r="CL148" s="3" t="n"/>
      <c r="CM148" s="3" t="n"/>
      <c r="CN148" s="3" t="n"/>
      <c r="CO148" s="3" t="n"/>
      <c r="CP148" s="3" t="n"/>
      <c r="CQ148" s="3" t="n"/>
      <c r="CR148" s="3" t="n"/>
      <c r="CS148" s="3" t="n"/>
      <c r="CT148" s="3" t="n"/>
      <c r="CU148" s="3" t="n"/>
      <c r="CV148" s="3" t="n"/>
      <c r="CW148" s="3" t="n"/>
      <c r="CX148" s="3" t="n"/>
      <c r="CY148" s="3" t="n"/>
    </row>
    <row r="149" collapsed="1">
      <c r="C149" s="26" t="inlineStr">
        <is>
          <t>PP&amp;E</t>
        </is>
      </c>
      <c r="D149" s="25">
        <f>INDEX('Inputs (2)'!$D$22:$AL$22,MATCH(D$7,'Inputs (2)'!$D$2:$AL$2,0))</f>
        <v>12488</v>
      </c>
      <c r="E149" s="25">
        <f>INDEX('Inputs (2)'!$D$22:$AL$22,MATCH(E$7,'Inputs (2)'!$D$2:$AL$2,0))</f>
        <v>12357</v>
      </c>
      <c r="F149" s="25">
        <f>INDEX('Inputs (2)'!$D$22:$AL$22,MATCH(F$7,'Inputs (2)'!$D$2:$AL$2,0))</f>
        <v>12232</v>
      </c>
      <c r="G149" s="25">
        <f>INDEX('Inputs (2)'!$D$22:$AL$22,MATCH(G$7,'Inputs (2)'!$D$2:$AL$2,0))</f>
        <v>12401</v>
      </c>
      <c r="H149" s="3">
        <f>G149</f>
        <v>12401</v>
      </c>
      <c r="I149" s="25">
        <f>INDEX('Inputs (2)'!$D$22:$AL$22,MATCH(I$7,'Inputs (2)'!$D$2:$AL$2,0))</f>
        <v>12132</v>
      </c>
      <c r="J149" s="25">
        <f>INDEX('Inputs (2)'!$D$22:$AL$22,MATCH(J$7,'Inputs (2)'!$D$2:$AL$2,0))</f>
        <v>12014</v>
      </c>
      <c r="K149" s="25">
        <f>INDEX('Inputs (2)'!$D$22:$AL$22,MATCH(K$7,'Inputs (2)'!$D$2:$AL$2,0))</f>
        <v>11904</v>
      </c>
      <c r="L149" s="25">
        <f>INDEX('Inputs (2)'!$D$22:$AL$22,MATCH(L$7,'Inputs (2)'!$D$2:$AL$2,0))</f>
        <v>12090</v>
      </c>
      <c r="M149" s="3">
        <f>L149</f>
        <v>12090</v>
      </c>
      <c r="N149" s="25">
        <f>INDEX('Inputs (2)'!$D$22:$AL$22,MATCH(N$7,'Inputs (2)'!$D$2:$AL$2,0))</f>
        <v>11932</v>
      </c>
      <c r="O149" s="25">
        <f>INDEX('Inputs (2)'!$D$22:$AL$22,MATCH(O$7,'Inputs (2)'!$D$2:$AL$2,0))</f>
        <v>11744</v>
      </c>
      <c r="P149" s="25">
        <f>INDEX('Inputs (2)'!$D$22:$AL$22,MATCH(P$7,'Inputs (2)'!$D$2:$AL$2,0))</f>
        <v>11643</v>
      </c>
      <c r="Q149" s="25">
        <f>INDEX('Inputs (2)'!$D$22:$AL$22,MATCH(Q$7,'Inputs (2)'!$D$2:$AL$2,0))</f>
        <v>12028</v>
      </c>
      <c r="R149" s="3">
        <f>Q149</f>
        <v>12028</v>
      </c>
      <c r="S149" s="25">
        <f>INDEX('Inputs (2)'!$D$22:$AL$22,MATCH(S$7,'Inputs (2)'!$D$2:$AL$2,0))</f>
        <v>11973</v>
      </c>
      <c r="T149" s="25">
        <f>INDEX('Inputs (2)'!$D$22:$AL$22,MATCH(T$7,'Inputs (2)'!$D$2:$AL$2,0))</f>
        <v>12124</v>
      </c>
      <c r="U149" s="25">
        <f>INDEX('Inputs (2)'!$D$22:$AL$22,MATCH(U$7,'Inputs (2)'!$D$2:$AL$2,0))</f>
        <v>12287</v>
      </c>
      <c r="V149" s="25">
        <f>INDEX('Inputs (2)'!$D$22:$AL$22,MATCH(V$7,'Inputs (2)'!$D$2:$AL$2,0))</f>
        <v>12680</v>
      </c>
      <c r="W149" s="3">
        <f>V149</f>
        <v>12680</v>
      </c>
      <c r="X149" s="25">
        <f>INDEX('Inputs (2)'!$D$22:$AL$22,MATCH(X$7,'Inputs (2)'!$D$2:$AL$2,0))</f>
        <v>12538</v>
      </c>
      <c r="Y149" s="25">
        <f>INDEX('Inputs (2)'!$D$22:$AL$22,MATCH(Y$7,'Inputs (2)'!$D$2:$AL$2,0))</f>
        <v>12582</v>
      </c>
      <c r="Z149" s="25">
        <f>INDEX('Inputs (2)'!$D$22:$AL$22,MATCH(Z$7,'Inputs (2)'!$D$2:$AL$2,0))</f>
        <v>12837</v>
      </c>
      <c r="AA149" s="25">
        <f>INDEX('Inputs (2)'!$D$22:$AL$22,MATCH(AA$7,'Inputs (2)'!$D$2:$AL$2,0))</f>
        <v>13361</v>
      </c>
      <c r="AB149" s="3">
        <f>AA149</f>
        <v>13361</v>
      </c>
      <c r="AC149" s="25">
        <f>INDEX('Inputs (2)'!$D$22:$AL$22,MATCH(AC$7,'Inputs (2)'!$D$2:$AL$2,0))</f>
        <v>13432</v>
      </c>
      <c r="AD149" s="25">
        <f>INDEX('Inputs (2)'!$D$22:$AL$22,MATCH(AD$7,'Inputs (2)'!$D$2:$AL$2,0))</f>
        <v>13896</v>
      </c>
      <c r="AE149" s="25">
        <f>INDEX('Inputs (2)'!$D$22:$AL$22,MATCH(AE$7,'Inputs (2)'!$D$2:$AL$2,0))</f>
        <v>14310</v>
      </c>
      <c r="AF149" s="25">
        <f>INDEX('Inputs (2)'!$D$22:$AL$22,MATCH(AF$7,'Inputs (2)'!$D$2:$AL$2,0))</f>
        <v>15140</v>
      </c>
      <c r="AG149" s="3">
        <f>AF149</f>
        <v>15140</v>
      </c>
      <c r="AH149" s="3">
        <f>INDEX('Inputs (2)'!$D$22:$AL$22,MATCH(AH$7,'Inputs (2)'!$D$2:$AL$2,0))</f>
        <v>15249</v>
      </c>
      <c r="AI149" s="3">
        <f>INDEX('Inputs (2)'!$D$22:$AL$22,MATCH(AI$7,'Inputs (2)'!$D$2:$AL$2,0))</f>
        <v>15628</v>
      </c>
      <c r="AJ149" s="3">
        <f>AJ154</f>
        <v>15628</v>
      </c>
      <c r="AK149" s="3">
        <f>AK154</f>
        <v>15628</v>
      </c>
      <c r="AL149" s="3">
        <f>AK149</f>
        <v>15628</v>
      </c>
      <c r="AM149" s="3">
        <f>AM154</f>
        <v>15628</v>
      </c>
      <c r="AN149" s="3">
        <f>AN154</f>
        <v>15628</v>
      </c>
      <c r="AO149" s="3">
        <f>AO154</f>
        <v>15628</v>
      </c>
      <c r="AP149" s="3">
        <f>AP154</f>
        <v>15628</v>
      </c>
      <c r="AQ149" s="3">
        <f>AP149</f>
        <v>15628</v>
      </c>
      <c r="AR149" s="3">
        <f>AR154</f>
        <v>15628</v>
      </c>
      <c r="AS149" s="3">
        <f>AS154</f>
        <v>15628</v>
      </c>
      <c r="AT149" s="3">
        <f>AT154</f>
        <v>15628</v>
      </c>
      <c r="AU149" s="3">
        <f>AU154</f>
        <v>15628</v>
      </c>
      <c r="AV149" s="3">
        <f>AU149</f>
        <v>15628</v>
      </c>
      <c r="AW149" s="3">
        <f>AW154</f>
        <v>15628</v>
      </c>
      <c r="AX149" s="3">
        <f>AX154</f>
        <v>15628</v>
      </c>
      <c r="AY149" s="3">
        <f>AY154</f>
        <v>15628</v>
      </c>
      <c r="AZ149" s="3">
        <f>AZ154</f>
        <v>15628</v>
      </c>
      <c r="BA149" s="3">
        <f>AZ149</f>
        <v>15628</v>
      </c>
      <c r="BB149" s="3">
        <f>BB154</f>
        <v>15628</v>
      </c>
      <c r="BC149" s="3">
        <f>BC154</f>
        <v>15628</v>
      </c>
      <c r="BD149" s="3">
        <f>BD154</f>
        <v>15628</v>
      </c>
      <c r="BE149" s="3">
        <f>BE154</f>
        <v>15628</v>
      </c>
      <c r="BF149" s="3">
        <f>BE149</f>
        <v>15628</v>
      </c>
      <c r="BG149" s="3">
        <f>BG154</f>
        <v>15628</v>
      </c>
      <c r="BH149" s="3">
        <f>BH154</f>
        <v>15628</v>
      </c>
      <c r="BI149" s="3">
        <f>BI154</f>
        <v>15628</v>
      </c>
      <c r="BJ149" s="3">
        <f>BJ154</f>
        <v>15628</v>
      </c>
      <c r="BK149" s="3">
        <f>BJ149</f>
        <v>15628</v>
      </c>
      <c r="BL149" s="3">
        <f>BL154</f>
        <v>15628</v>
      </c>
      <c r="BM149" s="3">
        <f>BM154</f>
        <v>15628</v>
      </c>
      <c r="BN149" s="3">
        <f>BN154</f>
        <v>15628</v>
      </c>
      <c r="BO149" s="3">
        <f>BO154</f>
        <v>15628</v>
      </c>
      <c r="BP149" s="3">
        <f>BO149</f>
        <v>15628</v>
      </c>
      <c r="BQ149" s="3">
        <f>BQ154</f>
        <v>15628</v>
      </c>
      <c r="BR149" s="3">
        <f>BR154</f>
        <v>15628</v>
      </c>
      <c r="BS149" s="3">
        <f>BS154</f>
        <v>15628</v>
      </c>
      <c r="BT149" s="3">
        <f>BT154</f>
        <v>15628</v>
      </c>
      <c r="BU149" s="3">
        <f>BT149</f>
        <v>15628</v>
      </c>
      <c r="BV149" s="3">
        <f>BV154</f>
        <v>15628</v>
      </c>
      <c r="BW149" s="3">
        <f>BW154</f>
        <v>15628</v>
      </c>
      <c r="BX149" s="3">
        <f>BX154</f>
        <v>15628</v>
      </c>
      <c r="BY149" s="3">
        <f>BY154</f>
        <v>15628</v>
      </c>
      <c r="BZ149" s="3">
        <f>BY149</f>
        <v>15628</v>
      </c>
      <c r="CA149" s="3">
        <f>CA154</f>
        <v>15628</v>
      </c>
      <c r="CB149" s="3">
        <f>CB154</f>
        <v>15628</v>
      </c>
      <c r="CC149" s="3">
        <f>CC154</f>
        <v>15628</v>
      </c>
      <c r="CD149" s="3">
        <f>CD154</f>
        <v>15628</v>
      </c>
      <c r="CE149" s="3">
        <f>CD149</f>
        <v>15628</v>
      </c>
      <c r="CF149" s="3">
        <f>CF154</f>
        <v>15628</v>
      </c>
      <c r="CG149" s="3">
        <f>CG154</f>
        <v>15628</v>
      </c>
      <c r="CH149" s="3">
        <f>CH154</f>
        <v>15628</v>
      </c>
      <c r="CI149" s="3">
        <f>CI154</f>
        <v>15628</v>
      </c>
      <c r="CJ149" s="3">
        <f>CI149</f>
        <v>15628</v>
      </c>
      <c r="CK149" s="3">
        <f>CK154</f>
        <v>15628</v>
      </c>
      <c r="CL149" s="3">
        <f>CL154</f>
        <v>15628</v>
      </c>
      <c r="CM149" s="3">
        <f>CM154</f>
        <v>15628</v>
      </c>
      <c r="CN149" s="3">
        <f>CN154</f>
        <v>15628</v>
      </c>
      <c r="CO149" s="3">
        <f>CN149</f>
        <v>15628</v>
      </c>
      <c r="CP149" s="3">
        <f>CP154</f>
        <v>15628</v>
      </c>
      <c r="CQ149" s="3">
        <f>CQ154</f>
        <v>15628</v>
      </c>
      <c r="CR149" s="3">
        <f>CR154</f>
        <v>15628</v>
      </c>
      <c r="CS149" s="3">
        <f>CS154</f>
        <v>15628</v>
      </c>
      <c r="CT149" s="3">
        <f>CS149</f>
        <v>15628</v>
      </c>
      <c r="CU149" s="3">
        <f>CU154</f>
        <v>15628</v>
      </c>
      <c r="CV149" s="3">
        <f>CV154</f>
        <v>15628</v>
      </c>
      <c r="CW149" s="3">
        <f>CW154</f>
        <v>15628</v>
      </c>
      <c r="CX149" s="3">
        <f>CX154</f>
        <v>15628</v>
      </c>
      <c r="CY149" s="3">
        <f>CX149</f>
        <v>15628</v>
      </c>
    </row>
    <row r="150" hidden="1" outlineLevel="1">
      <c r="C150" s="34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inlineStr">
        <is>
          <t>Capital expenditures</t>
        </is>
      </c>
      <c r="D151" s="3" t="n"/>
      <c r="E151" s="3">
        <f>E149-D149-E53</f>
        <v>477</v>
      </c>
      <c r="F151" s="3">
        <f>F149-E149-F53</f>
        <v>468</v>
      </c>
      <c r="G151" s="3">
        <f>G149-F149-G53</f>
        <v>786</v>
      </c>
      <c r="H151" s="3" t="n"/>
      <c r="I151" s="3">
        <f>I149-H149-I53</f>
        <v>317</v>
      </c>
      <c r="J151" s="3">
        <f>J149-I149-J53</f>
        <v>469</v>
      </c>
      <c r="K151" s="3">
        <f>K149-J149-K53</f>
        <v>483</v>
      </c>
      <c r="L151" s="3">
        <f>L149-K149-L53</f>
        <v>772</v>
      </c>
      <c r="M151" s="3" t="n"/>
      <c r="N151" s="3">
        <f>N149-M149-N53</f>
        <v>399</v>
      </c>
      <c r="O151" s="3">
        <f>O149-N149-O53</f>
        <v>365</v>
      </c>
      <c r="P151" s="3">
        <f>P149-O149-P53</f>
        <v>450</v>
      </c>
      <c r="Q151" s="3">
        <f>Q149-P149-Q53</f>
        <v>943</v>
      </c>
      <c r="R151" s="3" t="n"/>
      <c r="S151" s="3">
        <f>S149-R149-S53</f>
        <v>477</v>
      </c>
      <c r="T151" s="3">
        <f>T149-S149-T53</f>
        <v>693</v>
      </c>
      <c r="U151" s="3">
        <f>U149-T149-U53</f>
        <v>688</v>
      </c>
      <c r="V151" s="3">
        <f>V149-U149-V53</f>
        <v>938</v>
      </c>
      <c r="W151" s="3" t="n"/>
      <c r="X151" s="3">
        <f>X149-W149-X53</f>
        <v>382</v>
      </c>
      <c r="Y151" s="3">
        <f>Y149-X149-Y53</f>
        <v>575</v>
      </c>
      <c r="Z151" s="3">
        <f>Z149-Y149-Z53</f>
        <v>798</v>
      </c>
      <c r="AA151" s="3">
        <f>AA149-Z149-AA53</f>
        <v>1079</v>
      </c>
      <c r="AB151" s="3" t="n"/>
      <c r="AC151" s="3">
        <f>AC149-AB149-AC53</f>
        <v>611</v>
      </c>
      <c r="AD151" s="3">
        <f>AD149-AC149-AD53</f>
        <v>1018</v>
      </c>
      <c r="AE151" s="3">
        <f>AE149-AD149-AE53</f>
        <v>984</v>
      </c>
      <c r="AF151" s="6">
        <f>AF149-AE149-AF53</f>
        <v>1428</v>
      </c>
      <c r="AG151" s="3">
        <f>SUM(AC151:AF151)</f>
        <v>4041</v>
      </c>
      <c r="AH151" s="6">
        <f>AH149-AG149-AH53</f>
        <v>704</v>
      </c>
      <c r="AI151" s="6">
        <f>AI149-AH149-AI53</f>
        <v>995</v>
      </c>
      <c r="AJ151" s="6" t="n"/>
      <c r="AK151" s="6" t="n"/>
      <c r="AL151" s="3" t="n"/>
      <c r="AM151" s="6" t="n"/>
      <c r="AN151" s="6" t="n"/>
      <c r="AO151" s="6" t="n"/>
      <c r="AP151" s="6" t="n"/>
      <c r="AQ151" s="3" t="n"/>
      <c r="AR151" s="6" t="n"/>
      <c r="AS151" s="6" t="n"/>
      <c r="AT151" s="6" t="n"/>
      <c r="AU151" s="6" t="n"/>
      <c r="AV151" s="3" t="n"/>
      <c r="AW151" s="6" t="n"/>
      <c r="AX151" s="6" t="n"/>
      <c r="AY151" s="6" t="n"/>
      <c r="AZ151" s="6" t="n"/>
      <c r="BA151" s="3" t="n"/>
      <c r="BB151" s="6" t="n"/>
      <c r="BC151" s="6" t="n"/>
      <c r="BD151" s="6" t="n"/>
      <c r="BE151" s="6" t="n"/>
      <c r="BF151" s="3" t="n"/>
      <c r="BG151" s="6" t="n"/>
      <c r="BH151" s="6" t="n"/>
      <c r="BI151" s="6" t="n"/>
      <c r="BJ151" s="6" t="n"/>
      <c r="BK151" s="3" t="n"/>
      <c r="BL151" s="6" t="n"/>
      <c r="BM151" s="6" t="n"/>
      <c r="BN151" s="6" t="n"/>
      <c r="BO151" s="6" t="n"/>
      <c r="BP151" s="3" t="n"/>
      <c r="BQ151" s="6" t="n"/>
      <c r="BR151" s="6" t="n"/>
      <c r="BS151" s="6" t="n"/>
      <c r="BT151" s="6" t="n"/>
      <c r="BU151" s="3" t="n"/>
      <c r="BV151" s="6" t="n"/>
      <c r="BW151" s="6" t="n"/>
      <c r="BX151" s="6" t="n"/>
      <c r="BY151" s="6" t="n"/>
      <c r="BZ151" s="3" t="n"/>
      <c r="CA151" s="6" t="n"/>
      <c r="CB151" s="6" t="n"/>
      <c r="CC151" s="6" t="n"/>
      <c r="CD151" s="6" t="n"/>
      <c r="CE151" s="3" t="n"/>
      <c r="CF151" s="6" t="n"/>
      <c r="CG151" s="6" t="n"/>
      <c r="CH151" s="6" t="n"/>
      <c r="CI151" s="6" t="n"/>
      <c r="CJ151" s="3" t="n"/>
      <c r="CK151" s="6" t="n"/>
      <c r="CL151" s="6" t="n"/>
      <c r="CM151" s="6" t="n"/>
      <c r="CN151" s="6" t="n"/>
      <c r="CO151" s="3" t="n"/>
      <c r="CP151" s="6" t="n"/>
      <c r="CQ151" s="6" t="n"/>
      <c r="CR151" s="6" t="n"/>
      <c r="CS151" s="6" t="n"/>
      <c r="CT151" s="3" t="n"/>
      <c r="CU151" s="6" t="n"/>
      <c r="CV151" s="6" t="n"/>
      <c r="CW151" s="6" t="n"/>
      <c r="CX151" s="6" t="n"/>
      <c r="CY151" s="3" t="n"/>
    </row>
    <row r="152" hidden="1" outlineLevel="1">
      <c r="C152" s="34" t="inlineStr">
        <is>
          <t>Recurring asset sales (enter as -)</t>
        </is>
      </c>
      <c r="D152" s="3" t="n"/>
      <c r="E152" s="3" t="n"/>
      <c r="F152" s="3" t="n"/>
      <c r="G152" s="3" t="n"/>
      <c r="H152" s="3">
        <f>SUM(D152:G152)</f>
        <v>0</v>
      </c>
      <c r="I152" s="3" t="n"/>
      <c r="J152" s="3" t="n"/>
      <c r="K152" s="3" t="n"/>
      <c r="L152" s="3" t="n"/>
      <c r="M152" s="3">
        <f>SUM(I152:L152)</f>
        <v>0</v>
      </c>
      <c r="N152" s="3" t="n"/>
      <c r="O152" s="3" t="n"/>
      <c r="P152" s="3" t="n"/>
      <c r="Q152" s="3" t="n"/>
      <c r="R152" s="3">
        <f>SUM(N152:Q152)</f>
        <v>0</v>
      </c>
      <c r="S152" s="3" t="n"/>
      <c r="T152" s="3" t="n"/>
      <c r="U152" s="3" t="n"/>
      <c r="V152" s="3" t="n"/>
      <c r="W152" s="3">
        <f>SUM(S152:V152)</f>
        <v>0</v>
      </c>
      <c r="X152" s="3" t="n"/>
      <c r="Y152" s="3" t="n"/>
      <c r="Z152" s="3" t="n"/>
      <c r="AA152" s="3" t="n"/>
      <c r="AB152" s="3">
        <f>SUM(X152:AA152)</f>
        <v>0</v>
      </c>
      <c r="AC152" s="3" t="n"/>
      <c r="AD152" s="3" t="n"/>
      <c r="AE152" s="3" t="n"/>
      <c r="AF152" s="6" t="n"/>
      <c r="AG152" s="3" t="n"/>
      <c r="AH152" s="6" t="n"/>
      <c r="AI152" s="6" t="n"/>
      <c r="AJ152" s="6" t="n"/>
      <c r="AK152" s="6" t="n"/>
      <c r="AL152" s="3" t="n"/>
      <c r="AM152" s="6" t="n"/>
      <c r="AN152" s="6" t="n"/>
      <c r="AO152" s="6" t="n"/>
      <c r="AP152" s="6" t="n"/>
      <c r="AQ152" s="3" t="n"/>
      <c r="AR152" s="6" t="n"/>
      <c r="AS152" s="6" t="n"/>
      <c r="AT152" s="6" t="n"/>
      <c r="AU152" s="6" t="n"/>
      <c r="AV152" s="3" t="n"/>
      <c r="AW152" s="6" t="n"/>
      <c r="AX152" s="6" t="n"/>
      <c r="AY152" s="6" t="n"/>
      <c r="AZ152" s="6" t="n"/>
      <c r="BA152" s="3" t="n"/>
      <c r="BB152" s="6" t="n"/>
      <c r="BC152" s="6" t="n"/>
      <c r="BD152" s="6" t="n"/>
      <c r="BE152" s="6" t="n"/>
      <c r="BF152" s="3" t="n"/>
      <c r="BG152" s="6" t="n"/>
      <c r="BH152" s="6" t="n"/>
      <c r="BI152" s="6" t="n"/>
      <c r="BJ152" s="6" t="n"/>
      <c r="BK152" s="3" t="n"/>
      <c r="BL152" s="6" t="n"/>
      <c r="BM152" s="6" t="n"/>
      <c r="BN152" s="6" t="n"/>
      <c r="BO152" s="6" t="n"/>
      <c r="BP152" s="3" t="n"/>
      <c r="BQ152" s="6" t="n"/>
      <c r="BR152" s="6" t="n"/>
      <c r="BS152" s="6" t="n"/>
      <c r="BT152" s="6" t="n"/>
      <c r="BU152" s="3" t="n"/>
      <c r="BV152" s="6" t="n"/>
      <c r="BW152" s="6" t="n"/>
      <c r="BX152" s="6" t="n"/>
      <c r="BY152" s="6" t="n"/>
      <c r="BZ152" s="3" t="n"/>
      <c r="CA152" s="6" t="n"/>
      <c r="CB152" s="6" t="n"/>
      <c r="CC152" s="6" t="n"/>
      <c r="CD152" s="6" t="n"/>
      <c r="CE152" s="3" t="n"/>
      <c r="CF152" s="6" t="n"/>
      <c r="CG152" s="6" t="n"/>
      <c r="CH152" s="6" t="n"/>
      <c r="CI152" s="6" t="n"/>
      <c r="CJ152" s="3" t="n"/>
      <c r="CK152" s="6" t="n"/>
      <c r="CL152" s="6" t="n"/>
      <c r="CM152" s="6" t="n"/>
      <c r="CN152" s="6" t="n"/>
      <c r="CO152" s="3" t="n"/>
      <c r="CP152" s="6" t="n"/>
      <c r="CQ152" s="6" t="n"/>
      <c r="CR152" s="6" t="n"/>
      <c r="CS152" s="6" t="n"/>
      <c r="CT152" s="3" t="n"/>
      <c r="CU152" s="6" t="n"/>
      <c r="CV152" s="6" t="n"/>
      <c r="CW152" s="6" t="n"/>
      <c r="CX152" s="6" t="n"/>
      <c r="CY152" s="3" t="n"/>
    </row>
    <row r="153" hidden="1" outlineLevel="1">
      <c r="C153" s="34" t="inlineStr">
        <is>
          <t>Depreciation</t>
        </is>
      </c>
      <c r="D153" s="3">
        <f>D53</f>
        <v>-614</v>
      </c>
      <c r="E153" s="3">
        <f>E53</f>
        <v>-608</v>
      </c>
      <c r="F153" s="3">
        <f>F53</f>
        <v>-593</v>
      </c>
      <c r="G153" s="3">
        <f>G53</f>
        <v>-617</v>
      </c>
      <c r="H153" s="3" t="n"/>
      <c r="I153" s="3">
        <f>I53</f>
        <v>-586</v>
      </c>
      <c r="J153" s="3">
        <f>J53</f>
        <v>-587</v>
      </c>
      <c r="K153" s="3">
        <f>K53</f>
        <v>-593</v>
      </c>
      <c r="L153" s="3">
        <f>L53</f>
        <v>-586</v>
      </c>
      <c r="M153" s="3" t="n"/>
      <c r="N153" s="3">
        <f>N53</f>
        <v>-557</v>
      </c>
      <c r="O153" s="3">
        <f>O53</f>
        <v>-553</v>
      </c>
      <c r="P153" s="3">
        <f>P53</f>
        <v>-551</v>
      </c>
      <c r="Q153" s="3">
        <f>Q53</f>
        <v>-558</v>
      </c>
      <c r="R153" s="3" t="n"/>
      <c r="S153" s="3">
        <f>S53</f>
        <v>-532</v>
      </c>
      <c r="T153" s="3">
        <f>T53</f>
        <v>-542</v>
      </c>
      <c r="U153" s="3">
        <f>U53</f>
        <v>-525</v>
      </c>
      <c r="V153" s="3">
        <f>V53</f>
        <v>-545</v>
      </c>
      <c r="W153" s="3" t="n"/>
      <c r="X153" s="3">
        <f>X53</f>
        <v>-524</v>
      </c>
      <c r="Y153" s="3">
        <f>Y53</f>
        <v>-531</v>
      </c>
      <c r="Z153" s="3">
        <f>Z53</f>
        <v>-543</v>
      </c>
      <c r="AA153" s="3">
        <f>AA53</f>
        <v>-555</v>
      </c>
      <c r="AB153" s="3" t="n"/>
      <c r="AC153" s="3">
        <f>AC53</f>
        <v>-540</v>
      </c>
      <c r="AD153" s="3">
        <f>AD53</f>
        <v>-554</v>
      </c>
      <c r="AE153" s="3">
        <f>AE53</f>
        <v>-570</v>
      </c>
      <c r="AF153" s="3">
        <f>AF53</f>
        <v>-598</v>
      </c>
      <c r="AG153" s="3" t="n"/>
      <c r="AH153" s="3">
        <f>AH53</f>
        <v>-595</v>
      </c>
      <c r="AI153" s="3">
        <f>AI53</f>
        <v>-616</v>
      </c>
      <c r="AJ153" s="3">
        <f>AJ53</f>
        <v>0</v>
      </c>
      <c r="AK153" s="3">
        <f>AK53</f>
        <v>0</v>
      </c>
      <c r="AL153" s="3" t="n"/>
      <c r="AM153" s="3">
        <f>AM53</f>
        <v>0</v>
      </c>
      <c r="AN153" s="3">
        <f>AN53</f>
        <v>0</v>
      </c>
      <c r="AO153" s="3">
        <f>AO53</f>
        <v>0</v>
      </c>
      <c r="AP153" s="3">
        <f>AP53</f>
        <v>0</v>
      </c>
      <c r="AQ153" s="3" t="n"/>
      <c r="AR153" s="3">
        <f>AR53</f>
        <v>0</v>
      </c>
      <c r="AS153" s="3">
        <f>AS53</f>
        <v>0</v>
      </c>
      <c r="AT153" s="3">
        <f>AT53</f>
        <v>0</v>
      </c>
      <c r="AU153" s="3">
        <f>AU53</f>
        <v>0</v>
      </c>
      <c r="AV153" s="3" t="n"/>
      <c r="AW153" s="3">
        <f>AW53</f>
        <v>0</v>
      </c>
      <c r="AX153" s="3">
        <f>AX53</f>
        <v>0</v>
      </c>
      <c r="AY153" s="3">
        <f>AY53</f>
        <v>0</v>
      </c>
      <c r="AZ153" s="3">
        <f>AZ53</f>
        <v>0</v>
      </c>
      <c r="BA153" s="3" t="n"/>
      <c r="BB153" s="3">
        <f>BB53</f>
        <v>0</v>
      </c>
      <c r="BC153" s="3">
        <f>BC53</f>
        <v>0</v>
      </c>
      <c r="BD153" s="3">
        <f>BD53</f>
        <v>0</v>
      </c>
      <c r="BE153" s="3">
        <f>BE53</f>
        <v>0</v>
      </c>
      <c r="BF153" s="3" t="n"/>
      <c r="BG153" s="3">
        <f>BG53</f>
        <v>0</v>
      </c>
      <c r="BH153" s="3">
        <f>BH53</f>
        <v>0</v>
      </c>
      <c r="BI153" s="3">
        <f>BI53</f>
        <v>0</v>
      </c>
      <c r="BJ153" s="3">
        <f>BJ53</f>
        <v>0</v>
      </c>
      <c r="BK153" s="3" t="n"/>
      <c r="BL153" s="3">
        <f>BL53</f>
        <v>0</v>
      </c>
      <c r="BM153" s="3">
        <f>BM53</f>
        <v>0</v>
      </c>
      <c r="BN153" s="3">
        <f>BN53</f>
        <v>0</v>
      </c>
      <c r="BO153" s="3">
        <f>BO53</f>
        <v>0</v>
      </c>
      <c r="BP153" s="3" t="n"/>
      <c r="BQ153" s="3">
        <f>BQ53</f>
        <v>0</v>
      </c>
      <c r="BR153" s="3">
        <f>BR53</f>
        <v>0</v>
      </c>
      <c r="BS153" s="3">
        <f>BS53</f>
        <v>0</v>
      </c>
      <c r="BT153" s="3">
        <f>BT53</f>
        <v>0</v>
      </c>
      <c r="BU153" s="3" t="n"/>
      <c r="BV153" s="3">
        <f>BV53</f>
        <v>0</v>
      </c>
      <c r="BW153" s="3">
        <f>BW53</f>
        <v>0</v>
      </c>
      <c r="BX153" s="3">
        <f>BX53</f>
        <v>0</v>
      </c>
      <c r="BY153" s="3">
        <f>BY53</f>
        <v>0</v>
      </c>
      <c r="BZ153" s="3" t="n"/>
      <c r="CA153" s="3">
        <f>CA53</f>
        <v>0</v>
      </c>
      <c r="CB153" s="3">
        <f>CB53</f>
        <v>0</v>
      </c>
      <c r="CC153" s="3">
        <f>CC53</f>
        <v>0</v>
      </c>
      <c r="CD153" s="3">
        <f>CD53</f>
        <v>0</v>
      </c>
      <c r="CE153" s="3" t="n"/>
      <c r="CF153" s="3">
        <f>CF53</f>
        <v>0</v>
      </c>
      <c r="CG153" s="3">
        <f>CG53</f>
        <v>0</v>
      </c>
      <c r="CH153" s="3">
        <f>CH53</f>
        <v>0</v>
      </c>
      <c r="CI153" s="3">
        <f>CI53</f>
        <v>0</v>
      </c>
      <c r="CJ153" s="3" t="n"/>
      <c r="CK153" s="3">
        <f>CK53</f>
        <v>0</v>
      </c>
      <c r="CL153" s="3">
        <f>CL53</f>
        <v>0</v>
      </c>
      <c r="CM153" s="3">
        <f>CM53</f>
        <v>0</v>
      </c>
      <c r="CN153" s="3">
        <f>CN53</f>
        <v>0</v>
      </c>
      <c r="CO153" s="3" t="n"/>
      <c r="CP153" s="3">
        <f>CP53</f>
        <v>0</v>
      </c>
      <c r="CQ153" s="3">
        <f>CQ53</f>
        <v>0</v>
      </c>
      <c r="CR153" s="3">
        <f>CR53</f>
        <v>0</v>
      </c>
      <c r="CS153" s="3">
        <f>CS53</f>
        <v>0</v>
      </c>
      <c r="CT153" s="3" t="n"/>
      <c r="CU153" s="3">
        <f>CU53</f>
        <v>0</v>
      </c>
      <c r="CV153" s="3">
        <f>CV53</f>
        <v>0</v>
      </c>
      <c r="CW153" s="3">
        <f>CW53</f>
        <v>0</v>
      </c>
      <c r="CX153" s="3">
        <f>CX53</f>
        <v>0</v>
      </c>
      <c r="CY153" s="3" t="n"/>
    </row>
    <row r="154" hidden="1" outlineLevel="1">
      <c r="C154" s="34" t="inlineStr">
        <is>
          <t>PP&amp;E</t>
        </is>
      </c>
      <c r="D154" s="3">
        <f>D149</f>
        <v>12488</v>
      </c>
      <c r="E154" s="3">
        <f>E149</f>
        <v>12357</v>
      </c>
      <c r="F154" s="3">
        <f>F149</f>
        <v>12232</v>
      </c>
      <c r="G154" s="3">
        <f>G149</f>
        <v>12401</v>
      </c>
      <c r="H154" s="3" t="n"/>
      <c r="I154" s="3">
        <f>I149</f>
        <v>12132</v>
      </c>
      <c r="J154" s="3">
        <f>J149</f>
        <v>12014</v>
      </c>
      <c r="K154" s="3">
        <f>K149</f>
        <v>11904</v>
      </c>
      <c r="L154" s="3">
        <f>L149</f>
        <v>12090</v>
      </c>
      <c r="M154" s="3" t="n"/>
      <c r="N154" s="3">
        <f>N149</f>
        <v>11932</v>
      </c>
      <c r="O154" s="3">
        <f>O149</f>
        <v>11744</v>
      </c>
      <c r="P154" s="3">
        <f>P149</f>
        <v>11643</v>
      </c>
      <c r="Q154" s="3">
        <f>Q149</f>
        <v>12028</v>
      </c>
      <c r="R154" s="3" t="n"/>
      <c r="S154" s="3">
        <f>S149</f>
        <v>11973</v>
      </c>
      <c r="T154" s="3">
        <f>T149</f>
        <v>12124</v>
      </c>
      <c r="U154" s="3">
        <f>U149</f>
        <v>12287</v>
      </c>
      <c r="V154" s="3">
        <f>V149</f>
        <v>12680</v>
      </c>
      <c r="W154" s="3" t="n"/>
      <c r="X154" s="3">
        <f>X149</f>
        <v>12538</v>
      </c>
      <c r="Y154" s="3">
        <f>Y149</f>
        <v>12582</v>
      </c>
      <c r="Z154" s="3">
        <f>Z149</f>
        <v>12837</v>
      </c>
      <c r="AA154" s="3">
        <f>Y154+SUM(AA151:AA153)</f>
        <v>13106</v>
      </c>
      <c r="AB154" s="3" t="n"/>
      <c r="AC154" s="3">
        <f>AC149</f>
        <v>13432</v>
      </c>
      <c r="AD154" s="3">
        <f>AD149</f>
        <v>13896</v>
      </c>
      <c r="AE154" s="3">
        <f>AE149</f>
        <v>14310</v>
      </c>
      <c r="AF154" s="3">
        <f>AE154+SUM(AF151:AF153)</f>
        <v>15140</v>
      </c>
      <c r="AG154" s="3" t="n"/>
      <c r="AH154" s="3">
        <f>AH149</f>
        <v>15249</v>
      </c>
      <c r="AI154" s="3">
        <f>AI149</f>
        <v>15628</v>
      </c>
      <c r="AJ154" s="3">
        <f>AI154+SUM(AJ151:AJ153)</f>
        <v>15628</v>
      </c>
      <c r="AK154" s="3">
        <f>AJ154+SUM(AK151:AK153)</f>
        <v>15628</v>
      </c>
      <c r="AL154" s="3" t="n"/>
      <c r="AM154" s="3">
        <f>AK154+SUM(AM151:AM153)</f>
        <v>15628</v>
      </c>
      <c r="AN154" s="3">
        <f>AM154+SUM(AN151:AN153)</f>
        <v>15628</v>
      </c>
      <c r="AO154" s="3">
        <f>AN154+SUM(AO151:AO153)</f>
        <v>15628</v>
      </c>
      <c r="AP154" s="3">
        <f>AO154+SUM(AP151:AP153)</f>
        <v>15628</v>
      </c>
      <c r="AQ154" s="3" t="n"/>
      <c r="AR154" s="3">
        <f>AP154+SUM(AR151:AR153)</f>
        <v>15628</v>
      </c>
      <c r="AS154" s="3">
        <f>AR154+SUM(AS151:AS153)</f>
        <v>15628</v>
      </c>
      <c r="AT154" s="3">
        <f>AS154+SUM(AT151:AT153)</f>
        <v>15628</v>
      </c>
      <c r="AU154" s="3">
        <f>AT154+SUM(AU151:AU153)</f>
        <v>15628</v>
      </c>
      <c r="AV154" s="3" t="n"/>
      <c r="AW154" s="3">
        <f>AU154+SUM(AW151:AW153)</f>
        <v>15628</v>
      </c>
      <c r="AX154" s="3">
        <f>AW154+SUM(AX151:AX153)</f>
        <v>15628</v>
      </c>
      <c r="AY154" s="3">
        <f>AX154+SUM(AY151:AY153)</f>
        <v>15628</v>
      </c>
      <c r="AZ154" s="3">
        <f>AY154+SUM(AZ151:AZ153)</f>
        <v>15628</v>
      </c>
      <c r="BA154" s="3" t="n"/>
      <c r="BB154" s="3">
        <f>AZ154+SUM(BB151:BB153)</f>
        <v>15628</v>
      </c>
      <c r="BC154" s="3">
        <f>BB154+SUM(BC151:BC153)</f>
        <v>15628</v>
      </c>
      <c r="BD154" s="3">
        <f>BC154+SUM(BD151:BD153)</f>
        <v>15628</v>
      </c>
      <c r="BE154" s="3">
        <f>BD154+SUM(BE151:BE153)</f>
        <v>15628</v>
      </c>
      <c r="BF154" s="3" t="n"/>
      <c r="BG154" s="3">
        <f>BE154+SUM(BG151:BG153)</f>
        <v>15628</v>
      </c>
      <c r="BH154" s="3">
        <f>BG154+SUM(BH151:BH153)</f>
        <v>15628</v>
      </c>
      <c r="BI154" s="3">
        <f>BH154+SUM(BI151:BI153)</f>
        <v>15628</v>
      </c>
      <c r="BJ154" s="3">
        <f>BI154+SUM(BJ151:BJ153)</f>
        <v>15628</v>
      </c>
      <c r="BK154" s="3" t="n"/>
      <c r="BL154" s="3">
        <f>BJ154+SUM(BL151:BL153)</f>
        <v>15628</v>
      </c>
      <c r="BM154" s="3">
        <f>BL154+SUM(BM151:BM153)</f>
        <v>15628</v>
      </c>
      <c r="BN154" s="3">
        <f>BM154+SUM(BN151:BN153)</f>
        <v>15628</v>
      </c>
      <c r="BO154" s="3">
        <f>BN154+SUM(BO151:BO153)</f>
        <v>15628</v>
      </c>
      <c r="BP154" s="3" t="n"/>
      <c r="BQ154" s="3">
        <f>BO154+SUM(BQ151:BQ153)</f>
        <v>15628</v>
      </c>
      <c r="BR154" s="3">
        <f>BQ154+SUM(BR151:BR153)</f>
        <v>15628</v>
      </c>
      <c r="BS154" s="3">
        <f>BR154+SUM(BS151:BS153)</f>
        <v>15628</v>
      </c>
      <c r="BT154" s="3">
        <f>BS154+SUM(BT151:BT153)</f>
        <v>15628</v>
      </c>
      <c r="BU154" s="3" t="n"/>
      <c r="BV154" s="3">
        <f>BT154+SUM(BV151:BV153)</f>
        <v>15628</v>
      </c>
      <c r="BW154" s="3">
        <f>BV154+SUM(BW151:BW153)</f>
        <v>15628</v>
      </c>
      <c r="BX154" s="3">
        <f>BW154+SUM(BX151:BX153)</f>
        <v>15628</v>
      </c>
      <c r="BY154" s="3">
        <f>BX154+SUM(BY151:BY153)</f>
        <v>15628</v>
      </c>
      <c r="BZ154" s="3" t="n"/>
      <c r="CA154" s="3">
        <f>BY154+SUM(CA151:CA153)</f>
        <v>15628</v>
      </c>
      <c r="CB154" s="3">
        <f>CA154+SUM(CB151:CB153)</f>
        <v>15628</v>
      </c>
      <c r="CC154" s="3">
        <f>CB154+SUM(CC151:CC153)</f>
        <v>15628</v>
      </c>
      <c r="CD154" s="3">
        <f>CC154+SUM(CD151:CD153)</f>
        <v>15628</v>
      </c>
      <c r="CE154" s="3" t="n"/>
      <c r="CF154" s="3">
        <f>CD154+SUM(CF151:CF153)</f>
        <v>15628</v>
      </c>
      <c r="CG154" s="3">
        <f>CF154+SUM(CG151:CG153)</f>
        <v>15628</v>
      </c>
      <c r="CH154" s="3">
        <f>CG154+SUM(CH151:CH153)</f>
        <v>15628</v>
      </c>
      <c r="CI154" s="3">
        <f>CH154+SUM(CI151:CI153)</f>
        <v>15628</v>
      </c>
      <c r="CJ154" s="3" t="n"/>
      <c r="CK154" s="3">
        <f>CI154+SUM(CK151:CK153)</f>
        <v>15628</v>
      </c>
      <c r="CL154" s="3">
        <f>CK154+SUM(CL151:CL153)</f>
        <v>15628</v>
      </c>
      <c r="CM154" s="3">
        <f>CL154+SUM(CM151:CM153)</f>
        <v>15628</v>
      </c>
      <c r="CN154" s="3">
        <f>CM154+SUM(CN151:CN153)</f>
        <v>15628</v>
      </c>
      <c r="CO154" s="3" t="n"/>
      <c r="CP154" s="3">
        <f>CN154+SUM(CP151:CP153)</f>
        <v>15628</v>
      </c>
      <c r="CQ154" s="3">
        <f>CP154+SUM(CQ151:CQ153)</f>
        <v>15628</v>
      </c>
      <c r="CR154" s="3">
        <f>CQ154+SUM(CR151:CR153)</f>
        <v>15628</v>
      </c>
      <c r="CS154" s="3">
        <f>CR154+SUM(CS151:CS153)</f>
        <v>15628</v>
      </c>
      <c r="CT154" s="3" t="n"/>
      <c r="CU154" s="3">
        <f>CS154+SUM(CU151:CU153)</f>
        <v>15628</v>
      </c>
      <c r="CV154" s="3">
        <f>CU154+SUM(CV151:CV153)</f>
        <v>15628</v>
      </c>
      <c r="CW154" s="3">
        <f>CV154+SUM(CW151:CW153)</f>
        <v>15628</v>
      </c>
      <c r="CX154" s="3">
        <f>CW154+SUM(CX151:CX153)</f>
        <v>15628</v>
      </c>
      <c r="CY154" s="3" t="n"/>
      <c r="CZ154">
        <f>CX154+SUM(CZ151:CZ153)</f>
        <v>15628</v>
      </c>
      <c r="DA154">
        <f>CZ154+SUM(DA151:DA153)</f>
        <v>15628</v>
      </c>
      <c r="DB154">
        <f>DA154+SUM(DB151:DB153)</f>
        <v>15628</v>
      </c>
      <c r="DC154">
        <f>DB154+SUM(DC151:DC153)</f>
        <v>15628</v>
      </c>
    </row>
    <row r="155" hidden="1" outlineLevel="1">
      <c r="C155" s="3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hidden="1" outlineLevel="1">
      <c r="C156" s="34" t="inlineStr">
        <is>
          <t>Capital expenditures (% Net Revenues)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40">
        <f>AF151/AF15</f>
        <v>0.0746354466105681</v>
      </c>
      <c r="AG156" s="40">
        <f>AG151/AG15</f>
        <v>0.0597878352986433</v>
      </c>
      <c r="AH156" s="40">
        <f>AH151/AH15</f>
        <v>0.0404249210450761</v>
      </c>
      <c r="AI156" s="40">
        <f>AI151/AI15</f>
        <v>0.0484349900209317</v>
      </c>
      <c r="AJ156" s="40">
        <f>AJ151/AJ15</f>
        <v>0</v>
      </c>
      <c r="AK156" s="40">
        <f>AK151/AK15</f>
        <v>0</v>
      </c>
      <c r="AL156" s="40">
        <f>AL151/AL15</f>
        <v>0</v>
      </c>
      <c r="AM156" s="40">
        <f>AM151/AM15</f>
        <v>0</v>
      </c>
      <c r="AN156" s="40">
        <f>AN151/AN15</f>
        <v>0</v>
      </c>
      <c r="AO156" s="40">
        <f>AO151/AO15</f>
        <v>0</v>
      </c>
      <c r="AP156" s="40">
        <f>AP151/AP15</f>
        <v>0</v>
      </c>
      <c r="AQ156" s="40">
        <f>AQ151/AQ15</f>
        <v>0</v>
      </c>
      <c r="AR156" s="40">
        <f>AR151/AR15</f>
        <v>0</v>
      </c>
      <c r="AS156" s="40">
        <f>AS151/AS15</f>
        <v>0</v>
      </c>
      <c r="AT156" s="40">
        <f>AT151/AT15</f>
        <v>0</v>
      </c>
      <c r="AU156" s="40">
        <f>AU151/AU15</f>
        <v>0</v>
      </c>
      <c r="AV156" s="40">
        <f>AV151/AV15</f>
        <v>0</v>
      </c>
      <c r="AW156" s="40">
        <f>AW151/AW15</f>
        <v>0</v>
      </c>
      <c r="AX156" s="40">
        <f>AX151/AX15</f>
        <v>0</v>
      </c>
      <c r="AY156" s="40">
        <f>AY151/AY15</f>
        <v>0</v>
      </c>
      <c r="AZ156" s="40">
        <f>AZ151/AZ15</f>
        <v>0</v>
      </c>
      <c r="BA156" s="40">
        <f>BA151/BA15</f>
        <v>0</v>
      </c>
      <c r="BB156" s="40">
        <f>BB151/BB15</f>
        <v>0</v>
      </c>
      <c r="BC156" s="40">
        <f>BC151/BC15</f>
        <v>0</v>
      </c>
      <c r="BD156" s="40">
        <f>BD151/BD15</f>
        <v>0</v>
      </c>
      <c r="BE156" s="40">
        <f>BE151/BE15</f>
        <v>0</v>
      </c>
      <c r="BF156" s="40">
        <f>BF151/BF15</f>
        <v>0</v>
      </c>
      <c r="BG156" s="40">
        <f>BG151/BG15</f>
        <v>0</v>
      </c>
      <c r="BH156" s="40">
        <f>BH151/BH15</f>
        <v>0</v>
      </c>
      <c r="BI156" s="40">
        <f>BI151/BI15</f>
        <v>0</v>
      </c>
      <c r="BJ156" s="40">
        <f>BJ151/BJ15</f>
        <v>0</v>
      </c>
      <c r="BK156" s="40">
        <f>BK151/BK15</f>
        <v>0</v>
      </c>
      <c r="BL156" s="40">
        <f>BL151/BL15</f>
        <v>0</v>
      </c>
      <c r="BM156" s="40">
        <f>BM151/BM15</f>
        <v>0</v>
      </c>
      <c r="BN156" s="40">
        <f>BN151/BN15</f>
        <v>0</v>
      </c>
      <c r="BO156" s="40">
        <f>BO151/BO15</f>
        <v>0</v>
      </c>
      <c r="BP156" s="40">
        <f>BP151/BP15</f>
        <v>0</v>
      </c>
      <c r="BQ156" s="40">
        <f>BQ151/BQ15</f>
        <v>0</v>
      </c>
      <c r="BR156" s="40">
        <f>BR151/BR15</f>
        <v>0</v>
      </c>
      <c r="BS156" s="40">
        <f>BS151/BS15</f>
        <v>0</v>
      </c>
      <c r="BT156" s="40">
        <f>BT151/BT15</f>
        <v>0</v>
      </c>
      <c r="BU156" s="40">
        <f>BU151/BU15</f>
        <v>0</v>
      </c>
      <c r="BV156" s="40">
        <f>BV151/BV15</f>
        <v>0</v>
      </c>
      <c r="BW156" s="40">
        <f>BW151/BW15</f>
        <v>0</v>
      </c>
      <c r="BX156" s="40">
        <f>BX151/BX15</f>
        <v>0</v>
      </c>
      <c r="BY156" s="40">
        <f>BY151/BY15</f>
        <v>0</v>
      </c>
      <c r="BZ156" s="40">
        <f>BZ151/BZ15</f>
        <v>0</v>
      </c>
      <c r="CA156" s="40">
        <f>CA151/CA15</f>
        <v>0</v>
      </c>
      <c r="CB156" s="40">
        <f>CB151/CB15</f>
        <v>0</v>
      </c>
      <c r="CC156" s="40">
        <f>CC151/CC15</f>
        <v>0</v>
      </c>
      <c r="CD156" s="40">
        <f>CD151/CD15</f>
        <v>0</v>
      </c>
      <c r="CE156" s="40">
        <f>CE151/CE15</f>
        <v>0</v>
      </c>
      <c r="CF156" s="40">
        <f>CF151/CF15</f>
        <v>0</v>
      </c>
      <c r="CG156" s="40">
        <f>CG151/CG15</f>
        <v>0</v>
      </c>
      <c r="CH156" s="40">
        <f>CH151/CH15</f>
        <v>0</v>
      </c>
      <c r="CI156" s="40">
        <f>CI151/CI15</f>
        <v>0</v>
      </c>
      <c r="CJ156" s="40">
        <f>CJ151/CJ15</f>
        <v>0</v>
      </c>
      <c r="CK156" s="40">
        <f>CK151/CK15</f>
        <v>0</v>
      </c>
      <c r="CL156" s="40">
        <f>CL151/CL15</f>
        <v>0</v>
      </c>
      <c r="CM156" s="40">
        <f>CM151/CM15</f>
        <v>0</v>
      </c>
      <c r="CN156" s="40">
        <f>CN151/CN15</f>
        <v>0</v>
      </c>
      <c r="CO156" s="40">
        <f>CO151/CO15</f>
        <v>0</v>
      </c>
      <c r="CP156" s="40">
        <f>CP151/CP15</f>
        <v>0</v>
      </c>
      <c r="CQ156" s="40">
        <f>CQ151/CQ15</f>
        <v>0</v>
      </c>
      <c r="CR156" s="40">
        <f>CR151/CR15</f>
        <v>0</v>
      </c>
      <c r="CS156" s="40">
        <f>CS151/CS15</f>
        <v>0</v>
      </c>
      <c r="CT156" s="40">
        <f>CT151/CT15</f>
        <v>0</v>
      </c>
      <c r="CU156" s="40">
        <f>CU151/CU15</f>
        <v>0</v>
      </c>
      <c r="CV156" s="40">
        <f>CV151/CV15</f>
        <v>0</v>
      </c>
      <c r="CW156" s="40">
        <f>CW151/CW15</f>
        <v>0</v>
      </c>
      <c r="CX156" s="40">
        <f>CX151/CX15</f>
        <v>0</v>
      </c>
      <c r="CY156" s="40">
        <f>CY151/CY15</f>
        <v>0</v>
      </c>
    </row>
    <row r="157" hidden="1" outlineLevel="1">
      <c r="C157" s="3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34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collapsed="1">
      <c r="C159" s="26" t="inlineStr">
        <is>
          <t>Right-of-use-assets</t>
        </is>
      </c>
      <c r="D159" s="25">
        <f>INDEX('Inputs (2)'!$D$23:$AL$23,MATCH(D$7,'Inputs (2)'!$D$2:$AL$2,0))</f>
        <v>0</v>
      </c>
      <c r="E159" s="25">
        <f>INDEX('Inputs (2)'!$D$23:$AL$23,MATCH(E$7,'Inputs (2)'!$D$2:$AL$2,0))</f>
        <v>0</v>
      </c>
      <c r="F159" s="25">
        <f>INDEX('Inputs (2)'!$D$23:$AL$23,MATCH(F$7,'Inputs (2)'!$D$2:$AL$2,0))</f>
        <v>0</v>
      </c>
      <c r="G159" s="25">
        <f>INDEX('Inputs (2)'!$D$23:$AL$23,MATCH(G$7,'Inputs (2)'!$D$2:$AL$2,0))</f>
        <v>0</v>
      </c>
      <c r="H159" s="3">
        <f>G159</f>
        <v>0</v>
      </c>
      <c r="I159" s="25">
        <f>INDEX('Inputs (2)'!$D$23:$AL$23,MATCH(I$7,'Inputs (2)'!$D$2:$AL$2,0))</f>
        <v>0</v>
      </c>
      <c r="J159" s="25">
        <f>INDEX('Inputs (2)'!$D$23:$AL$23,MATCH(J$7,'Inputs (2)'!$D$2:$AL$2,0))</f>
        <v>0</v>
      </c>
      <c r="K159" s="25">
        <f>INDEX('Inputs (2)'!$D$23:$AL$23,MATCH(K$7,'Inputs (2)'!$D$2:$AL$2,0))</f>
        <v>0</v>
      </c>
      <c r="L159" s="25">
        <f>INDEX('Inputs (2)'!$D$23:$AL$23,MATCH(L$7,'Inputs (2)'!$D$2:$AL$2,0))</f>
        <v>0</v>
      </c>
      <c r="M159" s="3">
        <f>L159</f>
        <v>0</v>
      </c>
      <c r="N159" s="25">
        <f>INDEX('Inputs (2)'!$D$23:$AL$23,MATCH(N$7,'Inputs (2)'!$D$2:$AL$2,0))</f>
        <v>0</v>
      </c>
      <c r="O159" s="25">
        <f>INDEX('Inputs (2)'!$D$23:$AL$23,MATCH(O$7,'Inputs (2)'!$D$2:$AL$2,0))</f>
        <v>0</v>
      </c>
      <c r="P159" s="25">
        <f>INDEX('Inputs (2)'!$D$23:$AL$23,MATCH(P$7,'Inputs (2)'!$D$2:$AL$2,0))</f>
        <v>0</v>
      </c>
      <c r="Q159" s="25">
        <f>INDEX('Inputs (2)'!$D$23:$AL$23,MATCH(Q$7,'Inputs (2)'!$D$2:$AL$2,0))</f>
        <v>0</v>
      </c>
      <c r="R159" s="3">
        <f>Q159</f>
        <v>0</v>
      </c>
      <c r="S159" s="25">
        <f>INDEX('Inputs (2)'!$D$23:$AL$23,MATCH(S$7,'Inputs (2)'!$D$2:$AL$2,0))</f>
        <v>0</v>
      </c>
      <c r="T159" s="25">
        <f>INDEX('Inputs (2)'!$D$23:$AL$23,MATCH(T$7,'Inputs (2)'!$D$2:$AL$2,0))</f>
        <v>0</v>
      </c>
      <c r="U159" s="25">
        <f>INDEX('Inputs (2)'!$D$23:$AL$23,MATCH(U$7,'Inputs (2)'!$D$2:$AL$2,0))</f>
        <v>0</v>
      </c>
      <c r="V159" s="25">
        <f>INDEX('Inputs (2)'!$D$23:$AL$23,MATCH(V$7,'Inputs (2)'!$D$2:$AL$2,0))</f>
        <v>0</v>
      </c>
      <c r="W159" s="3">
        <f>V159</f>
        <v>0</v>
      </c>
      <c r="X159" s="25">
        <f>INDEX('Inputs (2)'!$D$23:$AL$23,MATCH(X$7,'Inputs (2)'!$D$2:$AL$2,0))</f>
        <v>0</v>
      </c>
      <c r="Y159" s="25">
        <f>INDEX('Inputs (2)'!$D$23:$AL$23,MATCH(Y$7,'Inputs (2)'!$D$2:$AL$2,0))</f>
        <v>0</v>
      </c>
      <c r="Z159" s="25">
        <f>INDEX('Inputs (2)'!$D$23:$AL$23,MATCH(Z$7,'Inputs (2)'!$D$2:$AL$2,0))</f>
        <v>0</v>
      </c>
      <c r="AA159" s="25">
        <f>INDEX('Inputs (2)'!$D$23:$AL$23,MATCH(AA$7,'Inputs (2)'!$D$2:$AL$2,0))</f>
        <v>0</v>
      </c>
      <c r="AB159" s="3">
        <f>AA159</f>
        <v>0</v>
      </c>
      <c r="AC159" s="25">
        <f>INDEX('Inputs (2)'!$D$23:$AL$23,MATCH(AC$7,'Inputs (2)'!$D$2:$AL$2,0))</f>
        <v>0</v>
      </c>
      <c r="AD159" s="25">
        <f>INDEX('Inputs (2)'!$D$23:$AL$23,MATCH(AD$7,'Inputs (2)'!$D$2:$AL$2,0))</f>
        <v>0</v>
      </c>
      <c r="AE159" s="25">
        <f>INDEX('Inputs (2)'!$D$23:$AL$23,MATCH(AE$7,'Inputs (2)'!$D$2:$AL$2,0))</f>
        <v>0</v>
      </c>
      <c r="AF159" s="25">
        <f>INDEX('Inputs (2)'!$D$23:$AL$23,MATCH(AF$7,'Inputs (2)'!$D$2:$AL$2,0))</f>
        <v>0</v>
      </c>
      <c r="AG159" s="3">
        <f>AF159</f>
        <v>0</v>
      </c>
      <c r="AH159" s="3">
        <f>INDEX('Inputs (2)'!$D$23:$AL$23,MATCH(AH$7,'Inputs (2)'!$D$2:$AL$2,0))</f>
        <v>0</v>
      </c>
      <c r="AI159" s="3">
        <f>INDEX('Inputs (2)'!$D$23:$AL$23,MATCH(AI$7,'Inputs (2)'!$D$2:$AL$2,0))</f>
        <v>0</v>
      </c>
      <c r="AJ159" s="3">
        <f>AI159</f>
        <v>0</v>
      </c>
      <c r="AK159" s="3">
        <f>AJ159</f>
        <v>0</v>
      </c>
      <c r="AL159" s="3">
        <f>AK159</f>
        <v>0</v>
      </c>
      <c r="AM159" s="3">
        <f>AL159</f>
        <v>0</v>
      </c>
      <c r="AN159" s="3">
        <f>AM159</f>
        <v>0</v>
      </c>
      <c r="AO159" s="3">
        <f>AN159</f>
        <v>0</v>
      </c>
      <c r="AP159" s="3">
        <f>AO159</f>
        <v>0</v>
      </c>
      <c r="AQ159" s="3">
        <f>AP159</f>
        <v>0</v>
      </c>
      <c r="AR159" s="3">
        <f>AQ159</f>
        <v>0</v>
      </c>
      <c r="AS159" s="3">
        <f>AR159</f>
        <v>0</v>
      </c>
      <c r="AT159" s="3">
        <f>AS159</f>
        <v>0</v>
      </c>
      <c r="AU159" s="3">
        <f>AT159</f>
        <v>0</v>
      </c>
      <c r="AV159" s="3">
        <f>AU159</f>
        <v>0</v>
      </c>
      <c r="AW159" s="3">
        <f>AV159</f>
        <v>0</v>
      </c>
      <c r="AX159" s="3">
        <f>AW159</f>
        <v>0</v>
      </c>
      <c r="AY159" s="3">
        <f>AX159</f>
        <v>0</v>
      </c>
      <c r="AZ159" s="3">
        <f>AY159</f>
        <v>0</v>
      </c>
      <c r="BA159" s="3">
        <f>AZ159</f>
        <v>0</v>
      </c>
      <c r="BB159" s="3">
        <f>BA159</f>
        <v>0</v>
      </c>
      <c r="BC159" s="3">
        <f>BB159</f>
        <v>0</v>
      </c>
      <c r="BD159" s="3">
        <f>BC159</f>
        <v>0</v>
      </c>
      <c r="BE159" s="3">
        <f>BD159</f>
        <v>0</v>
      </c>
      <c r="BF159" s="3">
        <f>BE159</f>
        <v>0</v>
      </c>
      <c r="BG159" s="3">
        <f>BF159</f>
        <v>0</v>
      </c>
      <c r="BH159" s="3">
        <f>BG159</f>
        <v>0</v>
      </c>
      <c r="BI159" s="3">
        <f>BH159</f>
        <v>0</v>
      </c>
      <c r="BJ159" s="3">
        <f>BI159</f>
        <v>0</v>
      </c>
      <c r="BK159" s="3">
        <f>BJ159</f>
        <v>0</v>
      </c>
      <c r="BL159" s="3">
        <f>BK159</f>
        <v>0</v>
      </c>
      <c r="BM159" s="3">
        <f>BL159</f>
        <v>0</v>
      </c>
      <c r="BN159" s="3">
        <f>BM159</f>
        <v>0</v>
      </c>
      <c r="BO159" s="3">
        <f>BN159</f>
        <v>0</v>
      </c>
      <c r="BP159" s="3">
        <f>BO159</f>
        <v>0</v>
      </c>
      <c r="BQ159" s="3">
        <f>BP159</f>
        <v>0</v>
      </c>
      <c r="BR159" s="3">
        <f>BQ159</f>
        <v>0</v>
      </c>
      <c r="BS159" s="3">
        <f>BR159</f>
        <v>0</v>
      </c>
      <c r="BT159" s="3">
        <f>BS159</f>
        <v>0</v>
      </c>
      <c r="BU159" s="3">
        <f>BT159</f>
        <v>0</v>
      </c>
      <c r="BV159" s="3">
        <f>BU159</f>
        <v>0</v>
      </c>
      <c r="BW159" s="3">
        <f>BV159</f>
        <v>0</v>
      </c>
      <c r="BX159" s="3">
        <f>BW159</f>
        <v>0</v>
      </c>
      <c r="BY159" s="3">
        <f>BX159</f>
        <v>0</v>
      </c>
      <c r="BZ159" s="3">
        <f>BY159</f>
        <v>0</v>
      </c>
      <c r="CA159" s="3">
        <f>BZ159</f>
        <v>0</v>
      </c>
      <c r="CB159" s="3">
        <f>CA159</f>
        <v>0</v>
      </c>
      <c r="CC159" s="3">
        <f>CB159</f>
        <v>0</v>
      </c>
      <c r="CD159" s="3">
        <f>CC159</f>
        <v>0</v>
      </c>
      <c r="CE159" s="3">
        <f>CD159</f>
        <v>0</v>
      </c>
      <c r="CF159" s="3">
        <f>CE159</f>
        <v>0</v>
      </c>
      <c r="CG159" s="3">
        <f>CF159</f>
        <v>0</v>
      </c>
      <c r="CH159" s="3">
        <f>CG159</f>
        <v>0</v>
      </c>
      <c r="CI159" s="3">
        <f>CH159</f>
        <v>0</v>
      </c>
      <c r="CJ159" s="3">
        <f>CI159</f>
        <v>0</v>
      </c>
      <c r="CK159" s="3">
        <f>CJ159</f>
        <v>0</v>
      </c>
      <c r="CL159" s="3">
        <f>CK159</f>
        <v>0</v>
      </c>
      <c r="CM159" s="3">
        <f>CL159</f>
        <v>0</v>
      </c>
      <c r="CN159" s="3">
        <f>CM159</f>
        <v>0</v>
      </c>
      <c r="CO159" s="3">
        <f>CN159</f>
        <v>0</v>
      </c>
      <c r="CP159" s="3">
        <f>CO159</f>
        <v>0</v>
      </c>
      <c r="CQ159" s="3">
        <f>CP159</f>
        <v>0</v>
      </c>
      <c r="CR159" s="3">
        <f>CQ159</f>
        <v>0</v>
      </c>
      <c r="CS159" s="3">
        <f>CR159</f>
        <v>0</v>
      </c>
      <c r="CT159" s="3">
        <f>CS159</f>
        <v>0</v>
      </c>
      <c r="CU159" s="3">
        <f>CT159</f>
        <v>0</v>
      </c>
      <c r="CV159" s="3">
        <f>CU159</f>
        <v>0</v>
      </c>
      <c r="CW159" s="3">
        <f>CV159</f>
        <v>0</v>
      </c>
      <c r="CX159" s="3">
        <f>CW159</f>
        <v>0</v>
      </c>
      <c r="CY159" s="3">
        <f>CX159</f>
        <v>0</v>
      </c>
    </row>
    <row r="160" hidden="1" outlineLevel="1">
      <c r="C160" s="38" t="inlineStr">
        <is>
          <t>%(Var.)</t>
        </is>
      </c>
      <c r="D160" s="3" t="n"/>
      <c r="E160" s="47">
        <f>IFERROR((E159-D159)/D159,0)</f>
        <v>0</v>
      </c>
      <c r="F160" s="47">
        <f>IFERROR((F159-E159)/E159,0)</f>
        <v>0</v>
      </c>
      <c r="G160" s="47">
        <f>IFERROR((G159-F159)/F159,0)</f>
        <v>0</v>
      </c>
      <c r="H160" s="3" t="n"/>
      <c r="I160" s="47">
        <f>IFERROR((I159-H159)/H159,0)</f>
        <v>0</v>
      </c>
      <c r="J160" s="47">
        <f>IFERROR((J159-I159)/I159,0)</f>
        <v>0</v>
      </c>
      <c r="K160" s="47">
        <f>IFERROR((K159-J159)/J159,0)</f>
        <v>0</v>
      </c>
      <c r="L160" s="47">
        <f>IFERROR((L159-K159)/K159,0)</f>
        <v>0</v>
      </c>
      <c r="M160" s="3" t="n"/>
      <c r="N160" s="47">
        <f>IFERROR((N159-M159)/M159,0)</f>
        <v>0</v>
      </c>
      <c r="O160" s="47">
        <f>IFERROR((O159-N159)/N159,0)</f>
        <v>0</v>
      </c>
      <c r="P160" s="47">
        <f>IFERROR((P159-O159)/O159,0)</f>
        <v>0</v>
      </c>
      <c r="Q160" s="47">
        <f>IFERROR((Q159-P159)/P159,0)</f>
        <v>0</v>
      </c>
      <c r="R160" s="3" t="n"/>
      <c r="S160" s="47">
        <f>IFERROR((S159-R159)/R159,0)</f>
        <v>0</v>
      </c>
      <c r="T160" s="47">
        <f>IFERROR((T159-S159)/S159,0)</f>
        <v>0</v>
      </c>
      <c r="U160" s="47">
        <f>IFERROR((U159-T159)/T159,0)</f>
        <v>0</v>
      </c>
      <c r="V160" s="47">
        <f>IFERROR((V159-U159)/U159,0)</f>
        <v>0</v>
      </c>
      <c r="W160" s="3" t="n"/>
      <c r="X160" s="47">
        <f>IFERROR((X159-W159)/W159,0)</f>
        <v>0</v>
      </c>
      <c r="Y160" s="47">
        <f>IFERROR((Y159-X159)/X159,0)</f>
        <v>0</v>
      </c>
      <c r="Z160" s="47">
        <f>IFERROR((Z159-Y159)/Y159,0)</f>
        <v>0</v>
      </c>
      <c r="AA160" s="47">
        <f>IFERROR((AA159-Z159)/Z159,0)</f>
        <v>0</v>
      </c>
      <c r="AB160" s="3" t="n"/>
      <c r="AC160" s="47">
        <f>IFERROR((AC159-AB159)/AB159,0)</f>
        <v>0</v>
      </c>
      <c r="AD160" s="47">
        <f>IFERROR((AD159-AC159)/AC159,0)</f>
        <v>0</v>
      </c>
      <c r="AE160" s="47">
        <f>IFERROR((AE159-AD159)/AD159,0)</f>
        <v>0</v>
      </c>
      <c r="AF160" s="218">
        <f>IFERROR((AF159-AE159)/AE159,0)</f>
        <v>0</v>
      </c>
      <c r="AG160" s="3" t="n"/>
      <c r="AH160" s="218">
        <f>IFERROR((AH159-AG159)/AG159,0)</f>
        <v>0</v>
      </c>
      <c r="AI160" s="218">
        <f>IFERROR((AI159-AH159)/AH159,0)</f>
        <v>0</v>
      </c>
      <c r="AJ160" s="218" t="n"/>
      <c r="AK160" s="218" t="n"/>
      <c r="AL160" s="3" t="n"/>
      <c r="AM160" s="218" t="n"/>
      <c r="AN160" s="218" t="n"/>
      <c r="AO160" s="218" t="n"/>
      <c r="AP160" s="218" t="n"/>
      <c r="AQ160" s="3" t="n"/>
      <c r="AR160" s="218" t="n"/>
      <c r="AS160" s="218" t="n"/>
      <c r="AT160" s="218" t="n"/>
      <c r="AU160" s="218" t="n"/>
      <c r="AV160" s="3" t="n"/>
      <c r="AW160" s="218" t="n"/>
      <c r="AX160" s="218" t="n"/>
      <c r="AY160" s="218" t="n"/>
      <c r="AZ160" s="218" t="n"/>
      <c r="BA160" s="3" t="n"/>
      <c r="BB160" s="218" t="n"/>
      <c r="BC160" s="218" t="n"/>
      <c r="BD160" s="218" t="n"/>
      <c r="BE160" s="218" t="n"/>
      <c r="BF160" s="3" t="n"/>
      <c r="BG160" s="218" t="n"/>
      <c r="BH160" s="218" t="n"/>
      <c r="BI160" s="218" t="n"/>
      <c r="BJ160" s="218" t="n"/>
      <c r="BK160" s="3" t="n"/>
      <c r="BL160" s="218" t="n"/>
      <c r="BM160" s="218" t="n"/>
      <c r="BN160" s="218" t="n"/>
      <c r="BO160" s="218" t="n"/>
      <c r="BP160" s="3" t="n"/>
      <c r="BQ160" s="218" t="n"/>
      <c r="BR160" s="218" t="n"/>
      <c r="BS160" s="218" t="n"/>
      <c r="BT160" s="218" t="n"/>
      <c r="BU160" s="3" t="n"/>
      <c r="BV160" s="218" t="n"/>
      <c r="BW160" s="218" t="n"/>
      <c r="BX160" s="218" t="n"/>
      <c r="BY160" s="218" t="n"/>
      <c r="BZ160" s="3" t="n"/>
      <c r="CA160" s="218" t="n"/>
      <c r="CB160" s="218" t="n"/>
      <c r="CC160" s="218" t="n"/>
      <c r="CD160" s="218" t="n"/>
      <c r="CE160" s="3" t="n"/>
      <c r="CF160" s="218" t="n"/>
      <c r="CG160" s="218" t="n"/>
      <c r="CH160" s="218" t="n"/>
      <c r="CI160" s="218" t="n"/>
      <c r="CJ160" s="3" t="n"/>
      <c r="CK160" s="218" t="n"/>
      <c r="CL160" s="218" t="n"/>
      <c r="CM160" s="218" t="n"/>
      <c r="CN160" s="218" t="n"/>
      <c r="CO160" s="3" t="n"/>
      <c r="CP160" s="218" t="n"/>
      <c r="CQ160" s="218" t="n"/>
      <c r="CR160" s="218" t="n"/>
      <c r="CS160" s="218" t="n"/>
      <c r="CT160" s="3" t="n"/>
      <c r="CU160" s="218" t="n"/>
      <c r="CV160" s="218" t="n"/>
      <c r="CW160" s="218" t="n"/>
      <c r="CX160" s="218" t="n"/>
      <c r="CY160" s="3" t="n"/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collapsed="1">
      <c r="C162" s="26" t="inlineStr">
        <is>
          <t>Goodwill</t>
        </is>
      </c>
      <c r="D162" s="25">
        <f>INDEX('Inputs (2)'!$D$24:$AL$24,MATCH(D$7,'Inputs (2)'!$D$2:$AL$2,0))</f>
        <v>6140</v>
      </c>
      <c r="E162" s="25">
        <f>INDEX('Inputs (2)'!$D$24:$AL$24,MATCH(E$7,'Inputs (2)'!$D$2:$AL$2,0))</f>
        <v>6192</v>
      </c>
      <c r="F162" s="25">
        <f>INDEX('Inputs (2)'!$D$24:$AL$24,MATCH(F$7,'Inputs (2)'!$D$2:$AL$2,0))</f>
        <v>6304</v>
      </c>
      <c r="G162" s="25">
        <f>INDEX('Inputs (2)'!$D$24:$AL$24,MATCH(G$7,'Inputs (2)'!$D$2:$AL$2,0))</f>
        <v>6394</v>
      </c>
      <c r="H162" s="3">
        <f>G162</f>
        <v>6394</v>
      </c>
      <c r="I162" s="25">
        <f>INDEX('Inputs (2)'!$D$24:$AL$24,MATCH(I$7,'Inputs (2)'!$D$2:$AL$2,0))</f>
        <v>6343</v>
      </c>
      <c r="J162" s="25">
        <f>INDEX('Inputs (2)'!$D$24:$AL$24,MATCH(J$7,'Inputs (2)'!$D$2:$AL$2,0))</f>
        <v>6372</v>
      </c>
      <c r="K162" s="25">
        <f>INDEX('Inputs (2)'!$D$24:$AL$24,MATCH(K$7,'Inputs (2)'!$D$2:$AL$2,0))</f>
        <v>6353</v>
      </c>
      <c r="L162" s="25">
        <f>INDEX('Inputs (2)'!$D$24:$AL$24,MATCH(L$7,'Inputs (2)'!$D$2:$AL$2,0))</f>
        <v>6324</v>
      </c>
      <c r="M162" s="3">
        <f>L162</f>
        <v>6324</v>
      </c>
      <c r="N162" s="25">
        <f>INDEX('Inputs (2)'!$D$24:$AL$24,MATCH(N$7,'Inputs (2)'!$D$2:$AL$2,0))</f>
        <v>6293</v>
      </c>
      <c r="O162" s="25">
        <f>INDEX('Inputs (2)'!$D$24:$AL$24,MATCH(O$7,'Inputs (2)'!$D$2:$AL$2,0))</f>
        <v>6195</v>
      </c>
      <c r="P162" s="25">
        <f>INDEX('Inputs (2)'!$D$24:$AL$24,MATCH(P$7,'Inputs (2)'!$D$2:$AL$2,0))</f>
        <v>6092</v>
      </c>
      <c r="Q162" s="25">
        <f>INDEX('Inputs (2)'!$D$24:$AL$24,MATCH(Q$7,'Inputs (2)'!$D$2:$AL$2,0))</f>
        <v>5288</v>
      </c>
      <c r="R162" s="3">
        <f>Q162</f>
        <v>5288</v>
      </c>
      <c r="S162" s="25">
        <f>INDEX('Inputs (2)'!$D$24:$AL$24,MATCH(S$7,'Inputs (2)'!$D$2:$AL$2,0))</f>
        <v>5309</v>
      </c>
      <c r="T162" s="25">
        <f>INDEX('Inputs (2)'!$D$24:$AL$24,MATCH(T$7,'Inputs (2)'!$D$2:$AL$2,0))</f>
        <v>5293</v>
      </c>
      <c r="U162" s="25">
        <f>INDEX('Inputs (2)'!$D$24:$AL$24,MATCH(U$7,'Inputs (2)'!$D$2:$AL$2,0))</f>
        <v>5268</v>
      </c>
      <c r="V162" s="25">
        <f>INDEX('Inputs (2)'!$D$24:$AL$24,MATCH(V$7,'Inputs (2)'!$D$2:$AL$2,0))</f>
        <v>5308</v>
      </c>
      <c r="W162" s="3">
        <f>V162</f>
        <v>5308</v>
      </c>
      <c r="X162" s="25">
        <f>INDEX('Inputs (2)'!$D$24:$AL$24,MATCH(X$7,'Inputs (2)'!$D$2:$AL$2,0))</f>
        <v>5277</v>
      </c>
      <c r="Y162" s="25">
        <f>INDEX('Inputs (2)'!$D$24:$AL$24,MATCH(Y$7,'Inputs (2)'!$D$2:$AL$2,0))</f>
        <v>5264</v>
      </c>
      <c r="Z162" s="25">
        <f>INDEX('Inputs (2)'!$D$24:$AL$24,MATCH(Z$7,'Inputs (2)'!$D$2:$AL$2,0))</f>
        <v>5317</v>
      </c>
      <c r="AA162" s="25">
        <f>INDEX('Inputs (2)'!$D$24:$AL$24,MATCH(AA$7,'Inputs (2)'!$D$2:$AL$2,0))</f>
        <v>5241</v>
      </c>
      <c r="AB162" s="3">
        <f>AA162</f>
        <v>5241</v>
      </c>
      <c r="AC162" s="25">
        <f>INDEX('Inputs (2)'!$D$24:$AL$24,MATCH(AC$7,'Inputs (2)'!$D$2:$AL$2,0))</f>
        <v>5270</v>
      </c>
      <c r="AD162" s="25">
        <f>INDEX('Inputs (2)'!$D$24:$AL$24,MATCH(AD$7,'Inputs (2)'!$D$2:$AL$2,0))</f>
        <v>5331</v>
      </c>
      <c r="AE162" s="25">
        <f>INDEX('Inputs (2)'!$D$24:$AL$24,MATCH(AE$7,'Inputs (2)'!$D$2:$AL$2,0))</f>
        <v>5329</v>
      </c>
      <c r="AF162" s="25">
        <f>INDEX('Inputs (2)'!$D$24:$AL$24,MATCH(AF$7,'Inputs (2)'!$D$2:$AL$2,0))</f>
        <v>5321</v>
      </c>
      <c r="AG162" s="3">
        <f>AF162</f>
        <v>5321</v>
      </c>
      <c r="AH162" s="3">
        <f>INDEX('Inputs (2)'!$D$24:$AL$24,MATCH(AH$7,'Inputs (2)'!$D$2:$AL$2,0))</f>
        <v>5865</v>
      </c>
      <c r="AI162" s="3">
        <f>INDEX('Inputs (2)'!$D$24:$AL$24,MATCH(AI$7,'Inputs (2)'!$D$2:$AL$2,0))</f>
        <v>5859</v>
      </c>
      <c r="AJ162" s="3">
        <f>AI162</f>
        <v>5859</v>
      </c>
      <c r="AK162" s="3">
        <f>AJ162</f>
        <v>5859</v>
      </c>
      <c r="AL162" s="3">
        <f>AK162</f>
        <v>5859</v>
      </c>
      <c r="AM162" s="3">
        <f>AL162</f>
        <v>5859</v>
      </c>
      <c r="AN162" s="3">
        <f>AM162</f>
        <v>5859</v>
      </c>
      <c r="AO162" s="3">
        <f>AN162</f>
        <v>5859</v>
      </c>
      <c r="AP162" s="3">
        <f>AO162</f>
        <v>5859</v>
      </c>
      <c r="AQ162" s="3">
        <f>AP162</f>
        <v>5859</v>
      </c>
      <c r="AR162" s="3">
        <f>AQ162</f>
        <v>5859</v>
      </c>
      <c r="AS162" s="3">
        <f>AR162</f>
        <v>5859</v>
      </c>
      <c r="AT162" s="3">
        <f>AS162</f>
        <v>5859</v>
      </c>
      <c r="AU162" s="3">
        <f>AT162</f>
        <v>5859</v>
      </c>
      <c r="AV162" s="3">
        <f>AU162</f>
        <v>5859</v>
      </c>
      <c r="AW162" s="3">
        <f>AV162</f>
        <v>5859</v>
      </c>
      <c r="AX162" s="3">
        <f>AW162</f>
        <v>5859</v>
      </c>
      <c r="AY162" s="3">
        <f>AX162</f>
        <v>5859</v>
      </c>
      <c r="AZ162" s="3">
        <f>AY162</f>
        <v>5859</v>
      </c>
      <c r="BA162" s="3">
        <f>AZ162</f>
        <v>5859</v>
      </c>
      <c r="BB162" s="3">
        <f>BA162</f>
        <v>5859</v>
      </c>
      <c r="BC162" s="3">
        <f>BB162</f>
        <v>5859</v>
      </c>
      <c r="BD162" s="3">
        <f>BC162</f>
        <v>5859</v>
      </c>
      <c r="BE162" s="3">
        <f>BD162</f>
        <v>5859</v>
      </c>
      <c r="BF162" s="3">
        <f>BE162</f>
        <v>5859</v>
      </c>
      <c r="BG162" s="3">
        <f>BF162</f>
        <v>5859</v>
      </c>
      <c r="BH162" s="3">
        <f>BG162</f>
        <v>5859</v>
      </c>
      <c r="BI162" s="3">
        <f>BH162</f>
        <v>5859</v>
      </c>
      <c r="BJ162" s="3">
        <f>BI162</f>
        <v>5859</v>
      </c>
      <c r="BK162" s="3">
        <f>BJ162</f>
        <v>5859</v>
      </c>
      <c r="BL162" s="3">
        <f>BK162</f>
        <v>5859</v>
      </c>
      <c r="BM162" s="3">
        <f>BL162</f>
        <v>5859</v>
      </c>
      <c r="BN162" s="3">
        <f>BM162</f>
        <v>5859</v>
      </c>
      <c r="BO162" s="3">
        <f>BN162</f>
        <v>5859</v>
      </c>
      <c r="BP162" s="3">
        <f>BO162</f>
        <v>5859</v>
      </c>
      <c r="BQ162" s="3">
        <f>BP162</f>
        <v>5859</v>
      </c>
      <c r="BR162" s="3">
        <f>BQ162</f>
        <v>5859</v>
      </c>
      <c r="BS162" s="3">
        <f>BR162</f>
        <v>5859</v>
      </c>
      <c r="BT162" s="3">
        <f>BS162</f>
        <v>5859</v>
      </c>
      <c r="BU162" s="3">
        <f>BT162</f>
        <v>5859</v>
      </c>
      <c r="BV162" s="3">
        <f>BU162</f>
        <v>5859</v>
      </c>
      <c r="BW162" s="3">
        <f>BV162</f>
        <v>5859</v>
      </c>
      <c r="BX162" s="3">
        <f>BW162</f>
        <v>5859</v>
      </c>
      <c r="BY162" s="3">
        <f>BX162</f>
        <v>5859</v>
      </c>
      <c r="BZ162" s="3">
        <f>BY162</f>
        <v>5859</v>
      </c>
      <c r="CA162" s="3">
        <f>BZ162</f>
        <v>5859</v>
      </c>
      <c r="CB162" s="3">
        <f>CA162</f>
        <v>5859</v>
      </c>
      <c r="CC162" s="3">
        <f>CB162</f>
        <v>5859</v>
      </c>
      <c r="CD162" s="3">
        <f>CC162</f>
        <v>5859</v>
      </c>
      <c r="CE162" s="3">
        <f>CD162</f>
        <v>5859</v>
      </c>
      <c r="CF162" s="3">
        <f>CE162</f>
        <v>5859</v>
      </c>
      <c r="CG162" s="3">
        <f>CF162</f>
        <v>5859</v>
      </c>
      <c r="CH162" s="3">
        <f>CG162</f>
        <v>5859</v>
      </c>
      <c r="CI162" s="3">
        <f>CH162</f>
        <v>5859</v>
      </c>
      <c r="CJ162" s="3">
        <f>CI162</f>
        <v>5859</v>
      </c>
      <c r="CK162" s="3">
        <f>CJ162</f>
        <v>5859</v>
      </c>
      <c r="CL162" s="3">
        <f>CK162</f>
        <v>5859</v>
      </c>
      <c r="CM162" s="3">
        <f>CL162</f>
        <v>5859</v>
      </c>
      <c r="CN162" s="3">
        <f>CM162</f>
        <v>5859</v>
      </c>
      <c r="CO162" s="3">
        <f>CN162</f>
        <v>5859</v>
      </c>
      <c r="CP162" s="3">
        <f>CO162</f>
        <v>5859</v>
      </c>
      <c r="CQ162" s="3">
        <f>CP162</f>
        <v>5859</v>
      </c>
      <c r="CR162" s="3">
        <f>CQ162</f>
        <v>5859</v>
      </c>
      <c r="CS162" s="3">
        <f>CR162</f>
        <v>5859</v>
      </c>
      <c r="CT162" s="3">
        <f>CS162</f>
        <v>5859</v>
      </c>
      <c r="CU162" s="3">
        <f>CT162</f>
        <v>5859</v>
      </c>
      <c r="CV162" s="3">
        <f>CU162</f>
        <v>5859</v>
      </c>
      <c r="CW162" s="3">
        <f>CV162</f>
        <v>5859</v>
      </c>
      <c r="CX162" s="3">
        <f>CW162</f>
        <v>5859</v>
      </c>
      <c r="CY162" s="3">
        <f>CX162</f>
        <v>5859</v>
      </c>
    </row>
    <row r="163">
      <c r="C163" s="26" t="inlineStr">
        <is>
          <t>Intangibles</t>
        </is>
      </c>
      <c r="D163" s="25">
        <f>INDEX('Inputs (2)'!$D$25:$AL$25,MATCH(D$7,'Inputs (2)'!$D$2:$AL$2,0))</f>
        <v>1478</v>
      </c>
      <c r="E163" s="25">
        <f>INDEX('Inputs (2)'!$D$25:$AL$25,MATCH(E$7,'Inputs (2)'!$D$2:$AL$2,0))</f>
        <v>1420</v>
      </c>
      <c r="F163" s="25">
        <f>INDEX('Inputs (2)'!$D$25:$AL$25,MATCH(F$7,'Inputs (2)'!$D$2:$AL$2,0))</f>
        <v>1363</v>
      </c>
      <c r="G163" s="25">
        <f>INDEX('Inputs (2)'!$D$25:$AL$25,MATCH(G$7,'Inputs (2)'!$D$2:$AL$2,0))</f>
        <v>1308</v>
      </c>
      <c r="H163" s="3">
        <f>G163</f>
        <v>1308</v>
      </c>
      <c r="I163" s="25">
        <f>INDEX('Inputs (2)'!$D$25:$AL$25,MATCH(I$7,'Inputs (2)'!$D$2:$AL$2,0))</f>
        <v>1246</v>
      </c>
      <c r="J163" s="25">
        <f>INDEX('Inputs (2)'!$D$25:$AL$25,MATCH(J$7,'Inputs (2)'!$D$2:$AL$2,0))</f>
        <v>1176</v>
      </c>
      <c r="K163" s="25">
        <f>INDEX('Inputs (2)'!$D$25:$AL$25,MATCH(K$7,'Inputs (2)'!$D$2:$AL$2,0))</f>
        <v>1121</v>
      </c>
      <c r="L163" s="25">
        <f>INDEX('Inputs (2)'!$D$25:$AL$25,MATCH(L$7,'Inputs (2)'!$D$2:$AL$2,0))</f>
        <v>1042</v>
      </c>
      <c r="M163" s="3">
        <f>L163</f>
        <v>1042</v>
      </c>
      <c r="N163" s="25">
        <f>INDEX('Inputs (2)'!$D$25:$AL$25,MATCH(N$7,'Inputs (2)'!$D$2:$AL$2,0))</f>
        <v>967</v>
      </c>
      <c r="O163" s="25">
        <f>INDEX('Inputs (2)'!$D$25:$AL$25,MATCH(O$7,'Inputs (2)'!$D$2:$AL$2,0))</f>
        <v>889</v>
      </c>
      <c r="P163" s="25">
        <f>INDEX('Inputs (2)'!$D$25:$AL$25,MATCH(P$7,'Inputs (2)'!$D$2:$AL$2,0))</f>
        <v>806</v>
      </c>
      <c r="Q163" s="25">
        <f>INDEX('Inputs (2)'!$D$25:$AL$25,MATCH(Q$7,'Inputs (2)'!$D$2:$AL$2,0))</f>
        <v>758</v>
      </c>
      <c r="R163" s="3">
        <f>Q163</f>
        <v>758</v>
      </c>
      <c r="S163" s="25">
        <f>INDEX('Inputs (2)'!$D$25:$AL$25,MATCH(S$7,'Inputs (2)'!$D$2:$AL$2,0))</f>
        <v>694</v>
      </c>
      <c r="T163" s="25">
        <f>INDEX('Inputs (2)'!$D$25:$AL$25,MATCH(T$7,'Inputs (2)'!$D$2:$AL$2,0))</f>
        <v>630</v>
      </c>
      <c r="U163" s="25">
        <f>INDEX('Inputs (2)'!$D$25:$AL$25,MATCH(U$7,'Inputs (2)'!$D$2:$AL$2,0))</f>
        <v>604</v>
      </c>
      <c r="V163" s="25">
        <f>INDEX('Inputs (2)'!$D$25:$AL$25,MATCH(V$7,'Inputs (2)'!$D$2:$AL$2,0))</f>
        <v>564</v>
      </c>
      <c r="W163" s="3">
        <f>V163</f>
        <v>564</v>
      </c>
      <c r="X163" s="25">
        <f>INDEX('Inputs (2)'!$D$25:$AL$25,MATCH(X$7,'Inputs (2)'!$D$2:$AL$2,0))</f>
        <v>516</v>
      </c>
      <c r="Y163" s="25">
        <f>INDEX('Inputs (2)'!$D$25:$AL$25,MATCH(Y$7,'Inputs (2)'!$D$2:$AL$2,0))</f>
        <v>488</v>
      </c>
      <c r="Z163" s="25">
        <f>INDEX('Inputs (2)'!$D$25:$AL$25,MATCH(Z$7,'Inputs (2)'!$D$2:$AL$2,0))</f>
        <v>448</v>
      </c>
      <c r="AA163" s="25">
        <f>INDEX('Inputs (2)'!$D$25:$AL$25,MATCH(AA$7,'Inputs (2)'!$D$2:$AL$2,0))</f>
        <v>399</v>
      </c>
      <c r="AB163" s="3">
        <f>AA163</f>
        <v>399</v>
      </c>
      <c r="AC163" s="25">
        <f>INDEX('Inputs (2)'!$D$25:$AL$25,MATCH(AC$7,'Inputs (2)'!$D$2:$AL$2,0))</f>
        <v>361</v>
      </c>
      <c r="AD163" s="25">
        <f>INDEX('Inputs (2)'!$D$25:$AL$25,MATCH(AD$7,'Inputs (2)'!$D$2:$AL$2,0))</f>
        <v>321</v>
      </c>
      <c r="AE163" s="25">
        <f>INDEX('Inputs (2)'!$D$25:$AL$25,MATCH(AE$7,'Inputs (2)'!$D$2:$AL$2,0))</f>
        <v>281</v>
      </c>
      <c r="AF163" s="25">
        <f>INDEX('Inputs (2)'!$D$25:$AL$25,MATCH(AF$7,'Inputs (2)'!$D$2:$AL$2,0))</f>
        <v>241</v>
      </c>
      <c r="AG163" s="3">
        <f>AF163</f>
        <v>241</v>
      </c>
      <c r="AH163" s="3">
        <f>INDEX('Inputs (2)'!$D$25:$AL$25,MATCH(AH$7,'Inputs (2)'!$D$2:$AL$2,0))</f>
        <v>419</v>
      </c>
      <c r="AI163" s="3">
        <f>INDEX('Inputs (2)'!$D$25:$AL$25,MATCH(AI$7,'Inputs (2)'!$D$2:$AL$2,0))</f>
        <v>420</v>
      </c>
      <c r="AJ163" s="3" t="n"/>
      <c r="AK163" s="3" t="n"/>
      <c r="AL163" s="3">
        <f>AK163</f>
        <v>0</v>
      </c>
      <c r="AN163" s="3" t="n"/>
      <c r="AO163" s="3" t="n"/>
      <c r="AP163" s="3" t="n"/>
      <c r="AQ163" s="3">
        <f>AP163</f>
        <v>0</v>
      </c>
      <c r="AS163" s="3" t="n"/>
      <c r="AT163" s="3" t="n"/>
      <c r="AU163" s="3" t="n"/>
      <c r="AV163" s="3">
        <f>AU163</f>
        <v>0</v>
      </c>
      <c r="AX163" s="3" t="n"/>
      <c r="AY163" s="3" t="n"/>
      <c r="AZ163" s="3" t="n"/>
      <c r="BA163" s="3">
        <f>AZ163</f>
        <v>0</v>
      </c>
      <c r="BC163" s="3" t="n"/>
      <c r="BD163" s="3" t="n"/>
      <c r="BE163" s="3" t="n"/>
      <c r="BF163" s="3">
        <f>BE163</f>
        <v>0</v>
      </c>
      <c r="BH163" s="3" t="n"/>
      <c r="BI163" s="3" t="n"/>
      <c r="BJ163" s="3" t="n"/>
      <c r="BK163" s="3">
        <f>BJ163</f>
        <v>0</v>
      </c>
      <c r="BM163" s="3" t="n"/>
      <c r="BN163" s="3" t="n"/>
      <c r="BO163" s="3" t="n"/>
      <c r="BP163" s="3">
        <f>BO163</f>
        <v>0</v>
      </c>
      <c r="BR163" s="3" t="n"/>
      <c r="BS163" s="3" t="n"/>
      <c r="BT163" s="3" t="n"/>
      <c r="BU163" s="3">
        <f>BT163</f>
        <v>0</v>
      </c>
      <c r="BW163" s="3" t="n"/>
      <c r="BX163" s="3" t="n"/>
      <c r="BY163" s="3" t="n"/>
      <c r="BZ163" s="3">
        <f>BY163</f>
        <v>0</v>
      </c>
      <c r="CB163" s="3" t="n"/>
      <c r="CC163" s="3" t="n"/>
      <c r="CD163" s="3" t="n"/>
      <c r="CE163" s="3">
        <f>CD163</f>
        <v>0</v>
      </c>
      <c r="CG163" s="3" t="n"/>
      <c r="CH163" s="3" t="n"/>
      <c r="CI163" s="3" t="n"/>
      <c r="CJ163" s="3">
        <f>CI163</f>
        <v>0</v>
      </c>
      <c r="CL163" s="3" t="n"/>
      <c r="CM163" s="3" t="n"/>
      <c r="CN163" s="3" t="n"/>
      <c r="CO163" s="3">
        <f>CN163</f>
        <v>0</v>
      </c>
      <c r="CQ163" s="3" t="n"/>
      <c r="CR163" s="3" t="n"/>
      <c r="CS163" s="3" t="n"/>
      <c r="CT163" s="3">
        <f>CS163</f>
        <v>0</v>
      </c>
      <c r="CV163" s="3" t="n"/>
      <c r="CW163" s="3" t="n"/>
      <c r="CX163" s="3" t="n"/>
      <c r="CY163" s="3">
        <f>CX163</f>
        <v>0</v>
      </c>
    </row>
    <row r="164" hidden="1" outlineLevel="1">
      <c r="C164" s="34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  <c r="BZ164" s="3" t="n"/>
      <c r="CA164" s="3" t="n"/>
      <c r="CB164" s="3" t="n"/>
      <c r="CC164" s="3" t="n"/>
      <c r="CD164" s="3" t="n"/>
      <c r="CE164" s="3" t="n"/>
      <c r="CF164" s="3" t="n"/>
      <c r="CG164" s="3" t="n"/>
      <c r="CH164" s="3" t="n"/>
      <c r="CI164" s="3" t="n"/>
      <c r="CJ164" s="3" t="n"/>
      <c r="CK164" s="3" t="n"/>
      <c r="CL164" s="3" t="n"/>
      <c r="CM164" s="3" t="n"/>
      <c r="CN164" s="3" t="n"/>
      <c r="CO164" s="3" t="n"/>
      <c r="CP164" s="3" t="n"/>
      <c r="CQ164" s="3" t="n"/>
      <c r="CR164" s="3" t="n"/>
      <c r="CS164" s="3" t="n"/>
      <c r="CT164" s="3" t="n"/>
      <c r="CU164" s="3" t="n"/>
      <c r="CV164" s="3" t="n"/>
      <c r="CW164" s="3" t="n"/>
      <c r="CX164" s="3" t="n"/>
      <c r="CY164" s="3" t="n"/>
    </row>
    <row r="165" hidden="1" outlineLevel="1">
      <c r="C165" s="34" t="inlineStr">
        <is>
          <t>Purchase of intangible assets</t>
        </is>
      </c>
      <c r="D165" s="3" t="n"/>
      <c r="E165" s="3">
        <f>E163-D163-E67</f>
        <v>-58</v>
      </c>
      <c r="F165" s="3">
        <f>F163-E163-F67</f>
        <v>-57</v>
      </c>
      <c r="G165" s="3">
        <f>G163-F163-G67</f>
        <v>-55</v>
      </c>
      <c r="H165" s="3" t="n"/>
      <c r="I165" s="3">
        <f>I163-H163-I67</f>
        <v>-62</v>
      </c>
      <c r="J165" s="3">
        <f>J163-I163-J67</f>
        <v>-70</v>
      </c>
      <c r="K165" s="3">
        <f>K163-J163-K67</f>
        <v>-55</v>
      </c>
      <c r="L165" s="3">
        <f>L163-K163-L67</f>
        <v>-79</v>
      </c>
      <c r="M165" s="3" t="n"/>
      <c r="N165" s="3">
        <f>N163-M163-N67</f>
        <v>-75</v>
      </c>
      <c r="O165" s="3">
        <f>O163-N163-O67</f>
        <v>-78</v>
      </c>
      <c r="P165" s="3">
        <f>P163-O163-P67</f>
        <v>-83</v>
      </c>
      <c r="Q165" s="3">
        <f>Q163-P163-Q67</f>
        <v>-48</v>
      </c>
      <c r="R165" s="3" t="n"/>
      <c r="S165" s="3">
        <f>S163-R163-S67</f>
        <v>-64</v>
      </c>
      <c r="T165" s="3">
        <f>T163-S163-T67</f>
        <v>-64</v>
      </c>
      <c r="U165" s="3">
        <f>U163-T163-U67</f>
        <v>-26</v>
      </c>
      <c r="V165" s="3">
        <f>V163-U163-V67</f>
        <v>-40</v>
      </c>
      <c r="W165" s="3" t="n"/>
      <c r="X165" s="3">
        <f>X163-W163-X67</f>
        <v>-48</v>
      </c>
      <c r="Y165" s="3">
        <f>Y163-X163-Y67</f>
        <v>-28</v>
      </c>
      <c r="Z165" s="3">
        <f>Z163-Y163-Z67</f>
        <v>-40</v>
      </c>
      <c r="AA165" s="3">
        <f>AA163-Z163-AA67</f>
        <v>-49</v>
      </c>
      <c r="AB165" s="3" t="n"/>
      <c r="AC165" s="3">
        <f>AC163-AB163-AC67</f>
        <v>-38</v>
      </c>
      <c r="AD165" s="3">
        <f>AD163-AC163-AD67</f>
        <v>-40</v>
      </c>
      <c r="AE165" s="3">
        <f>AE163-AD163-AE67</f>
        <v>-40</v>
      </c>
      <c r="AF165" s="3" t="n"/>
      <c r="AG165" s="3" t="n"/>
      <c r="AH165" s="6">
        <f>AH163-AG163-AH67</f>
        <v>178</v>
      </c>
      <c r="AI165" s="6">
        <f>AI163-AH163-AI67</f>
        <v>1</v>
      </c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inlineStr">
        <is>
          <t>Amortization (enter as -)</t>
        </is>
      </c>
      <c r="D166" s="3" t="n"/>
      <c r="E166" s="3">
        <f>E66</f>
        <v>0</v>
      </c>
      <c r="F166" s="3">
        <f>F66</f>
        <v>0</v>
      </c>
      <c r="G166" s="3">
        <f>G66</f>
        <v>0</v>
      </c>
      <c r="H166" s="3" t="n"/>
      <c r="I166" s="3">
        <f>I66</f>
        <v>0</v>
      </c>
      <c r="J166" s="3">
        <f>J66</f>
        <v>0</v>
      </c>
      <c r="K166" s="3">
        <f>K66</f>
        <v>0</v>
      </c>
      <c r="L166" s="3">
        <f>L66</f>
        <v>0</v>
      </c>
      <c r="M166" s="3" t="n"/>
      <c r="N166" s="3">
        <f>N66</f>
        <v>0</v>
      </c>
      <c r="O166" s="3">
        <f>O66</f>
        <v>0</v>
      </c>
      <c r="P166" s="3">
        <f>P66</f>
        <v>0</v>
      </c>
      <c r="Q166" s="3">
        <f>Q66</f>
        <v>0</v>
      </c>
      <c r="R166" s="3" t="n"/>
      <c r="S166" s="3">
        <f>S66</f>
        <v>0</v>
      </c>
      <c r="T166" s="3">
        <f>T66</f>
        <v>0</v>
      </c>
      <c r="U166" s="3">
        <f>U66</f>
        <v>0</v>
      </c>
      <c r="V166" s="3">
        <f>V66</f>
        <v>0</v>
      </c>
      <c r="W166" s="3" t="n"/>
      <c r="X166" s="3">
        <f>X66</f>
        <v>0</v>
      </c>
      <c r="Y166" s="3">
        <f>Y66</f>
        <v>0</v>
      </c>
      <c r="Z166" s="3">
        <f>Z66</f>
        <v>0</v>
      </c>
      <c r="AA166" s="3">
        <f>AA66</f>
        <v>0</v>
      </c>
      <c r="AB166" s="3" t="n"/>
      <c r="AC166" s="3">
        <f>AC66</f>
        <v>0</v>
      </c>
      <c r="AD166" s="3">
        <f>AD66</f>
        <v>0</v>
      </c>
      <c r="AE166" s="3">
        <f>AE66</f>
        <v>0</v>
      </c>
      <c r="AF166" s="3" t="n"/>
      <c r="AG166" s="3" t="n"/>
      <c r="AH166" s="3">
        <f>AH66</f>
        <v>0</v>
      </c>
      <c r="AI166" s="6">
        <f>AI66</f>
        <v>0</v>
      </c>
      <c r="AJ166" s="6" t="n"/>
      <c r="AK166" s="6" t="n"/>
      <c r="AL166" s="3" t="n"/>
      <c r="AM166" s="6" t="n"/>
      <c r="AN166" s="6" t="n"/>
      <c r="AO166" s="6" t="n"/>
      <c r="AP166" s="6" t="n"/>
      <c r="AQ166" s="3" t="n"/>
      <c r="AR166" s="6" t="n"/>
      <c r="AS166" s="6" t="n"/>
      <c r="AT166" s="6" t="n"/>
      <c r="AU166" s="6" t="n"/>
      <c r="AV166" s="3" t="n"/>
      <c r="AW166" s="6" t="n"/>
      <c r="AX166" s="6" t="n"/>
      <c r="AY166" s="6" t="n"/>
      <c r="AZ166" s="6" t="n"/>
      <c r="BA166" s="3" t="n"/>
      <c r="BB166" s="6" t="n"/>
      <c r="BC166" s="6" t="n"/>
      <c r="BD166" s="6" t="n"/>
      <c r="BE166" s="6" t="n"/>
      <c r="BF166" s="3" t="n"/>
      <c r="BG166" s="6" t="n"/>
      <c r="BH166" s="6" t="n"/>
      <c r="BI166" s="6" t="n"/>
      <c r="BJ166" s="6" t="n"/>
      <c r="BK166" s="3" t="n"/>
      <c r="BL166" s="6" t="n"/>
      <c r="BM166" s="6" t="n"/>
      <c r="BN166" s="6" t="n"/>
      <c r="BO166" s="6" t="n"/>
      <c r="BP166" s="3" t="n"/>
      <c r="BQ166" s="6" t="n"/>
      <c r="BR166" s="6" t="n"/>
      <c r="BS166" s="6" t="n"/>
      <c r="BT166" s="6" t="n"/>
      <c r="BU166" s="3" t="n"/>
      <c r="BV166" s="6" t="n"/>
      <c r="BW166" s="6" t="n"/>
      <c r="BX166" s="6" t="n"/>
      <c r="BY166" s="6" t="n"/>
      <c r="BZ166" s="3" t="n"/>
      <c r="CA166" s="6" t="n"/>
      <c r="CB166" s="6" t="n"/>
      <c r="CC166" s="6" t="n"/>
      <c r="CD166" s="6" t="n"/>
      <c r="CE166" s="3" t="n"/>
      <c r="CF166" s="6" t="n"/>
      <c r="CG166" s="6" t="n"/>
      <c r="CH166" s="6" t="n"/>
      <c r="CI166" s="6" t="n"/>
      <c r="CJ166" s="3" t="n"/>
      <c r="CK166" s="6" t="n"/>
      <c r="CL166" s="6" t="n"/>
      <c r="CM166" s="6" t="n"/>
      <c r="CN166" s="6" t="n"/>
      <c r="CO166" s="3" t="n"/>
      <c r="CP166" s="6" t="n"/>
      <c r="CQ166" s="6" t="n"/>
      <c r="CR166" s="6" t="n"/>
      <c r="CS166" s="6" t="n"/>
      <c r="CT166" s="3" t="n"/>
      <c r="CU166" s="6" t="n"/>
      <c r="CV166" s="6" t="n"/>
      <c r="CW166" s="6" t="n"/>
      <c r="CX166" s="6" t="n"/>
      <c r="CY166" s="3" t="n"/>
    </row>
    <row r="167" hidden="1" outlineLevel="1">
      <c r="C167" s="34" t="inlineStr">
        <is>
          <t>Intangibles</t>
        </is>
      </c>
      <c r="D167" s="3" t="n"/>
      <c r="E167" s="3">
        <f>E163</f>
        <v>1420</v>
      </c>
      <c r="F167" s="3">
        <f>F163</f>
        <v>1363</v>
      </c>
      <c r="G167" s="3">
        <f>G163</f>
        <v>1308</v>
      </c>
      <c r="H167" s="3" t="n"/>
      <c r="I167" s="3">
        <f>I163</f>
        <v>1246</v>
      </c>
      <c r="J167" s="3">
        <f>J163</f>
        <v>1176</v>
      </c>
      <c r="K167" s="3">
        <f>K163</f>
        <v>1121</v>
      </c>
      <c r="L167" s="3">
        <f>L163</f>
        <v>1042</v>
      </c>
      <c r="M167" s="3" t="n"/>
      <c r="N167" s="3">
        <f>N163</f>
        <v>967</v>
      </c>
      <c r="O167" s="3">
        <f>O163</f>
        <v>889</v>
      </c>
      <c r="P167" s="3">
        <f>P163</f>
        <v>806</v>
      </c>
      <c r="Q167" s="3">
        <f>Q163</f>
        <v>758</v>
      </c>
      <c r="R167" s="3" t="n"/>
      <c r="S167" s="3">
        <f>S163</f>
        <v>694</v>
      </c>
      <c r="T167" s="3">
        <f>T163</f>
        <v>630</v>
      </c>
      <c r="U167" s="3">
        <f>U163</f>
        <v>604</v>
      </c>
      <c r="V167" s="3">
        <f>V163</f>
        <v>564</v>
      </c>
      <c r="W167" s="3" t="n"/>
      <c r="X167" s="3">
        <f>X163</f>
        <v>516</v>
      </c>
      <c r="Y167" s="3">
        <f>Y163</f>
        <v>488</v>
      </c>
      <c r="Z167" s="3">
        <f>Z163</f>
        <v>448</v>
      </c>
      <c r="AA167" s="3">
        <f>AA163</f>
        <v>399</v>
      </c>
      <c r="AB167" s="3" t="n"/>
      <c r="AC167" s="3">
        <f>AC163</f>
        <v>361</v>
      </c>
      <c r="AD167" s="3">
        <f>AD163</f>
        <v>321</v>
      </c>
      <c r="AE167" s="3">
        <f>AE163</f>
        <v>281</v>
      </c>
      <c r="AF167" s="3">
        <f>AF163</f>
        <v>241</v>
      </c>
      <c r="AG167" s="3" t="n"/>
      <c r="AH167" s="3">
        <f>AH163</f>
        <v>419</v>
      </c>
      <c r="AI167" s="3">
        <f>AI163</f>
        <v>420</v>
      </c>
      <c r="AJ167" s="3">
        <f>AI167+SUM(AJ165:AJ166)</f>
        <v>420</v>
      </c>
      <c r="AK167" s="3">
        <f>AJ167+SUM(AK165:AK166)</f>
        <v>420</v>
      </c>
      <c r="AL167" s="3" t="n"/>
      <c r="AM167" s="3">
        <f>AK167+SUM(AM165:AM166)</f>
        <v>420</v>
      </c>
      <c r="AN167" s="3">
        <f>AM167+SUM(AN165:AN166)</f>
        <v>420</v>
      </c>
      <c r="AO167" s="3">
        <f>AN167+SUM(AO165:AO166)</f>
        <v>420</v>
      </c>
      <c r="AP167" s="3">
        <f>AO167+SUM(AP165:AP166)</f>
        <v>420</v>
      </c>
      <c r="AQ167" s="3" t="n"/>
      <c r="AR167" s="3">
        <f>AP167+SUM(AR165:AR166)</f>
        <v>420</v>
      </c>
      <c r="AS167" s="3">
        <f>AR167+SUM(AS165:AS166)</f>
        <v>420</v>
      </c>
      <c r="AT167" s="3">
        <f>AS167+SUM(AT165:AT166)</f>
        <v>420</v>
      </c>
      <c r="AU167" s="3">
        <f>AT167+SUM(AU165:AU166)</f>
        <v>420</v>
      </c>
      <c r="AV167" s="3" t="n"/>
      <c r="AW167" s="3">
        <f>AU167+SUM(AW165:AW166)</f>
        <v>420</v>
      </c>
      <c r="AX167" s="3">
        <f>AW167+SUM(AX165:AX166)</f>
        <v>420</v>
      </c>
      <c r="AY167" s="3">
        <f>AX167+SUM(AY165:AY166)</f>
        <v>420</v>
      </c>
      <c r="AZ167" s="3">
        <f>AY167+SUM(AZ165:AZ166)</f>
        <v>420</v>
      </c>
      <c r="BA167" s="3" t="n"/>
      <c r="BB167" s="3">
        <f>AZ167+SUM(BB165:BB166)</f>
        <v>420</v>
      </c>
      <c r="BC167" s="3">
        <f>BB167+SUM(BC165:BC166)</f>
        <v>420</v>
      </c>
      <c r="BD167" s="3">
        <f>BC167+SUM(BD165:BD166)</f>
        <v>420</v>
      </c>
      <c r="BE167" s="3">
        <f>BD167+SUM(BE165:BE166)</f>
        <v>420</v>
      </c>
      <c r="BF167" s="3" t="n"/>
      <c r="BG167" s="3">
        <f>BE167+SUM(BG165:BG166)</f>
        <v>420</v>
      </c>
      <c r="BH167" s="3">
        <f>BG167+SUM(BH165:BH166)</f>
        <v>420</v>
      </c>
      <c r="BI167" s="3">
        <f>BH167+SUM(BI165:BI166)</f>
        <v>420</v>
      </c>
      <c r="BJ167" s="3">
        <f>BI167+SUM(BJ165:BJ166)</f>
        <v>420</v>
      </c>
      <c r="BK167" s="3" t="n"/>
      <c r="BL167" s="3">
        <f>BJ167+SUM(BL165:BL166)</f>
        <v>420</v>
      </c>
      <c r="BM167" s="3">
        <f>BL167+SUM(BM165:BM166)</f>
        <v>420</v>
      </c>
      <c r="BN167" s="3">
        <f>BM167+SUM(BN165:BN166)</f>
        <v>420</v>
      </c>
      <c r="BO167" s="3">
        <f>BN167+SUM(BO165:BO166)</f>
        <v>420</v>
      </c>
      <c r="BP167" s="3" t="n"/>
      <c r="BQ167" s="3">
        <f>BO167+SUM(BQ165:BQ166)</f>
        <v>420</v>
      </c>
      <c r="BR167" s="3">
        <f>BQ167+SUM(BR165:BR166)</f>
        <v>420</v>
      </c>
      <c r="BS167" s="3">
        <f>BR167+SUM(BS165:BS166)</f>
        <v>420</v>
      </c>
      <c r="BT167" s="3">
        <f>BS167+SUM(BT165:BT166)</f>
        <v>420</v>
      </c>
      <c r="BU167" s="3" t="n"/>
      <c r="BV167" s="3">
        <f>BT167+SUM(BV165:BV166)</f>
        <v>420</v>
      </c>
      <c r="BW167" s="3">
        <f>BV167+SUM(BW165:BW166)</f>
        <v>420</v>
      </c>
      <c r="BX167" s="3">
        <f>BW167+SUM(BX165:BX166)</f>
        <v>420</v>
      </c>
      <c r="BY167" s="3">
        <f>BX167+SUM(BY165:BY166)</f>
        <v>420</v>
      </c>
      <c r="BZ167" s="3" t="n"/>
      <c r="CA167" s="3">
        <f>BY167+SUM(CA165:CA166)</f>
        <v>420</v>
      </c>
      <c r="CB167" s="3">
        <f>CA167+SUM(CB165:CB166)</f>
        <v>420</v>
      </c>
      <c r="CC167" s="3">
        <f>CB167+SUM(CC165:CC166)</f>
        <v>420</v>
      </c>
      <c r="CD167" s="3">
        <f>CC167+SUM(CD165:CD166)</f>
        <v>420</v>
      </c>
      <c r="CE167" s="3" t="n"/>
      <c r="CF167" s="3">
        <f>CD167+SUM(CF165:CF166)</f>
        <v>420</v>
      </c>
      <c r="CG167" s="3">
        <f>CF167+SUM(CG165:CG166)</f>
        <v>420</v>
      </c>
      <c r="CH167" s="3">
        <f>CG167+SUM(CH165:CH166)</f>
        <v>420</v>
      </c>
      <c r="CI167" s="3">
        <f>CH167+SUM(CI165:CI166)</f>
        <v>420</v>
      </c>
      <c r="CJ167" s="3" t="n"/>
      <c r="CK167" s="3">
        <f>CI167+SUM(CK165:CK166)</f>
        <v>420</v>
      </c>
      <c r="CL167" s="3">
        <f>CK167+SUM(CL165:CL166)</f>
        <v>420</v>
      </c>
      <c r="CM167" s="3">
        <f>CL167+SUM(CM165:CM166)</f>
        <v>420</v>
      </c>
      <c r="CN167" s="3">
        <f>CM167+SUM(CN165:CN166)</f>
        <v>420</v>
      </c>
      <c r="CO167" s="3" t="n"/>
      <c r="CP167" s="3">
        <f>CN167+SUM(CP165:CP166)</f>
        <v>420</v>
      </c>
      <c r="CQ167" s="3">
        <f>CP167+SUM(CQ165:CQ166)</f>
        <v>420</v>
      </c>
      <c r="CR167" s="3">
        <f>CQ167+SUM(CR165:CR166)</f>
        <v>420</v>
      </c>
      <c r="CS167" s="3">
        <f>CR167+SUM(CS165:CS166)</f>
        <v>420</v>
      </c>
      <c r="CT167" s="3" t="n"/>
      <c r="CU167" s="3">
        <f>CS167+SUM(CU165:CU166)</f>
        <v>420</v>
      </c>
      <c r="CV167" s="3">
        <f>CU167+SUM(CV165:CV166)</f>
        <v>420</v>
      </c>
      <c r="CW167" s="3">
        <f>CV167+SUM(CW165:CW166)</f>
        <v>420</v>
      </c>
      <c r="CX167" s="3">
        <f>CW167+SUM(CX165:CX166)</f>
        <v>420</v>
      </c>
      <c r="CY167" s="3" t="n"/>
      <c r="CZ167">
        <f>CX167+SUM(CZ165:CZ166)</f>
        <v>420</v>
      </c>
      <c r="DA167">
        <f>CZ167+SUM(DA165:DA166)</f>
        <v>420</v>
      </c>
      <c r="DB167">
        <f>DA167+SUM(DB165:DB166)</f>
        <v>420</v>
      </c>
      <c r="DC167">
        <f>DB167+SUM(DC165:DC166)</f>
        <v>420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inlineStr">
        <is>
          <t>Definir % do D&amp;A No PPE and Intagibles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hidden="1" outlineLevel="1">
      <c r="C171" s="34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  <c r="BZ171" s="3" t="n"/>
      <c r="CA171" s="3" t="n"/>
      <c r="CB171" s="3" t="n"/>
      <c r="CC171" s="3" t="n"/>
      <c r="CD171" s="3" t="n"/>
      <c r="CE171" s="3" t="n"/>
      <c r="CF171" s="3" t="n"/>
      <c r="CG171" s="3" t="n"/>
      <c r="CH171" s="3" t="n"/>
      <c r="CI171" s="3" t="n"/>
      <c r="CJ171" s="3" t="n"/>
      <c r="CK171" s="3" t="n"/>
      <c r="CL171" s="3" t="n"/>
      <c r="CM171" s="3" t="n"/>
      <c r="CN171" s="3" t="n"/>
      <c r="CO171" s="3" t="n"/>
      <c r="CP171" s="3" t="n"/>
      <c r="CQ171" s="3" t="n"/>
      <c r="CR171" s="3" t="n"/>
      <c r="CS171" s="3" t="n"/>
      <c r="CT171" s="3" t="n"/>
      <c r="CU171" s="3" t="n"/>
      <c r="CV171" s="3" t="n"/>
      <c r="CW171" s="3" t="n"/>
      <c r="CX171" s="3" t="n"/>
      <c r="CY171" s="3" t="n"/>
    </row>
    <row r="172" collapsed="1">
      <c r="C172" s="26" t="inlineStr">
        <is>
          <t>Other non-current assets</t>
        </is>
      </c>
      <c r="D172" s="25">
        <f>INDEX('Inputs (2)'!$D$26:$AL$26,MATCH(D$7,'Inputs (2)'!$D$2:$AL$2,0))</f>
        <v>18202</v>
      </c>
      <c r="E172" s="25">
        <f>INDEX('Inputs (2)'!$D$26:$AL$26,MATCH(E$7,'Inputs (2)'!$D$2:$AL$2,0))</f>
        <v>18735</v>
      </c>
      <c r="F172" s="25">
        <f>INDEX('Inputs (2)'!$D$26:$AL$26,MATCH(F$7,'Inputs (2)'!$D$2:$AL$2,0))</f>
        <v>18308</v>
      </c>
      <c r="G172" s="25">
        <f>INDEX('Inputs (2)'!$D$26:$AL$26,MATCH(G$7,'Inputs (2)'!$D$2:$AL$2,0))</f>
        <v>18757</v>
      </c>
      <c r="H172" s="3">
        <f>G172</f>
        <v>18757</v>
      </c>
      <c r="I172" s="25">
        <f>INDEX('Inputs (2)'!$D$26:$AL$26,MATCH(I$7,'Inputs (2)'!$D$2:$AL$2,0))</f>
        <v>18427</v>
      </c>
      <c r="J172" s="25">
        <f>INDEX('Inputs (2)'!$D$26:$AL$26,MATCH(J$7,'Inputs (2)'!$D$2:$AL$2,0))</f>
        <v>19189</v>
      </c>
      <c r="K172" s="25">
        <f>INDEX('Inputs (2)'!$D$26:$AL$26,MATCH(K$7,'Inputs (2)'!$D$2:$AL$2,0))</f>
        <v>19513</v>
      </c>
      <c r="L172" s="25">
        <f>INDEX('Inputs (2)'!$D$26:$AL$26,MATCH(L$7,'Inputs (2)'!$D$2:$AL$2,0))</f>
        <v>19882</v>
      </c>
      <c r="M172" s="3">
        <f>L172</f>
        <v>19882</v>
      </c>
      <c r="N172" s="25">
        <f>INDEX('Inputs (2)'!$D$26:$AL$26,MATCH(N$7,'Inputs (2)'!$D$2:$AL$2,0))</f>
        <v>20514</v>
      </c>
      <c r="O172" s="25">
        <f>INDEX('Inputs (2)'!$D$26:$AL$26,MATCH(O$7,'Inputs (2)'!$D$2:$AL$2,0))</f>
        <v>20297</v>
      </c>
      <c r="P172" s="25">
        <f>INDEX('Inputs (2)'!$D$26:$AL$26,MATCH(P$7,'Inputs (2)'!$D$2:$AL$2,0))</f>
        <v>19789</v>
      </c>
      <c r="Q172" s="25">
        <f>INDEX('Inputs (2)'!$D$26:$AL$26,MATCH(Q$7,'Inputs (2)'!$D$2:$AL$2,0))</f>
        <v>20084</v>
      </c>
      <c r="R172" s="3">
        <f>Q172</f>
        <v>20084</v>
      </c>
      <c r="S172" s="25">
        <f>INDEX('Inputs (2)'!$D$26:$AL$26,MATCH(S$7,'Inputs (2)'!$D$2:$AL$2,0))</f>
        <v>20013</v>
      </c>
      <c r="T172" s="25">
        <f>INDEX('Inputs (2)'!$D$26:$AL$26,MATCH(T$7,'Inputs (2)'!$D$2:$AL$2,0))</f>
        <v>20380</v>
      </c>
      <c r="U172" s="25">
        <f>INDEX('Inputs (2)'!$D$26:$AL$26,MATCH(U$7,'Inputs (2)'!$D$2:$AL$2,0))</f>
        <v>20627</v>
      </c>
      <c r="V172" s="25">
        <f>INDEX('Inputs (2)'!$D$26:$AL$26,MATCH(V$7,'Inputs (2)'!$D$2:$AL$2,0))</f>
        <v>21975</v>
      </c>
      <c r="W172" s="3">
        <f>V172</f>
        <v>21975</v>
      </c>
      <c r="X172" s="25">
        <f>INDEX('Inputs (2)'!$D$26:$AL$26,MATCH(X$7,'Inputs (2)'!$D$2:$AL$2,0))</f>
        <v>21746</v>
      </c>
      <c r="Y172" s="25">
        <f>INDEX('Inputs (2)'!$D$26:$AL$26,MATCH(Y$7,'Inputs (2)'!$D$2:$AL$2,0))</f>
        <v>21906</v>
      </c>
      <c r="Z172" s="25">
        <f>INDEX('Inputs (2)'!$D$26:$AL$26,MATCH(Z$7,'Inputs (2)'!$D$2:$AL$2,0))</f>
        <v>22725</v>
      </c>
      <c r="AA172" s="25">
        <f>INDEX('Inputs (2)'!$D$26:$AL$26,MATCH(AA$7,'Inputs (2)'!$D$2:$AL$2,0))</f>
        <v>23081</v>
      </c>
      <c r="AB172" s="3">
        <f>AA172</f>
        <v>23081</v>
      </c>
      <c r="AC172" s="25">
        <f>INDEX('Inputs (2)'!$D$26:$AL$26,MATCH(AC$7,'Inputs (2)'!$D$2:$AL$2,0))</f>
        <v>22892</v>
      </c>
      <c r="AD172" s="25">
        <f>INDEX('Inputs (2)'!$D$26:$AL$26,MATCH(AD$7,'Inputs (2)'!$D$2:$AL$2,0))</f>
        <v>24022</v>
      </c>
      <c r="AE172" s="25">
        <f>INDEX('Inputs (2)'!$D$26:$AL$26,MATCH(AE$7,'Inputs (2)'!$D$2:$AL$2,0))</f>
        <v>23984</v>
      </c>
      <c r="AF172" s="25">
        <f>INDEX('Inputs (2)'!$D$26:$AL$26,MATCH(AF$7,'Inputs (2)'!$D$2:$AL$2,0))</f>
        <v>25398</v>
      </c>
      <c r="AG172" s="3">
        <f>AF172</f>
        <v>25398</v>
      </c>
      <c r="AH172" s="3">
        <f>INDEX('Inputs (2)'!$D$26:$AL$26,MATCH(AH$7,'Inputs (2)'!$D$2:$AL$2,0))</f>
        <v>25449</v>
      </c>
      <c r="AI172" s="3">
        <f>INDEX('Inputs (2)'!$D$26:$AL$26,MATCH(AI$7,'Inputs (2)'!$D$2:$AL$2,0))</f>
        <v>26252</v>
      </c>
      <c r="AJ172" s="3">
        <f>AI172</f>
        <v>26252</v>
      </c>
      <c r="AK172" s="3">
        <f>AJ172</f>
        <v>26252</v>
      </c>
      <c r="AL172" s="3">
        <f>AK172</f>
        <v>26252</v>
      </c>
      <c r="AM172" s="3">
        <f>AL172</f>
        <v>26252</v>
      </c>
      <c r="AN172" s="3">
        <f>AM172</f>
        <v>26252</v>
      </c>
      <c r="AO172" s="3">
        <f>AN172</f>
        <v>26252</v>
      </c>
      <c r="AP172" s="3">
        <f>AO172</f>
        <v>26252</v>
      </c>
      <c r="AQ172" s="3">
        <f>AP172</f>
        <v>26252</v>
      </c>
      <c r="AR172" s="3">
        <f>AQ172</f>
        <v>26252</v>
      </c>
      <c r="AS172" s="3">
        <f>AR172</f>
        <v>26252</v>
      </c>
      <c r="AT172" s="3">
        <f>AS172</f>
        <v>26252</v>
      </c>
      <c r="AU172" s="3">
        <f>AT172</f>
        <v>26252</v>
      </c>
      <c r="AV172" s="3">
        <f>AU172</f>
        <v>26252</v>
      </c>
      <c r="AW172" s="3">
        <f>AV172</f>
        <v>26252</v>
      </c>
      <c r="AX172" s="3">
        <f>AW172</f>
        <v>26252</v>
      </c>
      <c r="AY172" s="3">
        <f>AX172</f>
        <v>26252</v>
      </c>
      <c r="AZ172" s="3">
        <f>AY172</f>
        <v>26252</v>
      </c>
      <c r="BA172" s="3">
        <f>AZ172</f>
        <v>26252</v>
      </c>
      <c r="BB172" s="3">
        <f>BA172</f>
        <v>26252</v>
      </c>
      <c r="BC172" s="3">
        <f>BB172</f>
        <v>26252</v>
      </c>
      <c r="BD172" s="3">
        <f>BC172</f>
        <v>26252</v>
      </c>
      <c r="BE172" s="3">
        <f>BD172</f>
        <v>26252</v>
      </c>
      <c r="BF172" s="3">
        <f>BE172</f>
        <v>26252</v>
      </c>
      <c r="BG172" s="3">
        <f>BF172</f>
        <v>26252</v>
      </c>
      <c r="BH172" s="3">
        <f>BG172</f>
        <v>26252</v>
      </c>
      <c r="BI172" s="3">
        <f>BH172</f>
        <v>26252</v>
      </c>
      <c r="BJ172" s="3">
        <f>BI172</f>
        <v>26252</v>
      </c>
      <c r="BK172" s="3">
        <f>BJ172</f>
        <v>26252</v>
      </c>
      <c r="BL172" s="3">
        <f>BK172</f>
        <v>26252</v>
      </c>
      <c r="BM172" s="3">
        <f>BL172</f>
        <v>26252</v>
      </c>
      <c r="BN172" s="3">
        <f>BM172</f>
        <v>26252</v>
      </c>
      <c r="BO172" s="3">
        <f>BN172</f>
        <v>26252</v>
      </c>
      <c r="BP172" s="3">
        <f>BO172</f>
        <v>26252</v>
      </c>
      <c r="BQ172" s="3">
        <f>BP172</f>
        <v>26252</v>
      </c>
      <c r="BR172" s="3">
        <f>BQ172</f>
        <v>26252</v>
      </c>
      <c r="BS172" s="3">
        <f>BR172</f>
        <v>26252</v>
      </c>
      <c r="BT172" s="3">
        <f>BS172</f>
        <v>26252</v>
      </c>
      <c r="BU172" s="3">
        <f>BT172</f>
        <v>26252</v>
      </c>
      <c r="BV172" s="3">
        <f>BU172</f>
        <v>26252</v>
      </c>
      <c r="BW172" s="3">
        <f>BV172</f>
        <v>26252</v>
      </c>
      <c r="BX172" s="3">
        <f>BW172</f>
        <v>26252</v>
      </c>
      <c r="BY172" s="3">
        <f>BX172</f>
        <v>26252</v>
      </c>
      <c r="BZ172" s="3">
        <f>BY172</f>
        <v>26252</v>
      </c>
      <c r="CA172" s="3">
        <f>BZ172</f>
        <v>26252</v>
      </c>
      <c r="CB172" s="3">
        <f>CA172</f>
        <v>26252</v>
      </c>
      <c r="CC172" s="3">
        <f>CB172</f>
        <v>26252</v>
      </c>
      <c r="CD172" s="3">
        <f>CC172</f>
        <v>26252</v>
      </c>
      <c r="CE172" s="3">
        <f>CD172</f>
        <v>26252</v>
      </c>
      <c r="CF172" s="3">
        <f>CE172</f>
        <v>26252</v>
      </c>
      <c r="CG172" s="3">
        <f>CF172</f>
        <v>26252</v>
      </c>
      <c r="CH172" s="3">
        <f>CG172</f>
        <v>26252</v>
      </c>
      <c r="CI172" s="3">
        <f>CH172</f>
        <v>26252</v>
      </c>
      <c r="CJ172" s="3">
        <f>CI172</f>
        <v>26252</v>
      </c>
      <c r="CK172" s="3">
        <f>CJ172</f>
        <v>26252</v>
      </c>
      <c r="CL172" s="3">
        <f>CK172</f>
        <v>26252</v>
      </c>
      <c r="CM172" s="3">
        <f>CL172</f>
        <v>26252</v>
      </c>
      <c r="CN172" s="3">
        <f>CM172</f>
        <v>26252</v>
      </c>
      <c r="CO172" s="3">
        <f>CN172</f>
        <v>26252</v>
      </c>
      <c r="CP172" s="3">
        <f>CO172</f>
        <v>26252</v>
      </c>
      <c r="CQ172" s="3">
        <f>CP172</f>
        <v>26252</v>
      </c>
      <c r="CR172" s="3">
        <f>CQ172</f>
        <v>26252</v>
      </c>
      <c r="CS172" s="3">
        <f>CR172</f>
        <v>26252</v>
      </c>
      <c r="CT172" s="3">
        <f>CS172</f>
        <v>26252</v>
      </c>
      <c r="CU172" s="3">
        <f>CT172</f>
        <v>26252</v>
      </c>
      <c r="CV172" s="3">
        <f>CU172</f>
        <v>26252</v>
      </c>
      <c r="CW172" s="3">
        <f>CV172</f>
        <v>26252</v>
      </c>
      <c r="CX172" s="3">
        <f>CW172</f>
        <v>26252</v>
      </c>
      <c r="CY172" s="3">
        <f>CX172</f>
        <v>26252</v>
      </c>
    </row>
    <row r="173" hidden="1" outlineLevel="1">
      <c r="C173" s="38" t="inlineStr">
        <is>
          <t>%(Var.)</t>
        </is>
      </c>
      <c r="D173" s="3" t="n"/>
      <c r="E173" s="47">
        <f>(E172-D172)/D172</f>
        <v>0.0292824964289639</v>
      </c>
      <c r="F173" s="47">
        <f>(F172-E172)/E172</f>
        <v>-0.0227915665866026</v>
      </c>
      <c r="G173" s="47">
        <f>(G172-F172)/F172</f>
        <v>0.0245247979025563</v>
      </c>
      <c r="H173" s="3" t="n"/>
      <c r="I173" s="47">
        <f>(I172-H172)/H172</f>
        <v>-0.0175934317854668</v>
      </c>
      <c r="J173" s="47">
        <f>(J172-I172)/I172</f>
        <v>0.0413523633798231</v>
      </c>
      <c r="K173" s="47">
        <f>(K172-J172)/J172</f>
        <v>0.0168846735108656</v>
      </c>
      <c r="L173" s="47">
        <f>(L172-K172)/K172</f>
        <v>0.0189104699431148</v>
      </c>
      <c r="M173" s="3" t="n"/>
      <c r="N173" s="47">
        <f>(N172-M172)/M172</f>
        <v>0.0317875465244945</v>
      </c>
      <c r="O173" s="47">
        <f>(O172-N172)/N172</f>
        <v>-0.010578141756849</v>
      </c>
      <c r="P173" s="47">
        <f>(P172-O172)/O172</f>
        <v>-0.0250283293097502</v>
      </c>
      <c r="Q173" s="47">
        <f>(Q172-P172)/P172</f>
        <v>0.0149072717166102</v>
      </c>
      <c r="R173" s="3" t="n"/>
      <c r="S173" s="47">
        <f>(S172-R172)/R172</f>
        <v>-0.00353515236008763</v>
      </c>
      <c r="T173" s="47">
        <f>(T172-S172)/S172</f>
        <v>0.0183380802478389</v>
      </c>
      <c r="U173" s="47">
        <f>(U172-T172)/T172</f>
        <v>0.0121197252208047</v>
      </c>
      <c r="V173" s="47">
        <f>(V172-U172)/U172</f>
        <v>0.0653512386677655</v>
      </c>
      <c r="W173" s="3" t="n"/>
      <c r="X173" s="47">
        <f>(X172-W172)/W172</f>
        <v>-0.0104209328782708</v>
      </c>
      <c r="Y173" s="47">
        <f>(Y172-X172)/X172</f>
        <v>0.00735767497470799</v>
      </c>
      <c r="Z173" s="47">
        <f>(Z172-Y172)/Y172</f>
        <v>0.0373870172555464</v>
      </c>
      <c r="AA173" s="47">
        <f>(AA172-Z172)/Z172</f>
        <v>0.0156655665566557</v>
      </c>
      <c r="AB173" s="3" t="n"/>
      <c r="AC173" s="47">
        <f>(AC172-AB172)/AB172</f>
        <v>-0.00818855335557385</v>
      </c>
      <c r="AD173" s="47">
        <f>(AD172-AC172)/AC172</f>
        <v>0.049362222610519</v>
      </c>
      <c r="AE173" s="47">
        <f>(AE172-AD172)/AD172</f>
        <v>-0.00158188327366581</v>
      </c>
      <c r="AF173" s="218">
        <f>(AF172-AE172)/AE172</f>
        <v>0.0589559706470981</v>
      </c>
      <c r="AG173" s="3" t="n"/>
      <c r="AH173" s="218">
        <f>(AH172-AG172)/AG172</f>
        <v>0.00200803212851406</v>
      </c>
      <c r="AI173" s="218">
        <f>(AI172-AH172)/AH172</f>
        <v>0.031553302683799</v>
      </c>
      <c r="AJ173" s="218" t="n"/>
      <c r="AK173" s="218" t="n"/>
      <c r="AL173" s="3" t="n"/>
      <c r="AM173" s="218" t="n"/>
      <c r="AN173" s="218" t="n"/>
      <c r="AO173" s="218" t="n"/>
      <c r="AP173" s="218" t="n"/>
      <c r="AQ173" s="3" t="n"/>
      <c r="AR173" s="218" t="n"/>
      <c r="AS173" s="218" t="n"/>
      <c r="AT173" s="218" t="n"/>
      <c r="AU173" s="218" t="n"/>
      <c r="AV173" s="3" t="n"/>
      <c r="AW173" s="218" t="n"/>
      <c r="AX173" s="218" t="n"/>
      <c r="AY173" s="218" t="n"/>
      <c r="AZ173" s="218" t="n"/>
      <c r="BA173" s="3" t="n"/>
      <c r="BB173" s="218" t="n"/>
      <c r="BC173" s="218" t="n"/>
      <c r="BD173" s="218" t="n"/>
      <c r="BE173" s="218" t="n"/>
      <c r="BF173" s="3" t="n"/>
      <c r="BG173" s="218" t="n"/>
      <c r="BH173" s="218" t="n"/>
      <c r="BI173" s="218" t="n"/>
      <c r="BJ173" s="218" t="n"/>
      <c r="BK173" s="3" t="n"/>
      <c r="BL173" s="218" t="n"/>
      <c r="BM173" s="218" t="n"/>
      <c r="BN173" s="218" t="n"/>
      <c r="BO173" s="218" t="n"/>
      <c r="BP173" s="3" t="n"/>
      <c r="BQ173" s="218" t="n"/>
      <c r="BR173" s="218" t="n"/>
      <c r="BS173" s="218" t="n"/>
      <c r="BT173" s="218" t="n"/>
      <c r="BU173" s="3" t="n"/>
      <c r="BV173" s="218" t="n"/>
      <c r="BW173" s="218" t="n"/>
      <c r="BX173" s="218" t="n"/>
      <c r="BY173" s="218" t="n"/>
      <c r="BZ173" s="3" t="n"/>
      <c r="CA173" s="218" t="n"/>
      <c r="CB173" s="218" t="n"/>
      <c r="CC173" s="218" t="n"/>
      <c r="CD173" s="218" t="n"/>
      <c r="CE173" s="3" t="n"/>
      <c r="CF173" s="218" t="n"/>
      <c r="CG173" s="218" t="n"/>
      <c r="CH173" s="218" t="n"/>
      <c r="CI173" s="218" t="n"/>
      <c r="CJ173" s="3" t="n"/>
      <c r="CK173" s="218" t="n"/>
      <c r="CL173" s="218" t="n"/>
      <c r="CM173" s="218" t="n"/>
      <c r="CN173" s="218" t="n"/>
      <c r="CO173" s="3" t="n"/>
      <c r="CP173" s="218" t="n"/>
      <c r="CQ173" s="218" t="n"/>
      <c r="CR173" s="218" t="n"/>
      <c r="CS173" s="218" t="n"/>
      <c r="CT173" s="3" t="n"/>
      <c r="CU173" s="218" t="n"/>
      <c r="CV173" s="218" t="n"/>
      <c r="CW173" s="218" t="n"/>
      <c r="CX173" s="218" t="n"/>
      <c r="CY173" s="3" t="n"/>
    </row>
    <row r="174" hidden="1" outlineLevel="1">
      <c r="C174" s="34" t="n"/>
      <c r="D174" s="3" t="n"/>
      <c r="E174" s="47" t="n"/>
      <c r="F174" s="47" t="n"/>
      <c r="G174" s="47" t="n"/>
      <c r="H174" s="3" t="n"/>
      <c r="I174" s="47" t="n"/>
      <c r="J174" s="47" t="n"/>
      <c r="K174" s="47" t="n"/>
      <c r="L174" s="47" t="n"/>
      <c r="M174" s="3" t="n"/>
      <c r="N174" s="47" t="n"/>
      <c r="O174" s="47" t="n"/>
      <c r="P174" s="47" t="n"/>
      <c r="Q174" s="47" t="n"/>
      <c r="R174" s="3" t="n"/>
      <c r="S174" s="47" t="n"/>
      <c r="T174" s="47" t="n"/>
      <c r="U174" s="47" t="n"/>
      <c r="V174" s="47" t="n"/>
      <c r="W174" s="3" t="n"/>
      <c r="X174" s="47" t="n"/>
      <c r="Y174" s="47" t="n"/>
      <c r="Z174" s="47" t="n"/>
      <c r="AA174" s="47" t="n"/>
      <c r="AB174" s="3" t="n"/>
      <c r="AC174" s="47" t="n"/>
      <c r="AD174" s="47" t="n"/>
      <c r="AE174" s="47" t="n"/>
      <c r="AF174" s="218" t="n"/>
      <c r="AG174" s="3" t="n"/>
      <c r="AH174" s="218" t="n"/>
      <c r="AI174" s="218" t="n"/>
      <c r="AJ174" s="218" t="n"/>
      <c r="AK174" s="218" t="n"/>
      <c r="AL174" s="3" t="n"/>
      <c r="AM174" s="218" t="n"/>
      <c r="AN174" s="218" t="n"/>
      <c r="AO174" s="218" t="n"/>
      <c r="AP174" s="218" t="n"/>
      <c r="AQ174" s="3" t="n"/>
      <c r="AR174" s="218" t="n"/>
      <c r="AS174" s="218" t="n"/>
      <c r="AT174" s="218" t="n"/>
      <c r="AU174" s="218" t="n"/>
      <c r="AV174" s="3" t="n"/>
      <c r="AW174" s="218" t="n"/>
      <c r="AX174" s="218" t="n"/>
      <c r="AY174" s="218" t="n"/>
      <c r="AZ174" s="218" t="n"/>
      <c r="BA174" s="3" t="n"/>
      <c r="BB174" s="218" t="n"/>
      <c r="BC174" s="218" t="n"/>
      <c r="BD174" s="218" t="n"/>
      <c r="BE174" s="218" t="n"/>
      <c r="BF174" s="3" t="n"/>
      <c r="BG174" s="218" t="n"/>
      <c r="BH174" s="218" t="n"/>
      <c r="BI174" s="218" t="n"/>
      <c r="BJ174" s="218" t="n"/>
      <c r="BK174" s="3" t="n"/>
      <c r="BL174" s="218" t="n"/>
      <c r="BM174" s="218" t="n"/>
      <c r="BN174" s="218" t="n"/>
      <c r="BO174" s="218" t="n"/>
      <c r="BP174" s="3" t="n"/>
      <c r="BQ174" s="218" t="n"/>
      <c r="BR174" s="218" t="n"/>
      <c r="BS174" s="218" t="n"/>
      <c r="BT174" s="218" t="n"/>
      <c r="BU174" s="3" t="n"/>
      <c r="BV174" s="218" t="n"/>
      <c r="BW174" s="218" t="n"/>
      <c r="BX174" s="218" t="n"/>
      <c r="BY174" s="218" t="n"/>
      <c r="BZ174" s="3" t="n"/>
      <c r="CA174" s="218" t="n"/>
      <c r="CB174" s="218" t="n"/>
      <c r="CC174" s="218" t="n"/>
      <c r="CD174" s="218" t="n"/>
      <c r="CE174" s="3" t="n"/>
      <c r="CF174" s="218" t="n"/>
      <c r="CG174" s="218" t="n"/>
      <c r="CH174" s="218" t="n"/>
      <c r="CI174" s="218" t="n"/>
      <c r="CJ174" s="3" t="n"/>
      <c r="CK174" s="218" t="n"/>
      <c r="CL174" s="218" t="n"/>
      <c r="CM174" s="218" t="n"/>
      <c r="CN174" s="218" t="n"/>
      <c r="CO174" s="3" t="n"/>
      <c r="CP174" s="218" t="n"/>
      <c r="CQ174" s="218" t="n"/>
      <c r="CR174" s="218" t="n"/>
      <c r="CS174" s="218" t="n"/>
      <c r="CT174" s="3" t="n"/>
      <c r="CU174" s="218" t="n"/>
      <c r="CV174" s="218" t="n"/>
      <c r="CW174" s="218" t="n"/>
      <c r="CX174" s="218" t="n"/>
      <c r="CY174" s="3" t="n"/>
    </row>
    <row r="175" hidden="1" outlineLevel="1">
      <c r="C175" s="52" t="inlineStr">
        <is>
          <t>Outros Créditos - LP</t>
        </is>
      </c>
      <c r="D175" s="6" t="n"/>
      <c r="E175" s="6" t="n"/>
      <c r="F175" s="6" t="n"/>
      <c r="G175" s="6" t="n"/>
      <c r="H175" s="3" t="n"/>
      <c r="I175" s="6" t="n"/>
      <c r="J175" s="6" t="n"/>
      <c r="K175" s="6" t="n"/>
      <c r="L175" s="6" t="n"/>
      <c r="M175" s="3" t="n"/>
      <c r="N175" s="6" t="n"/>
      <c r="O175" s="6" t="n"/>
      <c r="P175" s="6" t="n"/>
      <c r="Q175" s="6" t="n"/>
      <c r="R175" s="3" t="n"/>
      <c r="S175" s="6" t="n"/>
      <c r="T175" s="6" t="n"/>
      <c r="U175" s="6" t="n"/>
      <c r="V175" s="6" t="n"/>
      <c r="W175" s="3" t="n"/>
      <c r="X175" s="6" t="n"/>
      <c r="Y175" s="6" t="n"/>
      <c r="Z175" s="6" t="n"/>
      <c r="AA175" s="6" t="n"/>
      <c r="AB175" s="3" t="n"/>
      <c r="AC175" s="6" t="n"/>
      <c r="AD175" s="6" t="n"/>
      <c r="AE175" s="6" t="n"/>
      <c r="AF175" s="6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hidden="1" outlineLevel="1">
      <c r="C176" s="52" t="inlineStr">
        <is>
          <t xml:space="preserve">Impostos e Contribuições a Recuperar </t>
        </is>
      </c>
      <c r="D176" s="6" t="n"/>
      <c r="E176" s="6" t="n"/>
      <c r="F176" s="6" t="n"/>
      <c r="G176" s="6" t="n"/>
      <c r="H176" s="3" t="n"/>
      <c r="I176" s="6" t="n"/>
      <c r="J176" s="6" t="n"/>
      <c r="K176" s="6" t="n"/>
      <c r="L176" s="6" t="n"/>
      <c r="M176" s="3" t="n"/>
      <c r="N176" s="6" t="n"/>
      <c r="O176" s="6" t="n"/>
      <c r="P176" s="6" t="n"/>
      <c r="Q176" s="6" t="n"/>
      <c r="R176" s="3" t="n"/>
      <c r="S176" s="6" t="n"/>
      <c r="T176" s="6" t="n"/>
      <c r="U176" s="6" t="n"/>
      <c r="V176" s="6" t="n"/>
      <c r="W176" s="3" t="n"/>
      <c r="X176" s="6" t="n"/>
      <c r="Y176" s="6" t="n"/>
      <c r="Z176" s="6" t="n"/>
      <c r="AA176" s="6" t="n"/>
      <c r="AB176" s="3" t="n"/>
      <c r="AC176" s="6" t="n"/>
      <c r="AD176" s="6" t="n"/>
      <c r="AE176" s="6" t="n"/>
      <c r="AF176" s="6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52" t="inlineStr">
        <is>
          <t xml:space="preserve">Imposto de Renda e Contribuição Social Diferidos </t>
        </is>
      </c>
      <c r="D177" s="6" t="n"/>
      <c r="E177" s="6" t="n"/>
      <c r="F177" s="6" t="n"/>
      <c r="G177" s="6" t="n"/>
      <c r="H177" s="3" t="n"/>
      <c r="I177" s="6" t="n"/>
      <c r="J177" s="6" t="n"/>
      <c r="K177" s="6" t="n"/>
      <c r="L177" s="6" t="n"/>
      <c r="M177" s="3" t="n"/>
      <c r="N177" s="6" t="n"/>
      <c r="O177" s="6" t="n"/>
      <c r="P177" s="6" t="n"/>
      <c r="Q177" s="6" t="n"/>
      <c r="R177" s="3" t="n"/>
      <c r="S177" s="6" t="n"/>
      <c r="T177" s="6" t="n"/>
      <c r="U177" s="6" t="n"/>
      <c r="V177" s="6" t="n"/>
      <c r="W177" s="3" t="n"/>
      <c r="X177" s="6" t="n"/>
      <c r="Y177" s="6" t="n"/>
      <c r="Z177" s="6" t="n"/>
      <c r="AA177" s="6" t="n"/>
      <c r="AB177" s="3" t="n"/>
      <c r="AC177" s="6" t="n"/>
      <c r="AD177" s="6" t="n"/>
      <c r="AE177" s="6" t="n"/>
      <c r="AF177" s="6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hidden="1" outlineLevel="1">
      <c r="C178" s="52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  <c r="BZ178" s="3" t="n"/>
      <c r="CA178" s="3" t="n"/>
      <c r="CB178" s="3" t="n"/>
      <c r="CC178" s="3" t="n"/>
      <c r="CD178" s="3" t="n"/>
      <c r="CE178" s="3" t="n"/>
      <c r="CF178" s="3" t="n"/>
      <c r="CG178" s="3" t="n"/>
      <c r="CH178" s="3" t="n"/>
      <c r="CI178" s="3" t="n"/>
      <c r="CJ178" s="3" t="n"/>
      <c r="CK178" s="3" t="n"/>
      <c r="CL178" s="3" t="n"/>
      <c r="CM178" s="3" t="n"/>
      <c r="CN178" s="3" t="n"/>
      <c r="CO178" s="3" t="n"/>
      <c r="CP178" s="3" t="n"/>
      <c r="CQ178" s="3" t="n"/>
      <c r="CR178" s="3" t="n"/>
      <c r="CS178" s="3" t="n"/>
      <c r="CT178" s="3" t="n"/>
      <c r="CU178" s="3" t="n"/>
      <c r="CV178" s="3" t="n"/>
      <c r="CW178" s="3" t="n"/>
      <c r="CX178" s="3" t="n"/>
      <c r="CY178" s="3" t="n"/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collapsed="1" customFormat="1" s="17">
      <c r="A180" s="13" t="n"/>
      <c r="B180" s="1" t="n"/>
      <c r="C180" s="14" t="inlineStr">
        <is>
          <t>Total Assets</t>
        </is>
      </c>
      <c r="D180" s="16">
        <f>(D127+D128+D132+D136+D137+D138+D144+D149+D159+D162+D163+D172)</f>
        <v>75894</v>
      </c>
      <c r="E180" s="16">
        <f>(E127+E128+E132+E136+E137+E138+E144+E149+E159+E162+E163+E172)</f>
        <v>76566</v>
      </c>
      <c r="F180" s="16">
        <f>(F127+F128+F132+F136+F137+F138+F144+F149+F159+F162+F163+F172)</f>
        <v>76741</v>
      </c>
      <c r="G180" s="16">
        <f>(G127+G128+G132+G136+G137+G138+G144+G149+G159+G162+G163+G172)</f>
        <v>78324</v>
      </c>
      <c r="H180" s="16">
        <f>SUM(H127,H128,H132,H136,H137,H138,H144,H159,H162,H163,H172,H149)</f>
        <v>78324</v>
      </c>
      <c r="I180" s="16">
        <f>(I127+I128+I132+I136+I137+I138+I144+I149+I159+I162+I163+I172)</f>
        <v>80729</v>
      </c>
      <c r="J180" s="16">
        <f>(J127+J128+J132+J136+J137+J138+J144+J149+J159+J162+J163+J172)</f>
        <v>81697</v>
      </c>
      <c r="K180" s="16">
        <f>(K127+K128+K132+K136+K137+K138+K144+K149+K159+K162+K163+K172)</f>
        <v>80784</v>
      </c>
      <c r="L180" s="16">
        <f>(L127+L128+L132+L136+L137+L138+L144+L149+L159+L162+L163+L172)</f>
        <v>82793</v>
      </c>
      <c r="M180" s="16">
        <f>SUM(M127,M128,M132,M136,M137,M138,M144,M159,M162,M163,M172,M149)</f>
        <v>82793</v>
      </c>
      <c r="N180" s="16">
        <f>(N127+N128+N132+N136+N137+N138+N144+N149+N159+N162+N163+N172)</f>
        <v>82276</v>
      </c>
      <c r="O180" s="16">
        <f>(O127+O128+O132+O136+O137+O138+O144+O149+O159+O162+O163+O172)</f>
        <v>81107</v>
      </c>
      <c r="P180" s="16">
        <f>(P127+P128+P132+P136+P137+P138+P144+P149+P159+P162+P163+P172)</f>
        <v>80907</v>
      </c>
      <c r="Q180" s="16">
        <f>(Q127+Q128+Q132+Q136+Q137+Q138+Q144+Q149+Q159+Q162+Q163+Q172)</f>
        <v>81943</v>
      </c>
      <c r="R180" s="16">
        <f>SUM(R127,R128,R132,R136,R137,R138,R144,R159,R162,R163,R172,R149)</f>
        <v>81943</v>
      </c>
      <c r="S180" s="16">
        <f>(S127+S128+S132+S136+S137+S138+S144+S149+S159+S162+S163+S172)</f>
        <v>83649</v>
      </c>
      <c r="T180" s="16">
        <f>(T127+T128+T132+T136+T137+T138+T144+T149+T159+T162+T163+T172)</f>
        <v>85427</v>
      </c>
      <c r="U180" s="16">
        <f>(U127+U128+U132+U136+U137+U138+U144+U149+U159+U162+U163+U172)</f>
        <v>86791</v>
      </c>
      <c r="V180" s="16">
        <f>(V127+V128+V132+V136+V137+V138+V144+V149+V159+V162+V163+V172)</f>
        <v>87476</v>
      </c>
      <c r="W180" s="16">
        <f>SUM(W127,W128,W132,W136,W137,W138,W144,W159,W162,W163,W172,W149)</f>
        <v>87476</v>
      </c>
      <c r="X180" s="16">
        <f>(X127+X128+X132+X136+X137+X138+X144+X149+X159+X162+X163+X172)</f>
        <v>83741</v>
      </c>
      <c r="Y180" s="16">
        <f>(Y127+Y128+Y132+Y136+Y137+Y138+Y144+Y149+Y159+Y162+Y163+Y172)</f>
        <v>83336</v>
      </c>
      <c r="Z180" s="16">
        <f>(Z127+Z128+Z132+Z136+Z137+Z138+Z144+Z149+Z159+Z162+Z163+Z172)</f>
        <v>86273</v>
      </c>
      <c r="AA180" s="16">
        <f>(AA127+AA128+AA132+AA136+AA137+AA138+AA144+AA149+AA159+AA162+AA163+AA172)</f>
        <v>87764</v>
      </c>
      <c r="AB180" s="16">
        <f>SUM(AB127,AB128,AB132,AB136,AB137,AB138,AB144,AB159,AB162,AB163,AB172,AB149)</f>
        <v>87764</v>
      </c>
      <c r="AC180" s="16">
        <f>(AC127+AC128+AC132+AC136+AC137+AC138+AC144+AC149+AC159+AC162+AC163+AC172)</f>
        <v>84974</v>
      </c>
      <c r="AD180" s="16">
        <f>(AD127+AD128+AD132+AD136+AD137+AD138+AD144+AD149+AD159+AD162+AD163+AD172)</f>
        <v>90325</v>
      </c>
      <c r="AE180" s="16">
        <f>(AE127+AE128+AE132+AE136+AE137+AE138+AE144+AE149+AE159+AE162+AE163+AE172)</f>
        <v>93722</v>
      </c>
      <c r="AF180" s="16">
        <f>(AF127+AF128+AF132+AF136+AF137+AF138+AF144+AF149+AF159+AF162+AF163+AF172)</f>
        <v>98585</v>
      </c>
      <c r="AG180" s="16">
        <f>SUM(AG127,AG128,AG132,AG136,AG137,AG138,AG144,AG159,AG162,AG163,AG172,AG149)</f>
        <v>98585</v>
      </c>
      <c r="AH180" s="16">
        <f>(AH127+AH128+AH132+AH136+AH137+AH138+AH144+AH149+AH159+AH162+AH163+AH172)</f>
        <v>95550</v>
      </c>
      <c r="AI180" s="16">
        <f>(AI127+AI128+AI132+AI136+AI137+AI138+AI144+AI149+AI159+AI162+AI163+AI172)</f>
        <v>102609</v>
      </c>
      <c r="AJ180" s="16">
        <f>(AJ127+AJ128+AJ132+AJ136+AJ137+AJ138+AJ144+AJ149+AJ159+AJ162+AJ163+AJ172)</f>
        <v>84457</v>
      </c>
      <c r="AK180" s="16">
        <f>(AK127+AK128+AK132+AK136+AK137+AK138+AK144+AK149+AK159+AK162+AK163+AK172)</f>
        <v>84807</v>
      </c>
      <c r="AL180" s="16">
        <f>SUM(AL127,AL128,AL132,AL136,AL137,AL138,AL144,AL159,AL162,AL163,AL172,AL149)</f>
        <v>84807</v>
      </c>
      <c r="AM180" s="16" t="e">
        <f>(AM127+AM128+AM132+AM136+AM137+AM138+AM144+AM149+AM159+AM162+AM163+AM172)</f>
        <v>#DIV/0!</v>
      </c>
      <c r="AN180" s="16" t="e">
        <f>(AN127+AN128+AN132+AN136+AN137+AN138+AN144+AN149+AN159+AN162+AN163+AN172)</f>
        <v>#DIV/0!</v>
      </c>
      <c r="AO180" s="16" t="e">
        <f>(AO127+AO128+AO132+AO136+AO137+AO138+AO144+AO149+AO159+AO162+AO163+AO172)</f>
        <v>#DIV/0!</v>
      </c>
      <c r="AP180" s="16" t="e">
        <f>(AP127+AP128+AP132+AP136+AP137+AP138+AP144+AP149+AP159+AP162+AP163+AP172)</f>
        <v>#DIV/0!</v>
      </c>
      <c r="AQ180" s="16" t="e">
        <f>SUM(AQ127,AQ128,AQ132,AQ136,AQ137,AQ138,AQ144,AQ159,AQ162,AQ163,AQ172,AQ149)</f>
        <v>#DIV/0!</v>
      </c>
      <c r="AR180" s="16" t="e">
        <f>(AR127+AR128+AR132+AR136+AR137+AR138+AR144+AR149+AR159+AR162+AR163+AR172)</f>
        <v>#DIV/0!</v>
      </c>
      <c r="AS180" s="16" t="e">
        <f>(AS127+AS128+AS132+AS136+AS137+AS138+AS144+AS149+AS159+AS162+AS163+AS172)</f>
        <v>#DIV/0!</v>
      </c>
      <c r="AT180" s="16" t="e">
        <f>(AT127+AT128+AT132+AT136+AT137+AT138+AT144+AT149+AT159+AT162+AT163+AT172)</f>
        <v>#DIV/0!</v>
      </c>
      <c r="AU180" s="16" t="e">
        <f>(AU127+AU128+AU132+AU136+AU137+AU138+AU144+AU149+AU159+AU162+AU163+AU172)</f>
        <v>#DIV/0!</v>
      </c>
      <c r="AV180" s="16" t="e">
        <f>SUM(AV127,AV128,AV132,AV136,AV137,AV138,AV144,AV159,AV162,AV163,AV172,AV149)</f>
        <v>#DIV/0!</v>
      </c>
      <c r="AW180" s="16" t="e">
        <f>(AW127+AW128+AW132+AW136+AW137+AW138+AW144+AW149+AW159+AW162+AW163+AW172)</f>
        <v>#DIV/0!</v>
      </c>
      <c r="AX180" s="16" t="e">
        <f>(AX127+AX128+AX132+AX136+AX137+AX138+AX144+AX149+AX159+AX162+AX163+AX172)</f>
        <v>#DIV/0!</v>
      </c>
      <c r="AY180" s="16" t="e">
        <f>(AY127+AY128+AY132+AY136+AY137+AY138+AY144+AY149+AY159+AY162+AY163+AY172)</f>
        <v>#DIV/0!</v>
      </c>
      <c r="AZ180" s="16" t="e">
        <f>(AZ127+AZ128+AZ132+AZ136+AZ137+AZ138+AZ144+AZ149+AZ159+AZ162+AZ163+AZ172)</f>
        <v>#DIV/0!</v>
      </c>
      <c r="BA180" s="16" t="e">
        <f>SUM(BA127,BA128,BA132,BA136,BA137,BA138,BA144,BA159,BA162,BA163,BA172,BA149)</f>
        <v>#DIV/0!</v>
      </c>
      <c r="BB180" s="16" t="e">
        <f>(BB127+BB128+BB132+BB136+BB137+BB138+BB144+BB149+BB159+BB162+BB163+BB172)</f>
        <v>#DIV/0!</v>
      </c>
      <c r="BC180" s="16" t="e">
        <f>(BC127+BC128+BC132+BC136+BC137+BC138+BC144+BC149+BC159+BC162+BC163+BC172)</f>
        <v>#DIV/0!</v>
      </c>
      <c r="BD180" s="16" t="e">
        <f>(BD127+BD128+BD132+BD136+BD137+BD138+BD144+BD149+BD159+BD162+BD163+BD172)</f>
        <v>#DIV/0!</v>
      </c>
      <c r="BE180" s="16" t="e">
        <f>(BE127+BE128+BE132+BE136+BE137+BE138+BE144+BE149+BE159+BE162+BE163+BE172)</f>
        <v>#DIV/0!</v>
      </c>
      <c r="BF180" s="16" t="e">
        <f>SUM(BF127,BF128,BF132,BF136,BF137,BF138,BF144,BF159,BF162,BF163,BF172,BF149)</f>
        <v>#DIV/0!</v>
      </c>
      <c r="BG180" s="16" t="e">
        <f>(BG127+BG128+BG132+BG136+BG137+BG138+BG144+BG149+BG159+BG162+BG163+BG172)</f>
        <v>#DIV/0!</v>
      </c>
      <c r="BH180" s="16" t="e">
        <f>(BH127+BH128+BH132+BH136+BH137+BH138+BH144+BH149+BH159+BH162+BH163+BH172)</f>
        <v>#DIV/0!</v>
      </c>
      <c r="BI180" s="16" t="e">
        <f>(BI127+BI128+BI132+BI136+BI137+BI138+BI144+BI149+BI159+BI162+BI163+BI172)</f>
        <v>#DIV/0!</v>
      </c>
      <c r="BJ180" s="16" t="e">
        <f>(BJ127+BJ128+BJ132+BJ136+BJ137+BJ138+BJ144+BJ149+BJ159+BJ162+BJ163+BJ172)</f>
        <v>#DIV/0!</v>
      </c>
      <c r="BK180" s="16" t="e">
        <f>SUM(BK127,BK128,BK132,BK136,BK137,BK138,BK144,BK159,BK162,BK163,BK172,BK149)</f>
        <v>#DIV/0!</v>
      </c>
      <c r="BL180" s="16" t="e">
        <f>(BL127+BL128+BL132+BL136+BL137+BL138+BL144+BL149+BL159+BL162+BL163+BL172)</f>
        <v>#DIV/0!</v>
      </c>
      <c r="BM180" s="16" t="e">
        <f>(BM127+BM128+BM132+BM136+BM137+BM138+BM144+BM149+BM159+BM162+BM163+BM172)</f>
        <v>#DIV/0!</v>
      </c>
      <c r="BN180" s="16" t="e">
        <f>(BN127+BN128+BN132+BN136+BN137+BN138+BN144+BN149+BN159+BN162+BN163+BN172)</f>
        <v>#DIV/0!</v>
      </c>
      <c r="BO180" s="16" t="e">
        <f>(BO127+BO128+BO132+BO136+BO137+BO138+BO144+BO149+BO159+BO162+BO163+BO172)</f>
        <v>#DIV/0!</v>
      </c>
      <c r="BP180" s="16" t="e">
        <f>SUM(BP127,BP128,BP132,BP136,BP137,BP138,BP144,BP159,BP162,BP163,BP172,BP149)</f>
        <v>#DIV/0!</v>
      </c>
      <c r="BQ180" s="16" t="e">
        <f>(BQ127+BQ128+BQ132+BQ136+BQ137+BQ138+BQ144+BQ149+BQ159+BQ162+BQ163+BQ172)</f>
        <v>#DIV/0!</v>
      </c>
      <c r="BR180" s="16" t="e">
        <f>(BR127+BR128+BR132+BR136+BR137+BR138+BR144+BR149+BR159+BR162+BR163+BR172)</f>
        <v>#DIV/0!</v>
      </c>
      <c r="BS180" s="16" t="e">
        <f>(BS127+BS128+BS132+BS136+BS137+BS138+BS144+BS149+BS159+BS162+BS163+BS172)</f>
        <v>#DIV/0!</v>
      </c>
      <c r="BT180" s="16" t="e">
        <f>(BT127+BT128+BT132+BT136+BT137+BT138+BT144+BT149+BT159+BT162+BT163+BT172)</f>
        <v>#DIV/0!</v>
      </c>
      <c r="BU180" s="16" t="e">
        <f>SUM(BU127,BU128,BU132,BU136,BU137,BU138,BU144,BU159,BU162,BU163,BU172,BU149)</f>
        <v>#DIV/0!</v>
      </c>
      <c r="BV180" s="16" t="e">
        <f>(BV127+BV128+BV132+BV136+BV137+BV138+BV144+BV149+BV159+BV162+BV163+BV172)</f>
        <v>#DIV/0!</v>
      </c>
      <c r="BW180" s="16" t="e">
        <f>(BW127+BW128+BW132+BW136+BW137+BW138+BW144+BW149+BW159+BW162+BW163+BW172)</f>
        <v>#DIV/0!</v>
      </c>
      <c r="BX180" s="16" t="e">
        <f>(BX127+BX128+BX132+BX136+BX137+BX138+BX144+BX149+BX159+BX162+BX163+BX172)</f>
        <v>#DIV/0!</v>
      </c>
      <c r="BY180" s="16" t="e">
        <f>(BY127+BY128+BY132+BY136+BY137+BY138+BY144+BY149+BY159+BY162+BY163+BY172)</f>
        <v>#DIV/0!</v>
      </c>
      <c r="BZ180" s="16" t="e">
        <f>SUM(BZ127,BZ128,BZ132,BZ136,BZ137,BZ138,BZ144,BZ159,BZ162,BZ163,BZ172,BZ149)</f>
        <v>#DIV/0!</v>
      </c>
      <c r="CA180" s="16" t="e">
        <f>(CA127+CA128+CA132+CA136+CA137+CA138+CA144+CA149+CA159+CA162+CA163+CA172)</f>
        <v>#DIV/0!</v>
      </c>
      <c r="CB180" s="16" t="e">
        <f>(CB127+CB128+CB132+CB136+CB137+CB138+CB144+CB149+CB159+CB162+CB163+CB172)</f>
        <v>#DIV/0!</v>
      </c>
      <c r="CC180" s="16" t="e">
        <f>(CC127+CC128+CC132+CC136+CC137+CC138+CC144+CC149+CC159+CC162+CC163+CC172)</f>
        <v>#DIV/0!</v>
      </c>
      <c r="CD180" s="16" t="e">
        <f>(CD127+CD128+CD132+CD136+CD137+CD138+CD144+CD149+CD159+CD162+CD163+CD172)</f>
        <v>#DIV/0!</v>
      </c>
      <c r="CE180" s="16" t="e">
        <f>SUM(CE127,CE128,CE132,CE136,CE137,CE138,CE144,CE159,CE162,CE163,CE172,CE149)</f>
        <v>#DIV/0!</v>
      </c>
      <c r="CF180" s="16" t="e">
        <f>(CF127+CF128+CF132+CF136+CF137+CF138+CF144+CF149+CF159+CF162+CF163+CF172)</f>
        <v>#DIV/0!</v>
      </c>
      <c r="CG180" s="16" t="e">
        <f>(CG127+CG128+CG132+CG136+CG137+CG138+CG144+CG149+CG159+CG162+CG163+CG172)</f>
        <v>#DIV/0!</v>
      </c>
      <c r="CH180" s="16" t="e">
        <f>(CH127+CH128+CH132+CH136+CH137+CH138+CH144+CH149+CH159+CH162+CH163+CH172)</f>
        <v>#DIV/0!</v>
      </c>
      <c r="CI180" s="16" t="e">
        <f>(CI127+CI128+CI132+CI136+CI137+CI138+CI144+CI149+CI159+CI162+CI163+CI172)</f>
        <v>#DIV/0!</v>
      </c>
      <c r="CJ180" s="16" t="e">
        <f>SUM(CJ127,CJ128,CJ132,CJ136,CJ137,CJ138,CJ144,CJ159,CJ162,CJ163,CJ172,CJ149)</f>
        <v>#DIV/0!</v>
      </c>
      <c r="CK180" s="16" t="e">
        <f>(CK127+CK128+CK132+CK136+CK137+CK138+CK144+CK149+CK159+CK162+CK163+CK172)</f>
        <v>#DIV/0!</v>
      </c>
      <c r="CL180" s="16" t="e">
        <f>(CL127+CL128+CL132+CL136+CL137+CL138+CL144+CL149+CL159+CL162+CL163+CL172)</f>
        <v>#DIV/0!</v>
      </c>
      <c r="CM180" s="16" t="e">
        <f>(CM127+CM128+CM132+CM136+CM137+CM138+CM144+CM149+CM159+CM162+CM163+CM172)</f>
        <v>#DIV/0!</v>
      </c>
      <c r="CN180" s="16" t="e">
        <f>(CN127+CN128+CN132+CN136+CN137+CN138+CN144+CN149+CN159+CN162+CN163+CN172)</f>
        <v>#DIV/0!</v>
      </c>
      <c r="CO180" s="16" t="e">
        <f>SUM(CO127,CO128,CO132,CO136,CO137,CO138,CO144,CO159,CO162,CO163,CO172,CO149)</f>
        <v>#DIV/0!</v>
      </c>
      <c r="CP180" s="16" t="e">
        <f>(CP127+CP128+CP132+CP136+CP137+CP138+CP144+CP149+CP159+CP162+CP163+CP172)</f>
        <v>#DIV/0!</v>
      </c>
      <c r="CQ180" s="16" t="e">
        <f>(CQ127+CQ128+CQ132+CQ136+CQ137+CQ138+CQ144+CQ149+CQ159+CQ162+CQ163+CQ172)</f>
        <v>#DIV/0!</v>
      </c>
      <c r="CR180" s="16" t="e">
        <f>(CR127+CR128+CR132+CR136+CR137+CR138+CR144+CR149+CR159+CR162+CR163+CR172)</f>
        <v>#DIV/0!</v>
      </c>
      <c r="CS180" s="16" t="e">
        <f>(CS127+CS128+CS132+CS136+CS137+CS138+CS144+CS149+CS159+CS162+CS163+CS172)</f>
        <v>#DIV/0!</v>
      </c>
      <c r="CT180" s="16" t="e">
        <f>SUM(CT127,CT128,CT132,CT136,CT137,CT138,CT144,CT159,CT162,CT163,CT172,CT149)</f>
        <v>#DIV/0!</v>
      </c>
      <c r="CU180" s="16" t="e">
        <f>(CU127+CU128+CU132+CU136+CU137+CU138+CU144+CU149+CU159+CU162+CU163+CU172)</f>
        <v>#DIV/0!</v>
      </c>
      <c r="CV180" s="16" t="e">
        <f>(CV127+CV128+CV132+CV136+CV137+CV138+CV144+CV149+CV159+CV162+CV163+CV172)</f>
        <v>#DIV/0!</v>
      </c>
      <c r="CW180" s="16" t="e">
        <f>(CW127+CW128+CW132+CW136+CW137+CW138+CW144+CW149+CW159+CW162+CW163+CW172)</f>
        <v>#DIV/0!</v>
      </c>
      <c r="CX180" s="16" t="e">
        <f>(CX127+CX128+CX132+CX136+CX137+CX138+CX144+CX149+CX159+CX162+CX163+CX172)</f>
        <v>#DIV/0!</v>
      </c>
      <c r="CY180" s="16" t="e">
        <f>SUM(CY127,CY128,CY132,CY136,CY137,CY138,CY144,CY159,CY162,CY163,CY172,CY149)</f>
        <v>#DIV/0!</v>
      </c>
    </row>
    <row r="181">
      <c r="C181" s="26" t="inlineStr">
        <is>
          <t>Accounts payable</t>
        </is>
      </c>
      <c r="D181" s="25">
        <f>INDEX('Inputs (2)'!$D$28:$AL$28,MATCH(D$7,'Inputs (2)'!$D$2:$AL$2,0))</f>
        <v>5769</v>
      </c>
      <c r="E181" s="25">
        <f>INDEX('Inputs (2)'!$D$28:$AL$28,MATCH(E$7,'Inputs (2)'!$D$2:$AL$2,0))</f>
        <v>5083</v>
      </c>
      <c r="F181" s="25">
        <f>INDEX('Inputs (2)'!$D$28:$AL$28,MATCH(F$7,'Inputs (2)'!$D$2:$AL$2,0))</f>
        <v>5193</v>
      </c>
      <c r="G181" s="25">
        <f>INDEX('Inputs (2)'!$D$28:$AL$28,MATCH(G$7,'Inputs (2)'!$D$2:$AL$2,0))</f>
        <v>6128</v>
      </c>
      <c r="H181" s="3">
        <f>G181</f>
        <v>6128</v>
      </c>
      <c r="I181" s="25">
        <f>INDEX('Inputs (2)'!$D$28:$AL$28,MATCH(I$7,'Inputs (2)'!$D$2:$AL$2,0))</f>
        <v>6694</v>
      </c>
      <c r="J181" s="25">
        <f>INDEX('Inputs (2)'!$D$28:$AL$28,MATCH(J$7,'Inputs (2)'!$D$2:$AL$2,0))</f>
        <v>6921</v>
      </c>
      <c r="K181" s="25">
        <f>INDEX('Inputs (2)'!$D$28:$AL$28,MATCH(K$7,'Inputs (2)'!$D$2:$AL$2,0))</f>
        <v>7218</v>
      </c>
      <c r="L181" s="25">
        <f>INDEX('Inputs (2)'!$D$28:$AL$28,MATCH(L$7,'Inputs (2)'!$D$2:$AL$2,0))</f>
        <v>8154</v>
      </c>
      <c r="M181" s="3">
        <f>L181</f>
        <v>8154</v>
      </c>
      <c r="N181" s="25">
        <f>INDEX('Inputs (2)'!$D$28:$AL$28,MATCH(N$7,'Inputs (2)'!$D$2:$AL$2,0))</f>
        <v>8361</v>
      </c>
      <c r="O181" s="25">
        <f>INDEX('Inputs (2)'!$D$28:$AL$28,MATCH(O$7,'Inputs (2)'!$D$2:$AL$2,0))</f>
        <v>8092</v>
      </c>
      <c r="P181" s="25">
        <f>INDEX('Inputs (2)'!$D$28:$AL$28,MATCH(P$7,'Inputs (2)'!$D$2:$AL$2,0))</f>
        <v>8260</v>
      </c>
      <c r="Q181" s="25">
        <f>INDEX('Inputs (2)'!$D$28:$AL$28,MATCH(Q$7,'Inputs (2)'!$D$2:$AL$2,0))</f>
        <v>8689</v>
      </c>
      <c r="R181" s="3">
        <f>Q181</f>
        <v>8689</v>
      </c>
      <c r="S181" s="25">
        <f>INDEX('Inputs (2)'!$D$28:$AL$28,MATCH(S$7,'Inputs (2)'!$D$2:$AL$2,0))</f>
        <v>8951</v>
      </c>
      <c r="T181" s="25">
        <f>INDEX('Inputs (2)'!$D$28:$AL$28,MATCH(T$7,'Inputs (2)'!$D$2:$AL$2,0))</f>
        <v>8443</v>
      </c>
      <c r="U181" s="25">
        <f>INDEX('Inputs (2)'!$D$28:$AL$28,MATCH(U$7,'Inputs (2)'!$D$2:$AL$2,0))</f>
        <v>7827</v>
      </c>
      <c r="V181" s="25">
        <f>INDEX('Inputs (2)'!$D$28:$AL$28,MATCH(V$7,'Inputs (2)'!$D$2:$AL$2,0))</f>
        <v>7906</v>
      </c>
      <c r="W181" s="3">
        <f>V181</f>
        <v>7906</v>
      </c>
      <c r="X181" s="25">
        <f>INDEX('Inputs (2)'!$D$28:$AL$28,MATCH(X$7,'Inputs (2)'!$D$2:$AL$2,0))</f>
        <v>7778</v>
      </c>
      <c r="Y181" s="25">
        <f>INDEX('Inputs (2)'!$D$28:$AL$28,MATCH(Y$7,'Inputs (2)'!$D$2:$AL$2,0))</f>
        <v>7575</v>
      </c>
      <c r="Z181" s="25">
        <f>INDEX('Inputs (2)'!$D$28:$AL$28,MATCH(Z$7,'Inputs (2)'!$D$2:$AL$2,0))</f>
        <v>7705</v>
      </c>
      <c r="AA181" s="25">
        <f>INDEX('Inputs (2)'!$D$28:$AL$28,MATCH(AA$7,'Inputs (2)'!$D$2:$AL$2,0))</f>
        <v>7675</v>
      </c>
      <c r="AB181" s="3">
        <f>AA181</f>
        <v>7675</v>
      </c>
      <c r="AC181" s="25">
        <f>INDEX('Inputs (2)'!$D$28:$AL$28,MATCH(AC$7,'Inputs (2)'!$D$2:$AL$2,0))</f>
        <v>7792</v>
      </c>
      <c r="AD181" s="25">
        <f>INDEX('Inputs (2)'!$D$28:$AL$28,MATCH(AD$7,'Inputs (2)'!$D$2:$AL$2,0))</f>
        <v>8563</v>
      </c>
      <c r="AE181" s="25">
        <f>INDEX('Inputs (2)'!$D$28:$AL$28,MATCH(AE$7,'Inputs (2)'!$D$2:$AL$2,0))</f>
        <v>8729</v>
      </c>
      <c r="AF181" s="25">
        <f>INDEX('Inputs (2)'!$D$28:$AL$28,MATCH(AF$7,'Inputs (2)'!$D$2:$AL$2,0))</f>
        <v>8968</v>
      </c>
      <c r="AG181" s="3">
        <f>AF181</f>
        <v>8968</v>
      </c>
      <c r="AH181" s="3">
        <f>INDEX('Inputs (2)'!$D$28:$AL$28,MATCH(AH$7,'Inputs (2)'!$D$2:$AL$2,0))</f>
        <v>9641</v>
      </c>
      <c r="AI181" s="3">
        <f>INDEX('Inputs (2)'!$D$28:$AL$28,MATCH(AI$7,'Inputs (2)'!$D$2:$AL$2,0))</f>
        <v>10313</v>
      </c>
      <c r="AJ181" s="3">
        <f>(AJ182/(AJ$5-AI$5))*-AJ37</f>
        <v>0</v>
      </c>
      <c r="AK181" s="3">
        <f>(AK182/(AK$5-AJ$5))*-AK37</f>
        <v>0</v>
      </c>
      <c r="AL181" s="3">
        <f>AK181</f>
        <v>0</v>
      </c>
      <c r="AM181" s="3">
        <f>(AM182/(AM$5-AL$5))*-AM37</f>
        <v>0</v>
      </c>
      <c r="AN181" s="3">
        <f>(AN182/(AN$5-AM$5))*-AN37</f>
        <v>0</v>
      </c>
      <c r="AO181" s="3">
        <f>(AO182/(AO$5-AN$5))*-AO37</f>
        <v>0</v>
      </c>
      <c r="AP181" s="3">
        <f>(AP182/(AP$5-AO$5))*-AP37</f>
        <v>0</v>
      </c>
      <c r="AQ181" s="3">
        <f>AP181</f>
        <v>0</v>
      </c>
      <c r="AR181" s="3">
        <f>(AR182/(AR$5-AQ$5))*-AR37</f>
        <v>0</v>
      </c>
      <c r="AS181" s="3">
        <f>(AS182/(AS$5-AR$5))*-AS37</f>
        <v>0</v>
      </c>
      <c r="AT181" s="3">
        <f>(AT182/(AT$5-AS$5))*-AT37</f>
        <v>0</v>
      </c>
      <c r="AU181" s="3">
        <f>(AU182/(AU$5-AT$5))*-AU37</f>
        <v>0</v>
      </c>
      <c r="AV181" s="3">
        <f>AU181</f>
        <v>0</v>
      </c>
      <c r="AW181" s="3">
        <f>(AW182/(AW$5-AV$5))*-AW37</f>
        <v>0</v>
      </c>
      <c r="AX181" s="3">
        <f>(AX182/(AX$5-AW$5))*-AX37</f>
        <v>0</v>
      </c>
      <c r="AY181" s="3">
        <f>(AY182/(AY$5-AX$5))*-AY37</f>
        <v>0</v>
      </c>
      <c r="AZ181" s="3">
        <f>(AZ182/(AZ$5-AY$5))*-AZ37</f>
        <v>0</v>
      </c>
      <c r="BA181" s="3">
        <f>AZ181</f>
        <v>0</v>
      </c>
      <c r="BB181" s="3">
        <f>(BB182/(BB$5-BA$5))*-BB37</f>
        <v>0</v>
      </c>
      <c r="BC181" s="3">
        <f>(BC182/(BC$5-BB$5))*-BC37</f>
        <v>0</v>
      </c>
      <c r="BD181" s="3">
        <f>(BD182/(BD$5-BC$5))*-BD37</f>
        <v>0</v>
      </c>
      <c r="BE181" s="3">
        <f>(BE182/(BE$5-BD$5))*-BE37</f>
        <v>0</v>
      </c>
      <c r="BF181" s="3">
        <f>BE181</f>
        <v>0</v>
      </c>
      <c r="BG181" s="3">
        <f>(BG182/(BG$5-BF$5))*-BG37</f>
        <v>0</v>
      </c>
      <c r="BH181" s="3">
        <f>(BH182/(BH$5-BG$5))*-BH37</f>
        <v>0</v>
      </c>
      <c r="BI181" s="3">
        <f>(BI182/(BI$5-BH$5))*-BI37</f>
        <v>0</v>
      </c>
      <c r="BJ181" s="3">
        <f>(BJ182/(BJ$5-BI$5))*-BJ37</f>
        <v>0</v>
      </c>
      <c r="BK181" s="3">
        <f>BJ181</f>
        <v>0</v>
      </c>
      <c r="BL181" s="3">
        <f>(BL182/(BL$5-BK$5))*-BL37</f>
        <v>0</v>
      </c>
      <c r="BM181" s="3">
        <f>(BM182/(BM$5-BL$5))*-BM37</f>
        <v>0</v>
      </c>
      <c r="BN181" s="3">
        <f>(BN182/(BN$5-BM$5))*-BN37</f>
        <v>0</v>
      </c>
      <c r="BO181" s="3">
        <f>(BO182/(BO$5-BN$5))*-BO37</f>
        <v>0</v>
      </c>
      <c r="BP181" s="3">
        <f>BO181</f>
        <v>0</v>
      </c>
      <c r="BQ181" s="3">
        <f>(BQ182/(BQ$5-BP$5))*-BQ37</f>
        <v>0</v>
      </c>
      <c r="BR181" s="3">
        <f>(BR182/(BR$5-BQ$5))*-BR37</f>
        <v>0</v>
      </c>
      <c r="BS181" s="3">
        <f>(BS182/(BS$5-BR$5))*-BS37</f>
        <v>0</v>
      </c>
      <c r="BT181" s="3">
        <f>(BT182/(BT$5-BS$5))*-BT37</f>
        <v>0</v>
      </c>
      <c r="BU181" s="3">
        <f>BT181</f>
        <v>0</v>
      </c>
      <c r="BV181" s="3">
        <f>(BV182/(BV$5-BU$5))*-BV37</f>
        <v>0</v>
      </c>
      <c r="BW181" s="3">
        <f>(BW182/(BW$5-BV$5))*-BW37</f>
        <v>0</v>
      </c>
      <c r="BX181" s="3">
        <f>(BX182/(BX$5-BW$5))*-BX37</f>
        <v>0</v>
      </c>
      <c r="BY181" s="3">
        <f>(BY182/(BY$5-BX$5))*-BY37</f>
        <v>0</v>
      </c>
      <c r="BZ181" s="3">
        <f>BY181</f>
        <v>0</v>
      </c>
      <c r="CA181" s="3">
        <f>(CA182/(CA$5-BZ$5))*-CA37</f>
        <v>0</v>
      </c>
      <c r="CB181" s="3">
        <f>(CB182/(CB$5-CA$5))*-CB37</f>
        <v>0</v>
      </c>
      <c r="CC181" s="3">
        <f>(CC182/(CC$5-CB$5))*-CC37</f>
        <v>0</v>
      </c>
      <c r="CD181" s="3">
        <f>(CD182/(CD$5-CC$5))*-CD37</f>
        <v>0</v>
      </c>
      <c r="CE181" s="3">
        <f>CD181</f>
        <v>0</v>
      </c>
      <c r="CF181" s="3">
        <f>(CF182/(CF$5-CE$5))*-CF37</f>
        <v>0</v>
      </c>
      <c r="CG181" s="3">
        <f>(CG182/(CG$5-CF$5))*-CG37</f>
        <v>0</v>
      </c>
      <c r="CH181" s="3">
        <f>(CH182/(CH$5-CG$5))*-CH37</f>
        <v>0</v>
      </c>
      <c r="CI181" s="3">
        <f>(CI182/(CI$5-CH$5))*-CI37</f>
        <v>0</v>
      </c>
      <c r="CJ181" s="3">
        <f>CI181</f>
        <v>0</v>
      </c>
      <c r="CK181" s="3">
        <f>(CK182/(CK$5-CJ$5))*-CK37</f>
        <v>0</v>
      </c>
      <c r="CL181" s="3">
        <f>(CL182/(CL$5-CK$5))*-CL37</f>
        <v>0</v>
      </c>
      <c r="CM181" s="3">
        <f>(CM182/(CM$5-CL$5))*-CM37</f>
        <v>0</v>
      </c>
      <c r="CN181" s="3">
        <f>(CN182/(CN$5-CM$5))*-CN37</f>
        <v>0</v>
      </c>
      <c r="CO181" s="3">
        <f>CN181</f>
        <v>0</v>
      </c>
      <c r="CP181" s="3">
        <f>(CP182/(CP$5-CO$5))*-CP37</f>
        <v>0</v>
      </c>
      <c r="CQ181" s="3">
        <f>(CQ182/(CQ$5-CP$5))*-CQ37</f>
        <v>0</v>
      </c>
      <c r="CR181" s="3">
        <f>(CR182/(CR$5-CQ$5))*-CR37</f>
        <v>0</v>
      </c>
      <c r="CS181" s="3">
        <f>(CS182/(CS$5-CR$5))*-CS37</f>
        <v>0</v>
      </c>
      <c r="CT181" s="3">
        <f>CS181</f>
        <v>0</v>
      </c>
      <c r="CU181" s="3">
        <f>(CU182/(CU$5-CT$5))*-CU37</f>
        <v>0</v>
      </c>
      <c r="CV181" s="3">
        <f>(CV182/(CV$5-CU$5))*-CV37</f>
        <v>0</v>
      </c>
      <c r="CW181" s="3">
        <f>(CW182/(CW$5-CV$5))*-CW37</f>
        <v>0</v>
      </c>
      <c r="CX181" s="3">
        <f>(CX182/(CX$5-CW$5))*-CX37</f>
        <v>0</v>
      </c>
      <c r="CY181" s="3">
        <f>CX181</f>
        <v>0</v>
      </c>
    </row>
    <row r="182" hidden="1" outlineLevel="1">
      <c r="C182" s="34" t="inlineStr">
        <is>
          <t>DPO</t>
        </is>
      </c>
      <c r="D182" s="3" t="n"/>
      <c r="E182" s="3">
        <f>-(E181/E$37)*(E$5-D$5)</f>
        <v>65.029242232532</v>
      </c>
      <c r="F182" s="3">
        <f>-(F181/F$37)*(F$5-E$5)</f>
        <v>69.0498626969215</v>
      </c>
      <c r="G182" s="3">
        <f>-(G181/G$37)*(G$5-F$5)</f>
        <v>72.4275436793422</v>
      </c>
      <c r="H182" s="3" t="n"/>
      <c r="I182" s="3">
        <f>-(I181/I$37)*(I$5-H$5)</f>
        <v>75.1947079380929</v>
      </c>
      <c r="J182" s="3">
        <f>-(J181/J$37)*(J$5-I$5)</f>
        <v>70.9166760499944</v>
      </c>
      <c r="K182" s="3">
        <f>-(K181/K$37)*(K$5-J$5)</f>
        <v>77.0634791690844</v>
      </c>
      <c r="L182" s="3">
        <f>-(L181/L$37)*(L$5-K$5)</f>
        <v>74.9943017094872</v>
      </c>
      <c r="M182" s="3" t="n"/>
      <c r="N182" s="3">
        <f>-(N181/N$37)*(N$5-M$5)</f>
        <v>78.7205774662622</v>
      </c>
      <c r="O182" s="3">
        <f>-(O181/O$37)*(O$5-N$5)</f>
        <v>73.8217543859649</v>
      </c>
      <c r="P182" s="3">
        <f>-(P181/P$37)*(P$5-O$5)</f>
        <v>74.4873554205058</v>
      </c>
      <c r="Q182" s="3">
        <f>-(Q181/Q$37)*(Q$5-P$5)</f>
        <v>68.8296883072154</v>
      </c>
      <c r="R182" s="3" t="n"/>
      <c r="S182" s="3">
        <f>-(S181/S$37)*(S$5-R$5)</f>
        <v>79.7377016727705</v>
      </c>
      <c r="T182" s="3">
        <f>-(T181/T$37)*(T$5-S$5)</f>
        <v>69.4363307727067</v>
      </c>
      <c r="U182" s="3">
        <f>-(U181/U$37)*(U$5-T$5)</f>
        <v>68.0415761126335</v>
      </c>
      <c r="V182" s="3">
        <f>-(V181/V$37)*(V$5-U$5)</f>
        <v>66.0268700072622</v>
      </c>
      <c r="W182" s="3" t="n"/>
      <c r="X182" s="3">
        <f>-(X181/X$37)*(X$5-W$5)</f>
        <v>73.2558476505899</v>
      </c>
      <c r="Y182" s="3">
        <f>-(Y181/Y$37)*(Y$5-X$5)</f>
        <v>67.9137931034483</v>
      </c>
      <c r="Z182" s="3">
        <f>-(Z181/Z$37)*(Z$5-Y$5)</f>
        <v>70.421219948341</v>
      </c>
      <c r="AA182" s="3">
        <f>-(AA181/AA$37)*(AA$5-Z$5)</f>
        <v>68.4139133804864</v>
      </c>
      <c r="AB182" s="3" t="n"/>
      <c r="AC182" s="3">
        <f>-(AC181/AC$37)*(AC$5-AB$5)</f>
        <v>78.2242052426102</v>
      </c>
      <c r="AD182" s="3">
        <f>-(AD181/AD$37)*(AD$5-AC$5)</f>
        <v>72.1044693254372</v>
      </c>
      <c r="AE182" s="3">
        <f>-(AE181/AE$37)*(AE$5-AD$5)</f>
        <v>68.797053028356</v>
      </c>
      <c r="AF182" s="6">
        <f>-(AF181/AF$37)*(AF$5-AE$5)</f>
        <v>62.0016532651988</v>
      </c>
      <c r="AG182" s="3" t="n"/>
      <c r="AH182" s="6">
        <f>-(AH181/AH$37)*(AH$5-AG$5)</f>
        <v>76.7459755881833</v>
      </c>
      <c r="AI182" s="6">
        <f>-(AI181/AI$37)*(AI$5-AH$5)</f>
        <v>73.4279790313747</v>
      </c>
      <c r="AJ182" s="6" t="n"/>
      <c r="AK182" s="6" t="n"/>
      <c r="AL182" s="3" t="n"/>
      <c r="AM182" s="6" t="n"/>
      <c r="AN182" s="6" t="n"/>
      <c r="AO182" s="6" t="n"/>
      <c r="AP182" s="6" t="n"/>
      <c r="AQ182" s="3" t="n"/>
      <c r="AR182" s="6" t="n"/>
      <c r="AS182" s="6" t="n"/>
      <c r="AT182" s="6" t="n"/>
      <c r="AU182" s="6" t="n"/>
      <c r="AV182" s="3" t="n"/>
      <c r="AW182" s="6" t="n"/>
      <c r="AX182" s="6" t="n"/>
      <c r="AY182" s="6" t="n"/>
      <c r="AZ182" s="6" t="n"/>
      <c r="BA182" s="3" t="n"/>
      <c r="BB182" s="6" t="n"/>
      <c r="BC182" s="6" t="n"/>
      <c r="BD182" s="6" t="n"/>
      <c r="BE182" s="6" t="n"/>
      <c r="BF182" s="3" t="n"/>
      <c r="BG182" s="6" t="n"/>
      <c r="BH182" s="6" t="n"/>
      <c r="BI182" s="6" t="n"/>
      <c r="BJ182" s="6" t="n"/>
      <c r="BK182" s="3" t="n"/>
      <c r="BL182" s="6" t="n"/>
      <c r="BM182" s="6" t="n"/>
      <c r="BN182" s="6" t="n"/>
      <c r="BO182" s="6" t="n"/>
      <c r="BP182" s="3" t="n"/>
      <c r="BQ182" s="6" t="n"/>
      <c r="BR182" s="6" t="n"/>
      <c r="BS182" s="6" t="n"/>
      <c r="BT182" s="6" t="n"/>
      <c r="BU182" s="3" t="n"/>
      <c r="BV182" s="6" t="n"/>
      <c r="BW182" s="6" t="n"/>
      <c r="BX182" s="6" t="n"/>
      <c r="BY182" s="6" t="n"/>
      <c r="BZ182" s="3" t="n"/>
      <c r="CA182" s="6" t="n"/>
      <c r="CB182" s="6" t="n"/>
      <c r="CC182" s="6" t="n"/>
      <c r="CD182" s="6" t="n"/>
      <c r="CE182" s="3" t="n"/>
      <c r="CF182" s="6" t="n"/>
      <c r="CG182" s="6" t="n"/>
      <c r="CH182" s="6" t="n"/>
      <c r="CI182" s="6" t="n"/>
      <c r="CJ182" s="3" t="n"/>
      <c r="CK182" s="6" t="n"/>
      <c r="CL182" s="6" t="n"/>
      <c r="CM182" s="6" t="n"/>
      <c r="CN182" s="6" t="n"/>
      <c r="CO182" s="3" t="n"/>
      <c r="CP182" s="6" t="n"/>
      <c r="CQ182" s="6" t="n"/>
      <c r="CR182" s="6" t="n"/>
      <c r="CS182" s="6" t="n"/>
      <c r="CT182" s="3" t="n"/>
      <c r="CU182" s="6" t="n"/>
      <c r="CV182" s="6" t="n"/>
      <c r="CW182" s="6" t="n"/>
      <c r="CX182" s="6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collapsed="1">
      <c r="C185" s="26" t="inlineStr">
        <is>
          <t>Accrued expenses</t>
        </is>
      </c>
      <c r="D185" s="25">
        <f>INDEX('Inputs (2)'!$D$29:$AL$29,MATCH(D$7,'Inputs (2)'!$D$2:$AL$2,0))</f>
        <v>4654</v>
      </c>
      <c r="E185" s="25">
        <f>INDEX('Inputs (2)'!$D$29:$AL$29,MATCH(E$7,'Inputs (2)'!$D$2:$AL$2,0))</f>
        <v>4505</v>
      </c>
      <c r="F185" s="25">
        <f>INDEX('Inputs (2)'!$D$29:$AL$29,MATCH(F$7,'Inputs (2)'!$D$2:$AL$2,0))</f>
        <v>4579</v>
      </c>
      <c r="G185" s="25">
        <f>INDEX('Inputs (2)'!$D$29:$AL$29,MATCH(G$7,'Inputs (2)'!$D$2:$AL$2,0))</f>
        <v>4738</v>
      </c>
      <c r="H185" s="3">
        <f>G185</f>
        <v>4738</v>
      </c>
      <c r="I185" s="25">
        <f>INDEX('Inputs (2)'!$D$29:$AL$29,MATCH(I$7,'Inputs (2)'!$D$2:$AL$2,0))</f>
        <v>4857</v>
      </c>
      <c r="J185" s="25">
        <f>INDEX('Inputs (2)'!$D$29:$AL$29,MATCH(J$7,'Inputs (2)'!$D$2:$AL$2,0))</f>
        <v>5315</v>
      </c>
      <c r="K185" s="25">
        <f>INDEX('Inputs (2)'!$D$29:$AL$29,MATCH(K$7,'Inputs (2)'!$D$2:$AL$2,0))</f>
        <v>5654</v>
      </c>
      <c r="L185" s="25">
        <f>INDEX('Inputs (2)'!$D$29:$AL$29,MATCH(L$7,'Inputs (2)'!$D$2:$AL$2,0))</f>
        <v>5999</v>
      </c>
      <c r="M185" s="3">
        <f>L185</f>
        <v>5999</v>
      </c>
      <c r="N185" s="25">
        <f>INDEX('Inputs (2)'!$D$29:$AL$29,MATCH(N$7,'Inputs (2)'!$D$2:$AL$2,0))</f>
        <v>5121</v>
      </c>
      <c r="O185" s="25">
        <f>INDEX('Inputs (2)'!$D$29:$AL$29,MATCH(O$7,'Inputs (2)'!$D$2:$AL$2,0))</f>
        <v>5554</v>
      </c>
      <c r="P185" s="25">
        <f>INDEX('Inputs (2)'!$D$29:$AL$29,MATCH(P$7,'Inputs (2)'!$D$2:$AL$2,0))</f>
        <v>6217</v>
      </c>
      <c r="Q185" s="25">
        <f>INDEX('Inputs (2)'!$D$29:$AL$29,MATCH(Q$7,'Inputs (2)'!$D$2:$AL$2,0))</f>
        <v>6393</v>
      </c>
      <c r="R185" s="3">
        <f>Q185</f>
        <v>6393</v>
      </c>
      <c r="S185" s="25">
        <f>INDEX('Inputs (2)'!$D$29:$AL$29,MATCH(S$7,'Inputs (2)'!$D$2:$AL$2,0))</f>
        <v>5489</v>
      </c>
      <c r="T185" s="25">
        <f>INDEX('Inputs (2)'!$D$29:$AL$29,MATCH(T$7,'Inputs (2)'!$D$2:$AL$2,0))</f>
        <v>6248</v>
      </c>
      <c r="U185" s="25">
        <f>INDEX('Inputs (2)'!$D$29:$AL$29,MATCH(U$7,'Inputs (2)'!$D$2:$AL$2,0))</f>
        <v>6969</v>
      </c>
      <c r="V185" s="25">
        <f>INDEX('Inputs (2)'!$D$29:$AL$29,MATCH(V$7,'Inputs (2)'!$D$2:$AL$2,0))</f>
        <v>7715</v>
      </c>
      <c r="W185" s="3">
        <f>V185</f>
        <v>7715</v>
      </c>
      <c r="X185" s="25">
        <f>INDEX('Inputs (2)'!$D$29:$AL$29,MATCH(X$7,'Inputs (2)'!$D$2:$AL$2,0))</f>
        <v>6112</v>
      </c>
      <c r="Y185" s="25">
        <f>INDEX('Inputs (2)'!$D$29:$AL$29,MATCH(Y$7,'Inputs (2)'!$D$2:$AL$2,0))</f>
        <v>6624</v>
      </c>
      <c r="Z185" s="25">
        <f>INDEX('Inputs (2)'!$D$29:$AL$29,MATCH(Z$7,'Inputs (2)'!$D$2:$AL$2,0))</f>
        <v>7058</v>
      </c>
      <c r="AA185" s="25">
        <f>INDEX('Inputs (2)'!$D$29:$AL$29,MATCH(AA$7,'Inputs (2)'!$D$2:$AL$2,0))</f>
        <v>7634</v>
      </c>
      <c r="AB185" s="3">
        <f>AA185</f>
        <v>7634</v>
      </c>
      <c r="AC185" s="25">
        <f>INDEX('Inputs (2)'!$D$29:$AL$29,MATCH(AC$7,'Inputs (2)'!$D$2:$AL$2,0))</f>
        <v>6249</v>
      </c>
      <c r="AD185" s="25">
        <f>INDEX('Inputs (2)'!$D$29:$AL$29,MATCH(AD$7,'Inputs (2)'!$D$2:$AL$2,0))</f>
        <v>6825</v>
      </c>
      <c r="AE185" s="25">
        <f>INDEX('Inputs (2)'!$D$29:$AL$29,MATCH(AE$7,'Inputs (2)'!$D$2:$AL$2,0))</f>
        <v>7313</v>
      </c>
      <c r="AF185" s="25">
        <f>INDEX('Inputs (2)'!$D$29:$AL$29,MATCH(AF$7,'Inputs (2)'!$D$2:$AL$2,0))</f>
        <v>8141</v>
      </c>
      <c r="AG185" s="3">
        <f>AF185</f>
        <v>8141</v>
      </c>
      <c r="AH185" s="3">
        <f>INDEX('Inputs (2)'!$D$29:$AL$29,MATCH(AH$7,'Inputs (2)'!$D$2:$AL$2,0))</f>
        <v>6888</v>
      </c>
      <c r="AI185" s="3">
        <f>INDEX('Inputs (2)'!$D$29:$AL$29,MATCH(AI$7,'Inputs (2)'!$D$2:$AL$2,0))</f>
        <v>7973</v>
      </c>
      <c r="AJ185" s="3">
        <f>AH185*AJ41/AH41</f>
        <v>0</v>
      </c>
      <c r="AK185" s="3">
        <f>AI185*AK41/AI41</f>
        <v>0</v>
      </c>
      <c r="AL185" s="3">
        <f>AK185</f>
        <v>0</v>
      </c>
      <c r="AM185" s="3" t="e">
        <f>AK185*AM41/AK41</f>
        <v>#DIV/0!</v>
      </c>
      <c r="AN185" s="3">
        <f>AL185*AN41/AL41</f>
        <v>0</v>
      </c>
      <c r="AO185" s="3" t="e">
        <f>AM185*AO41/AM41</f>
        <v>#DIV/0!</v>
      </c>
      <c r="AP185" s="3" t="e">
        <f>AN185*AP41/AN41</f>
        <v>#DIV/0!</v>
      </c>
      <c r="AQ185" s="3" t="e">
        <f>AP185</f>
        <v>#DIV/0!</v>
      </c>
      <c r="AR185" s="3" t="e">
        <f>AP185*AR41/AP41</f>
        <v>#DIV/0!</v>
      </c>
      <c r="AS185" s="3" t="e">
        <f>AQ185*AS41/AQ41</f>
        <v>#DIV/0!</v>
      </c>
      <c r="AT185" s="3" t="e">
        <f>AR185*AT41/AR41</f>
        <v>#DIV/0!</v>
      </c>
      <c r="AU185" s="3" t="e">
        <f>AS185*AU41/AS41</f>
        <v>#DIV/0!</v>
      </c>
      <c r="AV185" s="3" t="e">
        <f>AU185</f>
        <v>#DIV/0!</v>
      </c>
      <c r="AW185" s="3" t="e">
        <f>AU185*AW41/AU41</f>
        <v>#DIV/0!</v>
      </c>
      <c r="AX185" s="3" t="e">
        <f>AV185*AX41/AV41</f>
        <v>#DIV/0!</v>
      </c>
      <c r="AY185" s="3" t="e">
        <f>AW185*AY41/AW41</f>
        <v>#DIV/0!</v>
      </c>
      <c r="AZ185" s="3" t="e">
        <f>AX185*AZ41/AX41</f>
        <v>#DIV/0!</v>
      </c>
      <c r="BA185" s="3" t="e">
        <f>AZ185</f>
        <v>#DIV/0!</v>
      </c>
      <c r="BB185" s="3" t="e">
        <f>AZ185*BB41/AZ41</f>
        <v>#DIV/0!</v>
      </c>
      <c r="BC185" s="3" t="e">
        <f>BA185*BC41/BA41</f>
        <v>#DIV/0!</v>
      </c>
      <c r="BD185" s="3" t="e">
        <f>BB185*BD41/BB41</f>
        <v>#DIV/0!</v>
      </c>
      <c r="BE185" s="3" t="e">
        <f>BC185*BE41/BC41</f>
        <v>#DIV/0!</v>
      </c>
      <c r="BF185" s="3" t="e">
        <f>BE185</f>
        <v>#DIV/0!</v>
      </c>
      <c r="BG185" s="3" t="e">
        <f>BE185*BG41/BE41</f>
        <v>#DIV/0!</v>
      </c>
      <c r="BH185" s="3" t="e">
        <f>BF185*BH41/BF41</f>
        <v>#DIV/0!</v>
      </c>
      <c r="BI185" s="3" t="e">
        <f>BG185*BI41/BG41</f>
        <v>#DIV/0!</v>
      </c>
      <c r="BJ185" s="3" t="e">
        <f>BH185*BJ41/BH41</f>
        <v>#DIV/0!</v>
      </c>
      <c r="BK185" s="3" t="e">
        <f>BJ185</f>
        <v>#DIV/0!</v>
      </c>
      <c r="BL185" s="3" t="e">
        <f>BJ185*BL41/BJ41</f>
        <v>#DIV/0!</v>
      </c>
      <c r="BM185" s="3" t="e">
        <f>BK185*BM41/BK41</f>
        <v>#DIV/0!</v>
      </c>
      <c r="BN185" s="3" t="e">
        <f>BL185*BN41/BL41</f>
        <v>#DIV/0!</v>
      </c>
      <c r="BO185" s="3" t="e">
        <f>BM185*BO41/BM41</f>
        <v>#DIV/0!</v>
      </c>
      <c r="BP185" s="3" t="e">
        <f>BO185</f>
        <v>#DIV/0!</v>
      </c>
      <c r="BQ185" s="3" t="e">
        <f>BO185*BQ41/BO41</f>
        <v>#DIV/0!</v>
      </c>
      <c r="BR185" s="3" t="e">
        <f>BP185*BR41/BP41</f>
        <v>#DIV/0!</v>
      </c>
      <c r="BS185" s="3" t="e">
        <f>BQ185*BS41/BQ41</f>
        <v>#DIV/0!</v>
      </c>
      <c r="BT185" s="3" t="e">
        <f>BR185*BT41/BR41</f>
        <v>#DIV/0!</v>
      </c>
      <c r="BU185" s="3" t="e">
        <f>BT185</f>
        <v>#DIV/0!</v>
      </c>
      <c r="BV185" s="3" t="e">
        <f>BT185*BV41/BT41</f>
        <v>#DIV/0!</v>
      </c>
      <c r="BW185" s="3" t="e">
        <f>BU185*BW41/BU41</f>
        <v>#DIV/0!</v>
      </c>
      <c r="BX185" s="3" t="e">
        <f>BV185*BX41/BV41</f>
        <v>#DIV/0!</v>
      </c>
      <c r="BY185" s="3" t="e">
        <f>BW185*BY41/BW41</f>
        <v>#DIV/0!</v>
      </c>
      <c r="BZ185" s="3" t="e">
        <f>BY185</f>
        <v>#DIV/0!</v>
      </c>
      <c r="CA185" s="3" t="e">
        <f>BY185*CA41/BY41</f>
        <v>#DIV/0!</v>
      </c>
      <c r="CB185" s="3" t="e">
        <f>BZ185*CB41/BZ41</f>
        <v>#DIV/0!</v>
      </c>
      <c r="CC185" s="3" t="e">
        <f>CA185*CC41/CA41</f>
        <v>#DIV/0!</v>
      </c>
      <c r="CD185" s="3" t="e">
        <f>CB185*CD41/CB41</f>
        <v>#DIV/0!</v>
      </c>
      <c r="CE185" s="3" t="e">
        <f>CD185</f>
        <v>#DIV/0!</v>
      </c>
      <c r="CF185" s="3" t="e">
        <f>CD185*CF41/CD41</f>
        <v>#DIV/0!</v>
      </c>
      <c r="CG185" s="3" t="e">
        <f>CE185*CG41/CE41</f>
        <v>#DIV/0!</v>
      </c>
      <c r="CH185" s="3" t="e">
        <f>CF185*CH41/CF41</f>
        <v>#DIV/0!</v>
      </c>
      <c r="CI185" s="3" t="e">
        <f>CG185*CI41/CG41</f>
        <v>#DIV/0!</v>
      </c>
      <c r="CJ185" s="3" t="e">
        <f>CI185</f>
        <v>#DIV/0!</v>
      </c>
      <c r="CK185" s="3" t="e">
        <f>CI185*CK41/CI41</f>
        <v>#DIV/0!</v>
      </c>
      <c r="CL185" s="3" t="e">
        <f>CJ185*CL41/CJ41</f>
        <v>#DIV/0!</v>
      </c>
      <c r="CM185" s="3" t="e">
        <f>CK185*CM41/CK41</f>
        <v>#DIV/0!</v>
      </c>
      <c r="CN185" s="3" t="e">
        <f>CL185*CN41/CL41</f>
        <v>#DIV/0!</v>
      </c>
      <c r="CO185" s="3" t="e">
        <f>CN185</f>
        <v>#DIV/0!</v>
      </c>
      <c r="CP185" s="3" t="e">
        <f>CN185*CP41/CN41</f>
        <v>#DIV/0!</v>
      </c>
      <c r="CQ185" s="3" t="e">
        <f>CO185*CQ41/CO41</f>
        <v>#DIV/0!</v>
      </c>
      <c r="CR185" s="3" t="e">
        <f>CP185*CR41/CP41</f>
        <v>#DIV/0!</v>
      </c>
      <c r="CS185" s="3" t="e">
        <f>CQ185*CS41/CQ41</f>
        <v>#DIV/0!</v>
      </c>
      <c r="CT185" s="3" t="e">
        <f>CS185</f>
        <v>#DIV/0!</v>
      </c>
      <c r="CU185" s="3" t="e">
        <f>CS185*CU41/CS41</f>
        <v>#DIV/0!</v>
      </c>
      <c r="CV185" s="3" t="e">
        <f>CT185*CV41/CT41</f>
        <v>#DIV/0!</v>
      </c>
      <c r="CW185" s="3" t="e">
        <f>CU185*CW41/CU41</f>
        <v>#DIV/0!</v>
      </c>
      <c r="CX185" s="3" t="e">
        <f>CV185*CX41/CV41</f>
        <v>#DIV/0!</v>
      </c>
      <c r="CY185" s="3" t="e">
        <f>CX185</f>
        <v>#DIV/0!</v>
      </c>
    </row>
    <row r="186" hidden="1" outlineLevel="1">
      <c r="C186" s="38" t="inlineStr">
        <is>
          <t>%(Var.)</t>
        </is>
      </c>
      <c r="D186" s="3" t="n"/>
      <c r="E186" s="47">
        <f>(E185-D185)/D185</f>
        <v>-0.0320154705629566</v>
      </c>
      <c r="F186" s="47">
        <f>(F185-E185)/E185</f>
        <v>0.0164261931187569</v>
      </c>
      <c r="G186" s="47">
        <f>(G185-F185)/F185</f>
        <v>0.0347237388075999</v>
      </c>
      <c r="H186" s="3" t="n"/>
      <c r="I186" s="47">
        <f>(I185-H185)/H185</f>
        <v>0.0251160827353314</v>
      </c>
      <c r="J186" s="47">
        <f>(J185-I185)/I185</f>
        <v>0.0942968910850319</v>
      </c>
      <c r="K186" s="47">
        <f>(K185-J185)/J185</f>
        <v>0.0637817497648166</v>
      </c>
      <c r="L186" s="47">
        <f>(L185-K185)/K185</f>
        <v>0.0610187477891758</v>
      </c>
      <c r="M186" s="3" t="n"/>
      <c r="N186" s="47">
        <f>(N185-M185)/M185</f>
        <v>-0.146357726287715</v>
      </c>
      <c r="O186" s="47">
        <f>(O185-N185)/N185</f>
        <v>0.0845537980863113</v>
      </c>
      <c r="P186" s="47">
        <f>(P185-O185)/O185</f>
        <v>0.119373424558876</v>
      </c>
      <c r="Q186" s="47">
        <f>(Q185-P185)/P185</f>
        <v>0.0283094740228406</v>
      </c>
      <c r="R186" s="3" t="n"/>
      <c r="S186" s="47">
        <f>(S185-R185)/R185</f>
        <v>-0.14140466134835</v>
      </c>
      <c r="T186" s="47">
        <f>(T185-S185)/S185</f>
        <v>0.138276553106212</v>
      </c>
      <c r="U186" s="47">
        <f>(U185-T185)/T185</f>
        <v>0.115396927016645</v>
      </c>
      <c r="V186" s="47">
        <f>(V185-U185)/U185</f>
        <v>0.107045487157411</v>
      </c>
      <c r="W186" s="3" t="n"/>
      <c r="X186" s="47">
        <f>(X185-W185)/W185</f>
        <v>-0.207777057679844</v>
      </c>
      <c r="Y186" s="47">
        <f>(Y185-X185)/X185</f>
        <v>0.0837696335078534</v>
      </c>
      <c r="Z186" s="47">
        <f>(Z185-Y185)/Y185</f>
        <v>0.0655193236714976</v>
      </c>
      <c r="AA186" s="47">
        <f>(AA185-Z185)/Z185</f>
        <v>0.0816095211107963</v>
      </c>
      <c r="AB186" s="3" t="n"/>
      <c r="AC186" s="47">
        <f>(AC185-AB185)/AB185</f>
        <v>-0.181425203039036</v>
      </c>
      <c r="AD186" s="47">
        <f>(AD185-AC185)/AC185</f>
        <v>0.0921747479596736</v>
      </c>
      <c r="AE186" s="47">
        <f>(AE185-AD185)/AD185</f>
        <v>0.0715018315018315</v>
      </c>
      <c r="AF186" s="218">
        <f>(AF185-AE185)/AE185</f>
        <v>0.1132230274853</v>
      </c>
      <c r="AG186" s="3" t="n"/>
      <c r="AH186" s="218">
        <f>(AH185-AG185)/AG185</f>
        <v>-0.153912295786758</v>
      </c>
      <c r="AI186" s="218">
        <f>(AI185-AH185)/AH185</f>
        <v>0.157520325203252</v>
      </c>
      <c r="AJ186" s="218" t="n"/>
      <c r="AK186" s="218" t="n"/>
      <c r="AL186" s="3" t="n"/>
      <c r="AM186" s="218" t="n"/>
      <c r="AN186" s="218" t="n"/>
      <c r="AO186" s="218" t="n"/>
      <c r="AP186" s="218" t="n"/>
      <c r="AQ186" s="3" t="n"/>
      <c r="AR186" s="218" t="n"/>
      <c r="AS186" s="218" t="n"/>
      <c r="AT186" s="218" t="n"/>
      <c r="AU186" s="218" t="n"/>
      <c r="AV186" s="3" t="n"/>
      <c r="AW186" s="218" t="n"/>
      <c r="AX186" s="218" t="n"/>
      <c r="AY186" s="218" t="n"/>
      <c r="AZ186" s="218" t="n"/>
      <c r="BA186" s="3" t="n"/>
      <c r="BB186" s="218" t="n"/>
      <c r="BC186" s="218" t="n"/>
      <c r="BD186" s="218" t="n"/>
      <c r="BE186" s="218" t="n"/>
      <c r="BF186" s="3" t="n"/>
      <c r="BG186" s="218" t="n"/>
      <c r="BH186" s="218" t="n"/>
      <c r="BI186" s="218" t="n"/>
      <c r="BJ186" s="218" t="n"/>
      <c r="BK186" s="3" t="n"/>
      <c r="BL186" s="218" t="n"/>
      <c r="BM186" s="218" t="n"/>
      <c r="BN186" s="218" t="n"/>
      <c r="BO186" s="218" t="n"/>
      <c r="BP186" s="3" t="n"/>
      <c r="BQ186" s="218" t="n"/>
      <c r="BR186" s="218" t="n"/>
      <c r="BS186" s="218" t="n"/>
      <c r="BT186" s="218" t="n"/>
      <c r="BU186" s="3" t="n"/>
      <c r="BV186" s="218" t="n"/>
      <c r="BW186" s="218" t="n"/>
      <c r="BX186" s="218" t="n"/>
      <c r="BY186" s="218" t="n"/>
      <c r="BZ186" s="3" t="n"/>
      <c r="CA186" s="218" t="n"/>
      <c r="CB186" s="218" t="n"/>
      <c r="CC186" s="218" t="n"/>
      <c r="CD186" s="218" t="n"/>
      <c r="CE186" s="3" t="n"/>
      <c r="CF186" s="218" t="n"/>
      <c r="CG186" s="218" t="n"/>
      <c r="CH186" s="218" t="n"/>
      <c r="CI186" s="218" t="n"/>
      <c r="CJ186" s="3" t="n"/>
      <c r="CK186" s="218" t="n"/>
      <c r="CL186" s="218" t="n"/>
      <c r="CM186" s="218" t="n"/>
      <c r="CN186" s="218" t="n"/>
      <c r="CO186" s="3" t="n"/>
      <c r="CP186" s="218" t="n"/>
      <c r="CQ186" s="218" t="n"/>
      <c r="CR186" s="218" t="n"/>
      <c r="CS186" s="218" t="n"/>
      <c r="CT186" s="3" t="n"/>
      <c r="CU186" s="218" t="n"/>
      <c r="CV186" s="218" t="n"/>
      <c r="CW186" s="218" t="n"/>
      <c r="CX186" s="218" t="n"/>
      <c r="CY186" s="3" t="n"/>
    </row>
    <row r="187" collapsed="1">
      <c r="C187" s="26" t="inlineStr">
        <is>
          <t>Taxes payable</t>
        </is>
      </c>
      <c r="D187" s="25">
        <f>INDEX('Inputs (2)'!$D$30:$AL$30,MATCH(D$7,'Inputs (2)'!$D$2:$AL$2,0))</f>
        <v>0</v>
      </c>
      <c r="E187" s="25">
        <f>INDEX('Inputs (2)'!$D$30:$AL$30,MATCH(E$7,'Inputs (2)'!$D$2:$AL$2,0))</f>
        <v>0</v>
      </c>
      <c r="F187" s="25">
        <f>INDEX('Inputs (2)'!$D$30:$AL$30,MATCH(F$7,'Inputs (2)'!$D$2:$AL$2,0))</f>
        <v>0</v>
      </c>
      <c r="G187" s="25">
        <f>INDEX('Inputs (2)'!$D$30:$AL$30,MATCH(G$7,'Inputs (2)'!$D$2:$AL$2,0))</f>
        <v>0</v>
      </c>
      <c r="H187" s="3">
        <f>G187</f>
        <v>0</v>
      </c>
      <c r="I187" s="25">
        <f>INDEX('Inputs (2)'!$D$30:$AL$30,MATCH(I$7,'Inputs (2)'!$D$2:$AL$2,0))</f>
        <v>0</v>
      </c>
      <c r="J187" s="25">
        <f>INDEX('Inputs (2)'!$D$30:$AL$30,MATCH(J$7,'Inputs (2)'!$D$2:$AL$2,0))</f>
        <v>0</v>
      </c>
      <c r="K187" s="25">
        <f>INDEX('Inputs (2)'!$D$30:$AL$30,MATCH(K$7,'Inputs (2)'!$D$2:$AL$2,0))</f>
        <v>0</v>
      </c>
      <c r="L187" s="25">
        <f>INDEX('Inputs (2)'!$D$30:$AL$30,MATCH(L$7,'Inputs (2)'!$D$2:$AL$2,0))</f>
        <v>0</v>
      </c>
      <c r="M187" s="3">
        <f>L187</f>
        <v>0</v>
      </c>
      <c r="N187" s="25">
        <f>INDEX('Inputs (2)'!$D$30:$AL$30,MATCH(N$7,'Inputs (2)'!$D$2:$AL$2,0))</f>
        <v>0</v>
      </c>
      <c r="O187" s="25">
        <f>INDEX('Inputs (2)'!$D$30:$AL$30,MATCH(O$7,'Inputs (2)'!$D$2:$AL$2,0))</f>
        <v>0</v>
      </c>
      <c r="P187" s="25">
        <f>INDEX('Inputs (2)'!$D$30:$AL$30,MATCH(P$7,'Inputs (2)'!$D$2:$AL$2,0))</f>
        <v>0</v>
      </c>
      <c r="Q187" s="25">
        <f>INDEX('Inputs (2)'!$D$30:$AL$30,MATCH(Q$7,'Inputs (2)'!$D$2:$AL$2,0))</f>
        <v>0</v>
      </c>
      <c r="R187" s="3">
        <f>Q187</f>
        <v>0</v>
      </c>
      <c r="S187" s="25">
        <f>INDEX('Inputs (2)'!$D$30:$AL$30,MATCH(S$7,'Inputs (2)'!$D$2:$AL$2,0))</f>
        <v>0</v>
      </c>
      <c r="T187" s="25">
        <f>INDEX('Inputs (2)'!$D$30:$AL$30,MATCH(T$7,'Inputs (2)'!$D$2:$AL$2,0))</f>
        <v>0</v>
      </c>
      <c r="U187" s="25">
        <f>INDEX('Inputs (2)'!$D$30:$AL$30,MATCH(U$7,'Inputs (2)'!$D$2:$AL$2,0))</f>
        <v>0</v>
      </c>
      <c r="V187" s="25">
        <f>INDEX('Inputs (2)'!$D$30:$AL$30,MATCH(V$7,'Inputs (2)'!$D$2:$AL$2,0))</f>
        <v>0</v>
      </c>
      <c r="W187" s="3">
        <f>V187</f>
        <v>0</v>
      </c>
      <c r="X187" s="25">
        <f>INDEX('Inputs (2)'!$D$30:$AL$30,MATCH(X$7,'Inputs (2)'!$D$2:$AL$2,0))</f>
        <v>0</v>
      </c>
      <c r="Y187" s="25">
        <f>INDEX('Inputs (2)'!$D$30:$AL$30,MATCH(Y$7,'Inputs (2)'!$D$2:$AL$2,0))</f>
        <v>0</v>
      </c>
      <c r="Z187" s="25">
        <f>INDEX('Inputs (2)'!$D$30:$AL$30,MATCH(Z$7,'Inputs (2)'!$D$2:$AL$2,0))</f>
        <v>0</v>
      </c>
      <c r="AA187" s="25">
        <f>INDEX('Inputs (2)'!$D$30:$AL$30,MATCH(AA$7,'Inputs (2)'!$D$2:$AL$2,0))</f>
        <v>0</v>
      </c>
      <c r="AB187" s="3">
        <f>AA187</f>
        <v>0</v>
      </c>
      <c r="AC187" s="25">
        <f>INDEX('Inputs (2)'!$D$30:$AL$30,MATCH(AC$7,'Inputs (2)'!$D$2:$AL$2,0))</f>
        <v>0</v>
      </c>
      <c r="AD187" s="25">
        <f>INDEX('Inputs (2)'!$D$30:$AL$30,MATCH(AD$7,'Inputs (2)'!$D$2:$AL$2,0))</f>
        <v>0</v>
      </c>
      <c r="AE187" s="25">
        <f>INDEX('Inputs (2)'!$D$30:$AL$30,MATCH(AE$7,'Inputs (2)'!$D$2:$AL$2,0))</f>
        <v>0</v>
      </c>
      <c r="AF187" s="25">
        <f>INDEX('Inputs (2)'!$D$30:$AL$30,MATCH(AF$7,'Inputs (2)'!$D$2:$AL$2,0))</f>
        <v>0</v>
      </c>
      <c r="AG187" s="3">
        <f>AF187</f>
        <v>0</v>
      </c>
      <c r="AH187" s="3">
        <f>INDEX('Inputs (2)'!$D$30:$AL$30,MATCH(AH$7,'Inputs (2)'!$D$2:$AL$2,0))</f>
        <v>0</v>
      </c>
      <c r="AI187" s="3">
        <f>INDEX('Inputs (2)'!$D$30:$AL$30,MATCH(AI$7,'Inputs (2)'!$D$2:$AL$2,0))</f>
        <v>0</v>
      </c>
      <c r="AJ187" s="3">
        <f>AH187*AJ114/AH114</f>
        <v>0</v>
      </c>
      <c r="AK187" s="3">
        <f>AI187*AK114/AI114</f>
        <v>0</v>
      </c>
      <c r="AL187" s="3">
        <f>AK187</f>
        <v>0</v>
      </c>
      <c r="AM187" s="3" t="e">
        <f>AK187*AM114/AK114</f>
        <v>#DIV/0!</v>
      </c>
      <c r="AN187" s="3">
        <f>AL187*AN114/AL114</f>
        <v>0</v>
      </c>
      <c r="AO187" s="3" t="e">
        <f>AM187*AO114/AM114</f>
        <v>#DIV/0!</v>
      </c>
      <c r="AP187" s="3" t="e">
        <f>AN187*AP114/AN114</f>
        <v>#DIV/0!</v>
      </c>
      <c r="AQ187" s="3" t="e">
        <f>AP187</f>
        <v>#DIV/0!</v>
      </c>
      <c r="AR187" s="3" t="e">
        <f>AP187*AR114/AP114</f>
        <v>#DIV/0!</v>
      </c>
      <c r="AS187" s="3" t="e">
        <f>AQ187*AS114/AQ114</f>
        <v>#DIV/0!</v>
      </c>
      <c r="AT187" s="3" t="e">
        <f>AR187*AT114/AR114</f>
        <v>#DIV/0!</v>
      </c>
      <c r="AU187" s="3" t="e">
        <f>AS187*AU114/AS114</f>
        <v>#DIV/0!</v>
      </c>
      <c r="AV187" s="3" t="e">
        <f>AU187</f>
        <v>#DIV/0!</v>
      </c>
      <c r="AW187" s="3" t="e">
        <f>AU187*AW114/AU114</f>
        <v>#DIV/0!</v>
      </c>
      <c r="AX187" s="3" t="e">
        <f>AV187*AX114/AV114</f>
        <v>#DIV/0!</v>
      </c>
      <c r="AY187" s="3" t="e">
        <f>AW187*AY114/AW114</f>
        <v>#DIV/0!</v>
      </c>
      <c r="AZ187" s="3" t="e">
        <f>AX187*AZ114/AX114</f>
        <v>#DIV/0!</v>
      </c>
      <c r="BA187" s="3" t="e">
        <f>AZ187</f>
        <v>#DIV/0!</v>
      </c>
      <c r="BB187" s="3" t="e">
        <f>AZ187*BB114/AZ114</f>
        <v>#DIV/0!</v>
      </c>
      <c r="BC187" s="3" t="e">
        <f>BA187*BC114/BA114</f>
        <v>#DIV/0!</v>
      </c>
      <c r="BD187" s="3" t="e">
        <f>BB187*BD114/BB114</f>
        <v>#DIV/0!</v>
      </c>
      <c r="BE187" s="3" t="e">
        <f>BC187*BE114/BC114</f>
        <v>#DIV/0!</v>
      </c>
      <c r="BF187" s="3" t="e">
        <f>BE187</f>
        <v>#DIV/0!</v>
      </c>
      <c r="BG187" s="3" t="e">
        <f>BE187*BG114/BE114</f>
        <v>#DIV/0!</v>
      </c>
      <c r="BH187" s="3" t="e">
        <f>BF187*BH114/BF114</f>
        <v>#DIV/0!</v>
      </c>
      <c r="BI187" s="3" t="e">
        <f>BG187*BI114/BG114</f>
        <v>#DIV/0!</v>
      </c>
      <c r="BJ187" s="3" t="e">
        <f>BH187*BJ114/BH114</f>
        <v>#DIV/0!</v>
      </c>
      <c r="BK187" s="3" t="e">
        <f>BJ187</f>
        <v>#DIV/0!</v>
      </c>
      <c r="BL187" s="3" t="e">
        <f>BJ187*BL114/BJ114</f>
        <v>#DIV/0!</v>
      </c>
      <c r="BM187" s="3" t="e">
        <f>BK187*BM114/BK114</f>
        <v>#DIV/0!</v>
      </c>
      <c r="BN187" s="3" t="e">
        <f>BL187*BN114/BL114</f>
        <v>#DIV/0!</v>
      </c>
      <c r="BO187" s="3" t="e">
        <f>BM187*BO114/BM114</f>
        <v>#DIV/0!</v>
      </c>
      <c r="BP187" s="3" t="e">
        <f>BO187</f>
        <v>#DIV/0!</v>
      </c>
      <c r="BQ187" s="3" t="e">
        <f>BO187*BQ114/BO114</f>
        <v>#DIV/0!</v>
      </c>
      <c r="BR187" s="3" t="e">
        <f>BP187*BR114/BP114</f>
        <v>#DIV/0!</v>
      </c>
      <c r="BS187" s="3" t="e">
        <f>BQ187*BS114/BQ114</f>
        <v>#DIV/0!</v>
      </c>
      <c r="BT187" s="3" t="e">
        <f>BR187*BT114/BR114</f>
        <v>#DIV/0!</v>
      </c>
      <c r="BU187" s="3" t="e">
        <f>BT187</f>
        <v>#DIV/0!</v>
      </c>
      <c r="BV187" s="3" t="e">
        <f>BT187*BV114/BT114</f>
        <v>#DIV/0!</v>
      </c>
      <c r="BW187" s="3" t="e">
        <f>BU187*BW114/BU114</f>
        <v>#DIV/0!</v>
      </c>
      <c r="BX187" s="3" t="e">
        <f>BV187*BX114/BV114</f>
        <v>#DIV/0!</v>
      </c>
      <c r="BY187" s="3" t="e">
        <f>BW187*BY114/BW114</f>
        <v>#DIV/0!</v>
      </c>
      <c r="BZ187" s="3" t="e">
        <f>BY187</f>
        <v>#DIV/0!</v>
      </c>
      <c r="CA187" s="3" t="e">
        <f>BY187*CA114/BY114</f>
        <v>#DIV/0!</v>
      </c>
      <c r="CB187" s="3" t="e">
        <f>BZ187*CB114/BZ114</f>
        <v>#DIV/0!</v>
      </c>
      <c r="CC187" s="3" t="e">
        <f>CA187*CC114/CA114</f>
        <v>#DIV/0!</v>
      </c>
      <c r="CD187" s="3" t="e">
        <f>CB187*CD114/CB114</f>
        <v>#DIV/0!</v>
      </c>
      <c r="CE187" s="3" t="e">
        <f>CD187</f>
        <v>#DIV/0!</v>
      </c>
      <c r="CF187" s="3" t="e">
        <f>CD187*CF114/CD114</f>
        <v>#DIV/0!</v>
      </c>
      <c r="CG187" s="3" t="e">
        <f>CE187*CG114/CE114</f>
        <v>#DIV/0!</v>
      </c>
      <c r="CH187" s="3" t="e">
        <f>CF187*CH114/CF114</f>
        <v>#DIV/0!</v>
      </c>
      <c r="CI187" s="3" t="e">
        <f>CG187*CI114/CG114</f>
        <v>#DIV/0!</v>
      </c>
      <c r="CJ187" s="3" t="e">
        <f>CI187</f>
        <v>#DIV/0!</v>
      </c>
      <c r="CK187" s="3" t="e">
        <f>CI187*CK114/CI114</f>
        <v>#DIV/0!</v>
      </c>
      <c r="CL187" s="3" t="e">
        <f>CJ187*CL114/CJ114</f>
        <v>#DIV/0!</v>
      </c>
      <c r="CM187" s="3" t="e">
        <f>CK187*CM114/CK114</f>
        <v>#DIV/0!</v>
      </c>
      <c r="CN187" s="3" t="e">
        <f>CL187*CN114/CL114</f>
        <v>#DIV/0!</v>
      </c>
      <c r="CO187" s="3" t="e">
        <f>CN187</f>
        <v>#DIV/0!</v>
      </c>
      <c r="CP187" s="3" t="e">
        <f>CN187*CP114/CN114</f>
        <v>#DIV/0!</v>
      </c>
      <c r="CQ187" s="3" t="e">
        <f>CO187*CQ114/CO114</f>
        <v>#DIV/0!</v>
      </c>
      <c r="CR187" s="3" t="e">
        <f>CP187*CR114/CP114</f>
        <v>#DIV/0!</v>
      </c>
      <c r="CS187" s="3" t="e">
        <f>CQ187*CS114/CQ114</f>
        <v>#DIV/0!</v>
      </c>
      <c r="CT187" s="3" t="e">
        <f>CS187</f>
        <v>#DIV/0!</v>
      </c>
      <c r="CU187" s="3" t="e">
        <f>CS187*CU114/CS114</f>
        <v>#DIV/0!</v>
      </c>
      <c r="CV187" s="3" t="e">
        <f>CT187*CV114/CT114</f>
        <v>#DIV/0!</v>
      </c>
      <c r="CW187" s="3" t="e">
        <f>CU187*CW114/CU114</f>
        <v>#DIV/0!</v>
      </c>
      <c r="CX187" s="3" t="e">
        <f>CV187*CX114/CV114</f>
        <v>#DIV/0!</v>
      </c>
      <c r="CY187" s="3" t="e">
        <f>CX187</f>
        <v>#DIV/0!</v>
      </c>
    </row>
    <row r="188">
      <c r="C188" s="26" t="inlineStr">
        <is>
          <t>Other current liabilities (non-debt)</t>
        </is>
      </c>
      <c r="D188" s="25">
        <f>INDEX('Inputs (2)'!$D$31:$AL$31,MATCH(D$7,'Inputs (2)'!$D$2:$AL$2,0))</f>
        <v>16093</v>
      </c>
      <c r="E188" s="25">
        <f>INDEX('Inputs (2)'!$D$31:$AL$31,MATCH(E$7,'Inputs (2)'!$D$2:$AL$2,0))</f>
        <v>15643</v>
      </c>
      <c r="F188" s="25">
        <f>INDEX('Inputs (2)'!$D$31:$AL$31,MATCH(F$7,'Inputs (2)'!$D$2:$AL$2,0))</f>
        <v>3187</v>
      </c>
      <c r="G188" s="25">
        <f>INDEX('Inputs (2)'!$D$31:$AL$31,MATCH(G$7,'Inputs (2)'!$D$2:$AL$2,0))</f>
        <v>3687</v>
      </c>
      <c r="H188" s="3">
        <f>G188</f>
        <v>3687</v>
      </c>
      <c r="I188" s="25">
        <f>INDEX('Inputs (2)'!$D$31:$AL$31,MATCH(I$7,'Inputs (2)'!$D$2:$AL$2,0))</f>
        <v>3203</v>
      </c>
      <c r="J188" s="25">
        <f>INDEX('Inputs (2)'!$D$31:$AL$31,MATCH(J$7,'Inputs (2)'!$D$2:$AL$2,0))</f>
        <v>3891</v>
      </c>
      <c r="K188" s="25">
        <f>INDEX('Inputs (2)'!$D$31:$AL$31,MATCH(K$7,'Inputs (2)'!$D$2:$AL$2,0))</f>
        <v>3474</v>
      </c>
      <c r="L188" s="25">
        <f>INDEX('Inputs (2)'!$D$31:$AL$31,MATCH(L$7,'Inputs (2)'!$D$2:$AL$2,0))</f>
        <v>3938</v>
      </c>
      <c r="M188" s="3">
        <f>L188</f>
        <v>3938</v>
      </c>
      <c r="N188" s="25">
        <f>INDEX('Inputs (2)'!$D$31:$AL$31,MATCH(N$7,'Inputs (2)'!$D$2:$AL$2,0))</f>
        <v>3743</v>
      </c>
      <c r="O188" s="25">
        <f>INDEX('Inputs (2)'!$D$31:$AL$31,MATCH(O$7,'Inputs (2)'!$D$2:$AL$2,0))</f>
        <v>4574</v>
      </c>
      <c r="P188" s="25">
        <f>INDEX('Inputs (2)'!$D$31:$AL$31,MATCH(P$7,'Inputs (2)'!$D$2:$AL$2,0))</f>
        <v>4709</v>
      </c>
      <c r="Q188" s="25">
        <f>INDEX('Inputs (2)'!$D$31:$AL$31,MATCH(Q$7,'Inputs (2)'!$D$2:$AL$2,0))</f>
        <v>5170</v>
      </c>
      <c r="R188" s="3">
        <f>Q188</f>
        <v>5170</v>
      </c>
      <c r="S188" s="25">
        <f>INDEX('Inputs (2)'!$D$31:$AL$31,MATCH(S$7,'Inputs (2)'!$D$2:$AL$2,0))</f>
        <v>5237</v>
      </c>
      <c r="T188" s="25">
        <f>INDEX('Inputs (2)'!$D$31:$AL$31,MATCH(T$7,'Inputs (2)'!$D$2:$AL$2,0))</f>
        <v>5909</v>
      </c>
      <c r="U188" s="25">
        <f>INDEX('Inputs (2)'!$D$31:$AL$31,MATCH(U$7,'Inputs (2)'!$D$2:$AL$2,0))</f>
        <v>5448</v>
      </c>
      <c r="V188" s="25">
        <f>INDEX('Inputs (2)'!$D$31:$AL$31,MATCH(V$7,'Inputs (2)'!$D$2:$AL$2,0))</f>
        <v>5701</v>
      </c>
      <c r="W188" s="3">
        <f>V188</f>
        <v>5701</v>
      </c>
      <c r="X188" s="25">
        <f>INDEX('Inputs (2)'!$D$31:$AL$31,MATCH(X$7,'Inputs (2)'!$D$2:$AL$2,0))</f>
        <v>5459</v>
      </c>
      <c r="Y188" s="25">
        <f>INDEX('Inputs (2)'!$D$31:$AL$31,MATCH(Y$7,'Inputs (2)'!$D$2:$AL$2,0))</f>
        <v>5890</v>
      </c>
      <c r="Z188" s="25">
        <f>INDEX('Inputs (2)'!$D$31:$AL$31,MATCH(Z$7,'Inputs (2)'!$D$2:$AL$2,0))</f>
        <v>5338</v>
      </c>
      <c r="AA188" s="25">
        <f>INDEX('Inputs (2)'!$D$31:$AL$31,MATCH(AA$7,'Inputs (2)'!$D$2:$AL$2,0))</f>
        <v>5905</v>
      </c>
      <c r="AB188" s="3">
        <f>AA188</f>
        <v>5905</v>
      </c>
      <c r="AC188" s="25">
        <f>INDEX('Inputs (2)'!$D$31:$AL$31,MATCH(AC$7,'Inputs (2)'!$D$2:$AL$2,0))</f>
        <v>5785</v>
      </c>
      <c r="AD188" s="25">
        <f>INDEX('Inputs (2)'!$D$31:$AL$31,MATCH(AD$7,'Inputs (2)'!$D$2:$AL$2,0))</f>
        <v>6746</v>
      </c>
      <c r="AE188" s="25">
        <f>INDEX('Inputs (2)'!$D$31:$AL$31,MATCH(AE$7,'Inputs (2)'!$D$2:$AL$2,0))</f>
        <v>6151</v>
      </c>
      <c r="AF188" s="25">
        <f>INDEX('Inputs (2)'!$D$31:$AL$31,MATCH(AF$7,'Inputs (2)'!$D$2:$AL$2,0))</f>
        <v>6815</v>
      </c>
      <c r="AG188" s="3">
        <f>AF188</f>
        <v>6815</v>
      </c>
      <c r="AH188" s="3">
        <f>INDEX('Inputs (2)'!$D$31:$AL$31,MATCH(AH$7,'Inputs (2)'!$D$2:$AL$2,0))</f>
        <v>6949</v>
      </c>
      <c r="AI188" s="3">
        <f>INDEX('Inputs (2)'!$D$31:$AL$31,MATCH(AI$7,'Inputs (2)'!$D$2:$AL$2,0))</f>
        <v>8397</v>
      </c>
      <c r="AJ188" s="3">
        <f>AI188</f>
        <v>8397</v>
      </c>
      <c r="AK188" s="3">
        <f>AJ188</f>
        <v>8397</v>
      </c>
      <c r="AL188" s="3">
        <f>AK188</f>
        <v>8397</v>
      </c>
      <c r="AM188" s="3">
        <f>AL188</f>
        <v>8397</v>
      </c>
      <c r="AN188" s="3">
        <f>AM188</f>
        <v>8397</v>
      </c>
      <c r="AO188" s="3">
        <f>AN188</f>
        <v>8397</v>
      </c>
      <c r="AP188" s="3">
        <f>AO188</f>
        <v>8397</v>
      </c>
      <c r="AQ188" s="3">
        <f>AP188</f>
        <v>8397</v>
      </c>
      <c r="AR188" s="3">
        <f>AQ188</f>
        <v>8397</v>
      </c>
      <c r="AS188" s="3">
        <f>AR188</f>
        <v>8397</v>
      </c>
      <c r="AT188" s="3">
        <f>AS188</f>
        <v>8397</v>
      </c>
      <c r="AU188" s="3">
        <f>AT188</f>
        <v>8397</v>
      </c>
      <c r="AV188" s="3">
        <f>AU188</f>
        <v>8397</v>
      </c>
      <c r="AW188" s="3">
        <f>AV188</f>
        <v>8397</v>
      </c>
      <c r="AX188" s="3">
        <f>AW188</f>
        <v>8397</v>
      </c>
      <c r="AY188" s="3">
        <f>AX188</f>
        <v>8397</v>
      </c>
      <c r="AZ188" s="3">
        <f>AY188</f>
        <v>8397</v>
      </c>
      <c r="BA188" s="3">
        <f>AZ188</f>
        <v>8397</v>
      </c>
      <c r="BB188" s="3">
        <f>BA188</f>
        <v>8397</v>
      </c>
      <c r="BC188" s="3">
        <f>BB188</f>
        <v>8397</v>
      </c>
      <c r="BD188" s="3">
        <f>BC188</f>
        <v>8397</v>
      </c>
      <c r="BE188" s="3">
        <f>BD188</f>
        <v>8397</v>
      </c>
      <c r="BF188" s="3">
        <f>BE188</f>
        <v>8397</v>
      </c>
      <c r="BG188" s="3">
        <f>BF188</f>
        <v>8397</v>
      </c>
      <c r="BH188" s="3">
        <f>BG188</f>
        <v>8397</v>
      </c>
      <c r="BI188" s="3">
        <f>BH188</f>
        <v>8397</v>
      </c>
      <c r="BJ188" s="3">
        <f>BI188</f>
        <v>8397</v>
      </c>
      <c r="BK188" s="3">
        <f>BJ188</f>
        <v>8397</v>
      </c>
      <c r="BL188" s="3">
        <f>BK188</f>
        <v>8397</v>
      </c>
      <c r="BM188" s="3">
        <f>BL188</f>
        <v>8397</v>
      </c>
      <c r="BN188" s="3">
        <f>BM188</f>
        <v>8397</v>
      </c>
      <c r="BO188" s="3">
        <f>BN188</f>
        <v>8397</v>
      </c>
      <c r="BP188" s="3">
        <f>BO188</f>
        <v>8397</v>
      </c>
      <c r="BQ188" s="3">
        <f>BP188</f>
        <v>8397</v>
      </c>
      <c r="BR188" s="3">
        <f>BQ188</f>
        <v>8397</v>
      </c>
      <c r="BS188" s="3">
        <f>BR188</f>
        <v>8397</v>
      </c>
      <c r="BT188" s="3">
        <f>BS188</f>
        <v>8397</v>
      </c>
      <c r="BU188" s="3">
        <f>BT188</f>
        <v>8397</v>
      </c>
      <c r="BV188" s="3">
        <f>BU188</f>
        <v>8397</v>
      </c>
      <c r="BW188" s="3">
        <f>BV188</f>
        <v>8397</v>
      </c>
      <c r="BX188" s="3">
        <f>BW188</f>
        <v>8397</v>
      </c>
      <c r="BY188" s="3">
        <f>BX188</f>
        <v>8397</v>
      </c>
      <c r="BZ188" s="3">
        <f>BY188</f>
        <v>8397</v>
      </c>
      <c r="CA188" s="3">
        <f>BZ188</f>
        <v>8397</v>
      </c>
      <c r="CB188" s="3">
        <f>CA188</f>
        <v>8397</v>
      </c>
      <c r="CC188" s="3">
        <f>CB188</f>
        <v>8397</v>
      </c>
      <c r="CD188" s="3">
        <f>CC188</f>
        <v>8397</v>
      </c>
      <c r="CE188" s="3">
        <f>CD188</f>
        <v>8397</v>
      </c>
      <c r="CF188" s="3">
        <f>CE188</f>
        <v>8397</v>
      </c>
      <c r="CG188" s="3">
        <f>CF188</f>
        <v>8397</v>
      </c>
      <c r="CH188" s="3">
        <f>CG188</f>
        <v>8397</v>
      </c>
      <c r="CI188" s="3">
        <f>CH188</f>
        <v>8397</v>
      </c>
      <c r="CJ188" s="3">
        <f>CI188</f>
        <v>8397</v>
      </c>
      <c r="CK188" s="3">
        <f>CJ188</f>
        <v>8397</v>
      </c>
      <c r="CL188" s="3">
        <f>CK188</f>
        <v>8397</v>
      </c>
      <c r="CM188" s="3">
        <f>CL188</f>
        <v>8397</v>
      </c>
      <c r="CN188" s="3">
        <f>CM188</f>
        <v>8397</v>
      </c>
      <c r="CO188" s="3">
        <f>CN188</f>
        <v>8397</v>
      </c>
      <c r="CP188" s="3">
        <f>CO188</f>
        <v>8397</v>
      </c>
      <c r="CQ188" s="3">
        <f>CP188</f>
        <v>8397</v>
      </c>
      <c r="CR188" s="3">
        <f>CQ188</f>
        <v>8397</v>
      </c>
      <c r="CS188" s="3">
        <f>CR188</f>
        <v>8397</v>
      </c>
      <c r="CT188" s="3">
        <f>CS188</f>
        <v>8397</v>
      </c>
      <c r="CU188" s="3">
        <f>CT188</f>
        <v>8397</v>
      </c>
      <c r="CV188" s="3">
        <f>CU188</f>
        <v>8397</v>
      </c>
      <c r="CW188" s="3">
        <f>CV188</f>
        <v>8397</v>
      </c>
      <c r="CX188" s="3">
        <f>CW188</f>
        <v>8397</v>
      </c>
      <c r="CY188" s="3">
        <f>CX188</f>
        <v>8397</v>
      </c>
    </row>
    <row r="189" hidden="1" outlineLevel="1">
      <c r="C189" s="38" t="inlineStr">
        <is>
          <t>%(Var.)</t>
        </is>
      </c>
      <c r="D189" s="3" t="n"/>
      <c r="E189" s="47">
        <f>(E188-D188)/D188</f>
        <v>-0.0279624681538557</v>
      </c>
      <c r="F189" s="47">
        <f>(F188-E188)/E188</f>
        <v>-0.796266700760724</v>
      </c>
      <c r="G189" s="47">
        <f>(G188-F188)/F188</f>
        <v>0.156887354879197</v>
      </c>
      <c r="H189" s="3" t="n"/>
      <c r="I189" s="47">
        <f>(I188-H188)/H188</f>
        <v>-0.131272036886357</v>
      </c>
      <c r="J189" s="47">
        <f>(J188-I188)/I188</f>
        <v>0.214798626287855</v>
      </c>
      <c r="K189" s="47">
        <f>(K188-J188)/J188</f>
        <v>-0.107170393215112</v>
      </c>
      <c r="L189" s="47">
        <f>(L188-K188)/K188</f>
        <v>0.1335636154289</v>
      </c>
      <c r="M189" s="3" t="n"/>
      <c r="N189" s="47">
        <f>(N188-M188)/M188</f>
        <v>-0.0495175215845607</v>
      </c>
      <c r="O189" s="47">
        <f>(O188-N188)/N188</f>
        <v>0.22201442693027</v>
      </c>
      <c r="P189" s="47">
        <f>(P188-O188)/O188</f>
        <v>0.0295146480104941</v>
      </c>
      <c r="Q189" s="47">
        <f>(Q188-P188)/P188</f>
        <v>0.0978976428116373</v>
      </c>
      <c r="R189" s="3" t="n"/>
      <c r="S189" s="47">
        <f>(S188-R188)/R188</f>
        <v>0.0129593810444874</v>
      </c>
      <c r="T189" s="47">
        <f>(T188-S188)/S188</f>
        <v>0.128317739163643</v>
      </c>
      <c r="U189" s="47">
        <f>(U188-T188)/T188</f>
        <v>-0.0780165848705365</v>
      </c>
      <c r="V189" s="47">
        <f>(V188-U188)/U188</f>
        <v>0.04643906020558</v>
      </c>
      <c r="W189" s="3" t="n"/>
      <c r="X189" s="47">
        <f>(X188-W188)/W188</f>
        <v>-0.0424486932117172</v>
      </c>
      <c r="Y189" s="47">
        <f>(Y188-X188)/X188</f>
        <v>0.0789521890456128</v>
      </c>
      <c r="Z189" s="47">
        <f>(Z188-Y188)/Y188</f>
        <v>-0.0937181663837012</v>
      </c>
      <c r="AA189" s="47">
        <f>(AA188-Z188)/Z188</f>
        <v>0.106219557886849</v>
      </c>
      <c r="AB189" s="3" t="n"/>
      <c r="AC189" s="47">
        <f>(AC188-AB188)/AB188</f>
        <v>-0.0203217612193057</v>
      </c>
      <c r="AD189" s="47">
        <f>(AD188-AC188)/AC188</f>
        <v>0.166119273984443</v>
      </c>
      <c r="AE189" s="47">
        <f>(AE188-AD188)/AD188</f>
        <v>-0.0882004150607768</v>
      </c>
      <c r="AF189" s="218">
        <f>(AF188-AE188)/AE188</f>
        <v>0.107949926841164</v>
      </c>
      <c r="AG189" s="3" t="n"/>
      <c r="AH189" s="218">
        <f>(AH188-AG188)/AG188</f>
        <v>0.0196625091709464</v>
      </c>
      <c r="AI189" s="218">
        <f>(AI188-AH188)/AH188</f>
        <v>0.208375305799396</v>
      </c>
      <c r="AJ189" s="218" t="n"/>
      <c r="AK189" s="218" t="n"/>
      <c r="AL189" s="3" t="n"/>
      <c r="AM189" s="218" t="n"/>
      <c r="AN189" s="218" t="n"/>
      <c r="AO189" s="218" t="n"/>
      <c r="AP189" s="218" t="n"/>
      <c r="AQ189" s="3" t="n"/>
      <c r="AR189" s="218" t="n"/>
      <c r="AS189" s="218" t="n"/>
      <c r="AT189" s="218" t="n"/>
      <c r="AU189" s="218" t="n"/>
      <c r="AV189" s="3" t="n"/>
      <c r="AW189" s="218" t="n"/>
      <c r="AX189" s="218" t="n"/>
      <c r="AY189" s="218" t="n"/>
      <c r="AZ189" s="218" t="n"/>
      <c r="BA189" s="3" t="n"/>
      <c r="BB189" s="218" t="n"/>
      <c r="BC189" s="218" t="n"/>
      <c r="BD189" s="218" t="n"/>
      <c r="BE189" s="218" t="n"/>
      <c r="BF189" s="3" t="n"/>
      <c r="BG189" s="218" t="n"/>
      <c r="BH189" s="218" t="n"/>
      <c r="BI189" s="218" t="n"/>
      <c r="BJ189" s="218" t="n"/>
      <c r="BK189" s="3" t="n"/>
      <c r="BL189" s="218" t="n"/>
      <c r="BM189" s="218" t="n"/>
      <c r="BN189" s="218" t="n"/>
      <c r="BO189" s="218" t="n"/>
      <c r="BP189" s="3" t="n"/>
      <c r="BQ189" s="218" t="n"/>
      <c r="BR189" s="218" t="n"/>
      <c r="BS189" s="218" t="n"/>
      <c r="BT189" s="218" t="n"/>
      <c r="BU189" s="3" t="n"/>
      <c r="BV189" s="218" t="n"/>
      <c r="BW189" s="218" t="n"/>
      <c r="BX189" s="218" t="n"/>
      <c r="BY189" s="218" t="n"/>
      <c r="BZ189" s="3" t="n"/>
      <c r="CA189" s="218" t="n"/>
      <c r="CB189" s="218" t="n"/>
      <c r="CC189" s="218" t="n"/>
      <c r="CD189" s="218" t="n"/>
      <c r="CE189" s="3" t="n"/>
      <c r="CF189" s="218" t="n"/>
      <c r="CG189" s="218" t="n"/>
      <c r="CH189" s="218" t="n"/>
      <c r="CI189" s="218" t="n"/>
      <c r="CJ189" s="3" t="n"/>
      <c r="CK189" s="218" t="n"/>
      <c r="CL189" s="218" t="n"/>
      <c r="CM189" s="218" t="n"/>
      <c r="CN189" s="218" t="n"/>
      <c r="CO189" s="3" t="n"/>
      <c r="CP189" s="218" t="n"/>
      <c r="CQ189" s="218" t="n"/>
      <c r="CR189" s="218" t="n"/>
      <c r="CS189" s="218" t="n"/>
      <c r="CT189" s="3" t="n"/>
      <c r="CU189" s="218" t="n"/>
      <c r="CV189" s="218" t="n"/>
      <c r="CW189" s="218" t="n"/>
      <c r="CX189" s="218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 xml:space="preserve">Dividendos a Pagar </t>
        </is>
      </c>
      <c r="D191" s="6" t="n"/>
      <c r="E191" s="6" t="n"/>
      <c r="F191" s="6" t="n"/>
      <c r="G191" s="6" t="n"/>
      <c r="H191" s="3" t="n"/>
      <c r="I191" s="6" t="n"/>
      <c r="J191" s="6" t="n"/>
      <c r="K191" s="6" t="n"/>
      <c r="L191" s="6" t="n"/>
      <c r="M191" s="3" t="n"/>
      <c r="N191" s="6" t="n"/>
      <c r="O191" s="6" t="n"/>
      <c r="P191" s="6" t="n"/>
      <c r="Q191" s="6" t="n"/>
      <c r="R191" s="3" t="n"/>
      <c r="S191" s="6" t="n"/>
      <c r="T191" s="6" t="n"/>
      <c r="U191" s="6" t="n"/>
      <c r="V191" s="6" t="n"/>
      <c r="W191" s="3" t="n"/>
      <c r="X191" s="6" t="n"/>
      <c r="Y191" s="6" t="n"/>
      <c r="Z191" s="6" t="n"/>
      <c r="AA191" s="6" t="n"/>
      <c r="AB191" s="3" t="n"/>
      <c r="AC191" s="6" t="n"/>
      <c r="AD191" s="6" t="n"/>
      <c r="AE191" s="6" t="n"/>
      <c r="AF191" s="6" t="n"/>
      <c r="AG191" s="3" t="n"/>
      <c r="AH191" s="6" t="n"/>
      <c r="AI191" s="6" t="n"/>
      <c r="AJ191" s="6" t="n"/>
      <c r="AK191" s="6" t="n"/>
      <c r="AL191" s="3" t="n"/>
      <c r="AM191" s="6" t="n"/>
      <c r="AN191" s="6" t="n"/>
      <c r="AO191" s="6" t="n"/>
      <c r="AP191" s="6" t="n"/>
      <c r="AQ191" s="3" t="n"/>
      <c r="AR191" s="6" t="n"/>
      <c r="AS191" s="6" t="n"/>
      <c r="AT191" s="6" t="n"/>
      <c r="AU191" s="6" t="n"/>
      <c r="AV191" s="3" t="n"/>
      <c r="AW191" s="6" t="n"/>
      <c r="AX191" s="6" t="n"/>
      <c r="AY191" s="6" t="n"/>
      <c r="AZ191" s="6" t="n"/>
      <c r="BA191" s="3" t="n"/>
      <c r="BB191" s="6" t="n"/>
      <c r="BC191" s="6" t="n"/>
      <c r="BD191" s="6" t="n"/>
      <c r="BE191" s="6" t="n"/>
      <c r="BF191" s="3" t="n"/>
      <c r="BG191" s="6" t="n"/>
      <c r="BH191" s="6" t="n"/>
      <c r="BI191" s="6" t="n"/>
      <c r="BJ191" s="6" t="n"/>
      <c r="BK191" s="3" t="n"/>
      <c r="BL191" s="6" t="n"/>
      <c r="BM191" s="6" t="n"/>
      <c r="BN191" s="6" t="n"/>
      <c r="BO191" s="6" t="n"/>
      <c r="BP191" s="3" t="n"/>
      <c r="BQ191" s="6" t="n"/>
      <c r="BR191" s="6" t="n"/>
      <c r="BS191" s="6" t="n"/>
      <c r="BT191" s="6" t="n"/>
      <c r="BU191" s="3" t="n"/>
      <c r="BV191" s="6" t="n"/>
      <c r="BW191" s="6" t="n"/>
      <c r="BX191" s="6" t="n"/>
      <c r="BY191" s="6" t="n"/>
      <c r="BZ191" s="3" t="n"/>
      <c r="CA191" s="6" t="n"/>
      <c r="CB191" s="6" t="n"/>
      <c r="CC191" s="6" t="n"/>
      <c r="CD191" s="6" t="n"/>
      <c r="CE191" s="3" t="n"/>
      <c r="CF191" s="6" t="n"/>
      <c r="CG191" s="6" t="n"/>
      <c r="CH191" s="6" t="n"/>
      <c r="CI191" s="6" t="n"/>
      <c r="CJ191" s="3" t="n"/>
      <c r="CK191" s="6" t="n"/>
      <c r="CL191" s="6" t="n"/>
      <c r="CM191" s="6" t="n"/>
      <c r="CN191" s="6" t="n"/>
      <c r="CO191" s="3" t="n"/>
      <c r="CP191" s="6" t="n"/>
      <c r="CQ191" s="6" t="n"/>
      <c r="CR191" s="6" t="n"/>
      <c r="CS191" s="6" t="n"/>
      <c r="CT191" s="3" t="n"/>
      <c r="CU191" s="6" t="n"/>
      <c r="CV191" s="6" t="n"/>
      <c r="CW191" s="6" t="n"/>
      <c r="CX191" s="6" t="n"/>
      <c r="CY191" s="3" t="n"/>
    </row>
    <row r="192" hidden="1" outlineLevel="1">
      <c r="C192" s="34" t="inlineStr">
        <is>
          <t>Contas a pagar pela aquisição de controladas</t>
        </is>
      </c>
      <c r="D192" s="6" t="n"/>
      <c r="E192" s="6" t="n"/>
      <c r="F192" s="6" t="n"/>
      <c r="G192" s="6" t="n"/>
      <c r="H192" s="3" t="n"/>
      <c r="I192" s="6" t="n"/>
      <c r="J192" s="6" t="n"/>
      <c r="K192" s="6" t="n"/>
      <c r="L192" s="6" t="n"/>
      <c r="M192" s="3" t="n"/>
      <c r="N192" s="6" t="n"/>
      <c r="O192" s="6" t="n"/>
      <c r="P192" s="6" t="n"/>
      <c r="Q192" s="6" t="n"/>
      <c r="R192" s="3" t="n"/>
      <c r="S192" s="6" t="n"/>
      <c r="T192" s="6" t="n"/>
      <c r="U192" s="6" t="n"/>
      <c r="V192" s="6" t="n"/>
      <c r="W192" s="3" t="n"/>
      <c r="X192" s="6" t="n"/>
      <c r="Y192" s="6" t="n"/>
      <c r="Z192" s="6" t="n"/>
      <c r="AA192" s="6" t="n"/>
      <c r="AB192" s="3" t="n"/>
      <c r="AC192" s="6" t="n"/>
      <c r="AD192" s="6" t="n"/>
      <c r="AE192" s="6" t="n"/>
      <c r="AF192" s="6" t="n"/>
      <c r="AG192" s="3" t="n"/>
      <c r="AH192" s="6" t="n"/>
      <c r="AI192" s="6" t="n"/>
      <c r="AJ192" s="6" t="n"/>
      <c r="AK192" s="6" t="n"/>
      <c r="AL192" s="3" t="n"/>
      <c r="AM192" s="6" t="n"/>
      <c r="AN192" s="6" t="n"/>
      <c r="AO192" s="6" t="n"/>
      <c r="AP192" s="6" t="n"/>
      <c r="AQ192" s="3" t="n"/>
      <c r="AR192" s="6" t="n"/>
      <c r="AS192" s="6" t="n"/>
      <c r="AT192" s="6" t="n"/>
      <c r="AU192" s="6" t="n"/>
      <c r="AV192" s="3" t="n"/>
      <c r="AW192" s="6" t="n"/>
      <c r="AX192" s="6" t="n"/>
      <c r="AY192" s="6" t="n"/>
      <c r="AZ192" s="6" t="n"/>
      <c r="BA192" s="3" t="n"/>
      <c r="BB192" s="6" t="n"/>
      <c r="BC192" s="6" t="n"/>
      <c r="BD192" s="6" t="n"/>
      <c r="BE192" s="6" t="n"/>
      <c r="BF192" s="3" t="n"/>
      <c r="BG192" s="6" t="n"/>
      <c r="BH192" s="6" t="n"/>
      <c r="BI192" s="6" t="n"/>
      <c r="BJ192" s="6" t="n"/>
      <c r="BK192" s="3" t="n"/>
      <c r="BL192" s="6" t="n"/>
      <c r="BM192" s="6" t="n"/>
      <c r="BN192" s="6" t="n"/>
      <c r="BO192" s="6" t="n"/>
      <c r="BP192" s="3" t="n"/>
      <c r="BQ192" s="6" t="n"/>
      <c r="BR192" s="6" t="n"/>
      <c r="BS192" s="6" t="n"/>
      <c r="BT192" s="6" t="n"/>
      <c r="BU192" s="3" t="n"/>
      <c r="BV192" s="6" t="n"/>
      <c r="BW192" s="6" t="n"/>
      <c r="BX192" s="6" t="n"/>
      <c r="BY192" s="6" t="n"/>
      <c r="BZ192" s="3" t="n"/>
      <c r="CA192" s="6" t="n"/>
      <c r="CB192" s="6" t="n"/>
      <c r="CC192" s="6" t="n"/>
      <c r="CD192" s="6" t="n"/>
      <c r="CE192" s="3" t="n"/>
      <c r="CF192" s="6" t="n"/>
      <c r="CG192" s="6" t="n"/>
      <c r="CH192" s="6" t="n"/>
      <c r="CI192" s="6" t="n"/>
      <c r="CJ192" s="3" t="n"/>
      <c r="CK192" s="6" t="n"/>
      <c r="CL192" s="6" t="n"/>
      <c r="CM192" s="6" t="n"/>
      <c r="CN192" s="6" t="n"/>
      <c r="CO192" s="3" t="n"/>
      <c r="CP192" s="6" t="n"/>
      <c r="CQ192" s="6" t="n"/>
      <c r="CR192" s="6" t="n"/>
      <c r="CS192" s="6" t="n"/>
      <c r="CT192" s="3" t="n"/>
      <c r="CU192" s="6" t="n"/>
      <c r="CV192" s="6" t="n"/>
      <c r="CW192" s="6" t="n"/>
      <c r="CX192" s="6" t="n"/>
      <c r="CY192" s="3" t="n"/>
    </row>
    <row r="193" hidden="1" outlineLevel="1">
      <c r="C193" s="34" t="inlineStr">
        <is>
          <t>Outros</t>
        </is>
      </c>
      <c r="D193" s="6" t="n"/>
      <c r="E193" s="6" t="n"/>
      <c r="F193" s="6" t="n"/>
      <c r="G193" s="6" t="n"/>
      <c r="H193" s="3" t="n"/>
      <c r="I193" s="6" t="n"/>
      <c r="J193" s="6" t="n"/>
      <c r="K193" s="6" t="n"/>
      <c r="L193" s="6" t="n"/>
      <c r="M193" s="3" t="n"/>
      <c r="N193" s="6" t="n"/>
      <c r="O193" s="6" t="n"/>
      <c r="P193" s="6" t="n"/>
      <c r="Q193" s="6" t="n"/>
      <c r="R193" s="3" t="n"/>
      <c r="S193" s="6" t="n"/>
      <c r="T193" s="6" t="n"/>
      <c r="U193" s="6" t="n"/>
      <c r="V193" s="6" t="n"/>
      <c r="W193" s="3" t="n"/>
      <c r="X193" s="6" t="n"/>
      <c r="Y193" s="6" t="n"/>
      <c r="Z193" s="6" t="n"/>
      <c r="AA193" s="6" t="n"/>
      <c r="AB193" s="3" t="n"/>
      <c r="AC193" s="6" t="n"/>
      <c r="AD193" s="6" t="n"/>
      <c r="AE193" s="6" t="n"/>
      <c r="AF193" s="6" t="n"/>
      <c r="AG193" s="3" t="n"/>
      <c r="AH193" s="6" t="n"/>
      <c r="AI193" s="6" t="n"/>
      <c r="AJ193" s="6" t="n"/>
      <c r="AK193" s="6" t="n"/>
      <c r="AL193" s="3" t="n"/>
      <c r="AM193" s="6" t="n"/>
      <c r="AN193" s="6" t="n"/>
      <c r="AO193" s="6" t="n"/>
      <c r="AP193" s="6" t="n"/>
      <c r="AQ193" s="3" t="n"/>
      <c r="AR193" s="6" t="n"/>
      <c r="AS193" s="6" t="n"/>
      <c r="AT193" s="6" t="n"/>
      <c r="AU193" s="6" t="n"/>
      <c r="AV193" s="3" t="n"/>
      <c r="AW193" s="6" t="n"/>
      <c r="AX193" s="6" t="n"/>
      <c r="AY193" s="6" t="n"/>
      <c r="AZ193" s="6" t="n"/>
      <c r="BA193" s="3" t="n"/>
      <c r="BB193" s="6" t="n"/>
      <c r="BC193" s="6" t="n"/>
      <c r="BD193" s="6" t="n"/>
      <c r="BE193" s="6" t="n"/>
      <c r="BF193" s="3" t="n"/>
      <c r="BG193" s="6" t="n"/>
      <c r="BH193" s="6" t="n"/>
      <c r="BI193" s="6" t="n"/>
      <c r="BJ193" s="6" t="n"/>
      <c r="BK193" s="3" t="n"/>
      <c r="BL193" s="6" t="n"/>
      <c r="BM193" s="6" t="n"/>
      <c r="BN193" s="6" t="n"/>
      <c r="BO193" s="6" t="n"/>
      <c r="BP193" s="3" t="n"/>
      <c r="BQ193" s="6" t="n"/>
      <c r="BR193" s="6" t="n"/>
      <c r="BS193" s="6" t="n"/>
      <c r="BT193" s="6" t="n"/>
      <c r="BU193" s="3" t="n"/>
      <c r="BV193" s="6" t="n"/>
      <c r="BW193" s="6" t="n"/>
      <c r="BX193" s="6" t="n"/>
      <c r="BY193" s="6" t="n"/>
      <c r="BZ193" s="3" t="n"/>
      <c r="CA193" s="6" t="n"/>
      <c r="CB193" s="6" t="n"/>
      <c r="CC193" s="6" t="n"/>
      <c r="CD193" s="6" t="n"/>
      <c r="CE193" s="3" t="n"/>
      <c r="CF193" s="6" t="n"/>
      <c r="CG193" s="6" t="n"/>
      <c r="CH193" s="6" t="n"/>
      <c r="CI193" s="6" t="n"/>
      <c r="CJ193" s="3" t="n"/>
      <c r="CK193" s="6" t="n"/>
      <c r="CL193" s="6" t="n"/>
      <c r="CM193" s="6" t="n"/>
      <c r="CN193" s="6" t="n"/>
      <c r="CO193" s="3" t="n"/>
      <c r="CP193" s="6" t="n"/>
      <c r="CQ193" s="6" t="n"/>
      <c r="CR193" s="6" t="n"/>
      <c r="CS193" s="6" t="n"/>
      <c r="CT193" s="3" t="n"/>
      <c r="CU193" s="6" t="n"/>
      <c r="CV193" s="6" t="n"/>
      <c r="CW193" s="6" t="n"/>
      <c r="CX193" s="6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collapsed="1">
      <c r="C195" s="26" t="inlineStr">
        <is>
          <t>Current portion of long-term debt</t>
        </is>
      </c>
      <c r="D195" s="25">
        <f>INDEX('Inputs (2)'!$D$32:$AL$32,MATCH(D$7,'Inputs (2)'!$D$2:$AL$2,0))</f>
        <v>0</v>
      </c>
      <c r="E195" s="25">
        <f>INDEX('Inputs (2)'!$D$32:$AL$32,MATCH(E$7,'Inputs (2)'!$D$2:$AL$2,0))</f>
        <v>0</v>
      </c>
      <c r="F195" s="25">
        <f>INDEX('Inputs (2)'!$D$32:$AL$32,MATCH(F$7,'Inputs (2)'!$D$2:$AL$2,0))</f>
        <v>12019</v>
      </c>
      <c r="G195" s="25">
        <f>INDEX('Inputs (2)'!$D$32:$AL$32,MATCH(G$7,'Inputs (2)'!$D$2:$AL$2,0))</f>
        <v>11164</v>
      </c>
      <c r="H195" s="3">
        <f>G195</f>
        <v>11164</v>
      </c>
      <c r="I195" s="25">
        <f>INDEX('Inputs (2)'!$D$32:$AL$32,MATCH(I$7,'Inputs (2)'!$D$2:$AL$2,0))</f>
        <v>11824</v>
      </c>
      <c r="J195" s="25">
        <f>INDEX('Inputs (2)'!$D$32:$AL$32,MATCH(J$7,'Inputs (2)'!$D$2:$AL$2,0))</f>
        <v>11381</v>
      </c>
      <c r="K195" s="25">
        <f>INDEX('Inputs (2)'!$D$32:$AL$32,MATCH(K$7,'Inputs (2)'!$D$2:$AL$2,0))</f>
        <v>9630</v>
      </c>
      <c r="L195" s="25">
        <f>INDEX('Inputs (2)'!$D$32:$AL$32,MATCH(L$7,'Inputs (2)'!$D$2:$AL$2,0))</f>
        <v>11756</v>
      </c>
      <c r="M195" s="3">
        <f>L195</f>
        <v>11756</v>
      </c>
      <c r="N195" s="25">
        <f>INDEX('Inputs (2)'!$D$32:$AL$32,MATCH(N$7,'Inputs (2)'!$D$2:$AL$2,0))</f>
        <v>12307</v>
      </c>
      <c r="O195" s="25">
        <f>INDEX('Inputs (2)'!$D$32:$AL$32,MATCH(O$7,'Inputs (2)'!$D$2:$AL$2,0))</f>
        <v>10743</v>
      </c>
      <c r="P195" s="25">
        <f>INDEX('Inputs (2)'!$D$32:$AL$32,MATCH(P$7,'Inputs (2)'!$D$2:$AL$2,0))</f>
        <v>11016</v>
      </c>
      <c r="Q195" s="25">
        <f>INDEX('Inputs (2)'!$D$32:$AL$32,MATCH(Q$7,'Inputs (2)'!$D$2:$AL$2,0))</f>
        <v>11279</v>
      </c>
      <c r="R195" s="3">
        <f>Q195</f>
        <v>11279</v>
      </c>
      <c r="S195" s="25">
        <f>INDEX('Inputs (2)'!$D$32:$AL$32,MATCH(S$7,'Inputs (2)'!$D$2:$AL$2,0))</f>
        <v>12165</v>
      </c>
      <c r="T195" s="25">
        <f>INDEX('Inputs (2)'!$D$32:$AL$32,MATCH(T$7,'Inputs (2)'!$D$2:$AL$2,0))</f>
        <v>14714</v>
      </c>
      <c r="U195" s="25">
        <f>INDEX('Inputs (2)'!$D$32:$AL$32,MATCH(U$7,'Inputs (2)'!$D$2:$AL$2,0))</f>
        <v>12880</v>
      </c>
      <c r="V195" s="25">
        <f>INDEX('Inputs (2)'!$D$32:$AL$32,MATCH(V$7,'Inputs (2)'!$D$2:$AL$2,0))</f>
        <v>13406</v>
      </c>
      <c r="W195" s="3">
        <f>V195</f>
        <v>13406</v>
      </c>
      <c r="X195" s="25">
        <f>INDEX('Inputs (2)'!$D$32:$AL$32,MATCH(X$7,'Inputs (2)'!$D$2:$AL$2,0))</f>
        <v>13022</v>
      </c>
      <c r="Y195" s="25">
        <f>INDEX('Inputs (2)'!$D$32:$AL$32,MATCH(Y$7,'Inputs (2)'!$D$2:$AL$2,0))</f>
        <v>13475</v>
      </c>
      <c r="Z195" s="25">
        <f>INDEX('Inputs (2)'!$D$32:$AL$32,MATCH(Z$7,'Inputs (2)'!$D$2:$AL$2,0))</f>
        <v>12117</v>
      </c>
      <c r="AA195" s="25">
        <f>INDEX('Inputs (2)'!$D$32:$AL$32,MATCH(AA$7,'Inputs (2)'!$D$2:$AL$2,0))</f>
        <v>11058</v>
      </c>
      <c r="AB195" s="3">
        <f>AA195</f>
        <v>11058</v>
      </c>
      <c r="AC195" s="25">
        <f>INDEX('Inputs (2)'!$D$32:$AL$32,MATCH(AC$7,'Inputs (2)'!$D$2:$AL$2,0))</f>
        <v>12769</v>
      </c>
      <c r="AD195" s="25">
        <f>INDEX('Inputs (2)'!$D$32:$AL$32,MATCH(AD$7,'Inputs (2)'!$D$2:$AL$2,0))</f>
        <v>12800</v>
      </c>
      <c r="AE195" s="25">
        <f>INDEX('Inputs (2)'!$D$32:$AL$32,MATCH(AE$7,'Inputs (2)'!$D$2:$AL$2,0))</f>
        <v>13798</v>
      </c>
      <c r="AF195" s="25">
        <f>INDEX('Inputs (2)'!$D$32:$AL$32,MATCH(AF$7,'Inputs (2)'!$D$2:$AL$2,0))</f>
        <v>12634</v>
      </c>
      <c r="AG195" s="3">
        <f>AF195</f>
        <v>12634</v>
      </c>
      <c r="AH195" s="3">
        <f>INDEX('Inputs (2)'!$D$32:$AL$32,MATCH(AH$7,'Inputs (2)'!$D$2:$AL$2,0))</f>
        <v>12424</v>
      </c>
      <c r="AI195" s="3">
        <f>INDEX('Inputs (2)'!$D$32:$AL$32,MATCH(AI$7,'Inputs (2)'!$D$2:$AL$2,0))</f>
        <v>13107</v>
      </c>
      <c r="AJ195" s="3">
        <f>AI195</f>
        <v>13107</v>
      </c>
      <c r="AK195" s="3">
        <f>AJ195</f>
        <v>13107</v>
      </c>
      <c r="AL195" s="3">
        <f>AK195</f>
        <v>13107</v>
      </c>
      <c r="AM195" s="3">
        <f>AL195</f>
        <v>13107</v>
      </c>
      <c r="AN195" s="3">
        <f>AM195</f>
        <v>13107</v>
      </c>
      <c r="AO195" s="3">
        <f>AN195</f>
        <v>13107</v>
      </c>
      <c r="AP195" s="3">
        <f>AO195</f>
        <v>13107</v>
      </c>
      <c r="AQ195" s="3">
        <f>AP195</f>
        <v>13107</v>
      </c>
      <c r="AR195" s="3">
        <f>AQ195</f>
        <v>13107</v>
      </c>
      <c r="AS195" s="3">
        <f>AR195</f>
        <v>13107</v>
      </c>
      <c r="AT195" s="3">
        <f>AS195</f>
        <v>13107</v>
      </c>
      <c r="AU195" s="3">
        <f>AT195</f>
        <v>13107</v>
      </c>
      <c r="AV195" s="3">
        <f>AU195</f>
        <v>13107</v>
      </c>
      <c r="AW195" s="3">
        <f>AV195</f>
        <v>13107</v>
      </c>
      <c r="AX195" s="3">
        <f>AW195</f>
        <v>13107</v>
      </c>
      <c r="AY195" s="3">
        <f>AX195</f>
        <v>13107</v>
      </c>
      <c r="AZ195" s="3">
        <f>AY195</f>
        <v>13107</v>
      </c>
      <c r="BA195" s="3">
        <f>AZ195</f>
        <v>13107</v>
      </c>
      <c r="BB195" s="3">
        <f>BA195</f>
        <v>13107</v>
      </c>
      <c r="BC195" s="3">
        <f>BB195</f>
        <v>13107</v>
      </c>
      <c r="BD195" s="3">
        <f>BC195</f>
        <v>13107</v>
      </c>
      <c r="BE195" s="3">
        <f>BD195</f>
        <v>13107</v>
      </c>
      <c r="BF195" s="3">
        <f>BE195</f>
        <v>13107</v>
      </c>
      <c r="BG195" s="3">
        <f>BF195</f>
        <v>13107</v>
      </c>
      <c r="BH195" s="3">
        <f>BG195</f>
        <v>13107</v>
      </c>
      <c r="BI195" s="3">
        <f>BH195</f>
        <v>13107</v>
      </c>
      <c r="BJ195" s="3">
        <f>BI195</f>
        <v>13107</v>
      </c>
      <c r="BK195" s="3">
        <f>BJ195</f>
        <v>13107</v>
      </c>
      <c r="BL195" s="3">
        <f>BK195</f>
        <v>13107</v>
      </c>
      <c r="BM195" s="3">
        <f>BL195</f>
        <v>13107</v>
      </c>
      <c r="BN195" s="3">
        <f>BM195</f>
        <v>13107</v>
      </c>
      <c r="BO195" s="3">
        <f>BN195</f>
        <v>13107</v>
      </c>
      <c r="BP195" s="3">
        <f>BO195</f>
        <v>13107</v>
      </c>
      <c r="BQ195" s="3">
        <f>BP195</f>
        <v>13107</v>
      </c>
      <c r="BR195" s="3">
        <f>BQ195</f>
        <v>13107</v>
      </c>
      <c r="BS195" s="3">
        <f>BR195</f>
        <v>13107</v>
      </c>
      <c r="BT195" s="3">
        <f>BS195</f>
        <v>13107</v>
      </c>
      <c r="BU195" s="3">
        <f>BT195</f>
        <v>13107</v>
      </c>
      <c r="BV195" s="3">
        <f>BU195</f>
        <v>13107</v>
      </c>
      <c r="BW195" s="3">
        <f>BV195</f>
        <v>13107</v>
      </c>
      <c r="BX195" s="3">
        <f>BW195</f>
        <v>13107</v>
      </c>
      <c r="BY195" s="3">
        <f>BX195</f>
        <v>13107</v>
      </c>
      <c r="BZ195" s="3">
        <f>BY195</f>
        <v>13107</v>
      </c>
      <c r="CA195" s="3">
        <f>BZ195</f>
        <v>13107</v>
      </c>
      <c r="CB195" s="3">
        <f>CA195</f>
        <v>13107</v>
      </c>
      <c r="CC195" s="3">
        <f>CB195</f>
        <v>13107</v>
      </c>
      <c r="CD195" s="3">
        <f>CC195</f>
        <v>13107</v>
      </c>
      <c r="CE195" s="3">
        <f>CD195</f>
        <v>13107</v>
      </c>
      <c r="CF195" s="3">
        <f>CE195</f>
        <v>13107</v>
      </c>
      <c r="CG195" s="3">
        <f>CF195</f>
        <v>13107</v>
      </c>
      <c r="CH195" s="3">
        <f>CG195</f>
        <v>13107</v>
      </c>
      <c r="CI195" s="3">
        <f>CH195</f>
        <v>13107</v>
      </c>
      <c r="CJ195" s="3">
        <f>CI195</f>
        <v>13107</v>
      </c>
      <c r="CK195" s="3">
        <f>CJ195</f>
        <v>13107</v>
      </c>
      <c r="CL195" s="3">
        <f>CK195</f>
        <v>13107</v>
      </c>
      <c r="CM195" s="3">
        <f>CL195</f>
        <v>13107</v>
      </c>
      <c r="CN195" s="3">
        <f>CM195</f>
        <v>13107</v>
      </c>
      <c r="CO195" s="3">
        <f>CN195</f>
        <v>13107</v>
      </c>
      <c r="CP195" s="3">
        <f>CO195</f>
        <v>13107</v>
      </c>
      <c r="CQ195" s="3">
        <f>CP195</f>
        <v>13107</v>
      </c>
      <c r="CR195" s="3">
        <f>CQ195</f>
        <v>13107</v>
      </c>
      <c r="CS195" s="3">
        <f>CR195</f>
        <v>13107</v>
      </c>
      <c r="CT195" s="3">
        <f>CS195</f>
        <v>13107</v>
      </c>
      <c r="CU195" s="3">
        <f>CT195</f>
        <v>13107</v>
      </c>
      <c r="CV195" s="3">
        <f>CU195</f>
        <v>13107</v>
      </c>
      <c r="CW195" s="3">
        <f>CV195</f>
        <v>13107</v>
      </c>
      <c r="CX195" s="3">
        <f>CW195</f>
        <v>13107</v>
      </c>
      <c r="CY195" s="3">
        <f>CX195</f>
        <v>13107</v>
      </c>
    </row>
    <row r="196">
      <c r="C196" s="26" t="inlineStr">
        <is>
          <t>Short term debt (Revolving credit facility)</t>
        </is>
      </c>
      <c r="D196" s="25">
        <f>INDEX('Inputs (2)'!$D$33:$AL$33,MATCH(D$7,'Inputs (2)'!$D$2:$AL$2,0))</f>
        <v>0</v>
      </c>
      <c r="E196" s="25">
        <f>INDEX('Inputs (2)'!$D$33:$AL$33,MATCH(E$7,'Inputs (2)'!$D$2:$AL$2,0))</f>
        <v>0</v>
      </c>
      <c r="F196" s="25">
        <f>INDEX('Inputs (2)'!$D$33:$AL$33,MATCH(F$7,'Inputs (2)'!$D$2:$AL$2,0))</f>
        <v>0</v>
      </c>
      <c r="G196" s="25">
        <f>INDEX('Inputs (2)'!$D$33:$AL$33,MATCH(G$7,'Inputs (2)'!$D$2:$AL$2,0))</f>
        <v>0</v>
      </c>
      <c r="H196" s="3">
        <f>G196</f>
        <v>0</v>
      </c>
      <c r="I196" s="25">
        <f>INDEX('Inputs (2)'!$D$33:$AL$33,MATCH(I$7,'Inputs (2)'!$D$2:$AL$2,0))</f>
        <v>0</v>
      </c>
      <c r="J196" s="25">
        <f>INDEX('Inputs (2)'!$D$33:$AL$33,MATCH(J$7,'Inputs (2)'!$D$2:$AL$2,0))</f>
        <v>0</v>
      </c>
      <c r="K196" s="25">
        <f>INDEX('Inputs (2)'!$D$33:$AL$33,MATCH(K$7,'Inputs (2)'!$D$2:$AL$2,0))</f>
        <v>0</v>
      </c>
      <c r="L196" s="25">
        <f>INDEX('Inputs (2)'!$D$33:$AL$33,MATCH(L$7,'Inputs (2)'!$D$2:$AL$2,0))</f>
        <v>0</v>
      </c>
      <c r="M196" s="3">
        <f>L196</f>
        <v>0</v>
      </c>
      <c r="N196" s="25">
        <f>INDEX('Inputs (2)'!$D$33:$AL$33,MATCH(N$7,'Inputs (2)'!$D$2:$AL$2,0))</f>
        <v>0</v>
      </c>
      <c r="O196" s="25">
        <f>INDEX('Inputs (2)'!$D$33:$AL$33,MATCH(O$7,'Inputs (2)'!$D$2:$AL$2,0))</f>
        <v>0</v>
      </c>
      <c r="P196" s="25">
        <f>INDEX('Inputs (2)'!$D$33:$AL$33,MATCH(P$7,'Inputs (2)'!$D$2:$AL$2,0))</f>
        <v>0</v>
      </c>
      <c r="Q196" s="25">
        <f>INDEX('Inputs (2)'!$D$33:$AL$33,MATCH(Q$7,'Inputs (2)'!$D$2:$AL$2,0))</f>
        <v>0</v>
      </c>
      <c r="R196" s="3">
        <f>Q196</f>
        <v>0</v>
      </c>
      <c r="S196" s="25">
        <f>INDEX('Inputs (2)'!$D$33:$AL$33,MATCH(S$7,'Inputs (2)'!$D$2:$AL$2,0))</f>
        <v>0</v>
      </c>
      <c r="T196" s="25">
        <f>INDEX('Inputs (2)'!$D$33:$AL$33,MATCH(T$7,'Inputs (2)'!$D$2:$AL$2,0))</f>
        <v>0</v>
      </c>
      <c r="U196" s="25">
        <f>INDEX('Inputs (2)'!$D$33:$AL$33,MATCH(U$7,'Inputs (2)'!$D$2:$AL$2,0))</f>
        <v>0</v>
      </c>
      <c r="V196" s="25">
        <f>INDEX('Inputs (2)'!$D$33:$AL$33,MATCH(V$7,'Inputs (2)'!$D$2:$AL$2,0))</f>
        <v>0</v>
      </c>
      <c r="W196" s="3">
        <f>V196</f>
        <v>0</v>
      </c>
      <c r="X196" s="25">
        <f>INDEX('Inputs (2)'!$D$33:$AL$33,MATCH(X$7,'Inputs (2)'!$D$2:$AL$2,0))</f>
        <v>0</v>
      </c>
      <c r="Y196" s="25">
        <f>INDEX('Inputs (2)'!$D$33:$AL$33,MATCH(Y$7,'Inputs (2)'!$D$2:$AL$2,0))</f>
        <v>0</v>
      </c>
      <c r="Z196" s="25">
        <f>INDEX('Inputs (2)'!$D$33:$AL$33,MATCH(Z$7,'Inputs (2)'!$D$2:$AL$2,0))</f>
        <v>0</v>
      </c>
      <c r="AA196" s="25">
        <f>INDEX('Inputs (2)'!$D$33:$AL$33,MATCH(AA$7,'Inputs (2)'!$D$2:$AL$2,0))</f>
        <v>0</v>
      </c>
      <c r="AB196" s="3">
        <f>AA196</f>
        <v>0</v>
      </c>
      <c r="AC196" s="25">
        <f>INDEX('Inputs (2)'!$D$33:$AL$33,MATCH(AC$7,'Inputs (2)'!$D$2:$AL$2,0))</f>
        <v>0</v>
      </c>
      <c r="AD196" s="25">
        <f>INDEX('Inputs (2)'!$D$33:$AL$33,MATCH(AD$7,'Inputs (2)'!$D$2:$AL$2,0))</f>
        <v>0</v>
      </c>
      <c r="AE196" s="25">
        <f>INDEX('Inputs (2)'!$D$33:$AL$33,MATCH(AE$7,'Inputs (2)'!$D$2:$AL$2,0))</f>
        <v>0</v>
      </c>
      <c r="AF196" s="25">
        <f>INDEX('Inputs (2)'!$D$33:$AL$33,MATCH(AF$7,'Inputs (2)'!$D$2:$AL$2,0))</f>
        <v>0</v>
      </c>
      <c r="AG196" s="3">
        <f>AF196</f>
        <v>0</v>
      </c>
      <c r="AH196" s="3">
        <f>INDEX('Inputs (2)'!$D$33:$AL$33,MATCH(AH$7,'Inputs (2)'!$D$2:$AL$2,0))</f>
        <v>0</v>
      </c>
      <c r="AI196" s="3">
        <f>INDEX('Inputs (2)'!$D$33:$AL$33,MATCH(AI$7,'Inputs (2)'!$D$2:$AL$2,0))</f>
        <v>0</v>
      </c>
      <c r="AJ196" s="3">
        <f>AI196</f>
        <v>0</v>
      </c>
      <c r="AK196" s="3">
        <f>AJ196</f>
        <v>0</v>
      </c>
      <c r="AL196" s="3">
        <f>AK196</f>
        <v>0</v>
      </c>
      <c r="AM196" s="3">
        <f>AL196</f>
        <v>0</v>
      </c>
      <c r="AN196" s="3">
        <f>AM196</f>
        <v>0</v>
      </c>
      <c r="AO196" s="3">
        <f>AN196</f>
        <v>0</v>
      </c>
      <c r="AP196" s="3">
        <f>AO196</f>
        <v>0</v>
      </c>
      <c r="AQ196" s="3">
        <f>AP196</f>
        <v>0</v>
      </c>
      <c r="AR196" s="3">
        <f>AQ196</f>
        <v>0</v>
      </c>
      <c r="AS196" s="3">
        <f>AR196</f>
        <v>0</v>
      </c>
      <c r="AT196" s="3">
        <f>AS196</f>
        <v>0</v>
      </c>
      <c r="AU196" s="3">
        <f>AT196</f>
        <v>0</v>
      </c>
      <c r="AV196" s="3">
        <f>AU196</f>
        <v>0</v>
      </c>
      <c r="AW196" s="3">
        <f>AV196</f>
        <v>0</v>
      </c>
      <c r="AX196" s="3">
        <f>AW196</f>
        <v>0</v>
      </c>
      <c r="AY196" s="3">
        <f>AX196</f>
        <v>0</v>
      </c>
      <c r="AZ196" s="3">
        <f>AY196</f>
        <v>0</v>
      </c>
      <c r="BA196" s="3">
        <f>AZ196</f>
        <v>0</v>
      </c>
      <c r="BB196" s="3">
        <f>BA196</f>
        <v>0</v>
      </c>
      <c r="BC196" s="3">
        <f>BB196</f>
        <v>0</v>
      </c>
      <c r="BD196" s="3">
        <f>BC196</f>
        <v>0</v>
      </c>
      <c r="BE196" s="3">
        <f>BD196</f>
        <v>0</v>
      </c>
      <c r="BF196" s="3">
        <f>BE196</f>
        <v>0</v>
      </c>
      <c r="BG196" s="3">
        <f>BF196</f>
        <v>0</v>
      </c>
      <c r="BH196" s="3">
        <f>BG196</f>
        <v>0</v>
      </c>
      <c r="BI196" s="3">
        <f>BH196</f>
        <v>0</v>
      </c>
      <c r="BJ196" s="3">
        <f>BI196</f>
        <v>0</v>
      </c>
      <c r="BK196" s="3">
        <f>BJ196</f>
        <v>0</v>
      </c>
      <c r="BL196" s="3">
        <f>BK196</f>
        <v>0</v>
      </c>
      <c r="BM196" s="3">
        <f>BL196</f>
        <v>0</v>
      </c>
      <c r="BN196" s="3">
        <f>BM196</f>
        <v>0</v>
      </c>
      <c r="BO196" s="3">
        <f>BN196</f>
        <v>0</v>
      </c>
      <c r="BP196" s="3">
        <f>BO196</f>
        <v>0</v>
      </c>
      <c r="BQ196" s="3">
        <f>BP196</f>
        <v>0</v>
      </c>
      <c r="BR196" s="3">
        <f>BQ196</f>
        <v>0</v>
      </c>
      <c r="BS196" s="3">
        <f>BR196</f>
        <v>0</v>
      </c>
      <c r="BT196" s="3">
        <f>BS196</f>
        <v>0</v>
      </c>
      <c r="BU196" s="3">
        <f>BT196</f>
        <v>0</v>
      </c>
      <c r="BV196" s="3">
        <f>BU196</f>
        <v>0</v>
      </c>
      <c r="BW196" s="3">
        <f>BV196</f>
        <v>0</v>
      </c>
      <c r="BX196" s="3">
        <f>BW196</f>
        <v>0</v>
      </c>
      <c r="BY196" s="3">
        <f>BX196</f>
        <v>0</v>
      </c>
      <c r="BZ196" s="3">
        <f>BY196</f>
        <v>0</v>
      </c>
      <c r="CA196" s="3">
        <f>BZ196</f>
        <v>0</v>
      </c>
      <c r="CB196" s="3">
        <f>CA196</f>
        <v>0</v>
      </c>
      <c r="CC196" s="3">
        <f>CB196</f>
        <v>0</v>
      </c>
      <c r="CD196" s="3">
        <f>CC196</f>
        <v>0</v>
      </c>
      <c r="CE196" s="3">
        <f>CD196</f>
        <v>0</v>
      </c>
      <c r="CF196" s="3">
        <f>CE196</f>
        <v>0</v>
      </c>
      <c r="CG196" s="3">
        <f>CF196</f>
        <v>0</v>
      </c>
      <c r="CH196" s="3">
        <f>CG196</f>
        <v>0</v>
      </c>
      <c r="CI196" s="3">
        <f>CH196</f>
        <v>0</v>
      </c>
      <c r="CJ196" s="3">
        <f>CI196</f>
        <v>0</v>
      </c>
      <c r="CK196" s="3">
        <f>CJ196</f>
        <v>0</v>
      </c>
      <c r="CL196" s="3">
        <f>CK196</f>
        <v>0</v>
      </c>
      <c r="CM196" s="3">
        <f>CL196</f>
        <v>0</v>
      </c>
      <c r="CN196" s="3">
        <f>CM196</f>
        <v>0</v>
      </c>
      <c r="CO196" s="3">
        <f>CN196</f>
        <v>0</v>
      </c>
      <c r="CP196" s="3">
        <f>CO196</f>
        <v>0</v>
      </c>
      <c r="CQ196" s="3">
        <f>CP196</f>
        <v>0</v>
      </c>
      <c r="CR196" s="3">
        <f>CQ196</f>
        <v>0</v>
      </c>
      <c r="CS196" s="3">
        <f>CR196</f>
        <v>0</v>
      </c>
      <c r="CT196" s="3">
        <f>CS196</f>
        <v>0</v>
      </c>
      <c r="CU196" s="3">
        <f>CT196</f>
        <v>0</v>
      </c>
      <c r="CV196" s="3">
        <f>CU196</f>
        <v>0</v>
      </c>
      <c r="CW196" s="3">
        <f>CV196</f>
        <v>0</v>
      </c>
      <c r="CX196" s="3">
        <f>CW196</f>
        <v>0</v>
      </c>
      <c r="CY196" s="3">
        <f>CX196</f>
        <v>0</v>
      </c>
    </row>
    <row r="197">
      <c r="C197" s="26" t="inlineStr">
        <is>
          <t>Short term operating leases</t>
        </is>
      </c>
      <c r="D197" s="25">
        <f>INDEX('Inputs (2)'!$D$34:$AL$34,MATCH(D$7,'Inputs (2)'!$D$2:$AL$2,0))</f>
        <v>0</v>
      </c>
      <c r="E197" s="25">
        <f>INDEX('Inputs (2)'!$D$34:$AL$34,MATCH(E$7,'Inputs (2)'!$D$2:$AL$2,0))</f>
        <v>0</v>
      </c>
      <c r="F197" s="25">
        <f>INDEX('Inputs (2)'!$D$34:$AL$34,MATCH(F$7,'Inputs (2)'!$D$2:$AL$2,0))</f>
        <v>0</v>
      </c>
      <c r="G197" s="25">
        <f>INDEX('Inputs (2)'!$D$34:$AL$34,MATCH(G$7,'Inputs (2)'!$D$2:$AL$2,0))</f>
        <v>0</v>
      </c>
      <c r="H197" s="3">
        <f>G197</f>
        <v>0</v>
      </c>
      <c r="I197" s="25">
        <f>INDEX('Inputs (2)'!$D$34:$AL$34,MATCH(I$7,'Inputs (2)'!$D$2:$AL$2,0))</f>
        <v>0</v>
      </c>
      <c r="J197" s="25">
        <f>INDEX('Inputs (2)'!$D$34:$AL$34,MATCH(J$7,'Inputs (2)'!$D$2:$AL$2,0))</f>
        <v>0</v>
      </c>
      <c r="K197" s="25">
        <f>INDEX('Inputs (2)'!$D$34:$AL$34,MATCH(K$7,'Inputs (2)'!$D$2:$AL$2,0))</f>
        <v>0</v>
      </c>
      <c r="L197" s="25">
        <f>INDEX('Inputs (2)'!$D$34:$AL$34,MATCH(L$7,'Inputs (2)'!$D$2:$AL$2,0))</f>
        <v>0</v>
      </c>
      <c r="M197" s="3">
        <f>L197</f>
        <v>0</v>
      </c>
      <c r="N197" s="25">
        <f>INDEX('Inputs (2)'!$D$34:$AL$34,MATCH(N$7,'Inputs (2)'!$D$2:$AL$2,0))</f>
        <v>0</v>
      </c>
      <c r="O197" s="25">
        <f>INDEX('Inputs (2)'!$D$34:$AL$34,MATCH(O$7,'Inputs (2)'!$D$2:$AL$2,0))</f>
        <v>0</v>
      </c>
      <c r="P197" s="25">
        <f>INDEX('Inputs (2)'!$D$34:$AL$34,MATCH(P$7,'Inputs (2)'!$D$2:$AL$2,0))</f>
        <v>0</v>
      </c>
      <c r="Q197" s="25">
        <f>INDEX('Inputs (2)'!$D$34:$AL$34,MATCH(Q$7,'Inputs (2)'!$D$2:$AL$2,0))</f>
        <v>0</v>
      </c>
      <c r="R197" s="3">
        <f>Q197</f>
        <v>0</v>
      </c>
      <c r="S197" s="25">
        <f>INDEX('Inputs (2)'!$D$34:$AL$34,MATCH(S$7,'Inputs (2)'!$D$2:$AL$2,0))</f>
        <v>0</v>
      </c>
      <c r="T197" s="25">
        <f>INDEX('Inputs (2)'!$D$34:$AL$34,MATCH(T$7,'Inputs (2)'!$D$2:$AL$2,0))</f>
        <v>0</v>
      </c>
      <c r="U197" s="25">
        <f>INDEX('Inputs (2)'!$D$34:$AL$34,MATCH(U$7,'Inputs (2)'!$D$2:$AL$2,0))</f>
        <v>0</v>
      </c>
      <c r="V197" s="25">
        <f>INDEX('Inputs (2)'!$D$34:$AL$34,MATCH(V$7,'Inputs (2)'!$D$2:$AL$2,0))</f>
        <v>0</v>
      </c>
      <c r="W197" s="3">
        <f>V197</f>
        <v>0</v>
      </c>
      <c r="X197" s="25">
        <f>INDEX('Inputs (2)'!$D$34:$AL$34,MATCH(X$7,'Inputs (2)'!$D$2:$AL$2,0))</f>
        <v>0</v>
      </c>
      <c r="Y197" s="25">
        <f>INDEX('Inputs (2)'!$D$34:$AL$34,MATCH(Y$7,'Inputs (2)'!$D$2:$AL$2,0))</f>
        <v>0</v>
      </c>
      <c r="Z197" s="25">
        <f>INDEX('Inputs (2)'!$D$34:$AL$34,MATCH(Z$7,'Inputs (2)'!$D$2:$AL$2,0))</f>
        <v>0</v>
      </c>
      <c r="AA197" s="25">
        <f>INDEX('Inputs (2)'!$D$34:$AL$34,MATCH(AA$7,'Inputs (2)'!$D$2:$AL$2,0))</f>
        <v>0</v>
      </c>
      <c r="AB197" s="3">
        <f>AA197</f>
        <v>0</v>
      </c>
      <c r="AC197" s="25">
        <f>INDEX('Inputs (2)'!$D$34:$AL$34,MATCH(AC$7,'Inputs (2)'!$D$2:$AL$2,0))</f>
        <v>0</v>
      </c>
      <c r="AD197" s="25">
        <f>INDEX('Inputs (2)'!$D$34:$AL$34,MATCH(AD$7,'Inputs (2)'!$D$2:$AL$2,0))</f>
        <v>0</v>
      </c>
      <c r="AE197" s="25">
        <f>INDEX('Inputs (2)'!$D$34:$AL$34,MATCH(AE$7,'Inputs (2)'!$D$2:$AL$2,0))</f>
        <v>0</v>
      </c>
      <c r="AF197" s="25">
        <f>INDEX('Inputs (2)'!$D$34:$AL$34,MATCH(AF$7,'Inputs (2)'!$D$2:$AL$2,0))</f>
        <v>0</v>
      </c>
      <c r="AG197" s="3">
        <f>AF197</f>
        <v>0</v>
      </c>
      <c r="AH197" s="3">
        <f>INDEX('Inputs (2)'!$D$34:$AL$34,MATCH(AH$7,'Inputs (2)'!$D$2:$AL$2,0))</f>
        <v>0</v>
      </c>
      <c r="AI197" s="3">
        <f>INDEX('Inputs (2)'!$D$34:$AL$34,MATCH(AI$7,'Inputs (2)'!$D$2:$AL$2,0))</f>
        <v>0</v>
      </c>
      <c r="AJ197" s="3">
        <f>AI197</f>
        <v>0</v>
      </c>
      <c r="AK197" s="3">
        <f>AJ197</f>
        <v>0</v>
      </c>
      <c r="AL197" s="3">
        <f>AK197</f>
        <v>0</v>
      </c>
      <c r="AM197" s="3">
        <f>AL197</f>
        <v>0</v>
      </c>
      <c r="AN197" s="3">
        <f>AM197</f>
        <v>0</v>
      </c>
      <c r="AO197" s="3">
        <f>AN197</f>
        <v>0</v>
      </c>
      <c r="AP197" s="3">
        <f>AO197</f>
        <v>0</v>
      </c>
      <c r="AQ197" s="3">
        <f>AP197</f>
        <v>0</v>
      </c>
      <c r="AR197" s="3">
        <f>AQ197</f>
        <v>0</v>
      </c>
      <c r="AS197" s="3">
        <f>AR197</f>
        <v>0</v>
      </c>
      <c r="AT197" s="3">
        <f>AS197</f>
        <v>0</v>
      </c>
      <c r="AU197" s="3">
        <f>AT197</f>
        <v>0</v>
      </c>
      <c r="AV197" s="3">
        <f>AU197</f>
        <v>0</v>
      </c>
      <c r="AW197" s="3">
        <f>AV197</f>
        <v>0</v>
      </c>
      <c r="AX197" s="3">
        <f>AW197</f>
        <v>0</v>
      </c>
      <c r="AY197" s="3">
        <f>AX197</f>
        <v>0</v>
      </c>
      <c r="AZ197" s="3">
        <f>AY197</f>
        <v>0</v>
      </c>
      <c r="BA197" s="3">
        <f>AZ197</f>
        <v>0</v>
      </c>
      <c r="BB197" s="3">
        <f>BA197</f>
        <v>0</v>
      </c>
      <c r="BC197" s="3">
        <f>BB197</f>
        <v>0</v>
      </c>
      <c r="BD197" s="3">
        <f>BC197</f>
        <v>0</v>
      </c>
      <c r="BE197" s="3">
        <f>BD197</f>
        <v>0</v>
      </c>
      <c r="BF197" s="3">
        <f>BE197</f>
        <v>0</v>
      </c>
      <c r="BG197" s="3">
        <f>BF197</f>
        <v>0</v>
      </c>
      <c r="BH197" s="3">
        <f>BG197</f>
        <v>0</v>
      </c>
      <c r="BI197" s="3">
        <f>BH197</f>
        <v>0</v>
      </c>
      <c r="BJ197" s="3">
        <f>BI197</f>
        <v>0</v>
      </c>
      <c r="BK197" s="3">
        <f>BJ197</f>
        <v>0</v>
      </c>
      <c r="BL197" s="3">
        <f>BK197</f>
        <v>0</v>
      </c>
      <c r="BM197" s="3">
        <f>BL197</f>
        <v>0</v>
      </c>
      <c r="BN197" s="3">
        <f>BM197</f>
        <v>0</v>
      </c>
      <c r="BO197" s="3">
        <f>BN197</f>
        <v>0</v>
      </c>
      <c r="BP197" s="3">
        <f>BO197</f>
        <v>0</v>
      </c>
      <c r="BQ197" s="3">
        <f>BP197</f>
        <v>0</v>
      </c>
      <c r="BR197" s="3">
        <f>BQ197</f>
        <v>0</v>
      </c>
      <c r="BS197" s="3">
        <f>BR197</f>
        <v>0</v>
      </c>
      <c r="BT197" s="3">
        <f>BS197</f>
        <v>0</v>
      </c>
      <c r="BU197" s="3">
        <f>BT197</f>
        <v>0</v>
      </c>
      <c r="BV197" s="3">
        <f>BU197</f>
        <v>0</v>
      </c>
      <c r="BW197" s="3">
        <f>BV197</f>
        <v>0</v>
      </c>
      <c r="BX197" s="3">
        <f>BW197</f>
        <v>0</v>
      </c>
      <c r="BY197" s="3">
        <f>BX197</f>
        <v>0</v>
      </c>
      <c r="BZ197" s="3">
        <f>BY197</f>
        <v>0</v>
      </c>
      <c r="CA197" s="3">
        <f>BZ197</f>
        <v>0</v>
      </c>
      <c r="CB197" s="3">
        <f>CA197</f>
        <v>0</v>
      </c>
      <c r="CC197" s="3">
        <f>CB197</f>
        <v>0</v>
      </c>
      <c r="CD197" s="3">
        <f>CC197</f>
        <v>0</v>
      </c>
      <c r="CE197" s="3">
        <f>CD197</f>
        <v>0</v>
      </c>
      <c r="CF197" s="3">
        <f>CE197</f>
        <v>0</v>
      </c>
      <c r="CG197" s="3">
        <f>CF197</f>
        <v>0</v>
      </c>
      <c r="CH197" s="3">
        <f>CG197</f>
        <v>0</v>
      </c>
      <c r="CI197" s="3">
        <f>CH197</f>
        <v>0</v>
      </c>
      <c r="CJ197" s="3">
        <f>CI197</f>
        <v>0</v>
      </c>
      <c r="CK197" s="3">
        <f>CJ197</f>
        <v>0</v>
      </c>
      <c r="CL197" s="3">
        <f>CK197</f>
        <v>0</v>
      </c>
      <c r="CM197" s="3">
        <f>CL197</f>
        <v>0</v>
      </c>
      <c r="CN197" s="3">
        <f>CM197</f>
        <v>0</v>
      </c>
      <c r="CO197" s="3">
        <f>CN197</f>
        <v>0</v>
      </c>
      <c r="CP197" s="3">
        <f>CO197</f>
        <v>0</v>
      </c>
      <c r="CQ197" s="3">
        <f>CP197</f>
        <v>0</v>
      </c>
      <c r="CR197" s="3">
        <f>CQ197</f>
        <v>0</v>
      </c>
      <c r="CS197" s="3">
        <f>CR197</f>
        <v>0</v>
      </c>
      <c r="CT197" s="3">
        <f>CS197</f>
        <v>0</v>
      </c>
      <c r="CU197" s="3">
        <f>CT197</f>
        <v>0</v>
      </c>
      <c r="CV197" s="3">
        <f>CU197</f>
        <v>0</v>
      </c>
      <c r="CW197" s="3">
        <f>CV197</f>
        <v>0</v>
      </c>
      <c r="CX197" s="3">
        <f>CW197</f>
        <v>0</v>
      </c>
      <c r="CY197" s="3">
        <f>CX197</f>
        <v>0</v>
      </c>
    </row>
    <row r="198" hidden="1" outlineLevel="1">
      <c r="C198" s="38" t="inlineStr">
        <is>
          <t>%(Var.)</t>
        </is>
      </c>
      <c r="D198" s="3" t="n"/>
      <c r="E198" s="47">
        <f>IFERROR((E197-D197)/D197,0)</f>
        <v>0</v>
      </c>
      <c r="F198" s="47">
        <f>IFERROR((F197-E197)/E197,0)</f>
        <v>0</v>
      </c>
      <c r="G198" s="47">
        <f>IFERROR((G197-F197)/F197,0)</f>
        <v>0</v>
      </c>
      <c r="H198" s="3" t="n"/>
      <c r="I198" s="47">
        <f>IFERROR((I197-H197)/H197,0)</f>
        <v>0</v>
      </c>
      <c r="J198" s="47">
        <f>IFERROR((J197-I197)/I197,0)</f>
        <v>0</v>
      </c>
      <c r="K198" s="47">
        <f>IFERROR((K197-J197)/J197,0)</f>
        <v>0</v>
      </c>
      <c r="L198" s="47">
        <f>IFERROR((L197-K197)/K197,0)</f>
        <v>0</v>
      </c>
      <c r="M198" s="3" t="n"/>
      <c r="N198" s="47">
        <f>IFERROR((N197-M197)/M197,0)</f>
        <v>0</v>
      </c>
      <c r="O198" s="47">
        <f>IFERROR((O197-N197)/N197,0)</f>
        <v>0</v>
      </c>
      <c r="P198" s="47">
        <f>IFERROR((P197-O197)/O197,0)</f>
        <v>0</v>
      </c>
      <c r="Q198" s="47">
        <f>IFERROR((Q197-P197)/P197,0)</f>
        <v>0</v>
      </c>
      <c r="R198" s="3" t="n"/>
      <c r="S198" s="47">
        <f>IFERROR((S197-R197)/R197,0)</f>
        <v>0</v>
      </c>
      <c r="T198" s="47">
        <f>IFERROR((T197-S197)/S197,0)</f>
        <v>0</v>
      </c>
      <c r="U198" s="47">
        <f>IFERROR((U197-T197)/T197,0)</f>
        <v>0</v>
      </c>
      <c r="V198" s="47">
        <f>IFERROR((V197-U197)/U197,0)</f>
        <v>0</v>
      </c>
      <c r="W198" s="3" t="n"/>
      <c r="X198" s="47">
        <f>IFERROR((X197-W197)/W197,0)</f>
        <v>0</v>
      </c>
      <c r="Y198" s="47">
        <f>IFERROR((Y197-X197)/X197,0)</f>
        <v>0</v>
      </c>
      <c r="Z198" s="47">
        <f>IFERROR((Z197-Y197)/Y197,0)</f>
        <v>0</v>
      </c>
      <c r="AA198" s="47">
        <f>IFERROR((AA197-Z197)/Z197,0)</f>
        <v>0</v>
      </c>
      <c r="AB198" s="3" t="n"/>
      <c r="AC198" s="47">
        <f>IFERROR((AC197-AB197)/AB197,0)</f>
        <v>0</v>
      </c>
      <c r="AD198" s="47">
        <f>IFERROR((AD197-AC197)/AC197,0)</f>
        <v>0</v>
      </c>
      <c r="AE198" s="47">
        <f>IFERROR((AE197-AD197)/AD197,0)</f>
        <v>0</v>
      </c>
      <c r="AF198" s="6">
        <f>IFERROR((AF197-AE197)/AE197,0)</f>
        <v>0</v>
      </c>
      <c r="AG198" s="3" t="n"/>
      <c r="AH198" s="6">
        <f>IFERROR((AH197-AG197)/AG197,0)</f>
        <v>0</v>
      </c>
      <c r="AI198" s="6">
        <f>IFERROR((AI197-AH197)/AH197,0)</f>
        <v>0</v>
      </c>
      <c r="AJ198" s="6" t="n"/>
      <c r="AK198" s="6" t="n"/>
      <c r="AL198" s="3" t="n"/>
      <c r="AM198" s="6" t="n"/>
      <c r="AN198" s="6" t="n"/>
      <c r="AO198" s="6" t="n"/>
      <c r="AP198" s="6" t="n"/>
      <c r="AQ198" s="3" t="n"/>
      <c r="AR198" s="6" t="n"/>
      <c r="AS198" s="6" t="n"/>
      <c r="AT198" s="6" t="n"/>
      <c r="AU198" s="6" t="n"/>
      <c r="AV198" s="3" t="n"/>
      <c r="AW198" s="6" t="n"/>
      <c r="AX198" s="6" t="n"/>
      <c r="AY198" s="6" t="n"/>
      <c r="AZ198" s="6" t="n"/>
      <c r="BA198" s="3" t="n"/>
      <c r="BB198" s="6" t="n"/>
      <c r="BC198" s="6" t="n"/>
      <c r="BD198" s="6" t="n"/>
      <c r="BE198" s="6" t="n"/>
      <c r="BF198" s="3" t="n"/>
      <c r="BG198" s="6" t="n"/>
      <c r="BH198" s="6" t="n"/>
      <c r="BI198" s="6" t="n"/>
      <c r="BJ198" s="6" t="n"/>
      <c r="BK198" s="3" t="n"/>
      <c r="BL198" s="6" t="n"/>
      <c r="BM198" s="6" t="n"/>
      <c r="BN198" s="6" t="n"/>
      <c r="BO198" s="6" t="n"/>
      <c r="BP198" s="3" t="n"/>
      <c r="BQ198" s="6" t="n"/>
      <c r="BR198" s="6" t="n"/>
      <c r="BS198" s="6" t="n"/>
      <c r="BT198" s="6" t="n"/>
      <c r="BU198" s="3" t="n"/>
      <c r="BV198" s="6" t="n"/>
      <c r="BW198" s="6" t="n"/>
      <c r="BX198" s="6" t="n"/>
      <c r="BY198" s="6" t="n"/>
      <c r="BZ198" s="3" t="n"/>
      <c r="CA198" s="6" t="n"/>
      <c r="CB198" s="6" t="n"/>
      <c r="CC198" s="6" t="n"/>
      <c r="CD198" s="6" t="n"/>
      <c r="CE198" s="3" t="n"/>
      <c r="CF198" s="6" t="n"/>
      <c r="CG198" s="6" t="n"/>
      <c r="CH198" s="6" t="n"/>
      <c r="CI198" s="6" t="n"/>
      <c r="CJ198" s="3" t="n"/>
      <c r="CK198" s="6" t="n"/>
      <c r="CL198" s="6" t="n"/>
      <c r="CM198" s="6" t="n"/>
      <c r="CN198" s="6" t="n"/>
      <c r="CO198" s="3" t="n"/>
      <c r="CP198" s="6" t="n"/>
      <c r="CQ198" s="6" t="n"/>
      <c r="CR198" s="6" t="n"/>
      <c r="CS198" s="6" t="n"/>
      <c r="CT198" s="3" t="n"/>
      <c r="CU198" s="6" t="n"/>
      <c r="CV198" s="6" t="n"/>
      <c r="CW198" s="6" t="n"/>
      <c r="CX198" s="6" t="n"/>
      <c r="CY198" s="3" t="n"/>
    </row>
    <row r="199" hidden="1" outlineLevel="1">
      <c r="C199" s="34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  <c r="BZ199" s="3" t="n"/>
      <c r="CA199" s="3" t="n"/>
      <c r="CB199" s="3" t="n"/>
      <c r="CC199" s="3" t="n"/>
      <c r="CD199" s="3" t="n"/>
      <c r="CE199" s="3" t="n"/>
      <c r="CF199" s="3" t="n"/>
      <c r="CG199" s="3" t="n"/>
      <c r="CH199" s="3" t="n"/>
      <c r="CI199" s="3" t="n"/>
      <c r="CJ199" s="3" t="n"/>
      <c r="CK199" s="3" t="n"/>
      <c r="CL199" s="3" t="n"/>
      <c r="CM199" s="3" t="n"/>
      <c r="CN199" s="3" t="n"/>
      <c r="CO199" s="3" t="n"/>
      <c r="CP199" s="3" t="n"/>
      <c r="CQ199" s="3" t="n"/>
      <c r="CR199" s="3" t="n"/>
      <c r="CS199" s="3" t="n"/>
      <c r="CT199" s="3" t="n"/>
      <c r="CU199" s="3" t="n"/>
      <c r="CV199" s="3" t="n"/>
      <c r="CW199" s="3" t="n"/>
      <c r="CX199" s="3" t="n"/>
      <c r="CY199" s="3" t="n"/>
    </row>
    <row r="200" collapsed="1">
      <c r="C200" s="26" t="inlineStr">
        <is>
          <t>Long term debt</t>
        </is>
      </c>
      <c r="D200" s="25">
        <f>INDEX('Inputs (2)'!$D$35:$AL$35,MATCH(D$7,'Inputs (2)'!$D$2:$AL$2,0))</f>
        <v>0</v>
      </c>
      <c r="E200" s="25">
        <f>INDEX('Inputs (2)'!$D$35:$AL$35,MATCH(E$7,'Inputs (2)'!$D$2:$AL$2,0))</f>
        <v>0</v>
      </c>
      <c r="F200" s="25">
        <f>INDEX('Inputs (2)'!$D$35:$AL$35,MATCH(F$7,'Inputs (2)'!$D$2:$AL$2,0))</f>
        <v>26107</v>
      </c>
      <c r="G200" s="25">
        <f>INDEX('Inputs (2)'!$D$35:$AL$35,MATCH(G$7,'Inputs (2)'!$D$2:$AL$2,0))</f>
        <v>25999</v>
      </c>
      <c r="H200" s="3">
        <f>G200</f>
        <v>25999</v>
      </c>
      <c r="I200" s="25">
        <f>INDEX('Inputs (2)'!$D$35:$AL$35,MATCH(I$7,'Inputs (2)'!$D$2:$AL$2,0))</f>
        <v>26356</v>
      </c>
      <c r="J200" s="25">
        <f>INDEX('Inputs (2)'!$D$35:$AL$35,MATCH(J$7,'Inputs (2)'!$D$2:$AL$2,0))</f>
        <v>26204</v>
      </c>
      <c r="K200" s="25">
        <f>INDEX('Inputs (2)'!$D$35:$AL$35,MATCH(K$7,'Inputs (2)'!$D$2:$AL$2,0))</f>
        <v>27154</v>
      </c>
      <c r="L200" s="25">
        <f>INDEX('Inputs (2)'!$D$35:$AL$35,MATCH(L$7,'Inputs (2)'!$D$2:$AL$2,0))</f>
        <v>26033</v>
      </c>
      <c r="M200" s="3">
        <f>L200</f>
        <v>26033</v>
      </c>
      <c r="N200" s="25">
        <f>INDEX('Inputs (2)'!$D$35:$AL$35,MATCH(N$7,'Inputs (2)'!$D$2:$AL$2,0))</f>
        <v>25277</v>
      </c>
      <c r="O200" s="25">
        <f>INDEX('Inputs (2)'!$D$35:$AL$35,MATCH(O$7,'Inputs (2)'!$D$2:$AL$2,0))</f>
        <v>26219</v>
      </c>
      <c r="P200" s="25">
        <f>INDEX('Inputs (2)'!$D$35:$AL$35,MATCH(P$7,'Inputs (2)'!$D$2:$AL$2,0))</f>
        <v>25509</v>
      </c>
      <c r="Q200" s="25">
        <f>INDEX('Inputs (2)'!$D$35:$AL$35,MATCH(Q$7,'Inputs (2)'!$D$2:$AL$2,0))</f>
        <v>25714</v>
      </c>
      <c r="R200" s="3">
        <f>Q200</f>
        <v>25714</v>
      </c>
      <c r="S200" s="25">
        <f>INDEX('Inputs (2)'!$D$35:$AL$35,MATCH(S$7,'Inputs (2)'!$D$2:$AL$2,0))</f>
        <v>24873</v>
      </c>
      <c r="T200" s="25">
        <f>INDEX('Inputs (2)'!$D$35:$AL$35,MATCH(T$7,'Inputs (2)'!$D$2:$AL$2,0))</f>
        <v>22985</v>
      </c>
      <c r="U200" s="25">
        <f>INDEX('Inputs (2)'!$D$35:$AL$35,MATCH(U$7,'Inputs (2)'!$D$2:$AL$2,0))</f>
        <v>24259</v>
      </c>
      <c r="V200" s="25">
        <f>INDEX('Inputs (2)'!$D$35:$AL$35,MATCH(V$7,'Inputs (2)'!$D$2:$AL$2,0))</f>
        <v>24472</v>
      </c>
      <c r="W200" s="3">
        <f>V200</f>
        <v>24472</v>
      </c>
      <c r="X200" s="25">
        <f>INDEX('Inputs (2)'!$D$35:$AL$35,MATCH(X$7,'Inputs (2)'!$D$2:$AL$2,0))</f>
        <v>24831</v>
      </c>
      <c r="Y200" s="25">
        <f>INDEX('Inputs (2)'!$D$35:$AL$35,MATCH(Y$7,'Inputs (2)'!$D$2:$AL$2,0))</f>
        <v>23836</v>
      </c>
      <c r="Z200" s="25">
        <f>INDEX('Inputs (2)'!$D$35:$AL$35,MATCH(Z$7,'Inputs (2)'!$D$2:$AL$2,0))</f>
        <v>25784</v>
      </c>
      <c r="AA200" s="25">
        <f>INDEX('Inputs (2)'!$D$35:$AL$35,MATCH(AA$7,'Inputs (2)'!$D$2:$AL$2,0))</f>
        <v>27351</v>
      </c>
      <c r="AB200" s="3">
        <f>AA200</f>
        <v>27351</v>
      </c>
      <c r="AC200" s="25">
        <f>INDEX('Inputs (2)'!$D$35:$AL$35,MATCH(AC$7,'Inputs (2)'!$D$2:$AL$2,0))</f>
        <v>25819</v>
      </c>
      <c r="AD200" s="25">
        <f>INDEX('Inputs (2)'!$D$35:$AL$35,MATCH(AD$7,'Inputs (2)'!$D$2:$AL$2,0))</f>
        <v>27948</v>
      </c>
      <c r="AE200" s="25">
        <f>INDEX('Inputs (2)'!$D$35:$AL$35,MATCH(AE$7,'Inputs (2)'!$D$2:$AL$2,0))</f>
        <v>27736</v>
      </c>
      <c r="AF200" s="25">
        <f>INDEX('Inputs (2)'!$D$35:$AL$35,MATCH(AF$7,'Inputs (2)'!$D$2:$AL$2,0))</f>
        <v>30696</v>
      </c>
      <c r="AG200" s="3">
        <f>AF200</f>
        <v>30696</v>
      </c>
      <c r="AH200" s="3">
        <f>INDEX('Inputs (2)'!$D$35:$AL$35,MATCH(AH$7,'Inputs (2)'!$D$2:$AL$2,0))</f>
        <v>30642</v>
      </c>
      <c r="AI200" s="3">
        <f>INDEX('Inputs (2)'!$D$35:$AL$35,MATCH(AI$7,'Inputs (2)'!$D$2:$AL$2,0))</f>
        <v>32039</v>
      </c>
      <c r="AJ200" s="3">
        <f>AJ206</f>
        <v>32039</v>
      </c>
      <c r="AK200" s="3">
        <f>AK206</f>
        <v>32039</v>
      </c>
      <c r="AL200" s="3">
        <f>AK200</f>
        <v>32039</v>
      </c>
      <c r="AM200" s="3">
        <f>AM206</f>
        <v>32039</v>
      </c>
      <c r="AN200" s="3">
        <f>AN206</f>
        <v>32039</v>
      </c>
      <c r="AO200" s="3">
        <f>AO206</f>
        <v>32039</v>
      </c>
      <c r="AP200" s="3">
        <f>AP206</f>
        <v>32039</v>
      </c>
      <c r="AQ200" s="3">
        <f>AP200</f>
        <v>32039</v>
      </c>
      <c r="AR200" s="3">
        <f>AR206</f>
        <v>32039</v>
      </c>
      <c r="AS200" s="3">
        <f>AS206</f>
        <v>32039</v>
      </c>
      <c r="AT200" s="3">
        <f>AT206</f>
        <v>32039</v>
      </c>
      <c r="AU200" s="3">
        <f>AU206</f>
        <v>32039</v>
      </c>
      <c r="AV200" s="3">
        <f>AU200</f>
        <v>32039</v>
      </c>
      <c r="AW200" s="3">
        <f>AW206</f>
        <v>32039</v>
      </c>
      <c r="AX200" s="3">
        <f>AX206</f>
        <v>32039</v>
      </c>
      <c r="AY200" s="3">
        <f>AY206</f>
        <v>32039</v>
      </c>
      <c r="AZ200" s="3">
        <f>AZ206</f>
        <v>32039</v>
      </c>
      <c r="BA200" s="3">
        <f>AZ200</f>
        <v>32039</v>
      </c>
      <c r="BB200" s="3">
        <f>BB206</f>
        <v>32039</v>
      </c>
      <c r="BC200" s="3">
        <f>BC206</f>
        <v>32039</v>
      </c>
      <c r="BD200" s="3">
        <f>BD206</f>
        <v>32039</v>
      </c>
      <c r="BE200" s="3">
        <f>BE206</f>
        <v>32039</v>
      </c>
      <c r="BF200" s="3">
        <f>BE200</f>
        <v>32039</v>
      </c>
      <c r="BG200" s="3">
        <f>BG206</f>
        <v>32039</v>
      </c>
      <c r="BH200" s="3">
        <f>BH206</f>
        <v>32039</v>
      </c>
      <c r="BI200" s="3">
        <f>BI206</f>
        <v>32039</v>
      </c>
      <c r="BJ200" s="3">
        <f>BJ206</f>
        <v>32039</v>
      </c>
      <c r="BK200" s="3">
        <f>BJ200</f>
        <v>32039</v>
      </c>
      <c r="BL200" s="3">
        <f>BL206</f>
        <v>32039</v>
      </c>
      <c r="BM200" s="3">
        <f>BM206</f>
        <v>32039</v>
      </c>
      <c r="BN200" s="3">
        <f>BN206</f>
        <v>32039</v>
      </c>
      <c r="BO200" s="3">
        <f>BO206</f>
        <v>32039</v>
      </c>
      <c r="BP200" s="3">
        <f>BO200</f>
        <v>32039</v>
      </c>
      <c r="BQ200" s="3">
        <f>BQ206</f>
        <v>32039</v>
      </c>
      <c r="BR200" s="3">
        <f>BR206</f>
        <v>32039</v>
      </c>
      <c r="BS200" s="3">
        <f>BS206</f>
        <v>32039</v>
      </c>
      <c r="BT200" s="3">
        <f>BT206</f>
        <v>32039</v>
      </c>
      <c r="BU200" s="3">
        <f>BT200</f>
        <v>32039</v>
      </c>
      <c r="BV200" s="3">
        <f>BV206</f>
        <v>32039</v>
      </c>
      <c r="BW200" s="3">
        <f>BW206</f>
        <v>32039</v>
      </c>
      <c r="BX200" s="3">
        <f>BX206</f>
        <v>32039</v>
      </c>
      <c r="BY200" s="3">
        <f>BY206</f>
        <v>32039</v>
      </c>
      <c r="BZ200" s="3">
        <f>BY200</f>
        <v>32039</v>
      </c>
      <c r="CA200" s="3">
        <f>CA206</f>
        <v>32039</v>
      </c>
      <c r="CB200" s="3">
        <f>CB206</f>
        <v>32039</v>
      </c>
      <c r="CC200" s="3">
        <f>CC206</f>
        <v>32039</v>
      </c>
      <c r="CD200" s="3">
        <f>CD206</f>
        <v>32039</v>
      </c>
      <c r="CE200" s="3">
        <f>CD200</f>
        <v>32039</v>
      </c>
      <c r="CF200" s="3">
        <f>CF206</f>
        <v>32039</v>
      </c>
      <c r="CG200" s="3">
        <f>CG206</f>
        <v>32039</v>
      </c>
      <c r="CH200" s="3">
        <f>CH206</f>
        <v>32039</v>
      </c>
      <c r="CI200" s="3">
        <f>CI206</f>
        <v>32039</v>
      </c>
      <c r="CJ200" s="3">
        <f>CI200</f>
        <v>32039</v>
      </c>
      <c r="CK200" s="3">
        <f>CK206</f>
        <v>32039</v>
      </c>
      <c r="CL200" s="3">
        <f>CL206</f>
        <v>32039</v>
      </c>
      <c r="CM200" s="3">
        <f>CM206</f>
        <v>32039</v>
      </c>
      <c r="CN200" s="3">
        <f>CN206</f>
        <v>32039</v>
      </c>
      <c r="CO200" s="3">
        <f>CN200</f>
        <v>32039</v>
      </c>
      <c r="CP200" s="3">
        <f>CP206</f>
        <v>32039</v>
      </c>
      <c r="CQ200" s="3">
        <f>CQ206</f>
        <v>32039</v>
      </c>
      <c r="CR200" s="3">
        <f>CR206</f>
        <v>32039</v>
      </c>
      <c r="CS200" s="3">
        <f>CS206</f>
        <v>32039</v>
      </c>
      <c r="CT200" s="3">
        <f>CS200</f>
        <v>32039</v>
      </c>
      <c r="CU200" s="3">
        <f>CU206</f>
        <v>32039</v>
      </c>
      <c r="CV200" s="3">
        <f>CV206</f>
        <v>32039</v>
      </c>
      <c r="CW200" s="3">
        <f>CW206</f>
        <v>32039</v>
      </c>
      <c r="CX200" s="3">
        <f>CX206</f>
        <v>32039</v>
      </c>
      <c r="CY200" s="3">
        <f>CX200</f>
        <v>32039</v>
      </c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inlineStr">
        <is>
          <t>Current portion of LTD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>
        <f>AF195</f>
        <v>12634</v>
      </c>
      <c r="AI202" s="35" t="n"/>
      <c r="AJ202" s="35" t="n"/>
      <c r="AK202" s="35" t="n"/>
      <c r="AL202" s="3" t="n"/>
      <c r="AM202" s="3">
        <f>AK195</f>
        <v>13107</v>
      </c>
      <c r="AN202" s="35" t="n"/>
      <c r="AO202" s="35" t="n"/>
      <c r="AP202" s="35" t="n"/>
      <c r="AQ202" s="3" t="n"/>
      <c r="AR202" s="3">
        <f>AP195</f>
        <v>13107</v>
      </c>
      <c r="AS202" s="35" t="n"/>
      <c r="AT202" s="35" t="n"/>
      <c r="AU202" s="35" t="n"/>
      <c r="AV202" s="3" t="n"/>
      <c r="AW202" s="3">
        <f>AU195</f>
        <v>13107</v>
      </c>
      <c r="AX202" s="35" t="n"/>
      <c r="AY202" s="35" t="n"/>
      <c r="AZ202" s="35" t="n"/>
      <c r="BA202" s="3" t="n"/>
      <c r="BB202" s="3">
        <f>AZ195</f>
        <v>13107</v>
      </c>
      <c r="BC202" s="35" t="n"/>
      <c r="BD202" s="35" t="n"/>
      <c r="BE202" s="35" t="n"/>
      <c r="BF202" s="3" t="n"/>
      <c r="BG202" s="3">
        <f>BE195</f>
        <v>13107</v>
      </c>
      <c r="BH202" s="35" t="n"/>
      <c r="BI202" s="35" t="n"/>
      <c r="BJ202" s="35" t="n"/>
      <c r="BK202" s="3" t="n"/>
      <c r="BL202" s="3">
        <f>BJ195</f>
        <v>13107</v>
      </c>
      <c r="BM202" s="35" t="n"/>
      <c r="BN202" s="35" t="n"/>
      <c r="BO202" s="35" t="n"/>
      <c r="BP202" s="3" t="n"/>
      <c r="BQ202" s="3">
        <f>BO195</f>
        <v>13107</v>
      </c>
      <c r="BR202" s="35" t="n"/>
      <c r="BS202" s="35" t="n"/>
      <c r="BT202" s="35" t="n"/>
      <c r="BU202" s="3" t="n"/>
      <c r="BV202" s="3">
        <f>BT195</f>
        <v>13107</v>
      </c>
      <c r="BW202" s="35" t="n"/>
      <c r="BX202" s="35" t="n"/>
      <c r="BY202" s="35" t="n"/>
      <c r="BZ202" s="3" t="n"/>
      <c r="CA202" s="3">
        <f>BY195</f>
        <v>13107</v>
      </c>
      <c r="CB202" s="35" t="n"/>
      <c r="CC202" s="35" t="n"/>
      <c r="CD202" s="35" t="n"/>
      <c r="CE202" s="3" t="n"/>
      <c r="CF202" s="3">
        <f>CD195</f>
        <v>13107</v>
      </c>
      <c r="CG202" s="35" t="n"/>
      <c r="CH202" s="35" t="n"/>
      <c r="CI202" s="35" t="n"/>
      <c r="CJ202" s="3" t="n"/>
      <c r="CK202" s="3">
        <f>CI195</f>
        <v>13107</v>
      </c>
      <c r="CL202" s="35" t="n"/>
      <c r="CM202" s="35" t="n"/>
      <c r="CN202" s="35" t="n"/>
      <c r="CO202" s="3" t="n"/>
      <c r="CP202" s="3">
        <f>CN195</f>
        <v>13107</v>
      </c>
      <c r="CQ202" s="35" t="n"/>
      <c r="CR202" s="35" t="n"/>
      <c r="CS202" s="35" t="n"/>
      <c r="CT202" s="3" t="n"/>
      <c r="CU202" s="3">
        <f>CS195</f>
        <v>13107</v>
      </c>
      <c r="CV202" s="35" t="n"/>
      <c r="CW202" s="35" t="n"/>
      <c r="CX202" s="35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hidden="1" outlineLevel="1">
      <c r="C204" s="34" t="inlineStr">
        <is>
          <t>Reclassification of LTD to CP of LTD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>
        <f>-AI202</f>
        <v>0</v>
      </c>
      <c r="AJ204" s="3">
        <f>-AJ202</f>
        <v>0</v>
      </c>
      <c r="AK204" s="3">
        <f>-AK202</f>
        <v>0</v>
      </c>
      <c r="AL204" s="3" t="n"/>
      <c r="AM204" s="3" t="n"/>
      <c r="AN204" s="3">
        <f>-AN202</f>
        <v>0</v>
      </c>
      <c r="AO204" s="3">
        <f>-AO202</f>
        <v>0</v>
      </c>
      <c r="AP204" s="3">
        <f>-AP202</f>
        <v>0</v>
      </c>
      <c r="AQ204" s="3" t="n"/>
      <c r="AR204" s="3" t="n"/>
      <c r="AS204" s="3">
        <f>-AS202</f>
        <v>0</v>
      </c>
      <c r="AT204" s="3">
        <f>-AT202</f>
        <v>0</v>
      </c>
      <c r="AU204" s="3">
        <f>-AU202</f>
        <v>0</v>
      </c>
      <c r="AV204" s="3" t="n"/>
      <c r="AW204" s="3" t="n"/>
      <c r="AX204" s="3">
        <f>-AX202</f>
        <v>0</v>
      </c>
      <c r="AY204" s="3">
        <f>-AY202</f>
        <v>0</v>
      </c>
      <c r="AZ204" s="3">
        <f>-AZ202</f>
        <v>0</v>
      </c>
      <c r="BA204" s="3" t="n"/>
      <c r="BB204" s="3" t="n"/>
      <c r="BC204" s="3">
        <f>-BC202</f>
        <v>0</v>
      </c>
      <c r="BD204" s="3">
        <f>-BD202</f>
        <v>0</v>
      </c>
      <c r="BE204" s="3">
        <f>-BE202</f>
        <v>0</v>
      </c>
      <c r="BF204" s="3" t="n"/>
      <c r="BG204" s="3" t="n"/>
      <c r="BH204" s="3">
        <f>-BH202</f>
        <v>0</v>
      </c>
      <c r="BI204" s="3">
        <f>-BI202</f>
        <v>0</v>
      </c>
      <c r="BJ204" s="3">
        <f>-BJ202</f>
        <v>0</v>
      </c>
      <c r="BK204" s="3" t="n"/>
      <c r="BL204" s="3" t="n"/>
      <c r="BM204" s="3">
        <f>-BM202</f>
        <v>0</v>
      </c>
      <c r="BN204" s="3">
        <f>-BN202</f>
        <v>0</v>
      </c>
      <c r="BO204" s="3">
        <f>-BO202</f>
        <v>0</v>
      </c>
      <c r="BP204" s="3" t="n"/>
      <c r="BQ204" s="3" t="n"/>
      <c r="BR204" s="3">
        <f>-BR202</f>
        <v>0</v>
      </c>
      <c r="BS204" s="3">
        <f>-BS202</f>
        <v>0</v>
      </c>
      <c r="BT204" s="3">
        <f>-BT202</f>
        <v>0</v>
      </c>
      <c r="BU204" s="3" t="n"/>
      <c r="BV204" s="3" t="n"/>
      <c r="BW204" s="3">
        <f>-BW202</f>
        <v>0</v>
      </c>
      <c r="BX204" s="3">
        <f>-BX202</f>
        <v>0</v>
      </c>
      <c r="BY204" s="3">
        <f>-BY202</f>
        <v>0</v>
      </c>
      <c r="BZ204" s="3" t="n"/>
      <c r="CA204" s="3" t="n"/>
      <c r="CB204" s="3">
        <f>-CB202</f>
        <v>0</v>
      </c>
      <c r="CC204" s="3">
        <f>-CC202</f>
        <v>0</v>
      </c>
      <c r="CD204" s="3">
        <f>-CD202</f>
        <v>0</v>
      </c>
      <c r="CE204" s="3" t="n"/>
      <c r="CF204" s="3" t="n"/>
      <c r="CG204" s="3">
        <f>-CG202</f>
        <v>0</v>
      </c>
      <c r="CH204" s="3">
        <f>-CH202</f>
        <v>0</v>
      </c>
      <c r="CI204" s="3">
        <f>-CI202</f>
        <v>0</v>
      </c>
      <c r="CJ204" s="3" t="n"/>
      <c r="CK204" s="3" t="n"/>
      <c r="CL204" s="3">
        <f>-CL202</f>
        <v>0</v>
      </c>
      <c r="CM204" s="3">
        <f>-CM202</f>
        <v>0</v>
      </c>
      <c r="CN204" s="3">
        <f>-CN202</f>
        <v>0</v>
      </c>
      <c r="CO204" s="3" t="n"/>
      <c r="CP204" s="3" t="n"/>
      <c r="CQ204" s="3">
        <f>-CQ202</f>
        <v>0</v>
      </c>
      <c r="CR204" s="3">
        <f>-CR202</f>
        <v>0</v>
      </c>
      <c r="CS204" s="3">
        <f>-CS202</f>
        <v>0</v>
      </c>
      <c r="CT204" s="3" t="n"/>
      <c r="CU204" s="3" t="n"/>
      <c r="CV204" s="3">
        <f>-CV202</f>
        <v>0</v>
      </c>
      <c r="CW204" s="3">
        <f>-CW202</f>
        <v>0</v>
      </c>
      <c r="CX204" s="3">
        <f>-CX202</f>
        <v>0</v>
      </c>
      <c r="CY204" s="3" t="n"/>
    </row>
    <row r="205" hidden="1" outlineLevel="1">
      <c r="C205" s="34" t="inlineStr">
        <is>
          <t>Discretionary (paydown)/borrowing of long term debt</t>
        </is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5" t="n"/>
      <c r="AI205" s="35" t="n"/>
      <c r="AJ205" s="35" t="n"/>
      <c r="AK205" s="35" t="n"/>
      <c r="AL205" s="3" t="n"/>
      <c r="AM205" s="35" t="n"/>
      <c r="AN205" s="35" t="n"/>
      <c r="AO205" s="35" t="n"/>
      <c r="AP205" s="35" t="n"/>
      <c r="AQ205" s="3" t="n"/>
      <c r="AR205" s="35" t="n"/>
      <c r="AS205" s="35" t="n"/>
      <c r="AT205" s="35" t="n"/>
      <c r="AU205" s="35" t="n"/>
      <c r="AV205" s="3" t="n"/>
      <c r="AW205" s="35" t="n"/>
      <c r="AX205" s="35" t="n"/>
      <c r="AY205" s="35" t="n"/>
      <c r="AZ205" s="35" t="n"/>
      <c r="BA205" s="3" t="n"/>
      <c r="BB205" s="35" t="n"/>
      <c r="BC205" s="35" t="n"/>
      <c r="BD205" s="35" t="n"/>
      <c r="BE205" s="35" t="n"/>
      <c r="BF205" s="3" t="n"/>
      <c r="BG205" s="35" t="n"/>
      <c r="BH205" s="35" t="n"/>
      <c r="BI205" s="35" t="n"/>
      <c r="BJ205" s="35" t="n"/>
      <c r="BK205" s="3" t="n"/>
      <c r="BL205" s="35" t="n"/>
      <c r="BM205" s="35" t="n"/>
      <c r="BN205" s="35" t="n"/>
      <c r="BO205" s="35" t="n"/>
      <c r="BP205" s="3" t="n"/>
      <c r="BQ205" s="35" t="n"/>
      <c r="BR205" s="35" t="n"/>
      <c r="BS205" s="35" t="n"/>
      <c r="BT205" s="35" t="n"/>
      <c r="BU205" s="3" t="n"/>
      <c r="BV205" s="35" t="n"/>
      <c r="BW205" s="35" t="n"/>
      <c r="BX205" s="35" t="n"/>
      <c r="BY205" s="35" t="n"/>
      <c r="BZ205" s="3" t="n"/>
      <c r="CA205" s="35" t="n"/>
      <c r="CB205" s="35" t="n"/>
      <c r="CC205" s="35" t="n"/>
      <c r="CD205" s="35" t="n"/>
      <c r="CE205" s="3" t="n"/>
      <c r="CF205" s="35" t="n"/>
      <c r="CG205" s="35" t="n"/>
      <c r="CH205" s="35" t="n"/>
      <c r="CI205" s="35" t="n"/>
      <c r="CJ205" s="3" t="n"/>
      <c r="CK205" s="35" t="n"/>
      <c r="CL205" s="35" t="n"/>
      <c r="CM205" s="35" t="n"/>
      <c r="CN205" s="35" t="n"/>
      <c r="CO205" s="3" t="n"/>
      <c r="CP205" s="35" t="n"/>
      <c r="CQ205" s="35" t="n"/>
      <c r="CR205" s="35" t="n"/>
      <c r="CS205" s="35" t="n"/>
      <c r="CT205" s="3" t="n"/>
      <c r="CU205" s="35" t="n"/>
      <c r="CV205" s="35" t="n"/>
      <c r="CW205" s="35" t="n"/>
      <c r="CX205" s="35" t="n"/>
      <c r="CY205" s="3" t="n"/>
    </row>
    <row r="206" hidden="1" outlineLevel="1">
      <c r="C206" s="34" t="inlineStr">
        <is>
          <t>Long term debt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>
        <f>AF200+SUM(AH204:AH205)</f>
        <v>30696</v>
      </c>
      <c r="AI206" s="3">
        <f>AH206+SUM(AI204:AI205)</f>
        <v>30696</v>
      </c>
      <c r="AJ206" s="3">
        <f>AI200+SUM(AJ204:AJ205)</f>
        <v>32039</v>
      </c>
      <c r="AK206" s="3">
        <f>AJ206+SUM(AK204:AK205)</f>
        <v>32039</v>
      </c>
      <c r="AL206" s="3" t="n"/>
      <c r="AM206" s="3">
        <f>AK206+SUM(AM204:AM205)</f>
        <v>32039</v>
      </c>
      <c r="AN206" s="3">
        <f>AM206+SUM(AN204:AN205)</f>
        <v>32039</v>
      </c>
      <c r="AO206" s="3">
        <f>AN206+SUM(AO204:AO205)</f>
        <v>32039</v>
      </c>
      <c r="AP206" s="3">
        <f>AO206+SUM(AP204:AP205)</f>
        <v>32039</v>
      </c>
      <c r="AQ206" s="3" t="n"/>
      <c r="AR206" s="3">
        <f>AP206+SUM(AR204:AR205)</f>
        <v>32039</v>
      </c>
      <c r="AS206" s="3">
        <f>AR206+SUM(AS204:AS205)</f>
        <v>32039</v>
      </c>
      <c r="AT206" s="3">
        <f>AS206+SUM(AT204:AT205)</f>
        <v>32039</v>
      </c>
      <c r="AU206" s="3">
        <f>AT206+SUM(AU204:AU205)</f>
        <v>32039</v>
      </c>
      <c r="AV206" s="3" t="n"/>
      <c r="AW206" s="3">
        <f>AU206+SUM(AW204:AW205)</f>
        <v>32039</v>
      </c>
      <c r="AX206" s="3">
        <f>AW206+SUM(AX204:AX205)</f>
        <v>32039</v>
      </c>
      <c r="AY206" s="3">
        <f>AX206+SUM(AY204:AY205)</f>
        <v>32039</v>
      </c>
      <c r="AZ206" s="3">
        <f>AY206+SUM(AZ204:AZ205)</f>
        <v>32039</v>
      </c>
      <c r="BA206" s="3" t="n"/>
      <c r="BB206" s="3">
        <f>AZ206+SUM(BB204:BB205)</f>
        <v>32039</v>
      </c>
      <c r="BC206" s="3">
        <f>BB206+SUM(BC204:BC205)</f>
        <v>32039</v>
      </c>
      <c r="BD206" s="3">
        <f>BC206+SUM(BD204:BD205)</f>
        <v>32039</v>
      </c>
      <c r="BE206" s="3">
        <f>BD206+SUM(BE204:BE205)</f>
        <v>32039</v>
      </c>
      <c r="BF206" s="3" t="n"/>
      <c r="BG206" s="3">
        <f>BE206+SUM(BG204:BG205)</f>
        <v>32039</v>
      </c>
      <c r="BH206" s="3">
        <f>BG206+SUM(BH204:BH205)</f>
        <v>32039</v>
      </c>
      <c r="BI206" s="3">
        <f>BH206+SUM(BI204:BI205)</f>
        <v>32039</v>
      </c>
      <c r="BJ206" s="3">
        <f>BI206+SUM(BJ204:BJ205)</f>
        <v>32039</v>
      </c>
      <c r="BK206" s="3" t="n"/>
      <c r="BL206" s="3">
        <f>BJ206+SUM(BL204:BL205)</f>
        <v>32039</v>
      </c>
      <c r="BM206" s="3">
        <f>BL206+SUM(BM204:BM205)</f>
        <v>32039</v>
      </c>
      <c r="BN206" s="3">
        <f>BM206+SUM(BN204:BN205)</f>
        <v>32039</v>
      </c>
      <c r="BO206" s="3">
        <f>BN206+SUM(BO204:BO205)</f>
        <v>32039</v>
      </c>
      <c r="BP206" s="3" t="n"/>
      <c r="BQ206" s="3">
        <f>BO206+SUM(BQ204:BQ205)</f>
        <v>32039</v>
      </c>
      <c r="BR206" s="3">
        <f>BQ206+SUM(BR204:BR205)</f>
        <v>32039</v>
      </c>
      <c r="BS206" s="3">
        <f>BR206+SUM(BS204:BS205)</f>
        <v>32039</v>
      </c>
      <c r="BT206" s="3">
        <f>BS206+SUM(BT204:BT205)</f>
        <v>32039</v>
      </c>
      <c r="BU206" s="3" t="n"/>
      <c r="BV206" s="3">
        <f>BT206+SUM(BV204:BV205)</f>
        <v>32039</v>
      </c>
      <c r="BW206" s="3">
        <f>BV206+SUM(BW204:BW205)</f>
        <v>32039</v>
      </c>
      <c r="BX206" s="3">
        <f>BW206+SUM(BX204:BX205)</f>
        <v>32039</v>
      </c>
      <c r="BY206" s="3">
        <f>BX206+SUM(BY204:BY205)</f>
        <v>32039</v>
      </c>
      <c r="BZ206" s="3" t="n"/>
      <c r="CA206" s="3">
        <f>BY206+SUM(CA204:CA205)</f>
        <v>32039</v>
      </c>
      <c r="CB206" s="3">
        <f>CA206+SUM(CB204:CB205)</f>
        <v>32039</v>
      </c>
      <c r="CC206" s="3">
        <f>CB206+SUM(CC204:CC205)</f>
        <v>32039</v>
      </c>
      <c r="CD206" s="3">
        <f>CC206+SUM(CD204:CD205)</f>
        <v>32039</v>
      </c>
      <c r="CE206" s="3" t="n"/>
      <c r="CF206" s="3">
        <f>CD206+SUM(CF204:CF205)</f>
        <v>32039</v>
      </c>
      <c r="CG206" s="3">
        <f>CF206+SUM(CG204:CG205)</f>
        <v>32039</v>
      </c>
      <c r="CH206" s="3">
        <f>CG206+SUM(CH204:CH205)</f>
        <v>32039</v>
      </c>
      <c r="CI206" s="3">
        <f>CH206+SUM(CI204:CI205)</f>
        <v>32039</v>
      </c>
      <c r="CJ206" s="3" t="n"/>
      <c r="CK206" s="3">
        <f>CI206+SUM(CK204:CK205)</f>
        <v>32039</v>
      </c>
      <c r="CL206" s="3">
        <f>CK206+SUM(CL204:CL205)</f>
        <v>32039</v>
      </c>
      <c r="CM206" s="3">
        <f>CL206+SUM(CM204:CM205)</f>
        <v>32039</v>
      </c>
      <c r="CN206" s="3">
        <f>CM206+SUM(CN204:CN205)</f>
        <v>32039</v>
      </c>
      <c r="CO206" s="3" t="n"/>
      <c r="CP206" s="3">
        <f>CN206+SUM(CP204:CP205)</f>
        <v>32039</v>
      </c>
      <c r="CQ206" s="3">
        <f>CP206+SUM(CQ204:CQ205)</f>
        <v>32039</v>
      </c>
      <c r="CR206" s="3">
        <f>CQ206+SUM(CR204:CR205)</f>
        <v>32039</v>
      </c>
      <c r="CS206" s="3">
        <f>CR206+SUM(CS204:CS205)</f>
        <v>32039</v>
      </c>
      <c r="CT206" s="3" t="n"/>
      <c r="CU206" s="3">
        <f>CS206+SUM(CU204:CU205)</f>
        <v>32039</v>
      </c>
      <c r="CV206" s="3">
        <f>CU206+SUM(CV204:CV205)</f>
        <v>32039</v>
      </c>
      <c r="CW206" s="3">
        <f>CV206+SUM(CW204:CW205)</f>
        <v>32039</v>
      </c>
      <c r="CX206" s="3">
        <f>CW206+SUM(CX204:CX205)</f>
        <v>32039</v>
      </c>
      <c r="CY206" s="3" t="n"/>
      <c r="CZ206">
        <f>CX206+SUM(CZ204:CZ205)</f>
        <v>32039</v>
      </c>
      <c r="DA206">
        <f>CZ206+SUM(DA204:DA205)</f>
        <v>32039</v>
      </c>
      <c r="DB206">
        <f>DA206+SUM(DB204:DB205)</f>
        <v>32039</v>
      </c>
      <c r="DC206">
        <f>DB206+SUM(DC204:DC205)</f>
        <v>32039</v>
      </c>
    </row>
    <row r="207" hidden="1" outlineLevel="1">
      <c r="C207" s="34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</row>
    <row r="208" hidden="1" outlineLevel="1">
      <c r="C208" s="34" t="inlineStr">
        <is>
          <t>Discretionary (paydown)/borrowing of convertible debt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5" t="n"/>
      <c r="AI208" s="35" t="n"/>
      <c r="AJ208" s="35" t="n"/>
      <c r="AK208" s="35" t="n"/>
      <c r="AL208" s="3" t="n"/>
      <c r="AM208" s="35" t="n"/>
      <c r="AN208" s="35" t="n"/>
      <c r="AO208" s="35" t="n"/>
      <c r="AP208" s="35" t="n"/>
      <c r="AQ208" s="3" t="n"/>
      <c r="AR208" s="35" t="n"/>
      <c r="AS208" s="35" t="n"/>
      <c r="AT208" s="35" t="n"/>
      <c r="AU208" s="35" t="n"/>
      <c r="AV208" s="3" t="n"/>
      <c r="AW208" s="35" t="n"/>
      <c r="AX208" s="35" t="n"/>
      <c r="AY208" s="35" t="n"/>
      <c r="AZ208" s="35" t="n"/>
      <c r="BA208" s="3" t="n"/>
      <c r="BB208" s="35" t="n"/>
      <c r="BC208" s="35" t="n"/>
      <c r="BD208" s="35" t="n"/>
      <c r="BE208" s="35" t="n"/>
      <c r="BF208" s="3" t="n"/>
      <c r="BG208" s="35" t="n"/>
      <c r="BH208" s="35" t="n"/>
      <c r="BI208" s="35" t="n"/>
      <c r="BJ208" s="35" t="n"/>
      <c r="BK208" s="3" t="n"/>
      <c r="BL208" s="35" t="n"/>
      <c r="BM208" s="35" t="n"/>
      <c r="BN208" s="35" t="n"/>
      <c r="BO208" s="35" t="n"/>
      <c r="BP208" s="3" t="n"/>
      <c r="BQ208" s="35" t="n"/>
      <c r="BR208" s="35" t="n"/>
      <c r="BS208" s="35" t="n"/>
      <c r="BT208" s="35" t="n"/>
      <c r="BU208" s="3" t="n"/>
      <c r="BV208" s="35" t="n"/>
      <c r="BW208" s="35" t="n"/>
      <c r="BX208" s="35" t="n"/>
      <c r="BY208" s="35" t="n"/>
      <c r="BZ208" s="3" t="n"/>
      <c r="CA208" s="35" t="n"/>
      <c r="CB208" s="35" t="n"/>
      <c r="CC208" s="35" t="n"/>
      <c r="CD208" s="35" t="n"/>
      <c r="CE208" s="3" t="n"/>
      <c r="CF208" s="35" t="n"/>
      <c r="CG208" s="35" t="n"/>
      <c r="CH208" s="35" t="n"/>
      <c r="CI208" s="35" t="n"/>
      <c r="CJ208" s="3" t="n"/>
      <c r="CK208" s="35" t="n"/>
      <c r="CL208" s="35" t="n"/>
      <c r="CM208" s="35" t="n"/>
      <c r="CN208" s="35" t="n"/>
      <c r="CO208" s="3" t="n"/>
      <c r="CP208" s="35" t="n"/>
      <c r="CQ208" s="35" t="n"/>
      <c r="CR208" s="35" t="n"/>
      <c r="CS208" s="35" t="n"/>
      <c r="CT208" s="3" t="n"/>
      <c r="CU208" s="35" t="n"/>
      <c r="CV208" s="35" t="n"/>
      <c r="CW208" s="35" t="n"/>
      <c r="CX208" s="35" t="n"/>
      <c r="CY208" s="3" t="n"/>
    </row>
    <row r="209" hidden="1" outlineLevel="1">
      <c r="C209" s="34" t="inlineStr">
        <is>
          <t>Convertible debt</t>
        </is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>
        <f>AH221</f>
        <v>0</v>
      </c>
      <c r="AI209" s="3">
        <f>AH209+SUM(AI208)</f>
        <v>0</v>
      </c>
      <c r="AJ209" s="3">
        <f>AI209+SUM(AJ208)</f>
        <v>0</v>
      </c>
      <c r="AK209" s="3">
        <f>AJ209+SUM(AK208)</f>
        <v>0</v>
      </c>
      <c r="AL209" s="3" t="n"/>
      <c r="AM209" s="3">
        <f>AM221</f>
        <v>0</v>
      </c>
      <c r="AN209" s="3">
        <f>AM209+SUM(AN208)</f>
        <v>0</v>
      </c>
      <c r="AO209" s="3">
        <f>AN209+SUM(AO208)</f>
        <v>0</v>
      </c>
      <c r="AP209" s="3">
        <f>AO209+SUM(AP208)</f>
        <v>0</v>
      </c>
      <c r="AQ209" s="3" t="n"/>
      <c r="AR209" s="3">
        <f>AR221</f>
        <v>0</v>
      </c>
      <c r="AS209" s="3">
        <f>AR209+SUM(AS208)</f>
        <v>0</v>
      </c>
      <c r="AT209" s="3">
        <f>AS209+SUM(AT208)</f>
        <v>0</v>
      </c>
      <c r="AU209" s="3">
        <f>AT209+SUM(AU208)</f>
        <v>0</v>
      </c>
      <c r="AV209" s="3" t="n"/>
      <c r="AW209" s="3">
        <f>AW221</f>
        <v>0</v>
      </c>
      <c r="AX209" s="3">
        <f>AW209+SUM(AX208)</f>
        <v>0</v>
      </c>
      <c r="AY209" s="3">
        <f>AX209+SUM(AY208)</f>
        <v>0</v>
      </c>
      <c r="AZ209" s="3">
        <f>AY209+SUM(AZ208)</f>
        <v>0</v>
      </c>
      <c r="BA209" s="3" t="n"/>
      <c r="BB209" s="3">
        <f>BB221</f>
        <v>0</v>
      </c>
      <c r="BC209" s="3">
        <f>BB209+SUM(BC208)</f>
        <v>0</v>
      </c>
      <c r="BD209" s="3">
        <f>BC209+SUM(BD208)</f>
        <v>0</v>
      </c>
      <c r="BE209" s="3">
        <f>BD209+SUM(BE208)</f>
        <v>0</v>
      </c>
      <c r="BF209" s="3" t="n"/>
      <c r="BG209" s="3">
        <f>BG221</f>
        <v>0</v>
      </c>
      <c r="BH209" s="3">
        <f>BG209+SUM(BH208)</f>
        <v>0</v>
      </c>
      <c r="BI209" s="3">
        <f>BH209+SUM(BI208)</f>
        <v>0</v>
      </c>
      <c r="BJ209" s="3">
        <f>BI209+SUM(BJ208)</f>
        <v>0</v>
      </c>
      <c r="BK209" s="3" t="n"/>
      <c r="BL209" s="3">
        <f>BL221</f>
        <v>0</v>
      </c>
      <c r="BM209" s="3">
        <f>BL209+SUM(BM208)</f>
        <v>0</v>
      </c>
      <c r="BN209" s="3">
        <f>BM209+SUM(BN208)</f>
        <v>0</v>
      </c>
      <c r="BO209" s="3">
        <f>BN209+SUM(BO208)</f>
        <v>0</v>
      </c>
      <c r="BP209" s="3" t="n"/>
      <c r="BQ209" s="3">
        <f>BQ221</f>
        <v>0</v>
      </c>
      <c r="BR209" s="3">
        <f>BQ209+SUM(BR208)</f>
        <v>0</v>
      </c>
      <c r="BS209" s="3">
        <f>BR209+SUM(BS208)</f>
        <v>0</v>
      </c>
      <c r="BT209" s="3">
        <f>BS209+SUM(BT208)</f>
        <v>0</v>
      </c>
      <c r="BU209" s="3" t="n"/>
      <c r="BV209" s="3">
        <f>BV221</f>
        <v>0</v>
      </c>
      <c r="BW209" s="3">
        <f>BV209+SUM(BW208)</f>
        <v>0</v>
      </c>
      <c r="BX209" s="3">
        <f>BW209+SUM(BX208)</f>
        <v>0</v>
      </c>
      <c r="BY209" s="3">
        <f>BX209+SUM(BY208)</f>
        <v>0</v>
      </c>
      <c r="BZ209" s="3" t="n"/>
      <c r="CA209" s="3">
        <f>CA221</f>
        <v>0</v>
      </c>
      <c r="CB209" s="3">
        <f>CA209+SUM(CB208)</f>
        <v>0</v>
      </c>
      <c r="CC209" s="3">
        <f>CB209+SUM(CC208)</f>
        <v>0</v>
      </c>
      <c r="CD209" s="3">
        <f>CC209+SUM(CD208)</f>
        <v>0</v>
      </c>
      <c r="CE209" s="3" t="n"/>
      <c r="CF209" s="3">
        <f>CF221</f>
        <v>0</v>
      </c>
      <c r="CG209" s="3">
        <f>CF209+SUM(CG208)</f>
        <v>0</v>
      </c>
      <c r="CH209" s="3">
        <f>CG209+SUM(CH208)</f>
        <v>0</v>
      </c>
      <c r="CI209" s="3">
        <f>CH209+SUM(CI208)</f>
        <v>0</v>
      </c>
      <c r="CJ209" s="3" t="n"/>
      <c r="CK209" s="3">
        <f>CK221</f>
        <v>0</v>
      </c>
      <c r="CL209" s="3">
        <f>CK209+SUM(CL208)</f>
        <v>0</v>
      </c>
      <c r="CM209" s="3">
        <f>CL209+SUM(CM208)</f>
        <v>0</v>
      </c>
      <c r="CN209" s="3">
        <f>CM209+SUM(CN208)</f>
        <v>0</v>
      </c>
      <c r="CO209" s="3" t="n"/>
      <c r="CP209" s="3">
        <f>CP221</f>
        <v>0</v>
      </c>
      <c r="CQ209" s="3">
        <f>CP209+SUM(CQ208)</f>
        <v>0</v>
      </c>
      <c r="CR209" s="3">
        <f>CQ209+SUM(CR208)</f>
        <v>0</v>
      </c>
      <c r="CS209" s="3">
        <f>CR209+SUM(CS208)</f>
        <v>0</v>
      </c>
      <c r="CT209" s="3" t="n"/>
      <c r="CU209" s="3">
        <f>CU221</f>
        <v>0</v>
      </c>
      <c r="CV209" s="3">
        <f>CU209+SUM(CV208)</f>
        <v>0</v>
      </c>
      <c r="CW209" s="3">
        <f>CV209+SUM(CW208)</f>
        <v>0</v>
      </c>
      <c r="CX209" s="3">
        <f>CW209+SUM(CX208)</f>
        <v>0</v>
      </c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I210" s="3" t="n"/>
      <c r="AJ210" s="3" t="n"/>
      <c r="AK210" s="3" t="n"/>
      <c r="AL210" s="3" t="n"/>
      <c r="AN210" s="3" t="n"/>
      <c r="AO210" s="3" t="n"/>
      <c r="AP210" s="3" t="n"/>
      <c r="AQ210" s="3" t="n"/>
      <c r="AS210" s="3" t="n"/>
      <c r="AT210" s="3" t="n"/>
      <c r="AU210" s="3" t="n"/>
      <c r="AV210" s="3" t="n"/>
      <c r="AX210" s="3" t="n"/>
      <c r="AY210" s="3" t="n"/>
      <c r="AZ210" s="3" t="n"/>
      <c r="BA210" s="3" t="n"/>
      <c r="BC210" s="3" t="n"/>
      <c r="BD210" s="3" t="n"/>
      <c r="BE210" s="3" t="n"/>
      <c r="BF210" s="3" t="n"/>
      <c r="BH210" s="3" t="n"/>
      <c r="BI210" s="3" t="n"/>
      <c r="BJ210" s="3" t="n"/>
      <c r="BK210" s="3" t="n"/>
      <c r="BM210" s="3" t="n"/>
      <c r="BN210" s="3" t="n"/>
      <c r="BO210" s="3" t="n"/>
      <c r="BP210" s="3" t="n"/>
      <c r="BR210" s="3" t="n"/>
      <c r="BS210" s="3" t="n"/>
      <c r="BT210" s="3" t="n"/>
      <c r="BU210" s="3" t="n"/>
      <c r="BW210" s="3" t="n"/>
      <c r="BX210" s="3" t="n"/>
      <c r="BY210" s="3" t="n"/>
      <c r="BZ210" s="3" t="n"/>
      <c r="CB210" s="3" t="n"/>
      <c r="CC210" s="3" t="n"/>
      <c r="CD210" s="3" t="n"/>
      <c r="CE210" s="3" t="n"/>
      <c r="CG210" s="3" t="n"/>
      <c r="CH210" s="3" t="n"/>
      <c r="CI210" s="3" t="n"/>
      <c r="CJ210" s="3" t="n"/>
      <c r="CL210" s="3" t="n"/>
      <c r="CM210" s="3" t="n"/>
      <c r="CN210" s="3" t="n"/>
      <c r="CO210" s="3" t="n"/>
      <c r="CQ210" s="3" t="n"/>
      <c r="CR210" s="3" t="n"/>
      <c r="CS210" s="3" t="n"/>
      <c r="CT210" s="3" t="n"/>
      <c r="CV210" s="3" t="n"/>
      <c r="CW210" s="3" t="n"/>
      <c r="CX210" s="3" t="n"/>
      <c r="CY210" s="3" t="n"/>
    </row>
    <row r="211" hidden="1" outlineLevel="1">
      <c r="C211" s="34" t="inlineStr">
        <is>
          <t>Calculation of short term debt</t>
        </is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inlineStr">
        <is>
          <t>Cash @ beginning of the period (end of last period)</t>
        </is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6">
        <f>AG127</f>
        <v>9980</v>
      </c>
      <c r="AI212" s="3" t="n"/>
      <c r="AJ212" s="3" t="n"/>
      <c r="AK212" s="3" t="n"/>
      <c r="AL212" s="3" t="n"/>
      <c r="AM212" s="36">
        <f>AL127</f>
        <v>23051</v>
      </c>
      <c r="AN212" s="3" t="n"/>
      <c r="AO212" s="3" t="n"/>
      <c r="AP212" s="3" t="n"/>
      <c r="AQ212" s="3" t="n"/>
      <c r="AR212" s="36" t="e">
        <f>AQ127</f>
        <v>#DIV/0!</v>
      </c>
      <c r="AS212" s="3" t="n"/>
      <c r="AT212" s="3" t="n"/>
      <c r="AU212" s="3" t="n"/>
      <c r="AV212" s="3" t="n"/>
      <c r="AW212" s="36" t="e">
        <f>AV127</f>
        <v>#DIV/0!</v>
      </c>
      <c r="AX212" s="3" t="n"/>
      <c r="AY212" s="3" t="n"/>
      <c r="AZ212" s="3" t="n"/>
      <c r="BA212" s="3" t="n"/>
      <c r="BB212" s="36" t="e">
        <f>BA127</f>
        <v>#DIV/0!</v>
      </c>
      <c r="BC212" s="3" t="n"/>
      <c r="BD212" s="3" t="n"/>
      <c r="BE212" s="3" t="n"/>
      <c r="BF212" s="3" t="n"/>
      <c r="BG212" s="36" t="e">
        <f>BF127</f>
        <v>#DIV/0!</v>
      </c>
      <c r="BH212" s="3" t="n"/>
      <c r="BI212" s="3" t="n"/>
      <c r="BJ212" s="3" t="n"/>
      <c r="BK212" s="3" t="n"/>
      <c r="BL212" s="36" t="e">
        <f>BK127</f>
        <v>#DIV/0!</v>
      </c>
      <c r="BM212" s="3" t="n"/>
      <c r="BN212" s="3" t="n"/>
      <c r="BO212" s="3" t="n"/>
      <c r="BP212" s="3" t="n"/>
      <c r="BQ212" s="36" t="e">
        <f>BP127</f>
        <v>#DIV/0!</v>
      </c>
      <c r="BR212" s="3" t="n"/>
      <c r="BS212" s="3" t="n"/>
      <c r="BT212" s="3" t="n"/>
      <c r="BU212" s="3" t="n"/>
      <c r="BV212" s="36" t="e">
        <f>BU127</f>
        <v>#DIV/0!</v>
      </c>
      <c r="BW212" s="3" t="n"/>
      <c r="BX212" s="3" t="n"/>
      <c r="BY212" s="3" t="n"/>
      <c r="BZ212" s="3" t="n"/>
      <c r="CA212" s="36" t="e">
        <f>BZ127</f>
        <v>#DIV/0!</v>
      </c>
      <c r="CB212" s="3" t="n"/>
      <c r="CC212" s="3" t="n"/>
      <c r="CD212" s="3" t="n"/>
      <c r="CE212" s="3" t="n"/>
      <c r="CF212" s="36" t="e">
        <f>CE127</f>
        <v>#DIV/0!</v>
      </c>
      <c r="CG212" s="3" t="n"/>
      <c r="CH212" s="3" t="n"/>
      <c r="CI212" s="3" t="n"/>
      <c r="CJ212" s="3" t="n"/>
      <c r="CK212" s="36" t="e">
        <f>CJ127</f>
        <v>#DIV/0!</v>
      </c>
      <c r="CL212" s="3" t="n"/>
      <c r="CM212" s="3" t="n"/>
      <c r="CN212" s="3" t="n"/>
      <c r="CO212" s="3" t="n"/>
      <c r="CP212" s="36" t="e">
        <f>CO127</f>
        <v>#DIV/0!</v>
      </c>
      <c r="CQ212" s="3" t="n"/>
      <c r="CR212" s="3" t="n"/>
      <c r="CS212" s="3" t="n"/>
      <c r="CT212" s="3" t="n"/>
      <c r="CU212" s="36" t="e">
        <f>CT127</f>
        <v>#DIV/0!</v>
      </c>
      <c r="CV212" s="3" t="n"/>
      <c r="CW212" s="3" t="n"/>
      <c r="CX212" s="3" t="n"/>
      <c r="CY212" s="3" t="n"/>
    </row>
    <row r="213" hidden="1" outlineLevel="1">
      <c r="C213" s="34" t="inlineStr">
        <is>
          <t>Plus: Free cash flows prior to debt during period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inlineStr">
        <is>
          <t>% of sales</t>
        </is>
      </c>
      <c r="AH213" s="37">
        <f>SUM(AH276,AH283)+SUM(AH285:AH291)</f>
        <v>-5644</v>
      </c>
      <c r="AI213" s="37">
        <f>SUM(AI276,AI283)+SUM(AI285:AI291)</f>
        <v>561</v>
      </c>
      <c r="AJ213" s="37">
        <f>SUM(AJ276,AJ283)+SUM(AJ285:AJ291)</f>
        <v>16075</v>
      </c>
      <c r="AK213" s="37">
        <f>SUM(AK276,AK283)+SUM(AK285:AK291)</f>
        <v>263</v>
      </c>
      <c r="AL213" s="3" t="n"/>
      <c r="AM213" s="37" t="e">
        <f>SUM(AM276,AM283)+SUM(AM285:AM291)</f>
        <v>#DIV/0!</v>
      </c>
      <c r="AN213" s="37" t="e">
        <f>SUM(AN276,AN283)+SUM(AN285:AN291)</f>
        <v>#DIV/0!</v>
      </c>
      <c r="AO213" s="37" t="e">
        <f>SUM(AO276,AO283)+SUM(AO285:AO291)</f>
        <v>#DIV/0!</v>
      </c>
      <c r="AP213" s="37" t="e">
        <f>SUM(AP276,AP283)+SUM(AP285:AP291)</f>
        <v>#DIV/0!</v>
      </c>
      <c r="AQ213" s="3" t="n"/>
      <c r="AR213" s="37" t="e">
        <f>SUM(AR276,AR283)+SUM(AR285:AR291)</f>
        <v>#DIV/0!</v>
      </c>
      <c r="AS213" s="37" t="e">
        <f>SUM(AS276,AS283)+SUM(AS285:AS291)</f>
        <v>#DIV/0!</v>
      </c>
      <c r="AT213" s="37" t="e">
        <f>SUM(AT276,AT283)+SUM(AT285:AT291)</f>
        <v>#DIV/0!</v>
      </c>
      <c r="AU213" s="37" t="e">
        <f>SUM(AU276,AU283)+SUM(AU285:AU291)</f>
        <v>#DIV/0!</v>
      </c>
      <c r="AV213" s="3" t="n"/>
      <c r="AW213" s="37" t="e">
        <f>SUM(AW276,AW283)+SUM(AW285:AW291)</f>
        <v>#DIV/0!</v>
      </c>
      <c r="AX213" s="37" t="e">
        <f>SUM(AX276,AX283)+SUM(AX285:AX291)</f>
        <v>#DIV/0!</v>
      </c>
      <c r="AY213" s="37" t="e">
        <f>SUM(AY276,AY283)+SUM(AY285:AY291)</f>
        <v>#DIV/0!</v>
      </c>
      <c r="AZ213" s="37" t="e">
        <f>SUM(AZ276,AZ283)+SUM(AZ285:AZ291)</f>
        <v>#DIV/0!</v>
      </c>
      <c r="BA213" s="3" t="n"/>
      <c r="BB213" s="37" t="e">
        <f>SUM(BB276,BB283)+SUM(BB285:BB291)</f>
        <v>#DIV/0!</v>
      </c>
      <c r="BC213" s="37" t="e">
        <f>SUM(BC276,BC283)+SUM(BC285:BC291)</f>
        <v>#DIV/0!</v>
      </c>
      <c r="BD213" s="37" t="e">
        <f>SUM(BD276,BD283)+SUM(BD285:BD291)</f>
        <v>#DIV/0!</v>
      </c>
      <c r="BE213" s="37" t="e">
        <f>SUM(BE276,BE283)+SUM(BE285:BE291)</f>
        <v>#DIV/0!</v>
      </c>
      <c r="BF213" s="3" t="n"/>
      <c r="BG213" s="37" t="e">
        <f>SUM(BG276,BG283)+SUM(BG285:BG291)</f>
        <v>#DIV/0!</v>
      </c>
      <c r="BH213" s="37" t="e">
        <f>SUM(BH276,BH283)+SUM(BH285:BH291)</f>
        <v>#DIV/0!</v>
      </c>
      <c r="BI213" s="37" t="e">
        <f>SUM(BI276,BI283)+SUM(BI285:BI291)</f>
        <v>#DIV/0!</v>
      </c>
      <c r="BJ213" s="37" t="e">
        <f>SUM(BJ276,BJ283)+SUM(BJ285:BJ291)</f>
        <v>#DIV/0!</v>
      </c>
      <c r="BK213" s="3" t="n"/>
      <c r="BL213" s="37" t="e">
        <f>SUM(BL276,BL283)+SUM(BL285:BL291)</f>
        <v>#DIV/0!</v>
      </c>
      <c r="BM213" s="37" t="e">
        <f>SUM(BM276,BM283)+SUM(BM285:BM291)</f>
        <v>#DIV/0!</v>
      </c>
      <c r="BN213" s="37" t="e">
        <f>SUM(BN276,BN283)+SUM(BN285:BN291)</f>
        <v>#DIV/0!</v>
      </c>
      <c r="BO213" s="37" t="e">
        <f>SUM(BO276,BO283)+SUM(BO285:BO291)</f>
        <v>#DIV/0!</v>
      </c>
      <c r="BP213" s="3" t="n"/>
      <c r="BQ213" s="37" t="e">
        <f>SUM(BQ276,BQ283)+SUM(BQ285:BQ291)</f>
        <v>#DIV/0!</v>
      </c>
      <c r="BR213" s="37" t="e">
        <f>SUM(BR276,BR283)+SUM(BR285:BR291)</f>
        <v>#DIV/0!</v>
      </c>
      <c r="BS213" s="37" t="e">
        <f>SUM(BS276,BS283)+SUM(BS285:BS291)</f>
        <v>#DIV/0!</v>
      </c>
      <c r="BT213" s="37" t="e">
        <f>SUM(BT276,BT283)+SUM(BT285:BT291)</f>
        <v>#DIV/0!</v>
      </c>
      <c r="BU213" s="3" t="n"/>
      <c r="BV213" s="37" t="e">
        <f>SUM(BV276,BV283)+SUM(BV285:BV291)</f>
        <v>#DIV/0!</v>
      </c>
      <c r="BW213" s="37" t="e">
        <f>SUM(BW276,BW283)+SUM(BW285:BW291)</f>
        <v>#DIV/0!</v>
      </c>
      <c r="BX213" s="37" t="e">
        <f>SUM(BX276,BX283)+SUM(BX285:BX291)</f>
        <v>#DIV/0!</v>
      </c>
      <c r="BY213" s="37" t="e">
        <f>SUM(BY276,BY283)+SUM(BY285:BY291)</f>
        <v>#DIV/0!</v>
      </c>
      <c r="BZ213" s="3" t="n"/>
      <c r="CA213" s="37" t="e">
        <f>SUM(CA276,CA283)+SUM(CA285:CA291)</f>
        <v>#DIV/0!</v>
      </c>
      <c r="CB213" s="37" t="e">
        <f>SUM(CB276,CB283)+SUM(CB285:CB291)</f>
        <v>#DIV/0!</v>
      </c>
      <c r="CC213" s="37" t="e">
        <f>SUM(CC276,CC283)+SUM(CC285:CC291)</f>
        <v>#DIV/0!</v>
      </c>
      <c r="CD213" s="37" t="e">
        <f>SUM(CD276,CD283)+SUM(CD285:CD291)</f>
        <v>#DIV/0!</v>
      </c>
      <c r="CE213" s="3" t="n"/>
      <c r="CF213" s="37" t="e">
        <f>SUM(CF276,CF283)+SUM(CF285:CF291)</f>
        <v>#DIV/0!</v>
      </c>
      <c r="CG213" s="37" t="e">
        <f>SUM(CG276,CG283)+SUM(CG285:CG291)</f>
        <v>#DIV/0!</v>
      </c>
      <c r="CH213" s="37" t="e">
        <f>SUM(CH276,CH283)+SUM(CH285:CH291)</f>
        <v>#DIV/0!</v>
      </c>
      <c r="CI213" s="37" t="e">
        <f>SUM(CI276,CI283)+SUM(CI285:CI291)</f>
        <v>#DIV/0!</v>
      </c>
      <c r="CJ213" s="3" t="n"/>
      <c r="CK213" s="37" t="e">
        <f>SUM(CK276,CK283)+SUM(CK285:CK291)</f>
        <v>#DIV/0!</v>
      </c>
      <c r="CL213" s="37" t="e">
        <f>SUM(CL276,CL283)+SUM(CL285:CL291)</f>
        <v>#DIV/0!</v>
      </c>
      <c r="CM213" s="37" t="e">
        <f>SUM(CM276,CM283)+SUM(CM285:CM291)</f>
        <v>#DIV/0!</v>
      </c>
      <c r="CN213" s="37" t="e">
        <f>SUM(CN276,CN283)+SUM(CN285:CN291)</f>
        <v>#DIV/0!</v>
      </c>
      <c r="CO213" s="3" t="n"/>
      <c r="CP213" s="37" t="e">
        <f>SUM(CP276,CP283)+SUM(CP285:CP291)</f>
        <v>#DIV/0!</v>
      </c>
      <c r="CQ213" s="37" t="e">
        <f>SUM(CQ276,CQ283)+SUM(CQ285:CQ291)</f>
        <v>#DIV/0!</v>
      </c>
      <c r="CR213" s="37" t="e">
        <f>SUM(CR276,CR283)+SUM(CR285:CR291)</f>
        <v>#DIV/0!</v>
      </c>
      <c r="CS213" s="37" t="e">
        <f>SUM(CS276,CS283)+SUM(CS285:CS291)</f>
        <v>#DIV/0!</v>
      </c>
      <c r="CT213" s="3" t="n"/>
      <c r="CU213" s="37" t="e">
        <f>SUM(CU276,CU283)+SUM(CU285:CU291)</f>
        <v>#DIV/0!</v>
      </c>
      <c r="CV213" s="37" t="e">
        <f>SUM(CV276,CV283)+SUM(CV285:CV291)</f>
        <v>#DIV/0!</v>
      </c>
      <c r="CW213" s="37" t="e">
        <f>SUM(CW276,CW283)+SUM(CW285:CW291)</f>
        <v>#DIV/0!</v>
      </c>
      <c r="CX213" s="37" t="e">
        <f>SUM(CX276,CX283)+SUM(CX285:CX291)</f>
        <v>#DIV/0!</v>
      </c>
      <c r="CY213" s="3" t="n"/>
    </row>
    <row r="214" hidden="1" outlineLevel="1">
      <c r="C214" s="34" t="inlineStr">
        <is>
          <t>Less: Minimum cash balance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250" t="n"/>
      <c r="AH214" s="3">
        <f>($AG$214*AH15)</f>
        <v>0</v>
      </c>
      <c r="AI214" s="3">
        <f>($AG$214*AI15)</f>
        <v>0</v>
      </c>
      <c r="AJ214" s="3">
        <f>($AG$214*AJ15)</f>
        <v>0</v>
      </c>
      <c r="AK214" s="3">
        <f>($AG$214*AK15)</f>
        <v>0</v>
      </c>
      <c r="AL214" s="3" t="n"/>
      <c r="AM214" s="3">
        <f>($AG$214*AM15)</f>
        <v>0</v>
      </c>
      <c r="AN214" s="3">
        <f>($AG$214*AN15)</f>
        <v>0</v>
      </c>
      <c r="AO214" s="3">
        <f>($AG$214*AO15)</f>
        <v>0</v>
      </c>
      <c r="AP214" s="3">
        <f>($AG$214*AP15)</f>
        <v>0</v>
      </c>
      <c r="AQ214" s="3" t="n"/>
      <c r="AR214" s="3">
        <f>($AG$214*AR15)</f>
        <v>0</v>
      </c>
      <c r="AS214" s="3">
        <f>($AG$214*AS15)</f>
        <v>0</v>
      </c>
      <c r="AT214" s="3">
        <f>($AG$214*AT15)</f>
        <v>0</v>
      </c>
      <c r="AU214" s="3">
        <f>($AG$214*AU15)</f>
        <v>0</v>
      </c>
      <c r="AV214" s="3" t="n"/>
      <c r="AW214" s="3">
        <f>($AG$214*AW15)</f>
        <v>0</v>
      </c>
      <c r="AX214" s="3">
        <f>($AG$214*AX15)</f>
        <v>0</v>
      </c>
      <c r="AY214" s="3">
        <f>($AG$214*AY15)</f>
        <v>0</v>
      </c>
      <c r="AZ214" s="3">
        <f>($AG$214*AZ15)</f>
        <v>0</v>
      </c>
      <c r="BA214" s="3" t="n"/>
      <c r="BB214" s="3">
        <f>($AG$214*BB15)</f>
        <v>0</v>
      </c>
      <c r="BC214" s="3">
        <f>($AG$214*BC15)</f>
        <v>0</v>
      </c>
      <c r="BD214" s="3">
        <f>($AG$214*BD15)</f>
        <v>0</v>
      </c>
      <c r="BE214" s="3">
        <f>($AG$214*BE15)</f>
        <v>0</v>
      </c>
      <c r="BF214" s="3" t="n"/>
      <c r="BG214" s="3">
        <f>($AG$214*BG15)</f>
        <v>0</v>
      </c>
      <c r="BH214" s="3">
        <f>($AG$214*BH15)</f>
        <v>0</v>
      </c>
      <c r="BI214" s="3">
        <f>($AG$214*BI15)</f>
        <v>0</v>
      </c>
      <c r="BJ214" s="3">
        <f>($AG$214*BJ15)</f>
        <v>0</v>
      </c>
      <c r="BK214" s="3" t="n"/>
      <c r="BL214" s="3">
        <f>($AG$214*BL15)</f>
        <v>0</v>
      </c>
      <c r="BM214" s="3">
        <f>($AG$214*BM15)</f>
        <v>0</v>
      </c>
      <c r="BN214" s="3">
        <f>($AG$214*BN15)</f>
        <v>0</v>
      </c>
      <c r="BO214" s="3">
        <f>($AG$214*BO15)</f>
        <v>0</v>
      </c>
      <c r="BP214" s="3" t="n"/>
      <c r="BQ214" s="3">
        <f>($AG$214*BQ15)</f>
        <v>0</v>
      </c>
      <c r="BR214" s="3">
        <f>($AG$214*BR15)</f>
        <v>0</v>
      </c>
      <c r="BS214" s="3">
        <f>($AG$214*BS15)</f>
        <v>0</v>
      </c>
      <c r="BT214" s="3">
        <f>($AG$214*BT15)</f>
        <v>0</v>
      </c>
      <c r="BU214" s="3" t="n"/>
      <c r="BV214" s="3">
        <f>($AG$214*BV15)</f>
        <v>0</v>
      </c>
      <c r="BW214" s="3">
        <f>($AG$214*BW15)</f>
        <v>0</v>
      </c>
      <c r="BX214" s="3">
        <f>($AG$214*BX15)</f>
        <v>0</v>
      </c>
      <c r="BY214" s="3">
        <f>($AG$214*BY15)</f>
        <v>0</v>
      </c>
      <c r="BZ214" s="3" t="n"/>
      <c r="CA214" s="3">
        <f>($AG$214*CA15)</f>
        <v>0</v>
      </c>
      <c r="CB214" s="3">
        <f>($AG$214*CB15)</f>
        <v>0</v>
      </c>
      <c r="CC214" s="3">
        <f>($AG$214*CC15)</f>
        <v>0</v>
      </c>
      <c r="CD214" s="3">
        <f>($AG$214*CD15)</f>
        <v>0</v>
      </c>
      <c r="CE214" s="3" t="n"/>
      <c r="CF214" s="3">
        <f>($AG$214*CF15)</f>
        <v>0</v>
      </c>
      <c r="CG214" s="3">
        <f>($AG$214*CG15)</f>
        <v>0</v>
      </c>
      <c r="CH214" s="3">
        <f>($AG$214*CH15)</f>
        <v>0</v>
      </c>
      <c r="CI214" s="3">
        <f>($AG$214*CI15)</f>
        <v>0</v>
      </c>
      <c r="CJ214" s="3" t="n"/>
      <c r="CK214" s="3">
        <f>($AG$214*CK15)</f>
        <v>0</v>
      </c>
      <c r="CL214" s="3">
        <f>($AG$214*CL15)</f>
        <v>0</v>
      </c>
      <c r="CM214" s="3">
        <f>($AG$214*CM15)</f>
        <v>0</v>
      </c>
      <c r="CN214" s="3">
        <f>($AG$214*CN15)</f>
        <v>0</v>
      </c>
      <c r="CO214" s="3" t="n"/>
      <c r="CP214" s="3">
        <f>($AG$214*CP15)</f>
        <v>0</v>
      </c>
      <c r="CQ214" s="3">
        <f>($AG$214*CQ15)</f>
        <v>0</v>
      </c>
      <c r="CR214" s="3">
        <f>($AG$214*CR15)</f>
        <v>0</v>
      </c>
      <c r="CS214" s="3">
        <f>($AG$214*CS15)</f>
        <v>0</v>
      </c>
      <c r="CT214" s="3" t="n"/>
      <c r="CU214" s="3">
        <f>($AG$214*CU15)</f>
        <v>0</v>
      </c>
      <c r="CV214" s="3">
        <f>($AG$214*CV15)</f>
        <v>0</v>
      </c>
      <c r="CW214" s="3">
        <f>($AG$214*CW15)</f>
        <v>0</v>
      </c>
      <c r="CX214" s="3">
        <f>($AG$214*CX15)</f>
        <v>0</v>
      </c>
      <c r="CY214" s="3" t="n"/>
    </row>
    <row r="215" hidden="1" outlineLevel="1">
      <c r="C215" s="34" t="inlineStr">
        <is>
          <t>Total cash available / (debt required) for short term debt paydown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1">
        <f>AH212+AH213-AH214-AF202+AH204+AH208</f>
        <v>4336</v>
      </c>
      <c r="AI215" s="1">
        <f>AI212+AI213-AI214-AG202+AI204+AI208</f>
        <v>561</v>
      </c>
      <c r="AJ215" s="1">
        <f>AJ212+AJ213-AJ214-AH202+AJ204+AJ208</f>
        <v>3441</v>
      </c>
      <c r="AK215" s="1">
        <f>AK212+AK213-AK214-AI202+AK204+AK208</f>
        <v>263</v>
      </c>
      <c r="AL215" s="3" t="n"/>
      <c r="AM215" s="1" t="e">
        <f>AM212+AM213-AM214-AK202+AM204+AM208</f>
        <v>#DIV/0!</v>
      </c>
      <c r="AN215" s="1" t="e">
        <f>AN212+AN213-AN214-AL202+AN204+AN208</f>
        <v>#DIV/0!</v>
      </c>
      <c r="AO215" s="1" t="e">
        <f>AO212+AO213-AO214-AM202+AO204+AO208</f>
        <v>#DIV/0!</v>
      </c>
      <c r="AP215" s="1" t="e">
        <f>AP212+AP213-AP214-AN202+AP204+AP208</f>
        <v>#DIV/0!</v>
      </c>
      <c r="AQ215" s="3" t="n"/>
      <c r="AR215" s="1" t="e">
        <f>AR212+AR213-AR214-AP202+AR204+AR208</f>
        <v>#DIV/0!</v>
      </c>
      <c r="AS215" s="1" t="e">
        <f>AS212+AS213-AS214-AQ202+AS204+AS208</f>
        <v>#DIV/0!</v>
      </c>
      <c r="AT215" s="1" t="e">
        <f>AT212+AT213-AT214-AR202+AT204+AT208</f>
        <v>#DIV/0!</v>
      </c>
      <c r="AU215" s="1" t="e">
        <f>AU212+AU213-AU214-AS202+AU204+AU208</f>
        <v>#DIV/0!</v>
      </c>
      <c r="AV215" s="3" t="n"/>
      <c r="AW215" s="1" t="e">
        <f>AW212+AW213-AW214-AU202+AW204+AW208</f>
        <v>#DIV/0!</v>
      </c>
      <c r="AX215" s="1" t="e">
        <f>AX212+AX213-AX214-AV202+AX204+AX208</f>
        <v>#DIV/0!</v>
      </c>
      <c r="AY215" s="1" t="e">
        <f>AY212+AY213-AY214-AW202+AY204+AY208</f>
        <v>#DIV/0!</v>
      </c>
      <c r="AZ215" s="1" t="e">
        <f>AZ212+AZ213-AZ214-AX202+AZ204+AZ208</f>
        <v>#DIV/0!</v>
      </c>
      <c r="BA215" s="3" t="n"/>
      <c r="BB215" s="1" t="e">
        <f>BB212+BB213-BB214-AZ202+BB204+BB208</f>
        <v>#DIV/0!</v>
      </c>
      <c r="BC215" s="1" t="e">
        <f>BC212+BC213-BC214-BA202+BC204+BC208</f>
        <v>#DIV/0!</v>
      </c>
      <c r="BD215" s="1" t="e">
        <f>BD212+BD213-BD214-BB202+BD204+BD208</f>
        <v>#DIV/0!</v>
      </c>
      <c r="BE215" s="1" t="e">
        <f>BE212+BE213-BE214-BC202+BE204+BE208</f>
        <v>#DIV/0!</v>
      </c>
      <c r="BF215" s="3" t="n"/>
      <c r="BG215" s="1" t="e">
        <f>BG212+BG213-BG214-BE202+BG204+BG208</f>
        <v>#DIV/0!</v>
      </c>
      <c r="BH215" s="1" t="e">
        <f>BH212+BH213-BH214-BF202+BH204+BH208</f>
        <v>#DIV/0!</v>
      </c>
      <c r="BI215" s="1" t="e">
        <f>BI212+BI213-BI214-BG202+BI204+BI208</f>
        <v>#DIV/0!</v>
      </c>
      <c r="BJ215" s="1" t="e">
        <f>BJ212+BJ213-BJ214-BH202+BJ204+BJ208</f>
        <v>#DIV/0!</v>
      </c>
      <c r="BK215" s="3" t="n"/>
      <c r="BL215" s="1" t="e">
        <f>BL212+BL213-BL214-BJ202+BL204+BL208</f>
        <v>#DIV/0!</v>
      </c>
      <c r="BM215" s="1" t="e">
        <f>BM212+BM213-BM214-BK202+BM204+BM208</f>
        <v>#DIV/0!</v>
      </c>
      <c r="BN215" s="1" t="e">
        <f>BN212+BN213-BN214-BL202+BN204+BN208</f>
        <v>#DIV/0!</v>
      </c>
      <c r="BO215" s="1" t="e">
        <f>BO212+BO213-BO214-BM202+BO204+BO208</f>
        <v>#DIV/0!</v>
      </c>
      <c r="BP215" s="3" t="n"/>
      <c r="BQ215" s="1" t="e">
        <f>BQ212+BQ213-BQ214-BO202+BQ204+BQ208</f>
        <v>#DIV/0!</v>
      </c>
      <c r="BR215" s="1" t="e">
        <f>BR212+BR213-BR214-BP202+BR204+BR208</f>
        <v>#DIV/0!</v>
      </c>
      <c r="BS215" s="1" t="e">
        <f>BS212+BS213-BS214-BQ202+BS204+BS208</f>
        <v>#DIV/0!</v>
      </c>
      <c r="BT215" s="1" t="e">
        <f>BT212+BT213-BT214-BR202+BT204+BT208</f>
        <v>#DIV/0!</v>
      </c>
      <c r="BU215" s="3" t="n"/>
      <c r="BV215" s="1" t="e">
        <f>BV212+BV213-BV214-BT202+BV204+BV208</f>
        <v>#DIV/0!</v>
      </c>
      <c r="BW215" s="1" t="e">
        <f>BW212+BW213-BW214-BU202+BW204+BW208</f>
        <v>#DIV/0!</v>
      </c>
      <c r="BX215" s="1" t="e">
        <f>BX212+BX213-BX214-BV202+BX204+BX208</f>
        <v>#DIV/0!</v>
      </c>
      <c r="BY215" s="1" t="e">
        <f>BY212+BY213-BY214-BW202+BY204+BY208</f>
        <v>#DIV/0!</v>
      </c>
      <c r="BZ215" s="3" t="n"/>
      <c r="CA215" s="1" t="e">
        <f>CA212+CA213-CA214-BY202+CA204+CA208</f>
        <v>#DIV/0!</v>
      </c>
      <c r="CB215" s="1" t="e">
        <f>CB212+CB213-CB214-BZ202+CB204+CB208</f>
        <v>#DIV/0!</v>
      </c>
      <c r="CC215" s="1" t="e">
        <f>CC212+CC213-CC214-CA202+CC204+CC208</f>
        <v>#DIV/0!</v>
      </c>
      <c r="CD215" s="1" t="e">
        <f>CD212+CD213-CD214-CB202+CD204+CD208</f>
        <v>#DIV/0!</v>
      </c>
      <c r="CE215" s="3" t="n"/>
      <c r="CF215" s="1" t="e">
        <f>CF212+CF213-CF214-CD202+CF204+CF208</f>
        <v>#DIV/0!</v>
      </c>
      <c r="CG215" s="1" t="e">
        <f>CG212+CG213-CG214-CE202+CG204+CG208</f>
        <v>#DIV/0!</v>
      </c>
      <c r="CH215" s="1" t="e">
        <f>CH212+CH213-CH214-CF202+CH204+CH208</f>
        <v>#DIV/0!</v>
      </c>
      <c r="CI215" s="1" t="e">
        <f>CI212+CI213-CI214-CG202+CI204+CI208</f>
        <v>#DIV/0!</v>
      </c>
      <c r="CJ215" s="3" t="n"/>
      <c r="CK215" s="1" t="e">
        <f>CK212+CK213-CK214-CI202+CK204+CK208</f>
        <v>#DIV/0!</v>
      </c>
      <c r="CL215" s="1" t="e">
        <f>CL212+CL213-CL214-CJ202+CL204+CL208</f>
        <v>#DIV/0!</v>
      </c>
      <c r="CM215" s="1" t="e">
        <f>CM212+CM213-CM214-CK202+CM204+CM208</f>
        <v>#DIV/0!</v>
      </c>
      <c r="CN215" s="1" t="e">
        <f>CN212+CN213-CN214-CL202+CN204+CN208</f>
        <v>#DIV/0!</v>
      </c>
      <c r="CO215" s="3" t="n"/>
      <c r="CP215" s="1" t="e">
        <f>CP212+CP213-CP214-CN202+CP204+CP208</f>
        <v>#DIV/0!</v>
      </c>
      <c r="CQ215" s="1" t="e">
        <f>CQ212+CQ213-CQ214-CO202+CQ204+CQ208</f>
        <v>#DIV/0!</v>
      </c>
      <c r="CR215" s="1" t="e">
        <f>CR212+CR213-CR214-CP202+CR204+CR208</f>
        <v>#DIV/0!</v>
      </c>
      <c r="CS215" s="1" t="e">
        <f>CS212+CS213-CS214-CQ202+CS204+CS208</f>
        <v>#DIV/0!</v>
      </c>
      <c r="CT215" s="3" t="n"/>
      <c r="CU215" s="1" t="e">
        <f>CU212+CU213-CU214-CS202+CU204+CU208</f>
        <v>#DIV/0!</v>
      </c>
      <c r="CV215" s="1" t="e">
        <f>CV212+CV213-CV214-CT202+CV204+CV208</f>
        <v>#DIV/0!</v>
      </c>
      <c r="CW215" s="1" t="e">
        <f>CW212+CW213-CW214-CU202+CW204+CW208</f>
        <v>#DIV/0!</v>
      </c>
      <c r="CX215" s="1" t="e">
        <f>CX212+CX213-CX214-CV202+CX204+CX208</f>
        <v>#DIV/0!</v>
      </c>
      <c r="CY215" s="3" t="n"/>
    </row>
    <row r="216" hidden="1" outlineLevel="1">
      <c r="C216" s="34" t="inlineStr">
        <is>
          <t>Short term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>
        <f>AH196</f>
        <v>0</v>
      </c>
      <c r="AI216" s="3">
        <f>MAX(0,AH216-AI215)</f>
        <v>0</v>
      </c>
      <c r="AJ216" s="3">
        <f>MAX(0,AI216-AJ215)</f>
        <v>0</v>
      </c>
      <c r="AK216" s="3">
        <f>MAX(0,AJ216-AK215)</f>
        <v>0</v>
      </c>
      <c r="AL216" s="3" t="n"/>
      <c r="AM216" s="3">
        <f>AM196</f>
        <v>0</v>
      </c>
      <c r="AN216" s="3" t="e">
        <f>MAX(0,AM216-AN215)</f>
        <v>#DIV/0!</v>
      </c>
      <c r="AO216" s="3" t="e">
        <f>MAX(0,AN216-AO215)</f>
        <v>#DIV/0!</v>
      </c>
      <c r="AP216" s="3" t="e">
        <f>MAX(0,AO216-AP215)</f>
        <v>#DIV/0!</v>
      </c>
      <c r="AQ216" s="3" t="n"/>
      <c r="AR216" s="3">
        <f>AR196</f>
        <v>0</v>
      </c>
      <c r="AS216" s="3" t="e">
        <f>MAX(0,AR216-AS215)</f>
        <v>#DIV/0!</v>
      </c>
      <c r="AT216" s="3" t="e">
        <f>MAX(0,AS216-AT215)</f>
        <v>#DIV/0!</v>
      </c>
      <c r="AU216" s="3" t="e">
        <f>MAX(0,AT216-AU215)</f>
        <v>#DIV/0!</v>
      </c>
      <c r="AV216" s="3" t="n"/>
      <c r="AW216" s="3">
        <f>AW196</f>
        <v>0</v>
      </c>
      <c r="AX216" s="3" t="e">
        <f>MAX(0,AW216-AX215)</f>
        <v>#DIV/0!</v>
      </c>
      <c r="AY216" s="3" t="e">
        <f>MAX(0,AX216-AY215)</f>
        <v>#DIV/0!</v>
      </c>
      <c r="AZ216" s="3" t="e">
        <f>MAX(0,AY216-AZ215)</f>
        <v>#DIV/0!</v>
      </c>
      <c r="BA216" s="3" t="n"/>
      <c r="BB216" s="3">
        <f>BB196</f>
        <v>0</v>
      </c>
      <c r="BC216" s="3" t="e">
        <f>MAX(0,BB216-BC215)</f>
        <v>#DIV/0!</v>
      </c>
      <c r="BD216" s="3" t="e">
        <f>MAX(0,BC216-BD215)</f>
        <v>#DIV/0!</v>
      </c>
      <c r="BE216" s="3" t="e">
        <f>MAX(0,BD216-BE215)</f>
        <v>#DIV/0!</v>
      </c>
      <c r="BF216" s="3" t="n"/>
      <c r="BG216" s="3">
        <f>BG196</f>
        <v>0</v>
      </c>
      <c r="BH216" s="3" t="e">
        <f>MAX(0,BG216-BH215)</f>
        <v>#DIV/0!</v>
      </c>
      <c r="BI216" s="3" t="e">
        <f>MAX(0,BH216-BI215)</f>
        <v>#DIV/0!</v>
      </c>
      <c r="BJ216" s="3" t="e">
        <f>MAX(0,BI216-BJ215)</f>
        <v>#DIV/0!</v>
      </c>
      <c r="BK216" s="3" t="n"/>
      <c r="BL216" s="3">
        <f>BL196</f>
        <v>0</v>
      </c>
      <c r="BM216" s="3" t="e">
        <f>MAX(0,BL216-BM215)</f>
        <v>#DIV/0!</v>
      </c>
      <c r="BN216" s="3" t="e">
        <f>MAX(0,BM216-BN215)</f>
        <v>#DIV/0!</v>
      </c>
      <c r="BO216" s="3" t="e">
        <f>MAX(0,BN216-BO215)</f>
        <v>#DIV/0!</v>
      </c>
      <c r="BP216" s="3" t="n"/>
      <c r="BQ216" s="3">
        <f>BQ196</f>
        <v>0</v>
      </c>
      <c r="BR216" s="3" t="e">
        <f>MAX(0,BQ216-BR215)</f>
        <v>#DIV/0!</v>
      </c>
      <c r="BS216" s="3" t="e">
        <f>MAX(0,BR216-BS215)</f>
        <v>#DIV/0!</v>
      </c>
      <c r="BT216" s="3" t="e">
        <f>MAX(0,BS216-BT215)</f>
        <v>#DIV/0!</v>
      </c>
      <c r="BU216" s="3" t="n"/>
      <c r="BV216" s="3">
        <f>BV196</f>
        <v>0</v>
      </c>
      <c r="BW216" s="3" t="e">
        <f>MAX(0,BV216-BW215)</f>
        <v>#DIV/0!</v>
      </c>
      <c r="BX216" s="3" t="e">
        <f>MAX(0,BW216-BX215)</f>
        <v>#DIV/0!</v>
      </c>
      <c r="BY216" s="3" t="e">
        <f>MAX(0,BX216-BY215)</f>
        <v>#DIV/0!</v>
      </c>
      <c r="BZ216" s="3" t="n"/>
      <c r="CA216" s="3">
        <f>CA196</f>
        <v>0</v>
      </c>
      <c r="CB216" s="3" t="e">
        <f>MAX(0,CA216-CB215)</f>
        <v>#DIV/0!</v>
      </c>
      <c r="CC216" s="3" t="e">
        <f>MAX(0,CB216-CC215)</f>
        <v>#DIV/0!</v>
      </c>
      <c r="CD216" s="3" t="e">
        <f>MAX(0,CC216-CD215)</f>
        <v>#DIV/0!</v>
      </c>
      <c r="CE216" s="3" t="n"/>
      <c r="CF216" s="3">
        <f>CF196</f>
        <v>0</v>
      </c>
      <c r="CG216" s="3" t="e">
        <f>MAX(0,CF216-CG215)</f>
        <v>#DIV/0!</v>
      </c>
      <c r="CH216" s="3" t="e">
        <f>MAX(0,CG216-CH215)</f>
        <v>#DIV/0!</v>
      </c>
      <c r="CI216" s="3" t="e">
        <f>MAX(0,CH216-CI215)</f>
        <v>#DIV/0!</v>
      </c>
      <c r="CJ216" s="3" t="n"/>
      <c r="CK216" s="3">
        <f>CK196</f>
        <v>0</v>
      </c>
      <c r="CL216" s="3" t="e">
        <f>MAX(0,CK216-CL215)</f>
        <v>#DIV/0!</v>
      </c>
      <c r="CM216" s="3" t="e">
        <f>MAX(0,CL216-CM215)</f>
        <v>#DIV/0!</v>
      </c>
      <c r="CN216" s="3" t="e">
        <f>MAX(0,CM216-CN215)</f>
        <v>#DIV/0!</v>
      </c>
      <c r="CO216" s="3" t="n"/>
      <c r="CP216" s="3">
        <f>CP196</f>
        <v>0</v>
      </c>
      <c r="CQ216" s="3" t="e">
        <f>MAX(0,CP216-CQ215)</f>
        <v>#DIV/0!</v>
      </c>
      <c r="CR216" s="3" t="e">
        <f>MAX(0,CQ216-CR215)</f>
        <v>#DIV/0!</v>
      </c>
      <c r="CS216" s="3" t="e">
        <f>MAX(0,CR216-CS215)</f>
        <v>#DIV/0!</v>
      </c>
      <c r="CT216" s="3" t="n"/>
      <c r="CU216" s="3">
        <f>CU196</f>
        <v>0</v>
      </c>
      <c r="CV216" s="3" t="e">
        <f>MAX(0,CU216-CV215)</f>
        <v>#DIV/0!</v>
      </c>
      <c r="CW216" s="3" t="e">
        <f>MAX(0,CV216-CW215)</f>
        <v>#DIV/0!</v>
      </c>
      <c r="CX216" s="3" t="e">
        <f>MAX(0,CW216-CX215)</f>
        <v>#DIV/0!</v>
      </c>
      <c r="CY216" s="3" t="n"/>
    </row>
    <row r="217" hidden="1" outlineLevel="1">
      <c r="C217" s="34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  <c r="BO217" s="3" t="n"/>
      <c r="BP217" s="3" t="n"/>
      <c r="BQ217" s="3" t="n"/>
      <c r="BR217" s="3" t="n"/>
      <c r="BS217" s="3" t="n"/>
      <c r="BT217" s="3" t="n"/>
      <c r="BU217" s="3" t="n"/>
      <c r="BV217" s="3" t="n"/>
      <c r="BW217" s="3" t="n"/>
      <c r="BX217" s="3" t="n"/>
      <c r="BY217" s="3" t="n"/>
      <c r="BZ217" s="3" t="n"/>
      <c r="CA217" s="3" t="n"/>
      <c r="CB217" s="3" t="n"/>
      <c r="CC217" s="3" t="n"/>
      <c r="CD217" s="3" t="n"/>
      <c r="CE217" s="3" t="n"/>
      <c r="CF217" s="3" t="n"/>
      <c r="CG217" s="3" t="n"/>
      <c r="CH217" s="3" t="n"/>
      <c r="CI217" s="3" t="n"/>
      <c r="CJ217" s="3" t="n"/>
      <c r="CK217" s="3" t="n"/>
      <c r="CL217" s="3" t="n"/>
      <c r="CM217" s="3" t="n"/>
      <c r="CN217" s="3" t="n"/>
      <c r="CO217" s="3" t="n"/>
      <c r="CP217" s="3" t="n"/>
      <c r="CQ217" s="3" t="n"/>
      <c r="CR217" s="3" t="n"/>
      <c r="CS217" s="3" t="n"/>
      <c r="CT217" s="3" t="n"/>
      <c r="CU217" s="3" t="n"/>
      <c r="CV217" s="3" t="n"/>
      <c r="CW217" s="3" t="n"/>
      <c r="CX217" s="3" t="n"/>
      <c r="CY217" s="3" t="n"/>
    </row>
    <row r="218" collapsed="1">
      <c r="C218" s="26" t="inlineStr">
        <is>
          <t>Long term operating leases</t>
        </is>
      </c>
      <c r="D218" s="25">
        <f>INDEX('Inputs (2)'!$D$36:$AL$36,MATCH(D$7,'Inputs (2)'!$D$2:$AL$2,0))</f>
        <v>0</v>
      </c>
      <c r="E218" s="25">
        <f>INDEX('Inputs (2)'!$D$36:$AL$36,MATCH(E$7,'Inputs (2)'!$D$2:$AL$2,0))</f>
        <v>0</v>
      </c>
      <c r="F218" s="25">
        <f>INDEX('Inputs (2)'!$D$36:$AL$36,MATCH(F$7,'Inputs (2)'!$D$2:$AL$2,0))</f>
        <v>0</v>
      </c>
      <c r="G218" s="25">
        <f>INDEX('Inputs (2)'!$D$36:$AL$36,MATCH(G$7,'Inputs (2)'!$D$2:$AL$2,0))</f>
        <v>0</v>
      </c>
      <c r="H218" s="3">
        <f>G218</f>
        <v>0</v>
      </c>
      <c r="I218" s="25">
        <f>INDEX('Inputs (2)'!$D$36:$AL$36,MATCH(I$7,'Inputs (2)'!$D$2:$AL$2,0))</f>
        <v>0</v>
      </c>
      <c r="J218" s="25">
        <f>INDEX('Inputs (2)'!$D$36:$AL$36,MATCH(J$7,'Inputs (2)'!$D$2:$AL$2,0))</f>
        <v>0</v>
      </c>
      <c r="K218" s="25">
        <f>INDEX('Inputs (2)'!$D$36:$AL$36,MATCH(K$7,'Inputs (2)'!$D$2:$AL$2,0))</f>
        <v>0</v>
      </c>
      <c r="L218" s="25">
        <f>INDEX('Inputs (2)'!$D$36:$AL$36,MATCH(L$7,'Inputs (2)'!$D$2:$AL$2,0))</f>
        <v>0</v>
      </c>
      <c r="M218" s="3">
        <f>L218</f>
        <v>0</v>
      </c>
      <c r="N218" s="25">
        <f>INDEX('Inputs (2)'!$D$36:$AL$36,MATCH(N$7,'Inputs (2)'!$D$2:$AL$2,0))</f>
        <v>0</v>
      </c>
      <c r="O218" s="25">
        <f>INDEX('Inputs (2)'!$D$36:$AL$36,MATCH(O$7,'Inputs (2)'!$D$2:$AL$2,0))</f>
        <v>0</v>
      </c>
      <c r="P218" s="25">
        <f>INDEX('Inputs (2)'!$D$36:$AL$36,MATCH(P$7,'Inputs (2)'!$D$2:$AL$2,0))</f>
        <v>0</v>
      </c>
      <c r="Q218" s="25">
        <f>INDEX('Inputs (2)'!$D$36:$AL$36,MATCH(Q$7,'Inputs (2)'!$D$2:$AL$2,0))</f>
        <v>0</v>
      </c>
      <c r="R218" s="3">
        <f>Q218</f>
        <v>0</v>
      </c>
      <c r="S218" s="25">
        <f>INDEX('Inputs (2)'!$D$36:$AL$36,MATCH(S$7,'Inputs (2)'!$D$2:$AL$2,0))</f>
        <v>0</v>
      </c>
      <c r="T218" s="25">
        <f>INDEX('Inputs (2)'!$D$36:$AL$36,MATCH(T$7,'Inputs (2)'!$D$2:$AL$2,0))</f>
        <v>0</v>
      </c>
      <c r="U218" s="25">
        <f>INDEX('Inputs (2)'!$D$36:$AL$36,MATCH(U$7,'Inputs (2)'!$D$2:$AL$2,0))</f>
        <v>0</v>
      </c>
      <c r="V218" s="25">
        <f>INDEX('Inputs (2)'!$D$36:$AL$36,MATCH(V$7,'Inputs (2)'!$D$2:$AL$2,0))</f>
        <v>0</v>
      </c>
      <c r="W218" s="3">
        <f>V218</f>
        <v>0</v>
      </c>
      <c r="X218" s="25">
        <f>INDEX('Inputs (2)'!$D$36:$AL$36,MATCH(X$7,'Inputs (2)'!$D$2:$AL$2,0))</f>
        <v>0</v>
      </c>
      <c r="Y218" s="25">
        <f>INDEX('Inputs (2)'!$D$36:$AL$36,MATCH(Y$7,'Inputs (2)'!$D$2:$AL$2,0))</f>
        <v>0</v>
      </c>
      <c r="Z218" s="25">
        <f>INDEX('Inputs (2)'!$D$36:$AL$36,MATCH(Z$7,'Inputs (2)'!$D$2:$AL$2,0))</f>
        <v>0</v>
      </c>
      <c r="AA218" s="25">
        <f>INDEX('Inputs (2)'!$D$36:$AL$36,MATCH(AA$7,'Inputs (2)'!$D$2:$AL$2,0))</f>
        <v>0</v>
      </c>
      <c r="AB218" s="3">
        <f>AA218</f>
        <v>0</v>
      </c>
      <c r="AC218" s="25">
        <f>INDEX('Inputs (2)'!$D$36:$AL$36,MATCH(AC$7,'Inputs (2)'!$D$2:$AL$2,0))</f>
        <v>0</v>
      </c>
      <c r="AD218" s="25">
        <f>INDEX('Inputs (2)'!$D$36:$AL$36,MATCH(AD$7,'Inputs (2)'!$D$2:$AL$2,0))</f>
        <v>0</v>
      </c>
      <c r="AE218" s="25">
        <f>INDEX('Inputs (2)'!$D$36:$AL$36,MATCH(AE$7,'Inputs (2)'!$D$2:$AL$2,0))</f>
        <v>0</v>
      </c>
      <c r="AF218" s="25">
        <f>INDEX('Inputs (2)'!$D$36:$AL$36,MATCH(AF$7,'Inputs (2)'!$D$2:$AL$2,0))</f>
        <v>0</v>
      </c>
      <c r="AG218" s="3">
        <f>AF218</f>
        <v>0</v>
      </c>
      <c r="AH218" s="3">
        <f>INDEX('Inputs (2)'!$D$36:$AL$36,MATCH(AH$7,'Inputs (2)'!$D$2:$AL$2,0))</f>
        <v>0</v>
      </c>
      <c r="AI218" s="3">
        <f>INDEX('Inputs (2)'!$D$36:$AL$36,MATCH(AI$7,'Inputs (2)'!$D$2:$AL$2,0))</f>
        <v>0</v>
      </c>
      <c r="AJ218" s="3">
        <f>AI218</f>
        <v>0</v>
      </c>
      <c r="AK218" s="3">
        <f>AJ218</f>
        <v>0</v>
      </c>
      <c r="AL218" s="3">
        <f>AK218</f>
        <v>0</v>
      </c>
      <c r="AM218" s="3">
        <f>AL218</f>
        <v>0</v>
      </c>
      <c r="AN218" s="3">
        <f>AM218</f>
        <v>0</v>
      </c>
      <c r="AO218" s="3">
        <f>AN218</f>
        <v>0</v>
      </c>
      <c r="AP218" s="3">
        <f>AO218</f>
        <v>0</v>
      </c>
      <c r="AQ218" s="3">
        <f>AP218</f>
        <v>0</v>
      </c>
      <c r="AR218" s="3">
        <f>AQ218</f>
        <v>0</v>
      </c>
      <c r="AS218" s="3">
        <f>AR218</f>
        <v>0</v>
      </c>
      <c r="AT218" s="3">
        <f>AS218</f>
        <v>0</v>
      </c>
      <c r="AU218" s="3">
        <f>AT218</f>
        <v>0</v>
      </c>
      <c r="AV218" s="3">
        <f>AU218</f>
        <v>0</v>
      </c>
      <c r="AW218" s="3">
        <f>AV218</f>
        <v>0</v>
      </c>
      <c r="AX218" s="3">
        <f>AW218</f>
        <v>0</v>
      </c>
      <c r="AY218" s="3">
        <f>AX218</f>
        <v>0</v>
      </c>
      <c r="AZ218" s="3">
        <f>AY218</f>
        <v>0</v>
      </c>
      <c r="BA218" s="3">
        <f>AZ218</f>
        <v>0</v>
      </c>
      <c r="BB218" s="3">
        <f>BA218</f>
        <v>0</v>
      </c>
      <c r="BC218" s="3">
        <f>BB218</f>
        <v>0</v>
      </c>
      <c r="BD218" s="3">
        <f>BC218</f>
        <v>0</v>
      </c>
      <c r="BE218" s="3">
        <f>BD218</f>
        <v>0</v>
      </c>
      <c r="BF218" s="3">
        <f>BE218</f>
        <v>0</v>
      </c>
      <c r="BG218" s="3">
        <f>BF218</f>
        <v>0</v>
      </c>
      <c r="BH218" s="3">
        <f>BG218</f>
        <v>0</v>
      </c>
      <c r="BI218" s="3">
        <f>BH218</f>
        <v>0</v>
      </c>
      <c r="BJ218" s="3">
        <f>BI218</f>
        <v>0</v>
      </c>
      <c r="BK218" s="3">
        <f>BJ218</f>
        <v>0</v>
      </c>
      <c r="BL218" s="3">
        <f>BK218</f>
        <v>0</v>
      </c>
      <c r="BM218" s="3">
        <f>BL218</f>
        <v>0</v>
      </c>
      <c r="BN218" s="3">
        <f>BM218</f>
        <v>0</v>
      </c>
      <c r="BO218" s="3">
        <f>BN218</f>
        <v>0</v>
      </c>
      <c r="BP218" s="3">
        <f>BO218</f>
        <v>0</v>
      </c>
      <c r="BQ218" s="3">
        <f>BP218</f>
        <v>0</v>
      </c>
      <c r="BR218" s="3">
        <f>BQ218</f>
        <v>0</v>
      </c>
      <c r="BS218" s="3">
        <f>BR218</f>
        <v>0</v>
      </c>
      <c r="BT218" s="3">
        <f>BS218</f>
        <v>0</v>
      </c>
      <c r="BU218" s="3">
        <f>BT218</f>
        <v>0</v>
      </c>
      <c r="BV218" s="3">
        <f>BU218</f>
        <v>0</v>
      </c>
      <c r="BW218" s="3">
        <f>BV218</f>
        <v>0</v>
      </c>
      <c r="BX218" s="3">
        <f>BW218</f>
        <v>0</v>
      </c>
      <c r="BY218" s="3">
        <f>BX218</f>
        <v>0</v>
      </c>
      <c r="BZ218" s="3">
        <f>BY218</f>
        <v>0</v>
      </c>
      <c r="CA218" s="3">
        <f>BZ218</f>
        <v>0</v>
      </c>
      <c r="CB218" s="3">
        <f>CA218</f>
        <v>0</v>
      </c>
      <c r="CC218" s="3">
        <f>CB218</f>
        <v>0</v>
      </c>
      <c r="CD218" s="3">
        <f>CC218</f>
        <v>0</v>
      </c>
      <c r="CE218" s="3">
        <f>CD218</f>
        <v>0</v>
      </c>
      <c r="CF218" s="3">
        <f>CE218</f>
        <v>0</v>
      </c>
      <c r="CG218" s="3">
        <f>CF218</f>
        <v>0</v>
      </c>
      <c r="CH218" s="3">
        <f>CG218</f>
        <v>0</v>
      </c>
      <c r="CI218" s="3">
        <f>CH218</f>
        <v>0</v>
      </c>
      <c r="CJ218" s="3">
        <f>CI218</f>
        <v>0</v>
      </c>
      <c r="CK218" s="3">
        <f>CJ218</f>
        <v>0</v>
      </c>
      <c r="CL218" s="3">
        <f>CK218</f>
        <v>0</v>
      </c>
      <c r="CM218" s="3">
        <f>CL218</f>
        <v>0</v>
      </c>
      <c r="CN218" s="3">
        <f>CM218</f>
        <v>0</v>
      </c>
      <c r="CO218" s="3">
        <f>CN218</f>
        <v>0</v>
      </c>
      <c r="CP218" s="3">
        <f>CO218</f>
        <v>0</v>
      </c>
      <c r="CQ218" s="3">
        <f>CP218</f>
        <v>0</v>
      </c>
      <c r="CR218" s="3">
        <f>CQ218</f>
        <v>0</v>
      </c>
      <c r="CS218" s="3">
        <f>CR218</f>
        <v>0</v>
      </c>
      <c r="CT218" s="3">
        <f>CS218</f>
        <v>0</v>
      </c>
      <c r="CU218" s="3">
        <f>CT218</f>
        <v>0</v>
      </c>
      <c r="CV218" s="3">
        <f>CU218</f>
        <v>0</v>
      </c>
      <c r="CW218" s="3">
        <f>CV218</f>
        <v>0</v>
      </c>
      <c r="CX218" s="3">
        <f>CW218</f>
        <v>0</v>
      </c>
      <c r="CY218" s="3">
        <f>CX218</f>
        <v>0</v>
      </c>
    </row>
    <row r="219" hidden="1" outlineLevel="1">
      <c r="C219" s="38" t="inlineStr">
        <is>
          <t>%(Var.)</t>
        </is>
      </c>
      <c r="D219" s="3" t="n"/>
      <c r="E219" s="47">
        <f>IFERROR((E218-D218)/D218,0)</f>
        <v>0</v>
      </c>
      <c r="F219" s="47">
        <f>IFERROR((F218-E218)/E218,0)</f>
        <v>0</v>
      </c>
      <c r="G219" s="47">
        <f>IFERROR((G218-F218)/F218,0)</f>
        <v>0</v>
      </c>
      <c r="H219" s="3" t="n"/>
      <c r="I219" s="47">
        <f>IFERROR((I218-H218)/H218,0)</f>
        <v>0</v>
      </c>
      <c r="J219" s="47">
        <f>IFERROR((J218-I218)/I218,0)</f>
        <v>0</v>
      </c>
      <c r="K219" s="47">
        <f>IFERROR((K218-J218)/J218,0)</f>
        <v>0</v>
      </c>
      <c r="L219" s="47">
        <f>IFERROR((L218-K218)/K218,0)</f>
        <v>0</v>
      </c>
      <c r="M219" s="3" t="n"/>
      <c r="N219" s="47">
        <f>IFERROR((N218-M218)/M218,0)</f>
        <v>0</v>
      </c>
      <c r="O219" s="47">
        <f>IFERROR((O218-N218)/N218,0)</f>
        <v>0</v>
      </c>
      <c r="P219" s="47">
        <f>IFERROR((P218-O218)/O218,0)</f>
        <v>0</v>
      </c>
      <c r="Q219" s="47">
        <f>IFERROR((Q218-P218)/P218,0)</f>
        <v>0</v>
      </c>
      <c r="R219" s="3" t="n"/>
      <c r="S219" s="47">
        <f>IFERROR((S218-R218)/R218,0)</f>
        <v>0</v>
      </c>
      <c r="T219" s="47">
        <f>IFERROR((T218-S218)/S218,0)</f>
        <v>0</v>
      </c>
      <c r="U219" s="47">
        <f>IFERROR((U218-T218)/T218,0)</f>
        <v>0</v>
      </c>
      <c r="V219" s="47">
        <f>IFERROR((V218-U218)/U218,0)</f>
        <v>0</v>
      </c>
      <c r="W219" s="3" t="n"/>
      <c r="X219" s="47">
        <f>IFERROR((X218-W218)/W218,0)</f>
        <v>0</v>
      </c>
      <c r="Y219" s="47">
        <f>IFERROR((Y218-X218)/X218,0)</f>
        <v>0</v>
      </c>
      <c r="Z219" s="47">
        <f>IFERROR((Z218-Y218)/Y218,0)</f>
        <v>0</v>
      </c>
      <c r="AA219" s="47">
        <f>IFERROR((AA218-Z218)/Z218,0)</f>
        <v>0</v>
      </c>
      <c r="AB219" s="3" t="n"/>
      <c r="AC219" s="47">
        <f>IFERROR((AC218-AB218)/AB218,0)</f>
        <v>0</v>
      </c>
      <c r="AD219" s="47">
        <f>IFERROR((AD218-AC218)/AC218,0)</f>
        <v>0</v>
      </c>
      <c r="AE219" s="47">
        <f>IFERROR((AE218-AD218)/AD218,0)</f>
        <v>0</v>
      </c>
      <c r="AF219" s="230">
        <f>IFERROR((AF218-AE218)/AE218,0)</f>
        <v>0</v>
      </c>
      <c r="AG219" s="3" t="n"/>
      <c r="AH219" s="6">
        <f>IFERROR((AH218-AG218)/AG218,0)</f>
        <v>0</v>
      </c>
      <c r="AI219" s="6">
        <f>IFERROR((AI218-AH218)/AH218,0)</f>
        <v>0</v>
      </c>
      <c r="AJ219" s="6" t="n"/>
      <c r="AK219" s="6" t="n"/>
      <c r="AL219" s="3" t="n"/>
      <c r="AM219" s="6" t="n"/>
      <c r="AN219" s="6" t="n"/>
      <c r="AO219" s="6" t="n"/>
      <c r="AP219" s="6" t="n"/>
      <c r="AQ219" s="3" t="n"/>
      <c r="AR219" s="6" t="n"/>
      <c r="AS219" s="6" t="n"/>
      <c r="AT219" s="6" t="n"/>
      <c r="AU219" s="6" t="n"/>
      <c r="AV219" s="3" t="n"/>
      <c r="AW219" s="6" t="n"/>
      <c r="AX219" s="6" t="n"/>
      <c r="AY219" s="6" t="n"/>
      <c r="AZ219" s="6" t="n"/>
      <c r="BA219" s="3" t="n"/>
      <c r="BB219" s="6" t="n"/>
      <c r="BC219" s="6" t="n"/>
      <c r="BD219" s="6" t="n"/>
      <c r="BE219" s="6" t="n"/>
      <c r="BF219" s="3" t="n"/>
      <c r="BG219" s="6" t="n"/>
      <c r="BH219" s="6" t="n"/>
      <c r="BI219" s="6" t="n"/>
      <c r="BJ219" s="6" t="n"/>
      <c r="BK219" s="3" t="n"/>
      <c r="BL219" s="6" t="n"/>
      <c r="BM219" s="6" t="n"/>
      <c r="BN219" s="6" t="n"/>
      <c r="BO219" s="6" t="n"/>
      <c r="BP219" s="3" t="n"/>
      <c r="BQ219" s="6" t="n"/>
      <c r="BR219" s="6" t="n"/>
      <c r="BS219" s="6" t="n"/>
      <c r="BT219" s="6" t="n"/>
      <c r="BU219" s="3" t="n"/>
      <c r="BV219" s="6" t="n"/>
      <c r="BW219" s="6" t="n"/>
      <c r="BX219" s="6" t="n"/>
      <c r="BY219" s="6" t="n"/>
      <c r="BZ219" s="3" t="n"/>
      <c r="CA219" s="6" t="n"/>
      <c r="CB219" s="6" t="n"/>
      <c r="CC219" s="6" t="n"/>
      <c r="CD219" s="6" t="n"/>
      <c r="CE219" s="3" t="n"/>
      <c r="CF219" s="6" t="n"/>
      <c r="CG219" s="6" t="n"/>
      <c r="CH219" s="6" t="n"/>
      <c r="CI219" s="6" t="n"/>
      <c r="CJ219" s="3" t="n"/>
      <c r="CK219" s="6" t="n"/>
      <c r="CL219" s="6" t="n"/>
      <c r="CM219" s="6" t="n"/>
      <c r="CN219" s="6" t="n"/>
      <c r="CO219" s="3" t="n"/>
      <c r="CP219" s="6" t="n"/>
      <c r="CQ219" s="6" t="n"/>
      <c r="CR219" s="6" t="n"/>
      <c r="CS219" s="6" t="n"/>
      <c r="CT219" s="3" t="n"/>
      <c r="CU219" s="6" t="n"/>
      <c r="CV219" s="6" t="n"/>
      <c r="CW219" s="6" t="n"/>
      <c r="CX219" s="6" t="n"/>
      <c r="CY219" s="3" t="n"/>
    </row>
    <row r="220" hidden="1" outlineLevel="1">
      <c r="C220" s="34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  <c r="BO220" s="3" t="n"/>
      <c r="BP220" s="3" t="n"/>
      <c r="BQ220" s="3" t="n"/>
      <c r="BR220" s="3" t="n"/>
      <c r="BS220" s="3" t="n"/>
      <c r="BT220" s="3" t="n"/>
      <c r="BU220" s="3" t="n"/>
      <c r="BV220" s="3" t="n"/>
      <c r="BW220" s="3" t="n"/>
      <c r="BX220" s="3" t="n"/>
      <c r="BY220" s="3" t="n"/>
      <c r="BZ220" s="3" t="n"/>
      <c r="CA220" s="3" t="n"/>
      <c r="CB220" s="3" t="n"/>
      <c r="CC220" s="3" t="n"/>
      <c r="CD220" s="3" t="n"/>
      <c r="CE220" s="3" t="n"/>
      <c r="CF220" s="3" t="n"/>
      <c r="CG220" s="3" t="n"/>
      <c r="CH220" s="3" t="n"/>
      <c r="CI220" s="3" t="n"/>
      <c r="CJ220" s="3" t="n"/>
      <c r="CK220" s="3" t="n"/>
      <c r="CL220" s="3" t="n"/>
      <c r="CM220" s="3" t="n"/>
      <c r="CN220" s="3" t="n"/>
      <c r="CO220" s="3" t="n"/>
      <c r="CP220" s="3" t="n"/>
      <c r="CQ220" s="3" t="n"/>
      <c r="CR220" s="3" t="n"/>
      <c r="CS220" s="3" t="n"/>
      <c r="CT220" s="3" t="n"/>
      <c r="CU220" s="3" t="n"/>
      <c r="CV220" s="3" t="n"/>
      <c r="CW220" s="3" t="n"/>
      <c r="CX220" s="3" t="n"/>
      <c r="CY220" s="3" t="n"/>
    </row>
    <row r="221" collapsed="1">
      <c r="C221" s="26" t="inlineStr">
        <is>
          <t>Convertible debt</t>
        </is>
      </c>
      <c r="D221" s="25">
        <f>INDEX('Inputs (2)'!$D$37:$AL$37,MATCH(D$7,'Inputs (2)'!$D$2:$AL$2,0))</f>
        <v>0</v>
      </c>
      <c r="E221" s="25">
        <f>INDEX('Inputs (2)'!$D$37:$AL$37,MATCH(E$7,'Inputs (2)'!$D$2:$AL$2,0))</f>
        <v>0</v>
      </c>
      <c r="F221" s="25">
        <f>INDEX('Inputs (2)'!$D$37:$AL$37,MATCH(F$7,'Inputs (2)'!$D$2:$AL$2,0))</f>
        <v>0</v>
      </c>
      <c r="G221" s="25">
        <f>INDEX('Inputs (2)'!$D$37:$AL$37,MATCH(G$7,'Inputs (2)'!$D$2:$AL$2,0))</f>
        <v>0</v>
      </c>
      <c r="H221" s="3">
        <f>G221</f>
        <v>0</v>
      </c>
      <c r="I221" s="25">
        <f>INDEX('Inputs (2)'!$D$37:$AL$37,MATCH(I$7,'Inputs (2)'!$D$2:$AL$2,0))</f>
        <v>0</v>
      </c>
      <c r="J221" s="25">
        <f>INDEX('Inputs (2)'!$D$37:$AL$37,MATCH(J$7,'Inputs (2)'!$D$2:$AL$2,0))</f>
        <v>0</v>
      </c>
      <c r="K221" s="25">
        <f>INDEX('Inputs (2)'!$D$37:$AL$37,MATCH(K$7,'Inputs (2)'!$D$2:$AL$2,0))</f>
        <v>0</v>
      </c>
      <c r="L221" s="25">
        <f>INDEX('Inputs (2)'!$D$37:$AL$37,MATCH(L$7,'Inputs (2)'!$D$2:$AL$2,0))</f>
        <v>0</v>
      </c>
      <c r="M221" s="3">
        <f>L221</f>
        <v>0</v>
      </c>
      <c r="N221" s="25">
        <f>INDEX('Inputs (2)'!$D$37:$AL$37,MATCH(N$7,'Inputs (2)'!$D$2:$AL$2,0))</f>
        <v>0</v>
      </c>
      <c r="O221" s="25">
        <f>INDEX('Inputs (2)'!$D$37:$AL$37,MATCH(O$7,'Inputs (2)'!$D$2:$AL$2,0))</f>
        <v>0</v>
      </c>
      <c r="P221" s="25">
        <f>INDEX('Inputs (2)'!$D$37:$AL$37,MATCH(P$7,'Inputs (2)'!$D$2:$AL$2,0))</f>
        <v>0</v>
      </c>
      <c r="Q221" s="25">
        <f>INDEX('Inputs (2)'!$D$37:$AL$37,MATCH(Q$7,'Inputs (2)'!$D$2:$AL$2,0))</f>
        <v>0</v>
      </c>
      <c r="R221" s="3">
        <f>Q221</f>
        <v>0</v>
      </c>
      <c r="S221" s="25">
        <f>INDEX('Inputs (2)'!$D$37:$AL$37,MATCH(S$7,'Inputs (2)'!$D$2:$AL$2,0))</f>
        <v>0</v>
      </c>
      <c r="T221" s="25">
        <f>INDEX('Inputs (2)'!$D$37:$AL$37,MATCH(T$7,'Inputs (2)'!$D$2:$AL$2,0))</f>
        <v>0</v>
      </c>
      <c r="U221" s="25">
        <f>INDEX('Inputs (2)'!$D$37:$AL$37,MATCH(U$7,'Inputs (2)'!$D$2:$AL$2,0))</f>
        <v>0</v>
      </c>
      <c r="V221" s="25">
        <f>INDEX('Inputs (2)'!$D$37:$AL$37,MATCH(V$7,'Inputs (2)'!$D$2:$AL$2,0))</f>
        <v>0</v>
      </c>
      <c r="W221" s="3">
        <f>V221</f>
        <v>0</v>
      </c>
      <c r="X221" s="25">
        <f>INDEX('Inputs (2)'!$D$37:$AL$37,MATCH(X$7,'Inputs (2)'!$D$2:$AL$2,0))</f>
        <v>0</v>
      </c>
      <c r="Y221" s="25">
        <f>INDEX('Inputs (2)'!$D$37:$AL$37,MATCH(Y$7,'Inputs (2)'!$D$2:$AL$2,0))</f>
        <v>0</v>
      </c>
      <c r="Z221" s="25">
        <f>INDEX('Inputs (2)'!$D$37:$AL$37,MATCH(Z$7,'Inputs (2)'!$D$2:$AL$2,0))</f>
        <v>0</v>
      </c>
      <c r="AA221" s="25">
        <f>INDEX('Inputs (2)'!$D$37:$AL$37,MATCH(AA$7,'Inputs (2)'!$D$2:$AL$2,0))</f>
        <v>0</v>
      </c>
      <c r="AB221" s="3">
        <f>AA221</f>
        <v>0</v>
      </c>
      <c r="AC221" s="25">
        <f>INDEX('Inputs (2)'!$D$37:$AL$37,MATCH(AC$7,'Inputs (2)'!$D$2:$AL$2,0))</f>
        <v>0</v>
      </c>
      <c r="AD221" s="25">
        <f>INDEX('Inputs (2)'!$D$37:$AL$37,MATCH(AD$7,'Inputs (2)'!$D$2:$AL$2,0))</f>
        <v>0</v>
      </c>
      <c r="AE221" s="25">
        <f>INDEX('Inputs (2)'!$D$37:$AL$37,MATCH(AE$7,'Inputs (2)'!$D$2:$AL$2,0))</f>
        <v>0</v>
      </c>
      <c r="AF221" s="25">
        <f>INDEX('Inputs (2)'!$D$37:$AL$37,MATCH(AF$7,'Inputs (2)'!$D$2:$AL$2,0))</f>
        <v>0</v>
      </c>
      <c r="AG221" s="3">
        <f>AF221</f>
        <v>0</v>
      </c>
      <c r="AH221" s="3">
        <f>INDEX('Inputs (2)'!$D$37:$AL$37,MATCH(AH$7,'Inputs (2)'!$D$2:$AL$2,0))</f>
        <v>0</v>
      </c>
      <c r="AI221" s="3">
        <f>INDEX('Inputs (2)'!$D$37:$AL$37,MATCH(AI$7,'Inputs (2)'!$D$2:$AL$2,0))</f>
        <v>0</v>
      </c>
      <c r="AJ221" s="3">
        <f>AI221</f>
        <v>0</v>
      </c>
      <c r="AK221" s="3">
        <f>AJ221</f>
        <v>0</v>
      </c>
      <c r="AL221" s="3">
        <f>AK221</f>
        <v>0</v>
      </c>
      <c r="AM221" s="3">
        <f>AL221</f>
        <v>0</v>
      </c>
      <c r="AN221" s="3">
        <f>AM221</f>
        <v>0</v>
      </c>
      <c r="AO221" s="3">
        <f>AN221</f>
        <v>0</v>
      </c>
      <c r="AP221" s="3">
        <f>AO221</f>
        <v>0</v>
      </c>
      <c r="AQ221" s="3">
        <f>AP221</f>
        <v>0</v>
      </c>
      <c r="AR221" s="3">
        <f>AQ221</f>
        <v>0</v>
      </c>
      <c r="AS221" s="3">
        <f>AR221</f>
        <v>0</v>
      </c>
      <c r="AT221" s="3">
        <f>AS221</f>
        <v>0</v>
      </c>
      <c r="AU221" s="3">
        <f>AT221</f>
        <v>0</v>
      </c>
      <c r="AV221" s="3">
        <f>AU221</f>
        <v>0</v>
      </c>
      <c r="AW221" s="3">
        <f>AV221</f>
        <v>0</v>
      </c>
      <c r="AX221" s="3">
        <f>AW221</f>
        <v>0</v>
      </c>
      <c r="AY221" s="3">
        <f>AX221</f>
        <v>0</v>
      </c>
      <c r="AZ221" s="3">
        <f>AY221</f>
        <v>0</v>
      </c>
      <c r="BA221" s="3">
        <f>AZ221</f>
        <v>0</v>
      </c>
      <c r="BB221" s="3">
        <f>BA221</f>
        <v>0</v>
      </c>
      <c r="BC221" s="3">
        <f>BB221</f>
        <v>0</v>
      </c>
      <c r="BD221" s="3">
        <f>BC221</f>
        <v>0</v>
      </c>
      <c r="BE221" s="3">
        <f>BD221</f>
        <v>0</v>
      </c>
      <c r="BF221" s="3">
        <f>BE221</f>
        <v>0</v>
      </c>
      <c r="BG221" s="3">
        <f>BF221</f>
        <v>0</v>
      </c>
      <c r="BH221" s="3">
        <f>BG221</f>
        <v>0</v>
      </c>
      <c r="BI221" s="3">
        <f>BH221</f>
        <v>0</v>
      </c>
      <c r="BJ221" s="3">
        <f>BI221</f>
        <v>0</v>
      </c>
      <c r="BK221" s="3">
        <f>BJ221</f>
        <v>0</v>
      </c>
      <c r="BL221" s="3">
        <f>BK221</f>
        <v>0</v>
      </c>
      <c r="BM221" s="3">
        <f>BL221</f>
        <v>0</v>
      </c>
      <c r="BN221" s="3">
        <f>BM221</f>
        <v>0</v>
      </c>
      <c r="BO221" s="3">
        <f>BN221</f>
        <v>0</v>
      </c>
      <c r="BP221" s="3">
        <f>BO221</f>
        <v>0</v>
      </c>
      <c r="BQ221" s="3">
        <f>BP221</f>
        <v>0</v>
      </c>
      <c r="BR221" s="3">
        <f>BQ221</f>
        <v>0</v>
      </c>
      <c r="BS221" s="3">
        <f>BR221</f>
        <v>0</v>
      </c>
      <c r="BT221" s="3">
        <f>BS221</f>
        <v>0</v>
      </c>
      <c r="BU221" s="3">
        <f>BT221</f>
        <v>0</v>
      </c>
      <c r="BV221" s="3">
        <f>BU221</f>
        <v>0</v>
      </c>
      <c r="BW221" s="3">
        <f>BV221</f>
        <v>0</v>
      </c>
      <c r="BX221" s="3">
        <f>BW221</f>
        <v>0</v>
      </c>
      <c r="BY221" s="3">
        <f>BX221</f>
        <v>0</v>
      </c>
      <c r="BZ221" s="3">
        <f>BY221</f>
        <v>0</v>
      </c>
      <c r="CA221" s="3">
        <f>BZ221</f>
        <v>0</v>
      </c>
      <c r="CB221" s="3">
        <f>CA221</f>
        <v>0</v>
      </c>
      <c r="CC221" s="3">
        <f>CB221</f>
        <v>0</v>
      </c>
      <c r="CD221" s="3">
        <f>CC221</f>
        <v>0</v>
      </c>
      <c r="CE221" s="3">
        <f>CD221</f>
        <v>0</v>
      </c>
      <c r="CF221" s="3">
        <f>CE221</f>
        <v>0</v>
      </c>
      <c r="CG221" s="3">
        <f>CF221</f>
        <v>0</v>
      </c>
      <c r="CH221" s="3">
        <f>CG221</f>
        <v>0</v>
      </c>
      <c r="CI221" s="3">
        <f>CH221</f>
        <v>0</v>
      </c>
      <c r="CJ221" s="3">
        <f>CI221</f>
        <v>0</v>
      </c>
      <c r="CK221" s="3">
        <f>CJ221</f>
        <v>0</v>
      </c>
      <c r="CL221" s="3">
        <f>CK221</f>
        <v>0</v>
      </c>
      <c r="CM221" s="3">
        <f>CL221</f>
        <v>0</v>
      </c>
      <c r="CN221" s="3">
        <f>CM221</f>
        <v>0</v>
      </c>
      <c r="CO221" s="3">
        <f>CN221</f>
        <v>0</v>
      </c>
      <c r="CP221" s="3">
        <f>CO221</f>
        <v>0</v>
      </c>
      <c r="CQ221" s="3">
        <f>CP221</f>
        <v>0</v>
      </c>
      <c r="CR221" s="3">
        <f>CQ221</f>
        <v>0</v>
      </c>
      <c r="CS221" s="3">
        <f>CR221</f>
        <v>0</v>
      </c>
      <c r="CT221" s="3">
        <f>CS221</f>
        <v>0</v>
      </c>
      <c r="CU221" s="3">
        <f>CT221</f>
        <v>0</v>
      </c>
      <c r="CV221" s="3">
        <f>CU221</f>
        <v>0</v>
      </c>
      <c r="CW221" s="3">
        <f>CV221</f>
        <v>0</v>
      </c>
      <c r="CX221" s="3">
        <f>CW221</f>
        <v>0</v>
      </c>
      <c r="CY221" s="3">
        <f>CX221</f>
        <v>0</v>
      </c>
    </row>
    <row r="222">
      <c r="C222" s="26" t="inlineStr">
        <is>
          <t>Deferred income taxes</t>
        </is>
      </c>
      <c r="D222" s="25">
        <f>INDEX('Inputs (2)'!$D$38:$AL$38,MATCH(D$7,'Inputs (2)'!$D$2:$AL$2,0))</f>
        <v>0</v>
      </c>
      <c r="E222" s="25">
        <f>INDEX('Inputs (2)'!$D$38:$AL$38,MATCH(E$7,'Inputs (2)'!$D$2:$AL$2,0))</f>
        <v>0</v>
      </c>
      <c r="F222" s="25">
        <f>INDEX('Inputs (2)'!$D$38:$AL$38,MATCH(F$7,'Inputs (2)'!$D$2:$AL$2,0))</f>
        <v>0</v>
      </c>
      <c r="G222" s="25">
        <f>INDEX('Inputs (2)'!$D$38:$AL$38,MATCH(G$7,'Inputs (2)'!$D$2:$AL$2,0))</f>
        <v>0</v>
      </c>
      <c r="H222" s="3">
        <f>G222</f>
        <v>0</v>
      </c>
      <c r="I222" s="25">
        <f>INDEX('Inputs (2)'!$D$38:$AL$38,MATCH(I$7,'Inputs (2)'!$D$2:$AL$2,0))</f>
        <v>0</v>
      </c>
      <c r="J222" s="25">
        <f>INDEX('Inputs (2)'!$D$38:$AL$38,MATCH(J$7,'Inputs (2)'!$D$2:$AL$2,0))</f>
        <v>0</v>
      </c>
      <c r="K222" s="25">
        <f>INDEX('Inputs (2)'!$D$38:$AL$38,MATCH(K$7,'Inputs (2)'!$D$2:$AL$2,0))</f>
        <v>0</v>
      </c>
      <c r="L222" s="25">
        <f>INDEX('Inputs (2)'!$D$38:$AL$38,MATCH(L$7,'Inputs (2)'!$D$2:$AL$2,0))</f>
        <v>0</v>
      </c>
      <c r="M222" s="3">
        <f>L222</f>
        <v>0</v>
      </c>
      <c r="N222" s="25">
        <f>INDEX('Inputs (2)'!$D$38:$AL$38,MATCH(N$7,'Inputs (2)'!$D$2:$AL$2,0))</f>
        <v>0</v>
      </c>
      <c r="O222" s="25">
        <f>INDEX('Inputs (2)'!$D$38:$AL$38,MATCH(O$7,'Inputs (2)'!$D$2:$AL$2,0))</f>
        <v>0</v>
      </c>
      <c r="P222" s="25">
        <f>INDEX('Inputs (2)'!$D$38:$AL$38,MATCH(P$7,'Inputs (2)'!$D$2:$AL$2,0))</f>
        <v>0</v>
      </c>
      <c r="Q222" s="25">
        <f>INDEX('Inputs (2)'!$D$38:$AL$38,MATCH(Q$7,'Inputs (2)'!$D$2:$AL$2,0))</f>
        <v>0</v>
      </c>
      <c r="R222" s="3">
        <f>Q222</f>
        <v>0</v>
      </c>
      <c r="S222" s="25">
        <f>INDEX('Inputs (2)'!$D$38:$AL$38,MATCH(S$7,'Inputs (2)'!$D$2:$AL$2,0))</f>
        <v>0</v>
      </c>
      <c r="T222" s="25">
        <f>INDEX('Inputs (2)'!$D$38:$AL$38,MATCH(T$7,'Inputs (2)'!$D$2:$AL$2,0))</f>
        <v>0</v>
      </c>
      <c r="U222" s="25">
        <f>INDEX('Inputs (2)'!$D$38:$AL$38,MATCH(U$7,'Inputs (2)'!$D$2:$AL$2,0))</f>
        <v>0</v>
      </c>
      <c r="V222" s="25">
        <f>INDEX('Inputs (2)'!$D$38:$AL$38,MATCH(V$7,'Inputs (2)'!$D$2:$AL$2,0))</f>
        <v>0</v>
      </c>
      <c r="W222" s="3">
        <f>V222</f>
        <v>0</v>
      </c>
      <c r="X222" s="25">
        <f>INDEX('Inputs (2)'!$D$38:$AL$38,MATCH(X$7,'Inputs (2)'!$D$2:$AL$2,0))</f>
        <v>0</v>
      </c>
      <c r="Y222" s="25">
        <f>INDEX('Inputs (2)'!$D$38:$AL$38,MATCH(Y$7,'Inputs (2)'!$D$2:$AL$2,0))</f>
        <v>0</v>
      </c>
      <c r="Z222" s="25">
        <f>INDEX('Inputs (2)'!$D$38:$AL$38,MATCH(Z$7,'Inputs (2)'!$D$2:$AL$2,0))</f>
        <v>0</v>
      </c>
      <c r="AA222" s="25">
        <f>INDEX('Inputs (2)'!$D$38:$AL$38,MATCH(AA$7,'Inputs (2)'!$D$2:$AL$2,0))</f>
        <v>0</v>
      </c>
      <c r="AB222" s="3">
        <f>AA222</f>
        <v>0</v>
      </c>
      <c r="AC222" s="25">
        <f>INDEX('Inputs (2)'!$D$38:$AL$38,MATCH(AC$7,'Inputs (2)'!$D$2:$AL$2,0))</f>
        <v>0</v>
      </c>
      <c r="AD222" s="25">
        <f>INDEX('Inputs (2)'!$D$38:$AL$38,MATCH(AD$7,'Inputs (2)'!$D$2:$AL$2,0))</f>
        <v>0</v>
      </c>
      <c r="AE222" s="25">
        <f>INDEX('Inputs (2)'!$D$38:$AL$38,MATCH(AE$7,'Inputs (2)'!$D$2:$AL$2,0))</f>
        <v>0</v>
      </c>
      <c r="AF222" s="25">
        <f>INDEX('Inputs (2)'!$D$38:$AL$38,MATCH(AF$7,'Inputs (2)'!$D$2:$AL$2,0))</f>
        <v>0</v>
      </c>
      <c r="AG222" s="3">
        <f>AF222</f>
        <v>0</v>
      </c>
      <c r="AH222" s="3">
        <f>INDEX('Inputs (2)'!$D$38:$AL$38,MATCH(AH$7,'Inputs (2)'!$D$2:$AL$2,0))</f>
        <v>0</v>
      </c>
      <c r="AI222" s="3">
        <f>INDEX('Inputs (2)'!$D$38:$AL$38,MATCH(AI$7,'Inputs (2)'!$D$2:$AL$2,0))</f>
        <v>0</v>
      </c>
      <c r="AJ222" s="3">
        <f>AI222</f>
        <v>0</v>
      </c>
      <c r="AK222" s="3">
        <f>AJ222</f>
        <v>0</v>
      </c>
      <c r="AL222" s="3">
        <f>AK222</f>
        <v>0</v>
      </c>
      <c r="AM222" s="3">
        <f>AL222</f>
        <v>0</v>
      </c>
      <c r="AN222" s="3">
        <f>AM222</f>
        <v>0</v>
      </c>
      <c r="AO222" s="3">
        <f>AN222</f>
        <v>0</v>
      </c>
      <c r="AP222" s="3">
        <f>AO222</f>
        <v>0</v>
      </c>
      <c r="AQ222" s="3">
        <f>AP222</f>
        <v>0</v>
      </c>
      <c r="AR222" s="3">
        <f>AQ222</f>
        <v>0</v>
      </c>
      <c r="AS222" s="3">
        <f>AR222</f>
        <v>0</v>
      </c>
      <c r="AT222" s="3">
        <f>AS222</f>
        <v>0</v>
      </c>
      <c r="AU222" s="3">
        <f>AT222</f>
        <v>0</v>
      </c>
      <c r="AV222" s="3">
        <f>AU222</f>
        <v>0</v>
      </c>
      <c r="AW222" s="3">
        <f>AV222</f>
        <v>0</v>
      </c>
      <c r="AX222" s="3">
        <f>AW222</f>
        <v>0</v>
      </c>
      <c r="AY222" s="3">
        <f>AX222</f>
        <v>0</v>
      </c>
      <c r="AZ222" s="3">
        <f>AY222</f>
        <v>0</v>
      </c>
      <c r="BA222" s="3">
        <f>AZ222</f>
        <v>0</v>
      </c>
      <c r="BB222" s="3">
        <f>BA222</f>
        <v>0</v>
      </c>
      <c r="BC222" s="3">
        <f>BB222</f>
        <v>0</v>
      </c>
      <c r="BD222" s="3">
        <f>BC222</f>
        <v>0</v>
      </c>
      <c r="BE222" s="3">
        <f>BD222</f>
        <v>0</v>
      </c>
      <c r="BF222" s="3">
        <f>BE222</f>
        <v>0</v>
      </c>
      <c r="BG222" s="3">
        <f>BF222</f>
        <v>0</v>
      </c>
      <c r="BH222" s="3">
        <f>BG222</f>
        <v>0</v>
      </c>
      <c r="BI222" s="3">
        <f>BH222</f>
        <v>0</v>
      </c>
      <c r="BJ222" s="3">
        <f>BI222</f>
        <v>0</v>
      </c>
      <c r="BK222" s="3">
        <f>BJ222</f>
        <v>0</v>
      </c>
      <c r="BL222" s="3">
        <f>BK222</f>
        <v>0</v>
      </c>
      <c r="BM222" s="3">
        <f>BL222</f>
        <v>0</v>
      </c>
      <c r="BN222" s="3">
        <f>BM222</f>
        <v>0</v>
      </c>
      <c r="BO222" s="3">
        <f>BN222</f>
        <v>0</v>
      </c>
      <c r="BP222" s="3">
        <f>BO222</f>
        <v>0</v>
      </c>
      <c r="BQ222" s="3">
        <f>BP222</f>
        <v>0</v>
      </c>
      <c r="BR222" s="3">
        <f>BQ222</f>
        <v>0</v>
      </c>
      <c r="BS222" s="3">
        <f>BR222</f>
        <v>0</v>
      </c>
      <c r="BT222" s="3">
        <f>BS222</f>
        <v>0</v>
      </c>
      <c r="BU222" s="3">
        <f>BT222</f>
        <v>0</v>
      </c>
      <c r="BV222" s="3">
        <f>BU222</f>
        <v>0</v>
      </c>
      <c r="BW222" s="3">
        <f>BV222</f>
        <v>0</v>
      </c>
      <c r="BX222" s="3">
        <f>BW222</f>
        <v>0</v>
      </c>
      <c r="BY222" s="3">
        <f>BX222</f>
        <v>0</v>
      </c>
      <c r="BZ222" s="3">
        <f>BY222</f>
        <v>0</v>
      </c>
      <c r="CA222" s="3">
        <f>BZ222</f>
        <v>0</v>
      </c>
      <c r="CB222" s="3">
        <f>CA222</f>
        <v>0</v>
      </c>
      <c r="CC222" s="3">
        <f>CB222</f>
        <v>0</v>
      </c>
      <c r="CD222" s="3">
        <f>CC222</f>
        <v>0</v>
      </c>
      <c r="CE222" s="3">
        <f>CD222</f>
        <v>0</v>
      </c>
      <c r="CF222" s="3">
        <f>CE222</f>
        <v>0</v>
      </c>
      <c r="CG222" s="3">
        <f>CF222</f>
        <v>0</v>
      </c>
      <c r="CH222" s="3">
        <f>CG222</f>
        <v>0</v>
      </c>
      <c r="CI222" s="3">
        <f>CH222</f>
        <v>0</v>
      </c>
      <c r="CJ222" s="3">
        <f>CI222</f>
        <v>0</v>
      </c>
      <c r="CK222" s="3">
        <f>CJ222</f>
        <v>0</v>
      </c>
      <c r="CL222" s="3">
        <f>CK222</f>
        <v>0</v>
      </c>
      <c r="CM222" s="3">
        <f>CL222</f>
        <v>0</v>
      </c>
      <c r="CN222" s="3">
        <f>CM222</f>
        <v>0</v>
      </c>
      <c r="CO222" s="3">
        <f>CN222</f>
        <v>0</v>
      </c>
      <c r="CP222" s="3">
        <f>CO222</f>
        <v>0</v>
      </c>
      <c r="CQ222" s="3">
        <f>CP222</f>
        <v>0</v>
      </c>
      <c r="CR222" s="3">
        <f>CQ222</f>
        <v>0</v>
      </c>
      <c r="CS222" s="3">
        <f>CR222</f>
        <v>0</v>
      </c>
      <c r="CT222" s="3">
        <f>CS222</f>
        <v>0</v>
      </c>
      <c r="CU222" s="3">
        <f>CT222</f>
        <v>0</v>
      </c>
      <c r="CV222" s="3">
        <f>CU222</f>
        <v>0</v>
      </c>
      <c r="CW222" s="3">
        <f>CV222</f>
        <v>0</v>
      </c>
      <c r="CX222" s="3">
        <f>CW222</f>
        <v>0</v>
      </c>
      <c r="CY222" s="3">
        <f>CX222</f>
        <v>0</v>
      </c>
    </row>
    <row r="223">
      <c r="C223" s="26" t="inlineStr">
        <is>
          <t>Other non-current liabilities</t>
        </is>
      </c>
      <c r="D223" s="25">
        <f>INDEX('Inputs (2)'!$D$39:$AL$39,MATCH(D$7,'Inputs (2)'!$D$2:$AL$2,0))</f>
        <v>35139</v>
      </c>
      <c r="E223" s="25">
        <f>INDEX('Inputs (2)'!$D$39:$AL$39,MATCH(E$7,'Inputs (2)'!$D$2:$AL$2,0))</f>
        <v>37558</v>
      </c>
      <c r="F223" s="25">
        <f>INDEX('Inputs (2)'!$D$39:$AL$39,MATCH(F$7,'Inputs (2)'!$D$2:$AL$2,0))</f>
        <v>10662</v>
      </c>
      <c r="G223" s="25">
        <f>INDEX('Inputs (2)'!$D$39:$AL$39,MATCH(G$7,'Inputs (2)'!$D$2:$AL$2,0))</f>
        <v>11230</v>
      </c>
      <c r="H223" s="3">
        <f>G223</f>
        <v>11230</v>
      </c>
      <c r="I223" s="25">
        <f>INDEX('Inputs (2)'!$D$39:$AL$39,MATCH(I$7,'Inputs (2)'!$D$2:$AL$2,0))</f>
        <v>11178</v>
      </c>
      <c r="J223" s="25">
        <f>INDEX('Inputs (2)'!$D$39:$AL$39,MATCH(J$7,'Inputs (2)'!$D$2:$AL$2,0))</f>
        <v>11105</v>
      </c>
      <c r="K223" s="25">
        <f>INDEX('Inputs (2)'!$D$39:$AL$39,MATCH(K$7,'Inputs (2)'!$D$2:$AL$2,0))</f>
        <v>10959</v>
      </c>
      <c r="L223" s="25">
        <f>INDEX('Inputs (2)'!$D$39:$AL$39,MATCH(L$7,'Inputs (2)'!$D$2:$AL$2,0))</f>
        <v>10397</v>
      </c>
      <c r="M223" s="3">
        <f>L223</f>
        <v>10397</v>
      </c>
      <c r="N223" s="25">
        <f>INDEX('Inputs (2)'!$D$39:$AL$39,MATCH(N$7,'Inputs (2)'!$D$2:$AL$2,0))</f>
        <v>10370</v>
      </c>
      <c r="O223" s="25">
        <f>INDEX('Inputs (2)'!$D$39:$AL$39,MATCH(O$7,'Inputs (2)'!$D$2:$AL$2,0))</f>
        <v>10166</v>
      </c>
      <c r="P223" s="25">
        <f>INDEX('Inputs (2)'!$D$39:$AL$39,MATCH(P$7,'Inputs (2)'!$D$2:$AL$2,0))</f>
        <v>9574</v>
      </c>
      <c r="Q223" s="25">
        <f>INDEX('Inputs (2)'!$D$39:$AL$39,MATCH(Q$7,'Inputs (2)'!$D$2:$AL$2,0))</f>
        <v>8807</v>
      </c>
      <c r="R223" s="3">
        <f>Q223</f>
        <v>8807</v>
      </c>
      <c r="S223" s="25">
        <f>INDEX('Inputs (2)'!$D$39:$AL$39,MATCH(S$7,'Inputs (2)'!$D$2:$AL$2,0))</f>
        <v>8764</v>
      </c>
      <c r="T223" s="25">
        <f>INDEX('Inputs (2)'!$D$39:$AL$39,MATCH(T$7,'Inputs (2)'!$D$2:$AL$2,0))</f>
        <v>8872</v>
      </c>
      <c r="U223" s="25">
        <f>INDEX('Inputs (2)'!$D$39:$AL$39,MATCH(U$7,'Inputs (2)'!$D$2:$AL$2,0))</f>
        <v>8901</v>
      </c>
      <c r="V223" s="25">
        <f>INDEX('Inputs (2)'!$D$39:$AL$39,MATCH(V$7,'Inputs (2)'!$D$2:$AL$2,0))</f>
        <v>8773</v>
      </c>
      <c r="W223" s="3">
        <f>V223</f>
        <v>8773</v>
      </c>
      <c r="X223" s="25">
        <f>INDEX('Inputs (2)'!$D$39:$AL$39,MATCH(X$7,'Inputs (2)'!$D$2:$AL$2,0))</f>
        <v>8894</v>
      </c>
      <c r="Y223" s="25">
        <f>INDEX('Inputs (2)'!$D$39:$AL$39,MATCH(Y$7,'Inputs (2)'!$D$2:$AL$2,0))</f>
        <v>8800</v>
      </c>
      <c r="Z223" s="25">
        <f>INDEX('Inputs (2)'!$D$39:$AL$39,MATCH(Z$7,'Inputs (2)'!$D$2:$AL$2,0))</f>
        <v>8868</v>
      </c>
      <c r="AA223" s="25">
        <f>INDEX('Inputs (2)'!$D$39:$AL$39,MATCH(AA$7,'Inputs (2)'!$D$2:$AL$2,0))</f>
        <v>8647</v>
      </c>
      <c r="AB223" s="3">
        <f>AA223</f>
        <v>8647</v>
      </c>
      <c r="AC223" s="25">
        <f>INDEX('Inputs (2)'!$D$39:$AL$39,MATCH(AC$7,'Inputs (2)'!$D$2:$AL$2,0))</f>
        <v>8490</v>
      </c>
      <c r="AD223" s="25">
        <f>INDEX('Inputs (2)'!$D$39:$AL$39,MATCH(AD$7,'Inputs (2)'!$D$2:$AL$2,0))</f>
        <v>8780</v>
      </c>
      <c r="AE223" s="25">
        <f>INDEX('Inputs (2)'!$D$39:$AL$39,MATCH(AE$7,'Inputs (2)'!$D$2:$AL$2,0))</f>
        <v>9336</v>
      </c>
      <c r="AF223" s="25">
        <f>INDEX('Inputs (2)'!$D$39:$AL$39,MATCH(AF$7,'Inputs (2)'!$D$2:$AL$2,0))</f>
        <v>10013</v>
      </c>
      <c r="AG223" s="3">
        <f>AF223</f>
        <v>10013</v>
      </c>
      <c r="AH223" s="3">
        <f>INDEX('Inputs (2)'!$D$39:$AL$39,MATCH(AH$7,'Inputs (2)'!$D$2:$AL$2,0))</f>
        <v>10346</v>
      </c>
      <c r="AI223" s="3">
        <f>INDEX('Inputs (2)'!$D$39:$AL$39,MATCH(AI$7,'Inputs (2)'!$D$2:$AL$2,0))</f>
        <v>11386</v>
      </c>
      <c r="AJ223" s="3">
        <f>AI223</f>
        <v>11386</v>
      </c>
      <c r="AK223" s="3">
        <f>AJ223</f>
        <v>11386</v>
      </c>
      <c r="AL223" s="3">
        <f>AK223</f>
        <v>11386</v>
      </c>
      <c r="AM223" s="3">
        <f>AL223</f>
        <v>11386</v>
      </c>
      <c r="AN223" s="3">
        <f>AM223</f>
        <v>11386</v>
      </c>
      <c r="AO223" s="3">
        <f>AN223</f>
        <v>11386</v>
      </c>
      <c r="AP223" s="3">
        <f>AO223</f>
        <v>11386</v>
      </c>
      <c r="AQ223" s="3">
        <f>AP223</f>
        <v>11386</v>
      </c>
      <c r="AR223" s="3">
        <f>AQ223</f>
        <v>11386</v>
      </c>
      <c r="AS223" s="3">
        <f>AR223</f>
        <v>11386</v>
      </c>
      <c r="AT223" s="3">
        <f>AS223</f>
        <v>11386</v>
      </c>
      <c r="AU223" s="3">
        <f>AT223</f>
        <v>11386</v>
      </c>
      <c r="AV223" s="3">
        <f>AU223</f>
        <v>11386</v>
      </c>
      <c r="AW223" s="3">
        <f>AV223</f>
        <v>11386</v>
      </c>
      <c r="AX223" s="3">
        <f>AW223</f>
        <v>11386</v>
      </c>
      <c r="AY223" s="3">
        <f>AX223</f>
        <v>11386</v>
      </c>
      <c r="AZ223" s="3">
        <f>AY223</f>
        <v>11386</v>
      </c>
      <c r="BA223" s="3">
        <f>AZ223</f>
        <v>11386</v>
      </c>
      <c r="BB223" s="3">
        <f>BA223</f>
        <v>11386</v>
      </c>
      <c r="BC223" s="3">
        <f>BB223</f>
        <v>11386</v>
      </c>
      <c r="BD223" s="3">
        <f>BC223</f>
        <v>11386</v>
      </c>
      <c r="BE223" s="3">
        <f>BD223</f>
        <v>11386</v>
      </c>
      <c r="BF223" s="3">
        <f>BE223</f>
        <v>11386</v>
      </c>
      <c r="BG223" s="3">
        <f>BF223</f>
        <v>11386</v>
      </c>
      <c r="BH223" s="3">
        <f>BG223</f>
        <v>11386</v>
      </c>
      <c r="BI223" s="3">
        <f>BH223</f>
        <v>11386</v>
      </c>
      <c r="BJ223" s="3">
        <f>BI223</f>
        <v>11386</v>
      </c>
      <c r="BK223" s="3">
        <f>BJ223</f>
        <v>11386</v>
      </c>
      <c r="BL223" s="3">
        <f>BK223</f>
        <v>11386</v>
      </c>
      <c r="BM223" s="3">
        <f>BL223</f>
        <v>11386</v>
      </c>
      <c r="BN223" s="3">
        <f>BM223</f>
        <v>11386</v>
      </c>
      <c r="BO223" s="3">
        <f>BN223</f>
        <v>11386</v>
      </c>
      <c r="BP223" s="3">
        <f>BO223</f>
        <v>11386</v>
      </c>
      <c r="BQ223" s="3">
        <f>BP223</f>
        <v>11386</v>
      </c>
      <c r="BR223" s="3">
        <f>BQ223</f>
        <v>11386</v>
      </c>
      <c r="BS223" s="3">
        <f>BR223</f>
        <v>11386</v>
      </c>
      <c r="BT223" s="3">
        <f>BS223</f>
        <v>11386</v>
      </c>
      <c r="BU223" s="3">
        <f>BT223</f>
        <v>11386</v>
      </c>
      <c r="BV223" s="3">
        <f>BU223</f>
        <v>11386</v>
      </c>
      <c r="BW223" s="3">
        <f>BV223</f>
        <v>11386</v>
      </c>
      <c r="BX223" s="3">
        <f>BW223</f>
        <v>11386</v>
      </c>
      <c r="BY223" s="3">
        <f>BX223</f>
        <v>11386</v>
      </c>
      <c r="BZ223" s="3">
        <f>BY223</f>
        <v>11386</v>
      </c>
      <c r="CA223" s="3">
        <f>BZ223</f>
        <v>11386</v>
      </c>
      <c r="CB223" s="3">
        <f>CA223</f>
        <v>11386</v>
      </c>
      <c r="CC223" s="3">
        <f>CB223</f>
        <v>11386</v>
      </c>
      <c r="CD223" s="3">
        <f>CC223</f>
        <v>11386</v>
      </c>
      <c r="CE223" s="3">
        <f>CD223</f>
        <v>11386</v>
      </c>
      <c r="CF223" s="3">
        <f>CE223</f>
        <v>11386</v>
      </c>
      <c r="CG223" s="3">
        <f>CF223</f>
        <v>11386</v>
      </c>
      <c r="CH223" s="3">
        <f>CG223</f>
        <v>11386</v>
      </c>
      <c r="CI223" s="3">
        <f>CH223</f>
        <v>11386</v>
      </c>
      <c r="CJ223" s="3">
        <f>CI223</f>
        <v>11386</v>
      </c>
      <c r="CK223" s="3">
        <f>CJ223</f>
        <v>11386</v>
      </c>
      <c r="CL223" s="3">
        <f>CK223</f>
        <v>11386</v>
      </c>
      <c r="CM223" s="3">
        <f>CL223</f>
        <v>11386</v>
      </c>
      <c r="CN223" s="3">
        <f>CM223</f>
        <v>11386</v>
      </c>
      <c r="CO223" s="3">
        <f>CN223</f>
        <v>11386</v>
      </c>
      <c r="CP223" s="3">
        <f>CO223</f>
        <v>11386</v>
      </c>
      <c r="CQ223" s="3">
        <f>CP223</f>
        <v>11386</v>
      </c>
      <c r="CR223" s="3">
        <f>CQ223</f>
        <v>11386</v>
      </c>
      <c r="CS223" s="3">
        <f>CR223</f>
        <v>11386</v>
      </c>
      <c r="CT223" s="3">
        <f>CS223</f>
        <v>11386</v>
      </c>
      <c r="CU223" s="3">
        <f>CT223</f>
        <v>11386</v>
      </c>
      <c r="CV223" s="3">
        <f>CU223</f>
        <v>11386</v>
      </c>
      <c r="CW223" s="3">
        <f>CV223</f>
        <v>11386</v>
      </c>
      <c r="CX223" s="3">
        <f>CW223</f>
        <v>11386</v>
      </c>
      <c r="CY223" s="3">
        <f>CX223</f>
        <v>11386</v>
      </c>
    </row>
    <row r="224" hidden="1" outlineLevel="1" ht="12" customHeight="1">
      <c r="C224" s="38" t="inlineStr">
        <is>
          <t>%(Var.)</t>
        </is>
      </c>
      <c r="D224" s="3" t="n"/>
      <c r="E224" s="47">
        <f>(E223-D223)/D223</f>
        <v>0.0688408890406671</v>
      </c>
      <c r="F224" s="47">
        <f>(F223-E223)/E223</f>
        <v>-0.716119069173012</v>
      </c>
      <c r="G224" s="47">
        <f>(G223-F223)/F223</f>
        <v>0.0532733070718439</v>
      </c>
      <c r="H224" s="3" t="n"/>
      <c r="I224" s="47">
        <f>(I223-H223)/H223</f>
        <v>-0.00463045414069457</v>
      </c>
      <c r="J224" s="47">
        <f>(J223-I223)/I223</f>
        <v>-0.00653068527464663</v>
      </c>
      <c r="K224" s="47">
        <f>(K223-J223)/J223</f>
        <v>-0.0131472309770374</v>
      </c>
      <c r="L224" s="47">
        <f>(L223-K223)/K223</f>
        <v>-0.0512820512820513</v>
      </c>
      <c r="M224" s="3" t="n"/>
      <c r="N224" s="47">
        <f>(N223-M223)/M223</f>
        <v>-0.00259690295277484</v>
      </c>
      <c r="O224" s="47">
        <f>(O223-N223)/N223</f>
        <v>-0.019672131147541</v>
      </c>
      <c r="P224" s="47">
        <f>(P223-O223)/O223</f>
        <v>-0.0582333267755263</v>
      </c>
      <c r="Q224" s="47">
        <f>(Q223-P223)/P223</f>
        <v>-0.0801128055149363</v>
      </c>
      <c r="R224" s="3" t="n"/>
      <c r="S224" s="47">
        <f>(S223-R223)/R223</f>
        <v>-0.00488247984557738</v>
      </c>
      <c r="T224" s="47">
        <f>(T223-S223)/S223</f>
        <v>0.0123231401186673</v>
      </c>
      <c r="U224" s="47">
        <f>(U223-T223)/T223</f>
        <v>0.00326871055004509</v>
      </c>
      <c r="V224" s="47">
        <f>(V223-U223)/U223</f>
        <v>-0.0143804066958769</v>
      </c>
      <c r="W224" s="3" t="n"/>
      <c r="X224" s="47">
        <f>(X223-W223)/W223</f>
        <v>0.0137923173372849</v>
      </c>
      <c r="Y224" s="47">
        <f>(Y223-X223)/X223</f>
        <v>-0.0105689228693501</v>
      </c>
      <c r="Z224" s="47">
        <f>(Z223-Y223)/Y223</f>
        <v>0.00772727272727273</v>
      </c>
      <c r="AA224" s="47">
        <f>(AA223-Z223)/Z223</f>
        <v>-0.0249210645015787</v>
      </c>
      <c r="AB224" s="3" t="n"/>
      <c r="AC224" s="47">
        <f>(AC223-AB223)/AB223</f>
        <v>-0.0181565860992252</v>
      </c>
      <c r="AD224" s="47">
        <f>(AD223-AC223)/AC223</f>
        <v>0.0341578327444052</v>
      </c>
      <c r="AE224" s="47">
        <f>(AE223-AD223)/AD223</f>
        <v>0.0633257403189066</v>
      </c>
      <c r="AF224" s="230">
        <f>(AF223-AE223)/AE223</f>
        <v>0.0725149957155099</v>
      </c>
      <c r="AG224" s="3" t="n"/>
      <c r="AH224" s="230">
        <f>(AH223-AG223)/AG223</f>
        <v>0.0332567662039349</v>
      </c>
      <c r="AI224" s="230">
        <f>(AI223-AH223)/AH223</f>
        <v>0.100521940846704</v>
      </c>
      <c r="AJ224" s="230" t="n"/>
      <c r="AK224" s="230" t="n"/>
      <c r="AL224" s="3" t="n"/>
      <c r="AM224" s="230" t="n"/>
      <c r="AN224" s="230" t="n"/>
      <c r="AO224" s="230" t="n"/>
      <c r="AP224" s="230" t="n"/>
      <c r="AQ224" s="3" t="n"/>
      <c r="AR224" s="230" t="n"/>
      <c r="AS224" s="230" t="n"/>
      <c r="AT224" s="230" t="n"/>
      <c r="AU224" s="230" t="n"/>
      <c r="AV224" s="3" t="n"/>
      <c r="AW224" s="230" t="n"/>
      <c r="AX224" s="230" t="n"/>
      <c r="AY224" s="230" t="n"/>
      <c r="AZ224" s="230" t="n"/>
      <c r="BA224" s="3" t="n"/>
      <c r="BB224" s="230" t="n"/>
      <c r="BC224" s="230" t="n"/>
      <c r="BD224" s="230" t="n"/>
      <c r="BE224" s="230" t="n"/>
      <c r="BF224" s="3" t="n"/>
      <c r="BG224" s="230" t="n"/>
      <c r="BH224" s="230" t="n"/>
      <c r="BI224" s="230" t="n"/>
      <c r="BJ224" s="230" t="n"/>
      <c r="BK224" s="3" t="n"/>
      <c r="BL224" s="230" t="n"/>
      <c r="BM224" s="230" t="n"/>
      <c r="BN224" s="230" t="n"/>
      <c r="BO224" s="230" t="n"/>
      <c r="BP224" s="3" t="n"/>
      <c r="BQ224" s="230" t="n"/>
      <c r="BR224" s="230" t="n"/>
      <c r="BS224" s="230" t="n"/>
      <c r="BT224" s="230" t="n"/>
      <c r="BU224" s="3" t="n"/>
      <c r="BV224" s="230" t="n"/>
      <c r="BW224" s="230" t="n"/>
      <c r="BX224" s="230" t="n"/>
      <c r="BY224" s="230" t="n"/>
      <c r="BZ224" s="3" t="n"/>
      <c r="CA224" s="230" t="n"/>
      <c r="CB224" s="230" t="n"/>
      <c r="CC224" s="230" t="n"/>
      <c r="CD224" s="230" t="n"/>
      <c r="CE224" s="3" t="n"/>
      <c r="CF224" s="230" t="n"/>
      <c r="CG224" s="230" t="n"/>
      <c r="CH224" s="230" t="n"/>
      <c r="CI224" s="230" t="n"/>
      <c r="CJ224" s="3" t="n"/>
      <c r="CK224" s="230" t="n"/>
      <c r="CL224" s="230" t="n"/>
      <c r="CM224" s="230" t="n"/>
      <c r="CN224" s="230" t="n"/>
      <c r="CO224" s="3" t="n"/>
      <c r="CP224" s="230" t="n"/>
      <c r="CQ224" s="230" t="n"/>
      <c r="CR224" s="230" t="n"/>
      <c r="CS224" s="230" t="n"/>
      <c r="CT224" s="3" t="n"/>
      <c r="CU224" s="230" t="n"/>
      <c r="CV224" s="230" t="n"/>
      <c r="CW224" s="230" t="n"/>
      <c r="CX224" s="230" t="n"/>
      <c r="CY224" s="3" t="n"/>
    </row>
    <row r="225" hidden="1" outlineLevel="1" ht="12" customHeight="1">
      <c r="C225" s="38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  <c r="BO225" s="3" t="n"/>
      <c r="BP225" s="3" t="n"/>
      <c r="BQ225" s="3" t="n"/>
      <c r="BR225" s="3" t="n"/>
      <c r="BS225" s="3" t="n"/>
      <c r="BT225" s="3" t="n"/>
      <c r="BU225" s="3" t="n"/>
      <c r="BV225" s="3" t="n"/>
      <c r="BW225" s="3" t="n"/>
      <c r="BX225" s="3" t="n"/>
      <c r="BY225" s="3" t="n"/>
      <c r="BZ225" s="3" t="n"/>
      <c r="CA225" s="3" t="n"/>
      <c r="CB225" s="3" t="n"/>
      <c r="CC225" s="3" t="n"/>
      <c r="CD225" s="3" t="n"/>
      <c r="CE225" s="3" t="n"/>
      <c r="CF225" s="3" t="n"/>
      <c r="CG225" s="3" t="n"/>
      <c r="CH225" s="3" t="n"/>
      <c r="CI225" s="3" t="n"/>
      <c r="CJ225" s="3" t="n"/>
      <c r="CK225" s="3" t="n"/>
      <c r="CL225" s="3" t="n"/>
      <c r="CM225" s="3" t="n"/>
      <c r="CN225" s="3" t="n"/>
      <c r="CO225" s="3" t="n"/>
      <c r="CP225" s="3" t="n"/>
      <c r="CQ225" s="3" t="n"/>
      <c r="CR225" s="3" t="n"/>
      <c r="CS225" s="3" t="n"/>
      <c r="CT225" s="3" t="n"/>
      <c r="CU225" s="3" t="n"/>
      <c r="CV225" s="3" t="n"/>
      <c r="CW225" s="3" t="n"/>
      <c r="CX225" s="3" t="n"/>
      <c r="CY225" s="3" t="n"/>
    </row>
    <row r="226" hidden="1" outlineLevel="1">
      <c r="C226" s="34" t="inlineStr">
        <is>
          <t>Contas a pagar pela aquisição de controladas</t>
        </is>
      </c>
      <c r="D226" s="6" t="n"/>
      <c r="E226" s="6" t="n"/>
      <c r="F226" s="6" t="n"/>
      <c r="G226" s="6" t="n"/>
      <c r="H226" s="3" t="n"/>
      <c r="I226" s="6" t="n"/>
      <c r="J226" s="6" t="n"/>
      <c r="K226" s="6" t="n"/>
      <c r="L226" s="6" t="n"/>
      <c r="M226" s="3" t="n"/>
      <c r="N226" s="6" t="n"/>
      <c r="O226" s="6" t="n"/>
      <c r="P226" s="6" t="n"/>
      <c r="Q226" s="6" t="n"/>
      <c r="R226" s="3" t="n"/>
      <c r="S226" s="6" t="n"/>
      <c r="T226" s="6" t="n"/>
      <c r="U226" s="6" t="n"/>
      <c r="V226" s="6" t="n"/>
      <c r="W226" s="3" t="n"/>
      <c r="X226" s="6" t="n"/>
      <c r="Y226" s="6" t="n"/>
      <c r="Z226" s="6" t="n"/>
      <c r="AA226" s="6" t="n"/>
      <c r="AB226" s="3" t="n"/>
      <c r="AC226" s="6" t="n"/>
      <c r="AD226" s="6" t="n"/>
      <c r="AE226" s="6" t="n"/>
      <c r="AF226" s="6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/>
      <c r="BY226" s="3" t="n"/>
      <c r="BZ226" s="3" t="n"/>
      <c r="CA226" s="3" t="n"/>
      <c r="CB226" s="3" t="n"/>
      <c r="CC226" s="3" t="n"/>
      <c r="CD226" s="3" t="n"/>
      <c r="CE226" s="3" t="n"/>
      <c r="CF226" s="3" t="n"/>
      <c r="CG226" s="3" t="n"/>
      <c r="CH226" s="3" t="n"/>
      <c r="CI226" s="3" t="n"/>
      <c r="CJ226" s="3" t="n"/>
      <c r="CK226" s="3" t="n"/>
      <c r="CL226" s="3" t="n"/>
      <c r="CM226" s="3" t="n"/>
      <c r="CN226" s="3" t="n"/>
      <c r="CO226" s="3" t="n"/>
      <c r="CP226" s="3" t="n"/>
      <c r="CQ226" s="3" t="n"/>
      <c r="CR226" s="3" t="n"/>
      <c r="CS226" s="3" t="n"/>
      <c r="CT226" s="3" t="n"/>
      <c r="CU226" s="3" t="n"/>
      <c r="CV226" s="3" t="n"/>
      <c r="CW226" s="3" t="n"/>
      <c r="CX226" s="3" t="n"/>
      <c r="CY226" s="3" t="n"/>
    </row>
    <row r="227" hidden="1" outlineLevel="1">
      <c r="C227" s="34" t="inlineStr">
        <is>
          <t xml:space="preserve">Outras Obrigações </t>
        </is>
      </c>
      <c r="D227" s="6" t="n"/>
      <c r="E227" s="6" t="n"/>
      <c r="F227" s="6" t="n"/>
      <c r="G227" s="6" t="n"/>
      <c r="H227" s="3" t="n"/>
      <c r="I227" s="6" t="n"/>
      <c r="J227" s="6" t="n"/>
      <c r="K227" s="6" t="n"/>
      <c r="L227" s="6" t="n"/>
      <c r="M227" s="3" t="n"/>
      <c r="N227" s="6" t="n"/>
      <c r="O227" s="6" t="n"/>
      <c r="P227" s="6" t="n"/>
      <c r="Q227" s="6" t="n"/>
      <c r="R227" s="3" t="n"/>
      <c r="S227" s="6" t="n"/>
      <c r="T227" s="6" t="n"/>
      <c r="U227" s="6" t="n"/>
      <c r="V227" s="6" t="n"/>
      <c r="W227" s="3" t="n"/>
      <c r="X227" s="6" t="n"/>
      <c r="Y227" s="6" t="n"/>
      <c r="Z227" s="6" t="n"/>
      <c r="AA227" s="6" t="n"/>
      <c r="AB227" s="3" t="n"/>
      <c r="AC227" s="6" t="n"/>
      <c r="AD227" s="6" t="n"/>
      <c r="AE227" s="6" t="n"/>
      <c r="AF227" s="6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  <c r="BO227" s="3" t="n"/>
      <c r="BP227" s="3" t="n"/>
      <c r="BQ227" s="3" t="n"/>
      <c r="BR227" s="3" t="n"/>
      <c r="BS227" s="3" t="n"/>
      <c r="BT227" s="3" t="n"/>
      <c r="BU227" s="3" t="n"/>
      <c r="BV227" s="3" t="n"/>
      <c r="BW227" s="3" t="n"/>
      <c r="BX227" s="3" t="n"/>
      <c r="BY227" s="3" t="n"/>
      <c r="BZ227" s="3" t="n"/>
      <c r="CA227" s="3" t="n"/>
      <c r="CB227" s="3" t="n"/>
      <c r="CC227" s="3" t="n"/>
      <c r="CD227" s="3" t="n"/>
      <c r="CE227" s="3" t="n"/>
      <c r="CF227" s="3" t="n"/>
      <c r="CG227" s="3" t="n"/>
      <c r="CH227" s="3" t="n"/>
      <c r="CI227" s="3" t="n"/>
      <c r="CJ227" s="3" t="n"/>
      <c r="CK227" s="3" t="n"/>
      <c r="CL227" s="3" t="n"/>
      <c r="CM227" s="3" t="n"/>
      <c r="CN227" s="3" t="n"/>
      <c r="CO227" s="3" t="n"/>
      <c r="CP227" s="3" t="n"/>
      <c r="CQ227" s="3" t="n"/>
      <c r="CR227" s="3" t="n"/>
      <c r="CS227" s="3" t="n"/>
      <c r="CT227" s="3" t="n"/>
      <c r="CU227" s="3" t="n"/>
      <c r="CV227" s="3" t="n"/>
      <c r="CW227" s="3" t="n"/>
      <c r="CX227" s="3" t="n"/>
      <c r="CY227" s="3" t="n"/>
    </row>
    <row r="228" hidden="1" outlineLevel="1">
      <c r="C228" s="34" t="inlineStr">
        <is>
          <t xml:space="preserve">Provisão de Risco Cíveis, Trabalhistas e Tributários </t>
        </is>
      </c>
      <c r="D228" s="6" t="n"/>
      <c r="E228" s="6" t="n"/>
      <c r="F228" s="6" t="n"/>
      <c r="G228" s="6" t="n"/>
      <c r="H228" s="3" t="n"/>
      <c r="I228" s="6" t="n"/>
      <c r="J228" s="6" t="n"/>
      <c r="K228" s="6" t="n"/>
      <c r="L228" s="6" t="n"/>
      <c r="M228" s="3" t="n"/>
      <c r="N228" s="6" t="n"/>
      <c r="O228" s="6" t="n"/>
      <c r="P228" s="6" t="n"/>
      <c r="Q228" s="6" t="n"/>
      <c r="R228" s="3" t="n"/>
      <c r="S228" s="6" t="n"/>
      <c r="T228" s="6" t="n"/>
      <c r="U228" s="6" t="n"/>
      <c r="V228" s="6" t="n"/>
      <c r="W228" s="3" t="n"/>
      <c r="X228" s="6" t="n"/>
      <c r="Y228" s="6" t="n"/>
      <c r="Z228" s="6" t="n"/>
      <c r="AA228" s="6" t="n"/>
      <c r="AB228" s="3" t="n"/>
      <c r="AC228" s="6" t="n"/>
      <c r="AD228" s="6" t="n"/>
      <c r="AE228" s="6" t="n"/>
      <c r="AF228" s="6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  <c r="CU229" s="3" t="n"/>
      <c r="CV229" s="3" t="n"/>
      <c r="CW229" s="3" t="n"/>
      <c r="CX229" s="3" t="n"/>
      <c r="CY229" s="3" t="n"/>
    </row>
    <row r="230" collapsed="1" customFormat="1" s="17">
      <c r="A230" s="13" t="n"/>
      <c r="B230" s="13" t="n"/>
      <c r="C230" s="27" t="inlineStr">
        <is>
          <t>Total Liabilities</t>
        </is>
      </c>
      <c r="D230" s="16">
        <f>SUM(D181+D185+D187+D188+D195+D196+D197+D200+D218+D221+D222+D223)</f>
        <v>61655</v>
      </c>
      <c r="E230" s="16">
        <f>SUM(E181+E185+E187+E188+E195+E196+E197+E200+E218+E221+E222+E223)</f>
        <v>62789</v>
      </c>
      <c r="F230" s="16">
        <f>SUM(F181+F185+F187+F188+F195+F196+F197+F200+F218+F221+F222+F223)</f>
        <v>61747</v>
      </c>
      <c r="G230" s="16">
        <f>SUM(G181+G185+G187+G188+G195+G196+G197+G200+G218+G221+G222+G223)</f>
        <v>62946</v>
      </c>
      <c r="H230" s="16">
        <f>SUM(H181,H185,H187,H188,H195,H196,H200,H197,H218,H221,H222,H223)</f>
        <v>62946</v>
      </c>
      <c r="I230" s="16">
        <f>SUM(I181+I185+I187+I188+I195+I196+I197+I200+I218+I221+I222+I223)</f>
        <v>64112</v>
      </c>
      <c r="J230" s="16">
        <f>SUM(J181+J185+J187+J188+J195+J196+J197+J200+J218+J221+J222+J223)</f>
        <v>64817</v>
      </c>
      <c r="K230" s="16">
        <f>SUM(K181+K185+K187+K188+K195+K196+K197+K200+K218+K221+K222+K223)</f>
        <v>64089</v>
      </c>
      <c r="L230" s="16">
        <f>SUM(L181+L185+L187+L188+L195+L196+L197+L200+L218+L221+L222+L223)</f>
        <v>66277</v>
      </c>
      <c r="M230" s="16">
        <f>SUM(M181,M185,M187,M188,M195,M196,M200,M197,M218,M221,M222,M223)</f>
        <v>66277</v>
      </c>
      <c r="N230" s="16">
        <f>SUM(N181+N185+N187+N188+N195+N196+N197+N200+N218+N221+N222+N223)</f>
        <v>65179</v>
      </c>
      <c r="O230" s="16">
        <f>SUM(O181+O185+O187+O188+O195+O196+O197+O200+O218+O221+O222+O223)</f>
        <v>65348</v>
      </c>
      <c r="P230" s="16">
        <f>SUM(P181+P185+P187+P188+P195+P196+P197+P200+P218+P221+P222+P223)</f>
        <v>65285</v>
      </c>
      <c r="Q230" s="16">
        <f>SUM(Q181+Q185+Q187+Q188+Q195+Q196+Q197+Q200+Q218+Q221+Q222+Q223)</f>
        <v>66052</v>
      </c>
      <c r="R230" s="16">
        <f>SUM(R181,R185,R187,R188,R195,R196,R200,R197,R218,R221,R222,R223)</f>
        <v>66052</v>
      </c>
      <c r="S230" s="16">
        <f>SUM(S181+S185+S187+S188+S195+S196+S197+S200+S218+S221+S222+S223)</f>
        <v>65479</v>
      </c>
      <c r="T230" s="16">
        <f>SUM(T181+T185+T187+T188+T195+T196+T197+T200+T218+T221+T222+T223)</f>
        <v>67171</v>
      </c>
      <c r="U230" s="16">
        <f>SUM(U181+U185+U187+U188+U195+U196+U197+U200+U218+U221+U222+U223)</f>
        <v>66284</v>
      </c>
      <c r="V230" s="16">
        <f>SUM(V181+V185+V187+V188+V195+V196+V197+V200+V218+V221+V222+V223)</f>
        <v>67973</v>
      </c>
      <c r="W230" s="16">
        <f>SUM(W181,W185,W187,W188,W195,W196,W200,W197,W218,W221,W222,W223)</f>
        <v>67973</v>
      </c>
      <c r="X230" s="16">
        <f>SUM(X181+X185+X187+X188+X195+X196+X197+X200+X218+X221+X222+X223)</f>
        <v>66096</v>
      </c>
      <c r="Y230" s="16">
        <f>SUM(Y181+Y185+Y187+Y188+Y195+Y196+Y197+Y200+Y218+Y221+Y222+Y223)</f>
        <v>66200</v>
      </c>
      <c r="Z230" s="16">
        <f>SUM(Z181+Z185+Z187+Z188+Z195+Z196+Z197+Z200+Z218+Z221+Z222+Z223)</f>
        <v>66870</v>
      </c>
      <c r="AA230" s="16">
        <f>SUM(AA181+AA185+AA187+AA188+AA195+AA196+AA197+AA200+AA218+AA221+AA222+AA223)</f>
        <v>68270</v>
      </c>
      <c r="AB230" s="16">
        <f>SUM(AB181,AB185,AB187,AB188,AB195,AB196,AB200,AB197,AB218,AB221,AB222,AB223)</f>
        <v>68270</v>
      </c>
      <c r="AC230" s="16">
        <f>SUM(AC181+AC185+AC187+AC188+AC195+AC196+AC197+AC200+AC218+AC221+AC222+AC223)</f>
        <v>66904</v>
      </c>
      <c r="AD230" s="16">
        <f>SUM(AD181+AD185+AD187+AD188+AD195+AD196+AD197+AD200+AD218+AD221+AD222+AD223)</f>
        <v>71662</v>
      </c>
      <c r="AE230" s="16">
        <f>SUM(AE181+AE185+AE187+AE188+AE195+AE196+AE197+AE200+AE218+AE221+AE222+AE223)</f>
        <v>73063</v>
      </c>
      <c r="AF230" s="16">
        <f>SUM(AF181+AF185+AF187+AF188+AF195+AF196+AF197+AF200+AF218+AF221+AF222+AF223)</f>
        <v>77267</v>
      </c>
      <c r="AG230" s="16">
        <f>SUM(AG181,AG185,AG187,AG188,AG195,AG196,AG200,AG197,AG218,AG221,AG222,AG223)</f>
        <v>77267</v>
      </c>
      <c r="AH230" s="16">
        <f>SUM(AH181+AH185+AH187+AH188+AH195+AH196+AH197+AH200+AH218+AH221+AH222+AH223)</f>
        <v>76890</v>
      </c>
      <c r="AI230" s="16">
        <f>SUM(AI181+AI185+AI187+AI188+AI195+AI196+AI197+AI200+AI218+AI221+AI222+AI223)</f>
        <v>83215</v>
      </c>
      <c r="AJ230" s="16">
        <f>SUM(AJ181+AJ185+AJ187+AJ188+AJ195+AJ196+AJ197+AJ200+AJ218+AJ221+AJ222+AJ223)</f>
        <v>64929</v>
      </c>
      <c r="AK230" s="16">
        <f>SUM(AK181+AK185+AK187+AK188+AK195+AK196+AK197+AK200+AK218+AK221+AK222+AK223)</f>
        <v>64929</v>
      </c>
      <c r="AL230" s="16">
        <f>SUM(AL181,AL185,AL187,AL188,AL195,AL196,AL200,AL197,AL218,AL221,AL222,AL223)</f>
        <v>64929</v>
      </c>
      <c r="AM230" s="16" t="e">
        <f>SUM(AM181+AM185+AM187+AM188+AM195+AM196+AM197+AM200+AM218+AM221+AM222+AM223)</f>
        <v>#DIV/0!</v>
      </c>
      <c r="AN230" s="16">
        <f>SUM(AN181+AN185+AN187+AN188+AN195+AN196+AN197+AN200+AN218+AN221+AN222+AN223)</f>
        <v>64929</v>
      </c>
      <c r="AO230" s="16" t="e">
        <f>SUM(AO181+AO185+AO187+AO188+AO195+AO196+AO197+AO200+AO218+AO221+AO222+AO223)</f>
        <v>#DIV/0!</v>
      </c>
      <c r="AP230" s="16" t="e">
        <f>SUM(AP181+AP185+AP187+AP188+AP195+AP196+AP197+AP200+AP218+AP221+AP222+AP223)</f>
        <v>#DIV/0!</v>
      </c>
      <c r="AQ230" s="16" t="e">
        <f>SUM(AQ181,AQ185,AQ187,AQ188,AQ195,AQ196,AQ200,AQ197,AQ218,AQ221,AQ222,AQ223)</f>
        <v>#DIV/0!</v>
      </c>
      <c r="AR230" s="16" t="e">
        <f>SUM(AR181+AR185+AR187+AR188+AR195+AR196+AR197+AR200+AR218+AR221+AR222+AR223)</f>
        <v>#DIV/0!</v>
      </c>
      <c r="AS230" s="16" t="e">
        <f>SUM(AS181+AS185+AS187+AS188+AS195+AS196+AS197+AS200+AS218+AS221+AS222+AS223)</f>
        <v>#DIV/0!</v>
      </c>
      <c r="AT230" s="16" t="e">
        <f>SUM(AT181+AT185+AT187+AT188+AT195+AT196+AT197+AT200+AT218+AT221+AT222+AT223)</f>
        <v>#DIV/0!</v>
      </c>
      <c r="AU230" s="16" t="e">
        <f>SUM(AU181+AU185+AU187+AU188+AU195+AU196+AU197+AU200+AU218+AU221+AU222+AU223)</f>
        <v>#DIV/0!</v>
      </c>
      <c r="AV230" s="16" t="e">
        <f>SUM(AV181,AV185,AV187,AV188,AV195,AV196,AV200,AV197,AV218,AV221,AV222,AV223)</f>
        <v>#DIV/0!</v>
      </c>
      <c r="AW230" s="16" t="e">
        <f>SUM(AW181+AW185+AW187+AW188+AW195+AW196+AW197+AW200+AW218+AW221+AW222+AW223)</f>
        <v>#DIV/0!</v>
      </c>
      <c r="AX230" s="16" t="e">
        <f>SUM(AX181+AX185+AX187+AX188+AX195+AX196+AX197+AX200+AX218+AX221+AX222+AX223)</f>
        <v>#DIV/0!</v>
      </c>
      <c r="AY230" s="16" t="e">
        <f>SUM(AY181+AY185+AY187+AY188+AY195+AY196+AY197+AY200+AY218+AY221+AY222+AY223)</f>
        <v>#DIV/0!</v>
      </c>
      <c r="AZ230" s="16" t="e">
        <f>SUM(AZ181+AZ185+AZ187+AZ188+AZ195+AZ196+AZ197+AZ200+AZ218+AZ221+AZ222+AZ223)</f>
        <v>#DIV/0!</v>
      </c>
      <c r="BA230" s="16" t="e">
        <f>SUM(BA181,BA185,BA187,BA188,BA195,BA196,BA200,BA197,BA218,BA221,BA222,BA223)</f>
        <v>#DIV/0!</v>
      </c>
      <c r="BB230" s="16" t="e">
        <f>SUM(BB181+BB185+BB187+BB188+BB195+BB196+BB197+BB200+BB218+BB221+BB222+BB223)</f>
        <v>#DIV/0!</v>
      </c>
      <c r="BC230" s="16" t="e">
        <f>SUM(BC181+BC185+BC187+BC188+BC195+BC196+BC197+BC200+BC218+BC221+BC222+BC223)</f>
        <v>#DIV/0!</v>
      </c>
      <c r="BD230" s="16" t="e">
        <f>SUM(BD181+BD185+BD187+BD188+BD195+BD196+BD197+BD200+BD218+BD221+BD222+BD223)</f>
        <v>#DIV/0!</v>
      </c>
      <c r="BE230" s="16" t="e">
        <f>SUM(BE181+BE185+BE187+BE188+BE195+BE196+BE197+BE200+BE218+BE221+BE222+BE223)</f>
        <v>#DIV/0!</v>
      </c>
      <c r="BF230" s="16" t="e">
        <f>SUM(BF181,BF185,BF187,BF188,BF195,BF196,BF200,BF197,BF218,BF221,BF222,BF223)</f>
        <v>#DIV/0!</v>
      </c>
      <c r="BG230" s="16" t="e">
        <f>SUM(BG181+BG185+BG187+BG188+BG195+BG196+BG197+BG200+BG218+BG221+BG222+BG223)</f>
        <v>#DIV/0!</v>
      </c>
      <c r="BH230" s="16" t="e">
        <f>SUM(BH181+BH185+BH187+BH188+BH195+BH196+BH197+BH200+BH218+BH221+BH222+BH223)</f>
        <v>#DIV/0!</v>
      </c>
      <c r="BI230" s="16" t="e">
        <f>SUM(BI181+BI185+BI187+BI188+BI195+BI196+BI197+BI200+BI218+BI221+BI222+BI223)</f>
        <v>#DIV/0!</v>
      </c>
      <c r="BJ230" s="16" t="e">
        <f>SUM(BJ181+BJ185+BJ187+BJ188+BJ195+BJ196+BJ197+BJ200+BJ218+BJ221+BJ222+BJ223)</f>
        <v>#DIV/0!</v>
      </c>
      <c r="BK230" s="16" t="e">
        <f>SUM(BK181,BK185,BK187,BK188,BK195,BK196,BK200,BK197,BK218,BK221,BK222,BK223)</f>
        <v>#DIV/0!</v>
      </c>
      <c r="BL230" s="16" t="e">
        <f>SUM(BL181+BL185+BL187+BL188+BL195+BL196+BL197+BL200+BL218+BL221+BL222+BL223)</f>
        <v>#DIV/0!</v>
      </c>
      <c r="BM230" s="16" t="e">
        <f>SUM(BM181+BM185+BM187+BM188+BM195+BM196+BM197+BM200+BM218+BM221+BM222+BM223)</f>
        <v>#DIV/0!</v>
      </c>
      <c r="BN230" s="16" t="e">
        <f>SUM(BN181+BN185+BN187+BN188+BN195+BN196+BN197+BN200+BN218+BN221+BN222+BN223)</f>
        <v>#DIV/0!</v>
      </c>
      <c r="BO230" s="16" t="e">
        <f>SUM(BO181+BO185+BO187+BO188+BO195+BO196+BO197+BO200+BO218+BO221+BO222+BO223)</f>
        <v>#DIV/0!</v>
      </c>
      <c r="BP230" s="16" t="e">
        <f>SUM(BP181,BP185,BP187,BP188,BP195,BP196,BP200,BP197,BP218,BP221,BP222,BP223)</f>
        <v>#DIV/0!</v>
      </c>
      <c r="BQ230" s="16" t="e">
        <f>SUM(BQ181+BQ185+BQ187+BQ188+BQ195+BQ196+BQ197+BQ200+BQ218+BQ221+BQ222+BQ223)</f>
        <v>#DIV/0!</v>
      </c>
      <c r="BR230" s="16" t="e">
        <f>SUM(BR181+BR185+BR187+BR188+BR195+BR196+BR197+BR200+BR218+BR221+BR222+BR223)</f>
        <v>#DIV/0!</v>
      </c>
      <c r="BS230" s="16" t="e">
        <f>SUM(BS181+BS185+BS187+BS188+BS195+BS196+BS197+BS200+BS218+BS221+BS222+BS223)</f>
        <v>#DIV/0!</v>
      </c>
      <c r="BT230" s="16" t="e">
        <f>SUM(BT181+BT185+BT187+BT188+BT195+BT196+BT197+BT200+BT218+BT221+BT222+BT223)</f>
        <v>#DIV/0!</v>
      </c>
      <c r="BU230" s="16" t="e">
        <f>SUM(BU181,BU185,BU187,BU188,BU195,BU196,BU200,BU197,BU218,BU221,BU222,BU223)</f>
        <v>#DIV/0!</v>
      </c>
      <c r="BV230" s="16" t="e">
        <f>SUM(BV181+BV185+BV187+BV188+BV195+BV196+BV197+BV200+BV218+BV221+BV222+BV223)</f>
        <v>#DIV/0!</v>
      </c>
      <c r="BW230" s="16" t="e">
        <f>SUM(BW181+BW185+BW187+BW188+BW195+BW196+BW197+BW200+BW218+BW221+BW222+BW223)</f>
        <v>#DIV/0!</v>
      </c>
      <c r="BX230" s="16" t="e">
        <f>SUM(BX181+BX185+BX187+BX188+BX195+BX196+BX197+BX200+BX218+BX221+BX222+BX223)</f>
        <v>#DIV/0!</v>
      </c>
      <c r="BY230" s="16" t="e">
        <f>SUM(BY181+BY185+BY187+BY188+BY195+BY196+BY197+BY200+BY218+BY221+BY222+BY223)</f>
        <v>#DIV/0!</v>
      </c>
      <c r="BZ230" s="16" t="e">
        <f>SUM(BZ181,BZ185,BZ187,BZ188,BZ195,BZ196,BZ200,BZ197,BZ218,BZ221,BZ222,BZ223)</f>
        <v>#DIV/0!</v>
      </c>
      <c r="CA230" s="16" t="e">
        <f>SUM(CA181+CA185+CA187+CA188+CA195+CA196+CA197+CA200+CA218+CA221+CA222+CA223)</f>
        <v>#DIV/0!</v>
      </c>
      <c r="CB230" s="16" t="e">
        <f>SUM(CB181+CB185+CB187+CB188+CB195+CB196+CB197+CB200+CB218+CB221+CB222+CB223)</f>
        <v>#DIV/0!</v>
      </c>
      <c r="CC230" s="16" t="e">
        <f>SUM(CC181+CC185+CC187+CC188+CC195+CC196+CC197+CC200+CC218+CC221+CC222+CC223)</f>
        <v>#DIV/0!</v>
      </c>
      <c r="CD230" s="16" t="e">
        <f>SUM(CD181+CD185+CD187+CD188+CD195+CD196+CD197+CD200+CD218+CD221+CD222+CD223)</f>
        <v>#DIV/0!</v>
      </c>
      <c r="CE230" s="16" t="e">
        <f>SUM(CE181,CE185,CE187,CE188,CE195,CE196,CE200,CE197,CE218,CE221,CE222,CE223)</f>
        <v>#DIV/0!</v>
      </c>
      <c r="CF230" s="16" t="e">
        <f>SUM(CF181+CF185+CF187+CF188+CF195+CF196+CF197+CF200+CF218+CF221+CF222+CF223)</f>
        <v>#DIV/0!</v>
      </c>
      <c r="CG230" s="16" t="e">
        <f>SUM(CG181+CG185+CG187+CG188+CG195+CG196+CG197+CG200+CG218+CG221+CG222+CG223)</f>
        <v>#DIV/0!</v>
      </c>
      <c r="CH230" s="16" t="e">
        <f>SUM(CH181+CH185+CH187+CH188+CH195+CH196+CH197+CH200+CH218+CH221+CH222+CH223)</f>
        <v>#DIV/0!</v>
      </c>
      <c r="CI230" s="16" t="e">
        <f>SUM(CI181+CI185+CI187+CI188+CI195+CI196+CI197+CI200+CI218+CI221+CI222+CI223)</f>
        <v>#DIV/0!</v>
      </c>
      <c r="CJ230" s="16" t="e">
        <f>SUM(CJ181,CJ185,CJ187,CJ188,CJ195,CJ196,CJ200,CJ197,CJ218,CJ221,CJ222,CJ223)</f>
        <v>#DIV/0!</v>
      </c>
      <c r="CK230" s="16" t="e">
        <f>SUM(CK181+CK185+CK187+CK188+CK195+CK196+CK197+CK200+CK218+CK221+CK222+CK223)</f>
        <v>#DIV/0!</v>
      </c>
      <c r="CL230" s="16" t="e">
        <f>SUM(CL181+CL185+CL187+CL188+CL195+CL196+CL197+CL200+CL218+CL221+CL222+CL223)</f>
        <v>#DIV/0!</v>
      </c>
      <c r="CM230" s="16" t="e">
        <f>SUM(CM181+CM185+CM187+CM188+CM195+CM196+CM197+CM200+CM218+CM221+CM222+CM223)</f>
        <v>#DIV/0!</v>
      </c>
      <c r="CN230" s="16" t="e">
        <f>SUM(CN181+CN185+CN187+CN188+CN195+CN196+CN197+CN200+CN218+CN221+CN222+CN223)</f>
        <v>#DIV/0!</v>
      </c>
      <c r="CO230" s="16" t="e">
        <f>SUM(CO181,CO185,CO187,CO188,CO195,CO196,CO200,CO197,CO218,CO221,CO222,CO223)</f>
        <v>#DIV/0!</v>
      </c>
      <c r="CP230" s="16" t="e">
        <f>SUM(CP181+CP185+CP187+CP188+CP195+CP196+CP197+CP200+CP218+CP221+CP222+CP223)</f>
        <v>#DIV/0!</v>
      </c>
      <c r="CQ230" s="16" t="e">
        <f>SUM(CQ181+CQ185+CQ187+CQ188+CQ195+CQ196+CQ197+CQ200+CQ218+CQ221+CQ222+CQ223)</f>
        <v>#DIV/0!</v>
      </c>
      <c r="CR230" s="16" t="e">
        <f>SUM(CR181+CR185+CR187+CR188+CR195+CR196+CR197+CR200+CR218+CR221+CR222+CR223)</f>
        <v>#DIV/0!</v>
      </c>
      <c r="CS230" s="16" t="e">
        <f>SUM(CS181+CS185+CS187+CS188+CS195+CS196+CS197+CS200+CS218+CS221+CS222+CS223)</f>
        <v>#DIV/0!</v>
      </c>
      <c r="CT230" s="16" t="e">
        <f>SUM(CT181,CT185,CT187,CT188,CT195,CT196,CT200,CT197,CT218,CT221,CT222,CT223)</f>
        <v>#DIV/0!</v>
      </c>
      <c r="CU230" s="16" t="e">
        <f>SUM(CU181+CU185+CU187+CU188+CU195+CU196+CU197+CU200+CU218+CU221+CU222+CU223)</f>
        <v>#DIV/0!</v>
      </c>
      <c r="CV230" s="16" t="e">
        <f>SUM(CV181+CV185+CV187+CV188+CV195+CV196+CV197+CV200+CV218+CV221+CV222+CV223)</f>
        <v>#DIV/0!</v>
      </c>
      <c r="CW230" s="16" t="e">
        <f>SUM(CW181+CW185+CW187+CW188+CW195+CW196+CW197+CW200+CW218+CW221+CW222+CW223)</f>
        <v>#DIV/0!</v>
      </c>
      <c r="CX230" s="16" t="e">
        <f>SUM(CX181+CX185+CX187+CX188+CX195+CX196+CX197+CX200+CX218+CX221+CX222+CX223)</f>
        <v>#DIV/0!</v>
      </c>
      <c r="CY230" s="16" t="e">
        <f>SUM(CY181,CY185,CY187,CY188,CY195,CY196,CY200,CY197,CY218,CY221,CY222,CY223)</f>
        <v>#DIV/0!</v>
      </c>
    </row>
    <row r="231">
      <c r="C231" s="26" t="inlineStr">
        <is>
          <t>Minority interest</t>
        </is>
      </c>
      <c r="D231" s="25">
        <f>INDEX('Inputs (2)'!$D$41:$AL$41,MATCH(D$7,'Inputs (2)'!$D$2:$AL$2,0))</f>
        <v>42</v>
      </c>
      <c r="E231" s="25">
        <f>INDEX('Inputs (2)'!$D$41:$AL$41,MATCH(E$7,'Inputs (2)'!$D$2:$AL$2,0))</f>
        <v>43</v>
      </c>
      <c r="F231" s="25">
        <f>INDEX('Inputs (2)'!$D$41:$AL$41,MATCH(F$7,'Inputs (2)'!$D$2:$AL$2,0))</f>
        <v>45</v>
      </c>
      <c r="G231" s="25">
        <f>INDEX('Inputs (2)'!$D$41:$AL$41,MATCH(G$7,'Inputs (2)'!$D$2:$AL$2,0))</f>
        <v>47</v>
      </c>
      <c r="H231" s="3">
        <f>G231</f>
        <v>47</v>
      </c>
      <c r="I231" s="25">
        <f>INDEX('Inputs (2)'!$D$41:$AL$41,MATCH(I$7,'Inputs (2)'!$D$2:$AL$2,0))</f>
        <v>44</v>
      </c>
      <c r="J231" s="25">
        <f>INDEX('Inputs (2)'!$D$41:$AL$41,MATCH(J$7,'Inputs (2)'!$D$2:$AL$2,0))</f>
        <v>47</v>
      </c>
      <c r="K231" s="25">
        <f>INDEX('Inputs (2)'!$D$41:$AL$41,MATCH(K$7,'Inputs (2)'!$D$2:$AL$2,0))</f>
        <v>30</v>
      </c>
      <c r="L231" s="25">
        <f>INDEX('Inputs (2)'!$D$41:$AL$41,MATCH(L$7,'Inputs (2)'!$D$2:$AL$2,0))</f>
        <v>32</v>
      </c>
      <c r="M231" s="3">
        <f>L231</f>
        <v>32</v>
      </c>
      <c r="N231" s="25">
        <f>INDEX('Inputs (2)'!$D$41:$AL$41,MATCH(N$7,'Inputs (2)'!$D$2:$AL$2,0))</f>
        <v>32</v>
      </c>
      <c r="O231" s="25">
        <f>INDEX('Inputs (2)'!$D$41:$AL$41,MATCH(O$7,'Inputs (2)'!$D$2:$AL$2,0))</f>
        <v>32</v>
      </c>
      <c r="P231" s="25">
        <f>INDEX('Inputs (2)'!$D$41:$AL$41,MATCH(P$7,'Inputs (2)'!$D$2:$AL$2,0))</f>
        <v>31</v>
      </c>
      <c r="Q231" s="25">
        <f>INDEX('Inputs (2)'!$D$41:$AL$41,MATCH(Q$7,'Inputs (2)'!$D$2:$AL$2,0))</f>
        <v>22</v>
      </c>
      <c r="R231" s="3">
        <f>Q231</f>
        <v>22</v>
      </c>
      <c r="S231" s="25">
        <f>INDEX('Inputs (2)'!$D$41:$AL$41,MATCH(S$7,'Inputs (2)'!$D$2:$AL$2,0))</f>
        <v>21</v>
      </c>
      <c r="T231" s="25">
        <f>INDEX('Inputs (2)'!$D$41:$AL$41,MATCH(T$7,'Inputs (2)'!$D$2:$AL$2,0))</f>
        <v>21</v>
      </c>
      <c r="U231" s="25">
        <f>INDEX('Inputs (2)'!$D$41:$AL$41,MATCH(U$7,'Inputs (2)'!$D$2:$AL$2,0))</f>
        <v>18</v>
      </c>
      <c r="V231" s="25">
        <f>INDEX('Inputs (2)'!$D$41:$AL$41,MATCH(V$7,'Inputs (2)'!$D$2:$AL$2,0))</f>
        <v>9</v>
      </c>
      <c r="W231" s="3">
        <f>V231</f>
        <v>9</v>
      </c>
      <c r="X231" s="25">
        <f>INDEX('Inputs (2)'!$D$41:$AL$41,MATCH(X$7,'Inputs (2)'!$D$2:$AL$2,0))</f>
        <v>6</v>
      </c>
      <c r="Y231" s="25">
        <f>INDEX('Inputs (2)'!$D$41:$AL$41,MATCH(Y$7,'Inputs (2)'!$D$2:$AL$2,0))</f>
        <v>6</v>
      </c>
      <c r="Z231" s="25">
        <f>INDEX('Inputs (2)'!$D$41:$AL$41,MATCH(Z$7,'Inputs (2)'!$D$2:$AL$2,0))</f>
        <v>6</v>
      </c>
      <c r="AA231" s="25">
        <f>INDEX('Inputs (2)'!$D$41:$AL$41,MATCH(AA$7,'Inputs (2)'!$D$2:$AL$2,0))</f>
        <v>3</v>
      </c>
      <c r="AB231" s="3">
        <f>AA231</f>
        <v>3</v>
      </c>
      <c r="AC231" s="25">
        <f>INDEX('Inputs (2)'!$D$41:$AL$41,MATCH(AC$7,'Inputs (2)'!$D$2:$AL$2,0))</f>
        <v>3</v>
      </c>
      <c r="AD231" s="25">
        <f>INDEX('Inputs (2)'!$D$41:$AL$41,MATCH(AD$7,'Inputs (2)'!$D$2:$AL$2,0))</f>
        <v>2</v>
      </c>
      <c r="AE231" s="25">
        <f>INDEX('Inputs (2)'!$D$41:$AL$41,MATCH(AE$7,'Inputs (2)'!$D$2:$AL$2,0))</f>
        <v>1</v>
      </c>
      <c r="AF231" s="25">
        <f>INDEX('Inputs (2)'!$D$41:$AL$41,MATCH(AF$7,'Inputs (2)'!$D$2:$AL$2,0))</f>
        <v>0</v>
      </c>
      <c r="AG231" s="3">
        <f>AF231</f>
        <v>0</v>
      </c>
      <c r="AH231" s="3">
        <f>INDEX('Inputs (2)'!$D$41:$AL$41,MATCH(AH$7,'Inputs (2)'!$D$2:$AL$2,0))</f>
        <v>-1</v>
      </c>
      <c r="AI231" s="3">
        <f>INDEX('Inputs (2)'!$D$41:$AL$41,MATCH(AI$7,'Inputs (2)'!$D$2:$AL$2,0))</f>
        <v>-1</v>
      </c>
      <c r="AJ231" s="3">
        <f>AI231-AJ119+AJ234</f>
        <v>-2</v>
      </c>
      <c r="AK231" s="3">
        <f>AJ231-AK119+AK234</f>
        <v>-3</v>
      </c>
      <c r="AL231" s="3">
        <f>AK231</f>
        <v>-3</v>
      </c>
      <c r="AM231" s="3">
        <f>AL231-AM119+AM234</f>
        <v>-4</v>
      </c>
      <c r="AN231" s="3">
        <f>AM231-AN119+AN234</f>
        <v>-4</v>
      </c>
      <c r="AO231" s="3">
        <f>AN231-AO119+AO234</f>
        <v>-5</v>
      </c>
      <c r="AP231" s="3">
        <f>AO231-AP119+AP234</f>
        <v>-6</v>
      </c>
      <c r="AQ231" s="3">
        <f>AP231</f>
        <v>-6</v>
      </c>
      <c r="AR231" s="3">
        <f>AQ231-AR119+AR234</f>
        <v>-7</v>
      </c>
      <c r="AS231" s="3">
        <f>AR231-AS119+AS234</f>
        <v>-7</v>
      </c>
      <c r="AT231" s="3">
        <f>AS231-AT119+AT234</f>
        <v>-8</v>
      </c>
      <c r="AU231" s="3">
        <f>AT231-AU119+AU234</f>
        <v>-9</v>
      </c>
      <c r="AV231" s="3">
        <f>AU231</f>
        <v>-9</v>
      </c>
      <c r="AW231" s="3">
        <f>AV231-AW119+AW234</f>
        <v>-10</v>
      </c>
      <c r="AX231" s="3">
        <f>AW231-AX119+AX234</f>
        <v>-10</v>
      </c>
      <c r="AY231" s="3">
        <f>AX231-AY119+AY234</f>
        <v>-11</v>
      </c>
      <c r="AZ231" s="3">
        <f>AY231-AZ119+AZ234</f>
        <v>-12</v>
      </c>
      <c r="BA231" s="3">
        <f>AZ231</f>
        <v>-12</v>
      </c>
      <c r="BB231" s="3">
        <f>BA231-BB119+BB234</f>
        <v>-13</v>
      </c>
      <c r="BC231" s="3">
        <f>BB231-BC119+BC234</f>
        <v>-13</v>
      </c>
      <c r="BD231" s="3">
        <f>BC231-BD119+BD234</f>
        <v>-14</v>
      </c>
      <c r="BE231" s="3">
        <f>BD231-BE119+BE234</f>
        <v>-15</v>
      </c>
      <c r="BF231" s="3">
        <f>BE231</f>
        <v>-15</v>
      </c>
      <c r="BG231" s="3">
        <f>BF231-BG119+BG234</f>
        <v>-16</v>
      </c>
      <c r="BH231" s="3">
        <f>BG231-BH119+BH234</f>
        <v>-16</v>
      </c>
      <c r="BI231" s="3">
        <f>BH231-BI119+BI234</f>
        <v>-17</v>
      </c>
      <c r="BJ231" s="3">
        <f>BI231-BJ119+BJ234</f>
        <v>-18</v>
      </c>
      <c r="BK231" s="3">
        <f>BJ231</f>
        <v>-18</v>
      </c>
      <c r="BL231" s="3">
        <f>BK231-BL119+BL234</f>
        <v>-19</v>
      </c>
      <c r="BM231" s="3">
        <f>BL231-BM119+BM234</f>
        <v>-19</v>
      </c>
      <c r="BN231" s="3">
        <f>BM231-BN119+BN234</f>
        <v>-20</v>
      </c>
      <c r="BO231" s="3">
        <f>BN231-BO119+BO234</f>
        <v>-21</v>
      </c>
      <c r="BP231" s="3">
        <f>BO231</f>
        <v>-21</v>
      </c>
      <c r="BQ231" s="3">
        <f>BP231-BQ119+BQ234</f>
        <v>-22</v>
      </c>
      <c r="BR231" s="3">
        <f>BQ231-BR119+BR234</f>
        <v>-22</v>
      </c>
      <c r="BS231" s="3">
        <f>BR231-BS119+BS234</f>
        <v>-23</v>
      </c>
      <c r="BT231" s="3">
        <f>BS231-BT119+BT234</f>
        <v>-24</v>
      </c>
      <c r="BU231" s="3">
        <f>BT231</f>
        <v>-24</v>
      </c>
      <c r="BV231" s="3">
        <f>BU231-BV119+BV234</f>
        <v>-25</v>
      </c>
      <c r="BW231" s="3">
        <f>BV231-BW119+BW234</f>
        <v>-25</v>
      </c>
      <c r="BX231" s="3">
        <f>BW231-BX119+BX234</f>
        <v>-26</v>
      </c>
      <c r="BY231" s="3">
        <f>BX231-BY119+BY234</f>
        <v>-27</v>
      </c>
      <c r="BZ231" s="3">
        <f>BY231</f>
        <v>-27</v>
      </c>
      <c r="CA231" s="3">
        <f>BZ231-CA119+CA234</f>
        <v>-28</v>
      </c>
      <c r="CB231" s="3">
        <f>CA231-CB119+CB234</f>
        <v>-28</v>
      </c>
      <c r="CC231" s="3">
        <f>CB231-CC119+CC234</f>
        <v>-29</v>
      </c>
      <c r="CD231" s="3">
        <f>CC231-CD119+CD234</f>
        <v>-30</v>
      </c>
      <c r="CE231" s="3">
        <f>CD231</f>
        <v>-30</v>
      </c>
      <c r="CF231" s="3">
        <f>CE231-CF119+CF234</f>
        <v>-31</v>
      </c>
      <c r="CG231" s="3">
        <f>CF231-CG119+CG234</f>
        <v>-31</v>
      </c>
      <c r="CH231" s="3">
        <f>CG231-CH119+CH234</f>
        <v>-32</v>
      </c>
      <c r="CI231" s="3">
        <f>CH231-CI119+CI234</f>
        <v>-33</v>
      </c>
      <c r="CJ231" s="3">
        <f>CI231</f>
        <v>-33</v>
      </c>
      <c r="CK231" s="3">
        <f>CJ231-CK119+CK234</f>
        <v>-34</v>
      </c>
      <c r="CL231" s="3">
        <f>CK231-CL119+CL234</f>
        <v>-34</v>
      </c>
      <c r="CM231" s="3">
        <f>CL231-CM119+CM234</f>
        <v>-35</v>
      </c>
      <c r="CN231" s="3">
        <f>CM231-CN119+CN234</f>
        <v>-36</v>
      </c>
      <c r="CO231" s="3">
        <f>CN231</f>
        <v>-36</v>
      </c>
      <c r="CP231" s="3">
        <f>CO231-CP119+CP234</f>
        <v>-37</v>
      </c>
      <c r="CQ231" s="3">
        <f>CP231-CQ119+CQ234</f>
        <v>-37</v>
      </c>
      <c r="CR231" s="3">
        <f>CQ231-CR119+CR234</f>
        <v>-38</v>
      </c>
      <c r="CS231" s="3">
        <f>CR231-CS119+CS234</f>
        <v>-39</v>
      </c>
      <c r="CT231" s="3">
        <f>CS231</f>
        <v>-39</v>
      </c>
      <c r="CU231" s="3">
        <f>CT231-CU119+CU234</f>
        <v>-40</v>
      </c>
      <c r="CV231" s="3">
        <f>CU231-CV119+CV234</f>
        <v>-40</v>
      </c>
      <c r="CW231" s="3">
        <f>CV231-CW119+CW234</f>
        <v>-41</v>
      </c>
      <c r="CX231" s="3">
        <f>CW231-CX119+CX234</f>
        <v>-42</v>
      </c>
      <c r="CY231" s="3">
        <f>CX231</f>
        <v>-42</v>
      </c>
    </row>
    <row r="232" hidden="1" outlineLevel="1" customFormat="1" s="39">
      <c r="A232" s="19" t="n"/>
      <c r="B232" s="19" t="n"/>
      <c r="C232" s="38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  <c r="AI232" s="22" t="n"/>
      <c r="AJ232" s="22" t="n"/>
      <c r="AK232" s="22" t="n"/>
      <c r="AL232" s="22" t="n"/>
      <c r="AM232" s="22" t="n"/>
      <c r="AN232" s="22" t="n"/>
      <c r="AO232" s="22" t="n"/>
      <c r="AP232" s="22" t="n"/>
      <c r="AQ232" s="22" t="n"/>
      <c r="AR232" s="22" t="n"/>
      <c r="AS232" s="22" t="n"/>
      <c r="AT232" s="22" t="n"/>
      <c r="AU232" s="22" t="n"/>
      <c r="AV232" s="22" t="n"/>
      <c r="AW232" s="22" t="n"/>
      <c r="AX232" s="22" t="n"/>
      <c r="AY232" s="22" t="n"/>
      <c r="AZ232" s="22" t="n"/>
      <c r="BA232" s="22" t="n"/>
      <c r="BB232" s="22" t="n"/>
      <c r="BC232" s="22" t="n"/>
      <c r="BD232" s="22" t="n"/>
      <c r="BE232" s="22" t="n"/>
      <c r="BF232" s="22" t="n"/>
      <c r="BG232" s="22" t="n"/>
      <c r="BH232" s="22" t="n"/>
      <c r="BI232" s="22" t="n"/>
      <c r="BJ232" s="22" t="n"/>
      <c r="BK232" s="22" t="n"/>
      <c r="BL232" s="22" t="n"/>
      <c r="BM232" s="22" t="n"/>
      <c r="BN232" s="22" t="n"/>
      <c r="BO232" s="22" t="n"/>
      <c r="BP232" s="22" t="n"/>
      <c r="BQ232" s="22" t="n"/>
      <c r="BR232" s="22" t="n"/>
      <c r="BS232" s="22" t="n"/>
      <c r="BT232" s="22" t="n"/>
      <c r="BU232" s="22" t="n"/>
      <c r="BV232" s="22" t="n"/>
      <c r="BW232" s="22" t="n"/>
      <c r="BX232" s="22" t="n"/>
      <c r="BY232" s="22" t="n"/>
      <c r="BZ232" s="22" t="n"/>
      <c r="CA232" s="22" t="n"/>
      <c r="CB232" s="22" t="n"/>
      <c r="CC232" s="22" t="n"/>
      <c r="CD232" s="22" t="n"/>
      <c r="CE232" s="22" t="n"/>
      <c r="CF232" s="22" t="n"/>
      <c r="CG232" s="22" t="n"/>
      <c r="CH232" s="22" t="n"/>
      <c r="CI232" s="22" t="n"/>
      <c r="CJ232" s="22" t="n"/>
      <c r="CK232" s="22" t="n"/>
      <c r="CL232" s="22" t="n"/>
      <c r="CM232" s="22" t="n"/>
      <c r="CN232" s="22" t="n"/>
      <c r="CO232" s="22" t="n"/>
      <c r="CP232" s="22" t="n"/>
      <c r="CQ232" s="22" t="n"/>
      <c r="CR232" s="22" t="n"/>
      <c r="CS232" s="22" t="n"/>
      <c r="CT232" s="22" t="n"/>
      <c r="CU232" s="22" t="n"/>
      <c r="CV232" s="22" t="n"/>
      <c r="CW232" s="22" t="n"/>
      <c r="CX232" s="22" t="n"/>
      <c r="CY232" s="22" t="n"/>
    </row>
    <row r="233" hidden="1" outlineLevel="1" customFormat="1" s="39">
      <c r="A233" s="19" t="n"/>
      <c r="B233" s="19" t="n"/>
      <c r="C233" s="34" t="inlineStr">
        <is>
          <t>Minority Interest Expense - % YoY</t>
        </is>
      </c>
      <c r="D233" s="22" t="n"/>
      <c r="E233" s="40">
        <f>IF(D118=0,0,E118/D118-1)</f>
        <v>0.6</v>
      </c>
      <c r="F233" s="22" t="n"/>
      <c r="G233" s="22" t="n"/>
      <c r="H233" s="40" t="n"/>
      <c r="I233" s="22" t="n"/>
      <c r="J233" s="40">
        <f>IF(I118=0,0,J118/I118-1)</f>
        <v>0.555555555555556</v>
      </c>
      <c r="K233" s="22" t="n"/>
      <c r="L233" s="22" t="n"/>
      <c r="M233" s="40" t="n"/>
      <c r="N233" s="40">
        <f>IF(I118=0,0,N118/I118-1)</f>
        <v>-0.222222222222222</v>
      </c>
      <c r="O233" s="40">
        <f>IF(J118=0,0,O118/J118-1)</f>
        <v>-0.714285714285714</v>
      </c>
      <c r="P233" s="40">
        <f>IF(K118=0,0,P118/K118-1)</f>
        <v>-0.571428571428571</v>
      </c>
      <c r="Q233" s="40">
        <f>IF(L118=0,0,Q118/L118-1)</f>
        <v>-0.923076923076923</v>
      </c>
      <c r="R233" s="40" t="n"/>
      <c r="S233" s="40">
        <f>IF(N118=0,0,S118/N118-1)</f>
        <v>1.28571428571429</v>
      </c>
      <c r="T233" s="40">
        <f>IF(O118=0,0,T118/O118-1)</f>
        <v>5</v>
      </c>
      <c r="U233" s="40">
        <f>IF(P118=0,0,U118/P118-1)</f>
        <v>0.333333333333333</v>
      </c>
      <c r="V233" s="40">
        <f>IF(Q118=0,0,V118/Q118-1)</f>
        <v>-12</v>
      </c>
      <c r="W233" s="40">
        <f>IF(R119=0,0,W119/R119-1)</f>
        <v>2</v>
      </c>
      <c r="X233" s="40">
        <f>IF(S118=0,0,X118/S118-1)</f>
        <v>-0.375</v>
      </c>
      <c r="Y233" s="40">
        <f>IF(T118=0,0,Y118/T118-1)</f>
        <v>-0.291666666666667</v>
      </c>
      <c r="Z233" s="40">
        <f>IF(U118=0,0,Z118/U118-1)</f>
        <v>-0.416666666666667</v>
      </c>
      <c r="AA233" s="40">
        <f>IF(V118=0,0,AA118/V118-1)</f>
        <v>-0.0909090909090909</v>
      </c>
      <c r="AB233" s="40">
        <f>IF(W119=0,0,AB119/W119-1)</f>
        <v>0.333333333333333</v>
      </c>
      <c r="AC233" s="40">
        <f>IF(X118=0,0,AC118/X118-1)</f>
        <v>-0.3</v>
      </c>
      <c r="AD233" s="40">
        <f>IF(Y118=0,0,AD118/Y118-1)</f>
        <v>-0.588235294117647</v>
      </c>
      <c r="AE233" s="40">
        <f>IF(Z118=0,0,AE118/Z118-1)</f>
        <v>0.142857142857143</v>
      </c>
      <c r="AF233" s="40">
        <f>IF(AA118=0,0,AF118/AA118-1)</f>
        <v>7.7</v>
      </c>
      <c r="AG233" s="40">
        <f>IF(AB119=0,0,AG119/AB119-1)</f>
        <v>-0.5</v>
      </c>
      <c r="AH233" s="35">
        <f>IF(AC118=0,0,AH118/AC118-1)</f>
        <v>0</v>
      </c>
      <c r="AI233" s="35">
        <f>IF(AD118=0,0,AI118/AD118-1)</f>
        <v>11.8571428571429</v>
      </c>
      <c r="AJ233" s="35" t="n"/>
      <c r="AK233" s="35" t="n"/>
      <c r="AL233" s="40">
        <f>IF(AG119=0,0,AL119/AG119-1)</f>
        <v>0.5</v>
      </c>
      <c r="AM233" s="35" t="n"/>
      <c r="AN233" s="35" t="n"/>
      <c r="AO233" s="35" t="n"/>
      <c r="AP233" s="35" t="n"/>
      <c r="AQ233" s="40">
        <f>IF(AL119=0,0,AQ119/AL119-1)</f>
        <v>0</v>
      </c>
      <c r="AR233" s="35" t="n"/>
      <c r="AS233" s="35" t="n"/>
      <c r="AT233" s="35" t="n"/>
      <c r="AU233" s="35" t="n"/>
      <c r="AV233" s="40">
        <f>IF(AQ119=0,0,AV119/AQ119-1)</f>
        <v>0</v>
      </c>
      <c r="AW233" s="35" t="n"/>
      <c r="AX233" s="35" t="n"/>
      <c r="AY233" s="35" t="n"/>
      <c r="AZ233" s="35" t="n"/>
      <c r="BA233" s="40">
        <f>IF(AV119=0,0,BA119/AV119-1)</f>
        <v>0</v>
      </c>
      <c r="BB233" s="35" t="n"/>
      <c r="BC233" s="35" t="n"/>
      <c r="BD233" s="35" t="n"/>
      <c r="BE233" s="35" t="n"/>
      <c r="BF233" s="40">
        <f>IF(BA119=0,0,BF119/BA119-1)</f>
        <v>0</v>
      </c>
      <c r="BG233" s="35" t="n"/>
      <c r="BH233" s="35" t="n"/>
      <c r="BI233" s="35" t="n"/>
      <c r="BJ233" s="35" t="n"/>
      <c r="BK233" s="40">
        <f>IF(BF119=0,0,BK119/BF119-1)</f>
        <v>0</v>
      </c>
      <c r="BL233" s="35" t="n"/>
      <c r="BM233" s="35" t="n"/>
      <c r="BN233" s="35" t="n"/>
      <c r="BO233" s="35" t="n"/>
      <c r="BP233" s="40">
        <f>IF(BK119=0,0,BP119/BK119-1)</f>
        <v>0</v>
      </c>
      <c r="BQ233" s="35" t="n"/>
      <c r="BR233" s="35" t="n"/>
      <c r="BS233" s="35" t="n"/>
      <c r="BT233" s="35" t="n"/>
      <c r="BU233" s="40">
        <f>IF(BP119=0,0,BU119/BP119-1)</f>
        <v>0</v>
      </c>
      <c r="BV233" s="35" t="n"/>
      <c r="BW233" s="35" t="n"/>
      <c r="BX233" s="35" t="n"/>
      <c r="BY233" s="35" t="n"/>
      <c r="BZ233" s="40">
        <f>IF(BU119=0,0,BZ119/BU119-1)</f>
        <v>0</v>
      </c>
      <c r="CA233" s="35" t="n"/>
      <c r="CB233" s="35" t="n"/>
      <c r="CC233" s="35" t="n"/>
      <c r="CD233" s="35" t="n"/>
      <c r="CE233" s="40">
        <f>IF(BZ119=0,0,CE119/BZ119-1)</f>
        <v>0</v>
      </c>
      <c r="CF233" s="35" t="n"/>
      <c r="CG233" s="35" t="n"/>
      <c r="CH233" s="35" t="n"/>
      <c r="CI233" s="35" t="n"/>
      <c r="CJ233" s="40">
        <f>IF(CE119=0,0,CJ119/CE119-1)</f>
        <v>0</v>
      </c>
      <c r="CK233" s="35" t="n"/>
      <c r="CL233" s="35" t="n"/>
      <c r="CM233" s="35" t="n"/>
      <c r="CN233" s="35" t="n"/>
      <c r="CO233" s="40">
        <f>IF(CJ119=0,0,CO119/CJ119-1)</f>
        <v>0</v>
      </c>
      <c r="CP233" s="35" t="n"/>
      <c r="CQ233" s="35" t="n"/>
      <c r="CR233" s="35" t="n"/>
      <c r="CS233" s="35" t="n"/>
      <c r="CT233" s="40">
        <f>IF(CO119=0,0,CT119/CO119-1)</f>
        <v>0</v>
      </c>
      <c r="CU233" s="35" t="n"/>
      <c r="CV233" s="35" t="n"/>
      <c r="CW233" s="35" t="n"/>
      <c r="CX233" s="35" t="n"/>
      <c r="CY233" s="40">
        <f>IF(CT119=0,0,CY119/CT119-1)</f>
        <v>0</v>
      </c>
    </row>
    <row r="234" hidden="1" outlineLevel="1" customFormat="1" s="39">
      <c r="A234" s="19" t="n"/>
      <c r="B234" s="19" t="n"/>
      <c r="C234" s="34" t="inlineStr">
        <is>
          <t>Dividends (enter as -)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35" t="n"/>
      <c r="AI234" s="35" t="n"/>
      <c r="AJ234" s="35" t="n"/>
      <c r="AK234" s="35" t="n"/>
      <c r="AL234" s="22" t="n"/>
      <c r="AM234" s="35" t="n"/>
      <c r="AN234" s="35" t="n"/>
      <c r="AO234" s="35" t="n"/>
      <c r="AP234" s="35" t="n"/>
      <c r="AQ234" s="22" t="n"/>
      <c r="AR234" s="35" t="n"/>
      <c r="AS234" s="35" t="n"/>
      <c r="AT234" s="35" t="n"/>
      <c r="AU234" s="35" t="n"/>
      <c r="AV234" s="22" t="n"/>
      <c r="AW234" s="35" t="n"/>
      <c r="AX234" s="35" t="n"/>
      <c r="AY234" s="35" t="n"/>
      <c r="AZ234" s="35" t="n"/>
      <c r="BA234" s="22" t="n"/>
      <c r="BB234" s="35" t="n"/>
      <c r="BC234" s="35" t="n"/>
      <c r="BD234" s="35" t="n"/>
      <c r="BE234" s="35" t="n"/>
      <c r="BF234" s="22" t="n"/>
      <c r="BG234" s="35" t="n"/>
      <c r="BH234" s="35" t="n"/>
      <c r="BI234" s="35" t="n"/>
      <c r="BJ234" s="35" t="n"/>
      <c r="BK234" s="22" t="n"/>
      <c r="BL234" s="35" t="n"/>
      <c r="BM234" s="35" t="n"/>
      <c r="BN234" s="35" t="n"/>
      <c r="BO234" s="35" t="n"/>
      <c r="BP234" s="22" t="n"/>
      <c r="BQ234" s="35" t="n"/>
      <c r="BR234" s="35" t="n"/>
      <c r="BS234" s="35" t="n"/>
      <c r="BT234" s="35" t="n"/>
      <c r="BU234" s="22" t="n"/>
      <c r="BV234" s="35" t="n"/>
      <c r="BW234" s="35" t="n"/>
      <c r="BX234" s="35" t="n"/>
      <c r="BY234" s="35" t="n"/>
      <c r="BZ234" s="22" t="n"/>
      <c r="CA234" s="35" t="n"/>
      <c r="CB234" s="35" t="n"/>
      <c r="CC234" s="35" t="n"/>
      <c r="CD234" s="35" t="n"/>
      <c r="CE234" s="22" t="n"/>
      <c r="CF234" s="35" t="n"/>
      <c r="CG234" s="35" t="n"/>
      <c r="CH234" s="35" t="n"/>
      <c r="CI234" s="35" t="n"/>
      <c r="CJ234" s="22" t="n"/>
      <c r="CK234" s="35" t="n"/>
      <c r="CL234" s="35" t="n"/>
      <c r="CM234" s="35" t="n"/>
      <c r="CN234" s="35" t="n"/>
      <c r="CO234" s="22" t="n"/>
      <c r="CP234" s="35" t="n"/>
      <c r="CQ234" s="35" t="n"/>
      <c r="CR234" s="35" t="n"/>
      <c r="CS234" s="35" t="n"/>
      <c r="CT234" s="22" t="n"/>
      <c r="CU234" s="35" t="n"/>
      <c r="CV234" s="35" t="n"/>
      <c r="CW234" s="35" t="n"/>
      <c r="CX234" s="35" t="n"/>
      <c r="CY234" s="22" t="n"/>
    </row>
    <row r="235" hidden="1" outlineLevel="1" customFormat="1" s="39">
      <c r="A235" s="19" t="n"/>
      <c r="B235" s="19" t="n"/>
      <c r="C235" s="38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  <c r="AI235" s="22" t="n"/>
      <c r="AJ235" s="22" t="n"/>
      <c r="AK235" s="22" t="n"/>
      <c r="AL235" s="22" t="n"/>
      <c r="AM235" s="22" t="n"/>
      <c r="AN235" s="22" t="n"/>
      <c r="AO235" s="22" t="n"/>
      <c r="AP235" s="22" t="n"/>
      <c r="AQ235" s="22" t="n"/>
      <c r="AR235" s="22" t="n"/>
      <c r="AS235" s="22" t="n"/>
      <c r="AT235" s="22" t="n"/>
      <c r="AU235" s="22" t="n"/>
      <c r="AV235" s="22" t="n"/>
      <c r="AW235" s="22" t="n"/>
      <c r="AX235" s="22" t="n"/>
      <c r="AY235" s="22" t="n"/>
      <c r="AZ235" s="22" t="n"/>
      <c r="BA235" s="22" t="n"/>
      <c r="BB235" s="22" t="n"/>
      <c r="BC235" s="22" t="n"/>
      <c r="BD235" s="22" t="n"/>
      <c r="BE235" s="22" t="n"/>
      <c r="BF235" s="22" t="n"/>
      <c r="BG235" s="22" t="n"/>
      <c r="BH235" s="22" t="n"/>
      <c r="BI235" s="22" t="n"/>
      <c r="BJ235" s="22" t="n"/>
      <c r="BK235" s="22" t="n"/>
      <c r="BL235" s="22" t="n"/>
      <c r="BM235" s="22" t="n"/>
      <c r="BN235" s="22" t="n"/>
      <c r="BO235" s="22" t="n"/>
      <c r="BP235" s="22" t="n"/>
      <c r="BQ235" s="22" t="n"/>
      <c r="BR235" s="22" t="n"/>
      <c r="BS235" s="22" t="n"/>
      <c r="BT235" s="22" t="n"/>
      <c r="BU235" s="22" t="n"/>
      <c r="BV235" s="22" t="n"/>
      <c r="BW235" s="22" t="n"/>
      <c r="BX235" s="22" t="n"/>
      <c r="BY235" s="22" t="n"/>
      <c r="BZ235" s="22" t="n"/>
      <c r="CA235" s="22" t="n"/>
      <c r="CB235" s="22" t="n"/>
      <c r="CC235" s="22" t="n"/>
      <c r="CD235" s="22" t="n"/>
      <c r="CE235" s="22" t="n"/>
      <c r="CF235" s="22" t="n"/>
      <c r="CG235" s="22" t="n"/>
      <c r="CH235" s="22" t="n"/>
      <c r="CI235" s="22" t="n"/>
      <c r="CJ235" s="22" t="n"/>
      <c r="CK235" s="22" t="n"/>
      <c r="CL235" s="22" t="n"/>
      <c r="CM235" s="22" t="n"/>
      <c r="CN235" s="22" t="n"/>
      <c r="CO235" s="22" t="n"/>
      <c r="CP235" s="22" t="n"/>
      <c r="CQ235" s="22" t="n"/>
      <c r="CR235" s="22" t="n"/>
      <c r="CS235" s="22" t="n"/>
      <c r="CT235" s="22" t="n"/>
      <c r="CU235" s="22" t="n"/>
      <c r="CV235" s="22" t="n"/>
      <c r="CW235" s="22" t="n"/>
      <c r="CX235" s="22" t="n"/>
      <c r="CY235" s="22" t="n"/>
    </row>
    <row r="236" collapsed="1">
      <c r="C236" s="26" t="inlineStr">
        <is>
          <t>Convertible Preferred Stock</t>
        </is>
      </c>
      <c r="D236" s="25" t="n"/>
      <c r="E236" s="25" t="n"/>
      <c r="F236" s="25" t="n"/>
      <c r="G236" s="25" t="n"/>
      <c r="H236" s="3">
        <f>G236</f>
        <v>0</v>
      </c>
      <c r="I236" s="25" t="n"/>
      <c r="J236" s="25" t="n"/>
      <c r="K236" s="25" t="n"/>
      <c r="L236" s="25" t="n"/>
      <c r="M236" s="3">
        <f>L236</f>
        <v>0</v>
      </c>
      <c r="N236" s="25" t="n"/>
      <c r="O236" s="25" t="n"/>
      <c r="P236" s="25" t="n"/>
      <c r="Q236" s="25" t="n"/>
      <c r="R236" s="3">
        <f>Q236</f>
        <v>0</v>
      </c>
      <c r="S236" s="25" t="n"/>
      <c r="T236" s="25" t="n"/>
      <c r="U236" s="25" t="n"/>
      <c r="V236" s="25" t="n"/>
      <c r="W236" s="3">
        <f>V236</f>
        <v>0</v>
      </c>
      <c r="X236" s="25" t="n"/>
      <c r="Y236" s="25" t="n"/>
      <c r="Z236" s="25" t="n"/>
      <c r="AA236" s="25" t="n"/>
      <c r="AB236" s="3">
        <f>AA236</f>
        <v>0</v>
      </c>
      <c r="AC236" s="25" t="n"/>
      <c r="AD236" s="25" t="n"/>
      <c r="AE236" s="25" t="n"/>
      <c r="AF236" s="25" t="n"/>
      <c r="AG236" s="3">
        <f>AF236</f>
        <v>0</v>
      </c>
      <c r="AH236" s="3">
        <f>AG236</f>
        <v>0</v>
      </c>
      <c r="AI236" s="3">
        <f>AH236</f>
        <v>0</v>
      </c>
      <c r="AJ236" s="3">
        <f>AI236</f>
        <v>0</v>
      </c>
      <c r="AK236" s="3">
        <f>AJ236</f>
        <v>0</v>
      </c>
      <c r="AL236" s="3">
        <f>AK236</f>
        <v>0</v>
      </c>
      <c r="AM236" s="3">
        <f>AL236</f>
        <v>0</v>
      </c>
      <c r="AN236" s="3">
        <f>AM236</f>
        <v>0</v>
      </c>
      <c r="AO236" s="3">
        <f>AN236</f>
        <v>0</v>
      </c>
      <c r="AP236" s="3">
        <f>AO236</f>
        <v>0</v>
      </c>
      <c r="AQ236" s="3">
        <f>AP236</f>
        <v>0</v>
      </c>
      <c r="AR236" s="3">
        <f>AQ236</f>
        <v>0</v>
      </c>
      <c r="AS236" s="3">
        <f>AR236</f>
        <v>0</v>
      </c>
      <c r="AT236" s="3">
        <f>AS236</f>
        <v>0</v>
      </c>
      <c r="AU236" s="3">
        <f>AT236</f>
        <v>0</v>
      </c>
      <c r="AV236" s="3">
        <f>AU236</f>
        <v>0</v>
      </c>
      <c r="AW236" s="3">
        <f>AV236</f>
        <v>0</v>
      </c>
      <c r="AX236" s="3">
        <f>AW236</f>
        <v>0</v>
      </c>
      <c r="AY236" s="3">
        <f>AX236</f>
        <v>0</v>
      </c>
      <c r="AZ236" s="3">
        <f>AY236</f>
        <v>0</v>
      </c>
      <c r="BA236" s="3">
        <f>AZ236</f>
        <v>0</v>
      </c>
      <c r="BB236" s="3">
        <f>BA236</f>
        <v>0</v>
      </c>
      <c r="BC236" s="3">
        <f>BB236</f>
        <v>0</v>
      </c>
      <c r="BD236" s="3">
        <f>BC236</f>
        <v>0</v>
      </c>
      <c r="BE236" s="3">
        <f>BD236</f>
        <v>0</v>
      </c>
      <c r="BF236" s="3">
        <f>BE236</f>
        <v>0</v>
      </c>
      <c r="BG236" s="3">
        <f>BF236</f>
        <v>0</v>
      </c>
      <c r="BH236" s="3">
        <f>BG236</f>
        <v>0</v>
      </c>
      <c r="BI236" s="3">
        <f>BH236</f>
        <v>0</v>
      </c>
      <c r="BJ236" s="3">
        <f>BI236</f>
        <v>0</v>
      </c>
      <c r="BK236" s="3">
        <f>BJ236</f>
        <v>0</v>
      </c>
      <c r="BL236" s="3">
        <f>BK236</f>
        <v>0</v>
      </c>
      <c r="BM236" s="3">
        <f>BL236</f>
        <v>0</v>
      </c>
      <c r="BN236" s="3">
        <f>BM236</f>
        <v>0</v>
      </c>
      <c r="BO236" s="3">
        <f>BN236</f>
        <v>0</v>
      </c>
      <c r="BP236" s="3">
        <f>BO236</f>
        <v>0</v>
      </c>
      <c r="BQ236" s="3">
        <f>BP236</f>
        <v>0</v>
      </c>
      <c r="BR236" s="3">
        <f>BQ236</f>
        <v>0</v>
      </c>
      <c r="BS236" s="3">
        <f>BR236</f>
        <v>0</v>
      </c>
      <c r="BT236" s="3">
        <f>BS236</f>
        <v>0</v>
      </c>
      <c r="BU236" s="3">
        <f>BT236</f>
        <v>0</v>
      </c>
      <c r="BV236" s="3">
        <f>BU236</f>
        <v>0</v>
      </c>
      <c r="BW236" s="3">
        <f>BV236</f>
        <v>0</v>
      </c>
      <c r="BX236" s="3">
        <f>BW236</f>
        <v>0</v>
      </c>
      <c r="BY236" s="3">
        <f>BX236</f>
        <v>0</v>
      </c>
      <c r="BZ236" s="3">
        <f>BY236</f>
        <v>0</v>
      </c>
      <c r="CA236" s="3">
        <f>BZ236</f>
        <v>0</v>
      </c>
      <c r="CB236" s="3">
        <f>CA236</f>
        <v>0</v>
      </c>
      <c r="CC236" s="3">
        <f>CB236</f>
        <v>0</v>
      </c>
      <c r="CD236" s="3">
        <f>CC236</f>
        <v>0</v>
      </c>
      <c r="CE236" s="3">
        <f>CD236</f>
        <v>0</v>
      </c>
      <c r="CF236" s="3">
        <f>CE236</f>
        <v>0</v>
      </c>
      <c r="CG236" s="3">
        <f>CF236</f>
        <v>0</v>
      </c>
      <c r="CH236" s="3">
        <f>CG236</f>
        <v>0</v>
      </c>
      <c r="CI236" s="3">
        <f>CH236</f>
        <v>0</v>
      </c>
      <c r="CJ236" s="3">
        <f>CI236</f>
        <v>0</v>
      </c>
      <c r="CK236" s="3">
        <f>CJ236</f>
        <v>0</v>
      </c>
      <c r="CL236" s="3">
        <f>CK236</f>
        <v>0</v>
      </c>
      <c r="CM236" s="3">
        <f>CL236</f>
        <v>0</v>
      </c>
      <c r="CN236" s="3">
        <f>CM236</f>
        <v>0</v>
      </c>
      <c r="CO236" s="3">
        <f>CN236</f>
        <v>0</v>
      </c>
      <c r="CP236" s="3">
        <f>CO236</f>
        <v>0</v>
      </c>
      <c r="CQ236" s="3">
        <f>CP236</f>
        <v>0</v>
      </c>
      <c r="CR236" s="3">
        <f>CQ236</f>
        <v>0</v>
      </c>
      <c r="CS236" s="3">
        <f>CR236</f>
        <v>0</v>
      </c>
      <c r="CT236" s="3">
        <f>CS236</f>
        <v>0</v>
      </c>
      <c r="CU236" s="3">
        <f>CT236</f>
        <v>0</v>
      </c>
      <c r="CV236" s="3">
        <f>CU236</f>
        <v>0</v>
      </c>
      <c r="CW236" s="3">
        <f>CV236</f>
        <v>0</v>
      </c>
      <c r="CX236" s="3">
        <f>CW236</f>
        <v>0</v>
      </c>
      <c r="CY236" s="3">
        <f>CX236</f>
        <v>0</v>
      </c>
    </row>
    <row r="237">
      <c r="C237" s="24" t="inlineStr">
        <is>
          <t>Common Stock and APIC</t>
        </is>
      </c>
      <c r="D237" s="25">
        <f>INDEX('Inputs (2)'!$D$43:$AL$43,MATCH(D$7,'Inputs (2)'!$D$2:$AL$2,0))</f>
        <v>6046</v>
      </c>
      <c r="E237" s="25">
        <f>INDEX('Inputs (2)'!$D$43:$AL$43,MATCH(E$7,'Inputs (2)'!$D$2:$AL$2,0))</f>
        <v>6120</v>
      </c>
      <c r="F237" s="25">
        <f>INDEX('Inputs (2)'!$D$43:$AL$43,MATCH(F$7,'Inputs (2)'!$D$2:$AL$2,0))</f>
        <v>6204</v>
      </c>
      <c r="G237" s="25">
        <f>INDEX('Inputs (2)'!$D$43:$AL$43,MATCH(G$7,'Inputs (2)'!$D$2:$AL$2,0))</f>
        <v>6230</v>
      </c>
      <c r="H237" s="3">
        <f>G237</f>
        <v>6230</v>
      </c>
      <c r="I237" s="25">
        <f>INDEX('Inputs (2)'!$D$43:$AL$43,MATCH(I$7,'Inputs (2)'!$D$2:$AL$2,0))</f>
        <v>6215</v>
      </c>
      <c r="J237" s="25">
        <f>INDEX('Inputs (2)'!$D$43:$AL$43,MATCH(J$7,'Inputs (2)'!$D$2:$AL$2,0))</f>
        <v>6293</v>
      </c>
      <c r="K237" s="25">
        <f>INDEX('Inputs (2)'!$D$43:$AL$43,MATCH(K$7,'Inputs (2)'!$D$2:$AL$2,0))</f>
        <v>6352</v>
      </c>
      <c r="L237" s="25">
        <f>INDEX('Inputs (2)'!$D$43:$AL$43,MATCH(L$7,'Inputs (2)'!$D$2:$AL$2,0))</f>
        <v>6398</v>
      </c>
      <c r="M237" s="3">
        <f>L237</f>
        <v>6398</v>
      </c>
      <c r="N237" s="25">
        <f>INDEX('Inputs (2)'!$D$43:$AL$43,MATCH(N$7,'Inputs (2)'!$D$2:$AL$2,0))</f>
        <v>6281</v>
      </c>
      <c r="O237" s="25">
        <f>INDEX('Inputs (2)'!$D$43:$AL$43,MATCH(O$7,'Inputs (2)'!$D$2:$AL$2,0))</f>
        <v>6464</v>
      </c>
      <c r="P237" s="25">
        <f>INDEX('Inputs (2)'!$D$43:$AL$43,MATCH(P$7,'Inputs (2)'!$D$2:$AL$2,0))</f>
        <v>6523</v>
      </c>
      <c r="Q237" s="25">
        <f>INDEX('Inputs (2)'!$D$43:$AL$43,MATCH(Q$7,'Inputs (2)'!$D$2:$AL$2,0))</f>
        <v>6560</v>
      </c>
      <c r="R237" s="3">
        <f>Q237</f>
        <v>6560</v>
      </c>
      <c r="S237" s="25">
        <f>INDEX('Inputs (2)'!$D$43:$AL$43,MATCH(S$7,'Inputs (2)'!$D$2:$AL$2,0))</f>
        <v>6546</v>
      </c>
      <c r="T237" s="25">
        <f>INDEX('Inputs (2)'!$D$43:$AL$43,MATCH(T$7,'Inputs (2)'!$D$2:$AL$2,0))</f>
        <v>6478</v>
      </c>
      <c r="U237" s="25">
        <f>INDEX('Inputs (2)'!$D$43:$AL$43,MATCH(U$7,'Inputs (2)'!$D$2:$AL$2,0))</f>
        <v>6698</v>
      </c>
      <c r="V237" s="25">
        <f>INDEX('Inputs (2)'!$D$43:$AL$43,MATCH(V$7,'Inputs (2)'!$D$2:$AL$2,0))</f>
        <v>6403</v>
      </c>
      <c r="W237" s="3">
        <f>V237</f>
        <v>6403</v>
      </c>
      <c r="X237" s="25">
        <f>INDEX('Inputs (2)'!$D$43:$AL$43,MATCH(X$7,'Inputs (2)'!$D$2:$AL$2,0))</f>
        <v>5663</v>
      </c>
      <c r="Y237" s="25">
        <f>INDEX('Inputs (2)'!$D$43:$AL$43,MATCH(Y$7,'Inputs (2)'!$D$2:$AL$2,0))</f>
        <v>5517</v>
      </c>
      <c r="Z237" s="25">
        <f>INDEX('Inputs (2)'!$D$43:$AL$43,MATCH(Z$7,'Inputs (2)'!$D$2:$AL$2,0))</f>
        <v>5584</v>
      </c>
      <c r="AA237" s="25">
        <f>INDEX('Inputs (2)'!$D$43:$AL$43,MATCH(AA$7,'Inputs (2)'!$D$2:$AL$2,0))</f>
        <v>6941</v>
      </c>
      <c r="AB237" s="3">
        <f>AA237</f>
        <v>6941</v>
      </c>
      <c r="AC237" s="25">
        <f>INDEX('Inputs (2)'!$D$43:$AL$43,MATCH(AC$7,'Inputs (2)'!$D$2:$AL$2,0))</f>
        <v>6043</v>
      </c>
      <c r="AD237" s="25">
        <f>INDEX('Inputs (2)'!$D$43:$AL$43,MATCH(AD$7,'Inputs (2)'!$D$2:$AL$2,0))</f>
        <v>6143</v>
      </c>
      <c r="AE237" s="25">
        <f>INDEX('Inputs (2)'!$D$43:$AL$43,MATCH(AE$7,'Inputs (2)'!$D$2:$AL$2,0))</f>
        <v>6223</v>
      </c>
      <c r="AF237" s="25">
        <f>INDEX('Inputs (2)'!$D$43:$AL$43,MATCH(AF$7,'Inputs (2)'!$D$2:$AL$2,0))</f>
        <v>7181</v>
      </c>
      <c r="AG237" s="3">
        <f>AF237</f>
        <v>7181</v>
      </c>
      <c r="AH237" s="3">
        <f>INDEX('Inputs (2)'!$D$43:$AL$43,MATCH(AH$7,'Inputs (2)'!$D$2:$AL$2,0))</f>
        <v>5852</v>
      </c>
      <c r="AI237" s="3">
        <f>INDEX('Inputs (2)'!$D$43:$AL$43,MATCH(AI$7,'Inputs (2)'!$D$2:$AL$2,0))</f>
        <v>5654</v>
      </c>
      <c r="AJ237" s="3">
        <f>AI237+AJ241</f>
        <v>5654</v>
      </c>
      <c r="AK237" s="3">
        <f>AJ237+AK241</f>
        <v>5654</v>
      </c>
      <c r="AL237" s="3">
        <f>AK237</f>
        <v>5654</v>
      </c>
      <c r="AM237" s="3">
        <f>AL237+AM241</f>
        <v>5654</v>
      </c>
      <c r="AN237" s="3">
        <f>AM237+AN241</f>
        <v>5654</v>
      </c>
      <c r="AO237" s="3">
        <f>AN237+AO241</f>
        <v>5654</v>
      </c>
      <c r="AP237" s="3">
        <f>AO237+AP241</f>
        <v>5654</v>
      </c>
      <c r="AQ237" s="3">
        <f>AP237</f>
        <v>5654</v>
      </c>
      <c r="AR237" s="3">
        <f>AQ237+AR241</f>
        <v>5654</v>
      </c>
      <c r="AS237" s="3">
        <f>AR237+AS241</f>
        <v>5654</v>
      </c>
      <c r="AT237" s="3">
        <f>AS237+AT241</f>
        <v>5654</v>
      </c>
      <c r="AU237" s="3">
        <f>AT237+AU241</f>
        <v>5654</v>
      </c>
      <c r="AV237" s="3">
        <f>AU237</f>
        <v>5654</v>
      </c>
      <c r="AW237" s="3">
        <f>AV237+AW241</f>
        <v>5654</v>
      </c>
      <c r="AX237" s="3">
        <f>AW237+AX241</f>
        <v>5654</v>
      </c>
      <c r="AY237" s="3">
        <f>AX237+AY241</f>
        <v>5654</v>
      </c>
      <c r="AZ237" s="3">
        <f>AY237+AZ241</f>
        <v>5654</v>
      </c>
      <c r="BA237" s="3">
        <f>AZ237</f>
        <v>5654</v>
      </c>
      <c r="BB237" s="3">
        <f>BA237+BB241</f>
        <v>5654</v>
      </c>
      <c r="BC237" s="3">
        <f>BB237+BC241</f>
        <v>5654</v>
      </c>
      <c r="BD237" s="3">
        <f>BC237+BD241</f>
        <v>5654</v>
      </c>
      <c r="BE237" s="3">
        <f>BD237+BE241</f>
        <v>5654</v>
      </c>
      <c r="BF237" s="3">
        <f>BE237</f>
        <v>5654</v>
      </c>
      <c r="BG237" s="3">
        <f>BF237+BG241</f>
        <v>5654</v>
      </c>
      <c r="BH237" s="3">
        <f>BG237+BH241</f>
        <v>5654</v>
      </c>
      <c r="BI237" s="3">
        <f>BH237+BI241</f>
        <v>5654</v>
      </c>
      <c r="BJ237" s="3">
        <f>BI237+BJ241</f>
        <v>5654</v>
      </c>
      <c r="BK237" s="3">
        <f>BJ237</f>
        <v>5654</v>
      </c>
      <c r="BL237" s="3">
        <f>BK237+BL241</f>
        <v>5654</v>
      </c>
      <c r="BM237" s="3">
        <f>BL237+BM241</f>
        <v>5654</v>
      </c>
      <c r="BN237" s="3">
        <f>BM237+BN241</f>
        <v>5654</v>
      </c>
      <c r="BO237" s="3">
        <f>BN237+BO241</f>
        <v>5654</v>
      </c>
      <c r="BP237" s="3">
        <f>BO237</f>
        <v>5654</v>
      </c>
      <c r="BQ237" s="3">
        <f>BP237+BQ241</f>
        <v>5654</v>
      </c>
      <c r="BR237" s="3">
        <f>BQ237+BR241</f>
        <v>5654</v>
      </c>
      <c r="BS237" s="3">
        <f>BR237+BS241</f>
        <v>5654</v>
      </c>
      <c r="BT237" s="3">
        <f>BS237+BT241</f>
        <v>5654</v>
      </c>
      <c r="BU237" s="3">
        <f>BT237</f>
        <v>5654</v>
      </c>
      <c r="BV237" s="3">
        <f>BU237+BV241</f>
        <v>5654</v>
      </c>
      <c r="BW237" s="3">
        <f>BV237+BW241</f>
        <v>5654</v>
      </c>
      <c r="BX237" s="3">
        <f>BW237+BX241</f>
        <v>5654</v>
      </c>
      <c r="BY237" s="3">
        <f>BX237+BY241</f>
        <v>5654</v>
      </c>
      <c r="BZ237" s="3">
        <f>BY237</f>
        <v>5654</v>
      </c>
      <c r="CA237" s="3">
        <f>BZ237+CA241</f>
        <v>5654</v>
      </c>
      <c r="CB237" s="3">
        <f>CA237+CB241</f>
        <v>5654</v>
      </c>
      <c r="CC237" s="3">
        <f>CB237+CC241</f>
        <v>5654</v>
      </c>
      <c r="CD237" s="3">
        <f>CC237+CD241</f>
        <v>5654</v>
      </c>
      <c r="CE237" s="3">
        <f>CD237</f>
        <v>5654</v>
      </c>
      <c r="CF237" s="3">
        <f>CE237+CF241</f>
        <v>5654</v>
      </c>
      <c r="CG237" s="3">
        <f>CF237+CG241</f>
        <v>5654</v>
      </c>
      <c r="CH237" s="3">
        <f>CG237+CH241</f>
        <v>5654</v>
      </c>
      <c r="CI237" s="3">
        <f>CH237+CI241</f>
        <v>5654</v>
      </c>
      <c r="CJ237" s="3">
        <f>CI237</f>
        <v>5654</v>
      </c>
      <c r="CK237" s="3">
        <f>CJ237+CK241</f>
        <v>5654</v>
      </c>
      <c r="CL237" s="3">
        <f>CK237+CL241</f>
        <v>5654</v>
      </c>
      <c r="CM237" s="3">
        <f>CL237+CM241</f>
        <v>5654</v>
      </c>
      <c r="CN237" s="3">
        <f>CM237+CN241</f>
        <v>5654</v>
      </c>
      <c r="CO237" s="3">
        <f>CN237</f>
        <v>5654</v>
      </c>
      <c r="CP237" s="3">
        <f>CO237+CP241</f>
        <v>5654</v>
      </c>
      <c r="CQ237" s="3">
        <f>CP237+CQ241</f>
        <v>5654</v>
      </c>
      <c r="CR237" s="3">
        <f>CQ237+CR241</f>
        <v>5654</v>
      </c>
      <c r="CS237" s="3">
        <f>CR237+CS241</f>
        <v>5654</v>
      </c>
      <c r="CT237" s="3">
        <f>CS237</f>
        <v>5654</v>
      </c>
      <c r="CU237" s="3">
        <f>CT237+CU241</f>
        <v>5654</v>
      </c>
      <c r="CV237" s="3">
        <f>CU237+CV241</f>
        <v>5654</v>
      </c>
      <c r="CW237" s="3">
        <f>CV237+CW241</f>
        <v>5654</v>
      </c>
      <c r="CX237" s="3">
        <f>CW237+CX241</f>
        <v>5654</v>
      </c>
      <c r="CY237" s="3">
        <f>CX237</f>
        <v>5654</v>
      </c>
    </row>
    <row r="238" hidden="1" outlineLevel="1" customFormat="1" s="39">
      <c r="A238" s="19" t="n"/>
      <c r="B238" s="19" t="n"/>
      <c r="C238" s="41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  <c r="AI238" s="22" t="n"/>
      <c r="AJ238" s="22" t="n"/>
      <c r="AK238" s="22" t="n"/>
      <c r="AL238" s="22" t="n"/>
      <c r="AM238" s="22" t="n"/>
      <c r="AN238" s="22" t="n"/>
      <c r="AO238" s="22" t="n"/>
      <c r="AP238" s="22" t="n"/>
      <c r="AQ238" s="22" t="n"/>
      <c r="AR238" s="22" t="n"/>
      <c r="AS238" s="22" t="n"/>
      <c r="AT238" s="22" t="n"/>
      <c r="AU238" s="22" t="n"/>
      <c r="AV238" s="22" t="n"/>
      <c r="AW238" s="22" t="n"/>
      <c r="AX238" s="22" t="n"/>
      <c r="AY238" s="22" t="n"/>
      <c r="AZ238" s="22" t="n"/>
      <c r="BA238" s="22" t="n"/>
      <c r="BB238" s="22" t="n"/>
      <c r="BC238" s="22" t="n"/>
      <c r="BD238" s="22" t="n"/>
      <c r="BE238" s="22" t="n"/>
      <c r="BF238" s="22" t="n"/>
      <c r="BG238" s="22" t="n"/>
      <c r="BH238" s="22" t="n"/>
      <c r="BI238" s="22" t="n"/>
      <c r="BJ238" s="22" t="n"/>
      <c r="BK238" s="22" t="n"/>
      <c r="BL238" s="22" t="n"/>
      <c r="BM238" s="22" t="n"/>
      <c r="BN238" s="22" t="n"/>
      <c r="BO238" s="22" t="n"/>
      <c r="BP238" s="22" t="n"/>
      <c r="BQ238" s="22" t="n"/>
      <c r="BR238" s="22" t="n"/>
      <c r="BS238" s="22" t="n"/>
      <c r="BT238" s="22" t="n"/>
      <c r="BU238" s="22" t="n"/>
      <c r="BV238" s="22" t="n"/>
      <c r="BW238" s="22" t="n"/>
      <c r="BX238" s="22" t="n"/>
      <c r="BY238" s="22" t="n"/>
      <c r="BZ238" s="22" t="n"/>
      <c r="CA238" s="22" t="n"/>
      <c r="CB238" s="22" t="n"/>
      <c r="CC238" s="22" t="n"/>
      <c r="CD238" s="22" t="n"/>
      <c r="CE238" s="22" t="n"/>
      <c r="CF238" s="22" t="n"/>
      <c r="CG238" s="22" t="n"/>
      <c r="CH238" s="22" t="n"/>
      <c r="CI238" s="22" t="n"/>
      <c r="CJ238" s="22" t="n"/>
      <c r="CK238" s="22" t="n"/>
      <c r="CL238" s="22" t="n"/>
      <c r="CM238" s="22" t="n"/>
      <c r="CN238" s="22" t="n"/>
      <c r="CO238" s="22" t="n"/>
      <c r="CP238" s="22" t="n"/>
      <c r="CQ238" s="22" t="n"/>
      <c r="CR238" s="22" t="n"/>
      <c r="CS238" s="22" t="n"/>
      <c r="CT238" s="22" t="n"/>
      <c r="CU238" s="22" t="n"/>
      <c r="CV238" s="22" t="n"/>
      <c r="CW238" s="22" t="n"/>
      <c r="CX238" s="22" t="n"/>
      <c r="CY238" s="22" t="n"/>
    </row>
    <row r="239" hidden="1" outlineLevel="1" customFormat="1" s="39">
      <c r="A239" s="19" t="n"/>
      <c r="B239" s="19" t="n"/>
      <c r="C239" s="41" t="inlineStr">
        <is>
          <t>Diluted Shares outstanding</t>
        </is>
      </c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  <c r="AI239" s="22" t="n"/>
      <c r="AJ239" s="22" t="n"/>
      <c r="AK239" s="22" t="n"/>
      <c r="AL239" s="22" t="n"/>
      <c r="AM239" s="22" t="n"/>
      <c r="AN239" s="22" t="n"/>
      <c r="AO239" s="22" t="n"/>
      <c r="AP239" s="22" t="n"/>
      <c r="AQ239" s="22" t="n"/>
      <c r="AR239" s="22" t="n"/>
      <c r="AS239" s="22" t="n"/>
      <c r="AT239" s="22" t="n"/>
      <c r="AU239" s="22" t="n"/>
      <c r="AV239" s="22" t="n"/>
      <c r="AW239" s="22" t="n"/>
      <c r="AX239" s="22" t="n"/>
      <c r="AY239" s="22" t="n"/>
      <c r="AZ239" s="22" t="n"/>
      <c r="BA239" s="22" t="n"/>
      <c r="BB239" s="22" t="n"/>
      <c r="BC239" s="22" t="n"/>
      <c r="BD239" s="22" t="n"/>
      <c r="BE239" s="22" t="n"/>
      <c r="BF239" s="22" t="n"/>
      <c r="BG239" s="22" t="n"/>
      <c r="BH239" s="22" t="n"/>
      <c r="BI239" s="22" t="n"/>
      <c r="BJ239" s="22" t="n"/>
      <c r="BK239" s="22" t="n"/>
      <c r="BL239" s="22" t="n"/>
      <c r="BM239" s="22" t="n"/>
      <c r="BN239" s="22" t="n"/>
      <c r="BO239" s="22" t="n"/>
      <c r="BP239" s="22" t="n"/>
      <c r="BQ239" s="22" t="n"/>
      <c r="BR239" s="22" t="n"/>
      <c r="BS239" s="22" t="n"/>
      <c r="BT239" s="22" t="n"/>
      <c r="BU239" s="22" t="n"/>
      <c r="BV239" s="22" t="n"/>
      <c r="BW239" s="22" t="n"/>
      <c r="BX239" s="22" t="n"/>
      <c r="BY239" s="22" t="n"/>
      <c r="BZ239" s="22" t="n"/>
      <c r="CA239" s="22" t="n"/>
      <c r="CB239" s="22" t="n"/>
      <c r="CC239" s="22" t="n"/>
      <c r="CD239" s="22" t="n"/>
      <c r="CE239" s="22" t="n"/>
      <c r="CF239" s="22" t="n"/>
      <c r="CG239" s="22" t="n"/>
      <c r="CH239" s="22" t="n"/>
      <c r="CI239" s="22" t="n"/>
      <c r="CJ239" s="22" t="n"/>
      <c r="CK239" s="22" t="n"/>
      <c r="CL239" s="22" t="n"/>
      <c r="CM239" s="22" t="n"/>
      <c r="CN239" s="22" t="n"/>
      <c r="CO239" s="22" t="n"/>
      <c r="CP239" s="22" t="n"/>
      <c r="CQ239" s="22" t="n"/>
      <c r="CR239" s="22" t="n"/>
      <c r="CS239" s="22" t="n"/>
      <c r="CT239" s="22" t="n"/>
      <c r="CU239" s="22" t="n"/>
      <c r="CV239" s="22" t="n"/>
      <c r="CW239" s="22" t="n"/>
      <c r="CX239" s="22" t="n"/>
      <c r="CY239" s="22" t="n"/>
    </row>
    <row r="240" hidden="1" outlineLevel="1" customFormat="1" s="39">
      <c r="A240" s="19" t="n"/>
      <c r="B240" s="19" t="n"/>
      <c r="C240" s="41" t="inlineStr">
        <is>
          <t>Treasury share $ repurchases</t>
        </is>
      </c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6" t="n"/>
      <c r="AI240" s="6" t="n"/>
      <c r="AJ240" s="6" t="n"/>
      <c r="AK240" s="6" t="n"/>
      <c r="AL240" s="22" t="n"/>
      <c r="AM240" s="6" t="n"/>
      <c r="AN240" s="6" t="n"/>
      <c r="AO240" s="6" t="n"/>
      <c r="AP240" s="6" t="n"/>
      <c r="AQ240" s="22" t="n"/>
      <c r="AR240" s="6" t="n"/>
      <c r="AS240" s="6" t="n"/>
      <c r="AT240" s="6" t="n"/>
      <c r="AU240" s="6" t="n"/>
      <c r="AV240" s="22" t="n"/>
      <c r="AW240" s="6" t="n"/>
      <c r="AX240" s="6" t="n"/>
      <c r="AY240" s="6" t="n"/>
      <c r="AZ240" s="6" t="n"/>
      <c r="BA240" s="22" t="n"/>
      <c r="BB240" s="6" t="n"/>
      <c r="BC240" s="6" t="n"/>
      <c r="BD240" s="6" t="n"/>
      <c r="BE240" s="6" t="n"/>
      <c r="BF240" s="22" t="n"/>
      <c r="BG240" s="6" t="n"/>
      <c r="BH240" s="6" t="n"/>
      <c r="BI240" s="6" t="n"/>
      <c r="BJ240" s="6" t="n"/>
      <c r="BK240" s="22" t="n"/>
      <c r="BL240" s="6" t="n"/>
      <c r="BM240" s="6" t="n"/>
      <c r="BN240" s="6" t="n"/>
      <c r="BO240" s="6" t="n"/>
      <c r="BP240" s="22" t="n"/>
      <c r="BQ240" s="6" t="n"/>
      <c r="BR240" s="6" t="n"/>
      <c r="BS240" s="6" t="n"/>
      <c r="BT240" s="6" t="n"/>
      <c r="BU240" s="22" t="n"/>
      <c r="BV240" s="6" t="n"/>
      <c r="BW240" s="6" t="n"/>
      <c r="BX240" s="6" t="n"/>
      <c r="BY240" s="6" t="n"/>
      <c r="BZ240" s="22" t="n"/>
      <c r="CA240" s="6" t="n"/>
      <c r="CB240" s="6" t="n"/>
      <c r="CC240" s="6" t="n"/>
      <c r="CD240" s="6" t="n"/>
      <c r="CE240" s="22" t="n"/>
      <c r="CF240" s="6" t="n"/>
      <c r="CG240" s="6" t="n"/>
      <c r="CH240" s="6" t="n"/>
      <c r="CI240" s="6" t="n"/>
      <c r="CJ240" s="22" t="n"/>
      <c r="CK240" s="6" t="n"/>
      <c r="CL240" s="6" t="n"/>
      <c r="CM240" s="6" t="n"/>
      <c r="CN240" s="6" t="n"/>
      <c r="CO240" s="22" t="n"/>
      <c r="CP240" s="6" t="n"/>
      <c r="CQ240" s="6" t="n"/>
      <c r="CR240" s="6" t="n"/>
      <c r="CS240" s="6" t="n"/>
      <c r="CT240" s="22" t="n"/>
      <c r="CU240" s="6" t="n"/>
      <c r="CV240" s="6" t="n"/>
      <c r="CW240" s="6" t="n"/>
      <c r="CX240" s="6" t="n"/>
      <c r="CY240" s="22" t="n"/>
    </row>
    <row r="241" hidden="1" outlineLevel="1" customFormat="1" s="39">
      <c r="A241" s="19" t="n"/>
      <c r="B241" s="19" t="n"/>
      <c r="C241" s="41" t="inlineStr">
        <is>
          <t>Value of shares issued</t>
        </is>
      </c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6" t="n"/>
      <c r="AI241" s="6" t="n"/>
      <c r="AJ241" s="6" t="n"/>
      <c r="AK241" s="6" t="n"/>
      <c r="AL241" s="22" t="n"/>
      <c r="AM241" s="6" t="n"/>
      <c r="AN241" s="6" t="n"/>
      <c r="AO241" s="6" t="n"/>
      <c r="AP241" s="6" t="n"/>
      <c r="AQ241" s="22" t="n"/>
      <c r="AR241" s="6" t="n"/>
      <c r="AS241" s="6" t="n"/>
      <c r="AT241" s="6" t="n"/>
      <c r="AU241" s="6" t="n"/>
      <c r="AV241" s="22" t="n"/>
      <c r="AW241" s="6" t="n"/>
      <c r="AX241" s="6" t="n"/>
      <c r="AY241" s="6" t="n"/>
      <c r="AZ241" s="6" t="n"/>
      <c r="BA241" s="22" t="n"/>
      <c r="BB241" s="6" t="n"/>
      <c r="BC241" s="6" t="n"/>
      <c r="BD241" s="6" t="n"/>
      <c r="BE241" s="6" t="n"/>
      <c r="BF241" s="22" t="n"/>
      <c r="BG241" s="6" t="n"/>
      <c r="BH241" s="6" t="n"/>
      <c r="BI241" s="6" t="n"/>
      <c r="BJ241" s="6" t="n"/>
      <c r="BK241" s="22" t="n"/>
      <c r="BL241" s="6" t="n"/>
      <c r="BM241" s="6" t="n"/>
      <c r="BN241" s="6" t="n"/>
      <c r="BO241" s="6" t="n"/>
      <c r="BP241" s="22" t="n"/>
      <c r="BQ241" s="6" t="n"/>
      <c r="BR241" s="6" t="n"/>
      <c r="BS241" s="6" t="n"/>
      <c r="BT241" s="6" t="n"/>
      <c r="BU241" s="22" t="n"/>
      <c r="BV241" s="6" t="n"/>
      <c r="BW241" s="6" t="n"/>
      <c r="BX241" s="6" t="n"/>
      <c r="BY241" s="6" t="n"/>
      <c r="BZ241" s="22" t="n"/>
      <c r="CA241" s="6" t="n"/>
      <c r="CB241" s="6" t="n"/>
      <c r="CC241" s="6" t="n"/>
      <c r="CD241" s="6" t="n"/>
      <c r="CE241" s="22" t="n"/>
      <c r="CF241" s="6" t="n"/>
      <c r="CG241" s="6" t="n"/>
      <c r="CH241" s="6" t="n"/>
      <c r="CI241" s="6" t="n"/>
      <c r="CJ241" s="22" t="n"/>
      <c r="CK241" s="6" t="n"/>
      <c r="CL241" s="6" t="n"/>
      <c r="CM241" s="6" t="n"/>
      <c r="CN241" s="6" t="n"/>
      <c r="CO241" s="22" t="n"/>
      <c r="CP241" s="6" t="n"/>
      <c r="CQ241" s="6" t="n"/>
      <c r="CR241" s="6" t="n"/>
      <c r="CS241" s="6" t="n"/>
      <c r="CT241" s="22" t="n"/>
      <c r="CU241" s="6" t="n"/>
      <c r="CV241" s="6" t="n"/>
      <c r="CW241" s="6" t="n"/>
      <c r="CX241" s="6" t="n"/>
      <c r="CY241" s="22" t="n"/>
    </row>
    <row r="242" hidden="1" outlineLevel="1" customFormat="1" s="39">
      <c r="A242" s="19" t="n"/>
      <c r="B242" s="19" t="n"/>
      <c r="C242" s="41" t="inlineStr">
        <is>
          <t>Expected average share price</t>
        </is>
      </c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51" t="n"/>
      <c r="AH242" s="42">
        <f>AG242*(1+AH243)</f>
        <v>0</v>
      </c>
      <c r="AI242" s="42">
        <f>AH242*(1+AI243)</f>
        <v>0</v>
      </c>
      <c r="AJ242" s="42">
        <f>AI242*(1+AJ243)</f>
        <v>0</v>
      </c>
      <c r="AK242" s="42">
        <f>AJ242*(1+AK243)</f>
        <v>0</v>
      </c>
      <c r="AL242" s="22" t="n"/>
      <c r="AM242" s="42">
        <f>AK242*(1+AM243)</f>
        <v>0</v>
      </c>
      <c r="AN242" s="42">
        <f>AM242*(1+AN243)</f>
        <v>0</v>
      </c>
      <c r="AO242" s="42">
        <f>AN242*(1+AO243)</f>
        <v>0</v>
      </c>
      <c r="AP242" s="42">
        <f>AO242*(1+AP243)</f>
        <v>0</v>
      </c>
      <c r="AQ242" s="22" t="n"/>
      <c r="AR242" s="42">
        <f>AP242*(1+AR243)</f>
        <v>0</v>
      </c>
      <c r="AS242" s="42">
        <f>AR242*(1+AS243)</f>
        <v>0</v>
      </c>
      <c r="AT242" s="42">
        <f>AS242*(1+AT243)</f>
        <v>0</v>
      </c>
      <c r="AU242" s="42">
        <f>AT242*(1+AU243)</f>
        <v>0</v>
      </c>
      <c r="AV242" s="22" t="n"/>
      <c r="AW242" s="42">
        <f>AU242*(1+AW243)</f>
        <v>0</v>
      </c>
      <c r="AX242" s="42">
        <f>AW242*(1+AX243)</f>
        <v>0</v>
      </c>
      <c r="AY242" s="42">
        <f>AX242*(1+AY243)</f>
        <v>0</v>
      </c>
      <c r="AZ242" s="42">
        <f>AY242*(1+AZ243)</f>
        <v>0</v>
      </c>
      <c r="BA242" s="22" t="n"/>
      <c r="BB242" s="42">
        <f>AZ242*(1+BB243)</f>
        <v>0</v>
      </c>
      <c r="BC242" s="42">
        <f>BB242*(1+BC243)</f>
        <v>0</v>
      </c>
      <c r="BD242" s="42">
        <f>BC242*(1+BD243)</f>
        <v>0</v>
      </c>
      <c r="BE242" s="42">
        <f>BD242*(1+BE243)</f>
        <v>0</v>
      </c>
      <c r="BF242" s="22" t="n"/>
      <c r="BG242" s="42">
        <f>BE242*(1+BG243)</f>
        <v>0</v>
      </c>
      <c r="BH242" s="42">
        <f>BG242*(1+BH243)</f>
        <v>0</v>
      </c>
      <c r="BI242" s="42">
        <f>BH242*(1+BI243)</f>
        <v>0</v>
      </c>
      <c r="BJ242" s="42">
        <f>BI242*(1+BJ243)</f>
        <v>0</v>
      </c>
      <c r="BK242" s="22" t="n"/>
      <c r="BL242" s="42">
        <f>BJ242*(1+BL243)</f>
        <v>0</v>
      </c>
      <c r="BM242" s="42">
        <f>BL242*(1+BM243)</f>
        <v>0</v>
      </c>
      <c r="BN242" s="42">
        <f>BM242*(1+BN243)</f>
        <v>0</v>
      </c>
      <c r="BO242" s="42">
        <f>BN242*(1+BO243)</f>
        <v>0</v>
      </c>
      <c r="BP242" s="22" t="n"/>
      <c r="BQ242" s="42">
        <f>BO242*(1+BQ243)</f>
        <v>0</v>
      </c>
      <c r="BR242" s="42">
        <f>BQ242*(1+BR243)</f>
        <v>0</v>
      </c>
      <c r="BS242" s="42">
        <f>BR242*(1+BS243)</f>
        <v>0</v>
      </c>
      <c r="BT242" s="42">
        <f>BS242*(1+BT243)</f>
        <v>0</v>
      </c>
      <c r="BU242" s="22" t="n"/>
      <c r="BV242" s="42">
        <f>BT242*(1+BV243)</f>
        <v>0</v>
      </c>
      <c r="BW242" s="42">
        <f>BV242*(1+BW243)</f>
        <v>0</v>
      </c>
      <c r="BX242" s="42">
        <f>BW242*(1+BX243)</f>
        <v>0</v>
      </c>
      <c r="BY242" s="42">
        <f>BX242*(1+BY243)</f>
        <v>0</v>
      </c>
      <c r="BZ242" s="22" t="n"/>
      <c r="CA242" s="42">
        <f>BY242*(1+CA243)</f>
        <v>0</v>
      </c>
      <c r="CB242" s="42">
        <f>CA242*(1+CB243)</f>
        <v>0</v>
      </c>
      <c r="CC242" s="42">
        <f>CB242*(1+CC243)</f>
        <v>0</v>
      </c>
      <c r="CD242" s="42">
        <f>CC242*(1+CD243)</f>
        <v>0</v>
      </c>
      <c r="CE242" s="22" t="n"/>
      <c r="CF242" s="42">
        <f>CD242*(1+CF243)</f>
        <v>0</v>
      </c>
      <c r="CG242" s="42">
        <f>CF242*(1+CG243)</f>
        <v>0</v>
      </c>
      <c r="CH242" s="42">
        <f>CG242*(1+CH243)</f>
        <v>0</v>
      </c>
      <c r="CI242" s="42">
        <f>CH242*(1+CI243)</f>
        <v>0</v>
      </c>
      <c r="CJ242" s="22" t="n"/>
      <c r="CK242" s="42">
        <f>CI242*(1+CK243)</f>
        <v>0</v>
      </c>
      <c r="CL242" s="42">
        <f>CK242*(1+CL243)</f>
        <v>0</v>
      </c>
      <c r="CM242" s="42">
        <f>CL242*(1+CM243)</f>
        <v>0</v>
      </c>
      <c r="CN242" s="42">
        <f>CM242*(1+CN243)</f>
        <v>0</v>
      </c>
      <c r="CO242" s="22" t="n"/>
      <c r="CP242" s="42">
        <f>CN242*(1+CP243)</f>
        <v>0</v>
      </c>
      <c r="CQ242" s="42">
        <f>CP242*(1+CQ243)</f>
        <v>0</v>
      </c>
      <c r="CR242" s="42">
        <f>CQ242*(1+CR243)</f>
        <v>0</v>
      </c>
      <c r="CS242" s="42">
        <f>CR242*(1+CS243)</f>
        <v>0</v>
      </c>
      <c r="CT242" s="22" t="n"/>
      <c r="CU242" s="42">
        <f>CS242*(1+CU243)</f>
        <v>0</v>
      </c>
      <c r="CV242" s="42">
        <f>CU242*(1+CV243)</f>
        <v>0</v>
      </c>
      <c r="CW242" s="42">
        <f>CV242*(1+CW243)</f>
        <v>0</v>
      </c>
      <c r="CX242" s="42">
        <f>CW242*(1+CX243)</f>
        <v>0</v>
      </c>
      <c r="CY242" s="22" t="n"/>
      <c r="CZ242">
        <f>CX242*(1+CZ243)</f>
        <v>0</v>
      </c>
      <c r="DA242">
        <f>CZ242*(1+DA243)</f>
        <v>0</v>
      </c>
      <c r="DB242">
        <f>DA242*(1+DB243)</f>
        <v>0</v>
      </c>
      <c r="DC242">
        <f>DB242*(1+DC243)</f>
        <v>0</v>
      </c>
    </row>
    <row r="243" hidden="1" outlineLevel="1" customFormat="1" s="39">
      <c r="A243" s="19" t="n"/>
      <c r="B243" s="19" t="n"/>
      <c r="C243" s="41" t="inlineStr">
        <is>
          <t>Consensus EPS growth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40">
        <f>$AL$248</f>
        <v>0</v>
      </c>
      <c r="AI243" s="40">
        <f>$AL$248</f>
        <v>0</v>
      </c>
      <c r="AJ243" s="40">
        <f>$AL$248</f>
        <v>0</v>
      </c>
      <c r="AK243" s="40">
        <f>$AL$248</f>
        <v>0</v>
      </c>
      <c r="AL243" s="22" t="n"/>
      <c r="AM243" s="40">
        <f>$AL$248</f>
        <v>0</v>
      </c>
      <c r="AN243" s="40">
        <f>$AL$248</f>
        <v>0</v>
      </c>
      <c r="AO243" s="40">
        <f>$AL$248</f>
        <v>0</v>
      </c>
      <c r="AP243" s="40">
        <f>$AL$248</f>
        <v>0</v>
      </c>
      <c r="AQ243" s="22" t="n"/>
      <c r="AR243" s="40">
        <f>$AL$248</f>
        <v>0</v>
      </c>
      <c r="AS243" s="40">
        <f>$AL$248</f>
        <v>0</v>
      </c>
      <c r="AT243" s="40">
        <f>$AL$248</f>
        <v>0</v>
      </c>
      <c r="AU243" s="40">
        <f>$AL$248</f>
        <v>0</v>
      </c>
      <c r="AV243" s="22" t="n"/>
      <c r="AW243" s="40">
        <f>$AL$248</f>
        <v>0</v>
      </c>
      <c r="AX243" s="40">
        <f>$AL$248</f>
        <v>0</v>
      </c>
      <c r="AY243" s="40">
        <f>$AL$248</f>
        <v>0</v>
      </c>
      <c r="AZ243" s="40">
        <f>$AL$248</f>
        <v>0</v>
      </c>
      <c r="BA243" s="22" t="n"/>
      <c r="BB243" s="40">
        <f>$AL$248</f>
        <v>0</v>
      </c>
      <c r="BC243" s="40">
        <f>$AL$248</f>
        <v>0</v>
      </c>
      <c r="BD243" s="40">
        <f>$AL$248</f>
        <v>0</v>
      </c>
      <c r="BE243" s="40">
        <f>$AL$248</f>
        <v>0</v>
      </c>
      <c r="BF243" s="22" t="n"/>
      <c r="BG243" s="40">
        <f>$AL$248</f>
        <v>0</v>
      </c>
      <c r="BH243" s="40">
        <f>$AL$248</f>
        <v>0</v>
      </c>
      <c r="BI243" s="40">
        <f>$AL$248</f>
        <v>0</v>
      </c>
      <c r="BJ243" s="40">
        <f>$AL$248</f>
        <v>0</v>
      </c>
      <c r="BK243" s="22" t="n"/>
      <c r="BL243" s="40">
        <f>$AL$248</f>
        <v>0</v>
      </c>
      <c r="BM243" s="40">
        <f>$AL$248</f>
        <v>0</v>
      </c>
      <c r="BN243" s="40">
        <f>$AL$248</f>
        <v>0</v>
      </c>
      <c r="BO243" s="40">
        <f>$AL$248</f>
        <v>0</v>
      </c>
      <c r="BP243" s="22" t="n"/>
      <c r="BQ243" s="40">
        <f>$AL$248</f>
        <v>0</v>
      </c>
      <c r="BR243" s="40">
        <f>$AL$248</f>
        <v>0</v>
      </c>
      <c r="BS243" s="40">
        <f>$AL$248</f>
        <v>0</v>
      </c>
      <c r="BT243" s="40">
        <f>$AL$248</f>
        <v>0</v>
      </c>
      <c r="BU243" s="22" t="n"/>
      <c r="BV243" s="40">
        <f>$AL$248</f>
        <v>0</v>
      </c>
      <c r="BW243" s="40">
        <f>$AL$248</f>
        <v>0</v>
      </c>
      <c r="BX243" s="40">
        <f>$AL$248</f>
        <v>0</v>
      </c>
      <c r="BY243" s="40">
        <f>$AL$248</f>
        <v>0</v>
      </c>
      <c r="BZ243" s="22" t="n"/>
      <c r="CA243" s="40">
        <f>$AL$248</f>
        <v>0</v>
      </c>
      <c r="CB243" s="40">
        <f>$AL$248</f>
        <v>0</v>
      </c>
      <c r="CC243" s="40">
        <f>$AL$248</f>
        <v>0</v>
      </c>
      <c r="CD243" s="40">
        <f>$AL$248</f>
        <v>0</v>
      </c>
      <c r="CE243" s="22" t="n"/>
      <c r="CF243" s="40">
        <f>$AL$248</f>
        <v>0</v>
      </c>
      <c r="CG243" s="40">
        <f>$AL$248</f>
        <v>0</v>
      </c>
      <c r="CH243" s="40">
        <f>$AL$248</f>
        <v>0</v>
      </c>
      <c r="CI243" s="40">
        <f>$AL$248</f>
        <v>0</v>
      </c>
      <c r="CJ243" s="22" t="n"/>
      <c r="CK243" s="40">
        <f>$AL$248</f>
        <v>0</v>
      </c>
      <c r="CL243" s="40">
        <f>$AL$248</f>
        <v>0</v>
      </c>
      <c r="CM243" s="40">
        <f>$AL$248</f>
        <v>0</v>
      </c>
      <c r="CN243" s="40">
        <f>$AL$248</f>
        <v>0</v>
      </c>
      <c r="CO243" s="22" t="n"/>
      <c r="CP243" s="40">
        <f>$AL$248</f>
        <v>0</v>
      </c>
      <c r="CQ243" s="40">
        <f>$AL$248</f>
        <v>0</v>
      </c>
      <c r="CR243" s="40">
        <f>$AL$248</f>
        <v>0</v>
      </c>
      <c r="CS243" s="40">
        <f>$AL$248</f>
        <v>0</v>
      </c>
      <c r="CT243" s="22" t="n"/>
      <c r="CU243" s="40">
        <f>$AL$248</f>
        <v>0</v>
      </c>
      <c r="CV243" s="40">
        <f>$AL$248</f>
        <v>0</v>
      </c>
      <c r="CW243" s="40">
        <f>$AL$248</f>
        <v>0</v>
      </c>
      <c r="CX243" s="40">
        <f>$AL$248</f>
        <v>0</v>
      </c>
      <c r="CY243" s="22" t="n"/>
    </row>
    <row r="244" hidden="1" outlineLevel="1" customFormat="1" s="39">
      <c r="A244" s="19" t="n"/>
      <c r="B244" s="19" t="n"/>
      <c r="C244" s="41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3" t="n"/>
      <c r="AI244" s="3" t="n"/>
      <c r="AJ244" s="3" t="n"/>
      <c r="AK244" s="3" t="n"/>
      <c r="AL244" s="22" t="n"/>
      <c r="AM244" s="3" t="n"/>
      <c r="AN244" s="3" t="n"/>
      <c r="AO244" s="3" t="n"/>
      <c r="AP244" s="3" t="n"/>
      <c r="AQ244" s="22" t="n"/>
      <c r="AR244" s="3" t="n"/>
      <c r="AS244" s="3" t="n"/>
      <c r="AT244" s="3" t="n"/>
      <c r="AU244" s="3" t="n"/>
      <c r="AV244" s="22" t="n"/>
      <c r="AW244" s="3" t="n"/>
      <c r="AX244" s="3" t="n"/>
      <c r="AY244" s="3" t="n"/>
      <c r="AZ244" s="3" t="n"/>
      <c r="BA244" s="22" t="n"/>
      <c r="BB244" s="3" t="n"/>
      <c r="BC244" s="3" t="n"/>
      <c r="BD244" s="3" t="n"/>
      <c r="BE244" s="3" t="n"/>
      <c r="BF244" s="22" t="n"/>
      <c r="BG244" s="3" t="n"/>
      <c r="BH244" s="3" t="n"/>
      <c r="BI244" s="3" t="n"/>
      <c r="BJ244" s="3" t="n"/>
      <c r="BK244" s="22" t="n"/>
      <c r="BL244" s="3" t="n"/>
      <c r="BM244" s="3" t="n"/>
      <c r="BN244" s="3" t="n"/>
      <c r="BO244" s="3" t="n"/>
      <c r="BP244" s="22" t="n"/>
      <c r="BQ244" s="3" t="n"/>
      <c r="BR244" s="3" t="n"/>
      <c r="BS244" s="3" t="n"/>
      <c r="BT244" s="3" t="n"/>
      <c r="BU244" s="22" t="n"/>
      <c r="BV244" s="3" t="n"/>
      <c r="BW244" s="3" t="n"/>
      <c r="BX244" s="3" t="n"/>
      <c r="BY244" s="3" t="n"/>
      <c r="BZ244" s="22" t="n"/>
      <c r="CA244" s="3" t="n"/>
      <c r="CB244" s="3" t="n"/>
      <c r="CC244" s="3" t="n"/>
      <c r="CD244" s="3" t="n"/>
      <c r="CE244" s="22" t="n"/>
      <c r="CF244" s="3" t="n"/>
      <c r="CG244" s="3" t="n"/>
      <c r="CH244" s="3" t="n"/>
      <c r="CI244" s="3" t="n"/>
      <c r="CJ244" s="22" t="n"/>
      <c r="CK244" s="3" t="n"/>
      <c r="CL244" s="3" t="n"/>
      <c r="CM244" s="3" t="n"/>
      <c r="CN244" s="3" t="n"/>
      <c r="CO244" s="22" t="n"/>
      <c r="CP244" s="3" t="n"/>
      <c r="CQ244" s="3" t="n"/>
      <c r="CR244" s="3" t="n"/>
      <c r="CS244" s="3" t="n"/>
      <c r="CT244" s="22" t="n"/>
      <c r="CU244" s="3" t="n"/>
      <c r="CV244" s="3" t="n"/>
      <c r="CW244" s="3" t="n"/>
      <c r="CX244" s="3" t="n"/>
      <c r="CY244" s="22" t="n"/>
    </row>
    <row r="245" hidden="1" outlineLevel="1" customFormat="1" s="39">
      <c r="A245" s="19" t="n"/>
      <c r="B245" s="19" t="n"/>
      <c r="C245" s="41" t="inlineStr">
        <is>
          <t>Shares repurchased</t>
        </is>
      </c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43" t="n"/>
      <c r="AI245" s="43" t="n"/>
      <c r="AJ245" s="43" t="e">
        <f>-AJ240/AJ242</f>
        <v>#DIV/0!</v>
      </c>
      <c r="AK245" s="43" t="e">
        <f>-AK240/AK242</f>
        <v>#DIV/0!</v>
      </c>
      <c r="AL245" s="22" t="n"/>
      <c r="AM245" s="43" t="e">
        <f>-AM240/AM242</f>
        <v>#DIV/0!</v>
      </c>
      <c r="AN245" s="43" t="e">
        <f>-AN240/AN242</f>
        <v>#DIV/0!</v>
      </c>
      <c r="AO245" s="43" t="e">
        <f>-AO240/AO242</f>
        <v>#DIV/0!</v>
      </c>
      <c r="AP245" s="43" t="e">
        <f>-AP240/AP242</f>
        <v>#DIV/0!</v>
      </c>
      <c r="AQ245" s="22" t="n"/>
      <c r="AR245" s="43" t="e">
        <f>-AR240/AR242</f>
        <v>#DIV/0!</v>
      </c>
      <c r="AS245" s="43" t="e">
        <f>-AS240/AS242</f>
        <v>#DIV/0!</v>
      </c>
      <c r="AT245" s="43" t="e">
        <f>-AT240/AT242</f>
        <v>#DIV/0!</v>
      </c>
      <c r="AU245" s="43" t="e">
        <f>-AU240/AU242</f>
        <v>#DIV/0!</v>
      </c>
      <c r="AV245" s="22" t="n"/>
      <c r="AW245" s="43" t="e">
        <f>-AW240/AW242</f>
        <v>#DIV/0!</v>
      </c>
      <c r="AX245" s="43" t="e">
        <f>-AX240/AX242</f>
        <v>#DIV/0!</v>
      </c>
      <c r="AY245" s="43" t="e">
        <f>-AY240/AY242</f>
        <v>#DIV/0!</v>
      </c>
      <c r="AZ245" s="43" t="e">
        <f>-AZ240/AZ242</f>
        <v>#DIV/0!</v>
      </c>
      <c r="BA245" s="22" t="n"/>
      <c r="BB245" s="43" t="e">
        <f>-BB240/BB242</f>
        <v>#DIV/0!</v>
      </c>
      <c r="BC245" s="43" t="e">
        <f>-BC240/BC242</f>
        <v>#DIV/0!</v>
      </c>
      <c r="BD245" s="43" t="e">
        <f>-BD240/BD242</f>
        <v>#DIV/0!</v>
      </c>
      <c r="BE245" s="43" t="e">
        <f>-BE240/BE242</f>
        <v>#DIV/0!</v>
      </c>
      <c r="BF245" s="22" t="n"/>
      <c r="BG245" s="43" t="e">
        <f>-BG240/BG242</f>
        <v>#DIV/0!</v>
      </c>
      <c r="BH245" s="43" t="e">
        <f>-BH240/BH242</f>
        <v>#DIV/0!</v>
      </c>
      <c r="BI245" s="43" t="e">
        <f>-BI240/BI242</f>
        <v>#DIV/0!</v>
      </c>
      <c r="BJ245" s="43" t="e">
        <f>-BJ240/BJ242</f>
        <v>#DIV/0!</v>
      </c>
      <c r="BK245" s="22" t="n"/>
      <c r="BL245" s="43" t="e">
        <f>-BL240/BL242</f>
        <v>#DIV/0!</v>
      </c>
      <c r="BM245" s="43" t="e">
        <f>-BM240/BM242</f>
        <v>#DIV/0!</v>
      </c>
      <c r="BN245" s="43" t="e">
        <f>-BN240/BN242</f>
        <v>#DIV/0!</v>
      </c>
      <c r="BO245" s="43" t="e">
        <f>-BO240/BO242</f>
        <v>#DIV/0!</v>
      </c>
      <c r="BP245" s="22" t="n"/>
      <c r="BQ245" s="43" t="e">
        <f>-BQ240/BQ242</f>
        <v>#DIV/0!</v>
      </c>
      <c r="BR245" s="43" t="e">
        <f>-BR240/BR242</f>
        <v>#DIV/0!</v>
      </c>
      <c r="BS245" s="43" t="e">
        <f>-BS240/BS242</f>
        <v>#DIV/0!</v>
      </c>
      <c r="BT245" s="43" t="e">
        <f>-BT240/BT242</f>
        <v>#DIV/0!</v>
      </c>
      <c r="BU245" s="22" t="n"/>
      <c r="BV245" s="43" t="e">
        <f>-BV240/BV242</f>
        <v>#DIV/0!</v>
      </c>
      <c r="BW245" s="43" t="e">
        <f>-BW240/BW242</f>
        <v>#DIV/0!</v>
      </c>
      <c r="BX245" s="43" t="e">
        <f>-BX240/BX242</f>
        <v>#DIV/0!</v>
      </c>
      <c r="BY245" s="43" t="e">
        <f>-BY240/BY242</f>
        <v>#DIV/0!</v>
      </c>
      <c r="BZ245" s="22" t="n"/>
      <c r="CA245" s="43" t="e">
        <f>-CA240/CA242</f>
        <v>#DIV/0!</v>
      </c>
      <c r="CB245" s="43" t="e">
        <f>-CB240/CB242</f>
        <v>#DIV/0!</v>
      </c>
      <c r="CC245" s="43" t="e">
        <f>-CC240/CC242</f>
        <v>#DIV/0!</v>
      </c>
      <c r="CD245" s="43" t="e">
        <f>-CD240/CD242</f>
        <v>#DIV/0!</v>
      </c>
      <c r="CE245" s="22" t="n"/>
      <c r="CF245" s="43" t="e">
        <f>-CF240/CF242</f>
        <v>#DIV/0!</v>
      </c>
      <c r="CG245" s="43" t="e">
        <f>-CG240/CG242</f>
        <v>#DIV/0!</v>
      </c>
      <c r="CH245" s="43" t="e">
        <f>-CH240/CH242</f>
        <v>#DIV/0!</v>
      </c>
      <c r="CI245" s="43" t="e">
        <f>-CI240/CI242</f>
        <v>#DIV/0!</v>
      </c>
      <c r="CJ245" s="22" t="n"/>
      <c r="CK245" s="43" t="e">
        <f>-CK240/CK242</f>
        <v>#DIV/0!</v>
      </c>
      <c r="CL245" s="43" t="e">
        <f>-CL240/CL242</f>
        <v>#DIV/0!</v>
      </c>
      <c r="CM245" s="43" t="e">
        <f>-CM240/CM242</f>
        <v>#DIV/0!</v>
      </c>
      <c r="CN245" s="43" t="e">
        <f>-CN240/CN242</f>
        <v>#DIV/0!</v>
      </c>
      <c r="CO245" s="22" t="n"/>
      <c r="CP245" s="43" t="e">
        <f>-CP240/CP242</f>
        <v>#DIV/0!</v>
      </c>
      <c r="CQ245" s="43" t="e">
        <f>-CQ240/CQ242</f>
        <v>#DIV/0!</v>
      </c>
      <c r="CR245" s="43" t="e">
        <f>-CR240/CR242</f>
        <v>#DIV/0!</v>
      </c>
      <c r="CS245" s="43" t="e">
        <f>-CS240/CS242</f>
        <v>#DIV/0!</v>
      </c>
      <c r="CT245" s="22" t="n"/>
      <c r="CU245" s="43" t="e">
        <f>-CU240/CU242</f>
        <v>#DIV/0!</v>
      </c>
      <c r="CV245" s="43" t="e">
        <f>-CV240/CV242</f>
        <v>#DIV/0!</v>
      </c>
      <c r="CW245" s="43" t="e">
        <f>-CW240/CW242</f>
        <v>#DIV/0!</v>
      </c>
      <c r="CX245" s="43" t="e">
        <f>-CX240/CX242</f>
        <v>#DIV/0!</v>
      </c>
      <c r="CY245" s="22" t="n"/>
    </row>
    <row r="246" hidden="1" outlineLevel="1" customFormat="1" s="39">
      <c r="A246" s="19" t="n"/>
      <c r="B246" s="19" t="n"/>
      <c r="C246" s="41" t="inlineStr">
        <is>
          <t>Shares issued</t>
        </is>
      </c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46" t="n"/>
      <c r="AG246" s="22" t="n"/>
      <c r="AH246" s="43" t="n"/>
      <c r="AI246" s="43" t="n"/>
      <c r="AJ246" s="43" t="e">
        <f>AJ241/AJ242</f>
        <v>#DIV/0!</v>
      </c>
      <c r="AK246" s="43" t="e">
        <f>AK241/AK242</f>
        <v>#DIV/0!</v>
      </c>
      <c r="AL246" s="22" t="n"/>
      <c r="AM246" s="43" t="e">
        <f>AM241/AM242</f>
        <v>#DIV/0!</v>
      </c>
      <c r="AN246" s="43" t="e">
        <f>AN241/AN242</f>
        <v>#DIV/0!</v>
      </c>
      <c r="AO246" s="43" t="e">
        <f>AO241/AO242</f>
        <v>#DIV/0!</v>
      </c>
      <c r="AP246" s="43" t="e">
        <f>AP241/AP242</f>
        <v>#DIV/0!</v>
      </c>
      <c r="AQ246" s="22" t="n"/>
      <c r="AR246" s="43" t="e">
        <f>AR241/AR242</f>
        <v>#DIV/0!</v>
      </c>
      <c r="AS246" s="43" t="e">
        <f>AS241/AS242</f>
        <v>#DIV/0!</v>
      </c>
      <c r="AT246" s="43" t="e">
        <f>AT241/AT242</f>
        <v>#DIV/0!</v>
      </c>
      <c r="AU246" s="43" t="e">
        <f>AU241/AU242</f>
        <v>#DIV/0!</v>
      </c>
      <c r="AV246" s="22" t="n"/>
      <c r="AW246" s="43" t="e">
        <f>AW241/AW242</f>
        <v>#DIV/0!</v>
      </c>
      <c r="AX246" s="43" t="e">
        <f>AX241/AX242</f>
        <v>#DIV/0!</v>
      </c>
      <c r="AY246" s="43" t="e">
        <f>AY241/AY242</f>
        <v>#DIV/0!</v>
      </c>
      <c r="AZ246" s="43" t="e">
        <f>AZ241/AZ242</f>
        <v>#DIV/0!</v>
      </c>
      <c r="BA246" s="22" t="n"/>
      <c r="BB246" s="43" t="e">
        <f>BB241/BB242</f>
        <v>#DIV/0!</v>
      </c>
      <c r="BC246" s="43" t="e">
        <f>BC241/BC242</f>
        <v>#DIV/0!</v>
      </c>
      <c r="BD246" s="43" t="e">
        <f>BD241/BD242</f>
        <v>#DIV/0!</v>
      </c>
      <c r="BE246" s="43" t="e">
        <f>BE241/BE242</f>
        <v>#DIV/0!</v>
      </c>
      <c r="BF246" s="22" t="n"/>
      <c r="BG246" s="43" t="e">
        <f>BG241/BG242</f>
        <v>#DIV/0!</v>
      </c>
      <c r="BH246" s="43" t="e">
        <f>BH241/BH242</f>
        <v>#DIV/0!</v>
      </c>
      <c r="BI246" s="43" t="e">
        <f>BI241/BI242</f>
        <v>#DIV/0!</v>
      </c>
      <c r="BJ246" s="43" t="e">
        <f>BJ241/BJ242</f>
        <v>#DIV/0!</v>
      </c>
      <c r="BK246" s="22" t="n"/>
      <c r="BL246" s="43" t="e">
        <f>BL241/BL242</f>
        <v>#DIV/0!</v>
      </c>
      <c r="BM246" s="43" t="e">
        <f>BM241/BM242</f>
        <v>#DIV/0!</v>
      </c>
      <c r="BN246" s="43" t="e">
        <f>BN241/BN242</f>
        <v>#DIV/0!</v>
      </c>
      <c r="BO246" s="43" t="e">
        <f>BO241/BO242</f>
        <v>#DIV/0!</v>
      </c>
      <c r="BP246" s="22" t="n"/>
      <c r="BQ246" s="43" t="e">
        <f>BQ241/BQ242</f>
        <v>#DIV/0!</v>
      </c>
      <c r="BR246" s="43" t="e">
        <f>BR241/BR242</f>
        <v>#DIV/0!</v>
      </c>
      <c r="BS246" s="43" t="e">
        <f>BS241/BS242</f>
        <v>#DIV/0!</v>
      </c>
      <c r="BT246" s="43" t="e">
        <f>BT241/BT242</f>
        <v>#DIV/0!</v>
      </c>
      <c r="BU246" s="22" t="n"/>
      <c r="BV246" s="43" t="e">
        <f>BV241/BV242</f>
        <v>#DIV/0!</v>
      </c>
      <c r="BW246" s="43" t="e">
        <f>BW241/BW242</f>
        <v>#DIV/0!</v>
      </c>
      <c r="BX246" s="43" t="e">
        <f>BX241/BX242</f>
        <v>#DIV/0!</v>
      </c>
      <c r="BY246" s="43" t="e">
        <f>BY241/BY242</f>
        <v>#DIV/0!</v>
      </c>
      <c r="BZ246" s="22" t="n"/>
      <c r="CA246" s="43" t="e">
        <f>CA241/CA242</f>
        <v>#DIV/0!</v>
      </c>
      <c r="CB246" s="43" t="e">
        <f>CB241/CB242</f>
        <v>#DIV/0!</v>
      </c>
      <c r="CC246" s="43" t="e">
        <f>CC241/CC242</f>
        <v>#DIV/0!</v>
      </c>
      <c r="CD246" s="43" t="e">
        <f>CD241/CD242</f>
        <v>#DIV/0!</v>
      </c>
      <c r="CE246" s="22" t="n"/>
      <c r="CF246" s="43" t="e">
        <f>CF241/CF242</f>
        <v>#DIV/0!</v>
      </c>
      <c r="CG246" s="43" t="e">
        <f>CG241/CG242</f>
        <v>#DIV/0!</v>
      </c>
      <c r="CH246" s="43" t="e">
        <f>CH241/CH242</f>
        <v>#DIV/0!</v>
      </c>
      <c r="CI246" s="43" t="e">
        <f>CI241/CI242</f>
        <v>#DIV/0!</v>
      </c>
      <c r="CJ246" s="22" t="n"/>
      <c r="CK246" s="43" t="e">
        <f>CK241/CK242</f>
        <v>#DIV/0!</v>
      </c>
      <c r="CL246" s="43" t="e">
        <f>CL241/CL242</f>
        <v>#DIV/0!</v>
      </c>
      <c r="CM246" s="43" t="e">
        <f>CM241/CM242</f>
        <v>#DIV/0!</v>
      </c>
      <c r="CN246" s="43" t="e">
        <f>CN241/CN242</f>
        <v>#DIV/0!</v>
      </c>
      <c r="CO246" s="22" t="n"/>
      <c r="CP246" s="43" t="e">
        <f>CP241/CP242</f>
        <v>#DIV/0!</v>
      </c>
      <c r="CQ246" s="43" t="e">
        <f>CQ241/CQ242</f>
        <v>#DIV/0!</v>
      </c>
      <c r="CR246" s="43" t="e">
        <f>CR241/CR242</f>
        <v>#DIV/0!</v>
      </c>
      <c r="CS246" s="43" t="e">
        <f>CS241/CS242</f>
        <v>#DIV/0!</v>
      </c>
      <c r="CT246" s="22" t="n"/>
      <c r="CU246" s="43" t="e">
        <f>CU241/CU242</f>
        <v>#DIV/0!</v>
      </c>
      <c r="CV246" s="43" t="e">
        <f>CV241/CV242</f>
        <v>#DIV/0!</v>
      </c>
      <c r="CW246" s="43" t="e">
        <f>CW241/CW242</f>
        <v>#DIV/0!</v>
      </c>
      <c r="CX246" s="43" t="e">
        <f>CX241/CX242</f>
        <v>#DIV/0!</v>
      </c>
      <c r="CY246" s="22" t="n"/>
    </row>
    <row r="247" hidden="1" outlineLevel="1" customFormat="1" s="39">
      <c r="A247" s="19" t="n"/>
      <c r="B247" s="19" t="n"/>
      <c r="C247" s="41" t="inlineStr">
        <is>
          <t>End of period basic shares outstanding</t>
        </is>
      </c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51" t="n"/>
      <c r="AH247" s="1">
        <f>AG247+AH246-AH245</f>
        <v>0</v>
      </c>
      <c r="AI247" s="1">
        <f>AH247+AI246-AI245</f>
        <v>0</v>
      </c>
      <c r="AJ247" s="43" t="e">
        <f>AI247+AJ246-AJ245</f>
        <v>#DIV/0!</v>
      </c>
      <c r="AK247" s="43" t="e">
        <f>AJ247+AK246-AK245</f>
        <v>#DIV/0!</v>
      </c>
      <c r="AL247" s="22" t="n"/>
      <c r="AM247" s="1" t="e">
        <f>AK247+AM246-AM245</f>
        <v>#DIV/0!</v>
      </c>
      <c r="AN247" s="1" t="e">
        <f>AM247+AN246-AN245</f>
        <v>#DIV/0!</v>
      </c>
      <c r="AO247" s="43" t="e">
        <f>AN247+AO246-AO245</f>
        <v>#DIV/0!</v>
      </c>
      <c r="AP247" s="43" t="e">
        <f>AO247+AP246-AP245</f>
        <v>#DIV/0!</v>
      </c>
      <c r="AQ247" s="22" t="n"/>
      <c r="AR247" s="1" t="e">
        <f>AP247+AR246-AR245</f>
        <v>#DIV/0!</v>
      </c>
      <c r="AS247" s="1" t="e">
        <f>AR247+AS246-AS245</f>
        <v>#DIV/0!</v>
      </c>
      <c r="AT247" s="43" t="e">
        <f>AS247+AT246-AT245</f>
        <v>#DIV/0!</v>
      </c>
      <c r="AU247" s="43" t="e">
        <f>AT247+AU246-AU245</f>
        <v>#DIV/0!</v>
      </c>
      <c r="AV247" s="22" t="n"/>
      <c r="AW247" s="1" t="e">
        <f>AU247+AW246-AW245</f>
        <v>#DIV/0!</v>
      </c>
      <c r="AX247" s="1" t="e">
        <f>AW247+AX246-AX245</f>
        <v>#DIV/0!</v>
      </c>
      <c r="AY247" s="43" t="e">
        <f>AX247+AY246-AY245</f>
        <v>#DIV/0!</v>
      </c>
      <c r="AZ247" s="43" t="e">
        <f>AY247+AZ246-AZ245</f>
        <v>#DIV/0!</v>
      </c>
      <c r="BA247" s="22" t="n"/>
      <c r="BB247" s="1" t="e">
        <f>AZ247+BB246-BB245</f>
        <v>#DIV/0!</v>
      </c>
      <c r="BC247" s="1" t="e">
        <f>BB247+BC246-BC245</f>
        <v>#DIV/0!</v>
      </c>
      <c r="BD247" s="43" t="e">
        <f>BC247+BD246-BD245</f>
        <v>#DIV/0!</v>
      </c>
      <c r="BE247" s="43" t="e">
        <f>BD247+BE246-BE245</f>
        <v>#DIV/0!</v>
      </c>
      <c r="BF247" s="22" t="n"/>
      <c r="BG247" s="1" t="e">
        <f>BE247+BG246-BG245</f>
        <v>#DIV/0!</v>
      </c>
      <c r="BH247" s="1" t="e">
        <f>BG247+BH246-BH245</f>
        <v>#DIV/0!</v>
      </c>
      <c r="BI247" s="43" t="e">
        <f>BH247+BI246-BI245</f>
        <v>#DIV/0!</v>
      </c>
      <c r="BJ247" s="43" t="e">
        <f>BI247+BJ246-BJ245</f>
        <v>#DIV/0!</v>
      </c>
      <c r="BK247" s="22" t="n"/>
      <c r="BL247" s="1" t="e">
        <f>BJ247+BL246-BL245</f>
        <v>#DIV/0!</v>
      </c>
      <c r="BM247" s="1" t="e">
        <f>BL247+BM246-BM245</f>
        <v>#DIV/0!</v>
      </c>
      <c r="BN247" s="43" t="e">
        <f>BM247+BN246-BN245</f>
        <v>#DIV/0!</v>
      </c>
      <c r="BO247" s="43" t="e">
        <f>BN247+BO246-BO245</f>
        <v>#DIV/0!</v>
      </c>
      <c r="BP247" s="22" t="n"/>
      <c r="BQ247" s="1" t="e">
        <f>BO247+BQ246-BQ245</f>
        <v>#DIV/0!</v>
      </c>
      <c r="BR247" s="1" t="e">
        <f>BQ247+BR246-BR245</f>
        <v>#DIV/0!</v>
      </c>
      <c r="BS247" s="43" t="e">
        <f>BR247+BS246-BS245</f>
        <v>#DIV/0!</v>
      </c>
      <c r="BT247" s="43" t="e">
        <f>BS247+BT246-BT245</f>
        <v>#DIV/0!</v>
      </c>
      <c r="BU247" s="22" t="n"/>
      <c r="BV247" s="1" t="e">
        <f>BT247+BV246-BV245</f>
        <v>#DIV/0!</v>
      </c>
      <c r="BW247" s="1" t="e">
        <f>BV247+BW246-BW245</f>
        <v>#DIV/0!</v>
      </c>
      <c r="BX247" s="43" t="e">
        <f>BW247+BX246-BX245</f>
        <v>#DIV/0!</v>
      </c>
      <c r="BY247" s="43" t="e">
        <f>BX247+BY246-BY245</f>
        <v>#DIV/0!</v>
      </c>
      <c r="BZ247" s="22" t="n"/>
      <c r="CA247" s="1" t="e">
        <f>BY247+CA246-CA245</f>
        <v>#DIV/0!</v>
      </c>
      <c r="CB247" s="1" t="e">
        <f>CA247+CB246-CB245</f>
        <v>#DIV/0!</v>
      </c>
      <c r="CC247" s="43" t="e">
        <f>CB247+CC246-CC245</f>
        <v>#DIV/0!</v>
      </c>
      <c r="CD247" s="43" t="e">
        <f>CC247+CD246-CD245</f>
        <v>#DIV/0!</v>
      </c>
      <c r="CE247" s="22" t="n"/>
      <c r="CF247" s="1" t="e">
        <f>CD247+CF246-CF245</f>
        <v>#DIV/0!</v>
      </c>
      <c r="CG247" s="1" t="e">
        <f>CF247+CG246-CG245</f>
        <v>#DIV/0!</v>
      </c>
      <c r="CH247" s="43" t="e">
        <f>CG247+CH246-CH245</f>
        <v>#DIV/0!</v>
      </c>
      <c r="CI247" s="43" t="e">
        <f>CH247+CI246-CI245</f>
        <v>#DIV/0!</v>
      </c>
      <c r="CJ247" s="22" t="n"/>
      <c r="CK247" s="1" t="e">
        <f>CI247+CK246-CK245</f>
        <v>#DIV/0!</v>
      </c>
      <c r="CL247" s="1" t="e">
        <f>CK247+CL246-CL245</f>
        <v>#DIV/0!</v>
      </c>
      <c r="CM247" s="43" t="e">
        <f>CL247+CM246-CM245</f>
        <v>#DIV/0!</v>
      </c>
      <c r="CN247" s="43" t="e">
        <f>CM247+CN246-CN245</f>
        <v>#DIV/0!</v>
      </c>
      <c r="CO247" s="22" t="n"/>
      <c r="CP247" s="1" t="e">
        <f>CN247+CP246-CP245</f>
        <v>#DIV/0!</v>
      </c>
      <c r="CQ247" s="1" t="e">
        <f>CP247+CQ246-CQ245</f>
        <v>#DIV/0!</v>
      </c>
      <c r="CR247" s="43" t="e">
        <f>CQ247+CR246-CR245</f>
        <v>#DIV/0!</v>
      </c>
      <c r="CS247" s="43" t="e">
        <f>CR247+CS246-CS245</f>
        <v>#DIV/0!</v>
      </c>
      <c r="CT247" s="22" t="n"/>
      <c r="CU247" s="1" t="e">
        <f>CS247+CU246-CU245</f>
        <v>#DIV/0!</v>
      </c>
      <c r="CV247" s="1" t="e">
        <f>CU247+CV246-CV245</f>
        <v>#DIV/0!</v>
      </c>
      <c r="CW247" s="43" t="e">
        <f>CV247+CW246-CW245</f>
        <v>#DIV/0!</v>
      </c>
      <c r="CX247" s="43" t="e">
        <f>CW247+CX246-CX245</f>
        <v>#DIV/0!</v>
      </c>
      <c r="CY247" s="22" t="n"/>
      <c r="CZ247" t="e">
        <f>CX247+CZ246-CZ245</f>
        <v>#DIV/0!</v>
      </c>
      <c r="DA247" t="e">
        <f>CZ247+DA246-DA245</f>
        <v>#DIV/0!</v>
      </c>
      <c r="DB247" t="e">
        <f>DA247+DB246-DB245</f>
        <v>#DIV/0!</v>
      </c>
      <c r="DC247" t="e">
        <f>DB247+DC246-DC245</f>
        <v>#DIV/0!</v>
      </c>
    </row>
    <row r="248" hidden="1" outlineLevel="1" customFormat="1" s="39">
      <c r="A248" s="19" t="n"/>
      <c r="B248" s="19" t="n"/>
      <c r="C248" s="41" t="inlineStr">
        <is>
          <t>Weighted average basic shares outstanding</t>
        </is>
      </c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43">
        <f>AVERAGE(AG247,AH247)</f>
        <v>0</v>
      </c>
      <c r="AI248" s="43">
        <f>AVERAGE(AH247,AI247)</f>
        <v>0</v>
      </c>
      <c r="AJ248" s="43" t="e">
        <f>AVERAGE(AI247,AJ247)</f>
        <v>#DIV/0!</v>
      </c>
      <c r="AK248" s="43" t="e">
        <f>AVERAGE(AJ247,AK247)</f>
        <v>#DIV/0!</v>
      </c>
      <c r="AL248" s="22" t="n"/>
      <c r="AM248" s="43" t="e">
        <f>AVERAGE(AK247,AM247)</f>
        <v>#DIV/0!</v>
      </c>
      <c r="AN248" s="43" t="e">
        <f>AVERAGE(AM247,AN247)</f>
        <v>#DIV/0!</v>
      </c>
      <c r="AO248" s="43" t="e">
        <f>AVERAGE(AN247,AO247)</f>
        <v>#DIV/0!</v>
      </c>
      <c r="AP248" s="43" t="e">
        <f>AVERAGE(AO247,AP247)</f>
        <v>#DIV/0!</v>
      </c>
      <c r="AQ248" s="22" t="n"/>
      <c r="AR248" s="43" t="e">
        <f>AVERAGE(AP247,AR247)</f>
        <v>#DIV/0!</v>
      </c>
      <c r="AS248" s="43" t="e">
        <f>AVERAGE(AR247,AS247)</f>
        <v>#DIV/0!</v>
      </c>
      <c r="AT248" s="43" t="e">
        <f>AVERAGE(AS247,AT247)</f>
        <v>#DIV/0!</v>
      </c>
      <c r="AU248" s="43" t="e">
        <f>AVERAGE(AT247,AU247)</f>
        <v>#DIV/0!</v>
      </c>
      <c r="AV248" s="22" t="n"/>
      <c r="AW248" s="43" t="e">
        <f>AVERAGE(AU247,AW247)</f>
        <v>#DIV/0!</v>
      </c>
      <c r="AX248" s="43" t="e">
        <f>AVERAGE(AW247,AX247)</f>
        <v>#DIV/0!</v>
      </c>
      <c r="AY248" s="43" t="e">
        <f>AVERAGE(AX247,AY247)</f>
        <v>#DIV/0!</v>
      </c>
      <c r="AZ248" s="43" t="e">
        <f>AVERAGE(AY247,AZ247)</f>
        <v>#DIV/0!</v>
      </c>
      <c r="BA248" s="22" t="n"/>
      <c r="BB248" s="43" t="e">
        <f>AVERAGE(AZ247,BB247)</f>
        <v>#DIV/0!</v>
      </c>
      <c r="BC248" s="43" t="e">
        <f>AVERAGE(BB247,BC247)</f>
        <v>#DIV/0!</v>
      </c>
      <c r="BD248" s="43" t="e">
        <f>AVERAGE(BC247,BD247)</f>
        <v>#DIV/0!</v>
      </c>
      <c r="BE248" s="43" t="e">
        <f>AVERAGE(BD247,BE247)</f>
        <v>#DIV/0!</v>
      </c>
      <c r="BF248" s="22" t="n"/>
      <c r="BG248" s="43" t="e">
        <f>AVERAGE(BE247,BG247)</f>
        <v>#DIV/0!</v>
      </c>
      <c r="BH248" s="43" t="e">
        <f>AVERAGE(BG247,BH247)</f>
        <v>#DIV/0!</v>
      </c>
      <c r="BI248" s="43" t="e">
        <f>AVERAGE(BH247,BI247)</f>
        <v>#DIV/0!</v>
      </c>
      <c r="BJ248" s="43" t="e">
        <f>AVERAGE(BI247,BJ247)</f>
        <v>#DIV/0!</v>
      </c>
      <c r="BK248" s="22" t="n"/>
      <c r="BL248" s="43" t="e">
        <f>AVERAGE(BJ247,BL247)</f>
        <v>#DIV/0!</v>
      </c>
      <c r="BM248" s="43" t="e">
        <f>AVERAGE(BL247,BM247)</f>
        <v>#DIV/0!</v>
      </c>
      <c r="BN248" s="43" t="e">
        <f>AVERAGE(BM247,BN247)</f>
        <v>#DIV/0!</v>
      </c>
      <c r="BO248" s="43" t="e">
        <f>AVERAGE(BN247,BO247)</f>
        <v>#DIV/0!</v>
      </c>
      <c r="BP248" s="22" t="n"/>
      <c r="BQ248" s="43" t="e">
        <f>AVERAGE(BO247,BQ247)</f>
        <v>#DIV/0!</v>
      </c>
      <c r="BR248" s="43" t="e">
        <f>AVERAGE(BQ247,BR247)</f>
        <v>#DIV/0!</v>
      </c>
      <c r="BS248" s="43" t="e">
        <f>AVERAGE(BR247,BS247)</f>
        <v>#DIV/0!</v>
      </c>
      <c r="BT248" s="43" t="e">
        <f>AVERAGE(BS247,BT247)</f>
        <v>#DIV/0!</v>
      </c>
      <c r="BU248" s="22" t="n"/>
      <c r="BV248" s="43" t="e">
        <f>AVERAGE(BT247,BV247)</f>
        <v>#DIV/0!</v>
      </c>
      <c r="BW248" s="43" t="e">
        <f>AVERAGE(BV247,BW247)</f>
        <v>#DIV/0!</v>
      </c>
      <c r="BX248" s="43" t="e">
        <f>AVERAGE(BW247,BX247)</f>
        <v>#DIV/0!</v>
      </c>
      <c r="BY248" s="43" t="e">
        <f>AVERAGE(BX247,BY247)</f>
        <v>#DIV/0!</v>
      </c>
      <c r="BZ248" s="22" t="n"/>
      <c r="CA248" s="43" t="e">
        <f>AVERAGE(BY247,CA247)</f>
        <v>#DIV/0!</v>
      </c>
      <c r="CB248" s="43" t="e">
        <f>AVERAGE(CA247,CB247)</f>
        <v>#DIV/0!</v>
      </c>
      <c r="CC248" s="43" t="e">
        <f>AVERAGE(CB247,CC247)</f>
        <v>#DIV/0!</v>
      </c>
      <c r="CD248" s="43" t="e">
        <f>AVERAGE(CC247,CD247)</f>
        <v>#DIV/0!</v>
      </c>
      <c r="CE248" s="22" t="n"/>
      <c r="CF248" s="43" t="e">
        <f>AVERAGE(CD247,CF247)</f>
        <v>#DIV/0!</v>
      </c>
      <c r="CG248" s="43" t="e">
        <f>AVERAGE(CF247,CG247)</f>
        <v>#DIV/0!</v>
      </c>
      <c r="CH248" s="43" t="e">
        <f>AVERAGE(CG247,CH247)</f>
        <v>#DIV/0!</v>
      </c>
      <c r="CI248" s="43" t="e">
        <f>AVERAGE(CH247,CI247)</f>
        <v>#DIV/0!</v>
      </c>
      <c r="CJ248" s="22" t="n"/>
      <c r="CK248" s="43" t="e">
        <f>AVERAGE(CI247,CK247)</f>
        <v>#DIV/0!</v>
      </c>
      <c r="CL248" s="43" t="e">
        <f>AVERAGE(CK247,CL247)</f>
        <v>#DIV/0!</v>
      </c>
      <c r="CM248" s="43" t="e">
        <f>AVERAGE(CL247,CM247)</f>
        <v>#DIV/0!</v>
      </c>
      <c r="CN248" s="43" t="e">
        <f>AVERAGE(CM247,CN247)</f>
        <v>#DIV/0!</v>
      </c>
      <c r="CO248" s="22" t="n"/>
      <c r="CP248" s="43" t="e">
        <f>AVERAGE(CN247,CP247)</f>
        <v>#DIV/0!</v>
      </c>
      <c r="CQ248" s="43" t="e">
        <f>AVERAGE(CP247,CQ247)</f>
        <v>#DIV/0!</v>
      </c>
      <c r="CR248" s="43" t="e">
        <f>AVERAGE(CQ247,CR247)</f>
        <v>#DIV/0!</v>
      </c>
      <c r="CS248" s="43" t="e">
        <f>AVERAGE(CR247,CS247)</f>
        <v>#DIV/0!</v>
      </c>
      <c r="CT248" s="22" t="n"/>
      <c r="CU248" s="43" t="e">
        <f>AVERAGE(CS247,CU247)</f>
        <v>#DIV/0!</v>
      </c>
      <c r="CV248" s="43" t="e">
        <f>AVERAGE(CU247,CV247)</f>
        <v>#DIV/0!</v>
      </c>
      <c r="CW248" s="43" t="e">
        <f>AVERAGE(CV247,CW247)</f>
        <v>#DIV/0!</v>
      </c>
      <c r="CX248" s="43" t="e">
        <f>AVERAGE(CW247,CX247)</f>
        <v>#DIV/0!</v>
      </c>
      <c r="CY248" s="22" t="n"/>
      <c r="CZ248" t="e">
        <f>AVERAGE(CX247,CZ247)</f>
        <v>#DIV/0!</v>
      </c>
      <c r="DA248" t="e">
        <f>AVERAGE(CZ247,DA247)</f>
        <v>#DIV/0!</v>
      </c>
      <c r="DB248" t="e">
        <f>AVERAGE(DA247,DB247)</f>
        <v>#DIV/0!</v>
      </c>
      <c r="DC248" t="e">
        <f>AVERAGE(DB247,DC247)</f>
        <v>#DIV/0!</v>
      </c>
    </row>
    <row r="249" hidden="1" outlineLevel="1" customFormat="1" s="39">
      <c r="A249" s="19" t="n"/>
      <c r="B249" s="19" t="n"/>
      <c r="C249" s="41" t="n"/>
      <c r="D249" s="22" t="n"/>
      <c r="E249" s="22" t="n"/>
      <c r="F249" s="22" t="n"/>
      <c r="G249" s="22" t="n"/>
      <c r="H249" s="3" t="n"/>
      <c r="I249" s="22" t="n"/>
      <c r="J249" s="22" t="n"/>
      <c r="K249" s="22" t="n"/>
      <c r="L249" s="22" t="n"/>
      <c r="M249" s="3" t="n"/>
      <c r="N249" s="22" t="n"/>
      <c r="O249" s="22" t="n"/>
      <c r="P249" s="22" t="n"/>
      <c r="Q249" s="22" t="n"/>
      <c r="R249" s="3" t="n"/>
      <c r="S249" s="22" t="n"/>
      <c r="T249" s="22" t="n"/>
      <c r="U249" s="22" t="n"/>
      <c r="V249" s="22" t="n"/>
      <c r="W249" s="3" t="n"/>
      <c r="X249" s="22" t="n"/>
      <c r="Y249" s="22" t="n"/>
      <c r="Z249" s="22" t="n"/>
      <c r="AA249" s="22" t="n"/>
      <c r="AB249" s="3" t="n"/>
      <c r="AC249" s="22" t="n"/>
      <c r="AD249" s="22" t="n"/>
      <c r="AE249" s="22" t="n"/>
      <c r="AF249" s="22" t="n"/>
      <c r="AG249" s="3" t="n"/>
      <c r="AH249" s="22" t="n"/>
      <c r="AI249" s="22" t="n"/>
      <c r="AJ249" s="22" t="n"/>
      <c r="AK249" s="22" t="n"/>
      <c r="AL249" s="3" t="n"/>
      <c r="AM249" s="22" t="n"/>
      <c r="AN249" s="22" t="n"/>
      <c r="AO249" s="22" t="n"/>
      <c r="AP249" s="22" t="n"/>
      <c r="AQ249" s="3" t="n"/>
      <c r="AR249" s="22" t="n"/>
      <c r="AS249" s="22" t="n"/>
      <c r="AT249" s="22" t="n"/>
      <c r="AU249" s="22" t="n"/>
      <c r="AV249" s="3" t="n"/>
      <c r="AW249" s="22" t="n"/>
      <c r="AX249" s="22" t="n"/>
      <c r="AY249" s="22" t="n"/>
      <c r="AZ249" s="22" t="n"/>
      <c r="BA249" s="3" t="n"/>
      <c r="BB249" s="22" t="n"/>
      <c r="BC249" s="22" t="n"/>
      <c r="BD249" s="22" t="n"/>
      <c r="BE249" s="22" t="n"/>
      <c r="BF249" s="3" t="n"/>
      <c r="BG249" s="22" t="n"/>
      <c r="BH249" s="22" t="n"/>
      <c r="BI249" s="22" t="n"/>
      <c r="BJ249" s="22" t="n"/>
      <c r="BK249" s="3" t="n"/>
      <c r="BL249" s="22" t="n"/>
      <c r="BM249" s="22" t="n"/>
      <c r="BN249" s="22" t="n"/>
      <c r="BO249" s="22" t="n"/>
      <c r="BP249" s="3" t="n"/>
      <c r="BQ249" s="22" t="n"/>
      <c r="BR249" s="22" t="n"/>
      <c r="BS249" s="22" t="n"/>
      <c r="BT249" s="22" t="n"/>
      <c r="BU249" s="3" t="n"/>
      <c r="BV249" s="22" t="n"/>
      <c r="BW249" s="22" t="n"/>
      <c r="BX249" s="22" t="n"/>
      <c r="BY249" s="22" t="n"/>
      <c r="BZ249" s="3" t="n"/>
      <c r="CA249" s="22" t="n"/>
      <c r="CB249" s="22" t="n"/>
      <c r="CC249" s="22" t="n"/>
      <c r="CD249" s="22" t="n"/>
      <c r="CE249" s="3" t="n"/>
      <c r="CF249" s="22" t="n"/>
      <c r="CG249" s="22" t="n"/>
      <c r="CH249" s="22" t="n"/>
      <c r="CI249" s="22" t="n"/>
      <c r="CJ249" s="3" t="n"/>
      <c r="CK249" s="22" t="n"/>
      <c r="CL249" s="22" t="n"/>
      <c r="CM249" s="22" t="n"/>
      <c r="CN249" s="22" t="n"/>
      <c r="CO249" s="3" t="n"/>
      <c r="CP249" s="22" t="n"/>
      <c r="CQ249" s="22" t="n"/>
      <c r="CR249" s="22" t="n"/>
      <c r="CS249" s="22" t="n"/>
      <c r="CT249" s="3" t="n"/>
      <c r="CU249" s="22" t="n"/>
      <c r="CV249" s="22" t="n"/>
      <c r="CW249" s="22" t="n"/>
      <c r="CX249" s="22" t="n"/>
      <c r="CY249" s="3" t="n"/>
    </row>
    <row r="250" collapsed="1">
      <c r="C250" s="26" t="inlineStr">
        <is>
          <t>Treasury stock (contra account)</t>
        </is>
      </c>
      <c r="D250" s="25">
        <f>INDEX('Inputs (2)'!$D$44:$AL$44,MATCH(D$7,'Inputs (2)'!$D$2:$AL$2,0))</f>
        <v>-25341</v>
      </c>
      <c r="E250" s="25">
        <f>INDEX('Inputs (2)'!$D$44:$AL$44,MATCH(E$7,'Inputs (2)'!$D$2:$AL$2,0))</f>
        <v>-25412</v>
      </c>
      <c r="F250" s="25">
        <f>INDEX('Inputs (2)'!$D$44:$AL$44,MATCH(F$7,'Inputs (2)'!$D$2:$AL$2,0))</f>
        <v>-25315</v>
      </c>
      <c r="G250" s="25">
        <f>INDEX('Inputs (2)'!$D$44:$AL$44,MATCH(G$7,'Inputs (2)'!$D$2:$AL$2,0))</f>
        <v>-25178</v>
      </c>
      <c r="H250" s="3">
        <f>G250</f>
        <v>-25178</v>
      </c>
      <c r="I250" s="25">
        <f>INDEX('Inputs (2)'!$D$44:$AL$44,MATCH(I$7,'Inputs (2)'!$D$2:$AL$2,0))</f>
        <v>-25049</v>
      </c>
      <c r="J250" s="25">
        <f>INDEX('Inputs (2)'!$D$44:$AL$44,MATCH(J$7,'Inputs (2)'!$D$2:$AL$2,0))</f>
        <v>-25240</v>
      </c>
      <c r="K250" s="25">
        <f>INDEX('Inputs (2)'!$D$44:$AL$44,MATCH(K$7,'Inputs (2)'!$D$2:$AL$2,0))</f>
        <v>-26608</v>
      </c>
      <c r="L250" s="25">
        <f>INDEX('Inputs (2)'!$D$44:$AL$44,MATCH(L$7,'Inputs (2)'!$D$2:$AL$2,0))</f>
        <v>-27643</v>
      </c>
      <c r="M250" s="3">
        <f>L250</f>
        <v>-27643</v>
      </c>
      <c r="N250" s="25">
        <f>INDEX('Inputs (2)'!$D$44:$AL$44,MATCH(N$7,'Inputs (2)'!$D$2:$AL$2,0))</f>
        <v>-28326</v>
      </c>
      <c r="O250" s="25">
        <f>INDEX('Inputs (2)'!$D$44:$AL$44,MATCH(O$7,'Inputs (2)'!$D$2:$AL$2,0))</f>
        <v>-29501</v>
      </c>
      <c r="P250" s="25">
        <f>INDEX('Inputs (2)'!$D$44:$AL$44,MATCH(P$7,'Inputs (2)'!$D$2:$AL$2,0))</f>
        <v>-30883</v>
      </c>
      <c r="Q250" s="25">
        <f>INDEX('Inputs (2)'!$D$44:$AL$44,MATCH(Q$7,'Inputs (2)'!$D$2:$AL$2,0))</f>
        <v>-31748</v>
      </c>
      <c r="R250" s="3">
        <f>Q250</f>
        <v>-31748</v>
      </c>
      <c r="S250" s="25">
        <f>INDEX('Inputs (2)'!$D$44:$AL$44,MATCH(S$7,'Inputs (2)'!$D$2:$AL$2,0))</f>
        <v>-32108</v>
      </c>
      <c r="T250" s="25">
        <f>INDEX('Inputs (2)'!$D$44:$AL$44,MATCH(T$7,'Inputs (2)'!$D$2:$AL$2,0))</f>
        <v>-33391</v>
      </c>
      <c r="U250" s="25">
        <f>INDEX('Inputs (2)'!$D$44:$AL$44,MATCH(U$7,'Inputs (2)'!$D$2:$AL$2,0))</f>
        <v>-33865</v>
      </c>
      <c r="V250" s="25">
        <f>INDEX('Inputs (2)'!$D$44:$AL$44,MATCH(V$7,'Inputs (2)'!$D$2:$AL$2,0))</f>
        <v>-36339</v>
      </c>
      <c r="W250" s="3">
        <f>V250</f>
        <v>-36339</v>
      </c>
      <c r="X250" s="25">
        <f>INDEX('Inputs (2)'!$D$44:$AL$44,MATCH(X$7,'Inputs (2)'!$D$2:$AL$2,0))</f>
        <v>-40039</v>
      </c>
      <c r="Y250" s="25">
        <f>INDEX('Inputs (2)'!$D$44:$AL$44,MATCH(Y$7,'Inputs (2)'!$D$2:$AL$2,0))</f>
        <v>-41612</v>
      </c>
      <c r="Z250" s="25">
        <f>INDEX('Inputs (2)'!$D$44:$AL$44,MATCH(Z$7,'Inputs (2)'!$D$2:$AL$2,0))</f>
        <v>-42390</v>
      </c>
      <c r="AA250" s="25">
        <f>INDEX('Inputs (2)'!$D$44:$AL$44,MATCH(AA$7,'Inputs (2)'!$D$2:$AL$2,0))</f>
        <v>-44331</v>
      </c>
      <c r="AB250" s="3">
        <f>AA250</f>
        <v>-44331</v>
      </c>
      <c r="AC250" s="25">
        <f>INDEX('Inputs (2)'!$D$44:$AL$44,MATCH(AC$7,'Inputs (2)'!$D$2:$AL$2,0))</f>
        <v>-47127</v>
      </c>
      <c r="AD250" s="25">
        <f>INDEX('Inputs (2)'!$D$44:$AL$44,MATCH(AD$7,'Inputs (2)'!$D$2:$AL$2,0))</f>
        <v>-47958</v>
      </c>
      <c r="AE250" s="25">
        <f>INDEX('Inputs (2)'!$D$44:$AL$44,MATCH(AE$7,'Inputs (2)'!$D$2:$AL$2,0))</f>
        <v>-48302</v>
      </c>
      <c r="AF250" s="25">
        <f>INDEX('Inputs (2)'!$D$44:$AL$44,MATCH(AF$7,'Inputs (2)'!$D$2:$AL$2,0))</f>
        <v>-49539</v>
      </c>
      <c r="AG250" s="3">
        <f>AF250</f>
        <v>-49539</v>
      </c>
      <c r="AH250" s="3">
        <f>INDEX('Inputs (2)'!$D$44:$AL$44,MATCH(AH$7,'Inputs (2)'!$D$2:$AL$2,0))</f>
        <v>-53307</v>
      </c>
      <c r="AI250" s="3">
        <f>INDEX('Inputs (2)'!$D$44:$AL$44,MATCH(AI$7,'Inputs (2)'!$D$2:$AL$2,0))</f>
        <v>-54533</v>
      </c>
      <c r="AJ250" s="3">
        <f>AI250+AJ240</f>
        <v>-54533</v>
      </c>
      <c r="AK250" s="3">
        <f>AJ250+AK240</f>
        <v>-54533</v>
      </c>
      <c r="AL250" s="3">
        <f>AK250</f>
        <v>-54533</v>
      </c>
      <c r="AM250" s="3">
        <f>AL250+AM240</f>
        <v>-54533</v>
      </c>
      <c r="AN250" s="3">
        <f>AM250+AN240</f>
        <v>-54533</v>
      </c>
      <c r="AO250" s="3">
        <f>AN250+AO240</f>
        <v>-54533</v>
      </c>
      <c r="AP250" s="3">
        <f>AO250+AP240</f>
        <v>-54533</v>
      </c>
      <c r="AQ250" s="3">
        <f>AP250</f>
        <v>-54533</v>
      </c>
      <c r="AR250" s="3">
        <f>AQ250+AR240</f>
        <v>-54533</v>
      </c>
      <c r="AS250" s="3">
        <f>AR250+AS240</f>
        <v>-54533</v>
      </c>
      <c r="AT250" s="3">
        <f>AS250+AT240</f>
        <v>-54533</v>
      </c>
      <c r="AU250" s="3">
        <f>AT250+AU240</f>
        <v>-54533</v>
      </c>
      <c r="AV250" s="3">
        <f>AU250</f>
        <v>-54533</v>
      </c>
      <c r="AW250" s="3">
        <f>AV250+AW240</f>
        <v>-54533</v>
      </c>
      <c r="AX250" s="3">
        <f>AW250+AX240</f>
        <v>-54533</v>
      </c>
      <c r="AY250" s="3">
        <f>AX250+AY240</f>
        <v>-54533</v>
      </c>
      <c r="AZ250" s="3">
        <f>AY250+AZ240</f>
        <v>-54533</v>
      </c>
      <c r="BA250" s="3">
        <f>AZ250</f>
        <v>-54533</v>
      </c>
      <c r="BB250" s="3">
        <f>BA250+BB240</f>
        <v>-54533</v>
      </c>
      <c r="BC250" s="3">
        <f>BB250+BC240</f>
        <v>-54533</v>
      </c>
      <c r="BD250" s="3">
        <f>BC250+BD240</f>
        <v>-54533</v>
      </c>
      <c r="BE250" s="3">
        <f>BD250+BE240</f>
        <v>-54533</v>
      </c>
      <c r="BF250" s="3">
        <f>BE250</f>
        <v>-54533</v>
      </c>
      <c r="BG250" s="3">
        <f>BF250+BG240</f>
        <v>-54533</v>
      </c>
      <c r="BH250" s="3">
        <f>BG250+BH240</f>
        <v>-54533</v>
      </c>
      <c r="BI250" s="3">
        <f>BH250+BI240</f>
        <v>-54533</v>
      </c>
      <c r="BJ250" s="3">
        <f>BI250+BJ240</f>
        <v>-54533</v>
      </c>
      <c r="BK250" s="3">
        <f>BJ250</f>
        <v>-54533</v>
      </c>
      <c r="BL250" s="3">
        <f>BK250+BL240</f>
        <v>-54533</v>
      </c>
      <c r="BM250" s="3">
        <f>BL250+BM240</f>
        <v>-54533</v>
      </c>
      <c r="BN250" s="3">
        <f>BM250+BN240</f>
        <v>-54533</v>
      </c>
      <c r="BO250" s="3">
        <f>BN250+BO240</f>
        <v>-54533</v>
      </c>
      <c r="BP250" s="3">
        <f>BO250</f>
        <v>-54533</v>
      </c>
      <c r="BQ250" s="3">
        <f>BP250+BQ240</f>
        <v>-54533</v>
      </c>
      <c r="BR250" s="3">
        <f>BQ250+BR240</f>
        <v>-54533</v>
      </c>
      <c r="BS250" s="3">
        <f>BR250+BS240</f>
        <v>-54533</v>
      </c>
      <c r="BT250" s="3">
        <f>BS250+BT240</f>
        <v>-54533</v>
      </c>
      <c r="BU250" s="3">
        <f>BT250</f>
        <v>-54533</v>
      </c>
      <c r="BV250" s="3">
        <f>BU250+BV240</f>
        <v>-54533</v>
      </c>
      <c r="BW250" s="3">
        <f>BV250+BW240</f>
        <v>-54533</v>
      </c>
      <c r="BX250" s="3">
        <f>BW250+BX240</f>
        <v>-54533</v>
      </c>
      <c r="BY250" s="3">
        <f>BX250+BY240</f>
        <v>-54533</v>
      </c>
      <c r="BZ250" s="3">
        <f>BY250</f>
        <v>-54533</v>
      </c>
      <c r="CA250" s="3">
        <f>BZ250+CA240</f>
        <v>-54533</v>
      </c>
      <c r="CB250" s="3">
        <f>CA250+CB240</f>
        <v>-54533</v>
      </c>
      <c r="CC250" s="3">
        <f>CB250+CC240</f>
        <v>-54533</v>
      </c>
      <c r="CD250" s="3">
        <f>CC250+CD240</f>
        <v>-54533</v>
      </c>
      <c r="CE250" s="3">
        <f>CD250</f>
        <v>-54533</v>
      </c>
      <c r="CF250" s="3">
        <f>CE250+CF240</f>
        <v>-54533</v>
      </c>
      <c r="CG250" s="3">
        <f>CF250+CG240</f>
        <v>-54533</v>
      </c>
      <c r="CH250" s="3">
        <f>CG250+CH240</f>
        <v>-54533</v>
      </c>
      <c r="CI250" s="3">
        <f>CH250+CI240</f>
        <v>-54533</v>
      </c>
      <c r="CJ250" s="3">
        <f>CI250</f>
        <v>-54533</v>
      </c>
      <c r="CK250" s="3">
        <f>CJ250+CK240</f>
        <v>-54533</v>
      </c>
      <c r="CL250" s="3">
        <f>CK250+CL240</f>
        <v>-54533</v>
      </c>
      <c r="CM250" s="3">
        <f>CL250+CM240</f>
        <v>-54533</v>
      </c>
      <c r="CN250" s="3">
        <f>CM250+CN240</f>
        <v>-54533</v>
      </c>
      <c r="CO250" s="3">
        <f>CN250</f>
        <v>-54533</v>
      </c>
      <c r="CP250" s="3">
        <f>CO250+CP240</f>
        <v>-54533</v>
      </c>
      <c r="CQ250" s="3">
        <f>CP250+CQ240</f>
        <v>-54533</v>
      </c>
      <c r="CR250" s="3">
        <f>CQ250+CR240</f>
        <v>-54533</v>
      </c>
      <c r="CS250" s="3">
        <f>CR250+CS240</f>
        <v>-54533</v>
      </c>
      <c r="CT250" s="3">
        <f>CS250</f>
        <v>-54533</v>
      </c>
      <c r="CU250" s="3">
        <f>CT250+CU240</f>
        <v>-54533</v>
      </c>
      <c r="CV250" s="3">
        <f>CU250+CV240</f>
        <v>-54533</v>
      </c>
      <c r="CW250" s="3">
        <f>CV250+CW240</f>
        <v>-54533</v>
      </c>
      <c r="CX250" s="3">
        <f>CW250+CX240</f>
        <v>-54533</v>
      </c>
      <c r="CY250" s="3">
        <f>CX250</f>
        <v>-54533</v>
      </c>
    </row>
    <row r="251">
      <c r="C251" s="26" t="inlineStr">
        <is>
          <t>Comprehensive (accumulated) loss</t>
        </is>
      </c>
      <c r="D251" s="25">
        <f>INDEX('Inputs (2)'!$D$45:$AL$45,MATCH(D$7,'Inputs (2)'!$D$2:$AL$2,0))</f>
        <v>-2012</v>
      </c>
      <c r="E251" s="25">
        <f>INDEX('Inputs (2)'!$D$45:$AL$45,MATCH(E$7,'Inputs (2)'!$D$2:$AL$2,0))</f>
        <v>-1815</v>
      </c>
      <c r="F251" s="25">
        <f>INDEX('Inputs (2)'!$D$45:$AL$45,MATCH(F$7,'Inputs (2)'!$D$2:$AL$2,0))</f>
        <v>-1448</v>
      </c>
      <c r="G251" s="25">
        <f>INDEX('Inputs (2)'!$D$45:$AL$45,MATCH(G$7,'Inputs (2)'!$D$2:$AL$2,0))</f>
        <v>-888</v>
      </c>
      <c r="H251" s="3">
        <f>G251</f>
        <v>-888</v>
      </c>
      <c r="I251" s="25">
        <f>INDEX('Inputs (2)'!$D$45:$AL$45,MATCH(I$7,'Inputs (2)'!$D$2:$AL$2,0))</f>
        <v>-1290</v>
      </c>
      <c r="J251" s="25">
        <f>INDEX('Inputs (2)'!$D$45:$AL$45,MATCH(J$7,'Inputs (2)'!$D$2:$AL$2,0))</f>
        <v>-1154</v>
      </c>
      <c r="K251" s="25">
        <f>INDEX('Inputs (2)'!$D$45:$AL$45,MATCH(K$7,'Inputs (2)'!$D$2:$AL$2,0))</f>
        <v>-1440</v>
      </c>
      <c r="L251" s="25">
        <f>INDEX('Inputs (2)'!$D$45:$AL$45,MATCH(L$7,'Inputs (2)'!$D$2:$AL$2,0))</f>
        <v>-1553</v>
      </c>
      <c r="M251" s="3">
        <f>L251</f>
        <v>-1553</v>
      </c>
      <c r="N251" s="25">
        <f>INDEX('Inputs (2)'!$D$45:$AL$45,MATCH(N$7,'Inputs (2)'!$D$2:$AL$2,0))</f>
        <v>-1710</v>
      </c>
      <c r="O251" s="25">
        <f>INDEX('Inputs (2)'!$D$45:$AL$45,MATCH(O$7,'Inputs (2)'!$D$2:$AL$2,0))</f>
        <v>-2499</v>
      </c>
      <c r="P251" s="25">
        <f>INDEX('Inputs (2)'!$D$45:$AL$45,MATCH(P$7,'Inputs (2)'!$D$2:$AL$2,0))</f>
        <v>-3353</v>
      </c>
      <c r="Q251" s="25">
        <f>INDEX('Inputs (2)'!$D$45:$AL$45,MATCH(Q$7,'Inputs (2)'!$D$2:$AL$2,0))</f>
        <v>-2457</v>
      </c>
      <c r="R251" s="3">
        <f>Q251</f>
        <v>-2457</v>
      </c>
      <c r="S251" s="25">
        <f>INDEX('Inputs (2)'!$D$45:$AL$45,MATCH(S$7,'Inputs (2)'!$D$2:$AL$2,0))</f>
        <v>-1746</v>
      </c>
      <c r="T251" s="25">
        <f>INDEX('Inputs (2)'!$D$45:$AL$45,MATCH(T$7,'Inputs (2)'!$D$2:$AL$2,0))</f>
        <v>-1946</v>
      </c>
      <c r="U251" s="25">
        <f>INDEX('Inputs (2)'!$D$45:$AL$45,MATCH(U$7,'Inputs (2)'!$D$2:$AL$2,0))</f>
        <v>-2232</v>
      </c>
      <c r="V251" s="25">
        <f>INDEX('Inputs (2)'!$D$45:$AL$45,MATCH(V$7,'Inputs (2)'!$D$2:$AL$2,0))</f>
        <v>-1820</v>
      </c>
      <c r="W251" s="3">
        <f>V251</f>
        <v>-1820</v>
      </c>
      <c r="X251" s="25">
        <f>INDEX('Inputs (2)'!$D$45:$AL$45,MATCH(X$7,'Inputs (2)'!$D$2:$AL$2,0))</f>
        <v>-2093</v>
      </c>
      <c r="Y251" s="25">
        <f>INDEX('Inputs (2)'!$D$45:$AL$45,MATCH(Y$7,'Inputs (2)'!$D$2:$AL$2,0))</f>
        <v>-2230</v>
      </c>
      <c r="Z251" s="25">
        <f>INDEX('Inputs (2)'!$D$45:$AL$45,MATCH(Z$7,'Inputs (2)'!$D$2:$AL$2,0))</f>
        <v>-1717</v>
      </c>
      <c r="AA251" s="25">
        <f>INDEX('Inputs (2)'!$D$45:$AL$45,MATCH(AA$7,'Inputs (2)'!$D$2:$AL$2,0))</f>
        <v>-2471</v>
      </c>
      <c r="AB251" s="3">
        <f>AA251</f>
        <v>-2471</v>
      </c>
      <c r="AC251" s="25">
        <f>INDEX('Inputs (2)'!$D$45:$AL$45,MATCH(AC$7,'Inputs (2)'!$D$2:$AL$2,0))</f>
        <v>-2205</v>
      </c>
      <c r="AD251" s="25">
        <f>INDEX('Inputs (2)'!$D$45:$AL$45,MATCH(AD$7,'Inputs (2)'!$D$2:$AL$2,0))</f>
        <v>-1684</v>
      </c>
      <c r="AE251" s="25">
        <f>INDEX('Inputs (2)'!$D$45:$AL$45,MATCH(AE$7,'Inputs (2)'!$D$2:$AL$2,0))</f>
        <v>-1723</v>
      </c>
      <c r="AF251" s="25">
        <f>INDEX('Inputs (2)'!$D$45:$AL$45,MATCH(AF$7,'Inputs (2)'!$D$2:$AL$2,0))</f>
        <v>-1772</v>
      </c>
      <c r="AG251" s="3">
        <f>AF251</f>
        <v>-1772</v>
      </c>
      <c r="AH251" s="3">
        <f>INDEX('Inputs (2)'!$D$45:$AL$45,MATCH(AH$7,'Inputs (2)'!$D$2:$AL$2,0))</f>
        <v>-1881</v>
      </c>
      <c r="AI251" s="3">
        <f>INDEX('Inputs (2)'!$D$45:$AL$45,MATCH(AI$7,'Inputs (2)'!$D$2:$AL$2,0))</f>
        <v>-1867</v>
      </c>
      <c r="AJ251" s="3">
        <f>AI251</f>
        <v>-1867</v>
      </c>
      <c r="AK251" s="3">
        <f>AJ251</f>
        <v>-1867</v>
      </c>
      <c r="AL251" s="3">
        <f>AK251</f>
        <v>-1867</v>
      </c>
      <c r="AM251" s="3">
        <f>AL251</f>
        <v>-1867</v>
      </c>
      <c r="AN251" s="3">
        <f>AM251</f>
        <v>-1867</v>
      </c>
      <c r="AO251" s="3">
        <f>AN251</f>
        <v>-1867</v>
      </c>
      <c r="AP251" s="3">
        <f>AO251</f>
        <v>-1867</v>
      </c>
      <c r="AQ251" s="3">
        <f>AP251</f>
        <v>-1867</v>
      </c>
      <c r="AR251" s="3">
        <f>AQ251</f>
        <v>-1867</v>
      </c>
      <c r="AS251" s="3">
        <f>AR251</f>
        <v>-1867</v>
      </c>
      <c r="AT251" s="3">
        <f>AS251</f>
        <v>-1867</v>
      </c>
      <c r="AU251" s="3">
        <f>AT251</f>
        <v>-1867</v>
      </c>
      <c r="AV251" s="3">
        <f>AU251</f>
        <v>-1867</v>
      </c>
      <c r="AW251" s="3">
        <f>AV251</f>
        <v>-1867</v>
      </c>
      <c r="AX251" s="3">
        <f>AW251</f>
        <v>-1867</v>
      </c>
      <c r="AY251" s="3">
        <f>AX251</f>
        <v>-1867</v>
      </c>
      <c r="AZ251" s="3">
        <f>AY251</f>
        <v>-1867</v>
      </c>
      <c r="BA251" s="3">
        <f>AZ251</f>
        <v>-1867</v>
      </c>
      <c r="BB251" s="3">
        <f>BA251</f>
        <v>-1867</v>
      </c>
      <c r="BC251" s="3">
        <f>BB251</f>
        <v>-1867</v>
      </c>
      <c r="BD251" s="3">
        <f>BC251</f>
        <v>-1867</v>
      </c>
      <c r="BE251" s="3">
        <f>BD251</f>
        <v>-1867</v>
      </c>
      <c r="BF251" s="3">
        <f>BE251</f>
        <v>-1867</v>
      </c>
      <c r="BG251" s="3">
        <f>BF251</f>
        <v>-1867</v>
      </c>
      <c r="BH251" s="3">
        <f>BG251</f>
        <v>-1867</v>
      </c>
      <c r="BI251" s="3">
        <f>BH251</f>
        <v>-1867</v>
      </c>
      <c r="BJ251" s="3">
        <f>BI251</f>
        <v>-1867</v>
      </c>
      <c r="BK251" s="3">
        <f>BJ251</f>
        <v>-1867</v>
      </c>
      <c r="BL251" s="3">
        <f>BK251</f>
        <v>-1867</v>
      </c>
      <c r="BM251" s="3">
        <f>BL251</f>
        <v>-1867</v>
      </c>
      <c r="BN251" s="3">
        <f>BM251</f>
        <v>-1867</v>
      </c>
      <c r="BO251" s="3">
        <f>BN251</f>
        <v>-1867</v>
      </c>
      <c r="BP251" s="3">
        <f>BO251</f>
        <v>-1867</v>
      </c>
      <c r="BQ251" s="3">
        <f>BP251</f>
        <v>-1867</v>
      </c>
      <c r="BR251" s="3">
        <f>BQ251</f>
        <v>-1867</v>
      </c>
      <c r="BS251" s="3">
        <f>BR251</f>
        <v>-1867</v>
      </c>
      <c r="BT251" s="3">
        <f>BS251</f>
        <v>-1867</v>
      </c>
      <c r="BU251" s="3">
        <f>BT251</f>
        <v>-1867</v>
      </c>
      <c r="BV251" s="3">
        <f>BU251</f>
        <v>-1867</v>
      </c>
      <c r="BW251" s="3">
        <f>BV251</f>
        <v>-1867</v>
      </c>
      <c r="BX251" s="3">
        <f>BW251</f>
        <v>-1867</v>
      </c>
      <c r="BY251" s="3">
        <f>BX251</f>
        <v>-1867</v>
      </c>
      <c r="BZ251" s="3">
        <f>BY251</f>
        <v>-1867</v>
      </c>
      <c r="CA251" s="3">
        <f>BZ251</f>
        <v>-1867</v>
      </c>
      <c r="CB251" s="3">
        <f>CA251</f>
        <v>-1867</v>
      </c>
      <c r="CC251" s="3">
        <f>CB251</f>
        <v>-1867</v>
      </c>
      <c r="CD251" s="3">
        <f>CC251</f>
        <v>-1867</v>
      </c>
      <c r="CE251" s="3">
        <f>CD251</f>
        <v>-1867</v>
      </c>
      <c r="CF251" s="3">
        <f>CE251</f>
        <v>-1867</v>
      </c>
      <c r="CG251" s="3">
        <f>CF251</f>
        <v>-1867</v>
      </c>
      <c r="CH251" s="3">
        <f>CG251</f>
        <v>-1867</v>
      </c>
      <c r="CI251" s="3">
        <f>CH251</f>
        <v>-1867</v>
      </c>
      <c r="CJ251" s="3">
        <f>CI251</f>
        <v>-1867</v>
      </c>
      <c r="CK251" s="3">
        <f>CJ251</f>
        <v>-1867</v>
      </c>
      <c r="CL251" s="3">
        <f>CK251</f>
        <v>-1867</v>
      </c>
      <c r="CM251" s="3">
        <f>CL251</f>
        <v>-1867</v>
      </c>
      <c r="CN251" s="3">
        <f>CM251</f>
        <v>-1867</v>
      </c>
      <c r="CO251" s="3">
        <f>CN251</f>
        <v>-1867</v>
      </c>
      <c r="CP251" s="3">
        <f>CO251</f>
        <v>-1867</v>
      </c>
      <c r="CQ251" s="3">
        <f>CP251</f>
        <v>-1867</v>
      </c>
      <c r="CR251" s="3">
        <f>CQ251</f>
        <v>-1867</v>
      </c>
      <c r="CS251" s="3">
        <f>CR251</f>
        <v>-1867</v>
      </c>
      <c r="CT251" s="3">
        <f>CS251</f>
        <v>-1867</v>
      </c>
      <c r="CU251" s="3">
        <f>CT251</f>
        <v>-1867</v>
      </c>
      <c r="CV251" s="3">
        <f>CU251</f>
        <v>-1867</v>
      </c>
      <c r="CW251" s="3">
        <f>CV251</f>
        <v>-1867</v>
      </c>
      <c r="CX251" s="3">
        <f>CW251</f>
        <v>-1867</v>
      </c>
      <c r="CY251" s="3">
        <f>CX251</f>
        <v>-1867</v>
      </c>
    </row>
    <row r="252">
      <c r="C252" s="26" t="inlineStr">
        <is>
          <t>Other equity account</t>
        </is>
      </c>
      <c r="D252" s="25">
        <f>INDEX('Inputs (2)'!$D$46:$AL$46,MATCH(D$7,'Inputs (2)'!$D$2:$AL$2,0))</f>
        <v>0</v>
      </c>
      <c r="E252" s="25">
        <f>INDEX('Inputs (2)'!$D$46:$AL$46,MATCH(E$7,'Inputs (2)'!$D$2:$AL$2,0))</f>
        <v>0</v>
      </c>
      <c r="F252" s="25">
        <f>INDEX('Inputs (2)'!$D$46:$AL$46,MATCH(F$7,'Inputs (2)'!$D$2:$AL$2,0))</f>
        <v>0</v>
      </c>
      <c r="G252" s="25">
        <f>INDEX('Inputs (2)'!$D$46:$AL$46,MATCH(G$7,'Inputs (2)'!$D$2:$AL$2,0))</f>
        <v>0</v>
      </c>
      <c r="H252" s="3">
        <f>G252</f>
        <v>0</v>
      </c>
      <c r="I252" s="25">
        <f>INDEX('Inputs (2)'!$D$46:$AL$46,MATCH(I$7,'Inputs (2)'!$D$2:$AL$2,0))</f>
        <v>0</v>
      </c>
      <c r="J252" s="25">
        <f>INDEX('Inputs (2)'!$D$46:$AL$46,MATCH(J$7,'Inputs (2)'!$D$2:$AL$2,0))</f>
        <v>0</v>
      </c>
      <c r="K252" s="25">
        <f>INDEX('Inputs (2)'!$D$46:$AL$46,MATCH(K$7,'Inputs (2)'!$D$2:$AL$2,0))</f>
        <v>0</v>
      </c>
      <c r="L252" s="25">
        <f>INDEX('Inputs (2)'!$D$46:$AL$46,MATCH(L$7,'Inputs (2)'!$D$2:$AL$2,0))</f>
        <v>0</v>
      </c>
      <c r="M252" s="3">
        <f>L252</f>
        <v>0</v>
      </c>
      <c r="N252" s="25">
        <f>INDEX('Inputs (2)'!$D$46:$AL$46,MATCH(N$7,'Inputs (2)'!$D$2:$AL$2,0))</f>
        <v>0</v>
      </c>
      <c r="O252" s="25">
        <f>INDEX('Inputs (2)'!$D$46:$AL$46,MATCH(O$7,'Inputs (2)'!$D$2:$AL$2,0))</f>
        <v>0</v>
      </c>
      <c r="P252" s="25">
        <f>INDEX('Inputs (2)'!$D$46:$AL$46,MATCH(P$7,'Inputs (2)'!$D$2:$AL$2,0))</f>
        <v>0</v>
      </c>
      <c r="Q252" s="25">
        <f>INDEX('Inputs (2)'!$D$46:$AL$46,MATCH(Q$7,'Inputs (2)'!$D$2:$AL$2,0))</f>
        <v>0</v>
      </c>
      <c r="R252" s="3">
        <f>Q252</f>
        <v>0</v>
      </c>
      <c r="S252" s="25">
        <f>INDEX('Inputs (2)'!$D$46:$AL$46,MATCH(S$7,'Inputs (2)'!$D$2:$AL$2,0))</f>
        <v>0</v>
      </c>
      <c r="T252" s="25">
        <f>INDEX('Inputs (2)'!$D$46:$AL$46,MATCH(T$7,'Inputs (2)'!$D$2:$AL$2,0))</f>
        <v>0</v>
      </c>
      <c r="U252" s="25">
        <f>INDEX('Inputs (2)'!$D$46:$AL$46,MATCH(U$7,'Inputs (2)'!$D$2:$AL$2,0))</f>
        <v>0</v>
      </c>
      <c r="V252" s="25">
        <f>INDEX('Inputs (2)'!$D$46:$AL$46,MATCH(V$7,'Inputs (2)'!$D$2:$AL$2,0))</f>
        <v>0</v>
      </c>
      <c r="W252" s="3">
        <f>V252</f>
        <v>0</v>
      </c>
      <c r="X252" s="25">
        <f>INDEX('Inputs (2)'!$D$46:$AL$46,MATCH(X$7,'Inputs (2)'!$D$2:$AL$2,0))</f>
        <v>0</v>
      </c>
      <c r="Y252" s="25">
        <f>INDEX('Inputs (2)'!$D$46:$AL$46,MATCH(Y$7,'Inputs (2)'!$D$2:$AL$2,0))</f>
        <v>0</v>
      </c>
      <c r="Z252" s="25">
        <f>INDEX('Inputs (2)'!$D$46:$AL$46,MATCH(Z$7,'Inputs (2)'!$D$2:$AL$2,0))</f>
        <v>0</v>
      </c>
      <c r="AA252" s="25">
        <f>INDEX('Inputs (2)'!$D$46:$AL$46,MATCH(AA$7,'Inputs (2)'!$D$2:$AL$2,0))</f>
        <v>0</v>
      </c>
      <c r="AB252" s="3">
        <f>AA252</f>
        <v>0</v>
      </c>
      <c r="AC252" s="25">
        <f>INDEX('Inputs (2)'!$D$46:$AL$46,MATCH(AC$7,'Inputs (2)'!$D$2:$AL$2,0))</f>
        <v>0</v>
      </c>
      <c r="AD252" s="25">
        <f>INDEX('Inputs (2)'!$D$46:$AL$46,MATCH(AD$7,'Inputs (2)'!$D$2:$AL$2,0))</f>
        <v>0</v>
      </c>
      <c r="AE252" s="25">
        <f>INDEX('Inputs (2)'!$D$46:$AL$46,MATCH(AE$7,'Inputs (2)'!$D$2:$AL$2,0))</f>
        <v>0</v>
      </c>
      <c r="AF252" s="25">
        <f>INDEX('Inputs (2)'!$D$46:$AL$46,MATCH(AF$7,'Inputs (2)'!$D$2:$AL$2,0))</f>
        <v>0</v>
      </c>
      <c r="AG252" s="3">
        <f>AF252</f>
        <v>0</v>
      </c>
      <c r="AH252" s="3">
        <f>INDEX('Inputs (2)'!$D$46:$AL$46,MATCH(AH$7,'Inputs (2)'!$D$2:$AL$2,0))</f>
        <v>0</v>
      </c>
      <c r="AI252" s="3">
        <f>INDEX('Inputs (2)'!$D$46:$AL$46,MATCH(AI$7,'Inputs (2)'!$D$2:$AL$2,0))</f>
        <v>0</v>
      </c>
      <c r="AJ252" s="3">
        <f>AI252</f>
        <v>0</v>
      </c>
      <c r="AK252" s="3">
        <f>AJ252</f>
        <v>0</v>
      </c>
      <c r="AL252" s="3">
        <f>AK252</f>
        <v>0</v>
      </c>
      <c r="AM252" s="3">
        <f>AL252</f>
        <v>0</v>
      </c>
      <c r="AN252" s="3">
        <f>AM252</f>
        <v>0</v>
      </c>
      <c r="AO252" s="3">
        <f>AN252</f>
        <v>0</v>
      </c>
      <c r="AP252" s="3">
        <f>AO252</f>
        <v>0</v>
      </c>
      <c r="AQ252" s="3">
        <f>AP252</f>
        <v>0</v>
      </c>
      <c r="AR252" s="3">
        <f>AQ252</f>
        <v>0</v>
      </c>
      <c r="AS252" s="3">
        <f>AR252</f>
        <v>0</v>
      </c>
      <c r="AT252" s="3">
        <f>AS252</f>
        <v>0</v>
      </c>
      <c r="AU252" s="3">
        <f>AT252</f>
        <v>0</v>
      </c>
      <c r="AV252" s="3">
        <f>AU252</f>
        <v>0</v>
      </c>
      <c r="AW252" s="3">
        <f>AV252</f>
        <v>0</v>
      </c>
      <c r="AX252" s="3">
        <f>AW252</f>
        <v>0</v>
      </c>
      <c r="AY252" s="3">
        <f>AX252</f>
        <v>0</v>
      </c>
      <c r="AZ252" s="3">
        <f>AY252</f>
        <v>0</v>
      </c>
      <c r="BA252" s="3">
        <f>AZ252</f>
        <v>0</v>
      </c>
      <c r="BB252" s="3">
        <f>BA252</f>
        <v>0</v>
      </c>
      <c r="BC252" s="3">
        <f>BB252</f>
        <v>0</v>
      </c>
      <c r="BD252" s="3">
        <f>BC252</f>
        <v>0</v>
      </c>
      <c r="BE252" s="3">
        <f>BD252</f>
        <v>0</v>
      </c>
      <c r="BF252" s="3">
        <f>BE252</f>
        <v>0</v>
      </c>
      <c r="BG252" s="3">
        <f>BF252</f>
        <v>0</v>
      </c>
      <c r="BH252" s="3">
        <f>BG252</f>
        <v>0</v>
      </c>
      <c r="BI252" s="3">
        <f>BH252</f>
        <v>0</v>
      </c>
      <c r="BJ252" s="3">
        <f>BI252</f>
        <v>0</v>
      </c>
      <c r="BK252" s="3">
        <f>BJ252</f>
        <v>0</v>
      </c>
      <c r="BL252" s="3">
        <f>BK252</f>
        <v>0</v>
      </c>
      <c r="BM252" s="3">
        <f>BL252</f>
        <v>0</v>
      </c>
      <c r="BN252" s="3">
        <f>BM252</f>
        <v>0</v>
      </c>
      <c r="BO252" s="3">
        <f>BN252</f>
        <v>0</v>
      </c>
      <c r="BP252" s="3">
        <f>BO252</f>
        <v>0</v>
      </c>
      <c r="BQ252" s="3">
        <f>BP252</f>
        <v>0</v>
      </c>
      <c r="BR252" s="3">
        <f>BQ252</f>
        <v>0</v>
      </c>
      <c r="BS252" s="3">
        <f>BR252</f>
        <v>0</v>
      </c>
      <c r="BT252" s="3">
        <f>BS252</f>
        <v>0</v>
      </c>
      <c r="BU252" s="3">
        <f>BT252</f>
        <v>0</v>
      </c>
      <c r="BV252" s="3">
        <f>BU252</f>
        <v>0</v>
      </c>
      <c r="BW252" s="3">
        <f>BV252</f>
        <v>0</v>
      </c>
      <c r="BX252" s="3">
        <f>BW252</f>
        <v>0</v>
      </c>
      <c r="BY252" s="3">
        <f>BX252</f>
        <v>0</v>
      </c>
      <c r="BZ252" s="3">
        <f>BY252</f>
        <v>0</v>
      </c>
      <c r="CA252" s="3">
        <f>BZ252</f>
        <v>0</v>
      </c>
      <c r="CB252" s="3">
        <f>CA252</f>
        <v>0</v>
      </c>
      <c r="CC252" s="3">
        <f>CB252</f>
        <v>0</v>
      </c>
      <c r="CD252" s="3">
        <f>CC252</f>
        <v>0</v>
      </c>
      <c r="CE252" s="3">
        <f>CD252</f>
        <v>0</v>
      </c>
      <c r="CF252" s="3">
        <f>CE252</f>
        <v>0</v>
      </c>
      <c r="CG252" s="3">
        <f>CF252</f>
        <v>0</v>
      </c>
      <c r="CH252" s="3">
        <f>CG252</f>
        <v>0</v>
      </c>
      <c r="CI252" s="3">
        <f>CH252</f>
        <v>0</v>
      </c>
      <c r="CJ252" s="3">
        <f>CI252</f>
        <v>0</v>
      </c>
      <c r="CK252" s="3">
        <f>CJ252</f>
        <v>0</v>
      </c>
      <c r="CL252" s="3">
        <f>CK252</f>
        <v>0</v>
      </c>
      <c r="CM252" s="3">
        <f>CL252</f>
        <v>0</v>
      </c>
      <c r="CN252" s="3">
        <f>CM252</f>
        <v>0</v>
      </c>
      <c r="CO252" s="3">
        <f>CN252</f>
        <v>0</v>
      </c>
      <c r="CP252" s="3">
        <f>CO252</f>
        <v>0</v>
      </c>
      <c r="CQ252" s="3">
        <f>CP252</f>
        <v>0</v>
      </c>
      <c r="CR252" s="3">
        <f>CQ252</f>
        <v>0</v>
      </c>
      <c r="CS252" s="3">
        <f>CR252</f>
        <v>0</v>
      </c>
      <c r="CT252" s="3">
        <f>CS252</f>
        <v>0</v>
      </c>
      <c r="CU252" s="3">
        <f>CT252</f>
        <v>0</v>
      </c>
      <c r="CV252" s="3">
        <f>CU252</f>
        <v>0</v>
      </c>
      <c r="CW252" s="3">
        <f>CV252</f>
        <v>0</v>
      </c>
      <c r="CX252" s="3">
        <f>CW252</f>
        <v>0</v>
      </c>
      <c r="CY252" s="3">
        <f>CX252</f>
        <v>0</v>
      </c>
    </row>
    <row r="253">
      <c r="C253" s="28" t="inlineStr">
        <is>
          <t>Retained earnings</t>
        </is>
      </c>
      <c r="D253" s="25">
        <f>INDEX('Inputs (2)'!$D$47:$AL$47,MATCH(D$7,'Inputs (2)'!$D$2:$AL$2,0))</f>
        <v>35504</v>
      </c>
      <c r="E253" s="25">
        <f>INDEX('Inputs (2)'!$D$47:$AL$47,MATCH(E$7,'Inputs (2)'!$D$2:$AL$2,0))</f>
        <v>34841</v>
      </c>
      <c r="F253" s="25">
        <f>INDEX('Inputs (2)'!$D$47:$AL$47,MATCH(F$7,'Inputs (2)'!$D$2:$AL$2,0))</f>
        <v>35508</v>
      </c>
      <c r="G253" s="25">
        <f>INDEX('Inputs (2)'!$D$47:$AL$47,MATCH(G$7,'Inputs (2)'!$D$2:$AL$2,0))</f>
        <v>35167</v>
      </c>
      <c r="H253" s="3">
        <f>G253</f>
        <v>35167</v>
      </c>
      <c r="I253" s="25">
        <f>INDEX('Inputs (2)'!$D$47:$AL$47,MATCH(I$7,'Inputs (2)'!$D$2:$AL$2,0))</f>
        <v>36697</v>
      </c>
      <c r="J253" s="25">
        <f>INDEX('Inputs (2)'!$D$47:$AL$47,MATCH(J$7,'Inputs (2)'!$D$2:$AL$2,0))</f>
        <v>36934</v>
      </c>
      <c r="K253" s="25">
        <f>INDEX('Inputs (2)'!$D$47:$AL$47,MATCH(K$7,'Inputs (2)'!$D$2:$AL$2,0))</f>
        <v>38361</v>
      </c>
      <c r="L253" s="25">
        <f>INDEX('Inputs (2)'!$D$47:$AL$47,MATCH(L$7,'Inputs (2)'!$D$2:$AL$2,0))</f>
        <v>39282</v>
      </c>
      <c r="M253" s="3">
        <f>L253</f>
        <v>39282</v>
      </c>
      <c r="N253" s="25">
        <f>INDEX('Inputs (2)'!$D$47:$AL$47,MATCH(N$7,'Inputs (2)'!$D$2:$AL$2,0))</f>
        <v>40820</v>
      </c>
      <c r="O253" s="25">
        <f>INDEX('Inputs (2)'!$D$47:$AL$47,MATCH(O$7,'Inputs (2)'!$D$2:$AL$2,0))</f>
        <v>41263</v>
      </c>
      <c r="P253" s="25">
        <f>INDEX('Inputs (2)'!$D$47:$AL$47,MATCH(P$7,'Inputs (2)'!$D$2:$AL$2,0))</f>
        <v>43304</v>
      </c>
      <c r="Q253" s="25">
        <f>INDEX('Inputs (2)'!$D$47:$AL$47,MATCH(Q$7,'Inputs (2)'!$D$2:$AL$2,0))</f>
        <v>43514</v>
      </c>
      <c r="R253" s="3">
        <f>Q253</f>
        <v>43514</v>
      </c>
      <c r="S253" s="25">
        <f>INDEX('Inputs (2)'!$D$47:$AL$47,MATCH(S$7,'Inputs (2)'!$D$2:$AL$2,0))</f>
        <v>45457</v>
      </c>
      <c r="T253" s="25">
        <f>INDEX('Inputs (2)'!$D$47:$AL$47,MATCH(T$7,'Inputs (2)'!$D$2:$AL$2,0))</f>
        <v>47094</v>
      </c>
      <c r="U253" s="25">
        <f>INDEX('Inputs (2)'!$D$47:$AL$47,MATCH(U$7,'Inputs (2)'!$D$2:$AL$2,0))</f>
        <v>49888</v>
      </c>
      <c r="V253" s="25">
        <f>INDEX('Inputs (2)'!$D$47:$AL$47,MATCH(V$7,'Inputs (2)'!$D$2:$AL$2,0))</f>
        <v>51250</v>
      </c>
      <c r="W253" s="3">
        <f>V253</f>
        <v>51250</v>
      </c>
      <c r="X253" s="25">
        <f>INDEX('Inputs (2)'!$D$47:$AL$47,MATCH(X$7,'Inputs (2)'!$D$2:$AL$2,0))</f>
        <v>54108</v>
      </c>
      <c r="Y253" s="25">
        <f>INDEX('Inputs (2)'!$D$47:$AL$47,MATCH(Y$7,'Inputs (2)'!$D$2:$AL$2,0))</f>
        <v>55455</v>
      </c>
      <c r="Z253" s="25">
        <f>INDEX('Inputs (2)'!$D$47:$AL$47,MATCH(Z$7,'Inputs (2)'!$D$2:$AL$2,0))</f>
        <v>57920</v>
      </c>
      <c r="AA253" s="25">
        <f>INDEX('Inputs (2)'!$D$47:$AL$47,MATCH(AA$7,'Inputs (2)'!$D$2:$AL$2,0))</f>
        <v>59352</v>
      </c>
      <c r="AB253" s="3">
        <f>AA253</f>
        <v>59352</v>
      </c>
      <c r="AC253" s="25">
        <f>INDEX('Inputs (2)'!$D$47:$AL$47,MATCH(AC$7,'Inputs (2)'!$D$2:$AL$2,0))</f>
        <v>61356</v>
      </c>
      <c r="AD253" s="25">
        <f>INDEX('Inputs (2)'!$D$47:$AL$47,MATCH(AD$7,'Inputs (2)'!$D$2:$AL$2,0))</f>
        <v>62160</v>
      </c>
      <c r="AE253" s="25">
        <f>INDEX('Inputs (2)'!$D$47:$AL$47,MATCH(AE$7,'Inputs (2)'!$D$2:$AL$2,0))</f>
        <v>64460</v>
      </c>
      <c r="AF253" s="25">
        <f>INDEX('Inputs (2)'!$D$47:$AL$47,MATCH(AF$7,'Inputs (2)'!$D$2:$AL$2,0))</f>
        <v>65448</v>
      </c>
      <c r="AG253" s="3">
        <f>AF253</f>
        <v>65448</v>
      </c>
      <c r="AH253" s="3">
        <f>INDEX('Inputs (2)'!$D$47:$AL$47,MATCH(AH$7,'Inputs (2)'!$D$2:$AL$2,0))</f>
        <v>67997</v>
      </c>
      <c r="AI253" s="3">
        <f>INDEX('Inputs (2)'!$D$47:$AL$47,MATCH(AI$7,'Inputs (2)'!$D$2:$AL$2,0))</f>
        <v>70141</v>
      </c>
      <c r="AJ253" s="3">
        <f>AI253+AJ120+AJ121</f>
        <v>70276</v>
      </c>
      <c r="AK253" s="3">
        <f>AJ253+AK120+AK121</f>
        <v>70627</v>
      </c>
      <c r="AL253" s="3">
        <f>AK253</f>
        <v>70627</v>
      </c>
      <c r="AM253" s="3">
        <f>AL253+AM120+AM121</f>
        <v>70898</v>
      </c>
      <c r="AN253" s="3">
        <f>AM253+AN120+AN121</f>
        <v>71766</v>
      </c>
      <c r="AO253" s="3">
        <f>AN253+AO120+AO121</f>
        <v>72038</v>
      </c>
      <c r="AP253" s="3">
        <f>AO253+AP120+AP121</f>
        <v>72904</v>
      </c>
      <c r="AQ253" s="3">
        <f>AP253</f>
        <v>72904</v>
      </c>
      <c r="AR253" s="3">
        <f>AQ253+AR120+AR121</f>
        <v>73690</v>
      </c>
      <c r="AS253" s="3">
        <f>AR253+AS120+AS121</f>
        <v>75862</v>
      </c>
      <c r="AT253" s="3">
        <f>AS253+AT120+AT121</f>
        <v>76649</v>
      </c>
      <c r="AU253" s="3">
        <f>AT253+AU120+AU121</f>
        <v>78819</v>
      </c>
      <c r="AV253" s="3">
        <f>AU253</f>
        <v>78819</v>
      </c>
      <c r="AW253" s="3">
        <f>AV253+AW120+AW121</f>
        <v>80909</v>
      </c>
      <c r="AX253" s="3">
        <f>AW253+AX120+AX121</f>
        <v>86719</v>
      </c>
      <c r="AY253" s="3">
        <f>AX253+AY120+AY121</f>
        <v>88810</v>
      </c>
      <c r="AZ253" s="3">
        <f>AY253+AZ120+AZ121</f>
        <v>94618</v>
      </c>
      <c r="BA253" s="3">
        <f>AZ253</f>
        <v>94618</v>
      </c>
      <c r="BB253" s="3">
        <f>BA253+BB120+BB121</f>
        <v>100346</v>
      </c>
      <c r="BC253" s="3">
        <f>BB253+BC120+BC121</f>
        <v>116040</v>
      </c>
      <c r="BD253" s="3">
        <f>BC253+BD120+BD121</f>
        <v>121769</v>
      </c>
      <c r="BE253" s="3">
        <f>BD253+BE120+BE121</f>
        <v>137461</v>
      </c>
      <c r="BF253" s="3">
        <f>BE253</f>
        <v>137461</v>
      </c>
      <c r="BG253" s="3">
        <f>BF253+BG120+BG121</f>
        <v>153073</v>
      </c>
      <c r="BH253" s="3">
        <f>BG253+BH120+BH121</f>
        <v>195811</v>
      </c>
      <c r="BI253" s="3">
        <f>BH253+BI120+BI121</f>
        <v>211424</v>
      </c>
      <c r="BJ253" s="3">
        <f>BI253+BJ120+BJ121</f>
        <v>254160</v>
      </c>
      <c r="BK253" s="3">
        <f>BJ253</f>
        <v>254160</v>
      </c>
      <c r="BL253" s="3">
        <f>BK253+BL120+BL121</f>
        <v>296816</v>
      </c>
      <c r="BM253" s="3">
        <f>BL253+BM120+BM121</f>
        <v>413410</v>
      </c>
      <c r="BN253" s="3">
        <f>BM253+BN120+BN121</f>
        <v>456067</v>
      </c>
      <c r="BO253" s="3">
        <f>BN253+BO120+BO121</f>
        <v>572659</v>
      </c>
      <c r="BP253" s="3">
        <f>BO253</f>
        <v>572659</v>
      </c>
      <c r="BQ253" s="3">
        <f>BP253+BQ120+BQ121</f>
        <v>689171</v>
      </c>
      <c r="BR253" s="3">
        <f>BQ253+BR120+BR121</f>
        <v>1007565</v>
      </c>
      <c r="BS253" s="3">
        <f>BR253+BS120+BS121</f>
        <v>1124078</v>
      </c>
      <c r="BT253" s="3">
        <f>BS253+BT120+BT121</f>
        <v>1442470</v>
      </c>
      <c r="BU253" s="3">
        <f>BT253</f>
        <v>1442470</v>
      </c>
      <c r="BV253" s="3">
        <f>BU253+BV120+BV121</f>
        <v>1760782</v>
      </c>
      <c r="BW253" s="3">
        <f>BV253+BW120+BW121</f>
        <v>2630488</v>
      </c>
      <c r="BX253" s="3">
        <f>BW253+BX120+BX121</f>
        <v>2948801</v>
      </c>
      <c r="BY253" s="3">
        <f>BX253+BY120+BY121</f>
        <v>3818505</v>
      </c>
      <c r="BZ253" s="3">
        <f>BY253</f>
        <v>3818505</v>
      </c>
      <c r="CA253" s="3">
        <f>BZ253+CA120+CA121</f>
        <v>4688129</v>
      </c>
      <c r="CB253" s="3">
        <f>CA253+CB120+CB121</f>
        <v>7064059</v>
      </c>
      <c r="CC253" s="3">
        <f>CB253+CC120+CC121</f>
        <v>7933684</v>
      </c>
      <c r="CD253" s="3">
        <f>CC253+CD120+CD121</f>
        <v>10309612</v>
      </c>
      <c r="CE253" s="3">
        <f>CD253</f>
        <v>10309612</v>
      </c>
      <c r="CF253" s="3">
        <f>CE253+CF120+CF121</f>
        <v>12685460</v>
      </c>
      <c r="CG253" s="3">
        <f>CF253+CG120+CG121</f>
        <v>19176462</v>
      </c>
      <c r="CH253" s="3">
        <f>CG253+CH120+CH121</f>
        <v>21552311</v>
      </c>
      <c r="CI253" s="3">
        <f>CH253+CI120+CI121</f>
        <v>28043311</v>
      </c>
      <c r="CJ253" s="3">
        <f>CI253</f>
        <v>28043311</v>
      </c>
      <c r="CK253" s="3">
        <f>CJ253+CK120+CK121</f>
        <v>34534231</v>
      </c>
      <c r="CL253" s="3">
        <f>CK253+CL120+CL121</f>
        <v>52267825</v>
      </c>
      <c r="CM253" s="3">
        <f>CL253+CM120+CM121</f>
        <v>58758746</v>
      </c>
      <c r="CN253" s="3">
        <f>CM253+CN120+CN121</f>
        <v>76492338</v>
      </c>
      <c r="CO253" s="3">
        <f>CN253</f>
        <v>76492338</v>
      </c>
      <c r="CP253" s="3">
        <f>CO253+CP120+CP121</f>
        <v>94225850</v>
      </c>
      <c r="CQ253" s="3">
        <f>CP253+CQ120+CQ121</f>
        <v>142674772</v>
      </c>
      <c r="CR253" s="3">
        <f>CQ253+CR120+CR121</f>
        <v>160408285</v>
      </c>
      <c r="CS253" s="3">
        <f>CR253+CS120+CS121</f>
        <v>208857205</v>
      </c>
      <c r="CT253" s="3">
        <f>CS253</f>
        <v>208857205</v>
      </c>
      <c r="CU253" s="3">
        <f>CT253+CU120+CU121</f>
        <v>257306045</v>
      </c>
      <c r="CV253" s="3">
        <f>CU253+CV120+CV121</f>
        <v>389670807</v>
      </c>
      <c r="CW253" s="3">
        <f>CV253+CW120+CW121</f>
        <v>438119648</v>
      </c>
      <c r="CX253" s="3">
        <f>CW253+CX120+CX121</f>
        <v>570484408</v>
      </c>
      <c r="CY253" s="3">
        <f>CX253</f>
        <v>570484408</v>
      </c>
    </row>
    <row r="254" customFormat="1" s="17">
      <c r="A254" s="13" t="inlineStr">
        <is>
          <t xml:space="preserve"> </t>
        </is>
      </c>
      <c r="B254" s="13" t="n"/>
      <c r="C254" s="27" t="inlineStr">
        <is>
          <t>Total Shareholders' Equity</t>
        </is>
      </c>
      <c r="D254" s="16">
        <f>SUM(D231+D236+D237+D250+D251+D252+D253)</f>
        <v>14239</v>
      </c>
      <c r="E254" s="16">
        <f>SUM(E231+E236+E237+E250+E251+E252+E253)</f>
        <v>13777</v>
      </c>
      <c r="F254" s="16">
        <f>SUM(F231+F236+F237+F250+F251+F252+F253)</f>
        <v>14994</v>
      </c>
      <c r="G254" s="16">
        <f>SUM(G231+G236+G237+G250+G251+G252+G253)</f>
        <v>15378</v>
      </c>
      <c r="H254" s="16">
        <f>SUM(H231,H236,H237,H250,H251,H252,H253)</f>
        <v>15378</v>
      </c>
      <c r="I254" s="16">
        <f>SUM(I231+I236+I237+I250+I251+I252+I253)</f>
        <v>16617</v>
      </c>
      <c r="J254" s="16">
        <f>SUM(J231+J236+J237+J250+J251+J252+J253)</f>
        <v>16880</v>
      </c>
      <c r="K254" s="16">
        <f>SUM(K231+K236+K237+K250+K251+K252+K253)</f>
        <v>16695</v>
      </c>
      <c r="L254" s="16">
        <f>SUM(L231+L236+L237+L250+L251+L252+L253)</f>
        <v>16516</v>
      </c>
      <c r="M254" s="16">
        <f>SUM(M231,M236,M237,M250,M251,M252,M253)</f>
        <v>16516</v>
      </c>
      <c r="N254" s="16">
        <f>SUM(N231+N236+N237+N250+N251+N252+N253)</f>
        <v>17097</v>
      </c>
      <c r="O254" s="16">
        <f>SUM(O231+O236+O237+O250+O251+O252+O253)</f>
        <v>15759</v>
      </c>
      <c r="P254" s="16">
        <f>SUM(P231+P236+P237+P250+P251+P252+P253)</f>
        <v>15622</v>
      </c>
      <c r="Q254" s="16">
        <f>SUM(Q231+Q236+Q237+Q250+Q251+Q252+Q253)</f>
        <v>15891</v>
      </c>
      <c r="R254" s="16">
        <f>SUM(R231,R236,R237,R250,R251,R252,R253)</f>
        <v>15891</v>
      </c>
      <c r="S254" s="16">
        <f>SUM(S231+S236+S237+S250+S251+S252+S253)</f>
        <v>18170</v>
      </c>
      <c r="T254" s="16">
        <f>SUM(T231+T236+T237+T250+T251+T252+T253)</f>
        <v>18256</v>
      </c>
      <c r="U254" s="16">
        <f>SUM(U231+U236+U237+U250+U251+U252+U253)</f>
        <v>20507</v>
      </c>
      <c r="V254" s="16">
        <f>SUM(V231+V236+V237+V250+V251+V252+V253)</f>
        <v>19503</v>
      </c>
      <c r="W254" s="16">
        <f>SUM(W231,W236,W237,W250,W251,W252,W253)</f>
        <v>19503</v>
      </c>
      <c r="X254" s="16">
        <f>SUM(X231+X236+X237+X250+X251+X252+X253)</f>
        <v>17645</v>
      </c>
      <c r="Y254" s="16">
        <f>SUM(Y231+Y236+Y237+Y250+Y251+Y252+Y253)</f>
        <v>17136</v>
      </c>
      <c r="Z254" s="16">
        <f>SUM(Z231+Z236+Z237+Z250+Z251+Z252+Z253)</f>
        <v>19403</v>
      </c>
      <c r="AA254" s="16">
        <f>SUM(AA231+AA236+AA237+AA250+AA251+AA252+AA253)</f>
        <v>19494</v>
      </c>
      <c r="AB254" s="16">
        <f>SUM(AB231,AB236,AB237,AB250,AB251,AB252,AB253)</f>
        <v>19494</v>
      </c>
      <c r="AC254" s="16">
        <f>SUM(AC231+AC236+AC237+AC250+AC251+AC252+AC253)</f>
        <v>18070</v>
      </c>
      <c r="AD254" s="16">
        <f>SUM(AD231+AD236+AD237+AD250+AD251+AD252+AD253)</f>
        <v>18663</v>
      </c>
      <c r="AE254" s="16">
        <f>SUM(AE231+AE236+AE237+AE250+AE251+AE252+AE253)</f>
        <v>20659</v>
      </c>
      <c r="AF254" s="16">
        <f>SUM(AF231+AF236+AF237+AF250+AF251+AF252+AF253)</f>
        <v>21318</v>
      </c>
      <c r="AG254" s="16">
        <f>SUM(AG231,AG236,AG237,AG250,AG251,AG252,AG253)</f>
        <v>21318</v>
      </c>
      <c r="AH254" s="16">
        <f>SUM(AH231+AH236+AH237+AH250+AH251+AH252+AH253)</f>
        <v>18660</v>
      </c>
      <c r="AI254" s="16">
        <f>SUM(AI231+AI236+AI237+AI250+AI251+AI252+AI253)</f>
        <v>19394</v>
      </c>
      <c r="AJ254" s="16">
        <f>SUM(AJ231+AJ236+AJ237+AJ250+AJ251+AJ252+AJ253)</f>
        <v>19528</v>
      </c>
      <c r="AK254" s="16">
        <f>SUM(AK231+AK236+AK237+AK250+AK251+AK252+AK253)</f>
        <v>19878</v>
      </c>
      <c r="AL254" s="16">
        <f>SUM(AL231,AL236,AL237,AL250,AL251,AL252,AL253)</f>
        <v>19878</v>
      </c>
      <c r="AM254" s="16">
        <f>SUM(AM231+AM236+AM237+AM250+AM251+AM252+AM253)</f>
        <v>20148</v>
      </c>
      <c r="AN254" s="16">
        <f>SUM(AN231+AN236+AN237+AN250+AN251+AN252+AN253)</f>
        <v>21016</v>
      </c>
      <c r="AO254" s="16">
        <f>SUM(AO231+AO236+AO237+AO250+AO251+AO252+AO253)</f>
        <v>21287</v>
      </c>
      <c r="AP254" s="16">
        <f>SUM(AP231+AP236+AP237+AP250+AP251+AP252+AP253)</f>
        <v>22152</v>
      </c>
      <c r="AQ254" s="16">
        <f>SUM(AQ231,AQ236,AQ237,AQ250,AQ251,AQ252,AQ253)</f>
        <v>22152</v>
      </c>
      <c r="AR254" s="16">
        <f>SUM(AR231+AR236+AR237+AR250+AR251+AR252+AR253)</f>
        <v>22937</v>
      </c>
      <c r="AS254" s="16">
        <f>SUM(AS231+AS236+AS237+AS250+AS251+AS252+AS253)</f>
        <v>25109</v>
      </c>
      <c r="AT254" s="16">
        <f>SUM(AT231+AT236+AT237+AT250+AT251+AT252+AT253)</f>
        <v>25895</v>
      </c>
      <c r="AU254" s="16">
        <f>SUM(AU231+AU236+AU237+AU250+AU251+AU252+AU253)</f>
        <v>28064</v>
      </c>
      <c r="AV254" s="16">
        <f>SUM(AV231,AV236,AV237,AV250,AV251,AV252,AV253)</f>
        <v>28064</v>
      </c>
      <c r="AW254" s="16">
        <f>SUM(AW231+AW236+AW237+AW250+AW251+AW252+AW253)</f>
        <v>30153</v>
      </c>
      <c r="AX254" s="16">
        <f>SUM(AX231+AX236+AX237+AX250+AX251+AX252+AX253)</f>
        <v>35963</v>
      </c>
      <c r="AY254" s="16">
        <f>SUM(AY231+AY236+AY237+AY250+AY251+AY252+AY253)</f>
        <v>38053</v>
      </c>
      <c r="AZ254" s="16">
        <f>SUM(AZ231+AZ236+AZ237+AZ250+AZ251+AZ252+AZ253)</f>
        <v>43860</v>
      </c>
      <c r="BA254" s="16">
        <f>SUM(BA231,BA236,BA237,BA250,BA251,BA252,BA253)</f>
        <v>43860</v>
      </c>
      <c r="BB254" s="16">
        <f>SUM(BB231+BB236+BB237+BB250+BB251+BB252+BB253)</f>
        <v>49587</v>
      </c>
      <c r="BC254" s="16">
        <f>SUM(BC231+BC236+BC237+BC250+BC251+BC252+BC253)</f>
        <v>65281</v>
      </c>
      <c r="BD254" s="16">
        <f>SUM(BD231+BD236+BD237+BD250+BD251+BD252+BD253)</f>
        <v>71009</v>
      </c>
      <c r="BE254" s="16">
        <f>SUM(BE231+BE236+BE237+BE250+BE251+BE252+BE253)</f>
        <v>86700</v>
      </c>
      <c r="BF254" s="16">
        <f>SUM(BF231,BF236,BF237,BF250,BF251,BF252,BF253)</f>
        <v>86700</v>
      </c>
      <c r="BG254" s="16">
        <f>SUM(BG231+BG236+BG237+BG250+BG251+BG252+BG253)</f>
        <v>102311</v>
      </c>
      <c r="BH254" s="16">
        <f>SUM(BH231+BH236+BH237+BH250+BH251+BH252+BH253)</f>
        <v>145049</v>
      </c>
      <c r="BI254" s="16">
        <f>SUM(BI231+BI236+BI237+BI250+BI251+BI252+BI253)</f>
        <v>160661</v>
      </c>
      <c r="BJ254" s="16">
        <f>SUM(BJ231+BJ236+BJ237+BJ250+BJ251+BJ252+BJ253)</f>
        <v>203396</v>
      </c>
      <c r="BK254" s="16">
        <f>SUM(BK231,BK236,BK237,BK250,BK251,BK252,BK253)</f>
        <v>203396</v>
      </c>
      <c r="BL254" s="16">
        <f>SUM(BL231+BL236+BL237+BL250+BL251+BL252+BL253)</f>
        <v>246051</v>
      </c>
      <c r="BM254" s="16">
        <f>SUM(BM231+BM236+BM237+BM250+BM251+BM252+BM253)</f>
        <v>362645</v>
      </c>
      <c r="BN254" s="16">
        <f>SUM(BN231+BN236+BN237+BN250+BN251+BN252+BN253)</f>
        <v>405301</v>
      </c>
      <c r="BO254" s="16">
        <f>SUM(BO231+BO236+BO237+BO250+BO251+BO252+BO253)</f>
        <v>521892</v>
      </c>
      <c r="BP254" s="16">
        <f>SUM(BP231,BP236,BP237,BP250,BP251,BP252,BP253)</f>
        <v>521892</v>
      </c>
      <c r="BQ254" s="16">
        <f>SUM(BQ231+BQ236+BQ237+BQ250+BQ251+BQ252+BQ253)</f>
        <v>638403</v>
      </c>
      <c r="BR254" s="16">
        <f>SUM(BR231+BR236+BR237+BR250+BR251+BR252+BR253)</f>
        <v>956797</v>
      </c>
      <c r="BS254" s="16">
        <f>SUM(BS231+BS236+BS237+BS250+BS251+BS252+BS253)</f>
        <v>1073309</v>
      </c>
      <c r="BT254" s="16">
        <f>SUM(BT231+BT236+BT237+BT250+BT251+BT252+BT253)</f>
        <v>1391700</v>
      </c>
      <c r="BU254" s="16">
        <f>SUM(BU231,BU236,BU237,BU250,BU251,BU252,BU253)</f>
        <v>1391700</v>
      </c>
      <c r="BV254" s="16">
        <f>SUM(BV231+BV236+BV237+BV250+BV251+BV252+BV253)</f>
        <v>1710011</v>
      </c>
      <c r="BW254" s="16">
        <f>SUM(BW231+BW236+BW237+BW250+BW251+BW252+BW253)</f>
        <v>2579717</v>
      </c>
      <c r="BX254" s="16">
        <f>SUM(BX231+BX236+BX237+BX250+BX251+BX252+BX253)</f>
        <v>2898029</v>
      </c>
      <c r="BY254" s="16">
        <f>SUM(BY231+BY236+BY237+BY250+BY251+BY252+BY253)</f>
        <v>3767732</v>
      </c>
      <c r="BZ254" s="16">
        <f>SUM(BZ231,BZ236,BZ237,BZ250,BZ251,BZ252,BZ253)</f>
        <v>3767732</v>
      </c>
      <c r="CA254" s="16">
        <f>SUM(CA231+CA236+CA237+CA250+CA251+CA252+CA253)</f>
        <v>4637355</v>
      </c>
      <c r="CB254" s="16">
        <f>SUM(CB231+CB236+CB237+CB250+CB251+CB252+CB253)</f>
        <v>7013285</v>
      </c>
      <c r="CC254" s="16">
        <f>SUM(CC231+CC236+CC237+CC250+CC251+CC252+CC253)</f>
        <v>7882909</v>
      </c>
      <c r="CD254" s="16">
        <f>SUM(CD231+CD236+CD237+CD250+CD251+CD252+CD253)</f>
        <v>10258836</v>
      </c>
      <c r="CE254" s="16">
        <f>SUM(CE231,CE236,CE237,CE250,CE251,CE252,CE253)</f>
        <v>10258836</v>
      </c>
      <c r="CF254" s="16">
        <f>SUM(CF231+CF236+CF237+CF250+CF251+CF252+CF253)</f>
        <v>12634683</v>
      </c>
      <c r="CG254" s="16">
        <f>SUM(CG231+CG236+CG237+CG250+CG251+CG252+CG253)</f>
        <v>19125685</v>
      </c>
      <c r="CH254" s="16">
        <f>SUM(CH231+CH236+CH237+CH250+CH251+CH252+CH253)</f>
        <v>21501533</v>
      </c>
      <c r="CI254" s="16">
        <f>SUM(CI231+CI236+CI237+CI250+CI251+CI252+CI253)</f>
        <v>27992532</v>
      </c>
      <c r="CJ254" s="16">
        <f>SUM(CJ231,CJ236,CJ237,CJ250,CJ251,CJ252,CJ253)</f>
        <v>27992532</v>
      </c>
      <c r="CK254" s="16">
        <f>SUM(CK231+CK236+CK237+CK250+CK251+CK252+CK253)</f>
        <v>34483451</v>
      </c>
      <c r="CL254" s="16">
        <f>SUM(CL231+CL236+CL237+CL250+CL251+CL252+CL253)</f>
        <v>52217045</v>
      </c>
      <c r="CM254" s="16">
        <f>SUM(CM231+CM236+CM237+CM250+CM251+CM252+CM253)</f>
        <v>58707965</v>
      </c>
      <c r="CN254" s="16">
        <f>SUM(CN231+CN236+CN237+CN250+CN251+CN252+CN253)</f>
        <v>76441556</v>
      </c>
      <c r="CO254" s="16">
        <f>SUM(CO231,CO236,CO237,CO250,CO251,CO252,CO253)</f>
        <v>76441556</v>
      </c>
      <c r="CP254" s="16">
        <f>SUM(CP231+CP236+CP237+CP250+CP251+CP252+CP253)</f>
        <v>94175067</v>
      </c>
      <c r="CQ254" s="16">
        <f>SUM(CQ231+CQ236+CQ237+CQ250+CQ251+CQ252+CQ253)</f>
        <v>142623989</v>
      </c>
      <c r="CR254" s="16">
        <f>SUM(CR231+CR236+CR237+CR250+CR251+CR252+CR253)</f>
        <v>160357501</v>
      </c>
      <c r="CS254" s="16">
        <f>SUM(CS231+CS236+CS237+CS250+CS251+CS252+CS253)</f>
        <v>208806420</v>
      </c>
      <c r="CT254" s="16">
        <f>SUM(CT231,CT236,CT237,CT250,CT251,CT252,CT253)</f>
        <v>208806420</v>
      </c>
      <c r="CU254" s="16">
        <f>SUM(CU231+CU236+CU237+CU250+CU251+CU252+CU253)</f>
        <v>257255259</v>
      </c>
      <c r="CV254" s="16">
        <f>SUM(CV231+CV236+CV237+CV250+CV251+CV252+CV253)</f>
        <v>389620021</v>
      </c>
      <c r="CW254" s="16">
        <f>SUM(CW231+CW236+CW237+CW250+CW251+CW252+CW253)</f>
        <v>438068861</v>
      </c>
      <c r="CX254" s="16">
        <f>SUM(CX231+CX236+CX237+CX250+CX251+CX252+CX253)</f>
        <v>570433620</v>
      </c>
      <c r="CY254" s="16">
        <f>SUM(CY231,CY236,CY237,CY250,CY251,CY252,CY253)</f>
        <v>570433620</v>
      </c>
    </row>
    <row r="255">
      <c r="C255" s="29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/>
      <c r="BX255" s="3" t="n"/>
      <c r="BY255" s="3" t="n"/>
      <c r="BZ255" s="3" t="n"/>
      <c r="CA255" s="3" t="n"/>
      <c r="CB255" s="3" t="n"/>
      <c r="CC255" s="3" t="n"/>
      <c r="CD255" s="3" t="n"/>
      <c r="CE255" s="3" t="n"/>
      <c r="CF255" s="3" t="n"/>
      <c r="CG255" s="3" t="n"/>
      <c r="CH255" s="3" t="n"/>
      <c r="CI255" s="3" t="n"/>
      <c r="CJ255" s="3" t="n"/>
      <c r="CK255" s="3" t="n"/>
      <c r="CL255" s="3" t="n"/>
      <c r="CM255" s="3" t="n"/>
      <c r="CN255" s="3" t="n"/>
      <c r="CO255" s="3" t="n"/>
      <c r="CP255" s="3" t="n"/>
      <c r="CQ255" s="3" t="n"/>
      <c r="CR255" s="3" t="n"/>
      <c r="CS255" s="3" t="n"/>
      <c r="CT255" s="3" t="n"/>
      <c r="CU255" s="3" t="n"/>
      <c r="CV255" s="3" t="n"/>
      <c r="CW255" s="3" t="n"/>
      <c r="CX255" s="3" t="n"/>
      <c r="CY255" s="3" t="n"/>
    </row>
    <row r="256" customFormat="1" s="17">
      <c r="A256" s="13" t="n"/>
      <c r="B256" s="1" t="n"/>
      <c r="C256" s="14" t="inlineStr">
        <is>
          <t>Total Liabilities + Shareholders' Equity</t>
        </is>
      </c>
      <c r="D256" s="16">
        <f>D254+D230</f>
        <v>75894</v>
      </c>
      <c r="E256" s="16">
        <f>E254+E230</f>
        <v>76566</v>
      </c>
      <c r="F256" s="16">
        <f>F254+F230</f>
        <v>76741</v>
      </c>
      <c r="G256" s="16">
        <f>G254+G230</f>
        <v>78324</v>
      </c>
      <c r="H256" s="16">
        <f>H254+H230</f>
        <v>78324</v>
      </c>
      <c r="I256" s="16">
        <f>I254+I230</f>
        <v>80729</v>
      </c>
      <c r="J256" s="16">
        <f>J254+J230</f>
        <v>81697</v>
      </c>
      <c r="K256" s="16">
        <f>K254+K230</f>
        <v>80784</v>
      </c>
      <c r="L256" s="16">
        <f>L254+L230</f>
        <v>82793</v>
      </c>
      <c r="M256" s="16">
        <f>M254+M230</f>
        <v>82793</v>
      </c>
      <c r="N256" s="16">
        <f>N254+N230</f>
        <v>82276</v>
      </c>
      <c r="O256" s="16">
        <f>O254+O230</f>
        <v>81107</v>
      </c>
      <c r="P256" s="16">
        <f>P254+P230</f>
        <v>80907</v>
      </c>
      <c r="Q256" s="16">
        <f>Q254+Q230</f>
        <v>81943</v>
      </c>
      <c r="R256" s="16">
        <f>R254+R230</f>
        <v>81943</v>
      </c>
      <c r="S256" s="16">
        <f>S254+S230</f>
        <v>83649</v>
      </c>
      <c r="T256" s="16">
        <f>T254+T230</f>
        <v>85427</v>
      </c>
      <c r="U256" s="16">
        <f>U254+U230</f>
        <v>86791</v>
      </c>
      <c r="V256" s="16">
        <f>V254+V230</f>
        <v>87476</v>
      </c>
      <c r="W256" s="16">
        <f>W254+W230</f>
        <v>87476</v>
      </c>
      <c r="X256" s="16">
        <f>X254+X230</f>
        <v>83741</v>
      </c>
      <c r="Y256" s="16">
        <f>Y254+Y230</f>
        <v>83336</v>
      </c>
      <c r="Z256" s="16">
        <f>Z254+Z230</f>
        <v>86273</v>
      </c>
      <c r="AA256" s="16">
        <f>AA254+AA230</f>
        <v>87764</v>
      </c>
      <c r="AB256" s="16">
        <f>AB254+AB230</f>
        <v>87764</v>
      </c>
      <c r="AC256" s="16">
        <f>AC254+AC230</f>
        <v>84974</v>
      </c>
      <c r="AD256" s="16">
        <f>AD254+AD230</f>
        <v>90325</v>
      </c>
      <c r="AE256" s="16">
        <f>AE254+AE230</f>
        <v>93722</v>
      </c>
      <c r="AF256" s="16">
        <f>AF254+AF230</f>
        <v>98585</v>
      </c>
      <c r="AG256" s="16">
        <f>AG254+AG230</f>
        <v>98585</v>
      </c>
      <c r="AH256" s="16">
        <f>AH254+AH230</f>
        <v>95550</v>
      </c>
      <c r="AI256" s="16">
        <f>AI254+AI230</f>
        <v>102609</v>
      </c>
      <c r="AJ256" s="16">
        <f>AJ254+AJ230</f>
        <v>84457</v>
      </c>
      <c r="AK256" s="16">
        <f>AK254+AK230</f>
        <v>84807</v>
      </c>
      <c r="AL256" s="16">
        <f>AL254+AL230</f>
        <v>84807</v>
      </c>
      <c r="AM256" s="16" t="e">
        <f>AM254+AM230</f>
        <v>#DIV/0!</v>
      </c>
      <c r="AN256" s="16">
        <f>AN254+AN230</f>
        <v>85945</v>
      </c>
      <c r="AO256" s="16" t="e">
        <f>AO254+AO230</f>
        <v>#DIV/0!</v>
      </c>
      <c r="AP256" s="16" t="e">
        <f>AP254+AP230</f>
        <v>#DIV/0!</v>
      </c>
      <c r="AQ256" s="16" t="e">
        <f>AQ254+AQ230</f>
        <v>#DIV/0!</v>
      </c>
      <c r="AR256" s="16" t="e">
        <f>AR254+AR230</f>
        <v>#DIV/0!</v>
      </c>
      <c r="AS256" s="16" t="e">
        <f>AS254+AS230</f>
        <v>#DIV/0!</v>
      </c>
      <c r="AT256" s="16" t="e">
        <f>AT254+AT230</f>
        <v>#DIV/0!</v>
      </c>
      <c r="AU256" s="16" t="e">
        <f>AU254+AU230</f>
        <v>#DIV/0!</v>
      </c>
      <c r="AV256" s="16" t="e">
        <f>AV254+AV230</f>
        <v>#DIV/0!</v>
      </c>
      <c r="AW256" s="16" t="e">
        <f>AW254+AW230</f>
        <v>#DIV/0!</v>
      </c>
      <c r="AX256" s="16" t="e">
        <f>AX254+AX230</f>
        <v>#DIV/0!</v>
      </c>
      <c r="AY256" s="16" t="e">
        <f>AY254+AY230</f>
        <v>#DIV/0!</v>
      </c>
      <c r="AZ256" s="16" t="e">
        <f>AZ254+AZ230</f>
        <v>#DIV/0!</v>
      </c>
      <c r="BA256" s="16" t="e">
        <f>BA254+BA230</f>
        <v>#DIV/0!</v>
      </c>
      <c r="BB256" s="16" t="e">
        <f>BB254+BB230</f>
        <v>#DIV/0!</v>
      </c>
      <c r="BC256" s="16" t="e">
        <f>BC254+BC230</f>
        <v>#DIV/0!</v>
      </c>
      <c r="BD256" s="16" t="e">
        <f>BD254+BD230</f>
        <v>#DIV/0!</v>
      </c>
      <c r="BE256" s="16" t="e">
        <f>BE254+BE230</f>
        <v>#DIV/0!</v>
      </c>
      <c r="BF256" s="16" t="e">
        <f>BF254+BF230</f>
        <v>#DIV/0!</v>
      </c>
      <c r="BG256" s="16" t="e">
        <f>BG254+BG230</f>
        <v>#DIV/0!</v>
      </c>
      <c r="BH256" s="16" t="e">
        <f>BH254+BH230</f>
        <v>#DIV/0!</v>
      </c>
      <c r="BI256" s="16" t="e">
        <f>BI254+BI230</f>
        <v>#DIV/0!</v>
      </c>
      <c r="BJ256" s="16" t="e">
        <f>BJ254+BJ230</f>
        <v>#DIV/0!</v>
      </c>
      <c r="BK256" s="16" t="e">
        <f>BK254+BK230</f>
        <v>#DIV/0!</v>
      </c>
      <c r="BL256" s="16" t="e">
        <f>BL254+BL230</f>
        <v>#DIV/0!</v>
      </c>
      <c r="BM256" s="16" t="e">
        <f>BM254+BM230</f>
        <v>#DIV/0!</v>
      </c>
      <c r="BN256" s="16" t="e">
        <f>BN254+BN230</f>
        <v>#DIV/0!</v>
      </c>
      <c r="BO256" s="16" t="e">
        <f>BO254+BO230</f>
        <v>#DIV/0!</v>
      </c>
      <c r="BP256" s="16" t="e">
        <f>BP254+BP230</f>
        <v>#DIV/0!</v>
      </c>
      <c r="BQ256" s="16" t="e">
        <f>BQ254+BQ230</f>
        <v>#DIV/0!</v>
      </c>
      <c r="BR256" s="16" t="e">
        <f>BR254+BR230</f>
        <v>#DIV/0!</v>
      </c>
      <c r="BS256" s="16" t="e">
        <f>BS254+BS230</f>
        <v>#DIV/0!</v>
      </c>
      <c r="BT256" s="16" t="e">
        <f>BT254+BT230</f>
        <v>#DIV/0!</v>
      </c>
      <c r="BU256" s="16" t="e">
        <f>BU254+BU230</f>
        <v>#DIV/0!</v>
      </c>
      <c r="BV256" s="16" t="e">
        <f>BV254+BV230</f>
        <v>#DIV/0!</v>
      </c>
      <c r="BW256" s="16" t="e">
        <f>BW254+BW230</f>
        <v>#DIV/0!</v>
      </c>
      <c r="BX256" s="16" t="e">
        <f>BX254+BX230</f>
        <v>#DIV/0!</v>
      </c>
      <c r="BY256" s="16" t="e">
        <f>BY254+BY230</f>
        <v>#DIV/0!</v>
      </c>
      <c r="BZ256" s="16" t="e">
        <f>BZ254+BZ230</f>
        <v>#DIV/0!</v>
      </c>
      <c r="CA256" s="16" t="e">
        <f>CA254+CA230</f>
        <v>#DIV/0!</v>
      </c>
      <c r="CB256" s="16" t="e">
        <f>CB254+CB230</f>
        <v>#DIV/0!</v>
      </c>
      <c r="CC256" s="16" t="e">
        <f>CC254+CC230</f>
        <v>#DIV/0!</v>
      </c>
      <c r="CD256" s="16" t="e">
        <f>CD254+CD230</f>
        <v>#DIV/0!</v>
      </c>
      <c r="CE256" s="16" t="e">
        <f>CE254+CE230</f>
        <v>#DIV/0!</v>
      </c>
      <c r="CF256" s="16" t="e">
        <f>CF254+CF230</f>
        <v>#DIV/0!</v>
      </c>
      <c r="CG256" s="16" t="e">
        <f>CG254+CG230</f>
        <v>#DIV/0!</v>
      </c>
      <c r="CH256" s="16" t="e">
        <f>CH254+CH230</f>
        <v>#DIV/0!</v>
      </c>
      <c r="CI256" s="16" t="e">
        <f>CI254+CI230</f>
        <v>#DIV/0!</v>
      </c>
      <c r="CJ256" s="16" t="e">
        <f>CJ254+CJ230</f>
        <v>#DIV/0!</v>
      </c>
      <c r="CK256" s="16" t="e">
        <f>CK254+CK230</f>
        <v>#DIV/0!</v>
      </c>
      <c r="CL256" s="16" t="e">
        <f>CL254+CL230</f>
        <v>#DIV/0!</v>
      </c>
      <c r="CM256" s="16" t="e">
        <f>CM254+CM230</f>
        <v>#DIV/0!</v>
      </c>
      <c r="CN256" s="16" t="e">
        <f>CN254+CN230</f>
        <v>#DIV/0!</v>
      </c>
      <c r="CO256" s="16" t="e">
        <f>CO254+CO230</f>
        <v>#DIV/0!</v>
      </c>
      <c r="CP256" s="16" t="e">
        <f>CP254+CP230</f>
        <v>#DIV/0!</v>
      </c>
      <c r="CQ256" s="16" t="e">
        <f>CQ254+CQ230</f>
        <v>#DIV/0!</v>
      </c>
      <c r="CR256" s="16" t="e">
        <f>CR254+CR230</f>
        <v>#DIV/0!</v>
      </c>
      <c r="CS256" s="16" t="e">
        <f>CS254+CS230</f>
        <v>#DIV/0!</v>
      </c>
      <c r="CT256" s="16" t="e">
        <f>CT254+CT230</f>
        <v>#DIV/0!</v>
      </c>
      <c r="CU256" s="16" t="e">
        <f>CU254+CU230</f>
        <v>#DIV/0!</v>
      </c>
      <c r="CV256" s="16" t="e">
        <f>CV254+CV230</f>
        <v>#DIV/0!</v>
      </c>
      <c r="CW256" s="16" t="e">
        <f>CW254+CW230</f>
        <v>#DIV/0!</v>
      </c>
      <c r="CX256" s="16" t="e">
        <f>CX254+CX230</f>
        <v>#DIV/0!</v>
      </c>
      <c r="CY256" s="16" t="e">
        <f>CY254+CY230</f>
        <v>#DIV/0!</v>
      </c>
    </row>
    <row r="257">
      <c r="C257" s="5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  <c r="BA257" s="1" t="n"/>
      <c r="BB257" s="1" t="n"/>
      <c r="BC257" s="1" t="n"/>
      <c r="BD257" s="1" t="n"/>
      <c r="BE257" s="1" t="n"/>
      <c r="BF257" s="1" t="n"/>
      <c r="BG257" s="1" t="n"/>
      <c r="BH257" s="1" t="n"/>
      <c r="BI257" s="1" t="n"/>
      <c r="BJ257" s="1" t="n"/>
      <c r="BK257" s="1" t="n"/>
      <c r="BL257" s="1" t="n"/>
      <c r="BM257" s="1" t="n"/>
      <c r="BN257" s="1" t="n"/>
      <c r="BO257" s="1" t="n"/>
      <c r="BP257" s="1" t="n"/>
      <c r="BQ257" s="1" t="n"/>
      <c r="BR257" s="1" t="n"/>
      <c r="BS257" s="1" t="n"/>
      <c r="BT257" s="1" t="n"/>
      <c r="BU257" s="1" t="n"/>
      <c r="BV257" s="1" t="n"/>
      <c r="BW257" s="1" t="n"/>
      <c r="BX257" s="1" t="n"/>
      <c r="BY257" s="1" t="n"/>
      <c r="BZ257" s="1" t="n"/>
      <c r="CA257" s="1" t="n"/>
      <c r="CB257" s="1" t="n"/>
      <c r="CC257" s="1" t="n"/>
      <c r="CD257" s="1" t="n"/>
      <c r="CE257" s="1" t="n"/>
      <c r="CF257" s="1" t="n"/>
      <c r="CG257" s="1" t="n"/>
      <c r="CH257" s="1" t="n"/>
      <c r="CI257" s="1" t="n"/>
      <c r="CJ257" s="1" t="n"/>
      <c r="CK257" s="1" t="n"/>
      <c r="CL257" s="1" t="n"/>
      <c r="CM257" s="1" t="n"/>
      <c r="CN257" s="1" t="n"/>
      <c r="CO257" s="1" t="n"/>
      <c r="CP257" s="1" t="n"/>
      <c r="CQ257" s="1" t="n"/>
      <c r="CR257" s="1" t="n"/>
      <c r="CS257" s="1" t="n"/>
      <c r="CT257" s="1" t="n"/>
      <c r="CU257" s="1" t="n"/>
      <c r="CV257" s="1" t="n"/>
      <c r="CW257" s="1" t="n"/>
      <c r="CX257" s="1" t="n"/>
      <c r="CY257" s="1" t="n"/>
    </row>
    <row r="258" customFormat="1" s="17">
      <c r="A258" s="13" t="n"/>
      <c r="B258" s="13" t="n"/>
      <c r="C258" s="12" t="inlineStr">
        <is>
          <t>Cash Flow Statement</t>
        </is>
      </c>
      <c r="D258" s="232" t="str">
        <f>D125</f>
        <v>1Q20</v>
      </c>
      <c r="E258" s="232" t="str">
        <f>E125</f>
        <v>2Q20</v>
      </c>
      <c r="F258" s="232" t="str">
        <f>F125</f>
        <v>3Q20</v>
      </c>
      <c r="G258" s="232" t="str">
        <f>G125</f>
        <v>4Q20</v>
      </c>
      <c r="H258" s="232">
        <f>H125</f>
        <v>2020</v>
      </c>
      <c r="I258" s="232" t="str">
        <f>I125</f>
        <v>1Q21</v>
      </c>
      <c r="J258" s="232" t="str">
        <f>J125</f>
        <v>2Q21</v>
      </c>
      <c r="K258" s="232" t="str">
        <f>K125</f>
        <v>3Q21</v>
      </c>
      <c r="L258" s="232" t="str">
        <f>L125</f>
        <v>4Q21</v>
      </c>
      <c r="M258" s="232">
        <f>M125</f>
        <v>2021</v>
      </c>
      <c r="N258" s="232" t="str">
        <f>N125</f>
        <v>1Q22</v>
      </c>
      <c r="O258" s="232" t="str">
        <f>O125</f>
        <v>2Q22</v>
      </c>
      <c r="P258" s="232" t="str">
        <f>P125</f>
        <v>3Q22</v>
      </c>
      <c r="Q258" s="232" t="str">
        <f>Q125</f>
        <v>4Q22</v>
      </c>
      <c r="R258" s="232">
        <f>R125</f>
        <v>2022</v>
      </c>
      <c r="S258" s="232" t="str">
        <f>S125</f>
        <v>1Q23</v>
      </c>
      <c r="T258" s="232" t="str">
        <f>T125</f>
        <v>2Q23</v>
      </c>
      <c r="U258" s="232" t="str">
        <f>U125</f>
        <v>3Q23</v>
      </c>
      <c r="V258" s="232" t="str">
        <f>V125</f>
        <v>4Q23</v>
      </c>
      <c r="W258" s="232">
        <f>W125</f>
        <v>2023</v>
      </c>
      <c r="X258" s="232" t="str">
        <f>X125</f>
        <v>1Q24</v>
      </c>
      <c r="Y258" s="232" t="str">
        <f>Y125</f>
        <v>2Q24</v>
      </c>
      <c r="Z258" s="232" t="str">
        <f>Z125</f>
        <v>3Q24</v>
      </c>
      <c r="AA258" s="232" t="str">
        <f>AA125</f>
        <v>4Q24</v>
      </c>
      <c r="AB258" s="232">
        <f>AB125</f>
        <v>2024</v>
      </c>
      <c r="AC258" s="232" t="str">
        <f>AC125</f>
        <v>1Q25</v>
      </c>
      <c r="AD258" s="232" t="str">
        <f>AD125</f>
        <v>2Q25</v>
      </c>
      <c r="AE258" s="232" t="str">
        <f>AE125</f>
        <v>3Q25</v>
      </c>
      <c r="AF258" s="232" t="str">
        <f>AF125</f>
        <v>4Q25</v>
      </c>
      <c r="AG258" s="232">
        <f>AG125</f>
        <v>2025</v>
      </c>
      <c r="AH258" s="232" t="str">
        <f>AH125</f>
        <v>1Q26</v>
      </c>
      <c r="AI258" s="232" t="str">
        <f>AI125</f>
        <v>2Q26</v>
      </c>
      <c r="AJ258" s="232" t="str">
        <f>AJ125</f>
        <v>3Q26</v>
      </c>
      <c r="AK258" s="232" t="str">
        <f>AK125</f>
        <v>4Q26</v>
      </c>
      <c r="AL258" s="232">
        <f>AL125</f>
        <v>2026</v>
      </c>
      <c r="AM258" s="232" t="str">
        <f>AM125</f>
        <v>1Q27</v>
      </c>
      <c r="AN258" s="232" t="str">
        <f>AN125</f>
        <v>2Q27</v>
      </c>
      <c r="AO258" s="232" t="str">
        <f>AO125</f>
        <v>3Q27</v>
      </c>
      <c r="AP258" s="232" t="str">
        <f>AP125</f>
        <v>4Q27</v>
      </c>
      <c r="AQ258" s="232">
        <f>AQ125</f>
        <v>2027</v>
      </c>
      <c r="AR258" s="232" t="str">
        <f>AR125</f>
        <v>1Q28</v>
      </c>
      <c r="AS258" s="232" t="str">
        <f>AS125</f>
        <v>2Q28</v>
      </c>
      <c r="AT258" s="232" t="str">
        <f>AT125</f>
        <v>3Q28</v>
      </c>
      <c r="AU258" s="232" t="str">
        <f>AU125</f>
        <v>4Q28</v>
      </c>
      <c r="AV258" s="232">
        <f>AV125</f>
        <v>2028</v>
      </c>
      <c r="AW258" s="232" t="str">
        <f>AW125</f>
        <v>1Q29</v>
      </c>
      <c r="AX258" s="232" t="str">
        <f>AX125</f>
        <v>2Q29</v>
      </c>
      <c r="AY258" s="232" t="str">
        <f>AY125</f>
        <v>3Q29</v>
      </c>
      <c r="AZ258" s="232" t="str">
        <f>AZ125</f>
        <v>4Q29</v>
      </c>
      <c r="BA258" s="232">
        <f>BA125</f>
        <v>2029</v>
      </c>
      <c r="BB258" s="232" t="str">
        <f>BB125</f>
        <v>1Q30</v>
      </c>
      <c r="BC258" s="232" t="str">
        <f>BC125</f>
        <v>2Q30</v>
      </c>
      <c r="BD258" s="232" t="str">
        <f>BD125</f>
        <v>3Q30</v>
      </c>
      <c r="BE258" s="232" t="str">
        <f>BE125</f>
        <v>4Q30</v>
      </c>
      <c r="BF258" s="232">
        <f>BF125</f>
        <v>2030</v>
      </c>
      <c r="BG258" s="232" t="str">
        <f>BG125</f>
        <v>1Q31</v>
      </c>
      <c r="BH258" s="232" t="str">
        <f>BH125</f>
        <v>2Q31</v>
      </c>
      <c r="BI258" s="232" t="str">
        <f>BI125</f>
        <v>3Q31</v>
      </c>
      <c r="BJ258" s="232" t="str">
        <f>BJ125</f>
        <v>4Q31</v>
      </c>
      <c r="BK258" s="232">
        <f>BK125</f>
        <v>2031</v>
      </c>
      <c r="BL258" s="232" t="str">
        <f>BL125</f>
        <v>1Q32</v>
      </c>
      <c r="BM258" s="232" t="str">
        <f>BM125</f>
        <v>2Q32</v>
      </c>
      <c r="BN258" s="232" t="str">
        <f>BN125</f>
        <v>3Q32</v>
      </c>
      <c r="BO258" s="232" t="str">
        <f>BO125</f>
        <v>4Q32</v>
      </c>
      <c r="BP258" s="232">
        <f>BP125</f>
        <v>2032</v>
      </c>
      <c r="BQ258" s="232" t="str">
        <f>BQ125</f>
        <v>1Q33</v>
      </c>
      <c r="BR258" s="232" t="str">
        <f>BR125</f>
        <v>2Q33</v>
      </c>
      <c r="BS258" s="232" t="str">
        <f>BS125</f>
        <v>3Q33</v>
      </c>
      <c r="BT258" s="232" t="str">
        <f>BT125</f>
        <v>4Q33</v>
      </c>
      <c r="BU258" s="232">
        <f>BU125</f>
        <v>2033</v>
      </c>
      <c r="BV258" s="232" t="str">
        <f>BV125</f>
        <v>1Q34</v>
      </c>
      <c r="BW258" s="232" t="str">
        <f>BW125</f>
        <v>2Q34</v>
      </c>
      <c r="BX258" s="232" t="str">
        <f>BX125</f>
        <v>3Q34</v>
      </c>
      <c r="BY258" s="232" t="str">
        <f>BY125</f>
        <v>4Q34</v>
      </c>
      <c r="BZ258" s="232">
        <f>BZ125</f>
        <v>2034</v>
      </c>
      <c r="CA258" s="232" t="str">
        <f>CA125</f>
        <v>1Q35</v>
      </c>
      <c r="CB258" s="232" t="str">
        <f>CB125</f>
        <v>2Q35</v>
      </c>
      <c r="CC258" s="232" t="str">
        <f>CC125</f>
        <v>3Q35</v>
      </c>
      <c r="CD258" s="232" t="str">
        <f>CD125</f>
        <v>4Q35</v>
      </c>
      <c r="CE258" s="232">
        <f>CE125</f>
        <v>2035</v>
      </c>
      <c r="CF258" s="232" t="str">
        <f>CF125</f>
        <v>1Q36</v>
      </c>
      <c r="CG258" s="232" t="str">
        <f>CG125</f>
        <v>2Q36</v>
      </c>
      <c r="CH258" s="232" t="str">
        <f>CH125</f>
        <v>3Q36</v>
      </c>
      <c r="CI258" s="232" t="str">
        <f>CI125</f>
        <v>4Q36</v>
      </c>
      <c r="CJ258" s="232">
        <f>CJ125</f>
        <v>2036</v>
      </c>
      <c r="CK258" s="232" t="str">
        <f>CK125</f>
        <v>1Q37</v>
      </c>
      <c r="CL258" s="232" t="str">
        <f>CL125</f>
        <v>2Q37</v>
      </c>
      <c r="CM258" s="232" t="str">
        <f>CM125</f>
        <v>3Q37</v>
      </c>
      <c r="CN258" s="232" t="str">
        <f>CN125</f>
        <v>4Q37</v>
      </c>
      <c r="CO258" s="232">
        <f>CO125</f>
        <v>2037</v>
      </c>
      <c r="CP258" s="232" t="str">
        <f>CP125</f>
        <v>1Q38</v>
      </c>
      <c r="CQ258" s="232" t="str">
        <f>CQ125</f>
        <v>2Q38</v>
      </c>
      <c r="CR258" s="232" t="str">
        <f>CR125</f>
        <v>3Q38</v>
      </c>
      <c r="CS258" s="232" t="str">
        <f>CS125</f>
        <v>4Q38</v>
      </c>
      <c r="CT258" s="232">
        <f>CT125</f>
        <v>2038</v>
      </c>
      <c r="CU258" s="232" t="str">
        <f>CU125</f>
        <v>1Q39</v>
      </c>
      <c r="CV258" s="232" t="str">
        <f>CV125</f>
        <v>2Q39</v>
      </c>
      <c r="CW258" s="232" t="str">
        <f>CW125</f>
        <v>3Q39</v>
      </c>
      <c r="CX258" s="232" t="str">
        <f>CX125</f>
        <v>4Q39</v>
      </c>
      <c r="CY258" s="232">
        <f>CY125</f>
        <v>2039</v>
      </c>
    </row>
    <row r="259">
      <c r="C259" s="5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  <c r="BA259" s="1" t="n"/>
      <c r="BB259" s="1" t="n"/>
      <c r="BC259" s="1" t="n"/>
      <c r="BD259" s="1" t="n"/>
      <c r="BE259" s="1" t="n"/>
      <c r="BF259" s="1" t="n"/>
      <c r="BG259" s="1" t="n"/>
      <c r="BH259" s="1" t="n"/>
      <c r="BI259" s="1" t="n"/>
      <c r="BJ259" s="1" t="n"/>
      <c r="BK259" s="1" t="n"/>
      <c r="BL259" s="1" t="n"/>
      <c r="BM259" s="1" t="n"/>
      <c r="BN259" s="1" t="n"/>
      <c r="BO259" s="1" t="n"/>
      <c r="BP259" s="1" t="n"/>
      <c r="BQ259" s="1" t="n"/>
      <c r="BR259" s="1" t="n"/>
      <c r="BS259" s="1" t="n"/>
      <c r="BT259" s="1" t="n"/>
      <c r="BU259" s="1" t="n"/>
      <c r="BV259" s="1" t="n"/>
      <c r="BW259" s="1" t="n"/>
      <c r="BX259" s="1" t="n"/>
      <c r="BY259" s="1" t="n"/>
      <c r="BZ259" s="1" t="n"/>
      <c r="CA259" s="1" t="n"/>
      <c r="CB259" s="1" t="n"/>
      <c r="CC259" s="1" t="n"/>
      <c r="CD259" s="1" t="n"/>
      <c r="CE259" s="1" t="n"/>
      <c r="CF259" s="1" t="n"/>
      <c r="CG259" s="1" t="n"/>
      <c r="CH259" s="1" t="n"/>
      <c r="CI259" s="1" t="n"/>
      <c r="CJ259" s="1" t="n"/>
      <c r="CK259" s="1" t="n"/>
      <c r="CL259" s="1" t="n"/>
      <c r="CM259" s="1" t="n"/>
      <c r="CN259" s="1" t="n"/>
      <c r="CO259" s="1" t="n"/>
      <c r="CP259" s="1" t="n"/>
      <c r="CQ259" s="1" t="n"/>
      <c r="CR259" s="1" t="n"/>
      <c r="CS259" s="1" t="n"/>
      <c r="CT259" s="1" t="n"/>
      <c r="CU259" s="1" t="n"/>
      <c r="CV259" s="1" t="n"/>
      <c r="CW259" s="1" t="n"/>
      <c r="CX259" s="1" t="n"/>
      <c r="CY259" s="1" t="n"/>
    </row>
    <row r="260">
      <c r="C260" s="29" t="inlineStr">
        <is>
          <t>Net Income</t>
        </is>
      </c>
      <c r="D260" s="3" t="n"/>
      <c r="E260" s="3">
        <f>E120</f>
        <v>458</v>
      </c>
      <c r="F260" s="3">
        <f>F120</f>
        <v>668</v>
      </c>
      <c r="G260" s="3">
        <f>G120</f>
        <v>780</v>
      </c>
      <c r="H260" s="3">
        <f>SUM(D260:G260)</f>
        <v>1906</v>
      </c>
      <c r="I260" s="3">
        <f>I120</f>
        <v>1530</v>
      </c>
      <c r="J260" s="3">
        <f>J120</f>
        <v>1413</v>
      </c>
      <c r="K260" s="3">
        <f>K120</f>
        <v>1426</v>
      </c>
      <c r="L260" s="3">
        <f>L120</f>
        <v>2120</v>
      </c>
      <c r="M260" s="3">
        <f>SUM(I260:L260)</f>
        <v>6489</v>
      </c>
      <c r="N260" s="3">
        <f>N120</f>
        <v>1537</v>
      </c>
      <c r="O260" s="3">
        <f>O120</f>
        <v>1673</v>
      </c>
      <c r="P260" s="3">
        <f>P120</f>
        <v>2041</v>
      </c>
      <c r="Q260" s="3">
        <f>Q120</f>
        <v>1454</v>
      </c>
      <c r="R260" s="3">
        <f>SUM(N260:Q260)</f>
        <v>6705</v>
      </c>
      <c r="S260" s="3">
        <f>S120</f>
        <v>1943</v>
      </c>
      <c r="T260" s="3">
        <f>T120</f>
        <v>2922</v>
      </c>
      <c r="U260" s="3">
        <f>U120</f>
        <v>2794</v>
      </c>
      <c r="V260" s="3">
        <f>V120</f>
        <v>2676</v>
      </c>
      <c r="W260" s="3">
        <f>SUM(S260:V260)</f>
        <v>10335</v>
      </c>
      <c r="X260" s="3">
        <f>X120</f>
        <v>2856</v>
      </c>
      <c r="Y260" s="3">
        <f>Y120</f>
        <v>2681</v>
      </c>
      <c r="Z260" s="3">
        <f>Z120</f>
        <v>2464</v>
      </c>
      <c r="AA260" s="3">
        <f>AA120</f>
        <v>2791</v>
      </c>
      <c r="AB260" s="3">
        <f>SUM(X260:AA260)</f>
        <v>10792</v>
      </c>
      <c r="AC260" s="3">
        <f>AC120</f>
        <v>2003</v>
      </c>
      <c r="AD260" s="3">
        <f>AD120</f>
        <v>2179</v>
      </c>
      <c r="AE260" s="3">
        <f>AE120</f>
        <v>2300</v>
      </c>
      <c r="AF260" s="3">
        <f>AF120</f>
        <v>2402</v>
      </c>
      <c r="AG260" s="3">
        <f>SUM(AC260:AF260)</f>
        <v>8884</v>
      </c>
      <c r="AH260" s="3">
        <f>AH120</f>
        <v>2549</v>
      </c>
      <c r="AI260" s="3">
        <f>AI120</f>
        <v>3593</v>
      </c>
      <c r="AJ260" s="3">
        <f>AJ120</f>
        <v>135</v>
      </c>
      <c r="AK260" s="3">
        <f>AK120</f>
        <v>351</v>
      </c>
      <c r="AL260" s="3">
        <f>SUM(AH260:AK260)</f>
        <v>6628</v>
      </c>
      <c r="AM260" s="3">
        <f>AM120</f>
        <v>271</v>
      </c>
      <c r="AN260" s="3">
        <f>AN120</f>
        <v>868</v>
      </c>
      <c r="AO260" s="3">
        <f>AO120</f>
        <v>272</v>
      </c>
      <c r="AP260" s="3">
        <f>AP120</f>
        <v>866</v>
      </c>
      <c r="AQ260" s="3">
        <f>SUM(AM260:AP260)</f>
        <v>2277</v>
      </c>
      <c r="AR260" s="3">
        <f>AR120</f>
        <v>786</v>
      </c>
      <c r="AS260" s="3">
        <f>AS120</f>
        <v>2172</v>
      </c>
      <c r="AT260" s="3">
        <f>AT120</f>
        <v>787</v>
      </c>
      <c r="AU260" s="3">
        <f>AU120</f>
        <v>2170</v>
      </c>
      <c r="AV260" s="3">
        <f>SUM(AR260:AU260)</f>
        <v>5915</v>
      </c>
      <c r="AW260" s="3">
        <f>AW120</f>
        <v>2090</v>
      </c>
      <c r="AX260" s="3">
        <f>AX120</f>
        <v>5810</v>
      </c>
      <c r="AY260" s="3">
        <f>AY120</f>
        <v>2091</v>
      </c>
      <c r="AZ260" s="3">
        <f>AZ120</f>
        <v>5808</v>
      </c>
      <c r="BA260" s="3">
        <f>SUM(AW260:AZ260)</f>
        <v>15799</v>
      </c>
      <c r="BB260" s="3">
        <f>BB120</f>
        <v>5728</v>
      </c>
      <c r="BC260" s="3">
        <f>BC120</f>
        <v>15694</v>
      </c>
      <c r="BD260" s="3">
        <f>BD120</f>
        <v>5729</v>
      </c>
      <c r="BE260" s="3">
        <f>BE120</f>
        <v>15692</v>
      </c>
      <c r="BF260" s="3">
        <f>SUM(BB260:BE260)</f>
        <v>42843</v>
      </c>
      <c r="BG260" s="3">
        <f>BG120</f>
        <v>15612</v>
      </c>
      <c r="BH260" s="3">
        <f>BH120</f>
        <v>42738</v>
      </c>
      <c r="BI260" s="3">
        <f>BI120</f>
        <v>15613</v>
      </c>
      <c r="BJ260" s="3">
        <f>BJ120</f>
        <v>42736</v>
      </c>
      <c r="BK260" s="3">
        <f>SUM(BG260:BJ260)</f>
        <v>116699</v>
      </c>
      <c r="BL260" s="3">
        <f>BL120</f>
        <v>42656</v>
      </c>
      <c r="BM260" s="3">
        <f>BM120</f>
        <v>116594</v>
      </c>
      <c r="BN260" s="3">
        <f>BN120</f>
        <v>42657</v>
      </c>
      <c r="BO260" s="3">
        <f>BO120</f>
        <v>116592</v>
      </c>
      <c r="BP260" s="3">
        <f>SUM(BL260:BO260)</f>
        <v>318499</v>
      </c>
      <c r="BQ260" s="3">
        <f>BQ120</f>
        <v>116512</v>
      </c>
      <c r="BR260" s="3">
        <f>BR120</f>
        <v>318394</v>
      </c>
      <c r="BS260" s="3">
        <f>BS120</f>
        <v>116513</v>
      </c>
      <c r="BT260" s="3">
        <f>BT120</f>
        <v>318392</v>
      </c>
      <c r="BU260" s="3">
        <f>SUM(BQ260:BT260)</f>
        <v>869811</v>
      </c>
      <c r="BV260" s="3">
        <f>BV120</f>
        <v>318312</v>
      </c>
      <c r="BW260" s="3">
        <f>BW120</f>
        <v>869706</v>
      </c>
      <c r="BX260" s="3">
        <f>BX120</f>
        <v>318313</v>
      </c>
      <c r="BY260" s="3">
        <f>BY120</f>
        <v>869704</v>
      </c>
      <c r="BZ260" s="3">
        <f>SUM(BV260:BY260)</f>
        <v>2376035</v>
      </c>
      <c r="CA260" s="3">
        <f>CA120</f>
        <v>869624</v>
      </c>
      <c r="CB260" s="3">
        <f>CB120</f>
        <v>2375930</v>
      </c>
      <c r="CC260" s="3">
        <f>CC120</f>
        <v>869625</v>
      </c>
      <c r="CD260" s="3">
        <f>CD120</f>
        <v>2375928</v>
      </c>
      <c r="CE260" s="3">
        <f>SUM(CA260:CD260)</f>
        <v>6491107</v>
      </c>
      <c r="CF260" s="3">
        <f>CF120</f>
        <v>2375848</v>
      </c>
      <c r="CG260" s="3">
        <f>CG120</f>
        <v>6491002</v>
      </c>
      <c r="CH260" s="3">
        <f>CH120</f>
        <v>2375849</v>
      </c>
      <c r="CI260" s="3">
        <f>CI120</f>
        <v>6491000</v>
      </c>
      <c r="CJ260" s="3">
        <f>SUM(CF260:CI260)</f>
        <v>17733699</v>
      </c>
      <c r="CK260" s="3">
        <f>CK120</f>
        <v>6490920</v>
      </c>
      <c r="CL260" s="3">
        <f>CL120</f>
        <v>17733594</v>
      </c>
      <c r="CM260" s="3">
        <f>CM120</f>
        <v>6490921</v>
      </c>
      <c r="CN260" s="3">
        <f>CN120</f>
        <v>17733592</v>
      </c>
      <c r="CO260" s="3">
        <f>SUM(CK260:CN260)</f>
        <v>48449027</v>
      </c>
      <c r="CP260" s="3">
        <f>CP120</f>
        <v>17733512</v>
      </c>
      <c r="CQ260" s="3">
        <f>CQ120</f>
        <v>48448922</v>
      </c>
      <c r="CR260" s="3">
        <f>CR120</f>
        <v>17733513</v>
      </c>
      <c r="CS260" s="3">
        <f>CS120</f>
        <v>48448920</v>
      </c>
      <c r="CT260" s="3">
        <f>SUM(CP260:CS260)</f>
        <v>132364867</v>
      </c>
      <c r="CU260" s="3">
        <f>CU120</f>
        <v>48448840</v>
      </c>
      <c r="CV260" s="3">
        <f>CV120</f>
        <v>132364762</v>
      </c>
      <c r="CW260" s="3">
        <f>CW120</f>
        <v>48448841</v>
      </c>
      <c r="CX260" s="3">
        <f>CX120</f>
        <v>132364760</v>
      </c>
      <c r="CY260" s="3">
        <f>SUM(CU260:CX260)</f>
        <v>361627203</v>
      </c>
    </row>
    <row r="261">
      <c r="C261" s="29" t="inlineStr">
        <is>
          <t>Depreciation &amp; amortization</t>
        </is>
      </c>
      <c r="D261" s="3" t="n"/>
      <c r="E261" s="3">
        <f>-E53</f>
        <v>608</v>
      </c>
      <c r="F261" s="3">
        <f>-F53</f>
        <v>593</v>
      </c>
      <c r="G261" s="3">
        <f>-G53</f>
        <v>617</v>
      </c>
      <c r="H261" s="3">
        <f>SUM(D261:G261)</f>
        <v>1818</v>
      </c>
      <c r="I261" s="3">
        <f>-I53</f>
        <v>586</v>
      </c>
      <c r="J261" s="3">
        <f>-J53</f>
        <v>587</v>
      </c>
      <c r="K261" s="3">
        <f>-K53</f>
        <v>593</v>
      </c>
      <c r="L261" s="3">
        <f>-L53</f>
        <v>586</v>
      </c>
      <c r="M261" s="3">
        <f>SUM(I261:L261)</f>
        <v>2352</v>
      </c>
      <c r="N261" s="3">
        <f>-N53</f>
        <v>557</v>
      </c>
      <c r="O261" s="3">
        <f>-O53</f>
        <v>553</v>
      </c>
      <c r="P261" s="3">
        <f>-P53</f>
        <v>551</v>
      </c>
      <c r="Q261" s="3">
        <f>-Q53</f>
        <v>558</v>
      </c>
      <c r="R261" s="3">
        <f>SUM(N261:Q261)</f>
        <v>2219</v>
      </c>
      <c r="S261" s="3">
        <f>-S53</f>
        <v>532</v>
      </c>
      <c r="T261" s="3">
        <f>-T53</f>
        <v>542</v>
      </c>
      <c r="U261" s="3">
        <f>-U53</f>
        <v>525</v>
      </c>
      <c r="V261" s="3">
        <f>-V53</f>
        <v>545</v>
      </c>
      <c r="W261" s="3">
        <f>SUM(S261:V261)</f>
        <v>2144</v>
      </c>
      <c r="X261" s="3">
        <f>-X53</f>
        <v>524</v>
      </c>
      <c r="Y261" s="3">
        <f>-Y53</f>
        <v>531</v>
      </c>
      <c r="Z261" s="3">
        <f>-Z53</f>
        <v>543</v>
      </c>
      <c r="AA261" s="3">
        <f>-AA53</f>
        <v>555</v>
      </c>
      <c r="AB261" s="3">
        <f>SUM(X261:AA261)</f>
        <v>2153</v>
      </c>
      <c r="AC261" s="3">
        <f>-AC53</f>
        <v>540</v>
      </c>
      <c r="AD261" s="3">
        <f>-AD53</f>
        <v>554</v>
      </c>
      <c r="AE261" s="3">
        <f>-AE53</f>
        <v>570</v>
      </c>
      <c r="AF261" s="3">
        <f>-AF53</f>
        <v>598</v>
      </c>
      <c r="AG261" s="3">
        <f>SUM(AC261:AF261)</f>
        <v>2262</v>
      </c>
      <c r="AH261" s="3">
        <f>-AH53</f>
        <v>595</v>
      </c>
      <c r="AI261" s="3">
        <f>-AI53</f>
        <v>616</v>
      </c>
      <c r="AJ261" s="3">
        <f>-AJ53</f>
        <v>0</v>
      </c>
      <c r="AK261" s="3">
        <f>-AK53</f>
        <v>0</v>
      </c>
      <c r="AL261" s="3">
        <f>SUM(AH261:AK261)</f>
        <v>1211</v>
      </c>
      <c r="AM261" s="3">
        <f>-AM53</f>
        <v>0</v>
      </c>
      <c r="AN261" s="3">
        <f>-AN53</f>
        <v>0</v>
      </c>
      <c r="AO261" s="3">
        <f>-AO53</f>
        <v>0</v>
      </c>
      <c r="AP261" s="3">
        <f>-AP53</f>
        <v>0</v>
      </c>
      <c r="AQ261" s="3">
        <f>SUM(AM261:AP261)</f>
        <v>0</v>
      </c>
      <c r="AR261" s="3">
        <f>-AR53</f>
        <v>0</v>
      </c>
      <c r="AS261" s="3">
        <f>-AS53</f>
        <v>0</v>
      </c>
      <c r="AT261" s="3">
        <f>-AT53</f>
        <v>0</v>
      </c>
      <c r="AU261" s="3">
        <f>-AU53</f>
        <v>0</v>
      </c>
      <c r="AV261" s="3">
        <f>SUM(AR261:AU261)</f>
        <v>0</v>
      </c>
      <c r="AW261" s="3">
        <f>-AW53</f>
        <v>0</v>
      </c>
      <c r="AX261" s="3">
        <f>-AX53</f>
        <v>0</v>
      </c>
      <c r="AY261" s="3">
        <f>-AY53</f>
        <v>0</v>
      </c>
      <c r="AZ261" s="3">
        <f>-AZ53</f>
        <v>0</v>
      </c>
      <c r="BA261" s="3">
        <f>SUM(AW261:AZ261)</f>
        <v>0</v>
      </c>
      <c r="BB261" s="3">
        <f>-BB53</f>
        <v>0</v>
      </c>
      <c r="BC261" s="3">
        <f>-BC53</f>
        <v>0</v>
      </c>
      <c r="BD261" s="3">
        <f>-BD53</f>
        <v>0</v>
      </c>
      <c r="BE261" s="3">
        <f>-BE53</f>
        <v>0</v>
      </c>
      <c r="BF261" s="3">
        <f>SUM(BB261:BE261)</f>
        <v>0</v>
      </c>
      <c r="BG261" s="3">
        <f>-BG53</f>
        <v>0</v>
      </c>
      <c r="BH261" s="3">
        <f>-BH53</f>
        <v>0</v>
      </c>
      <c r="BI261" s="3">
        <f>-BI53</f>
        <v>0</v>
      </c>
      <c r="BJ261" s="3">
        <f>-BJ53</f>
        <v>0</v>
      </c>
      <c r="BK261" s="3">
        <f>SUM(BG261:BJ261)</f>
        <v>0</v>
      </c>
      <c r="BL261" s="3">
        <f>-BL53</f>
        <v>0</v>
      </c>
      <c r="BM261" s="3">
        <f>-BM53</f>
        <v>0</v>
      </c>
      <c r="BN261" s="3">
        <f>-BN53</f>
        <v>0</v>
      </c>
      <c r="BO261" s="3">
        <f>-BO53</f>
        <v>0</v>
      </c>
      <c r="BP261" s="3">
        <f>SUM(BL261:BO261)</f>
        <v>0</v>
      </c>
      <c r="BQ261" s="3">
        <f>-BQ53</f>
        <v>0</v>
      </c>
      <c r="BR261" s="3">
        <f>-BR53</f>
        <v>0</v>
      </c>
      <c r="BS261" s="3">
        <f>-BS53</f>
        <v>0</v>
      </c>
      <c r="BT261" s="3">
        <f>-BT53</f>
        <v>0</v>
      </c>
      <c r="BU261" s="3">
        <f>SUM(BQ261:BT261)</f>
        <v>0</v>
      </c>
      <c r="BV261" s="3">
        <f>-BV53</f>
        <v>0</v>
      </c>
      <c r="BW261" s="3">
        <f>-BW53</f>
        <v>0</v>
      </c>
      <c r="BX261" s="3">
        <f>-BX53</f>
        <v>0</v>
      </c>
      <c r="BY261" s="3">
        <f>-BY53</f>
        <v>0</v>
      </c>
      <c r="BZ261" s="3">
        <f>SUM(BV261:BY261)</f>
        <v>0</v>
      </c>
      <c r="CA261" s="3">
        <f>-CA53</f>
        <v>0</v>
      </c>
      <c r="CB261" s="3">
        <f>-CB53</f>
        <v>0</v>
      </c>
      <c r="CC261" s="3">
        <f>-CC53</f>
        <v>0</v>
      </c>
      <c r="CD261" s="3">
        <f>-CD53</f>
        <v>0</v>
      </c>
      <c r="CE261" s="3">
        <f>SUM(CA261:CD261)</f>
        <v>0</v>
      </c>
      <c r="CF261" s="3">
        <f>-CF53</f>
        <v>0</v>
      </c>
      <c r="CG261" s="3">
        <f>-CG53</f>
        <v>0</v>
      </c>
      <c r="CH261" s="3">
        <f>-CH53</f>
        <v>0</v>
      </c>
      <c r="CI261" s="3">
        <f>-CI53</f>
        <v>0</v>
      </c>
      <c r="CJ261" s="3">
        <f>SUM(CF261:CI261)</f>
        <v>0</v>
      </c>
      <c r="CK261" s="3">
        <f>-CK53</f>
        <v>0</v>
      </c>
      <c r="CL261" s="3">
        <f>-CL53</f>
        <v>0</v>
      </c>
      <c r="CM261" s="3">
        <f>-CM53</f>
        <v>0</v>
      </c>
      <c r="CN261" s="3">
        <f>-CN53</f>
        <v>0</v>
      </c>
      <c r="CO261" s="3">
        <f>SUM(CK261:CN261)</f>
        <v>0</v>
      </c>
      <c r="CP261" s="3">
        <f>-CP53</f>
        <v>0</v>
      </c>
      <c r="CQ261" s="3">
        <f>-CQ53</f>
        <v>0</v>
      </c>
      <c r="CR261" s="3">
        <f>-CR53</f>
        <v>0</v>
      </c>
      <c r="CS261" s="3">
        <f>-CS53</f>
        <v>0</v>
      </c>
      <c r="CT261" s="3">
        <f>SUM(CP261:CS261)</f>
        <v>0</v>
      </c>
      <c r="CU261" s="3">
        <f>-CU53</f>
        <v>0</v>
      </c>
      <c r="CV261" s="3">
        <f>-CV53</f>
        <v>0</v>
      </c>
      <c r="CW261" s="3">
        <f>-CW53</f>
        <v>0</v>
      </c>
      <c r="CX261" s="3">
        <f>-CX53</f>
        <v>0</v>
      </c>
      <c r="CY261" s="3">
        <f>SUM(CU261:CX261)</f>
        <v>0</v>
      </c>
    </row>
    <row r="262">
      <c r="C262" s="29" t="inlineStr">
        <is>
          <t xml:space="preserve">Changes in working capital </t>
        </is>
      </c>
      <c r="D262" s="3" t="n"/>
      <c r="E262" s="3">
        <f>SUM(E263:E272)</f>
        <v>100</v>
      </c>
      <c r="F262" s="3">
        <f>SUM(F263:F272)</f>
        <v>-12413</v>
      </c>
      <c r="G262" s="3">
        <f>SUM(G263:G272)</f>
        <v>701</v>
      </c>
      <c r="H262" s="3">
        <f>SUM(D262:G262)</f>
        <v>-11612</v>
      </c>
      <c r="I262" s="3">
        <f>SUM(I263:I272)</f>
        <v>-926</v>
      </c>
      <c r="J262" s="3">
        <f>SUM(J263:J272)</f>
        <v>497</v>
      </c>
      <c r="K262" s="3">
        <f>SUM(K263:K272)</f>
        <v>-113</v>
      </c>
      <c r="L262" s="3">
        <f>SUM(L263:L272)</f>
        <v>-9</v>
      </c>
      <c r="M262" s="3">
        <f>SUM(I262:L262)</f>
        <v>-551</v>
      </c>
      <c r="N262" s="3">
        <f>SUM(N263:N272)</f>
        <v>-2709</v>
      </c>
      <c r="O262" s="3">
        <f>SUM(O263:O272)</f>
        <v>1071</v>
      </c>
      <c r="P262" s="3">
        <f>SUM(P263:P272)</f>
        <v>703</v>
      </c>
      <c r="Q262" s="3">
        <f>SUM(Q263:Q272)</f>
        <v>516</v>
      </c>
      <c r="R262" s="3">
        <f>SUM(N262:Q262)</f>
        <v>-419</v>
      </c>
      <c r="S262" s="3">
        <f>SUM(S263:S272)</f>
        <v>-2665</v>
      </c>
      <c r="T262" s="3">
        <f>SUM(T263:T272)</f>
        <v>181</v>
      </c>
      <c r="U262" s="3">
        <f>SUM(U263:U272)</f>
        <v>-2203</v>
      </c>
      <c r="V262" s="3">
        <f>SUM(V263:V272)</f>
        <v>2567</v>
      </c>
      <c r="W262" s="3">
        <f>SUM(S262:V262)</f>
        <v>-2120</v>
      </c>
      <c r="X262" s="3">
        <f>SUM(X263:X272)</f>
        <v>-707</v>
      </c>
      <c r="Y262" s="3">
        <f>SUM(Y263:Y272)</f>
        <v>690</v>
      </c>
      <c r="Z262" s="3">
        <f>SUM(Z263:Z272)</f>
        <v>-541</v>
      </c>
      <c r="AA262" s="3">
        <f>SUM(AA263:AA272)</f>
        <v>1628</v>
      </c>
      <c r="AB262" s="3">
        <f>SUM(X262:AA262)</f>
        <v>1070</v>
      </c>
      <c r="AC262" s="3">
        <f>SUM(AC263:AC272)</f>
        <v>-2052</v>
      </c>
      <c r="AD262" s="3">
        <f>SUM(AD263:AD272)</f>
        <v>452</v>
      </c>
      <c r="AE262" s="3">
        <f>SUM(AE263:AE272)</f>
        <v>-908</v>
      </c>
      <c r="AF262" s="3">
        <f>SUM(AF263:AF272)</f>
        <v>1506</v>
      </c>
      <c r="AG262" s="3">
        <f>SUM(AC262:AF262)</f>
        <v>-1002</v>
      </c>
      <c r="AH262" s="3">
        <f>SUM(AH263:AH272)</f>
        <v>-2437</v>
      </c>
      <c r="AI262" s="3">
        <f>SUM(AI263:AI272)</f>
        <v>-36</v>
      </c>
      <c r="AJ262" s="3">
        <f>SUM(AJ263:AJ272)</f>
        <v>15529</v>
      </c>
      <c r="AK262" s="3">
        <f>SUM(AK263:AK272)</f>
        <v>0</v>
      </c>
      <c r="AL262" s="3">
        <f>SUM(AH262:AK262)</f>
        <v>13056</v>
      </c>
      <c r="AM262" s="3" t="e">
        <f>SUM(AM263:AM272)</f>
        <v>#DIV/0!</v>
      </c>
      <c r="AN262" s="3" t="e">
        <f>SUM(AN263:AN272)</f>
        <v>#DIV/0!</v>
      </c>
      <c r="AO262" s="3" t="e">
        <f>SUM(AO263:AO272)</f>
        <v>#DIV/0!</v>
      </c>
      <c r="AP262" s="3" t="e">
        <f>SUM(AP263:AP272)</f>
        <v>#DIV/0!</v>
      </c>
      <c r="AQ262" s="3" t="e">
        <f>SUM(AM262:AP262)</f>
        <v>#DIV/0!</v>
      </c>
      <c r="AR262" s="3" t="e">
        <f>SUM(AR263:AR272)</f>
        <v>#DIV/0!</v>
      </c>
      <c r="AS262" s="3" t="e">
        <f>SUM(AS263:AS272)</f>
        <v>#DIV/0!</v>
      </c>
      <c r="AT262" s="3" t="e">
        <f>SUM(AT263:AT272)</f>
        <v>#DIV/0!</v>
      </c>
      <c r="AU262" s="3" t="e">
        <f>SUM(AU263:AU272)</f>
        <v>#DIV/0!</v>
      </c>
      <c r="AV262" s="3" t="e">
        <f>SUM(AR262:AU262)</f>
        <v>#DIV/0!</v>
      </c>
      <c r="AW262" s="3" t="e">
        <f>SUM(AW263:AW272)</f>
        <v>#DIV/0!</v>
      </c>
      <c r="AX262" s="3" t="e">
        <f>SUM(AX263:AX272)</f>
        <v>#DIV/0!</v>
      </c>
      <c r="AY262" s="3" t="e">
        <f>SUM(AY263:AY272)</f>
        <v>#DIV/0!</v>
      </c>
      <c r="AZ262" s="3" t="e">
        <f>SUM(AZ263:AZ272)</f>
        <v>#DIV/0!</v>
      </c>
      <c r="BA262" s="3" t="e">
        <f>SUM(AW262:AZ262)</f>
        <v>#DIV/0!</v>
      </c>
      <c r="BB262" s="3" t="e">
        <f>SUM(BB263:BB272)</f>
        <v>#DIV/0!</v>
      </c>
      <c r="BC262" s="3" t="e">
        <f>SUM(BC263:BC272)</f>
        <v>#DIV/0!</v>
      </c>
      <c r="BD262" s="3" t="e">
        <f>SUM(BD263:BD272)</f>
        <v>#DIV/0!</v>
      </c>
      <c r="BE262" s="3" t="e">
        <f>SUM(BE263:BE272)</f>
        <v>#DIV/0!</v>
      </c>
      <c r="BF262" s="3" t="e">
        <f>SUM(BB262:BE262)</f>
        <v>#DIV/0!</v>
      </c>
      <c r="BG262" s="3" t="e">
        <f>SUM(BG263:BG272)</f>
        <v>#DIV/0!</v>
      </c>
      <c r="BH262" s="3" t="e">
        <f>SUM(BH263:BH272)</f>
        <v>#DIV/0!</v>
      </c>
      <c r="BI262" s="3" t="e">
        <f>SUM(BI263:BI272)</f>
        <v>#DIV/0!</v>
      </c>
      <c r="BJ262" s="3" t="e">
        <f>SUM(BJ263:BJ272)</f>
        <v>#DIV/0!</v>
      </c>
      <c r="BK262" s="3" t="e">
        <f>SUM(BG262:BJ262)</f>
        <v>#DIV/0!</v>
      </c>
      <c r="BL262" s="3" t="e">
        <f>SUM(BL263:BL272)</f>
        <v>#DIV/0!</v>
      </c>
      <c r="BM262" s="3" t="e">
        <f>SUM(BM263:BM272)</f>
        <v>#DIV/0!</v>
      </c>
      <c r="BN262" s="3" t="e">
        <f>SUM(BN263:BN272)</f>
        <v>#DIV/0!</v>
      </c>
      <c r="BO262" s="3" t="e">
        <f>SUM(BO263:BO272)</f>
        <v>#DIV/0!</v>
      </c>
      <c r="BP262" s="3" t="e">
        <f>SUM(BL262:BO262)</f>
        <v>#DIV/0!</v>
      </c>
      <c r="BQ262" s="3" t="e">
        <f>SUM(BQ263:BQ272)</f>
        <v>#DIV/0!</v>
      </c>
      <c r="BR262" s="3" t="e">
        <f>SUM(BR263:BR272)</f>
        <v>#DIV/0!</v>
      </c>
      <c r="BS262" s="3" t="e">
        <f>SUM(BS263:BS272)</f>
        <v>#DIV/0!</v>
      </c>
      <c r="BT262" s="3" t="e">
        <f>SUM(BT263:BT272)</f>
        <v>#DIV/0!</v>
      </c>
      <c r="BU262" s="3" t="e">
        <f>SUM(BQ262:BT262)</f>
        <v>#DIV/0!</v>
      </c>
      <c r="BV262" s="3" t="e">
        <f>SUM(BV263:BV272)</f>
        <v>#DIV/0!</v>
      </c>
      <c r="BW262" s="3" t="e">
        <f>SUM(BW263:BW272)</f>
        <v>#DIV/0!</v>
      </c>
      <c r="BX262" s="3" t="e">
        <f>SUM(BX263:BX272)</f>
        <v>#DIV/0!</v>
      </c>
      <c r="BY262" s="3" t="e">
        <f>SUM(BY263:BY272)</f>
        <v>#DIV/0!</v>
      </c>
      <c r="BZ262" s="3" t="e">
        <f>SUM(BV262:BY262)</f>
        <v>#DIV/0!</v>
      </c>
      <c r="CA262" s="3" t="e">
        <f>SUM(CA263:CA272)</f>
        <v>#DIV/0!</v>
      </c>
      <c r="CB262" s="3" t="e">
        <f>SUM(CB263:CB272)</f>
        <v>#DIV/0!</v>
      </c>
      <c r="CC262" s="3" t="e">
        <f>SUM(CC263:CC272)</f>
        <v>#DIV/0!</v>
      </c>
      <c r="CD262" s="3" t="e">
        <f>SUM(CD263:CD272)</f>
        <v>#DIV/0!</v>
      </c>
      <c r="CE262" s="3" t="e">
        <f>SUM(CA262:CD262)</f>
        <v>#DIV/0!</v>
      </c>
      <c r="CF262" s="3" t="e">
        <f>SUM(CF263:CF272)</f>
        <v>#DIV/0!</v>
      </c>
      <c r="CG262" s="3" t="e">
        <f>SUM(CG263:CG272)</f>
        <v>#DIV/0!</v>
      </c>
      <c r="CH262" s="3" t="e">
        <f>SUM(CH263:CH272)</f>
        <v>#DIV/0!</v>
      </c>
      <c r="CI262" s="3" t="e">
        <f>SUM(CI263:CI272)</f>
        <v>#DIV/0!</v>
      </c>
      <c r="CJ262" s="3" t="e">
        <f>SUM(CF262:CI262)</f>
        <v>#DIV/0!</v>
      </c>
      <c r="CK262" s="3" t="e">
        <f>SUM(CK263:CK272)</f>
        <v>#DIV/0!</v>
      </c>
      <c r="CL262" s="3" t="e">
        <f>SUM(CL263:CL272)</f>
        <v>#DIV/0!</v>
      </c>
      <c r="CM262" s="3" t="e">
        <f>SUM(CM263:CM272)</f>
        <v>#DIV/0!</v>
      </c>
      <c r="CN262" s="3" t="e">
        <f>SUM(CN263:CN272)</f>
        <v>#DIV/0!</v>
      </c>
      <c r="CO262" s="3" t="e">
        <f>SUM(CK262:CN262)</f>
        <v>#DIV/0!</v>
      </c>
      <c r="CP262" s="3" t="e">
        <f>SUM(CP263:CP272)</f>
        <v>#DIV/0!</v>
      </c>
      <c r="CQ262" s="3" t="e">
        <f>SUM(CQ263:CQ272)</f>
        <v>#DIV/0!</v>
      </c>
      <c r="CR262" s="3" t="e">
        <f>SUM(CR263:CR272)</f>
        <v>#DIV/0!</v>
      </c>
      <c r="CS262" s="3" t="e">
        <f>SUM(CS263:CS272)</f>
        <v>#DIV/0!</v>
      </c>
      <c r="CT262" s="3" t="e">
        <f>SUM(CP262:CS262)</f>
        <v>#DIV/0!</v>
      </c>
      <c r="CU262" s="3" t="e">
        <f>SUM(CU263:CU272)</f>
        <v>#DIV/0!</v>
      </c>
      <c r="CV262" s="3" t="e">
        <f>SUM(CV263:CV272)</f>
        <v>#DIV/0!</v>
      </c>
      <c r="CW262" s="3" t="e">
        <f>SUM(CW263:CW272)</f>
        <v>#DIV/0!</v>
      </c>
      <c r="CX262" s="3" t="e">
        <f>SUM(CX263:CX272)</f>
        <v>#DIV/0!</v>
      </c>
      <c r="CY262" s="3" t="e">
        <f>SUM(CU262:CX262)</f>
        <v>#DIV/0!</v>
      </c>
    </row>
    <row r="263" hidden="1" outlineLevel="1">
      <c r="C263" s="29" t="inlineStr">
        <is>
          <t>Accounts receivable</t>
        </is>
      </c>
      <c r="D263" s="3" t="n"/>
      <c r="E263" s="3">
        <f>(E128-D128)*-1</f>
        <v>700</v>
      </c>
      <c r="F263" s="3">
        <f>(F128-E128)*-1</f>
        <v>165</v>
      </c>
      <c r="G263" s="3">
        <f>(G128-F128)*-1</f>
        <v>-348</v>
      </c>
      <c r="H263" s="3">
        <f>SUM(D263:G263)</f>
        <v>517</v>
      </c>
      <c r="I263" s="3">
        <f>(I128-H128)*-1</f>
        <v>-638</v>
      </c>
      <c r="J263" s="3">
        <f>(J128-I128)*-1</f>
        <v>115</v>
      </c>
      <c r="K263" s="3">
        <f>(K128-J128)*-1</f>
        <v>193</v>
      </c>
      <c r="L263" s="3">
        <f>(L128-K128)*-1</f>
        <v>-830</v>
      </c>
      <c r="M263" s="3">
        <f>SUM(I263:L263)</f>
        <v>-1160</v>
      </c>
      <c r="N263" s="3">
        <f>(N128-M128)*-1</f>
        <v>-658</v>
      </c>
      <c r="O263" s="3">
        <f>(O128-N128)*-1</f>
        <v>742</v>
      </c>
      <c r="P263" s="3">
        <f>(P128-O128)*-1</f>
        <v>235</v>
      </c>
      <c r="Q263" s="3">
        <f>(Q128-P128)*-1</f>
        <v>-698</v>
      </c>
      <c r="R263" s="3">
        <f>SUM(N263:Q263)</f>
        <v>-379</v>
      </c>
      <c r="S263" s="3">
        <f>(S128-R128)*-1</f>
        <v>-374</v>
      </c>
      <c r="T263" s="3">
        <f>(T128-S128)*-1</f>
        <v>-186</v>
      </c>
      <c r="U263" s="3">
        <f>(U128-T128)*-1</f>
        <v>282</v>
      </c>
      <c r="V263" s="3">
        <f>(V128-U128)*-1</f>
        <v>-176</v>
      </c>
      <c r="W263" s="3">
        <f>SUM(S263:V263)</f>
        <v>-454</v>
      </c>
      <c r="X263" s="3">
        <f>(X128-W128)*-1</f>
        <v>14</v>
      </c>
      <c r="Y263" s="3">
        <f>(Y128-X128)*-1</f>
        <v>-125</v>
      </c>
      <c r="Z263" s="3">
        <f>(Z128-Y128)*-1</f>
        <v>335</v>
      </c>
      <c r="AA263" s="3">
        <f>(AA128-Z128)*-1</f>
        <v>-196</v>
      </c>
      <c r="AB263" s="3">
        <f>SUM(X263:AA263)</f>
        <v>28</v>
      </c>
      <c r="AC263" s="3">
        <f>(AC128-AB128)*-1</f>
        <v>166</v>
      </c>
      <c r="AD263" s="3">
        <f>(AD128-AC128)*-1</f>
        <v>-588</v>
      </c>
      <c r="AE263" s="3">
        <f>(AE128-AD128)*-1</f>
        <v>-442</v>
      </c>
      <c r="AF263" s="3">
        <f>(AF128-AE128)*-1</f>
        <v>-774</v>
      </c>
      <c r="AG263" s="3">
        <f>SUM(AC263:AF263)</f>
        <v>-1638</v>
      </c>
      <c r="AH263" s="3">
        <f>(AH128-AG128)*-1</f>
        <v>-527</v>
      </c>
      <c r="AI263" s="3">
        <f>(AI128-AH128)*-1</f>
        <v>-1741</v>
      </c>
      <c r="AJ263" s="3">
        <f>(AJ128-AI128)*-1</f>
        <v>13188</v>
      </c>
      <c r="AK263" s="3">
        <f>(AK128-AJ128)*-1</f>
        <v>0</v>
      </c>
      <c r="AL263" s="3">
        <f>SUM(AH263:AK263)</f>
        <v>10920</v>
      </c>
      <c r="AM263" s="3">
        <f>(AM128-AL128)*-1</f>
        <v>0</v>
      </c>
      <c r="AN263" s="3">
        <f>(AN128-AM128)*-1</f>
        <v>0</v>
      </c>
      <c r="AO263" s="3">
        <f>(AO128-AN128)*-1</f>
        <v>0</v>
      </c>
      <c r="AP263" s="3">
        <f>(AP128-AO128)*-1</f>
        <v>0</v>
      </c>
      <c r="AQ263" s="3">
        <f>SUM(AM263:AP263)</f>
        <v>0</v>
      </c>
      <c r="AR263" s="3">
        <f>(AR128-AQ128)*-1</f>
        <v>0</v>
      </c>
      <c r="AS263" s="3">
        <f>(AS128-AR128)*-1</f>
        <v>0</v>
      </c>
      <c r="AT263" s="3">
        <f>(AT128-AS128)*-1</f>
        <v>0</v>
      </c>
      <c r="AU263" s="3">
        <f>(AU128-AT128)*-1</f>
        <v>0</v>
      </c>
      <c r="AV263" s="3">
        <f>SUM(AR263:AU263)</f>
        <v>0</v>
      </c>
      <c r="AW263" s="3">
        <f>(AW128-AV128)*-1</f>
        <v>0</v>
      </c>
      <c r="AX263" s="3">
        <f>(AX128-AW128)*-1</f>
        <v>0</v>
      </c>
      <c r="AY263" s="3">
        <f>(AY128-AX128)*-1</f>
        <v>0</v>
      </c>
      <c r="AZ263" s="3">
        <f>(AZ128-AY128)*-1</f>
        <v>0</v>
      </c>
      <c r="BA263" s="3">
        <f>SUM(AW263:AZ263)</f>
        <v>0</v>
      </c>
      <c r="BB263" s="3">
        <f>(BB128-BA128)*-1</f>
        <v>0</v>
      </c>
      <c r="BC263" s="3">
        <f>(BC128-BB128)*-1</f>
        <v>0</v>
      </c>
      <c r="BD263" s="3">
        <f>(BD128-BC128)*-1</f>
        <v>0</v>
      </c>
      <c r="BE263" s="3">
        <f>(BE128-BD128)*-1</f>
        <v>0</v>
      </c>
      <c r="BF263" s="3">
        <f>SUM(BB263:BE263)</f>
        <v>0</v>
      </c>
      <c r="BG263" s="3">
        <f>(BG128-BF128)*-1</f>
        <v>0</v>
      </c>
      <c r="BH263" s="3">
        <f>(BH128-BG128)*-1</f>
        <v>0</v>
      </c>
      <c r="BI263" s="3">
        <f>(BI128-BH128)*-1</f>
        <v>0</v>
      </c>
      <c r="BJ263" s="3">
        <f>(BJ128-BI128)*-1</f>
        <v>0</v>
      </c>
      <c r="BK263" s="3">
        <f>SUM(BG263:BJ263)</f>
        <v>0</v>
      </c>
      <c r="BL263" s="3">
        <f>(BL128-BK128)*-1</f>
        <v>0</v>
      </c>
      <c r="BM263" s="3">
        <f>(BM128-BL128)*-1</f>
        <v>0</v>
      </c>
      <c r="BN263" s="3">
        <f>(BN128-BM128)*-1</f>
        <v>0</v>
      </c>
      <c r="BO263" s="3">
        <f>(BO128-BN128)*-1</f>
        <v>0</v>
      </c>
      <c r="BP263" s="3">
        <f>SUM(BL263:BO263)</f>
        <v>0</v>
      </c>
      <c r="BQ263" s="3">
        <f>(BQ128-BP128)*-1</f>
        <v>0</v>
      </c>
      <c r="BR263" s="3">
        <f>(BR128-BQ128)*-1</f>
        <v>0</v>
      </c>
      <c r="BS263" s="3">
        <f>(BS128-BR128)*-1</f>
        <v>0</v>
      </c>
      <c r="BT263" s="3">
        <f>(BT128-BS128)*-1</f>
        <v>0</v>
      </c>
      <c r="BU263" s="3">
        <f>SUM(BQ263:BT263)</f>
        <v>0</v>
      </c>
      <c r="BV263" s="3">
        <f>(BV128-BU128)*-1</f>
        <v>0</v>
      </c>
      <c r="BW263" s="3">
        <f>(BW128-BV128)*-1</f>
        <v>0</v>
      </c>
      <c r="BX263" s="3">
        <f>(BX128-BW128)*-1</f>
        <v>0</v>
      </c>
      <c r="BY263" s="3">
        <f>(BY128-BX128)*-1</f>
        <v>0</v>
      </c>
      <c r="BZ263" s="3">
        <f>SUM(BV263:BY263)</f>
        <v>0</v>
      </c>
      <c r="CA263" s="3">
        <f>(CA128-BZ128)*-1</f>
        <v>0</v>
      </c>
      <c r="CB263" s="3">
        <f>(CB128-CA128)*-1</f>
        <v>0</v>
      </c>
      <c r="CC263" s="3">
        <f>(CC128-CB128)*-1</f>
        <v>0</v>
      </c>
      <c r="CD263" s="3">
        <f>(CD128-CC128)*-1</f>
        <v>0</v>
      </c>
      <c r="CE263" s="3">
        <f>SUM(CA263:CD263)</f>
        <v>0</v>
      </c>
      <c r="CF263" s="3">
        <f>(CF128-CE128)*-1</f>
        <v>0</v>
      </c>
      <c r="CG263" s="3">
        <f>(CG128-CF128)*-1</f>
        <v>0</v>
      </c>
      <c r="CH263" s="3">
        <f>(CH128-CG128)*-1</f>
        <v>0</v>
      </c>
      <c r="CI263" s="3">
        <f>(CI128-CH128)*-1</f>
        <v>0</v>
      </c>
      <c r="CJ263" s="3">
        <f>SUM(CF263:CI263)</f>
        <v>0</v>
      </c>
      <c r="CK263" s="3">
        <f>(CK128-CJ128)*-1</f>
        <v>0</v>
      </c>
      <c r="CL263" s="3">
        <f>(CL128-CK128)*-1</f>
        <v>0</v>
      </c>
      <c r="CM263" s="3">
        <f>(CM128-CL128)*-1</f>
        <v>0</v>
      </c>
      <c r="CN263" s="3">
        <f>(CN128-CM128)*-1</f>
        <v>0</v>
      </c>
      <c r="CO263" s="3">
        <f>SUM(CK263:CN263)</f>
        <v>0</v>
      </c>
      <c r="CP263" s="3">
        <f>(CP128-CO128)*-1</f>
        <v>0</v>
      </c>
      <c r="CQ263" s="3">
        <f>(CQ128-CP128)*-1</f>
        <v>0</v>
      </c>
      <c r="CR263" s="3">
        <f>(CR128-CQ128)*-1</f>
        <v>0</v>
      </c>
      <c r="CS263" s="3">
        <f>(CS128-CR128)*-1</f>
        <v>0</v>
      </c>
      <c r="CT263" s="3">
        <f>SUM(CP263:CS263)</f>
        <v>0</v>
      </c>
      <c r="CU263" s="3">
        <f>(CU128-CT128)*-1</f>
        <v>0</v>
      </c>
      <c r="CV263" s="3">
        <f>(CV128-CU128)*-1</f>
        <v>0</v>
      </c>
      <c r="CW263" s="3">
        <f>(CW128-CV128)*-1</f>
        <v>0</v>
      </c>
      <c r="CX263" s="3">
        <f>(CX128-CW128)*-1</f>
        <v>0</v>
      </c>
      <c r="CY263" s="3">
        <f>SUM(CU263:CX263)</f>
        <v>0</v>
      </c>
    </row>
    <row r="264" hidden="1" outlineLevel="1">
      <c r="C264" s="29" t="inlineStr">
        <is>
          <t>Inventories</t>
        </is>
      </c>
      <c r="D264" s="3" t="n"/>
      <c r="E264" s="3">
        <f>(E132-D132)*-1</f>
        <v>377</v>
      </c>
      <c r="F264" s="3">
        <f>(F132-E132)*-1</f>
        <v>-82</v>
      </c>
      <c r="G264" s="3">
        <f>(G132-F132)*-1</f>
        <v>51</v>
      </c>
      <c r="H264" s="3">
        <f>SUM(D264:G264)</f>
        <v>346</v>
      </c>
      <c r="I264" s="3">
        <f>(I132-H132)*-1</f>
        <v>-747</v>
      </c>
      <c r="J264" s="3">
        <f>(J132-I132)*-1</f>
        <v>-523</v>
      </c>
      <c r="K264" s="3">
        <f>(K132-J132)*-1</f>
        <v>-994</v>
      </c>
      <c r="L264" s="3">
        <f>(L132-K132)*-1</f>
        <v>-372</v>
      </c>
      <c r="M264" s="3">
        <f>SUM(I264:L264)</f>
        <v>-2636</v>
      </c>
      <c r="N264" s="3">
        <f>(N132-M132)*-1</f>
        <v>-1000</v>
      </c>
      <c r="O264" s="3">
        <f>(O132-N132)*-1</f>
        <v>-843</v>
      </c>
      <c r="P264" s="3">
        <f>(P132-O132)*-1</f>
        <v>-979</v>
      </c>
      <c r="Q264" s="3">
        <f>(Q132-P132)*-1</f>
        <v>590</v>
      </c>
      <c r="R264" s="3">
        <f>SUM(N264:Q264)</f>
        <v>-2232</v>
      </c>
      <c r="S264" s="3">
        <f>(S132-R132)*-1</f>
        <v>-1363</v>
      </c>
      <c r="T264" s="3">
        <f>(T132-S132)*-1</f>
        <v>-113</v>
      </c>
      <c r="U264" s="3">
        <f>(U132-T132)*-1</f>
        <v>166</v>
      </c>
      <c r="V264" s="3">
        <f>(V132-U132)*-1</f>
        <v>1015</v>
      </c>
      <c r="W264" s="3">
        <f>SUM(S264:V264)</f>
        <v>-295</v>
      </c>
      <c r="X264" s="3">
        <f>(X132-W132)*-1</f>
        <v>-388</v>
      </c>
      <c r="Y264" s="3">
        <f>(Y132-X132)*-1</f>
        <v>-129</v>
      </c>
      <c r="Z264" s="3">
        <f>(Z132-Y132)*-1</f>
        <v>-230</v>
      </c>
      <c r="AA264" s="3">
        <f>(AA132-Z132)*-1</f>
        <v>485</v>
      </c>
      <c r="AB264" s="3">
        <f>SUM(X264:AA264)</f>
        <v>-262</v>
      </c>
      <c r="AC264" s="3">
        <f>(AC132-AB132)*-1</f>
        <v>-1035</v>
      </c>
      <c r="AD264" s="3">
        <f>(AD132-AC132)*-1</f>
        <v>-733</v>
      </c>
      <c r="AE264" s="3">
        <f>(AE132-AD132)*-1</f>
        <v>-363</v>
      </c>
      <c r="AF264" s="3">
        <f>(AF132-AE132)*-1</f>
        <v>823</v>
      </c>
      <c r="AG264" s="3">
        <f>SUM(AC264:AF264)</f>
        <v>-1308</v>
      </c>
      <c r="AH264" s="3">
        <f>(AH132-AG132)*-1</f>
        <v>-1491</v>
      </c>
      <c r="AI264" s="3">
        <f>(AI132-AH132)*-1</f>
        <v>-1001</v>
      </c>
      <c r="AJ264" s="3">
        <f>(AJ132-AI132)*-1</f>
        <v>20627</v>
      </c>
      <c r="AK264" s="3">
        <f>(AK132-AJ132)*-1</f>
        <v>0</v>
      </c>
      <c r="AL264" s="3">
        <f>SUM(AH264:AK264)</f>
        <v>18135</v>
      </c>
      <c r="AM264" s="3">
        <f>(AM132-AL132)*-1</f>
        <v>0</v>
      </c>
      <c r="AN264" s="3">
        <f>(AN132-AM132)*-1</f>
        <v>0</v>
      </c>
      <c r="AO264" s="3">
        <f>(AO132-AN132)*-1</f>
        <v>0</v>
      </c>
      <c r="AP264" s="3">
        <f>(AP132-AO132)*-1</f>
        <v>0</v>
      </c>
      <c r="AQ264" s="3">
        <f>SUM(AM264:AP264)</f>
        <v>0</v>
      </c>
      <c r="AR264" s="3">
        <f>(AR132-AQ132)*-1</f>
        <v>0</v>
      </c>
      <c r="AS264" s="3">
        <f>(AS132-AR132)*-1</f>
        <v>0</v>
      </c>
      <c r="AT264" s="3">
        <f>(AT132-AS132)*-1</f>
        <v>0</v>
      </c>
      <c r="AU264" s="3">
        <f>(AU132-AT132)*-1</f>
        <v>0</v>
      </c>
      <c r="AV264" s="3">
        <f>SUM(AR264:AU264)</f>
        <v>0</v>
      </c>
      <c r="AW264" s="3">
        <f>(AW132-AV132)*-1</f>
        <v>0</v>
      </c>
      <c r="AX264" s="3">
        <f>(AX132-AW132)*-1</f>
        <v>0</v>
      </c>
      <c r="AY264" s="3">
        <f>(AY132-AX132)*-1</f>
        <v>0</v>
      </c>
      <c r="AZ264" s="3">
        <f>(AZ132-AY132)*-1</f>
        <v>0</v>
      </c>
      <c r="BA264" s="3">
        <f>SUM(AW264:AZ264)</f>
        <v>0</v>
      </c>
      <c r="BB264" s="3">
        <f>(BB132-BA132)*-1</f>
        <v>0</v>
      </c>
      <c r="BC264" s="3">
        <f>(BC132-BB132)*-1</f>
        <v>0</v>
      </c>
      <c r="BD264" s="3">
        <f>(BD132-BC132)*-1</f>
        <v>0</v>
      </c>
      <c r="BE264" s="3">
        <f>(BE132-BD132)*-1</f>
        <v>0</v>
      </c>
      <c r="BF264" s="3">
        <f>SUM(BB264:BE264)</f>
        <v>0</v>
      </c>
      <c r="BG264" s="3">
        <f>(BG132-BF132)*-1</f>
        <v>0</v>
      </c>
      <c r="BH264" s="3">
        <f>(BH132-BG132)*-1</f>
        <v>0</v>
      </c>
      <c r="BI264" s="3">
        <f>(BI132-BH132)*-1</f>
        <v>0</v>
      </c>
      <c r="BJ264" s="3">
        <f>(BJ132-BI132)*-1</f>
        <v>0</v>
      </c>
      <c r="BK264" s="3">
        <f>SUM(BG264:BJ264)</f>
        <v>0</v>
      </c>
      <c r="BL264" s="3">
        <f>(BL132-BK132)*-1</f>
        <v>0</v>
      </c>
      <c r="BM264" s="3">
        <f>(BM132-BL132)*-1</f>
        <v>0</v>
      </c>
      <c r="BN264" s="3">
        <f>(BN132-BM132)*-1</f>
        <v>0</v>
      </c>
      <c r="BO264" s="3">
        <f>(BO132-BN132)*-1</f>
        <v>0</v>
      </c>
      <c r="BP264" s="3">
        <f>SUM(BL264:BO264)</f>
        <v>0</v>
      </c>
      <c r="BQ264" s="3">
        <f>(BQ132-BP132)*-1</f>
        <v>0</v>
      </c>
      <c r="BR264" s="3">
        <f>(BR132-BQ132)*-1</f>
        <v>0</v>
      </c>
      <c r="BS264" s="3">
        <f>(BS132-BR132)*-1</f>
        <v>0</v>
      </c>
      <c r="BT264" s="3">
        <f>(BT132-BS132)*-1</f>
        <v>0</v>
      </c>
      <c r="BU264" s="3">
        <f>SUM(BQ264:BT264)</f>
        <v>0</v>
      </c>
      <c r="BV264" s="3">
        <f>(BV132-BU132)*-1</f>
        <v>0</v>
      </c>
      <c r="BW264" s="3">
        <f>(BW132-BV132)*-1</f>
        <v>0</v>
      </c>
      <c r="BX264" s="3">
        <f>(BX132-BW132)*-1</f>
        <v>0</v>
      </c>
      <c r="BY264" s="3">
        <f>(BY132-BX132)*-1</f>
        <v>0</v>
      </c>
      <c r="BZ264" s="3">
        <f>SUM(BV264:BY264)</f>
        <v>0</v>
      </c>
      <c r="CA264" s="3">
        <f>(CA132-BZ132)*-1</f>
        <v>0</v>
      </c>
      <c r="CB264" s="3">
        <f>(CB132-CA132)*-1</f>
        <v>0</v>
      </c>
      <c r="CC264" s="3">
        <f>(CC132-CB132)*-1</f>
        <v>0</v>
      </c>
      <c r="CD264" s="3">
        <f>(CD132-CC132)*-1</f>
        <v>0</v>
      </c>
      <c r="CE264" s="3">
        <f>SUM(CA264:CD264)</f>
        <v>0</v>
      </c>
      <c r="CF264" s="3">
        <f>(CF132-CE132)*-1</f>
        <v>0</v>
      </c>
      <c r="CG264" s="3">
        <f>(CG132-CF132)*-1</f>
        <v>0</v>
      </c>
      <c r="CH264" s="3">
        <f>(CH132-CG132)*-1</f>
        <v>0</v>
      </c>
      <c r="CI264" s="3">
        <f>(CI132-CH132)*-1</f>
        <v>0</v>
      </c>
      <c r="CJ264" s="3">
        <f>SUM(CF264:CI264)</f>
        <v>0</v>
      </c>
      <c r="CK264" s="3">
        <f>(CK132-CJ132)*-1</f>
        <v>0</v>
      </c>
      <c r="CL264" s="3">
        <f>(CL132-CK132)*-1</f>
        <v>0</v>
      </c>
      <c r="CM264" s="3">
        <f>(CM132-CL132)*-1</f>
        <v>0</v>
      </c>
      <c r="CN264" s="3">
        <f>(CN132-CM132)*-1</f>
        <v>0</v>
      </c>
      <c r="CO264" s="3">
        <f>SUM(CK264:CN264)</f>
        <v>0</v>
      </c>
      <c r="CP264" s="3">
        <f>(CP132-CO132)*-1</f>
        <v>0</v>
      </c>
      <c r="CQ264" s="3">
        <f>(CQ132-CP132)*-1</f>
        <v>0</v>
      </c>
      <c r="CR264" s="3">
        <f>(CR132-CQ132)*-1</f>
        <v>0</v>
      </c>
      <c r="CS264" s="3">
        <f>(CS132-CR132)*-1</f>
        <v>0</v>
      </c>
      <c r="CT264" s="3">
        <f>SUM(CP264:CS264)</f>
        <v>0</v>
      </c>
      <c r="CU264" s="3">
        <f>(CU132-CT132)*-1</f>
        <v>0</v>
      </c>
      <c r="CV264" s="3">
        <f>(CV132-CU132)*-1</f>
        <v>0</v>
      </c>
      <c r="CW264" s="3">
        <f>(CW132-CV132)*-1</f>
        <v>0</v>
      </c>
      <c r="CX264" s="3">
        <f>(CX132-CW132)*-1</f>
        <v>0</v>
      </c>
      <c r="CY264" s="3">
        <f>SUM(CU264:CX264)</f>
        <v>0</v>
      </c>
    </row>
    <row r="265" hidden="1" outlineLevel="1">
      <c r="C265" s="29" t="inlineStr">
        <is>
          <t>Deferred income taxes</t>
        </is>
      </c>
      <c r="D265" s="3" t="n"/>
      <c r="E265" s="3">
        <f>(E136-D136)*-1</f>
        <v>0</v>
      </c>
      <c r="F265" s="3">
        <f>(F136-E136)*-1</f>
        <v>0</v>
      </c>
      <c r="G265" s="3">
        <f>(G136-F136)*-1</f>
        <v>0</v>
      </c>
      <c r="H265" s="3">
        <f>SUM(D265:G265)</f>
        <v>0</v>
      </c>
      <c r="I265" s="3">
        <f>(I136-H136)*-1</f>
        <v>0</v>
      </c>
      <c r="J265" s="3">
        <f>(J136-I136)*-1</f>
        <v>0</v>
      </c>
      <c r="K265" s="3">
        <f>(K136-J136)*-1</f>
        <v>0</v>
      </c>
      <c r="L265" s="3">
        <f>(L136-K136)*-1</f>
        <v>0</v>
      </c>
      <c r="M265" s="3">
        <f>SUM(I265:L265)</f>
        <v>0</v>
      </c>
      <c r="N265" s="3">
        <f>(N136-M136)*-1</f>
        <v>0</v>
      </c>
      <c r="O265" s="3">
        <f>(O136-N136)*-1</f>
        <v>0</v>
      </c>
      <c r="P265" s="3">
        <f>(P136-O136)*-1</f>
        <v>0</v>
      </c>
      <c r="Q265" s="3">
        <f>(Q136-P136)*-1</f>
        <v>0</v>
      </c>
      <c r="R265" s="3">
        <f>SUM(N265:Q265)</f>
        <v>0</v>
      </c>
      <c r="S265" s="3">
        <f>(S136-R136)*-1</f>
        <v>0</v>
      </c>
      <c r="T265" s="3">
        <f>(T136-S136)*-1</f>
        <v>0</v>
      </c>
      <c r="U265" s="3">
        <f>(U136-T136)*-1</f>
        <v>0</v>
      </c>
      <c r="V265" s="3">
        <f>(V136-U136)*-1</f>
        <v>0</v>
      </c>
      <c r="W265" s="3">
        <f>SUM(S265:V265)</f>
        <v>0</v>
      </c>
      <c r="X265" s="3">
        <f>(X136-W136)*-1</f>
        <v>0</v>
      </c>
      <c r="Y265" s="3">
        <f>(Y136-X136)*-1</f>
        <v>0</v>
      </c>
      <c r="Z265" s="3">
        <f>(Z136-Y136)*-1</f>
        <v>0</v>
      </c>
      <c r="AA265" s="3">
        <f>(AA136-Z136)*-1</f>
        <v>0</v>
      </c>
      <c r="AB265" s="3">
        <f>SUM(X265:AA265)</f>
        <v>0</v>
      </c>
      <c r="AC265" s="3">
        <f>(AC136-AB136)*-1</f>
        <v>0</v>
      </c>
      <c r="AD265" s="3">
        <f>(AD136-AC136)*-1</f>
        <v>0</v>
      </c>
      <c r="AE265" s="3">
        <f>(AE136-AD136)*-1</f>
        <v>0</v>
      </c>
      <c r="AF265" s="3">
        <f>(AF136-AE136)*-1</f>
        <v>0</v>
      </c>
      <c r="AG265" s="3">
        <f>SUM(AC265:AF265)</f>
        <v>0</v>
      </c>
      <c r="AH265" s="3">
        <f>(AH136-AG136)*-1</f>
        <v>0</v>
      </c>
      <c r="AI265" s="3">
        <f>(AI136-AH136)*-1</f>
        <v>0</v>
      </c>
      <c r="AJ265" s="3">
        <f>(AJ136-AI136)*-1</f>
        <v>0</v>
      </c>
      <c r="AK265" s="3">
        <f>(AK136-AJ136)*-1</f>
        <v>0</v>
      </c>
      <c r="AL265" s="3">
        <f>SUM(AH265:AK265)</f>
        <v>0</v>
      </c>
      <c r="AM265" s="3">
        <f>(AM136-AL136)*-1</f>
        <v>0</v>
      </c>
      <c r="AN265" s="3">
        <f>(AN136-AM136)*-1</f>
        <v>0</v>
      </c>
      <c r="AO265" s="3">
        <f>(AO136-AN136)*-1</f>
        <v>0</v>
      </c>
      <c r="AP265" s="3">
        <f>(AP136-AO136)*-1</f>
        <v>0</v>
      </c>
      <c r="AQ265" s="3">
        <f>SUM(AM265:AP265)</f>
        <v>0</v>
      </c>
      <c r="AR265" s="3">
        <f>(AR136-AQ136)*-1</f>
        <v>0</v>
      </c>
      <c r="AS265" s="3">
        <f>(AS136-AR136)*-1</f>
        <v>0</v>
      </c>
      <c r="AT265" s="3">
        <f>(AT136-AS136)*-1</f>
        <v>0</v>
      </c>
      <c r="AU265" s="3">
        <f>(AU136-AT136)*-1</f>
        <v>0</v>
      </c>
      <c r="AV265" s="3">
        <f>SUM(AR265:AU265)</f>
        <v>0</v>
      </c>
      <c r="AW265" s="3">
        <f>(AW136-AV136)*-1</f>
        <v>0</v>
      </c>
      <c r="AX265" s="3">
        <f>(AX136-AW136)*-1</f>
        <v>0</v>
      </c>
      <c r="AY265" s="3">
        <f>(AY136-AX136)*-1</f>
        <v>0</v>
      </c>
      <c r="AZ265" s="3">
        <f>(AZ136-AY136)*-1</f>
        <v>0</v>
      </c>
      <c r="BA265" s="3">
        <f>SUM(AW265:AZ265)</f>
        <v>0</v>
      </c>
      <c r="BB265" s="3">
        <f>(BB136-BA136)*-1</f>
        <v>0</v>
      </c>
      <c r="BC265" s="3">
        <f>(BC136-BB136)*-1</f>
        <v>0</v>
      </c>
      <c r="BD265" s="3">
        <f>(BD136-BC136)*-1</f>
        <v>0</v>
      </c>
      <c r="BE265" s="3">
        <f>(BE136-BD136)*-1</f>
        <v>0</v>
      </c>
      <c r="BF265" s="3">
        <f>SUM(BB265:BE265)</f>
        <v>0</v>
      </c>
      <c r="BG265" s="3">
        <f>(BG136-BF136)*-1</f>
        <v>0</v>
      </c>
      <c r="BH265" s="3">
        <f>(BH136-BG136)*-1</f>
        <v>0</v>
      </c>
      <c r="BI265" s="3">
        <f>(BI136-BH136)*-1</f>
        <v>0</v>
      </c>
      <c r="BJ265" s="3">
        <f>(BJ136-BI136)*-1</f>
        <v>0</v>
      </c>
      <c r="BK265" s="3">
        <f>SUM(BG265:BJ265)</f>
        <v>0</v>
      </c>
      <c r="BL265" s="3">
        <f>(BL136-BK136)*-1</f>
        <v>0</v>
      </c>
      <c r="BM265" s="3">
        <f>(BM136-BL136)*-1</f>
        <v>0</v>
      </c>
      <c r="BN265" s="3">
        <f>(BN136-BM136)*-1</f>
        <v>0</v>
      </c>
      <c r="BO265" s="3">
        <f>(BO136-BN136)*-1</f>
        <v>0</v>
      </c>
      <c r="BP265" s="3">
        <f>SUM(BL265:BO265)</f>
        <v>0</v>
      </c>
      <c r="BQ265" s="3">
        <f>(BQ136-BP136)*-1</f>
        <v>0</v>
      </c>
      <c r="BR265" s="3">
        <f>(BR136-BQ136)*-1</f>
        <v>0</v>
      </c>
      <c r="BS265" s="3">
        <f>(BS136-BR136)*-1</f>
        <v>0</v>
      </c>
      <c r="BT265" s="3">
        <f>(BT136-BS136)*-1</f>
        <v>0</v>
      </c>
      <c r="BU265" s="3">
        <f>SUM(BQ265:BT265)</f>
        <v>0</v>
      </c>
      <c r="BV265" s="3">
        <f>(BV136-BU136)*-1</f>
        <v>0</v>
      </c>
      <c r="BW265" s="3">
        <f>(BW136-BV136)*-1</f>
        <v>0</v>
      </c>
      <c r="BX265" s="3">
        <f>(BX136-BW136)*-1</f>
        <v>0</v>
      </c>
      <c r="BY265" s="3">
        <f>(BY136-BX136)*-1</f>
        <v>0</v>
      </c>
      <c r="BZ265" s="3">
        <f>SUM(BV265:BY265)</f>
        <v>0</v>
      </c>
      <c r="CA265" s="3">
        <f>(CA136-BZ136)*-1</f>
        <v>0</v>
      </c>
      <c r="CB265" s="3">
        <f>(CB136-CA136)*-1</f>
        <v>0</v>
      </c>
      <c r="CC265" s="3">
        <f>(CC136-CB136)*-1</f>
        <v>0</v>
      </c>
      <c r="CD265" s="3">
        <f>(CD136-CC136)*-1</f>
        <v>0</v>
      </c>
      <c r="CE265" s="3">
        <f>SUM(CA265:CD265)</f>
        <v>0</v>
      </c>
      <c r="CF265" s="3">
        <f>(CF136-CE136)*-1</f>
        <v>0</v>
      </c>
      <c r="CG265" s="3">
        <f>(CG136-CF136)*-1</f>
        <v>0</v>
      </c>
      <c r="CH265" s="3">
        <f>(CH136-CG136)*-1</f>
        <v>0</v>
      </c>
      <c r="CI265" s="3">
        <f>(CI136-CH136)*-1</f>
        <v>0</v>
      </c>
      <c r="CJ265" s="3">
        <f>SUM(CF265:CI265)</f>
        <v>0</v>
      </c>
      <c r="CK265" s="3">
        <f>(CK136-CJ136)*-1</f>
        <v>0</v>
      </c>
      <c r="CL265" s="3">
        <f>(CL136-CK136)*-1</f>
        <v>0</v>
      </c>
      <c r="CM265" s="3">
        <f>(CM136-CL136)*-1</f>
        <v>0</v>
      </c>
      <c r="CN265" s="3">
        <f>(CN136-CM136)*-1</f>
        <v>0</v>
      </c>
      <c r="CO265" s="3">
        <f>SUM(CK265:CN265)</f>
        <v>0</v>
      </c>
      <c r="CP265" s="3">
        <f>(CP136-CO136)*-1</f>
        <v>0</v>
      </c>
      <c r="CQ265" s="3">
        <f>(CQ136-CP136)*-1</f>
        <v>0</v>
      </c>
      <c r="CR265" s="3">
        <f>(CR136-CQ136)*-1</f>
        <v>0</v>
      </c>
      <c r="CS265" s="3">
        <f>(CS136-CR136)*-1</f>
        <v>0</v>
      </c>
      <c r="CT265" s="3">
        <f>SUM(CP265:CS265)</f>
        <v>0</v>
      </c>
      <c r="CU265" s="3">
        <f>(CU136-CT136)*-1</f>
        <v>0</v>
      </c>
      <c r="CV265" s="3">
        <f>(CV136-CU136)*-1</f>
        <v>0</v>
      </c>
      <c r="CW265" s="3">
        <f>(CW136-CV136)*-1</f>
        <v>0</v>
      </c>
      <c r="CX265" s="3">
        <f>(CX136-CW136)*-1</f>
        <v>0</v>
      </c>
      <c r="CY265" s="3">
        <f>SUM(CU265:CX265)</f>
        <v>0</v>
      </c>
    </row>
    <row r="266" hidden="1" outlineLevel="1">
      <c r="C266" s="29" t="inlineStr">
        <is>
          <t>Prepaid expenses</t>
        </is>
      </c>
      <c r="D266" s="3" t="n"/>
      <c r="E266" s="3">
        <f>(E137-D137)*-1</f>
        <v>0</v>
      </c>
      <c r="F266" s="3">
        <f>(F137-E137)*-1</f>
        <v>0</v>
      </c>
      <c r="G266" s="3">
        <f>(G137-F137)*-1</f>
        <v>0</v>
      </c>
      <c r="H266" s="3">
        <f>SUM(D266:G266)</f>
        <v>0</v>
      </c>
      <c r="I266" s="3">
        <f>(I137-H137)*-1</f>
        <v>0</v>
      </c>
      <c r="J266" s="3">
        <f>(J137-I137)*-1</f>
        <v>0</v>
      </c>
      <c r="K266" s="3">
        <f>(K137-J137)*-1</f>
        <v>0</v>
      </c>
      <c r="L266" s="3">
        <f>(L137-K137)*-1</f>
        <v>0</v>
      </c>
      <c r="M266" s="3">
        <f>SUM(I266:L266)</f>
        <v>0</v>
      </c>
      <c r="N266" s="3">
        <f>(N137-M137)*-1</f>
        <v>0</v>
      </c>
      <c r="O266" s="3">
        <f>(O137-N137)*-1</f>
        <v>0</v>
      </c>
      <c r="P266" s="3">
        <f>(P137-O137)*-1</f>
        <v>0</v>
      </c>
      <c r="Q266" s="3">
        <f>(Q137-P137)*-1</f>
        <v>0</v>
      </c>
      <c r="R266" s="3">
        <f>SUM(N266:Q266)</f>
        <v>0</v>
      </c>
      <c r="S266" s="3">
        <f>(S137-R137)*-1</f>
        <v>0</v>
      </c>
      <c r="T266" s="3">
        <f>(T137-S137)*-1</f>
        <v>0</v>
      </c>
      <c r="U266" s="3">
        <f>(U137-T137)*-1</f>
        <v>0</v>
      </c>
      <c r="V266" s="3">
        <f>(V137-U137)*-1</f>
        <v>0</v>
      </c>
      <c r="W266" s="3">
        <f>SUM(S266:V266)</f>
        <v>0</v>
      </c>
      <c r="X266" s="3">
        <f>(X137-W137)*-1</f>
        <v>0</v>
      </c>
      <c r="Y266" s="3">
        <f>(Y137-X137)*-1</f>
        <v>0</v>
      </c>
      <c r="Z266" s="3">
        <f>(Z137-Y137)*-1</f>
        <v>0</v>
      </c>
      <c r="AA266" s="3">
        <f>(AA137-Z137)*-1</f>
        <v>0</v>
      </c>
      <c r="AB266" s="3">
        <f>SUM(X266:AA266)</f>
        <v>0</v>
      </c>
      <c r="AC266" s="3">
        <f>(AC137-AB137)*-1</f>
        <v>0</v>
      </c>
      <c r="AD266" s="3">
        <f>(AD137-AC137)*-1</f>
        <v>0</v>
      </c>
      <c r="AE266" s="3">
        <f>(AE137-AD137)*-1</f>
        <v>0</v>
      </c>
      <c r="AF266" s="3">
        <f>(AF137-AE137)*-1</f>
        <v>0</v>
      </c>
      <c r="AG266" s="3">
        <f>SUM(AC266:AF266)</f>
        <v>0</v>
      </c>
      <c r="AH266" s="3">
        <f>(AH137-AG137)*-1</f>
        <v>0</v>
      </c>
      <c r="AI266" s="3">
        <f>(AI137-AH137)*-1</f>
        <v>0</v>
      </c>
      <c r="AJ266" s="3">
        <f>(AJ137-AI137)*-1</f>
        <v>0</v>
      </c>
      <c r="AK266" s="3">
        <f>(AK137-AJ137)*-1</f>
        <v>0</v>
      </c>
      <c r="AL266" s="3">
        <f>SUM(AH266:AK266)</f>
        <v>0</v>
      </c>
      <c r="AM266" s="3">
        <f>(AM137-AL137)*-1</f>
        <v>0</v>
      </c>
      <c r="AN266" s="3">
        <f>(AN137-AM137)*-1</f>
        <v>0</v>
      </c>
      <c r="AO266" s="3">
        <f>(AO137-AN137)*-1</f>
        <v>0</v>
      </c>
      <c r="AP266" s="3">
        <f>(AP137-AO137)*-1</f>
        <v>0</v>
      </c>
      <c r="AQ266" s="3">
        <f>SUM(AM266:AP266)</f>
        <v>0</v>
      </c>
      <c r="AR266" s="3">
        <f>(AR137-AQ137)*-1</f>
        <v>0</v>
      </c>
      <c r="AS266" s="3">
        <f>(AS137-AR137)*-1</f>
        <v>0</v>
      </c>
      <c r="AT266" s="3">
        <f>(AT137-AS137)*-1</f>
        <v>0</v>
      </c>
      <c r="AU266" s="3">
        <f>(AU137-AT137)*-1</f>
        <v>0</v>
      </c>
      <c r="AV266" s="3">
        <f>SUM(AR266:AU266)</f>
        <v>0</v>
      </c>
      <c r="AW266" s="3">
        <f>(AW137-AV137)*-1</f>
        <v>0</v>
      </c>
      <c r="AX266" s="3">
        <f>(AX137-AW137)*-1</f>
        <v>0</v>
      </c>
      <c r="AY266" s="3">
        <f>(AY137-AX137)*-1</f>
        <v>0</v>
      </c>
      <c r="AZ266" s="3">
        <f>(AZ137-AY137)*-1</f>
        <v>0</v>
      </c>
      <c r="BA266" s="3">
        <f>SUM(AW266:AZ266)</f>
        <v>0</v>
      </c>
      <c r="BB266" s="3">
        <f>(BB137-BA137)*-1</f>
        <v>0</v>
      </c>
      <c r="BC266" s="3">
        <f>(BC137-BB137)*-1</f>
        <v>0</v>
      </c>
      <c r="BD266" s="3">
        <f>(BD137-BC137)*-1</f>
        <v>0</v>
      </c>
      <c r="BE266" s="3">
        <f>(BE137-BD137)*-1</f>
        <v>0</v>
      </c>
      <c r="BF266" s="3">
        <f>SUM(BB266:BE266)</f>
        <v>0</v>
      </c>
      <c r="BG266" s="3">
        <f>(BG137-BF137)*-1</f>
        <v>0</v>
      </c>
      <c r="BH266" s="3">
        <f>(BH137-BG137)*-1</f>
        <v>0</v>
      </c>
      <c r="BI266" s="3">
        <f>(BI137-BH137)*-1</f>
        <v>0</v>
      </c>
      <c r="BJ266" s="3">
        <f>(BJ137-BI137)*-1</f>
        <v>0</v>
      </c>
      <c r="BK266" s="3">
        <f>SUM(BG266:BJ266)</f>
        <v>0</v>
      </c>
      <c r="BL266" s="3">
        <f>(BL137-BK137)*-1</f>
        <v>0</v>
      </c>
      <c r="BM266" s="3">
        <f>(BM137-BL137)*-1</f>
        <v>0</v>
      </c>
      <c r="BN266" s="3">
        <f>(BN137-BM137)*-1</f>
        <v>0</v>
      </c>
      <c r="BO266" s="3">
        <f>(BO137-BN137)*-1</f>
        <v>0</v>
      </c>
      <c r="BP266" s="3">
        <f>SUM(BL266:BO266)</f>
        <v>0</v>
      </c>
      <c r="BQ266" s="3">
        <f>(BQ137-BP137)*-1</f>
        <v>0</v>
      </c>
      <c r="BR266" s="3">
        <f>(BR137-BQ137)*-1</f>
        <v>0</v>
      </c>
      <c r="BS266" s="3">
        <f>(BS137-BR137)*-1</f>
        <v>0</v>
      </c>
      <c r="BT266" s="3">
        <f>(BT137-BS137)*-1</f>
        <v>0</v>
      </c>
      <c r="BU266" s="3">
        <f>SUM(BQ266:BT266)</f>
        <v>0</v>
      </c>
      <c r="BV266" s="3">
        <f>(BV137-BU137)*-1</f>
        <v>0</v>
      </c>
      <c r="BW266" s="3">
        <f>(BW137-BV137)*-1</f>
        <v>0</v>
      </c>
      <c r="BX266" s="3">
        <f>(BX137-BW137)*-1</f>
        <v>0</v>
      </c>
      <c r="BY266" s="3">
        <f>(BY137-BX137)*-1</f>
        <v>0</v>
      </c>
      <c r="BZ266" s="3">
        <f>SUM(BV266:BY266)</f>
        <v>0</v>
      </c>
      <c r="CA266" s="3">
        <f>(CA137-BZ137)*-1</f>
        <v>0</v>
      </c>
      <c r="CB266" s="3">
        <f>(CB137-CA137)*-1</f>
        <v>0</v>
      </c>
      <c r="CC266" s="3">
        <f>(CC137-CB137)*-1</f>
        <v>0</v>
      </c>
      <c r="CD266" s="3">
        <f>(CD137-CC137)*-1</f>
        <v>0</v>
      </c>
      <c r="CE266" s="3">
        <f>SUM(CA266:CD266)</f>
        <v>0</v>
      </c>
      <c r="CF266" s="3">
        <f>(CF137-CE137)*-1</f>
        <v>0</v>
      </c>
      <c r="CG266" s="3">
        <f>(CG137-CF137)*-1</f>
        <v>0</v>
      </c>
      <c r="CH266" s="3">
        <f>(CH137-CG137)*-1</f>
        <v>0</v>
      </c>
      <c r="CI266" s="3">
        <f>(CI137-CH137)*-1</f>
        <v>0</v>
      </c>
      <c r="CJ266" s="3">
        <f>SUM(CF266:CI266)</f>
        <v>0</v>
      </c>
      <c r="CK266" s="3">
        <f>(CK137-CJ137)*-1</f>
        <v>0</v>
      </c>
      <c r="CL266" s="3">
        <f>(CL137-CK137)*-1</f>
        <v>0</v>
      </c>
      <c r="CM266" s="3">
        <f>(CM137-CL137)*-1</f>
        <v>0</v>
      </c>
      <c r="CN266" s="3">
        <f>(CN137-CM137)*-1</f>
        <v>0</v>
      </c>
      <c r="CO266" s="3">
        <f>SUM(CK266:CN266)</f>
        <v>0</v>
      </c>
      <c r="CP266" s="3">
        <f>(CP137-CO137)*-1</f>
        <v>0</v>
      </c>
      <c r="CQ266" s="3">
        <f>(CQ137-CP137)*-1</f>
        <v>0</v>
      </c>
      <c r="CR266" s="3">
        <f>(CR137-CQ137)*-1</f>
        <v>0</v>
      </c>
      <c r="CS266" s="3">
        <f>(CS137-CR137)*-1</f>
        <v>0</v>
      </c>
      <c r="CT266" s="3">
        <f>SUM(CP266:CS266)</f>
        <v>0</v>
      </c>
      <c r="CU266" s="3">
        <f>(CU137-CT137)*-1</f>
        <v>0</v>
      </c>
      <c r="CV266" s="3">
        <f>(CV137-CU137)*-1</f>
        <v>0</v>
      </c>
      <c r="CW266" s="3">
        <f>(CW137-CV137)*-1</f>
        <v>0</v>
      </c>
      <c r="CX266" s="3">
        <f>(CX137-CW137)*-1</f>
        <v>0</v>
      </c>
      <c r="CY266" s="3">
        <f>SUM(CU266:CX266)</f>
        <v>0</v>
      </c>
    </row>
    <row r="267" hidden="1" outlineLevel="1">
      <c r="C267" s="29" t="inlineStr">
        <is>
          <t>Other current assets</t>
        </is>
      </c>
      <c r="D267" s="3" t="n"/>
      <c r="E267" s="3">
        <f>(E138-D138)*-1</f>
        <v>308</v>
      </c>
      <c r="F267" s="3">
        <f>(F138-E138)*-1</f>
        <v>-224</v>
      </c>
      <c r="G267" s="3">
        <f>(G138-F138)*-1</f>
        <v>-596</v>
      </c>
      <c r="H267" s="3">
        <f>SUM(D267:G267)</f>
        <v>-512</v>
      </c>
      <c r="I267" s="3">
        <f>(I138-H138)*-1</f>
        <v>258</v>
      </c>
      <c r="J267" s="3">
        <f>(J138-I138)*-1</f>
        <v>-468</v>
      </c>
      <c r="K267" s="3">
        <f>(K138-J138)*-1</f>
        <v>469</v>
      </c>
      <c r="L267" s="3">
        <f>(L138-K138)*-1</f>
        <v>-552</v>
      </c>
      <c r="M267" s="3">
        <f>SUM(I267:L267)</f>
        <v>-293</v>
      </c>
      <c r="N267" s="3">
        <f>(N138-M138)*-1</f>
        <v>-185</v>
      </c>
      <c r="O267" s="3">
        <f>(O138-N138)*-1</f>
        <v>177</v>
      </c>
      <c r="P267" s="3">
        <f>(P138-O138)*-1</f>
        <v>481</v>
      </c>
      <c r="Q267" s="3">
        <f>(Q138-P138)*-1</f>
        <v>-442</v>
      </c>
      <c r="R267" s="3">
        <f>SUM(N267:Q267)</f>
        <v>31</v>
      </c>
      <c r="S267" s="3">
        <f>(S138-R138)*-1</f>
        <v>-353</v>
      </c>
      <c r="T267" s="3">
        <f>(T138-S138)*-1</f>
        <v>-443</v>
      </c>
      <c r="U267" s="3">
        <f>(U138-T138)*-1</f>
        <v>-2295</v>
      </c>
      <c r="V267" s="3">
        <f>(V138-U138)*-1</f>
        <v>650</v>
      </c>
      <c r="W267" s="3">
        <f>SUM(S267:V267)</f>
        <v>-2441</v>
      </c>
      <c r="X267" s="3">
        <f>(X138-W138)*-1</f>
        <v>1640</v>
      </c>
      <c r="Y267" s="3">
        <f>(Y138-X138)*-1</f>
        <v>204</v>
      </c>
      <c r="Z267" s="3">
        <f>(Z138-Y138)*-1</f>
        <v>-658</v>
      </c>
      <c r="AA267" s="3">
        <f>(AA138-Z138)*-1</f>
        <v>226</v>
      </c>
      <c r="AB267" s="3">
        <f>SUM(X267:AA267)</f>
        <v>1412</v>
      </c>
      <c r="AC267" s="3">
        <f>(AC138-AB138)*-1</f>
        <v>205</v>
      </c>
      <c r="AD267" s="3">
        <f>(AD138-AC138)*-1</f>
        <v>-535</v>
      </c>
      <c r="AE267" s="3">
        <f>(AE138-AD138)*-1</f>
        <v>-162</v>
      </c>
      <c r="AF267" s="3">
        <f>(AF138-AE138)*-1</f>
        <v>-274</v>
      </c>
      <c r="AG267" s="3">
        <f>SUM(AC267:AF267)</f>
        <v>-766</v>
      </c>
      <c r="AH267" s="3">
        <f>(AH138-AG138)*-1</f>
        <v>27</v>
      </c>
      <c r="AI267" s="3">
        <f>(AI138-AH138)*-1</f>
        <v>-499</v>
      </c>
      <c r="AJ267" s="3">
        <f>(AJ138-AI138)*-1</f>
        <v>0</v>
      </c>
      <c r="AK267" s="3">
        <f>(AK138-AJ138)*-1</f>
        <v>0</v>
      </c>
      <c r="AL267" s="3">
        <f>SUM(AH267:AK267)</f>
        <v>-472</v>
      </c>
      <c r="AM267" s="3">
        <f>(AM138-AL138)*-1</f>
        <v>0</v>
      </c>
      <c r="AN267" s="3">
        <f>(AN138-AM138)*-1</f>
        <v>0</v>
      </c>
      <c r="AO267" s="3">
        <f>(AO138-AN138)*-1</f>
        <v>0</v>
      </c>
      <c r="AP267" s="3">
        <f>(AP138-AO138)*-1</f>
        <v>0</v>
      </c>
      <c r="AQ267" s="3">
        <f>SUM(AM267:AP267)</f>
        <v>0</v>
      </c>
      <c r="AR267" s="3">
        <f>(AR138-AQ138)*-1</f>
        <v>0</v>
      </c>
      <c r="AS267" s="3">
        <f>(AS138-AR138)*-1</f>
        <v>0</v>
      </c>
      <c r="AT267" s="3">
        <f>(AT138-AS138)*-1</f>
        <v>0</v>
      </c>
      <c r="AU267" s="3">
        <f>(AU138-AT138)*-1</f>
        <v>0</v>
      </c>
      <c r="AV267" s="3">
        <f>SUM(AR267:AU267)</f>
        <v>0</v>
      </c>
      <c r="AW267" s="3">
        <f>(AW138-AV138)*-1</f>
        <v>0</v>
      </c>
      <c r="AX267" s="3">
        <f>(AX138-AW138)*-1</f>
        <v>0</v>
      </c>
      <c r="AY267" s="3">
        <f>(AY138-AX138)*-1</f>
        <v>0</v>
      </c>
      <c r="AZ267" s="3">
        <f>(AZ138-AY138)*-1</f>
        <v>0</v>
      </c>
      <c r="BA267" s="3">
        <f>SUM(AW267:AZ267)</f>
        <v>0</v>
      </c>
      <c r="BB267" s="3">
        <f>(BB138-BA138)*-1</f>
        <v>0</v>
      </c>
      <c r="BC267" s="3">
        <f>(BC138-BB138)*-1</f>
        <v>0</v>
      </c>
      <c r="BD267" s="3">
        <f>(BD138-BC138)*-1</f>
        <v>0</v>
      </c>
      <c r="BE267" s="3">
        <f>(BE138-BD138)*-1</f>
        <v>0</v>
      </c>
      <c r="BF267" s="3">
        <f>SUM(BB267:BE267)</f>
        <v>0</v>
      </c>
      <c r="BG267" s="3">
        <f>(BG138-BF138)*-1</f>
        <v>0</v>
      </c>
      <c r="BH267" s="3">
        <f>(BH138-BG138)*-1</f>
        <v>0</v>
      </c>
      <c r="BI267" s="3">
        <f>(BI138-BH138)*-1</f>
        <v>0</v>
      </c>
      <c r="BJ267" s="3">
        <f>(BJ138-BI138)*-1</f>
        <v>0</v>
      </c>
      <c r="BK267" s="3">
        <f>SUM(BG267:BJ267)</f>
        <v>0</v>
      </c>
      <c r="BL267" s="3">
        <f>(BL138-BK138)*-1</f>
        <v>0</v>
      </c>
      <c r="BM267" s="3">
        <f>(BM138-BL138)*-1</f>
        <v>0</v>
      </c>
      <c r="BN267" s="3">
        <f>(BN138-BM138)*-1</f>
        <v>0</v>
      </c>
      <c r="BO267" s="3">
        <f>(BO138-BN138)*-1</f>
        <v>0</v>
      </c>
      <c r="BP267" s="3">
        <f>SUM(BL267:BO267)</f>
        <v>0</v>
      </c>
      <c r="BQ267" s="3">
        <f>(BQ138-BP138)*-1</f>
        <v>0</v>
      </c>
      <c r="BR267" s="3">
        <f>(BR138-BQ138)*-1</f>
        <v>0</v>
      </c>
      <c r="BS267" s="3">
        <f>(BS138-BR138)*-1</f>
        <v>0</v>
      </c>
      <c r="BT267" s="3">
        <f>(BT138-BS138)*-1</f>
        <v>0</v>
      </c>
      <c r="BU267" s="3">
        <f>SUM(BQ267:BT267)</f>
        <v>0</v>
      </c>
      <c r="BV267" s="3">
        <f>(BV138-BU138)*-1</f>
        <v>0</v>
      </c>
      <c r="BW267" s="3">
        <f>(BW138-BV138)*-1</f>
        <v>0</v>
      </c>
      <c r="BX267" s="3">
        <f>(BX138-BW138)*-1</f>
        <v>0</v>
      </c>
      <c r="BY267" s="3">
        <f>(BY138-BX138)*-1</f>
        <v>0</v>
      </c>
      <c r="BZ267" s="3">
        <f>SUM(BV267:BY267)</f>
        <v>0</v>
      </c>
      <c r="CA267" s="3">
        <f>(CA138-BZ138)*-1</f>
        <v>0</v>
      </c>
      <c r="CB267" s="3">
        <f>(CB138-CA138)*-1</f>
        <v>0</v>
      </c>
      <c r="CC267" s="3">
        <f>(CC138-CB138)*-1</f>
        <v>0</v>
      </c>
      <c r="CD267" s="3">
        <f>(CD138-CC138)*-1</f>
        <v>0</v>
      </c>
      <c r="CE267" s="3">
        <f>SUM(CA267:CD267)</f>
        <v>0</v>
      </c>
      <c r="CF267" s="3">
        <f>(CF138-CE138)*-1</f>
        <v>0</v>
      </c>
      <c r="CG267" s="3">
        <f>(CG138-CF138)*-1</f>
        <v>0</v>
      </c>
      <c r="CH267" s="3">
        <f>(CH138-CG138)*-1</f>
        <v>0</v>
      </c>
      <c r="CI267" s="3">
        <f>(CI138-CH138)*-1</f>
        <v>0</v>
      </c>
      <c r="CJ267" s="3">
        <f>SUM(CF267:CI267)</f>
        <v>0</v>
      </c>
      <c r="CK267" s="3">
        <f>(CK138-CJ138)*-1</f>
        <v>0</v>
      </c>
      <c r="CL267" s="3">
        <f>(CL138-CK138)*-1</f>
        <v>0</v>
      </c>
      <c r="CM267" s="3">
        <f>(CM138-CL138)*-1</f>
        <v>0</v>
      </c>
      <c r="CN267" s="3">
        <f>(CN138-CM138)*-1</f>
        <v>0</v>
      </c>
      <c r="CO267" s="3">
        <f>SUM(CK267:CN267)</f>
        <v>0</v>
      </c>
      <c r="CP267" s="3">
        <f>(CP138-CO138)*-1</f>
        <v>0</v>
      </c>
      <c r="CQ267" s="3">
        <f>(CQ138-CP138)*-1</f>
        <v>0</v>
      </c>
      <c r="CR267" s="3">
        <f>(CR138-CQ138)*-1</f>
        <v>0</v>
      </c>
      <c r="CS267" s="3">
        <f>(CS138-CR138)*-1</f>
        <v>0</v>
      </c>
      <c r="CT267" s="3">
        <f>SUM(CP267:CS267)</f>
        <v>0</v>
      </c>
      <c r="CU267" s="3">
        <f>(CU138-CT138)*-1</f>
        <v>0</v>
      </c>
      <c r="CV267" s="3">
        <f>(CV138-CU138)*-1</f>
        <v>0</v>
      </c>
      <c r="CW267" s="3">
        <f>(CW138-CV138)*-1</f>
        <v>0</v>
      </c>
      <c r="CX267" s="3">
        <f>(CX138-CW138)*-1</f>
        <v>0</v>
      </c>
      <c r="CY267" s="3">
        <f>SUM(CU267:CX267)</f>
        <v>0</v>
      </c>
    </row>
    <row r="268" hidden="1" outlineLevel="1">
      <c r="C268" s="29" t="inlineStr">
        <is>
          <t>Accounts payable</t>
        </is>
      </c>
      <c r="D268" s="3" t="n"/>
      <c r="E268" s="3">
        <f>E181-D181</f>
        <v>-686</v>
      </c>
      <c r="F268" s="3">
        <f>F181-E181</f>
        <v>110</v>
      </c>
      <c r="G268" s="3">
        <f>G181-F181</f>
        <v>935</v>
      </c>
      <c r="H268" s="3">
        <f>SUM(D268:G268)</f>
        <v>359</v>
      </c>
      <c r="I268" s="3">
        <f>I181-H181</f>
        <v>566</v>
      </c>
      <c r="J268" s="3">
        <f>J181-I181</f>
        <v>227</v>
      </c>
      <c r="K268" s="3">
        <f>K181-J181</f>
        <v>297</v>
      </c>
      <c r="L268" s="3">
        <f>L181-K181</f>
        <v>936</v>
      </c>
      <c r="M268" s="3">
        <f>SUM(I268:L268)</f>
        <v>2026</v>
      </c>
      <c r="N268" s="3">
        <f>N181-M181</f>
        <v>207</v>
      </c>
      <c r="O268" s="3">
        <f>O181-N181</f>
        <v>-269</v>
      </c>
      <c r="P268" s="3">
        <f>P181-O181</f>
        <v>168</v>
      </c>
      <c r="Q268" s="3">
        <f>Q181-P181</f>
        <v>429</v>
      </c>
      <c r="R268" s="3">
        <f>SUM(N268:Q268)</f>
        <v>535</v>
      </c>
      <c r="S268" s="3">
        <f>S181-R181</f>
        <v>262</v>
      </c>
      <c r="T268" s="3">
        <f>T181-S181</f>
        <v>-508</v>
      </c>
      <c r="U268" s="3">
        <f>U181-T181</f>
        <v>-616</v>
      </c>
      <c r="V268" s="3">
        <f>V181-U181</f>
        <v>79</v>
      </c>
      <c r="W268" s="3">
        <f>SUM(S268:V268)</f>
        <v>-783</v>
      </c>
      <c r="X268" s="3">
        <f>X181-W181</f>
        <v>-128</v>
      </c>
      <c r="Y268" s="3">
        <f>Y181-X181</f>
        <v>-203</v>
      </c>
      <c r="Z268" s="3">
        <f>Z181-Y181</f>
        <v>130</v>
      </c>
      <c r="AA268" s="3">
        <f>AA181-Z181</f>
        <v>-30</v>
      </c>
      <c r="AB268" s="3">
        <f>SUM(X268:AA268)</f>
        <v>-231</v>
      </c>
      <c r="AC268" s="3">
        <f>AC181-AB181</f>
        <v>117</v>
      </c>
      <c r="AD268" s="3">
        <f>AD181-AC181</f>
        <v>771</v>
      </c>
      <c r="AE268" s="3">
        <f>AE181-AD181</f>
        <v>166</v>
      </c>
      <c r="AF268" s="3">
        <f>AF181-AE181</f>
        <v>239</v>
      </c>
      <c r="AG268" s="3">
        <f>SUM(AC268:AF268)</f>
        <v>1293</v>
      </c>
      <c r="AH268" s="3">
        <f>AH181-AG181</f>
        <v>673</v>
      </c>
      <c r="AI268" s="3">
        <f>AI181-AH181</f>
        <v>672</v>
      </c>
      <c r="AJ268" s="3">
        <f>AJ181-AI181</f>
        <v>-10313</v>
      </c>
      <c r="AK268" s="3">
        <f>AK181-AJ181</f>
        <v>0</v>
      </c>
      <c r="AL268" s="3">
        <f>SUM(AH268:AK268)</f>
        <v>-8968</v>
      </c>
      <c r="AM268" s="3">
        <f>AM181-AL181</f>
        <v>0</v>
      </c>
      <c r="AN268" s="3">
        <f>AN181-AM181</f>
        <v>0</v>
      </c>
      <c r="AO268" s="3">
        <f>AO181-AN181</f>
        <v>0</v>
      </c>
      <c r="AP268" s="3">
        <f>AP181-AO181</f>
        <v>0</v>
      </c>
      <c r="AQ268" s="3">
        <f>SUM(AM268:AP268)</f>
        <v>0</v>
      </c>
      <c r="AR268" s="3">
        <f>AR181-AQ181</f>
        <v>0</v>
      </c>
      <c r="AS268" s="3">
        <f>AS181-AR181</f>
        <v>0</v>
      </c>
      <c r="AT268" s="3">
        <f>AT181-AS181</f>
        <v>0</v>
      </c>
      <c r="AU268" s="3">
        <f>AU181-AT181</f>
        <v>0</v>
      </c>
      <c r="AV268" s="3">
        <f>SUM(AR268:AU268)</f>
        <v>0</v>
      </c>
      <c r="AW268" s="3">
        <f>AW181-AV181</f>
        <v>0</v>
      </c>
      <c r="AX268" s="3">
        <f>AX181-AW181</f>
        <v>0</v>
      </c>
      <c r="AY268" s="3">
        <f>AY181-AX181</f>
        <v>0</v>
      </c>
      <c r="AZ268" s="3">
        <f>AZ181-AY181</f>
        <v>0</v>
      </c>
      <c r="BA268" s="3">
        <f>SUM(AW268:AZ268)</f>
        <v>0</v>
      </c>
      <c r="BB268" s="3">
        <f>BB181-BA181</f>
        <v>0</v>
      </c>
      <c r="BC268" s="3">
        <f>BC181-BB181</f>
        <v>0</v>
      </c>
      <c r="BD268" s="3">
        <f>BD181-BC181</f>
        <v>0</v>
      </c>
      <c r="BE268" s="3">
        <f>BE181-BD181</f>
        <v>0</v>
      </c>
      <c r="BF268" s="3">
        <f>SUM(BB268:BE268)</f>
        <v>0</v>
      </c>
      <c r="BG268" s="3">
        <f>BG181-BF181</f>
        <v>0</v>
      </c>
      <c r="BH268" s="3">
        <f>BH181-BG181</f>
        <v>0</v>
      </c>
      <c r="BI268" s="3">
        <f>BI181-BH181</f>
        <v>0</v>
      </c>
      <c r="BJ268" s="3">
        <f>BJ181-BI181</f>
        <v>0</v>
      </c>
      <c r="BK268" s="3">
        <f>SUM(BG268:BJ268)</f>
        <v>0</v>
      </c>
      <c r="BL268" s="3">
        <f>BL181-BK181</f>
        <v>0</v>
      </c>
      <c r="BM268" s="3">
        <f>BM181-BL181</f>
        <v>0</v>
      </c>
      <c r="BN268" s="3">
        <f>BN181-BM181</f>
        <v>0</v>
      </c>
      <c r="BO268" s="3">
        <f>BO181-BN181</f>
        <v>0</v>
      </c>
      <c r="BP268" s="3">
        <f>SUM(BL268:BO268)</f>
        <v>0</v>
      </c>
      <c r="BQ268" s="3">
        <f>BQ181-BP181</f>
        <v>0</v>
      </c>
      <c r="BR268" s="3">
        <f>BR181-BQ181</f>
        <v>0</v>
      </c>
      <c r="BS268" s="3">
        <f>BS181-BR181</f>
        <v>0</v>
      </c>
      <c r="BT268" s="3">
        <f>BT181-BS181</f>
        <v>0</v>
      </c>
      <c r="BU268" s="3">
        <f>SUM(BQ268:BT268)</f>
        <v>0</v>
      </c>
      <c r="BV268" s="3">
        <f>BV181-BU181</f>
        <v>0</v>
      </c>
      <c r="BW268" s="3">
        <f>BW181-BV181</f>
        <v>0</v>
      </c>
      <c r="BX268" s="3">
        <f>BX181-BW181</f>
        <v>0</v>
      </c>
      <c r="BY268" s="3">
        <f>BY181-BX181</f>
        <v>0</v>
      </c>
      <c r="BZ268" s="3">
        <f>SUM(BV268:BY268)</f>
        <v>0</v>
      </c>
      <c r="CA268" s="3">
        <f>CA181-BZ181</f>
        <v>0</v>
      </c>
      <c r="CB268" s="3">
        <f>CB181-CA181</f>
        <v>0</v>
      </c>
      <c r="CC268" s="3">
        <f>CC181-CB181</f>
        <v>0</v>
      </c>
      <c r="CD268" s="3">
        <f>CD181-CC181</f>
        <v>0</v>
      </c>
      <c r="CE268" s="3">
        <f>SUM(CA268:CD268)</f>
        <v>0</v>
      </c>
      <c r="CF268" s="3">
        <f>CF181-CE181</f>
        <v>0</v>
      </c>
      <c r="CG268" s="3">
        <f>CG181-CF181</f>
        <v>0</v>
      </c>
      <c r="CH268" s="3">
        <f>CH181-CG181</f>
        <v>0</v>
      </c>
      <c r="CI268" s="3">
        <f>CI181-CH181</f>
        <v>0</v>
      </c>
      <c r="CJ268" s="3">
        <f>SUM(CF268:CI268)</f>
        <v>0</v>
      </c>
      <c r="CK268" s="3">
        <f>CK181-CJ181</f>
        <v>0</v>
      </c>
      <c r="CL268" s="3">
        <f>CL181-CK181</f>
        <v>0</v>
      </c>
      <c r="CM268" s="3">
        <f>CM181-CL181</f>
        <v>0</v>
      </c>
      <c r="CN268" s="3">
        <f>CN181-CM181</f>
        <v>0</v>
      </c>
      <c r="CO268" s="3">
        <f>SUM(CK268:CN268)</f>
        <v>0</v>
      </c>
      <c r="CP268" s="3">
        <f>CP181-CO181</f>
        <v>0</v>
      </c>
      <c r="CQ268" s="3">
        <f>CQ181-CP181</f>
        <v>0</v>
      </c>
      <c r="CR268" s="3">
        <f>CR181-CQ181</f>
        <v>0</v>
      </c>
      <c r="CS268" s="3">
        <f>CS181-CR181</f>
        <v>0</v>
      </c>
      <c r="CT268" s="3">
        <f>SUM(CP268:CS268)</f>
        <v>0</v>
      </c>
      <c r="CU268" s="3">
        <f>CU181-CT181</f>
        <v>0</v>
      </c>
      <c r="CV268" s="3">
        <f>CV181-CU181</f>
        <v>0</v>
      </c>
      <c r="CW268" s="3">
        <f>CW181-CV181</f>
        <v>0</v>
      </c>
      <c r="CX268" s="3">
        <f>CX181-CW181</f>
        <v>0</v>
      </c>
      <c r="CY268" s="3">
        <f>SUM(CU268:CX268)</f>
        <v>0</v>
      </c>
    </row>
    <row r="269" hidden="1" outlineLevel="1">
      <c r="C269" s="29" t="inlineStr">
        <is>
          <t>Accrued expenses</t>
        </is>
      </c>
      <c r="D269" s="3" t="n"/>
      <c r="E269" s="3">
        <f>E185-D185</f>
        <v>-149</v>
      </c>
      <c r="F269" s="3">
        <f>F185-E185</f>
        <v>74</v>
      </c>
      <c r="G269" s="3">
        <f>G185-F185</f>
        <v>159</v>
      </c>
      <c r="H269" s="3">
        <f>SUM(D269:G269)</f>
        <v>84</v>
      </c>
      <c r="I269" s="3">
        <f>I185-H185</f>
        <v>119</v>
      </c>
      <c r="J269" s="3">
        <f>J185-I185</f>
        <v>458</v>
      </c>
      <c r="K269" s="3">
        <f>K185-J185</f>
        <v>339</v>
      </c>
      <c r="L269" s="3">
        <f>L185-K185</f>
        <v>345</v>
      </c>
      <c r="M269" s="3">
        <f>SUM(I269:L269)</f>
        <v>1261</v>
      </c>
      <c r="N269" s="3">
        <f>N185-M185</f>
        <v>-878</v>
      </c>
      <c r="O269" s="3">
        <f>O185-N185</f>
        <v>433</v>
      </c>
      <c r="P269" s="3">
        <f>P185-O185</f>
        <v>663</v>
      </c>
      <c r="Q269" s="3">
        <f>Q185-P185</f>
        <v>176</v>
      </c>
      <c r="R269" s="3">
        <f>SUM(N269:Q269)</f>
        <v>394</v>
      </c>
      <c r="S269" s="3">
        <f>S185-R185</f>
        <v>-904</v>
      </c>
      <c r="T269" s="3">
        <f>T185-S185</f>
        <v>759</v>
      </c>
      <c r="U269" s="3">
        <f>U185-T185</f>
        <v>721</v>
      </c>
      <c r="V269" s="3">
        <f>V185-U185</f>
        <v>746</v>
      </c>
      <c r="W269" s="3">
        <f>SUM(S269:V269)</f>
        <v>1322</v>
      </c>
      <c r="X269" s="3">
        <f>X185-W185</f>
        <v>-1603</v>
      </c>
      <c r="Y269" s="3">
        <f>Y185-X185</f>
        <v>512</v>
      </c>
      <c r="Z269" s="3">
        <f>Z185-Y185</f>
        <v>434</v>
      </c>
      <c r="AA269" s="3">
        <f>AA185-Z185</f>
        <v>576</v>
      </c>
      <c r="AB269" s="3">
        <f>SUM(X269:AA269)</f>
        <v>-81</v>
      </c>
      <c r="AC269" s="3">
        <f>AC185-AB185</f>
        <v>-1385</v>
      </c>
      <c r="AD269" s="3">
        <f>AD185-AC185</f>
        <v>576</v>
      </c>
      <c r="AE269" s="3">
        <f>AE185-AD185</f>
        <v>488</v>
      </c>
      <c r="AF269" s="3">
        <f>AF185-AE185</f>
        <v>828</v>
      </c>
      <c r="AG269" s="3">
        <f>SUM(AC269:AF269)</f>
        <v>507</v>
      </c>
      <c r="AH269" s="3">
        <f>AH185-AG185</f>
        <v>-1253</v>
      </c>
      <c r="AI269" s="3">
        <f>AI185-AH185</f>
        <v>1085</v>
      </c>
      <c r="AJ269" s="3">
        <f>AJ185-AI185</f>
        <v>-7973</v>
      </c>
      <c r="AK269" s="3">
        <f>AK185-AJ185</f>
        <v>0</v>
      </c>
      <c r="AL269" s="3">
        <f>SUM(AH269:AK269)</f>
        <v>-8141</v>
      </c>
      <c r="AM269" s="3" t="e">
        <f>AM185-AL185</f>
        <v>#DIV/0!</v>
      </c>
      <c r="AN269" s="3" t="e">
        <f>AN185-AM185</f>
        <v>#DIV/0!</v>
      </c>
      <c r="AO269" s="3" t="e">
        <f>AO185-AN185</f>
        <v>#DIV/0!</v>
      </c>
      <c r="AP269" s="3" t="e">
        <f>AP185-AO185</f>
        <v>#DIV/0!</v>
      </c>
      <c r="AQ269" s="3" t="e">
        <f>SUM(AM269:AP269)</f>
        <v>#DIV/0!</v>
      </c>
      <c r="AR269" s="3" t="e">
        <f>AR185-AQ185</f>
        <v>#DIV/0!</v>
      </c>
      <c r="AS269" s="3" t="e">
        <f>AS185-AR185</f>
        <v>#DIV/0!</v>
      </c>
      <c r="AT269" s="3" t="e">
        <f>AT185-AS185</f>
        <v>#DIV/0!</v>
      </c>
      <c r="AU269" s="3" t="e">
        <f>AU185-AT185</f>
        <v>#DIV/0!</v>
      </c>
      <c r="AV269" s="3" t="e">
        <f>SUM(AR269:AU269)</f>
        <v>#DIV/0!</v>
      </c>
      <c r="AW269" s="3" t="e">
        <f>AW185-AV185</f>
        <v>#DIV/0!</v>
      </c>
      <c r="AX269" s="3" t="e">
        <f>AX185-AW185</f>
        <v>#DIV/0!</v>
      </c>
      <c r="AY269" s="3" t="e">
        <f>AY185-AX185</f>
        <v>#DIV/0!</v>
      </c>
      <c r="AZ269" s="3" t="e">
        <f>AZ185-AY185</f>
        <v>#DIV/0!</v>
      </c>
      <c r="BA269" s="3" t="e">
        <f>SUM(AW269:AZ269)</f>
        <v>#DIV/0!</v>
      </c>
      <c r="BB269" s="3" t="e">
        <f>BB185-BA185</f>
        <v>#DIV/0!</v>
      </c>
      <c r="BC269" s="3" t="e">
        <f>BC185-BB185</f>
        <v>#DIV/0!</v>
      </c>
      <c r="BD269" s="3" t="e">
        <f>BD185-BC185</f>
        <v>#DIV/0!</v>
      </c>
      <c r="BE269" s="3" t="e">
        <f>BE185-BD185</f>
        <v>#DIV/0!</v>
      </c>
      <c r="BF269" s="3" t="e">
        <f>SUM(BB269:BE269)</f>
        <v>#DIV/0!</v>
      </c>
      <c r="BG269" s="3" t="e">
        <f>BG185-BF185</f>
        <v>#DIV/0!</v>
      </c>
      <c r="BH269" s="3" t="e">
        <f>BH185-BG185</f>
        <v>#DIV/0!</v>
      </c>
      <c r="BI269" s="3" t="e">
        <f>BI185-BH185</f>
        <v>#DIV/0!</v>
      </c>
      <c r="BJ269" s="3" t="e">
        <f>BJ185-BI185</f>
        <v>#DIV/0!</v>
      </c>
      <c r="BK269" s="3" t="e">
        <f>SUM(BG269:BJ269)</f>
        <v>#DIV/0!</v>
      </c>
      <c r="BL269" s="3" t="e">
        <f>BL185-BK185</f>
        <v>#DIV/0!</v>
      </c>
      <c r="BM269" s="3" t="e">
        <f>BM185-BL185</f>
        <v>#DIV/0!</v>
      </c>
      <c r="BN269" s="3" t="e">
        <f>BN185-BM185</f>
        <v>#DIV/0!</v>
      </c>
      <c r="BO269" s="3" t="e">
        <f>BO185-BN185</f>
        <v>#DIV/0!</v>
      </c>
      <c r="BP269" s="3" t="e">
        <f>SUM(BL269:BO269)</f>
        <v>#DIV/0!</v>
      </c>
      <c r="BQ269" s="3" t="e">
        <f>BQ185-BP185</f>
        <v>#DIV/0!</v>
      </c>
      <c r="BR269" s="3" t="e">
        <f>BR185-BQ185</f>
        <v>#DIV/0!</v>
      </c>
      <c r="BS269" s="3" t="e">
        <f>BS185-BR185</f>
        <v>#DIV/0!</v>
      </c>
      <c r="BT269" s="3" t="e">
        <f>BT185-BS185</f>
        <v>#DIV/0!</v>
      </c>
      <c r="BU269" s="3" t="e">
        <f>SUM(BQ269:BT269)</f>
        <v>#DIV/0!</v>
      </c>
      <c r="BV269" s="3" t="e">
        <f>BV185-BU185</f>
        <v>#DIV/0!</v>
      </c>
      <c r="BW269" s="3" t="e">
        <f>BW185-BV185</f>
        <v>#DIV/0!</v>
      </c>
      <c r="BX269" s="3" t="e">
        <f>BX185-BW185</f>
        <v>#DIV/0!</v>
      </c>
      <c r="BY269" s="3" t="e">
        <f>BY185-BX185</f>
        <v>#DIV/0!</v>
      </c>
      <c r="BZ269" s="3" t="e">
        <f>SUM(BV269:BY269)</f>
        <v>#DIV/0!</v>
      </c>
      <c r="CA269" s="3" t="e">
        <f>CA185-BZ185</f>
        <v>#DIV/0!</v>
      </c>
      <c r="CB269" s="3" t="e">
        <f>CB185-CA185</f>
        <v>#DIV/0!</v>
      </c>
      <c r="CC269" s="3" t="e">
        <f>CC185-CB185</f>
        <v>#DIV/0!</v>
      </c>
      <c r="CD269" s="3" t="e">
        <f>CD185-CC185</f>
        <v>#DIV/0!</v>
      </c>
      <c r="CE269" s="3" t="e">
        <f>SUM(CA269:CD269)</f>
        <v>#DIV/0!</v>
      </c>
      <c r="CF269" s="3" t="e">
        <f>CF185-CE185</f>
        <v>#DIV/0!</v>
      </c>
      <c r="CG269" s="3" t="e">
        <f>CG185-CF185</f>
        <v>#DIV/0!</v>
      </c>
      <c r="CH269" s="3" t="e">
        <f>CH185-CG185</f>
        <v>#DIV/0!</v>
      </c>
      <c r="CI269" s="3" t="e">
        <f>CI185-CH185</f>
        <v>#DIV/0!</v>
      </c>
      <c r="CJ269" s="3" t="e">
        <f>SUM(CF269:CI269)</f>
        <v>#DIV/0!</v>
      </c>
      <c r="CK269" s="3" t="e">
        <f>CK185-CJ185</f>
        <v>#DIV/0!</v>
      </c>
      <c r="CL269" s="3" t="e">
        <f>CL185-CK185</f>
        <v>#DIV/0!</v>
      </c>
      <c r="CM269" s="3" t="e">
        <f>CM185-CL185</f>
        <v>#DIV/0!</v>
      </c>
      <c r="CN269" s="3" t="e">
        <f>CN185-CM185</f>
        <v>#DIV/0!</v>
      </c>
      <c r="CO269" s="3" t="e">
        <f>SUM(CK269:CN269)</f>
        <v>#DIV/0!</v>
      </c>
      <c r="CP269" s="3" t="e">
        <f>CP185-CO185</f>
        <v>#DIV/0!</v>
      </c>
      <c r="CQ269" s="3" t="e">
        <f>CQ185-CP185</f>
        <v>#DIV/0!</v>
      </c>
      <c r="CR269" s="3" t="e">
        <f>CR185-CQ185</f>
        <v>#DIV/0!</v>
      </c>
      <c r="CS269" s="3" t="e">
        <f>CS185-CR185</f>
        <v>#DIV/0!</v>
      </c>
      <c r="CT269" s="3" t="e">
        <f>SUM(CP269:CS269)</f>
        <v>#DIV/0!</v>
      </c>
      <c r="CU269" s="3" t="e">
        <f>CU185-CT185</f>
        <v>#DIV/0!</v>
      </c>
      <c r="CV269" s="3" t="e">
        <f>CV185-CU185</f>
        <v>#DIV/0!</v>
      </c>
      <c r="CW269" s="3" t="e">
        <f>CW185-CV185</f>
        <v>#DIV/0!</v>
      </c>
      <c r="CX269" s="3" t="e">
        <f>CX185-CW185</f>
        <v>#DIV/0!</v>
      </c>
      <c r="CY269" s="3" t="e">
        <f>SUM(CU269:CX269)</f>
        <v>#DIV/0!</v>
      </c>
    </row>
    <row r="270" hidden="1" outlineLevel="1">
      <c r="C270" s="29" t="inlineStr">
        <is>
          <t>Taxes payable</t>
        </is>
      </c>
      <c r="D270" s="3" t="n"/>
      <c r="E270" s="3">
        <f>E187-D187</f>
        <v>0</v>
      </c>
      <c r="F270" s="3">
        <f>F187-E187</f>
        <v>0</v>
      </c>
      <c r="G270" s="3">
        <f>G187-F187</f>
        <v>0</v>
      </c>
      <c r="H270" s="3">
        <f>SUM(D270:G270)</f>
        <v>0</v>
      </c>
      <c r="I270" s="3">
        <f>I187-H187</f>
        <v>0</v>
      </c>
      <c r="J270" s="3">
        <f>J187-I187</f>
        <v>0</v>
      </c>
      <c r="K270" s="3">
        <f>K187-J187</f>
        <v>0</v>
      </c>
      <c r="L270" s="3">
        <f>L187-K187</f>
        <v>0</v>
      </c>
      <c r="M270" s="3">
        <f>SUM(I270:L270)</f>
        <v>0</v>
      </c>
      <c r="N270" s="3">
        <f>N187-M187</f>
        <v>0</v>
      </c>
      <c r="O270" s="3">
        <f>O187-N187</f>
        <v>0</v>
      </c>
      <c r="P270" s="3">
        <f>P187-O187</f>
        <v>0</v>
      </c>
      <c r="Q270" s="3">
        <f>Q187-P187</f>
        <v>0</v>
      </c>
      <c r="R270" s="3">
        <f>SUM(N270:Q270)</f>
        <v>0</v>
      </c>
      <c r="S270" s="3">
        <f>S187-R187</f>
        <v>0</v>
      </c>
      <c r="T270" s="3">
        <f>T187-S187</f>
        <v>0</v>
      </c>
      <c r="U270" s="3">
        <f>U187-T187</f>
        <v>0</v>
      </c>
      <c r="V270" s="3">
        <f>V187-U187</f>
        <v>0</v>
      </c>
      <c r="W270" s="3">
        <f>SUM(S270:V270)</f>
        <v>0</v>
      </c>
      <c r="X270" s="3">
        <f>X187-W187</f>
        <v>0</v>
      </c>
      <c r="Y270" s="3">
        <f>Y187-X187</f>
        <v>0</v>
      </c>
      <c r="Z270" s="3">
        <f>Z187-Y187</f>
        <v>0</v>
      </c>
      <c r="AA270" s="3">
        <f>AA187-Z187</f>
        <v>0</v>
      </c>
      <c r="AB270" s="3">
        <f>SUM(X270:AA270)</f>
        <v>0</v>
      </c>
      <c r="AC270" s="3">
        <f>AC187-AB187</f>
        <v>0</v>
      </c>
      <c r="AD270" s="3">
        <f>AD187-AC187</f>
        <v>0</v>
      </c>
      <c r="AE270" s="3">
        <f>AE187-AD187</f>
        <v>0</v>
      </c>
      <c r="AF270" s="3">
        <f>AF187-AE187</f>
        <v>0</v>
      </c>
      <c r="AG270" s="3">
        <f>SUM(AC270:AF270)</f>
        <v>0</v>
      </c>
      <c r="AH270" s="3">
        <f>AH187-AG187</f>
        <v>0</v>
      </c>
      <c r="AI270" s="3">
        <f>AI187-AH187</f>
        <v>0</v>
      </c>
      <c r="AJ270" s="3">
        <f>AJ187-AI187</f>
        <v>0</v>
      </c>
      <c r="AK270" s="3">
        <f>AK187-AJ187</f>
        <v>0</v>
      </c>
      <c r="AL270" s="3">
        <f>SUM(AH270:AK270)</f>
        <v>0</v>
      </c>
      <c r="AM270" s="3" t="e">
        <f>AM187-AL187</f>
        <v>#DIV/0!</v>
      </c>
      <c r="AN270" s="3" t="e">
        <f>AN187-AM187</f>
        <v>#DIV/0!</v>
      </c>
      <c r="AO270" s="3" t="e">
        <f>AO187-AN187</f>
        <v>#DIV/0!</v>
      </c>
      <c r="AP270" s="3" t="e">
        <f>AP187-AO187</f>
        <v>#DIV/0!</v>
      </c>
      <c r="AQ270" s="3" t="e">
        <f>SUM(AM270:AP270)</f>
        <v>#DIV/0!</v>
      </c>
      <c r="AR270" s="3" t="e">
        <f>AR187-AQ187</f>
        <v>#DIV/0!</v>
      </c>
      <c r="AS270" s="3" t="e">
        <f>AS187-AR187</f>
        <v>#DIV/0!</v>
      </c>
      <c r="AT270" s="3" t="e">
        <f>AT187-AS187</f>
        <v>#DIV/0!</v>
      </c>
      <c r="AU270" s="3" t="e">
        <f>AU187-AT187</f>
        <v>#DIV/0!</v>
      </c>
      <c r="AV270" s="3" t="e">
        <f>SUM(AR270:AU270)</f>
        <v>#DIV/0!</v>
      </c>
      <c r="AW270" s="3" t="e">
        <f>AW187-AV187</f>
        <v>#DIV/0!</v>
      </c>
      <c r="AX270" s="3" t="e">
        <f>AX187-AW187</f>
        <v>#DIV/0!</v>
      </c>
      <c r="AY270" s="3" t="e">
        <f>AY187-AX187</f>
        <v>#DIV/0!</v>
      </c>
      <c r="AZ270" s="3" t="e">
        <f>AZ187-AY187</f>
        <v>#DIV/0!</v>
      </c>
      <c r="BA270" s="3" t="e">
        <f>SUM(AW270:AZ270)</f>
        <v>#DIV/0!</v>
      </c>
      <c r="BB270" s="3" t="e">
        <f>BB187-BA187</f>
        <v>#DIV/0!</v>
      </c>
      <c r="BC270" s="3" t="e">
        <f>BC187-BB187</f>
        <v>#DIV/0!</v>
      </c>
      <c r="BD270" s="3" t="e">
        <f>BD187-BC187</f>
        <v>#DIV/0!</v>
      </c>
      <c r="BE270" s="3" t="e">
        <f>BE187-BD187</f>
        <v>#DIV/0!</v>
      </c>
      <c r="BF270" s="3" t="e">
        <f>SUM(BB270:BE270)</f>
        <v>#DIV/0!</v>
      </c>
      <c r="BG270" s="3" t="e">
        <f>BG187-BF187</f>
        <v>#DIV/0!</v>
      </c>
      <c r="BH270" s="3" t="e">
        <f>BH187-BG187</f>
        <v>#DIV/0!</v>
      </c>
      <c r="BI270" s="3" t="e">
        <f>BI187-BH187</f>
        <v>#DIV/0!</v>
      </c>
      <c r="BJ270" s="3" t="e">
        <f>BJ187-BI187</f>
        <v>#DIV/0!</v>
      </c>
      <c r="BK270" s="3" t="e">
        <f>SUM(BG270:BJ270)</f>
        <v>#DIV/0!</v>
      </c>
      <c r="BL270" s="3" t="e">
        <f>BL187-BK187</f>
        <v>#DIV/0!</v>
      </c>
      <c r="BM270" s="3" t="e">
        <f>BM187-BL187</f>
        <v>#DIV/0!</v>
      </c>
      <c r="BN270" s="3" t="e">
        <f>BN187-BM187</f>
        <v>#DIV/0!</v>
      </c>
      <c r="BO270" s="3" t="e">
        <f>BO187-BN187</f>
        <v>#DIV/0!</v>
      </c>
      <c r="BP270" s="3" t="e">
        <f>SUM(BL270:BO270)</f>
        <v>#DIV/0!</v>
      </c>
      <c r="BQ270" s="3" t="e">
        <f>BQ187-BP187</f>
        <v>#DIV/0!</v>
      </c>
      <c r="BR270" s="3" t="e">
        <f>BR187-BQ187</f>
        <v>#DIV/0!</v>
      </c>
      <c r="BS270" s="3" t="e">
        <f>BS187-BR187</f>
        <v>#DIV/0!</v>
      </c>
      <c r="BT270" s="3" t="e">
        <f>BT187-BS187</f>
        <v>#DIV/0!</v>
      </c>
      <c r="BU270" s="3" t="e">
        <f>SUM(BQ270:BT270)</f>
        <v>#DIV/0!</v>
      </c>
      <c r="BV270" s="3" t="e">
        <f>BV187-BU187</f>
        <v>#DIV/0!</v>
      </c>
      <c r="BW270" s="3" t="e">
        <f>BW187-BV187</f>
        <v>#DIV/0!</v>
      </c>
      <c r="BX270" s="3" t="e">
        <f>BX187-BW187</f>
        <v>#DIV/0!</v>
      </c>
      <c r="BY270" s="3" t="e">
        <f>BY187-BX187</f>
        <v>#DIV/0!</v>
      </c>
      <c r="BZ270" s="3" t="e">
        <f>SUM(BV270:BY270)</f>
        <v>#DIV/0!</v>
      </c>
      <c r="CA270" s="3" t="e">
        <f>CA187-BZ187</f>
        <v>#DIV/0!</v>
      </c>
      <c r="CB270" s="3" t="e">
        <f>CB187-CA187</f>
        <v>#DIV/0!</v>
      </c>
      <c r="CC270" s="3" t="e">
        <f>CC187-CB187</f>
        <v>#DIV/0!</v>
      </c>
      <c r="CD270" s="3" t="e">
        <f>CD187-CC187</f>
        <v>#DIV/0!</v>
      </c>
      <c r="CE270" s="3" t="e">
        <f>SUM(CA270:CD270)</f>
        <v>#DIV/0!</v>
      </c>
      <c r="CF270" s="3" t="e">
        <f>CF187-CE187</f>
        <v>#DIV/0!</v>
      </c>
      <c r="CG270" s="3" t="e">
        <f>CG187-CF187</f>
        <v>#DIV/0!</v>
      </c>
      <c r="CH270" s="3" t="e">
        <f>CH187-CG187</f>
        <v>#DIV/0!</v>
      </c>
      <c r="CI270" s="3" t="e">
        <f>CI187-CH187</f>
        <v>#DIV/0!</v>
      </c>
      <c r="CJ270" s="3" t="e">
        <f>SUM(CF270:CI270)</f>
        <v>#DIV/0!</v>
      </c>
      <c r="CK270" s="3" t="e">
        <f>CK187-CJ187</f>
        <v>#DIV/0!</v>
      </c>
      <c r="CL270" s="3" t="e">
        <f>CL187-CK187</f>
        <v>#DIV/0!</v>
      </c>
      <c r="CM270" s="3" t="e">
        <f>CM187-CL187</f>
        <v>#DIV/0!</v>
      </c>
      <c r="CN270" s="3" t="e">
        <f>CN187-CM187</f>
        <v>#DIV/0!</v>
      </c>
      <c r="CO270" s="3" t="e">
        <f>SUM(CK270:CN270)</f>
        <v>#DIV/0!</v>
      </c>
      <c r="CP270" s="3" t="e">
        <f>CP187-CO187</f>
        <v>#DIV/0!</v>
      </c>
      <c r="CQ270" s="3" t="e">
        <f>CQ187-CP187</f>
        <v>#DIV/0!</v>
      </c>
      <c r="CR270" s="3" t="e">
        <f>CR187-CQ187</f>
        <v>#DIV/0!</v>
      </c>
      <c r="CS270" s="3" t="e">
        <f>CS187-CR187</f>
        <v>#DIV/0!</v>
      </c>
      <c r="CT270" s="3" t="e">
        <f>SUM(CP270:CS270)</f>
        <v>#DIV/0!</v>
      </c>
      <c r="CU270" s="3" t="e">
        <f>CU187-CT187</f>
        <v>#DIV/0!</v>
      </c>
      <c r="CV270" s="3" t="e">
        <f>CV187-CU187</f>
        <v>#DIV/0!</v>
      </c>
      <c r="CW270" s="3" t="e">
        <f>CW187-CV187</f>
        <v>#DIV/0!</v>
      </c>
      <c r="CX270" s="3" t="e">
        <f>CX187-CW187</f>
        <v>#DIV/0!</v>
      </c>
      <c r="CY270" s="3" t="e">
        <f>SUM(CU270:CX270)</f>
        <v>#DIV/0!</v>
      </c>
    </row>
    <row r="271" hidden="1" outlineLevel="1">
      <c r="C271" s="29" t="inlineStr">
        <is>
          <t>Other current liabilities (non-debt)</t>
        </is>
      </c>
      <c r="D271" s="3" t="n"/>
      <c r="E271" s="3">
        <f>E188-D188</f>
        <v>-450</v>
      </c>
      <c r="F271" s="3">
        <f>F188-E188</f>
        <v>-12456</v>
      </c>
      <c r="G271" s="3">
        <f>G188-F188</f>
        <v>500</v>
      </c>
      <c r="H271" s="3">
        <f>SUM(D271:G271)</f>
        <v>-12406</v>
      </c>
      <c r="I271" s="3">
        <f>I188-H188</f>
        <v>-484</v>
      </c>
      <c r="J271" s="3">
        <f>J188-I188</f>
        <v>688</v>
      </c>
      <c r="K271" s="3">
        <f>K188-J188</f>
        <v>-417</v>
      </c>
      <c r="L271" s="3">
        <f>L188-K188</f>
        <v>464</v>
      </c>
      <c r="M271" s="3">
        <f>SUM(I271:L271)</f>
        <v>251</v>
      </c>
      <c r="N271" s="3">
        <f>N188-M188</f>
        <v>-195</v>
      </c>
      <c r="O271" s="3">
        <f>O188-N188</f>
        <v>831</v>
      </c>
      <c r="P271" s="3">
        <f>P188-O188</f>
        <v>135</v>
      </c>
      <c r="Q271" s="3">
        <f>Q188-P188</f>
        <v>461</v>
      </c>
      <c r="R271" s="3">
        <f>SUM(N271:Q271)</f>
        <v>1232</v>
      </c>
      <c r="S271" s="3">
        <f>S188-R188</f>
        <v>67</v>
      </c>
      <c r="T271" s="3">
        <f>T188-S188</f>
        <v>672</v>
      </c>
      <c r="U271" s="3">
        <f>U188-T188</f>
        <v>-461</v>
      </c>
      <c r="V271" s="3">
        <f>V188-U188</f>
        <v>253</v>
      </c>
      <c r="W271" s="3">
        <f>SUM(S271:V271)</f>
        <v>531</v>
      </c>
      <c r="X271" s="3">
        <f>X188-W188</f>
        <v>-242</v>
      </c>
      <c r="Y271" s="3">
        <f>Y188-X188</f>
        <v>431</v>
      </c>
      <c r="Z271" s="3">
        <f>Z188-Y188</f>
        <v>-552</v>
      </c>
      <c r="AA271" s="3">
        <f>AA188-Z188</f>
        <v>567</v>
      </c>
      <c r="AB271" s="3">
        <f>SUM(X271:AA271)</f>
        <v>204</v>
      </c>
      <c r="AC271" s="3">
        <f>AC188-AB188</f>
        <v>-120</v>
      </c>
      <c r="AD271" s="3">
        <f>AD188-AC188</f>
        <v>961</v>
      </c>
      <c r="AE271" s="3">
        <f>AE188-AD188</f>
        <v>-595</v>
      </c>
      <c r="AF271" s="3">
        <f>AF188-AE188</f>
        <v>664</v>
      </c>
      <c r="AG271" s="3">
        <f>SUM(AC271:AF271)</f>
        <v>910</v>
      </c>
      <c r="AH271" s="3">
        <f>AH188-AG188</f>
        <v>134</v>
      </c>
      <c r="AI271" s="3">
        <f>AI188-AH188</f>
        <v>1448</v>
      </c>
      <c r="AJ271" s="3">
        <f>AJ188-AI188</f>
        <v>0</v>
      </c>
      <c r="AK271" s="3">
        <f>AK188-AJ188</f>
        <v>0</v>
      </c>
      <c r="AL271" s="3">
        <f>SUM(AH271:AK271)</f>
        <v>1582</v>
      </c>
      <c r="AM271" s="3">
        <f>AM188-AL188</f>
        <v>0</v>
      </c>
      <c r="AN271" s="3">
        <f>AN188-AM188</f>
        <v>0</v>
      </c>
      <c r="AO271" s="3">
        <f>AO188-AN188</f>
        <v>0</v>
      </c>
      <c r="AP271" s="3">
        <f>AP188-AO188</f>
        <v>0</v>
      </c>
      <c r="AQ271" s="3">
        <f>SUM(AM271:AP271)</f>
        <v>0</v>
      </c>
      <c r="AR271" s="3">
        <f>AR188-AQ188</f>
        <v>0</v>
      </c>
      <c r="AS271" s="3">
        <f>AS188-AR188</f>
        <v>0</v>
      </c>
      <c r="AT271" s="3">
        <f>AT188-AS188</f>
        <v>0</v>
      </c>
      <c r="AU271" s="3">
        <f>AU188-AT188</f>
        <v>0</v>
      </c>
      <c r="AV271" s="3">
        <f>SUM(AR271:AU271)</f>
        <v>0</v>
      </c>
      <c r="AW271" s="3">
        <f>AW188-AV188</f>
        <v>0</v>
      </c>
      <c r="AX271" s="3">
        <f>AX188-AW188</f>
        <v>0</v>
      </c>
      <c r="AY271" s="3">
        <f>AY188-AX188</f>
        <v>0</v>
      </c>
      <c r="AZ271" s="3">
        <f>AZ188-AY188</f>
        <v>0</v>
      </c>
      <c r="BA271" s="3">
        <f>SUM(AW271:AZ271)</f>
        <v>0</v>
      </c>
      <c r="BB271" s="3">
        <f>BB188-BA188</f>
        <v>0</v>
      </c>
      <c r="BC271" s="3">
        <f>BC188-BB188</f>
        <v>0</v>
      </c>
      <c r="BD271" s="3">
        <f>BD188-BC188</f>
        <v>0</v>
      </c>
      <c r="BE271" s="3">
        <f>BE188-BD188</f>
        <v>0</v>
      </c>
      <c r="BF271" s="3">
        <f>SUM(BB271:BE271)</f>
        <v>0</v>
      </c>
      <c r="BG271" s="3">
        <f>BG188-BF188</f>
        <v>0</v>
      </c>
      <c r="BH271" s="3">
        <f>BH188-BG188</f>
        <v>0</v>
      </c>
      <c r="BI271" s="3">
        <f>BI188-BH188</f>
        <v>0</v>
      </c>
      <c r="BJ271" s="3">
        <f>BJ188-BI188</f>
        <v>0</v>
      </c>
      <c r="BK271" s="3">
        <f>SUM(BG271:BJ271)</f>
        <v>0</v>
      </c>
      <c r="BL271" s="3">
        <f>BL188-BK188</f>
        <v>0</v>
      </c>
      <c r="BM271" s="3">
        <f>BM188-BL188</f>
        <v>0</v>
      </c>
      <c r="BN271" s="3">
        <f>BN188-BM188</f>
        <v>0</v>
      </c>
      <c r="BO271" s="3">
        <f>BO188-BN188</f>
        <v>0</v>
      </c>
      <c r="BP271" s="3">
        <f>SUM(BL271:BO271)</f>
        <v>0</v>
      </c>
      <c r="BQ271" s="3">
        <f>BQ188-BP188</f>
        <v>0</v>
      </c>
      <c r="BR271" s="3">
        <f>BR188-BQ188</f>
        <v>0</v>
      </c>
      <c r="BS271" s="3">
        <f>BS188-BR188</f>
        <v>0</v>
      </c>
      <c r="BT271" s="3">
        <f>BT188-BS188</f>
        <v>0</v>
      </c>
      <c r="BU271" s="3">
        <f>SUM(BQ271:BT271)</f>
        <v>0</v>
      </c>
      <c r="BV271" s="3">
        <f>BV188-BU188</f>
        <v>0</v>
      </c>
      <c r="BW271" s="3">
        <f>BW188-BV188</f>
        <v>0</v>
      </c>
      <c r="BX271" s="3">
        <f>BX188-BW188</f>
        <v>0</v>
      </c>
      <c r="BY271" s="3">
        <f>BY188-BX188</f>
        <v>0</v>
      </c>
      <c r="BZ271" s="3">
        <f>SUM(BV271:BY271)</f>
        <v>0</v>
      </c>
      <c r="CA271" s="3">
        <f>CA188-BZ188</f>
        <v>0</v>
      </c>
      <c r="CB271" s="3">
        <f>CB188-CA188</f>
        <v>0</v>
      </c>
      <c r="CC271" s="3">
        <f>CC188-CB188</f>
        <v>0</v>
      </c>
      <c r="CD271" s="3">
        <f>CD188-CC188</f>
        <v>0</v>
      </c>
      <c r="CE271" s="3">
        <f>SUM(CA271:CD271)</f>
        <v>0</v>
      </c>
      <c r="CF271" s="3">
        <f>CF188-CE188</f>
        <v>0</v>
      </c>
      <c r="CG271" s="3">
        <f>CG188-CF188</f>
        <v>0</v>
      </c>
      <c r="CH271" s="3">
        <f>CH188-CG188</f>
        <v>0</v>
      </c>
      <c r="CI271" s="3">
        <f>CI188-CH188</f>
        <v>0</v>
      </c>
      <c r="CJ271" s="3">
        <f>SUM(CF271:CI271)</f>
        <v>0</v>
      </c>
      <c r="CK271" s="3">
        <f>CK188-CJ188</f>
        <v>0</v>
      </c>
      <c r="CL271" s="3">
        <f>CL188-CK188</f>
        <v>0</v>
      </c>
      <c r="CM271" s="3">
        <f>CM188-CL188</f>
        <v>0</v>
      </c>
      <c r="CN271" s="3">
        <f>CN188-CM188</f>
        <v>0</v>
      </c>
      <c r="CO271" s="3">
        <f>SUM(CK271:CN271)</f>
        <v>0</v>
      </c>
      <c r="CP271" s="3">
        <f>CP188-CO188</f>
        <v>0</v>
      </c>
      <c r="CQ271" s="3">
        <f>CQ188-CP188</f>
        <v>0</v>
      </c>
      <c r="CR271" s="3">
        <f>CR188-CQ188</f>
        <v>0</v>
      </c>
      <c r="CS271" s="3">
        <f>CS188-CR188</f>
        <v>0</v>
      </c>
      <c r="CT271" s="3">
        <f>SUM(CP271:CS271)</f>
        <v>0</v>
      </c>
      <c r="CU271" s="3">
        <f>CU188-CT188</f>
        <v>0</v>
      </c>
      <c r="CV271" s="3">
        <f>CV188-CU188</f>
        <v>0</v>
      </c>
      <c r="CW271" s="3">
        <f>CW188-CV188</f>
        <v>0</v>
      </c>
      <c r="CX271" s="3">
        <f>CX188-CW188</f>
        <v>0</v>
      </c>
      <c r="CY271" s="3">
        <f>SUM(CU271:CX271)</f>
        <v>0</v>
      </c>
    </row>
    <row r="272" hidden="1" outlineLevel="1">
      <c r="C272" s="29" t="inlineStr">
        <is>
          <t>Deferred income taxes</t>
        </is>
      </c>
      <c r="D272" s="3" t="n"/>
      <c r="E272" s="3">
        <f>E222-D222</f>
        <v>0</v>
      </c>
      <c r="F272" s="3">
        <f>F222-E222</f>
        <v>0</v>
      </c>
      <c r="G272" s="3">
        <f>G222-F222</f>
        <v>0</v>
      </c>
      <c r="H272" s="3">
        <f>SUM(D272:G272)</f>
        <v>0</v>
      </c>
      <c r="I272" s="3">
        <f>I222-H222</f>
        <v>0</v>
      </c>
      <c r="J272" s="3">
        <f>J222-I222</f>
        <v>0</v>
      </c>
      <c r="K272" s="3">
        <f>K222-J222</f>
        <v>0</v>
      </c>
      <c r="L272" s="3">
        <f>L222-K222</f>
        <v>0</v>
      </c>
      <c r="M272" s="3">
        <f>SUM(I272:L272)</f>
        <v>0</v>
      </c>
      <c r="N272" s="3">
        <f>N222-M222</f>
        <v>0</v>
      </c>
      <c r="O272" s="3">
        <f>O222-N222</f>
        <v>0</v>
      </c>
      <c r="P272" s="3">
        <f>P222-O222</f>
        <v>0</v>
      </c>
      <c r="Q272" s="3">
        <f>Q222-P222</f>
        <v>0</v>
      </c>
      <c r="R272" s="3">
        <f>SUM(N272:Q272)</f>
        <v>0</v>
      </c>
      <c r="S272" s="3">
        <f>S222-R222</f>
        <v>0</v>
      </c>
      <c r="T272" s="3">
        <f>T222-S222</f>
        <v>0</v>
      </c>
      <c r="U272" s="3">
        <f>U222-T222</f>
        <v>0</v>
      </c>
      <c r="V272" s="3">
        <f>V222-U222</f>
        <v>0</v>
      </c>
      <c r="W272" s="3">
        <f>SUM(S272:V272)</f>
        <v>0</v>
      </c>
      <c r="X272" s="3">
        <f>X222-W222</f>
        <v>0</v>
      </c>
      <c r="Y272" s="3">
        <f>Y222-X222</f>
        <v>0</v>
      </c>
      <c r="Z272" s="3">
        <f>Z222-Y222</f>
        <v>0</v>
      </c>
      <c r="AA272" s="3">
        <f>AA222-Z222</f>
        <v>0</v>
      </c>
      <c r="AB272" s="3">
        <f>SUM(X272:AA272)</f>
        <v>0</v>
      </c>
      <c r="AC272" s="3">
        <f>AC222-AB222</f>
        <v>0</v>
      </c>
      <c r="AD272" s="3">
        <f>AD222-AC222</f>
        <v>0</v>
      </c>
      <c r="AE272" s="3">
        <f>AE222-AD222</f>
        <v>0</v>
      </c>
      <c r="AF272" s="3">
        <f>AF222-AE222</f>
        <v>0</v>
      </c>
      <c r="AG272" s="3">
        <f>SUM(AC272:AF272)</f>
        <v>0</v>
      </c>
      <c r="AH272" s="3">
        <f>AH222-AG222</f>
        <v>0</v>
      </c>
      <c r="AI272" s="3">
        <f>AI222-AH222</f>
        <v>0</v>
      </c>
      <c r="AJ272" s="3">
        <f>AJ222-AI222</f>
        <v>0</v>
      </c>
      <c r="AK272" s="3">
        <f>AK222-AJ222</f>
        <v>0</v>
      </c>
      <c r="AL272" s="3">
        <f>SUM(AH272:AK272)</f>
        <v>0</v>
      </c>
      <c r="AM272" s="3">
        <f>AM222-AL222</f>
        <v>0</v>
      </c>
      <c r="AN272" s="3">
        <f>AN222-AM222</f>
        <v>0</v>
      </c>
      <c r="AO272" s="3">
        <f>AO222-AN222</f>
        <v>0</v>
      </c>
      <c r="AP272" s="3">
        <f>AP222-AO222</f>
        <v>0</v>
      </c>
      <c r="AQ272" s="3">
        <f>SUM(AM272:AP272)</f>
        <v>0</v>
      </c>
      <c r="AR272" s="3">
        <f>AR222-AQ222</f>
        <v>0</v>
      </c>
      <c r="AS272" s="3">
        <f>AS222-AR222</f>
        <v>0</v>
      </c>
      <c r="AT272" s="3">
        <f>AT222-AS222</f>
        <v>0</v>
      </c>
      <c r="AU272" s="3">
        <f>AU222-AT222</f>
        <v>0</v>
      </c>
      <c r="AV272" s="3">
        <f>SUM(AR272:AU272)</f>
        <v>0</v>
      </c>
      <c r="AW272" s="3">
        <f>AW222-AV222</f>
        <v>0</v>
      </c>
      <c r="AX272" s="3">
        <f>AX222-AW222</f>
        <v>0</v>
      </c>
      <c r="AY272" s="3">
        <f>AY222-AX222</f>
        <v>0</v>
      </c>
      <c r="AZ272" s="3">
        <f>AZ222-AY222</f>
        <v>0</v>
      </c>
      <c r="BA272" s="3">
        <f>SUM(AW272:AZ272)</f>
        <v>0</v>
      </c>
      <c r="BB272" s="3">
        <f>BB222-BA222</f>
        <v>0</v>
      </c>
      <c r="BC272" s="3">
        <f>BC222-BB222</f>
        <v>0</v>
      </c>
      <c r="BD272" s="3">
        <f>BD222-BC222</f>
        <v>0</v>
      </c>
      <c r="BE272" s="3">
        <f>BE222-BD222</f>
        <v>0</v>
      </c>
      <c r="BF272" s="3">
        <f>SUM(BB272:BE272)</f>
        <v>0</v>
      </c>
      <c r="BG272" s="3">
        <f>BG222-BF222</f>
        <v>0</v>
      </c>
      <c r="BH272" s="3">
        <f>BH222-BG222</f>
        <v>0</v>
      </c>
      <c r="BI272" s="3">
        <f>BI222-BH222</f>
        <v>0</v>
      </c>
      <c r="BJ272" s="3">
        <f>BJ222-BI222</f>
        <v>0</v>
      </c>
      <c r="BK272" s="3">
        <f>SUM(BG272:BJ272)</f>
        <v>0</v>
      </c>
      <c r="BL272" s="3">
        <f>BL222-BK222</f>
        <v>0</v>
      </c>
      <c r="BM272" s="3">
        <f>BM222-BL222</f>
        <v>0</v>
      </c>
      <c r="BN272" s="3">
        <f>BN222-BM222</f>
        <v>0</v>
      </c>
      <c r="BO272" s="3">
        <f>BO222-BN222</f>
        <v>0</v>
      </c>
      <c r="BP272" s="3">
        <f>SUM(BL272:BO272)</f>
        <v>0</v>
      </c>
      <c r="BQ272" s="3">
        <f>BQ222-BP222</f>
        <v>0</v>
      </c>
      <c r="BR272" s="3">
        <f>BR222-BQ222</f>
        <v>0</v>
      </c>
      <c r="BS272" s="3">
        <f>BS222-BR222</f>
        <v>0</v>
      </c>
      <c r="BT272" s="3">
        <f>BT222-BS222</f>
        <v>0</v>
      </c>
      <c r="BU272" s="3">
        <f>SUM(BQ272:BT272)</f>
        <v>0</v>
      </c>
      <c r="BV272" s="3">
        <f>BV222-BU222</f>
        <v>0</v>
      </c>
      <c r="BW272" s="3">
        <f>BW222-BV222</f>
        <v>0</v>
      </c>
      <c r="BX272" s="3">
        <f>BX222-BW222</f>
        <v>0</v>
      </c>
      <c r="BY272" s="3">
        <f>BY222-BX222</f>
        <v>0</v>
      </c>
      <c r="BZ272" s="3">
        <f>SUM(BV272:BY272)</f>
        <v>0</v>
      </c>
      <c r="CA272" s="3">
        <f>CA222-BZ222</f>
        <v>0</v>
      </c>
      <c r="CB272" s="3">
        <f>CB222-CA222</f>
        <v>0</v>
      </c>
      <c r="CC272" s="3">
        <f>CC222-CB222</f>
        <v>0</v>
      </c>
      <c r="CD272" s="3">
        <f>CD222-CC222</f>
        <v>0</v>
      </c>
      <c r="CE272" s="3">
        <f>SUM(CA272:CD272)</f>
        <v>0</v>
      </c>
      <c r="CF272" s="3">
        <f>CF222-CE222</f>
        <v>0</v>
      </c>
      <c r="CG272" s="3">
        <f>CG222-CF222</f>
        <v>0</v>
      </c>
      <c r="CH272" s="3">
        <f>CH222-CG222</f>
        <v>0</v>
      </c>
      <c r="CI272" s="3">
        <f>CI222-CH222</f>
        <v>0</v>
      </c>
      <c r="CJ272" s="3">
        <f>SUM(CF272:CI272)</f>
        <v>0</v>
      </c>
      <c r="CK272" s="3">
        <f>CK222-CJ222</f>
        <v>0</v>
      </c>
      <c r="CL272" s="3">
        <f>CL222-CK222</f>
        <v>0</v>
      </c>
      <c r="CM272" s="3">
        <f>CM222-CL222</f>
        <v>0</v>
      </c>
      <c r="CN272" s="3">
        <f>CN222-CM222</f>
        <v>0</v>
      </c>
      <c r="CO272" s="3">
        <f>SUM(CK272:CN272)</f>
        <v>0</v>
      </c>
      <c r="CP272" s="3">
        <f>CP222-CO222</f>
        <v>0</v>
      </c>
      <c r="CQ272" s="3">
        <f>CQ222-CP222</f>
        <v>0</v>
      </c>
      <c r="CR272" s="3">
        <f>CR222-CQ222</f>
        <v>0</v>
      </c>
      <c r="CS272" s="3">
        <f>CS222-CR222</f>
        <v>0</v>
      </c>
      <c r="CT272" s="3">
        <f>SUM(CP272:CS272)</f>
        <v>0</v>
      </c>
      <c r="CU272" s="3">
        <f>CU222-CT222</f>
        <v>0</v>
      </c>
      <c r="CV272" s="3">
        <f>CV222-CU222</f>
        <v>0</v>
      </c>
      <c r="CW272" s="3">
        <f>CW222-CV222</f>
        <v>0</v>
      </c>
      <c r="CX272" s="3">
        <f>CX222-CW222</f>
        <v>0</v>
      </c>
      <c r="CY272" s="3">
        <f>SUM(CU272:CX272)</f>
        <v>0</v>
      </c>
    </row>
    <row r="273" collapsed="1">
      <c r="C273" s="29" t="inlineStr">
        <is>
          <t>Equity income in affiliates</t>
        </is>
      </c>
      <c r="D273" s="3" t="n"/>
      <c r="E273" s="3">
        <f>(E144-D144)*-1</f>
        <v>0</v>
      </c>
      <c r="F273" s="3">
        <f>(F144-E144)*-1</f>
        <v>0</v>
      </c>
      <c r="G273" s="3">
        <f>(G144-F144)*-1</f>
        <v>0</v>
      </c>
      <c r="H273" s="3">
        <f>SUM(D273:G273)</f>
        <v>0</v>
      </c>
      <c r="I273" s="3">
        <f>(I144-H144)*-1</f>
        <v>0</v>
      </c>
      <c r="J273" s="3">
        <f>(J144-I144)*-1</f>
        <v>0</v>
      </c>
      <c r="K273" s="3">
        <f>(K144-J144)*-1</f>
        <v>0</v>
      </c>
      <c r="L273" s="3">
        <f>(L144-K144)*-1</f>
        <v>0</v>
      </c>
      <c r="M273" s="3">
        <f>SUM(I273:L273)</f>
        <v>0</v>
      </c>
      <c r="N273" s="3">
        <f>(N144-M144)*-1</f>
        <v>0</v>
      </c>
      <c r="O273" s="3">
        <f>(O144-N144)*-1</f>
        <v>0</v>
      </c>
      <c r="P273" s="3">
        <f>(P144-O144)*-1</f>
        <v>0</v>
      </c>
      <c r="Q273" s="3">
        <f>(Q144-P144)*-1</f>
        <v>0</v>
      </c>
      <c r="R273" s="3">
        <f>SUM(N273:Q273)</f>
        <v>0</v>
      </c>
      <c r="S273" s="3">
        <f>(S144-R144)*-1</f>
        <v>0</v>
      </c>
      <c r="T273" s="3">
        <f>(T144-S144)*-1</f>
        <v>0</v>
      </c>
      <c r="U273" s="3">
        <f>(U144-T144)*-1</f>
        <v>0</v>
      </c>
      <c r="V273" s="3">
        <f>(V144-U144)*-1</f>
        <v>0</v>
      </c>
      <c r="W273" s="3">
        <f>SUM(S273:V273)</f>
        <v>0</v>
      </c>
      <c r="X273" s="3">
        <f>(X144-W144)*-1</f>
        <v>0</v>
      </c>
      <c r="Y273" s="3">
        <f>(Y144-X144)*-1</f>
        <v>0</v>
      </c>
      <c r="Z273" s="3">
        <f>(Z144-Y144)*-1</f>
        <v>0</v>
      </c>
      <c r="AA273" s="3">
        <f>(AA144-Z144)*-1</f>
        <v>0</v>
      </c>
      <c r="AB273" s="3">
        <f>SUM(X273:AA273)</f>
        <v>0</v>
      </c>
      <c r="AC273" s="3">
        <f>(AC144-AB144)*-1</f>
        <v>0</v>
      </c>
      <c r="AD273" s="3">
        <f>(AD144-AC144)*-1</f>
        <v>0</v>
      </c>
      <c r="AE273" s="3">
        <f>(AE144-AD144)*-1</f>
        <v>0</v>
      </c>
      <c r="AF273" s="3">
        <f>(AF144-AE144)*-1</f>
        <v>0</v>
      </c>
      <c r="AG273" s="3">
        <f>SUM(AC273:AF273)</f>
        <v>0</v>
      </c>
      <c r="AH273" s="3">
        <f>(AH144-AG144)*-1</f>
        <v>0</v>
      </c>
      <c r="AI273" s="3">
        <f>(AI144-AH144)*-1</f>
        <v>0</v>
      </c>
      <c r="AJ273" s="3">
        <f>(AJ144-AI144)*-1</f>
        <v>-8</v>
      </c>
      <c r="AK273" s="3">
        <f>(AK144-AJ144)*-1</f>
        <v>-87</v>
      </c>
      <c r="AL273" s="3">
        <f>SUM(AH273:AK273)</f>
        <v>-95</v>
      </c>
      <c r="AM273" s="3">
        <f>(AM144-AL144)*-1</f>
        <v>-7</v>
      </c>
      <c r="AN273" s="3">
        <f>(AN144-AM144)*-1</f>
        <v>-90</v>
      </c>
      <c r="AO273" s="3">
        <f>(AO144-AN144)*-1</f>
        <v>-8</v>
      </c>
      <c r="AP273" s="3">
        <f>(AP144-AO144)*-1</f>
        <v>-87</v>
      </c>
      <c r="AQ273" s="3">
        <f>SUM(AM273:AP273)</f>
        <v>-192</v>
      </c>
      <c r="AR273" s="3">
        <f>(AR144-AQ144)*-1</f>
        <v>-7</v>
      </c>
      <c r="AS273" s="3">
        <f>(AS144-AR144)*-1</f>
        <v>-90</v>
      </c>
      <c r="AT273" s="3">
        <f>(AT144-AS144)*-1</f>
        <v>-8</v>
      </c>
      <c r="AU273" s="3">
        <f>(AU144-AT144)*-1</f>
        <v>-87</v>
      </c>
      <c r="AV273" s="3">
        <f>SUM(AR273:AU273)</f>
        <v>-192</v>
      </c>
      <c r="AW273" s="3">
        <f>(AW144-AV144)*-1</f>
        <v>-7</v>
      </c>
      <c r="AX273" s="3">
        <f>(AX144-AW144)*-1</f>
        <v>-90</v>
      </c>
      <c r="AY273" s="3">
        <f>(AY144-AX144)*-1</f>
        <v>-8</v>
      </c>
      <c r="AZ273" s="3">
        <f>(AZ144-AY144)*-1</f>
        <v>-87</v>
      </c>
      <c r="BA273" s="3">
        <f>SUM(AW273:AZ273)</f>
        <v>-192</v>
      </c>
      <c r="BB273" s="3">
        <f>(BB144-BA144)*-1</f>
        <v>-7</v>
      </c>
      <c r="BC273" s="3">
        <f>(BC144-BB144)*-1</f>
        <v>-90</v>
      </c>
      <c r="BD273" s="3">
        <f>(BD144-BC144)*-1</f>
        <v>-8</v>
      </c>
      <c r="BE273" s="3">
        <f>(BE144-BD144)*-1</f>
        <v>-87</v>
      </c>
      <c r="BF273" s="3">
        <f>SUM(BB273:BE273)</f>
        <v>-192</v>
      </c>
      <c r="BG273" s="3">
        <f>(BG144-BF144)*-1</f>
        <v>-7</v>
      </c>
      <c r="BH273" s="3">
        <f>(BH144-BG144)*-1</f>
        <v>-90</v>
      </c>
      <c r="BI273" s="3">
        <f>(BI144-BH144)*-1</f>
        <v>-8</v>
      </c>
      <c r="BJ273" s="3">
        <f>(BJ144-BI144)*-1</f>
        <v>-87</v>
      </c>
      <c r="BK273" s="3">
        <f>SUM(BG273:BJ273)</f>
        <v>-192</v>
      </c>
      <c r="BL273" s="3">
        <f>(BL144-BK144)*-1</f>
        <v>-7</v>
      </c>
      <c r="BM273" s="3">
        <f>(BM144-BL144)*-1</f>
        <v>-90</v>
      </c>
      <c r="BN273" s="3">
        <f>(BN144-BM144)*-1</f>
        <v>-8</v>
      </c>
      <c r="BO273" s="3">
        <f>(BO144-BN144)*-1</f>
        <v>-87</v>
      </c>
      <c r="BP273" s="3">
        <f>SUM(BL273:BO273)</f>
        <v>-192</v>
      </c>
      <c r="BQ273" s="3">
        <f>(BQ144-BP144)*-1</f>
        <v>-7</v>
      </c>
      <c r="BR273" s="3">
        <f>(BR144-BQ144)*-1</f>
        <v>-90</v>
      </c>
      <c r="BS273" s="3">
        <f>(BS144-BR144)*-1</f>
        <v>-8</v>
      </c>
      <c r="BT273" s="3">
        <f>(BT144-BS144)*-1</f>
        <v>-87</v>
      </c>
      <c r="BU273" s="3">
        <f>SUM(BQ273:BT273)</f>
        <v>-192</v>
      </c>
      <c r="BV273" s="3">
        <f>(BV144-BU144)*-1</f>
        <v>-7</v>
      </c>
      <c r="BW273" s="3">
        <f>(BW144-BV144)*-1</f>
        <v>-90</v>
      </c>
      <c r="BX273" s="3">
        <f>(BX144-BW144)*-1</f>
        <v>-8</v>
      </c>
      <c r="BY273" s="3">
        <f>(BY144-BX144)*-1</f>
        <v>-87</v>
      </c>
      <c r="BZ273" s="3">
        <f>SUM(BV273:BY273)</f>
        <v>-192</v>
      </c>
      <c r="CA273" s="3">
        <f>(CA144-BZ144)*-1</f>
        <v>-7</v>
      </c>
      <c r="CB273" s="3">
        <f>(CB144-CA144)*-1</f>
        <v>-90</v>
      </c>
      <c r="CC273" s="3">
        <f>(CC144-CB144)*-1</f>
        <v>-8</v>
      </c>
      <c r="CD273" s="3">
        <f>(CD144-CC144)*-1</f>
        <v>-87</v>
      </c>
      <c r="CE273" s="3">
        <f>SUM(CA273:CD273)</f>
        <v>-192</v>
      </c>
      <c r="CF273" s="3">
        <f>(CF144-CE144)*-1</f>
        <v>-7</v>
      </c>
      <c r="CG273" s="3">
        <f>(CG144-CF144)*-1</f>
        <v>-90</v>
      </c>
      <c r="CH273" s="3">
        <f>(CH144-CG144)*-1</f>
        <v>-8</v>
      </c>
      <c r="CI273" s="3">
        <f>(CI144-CH144)*-1</f>
        <v>-87</v>
      </c>
      <c r="CJ273" s="3">
        <f>SUM(CF273:CI273)</f>
        <v>-192</v>
      </c>
      <c r="CK273" s="3">
        <f>(CK144-CJ144)*-1</f>
        <v>-7</v>
      </c>
      <c r="CL273" s="3">
        <f>(CL144-CK144)*-1</f>
        <v>-90</v>
      </c>
      <c r="CM273" s="3">
        <f>(CM144-CL144)*-1</f>
        <v>-8</v>
      </c>
      <c r="CN273" s="3">
        <f>(CN144-CM144)*-1</f>
        <v>-87</v>
      </c>
      <c r="CO273" s="3">
        <f>SUM(CK273:CN273)</f>
        <v>-192</v>
      </c>
      <c r="CP273" s="3">
        <f>(CP144-CO144)*-1</f>
        <v>-7</v>
      </c>
      <c r="CQ273" s="3">
        <f>(CQ144-CP144)*-1</f>
        <v>-90</v>
      </c>
      <c r="CR273" s="3">
        <f>(CR144-CQ144)*-1</f>
        <v>-8</v>
      </c>
      <c r="CS273" s="3">
        <f>(CS144-CR144)*-1</f>
        <v>-87</v>
      </c>
      <c r="CT273" s="3">
        <f>SUM(CP273:CS273)</f>
        <v>-192</v>
      </c>
      <c r="CU273" s="3">
        <f>(CU144-CT144)*-1</f>
        <v>-7</v>
      </c>
      <c r="CV273" s="3">
        <f>(CV144-CU144)*-1</f>
        <v>-90</v>
      </c>
      <c r="CW273" s="3">
        <f>(CW144-CV144)*-1</f>
        <v>-8</v>
      </c>
      <c r="CX273" s="3">
        <f>(CX144-CW144)*-1</f>
        <v>-87</v>
      </c>
      <c r="CY273" s="3">
        <f>SUM(CU273:CX273)</f>
        <v>-192</v>
      </c>
    </row>
    <row r="274">
      <c r="C274" s="29" t="inlineStr">
        <is>
          <t>Dividends received from affiliates</t>
        </is>
      </c>
      <c r="D274" s="3" t="n"/>
      <c r="E274" s="3">
        <f>-E147</f>
        <v>0</v>
      </c>
      <c r="F274" s="3">
        <f>-F147</f>
        <v>0</v>
      </c>
      <c r="G274" s="3">
        <f>-G147</f>
        <v>0</v>
      </c>
      <c r="H274" s="3">
        <f>SUM(D274:G274)</f>
        <v>0</v>
      </c>
      <c r="I274" s="3">
        <f>-I147</f>
        <v>0</v>
      </c>
      <c r="J274" s="3">
        <f>-J147</f>
        <v>0</v>
      </c>
      <c r="K274" s="3">
        <f>-K147</f>
        <v>0</v>
      </c>
      <c r="L274" s="3">
        <f>-L147</f>
        <v>0</v>
      </c>
      <c r="M274" s="3">
        <f>SUM(I274:L274)</f>
        <v>0</v>
      </c>
      <c r="N274" s="3">
        <f>-N147</f>
        <v>0</v>
      </c>
      <c r="O274" s="3">
        <f>-O147</f>
        <v>0</v>
      </c>
      <c r="P274" s="3">
        <f>-P147</f>
        <v>0</v>
      </c>
      <c r="Q274" s="3">
        <f>-Q147</f>
        <v>0</v>
      </c>
      <c r="R274" s="3">
        <f>SUM(N274:Q274)</f>
        <v>0</v>
      </c>
      <c r="S274" s="3">
        <f>-S147</f>
        <v>0</v>
      </c>
      <c r="T274" s="3">
        <f>-T147</f>
        <v>0</v>
      </c>
      <c r="U274" s="3">
        <f>-U147</f>
        <v>0</v>
      </c>
      <c r="V274" s="3">
        <f>-V147</f>
        <v>0</v>
      </c>
      <c r="W274" s="3">
        <f>SUM(S274:V274)</f>
        <v>0</v>
      </c>
      <c r="X274" s="3">
        <f>-X147</f>
        <v>0</v>
      </c>
      <c r="Y274" s="3">
        <f>-Y147</f>
        <v>0</v>
      </c>
      <c r="Z274" s="3">
        <f>-Z147</f>
        <v>0</v>
      </c>
      <c r="AA274" s="3">
        <f>-AA147</f>
        <v>0</v>
      </c>
      <c r="AB274" s="3">
        <f>SUM(X274:AA274)</f>
        <v>0</v>
      </c>
      <c r="AC274" s="3">
        <f>-AC147</f>
        <v>0</v>
      </c>
      <c r="AD274" s="3">
        <f>-AD147</f>
        <v>0</v>
      </c>
      <c r="AE274" s="3">
        <f>-AE147</f>
        <v>0</v>
      </c>
      <c r="AF274" s="3">
        <f>-AF147</f>
        <v>0</v>
      </c>
      <c r="AG274" s="3">
        <f>SUM(AC274:AF274)</f>
        <v>0</v>
      </c>
      <c r="AH274" s="3">
        <f>-AH147</f>
        <v>0</v>
      </c>
      <c r="AI274" s="3">
        <f>-AI147</f>
        <v>0</v>
      </c>
      <c r="AJ274" s="3">
        <f>-AJ147</f>
        <v>0</v>
      </c>
      <c r="AK274" s="3">
        <f>-AK147</f>
        <v>0</v>
      </c>
      <c r="AL274" s="3">
        <f>SUM(AH274:AK274)</f>
        <v>0</v>
      </c>
      <c r="AM274" s="3">
        <f>-AM147</f>
        <v>0</v>
      </c>
      <c r="AN274" s="3">
        <f>-AN147</f>
        <v>0</v>
      </c>
      <c r="AO274" s="3">
        <f>-AO147</f>
        <v>0</v>
      </c>
      <c r="AP274" s="3">
        <f>-AP147</f>
        <v>0</v>
      </c>
      <c r="AQ274" s="3">
        <f>SUM(AM274:AP274)</f>
        <v>0</v>
      </c>
      <c r="AR274" s="3">
        <f>-AR147</f>
        <v>0</v>
      </c>
      <c r="AS274" s="3">
        <f>-AS147</f>
        <v>0</v>
      </c>
      <c r="AT274" s="3">
        <f>-AT147</f>
        <v>0</v>
      </c>
      <c r="AU274" s="3">
        <f>-AU147</f>
        <v>0</v>
      </c>
      <c r="AV274" s="3">
        <f>SUM(AR274:AU274)</f>
        <v>0</v>
      </c>
      <c r="AW274" s="3">
        <f>-AW147</f>
        <v>0</v>
      </c>
      <c r="AX274" s="3">
        <f>-AX147</f>
        <v>0</v>
      </c>
      <c r="AY274" s="3">
        <f>-AY147</f>
        <v>0</v>
      </c>
      <c r="AZ274" s="3">
        <f>-AZ147</f>
        <v>0</v>
      </c>
      <c r="BA274" s="3">
        <f>SUM(AW274:AZ274)</f>
        <v>0</v>
      </c>
      <c r="BB274" s="3">
        <f>-BB147</f>
        <v>0</v>
      </c>
      <c r="BC274" s="3">
        <f>-BC147</f>
        <v>0</v>
      </c>
      <c r="BD274" s="3">
        <f>-BD147</f>
        <v>0</v>
      </c>
      <c r="BE274" s="3">
        <f>-BE147</f>
        <v>0</v>
      </c>
      <c r="BF274" s="3">
        <f>SUM(BB274:BE274)</f>
        <v>0</v>
      </c>
      <c r="BG274" s="3">
        <f>-BG147</f>
        <v>0</v>
      </c>
      <c r="BH274" s="3">
        <f>-BH147</f>
        <v>0</v>
      </c>
      <c r="BI274" s="3">
        <f>-BI147</f>
        <v>0</v>
      </c>
      <c r="BJ274" s="3">
        <f>-BJ147</f>
        <v>0</v>
      </c>
      <c r="BK274" s="3">
        <f>SUM(BG274:BJ274)</f>
        <v>0</v>
      </c>
      <c r="BL274" s="3">
        <f>-BL147</f>
        <v>0</v>
      </c>
      <c r="BM274" s="3">
        <f>-BM147</f>
        <v>0</v>
      </c>
      <c r="BN274" s="3">
        <f>-BN147</f>
        <v>0</v>
      </c>
      <c r="BO274" s="3">
        <f>-BO147</f>
        <v>0</v>
      </c>
      <c r="BP274" s="3">
        <f>SUM(BL274:BO274)</f>
        <v>0</v>
      </c>
      <c r="BQ274" s="3">
        <f>-BQ147</f>
        <v>0</v>
      </c>
      <c r="BR274" s="3">
        <f>-BR147</f>
        <v>0</v>
      </c>
      <c r="BS274" s="3">
        <f>-BS147</f>
        <v>0</v>
      </c>
      <c r="BT274" s="3">
        <f>-BT147</f>
        <v>0</v>
      </c>
      <c r="BU274" s="3">
        <f>SUM(BQ274:BT274)</f>
        <v>0</v>
      </c>
      <c r="BV274" s="3">
        <f>-BV147</f>
        <v>0</v>
      </c>
      <c r="BW274" s="3">
        <f>-BW147</f>
        <v>0</v>
      </c>
      <c r="BX274" s="3">
        <f>-BX147</f>
        <v>0</v>
      </c>
      <c r="BY274" s="3">
        <f>-BY147</f>
        <v>0</v>
      </c>
      <c r="BZ274" s="3">
        <f>SUM(BV274:BY274)</f>
        <v>0</v>
      </c>
      <c r="CA274" s="3">
        <f>-CA147</f>
        <v>0</v>
      </c>
      <c r="CB274" s="3">
        <f>-CB147</f>
        <v>0</v>
      </c>
      <c r="CC274" s="3">
        <f>-CC147</f>
        <v>0</v>
      </c>
      <c r="CD274" s="3">
        <f>-CD147</f>
        <v>0</v>
      </c>
      <c r="CE274" s="3">
        <f>SUM(CA274:CD274)</f>
        <v>0</v>
      </c>
      <c r="CF274" s="3">
        <f>-CF147</f>
        <v>0</v>
      </c>
      <c r="CG274" s="3">
        <f>-CG147</f>
        <v>0</v>
      </c>
      <c r="CH274" s="3">
        <f>-CH147</f>
        <v>0</v>
      </c>
      <c r="CI274" s="3">
        <f>-CI147</f>
        <v>0</v>
      </c>
      <c r="CJ274" s="3">
        <f>SUM(CF274:CI274)</f>
        <v>0</v>
      </c>
      <c r="CK274" s="3">
        <f>-CK147</f>
        <v>0</v>
      </c>
      <c r="CL274" s="3">
        <f>-CL147</f>
        <v>0</v>
      </c>
      <c r="CM274" s="3">
        <f>-CM147</f>
        <v>0</v>
      </c>
      <c r="CN274" s="3">
        <f>-CN147</f>
        <v>0</v>
      </c>
      <c r="CO274" s="3">
        <f>SUM(CK274:CN274)</f>
        <v>0</v>
      </c>
      <c r="CP274" s="3">
        <f>-CP147</f>
        <v>0</v>
      </c>
      <c r="CQ274" s="3">
        <f>-CQ147</f>
        <v>0</v>
      </c>
      <c r="CR274" s="3">
        <f>-CR147</f>
        <v>0</v>
      </c>
      <c r="CS274" s="3">
        <f>-CS147</f>
        <v>0</v>
      </c>
      <c r="CT274" s="3">
        <f>SUM(CP274:CS274)</f>
        <v>0</v>
      </c>
      <c r="CU274" s="3">
        <f>-CU147</f>
        <v>0</v>
      </c>
      <c r="CV274" s="3">
        <f>-CV147</f>
        <v>0</v>
      </c>
      <c r="CW274" s="3">
        <f>-CW147</f>
        <v>0</v>
      </c>
      <c r="CX274" s="3">
        <f>-CX147</f>
        <v>0</v>
      </c>
      <c r="CY274" s="3">
        <f>SUM(CU274:CX274)</f>
        <v>0</v>
      </c>
    </row>
    <row r="275">
      <c r="C275" s="30" t="inlineStr">
        <is>
          <t>Minority interest expense</t>
        </is>
      </c>
      <c r="D275" s="3" t="n"/>
      <c r="E275" s="3">
        <f>-E119</f>
        <v>1</v>
      </c>
      <c r="F275" s="3">
        <f>-F119</f>
        <v>3</v>
      </c>
      <c r="G275" s="3">
        <f>-G119</f>
        <v>0</v>
      </c>
      <c r="H275" s="3">
        <f>SUM(D275:G275)</f>
        <v>4</v>
      </c>
      <c r="I275" s="3">
        <f>-I119</f>
        <v>1</v>
      </c>
      <c r="J275" s="3">
        <f>-J119</f>
        <v>1</v>
      </c>
      <c r="K275" s="3">
        <f>-K119</f>
        <v>2</v>
      </c>
      <c r="L275" s="3">
        <f>-L119</f>
        <v>0</v>
      </c>
      <c r="M275" s="3">
        <f>SUM(I275:L275)</f>
        <v>4</v>
      </c>
      <c r="N275" s="3">
        <f>-N119</f>
        <v>0</v>
      </c>
      <c r="O275" s="3">
        <f>-O119</f>
        <v>0</v>
      </c>
      <c r="P275" s="3">
        <f>-P119</f>
        <v>-1</v>
      </c>
      <c r="Q275" s="3">
        <f>-Q119</f>
        <v>0</v>
      </c>
      <c r="R275" s="3">
        <f>SUM(N275:Q275)</f>
        <v>-1</v>
      </c>
      <c r="S275" s="3">
        <f>-S119</f>
        <v>-1</v>
      </c>
      <c r="T275" s="3">
        <f>-T119</f>
        <v>2</v>
      </c>
      <c r="U275" s="3">
        <f>-U119</f>
        <v>-1</v>
      </c>
      <c r="V275" s="3">
        <f>-V119</f>
        <v>-3</v>
      </c>
      <c r="W275" s="3">
        <f>SUM(S275:V275)</f>
        <v>-3</v>
      </c>
      <c r="X275" s="3">
        <f>-X119</f>
        <v>-2</v>
      </c>
      <c r="Y275" s="3">
        <f>-Y119</f>
        <v>0</v>
      </c>
      <c r="Z275" s="3">
        <f>-Z119</f>
        <v>-1</v>
      </c>
      <c r="AA275" s="3">
        <f>-AA119</f>
        <v>-1</v>
      </c>
      <c r="AB275" s="3">
        <f>SUM(X275:AA275)</f>
        <v>-4</v>
      </c>
      <c r="AC275" s="3">
        <f>-AC119</f>
        <v>0</v>
      </c>
      <c r="AD275" s="3">
        <f>-AD119</f>
        <v>0</v>
      </c>
      <c r="AE275" s="3">
        <f>-AE119</f>
        <v>-1</v>
      </c>
      <c r="AF275" s="3">
        <f>-AF119</f>
        <v>-1</v>
      </c>
      <c r="AG275" s="3">
        <f>SUM(AC275:AF275)</f>
        <v>-2</v>
      </c>
      <c r="AH275" s="3">
        <f>-AH119</f>
        <v>-1</v>
      </c>
      <c r="AI275" s="3">
        <f>-AI119</f>
        <v>0</v>
      </c>
      <c r="AJ275" s="3">
        <f>-AJ119</f>
        <v>-1</v>
      </c>
      <c r="AK275" s="3">
        <f>-AK119</f>
        <v>-1</v>
      </c>
      <c r="AL275" s="3">
        <f>SUM(AH275:AK275)</f>
        <v>-3</v>
      </c>
      <c r="AM275" s="3">
        <f>-AM119</f>
        <v>-1</v>
      </c>
      <c r="AN275" s="3">
        <f>-AN119</f>
        <v>0</v>
      </c>
      <c r="AO275" s="3">
        <f>-AO119</f>
        <v>-1</v>
      </c>
      <c r="AP275" s="3">
        <f>-AP119</f>
        <v>-1</v>
      </c>
      <c r="AQ275" s="3">
        <f>SUM(AM275:AP275)</f>
        <v>-3</v>
      </c>
      <c r="AR275" s="3">
        <f>-AR119</f>
        <v>-1</v>
      </c>
      <c r="AS275" s="3">
        <f>-AS119</f>
        <v>0</v>
      </c>
      <c r="AT275" s="3">
        <f>-AT119</f>
        <v>-1</v>
      </c>
      <c r="AU275" s="3">
        <f>-AU119</f>
        <v>-1</v>
      </c>
      <c r="AV275" s="3">
        <f>SUM(AR275:AU275)</f>
        <v>-3</v>
      </c>
      <c r="AW275" s="3">
        <f>-AW119</f>
        <v>-1</v>
      </c>
      <c r="AX275" s="3">
        <f>-AX119</f>
        <v>0</v>
      </c>
      <c r="AY275" s="3">
        <f>-AY119</f>
        <v>-1</v>
      </c>
      <c r="AZ275" s="3">
        <f>-AZ119</f>
        <v>-1</v>
      </c>
      <c r="BA275" s="3">
        <f>SUM(AW275:AZ275)</f>
        <v>-3</v>
      </c>
      <c r="BB275" s="3">
        <f>-BB119</f>
        <v>-1</v>
      </c>
      <c r="BC275" s="3">
        <f>-BC119</f>
        <v>0</v>
      </c>
      <c r="BD275" s="3">
        <f>-BD119</f>
        <v>-1</v>
      </c>
      <c r="BE275" s="3">
        <f>-BE119</f>
        <v>-1</v>
      </c>
      <c r="BF275" s="3">
        <f>SUM(BB275:BE275)</f>
        <v>-3</v>
      </c>
      <c r="BG275" s="3">
        <f>-BG119</f>
        <v>-1</v>
      </c>
      <c r="BH275" s="3">
        <f>-BH119</f>
        <v>0</v>
      </c>
      <c r="BI275" s="3">
        <f>-BI119</f>
        <v>-1</v>
      </c>
      <c r="BJ275" s="3">
        <f>-BJ119</f>
        <v>-1</v>
      </c>
      <c r="BK275" s="3">
        <f>SUM(BG275:BJ275)</f>
        <v>-3</v>
      </c>
      <c r="BL275" s="3">
        <f>-BL119</f>
        <v>-1</v>
      </c>
      <c r="BM275" s="3">
        <f>-BM119</f>
        <v>0</v>
      </c>
      <c r="BN275" s="3">
        <f>-BN119</f>
        <v>-1</v>
      </c>
      <c r="BO275" s="3">
        <f>-BO119</f>
        <v>-1</v>
      </c>
      <c r="BP275" s="3">
        <f>SUM(BL275:BO275)</f>
        <v>-3</v>
      </c>
      <c r="BQ275" s="3">
        <f>-BQ119</f>
        <v>-1</v>
      </c>
      <c r="BR275" s="3">
        <f>-BR119</f>
        <v>0</v>
      </c>
      <c r="BS275" s="3">
        <f>-BS119</f>
        <v>-1</v>
      </c>
      <c r="BT275" s="3">
        <f>-BT119</f>
        <v>-1</v>
      </c>
      <c r="BU275" s="3">
        <f>SUM(BQ275:BT275)</f>
        <v>-3</v>
      </c>
      <c r="BV275" s="3">
        <f>-BV119</f>
        <v>-1</v>
      </c>
      <c r="BW275" s="3">
        <f>-BW119</f>
        <v>0</v>
      </c>
      <c r="BX275" s="3">
        <f>-BX119</f>
        <v>-1</v>
      </c>
      <c r="BY275" s="3">
        <f>-BY119</f>
        <v>-1</v>
      </c>
      <c r="BZ275" s="3">
        <f>SUM(BV275:BY275)</f>
        <v>-3</v>
      </c>
      <c r="CA275" s="3">
        <f>-CA119</f>
        <v>-1</v>
      </c>
      <c r="CB275" s="3">
        <f>-CB119</f>
        <v>0</v>
      </c>
      <c r="CC275" s="3">
        <f>-CC119</f>
        <v>-1</v>
      </c>
      <c r="CD275" s="3">
        <f>-CD119</f>
        <v>-1</v>
      </c>
      <c r="CE275" s="3">
        <f>SUM(CA275:CD275)</f>
        <v>-3</v>
      </c>
      <c r="CF275" s="3">
        <f>-CF119</f>
        <v>-1</v>
      </c>
      <c r="CG275" s="3">
        <f>-CG119</f>
        <v>0</v>
      </c>
      <c r="CH275" s="3">
        <f>-CH119</f>
        <v>-1</v>
      </c>
      <c r="CI275" s="3">
        <f>-CI119</f>
        <v>-1</v>
      </c>
      <c r="CJ275" s="3">
        <f>SUM(CF275:CI275)</f>
        <v>-3</v>
      </c>
      <c r="CK275" s="3">
        <f>-CK119</f>
        <v>-1</v>
      </c>
      <c r="CL275" s="3">
        <f>-CL119</f>
        <v>0</v>
      </c>
      <c r="CM275" s="3">
        <f>-CM119</f>
        <v>-1</v>
      </c>
      <c r="CN275" s="3">
        <f>-CN119</f>
        <v>-1</v>
      </c>
      <c r="CO275" s="3">
        <f>SUM(CK275:CN275)</f>
        <v>-3</v>
      </c>
      <c r="CP275" s="3">
        <f>-CP119</f>
        <v>-1</v>
      </c>
      <c r="CQ275" s="3">
        <f>-CQ119</f>
        <v>0</v>
      </c>
      <c r="CR275" s="3">
        <f>-CR119</f>
        <v>-1</v>
      </c>
      <c r="CS275" s="3">
        <f>-CS119</f>
        <v>-1</v>
      </c>
      <c r="CT275" s="3">
        <f>SUM(CP275:CS275)</f>
        <v>-3</v>
      </c>
      <c r="CU275" s="3">
        <f>-CU119</f>
        <v>-1</v>
      </c>
      <c r="CV275" s="3">
        <f>-CV119</f>
        <v>0</v>
      </c>
      <c r="CW275" s="3">
        <f>-CW119</f>
        <v>-1</v>
      </c>
      <c r="CX275" s="3">
        <f>-CX119</f>
        <v>-1</v>
      </c>
      <c r="CY275" s="3">
        <f>SUM(CU275:CX275)</f>
        <v>-3</v>
      </c>
    </row>
    <row r="276">
      <c r="C276" s="26" t="inlineStr">
        <is>
          <t>Cash from operations</t>
        </is>
      </c>
      <c r="D276" s="3" t="n"/>
      <c r="E276" s="3">
        <f>SUM(E260,E261,E262,E273,E274,E275)</f>
        <v>1167</v>
      </c>
      <c r="F276" s="3">
        <f>SUM(F260,F261,F262,F273,F274,F275)</f>
        <v>-11149</v>
      </c>
      <c r="G276" s="3">
        <f>SUM(G260,G261,G262,G273,G274,G275)</f>
        <v>2098</v>
      </c>
      <c r="H276" s="3">
        <f>SUM(H260,H261,H262,H273,H274,H275)</f>
        <v>-7884</v>
      </c>
      <c r="I276" s="3">
        <f>SUM(I260,I261,I262,I273,I274,I275)</f>
        <v>1191</v>
      </c>
      <c r="J276" s="3">
        <f>SUM(J260,J261,J262,J273,J274,J275)</f>
        <v>2498</v>
      </c>
      <c r="K276" s="3">
        <f>SUM(K260,K261,K262,K273,K274,K275)</f>
        <v>1908</v>
      </c>
      <c r="L276" s="3">
        <f>SUM(L260,L261,L262,L273,L274,L275)</f>
        <v>2697</v>
      </c>
      <c r="M276" s="3">
        <f>SUM(M260,M261,M262,M273,M274,M275)</f>
        <v>8294</v>
      </c>
      <c r="N276" s="3">
        <f>SUM(N260,N261,N262,N273,N274,N275)</f>
        <v>-615</v>
      </c>
      <c r="O276" s="3">
        <f>SUM(O260,O261,O262,O273,O274,O275)</f>
        <v>3297</v>
      </c>
      <c r="P276" s="3">
        <f>SUM(P260,P261,P262,P273,P274,P275)</f>
        <v>3294</v>
      </c>
      <c r="Q276" s="3">
        <f>SUM(Q260,Q261,Q262,Q273,Q274,Q275)</f>
        <v>2528</v>
      </c>
      <c r="R276" s="3">
        <f>SUM(R260,R261,R262,R273,R274,R275)</f>
        <v>8504</v>
      </c>
      <c r="S276" s="3">
        <f>SUM(S260,S261,S262,S273,S274,S275)</f>
        <v>-191</v>
      </c>
      <c r="T276" s="3">
        <f>SUM(T260,T261,T262,T273,T274,T275)</f>
        <v>3647</v>
      </c>
      <c r="U276" s="3">
        <f>SUM(U260,U261,U262,U273,U274,U275)</f>
        <v>1115</v>
      </c>
      <c r="V276" s="3">
        <f>SUM(V260,V261,V262,V273,V274,V275)</f>
        <v>5785</v>
      </c>
      <c r="W276" s="3">
        <f>SUM(W260,W261,W262,W273,W274,W275)</f>
        <v>10356</v>
      </c>
      <c r="X276" s="3">
        <f>SUM(X260,X261,X262,X273,X274,X275)</f>
        <v>2671</v>
      </c>
      <c r="Y276" s="3">
        <f>SUM(Y260,Y261,Y262,Y273,Y274,Y275)</f>
        <v>3902</v>
      </c>
      <c r="Z276" s="3">
        <f>SUM(Z260,Z261,Z262,Z273,Z274,Z275)</f>
        <v>2465</v>
      </c>
      <c r="AA276" s="3">
        <f>SUM(AA260,AA261,AA262,AA273,AA274,AA275)</f>
        <v>4973</v>
      </c>
      <c r="AB276" s="3">
        <f>SUM(AB260,AB261,AB262,AB273,AB274,AB275)</f>
        <v>14011</v>
      </c>
      <c r="AC276" s="3">
        <f>SUM(AC260,AC261,AC262,AC273,AC274,AC275)</f>
        <v>491</v>
      </c>
      <c r="AD276" s="3">
        <f>SUM(AD260,AD261,AD262,AD273,AD274,AD275)</f>
        <v>3185</v>
      </c>
      <c r="AE276" s="3">
        <f>SUM(AE260,AE261,AE262,AE273,AE274,AE275)</f>
        <v>1961</v>
      </c>
      <c r="AF276" s="3">
        <f>SUM(AF260,AF261,AF262,AF273,AF274,AF275)</f>
        <v>4505</v>
      </c>
      <c r="AG276" s="3">
        <f>SUM(AG260,AG261,AG262,AG273,AG274,AG275)</f>
        <v>10142</v>
      </c>
      <c r="AH276" s="3">
        <f>SUM(AH260,AH261,AH262,AH273,AH274,AH275)</f>
        <v>706</v>
      </c>
      <c r="AI276" s="3">
        <f>SUM(AI260,AI261,AI262,AI273,AI274,AI275)</f>
        <v>4173</v>
      </c>
      <c r="AJ276" s="3">
        <f>SUM(AJ260,AJ261,AJ262,AJ273,AJ274,AJ275)</f>
        <v>15655</v>
      </c>
      <c r="AK276" s="3">
        <f>SUM(AK260,AK261,AK262,AK273,AK274,AK275)</f>
        <v>263</v>
      </c>
      <c r="AL276" s="3">
        <f>SUM(AL260,AL261,AL262,AL273,AL274,AL275)</f>
        <v>20797</v>
      </c>
      <c r="AM276" s="3" t="e">
        <f>SUM(AM260,AM261,AM262,AM273,AM274,AM275)</f>
        <v>#DIV/0!</v>
      </c>
      <c r="AN276" s="3" t="e">
        <f>SUM(AN260,AN261,AN262,AN273,AN274,AN275)</f>
        <v>#DIV/0!</v>
      </c>
      <c r="AO276" s="3" t="e">
        <f>SUM(AO260,AO261,AO262,AO273,AO274,AO275)</f>
        <v>#DIV/0!</v>
      </c>
      <c r="AP276" s="3" t="e">
        <f>SUM(AP260,AP261,AP262,AP273,AP274,AP275)</f>
        <v>#DIV/0!</v>
      </c>
      <c r="AQ276" s="3" t="e">
        <f>SUM(AQ260,AQ261,AQ262,AQ273,AQ274,AQ275)</f>
        <v>#DIV/0!</v>
      </c>
      <c r="AR276" s="3" t="e">
        <f>SUM(AR260,AR261,AR262,AR273,AR274,AR275)</f>
        <v>#DIV/0!</v>
      </c>
      <c r="AS276" s="3" t="e">
        <f>SUM(AS260,AS261,AS262,AS273,AS274,AS275)</f>
        <v>#DIV/0!</v>
      </c>
      <c r="AT276" s="3" t="e">
        <f>SUM(AT260,AT261,AT262,AT273,AT274,AT275)</f>
        <v>#DIV/0!</v>
      </c>
      <c r="AU276" s="3" t="e">
        <f>SUM(AU260,AU261,AU262,AU273,AU274,AU275)</f>
        <v>#DIV/0!</v>
      </c>
      <c r="AV276" s="3" t="e">
        <f>SUM(AV260,AV261,AV262,AV273,AV274,AV275)</f>
        <v>#DIV/0!</v>
      </c>
      <c r="AW276" s="3" t="e">
        <f>SUM(AW260,AW261,AW262,AW273,AW274,AW275)</f>
        <v>#DIV/0!</v>
      </c>
      <c r="AX276" s="3" t="e">
        <f>SUM(AX260,AX261,AX262,AX273,AX274,AX275)</f>
        <v>#DIV/0!</v>
      </c>
      <c r="AY276" s="3" t="e">
        <f>SUM(AY260,AY261,AY262,AY273,AY274,AY275)</f>
        <v>#DIV/0!</v>
      </c>
      <c r="AZ276" s="3" t="e">
        <f>SUM(AZ260,AZ261,AZ262,AZ273,AZ274,AZ275)</f>
        <v>#DIV/0!</v>
      </c>
      <c r="BA276" s="3" t="e">
        <f>SUM(BA260,BA261,BA262,BA273,BA274,BA275)</f>
        <v>#DIV/0!</v>
      </c>
      <c r="BB276" s="3" t="e">
        <f>SUM(BB260,BB261,BB262,BB273,BB274,BB275)</f>
        <v>#DIV/0!</v>
      </c>
      <c r="BC276" s="3" t="e">
        <f>SUM(BC260,BC261,BC262,BC273,BC274,BC275)</f>
        <v>#DIV/0!</v>
      </c>
      <c r="BD276" s="3" t="e">
        <f>SUM(BD260,BD261,BD262,BD273,BD274,BD275)</f>
        <v>#DIV/0!</v>
      </c>
      <c r="BE276" s="3" t="e">
        <f>SUM(BE260,BE261,BE262,BE273,BE274,BE275)</f>
        <v>#DIV/0!</v>
      </c>
      <c r="BF276" s="3" t="e">
        <f>SUM(BF260,BF261,BF262,BF273,BF274,BF275)</f>
        <v>#DIV/0!</v>
      </c>
      <c r="BG276" s="3" t="e">
        <f>SUM(BG260,BG261,BG262,BG273,BG274,BG275)</f>
        <v>#DIV/0!</v>
      </c>
      <c r="BH276" s="3" t="e">
        <f>SUM(BH260,BH261,BH262,BH273,BH274,BH275)</f>
        <v>#DIV/0!</v>
      </c>
      <c r="BI276" s="3" t="e">
        <f>SUM(BI260,BI261,BI262,BI273,BI274,BI275)</f>
        <v>#DIV/0!</v>
      </c>
      <c r="BJ276" s="3" t="e">
        <f>SUM(BJ260,BJ261,BJ262,BJ273,BJ274,BJ275)</f>
        <v>#DIV/0!</v>
      </c>
      <c r="BK276" s="3" t="e">
        <f>SUM(BK260,BK261,BK262,BK273,BK274,BK275)</f>
        <v>#DIV/0!</v>
      </c>
      <c r="BL276" s="3" t="e">
        <f>SUM(BL260,BL261,BL262,BL273,BL274,BL275)</f>
        <v>#DIV/0!</v>
      </c>
      <c r="BM276" s="3" t="e">
        <f>SUM(BM260,BM261,BM262,BM273,BM274,BM275)</f>
        <v>#DIV/0!</v>
      </c>
      <c r="BN276" s="3" t="e">
        <f>SUM(BN260,BN261,BN262,BN273,BN274,BN275)</f>
        <v>#DIV/0!</v>
      </c>
      <c r="BO276" s="3" t="e">
        <f>SUM(BO260,BO261,BO262,BO273,BO274,BO275)</f>
        <v>#DIV/0!</v>
      </c>
      <c r="BP276" s="3" t="e">
        <f>SUM(BP260,BP261,BP262,BP273,BP274,BP275)</f>
        <v>#DIV/0!</v>
      </c>
      <c r="BQ276" s="3" t="e">
        <f>SUM(BQ260,BQ261,BQ262,BQ273,BQ274,BQ275)</f>
        <v>#DIV/0!</v>
      </c>
      <c r="BR276" s="3" t="e">
        <f>SUM(BR260,BR261,BR262,BR273,BR274,BR275)</f>
        <v>#DIV/0!</v>
      </c>
      <c r="BS276" s="3" t="e">
        <f>SUM(BS260,BS261,BS262,BS273,BS274,BS275)</f>
        <v>#DIV/0!</v>
      </c>
      <c r="BT276" s="3" t="e">
        <f>SUM(BT260,BT261,BT262,BT273,BT274,BT275)</f>
        <v>#DIV/0!</v>
      </c>
      <c r="BU276" s="3" t="e">
        <f>SUM(BU260,BU261,BU262,BU273,BU274,BU275)</f>
        <v>#DIV/0!</v>
      </c>
      <c r="BV276" s="3" t="e">
        <f>SUM(BV260,BV261,BV262,BV273,BV274,BV275)</f>
        <v>#DIV/0!</v>
      </c>
      <c r="BW276" s="3" t="e">
        <f>SUM(BW260,BW261,BW262,BW273,BW274,BW275)</f>
        <v>#DIV/0!</v>
      </c>
      <c r="BX276" s="3" t="e">
        <f>SUM(BX260,BX261,BX262,BX273,BX274,BX275)</f>
        <v>#DIV/0!</v>
      </c>
      <c r="BY276" s="3" t="e">
        <f>SUM(BY260,BY261,BY262,BY273,BY274,BY275)</f>
        <v>#DIV/0!</v>
      </c>
      <c r="BZ276" s="3" t="e">
        <f>SUM(BZ260,BZ261,BZ262,BZ273,BZ274,BZ275)</f>
        <v>#DIV/0!</v>
      </c>
      <c r="CA276" s="3" t="e">
        <f>SUM(CA260,CA261,CA262,CA273,CA274,CA275)</f>
        <v>#DIV/0!</v>
      </c>
      <c r="CB276" s="3" t="e">
        <f>SUM(CB260,CB261,CB262,CB273,CB274,CB275)</f>
        <v>#DIV/0!</v>
      </c>
      <c r="CC276" s="3" t="e">
        <f>SUM(CC260,CC261,CC262,CC273,CC274,CC275)</f>
        <v>#DIV/0!</v>
      </c>
      <c r="CD276" s="3" t="e">
        <f>SUM(CD260,CD261,CD262,CD273,CD274,CD275)</f>
        <v>#DIV/0!</v>
      </c>
      <c r="CE276" s="3" t="e">
        <f>SUM(CE260,CE261,CE262,CE273,CE274,CE275)</f>
        <v>#DIV/0!</v>
      </c>
      <c r="CF276" s="3" t="e">
        <f>SUM(CF260,CF261,CF262,CF273,CF274,CF275)</f>
        <v>#DIV/0!</v>
      </c>
      <c r="CG276" s="3" t="e">
        <f>SUM(CG260,CG261,CG262,CG273,CG274,CG275)</f>
        <v>#DIV/0!</v>
      </c>
      <c r="CH276" s="3" t="e">
        <f>SUM(CH260,CH261,CH262,CH273,CH274,CH275)</f>
        <v>#DIV/0!</v>
      </c>
      <c r="CI276" s="3" t="e">
        <f>SUM(CI260,CI261,CI262,CI273,CI274,CI275)</f>
        <v>#DIV/0!</v>
      </c>
      <c r="CJ276" s="3" t="e">
        <f>SUM(CJ260,CJ261,CJ262,CJ273,CJ274,CJ275)</f>
        <v>#DIV/0!</v>
      </c>
      <c r="CK276" s="3" t="e">
        <f>SUM(CK260,CK261,CK262,CK273,CK274,CK275)</f>
        <v>#DIV/0!</v>
      </c>
      <c r="CL276" s="3" t="e">
        <f>SUM(CL260,CL261,CL262,CL273,CL274,CL275)</f>
        <v>#DIV/0!</v>
      </c>
      <c r="CM276" s="3" t="e">
        <f>SUM(CM260,CM261,CM262,CM273,CM274,CM275)</f>
        <v>#DIV/0!</v>
      </c>
      <c r="CN276" s="3" t="e">
        <f>SUM(CN260,CN261,CN262,CN273,CN274,CN275)</f>
        <v>#DIV/0!</v>
      </c>
      <c r="CO276" s="3" t="e">
        <f>SUM(CO260,CO261,CO262,CO273,CO274,CO275)</f>
        <v>#DIV/0!</v>
      </c>
      <c r="CP276" s="3" t="e">
        <f>SUM(CP260,CP261,CP262,CP273,CP274,CP275)</f>
        <v>#DIV/0!</v>
      </c>
      <c r="CQ276" s="3" t="e">
        <f>SUM(CQ260,CQ261,CQ262,CQ273,CQ274,CQ275)</f>
        <v>#DIV/0!</v>
      </c>
      <c r="CR276" s="3" t="e">
        <f>SUM(CR260,CR261,CR262,CR273,CR274,CR275)</f>
        <v>#DIV/0!</v>
      </c>
      <c r="CS276" s="3" t="e">
        <f>SUM(CS260,CS261,CS262,CS273,CS274,CS275)</f>
        <v>#DIV/0!</v>
      </c>
      <c r="CT276" s="3" t="e">
        <f>SUM(CT260,CT261,CT262,CT273,CT274,CT275)</f>
        <v>#DIV/0!</v>
      </c>
      <c r="CU276" s="3" t="e">
        <f>SUM(CU260,CU261,CU262,CU273,CU274,CU275)</f>
        <v>#DIV/0!</v>
      </c>
      <c r="CV276" s="3" t="e">
        <f>SUM(CV260,CV261,CV262,CV273,CV274,CV275)</f>
        <v>#DIV/0!</v>
      </c>
      <c r="CW276" s="3" t="e">
        <f>SUM(CW260,CW261,CW262,CW273,CW274,CW275)</f>
        <v>#DIV/0!</v>
      </c>
      <c r="CX276" s="3" t="e">
        <f>SUM(CX260,CX261,CX262,CX273,CX274,CX275)</f>
        <v>#DIV/0!</v>
      </c>
      <c r="CY276" s="3" t="e">
        <f>SUM(CY260,CY261,CY262,CY273,CY274,CY275)</f>
        <v>#DIV/0!</v>
      </c>
    </row>
    <row r="277">
      <c r="C277" s="2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  <c r="CU277" s="3" t="n"/>
      <c r="CV277" s="3" t="n"/>
      <c r="CW277" s="3" t="n"/>
      <c r="CX277" s="3" t="n"/>
      <c r="CY277" s="3" t="n"/>
    </row>
    <row r="278">
      <c r="C278" s="29" t="inlineStr">
        <is>
          <t>Purchase of fixed assets (capital expenditures)</t>
        </is>
      </c>
      <c r="D278" s="3" t="n"/>
      <c r="E278" s="3">
        <f>-E151</f>
        <v>-477</v>
      </c>
      <c r="F278" s="3">
        <f>-F151</f>
        <v>-468</v>
      </c>
      <c r="G278" s="3">
        <f>-G151</f>
        <v>-786</v>
      </c>
      <c r="H278" s="3">
        <f>SUM(D278:G278)</f>
        <v>-1731</v>
      </c>
      <c r="I278" s="3">
        <f>-I151</f>
        <v>-317</v>
      </c>
      <c r="J278" s="3">
        <f>-J151</f>
        <v>-469</v>
      </c>
      <c r="K278" s="3">
        <f>-K151</f>
        <v>-483</v>
      </c>
      <c r="L278" s="3">
        <f>-L151</f>
        <v>-772</v>
      </c>
      <c r="M278" s="3">
        <f>SUM(I278:L278)</f>
        <v>-2041</v>
      </c>
      <c r="N278" s="3">
        <f>-N151</f>
        <v>-399</v>
      </c>
      <c r="O278" s="3">
        <f>-O151</f>
        <v>-365</v>
      </c>
      <c r="P278" s="3">
        <f>-P151</f>
        <v>-450</v>
      </c>
      <c r="Q278" s="3">
        <f>-Q151</f>
        <v>-943</v>
      </c>
      <c r="R278" s="3">
        <f>SUM(N278:Q278)</f>
        <v>-2157</v>
      </c>
      <c r="S278" s="3">
        <f>-S151</f>
        <v>-477</v>
      </c>
      <c r="T278" s="3">
        <f>-T151</f>
        <v>-693</v>
      </c>
      <c r="U278" s="3">
        <f>-U151</f>
        <v>-688</v>
      </c>
      <c r="V278" s="3">
        <f>-V151</f>
        <v>-938</v>
      </c>
      <c r="W278" s="3">
        <f>SUM(S278:V278)</f>
        <v>-2796</v>
      </c>
      <c r="X278" s="3">
        <f>-X151</f>
        <v>-382</v>
      </c>
      <c r="Y278" s="3">
        <f>-Y151</f>
        <v>-575</v>
      </c>
      <c r="Z278" s="3">
        <f>-Z151</f>
        <v>-798</v>
      </c>
      <c r="AA278" s="3">
        <f>-AA151</f>
        <v>-1079</v>
      </c>
      <c r="AB278" s="3">
        <f>SUM(X278:AA278)</f>
        <v>-2834</v>
      </c>
      <c r="AC278" s="3">
        <f>-AC151</f>
        <v>-611</v>
      </c>
      <c r="AD278" s="3">
        <f>-AD151</f>
        <v>-1018</v>
      </c>
      <c r="AE278" s="3">
        <f>-AE151</f>
        <v>-984</v>
      </c>
      <c r="AF278" s="3">
        <f>-AF151</f>
        <v>-1428</v>
      </c>
      <c r="AG278" s="3">
        <f>SUM(AC278:AF278)</f>
        <v>-4041</v>
      </c>
      <c r="AH278" s="3">
        <f>-AH151</f>
        <v>-704</v>
      </c>
      <c r="AI278" s="3">
        <f>-AI151</f>
        <v>-995</v>
      </c>
      <c r="AJ278" s="3">
        <f>-AJ151</f>
        <v>0</v>
      </c>
      <c r="AK278" s="3">
        <f>-AK151</f>
        <v>0</v>
      </c>
      <c r="AL278" s="3">
        <f>SUM(AH278:AK278)</f>
        <v>-1699</v>
      </c>
      <c r="AM278" s="3">
        <f>-AM151</f>
        <v>0</v>
      </c>
      <c r="AN278" s="3">
        <f>-AN151</f>
        <v>0</v>
      </c>
      <c r="AO278" s="3">
        <f>-AO151</f>
        <v>0</v>
      </c>
      <c r="AP278" s="3">
        <f>-AP151</f>
        <v>0</v>
      </c>
      <c r="AQ278" s="3">
        <f>SUM(AM278:AP278)</f>
        <v>0</v>
      </c>
      <c r="AR278" s="3">
        <f>-AR151</f>
        <v>0</v>
      </c>
      <c r="AS278" s="3">
        <f>-AS151</f>
        <v>0</v>
      </c>
      <c r="AT278" s="3">
        <f>-AT151</f>
        <v>0</v>
      </c>
      <c r="AU278" s="3">
        <f>-AU151</f>
        <v>0</v>
      </c>
      <c r="AV278" s="3">
        <f>SUM(AR278:AU278)</f>
        <v>0</v>
      </c>
      <c r="AW278" s="3">
        <f>-AW151</f>
        <v>0</v>
      </c>
      <c r="AX278" s="3">
        <f>-AX151</f>
        <v>0</v>
      </c>
      <c r="AY278" s="3">
        <f>-AY151</f>
        <v>0</v>
      </c>
      <c r="AZ278" s="3">
        <f>-AZ151</f>
        <v>0</v>
      </c>
      <c r="BA278" s="3">
        <f>SUM(AW278:AZ278)</f>
        <v>0</v>
      </c>
      <c r="BB278" s="3">
        <f>-BB151</f>
        <v>0</v>
      </c>
      <c r="BC278" s="3">
        <f>-BC151</f>
        <v>0</v>
      </c>
      <c r="BD278" s="3">
        <f>-BD151</f>
        <v>0</v>
      </c>
      <c r="BE278" s="3">
        <f>-BE151</f>
        <v>0</v>
      </c>
      <c r="BF278" s="3">
        <f>SUM(BB278:BE278)</f>
        <v>0</v>
      </c>
      <c r="BG278" s="3">
        <f>-BG151</f>
        <v>0</v>
      </c>
      <c r="BH278" s="3">
        <f>-BH151</f>
        <v>0</v>
      </c>
      <c r="BI278" s="3">
        <f>-BI151</f>
        <v>0</v>
      </c>
      <c r="BJ278" s="3">
        <f>-BJ151</f>
        <v>0</v>
      </c>
      <c r="BK278" s="3">
        <f>SUM(BG278:BJ278)</f>
        <v>0</v>
      </c>
      <c r="BL278" s="3">
        <f>-BL151</f>
        <v>0</v>
      </c>
      <c r="BM278" s="3">
        <f>-BM151</f>
        <v>0</v>
      </c>
      <c r="BN278" s="3">
        <f>-BN151</f>
        <v>0</v>
      </c>
      <c r="BO278" s="3">
        <f>-BO151</f>
        <v>0</v>
      </c>
      <c r="BP278" s="3">
        <f>SUM(BL278:BO278)</f>
        <v>0</v>
      </c>
      <c r="BQ278" s="3">
        <f>-BQ151</f>
        <v>0</v>
      </c>
      <c r="BR278" s="3">
        <f>-BR151</f>
        <v>0</v>
      </c>
      <c r="BS278" s="3">
        <f>-BS151</f>
        <v>0</v>
      </c>
      <c r="BT278" s="3">
        <f>-BT151</f>
        <v>0</v>
      </c>
      <c r="BU278" s="3">
        <f>SUM(BQ278:BT278)</f>
        <v>0</v>
      </c>
      <c r="BV278" s="3">
        <f>-BV151</f>
        <v>0</v>
      </c>
      <c r="BW278" s="3">
        <f>-BW151</f>
        <v>0</v>
      </c>
      <c r="BX278" s="3">
        <f>-BX151</f>
        <v>0</v>
      </c>
      <c r="BY278" s="3">
        <f>-BY151</f>
        <v>0</v>
      </c>
      <c r="BZ278" s="3">
        <f>SUM(BV278:BY278)</f>
        <v>0</v>
      </c>
      <c r="CA278" s="3">
        <f>-CA151</f>
        <v>0</v>
      </c>
      <c r="CB278" s="3">
        <f>-CB151</f>
        <v>0</v>
      </c>
      <c r="CC278" s="3">
        <f>-CC151</f>
        <v>0</v>
      </c>
      <c r="CD278" s="3">
        <f>-CD151</f>
        <v>0</v>
      </c>
      <c r="CE278" s="3">
        <f>SUM(CA278:CD278)</f>
        <v>0</v>
      </c>
      <c r="CF278" s="3">
        <f>-CF151</f>
        <v>0</v>
      </c>
      <c r="CG278" s="3">
        <f>-CG151</f>
        <v>0</v>
      </c>
      <c r="CH278" s="3">
        <f>-CH151</f>
        <v>0</v>
      </c>
      <c r="CI278" s="3">
        <f>-CI151</f>
        <v>0</v>
      </c>
      <c r="CJ278" s="3">
        <f>SUM(CF278:CI278)</f>
        <v>0</v>
      </c>
      <c r="CK278" s="3">
        <f>-CK151</f>
        <v>0</v>
      </c>
      <c r="CL278" s="3">
        <f>-CL151</f>
        <v>0</v>
      </c>
      <c r="CM278" s="3">
        <f>-CM151</f>
        <v>0</v>
      </c>
      <c r="CN278" s="3">
        <f>-CN151</f>
        <v>0</v>
      </c>
      <c r="CO278" s="3">
        <f>SUM(CK278:CN278)</f>
        <v>0</v>
      </c>
      <c r="CP278" s="3">
        <f>-CP151</f>
        <v>0</v>
      </c>
      <c r="CQ278" s="3">
        <f>-CQ151</f>
        <v>0</v>
      </c>
      <c r="CR278" s="3">
        <f>-CR151</f>
        <v>0</v>
      </c>
      <c r="CS278" s="3">
        <f>-CS151</f>
        <v>0</v>
      </c>
      <c r="CT278" s="3">
        <f>SUM(CP278:CS278)</f>
        <v>0</v>
      </c>
      <c r="CU278" s="3">
        <f>-CU151</f>
        <v>0</v>
      </c>
      <c r="CV278" s="3">
        <f>-CV151</f>
        <v>0</v>
      </c>
      <c r="CW278" s="3">
        <f>-CW151</f>
        <v>0</v>
      </c>
      <c r="CX278" s="3">
        <f>-CX151</f>
        <v>0</v>
      </c>
      <c r="CY278" s="3">
        <f>SUM(CU278:CX278)</f>
        <v>0</v>
      </c>
    </row>
    <row r="279">
      <c r="C279" s="29" t="inlineStr">
        <is>
          <t>Proceeds from sale of fixed assets</t>
        </is>
      </c>
      <c r="D279" s="3" t="n"/>
      <c r="E279" s="3">
        <f>-E152</f>
        <v>0</v>
      </c>
      <c r="F279" s="3">
        <f>-F152</f>
        <v>0</v>
      </c>
      <c r="G279" s="3">
        <f>-G152</f>
        <v>0</v>
      </c>
      <c r="H279" s="3">
        <f>SUM(D279:G279)</f>
        <v>0</v>
      </c>
      <c r="I279" s="3">
        <f>-I152</f>
        <v>0</v>
      </c>
      <c r="J279" s="3">
        <f>-J152</f>
        <v>0</v>
      </c>
      <c r="K279" s="3">
        <f>-K152</f>
        <v>0</v>
      </c>
      <c r="L279" s="3">
        <f>-L152</f>
        <v>0</v>
      </c>
      <c r="M279" s="3">
        <f>SUM(I279:L279)</f>
        <v>0</v>
      </c>
      <c r="N279" s="3">
        <f>-N152</f>
        <v>0</v>
      </c>
      <c r="O279" s="3">
        <f>-O152</f>
        <v>0</v>
      </c>
      <c r="P279" s="3">
        <f>-P152</f>
        <v>0</v>
      </c>
      <c r="Q279" s="3">
        <f>-Q152</f>
        <v>0</v>
      </c>
      <c r="R279" s="3">
        <f>SUM(N279:Q279)</f>
        <v>0</v>
      </c>
      <c r="S279" s="3">
        <f>-S152</f>
        <v>0</v>
      </c>
      <c r="T279" s="3">
        <f>-T152</f>
        <v>0</v>
      </c>
      <c r="U279" s="3">
        <f>-U152</f>
        <v>0</v>
      </c>
      <c r="V279" s="3">
        <f>-V152</f>
        <v>0</v>
      </c>
      <c r="W279" s="3">
        <f>SUM(S279:V279)</f>
        <v>0</v>
      </c>
      <c r="X279" s="3">
        <f>-X152</f>
        <v>0</v>
      </c>
      <c r="Y279" s="3">
        <f>-Y152</f>
        <v>0</v>
      </c>
      <c r="Z279" s="3">
        <f>-Z152</f>
        <v>0</v>
      </c>
      <c r="AA279" s="3">
        <f>-AA152</f>
        <v>0</v>
      </c>
      <c r="AB279" s="3">
        <f>SUM(X279:AA279)</f>
        <v>0</v>
      </c>
      <c r="AC279" s="3">
        <f>-AC152</f>
        <v>0</v>
      </c>
      <c r="AD279" s="3">
        <f>-AD152</f>
        <v>0</v>
      </c>
      <c r="AE279" s="3">
        <f>-AE152</f>
        <v>0</v>
      </c>
      <c r="AF279" s="3">
        <f>-AF152</f>
        <v>0</v>
      </c>
      <c r="AG279" s="3">
        <f>SUM(AC279:AF279)</f>
        <v>0</v>
      </c>
      <c r="AH279" s="3">
        <f>-AH152</f>
        <v>0</v>
      </c>
      <c r="AI279" s="3">
        <f>-AI152</f>
        <v>0</v>
      </c>
      <c r="AJ279" s="3">
        <f>-AJ152</f>
        <v>0</v>
      </c>
      <c r="AK279" s="3">
        <f>-AK152</f>
        <v>0</v>
      </c>
      <c r="AL279" s="3">
        <f>SUM(AH279:AK279)</f>
        <v>0</v>
      </c>
      <c r="AM279" s="3">
        <f>-AM152</f>
        <v>0</v>
      </c>
      <c r="AN279" s="3">
        <f>-AN152</f>
        <v>0</v>
      </c>
      <c r="AO279" s="3">
        <f>-AO152</f>
        <v>0</v>
      </c>
      <c r="AP279" s="3">
        <f>-AP152</f>
        <v>0</v>
      </c>
      <c r="AQ279" s="3">
        <f>SUM(AM279:AP279)</f>
        <v>0</v>
      </c>
      <c r="AR279" s="3">
        <f>-AR152</f>
        <v>0</v>
      </c>
      <c r="AS279" s="3">
        <f>-AS152</f>
        <v>0</v>
      </c>
      <c r="AT279" s="3">
        <f>-AT152</f>
        <v>0</v>
      </c>
      <c r="AU279" s="3">
        <f>-AU152</f>
        <v>0</v>
      </c>
      <c r="AV279" s="3">
        <f>SUM(AR279:AU279)</f>
        <v>0</v>
      </c>
      <c r="AW279" s="3">
        <f>-AW152</f>
        <v>0</v>
      </c>
      <c r="AX279" s="3">
        <f>-AX152</f>
        <v>0</v>
      </c>
      <c r="AY279" s="3">
        <f>-AY152</f>
        <v>0</v>
      </c>
      <c r="AZ279" s="3">
        <f>-AZ152</f>
        <v>0</v>
      </c>
      <c r="BA279" s="3">
        <f>SUM(AW279:AZ279)</f>
        <v>0</v>
      </c>
      <c r="BB279" s="3">
        <f>-BB152</f>
        <v>0</v>
      </c>
      <c r="BC279" s="3">
        <f>-BC152</f>
        <v>0</v>
      </c>
      <c r="BD279" s="3">
        <f>-BD152</f>
        <v>0</v>
      </c>
      <c r="BE279" s="3">
        <f>-BE152</f>
        <v>0</v>
      </c>
      <c r="BF279" s="3">
        <f>SUM(BB279:BE279)</f>
        <v>0</v>
      </c>
      <c r="BG279" s="3">
        <f>-BG152</f>
        <v>0</v>
      </c>
      <c r="BH279" s="3">
        <f>-BH152</f>
        <v>0</v>
      </c>
      <c r="BI279" s="3">
        <f>-BI152</f>
        <v>0</v>
      </c>
      <c r="BJ279" s="3">
        <f>-BJ152</f>
        <v>0</v>
      </c>
      <c r="BK279" s="3">
        <f>SUM(BG279:BJ279)</f>
        <v>0</v>
      </c>
      <c r="BL279" s="3">
        <f>-BL152</f>
        <v>0</v>
      </c>
      <c r="BM279" s="3">
        <f>-BM152</f>
        <v>0</v>
      </c>
      <c r="BN279" s="3">
        <f>-BN152</f>
        <v>0</v>
      </c>
      <c r="BO279" s="3">
        <f>-BO152</f>
        <v>0</v>
      </c>
      <c r="BP279" s="3">
        <f>SUM(BL279:BO279)</f>
        <v>0</v>
      </c>
      <c r="BQ279" s="3">
        <f>-BQ152</f>
        <v>0</v>
      </c>
      <c r="BR279" s="3">
        <f>-BR152</f>
        <v>0</v>
      </c>
      <c r="BS279" s="3">
        <f>-BS152</f>
        <v>0</v>
      </c>
      <c r="BT279" s="3">
        <f>-BT152</f>
        <v>0</v>
      </c>
      <c r="BU279" s="3">
        <f>SUM(BQ279:BT279)</f>
        <v>0</v>
      </c>
      <c r="BV279" s="3">
        <f>-BV152</f>
        <v>0</v>
      </c>
      <c r="BW279" s="3">
        <f>-BW152</f>
        <v>0</v>
      </c>
      <c r="BX279" s="3">
        <f>-BX152</f>
        <v>0</v>
      </c>
      <c r="BY279" s="3">
        <f>-BY152</f>
        <v>0</v>
      </c>
      <c r="BZ279" s="3">
        <f>SUM(BV279:BY279)</f>
        <v>0</v>
      </c>
      <c r="CA279" s="3">
        <f>-CA152</f>
        <v>0</v>
      </c>
      <c r="CB279" s="3">
        <f>-CB152</f>
        <v>0</v>
      </c>
      <c r="CC279" s="3">
        <f>-CC152</f>
        <v>0</v>
      </c>
      <c r="CD279" s="3">
        <f>-CD152</f>
        <v>0</v>
      </c>
      <c r="CE279" s="3">
        <f>SUM(CA279:CD279)</f>
        <v>0</v>
      </c>
      <c r="CF279" s="3">
        <f>-CF152</f>
        <v>0</v>
      </c>
      <c r="CG279" s="3">
        <f>-CG152</f>
        <v>0</v>
      </c>
      <c r="CH279" s="3">
        <f>-CH152</f>
        <v>0</v>
      </c>
      <c r="CI279" s="3">
        <f>-CI152</f>
        <v>0</v>
      </c>
      <c r="CJ279" s="3">
        <f>SUM(CF279:CI279)</f>
        <v>0</v>
      </c>
      <c r="CK279" s="3">
        <f>-CK152</f>
        <v>0</v>
      </c>
      <c r="CL279" s="3">
        <f>-CL152</f>
        <v>0</v>
      </c>
      <c r="CM279" s="3">
        <f>-CM152</f>
        <v>0</v>
      </c>
      <c r="CN279" s="3">
        <f>-CN152</f>
        <v>0</v>
      </c>
      <c r="CO279" s="3">
        <f>SUM(CK279:CN279)</f>
        <v>0</v>
      </c>
      <c r="CP279" s="3">
        <f>-CP152</f>
        <v>0</v>
      </c>
      <c r="CQ279" s="3">
        <f>-CQ152</f>
        <v>0</v>
      </c>
      <c r="CR279" s="3">
        <f>-CR152</f>
        <v>0</v>
      </c>
      <c r="CS279" s="3">
        <f>-CS152</f>
        <v>0</v>
      </c>
      <c r="CT279" s="3">
        <f>SUM(CP279:CS279)</f>
        <v>0</v>
      </c>
      <c r="CU279" s="3">
        <f>-CU152</f>
        <v>0</v>
      </c>
      <c r="CV279" s="3">
        <f>-CV152</f>
        <v>0</v>
      </c>
      <c r="CW279" s="3">
        <f>-CW152</f>
        <v>0</v>
      </c>
      <c r="CX279" s="3">
        <f>-CX152</f>
        <v>0</v>
      </c>
      <c r="CY279" s="3">
        <f>SUM(CU279:CX279)</f>
        <v>0</v>
      </c>
    </row>
    <row r="280">
      <c r="C280" s="29" t="inlineStr">
        <is>
          <t>Var.Right-of-use-assets</t>
        </is>
      </c>
      <c r="D280" s="3" t="n"/>
      <c r="E280" s="3">
        <f>(E159-D159)*-1</f>
        <v>0</v>
      </c>
      <c r="F280" s="3">
        <f>(F159-E159)*-1</f>
        <v>0</v>
      </c>
      <c r="G280" s="3">
        <f>(G159-F159)*-1</f>
        <v>0</v>
      </c>
      <c r="H280" s="3">
        <f>SUM(D280:G280)</f>
        <v>0</v>
      </c>
      <c r="I280" s="3">
        <f>(I159-H159)*-1</f>
        <v>0</v>
      </c>
      <c r="J280" s="3">
        <f>(J159-I159)*-1</f>
        <v>0</v>
      </c>
      <c r="K280" s="3">
        <f>(K159-J159)*-1</f>
        <v>0</v>
      </c>
      <c r="L280" s="3">
        <f>(L159-K159)*-1</f>
        <v>0</v>
      </c>
      <c r="M280" s="3">
        <f>SUM(I280:L280)</f>
        <v>0</v>
      </c>
      <c r="N280" s="3">
        <f>(N159-M159)*-1</f>
        <v>0</v>
      </c>
      <c r="O280" s="3">
        <f>(O159-N159)*-1</f>
        <v>0</v>
      </c>
      <c r="P280" s="3">
        <f>(P159-O159)*-1</f>
        <v>0</v>
      </c>
      <c r="Q280" s="3">
        <f>(Q159-P159)*-1</f>
        <v>0</v>
      </c>
      <c r="R280" s="3">
        <f>SUM(N280:Q280)</f>
        <v>0</v>
      </c>
      <c r="S280" s="3">
        <f>(S159-R159)*-1</f>
        <v>0</v>
      </c>
      <c r="T280" s="3">
        <f>(T159-S159)*-1</f>
        <v>0</v>
      </c>
      <c r="U280" s="3">
        <f>(U159-T159)*-1</f>
        <v>0</v>
      </c>
      <c r="V280" s="3">
        <f>(V159-U159)*-1</f>
        <v>0</v>
      </c>
      <c r="W280" s="3">
        <f>SUM(S280:V280)</f>
        <v>0</v>
      </c>
      <c r="X280" s="3">
        <f>(X159-W159)*-1</f>
        <v>0</v>
      </c>
      <c r="Y280" s="3">
        <f>(Y159-X159)*-1</f>
        <v>0</v>
      </c>
      <c r="Z280" s="3">
        <f>(Z159-Y159)*-1</f>
        <v>0</v>
      </c>
      <c r="AA280" s="3">
        <f>(AA159-Z159)*-1</f>
        <v>0</v>
      </c>
      <c r="AB280" s="3">
        <f>SUM(X280:AA280)</f>
        <v>0</v>
      </c>
      <c r="AC280" s="3">
        <f>(AC159-AB159)*-1</f>
        <v>0</v>
      </c>
      <c r="AD280" s="3">
        <f>(AD159-AC159)*-1</f>
        <v>0</v>
      </c>
      <c r="AE280" s="3">
        <f>(AE159-AD159)*-1</f>
        <v>0</v>
      </c>
      <c r="AF280" s="3">
        <f>(AF159-AE159)*-1</f>
        <v>0</v>
      </c>
      <c r="AG280" s="3">
        <f>SUM(AC280:AF280)</f>
        <v>0</v>
      </c>
      <c r="AH280" s="3">
        <f>(AH159-AG159)*-1</f>
        <v>0</v>
      </c>
      <c r="AI280" s="3">
        <f>(AI159-AH159)*-1</f>
        <v>0</v>
      </c>
      <c r="AJ280" s="3">
        <f>(AJ159-AI159)*-1</f>
        <v>0</v>
      </c>
      <c r="AK280" s="3">
        <f>(AK159-AJ159)*-1</f>
        <v>0</v>
      </c>
      <c r="AL280" s="3">
        <f>SUM(AH280:AK280)</f>
        <v>0</v>
      </c>
      <c r="AM280" s="3">
        <f>(AM159-AL159)*-1</f>
        <v>0</v>
      </c>
      <c r="AN280" s="3">
        <f>(AN159-AM159)*-1</f>
        <v>0</v>
      </c>
      <c r="AO280" s="3">
        <f>(AO159-AN159)*-1</f>
        <v>0</v>
      </c>
      <c r="AP280" s="3">
        <f>(AP159-AO159)*-1</f>
        <v>0</v>
      </c>
      <c r="AQ280" s="3">
        <f>SUM(AM280:AP280)</f>
        <v>0</v>
      </c>
      <c r="AR280" s="3">
        <f>(AR159-AQ159)*-1</f>
        <v>0</v>
      </c>
      <c r="AS280" s="3">
        <f>(AS159-AR159)*-1</f>
        <v>0</v>
      </c>
      <c r="AT280" s="3">
        <f>(AT159-AS159)*-1</f>
        <v>0</v>
      </c>
      <c r="AU280" s="3">
        <f>(AU159-AT159)*-1</f>
        <v>0</v>
      </c>
      <c r="AV280" s="3">
        <f>SUM(AR280:AU280)</f>
        <v>0</v>
      </c>
      <c r="AW280" s="3">
        <f>(AW159-AV159)*-1</f>
        <v>0</v>
      </c>
      <c r="AX280" s="3">
        <f>(AX159-AW159)*-1</f>
        <v>0</v>
      </c>
      <c r="AY280" s="3">
        <f>(AY159-AX159)*-1</f>
        <v>0</v>
      </c>
      <c r="AZ280" s="3">
        <f>(AZ159-AY159)*-1</f>
        <v>0</v>
      </c>
      <c r="BA280" s="3">
        <f>SUM(AW280:AZ280)</f>
        <v>0</v>
      </c>
      <c r="BB280" s="3">
        <f>(BB159-BA159)*-1</f>
        <v>0</v>
      </c>
      <c r="BC280" s="3">
        <f>(BC159-BB159)*-1</f>
        <v>0</v>
      </c>
      <c r="BD280" s="3">
        <f>(BD159-BC159)*-1</f>
        <v>0</v>
      </c>
      <c r="BE280" s="3">
        <f>(BE159-BD159)*-1</f>
        <v>0</v>
      </c>
      <c r="BF280" s="3">
        <f>SUM(BB280:BE280)</f>
        <v>0</v>
      </c>
      <c r="BG280" s="3">
        <f>(BG159-BF159)*-1</f>
        <v>0</v>
      </c>
      <c r="BH280" s="3">
        <f>(BH159-BG159)*-1</f>
        <v>0</v>
      </c>
      <c r="BI280" s="3">
        <f>(BI159-BH159)*-1</f>
        <v>0</v>
      </c>
      <c r="BJ280" s="3">
        <f>(BJ159-BI159)*-1</f>
        <v>0</v>
      </c>
      <c r="BK280" s="3">
        <f>SUM(BG280:BJ280)</f>
        <v>0</v>
      </c>
      <c r="BL280" s="3">
        <f>(BL159-BK159)*-1</f>
        <v>0</v>
      </c>
      <c r="BM280" s="3">
        <f>(BM159-BL159)*-1</f>
        <v>0</v>
      </c>
      <c r="BN280" s="3">
        <f>(BN159-BM159)*-1</f>
        <v>0</v>
      </c>
      <c r="BO280" s="3">
        <f>(BO159-BN159)*-1</f>
        <v>0</v>
      </c>
      <c r="BP280" s="3">
        <f>SUM(BL280:BO280)</f>
        <v>0</v>
      </c>
      <c r="BQ280" s="3">
        <f>(BQ159-BP159)*-1</f>
        <v>0</v>
      </c>
      <c r="BR280" s="3">
        <f>(BR159-BQ159)*-1</f>
        <v>0</v>
      </c>
      <c r="BS280" s="3">
        <f>(BS159-BR159)*-1</f>
        <v>0</v>
      </c>
      <c r="BT280" s="3">
        <f>(BT159-BS159)*-1</f>
        <v>0</v>
      </c>
      <c r="BU280" s="3">
        <f>SUM(BQ280:BT280)</f>
        <v>0</v>
      </c>
      <c r="BV280" s="3">
        <f>(BV159-BU159)*-1</f>
        <v>0</v>
      </c>
      <c r="BW280" s="3">
        <f>(BW159-BV159)*-1</f>
        <v>0</v>
      </c>
      <c r="BX280" s="3">
        <f>(BX159-BW159)*-1</f>
        <v>0</v>
      </c>
      <c r="BY280" s="3">
        <f>(BY159-BX159)*-1</f>
        <v>0</v>
      </c>
      <c r="BZ280" s="3">
        <f>SUM(BV280:BY280)</f>
        <v>0</v>
      </c>
      <c r="CA280" s="3">
        <f>(CA159-BZ159)*-1</f>
        <v>0</v>
      </c>
      <c r="CB280" s="3">
        <f>(CB159-CA159)*-1</f>
        <v>0</v>
      </c>
      <c r="CC280" s="3">
        <f>(CC159-CB159)*-1</f>
        <v>0</v>
      </c>
      <c r="CD280" s="3">
        <f>(CD159-CC159)*-1</f>
        <v>0</v>
      </c>
      <c r="CE280" s="3">
        <f>SUM(CA280:CD280)</f>
        <v>0</v>
      </c>
      <c r="CF280" s="3">
        <f>(CF159-CE159)*-1</f>
        <v>0</v>
      </c>
      <c r="CG280" s="3">
        <f>(CG159-CF159)*-1</f>
        <v>0</v>
      </c>
      <c r="CH280" s="3">
        <f>(CH159-CG159)*-1</f>
        <v>0</v>
      </c>
      <c r="CI280" s="3">
        <f>(CI159-CH159)*-1</f>
        <v>0</v>
      </c>
      <c r="CJ280" s="3">
        <f>SUM(CF280:CI280)</f>
        <v>0</v>
      </c>
      <c r="CK280" s="3">
        <f>(CK159-CJ159)*-1</f>
        <v>0</v>
      </c>
      <c r="CL280" s="3">
        <f>(CL159-CK159)*-1</f>
        <v>0</v>
      </c>
      <c r="CM280" s="3">
        <f>(CM159-CL159)*-1</f>
        <v>0</v>
      </c>
      <c r="CN280" s="3">
        <f>(CN159-CM159)*-1</f>
        <v>0</v>
      </c>
      <c r="CO280" s="3">
        <f>SUM(CK280:CN280)</f>
        <v>0</v>
      </c>
      <c r="CP280" s="3">
        <f>(CP159-CO159)*-1</f>
        <v>0</v>
      </c>
      <c r="CQ280" s="3">
        <f>(CQ159-CP159)*-1</f>
        <v>0</v>
      </c>
      <c r="CR280" s="3">
        <f>(CR159-CQ159)*-1</f>
        <v>0</v>
      </c>
      <c r="CS280" s="3">
        <f>(CS159-CR159)*-1</f>
        <v>0</v>
      </c>
      <c r="CT280" s="3">
        <f>SUM(CP280:CS280)</f>
        <v>0</v>
      </c>
      <c r="CU280" s="3">
        <f>(CU159-CT159)*-1</f>
        <v>0</v>
      </c>
      <c r="CV280" s="3">
        <f>(CV159-CU159)*-1</f>
        <v>0</v>
      </c>
      <c r="CW280" s="3">
        <f>(CW159-CV159)*-1</f>
        <v>0</v>
      </c>
      <c r="CX280" s="3">
        <f>(CX159-CW159)*-1</f>
        <v>0</v>
      </c>
      <c r="CY280" s="3">
        <f>SUM(CU280:CX280)</f>
        <v>0</v>
      </c>
      <c r="CZ280" s="3" t="n"/>
      <c r="DA280" s="3" t="n"/>
      <c r="DB280" s="3" t="n"/>
      <c r="DC280" s="3" t="n"/>
    </row>
    <row r="281">
      <c r="C281" s="29" t="inlineStr">
        <is>
          <t>Purchases of intangible assets</t>
        </is>
      </c>
      <c r="D281" s="3" t="n"/>
      <c r="E281" s="3">
        <f>((E163-D163)*-1)+((E162-D162)*-1)</f>
        <v>6</v>
      </c>
      <c r="F281" s="3">
        <f>((F163-E163)*-1)+((F162-E162)*-1)</f>
        <v>-55</v>
      </c>
      <c r="G281" s="3">
        <f>((G163-F163)*-1)+((G162-F162)*-1)</f>
        <v>-35</v>
      </c>
      <c r="H281" s="3">
        <f>SUM(D281:G281)</f>
        <v>-84</v>
      </c>
      <c r="I281" s="3">
        <f>((I163-H163)*-1)+((I162-H162)*-1)</f>
        <v>113</v>
      </c>
      <c r="J281" s="3">
        <f>((J163-I163)*-1)+((J162-I162)*-1)</f>
        <v>41</v>
      </c>
      <c r="K281" s="3">
        <f>((K163-J163)*-1)+((K162-J162)*-1)</f>
        <v>74</v>
      </c>
      <c r="L281" s="3">
        <f>((L163-K163)*-1)+((L162-K162)*-1)</f>
        <v>108</v>
      </c>
      <c r="M281" s="3">
        <f>SUM(I281:L281)</f>
        <v>336</v>
      </c>
      <c r="N281" s="3">
        <f>((N163-M163)*-1)+((N162-M162)*-1)</f>
        <v>106</v>
      </c>
      <c r="O281" s="3">
        <f>((O163-N163)*-1)+((O162-N162)*-1)</f>
        <v>176</v>
      </c>
      <c r="P281" s="3">
        <f>((P163-O163)*-1)+((P162-O162)*-1)</f>
        <v>186</v>
      </c>
      <c r="Q281" s="3">
        <f>((Q163-P163)*-1)+((Q162-P162)*-1)</f>
        <v>852</v>
      </c>
      <c r="R281" s="3">
        <f>SUM(N281:Q281)</f>
        <v>1320</v>
      </c>
      <c r="S281" s="3">
        <f>((S163-R163)*-1)+((S162-R162)*-1)</f>
        <v>43</v>
      </c>
      <c r="T281" s="3">
        <f>((T163-S163)*-1)+((T162-S162)*-1)</f>
        <v>80</v>
      </c>
      <c r="U281" s="3">
        <f>((U163-T163)*-1)+((U162-T162)*-1)</f>
        <v>51</v>
      </c>
      <c r="V281" s="3">
        <f>((V163-U163)*-1)+((V162-U162)*-1)</f>
        <v>0</v>
      </c>
      <c r="W281" s="3">
        <f>SUM(S281:V281)</f>
        <v>174</v>
      </c>
      <c r="X281" s="3">
        <f>((X163-W163)*-1)+((X162-W162)*-1)</f>
        <v>79</v>
      </c>
      <c r="Y281" s="3">
        <f>((Y163-X163)*-1)+((Y162-X162)*-1)</f>
        <v>41</v>
      </c>
      <c r="Z281" s="3">
        <f>((Z163-Y163)*-1)+((Z162-Y162)*-1)</f>
        <v>-13</v>
      </c>
      <c r="AA281" s="3">
        <f>((AA163-Z163)*-1)+((AA162-Z162)*-1)</f>
        <v>125</v>
      </c>
      <c r="AB281" s="3">
        <f>SUM(X281:AA281)</f>
        <v>232</v>
      </c>
      <c r="AC281" s="3">
        <f>((AC163-AB163)*-1)+((AC162-AB162)*-1)</f>
        <v>9</v>
      </c>
      <c r="AD281" s="3">
        <f>((AD163-AC163)*-1)+((AD162-AC162)*-1)</f>
        <v>-21</v>
      </c>
      <c r="AE281" s="3">
        <f>((AE163-AD163)*-1)+((AE162-AD162)*-1)</f>
        <v>42</v>
      </c>
      <c r="AF281" s="3">
        <f>((AF163-AE163)*-1)+((AF162-AE162)*-1)</f>
        <v>48</v>
      </c>
      <c r="AG281" s="3">
        <f>SUM(AC281:AF281)</f>
        <v>78</v>
      </c>
      <c r="AH281" s="3">
        <f>((AH163-AG163)*-1)+((AH162-AG162)*-1)</f>
        <v>-722</v>
      </c>
      <c r="AI281" s="3">
        <f>((AI163-AH163)*-1)+((AI162-AH162)*-1)</f>
        <v>5</v>
      </c>
      <c r="AJ281" s="3">
        <f>((AJ163-AI163)*-1)+((AJ162-AI162)*-1)</f>
        <v>420</v>
      </c>
      <c r="AK281" s="3">
        <f>((AK163-AJ163)*-1)+((AK162-AJ162)*-1)</f>
        <v>0</v>
      </c>
      <c r="AL281" s="3">
        <f>SUM(AH281:AK281)</f>
        <v>-297</v>
      </c>
      <c r="AM281" s="3">
        <f>((AM163-AL163)*-1)+((AM162-AL162)*-1)</f>
        <v>0</v>
      </c>
      <c r="AN281" s="3">
        <f>((AN163-AM163)*-1)+((AN162-AM162)*-1)</f>
        <v>0</v>
      </c>
      <c r="AO281" s="3">
        <f>((AO163-AN163)*-1)+((AO162-AN162)*-1)</f>
        <v>0</v>
      </c>
      <c r="AP281" s="3">
        <f>((AP163-AO163)*-1)+((AP162-AO162)*-1)</f>
        <v>0</v>
      </c>
      <c r="AQ281" s="3">
        <f>SUM(AM281:AP281)</f>
        <v>0</v>
      </c>
      <c r="AR281" s="3">
        <f>((AR163-AQ163)*-1)+((AR162-AQ162)*-1)</f>
        <v>0</v>
      </c>
      <c r="AS281" s="3">
        <f>((AS163-AR163)*-1)+((AS162-AR162)*-1)</f>
        <v>0</v>
      </c>
      <c r="AT281" s="3">
        <f>((AT163-AS163)*-1)+((AT162-AS162)*-1)</f>
        <v>0</v>
      </c>
      <c r="AU281" s="3">
        <f>((AU163-AT163)*-1)+((AU162-AT162)*-1)</f>
        <v>0</v>
      </c>
      <c r="AV281" s="3">
        <f>SUM(AR281:AU281)</f>
        <v>0</v>
      </c>
      <c r="AW281" s="3">
        <f>((AW163-AV163)*-1)+((AW162-AV162)*-1)</f>
        <v>0</v>
      </c>
      <c r="AX281" s="3">
        <f>((AX163-AW163)*-1)+((AX162-AW162)*-1)</f>
        <v>0</v>
      </c>
      <c r="AY281" s="3">
        <f>((AY163-AX163)*-1)+((AY162-AX162)*-1)</f>
        <v>0</v>
      </c>
      <c r="AZ281" s="3">
        <f>((AZ163-AY163)*-1)+((AZ162-AY162)*-1)</f>
        <v>0</v>
      </c>
      <c r="BA281" s="3">
        <f>SUM(AW281:AZ281)</f>
        <v>0</v>
      </c>
      <c r="BB281" s="3">
        <f>((BB163-BA163)*-1)+((BB162-BA162)*-1)</f>
        <v>0</v>
      </c>
      <c r="BC281" s="3">
        <f>((BC163-BB163)*-1)+((BC162-BB162)*-1)</f>
        <v>0</v>
      </c>
      <c r="BD281" s="3">
        <f>((BD163-BC163)*-1)+((BD162-BC162)*-1)</f>
        <v>0</v>
      </c>
      <c r="BE281" s="3">
        <f>((BE163-BD163)*-1)+((BE162-BD162)*-1)</f>
        <v>0</v>
      </c>
      <c r="BF281" s="3">
        <f>SUM(BB281:BE281)</f>
        <v>0</v>
      </c>
      <c r="BG281" s="3">
        <f>((BG163-BF163)*-1)+((BG162-BF162)*-1)</f>
        <v>0</v>
      </c>
      <c r="BH281" s="3">
        <f>((BH163-BG163)*-1)+((BH162-BG162)*-1)</f>
        <v>0</v>
      </c>
      <c r="BI281" s="3">
        <f>((BI163-BH163)*-1)+((BI162-BH162)*-1)</f>
        <v>0</v>
      </c>
      <c r="BJ281" s="3">
        <f>((BJ163-BI163)*-1)+((BJ162-BI162)*-1)</f>
        <v>0</v>
      </c>
      <c r="BK281" s="3">
        <f>SUM(BG281:BJ281)</f>
        <v>0</v>
      </c>
      <c r="BL281" s="3">
        <f>((BL163-BK163)*-1)+((BL162-BK162)*-1)</f>
        <v>0</v>
      </c>
      <c r="BM281" s="3">
        <f>((BM163-BL163)*-1)+((BM162-BL162)*-1)</f>
        <v>0</v>
      </c>
      <c r="BN281" s="3">
        <f>((BN163-BM163)*-1)+((BN162-BM162)*-1)</f>
        <v>0</v>
      </c>
      <c r="BO281" s="3">
        <f>((BO163-BN163)*-1)+((BO162-BN162)*-1)</f>
        <v>0</v>
      </c>
      <c r="BP281" s="3">
        <f>SUM(BL281:BO281)</f>
        <v>0</v>
      </c>
      <c r="BQ281" s="3">
        <f>((BQ163-BP163)*-1)+((BQ162-BP162)*-1)</f>
        <v>0</v>
      </c>
      <c r="BR281" s="3">
        <f>((BR163-BQ163)*-1)+((BR162-BQ162)*-1)</f>
        <v>0</v>
      </c>
      <c r="BS281" s="3">
        <f>((BS163-BR163)*-1)+((BS162-BR162)*-1)</f>
        <v>0</v>
      </c>
      <c r="BT281" s="3">
        <f>((BT163-BS163)*-1)+((BT162-BS162)*-1)</f>
        <v>0</v>
      </c>
      <c r="BU281" s="3">
        <f>SUM(BQ281:BT281)</f>
        <v>0</v>
      </c>
      <c r="BV281" s="3">
        <f>((BV163-BU163)*-1)+((BV162-BU162)*-1)</f>
        <v>0</v>
      </c>
      <c r="BW281" s="3">
        <f>((BW163-BV163)*-1)+((BW162-BV162)*-1)</f>
        <v>0</v>
      </c>
      <c r="BX281" s="3">
        <f>((BX163-BW163)*-1)+((BX162-BW162)*-1)</f>
        <v>0</v>
      </c>
      <c r="BY281" s="3">
        <f>((BY163-BX163)*-1)+((BY162-BX162)*-1)</f>
        <v>0</v>
      </c>
      <c r="BZ281" s="3">
        <f>SUM(BV281:BY281)</f>
        <v>0</v>
      </c>
      <c r="CA281" s="3">
        <f>((CA163-BZ163)*-1)+((CA162-BZ162)*-1)</f>
        <v>0</v>
      </c>
      <c r="CB281" s="3">
        <f>((CB163-CA163)*-1)+((CB162-CA162)*-1)</f>
        <v>0</v>
      </c>
      <c r="CC281" s="3">
        <f>((CC163-CB163)*-1)+((CC162-CB162)*-1)</f>
        <v>0</v>
      </c>
      <c r="CD281" s="3">
        <f>((CD163-CC163)*-1)+((CD162-CC162)*-1)</f>
        <v>0</v>
      </c>
      <c r="CE281" s="3">
        <f>SUM(CA281:CD281)</f>
        <v>0</v>
      </c>
      <c r="CF281" s="3">
        <f>((CF163-CE163)*-1)+((CF162-CE162)*-1)</f>
        <v>0</v>
      </c>
      <c r="CG281" s="3">
        <f>((CG163-CF163)*-1)+((CG162-CF162)*-1)</f>
        <v>0</v>
      </c>
      <c r="CH281" s="3">
        <f>((CH163-CG163)*-1)+((CH162-CG162)*-1)</f>
        <v>0</v>
      </c>
      <c r="CI281" s="3">
        <f>((CI163-CH163)*-1)+((CI162-CH162)*-1)</f>
        <v>0</v>
      </c>
      <c r="CJ281" s="3">
        <f>SUM(CF281:CI281)</f>
        <v>0</v>
      </c>
      <c r="CK281" s="3">
        <f>((CK163-CJ163)*-1)+((CK162-CJ162)*-1)</f>
        <v>0</v>
      </c>
      <c r="CL281" s="3">
        <f>((CL163-CK163)*-1)+((CL162-CK162)*-1)</f>
        <v>0</v>
      </c>
      <c r="CM281" s="3">
        <f>((CM163-CL163)*-1)+((CM162-CL162)*-1)</f>
        <v>0</v>
      </c>
      <c r="CN281" s="3">
        <f>((CN163-CM163)*-1)+((CN162-CM162)*-1)</f>
        <v>0</v>
      </c>
      <c r="CO281" s="3">
        <f>SUM(CK281:CN281)</f>
        <v>0</v>
      </c>
      <c r="CP281" s="3">
        <f>((CP163-CO163)*-1)+((CP162-CO162)*-1)</f>
        <v>0</v>
      </c>
      <c r="CQ281" s="3">
        <f>((CQ163-CP163)*-1)+((CQ162-CP162)*-1)</f>
        <v>0</v>
      </c>
      <c r="CR281" s="3">
        <f>((CR163-CQ163)*-1)+((CR162-CQ162)*-1)</f>
        <v>0</v>
      </c>
      <c r="CS281" s="3">
        <f>((CS163-CR163)*-1)+((CS162-CR162)*-1)</f>
        <v>0</v>
      </c>
      <c r="CT281" s="3">
        <f>SUM(CP281:CS281)</f>
        <v>0</v>
      </c>
      <c r="CU281" s="3">
        <f>((CU163-CT163)*-1)+((CU162-CT162)*-1)</f>
        <v>0</v>
      </c>
      <c r="CV281" s="3">
        <f>((CV163-CU163)*-1)+((CV162-CU162)*-1)</f>
        <v>0</v>
      </c>
      <c r="CW281" s="3">
        <f>((CW163-CV163)*-1)+((CW162-CV162)*-1)</f>
        <v>0</v>
      </c>
      <c r="CX281" s="3">
        <f>((CX163-CW163)*-1)+((CX162-CW162)*-1)</f>
        <v>0</v>
      </c>
      <c r="CY281" s="3">
        <f>SUM(CU281:CX281)</f>
        <v>0</v>
      </c>
      <c r="CZ281" s="3" t="n"/>
      <c r="DA281" s="3" t="n"/>
      <c r="DB281" s="3" t="n"/>
      <c r="DC281" s="3" t="n"/>
    </row>
    <row r="282">
      <c r="C282" s="30" t="inlineStr">
        <is>
          <t>Purchases/Proceeds from other long-term assets</t>
        </is>
      </c>
      <c r="D282" s="3" t="n"/>
      <c r="E282" s="3">
        <f>((E172-D172)*-1)+(E223-D223)</f>
        <v>1886</v>
      </c>
      <c r="F282" s="3">
        <f>((F172-E172)*-1)+(F223-E223)</f>
        <v>-26469</v>
      </c>
      <c r="G282" s="3">
        <f>((G172-F172)*-1)+(G223-F223)</f>
        <v>119</v>
      </c>
      <c r="H282" s="3">
        <f>SUM(D282:G282)</f>
        <v>-24464</v>
      </c>
      <c r="I282" s="3">
        <f>((I172-H172)*-1)+(I223-H223)</f>
        <v>278</v>
      </c>
      <c r="J282" s="3">
        <f>((J172-I172)*-1)+(J223-I223)</f>
        <v>-835</v>
      </c>
      <c r="K282" s="3">
        <f>((K172-J172)*-1)+(K223-J223)</f>
        <v>-470</v>
      </c>
      <c r="L282" s="3">
        <f>((L172-K172)*-1)+(L223-K223)</f>
        <v>-931</v>
      </c>
      <c r="M282" s="3">
        <f>SUM(I282:L282)</f>
        <v>-1958</v>
      </c>
      <c r="N282" s="3">
        <f>((N172-M172)*-1)+(N223-M223)</f>
        <v>-659</v>
      </c>
      <c r="O282" s="3">
        <f>((O172-N172)*-1)+(O223-N223)</f>
        <v>13</v>
      </c>
      <c r="P282" s="3">
        <f>((P172-O172)*-1)+(P223-O223)</f>
        <v>-84</v>
      </c>
      <c r="Q282" s="3">
        <f>((Q172-P172)*-1)+(Q223-P223)</f>
        <v>-1062</v>
      </c>
      <c r="R282" s="3">
        <f>SUM(N282:Q282)</f>
        <v>-1792</v>
      </c>
      <c r="S282" s="3">
        <f>((S172-R172)*-1)+(S223-R223)</f>
        <v>28</v>
      </c>
      <c r="T282" s="3">
        <f>((T172-S172)*-1)+(T223-S223)</f>
        <v>-259</v>
      </c>
      <c r="U282" s="3">
        <f>((U172-T172)*-1)+(U223-T223)</f>
        <v>-218</v>
      </c>
      <c r="V282" s="3">
        <f>((V172-U172)*-1)+(V223-U223)</f>
        <v>-1476</v>
      </c>
      <c r="W282" s="3">
        <f>SUM(S282:V282)</f>
        <v>-1925</v>
      </c>
      <c r="X282" s="3">
        <f>((X172-W172)*-1)+(X223-W223)</f>
        <v>350</v>
      </c>
      <c r="Y282" s="3">
        <f>((Y172-X172)*-1)+(Y223-X223)</f>
        <v>-254</v>
      </c>
      <c r="Z282" s="3">
        <f>((Z172-Y172)*-1)+(Z223-Y223)</f>
        <v>-751</v>
      </c>
      <c r="AA282" s="3">
        <f>((AA172-Z172)*-1)+(AA223-Z223)</f>
        <v>-577</v>
      </c>
      <c r="AB282" s="3">
        <f>SUM(X282:AA282)</f>
        <v>-1232</v>
      </c>
      <c r="AC282" s="3">
        <f>((AC172-AB172)*-1)+(AC223-AB223)</f>
        <v>32</v>
      </c>
      <c r="AD282" s="3">
        <f>((AD172-AC172)*-1)+(AD223-AC223)</f>
        <v>-840</v>
      </c>
      <c r="AE282" s="3">
        <f>((AE172-AD172)*-1)+(AE223-AD223)</f>
        <v>594</v>
      </c>
      <c r="AF282" s="3">
        <f>((AF172-AE172)*-1)+(AF223-AE223)</f>
        <v>-737</v>
      </c>
      <c r="AG282" s="3">
        <f>SUM(AC282:AF282)</f>
        <v>-951</v>
      </c>
      <c r="AH282" s="3">
        <f>((AH172-AG172)*-1)+(AH223-AG223)</f>
        <v>282</v>
      </c>
      <c r="AI282" s="3">
        <f>((AI172-AH172)*-1)+(AI223-AH223)</f>
        <v>237</v>
      </c>
      <c r="AJ282" s="3">
        <f>((AJ172-AI172)*-1)+(AJ223-AI223)</f>
        <v>0</v>
      </c>
      <c r="AK282" s="3">
        <f>((AK172-AJ172)*-1)+(AK223-AJ223)</f>
        <v>0</v>
      </c>
      <c r="AL282" s="3">
        <f>SUM(AH282:AK282)</f>
        <v>519</v>
      </c>
      <c r="AM282" s="3">
        <f>((AM172-AL172)*-1)+(AM223-AL223)</f>
        <v>0</v>
      </c>
      <c r="AN282" s="3">
        <f>((AN172-AM172)*-1)+(AN223-AM223)</f>
        <v>0</v>
      </c>
      <c r="AO282" s="3">
        <f>((AO172-AN172)*-1)+(AO223-AN223)</f>
        <v>0</v>
      </c>
      <c r="AP282" s="3">
        <f>((AP172-AO172)*-1)+(AP223-AO223)</f>
        <v>0</v>
      </c>
      <c r="AQ282" s="3">
        <f>SUM(AM282:AP282)</f>
        <v>0</v>
      </c>
      <c r="AR282" s="3">
        <f>((AR172-AQ172)*-1)+(AR223-AQ223)</f>
        <v>0</v>
      </c>
      <c r="AS282" s="3">
        <f>((AS172-AR172)*-1)+(AS223-AR223)</f>
        <v>0</v>
      </c>
      <c r="AT282" s="3">
        <f>((AT172-AS172)*-1)+(AT223-AS223)</f>
        <v>0</v>
      </c>
      <c r="AU282" s="3">
        <f>((AU172-AT172)*-1)+(AU223-AT223)</f>
        <v>0</v>
      </c>
      <c r="AV282" s="3">
        <f>SUM(AR282:AU282)</f>
        <v>0</v>
      </c>
      <c r="AW282" s="3">
        <f>((AW172-AV172)*-1)+(AW223-AV223)</f>
        <v>0</v>
      </c>
      <c r="AX282" s="3">
        <f>((AX172-AW172)*-1)+(AX223-AW223)</f>
        <v>0</v>
      </c>
      <c r="AY282" s="3">
        <f>((AY172-AX172)*-1)+(AY223-AX223)</f>
        <v>0</v>
      </c>
      <c r="AZ282" s="3">
        <f>((AZ172-AY172)*-1)+(AZ223-AY223)</f>
        <v>0</v>
      </c>
      <c r="BA282" s="3">
        <f>SUM(AW282:AZ282)</f>
        <v>0</v>
      </c>
      <c r="BB282" s="3">
        <f>((BB172-BA172)*-1)+(BB223-BA223)</f>
        <v>0</v>
      </c>
      <c r="BC282" s="3">
        <f>((BC172-BB172)*-1)+(BC223-BB223)</f>
        <v>0</v>
      </c>
      <c r="BD282" s="3">
        <f>((BD172-BC172)*-1)+(BD223-BC223)</f>
        <v>0</v>
      </c>
      <c r="BE282" s="3">
        <f>((BE172-BD172)*-1)+(BE223-BD223)</f>
        <v>0</v>
      </c>
      <c r="BF282" s="3">
        <f>SUM(BB282:BE282)</f>
        <v>0</v>
      </c>
      <c r="BG282" s="3">
        <f>((BG172-BF172)*-1)+(BG223-BF223)</f>
        <v>0</v>
      </c>
      <c r="BH282" s="3">
        <f>((BH172-BG172)*-1)+(BH223-BG223)</f>
        <v>0</v>
      </c>
      <c r="BI282" s="3">
        <f>((BI172-BH172)*-1)+(BI223-BH223)</f>
        <v>0</v>
      </c>
      <c r="BJ282" s="3">
        <f>((BJ172-BI172)*-1)+(BJ223-BI223)</f>
        <v>0</v>
      </c>
      <c r="BK282" s="3">
        <f>SUM(BG282:BJ282)</f>
        <v>0</v>
      </c>
      <c r="BL282" s="3">
        <f>((BL172-BK172)*-1)+(BL223-BK223)</f>
        <v>0</v>
      </c>
      <c r="BM282" s="3">
        <f>((BM172-BL172)*-1)+(BM223-BL223)</f>
        <v>0</v>
      </c>
      <c r="BN282" s="3">
        <f>((BN172-BM172)*-1)+(BN223-BM223)</f>
        <v>0</v>
      </c>
      <c r="BO282" s="3">
        <f>((BO172-BN172)*-1)+(BO223-BN223)</f>
        <v>0</v>
      </c>
      <c r="BP282" s="3">
        <f>SUM(BL282:BO282)</f>
        <v>0</v>
      </c>
      <c r="BQ282" s="3">
        <f>((BQ172-BP172)*-1)+(BQ223-BP223)</f>
        <v>0</v>
      </c>
      <c r="BR282" s="3">
        <f>((BR172-BQ172)*-1)+(BR223-BQ223)</f>
        <v>0</v>
      </c>
      <c r="BS282" s="3">
        <f>((BS172-BR172)*-1)+(BS223-BR223)</f>
        <v>0</v>
      </c>
      <c r="BT282" s="3">
        <f>((BT172-BS172)*-1)+(BT223-BS223)</f>
        <v>0</v>
      </c>
      <c r="BU282" s="3">
        <f>SUM(BQ282:BT282)</f>
        <v>0</v>
      </c>
      <c r="BV282" s="3">
        <f>((BV172-BU172)*-1)+(BV223-BU223)</f>
        <v>0</v>
      </c>
      <c r="BW282" s="3">
        <f>((BW172-BV172)*-1)+(BW223-BV223)</f>
        <v>0</v>
      </c>
      <c r="BX282" s="3">
        <f>((BX172-BW172)*-1)+(BX223-BW223)</f>
        <v>0</v>
      </c>
      <c r="BY282" s="3">
        <f>((BY172-BX172)*-1)+(BY223-BX223)</f>
        <v>0</v>
      </c>
      <c r="BZ282" s="3">
        <f>SUM(BV282:BY282)</f>
        <v>0</v>
      </c>
      <c r="CA282" s="3">
        <f>((CA172-BZ172)*-1)+(CA223-BZ223)</f>
        <v>0</v>
      </c>
      <c r="CB282" s="3">
        <f>((CB172-CA172)*-1)+(CB223-CA223)</f>
        <v>0</v>
      </c>
      <c r="CC282" s="3">
        <f>((CC172-CB172)*-1)+(CC223-CB223)</f>
        <v>0</v>
      </c>
      <c r="CD282" s="3">
        <f>((CD172-CC172)*-1)+(CD223-CC223)</f>
        <v>0</v>
      </c>
      <c r="CE282" s="3">
        <f>SUM(CA282:CD282)</f>
        <v>0</v>
      </c>
      <c r="CF282" s="3">
        <f>((CF172-CE172)*-1)+(CF223-CE223)</f>
        <v>0</v>
      </c>
      <c r="CG282" s="3">
        <f>((CG172-CF172)*-1)+(CG223-CF223)</f>
        <v>0</v>
      </c>
      <c r="CH282" s="3">
        <f>((CH172-CG172)*-1)+(CH223-CG223)</f>
        <v>0</v>
      </c>
      <c r="CI282" s="3">
        <f>((CI172-CH172)*-1)+(CI223-CH223)</f>
        <v>0</v>
      </c>
      <c r="CJ282" s="3">
        <f>SUM(CF282:CI282)</f>
        <v>0</v>
      </c>
      <c r="CK282" s="3">
        <f>((CK172-CJ172)*-1)+(CK223-CJ223)</f>
        <v>0</v>
      </c>
      <c r="CL282" s="3">
        <f>((CL172-CK172)*-1)+(CL223-CK223)</f>
        <v>0</v>
      </c>
      <c r="CM282" s="3">
        <f>((CM172-CL172)*-1)+(CM223-CL223)</f>
        <v>0</v>
      </c>
      <c r="CN282" s="3">
        <f>((CN172-CM172)*-1)+(CN223-CM223)</f>
        <v>0</v>
      </c>
      <c r="CO282" s="3">
        <f>SUM(CK282:CN282)</f>
        <v>0</v>
      </c>
      <c r="CP282" s="3">
        <f>((CP172-CO172)*-1)+(CP223-CO223)</f>
        <v>0</v>
      </c>
      <c r="CQ282" s="3">
        <f>((CQ172-CP172)*-1)+(CQ223-CP223)</f>
        <v>0</v>
      </c>
      <c r="CR282" s="3">
        <f>((CR172-CQ172)*-1)+(CR223-CQ223)</f>
        <v>0</v>
      </c>
      <c r="CS282" s="3">
        <f>((CS172-CR172)*-1)+(CS223-CR223)</f>
        <v>0</v>
      </c>
      <c r="CT282" s="3">
        <f>SUM(CP282:CS282)</f>
        <v>0</v>
      </c>
      <c r="CU282" s="3">
        <f>((CU172-CT172)*-1)+(CU223-CT223)</f>
        <v>0</v>
      </c>
      <c r="CV282" s="3">
        <f>((CV172-CU172)*-1)+(CV223-CU223)</f>
        <v>0</v>
      </c>
      <c r="CW282" s="3">
        <f>((CW172-CV172)*-1)+(CW223-CV223)</f>
        <v>0</v>
      </c>
      <c r="CX282" s="3">
        <f>((CX172-CW172)*-1)+(CX223-CW223)</f>
        <v>0</v>
      </c>
      <c r="CY282" s="3">
        <f>SUM(CU282:CX282)</f>
        <v>0</v>
      </c>
    </row>
    <row r="283">
      <c r="C283" s="26" t="inlineStr">
        <is>
          <t>Cash from investing</t>
        </is>
      </c>
      <c r="D283" s="3" t="n"/>
      <c r="E283" s="3">
        <f>SUM(E278,E279,E281,E282,E280)</f>
        <v>1415</v>
      </c>
      <c r="F283" s="3">
        <f>SUM(F278,F279,F281,F282,F280)</f>
        <v>-26992</v>
      </c>
      <c r="G283" s="3">
        <f>SUM(G278,G279,G281,G282,G280)</f>
        <v>-702</v>
      </c>
      <c r="H283" s="3">
        <f>SUM(H278,H279,H281,H282)</f>
        <v>-26279</v>
      </c>
      <c r="I283" s="3">
        <f>SUM(I278,I279,I281,I282,I280)</f>
        <v>74</v>
      </c>
      <c r="J283" s="3">
        <f>SUM(J278,J279,J281,J282,J280)</f>
        <v>-1263</v>
      </c>
      <c r="K283" s="3">
        <f>SUM(K278,K279,K281,K282,K280)</f>
        <v>-879</v>
      </c>
      <c r="L283" s="3">
        <f>SUM(L278,L279,L281,L282,L280)</f>
        <v>-1595</v>
      </c>
      <c r="M283" s="3">
        <f>SUM(M278,M279,M281,M282)</f>
        <v>-3663</v>
      </c>
      <c r="N283" s="3">
        <f>SUM(N278,N279,N281,N282,N280)</f>
        <v>-952</v>
      </c>
      <c r="O283" s="3">
        <f>SUM(O278,O279,O281,O282,O280)</f>
        <v>-176</v>
      </c>
      <c r="P283" s="3">
        <f>SUM(P278,P279,P281,P282,P280)</f>
        <v>-348</v>
      </c>
      <c r="Q283" s="3">
        <f>SUM(Q278,Q279,Q281,Q282,Q280)</f>
        <v>-1153</v>
      </c>
      <c r="R283" s="3">
        <f>SUM(R278,R279,R281,R282)</f>
        <v>-2629</v>
      </c>
      <c r="S283" s="3">
        <f>SUM(S278,S279,S281,S282,S280)</f>
        <v>-406</v>
      </c>
      <c r="T283" s="3">
        <f>SUM(T278,T279,T281,T282,T280)</f>
        <v>-872</v>
      </c>
      <c r="U283" s="3">
        <f>SUM(U278,U279,U281,U282,U280)</f>
        <v>-855</v>
      </c>
      <c r="V283" s="3">
        <f>SUM(V278,V279,V281,V282,V280)</f>
        <v>-2414</v>
      </c>
      <c r="W283" s="3">
        <f>SUM(W278,W279,W281,W282)</f>
        <v>-4547</v>
      </c>
      <c r="X283" s="3">
        <f>SUM(X278,X279,X281,X282,X280)</f>
        <v>47</v>
      </c>
      <c r="Y283" s="3">
        <f>SUM(Y278,Y279,Y281,Y282,Y280)</f>
        <v>-788</v>
      </c>
      <c r="Z283" s="3">
        <f>SUM(Z278,Z279,Z281,Z282,Z280)</f>
        <v>-1562</v>
      </c>
      <c r="AA283" s="3">
        <f>SUM(AA278,AA279,AA281,AA282,AA280)</f>
        <v>-1531</v>
      </c>
      <c r="AB283" s="3">
        <f>SUM(AB278,AB279,AB281,AB282)</f>
        <v>-3834</v>
      </c>
      <c r="AC283" s="3">
        <f>SUM(AC278,AC279,AC281,AC282,AC280)</f>
        <v>-570</v>
      </c>
      <c r="AD283" s="3">
        <f>SUM(AD278,AD279,AD281,AD282,AD280)</f>
        <v>-1879</v>
      </c>
      <c r="AE283" s="3">
        <f>SUM(AE278,AE279,AE281,AE282,AE280)</f>
        <v>-348</v>
      </c>
      <c r="AF283" s="3">
        <f>SUM(AF278,AF279,AF281,AF282,AF280)</f>
        <v>-2117</v>
      </c>
      <c r="AG283" s="3">
        <f>SUM(AG278,AG279,AG281,AG282)</f>
        <v>-4914</v>
      </c>
      <c r="AH283" s="3">
        <f>SUM(AH278,AH279,AH281,AH282,AH280)</f>
        <v>-1144</v>
      </c>
      <c r="AI283" s="3">
        <f>SUM(AI278,AI279,AI281,AI282,AI280)</f>
        <v>-753</v>
      </c>
      <c r="AJ283" s="3">
        <f>SUM(AJ278,AJ279,AJ281,AJ282,AJ280)</f>
        <v>420</v>
      </c>
      <c r="AK283" s="3">
        <f>SUM(AK278,AK279,AK281,AK282,AK280)</f>
        <v>0</v>
      </c>
      <c r="AL283" s="3">
        <f>SUM(AL278,AL279,AL281,AL282)</f>
        <v>-1477</v>
      </c>
      <c r="AM283" s="3">
        <f>SUM(AM278,AM279,AM281,AM282,AM280)</f>
        <v>0</v>
      </c>
      <c r="AN283" s="3">
        <f>SUM(AN278,AN279,AN281,AN282,AN280)</f>
        <v>0</v>
      </c>
      <c r="AO283" s="3">
        <f>SUM(AO278,AO279,AO281,AO282,AO280)</f>
        <v>0</v>
      </c>
      <c r="AP283" s="3">
        <f>SUM(AP278,AP279,AP281,AP282,AP280)</f>
        <v>0</v>
      </c>
      <c r="AQ283" s="3">
        <f>SUM(AQ278,AQ279,AQ281,AQ282)</f>
        <v>0</v>
      </c>
      <c r="AR283" s="3">
        <f>SUM(AR278,AR279,AR281,AR282,AR280)</f>
        <v>0</v>
      </c>
      <c r="AS283" s="3">
        <f>SUM(AS278,AS279,AS281,AS282,AS280)</f>
        <v>0</v>
      </c>
      <c r="AT283" s="3">
        <f>SUM(AT278,AT279,AT281,AT282,AT280)</f>
        <v>0</v>
      </c>
      <c r="AU283" s="3">
        <f>SUM(AU278,AU279,AU281,AU282,AU280)</f>
        <v>0</v>
      </c>
      <c r="AV283" s="3">
        <f>SUM(AV278,AV279,AV281,AV282)</f>
        <v>0</v>
      </c>
      <c r="AW283" s="3">
        <f>SUM(AW278,AW279,AW281,AW282,AW280)</f>
        <v>0</v>
      </c>
      <c r="AX283" s="3">
        <f>SUM(AX278,AX279,AX281,AX282,AX280)</f>
        <v>0</v>
      </c>
      <c r="AY283" s="3">
        <f>SUM(AY278,AY279,AY281,AY282,AY280)</f>
        <v>0</v>
      </c>
      <c r="AZ283" s="3">
        <f>SUM(AZ278,AZ279,AZ281,AZ282,AZ280)</f>
        <v>0</v>
      </c>
      <c r="BA283" s="3">
        <f>SUM(BA278,BA279,BA281,BA282)</f>
        <v>0</v>
      </c>
      <c r="BB283" s="3">
        <f>SUM(BB278,BB279,BB281,BB282,BB280)</f>
        <v>0</v>
      </c>
      <c r="BC283" s="3">
        <f>SUM(BC278,BC279,BC281,BC282,BC280)</f>
        <v>0</v>
      </c>
      <c r="BD283" s="3">
        <f>SUM(BD278,BD279,BD281,BD282,BD280)</f>
        <v>0</v>
      </c>
      <c r="BE283" s="3">
        <f>SUM(BE278,BE279,BE281,BE282,BE280)</f>
        <v>0</v>
      </c>
      <c r="BF283" s="3">
        <f>SUM(BF278,BF279,BF281,BF282)</f>
        <v>0</v>
      </c>
      <c r="BG283" s="3">
        <f>SUM(BG278,BG279,BG281,BG282,BG280)</f>
        <v>0</v>
      </c>
      <c r="BH283" s="3">
        <f>SUM(BH278,BH279,BH281,BH282,BH280)</f>
        <v>0</v>
      </c>
      <c r="BI283" s="3">
        <f>SUM(BI278,BI279,BI281,BI282,BI280)</f>
        <v>0</v>
      </c>
      <c r="BJ283" s="3">
        <f>SUM(BJ278,BJ279,BJ281,BJ282,BJ280)</f>
        <v>0</v>
      </c>
      <c r="BK283" s="3">
        <f>SUM(BK278,BK279,BK281,BK282)</f>
        <v>0</v>
      </c>
      <c r="BL283" s="3">
        <f>SUM(BL278,BL279,BL281,BL282,BL280)</f>
        <v>0</v>
      </c>
      <c r="BM283" s="3">
        <f>SUM(BM278,BM279,BM281,BM282,BM280)</f>
        <v>0</v>
      </c>
      <c r="BN283" s="3">
        <f>SUM(BN278,BN279,BN281,BN282,BN280)</f>
        <v>0</v>
      </c>
      <c r="BO283" s="3">
        <f>SUM(BO278,BO279,BO281,BO282,BO280)</f>
        <v>0</v>
      </c>
      <c r="BP283" s="3">
        <f>SUM(BP278,BP279,BP281,BP282)</f>
        <v>0</v>
      </c>
      <c r="BQ283" s="3">
        <f>SUM(BQ278,BQ279,BQ281,BQ282,BQ280)</f>
        <v>0</v>
      </c>
      <c r="BR283" s="3">
        <f>SUM(BR278,BR279,BR281,BR282,BR280)</f>
        <v>0</v>
      </c>
      <c r="BS283" s="3">
        <f>SUM(BS278,BS279,BS281,BS282,BS280)</f>
        <v>0</v>
      </c>
      <c r="BT283" s="3">
        <f>SUM(BT278,BT279,BT281,BT282,BT280)</f>
        <v>0</v>
      </c>
      <c r="BU283" s="3">
        <f>SUM(BU278,BU279,BU281,BU282)</f>
        <v>0</v>
      </c>
      <c r="BV283" s="3">
        <f>SUM(BV278,BV279,BV281,BV282,BV280)</f>
        <v>0</v>
      </c>
      <c r="BW283" s="3">
        <f>SUM(BW278,BW279,BW281,BW282,BW280)</f>
        <v>0</v>
      </c>
      <c r="BX283" s="3">
        <f>SUM(BX278,BX279,BX281,BX282,BX280)</f>
        <v>0</v>
      </c>
      <c r="BY283" s="3">
        <f>SUM(BY278,BY279,BY281,BY282,BY280)</f>
        <v>0</v>
      </c>
      <c r="BZ283" s="3">
        <f>SUM(BZ278,BZ279,BZ281,BZ282)</f>
        <v>0</v>
      </c>
      <c r="CA283" s="3">
        <f>SUM(CA278,CA279,CA281,CA282,CA280)</f>
        <v>0</v>
      </c>
      <c r="CB283" s="3">
        <f>SUM(CB278,CB279,CB281,CB282,CB280)</f>
        <v>0</v>
      </c>
      <c r="CC283" s="3">
        <f>SUM(CC278,CC279,CC281,CC282,CC280)</f>
        <v>0</v>
      </c>
      <c r="CD283" s="3">
        <f>SUM(CD278,CD279,CD281,CD282,CD280)</f>
        <v>0</v>
      </c>
      <c r="CE283" s="3">
        <f>SUM(CE278,CE279,CE281,CE282)</f>
        <v>0</v>
      </c>
      <c r="CF283" s="3">
        <f>SUM(CF278,CF279,CF281,CF282,CF280)</f>
        <v>0</v>
      </c>
      <c r="CG283" s="3">
        <f>SUM(CG278,CG279,CG281,CG282,CG280)</f>
        <v>0</v>
      </c>
      <c r="CH283" s="3">
        <f>SUM(CH278,CH279,CH281,CH282,CH280)</f>
        <v>0</v>
      </c>
      <c r="CI283" s="3">
        <f>SUM(CI278,CI279,CI281,CI282,CI280)</f>
        <v>0</v>
      </c>
      <c r="CJ283" s="3">
        <f>SUM(CJ278,CJ279,CJ281,CJ282)</f>
        <v>0</v>
      </c>
      <c r="CK283" s="3">
        <f>SUM(CK278,CK279,CK281,CK282,CK280)</f>
        <v>0</v>
      </c>
      <c r="CL283" s="3">
        <f>SUM(CL278,CL279,CL281,CL282,CL280)</f>
        <v>0</v>
      </c>
      <c r="CM283" s="3">
        <f>SUM(CM278,CM279,CM281,CM282,CM280)</f>
        <v>0</v>
      </c>
      <c r="CN283" s="3">
        <f>SUM(CN278,CN279,CN281,CN282,CN280)</f>
        <v>0</v>
      </c>
      <c r="CO283" s="3">
        <f>SUM(CO278,CO279,CO281,CO282)</f>
        <v>0</v>
      </c>
      <c r="CP283" s="3">
        <f>SUM(CP278,CP279,CP281,CP282,CP280)</f>
        <v>0</v>
      </c>
      <c r="CQ283" s="3">
        <f>SUM(CQ278,CQ279,CQ281,CQ282,CQ280)</f>
        <v>0</v>
      </c>
      <c r="CR283" s="3">
        <f>SUM(CR278,CR279,CR281,CR282,CR280)</f>
        <v>0</v>
      </c>
      <c r="CS283" s="3">
        <f>SUM(CS278,CS279,CS281,CS282,CS280)</f>
        <v>0</v>
      </c>
      <c r="CT283" s="3">
        <f>SUM(CT278,CT279,CT281,CT282)</f>
        <v>0</v>
      </c>
      <c r="CU283" s="3">
        <f>SUM(CU278,CU279,CU281,CU282,CU280)</f>
        <v>0</v>
      </c>
      <c r="CV283" s="3">
        <f>SUM(CV278,CV279,CV281,CV282,CV280)</f>
        <v>0</v>
      </c>
      <c r="CW283" s="3">
        <f>SUM(CW278,CW279,CW281,CW282,CW280)</f>
        <v>0</v>
      </c>
      <c r="CX283" s="3">
        <f>SUM(CX278,CX279,CX281,CX282,CX280)</f>
        <v>0</v>
      </c>
      <c r="CY283" s="3">
        <f>SUM(CY278,CY279,CY281,CY282)</f>
        <v>0</v>
      </c>
    </row>
    <row r="284">
      <c r="C284" s="26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  <c r="CG284" s="3" t="n"/>
      <c r="CH284" s="3" t="n"/>
      <c r="CI284" s="3" t="n"/>
      <c r="CJ284" s="3" t="n"/>
      <c r="CK284" s="3" t="n"/>
      <c r="CL284" s="3" t="n"/>
      <c r="CM284" s="3" t="n"/>
      <c r="CN284" s="3" t="n"/>
      <c r="CO284" s="3" t="n"/>
      <c r="CP284" s="3" t="n"/>
      <c r="CQ284" s="3" t="n"/>
      <c r="CR284" s="3" t="n"/>
      <c r="CS284" s="3" t="n"/>
      <c r="CT284" s="3" t="n"/>
      <c r="CU284" s="3" t="n"/>
      <c r="CV284" s="3" t="n"/>
      <c r="CW284" s="3" t="n"/>
      <c r="CX284" s="3" t="n"/>
      <c r="CY284" s="3" t="n"/>
    </row>
    <row r="285">
      <c r="C285" s="26" t="inlineStr">
        <is>
          <t>Convertible preferred stock</t>
        </is>
      </c>
      <c r="D285" s="3" t="n"/>
      <c r="E285" s="3">
        <f>E236-D236</f>
        <v>0</v>
      </c>
      <c r="F285" s="3">
        <f>F236-E236</f>
        <v>0</v>
      </c>
      <c r="G285" s="3">
        <f>G236-F236</f>
        <v>0</v>
      </c>
      <c r="H285" s="3">
        <f>SUM(D285:G285)</f>
        <v>0</v>
      </c>
      <c r="I285" s="3">
        <f>I236-H236</f>
        <v>0</v>
      </c>
      <c r="J285" s="3">
        <f>J236-I236</f>
        <v>0</v>
      </c>
      <c r="K285" s="3">
        <f>K236-J236</f>
        <v>0</v>
      </c>
      <c r="L285" s="3">
        <f>L236-K236</f>
        <v>0</v>
      </c>
      <c r="M285" s="3">
        <f>SUM(I285:L285)</f>
        <v>0</v>
      </c>
      <c r="N285" s="3">
        <f>N236-M236</f>
        <v>0</v>
      </c>
      <c r="O285" s="3">
        <f>O236-N236</f>
        <v>0</v>
      </c>
      <c r="P285" s="3">
        <f>P236-O236</f>
        <v>0</v>
      </c>
      <c r="Q285" s="3">
        <f>Q236-P236</f>
        <v>0</v>
      </c>
      <c r="R285" s="3">
        <f>SUM(N285:Q285)</f>
        <v>0</v>
      </c>
      <c r="S285" s="3">
        <f>S236-R236</f>
        <v>0</v>
      </c>
      <c r="T285" s="3">
        <f>T236-S236</f>
        <v>0</v>
      </c>
      <c r="U285" s="3">
        <f>U236-T236</f>
        <v>0</v>
      </c>
      <c r="V285" s="3">
        <f>V236-U236</f>
        <v>0</v>
      </c>
      <c r="W285" s="3">
        <f>SUM(S285:V285)</f>
        <v>0</v>
      </c>
      <c r="X285" s="3">
        <f>X236-W236</f>
        <v>0</v>
      </c>
      <c r="Y285" s="3">
        <f>Y236-X236</f>
        <v>0</v>
      </c>
      <c r="Z285" s="3">
        <f>Z236-Y236</f>
        <v>0</v>
      </c>
      <c r="AA285" s="3">
        <f>AA236-Z236</f>
        <v>0</v>
      </c>
      <c r="AB285" s="3">
        <f>SUM(X285:AA285)</f>
        <v>0</v>
      </c>
      <c r="AC285" s="3">
        <f>AC236-AB236</f>
        <v>0</v>
      </c>
      <c r="AD285" s="3">
        <f>AD236-AC236</f>
        <v>0</v>
      </c>
      <c r="AE285" s="3">
        <f>AE236-AD236</f>
        <v>0</v>
      </c>
      <c r="AF285" s="3">
        <f>AF236-AE236</f>
        <v>0</v>
      </c>
      <c r="AG285" s="3">
        <f>SUM(AC285:AF285)</f>
        <v>0</v>
      </c>
      <c r="AH285" s="3">
        <f>AH236-AG236</f>
        <v>0</v>
      </c>
      <c r="AI285" s="3">
        <f>AI236-AH236</f>
        <v>0</v>
      </c>
      <c r="AJ285" s="3">
        <f>AJ236-AI236</f>
        <v>0</v>
      </c>
      <c r="AK285" s="3">
        <f>AK236-AJ236</f>
        <v>0</v>
      </c>
      <c r="AL285" s="3">
        <f>SUM(AH285:AK285)</f>
        <v>0</v>
      </c>
      <c r="AM285" s="3">
        <f>AM236-AL236</f>
        <v>0</v>
      </c>
      <c r="AN285" s="3">
        <f>AN236-AM236</f>
        <v>0</v>
      </c>
      <c r="AO285" s="3">
        <f>AO236-AN236</f>
        <v>0</v>
      </c>
      <c r="AP285" s="3">
        <f>AP236-AO236</f>
        <v>0</v>
      </c>
      <c r="AQ285" s="3">
        <f>SUM(AM285:AP285)</f>
        <v>0</v>
      </c>
      <c r="AR285" s="3">
        <f>AR236-AQ236</f>
        <v>0</v>
      </c>
      <c r="AS285" s="3">
        <f>AS236-AR236</f>
        <v>0</v>
      </c>
      <c r="AT285" s="3">
        <f>AT236-AS236</f>
        <v>0</v>
      </c>
      <c r="AU285" s="3">
        <f>AU236-AT236</f>
        <v>0</v>
      </c>
      <c r="AV285" s="3">
        <f>SUM(AR285:AU285)</f>
        <v>0</v>
      </c>
      <c r="AW285" s="3">
        <f>AW236-AV236</f>
        <v>0</v>
      </c>
      <c r="AX285" s="3">
        <f>AX236-AW236</f>
        <v>0</v>
      </c>
      <c r="AY285" s="3">
        <f>AY236-AX236</f>
        <v>0</v>
      </c>
      <c r="AZ285" s="3">
        <f>AZ236-AY236</f>
        <v>0</v>
      </c>
      <c r="BA285" s="3">
        <f>SUM(AW285:AZ285)</f>
        <v>0</v>
      </c>
      <c r="BB285" s="3">
        <f>BB236-BA236</f>
        <v>0</v>
      </c>
      <c r="BC285" s="3">
        <f>BC236-BB236</f>
        <v>0</v>
      </c>
      <c r="BD285" s="3">
        <f>BD236-BC236</f>
        <v>0</v>
      </c>
      <c r="BE285" s="3">
        <f>BE236-BD236</f>
        <v>0</v>
      </c>
      <c r="BF285" s="3">
        <f>SUM(BB285:BE285)</f>
        <v>0</v>
      </c>
      <c r="BG285" s="3">
        <f>BG236-BF236</f>
        <v>0</v>
      </c>
      <c r="BH285" s="3">
        <f>BH236-BG236</f>
        <v>0</v>
      </c>
      <c r="BI285" s="3">
        <f>BI236-BH236</f>
        <v>0</v>
      </c>
      <c r="BJ285" s="3">
        <f>BJ236-BI236</f>
        <v>0</v>
      </c>
      <c r="BK285" s="3">
        <f>SUM(BG285:BJ285)</f>
        <v>0</v>
      </c>
      <c r="BL285" s="3">
        <f>BL236-BK236</f>
        <v>0</v>
      </c>
      <c r="BM285" s="3">
        <f>BM236-BL236</f>
        <v>0</v>
      </c>
      <c r="BN285" s="3">
        <f>BN236-BM236</f>
        <v>0</v>
      </c>
      <c r="BO285" s="3">
        <f>BO236-BN236</f>
        <v>0</v>
      </c>
      <c r="BP285" s="3">
        <f>SUM(BL285:BO285)</f>
        <v>0</v>
      </c>
      <c r="BQ285" s="3">
        <f>BQ236-BP236</f>
        <v>0</v>
      </c>
      <c r="BR285" s="3">
        <f>BR236-BQ236</f>
        <v>0</v>
      </c>
      <c r="BS285" s="3">
        <f>BS236-BR236</f>
        <v>0</v>
      </c>
      <c r="BT285" s="3">
        <f>BT236-BS236</f>
        <v>0</v>
      </c>
      <c r="BU285" s="3">
        <f>SUM(BQ285:BT285)</f>
        <v>0</v>
      </c>
      <c r="BV285" s="3">
        <f>BV236-BU236</f>
        <v>0</v>
      </c>
      <c r="BW285" s="3">
        <f>BW236-BV236</f>
        <v>0</v>
      </c>
      <c r="BX285" s="3">
        <f>BX236-BW236</f>
        <v>0</v>
      </c>
      <c r="BY285" s="3">
        <f>BY236-BX236</f>
        <v>0</v>
      </c>
      <c r="BZ285" s="3">
        <f>SUM(BV285:BY285)</f>
        <v>0</v>
      </c>
      <c r="CA285" s="3">
        <f>CA236-BZ236</f>
        <v>0</v>
      </c>
      <c r="CB285" s="3">
        <f>CB236-CA236</f>
        <v>0</v>
      </c>
      <c r="CC285" s="3">
        <f>CC236-CB236</f>
        <v>0</v>
      </c>
      <c r="CD285" s="3">
        <f>CD236-CC236</f>
        <v>0</v>
      </c>
      <c r="CE285" s="3">
        <f>SUM(CA285:CD285)</f>
        <v>0</v>
      </c>
      <c r="CF285" s="3">
        <f>CF236-CE236</f>
        <v>0</v>
      </c>
      <c r="CG285" s="3">
        <f>CG236-CF236</f>
        <v>0</v>
      </c>
      <c r="CH285" s="3">
        <f>CH236-CG236</f>
        <v>0</v>
      </c>
      <c r="CI285" s="3">
        <f>CI236-CH236</f>
        <v>0</v>
      </c>
      <c r="CJ285" s="3">
        <f>SUM(CF285:CI285)</f>
        <v>0</v>
      </c>
      <c r="CK285" s="3">
        <f>CK236-CJ236</f>
        <v>0</v>
      </c>
      <c r="CL285" s="3">
        <f>CL236-CK236</f>
        <v>0</v>
      </c>
      <c r="CM285" s="3">
        <f>CM236-CL236</f>
        <v>0</v>
      </c>
      <c r="CN285" s="3">
        <f>CN236-CM236</f>
        <v>0</v>
      </c>
      <c r="CO285" s="3">
        <f>SUM(CK285:CN285)</f>
        <v>0</v>
      </c>
      <c r="CP285" s="3">
        <f>CP236-CO236</f>
        <v>0</v>
      </c>
      <c r="CQ285" s="3">
        <f>CQ236-CP236</f>
        <v>0</v>
      </c>
      <c r="CR285" s="3">
        <f>CR236-CQ236</f>
        <v>0</v>
      </c>
      <c r="CS285" s="3">
        <f>CS236-CR236</f>
        <v>0</v>
      </c>
      <c r="CT285" s="3">
        <f>SUM(CP285:CS285)</f>
        <v>0</v>
      </c>
      <c r="CU285" s="3">
        <f>CU236-CT236</f>
        <v>0</v>
      </c>
      <c r="CV285" s="3">
        <f>CV236-CU236</f>
        <v>0</v>
      </c>
      <c r="CW285" s="3">
        <f>CW236-CV236</f>
        <v>0</v>
      </c>
      <c r="CX285" s="3">
        <f>CX236-CW236</f>
        <v>0</v>
      </c>
      <c r="CY285" s="3">
        <f>SUM(CU285:CX285)</f>
        <v>0</v>
      </c>
    </row>
    <row r="286">
      <c r="C286" s="26" t="inlineStr">
        <is>
          <t>Common stock and APIC</t>
        </is>
      </c>
      <c r="D286" s="3" t="n"/>
      <c r="E286" s="3">
        <f>E237-D237</f>
        <v>74</v>
      </c>
      <c r="F286" s="3">
        <f>F237-E237</f>
        <v>84</v>
      </c>
      <c r="G286" s="3">
        <f>G237-F237</f>
        <v>26</v>
      </c>
      <c r="H286" s="3">
        <f>SUM(D286:G286)</f>
        <v>184</v>
      </c>
      <c r="I286" s="3">
        <f>I237-H237</f>
        <v>-15</v>
      </c>
      <c r="J286" s="3">
        <f>J237-I237</f>
        <v>78</v>
      </c>
      <c r="K286" s="3">
        <f>K237-J237</f>
        <v>59</v>
      </c>
      <c r="L286" s="3">
        <f>L237-K237</f>
        <v>46</v>
      </c>
      <c r="M286" s="3">
        <f>SUM(I286:L286)</f>
        <v>168</v>
      </c>
      <c r="N286" s="3">
        <f>N237-M237</f>
        <v>-117</v>
      </c>
      <c r="O286" s="3">
        <f>O237-N237</f>
        <v>183</v>
      </c>
      <c r="P286" s="3">
        <f>P237-O237</f>
        <v>59</v>
      </c>
      <c r="Q286" s="3">
        <f>Q237-P237</f>
        <v>37</v>
      </c>
      <c r="R286" s="3">
        <f>SUM(N286:Q286)</f>
        <v>162</v>
      </c>
      <c r="S286" s="3">
        <f>S237-R237</f>
        <v>-14</v>
      </c>
      <c r="T286" s="3">
        <f>T237-S237</f>
        <v>-68</v>
      </c>
      <c r="U286" s="3">
        <f>U237-T237</f>
        <v>220</v>
      </c>
      <c r="V286" s="3">
        <f>V237-U237</f>
        <v>-295</v>
      </c>
      <c r="W286" s="3">
        <f>SUM(S286:V286)</f>
        <v>-157</v>
      </c>
      <c r="X286" s="3">
        <f>X237-W237</f>
        <v>-740</v>
      </c>
      <c r="Y286" s="3">
        <f>Y237-X237</f>
        <v>-146</v>
      </c>
      <c r="Z286" s="3">
        <f>Z237-Y237</f>
        <v>67</v>
      </c>
      <c r="AA286" s="3">
        <f>AA237-Z237</f>
        <v>1357</v>
      </c>
      <c r="AB286" s="3">
        <f>SUM(X286:AA286)</f>
        <v>538</v>
      </c>
      <c r="AC286" s="3">
        <f>AC237-AB237</f>
        <v>-898</v>
      </c>
      <c r="AD286" s="3">
        <f>AD237-AC237</f>
        <v>100</v>
      </c>
      <c r="AE286" s="3">
        <f>AE237-AD237</f>
        <v>80</v>
      </c>
      <c r="AF286" s="3">
        <f>AF237-AE237</f>
        <v>958</v>
      </c>
      <c r="AG286" s="3">
        <f>SUM(AC286:AF286)</f>
        <v>240</v>
      </c>
      <c r="AH286" s="3">
        <f>AH237-AG237</f>
        <v>-1329</v>
      </c>
      <c r="AI286" s="3">
        <f>AI237-AH237</f>
        <v>-198</v>
      </c>
      <c r="AJ286" s="3">
        <f>AJ237-AI237</f>
        <v>0</v>
      </c>
      <c r="AK286" s="3">
        <f>AK237-AJ237</f>
        <v>0</v>
      </c>
      <c r="AL286" s="3">
        <f>SUM(AH286:AK286)</f>
        <v>-1527</v>
      </c>
      <c r="AM286" s="3">
        <f>AM237-AL237</f>
        <v>0</v>
      </c>
      <c r="AN286" s="3">
        <f>AN237-AM237</f>
        <v>0</v>
      </c>
      <c r="AO286" s="3">
        <f>AO237-AN237</f>
        <v>0</v>
      </c>
      <c r="AP286" s="3">
        <f>AP237-AO237</f>
        <v>0</v>
      </c>
      <c r="AQ286" s="3">
        <f>SUM(AM286:AP286)</f>
        <v>0</v>
      </c>
      <c r="AR286" s="3">
        <f>AR237-AQ237</f>
        <v>0</v>
      </c>
      <c r="AS286" s="3">
        <f>AS237-AR237</f>
        <v>0</v>
      </c>
      <c r="AT286" s="3">
        <f>AT237-AS237</f>
        <v>0</v>
      </c>
      <c r="AU286" s="3">
        <f>AU237-AT237</f>
        <v>0</v>
      </c>
      <c r="AV286" s="3">
        <f>SUM(AR286:AU286)</f>
        <v>0</v>
      </c>
      <c r="AW286" s="3">
        <f>AW237-AV237</f>
        <v>0</v>
      </c>
      <c r="AX286" s="3">
        <f>AX237-AW237</f>
        <v>0</v>
      </c>
      <c r="AY286" s="3">
        <f>AY237-AX237</f>
        <v>0</v>
      </c>
      <c r="AZ286" s="3">
        <f>AZ237-AY237</f>
        <v>0</v>
      </c>
      <c r="BA286" s="3">
        <f>SUM(AW286:AZ286)</f>
        <v>0</v>
      </c>
      <c r="BB286" s="3">
        <f>BB237-BA237</f>
        <v>0</v>
      </c>
      <c r="BC286" s="3">
        <f>BC237-BB237</f>
        <v>0</v>
      </c>
      <c r="BD286" s="3">
        <f>BD237-BC237</f>
        <v>0</v>
      </c>
      <c r="BE286" s="3">
        <f>BE237-BD237</f>
        <v>0</v>
      </c>
      <c r="BF286" s="3">
        <f>SUM(BB286:BE286)</f>
        <v>0</v>
      </c>
      <c r="BG286" s="3">
        <f>BG237-BF237</f>
        <v>0</v>
      </c>
      <c r="BH286" s="3">
        <f>BH237-BG237</f>
        <v>0</v>
      </c>
      <c r="BI286" s="3">
        <f>BI237-BH237</f>
        <v>0</v>
      </c>
      <c r="BJ286" s="3">
        <f>BJ237-BI237</f>
        <v>0</v>
      </c>
      <c r="BK286" s="3">
        <f>SUM(BG286:BJ286)</f>
        <v>0</v>
      </c>
      <c r="BL286" s="3">
        <f>BL237-BK237</f>
        <v>0</v>
      </c>
      <c r="BM286" s="3">
        <f>BM237-BL237</f>
        <v>0</v>
      </c>
      <c r="BN286" s="3">
        <f>BN237-BM237</f>
        <v>0</v>
      </c>
      <c r="BO286" s="3">
        <f>BO237-BN237</f>
        <v>0</v>
      </c>
      <c r="BP286" s="3">
        <f>SUM(BL286:BO286)</f>
        <v>0</v>
      </c>
      <c r="BQ286" s="3">
        <f>BQ237-BP237</f>
        <v>0</v>
      </c>
      <c r="BR286" s="3">
        <f>BR237-BQ237</f>
        <v>0</v>
      </c>
      <c r="BS286" s="3">
        <f>BS237-BR237</f>
        <v>0</v>
      </c>
      <c r="BT286" s="3">
        <f>BT237-BS237</f>
        <v>0</v>
      </c>
      <c r="BU286" s="3">
        <f>SUM(BQ286:BT286)</f>
        <v>0</v>
      </c>
      <c r="BV286" s="3">
        <f>BV237-BU237</f>
        <v>0</v>
      </c>
      <c r="BW286" s="3">
        <f>BW237-BV237</f>
        <v>0</v>
      </c>
      <c r="BX286" s="3">
        <f>BX237-BW237</f>
        <v>0</v>
      </c>
      <c r="BY286" s="3">
        <f>BY237-BX237</f>
        <v>0</v>
      </c>
      <c r="BZ286" s="3">
        <f>SUM(BV286:BY286)</f>
        <v>0</v>
      </c>
      <c r="CA286" s="3">
        <f>CA237-BZ237</f>
        <v>0</v>
      </c>
      <c r="CB286" s="3">
        <f>CB237-CA237</f>
        <v>0</v>
      </c>
      <c r="CC286" s="3">
        <f>CC237-CB237</f>
        <v>0</v>
      </c>
      <c r="CD286" s="3">
        <f>CD237-CC237</f>
        <v>0</v>
      </c>
      <c r="CE286" s="3">
        <f>SUM(CA286:CD286)</f>
        <v>0</v>
      </c>
      <c r="CF286" s="3">
        <f>CF237-CE237</f>
        <v>0</v>
      </c>
      <c r="CG286" s="3">
        <f>CG237-CF237</f>
        <v>0</v>
      </c>
      <c r="CH286" s="3">
        <f>CH237-CG237</f>
        <v>0</v>
      </c>
      <c r="CI286" s="3">
        <f>CI237-CH237</f>
        <v>0</v>
      </c>
      <c r="CJ286" s="3">
        <f>SUM(CF286:CI286)</f>
        <v>0</v>
      </c>
      <c r="CK286" s="3">
        <f>CK237-CJ237</f>
        <v>0</v>
      </c>
      <c r="CL286" s="3">
        <f>CL237-CK237</f>
        <v>0</v>
      </c>
      <c r="CM286" s="3">
        <f>CM237-CL237</f>
        <v>0</v>
      </c>
      <c r="CN286" s="3">
        <f>CN237-CM237</f>
        <v>0</v>
      </c>
      <c r="CO286" s="3">
        <f>SUM(CK286:CN286)</f>
        <v>0</v>
      </c>
      <c r="CP286" s="3">
        <f>CP237-CO237</f>
        <v>0</v>
      </c>
      <c r="CQ286" s="3">
        <f>CQ237-CP237</f>
        <v>0</v>
      </c>
      <c r="CR286" s="3">
        <f>CR237-CQ237</f>
        <v>0</v>
      </c>
      <c r="CS286" s="3">
        <f>CS237-CR237</f>
        <v>0</v>
      </c>
      <c r="CT286" s="3">
        <f>SUM(CP286:CS286)</f>
        <v>0</v>
      </c>
      <c r="CU286" s="3">
        <f>CU237-CT237</f>
        <v>0</v>
      </c>
      <c r="CV286" s="3">
        <f>CV237-CU237</f>
        <v>0</v>
      </c>
      <c r="CW286" s="3">
        <f>CW237-CV237</f>
        <v>0</v>
      </c>
      <c r="CX286" s="3">
        <f>CX237-CW237</f>
        <v>0</v>
      </c>
      <c r="CY286" s="3">
        <f>SUM(CU286:CX286)</f>
        <v>0</v>
      </c>
    </row>
    <row r="287">
      <c r="C287" s="26" t="inlineStr">
        <is>
          <t>Treasury stock repurchases</t>
        </is>
      </c>
      <c r="D287" s="3" t="n"/>
      <c r="E287" s="3">
        <f>E250-D250</f>
        <v>-71</v>
      </c>
      <c r="F287" s="3">
        <f>F250-E250</f>
        <v>97</v>
      </c>
      <c r="G287" s="3">
        <f>G250-F250</f>
        <v>137</v>
      </c>
      <c r="H287" s="3">
        <f>SUM(D287:G287)</f>
        <v>163</v>
      </c>
      <c r="I287" s="3">
        <f>I250-H250</f>
        <v>129</v>
      </c>
      <c r="J287" s="3">
        <f>J250-I250</f>
        <v>-191</v>
      </c>
      <c r="K287" s="3">
        <f>K250-J250</f>
        <v>-1368</v>
      </c>
      <c r="L287" s="3">
        <f>L250-K250</f>
        <v>-1035</v>
      </c>
      <c r="M287" s="3">
        <f>SUM(I287:L287)</f>
        <v>-2465</v>
      </c>
      <c r="N287" s="3">
        <f>N250-M250</f>
        <v>-683</v>
      </c>
      <c r="O287" s="3">
        <f>O250-N250</f>
        <v>-1175</v>
      </c>
      <c r="P287" s="3">
        <f>P250-O250</f>
        <v>-1382</v>
      </c>
      <c r="Q287" s="3">
        <f>Q250-P250</f>
        <v>-865</v>
      </c>
      <c r="R287" s="3">
        <f>SUM(N287:Q287)</f>
        <v>-4105</v>
      </c>
      <c r="S287" s="3">
        <f>S250-R250</f>
        <v>-360</v>
      </c>
      <c r="T287" s="3">
        <f>T250-S250</f>
        <v>-1283</v>
      </c>
      <c r="U287" s="3">
        <f>U250-T250</f>
        <v>-474</v>
      </c>
      <c r="V287" s="3">
        <f>V250-U250</f>
        <v>-2474</v>
      </c>
      <c r="W287" s="3">
        <f>SUM(S287:V287)</f>
        <v>-4591</v>
      </c>
      <c r="X287" s="3">
        <f>X250-W250</f>
        <v>-3700</v>
      </c>
      <c r="Y287" s="3">
        <f>Y250-X250</f>
        <v>-1573</v>
      </c>
      <c r="Z287" s="3">
        <f>Z250-Y250</f>
        <v>-778</v>
      </c>
      <c r="AA287" s="3">
        <f>AA250-Z250</f>
        <v>-1941</v>
      </c>
      <c r="AB287" s="3">
        <f>SUM(X287:AA287)</f>
        <v>-7992</v>
      </c>
      <c r="AC287" s="3">
        <f>AC250-AB250</f>
        <v>-2796</v>
      </c>
      <c r="AD287" s="3">
        <f>AD250-AC250</f>
        <v>-831</v>
      </c>
      <c r="AE287" s="3">
        <f>AE250-AD250</f>
        <v>-344</v>
      </c>
      <c r="AF287" s="3">
        <f>AF250-AE250</f>
        <v>-1237</v>
      </c>
      <c r="AG287" s="3">
        <f>SUM(AC287:AF287)</f>
        <v>-5208</v>
      </c>
      <c r="AH287" s="3">
        <f>AH250-AG250</f>
        <v>-3768</v>
      </c>
      <c r="AI287" s="3">
        <f>AI250-AH250</f>
        <v>-1226</v>
      </c>
      <c r="AJ287" s="3">
        <f>AJ250-AI250</f>
        <v>0</v>
      </c>
      <c r="AK287" s="3">
        <f>AK250-AJ250</f>
        <v>0</v>
      </c>
      <c r="AL287" s="3">
        <f>SUM(AH287:AK287)</f>
        <v>-4994</v>
      </c>
      <c r="AM287" s="3">
        <f>AM250-AL250</f>
        <v>0</v>
      </c>
      <c r="AN287" s="3">
        <f>AN250-AM250</f>
        <v>0</v>
      </c>
      <c r="AO287" s="3">
        <f>AO250-AN250</f>
        <v>0</v>
      </c>
      <c r="AP287" s="3">
        <f>AP250-AO250</f>
        <v>0</v>
      </c>
      <c r="AQ287" s="3">
        <f>SUM(AM287:AP287)</f>
        <v>0</v>
      </c>
      <c r="AR287" s="3">
        <f>AR250-AQ250</f>
        <v>0</v>
      </c>
      <c r="AS287" s="3">
        <f>AS250-AR250</f>
        <v>0</v>
      </c>
      <c r="AT287" s="3">
        <f>AT250-AS250</f>
        <v>0</v>
      </c>
      <c r="AU287" s="3">
        <f>AU250-AT250</f>
        <v>0</v>
      </c>
      <c r="AV287" s="3">
        <f>SUM(AR287:AU287)</f>
        <v>0</v>
      </c>
      <c r="AW287" s="3">
        <f>AW250-AV250</f>
        <v>0</v>
      </c>
      <c r="AX287" s="3">
        <f>AX250-AW250</f>
        <v>0</v>
      </c>
      <c r="AY287" s="3">
        <f>AY250-AX250</f>
        <v>0</v>
      </c>
      <c r="AZ287" s="3">
        <f>AZ250-AY250</f>
        <v>0</v>
      </c>
      <c r="BA287" s="3">
        <f>SUM(AW287:AZ287)</f>
        <v>0</v>
      </c>
      <c r="BB287" s="3">
        <f>BB250-BA250</f>
        <v>0</v>
      </c>
      <c r="BC287" s="3">
        <f>BC250-BB250</f>
        <v>0</v>
      </c>
      <c r="BD287" s="3">
        <f>BD250-BC250</f>
        <v>0</v>
      </c>
      <c r="BE287" s="3">
        <f>BE250-BD250</f>
        <v>0</v>
      </c>
      <c r="BF287" s="3">
        <f>SUM(BB287:BE287)</f>
        <v>0</v>
      </c>
      <c r="BG287" s="3">
        <f>BG250-BF250</f>
        <v>0</v>
      </c>
      <c r="BH287" s="3">
        <f>BH250-BG250</f>
        <v>0</v>
      </c>
      <c r="BI287" s="3">
        <f>BI250-BH250</f>
        <v>0</v>
      </c>
      <c r="BJ287" s="3">
        <f>BJ250-BI250</f>
        <v>0</v>
      </c>
      <c r="BK287" s="3">
        <f>SUM(BG287:BJ287)</f>
        <v>0</v>
      </c>
      <c r="BL287" s="3">
        <f>BL250-BK250</f>
        <v>0</v>
      </c>
      <c r="BM287" s="3">
        <f>BM250-BL250</f>
        <v>0</v>
      </c>
      <c r="BN287" s="3">
        <f>BN250-BM250</f>
        <v>0</v>
      </c>
      <c r="BO287" s="3">
        <f>BO250-BN250</f>
        <v>0</v>
      </c>
      <c r="BP287" s="3">
        <f>SUM(BL287:BO287)</f>
        <v>0</v>
      </c>
      <c r="BQ287" s="3">
        <f>BQ250-BP250</f>
        <v>0</v>
      </c>
      <c r="BR287" s="3">
        <f>BR250-BQ250</f>
        <v>0</v>
      </c>
      <c r="BS287" s="3">
        <f>BS250-BR250</f>
        <v>0</v>
      </c>
      <c r="BT287" s="3">
        <f>BT250-BS250</f>
        <v>0</v>
      </c>
      <c r="BU287" s="3">
        <f>SUM(BQ287:BT287)</f>
        <v>0</v>
      </c>
      <c r="BV287" s="3">
        <f>BV250-BU250</f>
        <v>0</v>
      </c>
      <c r="BW287" s="3">
        <f>BW250-BV250</f>
        <v>0</v>
      </c>
      <c r="BX287" s="3">
        <f>BX250-BW250</f>
        <v>0</v>
      </c>
      <c r="BY287" s="3">
        <f>BY250-BX250</f>
        <v>0</v>
      </c>
      <c r="BZ287" s="3">
        <f>SUM(BV287:BY287)</f>
        <v>0</v>
      </c>
      <c r="CA287" s="3">
        <f>CA250-BZ250</f>
        <v>0</v>
      </c>
      <c r="CB287" s="3">
        <f>CB250-CA250</f>
        <v>0</v>
      </c>
      <c r="CC287" s="3">
        <f>CC250-CB250</f>
        <v>0</v>
      </c>
      <c r="CD287" s="3">
        <f>CD250-CC250</f>
        <v>0</v>
      </c>
      <c r="CE287" s="3">
        <f>SUM(CA287:CD287)</f>
        <v>0</v>
      </c>
      <c r="CF287" s="3">
        <f>CF250-CE250</f>
        <v>0</v>
      </c>
      <c r="CG287" s="3">
        <f>CG250-CF250</f>
        <v>0</v>
      </c>
      <c r="CH287" s="3">
        <f>CH250-CG250</f>
        <v>0</v>
      </c>
      <c r="CI287" s="3">
        <f>CI250-CH250</f>
        <v>0</v>
      </c>
      <c r="CJ287" s="3">
        <f>SUM(CF287:CI287)</f>
        <v>0</v>
      </c>
      <c r="CK287" s="3">
        <f>CK250-CJ250</f>
        <v>0</v>
      </c>
      <c r="CL287" s="3">
        <f>CL250-CK250</f>
        <v>0</v>
      </c>
      <c r="CM287" s="3">
        <f>CM250-CL250</f>
        <v>0</v>
      </c>
      <c r="CN287" s="3">
        <f>CN250-CM250</f>
        <v>0</v>
      </c>
      <c r="CO287" s="3">
        <f>SUM(CK287:CN287)</f>
        <v>0</v>
      </c>
      <c r="CP287" s="3">
        <f>CP250-CO250</f>
        <v>0</v>
      </c>
      <c r="CQ287" s="3">
        <f>CQ250-CP250</f>
        <v>0</v>
      </c>
      <c r="CR287" s="3">
        <f>CR250-CQ250</f>
        <v>0</v>
      </c>
      <c r="CS287" s="3">
        <f>CS250-CR250</f>
        <v>0</v>
      </c>
      <c r="CT287" s="3">
        <f>SUM(CP287:CS287)</f>
        <v>0</v>
      </c>
      <c r="CU287" s="3">
        <f>CU250-CT250</f>
        <v>0</v>
      </c>
      <c r="CV287" s="3">
        <f>CV250-CU250</f>
        <v>0</v>
      </c>
      <c r="CW287" s="3">
        <f>CW250-CV250</f>
        <v>0</v>
      </c>
      <c r="CX287" s="3">
        <f>CX250-CW250</f>
        <v>0</v>
      </c>
      <c r="CY287" s="3">
        <f>SUM(CU287:CX287)</f>
        <v>0</v>
      </c>
    </row>
    <row r="288">
      <c r="C288" s="26" t="inlineStr">
        <is>
          <t>Comprehensive accumulated loss</t>
        </is>
      </c>
      <c r="D288" s="3" t="n"/>
      <c r="E288" s="3">
        <f>E251-D251</f>
        <v>197</v>
      </c>
      <c r="F288" s="3">
        <f>F251-E251</f>
        <v>367</v>
      </c>
      <c r="G288" s="3">
        <f>G251-F251</f>
        <v>560</v>
      </c>
      <c r="H288" s="3">
        <f>SUM(D288:G288)</f>
        <v>1124</v>
      </c>
      <c r="I288" s="3">
        <f>I251-H251</f>
        <v>-402</v>
      </c>
      <c r="J288" s="3">
        <f>J251-I251</f>
        <v>136</v>
      </c>
      <c r="K288" s="3">
        <f>K251-J251</f>
        <v>-286</v>
      </c>
      <c r="L288" s="3">
        <f>L251-K251</f>
        <v>-113</v>
      </c>
      <c r="M288" s="3">
        <f>SUM(I288:L288)</f>
        <v>-665</v>
      </c>
      <c r="N288" s="3">
        <f>N251-M251</f>
        <v>-157</v>
      </c>
      <c r="O288" s="3">
        <f>O251-N251</f>
        <v>-789</v>
      </c>
      <c r="P288" s="3">
        <f>P251-O251</f>
        <v>-854</v>
      </c>
      <c r="Q288" s="3">
        <f>Q251-P251</f>
        <v>896</v>
      </c>
      <c r="R288" s="3">
        <f>SUM(N288:Q288)</f>
        <v>-904</v>
      </c>
      <c r="S288" s="3">
        <f>S251-R251</f>
        <v>711</v>
      </c>
      <c r="T288" s="3">
        <f>T251-S251</f>
        <v>-200</v>
      </c>
      <c r="U288" s="3">
        <f>U251-T251</f>
        <v>-286</v>
      </c>
      <c r="V288" s="3">
        <f>V251-U251</f>
        <v>412</v>
      </c>
      <c r="W288" s="3">
        <f>SUM(S288:V288)</f>
        <v>637</v>
      </c>
      <c r="X288" s="3">
        <f>X251-W251</f>
        <v>-273</v>
      </c>
      <c r="Y288" s="3">
        <f>Y251-X251</f>
        <v>-137</v>
      </c>
      <c r="Z288" s="3">
        <f>Z251-Y251</f>
        <v>513</v>
      </c>
      <c r="AA288" s="3">
        <f>AA251-Z251</f>
        <v>-754</v>
      </c>
      <c r="AB288" s="3">
        <f>SUM(X288:AA288)</f>
        <v>-651</v>
      </c>
      <c r="AC288" s="3">
        <f>AC251-AB251</f>
        <v>266</v>
      </c>
      <c r="AD288" s="3">
        <f>AD251-AC251</f>
        <v>521</v>
      </c>
      <c r="AE288" s="3">
        <f>AE251-AD251</f>
        <v>-39</v>
      </c>
      <c r="AF288" s="3">
        <f>AF251-AE251</f>
        <v>-49</v>
      </c>
      <c r="AG288" s="3">
        <f>SUM(AC288:AF288)</f>
        <v>699</v>
      </c>
      <c r="AH288" s="3">
        <f>AH251-AG251</f>
        <v>-109</v>
      </c>
      <c r="AI288" s="3">
        <f>AI251-AH251</f>
        <v>14</v>
      </c>
      <c r="AJ288" s="3">
        <f>AJ251-AI251</f>
        <v>0</v>
      </c>
      <c r="AK288" s="3">
        <f>AK251-AJ251</f>
        <v>0</v>
      </c>
      <c r="AL288" s="3">
        <f>SUM(AH288:AK288)</f>
        <v>-95</v>
      </c>
      <c r="AM288" s="3">
        <f>AM251-AL251</f>
        <v>0</v>
      </c>
      <c r="AN288" s="3">
        <f>AN251-AM251</f>
        <v>0</v>
      </c>
      <c r="AO288" s="3">
        <f>AO251-AN251</f>
        <v>0</v>
      </c>
      <c r="AP288" s="3">
        <f>AP251-AO251</f>
        <v>0</v>
      </c>
      <c r="AQ288" s="3">
        <f>SUM(AM288:AP288)</f>
        <v>0</v>
      </c>
      <c r="AR288" s="3">
        <f>AR251-AQ251</f>
        <v>0</v>
      </c>
      <c r="AS288" s="3">
        <f>AS251-AR251</f>
        <v>0</v>
      </c>
      <c r="AT288" s="3">
        <f>AT251-AS251</f>
        <v>0</v>
      </c>
      <c r="AU288" s="3">
        <f>AU251-AT251</f>
        <v>0</v>
      </c>
      <c r="AV288" s="3">
        <f>SUM(AR288:AU288)</f>
        <v>0</v>
      </c>
      <c r="AW288" s="3">
        <f>AW251-AV251</f>
        <v>0</v>
      </c>
      <c r="AX288" s="3">
        <f>AX251-AW251</f>
        <v>0</v>
      </c>
      <c r="AY288" s="3">
        <f>AY251-AX251</f>
        <v>0</v>
      </c>
      <c r="AZ288" s="3">
        <f>AZ251-AY251</f>
        <v>0</v>
      </c>
      <c r="BA288" s="3">
        <f>SUM(AW288:AZ288)</f>
        <v>0</v>
      </c>
      <c r="BB288" s="3">
        <f>BB251-BA251</f>
        <v>0</v>
      </c>
      <c r="BC288" s="3">
        <f>BC251-BB251</f>
        <v>0</v>
      </c>
      <c r="BD288" s="3">
        <f>BD251-BC251</f>
        <v>0</v>
      </c>
      <c r="BE288" s="3">
        <f>BE251-BD251</f>
        <v>0</v>
      </c>
      <c r="BF288" s="3">
        <f>SUM(BB288:BE288)</f>
        <v>0</v>
      </c>
      <c r="BG288" s="3">
        <f>BG251-BF251</f>
        <v>0</v>
      </c>
      <c r="BH288" s="3">
        <f>BH251-BG251</f>
        <v>0</v>
      </c>
      <c r="BI288" s="3">
        <f>BI251-BH251</f>
        <v>0</v>
      </c>
      <c r="BJ288" s="3">
        <f>BJ251-BI251</f>
        <v>0</v>
      </c>
      <c r="BK288" s="3">
        <f>SUM(BG288:BJ288)</f>
        <v>0</v>
      </c>
      <c r="BL288" s="3">
        <f>BL251-BK251</f>
        <v>0</v>
      </c>
      <c r="BM288" s="3">
        <f>BM251-BL251</f>
        <v>0</v>
      </c>
      <c r="BN288" s="3">
        <f>BN251-BM251</f>
        <v>0</v>
      </c>
      <c r="BO288" s="3">
        <f>BO251-BN251</f>
        <v>0</v>
      </c>
      <c r="BP288" s="3">
        <f>SUM(BL288:BO288)</f>
        <v>0</v>
      </c>
      <c r="BQ288" s="3">
        <f>BQ251-BP251</f>
        <v>0</v>
      </c>
      <c r="BR288" s="3">
        <f>BR251-BQ251</f>
        <v>0</v>
      </c>
      <c r="BS288" s="3">
        <f>BS251-BR251</f>
        <v>0</v>
      </c>
      <c r="BT288" s="3">
        <f>BT251-BS251</f>
        <v>0</v>
      </c>
      <c r="BU288" s="3">
        <f>SUM(BQ288:BT288)</f>
        <v>0</v>
      </c>
      <c r="BV288" s="3">
        <f>BV251-BU251</f>
        <v>0</v>
      </c>
      <c r="BW288" s="3">
        <f>BW251-BV251</f>
        <v>0</v>
      </c>
      <c r="BX288" s="3">
        <f>BX251-BW251</f>
        <v>0</v>
      </c>
      <c r="BY288" s="3">
        <f>BY251-BX251</f>
        <v>0</v>
      </c>
      <c r="BZ288" s="3">
        <f>SUM(BV288:BY288)</f>
        <v>0</v>
      </c>
      <c r="CA288" s="3">
        <f>CA251-BZ251</f>
        <v>0</v>
      </c>
      <c r="CB288" s="3">
        <f>CB251-CA251</f>
        <v>0</v>
      </c>
      <c r="CC288" s="3">
        <f>CC251-CB251</f>
        <v>0</v>
      </c>
      <c r="CD288" s="3">
        <f>CD251-CC251</f>
        <v>0</v>
      </c>
      <c r="CE288" s="3">
        <f>SUM(CA288:CD288)</f>
        <v>0</v>
      </c>
      <c r="CF288" s="3">
        <f>CF251-CE251</f>
        <v>0</v>
      </c>
      <c r="CG288" s="3">
        <f>CG251-CF251</f>
        <v>0</v>
      </c>
      <c r="CH288" s="3">
        <f>CH251-CG251</f>
        <v>0</v>
      </c>
      <c r="CI288" s="3">
        <f>CI251-CH251</f>
        <v>0</v>
      </c>
      <c r="CJ288" s="3">
        <f>SUM(CF288:CI288)</f>
        <v>0</v>
      </c>
      <c r="CK288" s="3">
        <f>CK251-CJ251</f>
        <v>0</v>
      </c>
      <c r="CL288" s="3">
        <f>CL251-CK251</f>
        <v>0</v>
      </c>
      <c r="CM288" s="3">
        <f>CM251-CL251</f>
        <v>0</v>
      </c>
      <c r="CN288" s="3">
        <f>CN251-CM251</f>
        <v>0</v>
      </c>
      <c r="CO288" s="3">
        <f>SUM(CK288:CN288)</f>
        <v>0</v>
      </c>
      <c r="CP288" s="3">
        <f>CP251-CO251</f>
        <v>0</v>
      </c>
      <c r="CQ288" s="3">
        <f>CQ251-CP251</f>
        <v>0</v>
      </c>
      <c r="CR288" s="3">
        <f>CR251-CQ251</f>
        <v>0</v>
      </c>
      <c r="CS288" s="3">
        <f>CS251-CR251</f>
        <v>0</v>
      </c>
      <c r="CT288" s="3">
        <f>SUM(CP288:CS288)</f>
        <v>0</v>
      </c>
      <c r="CU288" s="3">
        <f>CU251-CT251</f>
        <v>0</v>
      </c>
      <c r="CV288" s="3">
        <f>CV251-CU251</f>
        <v>0</v>
      </c>
      <c r="CW288" s="3">
        <f>CW251-CV251</f>
        <v>0</v>
      </c>
      <c r="CX288" s="3">
        <f>CX251-CW251</f>
        <v>0</v>
      </c>
      <c r="CY288" s="3">
        <f>SUM(CU288:CX288)</f>
        <v>0</v>
      </c>
    </row>
    <row r="289">
      <c r="C289" s="26" t="inlineStr">
        <is>
          <t>Other equity account</t>
        </is>
      </c>
      <c r="D289" s="3" t="n"/>
      <c r="E289" s="3">
        <f>E252-D252</f>
        <v>0</v>
      </c>
      <c r="F289" s="3">
        <f>F252-E252</f>
        <v>0</v>
      </c>
      <c r="G289" s="3">
        <f>G252-F252</f>
        <v>0</v>
      </c>
      <c r="H289" s="3">
        <f>SUM(D289:G289)</f>
        <v>0</v>
      </c>
      <c r="I289" s="3">
        <f>I252-H252</f>
        <v>0</v>
      </c>
      <c r="J289" s="3">
        <f>J252-I252</f>
        <v>0</v>
      </c>
      <c r="K289" s="3">
        <f>K252-J252</f>
        <v>0</v>
      </c>
      <c r="L289" s="3">
        <f>L252-K252</f>
        <v>0</v>
      </c>
      <c r="M289" s="3">
        <f>SUM(I289:L289)</f>
        <v>0</v>
      </c>
      <c r="N289" s="3">
        <f>N252-M252</f>
        <v>0</v>
      </c>
      <c r="O289" s="3">
        <f>O252-N252</f>
        <v>0</v>
      </c>
      <c r="P289" s="3">
        <f>P252-O252</f>
        <v>0</v>
      </c>
      <c r="Q289" s="3">
        <f>Q252-P252</f>
        <v>0</v>
      </c>
      <c r="R289" s="3">
        <f>SUM(N289:Q289)</f>
        <v>0</v>
      </c>
      <c r="S289" s="3">
        <f>S252-R252</f>
        <v>0</v>
      </c>
      <c r="T289" s="3">
        <f>T252-S252</f>
        <v>0</v>
      </c>
      <c r="U289" s="3">
        <f>U252-T252</f>
        <v>0</v>
      </c>
      <c r="V289" s="3">
        <f>V252-U252</f>
        <v>0</v>
      </c>
      <c r="W289" s="3">
        <f>SUM(S289:V289)</f>
        <v>0</v>
      </c>
      <c r="X289" s="3">
        <f>X252-W252</f>
        <v>0</v>
      </c>
      <c r="Y289" s="3">
        <f>Y252-X252</f>
        <v>0</v>
      </c>
      <c r="Z289" s="3">
        <f>Z252-Y252</f>
        <v>0</v>
      </c>
      <c r="AA289" s="3">
        <f>AA252-Z252</f>
        <v>0</v>
      </c>
      <c r="AB289" s="3">
        <f>SUM(X289:AA289)</f>
        <v>0</v>
      </c>
      <c r="AC289" s="3">
        <f>AC252-AB252</f>
        <v>0</v>
      </c>
      <c r="AD289" s="3">
        <f>AD252-AC252</f>
        <v>0</v>
      </c>
      <c r="AE289" s="3">
        <f>AE252-AD252</f>
        <v>0</v>
      </c>
      <c r="AF289" s="3">
        <f>AF252-AE252</f>
        <v>0</v>
      </c>
      <c r="AG289" s="3">
        <f>SUM(AC289:AF289)</f>
        <v>0</v>
      </c>
      <c r="AH289" s="3">
        <f>AH252-AG252</f>
        <v>0</v>
      </c>
      <c r="AI289" s="3">
        <f>AI252-AH252</f>
        <v>0</v>
      </c>
      <c r="AJ289" s="3">
        <f>AJ252-AI252</f>
        <v>0</v>
      </c>
      <c r="AK289" s="3">
        <f>AK252-AJ252</f>
        <v>0</v>
      </c>
      <c r="AL289" s="3">
        <f>SUM(AH289:AK289)</f>
        <v>0</v>
      </c>
      <c r="AM289" s="3">
        <f>AM252-AL252</f>
        <v>0</v>
      </c>
      <c r="AN289" s="3">
        <f>AN252-AM252</f>
        <v>0</v>
      </c>
      <c r="AO289" s="3">
        <f>AO252-AN252</f>
        <v>0</v>
      </c>
      <c r="AP289" s="3">
        <f>AP252-AO252</f>
        <v>0</v>
      </c>
      <c r="AQ289" s="3">
        <f>SUM(AM289:AP289)</f>
        <v>0</v>
      </c>
      <c r="AR289" s="3">
        <f>AR252-AQ252</f>
        <v>0</v>
      </c>
      <c r="AS289" s="3">
        <f>AS252-AR252</f>
        <v>0</v>
      </c>
      <c r="AT289" s="3">
        <f>AT252-AS252</f>
        <v>0</v>
      </c>
      <c r="AU289" s="3">
        <f>AU252-AT252</f>
        <v>0</v>
      </c>
      <c r="AV289" s="3">
        <f>SUM(AR289:AU289)</f>
        <v>0</v>
      </c>
      <c r="AW289" s="3">
        <f>AW252-AV252</f>
        <v>0</v>
      </c>
      <c r="AX289" s="3">
        <f>AX252-AW252</f>
        <v>0</v>
      </c>
      <c r="AY289" s="3">
        <f>AY252-AX252</f>
        <v>0</v>
      </c>
      <c r="AZ289" s="3">
        <f>AZ252-AY252</f>
        <v>0</v>
      </c>
      <c r="BA289" s="3">
        <f>SUM(AW289:AZ289)</f>
        <v>0</v>
      </c>
      <c r="BB289" s="3">
        <f>BB252-BA252</f>
        <v>0</v>
      </c>
      <c r="BC289" s="3">
        <f>BC252-BB252</f>
        <v>0</v>
      </c>
      <c r="BD289" s="3">
        <f>BD252-BC252</f>
        <v>0</v>
      </c>
      <c r="BE289" s="3">
        <f>BE252-BD252</f>
        <v>0</v>
      </c>
      <c r="BF289" s="3">
        <f>SUM(BB289:BE289)</f>
        <v>0</v>
      </c>
      <c r="BG289" s="3">
        <f>BG252-BF252</f>
        <v>0</v>
      </c>
      <c r="BH289" s="3">
        <f>BH252-BG252</f>
        <v>0</v>
      </c>
      <c r="BI289" s="3">
        <f>BI252-BH252</f>
        <v>0</v>
      </c>
      <c r="BJ289" s="3">
        <f>BJ252-BI252</f>
        <v>0</v>
      </c>
      <c r="BK289" s="3">
        <f>SUM(BG289:BJ289)</f>
        <v>0</v>
      </c>
      <c r="BL289" s="3">
        <f>BL252-BK252</f>
        <v>0</v>
      </c>
      <c r="BM289" s="3">
        <f>BM252-BL252</f>
        <v>0</v>
      </c>
      <c r="BN289" s="3">
        <f>BN252-BM252</f>
        <v>0</v>
      </c>
      <c r="BO289" s="3">
        <f>BO252-BN252</f>
        <v>0</v>
      </c>
      <c r="BP289" s="3">
        <f>SUM(BL289:BO289)</f>
        <v>0</v>
      </c>
      <c r="BQ289" s="3">
        <f>BQ252-BP252</f>
        <v>0</v>
      </c>
      <c r="BR289" s="3">
        <f>BR252-BQ252</f>
        <v>0</v>
      </c>
      <c r="BS289" s="3">
        <f>BS252-BR252</f>
        <v>0</v>
      </c>
      <c r="BT289" s="3">
        <f>BT252-BS252</f>
        <v>0</v>
      </c>
      <c r="BU289" s="3">
        <f>SUM(BQ289:BT289)</f>
        <v>0</v>
      </c>
      <c r="BV289" s="3">
        <f>BV252-BU252</f>
        <v>0</v>
      </c>
      <c r="BW289" s="3">
        <f>BW252-BV252</f>
        <v>0</v>
      </c>
      <c r="BX289" s="3">
        <f>BX252-BW252</f>
        <v>0</v>
      </c>
      <c r="BY289" s="3">
        <f>BY252-BX252</f>
        <v>0</v>
      </c>
      <c r="BZ289" s="3">
        <f>SUM(BV289:BY289)</f>
        <v>0</v>
      </c>
      <c r="CA289" s="3">
        <f>CA252-BZ252</f>
        <v>0</v>
      </c>
      <c r="CB289" s="3">
        <f>CB252-CA252</f>
        <v>0</v>
      </c>
      <c r="CC289" s="3">
        <f>CC252-CB252</f>
        <v>0</v>
      </c>
      <c r="CD289" s="3">
        <f>CD252-CC252</f>
        <v>0</v>
      </c>
      <c r="CE289" s="3">
        <f>SUM(CA289:CD289)</f>
        <v>0</v>
      </c>
      <c r="CF289" s="3">
        <f>CF252-CE252</f>
        <v>0</v>
      </c>
      <c r="CG289" s="3">
        <f>CG252-CF252</f>
        <v>0</v>
      </c>
      <c r="CH289" s="3">
        <f>CH252-CG252</f>
        <v>0</v>
      </c>
      <c r="CI289" s="3">
        <f>CI252-CH252</f>
        <v>0</v>
      </c>
      <c r="CJ289" s="3">
        <f>SUM(CF289:CI289)</f>
        <v>0</v>
      </c>
      <c r="CK289" s="3">
        <f>CK252-CJ252</f>
        <v>0</v>
      </c>
      <c r="CL289" s="3">
        <f>CL252-CK252</f>
        <v>0</v>
      </c>
      <c r="CM289" s="3">
        <f>CM252-CL252</f>
        <v>0</v>
      </c>
      <c r="CN289" s="3">
        <f>CN252-CM252</f>
        <v>0</v>
      </c>
      <c r="CO289" s="3">
        <f>SUM(CK289:CN289)</f>
        <v>0</v>
      </c>
      <c r="CP289" s="3">
        <f>CP252-CO252</f>
        <v>0</v>
      </c>
      <c r="CQ289" s="3">
        <f>CQ252-CP252</f>
        <v>0</v>
      </c>
      <c r="CR289" s="3">
        <f>CR252-CQ252</f>
        <v>0</v>
      </c>
      <c r="CS289" s="3">
        <f>CS252-CR252</f>
        <v>0</v>
      </c>
      <c r="CT289" s="3">
        <f>SUM(CP289:CS289)</f>
        <v>0</v>
      </c>
      <c r="CU289" s="3">
        <f>CU252-CT252</f>
        <v>0</v>
      </c>
      <c r="CV289" s="3">
        <f>CV252-CU252</f>
        <v>0</v>
      </c>
      <c r="CW289" s="3">
        <f>CW252-CV252</f>
        <v>0</v>
      </c>
      <c r="CX289" s="3">
        <f>CX252-CW252</f>
        <v>0</v>
      </c>
      <c r="CY289" s="3">
        <f>SUM(CU289:CX289)</f>
        <v>0</v>
      </c>
    </row>
    <row r="290">
      <c r="C290" s="29" t="inlineStr">
        <is>
          <t>Common and preferred dividends</t>
        </is>
      </c>
      <c r="D290" s="3" t="n"/>
      <c r="E290" s="3">
        <f>(E253-D253)-E260</f>
        <v>-1121</v>
      </c>
      <c r="F290" s="3">
        <f>(F253-E253)-F260</f>
        <v>-1</v>
      </c>
      <c r="G290" s="3">
        <f>(G253-F253)-G260</f>
        <v>-1121</v>
      </c>
      <c r="H290" s="3">
        <f>SUM(D290:G290)</f>
        <v>-2243</v>
      </c>
      <c r="I290" s="3">
        <f>(I253-H253)-I260</f>
        <v>0</v>
      </c>
      <c r="J290" s="3">
        <f>(J253-I253)-J260</f>
        <v>-1176</v>
      </c>
      <c r="K290" s="3">
        <f>(K253-J253)-K260</f>
        <v>1</v>
      </c>
      <c r="L290" s="3">
        <f>(L253-K253)-L260</f>
        <v>-1199</v>
      </c>
      <c r="M290" s="3">
        <f>SUM(I290:L290)</f>
        <v>-2374</v>
      </c>
      <c r="N290" s="3">
        <f>(N253-M253)-N260</f>
        <v>1</v>
      </c>
      <c r="O290" s="3">
        <f>(O253-N253)-O260</f>
        <v>-1230</v>
      </c>
      <c r="P290" s="3">
        <f>(P253-O253)-P260</f>
        <v>0</v>
      </c>
      <c r="Q290" s="3">
        <f>(Q253-P253)-Q260</f>
        <v>-1244</v>
      </c>
      <c r="R290" s="3">
        <f>SUM(N290:Q290)</f>
        <v>-2473</v>
      </c>
      <c r="S290" s="3">
        <f>(S253-R253)-S260</f>
        <v>0</v>
      </c>
      <c r="T290" s="3">
        <f>(T253-S253)-T260</f>
        <v>-1285</v>
      </c>
      <c r="U290" s="3">
        <f>(U253-T253)-U260</f>
        <v>0</v>
      </c>
      <c r="V290" s="3">
        <f>(V253-U253)-V260</f>
        <v>-1314</v>
      </c>
      <c r="W290" s="3">
        <f>SUM(S290:V290)</f>
        <v>-2599</v>
      </c>
      <c r="X290" s="3">
        <f>(X253-W253)-X260</f>
        <v>2</v>
      </c>
      <c r="Y290" s="3">
        <f>(Y253-X253)-Y260</f>
        <v>-1334</v>
      </c>
      <c r="Z290" s="3">
        <f>(Z253-Y253)-Z260</f>
        <v>1</v>
      </c>
      <c r="AA290" s="3">
        <f>(AA253-Z253)-AA260</f>
        <v>-1359</v>
      </c>
      <c r="AB290" s="3">
        <f>SUM(X290:AA290)</f>
        <v>-2690</v>
      </c>
      <c r="AC290" s="3">
        <f>(AC253-AB253)-AC260</f>
        <v>1</v>
      </c>
      <c r="AD290" s="3">
        <f>(AD253-AC253)-AD260</f>
        <v>-1375</v>
      </c>
      <c r="AE290" s="3">
        <f>(AE253-AD253)-AE260</f>
        <v>0</v>
      </c>
      <c r="AF290" s="3">
        <f>(AF253-AE253)-AF260</f>
        <v>-1414</v>
      </c>
      <c r="AG290" s="3">
        <f>SUM(AC290:AF290)</f>
        <v>-2788</v>
      </c>
      <c r="AH290" s="3">
        <f>(AH253-AG253)-AH260</f>
        <v>0</v>
      </c>
      <c r="AI290" s="3">
        <f>(AI253-AH253)-AI260</f>
        <v>-1449</v>
      </c>
      <c r="AJ290" s="3">
        <f>(AJ253-AI253)-AJ260</f>
        <v>0</v>
      </c>
      <c r="AK290" s="3">
        <f>(AK253-AJ253)-AK260</f>
        <v>0</v>
      </c>
      <c r="AL290" s="3">
        <f>SUM(AH290:AK290)</f>
        <v>-1449</v>
      </c>
      <c r="AM290" s="3">
        <f>(AM253-AL253)-AM260</f>
        <v>0</v>
      </c>
      <c r="AN290" s="3">
        <f>(AN253-AM253)-AN260</f>
        <v>0</v>
      </c>
      <c r="AO290" s="3">
        <f>(AO253-AN253)-AO260</f>
        <v>0</v>
      </c>
      <c r="AP290" s="3">
        <f>(AP253-AO253)-AP260</f>
        <v>0</v>
      </c>
      <c r="AQ290" s="3">
        <f>SUM(AM290:AP290)</f>
        <v>0</v>
      </c>
      <c r="AR290" s="3">
        <f>(AR253-AQ253)-AR260</f>
        <v>0</v>
      </c>
      <c r="AS290" s="3">
        <f>(AS253-AR253)-AS260</f>
        <v>0</v>
      </c>
      <c r="AT290" s="3">
        <f>(AT253-AS253)-AT260</f>
        <v>0</v>
      </c>
      <c r="AU290" s="3">
        <f>(AU253-AT253)-AU260</f>
        <v>0</v>
      </c>
      <c r="AV290" s="3">
        <f>SUM(AR290:AU290)</f>
        <v>0</v>
      </c>
      <c r="AW290" s="3">
        <f>(AW253-AV253)-AW260</f>
        <v>0</v>
      </c>
      <c r="AX290" s="3">
        <f>(AX253-AW253)-AX260</f>
        <v>0</v>
      </c>
      <c r="AY290" s="3">
        <f>(AY253-AX253)-AY260</f>
        <v>0</v>
      </c>
      <c r="AZ290" s="3">
        <f>(AZ253-AY253)-AZ260</f>
        <v>0</v>
      </c>
      <c r="BA290" s="3">
        <f>SUM(AW290:AZ290)</f>
        <v>0</v>
      </c>
      <c r="BB290" s="3">
        <f>(BB253-BA253)-BB260</f>
        <v>0</v>
      </c>
      <c r="BC290" s="3">
        <f>(BC253-BB253)-BC260</f>
        <v>0</v>
      </c>
      <c r="BD290" s="3">
        <f>(BD253-BC253)-BD260</f>
        <v>0</v>
      </c>
      <c r="BE290" s="3">
        <f>(BE253-BD253)-BE260</f>
        <v>0</v>
      </c>
      <c r="BF290" s="3">
        <f>SUM(BB290:BE290)</f>
        <v>0</v>
      </c>
      <c r="BG290" s="3">
        <f>(BG253-BF253)-BG260</f>
        <v>0</v>
      </c>
      <c r="BH290" s="3">
        <f>(BH253-BG253)-BH260</f>
        <v>0</v>
      </c>
      <c r="BI290" s="3">
        <f>(BI253-BH253)-BI260</f>
        <v>0</v>
      </c>
      <c r="BJ290" s="3">
        <f>(BJ253-BI253)-BJ260</f>
        <v>0</v>
      </c>
      <c r="BK290" s="3">
        <f>SUM(BG290:BJ290)</f>
        <v>0</v>
      </c>
      <c r="BL290" s="3">
        <f>(BL253-BK253)-BL260</f>
        <v>0</v>
      </c>
      <c r="BM290" s="3">
        <f>(BM253-BL253)-BM260</f>
        <v>0</v>
      </c>
      <c r="BN290" s="3">
        <f>(BN253-BM253)-BN260</f>
        <v>0</v>
      </c>
      <c r="BO290" s="3">
        <f>(BO253-BN253)-BO260</f>
        <v>0</v>
      </c>
      <c r="BP290" s="3">
        <f>SUM(BL290:BO290)</f>
        <v>0</v>
      </c>
      <c r="BQ290" s="3">
        <f>(BQ253-BP253)-BQ260</f>
        <v>0</v>
      </c>
      <c r="BR290" s="3">
        <f>(BR253-BQ253)-BR260</f>
        <v>0</v>
      </c>
      <c r="BS290" s="3">
        <f>(BS253-BR253)-BS260</f>
        <v>0</v>
      </c>
      <c r="BT290" s="3">
        <f>(BT253-BS253)-BT260</f>
        <v>0</v>
      </c>
      <c r="BU290" s="3">
        <f>SUM(BQ290:BT290)</f>
        <v>0</v>
      </c>
      <c r="BV290" s="3">
        <f>(BV253-BU253)-BV260</f>
        <v>0</v>
      </c>
      <c r="BW290" s="3">
        <f>(BW253-BV253)-BW260</f>
        <v>0</v>
      </c>
      <c r="BX290" s="3">
        <f>(BX253-BW253)-BX260</f>
        <v>0</v>
      </c>
      <c r="BY290" s="3">
        <f>(BY253-BX253)-BY260</f>
        <v>0</v>
      </c>
      <c r="BZ290" s="3">
        <f>SUM(BV290:BY290)</f>
        <v>0</v>
      </c>
      <c r="CA290" s="3">
        <f>(CA253-BZ253)-CA260</f>
        <v>0</v>
      </c>
      <c r="CB290" s="3">
        <f>(CB253-CA253)-CB260</f>
        <v>0</v>
      </c>
      <c r="CC290" s="3">
        <f>(CC253-CB253)-CC260</f>
        <v>0</v>
      </c>
      <c r="CD290" s="3">
        <f>(CD253-CC253)-CD260</f>
        <v>0</v>
      </c>
      <c r="CE290" s="3">
        <f>SUM(CA290:CD290)</f>
        <v>0</v>
      </c>
      <c r="CF290" s="3">
        <f>(CF253-CE253)-CF260</f>
        <v>0</v>
      </c>
      <c r="CG290" s="3">
        <f>(CG253-CF253)-CG260</f>
        <v>0</v>
      </c>
      <c r="CH290" s="3">
        <f>(CH253-CG253)-CH260</f>
        <v>0</v>
      </c>
      <c r="CI290" s="3">
        <f>(CI253-CH253)-CI260</f>
        <v>0</v>
      </c>
      <c r="CJ290" s="3">
        <f>SUM(CF290:CI290)</f>
        <v>0</v>
      </c>
      <c r="CK290" s="3">
        <f>(CK253-CJ253)-CK260</f>
        <v>0</v>
      </c>
      <c r="CL290" s="3">
        <f>(CL253-CK253)-CL260</f>
        <v>0</v>
      </c>
      <c r="CM290" s="3">
        <f>(CM253-CL253)-CM260</f>
        <v>0</v>
      </c>
      <c r="CN290" s="3">
        <f>(CN253-CM253)-CN260</f>
        <v>0</v>
      </c>
      <c r="CO290" s="3">
        <f>SUM(CK290:CN290)</f>
        <v>0</v>
      </c>
      <c r="CP290" s="3">
        <f>(CP253-CO253)-CP260</f>
        <v>0</v>
      </c>
      <c r="CQ290" s="3">
        <f>(CQ253-CP253)-CQ260</f>
        <v>0</v>
      </c>
      <c r="CR290" s="3">
        <f>(CR253-CQ253)-CR260</f>
        <v>0</v>
      </c>
      <c r="CS290" s="3">
        <f>(CS253-CR253)-CS260</f>
        <v>0</v>
      </c>
      <c r="CT290" s="3">
        <f>SUM(CP290:CS290)</f>
        <v>0</v>
      </c>
      <c r="CU290" s="3">
        <f>(CU253-CT253)-CU260</f>
        <v>0</v>
      </c>
      <c r="CV290" s="3">
        <f>(CV253-CU253)-CV260</f>
        <v>0</v>
      </c>
      <c r="CW290" s="3">
        <f>(CW253-CV253)-CW260</f>
        <v>0</v>
      </c>
      <c r="CX290" s="3">
        <f>(CX253-CW253)-CX260</f>
        <v>0</v>
      </c>
      <c r="CY290" s="3">
        <f>SUM(CU290:CX290)</f>
        <v>0</v>
      </c>
    </row>
    <row r="291">
      <c r="C291" s="26" t="inlineStr">
        <is>
          <t>Dividends to minority interests</t>
        </is>
      </c>
      <c r="D291" s="3" t="n"/>
      <c r="E291" s="3">
        <f>(E231-D231)+E119</f>
        <v>0</v>
      </c>
      <c r="F291" s="3">
        <f>(F231-E231)+F119</f>
        <v>-1</v>
      </c>
      <c r="G291" s="3">
        <f>(G231-F231)+G119</f>
        <v>2</v>
      </c>
      <c r="H291" s="3">
        <f>SUM(D291:G291)</f>
        <v>1</v>
      </c>
      <c r="I291" s="3">
        <f>(I231-H231)+I119</f>
        <v>-4</v>
      </c>
      <c r="J291" s="3">
        <f>(J231-I231)+J119</f>
        <v>2</v>
      </c>
      <c r="K291" s="3">
        <f>(K231-J231)+K119</f>
        <v>-19</v>
      </c>
      <c r="L291" s="3">
        <f>(L231-K231)+L119</f>
        <v>2</v>
      </c>
      <c r="M291" s="3">
        <f>SUM(I291:L291)</f>
        <v>-19</v>
      </c>
      <c r="N291" s="3">
        <f>(N231-M231)+N119</f>
        <v>0</v>
      </c>
      <c r="O291" s="3">
        <f>(O231-N231)+O119</f>
        <v>0</v>
      </c>
      <c r="P291" s="3">
        <f>(P231-O231)+P119</f>
        <v>0</v>
      </c>
      <c r="Q291" s="3">
        <f>(Q231-P231)+Q119</f>
        <v>-9</v>
      </c>
      <c r="R291" s="3">
        <f>SUM(N291:Q291)</f>
        <v>-9</v>
      </c>
      <c r="S291" s="3">
        <f>(S231-R231)+S119</f>
        <v>0</v>
      </c>
      <c r="T291" s="3">
        <f>(T231-S231)+T119</f>
        <v>-2</v>
      </c>
      <c r="U291" s="3">
        <f>(U231-T231)+U119</f>
        <v>-2</v>
      </c>
      <c r="V291" s="3">
        <f>(V231-U231)+V119</f>
        <v>-6</v>
      </c>
      <c r="W291" s="3">
        <f>SUM(S291:V291)</f>
        <v>-10</v>
      </c>
      <c r="X291" s="3">
        <f>(X231-W231)+X119</f>
        <v>-1</v>
      </c>
      <c r="Y291" s="3">
        <f>(Y231-X231)+Y119</f>
        <v>0</v>
      </c>
      <c r="Z291" s="3">
        <f>(Z231-Y231)+Z119</f>
        <v>1</v>
      </c>
      <c r="AA291" s="3">
        <f>(AA231-Z231)+AA119</f>
        <v>-2</v>
      </c>
      <c r="AB291" s="3">
        <f>SUM(X291:AA291)</f>
        <v>-2</v>
      </c>
      <c r="AC291" s="3">
        <f>(AC231-AB231)+AC119</f>
        <v>0</v>
      </c>
      <c r="AD291" s="3">
        <f>(AD231-AC231)+AD119</f>
        <v>-1</v>
      </c>
      <c r="AE291" s="3">
        <f>(AE231-AD231)+AE119</f>
        <v>0</v>
      </c>
      <c r="AF291" s="3">
        <f>(AF231-AE231)+AF119</f>
        <v>0</v>
      </c>
      <c r="AG291" s="3">
        <f>SUM(AC291:AF291)</f>
        <v>-1</v>
      </c>
      <c r="AH291" s="3">
        <f>(AH231-AG231)+AH119</f>
        <v>0</v>
      </c>
      <c r="AI291" s="3">
        <f>(AI231-AH231)+AI119</f>
        <v>0</v>
      </c>
      <c r="AJ291" s="3">
        <f>(AJ231-AI231)+AJ119</f>
        <v>0</v>
      </c>
      <c r="AK291" s="3">
        <f>(AK231-AJ231)+AK119</f>
        <v>0</v>
      </c>
      <c r="AL291" s="3">
        <f>SUM(AH291:AK291)</f>
        <v>0</v>
      </c>
      <c r="AM291" s="3">
        <f>(AM231-AL231)+AM119</f>
        <v>0</v>
      </c>
      <c r="AN291" s="3">
        <f>(AN231-AM231)+AN119</f>
        <v>0</v>
      </c>
      <c r="AO291" s="3">
        <f>(AO231-AN231)+AO119</f>
        <v>0</v>
      </c>
      <c r="AP291" s="3">
        <f>(AP231-AO231)+AP119</f>
        <v>0</v>
      </c>
      <c r="AQ291" s="3">
        <f>SUM(AM291:AP291)</f>
        <v>0</v>
      </c>
      <c r="AR291" s="3">
        <f>(AR231-AQ231)+AR119</f>
        <v>0</v>
      </c>
      <c r="AS291" s="3">
        <f>(AS231-AR231)+AS119</f>
        <v>0</v>
      </c>
      <c r="AT291" s="3">
        <f>(AT231-AS231)+AT119</f>
        <v>0</v>
      </c>
      <c r="AU291" s="3">
        <f>(AU231-AT231)+AU119</f>
        <v>0</v>
      </c>
      <c r="AV291" s="3">
        <f>SUM(AR291:AU291)</f>
        <v>0</v>
      </c>
      <c r="AW291" s="3">
        <f>(AW231-AV231)+AW119</f>
        <v>0</v>
      </c>
      <c r="AX291" s="3">
        <f>(AX231-AW231)+AX119</f>
        <v>0</v>
      </c>
      <c r="AY291" s="3">
        <f>(AY231-AX231)+AY119</f>
        <v>0</v>
      </c>
      <c r="AZ291" s="3">
        <f>(AZ231-AY231)+AZ119</f>
        <v>0</v>
      </c>
      <c r="BA291" s="3">
        <f>SUM(AW291:AZ291)</f>
        <v>0</v>
      </c>
      <c r="BB291" s="3">
        <f>(BB231-BA231)+BB119</f>
        <v>0</v>
      </c>
      <c r="BC291" s="3">
        <f>(BC231-BB231)+BC119</f>
        <v>0</v>
      </c>
      <c r="BD291" s="3">
        <f>(BD231-BC231)+BD119</f>
        <v>0</v>
      </c>
      <c r="BE291" s="3">
        <f>(BE231-BD231)+BE119</f>
        <v>0</v>
      </c>
      <c r="BF291" s="3">
        <f>SUM(BB291:BE291)</f>
        <v>0</v>
      </c>
      <c r="BG291" s="3">
        <f>(BG231-BF231)+BG119</f>
        <v>0</v>
      </c>
      <c r="BH291" s="3">
        <f>(BH231-BG231)+BH119</f>
        <v>0</v>
      </c>
      <c r="BI291" s="3">
        <f>(BI231-BH231)+BI119</f>
        <v>0</v>
      </c>
      <c r="BJ291" s="3">
        <f>(BJ231-BI231)+BJ119</f>
        <v>0</v>
      </c>
      <c r="BK291" s="3">
        <f>SUM(BG291:BJ291)</f>
        <v>0</v>
      </c>
      <c r="BL291" s="3">
        <f>(BL231-BK231)+BL119</f>
        <v>0</v>
      </c>
      <c r="BM291" s="3">
        <f>(BM231-BL231)+BM119</f>
        <v>0</v>
      </c>
      <c r="BN291" s="3">
        <f>(BN231-BM231)+BN119</f>
        <v>0</v>
      </c>
      <c r="BO291" s="3">
        <f>(BO231-BN231)+BO119</f>
        <v>0</v>
      </c>
      <c r="BP291" s="3">
        <f>SUM(BL291:BO291)</f>
        <v>0</v>
      </c>
      <c r="BQ291" s="3">
        <f>(BQ231-BP231)+BQ119</f>
        <v>0</v>
      </c>
      <c r="BR291" s="3">
        <f>(BR231-BQ231)+BR119</f>
        <v>0</v>
      </c>
      <c r="BS291" s="3">
        <f>(BS231-BR231)+BS119</f>
        <v>0</v>
      </c>
      <c r="BT291" s="3">
        <f>(BT231-BS231)+BT119</f>
        <v>0</v>
      </c>
      <c r="BU291" s="3">
        <f>SUM(BQ291:BT291)</f>
        <v>0</v>
      </c>
      <c r="BV291" s="3">
        <f>(BV231-BU231)+BV119</f>
        <v>0</v>
      </c>
      <c r="BW291" s="3">
        <f>(BW231-BV231)+BW119</f>
        <v>0</v>
      </c>
      <c r="BX291" s="3">
        <f>(BX231-BW231)+BX119</f>
        <v>0</v>
      </c>
      <c r="BY291" s="3">
        <f>(BY231-BX231)+BY119</f>
        <v>0</v>
      </c>
      <c r="BZ291" s="3">
        <f>SUM(BV291:BY291)</f>
        <v>0</v>
      </c>
      <c r="CA291" s="3">
        <f>(CA231-BZ231)+CA119</f>
        <v>0</v>
      </c>
      <c r="CB291" s="3">
        <f>(CB231-CA231)+CB119</f>
        <v>0</v>
      </c>
      <c r="CC291" s="3">
        <f>(CC231-CB231)+CC119</f>
        <v>0</v>
      </c>
      <c r="CD291" s="3">
        <f>(CD231-CC231)+CD119</f>
        <v>0</v>
      </c>
      <c r="CE291" s="3">
        <f>SUM(CA291:CD291)</f>
        <v>0</v>
      </c>
      <c r="CF291" s="3">
        <f>(CF231-CE231)+CF119</f>
        <v>0</v>
      </c>
      <c r="CG291" s="3">
        <f>(CG231-CF231)+CG119</f>
        <v>0</v>
      </c>
      <c r="CH291" s="3">
        <f>(CH231-CG231)+CH119</f>
        <v>0</v>
      </c>
      <c r="CI291" s="3">
        <f>(CI231-CH231)+CI119</f>
        <v>0</v>
      </c>
      <c r="CJ291" s="3">
        <f>SUM(CF291:CI291)</f>
        <v>0</v>
      </c>
      <c r="CK291" s="3">
        <f>(CK231-CJ231)+CK119</f>
        <v>0</v>
      </c>
      <c r="CL291" s="3">
        <f>(CL231-CK231)+CL119</f>
        <v>0</v>
      </c>
      <c r="CM291" s="3">
        <f>(CM231-CL231)+CM119</f>
        <v>0</v>
      </c>
      <c r="CN291" s="3">
        <f>(CN231-CM231)+CN119</f>
        <v>0</v>
      </c>
      <c r="CO291" s="3">
        <f>SUM(CK291:CN291)</f>
        <v>0</v>
      </c>
      <c r="CP291" s="3">
        <f>(CP231-CO231)+CP119</f>
        <v>0</v>
      </c>
      <c r="CQ291" s="3">
        <f>(CQ231-CP231)+CQ119</f>
        <v>0</v>
      </c>
      <c r="CR291" s="3">
        <f>(CR231-CQ231)+CR119</f>
        <v>0</v>
      </c>
      <c r="CS291" s="3">
        <f>(CS231-CR231)+CS119</f>
        <v>0</v>
      </c>
      <c r="CT291" s="3">
        <f>SUM(CP291:CS291)</f>
        <v>0</v>
      </c>
      <c r="CU291" s="3">
        <f>(CU231-CT231)+CU119</f>
        <v>0</v>
      </c>
      <c r="CV291" s="3">
        <f>(CV231-CU231)+CV119</f>
        <v>0</v>
      </c>
      <c r="CW291" s="3">
        <f>(CW231-CV231)+CW119</f>
        <v>0</v>
      </c>
      <c r="CX291" s="3">
        <f>(CX231-CW231)+CX119</f>
        <v>0</v>
      </c>
      <c r="CY291" s="3">
        <f>SUM(CU291:CX291)</f>
        <v>0</v>
      </c>
    </row>
    <row r="292">
      <c r="C292" s="28" t="inlineStr">
        <is>
          <t>Increases / (decreases) in debt</t>
        </is>
      </c>
      <c r="D292" s="3" t="n"/>
      <c r="E292" s="3">
        <f>SUM(E195:E197,E200,E221,E218)-SUM(D195:D197,D200,D221,D218)</f>
        <v>0</v>
      </c>
      <c r="F292" s="3">
        <f>SUM(F195:F197,F200,F221,F218)-SUM(E195:E197,E200,E221,E218)</f>
        <v>38126</v>
      </c>
      <c r="G292" s="3">
        <f>SUM(G195:G197,G200,G221,G218)-SUM(F195:F197,F200,F221,F218)</f>
        <v>-963</v>
      </c>
      <c r="H292" s="3">
        <f>SUM(D292:G292)</f>
        <v>37163</v>
      </c>
      <c r="I292" s="3">
        <f>SUM(I195:I197,I200,I221,I218)-SUM(H195:H197,H200,H221,H218)</f>
        <v>1017</v>
      </c>
      <c r="J292" s="3">
        <f>SUM(J195:J197,J200,J221,J218)-SUM(I195:I197,I200,I221,I218)</f>
        <v>-595</v>
      </c>
      <c r="K292" s="3">
        <f>SUM(K195:K197,K200,K221,K218)-SUM(J195:J197,J200,J221,J218)</f>
        <v>-801</v>
      </c>
      <c r="L292" s="3">
        <f>SUM(L195:L197,L200,L221,L218)-SUM(K195:K197,K200,K221,K218)</f>
        <v>1005</v>
      </c>
      <c r="M292" s="3">
        <f>SUM(I292:L292)</f>
        <v>626</v>
      </c>
      <c r="N292" s="3">
        <f>SUM(N195:N197,N200,N221,N218)-SUM(M195:M197,M200,M221,M218)</f>
        <v>-205</v>
      </c>
      <c r="O292" s="3">
        <f>SUM(O195:O197,O200,O221,O218)-SUM(N195:N197,N200,N221,N218)</f>
        <v>-622</v>
      </c>
      <c r="P292" s="3">
        <f>SUM(P195:P197,P200,P221,P218)-SUM(O195:O197,O200,O221,O218)</f>
        <v>-437</v>
      </c>
      <c r="Q292" s="3">
        <f>SUM(Q195:Q197,Q200,Q221,Q218)-SUM(P195:P197,P200,P221,P218)</f>
        <v>468</v>
      </c>
      <c r="R292" s="3">
        <f>SUM(N292:Q292)</f>
        <v>-796</v>
      </c>
      <c r="S292" s="3">
        <f>SUM(S195:S197,S200,S221,S218)-SUM(R195:R197,R200,R221,R218)</f>
        <v>45</v>
      </c>
      <c r="T292" s="3">
        <f>SUM(T195:T197,T200,T221,T218)-SUM(S195:S197,S200,S221,S218)</f>
        <v>661</v>
      </c>
      <c r="U292" s="3">
        <f>SUM(U195:U197,U200,U221,U218)-SUM(T195:T197,T200,T221,T218)</f>
        <v>-560</v>
      </c>
      <c r="V292" s="3">
        <f>SUM(V195:V197,V200,V221,V218)-SUM(U195:U197,U200,U221,U218)</f>
        <v>739</v>
      </c>
      <c r="W292" s="3">
        <f>SUM(S292:V292)</f>
        <v>885</v>
      </c>
      <c r="X292" s="3">
        <f>SUM(X195:X197,X200,X221,X218)-SUM(W195:W197,W200,W221,W218)</f>
        <v>-25</v>
      </c>
      <c r="Y292" s="3">
        <f>SUM(Y195:Y197,Y200,Y221,Y218)-SUM(X195:X197,X200,X221,X218)</f>
        <v>-542</v>
      </c>
      <c r="Z292" s="3">
        <f>SUM(Z195:Z197,Z200,Z221,Z218)-SUM(Y195:Y197,Y200,Y221,Y218)</f>
        <v>590</v>
      </c>
      <c r="AA292" s="3">
        <f>SUM(AA195:AA197,AA200,AA221,AA218)-SUM(Z195:Z197,Z200,Z221,Z218)</f>
        <v>508</v>
      </c>
      <c r="AB292" s="3">
        <f>SUM(X292:AA292)</f>
        <v>531</v>
      </c>
      <c r="AC292" s="3">
        <f>SUM(AC195:AC197,AC200,AC221,AC218)-SUM(AB195:AB197,AB200,AB221,AB218)</f>
        <v>179</v>
      </c>
      <c r="AD292" s="3">
        <f>SUM(AD195:AD197,AD200,AD221,AD218)-SUM(AC195:AC197,AC200,AC221,AC218)</f>
        <v>2160</v>
      </c>
      <c r="AE292" s="3">
        <f>SUM(AE195:AE197,AE200,AE221,AE218)-SUM(AD195:AD197,AD200,AD221,AD218)</f>
        <v>786</v>
      </c>
      <c r="AF292" s="3">
        <f>SUM(AF195:AF197,AF200,AF221,AF218)-SUM(AE195:AE197,AE200,AE221,AE218)</f>
        <v>1796</v>
      </c>
      <c r="AG292" s="3">
        <f>SUM(AC292:AF292)</f>
        <v>4921</v>
      </c>
      <c r="AH292" s="3">
        <f>SUM(AH195:AH197,AH200,AH221,AH218)-SUM(AG195:AG197,AG200,AG221,AG218)</f>
        <v>-264</v>
      </c>
      <c r="AI292" s="3">
        <f>SUM(AI195:AI197,AI200,AI221,AI218)-SUM(AH195:AH197,AH200,AH221,AH218)</f>
        <v>2080</v>
      </c>
      <c r="AJ292" s="3">
        <f>SUM(AJ195:AJ197,AJ200,AJ221,AJ218)-SUM(AI195:AI197,AI200,AI221,AI218)</f>
        <v>0</v>
      </c>
      <c r="AK292" s="3">
        <f>SUM(AK195:AK197,AK200,AK221,AK218)-SUM(AJ195:AJ197,AJ200,AJ221,AJ218)</f>
        <v>0</v>
      </c>
      <c r="AL292" s="3">
        <f>SUM(AH292:AK292)</f>
        <v>1816</v>
      </c>
      <c r="AM292" s="3">
        <f>SUM(AM195:AM197,AM200,AM221,AM218)-SUM(AL195:AL197,AL200,AL221,AL218)</f>
        <v>0</v>
      </c>
      <c r="AN292" s="3">
        <f>SUM(AN195:AN197,AN200,AN221,AN218)-SUM(AM195:AM197,AM200,AM221,AM218)</f>
        <v>0</v>
      </c>
      <c r="AO292" s="3">
        <f>SUM(AO195:AO197,AO200,AO221,AO218)-SUM(AN195:AN197,AN200,AN221,AN218)</f>
        <v>0</v>
      </c>
      <c r="AP292" s="3">
        <f>SUM(AP195:AP197,AP200,AP221,AP218)-SUM(AO195:AO197,AO200,AO221,AO218)</f>
        <v>0</v>
      </c>
      <c r="AQ292" s="3">
        <f>SUM(AM292:AP292)</f>
        <v>0</v>
      </c>
      <c r="AR292" s="3">
        <f>SUM(AR195:AR197,AR200,AR221,AR218)-SUM(AQ195:AQ197,AQ200,AQ221,AQ218)</f>
        <v>0</v>
      </c>
      <c r="AS292" s="3">
        <f>SUM(AS195:AS197,AS200,AS221,AS218)-SUM(AR195:AR197,AR200,AR221,AR218)</f>
        <v>0</v>
      </c>
      <c r="AT292" s="3">
        <f>SUM(AT195:AT197,AT200,AT221,AT218)-SUM(AS195:AS197,AS200,AS221,AS218)</f>
        <v>0</v>
      </c>
      <c r="AU292" s="3">
        <f>SUM(AU195:AU197,AU200,AU221,AU218)-SUM(AT195:AT197,AT200,AT221,AT218)</f>
        <v>0</v>
      </c>
      <c r="AV292" s="3">
        <f>SUM(AR292:AU292)</f>
        <v>0</v>
      </c>
      <c r="AW292" s="3">
        <f>SUM(AW195:AW197,AW200,AW221,AW218)-SUM(AV195:AV197,AV200,AV221,AV218)</f>
        <v>0</v>
      </c>
      <c r="AX292" s="3">
        <f>SUM(AX195:AX197,AX200,AX221,AX218)-SUM(AW195:AW197,AW200,AW221,AW218)</f>
        <v>0</v>
      </c>
      <c r="AY292" s="3">
        <f>SUM(AY195:AY197,AY200,AY221,AY218)-SUM(AX195:AX197,AX200,AX221,AX218)</f>
        <v>0</v>
      </c>
      <c r="AZ292" s="3">
        <f>SUM(AZ195:AZ197,AZ200,AZ221,AZ218)-SUM(AY195:AY197,AY200,AY221,AY218)</f>
        <v>0</v>
      </c>
      <c r="BA292" s="3">
        <f>SUM(AW292:AZ292)</f>
        <v>0</v>
      </c>
      <c r="BB292" s="3">
        <f>SUM(BB195:BB197,BB200,BB221,BB218)-SUM(BA195:BA197,BA200,BA221,BA218)</f>
        <v>0</v>
      </c>
      <c r="BC292" s="3">
        <f>SUM(BC195:BC197,BC200,BC221,BC218)-SUM(BB195:BB197,BB200,BB221,BB218)</f>
        <v>0</v>
      </c>
      <c r="BD292" s="3">
        <f>SUM(BD195:BD197,BD200,BD221,BD218)-SUM(BC195:BC197,BC200,BC221,BC218)</f>
        <v>0</v>
      </c>
      <c r="BE292" s="3">
        <f>SUM(BE195:BE197,BE200,BE221,BE218)-SUM(BD195:BD197,BD200,BD221,BD218)</f>
        <v>0</v>
      </c>
      <c r="BF292" s="3">
        <f>SUM(BB292:BE292)</f>
        <v>0</v>
      </c>
      <c r="BG292" s="3">
        <f>SUM(BG195:BG197,BG200,BG221,BG218)-SUM(BF195:BF197,BF200,BF221,BF218)</f>
        <v>0</v>
      </c>
      <c r="BH292" s="3">
        <f>SUM(BH195:BH197,BH200,BH221,BH218)-SUM(BG195:BG197,BG200,BG221,BG218)</f>
        <v>0</v>
      </c>
      <c r="BI292" s="3">
        <f>SUM(BI195:BI197,BI200,BI221,BI218)-SUM(BH195:BH197,BH200,BH221,BH218)</f>
        <v>0</v>
      </c>
      <c r="BJ292" s="3">
        <f>SUM(BJ195:BJ197,BJ200,BJ221,BJ218)-SUM(BI195:BI197,BI200,BI221,BI218)</f>
        <v>0</v>
      </c>
      <c r="BK292" s="3">
        <f>SUM(BG292:BJ292)</f>
        <v>0</v>
      </c>
      <c r="BL292" s="3">
        <f>SUM(BL195:BL197,BL200,BL221,BL218)-SUM(BK195:BK197,BK200,BK221,BK218)</f>
        <v>0</v>
      </c>
      <c r="BM292" s="3">
        <f>SUM(BM195:BM197,BM200,BM221,BM218)-SUM(BL195:BL197,BL200,BL221,BL218)</f>
        <v>0</v>
      </c>
      <c r="BN292" s="3">
        <f>SUM(BN195:BN197,BN200,BN221,BN218)-SUM(BM195:BM197,BM200,BM221,BM218)</f>
        <v>0</v>
      </c>
      <c r="BO292" s="3">
        <f>SUM(BO195:BO197,BO200,BO221,BO218)-SUM(BN195:BN197,BN200,BN221,BN218)</f>
        <v>0</v>
      </c>
      <c r="BP292" s="3">
        <f>SUM(BL292:BO292)</f>
        <v>0</v>
      </c>
      <c r="BQ292" s="3">
        <f>SUM(BQ195:BQ197,BQ200,BQ221,BQ218)-SUM(BP195:BP197,BP200,BP221,BP218)</f>
        <v>0</v>
      </c>
      <c r="BR292" s="3">
        <f>SUM(BR195:BR197,BR200,BR221,BR218)-SUM(BQ195:BQ197,BQ200,BQ221,BQ218)</f>
        <v>0</v>
      </c>
      <c r="BS292" s="3">
        <f>SUM(BS195:BS197,BS200,BS221,BS218)-SUM(BR195:BR197,BR200,BR221,BR218)</f>
        <v>0</v>
      </c>
      <c r="BT292" s="3">
        <f>SUM(BT195:BT197,BT200,BT221,BT218)-SUM(BS195:BS197,BS200,BS221,BS218)</f>
        <v>0</v>
      </c>
      <c r="BU292" s="3">
        <f>SUM(BQ292:BT292)</f>
        <v>0</v>
      </c>
      <c r="BV292" s="3">
        <f>SUM(BV195:BV197,BV200,BV221,BV218)-SUM(BU195:BU197,BU200,BU221,BU218)</f>
        <v>0</v>
      </c>
      <c r="BW292" s="3">
        <f>SUM(BW195:BW197,BW200,BW221,BW218)-SUM(BV195:BV197,BV200,BV221,BV218)</f>
        <v>0</v>
      </c>
      <c r="BX292" s="3">
        <f>SUM(BX195:BX197,BX200,BX221,BX218)-SUM(BW195:BW197,BW200,BW221,BW218)</f>
        <v>0</v>
      </c>
      <c r="BY292" s="3">
        <f>SUM(BY195:BY197,BY200,BY221,BY218)-SUM(BX195:BX197,BX200,BX221,BX218)</f>
        <v>0</v>
      </c>
      <c r="BZ292" s="3">
        <f>SUM(BV292:BY292)</f>
        <v>0</v>
      </c>
      <c r="CA292" s="3">
        <f>SUM(CA195:CA197,CA200,CA221,CA218)-SUM(BZ195:BZ197,BZ200,BZ221,BZ218)</f>
        <v>0</v>
      </c>
      <c r="CB292" s="3">
        <f>SUM(CB195:CB197,CB200,CB221,CB218)-SUM(CA195:CA197,CA200,CA221,CA218)</f>
        <v>0</v>
      </c>
      <c r="CC292" s="3">
        <f>SUM(CC195:CC197,CC200,CC221,CC218)-SUM(CB195:CB197,CB200,CB221,CB218)</f>
        <v>0</v>
      </c>
      <c r="CD292" s="3">
        <f>SUM(CD195:CD197,CD200,CD221,CD218)-SUM(CC195:CC197,CC200,CC221,CC218)</f>
        <v>0</v>
      </c>
      <c r="CE292" s="3">
        <f>SUM(CA292:CD292)</f>
        <v>0</v>
      </c>
      <c r="CF292" s="3">
        <f>SUM(CF195:CF197,CF200,CF221,CF218)-SUM(CE195:CE197,CE200,CE221,CE218)</f>
        <v>0</v>
      </c>
      <c r="CG292" s="3">
        <f>SUM(CG195:CG197,CG200,CG221,CG218)-SUM(CF195:CF197,CF200,CF221,CF218)</f>
        <v>0</v>
      </c>
      <c r="CH292" s="3">
        <f>SUM(CH195:CH197,CH200,CH221,CH218)-SUM(CG195:CG197,CG200,CG221,CG218)</f>
        <v>0</v>
      </c>
      <c r="CI292" s="3">
        <f>SUM(CI195:CI197,CI200,CI221,CI218)-SUM(CH195:CH197,CH200,CH221,CH218)</f>
        <v>0</v>
      </c>
      <c r="CJ292" s="3">
        <f>SUM(CF292:CI292)</f>
        <v>0</v>
      </c>
      <c r="CK292" s="3">
        <f>SUM(CK195:CK197,CK200,CK221,CK218)-SUM(CJ195:CJ197,CJ200,CJ221,CJ218)</f>
        <v>0</v>
      </c>
      <c r="CL292" s="3">
        <f>SUM(CL195:CL197,CL200,CL221,CL218)-SUM(CK195:CK197,CK200,CK221,CK218)</f>
        <v>0</v>
      </c>
      <c r="CM292" s="3">
        <f>SUM(CM195:CM197,CM200,CM221,CM218)-SUM(CL195:CL197,CL200,CL221,CL218)</f>
        <v>0</v>
      </c>
      <c r="CN292" s="3">
        <f>SUM(CN195:CN197,CN200,CN221,CN218)-SUM(CM195:CM197,CM200,CM221,CM218)</f>
        <v>0</v>
      </c>
      <c r="CO292" s="3">
        <f>SUM(CK292:CN292)</f>
        <v>0</v>
      </c>
      <c r="CP292" s="3">
        <f>SUM(CP195:CP197,CP200,CP221,CP218)-SUM(CO195:CO197,CO200,CO221,CO218)</f>
        <v>0</v>
      </c>
      <c r="CQ292" s="3">
        <f>SUM(CQ195:CQ197,CQ200,CQ221,CQ218)-SUM(CP195:CP197,CP200,CP221,CP218)</f>
        <v>0</v>
      </c>
      <c r="CR292" s="3">
        <f>SUM(CR195:CR197,CR200,CR221,CR218)-SUM(CQ195:CQ197,CQ200,CQ221,CQ218)</f>
        <v>0</v>
      </c>
      <c r="CS292" s="3">
        <f>SUM(CS195:CS197,CS200,CS221,CS218)-SUM(CR195:CR197,CR200,CR221,CR218)</f>
        <v>0</v>
      </c>
      <c r="CT292" s="3">
        <f>SUM(CP292:CS292)</f>
        <v>0</v>
      </c>
      <c r="CU292" s="3">
        <f>SUM(CU195:CU197,CU200,CU221,CU218)-SUM(CT195:CT197,CT200,CT221,CT218)</f>
        <v>0</v>
      </c>
      <c r="CV292" s="3">
        <f>SUM(CV195:CV197,CV200,CV221,CV218)-SUM(CU195:CU197,CU200,CU221,CU218)</f>
        <v>0</v>
      </c>
      <c r="CW292" s="3">
        <f>SUM(CW195:CW197,CW200,CW221,CW218)-SUM(CV195:CV197,CV200,CV221,CV218)</f>
        <v>0</v>
      </c>
      <c r="CX292" s="3">
        <f>SUM(CX195:CX197,CX200,CX221,CX218)-SUM(CW195:CW197,CW200,CW221,CW218)</f>
        <v>0</v>
      </c>
      <c r="CY292" s="3">
        <f>SUM(CU292:CX292)</f>
        <v>0</v>
      </c>
      <c r="CZ292" s="3" t="n"/>
      <c r="DA292" s="3" t="n"/>
      <c r="DB292" s="3" t="n"/>
      <c r="DC292" s="3" t="n"/>
    </row>
    <row r="293">
      <c r="C293" s="26" t="inlineStr">
        <is>
          <t>Cash from financing</t>
        </is>
      </c>
      <c r="D293" s="3" t="n"/>
      <c r="E293" s="3">
        <f>SUM(E285,E286,E287,E288,E289,E290,E291,E292)</f>
        <v>-921</v>
      </c>
      <c r="F293" s="3">
        <f>SUM(F285,F286,F287,F288,F289,F290,F291,F292)</f>
        <v>38672</v>
      </c>
      <c r="G293" s="3">
        <f>SUM(G285,G286,G287,G288,G289,G290,G291,G292)</f>
        <v>-1359</v>
      </c>
      <c r="H293" s="3">
        <f>SUM(H285,H286,H287,H288,H289,H290,H291,H292)</f>
        <v>36392</v>
      </c>
      <c r="I293" s="3">
        <f>SUM(I285,I286,I287,I288,I289,I290,I291,I292)</f>
        <v>725</v>
      </c>
      <c r="J293" s="3">
        <f>SUM(J285,J286,J287,J288,J289,J290,J291,J292)</f>
        <v>-1746</v>
      </c>
      <c r="K293" s="3">
        <f>SUM(K285,K286,K287,K288,K289,K290,K291,K292)</f>
        <v>-2414</v>
      </c>
      <c r="L293" s="3">
        <f>SUM(L285,L286,L287,L288,L289,L290,L291,L292)</f>
        <v>-1294</v>
      </c>
      <c r="M293" s="3">
        <f>SUM(M285,M286,M287,M288,M289,M290,M291,M292)</f>
        <v>-4729</v>
      </c>
      <c r="N293" s="3">
        <f>SUM(N285,N286,N287,N288,N289,N290,N291,N292)</f>
        <v>-1161</v>
      </c>
      <c r="O293" s="3">
        <f>SUM(O285,O286,O287,O288,O289,O290,O291,O292)</f>
        <v>-3633</v>
      </c>
      <c r="P293" s="3">
        <f>SUM(P285,P286,P287,P288,P289,P290,P291,P292)</f>
        <v>-2614</v>
      </c>
      <c r="Q293" s="3">
        <f>SUM(Q285,Q286,Q287,Q288,Q289,Q290,Q291,Q292)</f>
        <v>-717</v>
      </c>
      <c r="R293" s="3">
        <f>SUM(R285,R286,R287,R288,R289,R290,R291,R292)</f>
        <v>-8125</v>
      </c>
      <c r="S293" s="3">
        <f>SUM(S285,S286,S287,S288,S289,S290,S291,S292)</f>
        <v>382</v>
      </c>
      <c r="T293" s="3">
        <f>SUM(T285,T286,T287,T288,T289,T290,T291,T292)</f>
        <v>-2177</v>
      </c>
      <c r="U293" s="3">
        <f>SUM(U285,U286,U287,U288,U289,U290,U291,U292)</f>
        <v>-1102</v>
      </c>
      <c r="V293" s="3">
        <f>SUM(V285,V286,V287,V288,V289,V290,V291,V292)</f>
        <v>-2938</v>
      </c>
      <c r="W293" s="3">
        <f>SUM(W285,W286,W287,W288,W289,W290,W291,W292)</f>
        <v>-5835</v>
      </c>
      <c r="X293" s="3">
        <f>SUM(X285,X286,X287,X288,X289,X290,X291,X292)</f>
        <v>-4737</v>
      </c>
      <c r="Y293" s="3">
        <f>SUM(Y285,Y286,Y287,Y288,Y289,Y290,Y291,Y292)</f>
        <v>-3732</v>
      </c>
      <c r="Z293" s="3">
        <f>SUM(Z285,Z286,Z287,Z288,Z289,Z290,Z291,Z292)</f>
        <v>394</v>
      </c>
      <c r="AA293" s="3">
        <f>SUM(AA285,AA286,AA287,AA288,AA289,AA290,AA291,AA292)</f>
        <v>-2191</v>
      </c>
      <c r="AB293" s="3">
        <f>SUM(AB285,AB286,AB287,AB288,AB289,AB290,AB291,AB292)</f>
        <v>-10266</v>
      </c>
      <c r="AC293" s="3">
        <f>SUM(AC285,AC286,AC287,AC288,AC289,AC290,AC291,AC292)</f>
        <v>-3248</v>
      </c>
      <c r="AD293" s="3">
        <f>SUM(AD285,AD286,AD287,AD288,AD289,AD290,AD291,AD292)</f>
        <v>574</v>
      </c>
      <c r="AE293" s="3">
        <f>SUM(AE285,AE286,AE287,AE288,AE289,AE290,AE291,AE292)</f>
        <v>483</v>
      </c>
      <c r="AF293" s="3">
        <f>SUM(AF285,AF286,AF287,AF288,AF289,AF290,AF291,AF292)</f>
        <v>54</v>
      </c>
      <c r="AG293" s="3">
        <f>SUM(AG285,AG286,AG287,AG288,AG289,AG290,AG291,AG292)</f>
        <v>-2137</v>
      </c>
      <c r="AH293" s="3">
        <f>SUM(AH285,AH286,AH287,AH288,AH289,AH290,AH291,AH292)</f>
        <v>-5470</v>
      </c>
      <c r="AI293" s="3">
        <f>SUM(AI285,AI286,AI287,AI288,AI289,AI290,AI291,AI292)</f>
        <v>-779</v>
      </c>
      <c r="AJ293" s="3">
        <f>SUM(AJ285,AJ286,AJ287,AJ288,AJ289,AJ290,AJ291,AJ292)</f>
        <v>0</v>
      </c>
      <c r="AK293" s="3">
        <f>SUM(AK285,AK286,AK287,AK288,AK289,AK290,AK291,AK292)</f>
        <v>0</v>
      </c>
      <c r="AL293" s="3">
        <f>SUM(AL285,AL286,AL287,AL288,AL289,AL290,AL291,AL292)</f>
        <v>-6249</v>
      </c>
      <c r="AM293" s="3">
        <f>SUM(AM285,AM286,AM287,AM288,AM289,AM290,AM291,AM292)</f>
        <v>0</v>
      </c>
      <c r="AN293" s="3">
        <f>SUM(AN285,AN286,AN287,AN288,AN289,AN290,AN291,AN292)</f>
        <v>0</v>
      </c>
      <c r="AO293" s="3">
        <f>SUM(AO285,AO286,AO287,AO288,AO289,AO290,AO291,AO292)</f>
        <v>0</v>
      </c>
      <c r="AP293" s="3">
        <f>SUM(AP285,AP286,AP287,AP288,AP289,AP290,AP291,AP292)</f>
        <v>0</v>
      </c>
      <c r="AQ293" s="3">
        <f>SUM(AQ285,AQ286,AQ287,AQ288,AQ289,AQ290,AQ291,AQ292)</f>
        <v>0</v>
      </c>
      <c r="AR293" s="3">
        <f>SUM(AR285,AR286,AR287,AR288,AR289,AR290,AR291,AR292)</f>
        <v>0</v>
      </c>
      <c r="AS293" s="3">
        <f>SUM(AS285,AS286,AS287,AS288,AS289,AS290,AS291,AS292)</f>
        <v>0</v>
      </c>
      <c r="AT293" s="3">
        <f>SUM(AT285,AT286,AT287,AT288,AT289,AT290,AT291,AT292)</f>
        <v>0</v>
      </c>
      <c r="AU293" s="3">
        <f>SUM(AU285,AU286,AU287,AU288,AU289,AU290,AU291,AU292)</f>
        <v>0</v>
      </c>
      <c r="AV293" s="3">
        <f>SUM(AV285,AV286,AV287,AV288,AV289,AV290,AV291,AV292)</f>
        <v>0</v>
      </c>
      <c r="AW293" s="3">
        <f>SUM(AW285,AW286,AW287,AW288,AW289,AW290,AW291,AW292)</f>
        <v>0</v>
      </c>
      <c r="AX293" s="3">
        <f>SUM(AX285,AX286,AX287,AX288,AX289,AX290,AX291,AX292)</f>
        <v>0</v>
      </c>
      <c r="AY293" s="3">
        <f>SUM(AY285,AY286,AY287,AY288,AY289,AY290,AY291,AY292)</f>
        <v>0</v>
      </c>
      <c r="AZ293" s="3">
        <f>SUM(AZ285,AZ286,AZ287,AZ288,AZ289,AZ290,AZ291,AZ292)</f>
        <v>0</v>
      </c>
      <c r="BA293" s="3">
        <f>SUM(BA285,BA286,BA287,BA288,BA289,BA290,BA291,BA292)</f>
        <v>0</v>
      </c>
      <c r="BB293" s="3">
        <f>SUM(BB285,BB286,BB287,BB288,BB289,BB290,BB291,BB292)</f>
        <v>0</v>
      </c>
      <c r="BC293" s="3">
        <f>SUM(BC285,BC286,BC287,BC288,BC289,BC290,BC291,BC292)</f>
        <v>0</v>
      </c>
      <c r="BD293" s="3">
        <f>SUM(BD285,BD286,BD287,BD288,BD289,BD290,BD291,BD292)</f>
        <v>0</v>
      </c>
      <c r="BE293" s="3">
        <f>SUM(BE285,BE286,BE287,BE288,BE289,BE290,BE291,BE292)</f>
        <v>0</v>
      </c>
      <c r="BF293" s="3">
        <f>SUM(BF285,BF286,BF287,BF288,BF289,BF290,BF291,BF292)</f>
        <v>0</v>
      </c>
      <c r="BG293" s="3">
        <f>SUM(BG285,BG286,BG287,BG288,BG289,BG290,BG291,BG292)</f>
        <v>0</v>
      </c>
      <c r="BH293" s="3">
        <f>SUM(BH285,BH286,BH287,BH288,BH289,BH290,BH291,BH292)</f>
        <v>0</v>
      </c>
      <c r="BI293" s="3">
        <f>SUM(BI285,BI286,BI287,BI288,BI289,BI290,BI291,BI292)</f>
        <v>0</v>
      </c>
      <c r="BJ293" s="3">
        <f>SUM(BJ285,BJ286,BJ287,BJ288,BJ289,BJ290,BJ291,BJ292)</f>
        <v>0</v>
      </c>
      <c r="BK293" s="3">
        <f>SUM(BK285,BK286,BK287,BK288,BK289,BK290,BK291,BK292)</f>
        <v>0</v>
      </c>
      <c r="BL293" s="3">
        <f>SUM(BL285,BL286,BL287,BL288,BL289,BL290,BL291,BL292)</f>
        <v>0</v>
      </c>
      <c r="BM293" s="3">
        <f>SUM(BM285,BM286,BM287,BM288,BM289,BM290,BM291,BM292)</f>
        <v>0</v>
      </c>
      <c r="BN293" s="3">
        <f>SUM(BN285,BN286,BN287,BN288,BN289,BN290,BN291,BN292)</f>
        <v>0</v>
      </c>
      <c r="BO293" s="3">
        <f>SUM(BO285,BO286,BO287,BO288,BO289,BO290,BO291,BO292)</f>
        <v>0</v>
      </c>
      <c r="BP293" s="3">
        <f>SUM(BP285,BP286,BP287,BP288,BP289,BP290,BP291,BP292)</f>
        <v>0</v>
      </c>
      <c r="BQ293" s="3">
        <f>SUM(BQ285,BQ286,BQ287,BQ288,BQ289,BQ290,BQ291,BQ292)</f>
        <v>0</v>
      </c>
      <c r="BR293" s="3">
        <f>SUM(BR285,BR286,BR287,BR288,BR289,BR290,BR291,BR292)</f>
        <v>0</v>
      </c>
      <c r="BS293" s="3">
        <f>SUM(BS285,BS286,BS287,BS288,BS289,BS290,BS291,BS292)</f>
        <v>0</v>
      </c>
      <c r="BT293" s="3">
        <f>SUM(BT285,BT286,BT287,BT288,BT289,BT290,BT291,BT292)</f>
        <v>0</v>
      </c>
      <c r="BU293" s="3">
        <f>SUM(BU285,BU286,BU287,BU288,BU289,BU290,BU291,BU292)</f>
        <v>0</v>
      </c>
      <c r="BV293" s="3">
        <f>SUM(BV285,BV286,BV287,BV288,BV289,BV290,BV291,BV292)</f>
        <v>0</v>
      </c>
      <c r="BW293" s="3">
        <f>SUM(BW285,BW286,BW287,BW288,BW289,BW290,BW291,BW292)</f>
        <v>0</v>
      </c>
      <c r="BX293" s="3">
        <f>SUM(BX285,BX286,BX287,BX288,BX289,BX290,BX291,BX292)</f>
        <v>0</v>
      </c>
      <c r="BY293" s="3">
        <f>SUM(BY285,BY286,BY287,BY288,BY289,BY290,BY291,BY292)</f>
        <v>0</v>
      </c>
      <c r="BZ293" s="3">
        <f>SUM(BZ285,BZ286,BZ287,BZ288,BZ289,BZ290,BZ291,BZ292)</f>
        <v>0</v>
      </c>
      <c r="CA293" s="3">
        <f>SUM(CA285,CA286,CA287,CA288,CA289,CA290,CA291,CA292)</f>
        <v>0</v>
      </c>
      <c r="CB293" s="3">
        <f>SUM(CB285,CB286,CB287,CB288,CB289,CB290,CB291,CB292)</f>
        <v>0</v>
      </c>
      <c r="CC293" s="3">
        <f>SUM(CC285,CC286,CC287,CC288,CC289,CC290,CC291,CC292)</f>
        <v>0</v>
      </c>
      <c r="CD293" s="3">
        <f>SUM(CD285,CD286,CD287,CD288,CD289,CD290,CD291,CD292)</f>
        <v>0</v>
      </c>
      <c r="CE293" s="3">
        <f>SUM(CE285,CE286,CE287,CE288,CE289,CE290,CE291,CE292)</f>
        <v>0</v>
      </c>
      <c r="CF293" s="3">
        <f>SUM(CF285,CF286,CF287,CF288,CF289,CF290,CF291,CF292)</f>
        <v>0</v>
      </c>
      <c r="CG293" s="3">
        <f>SUM(CG285,CG286,CG287,CG288,CG289,CG290,CG291,CG292)</f>
        <v>0</v>
      </c>
      <c r="CH293" s="3">
        <f>SUM(CH285,CH286,CH287,CH288,CH289,CH290,CH291,CH292)</f>
        <v>0</v>
      </c>
      <c r="CI293" s="3">
        <f>SUM(CI285,CI286,CI287,CI288,CI289,CI290,CI291,CI292)</f>
        <v>0</v>
      </c>
      <c r="CJ293" s="3">
        <f>SUM(CJ285,CJ286,CJ287,CJ288,CJ289,CJ290,CJ291,CJ292)</f>
        <v>0</v>
      </c>
      <c r="CK293" s="3">
        <f>SUM(CK285,CK286,CK287,CK288,CK289,CK290,CK291,CK292)</f>
        <v>0</v>
      </c>
      <c r="CL293" s="3">
        <f>SUM(CL285,CL286,CL287,CL288,CL289,CL290,CL291,CL292)</f>
        <v>0</v>
      </c>
      <c r="CM293" s="3">
        <f>SUM(CM285,CM286,CM287,CM288,CM289,CM290,CM291,CM292)</f>
        <v>0</v>
      </c>
      <c r="CN293" s="3">
        <f>SUM(CN285,CN286,CN287,CN288,CN289,CN290,CN291,CN292)</f>
        <v>0</v>
      </c>
      <c r="CO293" s="3">
        <f>SUM(CO285,CO286,CO287,CO288,CO289,CO290,CO291,CO292)</f>
        <v>0</v>
      </c>
      <c r="CP293" s="3">
        <f>SUM(CP285,CP286,CP287,CP288,CP289,CP290,CP291,CP292)</f>
        <v>0</v>
      </c>
      <c r="CQ293" s="3">
        <f>SUM(CQ285,CQ286,CQ287,CQ288,CQ289,CQ290,CQ291,CQ292)</f>
        <v>0</v>
      </c>
      <c r="CR293" s="3">
        <f>SUM(CR285,CR286,CR287,CR288,CR289,CR290,CR291,CR292)</f>
        <v>0</v>
      </c>
      <c r="CS293" s="3">
        <f>SUM(CS285,CS286,CS287,CS288,CS289,CS290,CS291,CS292)</f>
        <v>0</v>
      </c>
      <c r="CT293" s="3">
        <f>SUM(CT285,CT286,CT287,CT288,CT289,CT290,CT291,CT292)</f>
        <v>0</v>
      </c>
      <c r="CU293" s="3">
        <f>SUM(CU285,CU286,CU287,CU288,CU289,CU290,CU291,CU292)</f>
        <v>0</v>
      </c>
      <c r="CV293" s="3">
        <f>SUM(CV285,CV286,CV287,CV288,CV289,CV290,CV291,CV292)</f>
        <v>0</v>
      </c>
      <c r="CW293" s="3">
        <f>SUM(CW285,CW286,CW287,CW288,CW289,CW290,CW291,CW292)</f>
        <v>0</v>
      </c>
      <c r="CX293" s="3">
        <f>SUM(CX285,CX286,CX287,CX288,CX289,CX290,CX291,CX292)</f>
        <v>0</v>
      </c>
      <c r="CY293" s="3">
        <f>SUM(CY285,CY286,CY287,CY288,CY289,CY290,CY291,CY292)</f>
        <v>0</v>
      </c>
    </row>
    <row r="294">
      <c r="C294" s="26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  <c r="CG294" s="3" t="n"/>
      <c r="CH294" s="3" t="n"/>
      <c r="CI294" s="3" t="n"/>
      <c r="CJ294" s="3" t="n"/>
      <c r="CK294" s="3" t="n"/>
      <c r="CL294" s="3" t="n"/>
      <c r="CM294" s="3" t="n"/>
      <c r="CN294" s="3" t="n"/>
      <c r="CO294" s="3" t="n"/>
      <c r="CP294" s="3" t="n"/>
      <c r="CQ294" s="3" t="n"/>
      <c r="CR294" s="3" t="n"/>
      <c r="CS294" s="3" t="n"/>
      <c r="CT294" s="3" t="n"/>
      <c r="CU294" s="3" t="n"/>
      <c r="CV294" s="3" t="n"/>
      <c r="CW294" s="3" t="n"/>
      <c r="CX294" s="3" t="n"/>
      <c r="CY294" s="3" t="n"/>
    </row>
    <row r="295">
      <c r="C295" s="26" t="inlineStr">
        <is>
          <t>Others</t>
        </is>
      </c>
      <c r="D295" s="3" t="n"/>
      <c r="E295" s="3" t="n"/>
      <c r="F295" s="3" t="n"/>
      <c r="G295" s="3" t="n"/>
      <c r="H295" s="3">
        <f>SUM(D295:G295)</f>
        <v>0</v>
      </c>
      <c r="I295" s="3" t="n"/>
      <c r="J295" s="3" t="n"/>
      <c r="K295" s="3" t="n"/>
      <c r="L295" s="3" t="n"/>
      <c r="M295" s="3">
        <f>SUM(I295:L295)</f>
        <v>0</v>
      </c>
      <c r="N295" s="3" t="n"/>
      <c r="O295" s="3" t="n"/>
      <c r="P295" s="3" t="n"/>
      <c r="Q295" s="3" t="n"/>
      <c r="R295" s="3">
        <f>SUM(N295:Q295)</f>
        <v>0</v>
      </c>
      <c r="S295" s="3" t="n"/>
      <c r="T295" s="3" t="n"/>
      <c r="U295" s="3" t="n"/>
      <c r="V295" s="3" t="n"/>
      <c r="W295" s="3">
        <f>SUM(S295:V295)</f>
        <v>0</v>
      </c>
      <c r="X295" s="3" t="n"/>
      <c r="Y295" s="3" t="n"/>
      <c r="Z295" s="3" t="n"/>
      <c r="AA295" s="3" t="n"/>
      <c r="AB295" s="3">
        <f>SUM(X295:AA295)</f>
        <v>0</v>
      </c>
      <c r="AC295" s="3" t="n"/>
      <c r="AD295" s="3" t="n"/>
      <c r="AE295" s="3" t="n"/>
      <c r="AF295" s="3" t="n"/>
      <c r="AG295" s="3">
        <f>SUM(AC295:AF295)</f>
        <v>0</v>
      </c>
      <c r="AH295" s="3" t="n"/>
      <c r="AI295" s="3" t="n"/>
      <c r="AJ295" s="3" t="n"/>
      <c r="AK295" s="3" t="n"/>
      <c r="AL295" s="3">
        <f>SUM(AH295:AK295)</f>
        <v>0</v>
      </c>
      <c r="AM295" s="3" t="n"/>
      <c r="AN295" s="3" t="n"/>
      <c r="AO295" s="3" t="n"/>
      <c r="AP295" s="3" t="n"/>
      <c r="AQ295" s="3">
        <f>SUM(AM295:AP295)</f>
        <v>0</v>
      </c>
      <c r="AR295" s="3" t="n"/>
      <c r="AS295" s="3" t="n"/>
      <c r="AT295" s="3" t="n"/>
      <c r="AU295" s="3" t="n"/>
      <c r="AV295" s="3">
        <f>SUM(AR295:AU295)</f>
        <v>0</v>
      </c>
      <c r="AW295" s="3" t="n"/>
      <c r="AX295" s="3" t="n"/>
      <c r="AY295" s="3" t="n"/>
      <c r="AZ295" s="3" t="n"/>
      <c r="BA295" s="3">
        <f>SUM(AW295:AZ295)</f>
        <v>0</v>
      </c>
      <c r="BB295" s="3" t="n"/>
      <c r="BC295" s="3" t="n"/>
      <c r="BD295" s="3" t="n"/>
      <c r="BE295" s="3" t="n"/>
      <c r="BF295" s="3">
        <f>SUM(BB295:BE295)</f>
        <v>0</v>
      </c>
      <c r="BG295" s="3" t="n"/>
      <c r="BH295" s="3" t="n"/>
      <c r="BI295" s="3" t="n"/>
      <c r="BJ295" s="3" t="n"/>
      <c r="BK295" s="3">
        <f>SUM(BG295:BJ295)</f>
        <v>0</v>
      </c>
      <c r="BL295" s="3" t="n"/>
      <c r="BM295" s="3" t="n"/>
      <c r="BN295" s="3" t="n"/>
      <c r="BO295" s="3" t="n"/>
      <c r="BP295" s="3">
        <f>SUM(BL295:BO295)</f>
        <v>0</v>
      </c>
      <c r="BQ295" s="3" t="n"/>
      <c r="BR295" s="3" t="n"/>
      <c r="BS295" s="3" t="n"/>
      <c r="BT295" s="3" t="n"/>
      <c r="BU295" s="3">
        <f>SUM(BQ295:BT295)</f>
        <v>0</v>
      </c>
      <c r="BV295" s="3" t="n"/>
      <c r="BW295" s="3" t="n"/>
      <c r="BX295" s="3" t="n"/>
      <c r="BY295" s="3" t="n"/>
      <c r="BZ295" s="3">
        <f>SUM(BV295:BY295)</f>
        <v>0</v>
      </c>
      <c r="CA295" s="3" t="n"/>
      <c r="CB295" s="3" t="n"/>
      <c r="CC295" s="3" t="n"/>
      <c r="CD295" s="3" t="n"/>
      <c r="CE295" s="3">
        <f>SUM(CA295:CD295)</f>
        <v>0</v>
      </c>
      <c r="CF295" s="3" t="n"/>
      <c r="CG295" s="3" t="n"/>
      <c r="CH295" s="3" t="n"/>
      <c r="CI295" s="3" t="n"/>
      <c r="CJ295" s="3">
        <f>SUM(CF295:CI295)</f>
        <v>0</v>
      </c>
      <c r="CK295" s="3" t="n"/>
      <c r="CL295" s="3" t="n"/>
      <c r="CM295" s="3" t="n"/>
      <c r="CN295" s="3" t="n"/>
      <c r="CO295" s="3">
        <f>SUM(CK295:CN295)</f>
        <v>0</v>
      </c>
      <c r="CP295" s="3" t="n"/>
      <c r="CQ295" s="3" t="n"/>
      <c r="CR295" s="3" t="n"/>
      <c r="CS295" s="3" t="n"/>
      <c r="CT295" s="3">
        <f>SUM(CP295:CS295)</f>
        <v>0</v>
      </c>
      <c r="CU295" s="3" t="n"/>
      <c r="CV295" s="3" t="n"/>
      <c r="CW295" s="3" t="n"/>
      <c r="CX295" s="3" t="n"/>
      <c r="CY295" s="3">
        <f>SUM(CU295:CX295)</f>
        <v>0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6" t="inlineStr">
        <is>
          <t>Total increase/decrease of cash</t>
        </is>
      </c>
      <c r="D297" s="3" t="n"/>
      <c r="E297" s="3">
        <f>SUM(E276,E283,E293,E295)</f>
        <v>1661</v>
      </c>
      <c r="F297" s="3">
        <f>SUM(F276,F283,F293,F295)</f>
        <v>531</v>
      </c>
      <c r="G297" s="3">
        <f>SUM(G276,G283,G293,G295)</f>
        <v>37</v>
      </c>
      <c r="H297" s="3">
        <f>SUM(D297:G297)</f>
        <v>2229</v>
      </c>
      <c r="I297" s="3">
        <f>SUM(I276,I283,I293,I295)</f>
        <v>1990</v>
      </c>
      <c r="J297" s="3">
        <f>SUM(J276,J283,J293,J295)</f>
        <v>-511</v>
      </c>
      <c r="K297" s="3">
        <f>SUM(K276,K283,K293,K295)</f>
        <v>-1385</v>
      </c>
      <c r="L297" s="3">
        <f>SUM(L276,L283,L293,L295)</f>
        <v>-192</v>
      </c>
      <c r="M297" s="3">
        <f>SUM(I297:L297)</f>
        <v>-98</v>
      </c>
      <c r="N297" s="3">
        <f>SUM(N276,N283,N293,N295)</f>
        <v>-2728</v>
      </c>
      <c r="O297" s="3">
        <f>SUM(O276,O283,O293,O295)</f>
        <v>-512</v>
      </c>
      <c r="P297" s="3">
        <f>SUM(P276,P283,P293,P295)</f>
        <v>332</v>
      </c>
      <c r="Q297" s="3">
        <f>SUM(Q276,Q283,Q293,Q295)</f>
        <v>658</v>
      </c>
      <c r="R297" s="3">
        <f>SUM(N297:Q297)</f>
        <v>-2250</v>
      </c>
      <c r="S297" s="3">
        <f>SUM(S276,S283,S293,S295)</f>
        <v>-215</v>
      </c>
      <c r="T297" s="3">
        <f>SUM(T276,T283,T293,T295)</f>
        <v>598</v>
      </c>
      <c r="U297" s="3">
        <f>SUM(U276,U283,U293,U295)</f>
        <v>-842</v>
      </c>
      <c r="V297" s="3">
        <f>SUM(V276,V283,V293,V295)</f>
        <v>433</v>
      </c>
      <c r="W297" s="3">
        <f>SUM(S297:V297)</f>
        <v>-26</v>
      </c>
      <c r="X297" s="3">
        <f>SUM(X276,X283,X293,X295)</f>
        <v>-2019</v>
      </c>
      <c r="Y297" s="3">
        <f>SUM(Y276,Y283,Y293,Y295)</f>
        <v>-618</v>
      </c>
      <c r="Z297" s="3">
        <f>SUM(Z276,Z283,Z293,Z295)</f>
        <v>1297</v>
      </c>
      <c r="AA297" s="3">
        <f>SUM(AA276,AA283,AA293,AA295)</f>
        <v>1251</v>
      </c>
      <c r="AB297" s="3">
        <f>SUM(X297:AA297)</f>
        <v>-89</v>
      </c>
      <c r="AC297" s="3">
        <f>SUM(AC276,AC283,AC293,AC295)</f>
        <v>-3327</v>
      </c>
      <c r="AD297" s="3">
        <f>SUM(AD276,AD283,AD293,AD295)</f>
        <v>1880</v>
      </c>
      <c r="AE297" s="3">
        <f>SUM(AE276,AE283,AE293,AE295)</f>
        <v>2096</v>
      </c>
      <c r="AF297" s="3">
        <f>SUM(AF276,AF283,AF293,AF295)</f>
        <v>2442</v>
      </c>
      <c r="AG297" s="3">
        <f>SUM(AC297:AF297)</f>
        <v>3091</v>
      </c>
      <c r="AH297" s="3">
        <f>SUM(AH276,AH283,AH293,AH295)</f>
        <v>-5908</v>
      </c>
      <c r="AI297" s="3">
        <f>SUM(AI276,AI283,AI293,AI295)</f>
        <v>2641</v>
      </c>
      <c r="AJ297" s="3">
        <f>SUM(AJ276,AJ283,AJ293,AJ295)</f>
        <v>16075</v>
      </c>
      <c r="AK297" s="3">
        <f>SUM(AK276,AK283,AK293,AK295)</f>
        <v>263</v>
      </c>
      <c r="AL297" s="3">
        <f>SUM(AH297:AK297)</f>
        <v>13071</v>
      </c>
      <c r="AM297" s="3" t="e">
        <f>SUM(AM276,AM283,AM293,AM295)</f>
        <v>#DIV/0!</v>
      </c>
      <c r="AN297" s="3" t="e">
        <f>SUM(AN276,AN283,AN293,AN295)</f>
        <v>#DIV/0!</v>
      </c>
      <c r="AO297" s="3" t="e">
        <f>SUM(AO276,AO283,AO293,AO295)</f>
        <v>#DIV/0!</v>
      </c>
      <c r="AP297" s="3" t="e">
        <f>SUM(AP276,AP283,AP293,AP295)</f>
        <v>#DIV/0!</v>
      </c>
      <c r="AQ297" s="3" t="e">
        <f>SUM(AM297:AP297)</f>
        <v>#DIV/0!</v>
      </c>
      <c r="AR297" s="3" t="e">
        <f>SUM(AR276,AR283,AR293,AR295)</f>
        <v>#DIV/0!</v>
      </c>
      <c r="AS297" s="3" t="e">
        <f>SUM(AS276,AS283,AS293,AS295)</f>
        <v>#DIV/0!</v>
      </c>
      <c r="AT297" s="3" t="e">
        <f>SUM(AT276,AT283,AT293,AT295)</f>
        <v>#DIV/0!</v>
      </c>
      <c r="AU297" s="3" t="e">
        <f>SUM(AU276,AU283,AU293,AU295)</f>
        <v>#DIV/0!</v>
      </c>
      <c r="AV297" s="3" t="e">
        <f>SUM(AR297:AU297)</f>
        <v>#DIV/0!</v>
      </c>
      <c r="AW297" s="3" t="e">
        <f>SUM(AW276,AW283,AW293,AW295)</f>
        <v>#DIV/0!</v>
      </c>
      <c r="AX297" s="3" t="e">
        <f>SUM(AX276,AX283,AX293,AX295)</f>
        <v>#DIV/0!</v>
      </c>
      <c r="AY297" s="3" t="e">
        <f>SUM(AY276,AY283,AY293,AY295)</f>
        <v>#DIV/0!</v>
      </c>
      <c r="AZ297" s="3" t="e">
        <f>SUM(AZ276,AZ283,AZ293,AZ295)</f>
        <v>#DIV/0!</v>
      </c>
      <c r="BA297" s="3" t="e">
        <f>SUM(AW297:AZ297)</f>
        <v>#DIV/0!</v>
      </c>
      <c r="BB297" s="3" t="e">
        <f>SUM(BB276,BB283,BB293,BB295)</f>
        <v>#DIV/0!</v>
      </c>
      <c r="BC297" s="3" t="e">
        <f>SUM(BC276,BC283,BC293,BC295)</f>
        <v>#DIV/0!</v>
      </c>
      <c r="BD297" s="3" t="e">
        <f>SUM(BD276,BD283,BD293,BD295)</f>
        <v>#DIV/0!</v>
      </c>
      <c r="BE297" s="3" t="e">
        <f>SUM(BE276,BE283,BE293,BE295)</f>
        <v>#DIV/0!</v>
      </c>
      <c r="BF297" s="3" t="e">
        <f>SUM(BB297:BE297)</f>
        <v>#DIV/0!</v>
      </c>
      <c r="BG297" s="3" t="e">
        <f>SUM(BG276,BG283,BG293,BG295)</f>
        <v>#DIV/0!</v>
      </c>
      <c r="BH297" s="3" t="e">
        <f>SUM(BH276,BH283,BH293,BH295)</f>
        <v>#DIV/0!</v>
      </c>
      <c r="BI297" s="3" t="e">
        <f>SUM(BI276,BI283,BI293,BI295)</f>
        <v>#DIV/0!</v>
      </c>
      <c r="BJ297" s="3" t="e">
        <f>SUM(BJ276,BJ283,BJ293,BJ295)</f>
        <v>#DIV/0!</v>
      </c>
      <c r="BK297" s="3" t="e">
        <f>SUM(BG297:BJ297)</f>
        <v>#DIV/0!</v>
      </c>
      <c r="BL297" s="3" t="e">
        <f>SUM(BL276,BL283,BL293,BL295)</f>
        <v>#DIV/0!</v>
      </c>
      <c r="BM297" s="3" t="e">
        <f>SUM(BM276,BM283,BM293,BM295)</f>
        <v>#DIV/0!</v>
      </c>
      <c r="BN297" s="3" t="e">
        <f>SUM(BN276,BN283,BN293,BN295)</f>
        <v>#DIV/0!</v>
      </c>
      <c r="BO297" s="3" t="e">
        <f>SUM(BO276,BO283,BO293,BO295)</f>
        <v>#DIV/0!</v>
      </c>
      <c r="BP297" s="3" t="e">
        <f>SUM(BL297:BO297)</f>
        <v>#DIV/0!</v>
      </c>
      <c r="BQ297" s="3" t="e">
        <f>SUM(BQ276,BQ283,BQ293,BQ295)</f>
        <v>#DIV/0!</v>
      </c>
      <c r="BR297" s="3" t="e">
        <f>SUM(BR276,BR283,BR293,BR295)</f>
        <v>#DIV/0!</v>
      </c>
      <c r="BS297" s="3" t="e">
        <f>SUM(BS276,BS283,BS293,BS295)</f>
        <v>#DIV/0!</v>
      </c>
      <c r="BT297" s="3" t="e">
        <f>SUM(BT276,BT283,BT293,BT295)</f>
        <v>#DIV/0!</v>
      </c>
      <c r="BU297" s="3" t="e">
        <f>SUM(BQ297:BT297)</f>
        <v>#DIV/0!</v>
      </c>
      <c r="BV297" s="3" t="e">
        <f>SUM(BV276,BV283,BV293,BV295)</f>
        <v>#DIV/0!</v>
      </c>
      <c r="BW297" s="3" t="e">
        <f>SUM(BW276,BW283,BW293,BW295)</f>
        <v>#DIV/0!</v>
      </c>
      <c r="BX297" s="3" t="e">
        <f>SUM(BX276,BX283,BX293,BX295)</f>
        <v>#DIV/0!</v>
      </c>
      <c r="BY297" s="3" t="e">
        <f>SUM(BY276,BY283,BY293,BY295)</f>
        <v>#DIV/0!</v>
      </c>
      <c r="BZ297" s="3" t="e">
        <f>SUM(BV297:BY297)</f>
        <v>#DIV/0!</v>
      </c>
      <c r="CA297" s="3" t="e">
        <f>SUM(CA276,CA283,CA293,CA295)</f>
        <v>#DIV/0!</v>
      </c>
      <c r="CB297" s="3" t="e">
        <f>SUM(CB276,CB283,CB293,CB295)</f>
        <v>#DIV/0!</v>
      </c>
      <c r="CC297" s="3" t="e">
        <f>SUM(CC276,CC283,CC293,CC295)</f>
        <v>#DIV/0!</v>
      </c>
      <c r="CD297" s="3" t="e">
        <f>SUM(CD276,CD283,CD293,CD295)</f>
        <v>#DIV/0!</v>
      </c>
      <c r="CE297" s="3" t="e">
        <f>SUM(CA297:CD297)</f>
        <v>#DIV/0!</v>
      </c>
      <c r="CF297" s="3" t="e">
        <f>SUM(CF276,CF283,CF293,CF295)</f>
        <v>#DIV/0!</v>
      </c>
      <c r="CG297" s="3" t="e">
        <f>SUM(CG276,CG283,CG293,CG295)</f>
        <v>#DIV/0!</v>
      </c>
      <c r="CH297" s="3" t="e">
        <f>SUM(CH276,CH283,CH293,CH295)</f>
        <v>#DIV/0!</v>
      </c>
      <c r="CI297" s="3" t="e">
        <f>SUM(CI276,CI283,CI293,CI295)</f>
        <v>#DIV/0!</v>
      </c>
      <c r="CJ297" s="3" t="e">
        <f>SUM(CF297:CI297)</f>
        <v>#DIV/0!</v>
      </c>
      <c r="CK297" s="3" t="e">
        <f>SUM(CK276,CK283,CK293,CK295)</f>
        <v>#DIV/0!</v>
      </c>
      <c r="CL297" s="3" t="e">
        <f>SUM(CL276,CL283,CL293,CL295)</f>
        <v>#DIV/0!</v>
      </c>
      <c r="CM297" s="3" t="e">
        <f>SUM(CM276,CM283,CM293,CM295)</f>
        <v>#DIV/0!</v>
      </c>
      <c r="CN297" s="3" t="e">
        <f>SUM(CN276,CN283,CN293,CN295)</f>
        <v>#DIV/0!</v>
      </c>
      <c r="CO297" s="3" t="e">
        <f>SUM(CK297:CN297)</f>
        <v>#DIV/0!</v>
      </c>
      <c r="CP297" s="3" t="e">
        <f>SUM(CP276,CP283,CP293,CP295)</f>
        <v>#DIV/0!</v>
      </c>
      <c r="CQ297" s="3" t="e">
        <f>SUM(CQ276,CQ283,CQ293,CQ295)</f>
        <v>#DIV/0!</v>
      </c>
      <c r="CR297" s="3" t="e">
        <f>SUM(CR276,CR283,CR293,CR295)</f>
        <v>#DIV/0!</v>
      </c>
      <c r="CS297" s="3" t="e">
        <f>SUM(CS276,CS283,CS293,CS295)</f>
        <v>#DIV/0!</v>
      </c>
      <c r="CT297" s="3" t="e">
        <f>SUM(CP297:CS297)</f>
        <v>#DIV/0!</v>
      </c>
      <c r="CU297" s="3" t="e">
        <f>SUM(CU276,CU283,CU293,CU295)</f>
        <v>#DIV/0!</v>
      </c>
      <c r="CV297" s="3" t="e">
        <f>SUM(CV276,CV283,CV293,CV295)</f>
        <v>#DIV/0!</v>
      </c>
      <c r="CW297" s="3" t="e">
        <f>SUM(CW276,CW283,CW293,CW295)</f>
        <v>#DIV/0!</v>
      </c>
      <c r="CX297" s="3" t="e">
        <f>SUM(CX276,CX283,CX293,CX295)</f>
        <v>#DIV/0!</v>
      </c>
      <c r="CY297" s="3" t="e">
        <f>SUM(CU297:CX297)</f>
        <v>#DIV/0!</v>
      </c>
    </row>
    <row r="298">
      <c r="C298" s="4" t="inlineStr">
        <is>
          <t>Check</t>
        </is>
      </c>
      <c r="E298" s="51">
        <f>(E297)-(E127-D127)</f>
        <v>0</v>
      </c>
      <c r="F298" s="51">
        <f>(F297)-(F127-E127)</f>
        <v>0</v>
      </c>
      <c r="G298" s="51">
        <f>(G297)-(G127-F127)</f>
        <v>0</v>
      </c>
      <c r="I298" s="51">
        <f>(I297)-(I127-H127)</f>
        <v>0</v>
      </c>
      <c r="J298" s="51">
        <f>(J297)-(J127-I127)</f>
        <v>0</v>
      </c>
      <c r="K298" s="51">
        <f>(K297)-(K127-J127)</f>
        <v>0</v>
      </c>
      <c r="L298" s="51">
        <f>(L297)-(L127-K127)</f>
        <v>0</v>
      </c>
      <c r="N298" s="51">
        <f>(N297)-(N127-M127)</f>
        <v>0</v>
      </c>
      <c r="O298" s="51">
        <f>(O297)-(O127-N127)</f>
        <v>0</v>
      </c>
      <c r="P298" s="51">
        <f>(P297)-(P127-O127)</f>
        <v>0</v>
      </c>
      <c r="Q298" s="51">
        <f>(Q297)-(Q127-P127)</f>
        <v>0</v>
      </c>
      <c r="S298" s="51">
        <f>(S297)-(S127-R127)</f>
        <v>0</v>
      </c>
      <c r="T298" s="51">
        <f>(T297)-(T127-S127)</f>
        <v>0</v>
      </c>
      <c r="U298" s="51">
        <f>(U297)-(U127-T127)</f>
        <v>0</v>
      </c>
      <c r="V298" s="51">
        <f>(V297)-(V127-U127)</f>
        <v>0</v>
      </c>
      <c r="X298" s="51">
        <f>(X297)-(X127-W127)</f>
        <v>0</v>
      </c>
      <c r="Y298" s="51">
        <f>(Y297)-(Y127-X127)</f>
        <v>0</v>
      </c>
      <c r="Z298" s="51">
        <f>(Z297)-(Z127-Y127)</f>
        <v>0</v>
      </c>
      <c r="AA298" s="51">
        <f>(AA297)-(AA127-Z127)</f>
        <v>0</v>
      </c>
      <c r="AC298" s="51">
        <f>(AC297)-(AC127-AB127)</f>
        <v>0</v>
      </c>
      <c r="AD298" s="51">
        <f>(AD297)-(AD127-AC127)</f>
        <v>0</v>
      </c>
      <c r="AE298" s="51">
        <f>(AE297)-(AE127-AD127)</f>
        <v>0</v>
      </c>
      <c r="AF298" s="51">
        <f>(AF297)-(AF127-AE127)</f>
        <v>0</v>
      </c>
      <c r="AH298" s="51">
        <f>(AH297)-(AH127-AG127)</f>
        <v>0</v>
      </c>
      <c r="AI298" s="51">
        <f>(AI297)-(AI127-AH127)</f>
        <v>0</v>
      </c>
      <c r="AJ298" s="51">
        <f>(AJ297)-(AJ127-AI127)</f>
        <v>0</v>
      </c>
      <c r="AK298" s="51">
        <f>(AK297)-(AK127-AJ127)</f>
        <v>0</v>
      </c>
      <c r="AM298" s="51" t="e">
        <f>(AM297)-(AM127-AL127)</f>
        <v>#DIV/0!</v>
      </c>
      <c r="AN298" s="51" t="e">
        <f>(AN297)-(AN127-AM127)</f>
        <v>#DIV/0!</v>
      </c>
      <c r="AO298" s="51" t="e">
        <f>(AO297)-(AO127-AN127)</f>
        <v>#DIV/0!</v>
      </c>
      <c r="AP298" s="51" t="e">
        <f>(AP297)-(AP127-AO127)</f>
        <v>#DIV/0!</v>
      </c>
      <c r="AR298" s="51" t="e">
        <f>(AR297)-(AR127-AQ127)</f>
        <v>#DIV/0!</v>
      </c>
      <c r="AS298" s="51" t="e">
        <f>(AS297)-(AS127-AR127)</f>
        <v>#DIV/0!</v>
      </c>
      <c r="AT298" s="51" t="e">
        <f>(AT297)-(AT127-AS127)</f>
        <v>#DIV/0!</v>
      </c>
      <c r="AU298" s="51" t="e">
        <f>(AU297)-(AU127-AT127)</f>
        <v>#DIV/0!</v>
      </c>
      <c r="AW298" s="51" t="e">
        <f>(AW297)-(AW127-AV127)</f>
        <v>#DIV/0!</v>
      </c>
      <c r="AX298" s="51" t="e">
        <f>(AX297)-(AX127-AW127)</f>
        <v>#DIV/0!</v>
      </c>
      <c r="AY298" s="51" t="e">
        <f>(AY297)-(AY127-AX127)</f>
        <v>#DIV/0!</v>
      </c>
      <c r="AZ298" s="51" t="e">
        <f>(AZ297)-(AZ127-AY127)</f>
        <v>#DIV/0!</v>
      </c>
      <c r="BB298" s="51" t="e">
        <f>(BB297)-(BB127-BA127)</f>
        <v>#DIV/0!</v>
      </c>
      <c r="BC298" s="51" t="e">
        <f>(BC297)-(BC127-BB127)</f>
        <v>#DIV/0!</v>
      </c>
      <c r="BD298" s="51" t="e">
        <f>(BD297)-(BD127-BC127)</f>
        <v>#DIV/0!</v>
      </c>
      <c r="BE298" s="51" t="e">
        <f>(BE297)-(BE127-BD127)</f>
        <v>#DIV/0!</v>
      </c>
      <c r="BG298" s="51" t="e">
        <f>(BG297)-(BG127-BF127)</f>
        <v>#DIV/0!</v>
      </c>
      <c r="BH298" s="51" t="e">
        <f>(BH297)-(BH127-BG127)</f>
        <v>#DIV/0!</v>
      </c>
      <c r="BI298" s="51" t="e">
        <f>(BI297)-(BI127-BH127)</f>
        <v>#DIV/0!</v>
      </c>
      <c r="BJ298" s="51" t="e">
        <f>(BJ297)-(BJ127-BI127)</f>
        <v>#DIV/0!</v>
      </c>
      <c r="BL298" s="51" t="e">
        <f>(BL297)-(BL127-BK127)</f>
        <v>#DIV/0!</v>
      </c>
      <c r="BM298" s="51" t="e">
        <f>(BM297)-(BM127-BL127)</f>
        <v>#DIV/0!</v>
      </c>
      <c r="BN298" s="51" t="e">
        <f>(BN297)-(BN127-BM127)</f>
        <v>#DIV/0!</v>
      </c>
      <c r="BO298" s="51" t="e">
        <f>(BO297)-(BO127-BN127)</f>
        <v>#DIV/0!</v>
      </c>
      <c r="BQ298" s="51" t="e">
        <f>(BQ297)-(BQ127-BP127)</f>
        <v>#DIV/0!</v>
      </c>
      <c r="BR298" s="51" t="e">
        <f>(BR297)-(BR127-BQ127)</f>
        <v>#DIV/0!</v>
      </c>
      <c r="BS298" s="51" t="e">
        <f>(BS297)-(BS127-BR127)</f>
        <v>#DIV/0!</v>
      </c>
      <c r="BT298" s="51" t="e">
        <f>(BT297)-(BT127-BS127)</f>
        <v>#DIV/0!</v>
      </c>
      <c r="BV298" s="51" t="e">
        <f>(BV297)-(BV127-BU127)</f>
        <v>#DIV/0!</v>
      </c>
      <c r="BW298" s="51" t="e">
        <f>(BW297)-(BW127-BV127)</f>
        <v>#DIV/0!</v>
      </c>
      <c r="BX298" s="51" t="e">
        <f>(BX297)-(BX127-BW127)</f>
        <v>#DIV/0!</v>
      </c>
      <c r="BY298" s="51" t="e">
        <f>(BY297)-(BY127-BX127)</f>
        <v>#DIV/0!</v>
      </c>
      <c r="CA298" s="51" t="e">
        <f>(CA297)-(CA127-BZ127)</f>
        <v>#DIV/0!</v>
      </c>
      <c r="CB298" s="51" t="e">
        <f>(CB297)-(CB127-CA127)</f>
        <v>#DIV/0!</v>
      </c>
      <c r="CC298" s="51" t="e">
        <f>(CC297)-(CC127-CB127)</f>
        <v>#DIV/0!</v>
      </c>
      <c r="CD298" s="51" t="e">
        <f>(CD297)-(CD127-CC127)</f>
        <v>#DIV/0!</v>
      </c>
      <c r="CF298" s="51" t="e">
        <f>(CF297)-(CF127-CE127)</f>
        <v>#DIV/0!</v>
      </c>
      <c r="CG298" s="51" t="e">
        <f>(CG297)-(CG127-CF127)</f>
        <v>#DIV/0!</v>
      </c>
      <c r="CH298" s="51" t="e">
        <f>(CH297)-(CH127-CG127)</f>
        <v>#DIV/0!</v>
      </c>
      <c r="CI298" s="51" t="e">
        <f>(CI297)-(CI127-CH127)</f>
        <v>#DIV/0!</v>
      </c>
      <c r="CK298" s="51" t="e">
        <f>(CK297)-(CK127-CJ127)</f>
        <v>#DIV/0!</v>
      </c>
      <c r="CL298" s="51" t="e">
        <f>(CL297)-(CL127-CK127)</f>
        <v>#DIV/0!</v>
      </c>
      <c r="CM298" s="51" t="e">
        <f>(CM297)-(CM127-CL127)</f>
        <v>#DIV/0!</v>
      </c>
      <c r="CN298" s="51" t="e">
        <f>(CN297)-(CN127-CM127)</f>
        <v>#DIV/0!</v>
      </c>
      <c r="CP298" s="51" t="e">
        <f>(CP297)-(CP127-CO127)</f>
        <v>#DIV/0!</v>
      </c>
      <c r="CQ298" s="51" t="e">
        <f>(CQ297)-(CQ127-CP127)</f>
        <v>#DIV/0!</v>
      </c>
      <c r="CR298" s="51" t="e">
        <f>(CR297)-(CR127-CQ127)</f>
        <v>#DIV/0!</v>
      </c>
      <c r="CS298" s="51" t="e">
        <f>(CS297)-(CS127-CR127)</f>
        <v>#DIV/0!</v>
      </c>
      <c r="CU298" s="51" t="e">
        <f>(CU297)-(CU127-CT127)</f>
        <v>#DIV/0!</v>
      </c>
      <c r="CV298" s="51" t="e">
        <f>(CV297)-(CV127-CU127)</f>
        <v>#DIV/0!</v>
      </c>
      <c r="CW298" s="51" t="e">
        <f>(CW297)-(CW127-CV127)</f>
        <v>#DIV/0!</v>
      </c>
      <c r="CX298" s="51" t="e">
        <f>(CX297)-(CX127-CW127)</f>
        <v>#DIV/0!</v>
      </c>
    </row>
    <row r="300">
      <c r="C300" s="53" t="inlineStr">
        <is>
          <t>Ratio Analysis</t>
        </is>
      </c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  <c r="AE300" s="53" t="n"/>
      <c r="AF300" s="53" t="n"/>
      <c r="AG300" s="53" t="n"/>
      <c r="AH300" s="53" t="n"/>
      <c r="AI300" s="53" t="n"/>
      <c r="AJ300" s="53" t="n"/>
      <c r="AK300" s="53" t="n"/>
      <c r="AL300" s="53" t="n"/>
      <c r="AM300" s="53" t="n"/>
      <c r="AN300" s="53" t="n"/>
      <c r="AO300" s="53" t="n"/>
      <c r="AP300" s="53" t="n"/>
      <c r="AQ300" s="53" t="n"/>
      <c r="AR300" s="53" t="n"/>
      <c r="AS300" s="53" t="n"/>
      <c r="AT300" s="53" t="n"/>
      <c r="AU300" s="53" t="n"/>
      <c r="AV300" s="53" t="n"/>
      <c r="AW300" s="53" t="n"/>
      <c r="AX300" s="53" t="n"/>
      <c r="AY300" s="53" t="n"/>
      <c r="AZ300" s="53" t="n"/>
      <c r="BA300" s="53" t="n"/>
      <c r="BB300" s="53" t="n"/>
      <c r="BC300" s="53" t="n"/>
      <c r="BD300" s="53" t="n"/>
      <c r="BE300" s="53" t="n"/>
      <c r="BF300" s="53" t="n"/>
      <c r="BG300" s="53" t="n"/>
      <c r="BH300" s="53" t="n"/>
      <c r="BI300" s="53" t="n"/>
      <c r="BJ300" s="53" t="n"/>
      <c r="BK300" s="53" t="n"/>
      <c r="BL300" s="53" t="n"/>
      <c r="BM300" s="53" t="n"/>
      <c r="BN300" s="53" t="n"/>
      <c r="BO300" s="53" t="n"/>
      <c r="BP300" s="53" t="n"/>
      <c r="BQ300" s="53" t="n"/>
      <c r="BR300" s="53" t="n"/>
      <c r="BS300" s="53" t="n"/>
      <c r="BT300" s="53" t="n"/>
      <c r="BU300" s="53" t="n"/>
      <c r="BV300" s="53" t="n"/>
      <c r="BW300" s="53" t="n"/>
      <c r="BX300" s="53" t="n"/>
      <c r="BY300" s="53" t="n"/>
      <c r="BZ300" s="53" t="n"/>
      <c r="CA300" s="53" t="n"/>
      <c r="CB300" s="53" t="n"/>
      <c r="CC300" s="53" t="n"/>
      <c r="CD300" s="53" t="n"/>
      <c r="CE300" s="53" t="n"/>
      <c r="CF300" s="53" t="n"/>
      <c r="CG300" s="53" t="n"/>
      <c r="CH300" s="53" t="n"/>
      <c r="CI300" s="53" t="n"/>
      <c r="CJ300" s="53" t="n"/>
      <c r="CK300" s="53" t="n"/>
      <c r="CL300" s="53" t="n"/>
      <c r="CM300" s="53" t="n"/>
      <c r="CN300" s="53" t="n"/>
      <c r="CO300" s="53" t="n"/>
      <c r="CP300" s="53" t="n"/>
      <c r="CQ300" s="53" t="n"/>
      <c r="CR300" s="53" t="n"/>
      <c r="CS300" s="53" t="n"/>
      <c r="CT300" s="53" t="n"/>
      <c r="CU300" s="53" t="n"/>
      <c r="CV300" s="53" t="n"/>
      <c r="CW300" s="53" t="n"/>
      <c r="CX300" s="53" t="n"/>
      <c r="CY300" s="53" t="n"/>
    </row>
    <row r="302" customFormat="1" s="234">
      <c r="C302" s="234" t="inlineStr">
        <is>
          <t>YEAR</t>
        </is>
      </c>
      <c r="D302" s="234" t="str">
        <f>D258</f>
        <v>1Q20</v>
      </c>
      <c r="E302" s="235" t="str">
        <f>E258</f>
        <v>2Q20</v>
      </c>
      <c r="F302" s="235" t="str">
        <f>F258</f>
        <v>3Q20</v>
      </c>
      <c r="G302" s="235" t="str">
        <f>G258</f>
        <v>4Q20</v>
      </c>
      <c r="H302" s="235">
        <f>H258</f>
        <v>2020</v>
      </c>
      <c r="I302" s="235" t="str">
        <f>I258</f>
        <v>1Q21</v>
      </c>
      <c r="J302" s="235" t="str">
        <f>J258</f>
        <v>2Q21</v>
      </c>
      <c r="K302" s="235" t="str">
        <f>K258</f>
        <v>3Q21</v>
      </c>
      <c r="L302" s="235" t="str">
        <f>L258</f>
        <v>4Q21</v>
      </c>
      <c r="M302" s="235">
        <f>M258</f>
        <v>2021</v>
      </c>
      <c r="N302" s="235" t="str">
        <f>N258</f>
        <v>1Q22</v>
      </c>
      <c r="O302" s="235" t="str">
        <f>O258</f>
        <v>2Q22</v>
      </c>
      <c r="P302" s="235" t="str">
        <f>P258</f>
        <v>3Q22</v>
      </c>
      <c r="Q302" s="235" t="str">
        <f>Q258</f>
        <v>4Q22</v>
      </c>
      <c r="R302" s="235">
        <f>R258</f>
        <v>2022</v>
      </c>
      <c r="S302" s="235" t="str">
        <f>S258</f>
        <v>1Q23</v>
      </c>
      <c r="T302" s="235" t="str">
        <f>T258</f>
        <v>2Q23</v>
      </c>
      <c r="U302" s="235" t="str">
        <f>U258</f>
        <v>3Q23</v>
      </c>
      <c r="V302" s="235" t="str">
        <f>V258</f>
        <v>4Q23</v>
      </c>
      <c r="W302" s="235">
        <f>W258</f>
        <v>2023</v>
      </c>
      <c r="X302" s="235" t="str">
        <f>X258</f>
        <v>1Q24</v>
      </c>
      <c r="Y302" s="235" t="str">
        <f>Y258</f>
        <v>2Q24</v>
      </c>
      <c r="Z302" s="235" t="str">
        <f>Z258</f>
        <v>3Q24</v>
      </c>
      <c r="AA302" s="235" t="str">
        <f>AA258</f>
        <v>4Q24</v>
      </c>
      <c r="AB302" s="235">
        <f>AB258</f>
        <v>2024</v>
      </c>
      <c r="AC302" s="235" t="str">
        <f>AC258</f>
        <v>1Q25</v>
      </c>
      <c r="AD302" s="235" t="str">
        <f>AD258</f>
        <v>2Q25</v>
      </c>
      <c r="AE302" s="235" t="str">
        <f>AE258</f>
        <v>3Q25</v>
      </c>
      <c r="AF302" s="235" t="str">
        <f>AF258</f>
        <v>4Q25</v>
      </c>
      <c r="AG302" s="235">
        <f>AG258</f>
        <v>2025</v>
      </c>
      <c r="AH302" s="235" t="str">
        <f>AH258</f>
        <v>1Q26</v>
      </c>
      <c r="AI302" s="235" t="str">
        <f>AI258</f>
        <v>2Q26</v>
      </c>
      <c r="AJ302" s="235" t="str">
        <f>AJ258</f>
        <v>3Q26</v>
      </c>
      <c r="AK302" s="235" t="str">
        <f>AK258</f>
        <v>4Q26</v>
      </c>
      <c r="AL302" s="235">
        <f>AL258</f>
        <v>2026</v>
      </c>
      <c r="AM302" s="235" t="str">
        <f>AM258</f>
        <v>1Q27</v>
      </c>
      <c r="AN302" s="235" t="str">
        <f>AN258</f>
        <v>2Q27</v>
      </c>
      <c r="AO302" s="235" t="str">
        <f>AO258</f>
        <v>3Q27</v>
      </c>
      <c r="AP302" s="235" t="str">
        <f>AP258</f>
        <v>4Q27</v>
      </c>
      <c r="AQ302" s="235">
        <f>AQ258</f>
        <v>2027</v>
      </c>
      <c r="AR302" s="235" t="str">
        <f>AR258</f>
        <v>1Q28</v>
      </c>
      <c r="AS302" s="235" t="str">
        <f>AS258</f>
        <v>2Q28</v>
      </c>
      <c r="AT302" s="235" t="str">
        <f>AT258</f>
        <v>3Q28</v>
      </c>
      <c r="AU302" s="235" t="str">
        <f>AU258</f>
        <v>4Q28</v>
      </c>
      <c r="AV302" s="235">
        <f>AV258</f>
        <v>2028</v>
      </c>
      <c r="AW302" s="235" t="str">
        <f>AW258</f>
        <v>1Q29</v>
      </c>
      <c r="AX302" s="235" t="str">
        <f>AX258</f>
        <v>2Q29</v>
      </c>
      <c r="AY302" s="235" t="str">
        <f>AY258</f>
        <v>3Q29</v>
      </c>
      <c r="AZ302" s="235" t="str">
        <f>AZ258</f>
        <v>4Q29</v>
      </c>
      <c r="BA302" s="235">
        <f>BA258</f>
        <v>2029</v>
      </c>
      <c r="BB302" s="235" t="str">
        <f>BB258</f>
        <v>1Q30</v>
      </c>
      <c r="BC302" s="235" t="str">
        <f>BC258</f>
        <v>2Q30</v>
      </c>
      <c r="BD302" s="235" t="str">
        <f>BD258</f>
        <v>3Q30</v>
      </c>
      <c r="BE302" s="235" t="str">
        <f>BE258</f>
        <v>4Q30</v>
      </c>
      <c r="BF302" s="235">
        <f>BF258</f>
        <v>2030</v>
      </c>
      <c r="BG302" s="235" t="str">
        <f>BG258</f>
        <v>1Q31</v>
      </c>
      <c r="BH302" s="235" t="str">
        <f>BH258</f>
        <v>2Q31</v>
      </c>
      <c r="BI302" s="235" t="str">
        <f>BI258</f>
        <v>3Q31</v>
      </c>
      <c r="BJ302" s="235" t="str">
        <f>BJ258</f>
        <v>4Q31</v>
      </c>
      <c r="BK302" s="235">
        <f>BK258</f>
        <v>2031</v>
      </c>
      <c r="BL302" s="235" t="str">
        <f>BL258</f>
        <v>1Q32</v>
      </c>
      <c r="BM302" s="235" t="str">
        <f>BM258</f>
        <v>2Q32</v>
      </c>
      <c r="BN302" s="235" t="str">
        <f>BN258</f>
        <v>3Q32</v>
      </c>
      <c r="BO302" s="235" t="str">
        <f>BO258</f>
        <v>4Q32</v>
      </c>
      <c r="BP302" s="235">
        <f>BP258</f>
        <v>2032</v>
      </c>
      <c r="BQ302" s="235" t="str">
        <f>BQ258</f>
        <v>1Q33</v>
      </c>
      <c r="BR302" s="235" t="str">
        <f>BR258</f>
        <v>2Q33</v>
      </c>
      <c r="BS302" s="235" t="str">
        <f>BS258</f>
        <v>3Q33</v>
      </c>
      <c r="BT302" s="235" t="str">
        <f>BT258</f>
        <v>4Q33</v>
      </c>
      <c r="BU302" s="235">
        <f>BU258</f>
        <v>2033</v>
      </c>
      <c r="BV302" s="235" t="str">
        <f>BV258</f>
        <v>1Q34</v>
      </c>
      <c r="BW302" s="235" t="str">
        <f>BW258</f>
        <v>2Q34</v>
      </c>
      <c r="BX302" s="235" t="str">
        <f>BX258</f>
        <v>3Q34</v>
      </c>
      <c r="BY302" s="235" t="str">
        <f>BY258</f>
        <v>4Q34</v>
      </c>
      <c r="BZ302" s="235">
        <f>BZ258</f>
        <v>2034</v>
      </c>
      <c r="CA302" s="235" t="str">
        <f>CA258</f>
        <v>1Q35</v>
      </c>
      <c r="CB302" s="235" t="str">
        <f>CB258</f>
        <v>2Q35</v>
      </c>
      <c r="CC302" s="235" t="str">
        <f>CC258</f>
        <v>3Q35</v>
      </c>
      <c r="CD302" s="235" t="str">
        <f>CD258</f>
        <v>4Q35</v>
      </c>
      <c r="CE302" s="235">
        <f>CE258</f>
        <v>2035</v>
      </c>
      <c r="CF302" s="235" t="str">
        <f>CF258</f>
        <v>1Q36</v>
      </c>
      <c r="CG302" s="235" t="str">
        <f>CG258</f>
        <v>2Q36</v>
      </c>
      <c r="CH302" s="235" t="str">
        <f>CH258</f>
        <v>3Q36</v>
      </c>
      <c r="CI302" s="235" t="str">
        <f>CI258</f>
        <v>4Q36</v>
      </c>
      <c r="CJ302" s="235">
        <f>CJ258</f>
        <v>2036</v>
      </c>
      <c r="CK302" s="235" t="str">
        <f>CK258</f>
        <v>1Q37</v>
      </c>
      <c r="CL302" s="235" t="str">
        <f>CL258</f>
        <v>2Q37</v>
      </c>
      <c r="CM302" s="235" t="str">
        <f>CM258</f>
        <v>3Q37</v>
      </c>
      <c r="CN302" s="235" t="str">
        <f>CN258</f>
        <v>4Q37</v>
      </c>
      <c r="CO302" s="235">
        <f>CO258</f>
        <v>2037</v>
      </c>
      <c r="CP302" s="235" t="str">
        <f>CP258</f>
        <v>1Q38</v>
      </c>
      <c r="CQ302" s="235" t="str">
        <f>CQ258</f>
        <v>2Q38</v>
      </c>
      <c r="CR302" s="235" t="str">
        <f>CR258</f>
        <v>3Q38</v>
      </c>
      <c r="CS302" s="235" t="str">
        <f>CS258</f>
        <v>4Q38</v>
      </c>
      <c r="CT302" s="235">
        <f>CT258</f>
        <v>2038</v>
      </c>
      <c r="CU302" s="235" t="str">
        <f>CU258</f>
        <v>1Q39</v>
      </c>
      <c r="CV302" s="235" t="str">
        <f>CV258</f>
        <v>2Q39</v>
      </c>
      <c r="CW302" s="235" t="str">
        <f>CW258</f>
        <v>3Q39</v>
      </c>
      <c r="CX302" s="235" t="str">
        <f>CX258</f>
        <v>4Q39</v>
      </c>
      <c r="CY302" s="235">
        <f>CY258</f>
        <v>2039</v>
      </c>
    </row>
    <row r="303" customFormat="1" s="233">
      <c r="A303" s="224" t="n"/>
      <c r="B303" s="224" t="n"/>
      <c r="C303" s="234" t="inlineStr">
        <is>
          <t>GROWTH &amp; MARGINS</t>
        </is>
      </c>
    </row>
    <row r="304" customFormat="1" s="233">
      <c r="A304" s="224" t="n"/>
      <c r="B304" s="224" t="n"/>
      <c r="C304" s="233" t="inlineStr">
        <is>
          <t>NET REVENUE GROWTH</t>
        </is>
      </c>
      <c r="E304" s="236">
        <f>E15/D15-1</f>
        <v>-0.0599905970850964</v>
      </c>
      <c r="F304" s="236">
        <f>F15/E15-1</f>
        <v>-0.0116034810443133</v>
      </c>
      <c r="G304" s="236">
        <f>G15/F15-1</f>
        <v>0.137030664912458</v>
      </c>
      <c r="H304" s="236" t="n"/>
      <c r="I304" s="220">
        <f>I15/H15-1</f>
        <v>-0.715267797259749</v>
      </c>
      <c r="J304" s="220">
        <f>J15/I15-1</f>
        <v>0.0842937662993186</v>
      </c>
      <c r="K304" s="220">
        <f>K15/J15-1</f>
        <v>-0.0381720847234076</v>
      </c>
      <c r="L304" s="220">
        <f>L15/K15-1</f>
        <v>0.113011212390094</v>
      </c>
      <c r="M304" s="236" t="n"/>
      <c r="N304" s="220">
        <f>N15/M15-1</f>
        <v>-0.733397422063526</v>
      </c>
      <c r="O304" s="220">
        <f>O15/N15-1</f>
        <v>0.0484215174037825</v>
      </c>
      <c r="P304" s="220">
        <f>P15/O15-1</f>
        <v>0.0524320909665192</v>
      </c>
      <c r="Q304" s="220">
        <f>Q15/P15-1</f>
        <v>0.106909430438842</v>
      </c>
      <c r="R304" s="236" t="n"/>
      <c r="S304" s="220">
        <f>S15/R15-1</f>
        <v>-0.733084288286469</v>
      </c>
      <c r="T304" s="220">
        <f>T15/S15-1</f>
        <v>0.0917917034421889</v>
      </c>
      <c r="U304" s="220">
        <f>U15/T15-1</f>
        <v>-0.0293336412980714</v>
      </c>
      <c r="V304" s="220">
        <f>V15/U15-1</f>
        <v>0.0154669839381321</v>
      </c>
      <c r="W304" s="236" t="n"/>
      <c r="X304" s="220">
        <f>X15/W15-1</f>
        <v>-0.764405010438413</v>
      </c>
      <c r="Y304" s="220">
        <f>Y15/X15-1</f>
        <v>0.0563326792834991</v>
      </c>
      <c r="Z304" s="220">
        <f>Z15/Y15-1</f>
        <v>-0.0349331895260351</v>
      </c>
      <c r="AA304" s="220">
        <f>AA15/Z15-1</f>
        <v>0.00676766422451269</v>
      </c>
      <c r="AB304" s="236" t="n"/>
      <c r="AC304" s="220">
        <f>AC15/AB15-1</f>
        <v>-0.78013856100233</v>
      </c>
      <c r="AD304" s="220">
        <f>AD15/AC15-1</f>
        <v>0.162818443399537</v>
      </c>
      <c r="AE304" s="220">
        <f>AE15/AD15-1</f>
        <v>0.06451807592492</v>
      </c>
      <c r="AF304" s="220">
        <f>AF15/AE15-1</f>
        <v>0.084760176890804</v>
      </c>
      <c r="AG304" s="236" t="n"/>
      <c r="AH304" s="220">
        <f>AH15/AG15-1</f>
        <v>-0.742339729837696</v>
      </c>
      <c r="AI304" s="220">
        <f>AI15/AH15-1</f>
        <v>0.179615274188918</v>
      </c>
      <c r="AJ304" s="220">
        <f>AJ15/AI15-1</f>
        <v>-0.141410699508348</v>
      </c>
      <c r="AK304" s="220">
        <f>AK15/AJ15-1</f>
        <v>0.084760176890804</v>
      </c>
      <c r="AL304" s="236" t="n"/>
      <c r="AM304" s="220">
        <f>AM15/AL15-1</f>
        <v>-0.766957941361453</v>
      </c>
      <c r="AN304" s="220">
        <f>AN15/AM15-1</f>
        <v>0.179615274188918</v>
      </c>
      <c r="AO304" s="220">
        <f>AO15/AN15-1</f>
        <v>-0.141410699508348</v>
      </c>
      <c r="AP304" s="220">
        <f>AP15/AO15-1</f>
        <v>0.084760176890804</v>
      </c>
      <c r="AQ304" s="236" t="n"/>
      <c r="AR304" s="220">
        <f>AR15/AQ15-1</f>
        <v>-0.766957941361453</v>
      </c>
      <c r="AS304" s="220">
        <f>AS15/AR15-1</f>
        <v>0.179615274188918</v>
      </c>
      <c r="AT304" s="220">
        <f>AT15/AS15-1</f>
        <v>-0.141410699508348</v>
      </c>
      <c r="AU304" s="220">
        <f>AU15/AT15-1</f>
        <v>0.084760176890804</v>
      </c>
      <c r="AV304" s="236" t="n"/>
      <c r="AW304" s="220">
        <f>AW15/AV15-1</f>
        <v>-0.766957941361453</v>
      </c>
      <c r="AX304" s="220">
        <f>AX15/AW15-1</f>
        <v>0.179615274188918</v>
      </c>
      <c r="AY304" s="220">
        <f>AY15/AX15-1</f>
        <v>-0.141410699508348</v>
      </c>
      <c r="AZ304" s="220">
        <f>AZ15/AY15-1</f>
        <v>0.084760176890804</v>
      </c>
      <c r="BA304" s="236" t="n"/>
      <c r="BB304" s="220">
        <f>BB15/BA15-1</f>
        <v>-0.766957941361453</v>
      </c>
      <c r="BC304" s="220">
        <f>BC15/BB15-1</f>
        <v>0.179615274188918</v>
      </c>
      <c r="BD304" s="220">
        <f>BD15/BC15-1</f>
        <v>-0.141410699508348</v>
      </c>
      <c r="BE304" s="220">
        <f>BE15/BD15-1</f>
        <v>0.084760176890804</v>
      </c>
      <c r="BF304" s="236" t="n"/>
      <c r="BG304" s="220">
        <f>BG15/BF15-1</f>
        <v>-0.766957941361453</v>
      </c>
      <c r="BH304" s="220">
        <f>BH15/BG15-1</f>
        <v>0.179615274188918</v>
      </c>
      <c r="BI304" s="220">
        <f>BI15/BH15-1</f>
        <v>-0.141410699508348</v>
      </c>
      <c r="BJ304" s="220">
        <f>BJ15/BI15-1</f>
        <v>0.084760176890804</v>
      </c>
      <c r="BK304" s="236" t="n"/>
      <c r="BL304" s="220">
        <f>BL15/BK15-1</f>
        <v>-0.766957941361453</v>
      </c>
      <c r="BM304" s="220">
        <f>BM15/BL15-1</f>
        <v>0.179615274188918</v>
      </c>
      <c r="BN304" s="220">
        <f>BN15/BM15-1</f>
        <v>-0.141410699508348</v>
      </c>
      <c r="BO304" s="220">
        <f>BO15/BN15-1</f>
        <v>0.084760176890804</v>
      </c>
      <c r="BP304" s="236" t="n"/>
      <c r="BQ304" s="220">
        <f>BQ15/BP15-1</f>
        <v>-0.766957941361453</v>
      </c>
      <c r="BR304" s="220">
        <f>BR15/BQ15-1</f>
        <v>0.179615274188918</v>
      </c>
      <c r="BS304" s="220">
        <f>BS15/BR15-1</f>
        <v>-0.141410699508348</v>
      </c>
      <c r="BT304" s="220">
        <f>BT15/BS15-1</f>
        <v>0.084760176890804</v>
      </c>
      <c r="BU304" s="236" t="n"/>
      <c r="BV304" s="220">
        <f>BV15/BU15-1</f>
        <v>-0.766957941361453</v>
      </c>
      <c r="BW304" s="220">
        <f>BW15/BV15-1</f>
        <v>0.179615274188918</v>
      </c>
      <c r="BX304" s="220">
        <f>BX15/BW15-1</f>
        <v>-0.141410699508348</v>
      </c>
      <c r="BY304" s="220">
        <f>BY15/BX15-1</f>
        <v>0.084760176890804</v>
      </c>
      <c r="BZ304" s="236" t="n"/>
      <c r="CA304" s="220">
        <f>CA15/BZ15-1</f>
        <v>-0.766957941361453</v>
      </c>
      <c r="CB304" s="220">
        <f>CB15/CA15-1</f>
        <v>0.179615274188918</v>
      </c>
      <c r="CC304" s="220">
        <f>CC15/CB15-1</f>
        <v>-0.141410699508348</v>
      </c>
      <c r="CD304" s="220">
        <f>CD15/CC15-1</f>
        <v>0.084760176890804</v>
      </c>
      <c r="CE304" s="236" t="n"/>
      <c r="CF304" s="220">
        <f>CF15/CE15-1</f>
        <v>-0.766957941361453</v>
      </c>
      <c r="CG304" s="220">
        <f>CG15/CF15-1</f>
        <v>0.179615274188918</v>
      </c>
      <c r="CH304" s="220">
        <f>CH15/CG15-1</f>
        <v>-0.141410699508348</v>
      </c>
      <c r="CI304" s="220">
        <f>CI15/CH15-1</f>
        <v>0.084760176890804</v>
      </c>
      <c r="CJ304" s="236" t="n"/>
      <c r="CK304" s="220">
        <f>CK15/CJ15-1</f>
        <v>-0.766957941361453</v>
      </c>
      <c r="CL304" s="220">
        <f>CL15/CK15-1</f>
        <v>0.179615274188918</v>
      </c>
      <c r="CM304" s="220">
        <f>CM15/CL15-1</f>
        <v>-0.141410699508348</v>
      </c>
      <c r="CN304" s="220">
        <f>CN15/CM15-1</f>
        <v>0.084760176890804</v>
      </c>
      <c r="CO304" s="236" t="n"/>
      <c r="CP304" s="220">
        <f>CP15/CO15-1</f>
        <v>-0.766957941361453</v>
      </c>
      <c r="CQ304" s="220">
        <f>CQ15/CP15-1</f>
        <v>0.179615274188918</v>
      </c>
      <c r="CR304" s="220">
        <f>CR15/CQ15-1</f>
        <v>-0.141410699508348</v>
      </c>
      <c r="CS304" s="220">
        <f>CS15/CR15-1</f>
        <v>0.084760176890804</v>
      </c>
      <c r="CT304" s="236" t="n"/>
      <c r="CU304" s="220">
        <f>CU15/CT15-1</f>
        <v>-0.766957941361453</v>
      </c>
      <c r="CV304" s="220">
        <f>CV15/CU15-1</f>
        <v>0.179615274188918</v>
      </c>
      <c r="CW304" s="220">
        <f>CW15/CV15-1</f>
        <v>-0.141410699508348</v>
      </c>
      <c r="CX304" s="220">
        <f>CX15/CW15-1</f>
        <v>0.084760176890804</v>
      </c>
      <c r="CY304" s="236" t="n"/>
    </row>
    <row r="305" customFormat="1" s="233">
      <c r="A305" s="224" t="n"/>
      <c r="B305" s="224" t="n"/>
      <c r="C305" s="233" t="inlineStr">
        <is>
          <t>GROSS MARGIN</t>
        </is>
      </c>
      <c r="D305" s="220">
        <f>SUM(D15,D37)/D15</f>
        <v>0.316784203102962</v>
      </c>
      <c r="E305" s="220">
        <f>SUM(E15,E37)/E15</f>
        <v>0.288486545963789</v>
      </c>
      <c r="F305" s="220">
        <f>SUM(F15,F37)/F15</f>
        <v>0.299767230037446</v>
      </c>
      <c r="G305" s="220">
        <f>SUM(G15,G37)/G15</f>
        <v>0.307165109034268</v>
      </c>
      <c r="I305" s="221">
        <f>SUM(I15,I37)/I15</f>
        <v>0.325986371666526</v>
      </c>
      <c r="J305" s="221">
        <f>SUM(J15,J37)/J15</f>
        <v>0.310962836527271</v>
      </c>
      <c r="K305" s="221">
        <f>SUM(K15,K37)/K15</f>
        <v>0.304912478825522</v>
      </c>
      <c r="L305" s="221">
        <f>SUM(L15,L37)/L15</f>
        <v>0.275039860849398</v>
      </c>
      <c r="N305" s="221">
        <f>SUM(N15,N37)/N15</f>
        <v>0.296563396865111</v>
      </c>
      <c r="O305" s="221">
        <f>SUM(O15,O37)/O15</f>
        <v>0.299852600547484</v>
      </c>
      <c r="P305" s="221">
        <f>SUM(P15,P37)/P15</f>
        <v>0.319594504468454</v>
      </c>
      <c r="Q305" s="221">
        <f>SUM(Q15,Q37)/Q15</f>
        <v>0.300234982225703</v>
      </c>
      <c r="S305" s="221">
        <f>SUM(S15,S37)/S15</f>
        <v>0.363068969865086</v>
      </c>
      <c r="T305" s="221">
        <f>SUM(T15,T37)/T15</f>
        <v>0.361069407552835</v>
      </c>
      <c r="U305" s="221">
        <f>SUM(U15,U37)/U15</f>
        <v>0.370434265318263</v>
      </c>
      <c r="V305" s="221">
        <f>SUM(V15,V37)/V15</f>
        <v>0.354657293497364</v>
      </c>
      <c r="X305" s="221">
        <f>SUM(X15,X37)/X15</f>
        <v>0.388442306475093</v>
      </c>
      <c r="Y305" s="221">
        <f>SUM(Y15,Y37)/Y15</f>
        <v>0.391814967942956</v>
      </c>
      <c r="Z305" s="221">
        <f>SUM(Z15,Z37)/Z15</f>
        <v>0.375015522165653</v>
      </c>
      <c r="AA305" s="221">
        <f>SUM(AA15,AA37)/AA15</f>
        <v>0.363490595127968</v>
      </c>
      <c r="AC305" s="221">
        <f>SUM(AC15,AC37)/AC15</f>
        <v>0.370833040915152</v>
      </c>
      <c r="AD305" s="221">
        <f>SUM(AD15,AD37)/AD15</f>
        <v>0.347757861065846</v>
      </c>
      <c r="AE305" s="221">
        <f>SUM(AE15,AE37)/AE15</f>
        <v>0.338190271005783</v>
      </c>
      <c r="AF305" s="221">
        <f>SUM(AF15,AF37)/AF15</f>
        <v>0.304500078398578</v>
      </c>
      <c r="AH305" s="221">
        <f>SUM(AH15,AH37)/AH15</f>
        <v>0.350789549239162</v>
      </c>
      <c r="AI305" s="221">
        <f>SUM(AI15,AI37)/AI15</f>
        <v>0.377841600545198</v>
      </c>
      <c r="AJ305" s="221">
        <f>SUM(AJ15,AJ37)/AJ15</f>
        <v>0</v>
      </c>
      <c r="AK305" s="221">
        <f>SUM(AK15,AK37)/AK15</f>
        <v>0</v>
      </c>
      <c r="AM305" s="221">
        <f>SUM(AM15,AM37)/AM15</f>
        <v>0</v>
      </c>
      <c r="AN305" s="221">
        <f>SUM(AN15,AN37)/AN15</f>
        <v>0</v>
      </c>
      <c r="AO305" s="221">
        <f>SUM(AO15,AO37)/AO15</f>
        <v>0</v>
      </c>
      <c r="AP305" s="221">
        <f>SUM(AP15,AP37)/AP15</f>
        <v>0</v>
      </c>
      <c r="AR305" s="221">
        <f>SUM(AR15,AR37)/AR15</f>
        <v>0</v>
      </c>
      <c r="AS305" s="221">
        <f>SUM(AS15,AS37)/AS15</f>
        <v>0</v>
      </c>
      <c r="AT305" s="221">
        <f>SUM(AT15,AT37)/AT15</f>
        <v>0</v>
      </c>
      <c r="AU305" s="221">
        <f>SUM(AU15,AU37)/AU15</f>
        <v>0</v>
      </c>
      <c r="AW305" s="221">
        <f>SUM(AW15,AW37)/AW15</f>
        <v>0</v>
      </c>
      <c r="AX305" s="221">
        <f>SUM(AX15,AX37)/AX15</f>
        <v>0</v>
      </c>
      <c r="AY305" s="221">
        <f>SUM(AY15,AY37)/AY15</f>
        <v>0</v>
      </c>
      <c r="AZ305" s="221">
        <f>SUM(AZ15,AZ37)/AZ15</f>
        <v>0</v>
      </c>
      <c r="BB305" s="221">
        <f>SUM(BB15,BB37)/BB15</f>
        <v>0</v>
      </c>
      <c r="BC305" s="221">
        <f>SUM(BC15,BC37)/BC15</f>
        <v>0</v>
      </c>
      <c r="BD305" s="221">
        <f>SUM(BD15,BD37)/BD15</f>
        <v>0</v>
      </c>
      <c r="BE305" s="221">
        <f>SUM(BE15,BE37)/BE15</f>
        <v>0</v>
      </c>
      <c r="BG305" s="221">
        <f>SUM(BG15,BG37)/BG15</f>
        <v>0</v>
      </c>
      <c r="BH305" s="221">
        <f>SUM(BH15,BH37)/BH15</f>
        <v>0</v>
      </c>
      <c r="BI305" s="221">
        <f>SUM(BI15,BI37)/BI15</f>
        <v>0</v>
      </c>
      <c r="BJ305" s="221">
        <f>SUM(BJ15,BJ37)/BJ15</f>
        <v>0</v>
      </c>
      <c r="BL305" s="221">
        <f>SUM(BL15,BL37)/BL15</f>
        <v>0</v>
      </c>
      <c r="BM305" s="221">
        <f>SUM(BM15,BM37)/BM15</f>
        <v>0</v>
      </c>
      <c r="BN305" s="221">
        <f>SUM(BN15,BN37)/BN15</f>
        <v>0</v>
      </c>
      <c r="BO305" s="221">
        <f>SUM(BO15,BO37)/BO15</f>
        <v>0</v>
      </c>
      <c r="BQ305" s="221">
        <f>SUM(BQ15,BQ37)/BQ15</f>
        <v>0</v>
      </c>
      <c r="BR305" s="221">
        <f>SUM(BR15,BR37)/BR15</f>
        <v>0</v>
      </c>
      <c r="BS305" s="221">
        <f>SUM(BS15,BS37)/BS15</f>
        <v>0</v>
      </c>
      <c r="BT305" s="221">
        <f>SUM(BT15,BT37)/BT15</f>
        <v>0</v>
      </c>
      <c r="BV305" s="221">
        <f>SUM(BV15,BV37)/BV15</f>
        <v>0</v>
      </c>
      <c r="BW305" s="221">
        <f>SUM(BW15,BW37)/BW15</f>
        <v>0</v>
      </c>
      <c r="BX305" s="221">
        <f>SUM(BX15,BX37)/BX15</f>
        <v>0</v>
      </c>
      <c r="BY305" s="221">
        <f>SUM(BY15,BY37)/BY15</f>
        <v>0</v>
      </c>
      <c r="CA305" s="221">
        <f>SUM(CA15,CA37)/CA15</f>
        <v>0</v>
      </c>
      <c r="CB305" s="221">
        <f>SUM(CB15,CB37)/CB15</f>
        <v>0</v>
      </c>
      <c r="CC305" s="221">
        <f>SUM(CC15,CC37)/CC15</f>
        <v>0</v>
      </c>
      <c r="CD305" s="221">
        <f>SUM(CD15,CD37)/CD15</f>
        <v>0</v>
      </c>
      <c r="CF305" s="221">
        <f>SUM(CF15,CF37)/CF15</f>
        <v>0</v>
      </c>
      <c r="CG305" s="221">
        <f>SUM(CG15,CG37)/CG15</f>
        <v>0</v>
      </c>
      <c r="CH305" s="221">
        <f>SUM(CH15,CH37)/CH15</f>
        <v>0</v>
      </c>
      <c r="CI305" s="221">
        <f>SUM(CI15,CI37)/CI15</f>
        <v>0</v>
      </c>
      <c r="CK305" s="221">
        <f>SUM(CK15,CK37)/CK15</f>
        <v>0</v>
      </c>
      <c r="CL305" s="221">
        <f>SUM(CL15,CL37)/CL15</f>
        <v>0</v>
      </c>
      <c r="CM305" s="221">
        <f>SUM(CM15,CM37)/CM15</f>
        <v>0</v>
      </c>
      <c r="CN305" s="221">
        <f>SUM(CN15,CN37)/CN15</f>
        <v>0</v>
      </c>
      <c r="CP305" s="221">
        <f>SUM(CP15,CP37)/CP15</f>
        <v>0</v>
      </c>
      <c r="CQ305" s="221">
        <f>SUM(CQ15,CQ37)/CQ15</f>
        <v>0</v>
      </c>
      <c r="CR305" s="221">
        <f>SUM(CR15,CR37)/CR15</f>
        <v>0</v>
      </c>
      <c r="CS305" s="221">
        <f>SUM(CS15,CS37)/CS15</f>
        <v>0</v>
      </c>
      <c r="CU305" s="221">
        <f>SUM(CU15,CU37)/CU15</f>
        <v>0</v>
      </c>
      <c r="CV305" s="221">
        <f>SUM(CV15,CV37)/CV15</f>
        <v>0</v>
      </c>
      <c r="CW305" s="221">
        <f>SUM(CW15,CW37)/CW15</f>
        <v>0</v>
      </c>
      <c r="CX305" s="221">
        <f>SUM(CX15,CX37)/CX15</f>
        <v>0</v>
      </c>
    </row>
    <row r="306" customFormat="1" s="233">
      <c r="A306" s="224" t="n"/>
      <c r="B306" s="224" t="n"/>
      <c r="C306" s="233" t="inlineStr">
        <is>
          <t>EBIT MARGIN</t>
        </is>
      </c>
      <c r="D306" s="236">
        <f>(D56/D15)</f>
        <v>0.132016925246827</v>
      </c>
      <c r="E306" s="236">
        <f>(E56/E15)</f>
        <v>0.0784235270581174</v>
      </c>
      <c r="F306" s="236">
        <f>(F56/F15)</f>
        <v>0.0996862665722093</v>
      </c>
      <c r="G306" s="236">
        <f>(G56/G15)</f>
        <v>0.12283044058745</v>
      </c>
      <c r="I306" s="222">
        <f>(I56/I15)</f>
        <v>0.152603684697569</v>
      </c>
      <c r="J306" s="222">
        <f>(J56/J15)</f>
        <v>0.138800527581659</v>
      </c>
      <c r="K306" s="222">
        <f>(K56/K15)</f>
        <v>0.13422602242478</v>
      </c>
      <c r="L306" s="222">
        <f>(L56/L15)</f>
        <v>0.116756051601681</v>
      </c>
      <c r="N306" s="222">
        <f>(N56/N15)</f>
        <v>0.136507469276621</v>
      </c>
      <c r="O306" s="222">
        <f>(O56/O15)</f>
        <v>0.136449778900821</v>
      </c>
      <c r="P306" s="222">
        <f>(P56/P15)</f>
        <v>0.161731359210351</v>
      </c>
      <c r="Q306" s="222">
        <f>(Q56/Q15)</f>
        <v>0.101223112610713</v>
      </c>
      <c r="S306" s="222">
        <f>(S56/S15)</f>
        <v>0.172172487706468</v>
      </c>
      <c r="T306" s="222">
        <f>(T56/T15)</f>
        <v>0.210878854371175</v>
      </c>
      <c r="U306" s="222">
        <f>(U56/U15)</f>
        <v>0.205175490779298</v>
      </c>
      <c r="V306" s="222">
        <f>(V56/V15)</f>
        <v>0.183596953719977</v>
      </c>
      <c r="X306" s="222">
        <f>(X56/X15)</f>
        <v>0.222735616178239</v>
      </c>
      <c r="Y306" s="222">
        <f>(Y56/Y15)</f>
        <v>0.208640421834741</v>
      </c>
      <c r="Z306" s="222">
        <f>(Z56/Z15)</f>
        <v>0.195393021234323</v>
      </c>
      <c r="AA306" s="222">
        <f>(AA56/AA15)</f>
        <v>0.180326857847672</v>
      </c>
      <c r="AC306" s="222">
        <f>(AC56/AC15)</f>
        <v>0.180995157554916</v>
      </c>
      <c r="AD306" s="222">
        <f>(AD56/AD15)</f>
        <v>0.172611503409983</v>
      </c>
      <c r="AE306" s="222">
        <f>(AE56/AE15)</f>
        <v>0.17303549155233</v>
      </c>
      <c r="AF306" s="222">
        <f>(AF56/AF15)</f>
        <v>0.139026812313803</v>
      </c>
      <c r="AH306" s="222">
        <f>(AH56/AH15)</f>
        <v>0.177146138386448</v>
      </c>
      <c r="AI306" s="222">
        <f>(AI56/AI15)</f>
        <v>0.209073650391861</v>
      </c>
      <c r="AJ306" s="222">
        <f>(AJ56/AJ15)</f>
        <v>0</v>
      </c>
      <c r="AK306" s="222">
        <f>(AK56/AK15)</f>
        <v>0</v>
      </c>
      <c r="AM306" s="222">
        <f>(AM56/AM15)</f>
        <v>0</v>
      </c>
      <c r="AN306" s="222">
        <f>(AN56/AN15)</f>
        <v>0</v>
      </c>
      <c r="AO306" s="222">
        <f>(AO56/AO15)</f>
        <v>0</v>
      </c>
      <c r="AP306" s="222">
        <f>(AP56/AP15)</f>
        <v>0</v>
      </c>
      <c r="AR306" s="222">
        <f>(AR56/AR15)</f>
        <v>0</v>
      </c>
      <c r="AS306" s="222">
        <f>(AS56/AS15)</f>
        <v>0</v>
      </c>
      <c r="AT306" s="222">
        <f>(AT56/AT15)</f>
        <v>0</v>
      </c>
      <c r="AU306" s="222">
        <f>(AU56/AU15)</f>
        <v>0</v>
      </c>
      <c r="AW306" s="222">
        <f>(AW56/AW15)</f>
        <v>0</v>
      </c>
      <c r="AX306" s="222">
        <f>(AX56/AX15)</f>
        <v>0</v>
      </c>
      <c r="AY306" s="222">
        <f>(AY56/AY15)</f>
        <v>0</v>
      </c>
      <c r="AZ306" s="222">
        <f>(AZ56/AZ15)</f>
        <v>0</v>
      </c>
      <c r="BB306" s="222">
        <f>(BB56/BB15)</f>
        <v>0</v>
      </c>
      <c r="BC306" s="222">
        <f>(BC56/BC15)</f>
        <v>0</v>
      </c>
      <c r="BD306" s="222">
        <f>(BD56/BD15)</f>
        <v>0</v>
      </c>
      <c r="BE306" s="222">
        <f>(BE56/BE15)</f>
        <v>0</v>
      </c>
      <c r="BG306" s="222">
        <f>(BG56/BG15)</f>
        <v>0</v>
      </c>
      <c r="BH306" s="222">
        <f>(BH56/BH15)</f>
        <v>0</v>
      </c>
      <c r="BI306" s="222">
        <f>(BI56/BI15)</f>
        <v>0</v>
      </c>
      <c r="BJ306" s="222">
        <f>(BJ56/BJ15)</f>
        <v>0</v>
      </c>
      <c r="BL306" s="222">
        <f>(BL56/BL15)</f>
        <v>0</v>
      </c>
      <c r="BM306" s="222">
        <f>(BM56/BM15)</f>
        <v>0</v>
      </c>
      <c r="BN306" s="222">
        <f>(BN56/BN15)</f>
        <v>0</v>
      </c>
      <c r="BO306" s="222">
        <f>(BO56/BO15)</f>
        <v>0</v>
      </c>
      <c r="BQ306" s="222">
        <f>(BQ56/BQ15)</f>
        <v>0</v>
      </c>
      <c r="BR306" s="222">
        <f>(BR56/BR15)</f>
        <v>0</v>
      </c>
      <c r="BS306" s="222">
        <f>(BS56/BS15)</f>
        <v>0</v>
      </c>
      <c r="BT306" s="222">
        <f>(BT56/BT15)</f>
        <v>0</v>
      </c>
      <c r="BV306" s="222">
        <f>(BV56/BV15)</f>
        <v>0</v>
      </c>
      <c r="BW306" s="222">
        <f>(BW56/BW15)</f>
        <v>0</v>
      </c>
      <c r="BX306" s="222">
        <f>(BX56/BX15)</f>
        <v>0</v>
      </c>
      <c r="BY306" s="222">
        <f>(BY56/BY15)</f>
        <v>0</v>
      </c>
      <c r="CA306" s="222">
        <f>(CA56/CA15)</f>
        <v>0</v>
      </c>
      <c r="CB306" s="222">
        <f>(CB56/CB15)</f>
        <v>0</v>
      </c>
      <c r="CC306" s="222">
        <f>(CC56/CC15)</f>
        <v>0</v>
      </c>
      <c r="CD306" s="222">
        <f>(CD56/CD15)</f>
        <v>0</v>
      </c>
      <c r="CF306" s="222">
        <f>(CF56/CF15)</f>
        <v>0</v>
      </c>
      <c r="CG306" s="222">
        <f>(CG56/CG15)</f>
        <v>0</v>
      </c>
      <c r="CH306" s="222">
        <f>(CH56/CH15)</f>
        <v>0</v>
      </c>
      <c r="CI306" s="222">
        <f>(CI56/CI15)</f>
        <v>0</v>
      </c>
      <c r="CK306" s="222">
        <f>(CK56/CK15)</f>
        <v>0</v>
      </c>
      <c r="CL306" s="222">
        <f>(CL56/CL15)</f>
        <v>0</v>
      </c>
      <c r="CM306" s="222">
        <f>(CM56/CM15)</f>
        <v>0</v>
      </c>
      <c r="CN306" s="222">
        <f>(CN56/CN15)</f>
        <v>0</v>
      </c>
      <c r="CP306" s="222">
        <f>(CP56/CP15)</f>
        <v>0</v>
      </c>
      <c r="CQ306" s="222">
        <f>(CQ56/CQ15)</f>
        <v>0</v>
      </c>
      <c r="CR306" s="222">
        <f>(CR56/CR15)</f>
        <v>0</v>
      </c>
      <c r="CS306" s="222">
        <f>(CS56/CS15)</f>
        <v>0</v>
      </c>
      <c r="CU306" s="222">
        <f>(CU56/CU15)</f>
        <v>0</v>
      </c>
      <c r="CV306" s="222">
        <f>(CV56/CV15)</f>
        <v>0</v>
      </c>
      <c r="CW306" s="222">
        <f>(CW56/CW15)</f>
        <v>0</v>
      </c>
      <c r="CX306" s="222">
        <f>(CX56/CX15)</f>
        <v>0</v>
      </c>
    </row>
    <row r="307" customFormat="1" s="233">
      <c r="A307" s="224" t="n"/>
      <c r="B307" s="224" t="n"/>
      <c r="C307" s="233" t="inlineStr">
        <is>
          <t>EBITDA MARTGIN</t>
        </is>
      </c>
      <c r="D307" s="236">
        <f>D52/D15</f>
        <v>0.189750822755054</v>
      </c>
      <c r="E307" s="236">
        <f>E52/E15</f>
        <v>0.13924177253176</v>
      </c>
      <c r="F307" s="236">
        <f>F52/F15</f>
        <v>0.159700435178626</v>
      </c>
      <c r="G307" s="236">
        <f>G52/G15</f>
        <v>0.17774810858923</v>
      </c>
      <c r="I307" s="222">
        <f>I52/I15</f>
        <v>0.201901236645074</v>
      </c>
      <c r="J307" s="222">
        <f>J52/J15</f>
        <v>0.184343238420358</v>
      </c>
      <c r="K307" s="222">
        <f>K52/K15</f>
        <v>0.182060175848996</v>
      </c>
      <c r="L307" s="222">
        <f>L52/L15</f>
        <v>0.159225974778953</v>
      </c>
      <c r="N307" s="222">
        <f>N52/N15</f>
        <v>0.177496504525719</v>
      </c>
      <c r="O307" s="222">
        <f>O52/O15</f>
        <v>0.175264968063452</v>
      </c>
      <c r="P307" s="222">
        <f>P52/P15</f>
        <v>0.198479391756703</v>
      </c>
      <c r="Q307" s="222">
        <f>Q52/Q15</f>
        <v>0.134843646442128</v>
      </c>
      <c r="S307" s="222">
        <f>S52/S15</f>
        <v>0.205711763964191</v>
      </c>
      <c r="T307" s="222">
        <f>T52/T15</f>
        <v>0.242175770874235</v>
      </c>
      <c r="U307" s="222">
        <f>U52/U15</f>
        <v>0.236406900654372</v>
      </c>
      <c r="V307" s="222">
        <f>V52/V15</f>
        <v>0.215524311657879</v>
      </c>
      <c r="X307" s="222">
        <f>X52/X15</f>
        <v>0.255902272295715</v>
      </c>
      <c r="Y307" s="222">
        <f>Y52/Y15</f>
        <v>0.240457786566002</v>
      </c>
      <c r="Z307" s="222">
        <f>Z52/Z15</f>
        <v>0.229107165031665</v>
      </c>
      <c r="AA307" s="222">
        <f>AA52/AA15</f>
        <v>0.214554424915202</v>
      </c>
      <c r="AC307" s="222">
        <f>AC52/AC15</f>
        <v>0.218892553863429</v>
      </c>
      <c r="AD307" s="222">
        <f>AD52/AD15</f>
        <v>0.206047437986602</v>
      </c>
      <c r="AE307" s="222">
        <f>AE52/AE15</f>
        <v>0.205352080734777</v>
      </c>
      <c r="AF307" s="222">
        <f>AF52/AF15</f>
        <v>0.170281712224952</v>
      </c>
      <c r="AH307" s="222">
        <f>AH52/AH15</f>
        <v>0.21131208728108</v>
      </c>
      <c r="AI307" s="222">
        <f>AI52/AI15</f>
        <v>0.239059533661101</v>
      </c>
      <c r="AJ307" s="222">
        <f>AJ52/AJ15</f>
        <v>0</v>
      </c>
      <c r="AK307" s="222">
        <f>AK52/AK15</f>
        <v>0</v>
      </c>
      <c r="AM307" s="222">
        <f>AM52/AM15</f>
        <v>0</v>
      </c>
      <c r="AN307" s="222">
        <f>AN52/AN15</f>
        <v>0</v>
      </c>
      <c r="AO307" s="222">
        <f>AO52/AO15</f>
        <v>0</v>
      </c>
      <c r="AP307" s="222">
        <f>AP52/AP15</f>
        <v>0</v>
      </c>
      <c r="AR307" s="222">
        <f>AR52/AR15</f>
        <v>0</v>
      </c>
      <c r="AS307" s="222">
        <f>AS52/AS15</f>
        <v>0</v>
      </c>
      <c r="AT307" s="222">
        <f>AT52/AT15</f>
        <v>0</v>
      </c>
      <c r="AU307" s="222">
        <f>AU52/AU15</f>
        <v>0</v>
      </c>
      <c r="AW307" s="222">
        <f>AW52/AW15</f>
        <v>0</v>
      </c>
      <c r="AX307" s="222">
        <f>AX52/AX15</f>
        <v>0</v>
      </c>
      <c r="AY307" s="222">
        <f>AY52/AY15</f>
        <v>0</v>
      </c>
      <c r="AZ307" s="222">
        <f>AZ52/AZ15</f>
        <v>0</v>
      </c>
      <c r="BB307" s="222">
        <f>BB52/BB15</f>
        <v>0</v>
      </c>
      <c r="BC307" s="222">
        <f>BC52/BC15</f>
        <v>0</v>
      </c>
      <c r="BD307" s="222">
        <f>BD52/BD15</f>
        <v>0</v>
      </c>
      <c r="BE307" s="222">
        <f>BE52/BE15</f>
        <v>0</v>
      </c>
      <c r="BG307" s="222">
        <f>BG52/BG15</f>
        <v>0</v>
      </c>
      <c r="BH307" s="222">
        <f>BH52/BH15</f>
        <v>0</v>
      </c>
      <c r="BI307" s="222">
        <f>BI52/BI15</f>
        <v>0</v>
      </c>
      <c r="BJ307" s="222">
        <f>BJ52/BJ15</f>
        <v>0</v>
      </c>
      <c r="BL307" s="222">
        <f>BL52/BL15</f>
        <v>0</v>
      </c>
      <c r="BM307" s="222">
        <f>BM52/BM15</f>
        <v>0</v>
      </c>
      <c r="BN307" s="222">
        <f>BN52/BN15</f>
        <v>0</v>
      </c>
      <c r="BO307" s="222">
        <f>BO52/BO15</f>
        <v>0</v>
      </c>
      <c r="BQ307" s="222">
        <f>BQ52/BQ15</f>
        <v>0</v>
      </c>
      <c r="BR307" s="222">
        <f>BR52/BR15</f>
        <v>0</v>
      </c>
      <c r="BS307" s="222">
        <f>BS52/BS15</f>
        <v>0</v>
      </c>
      <c r="BT307" s="222">
        <f>BT52/BT15</f>
        <v>0</v>
      </c>
      <c r="BV307" s="222">
        <f>BV52/BV15</f>
        <v>0</v>
      </c>
      <c r="BW307" s="222">
        <f>BW52/BW15</f>
        <v>0</v>
      </c>
      <c r="BX307" s="222">
        <f>BX52/BX15</f>
        <v>0</v>
      </c>
      <c r="BY307" s="222">
        <f>BY52/BY15</f>
        <v>0</v>
      </c>
      <c r="CA307" s="222">
        <f>CA52/CA15</f>
        <v>0</v>
      </c>
      <c r="CB307" s="222">
        <f>CB52/CB15</f>
        <v>0</v>
      </c>
      <c r="CC307" s="222">
        <f>CC52/CC15</f>
        <v>0</v>
      </c>
      <c r="CD307" s="222">
        <f>CD52/CD15</f>
        <v>0</v>
      </c>
      <c r="CF307" s="222">
        <f>CF52/CF15</f>
        <v>0</v>
      </c>
      <c r="CG307" s="222">
        <f>CG52/CG15</f>
        <v>0</v>
      </c>
      <c r="CH307" s="222">
        <f>CH52/CH15</f>
        <v>0</v>
      </c>
      <c r="CI307" s="222">
        <f>CI52/CI15</f>
        <v>0</v>
      </c>
      <c r="CK307" s="222">
        <f>CK52/CK15</f>
        <v>0</v>
      </c>
      <c r="CL307" s="222">
        <f>CL52/CL15</f>
        <v>0</v>
      </c>
      <c r="CM307" s="222">
        <f>CM52/CM15</f>
        <v>0</v>
      </c>
      <c r="CN307" s="222">
        <f>CN52/CN15</f>
        <v>0</v>
      </c>
      <c r="CP307" s="222">
        <f>CP52/CP15</f>
        <v>0</v>
      </c>
      <c r="CQ307" s="222">
        <f>CQ52/CQ15</f>
        <v>0</v>
      </c>
      <c r="CR307" s="222">
        <f>CR52/CR15</f>
        <v>0</v>
      </c>
      <c r="CS307" s="222">
        <f>CS52/CS15</f>
        <v>0</v>
      </c>
      <c r="CU307" s="222">
        <f>CU52/CU15</f>
        <v>0</v>
      </c>
      <c r="CV307" s="222">
        <f>CV52/CV15</f>
        <v>0</v>
      </c>
      <c r="CW307" s="222">
        <f>CW52/CW15</f>
        <v>0</v>
      </c>
      <c r="CX307" s="222">
        <f>CX52/CX15</f>
        <v>0</v>
      </c>
    </row>
    <row r="308" customFormat="1" s="233">
      <c r="A308" s="224" t="n"/>
      <c r="B308" s="224" t="n"/>
      <c r="C308" s="233" t="inlineStr">
        <is>
          <t>ETR</t>
        </is>
      </c>
      <c r="D308" s="236">
        <f>-D114/D113</f>
        <v>0.280898876404494</v>
      </c>
      <c r="E308" s="236">
        <f>-E114/E113</f>
        <v>0.334808259587021</v>
      </c>
      <c r="F308" s="236">
        <f>-F114/F113</f>
        <v>0.216685979142526</v>
      </c>
      <c r="G308" s="236">
        <f>-G114/G113</f>
        <v>0.177470775770457</v>
      </c>
      <c r="I308" s="222">
        <f>-I114/I113</f>
        <v>0.237856785177767</v>
      </c>
      <c r="J308" s="222">
        <f>-J114/J113</f>
        <v>0.251336898395722</v>
      </c>
      <c r="K308" s="222">
        <f>-K114/K113</f>
        <v>0.207323943661972</v>
      </c>
      <c r="L308" s="222">
        <f>-L114/L113</f>
        <v>0.167447306791569</v>
      </c>
      <c r="N308" s="222">
        <f>-N114/N113</f>
        <v>0.234617308654327</v>
      </c>
      <c r="O308" s="222">
        <f>-O114/O113</f>
        <v>0.203721374045802</v>
      </c>
      <c r="P308" s="222">
        <f>-P114/P113</f>
        <v>0.206020328381548</v>
      </c>
      <c r="Q308" s="222">
        <f>-Q114/Q113</f>
        <v>0.306812767984755</v>
      </c>
      <c r="S308" s="222">
        <f>-S114/S113</f>
        <v>0.26879271070615</v>
      </c>
      <c r="T308" s="222">
        <f>-T114/T113</f>
        <v>0.205914567360351</v>
      </c>
      <c r="U308" s="222">
        <f>-U114/U113</f>
        <v>0.208819345661451</v>
      </c>
      <c r="V308" s="222">
        <f>-V114/V113</f>
        <v>0.180670975684826</v>
      </c>
      <c r="X308" s="222">
        <f>-X114/X113</f>
        <v>0.194790486976217</v>
      </c>
      <c r="Y308" s="222">
        <f>-Y114/Y113</f>
        <v>0.238857142857143</v>
      </c>
      <c r="Z308" s="222">
        <f>-Z114/Z113</f>
        <v>0.207230471271788</v>
      </c>
      <c r="AA308" s="222">
        <f>-AA114/AA113</f>
        <v>0.142769041011409</v>
      </c>
      <c r="AC308" s="222">
        <f>-AC114/AC113</f>
        <v>0.223346303501946</v>
      </c>
      <c r="AD308" s="222">
        <f>-AD114/AD113</f>
        <v>0.229240596167495</v>
      </c>
      <c r="AE308" s="222">
        <f>-AE114/AE113</f>
        <v>0.267348896706108</v>
      </c>
      <c r="AF308" s="222">
        <f>-AF114/AF113</f>
        <v>0.235294117647059</v>
      </c>
      <c r="AH308" s="222">
        <f>-AH114/AH113</f>
        <v>0.208657739022112</v>
      </c>
      <c r="AI308" s="222">
        <f>-AI114/AI113</f>
        <v>0.231461167178587</v>
      </c>
      <c r="AJ308" s="222">
        <f>-AJ114/AJ113</f>
        <v>0</v>
      </c>
      <c r="AK308" s="222">
        <f>-AK114/AK113</f>
        <v>0</v>
      </c>
      <c r="AM308" s="222">
        <f>-AM114/AM113</f>
        <v>0</v>
      </c>
      <c r="AN308" s="222">
        <f>-AN114/AN113</f>
        <v>0</v>
      </c>
      <c r="AO308" s="222">
        <f>-AO114/AO113</f>
        <v>0</v>
      </c>
      <c r="AP308" s="222">
        <f>-AP114/AP113</f>
        <v>0</v>
      </c>
      <c r="AR308" s="222">
        <f>-AR114/AR113</f>
        <v>0</v>
      </c>
      <c r="AS308" s="222">
        <f>-AS114/AS113</f>
        <v>0</v>
      </c>
      <c r="AT308" s="222">
        <f>-AT114/AT113</f>
        <v>0</v>
      </c>
      <c r="AU308" s="222">
        <f>-AU114/AU113</f>
        <v>0</v>
      </c>
      <c r="AW308" s="222">
        <f>-AW114/AW113</f>
        <v>0</v>
      </c>
      <c r="AX308" s="222">
        <f>-AX114/AX113</f>
        <v>0</v>
      </c>
      <c r="AY308" s="222">
        <f>-AY114/AY113</f>
        <v>0</v>
      </c>
      <c r="AZ308" s="222">
        <f>-AZ114/AZ113</f>
        <v>0</v>
      </c>
      <c r="BB308" s="222">
        <f>-BB114/BB113</f>
        <v>0</v>
      </c>
      <c r="BC308" s="222">
        <f>-BC114/BC113</f>
        <v>0</v>
      </c>
      <c r="BD308" s="222">
        <f>-BD114/BD113</f>
        <v>0</v>
      </c>
      <c r="BE308" s="222">
        <f>-BE114/BE113</f>
        <v>0</v>
      </c>
      <c r="BG308" s="222">
        <f>-BG114/BG113</f>
        <v>0</v>
      </c>
      <c r="BH308" s="222">
        <f>-BH114/BH113</f>
        <v>0</v>
      </c>
      <c r="BI308" s="222">
        <f>-BI114/BI113</f>
        <v>0</v>
      </c>
      <c r="BJ308" s="222">
        <f>-BJ114/BJ113</f>
        <v>0</v>
      </c>
      <c r="BL308" s="222">
        <f>-BL114/BL113</f>
        <v>0</v>
      </c>
      <c r="BM308" s="222">
        <f>-BM114/BM113</f>
        <v>0</v>
      </c>
      <c r="BN308" s="222">
        <f>-BN114/BN113</f>
        <v>0</v>
      </c>
      <c r="BO308" s="222">
        <f>-BO114/BO113</f>
        <v>0</v>
      </c>
      <c r="BQ308" s="222">
        <f>-BQ114/BQ113</f>
        <v>0</v>
      </c>
      <c r="BR308" s="222">
        <f>-BR114/BR113</f>
        <v>0</v>
      </c>
      <c r="BS308" s="222">
        <f>-BS114/BS113</f>
        <v>0</v>
      </c>
      <c r="BT308" s="222">
        <f>-BT114/BT113</f>
        <v>0</v>
      </c>
      <c r="BV308" s="222">
        <f>-BV114/BV113</f>
        <v>0</v>
      </c>
      <c r="BW308" s="222">
        <f>-BW114/BW113</f>
        <v>0</v>
      </c>
      <c r="BX308" s="222">
        <f>-BX114/BX113</f>
        <v>0</v>
      </c>
      <c r="BY308" s="222">
        <f>-BY114/BY113</f>
        <v>0</v>
      </c>
      <c r="CA308" s="222">
        <f>-CA114/CA113</f>
        <v>0</v>
      </c>
      <c r="CB308" s="222">
        <f>-CB114/CB113</f>
        <v>0</v>
      </c>
      <c r="CC308" s="222">
        <f>-CC114/CC113</f>
        <v>0</v>
      </c>
      <c r="CD308" s="222">
        <f>-CD114/CD113</f>
        <v>0</v>
      </c>
      <c r="CF308" s="222">
        <f>-CF114/CF113</f>
        <v>0</v>
      </c>
      <c r="CG308" s="222">
        <f>-CG114/CG113</f>
        <v>0</v>
      </c>
      <c r="CH308" s="222">
        <f>-CH114/CH113</f>
        <v>0</v>
      </c>
      <c r="CI308" s="222">
        <f>-CI114/CI113</f>
        <v>0</v>
      </c>
      <c r="CK308" s="222">
        <f>-CK114/CK113</f>
        <v>0</v>
      </c>
      <c r="CL308" s="222">
        <f>-CL114/CL113</f>
        <v>0</v>
      </c>
      <c r="CM308" s="222">
        <f>-CM114/CM113</f>
        <v>0</v>
      </c>
      <c r="CN308" s="222">
        <f>-CN114/CN113</f>
        <v>0</v>
      </c>
      <c r="CP308" s="222">
        <f>-CP114/CP113</f>
        <v>0</v>
      </c>
      <c r="CQ308" s="222">
        <f>-CQ114/CQ113</f>
        <v>0</v>
      </c>
      <c r="CR308" s="222">
        <f>-CR114/CR113</f>
        <v>0</v>
      </c>
      <c r="CS308" s="222">
        <f>-CS114/CS113</f>
        <v>0</v>
      </c>
      <c r="CU308" s="222">
        <f>-CU114/CU113</f>
        <v>0</v>
      </c>
      <c r="CV308" s="222">
        <f>-CV114/CV113</f>
        <v>0</v>
      </c>
      <c r="CW308" s="222">
        <f>-CW114/CW113</f>
        <v>0</v>
      </c>
      <c r="CX308" s="222">
        <f>-CX114/CX113</f>
        <v>0</v>
      </c>
    </row>
    <row r="309" customFormat="1" s="233">
      <c r="A309" s="224" t="n"/>
      <c r="B309" s="224" t="n"/>
    </row>
    <row r="310" customFormat="1" s="233">
      <c r="A310" s="224" t="n"/>
      <c r="B310" s="224" t="n"/>
      <c r="C310" s="234" t="inlineStr">
        <is>
          <t>CAPITAL STRUCTURE</t>
        </is>
      </c>
    </row>
    <row r="311" customFormat="1" s="233">
      <c r="A311" s="224" t="n"/>
      <c r="B311" s="224" t="n"/>
      <c r="C311" s="233" t="inlineStr">
        <is>
          <t>MARKET DEBT / EQUITY</t>
        </is>
      </c>
    </row>
    <row r="312" customFormat="1" s="233">
      <c r="A312" s="224" t="n"/>
      <c r="B312" s="224" t="n"/>
      <c r="C312" s="233" t="inlineStr">
        <is>
          <t>NET DEBT / (NET DEBT + MARKET CAP)</t>
        </is>
      </c>
    </row>
    <row r="313" customFormat="1" s="233">
      <c r="A313" s="224" t="n"/>
      <c r="B313" s="224" t="n"/>
    </row>
    <row r="314" customFormat="1" s="233">
      <c r="A314" s="224" t="n"/>
      <c r="B314" s="224" t="n"/>
      <c r="C314" s="234" t="inlineStr">
        <is>
          <t>FINANCIAL RISK RATIOS</t>
        </is>
      </c>
    </row>
    <row r="315" customFormat="1" s="233">
      <c r="A315" s="224" t="n"/>
      <c r="B315" s="224" t="n"/>
      <c r="C315" s="233" t="inlineStr">
        <is>
          <t>EBITDA / TOTAL INTEREST</t>
        </is>
      </c>
      <c r="D315" s="219" t="str">
        <f>IFERROR(D52/-D57,"")</f>
        <v/>
      </c>
      <c r="E315" s="219" t="str">
        <f>IFERROR(E52/-E57,"")</f>
        <v/>
      </c>
      <c r="F315" s="219" t="str">
        <f>IFERROR(F52/-F57,"")</f>
        <v/>
      </c>
      <c r="G315" s="219" t="str">
        <f>IFERROR(G52/-G57,"")</f>
        <v/>
      </c>
      <c r="I315" s="219" t="str">
        <f>IFERROR(I52/-I57,"")</f>
        <v/>
      </c>
      <c r="J315" s="219" t="str">
        <f>IFERROR(J52/-J57,"")</f>
        <v/>
      </c>
      <c r="K315" s="219" t="str">
        <f>IFERROR(K52/-K57,"")</f>
        <v/>
      </c>
      <c r="L315" s="219" t="str">
        <f>IFERROR(L52/-L57,"")</f>
        <v/>
      </c>
      <c r="N315" s="219" t="str">
        <f>IFERROR(N52/-N57,"")</f>
        <v/>
      </c>
      <c r="O315" s="219" t="str">
        <f>IFERROR(O52/-O57,"")</f>
        <v/>
      </c>
      <c r="P315" s="219" t="str">
        <f>IFERROR(P52/-P57,"")</f>
        <v/>
      </c>
      <c r="Q315" s="219" t="str">
        <f>IFERROR(Q52/-Q57,"")</f>
        <v/>
      </c>
      <c r="S315" s="219" t="str">
        <f>IFERROR(S52/-S57,"")</f>
        <v/>
      </c>
      <c r="T315" s="219" t="str">
        <f>IFERROR(T52/-T57,"")</f>
        <v/>
      </c>
      <c r="U315" s="219" t="str">
        <f>IFERROR(U52/-U57,"")</f>
        <v/>
      </c>
      <c r="V315" s="219" t="str">
        <f>IFERROR(V52/-V57,"")</f>
        <v/>
      </c>
      <c r="X315" s="219" t="str">
        <f>IFERROR(X52/-X57,"")</f>
        <v/>
      </c>
      <c r="Y315" s="219" t="str">
        <f>IFERROR(Y52/-Y57,"")</f>
        <v/>
      </c>
      <c r="Z315" s="219" t="str">
        <f>IFERROR(Z52/-Z57,"")</f>
        <v/>
      </c>
      <c r="AA315" s="219" t="str">
        <f>IFERROR(AA52/-AA57,"")</f>
        <v/>
      </c>
      <c r="AC315" s="219" t="str">
        <f>IFERROR(AC52/-AC57,"")</f>
        <v/>
      </c>
      <c r="AD315" s="219" t="str">
        <f>IFERROR(AD52/-AD57,"")</f>
        <v/>
      </c>
      <c r="AE315" s="219" t="str">
        <f>IFERROR(AE52/-AE57,"")</f>
        <v/>
      </c>
      <c r="AF315" s="219" t="str">
        <f>IFERROR(AF52/-AF57,"")</f>
        <v/>
      </c>
      <c r="AH315" s="219" t="str">
        <f>IFERROR(AH52/-AH57,"")</f>
        <v/>
      </c>
      <c r="AI315" s="219" t="str">
        <f>IFERROR(AI52/-AI57,"")</f>
        <v/>
      </c>
      <c r="AJ315" s="219" t="str">
        <f>IFERROR(AJ52/-AJ57,"")</f>
        <v/>
      </c>
      <c r="AK315" s="219" t="str">
        <f>IFERROR(AK52/-AK57,"")</f>
        <v/>
      </c>
      <c r="AM315" s="219" t="str">
        <f>IFERROR(AM52/-AM57,"")</f>
        <v/>
      </c>
      <c r="AN315" s="219" t="str">
        <f>IFERROR(AN52/-AN57,"")</f>
        <v/>
      </c>
      <c r="AO315" s="219" t="str">
        <f>IFERROR(AO52/-AO57,"")</f>
        <v/>
      </c>
      <c r="AP315" s="219" t="str">
        <f>IFERROR(AP52/-AP57,"")</f>
        <v/>
      </c>
      <c r="AR315" s="219" t="str">
        <f>IFERROR(AR52/-AR57,"")</f>
        <v/>
      </c>
      <c r="AS315" s="219" t="str">
        <f>IFERROR(AS52/-AS57,"")</f>
        <v/>
      </c>
      <c r="AT315" s="219" t="str">
        <f>IFERROR(AT52/-AT57,"")</f>
        <v/>
      </c>
      <c r="AU315" s="219" t="str">
        <f>IFERROR(AU52/-AU57,"")</f>
        <v/>
      </c>
      <c r="AW315" s="219" t="str">
        <f>IFERROR(AW52/-AW57,"")</f>
        <v/>
      </c>
      <c r="AX315" s="219" t="str">
        <f>IFERROR(AX52/-AX57,"")</f>
        <v/>
      </c>
      <c r="AY315" s="219" t="str">
        <f>IFERROR(AY52/-AY57,"")</f>
        <v/>
      </c>
      <c r="AZ315" s="219" t="str">
        <f>IFERROR(AZ52/-AZ57,"")</f>
        <v/>
      </c>
      <c r="BB315" s="219" t="str">
        <f>IFERROR(BB52/-BB57,"")</f>
        <v/>
      </c>
      <c r="BC315" s="219" t="str">
        <f>IFERROR(BC52/-BC57,"")</f>
        <v/>
      </c>
      <c r="BD315" s="219" t="str">
        <f>IFERROR(BD52/-BD57,"")</f>
        <v/>
      </c>
      <c r="BE315" s="219" t="str">
        <f>IFERROR(BE52/-BE57,"")</f>
        <v/>
      </c>
      <c r="BG315" s="219" t="str">
        <f>IFERROR(BG52/-BG57,"")</f>
        <v/>
      </c>
      <c r="BH315" s="219" t="str">
        <f>IFERROR(BH52/-BH57,"")</f>
        <v/>
      </c>
      <c r="BI315" s="219" t="str">
        <f>IFERROR(BI52/-BI57,"")</f>
        <v/>
      </c>
      <c r="BJ315" s="219" t="str">
        <f>IFERROR(BJ52/-BJ57,"")</f>
        <v/>
      </c>
      <c r="BL315" s="219" t="str">
        <f>IFERROR(BL52/-BL57,"")</f>
        <v/>
      </c>
      <c r="BM315" s="219" t="str">
        <f>IFERROR(BM52/-BM57,"")</f>
        <v/>
      </c>
      <c r="BN315" s="219" t="str">
        <f>IFERROR(BN52/-BN57,"")</f>
        <v/>
      </c>
      <c r="BO315" s="219" t="str">
        <f>IFERROR(BO52/-BO57,"")</f>
        <v/>
      </c>
      <c r="BQ315" s="219" t="str">
        <f>IFERROR(BQ52/-BQ57,"")</f>
        <v/>
      </c>
      <c r="BR315" s="219" t="str">
        <f>IFERROR(BR52/-BR57,"")</f>
        <v/>
      </c>
      <c r="BS315" s="219" t="str">
        <f>IFERROR(BS52/-BS57,"")</f>
        <v/>
      </c>
      <c r="BT315" s="219" t="str">
        <f>IFERROR(BT52/-BT57,"")</f>
        <v/>
      </c>
      <c r="BV315" s="219" t="str">
        <f>IFERROR(BV52/-BV57,"")</f>
        <v/>
      </c>
      <c r="BW315" s="219" t="str">
        <f>IFERROR(BW52/-BW57,"")</f>
        <v/>
      </c>
      <c r="BX315" s="219" t="str">
        <f>IFERROR(BX52/-BX57,"")</f>
        <v/>
      </c>
      <c r="BY315" s="219" t="str">
        <f>IFERROR(BY52/-BY57,"")</f>
        <v/>
      </c>
      <c r="CA315" s="219" t="str">
        <f>IFERROR(CA52/-CA57,"")</f>
        <v/>
      </c>
      <c r="CB315" s="219" t="str">
        <f>IFERROR(CB52/-CB57,"")</f>
        <v/>
      </c>
      <c r="CC315" s="219" t="str">
        <f>IFERROR(CC52/-CC57,"")</f>
        <v/>
      </c>
      <c r="CD315" s="219" t="str">
        <f>IFERROR(CD52/-CD57,"")</f>
        <v/>
      </c>
      <c r="CF315" s="219" t="str">
        <f>IFERROR(CF52/-CF57,"")</f>
        <v/>
      </c>
      <c r="CG315" s="219" t="str">
        <f>IFERROR(CG52/-CG57,"")</f>
        <v/>
      </c>
      <c r="CH315" s="219" t="str">
        <f>IFERROR(CH52/-CH57,"")</f>
        <v/>
      </c>
      <c r="CI315" s="219" t="str">
        <f>IFERROR(CI52/-CI57,"")</f>
        <v/>
      </c>
      <c r="CK315" s="219" t="str">
        <f>IFERROR(CK52/-CK57,"")</f>
        <v/>
      </c>
      <c r="CL315" s="219" t="str">
        <f>IFERROR(CL52/-CL57,"")</f>
        <v/>
      </c>
      <c r="CM315" s="219" t="str">
        <f>IFERROR(CM52/-CM57,"")</f>
        <v/>
      </c>
      <c r="CN315" s="219" t="str">
        <f>IFERROR(CN52/-CN57,"")</f>
        <v/>
      </c>
      <c r="CP315" s="219" t="str">
        <f>IFERROR(CP52/-CP57,"")</f>
        <v/>
      </c>
      <c r="CQ315" s="219" t="str">
        <f>IFERROR(CQ52/-CQ57,"")</f>
        <v/>
      </c>
      <c r="CR315" s="219" t="str">
        <f>IFERROR(CR52/-CR57,"")</f>
        <v/>
      </c>
      <c r="CS315" s="219" t="str">
        <f>IFERROR(CS52/-CS57,"")</f>
        <v/>
      </c>
      <c r="CU315" s="219" t="str">
        <f>IFERROR(CU52/-CU57,"")</f>
        <v/>
      </c>
      <c r="CV315" s="219" t="str">
        <f>IFERROR(CV52/-CV57,"")</f>
        <v/>
      </c>
      <c r="CW315" s="219" t="str">
        <f>IFERROR(CW52/-CW57,"")</f>
        <v/>
      </c>
      <c r="CX315" s="219" t="str">
        <f>IFERROR(CX52/-CX57,"")</f>
        <v/>
      </c>
    </row>
    <row r="316" customFormat="1" s="233">
      <c r="A316" s="224" t="n"/>
      <c r="B316" s="224" t="n"/>
      <c r="C316" s="233" t="inlineStr">
        <is>
          <t>(EBITDA - CAPEX) / TOTAL INTEREST</t>
        </is>
      </c>
      <c r="D316" s="219" t="str">
        <f>IFERROR((D52-D151)/-D57,"")</f>
        <v/>
      </c>
      <c r="E316" s="219" t="str">
        <f>IFERROR((E52-E151)/-E57,"")</f>
        <v/>
      </c>
      <c r="F316" s="219" t="str">
        <f>IFERROR((F52-F151)/-F57,"")</f>
        <v/>
      </c>
      <c r="G316" s="219" t="str">
        <f>IFERROR((G52-G151)/-G57,"")</f>
        <v/>
      </c>
      <c r="I316" s="219" t="str">
        <f>IFERROR((I52-I151)/-I57,"")</f>
        <v/>
      </c>
      <c r="J316" s="219" t="str">
        <f>IFERROR((J52-J151)/-J57,"")</f>
        <v/>
      </c>
      <c r="K316" s="219" t="str">
        <f>IFERROR((K52-K151)/-K57,"")</f>
        <v/>
      </c>
      <c r="L316" s="219" t="str">
        <f>IFERROR((L52-L151)/-L57,"")</f>
        <v/>
      </c>
      <c r="N316" s="219" t="str">
        <f>IFERROR((N52-N151)/-N57,"")</f>
        <v/>
      </c>
      <c r="O316" s="219" t="str">
        <f>IFERROR((O52-O151)/-O57,"")</f>
        <v/>
      </c>
      <c r="P316" s="219" t="str">
        <f>IFERROR((P52-P151)/-P57,"")</f>
        <v/>
      </c>
      <c r="Q316" s="219" t="str">
        <f>IFERROR((Q52-Q151)/-Q57,"")</f>
        <v/>
      </c>
      <c r="S316" s="219" t="str">
        <f>IFERROR((S52-S151)/-S57,"")</f>
        <v/>
      </c>
      <c r="T316" s="219" t="str">
        <f>IFERROR((T52-T151)/-T57,"")</f>
        <v/>
      </c>
      <c r="U316" s="219" t="str">
        <f>IFERROR((U52-U151)/-U57,"")</f>
        <v/>
      </c>
      <c r="V316" s="219" t="str">
        <f>IFERROR((V52-V151)/-V57,"")</f>
        <v/>
      </c>
      <c r="X316" s="219" t="str">
        <f>IFERROR((X52-X151)/-X57,"")</f>
        <v/>
      </c>
      <c r="Y316" s="219" t="str">
        <f>IFERROR((Y52-Y151)/-Y57,"")</f>
        <v/>
      </c>
      <c r="Z316" s="219" t="str">
        <f>IFERROR((Z52-Z151)/-Z57,"")</f>
        <v/>
      </c>
      <c r="AA316" s="219" t="str">
        <f>IFERROR((AA52-AA151)/-AA57,"")</f>
        <v/>
      </c>
      <c r="AC316" s="219" t="str">
        <f>IFERROR((AC52-AC151)/-AC57,"")</f>
        <v/>
      </c>
      <c r="AD316" s="219" t="str">
        <f>IFERROR((AD52-AD151)/-AD57,"")</f>
        <v/>
      </c>
      <c r="AE316" s="219" t="str">
        <f>IFERROR((AE52-AE151)/-AE57,"")</f>
        <v/>
      </c>
      <c r="AF316" s="219" t="str">
        <f>IFERROR((AF52-AF151)/-AF57,"")</f>
        <v/>
      </c>
      <c r="AH316" s="219" t="str">
        <f>IFERROR((AH52-AH151)/-AH57,"")</f>
        <v/>
      </c>
      <c r="AI316" s="219" t="str">
        <f>IFERROR((AI52-AI151)/-AI57,"")</f>
        <v/>
      </c>
      <c r="AJ316" s="219" t="str">
        <f>IFERROR((AJ52-AJ151)/-AJ57,"")</f>
        <v/>
      </c>
      <c r="AK316" s="219" t="str">
        <f>IFERROR((AK52-AK151)/-AK57,"")</f>
        <v/>
      </c>
      <c r="AM316" s="219" t="str">
        <f>IFERROR((AM52-AM151)/-AM57,"")</f>
        <v/>
      </c>
      <c r="AN316" s="219" t="str">
        <f>IFERROR((AN52-AN151)/-AN57,"")</f>
        <v/>
      </c>
      <c r="AO316" s="219" t="str">
        <f>IFERROR((AO52-AO151)/-AO57,"")</f>
        <v/>
      </c>
      <c r="AP316" s="219" t="str">
        <f>IFERROR((AP52-AP151)/-AP57,"")</f>
        <v/>
      </c>
      <c r="AR316" s="219" t="str">
        <f>IFERROR((AR52-AR151)/-AR57,"")</f>
        <v/>
      </c>
      <c r="AS316" s="219" t="str">
        <f>IFERROR((AS52-AS151)/-AS57,"")</f>
        <v/>
      </c>
      <c r="AT316" s="219" t="str">
        <f>IFERROR((AT52-AT151)/-AT57,"")</f>
        <v/>
      </c>
      <c r="AU316" s="219" t="str">
        <f>IFERROR((AU52-AU151)/-AU57,"")</f>
        <v/>
      </c>
      <c r="AW316" s="219" t="str">
        <f>IFERROR((AW52-AW151)/-AW57,"")</f>
        <v/>
      </c>
      <c r="AX316" s="219" t="str">
        <f>IFERROR((AX52-AX151)/-AX57,"")</f>
        <v/>
      </c>
      <c r="AY316" s="219" t="str">
        <f>IFERROR((AY52-AY151)/-AY57,"")</f>
        <v/>
      </c>
      <c r="AZ316" s="219" t="str">
        <f>IFERROR((AZ52-AZ151)/-AZ57,"")</f>
        <v/>
      </c>
      <c r="BB316" s="219" t="str">
        <f>IFERROR((BB52-BB151)/-BB57,"")</f>
        <v/>
      </c>
      <c r="BC316" s="219" t="str">
        <f>IFERROR((BC52-BC151)/-BC57,"")</f>
        <v/>
      </c>
      <c r="BD316" s="219" t="str">
        <f>IFERROR((BD52-BD151)/-BD57,"")</f>
        <v/>
      </c>
      <c r="BE316" s="219" t="str">
        <f>IFERROR((BE52-BE151)/-BE57,"")</f>
        <v/>
      </c>
      <c r="BG316" s="219" t="str">
        <f>IFERROR((BG52-BG151)/-BG57,"")</f>
        <v/>
      </c>
      <c r="BH316" s="219" t="str">
        <f>IFERROR((BH52-BH151)/-BH57,"")</f>
        <v/>
      </c>
      <c r="BI316" s="219" t="str">
        <f>IFERROR((BI52-BI151)/-BI57,"")</f>
        <v/>
      </c>
      <c r="BJ316" s="219" t="str">
        <f>IFERROR((BJ52-BJ151)/-BJ57,"")</f>
        <v/>
      </c>
      <c r="BL316" s="219" t="str">
        <f>IFERROR((BL52-BL151)/-BL57,"")</f>
        <v/>
      </c>
      <c r="BM316" s="219" t="str">
        <f>IFERROR((BM52-BM151)/-BM57,"")</f>
        <v/>
      </c>
      <c r="BN316" s="219" t="str">
        <f>IFERROR((BN52-BN151)/-BN57,"")</f>
        <v/>
      </c>
      <c r="BO316" s="219" t="str">
        <f>IFERROR((BO52-BO151)/-BO57,"")</f>
        <v/>
      </c>
      <c r="BQ316" s="219" t="str">
        <f>IFERROR((BQ52-BQ151)/-BQ57,"")</f>
        <v/>
      </c>
      <c r="BR316" s="219" t="str">
        <f>IFERROR((BR52-BR151)/-BR57,"")</f>
        <v/>
      </c>
      <c r="BS316" s="219" t="str">
        <f>IFERROR((BS52-BS151)/-BS57,"")</f>
        <v/>
      </c>
      <c r="BT316" s="219" t="str">
        <f>IFERROR((BT52-BT151)/-BT57,"")</f>
        <v/>
      </c>
      <c r="BV316" s="219" t="str">
        <f>IFERROR((BV52-BV151)/-BV57,"")</f>
        <v/>
      </c>
      <c r="BW316" s="219" t="str">
        <f>IFERROR((BW52-BW151)/-BW57,"")</f>
        <v/>
      </c>
      <c r="BX316" s="219" t="str">
        <f>IFERROR((BX52-BX151)/-BX57,"")</f>
        <v/>
      </c>
      <c r="BY316" s="219" t="str">
        <f>IFERROR((BY52-BY151)/-BY57,"")</f>
        <v/>
      </c>
      <c r="CA316" s="219" t="str">
        <f>IFERROR((CA52-CA151)/-CA57,"")</f>
        <v/>
      </c>
      <c r="CB316" s="219" t="str">
        <f>IFERROR((CB52-CB151)/-CB57,"")</f>
        <v/>
      </c>
      <c r="CC316" s="219" t="str">
        <f>IFERROR((CC52-CC151)/-CC57,"")</f>
        <v/>
      </c>
      <c r="CD316" s="219" t="str">
        <f>IFERROR((CD52-CD151)/-CD57,"")</f>
        <v/>
      </c>
      <c r="CF316" s="219" t="str">
        <f>IFERROR((CF52-CF151)/-CF57,"")</f>
        <v/>
      </c>
      <c r="CG316" s="219" t="str">
        <f>IFERROR((CG52-CG151)/-CG57,"")</f>
        <v/>
      </c>
      <c r="CH316" s="219" t="str">
        <f>IFERROR((CH52-CH151)/-CH57,"")</f>
        <v/>
      </c>
      <c r="CI316" s="219" t="str">
        <f>IFERROR((CI52-CI151)/-CI57,"")</f>
        <v/>
      </c>
      <c r="CK316" s="219" t="str">
        <f>IFERROR((CK52-CK151)/-CK57,"")</f>
        <v/>
      </c>
      <c r="CL316" s="219" t="str">
        <f>IFERROR((CL52-CL151)/-CL57,"")</f>
        <v/>
      </c>
      <c r="CM316" s="219" t="str">
        <f>IFERROR((CM52-CM151)/-CM57,"")</f>
        <v/>
      </c>
      <c r="CN316" s="219" t="str">
        <f>IFERROR((CN52-CN151)/-CN57,"")</f>
        <v/>
      </c>
      <c r="CP316" s="219" t="str">
        <f>IFERROR((CP52-CP151)/-CP57,"")</f>
        <v/>
      </c>
      <c r="CQ316" s="219" t="str">
        <f>IFERROR((CQ52-CQ151)/-CQ57,"")</f>
        <v/>
      </c>
      <c r="CR316" s="219" t="str">
        <f>IFERROR((CR52-CR151)/-CR57,"")</f>
        <v/>
      </c>
      <c r="CS316" s="219" t="str">
        <f>IFERROR((CS52-CS151)/-CS57,"")</f>
        <v/>
      </c>
      <c r="CU316" s="219" t="str">
        <f>IFERROR((CU52-CU151)/-CU57,"")</f>
        <v/>
      </c>
      <c r="CV316" s="219" t="str">
        <f>IFERROR((CV52-CV151)/-CV57,"")</f>
        <v/>
      </c>
      <c r="CW316" s="219" t="str">
        <f>IFERROR((CW52-CW151)/-CW57,"")</f>
        <v/>
      </c>
      <c r="CX316" s="219" t="str">
        <f>IFERROR((CX52-CX151)/-CX57,"")</f>
        <v/>
      </c>
    </row>
    <row r="317" customFormat="1" s="233">
      <c r="A317" s="224" t="n"/>
      <c r="B317" s="224" t="n"/>
      <c r="C317" s="233" t="inlineStr">
        <is>
          <t>TOTAL DEBT / EBITDA LTM</t>
        </is>
      </c>
      <c r="D317" s="219" t="str">
        <f>""</f>
        <v/>
      </c>
      <c r="E317" s="219" t="str">
        <f>""</f>
        <v/>
      </c>
      <c r="F317" s="219" t="str">
        <f>""</f>
        <v/>
      </c>
      <c r="G317" s="219">
        <f>IFERROR(SUM(G195,G196,G197,G200,G218,G221)/(G52+F52+E52+D52),"")</f>
        <v>5.32040085898354</v>
      </c>
      <c r="I317" s="219">
        <f>IFERROR(SUM(I195,I196,I197,I200,I218,I221)/(I52+G52+F52+E52),"")</f>
        <v>5.18257092439256</v>
      </c>
      <c r="J317" s="219">
        <f>IFERROR(SUM(J195,J196,J197,J200,J218,J221)/(J52+I52+G52+F52),"")</f>
        <v>4.50065860376003</v>
      </c>
      <c r="K317" s="219">
        <f>IFERROR(SUM(K195,K196,K197,K200,K218,K221)/(K52+J52+I52+G52),"")</f>
        <v>4.07353266888151</v>
      </c>
      <c r="L317" s="219">
        <f>IFERROR(SUM(L195,L196,L197,L200,L218,L221)/(L52+K52+J52+I52),"")</f>
        <v>4.09414951245937</v>
      </c>
      <c r="N317" s="219">
        <f>IFERROR(SUM(N195,N196,N197,N200,N218,N221)/(N52+L52+K52+J52),"")</f>
        <v>4.06665223977494</v>
      </c>
      <c r="O317" s="219">
        <f>IFERROR(SUM(O195,O196,O197,O200,O218,O221)/(O52+N52+L52+K52),"")</f>
        <v>3.94766634625654</v>
      </c>
      <c r="P317" s="219">
        <f>IFERROR(SUM(P195,P196,P197,P200,P218,P221)/(P52+O52+N52+L52),"")</f>
        <v>3.62279309660782</v>
      </c>
      <c r="Q317" s="219">
        <f>IFERROR(SUM(Q195,Q196,Q197,Q200,Q218,Q221)/(Q52+P52+O52+N52),"")</f>
        <v>3.65435147683493</v>
      </c>
      <c r="S317" s="219">
        <f>IFERROR(SUM(S195,S196,S197,S200,S218,S221)/(S52+Q52+P52+O52),"")</f>
        <v>3.37506834335703</v>
      </c>
      <c r="T317" s="219">
        <f>IFERROR(SUM(T195,T196,T197,T200,T218,T221)/(T52+S52+Q52+P52),"")</f>
        <v>2.97521900402494</v>
      </c>
      <c r="U317" s="219">
        <f>IFERROR(SUM(U195,U196,U197,U200,U218,U221)/(U52+T52+S52+Q52),"")</f>
        <v>2.7170239227449</v>
      </c>
      <c r="V317" s="219">
        <f>IFERROR(SUM(V195,V196,V197,V200,V218,V221)/(V52+U52+T52+S52),"")</f>
        <v>2.50681667769689</v>
      </c>
      <c r="X317" s="219">
        <f>IFERROR(SUM(X195,X196,X197,X200,X218,X221)/(X52+V52+U52+T52),"")</f>
        <v>2.3821900566394</v>
      </c>
      <c r="Y317" s="219">
        <f>IFERROR(SUM(Y195,Y196,Y197,Y200,Y218,Y221)/(Y52+X52+V52+U52),"")</f>
        <v>2.37513527277357</v>
      </c>
      <c r="Z317" s="219">
        <f>IFERROR(SUM(Z195,Z196,Z197,Z200,Z218,Z221)/(Z52+Y52+X52+V52),"")</f>
        <v>2.45711507293355</v>
      </c>
      <c r="AA317" s="219">
        <f>IFERROR(SUM(AA195,AA196,AA197,AA200,AA218,AA221)/(AA52+Z52+Y52+X52),"")</f>
        <v>2.52275862068966</v>
      </c>
      <c r="AC317" s="219">
        <f>IFERROR(SUM(AC195,AC196,AC197,AC200,AC218,AC221)/(AC52+AA52+Z52+Y52),"")</f>
        <v>2.69827284805258</v>
      </c>
      <c r="AD317" s="219">
        <f>IFERROR(SUM(AD195,AD196,AD197,AD200,AD218,AD221)/(AD52+AC52+AA52+Z52),"")</f>
        <v>2.97387242738286</v>
      </c>
      <c r="AE317" s="219">
        <f>IFERROR(SUM(AE195,AE196,AE197,AE200,AE218,AE221)/(AE52+AD52+AC52+AA52),"")</f>
        <v>3.04635470148159</v>
      </c>
      <c r="AF317" s="219">
        <f>IFERROR(SUM(AF195,AF196,AF197,AF200,AF218,AF221)/(AF52+AE52+AD52+AC52),"")</f>
        <v>3.23044807276523</v>
      </c>
      <c r="AH317" s="219">
        <f>IFERROR(SUM(AH195,AH196,AH197,AH200,AH218,AH221)/(AH52+AF52+AE52+AD52),"")</f>
        <v>3.0818663231716</v>
      </c>
      <c r="AI317" s="219">
        <f>IFERROR(SUM(AI195,AI196,AI197,AI200,AI218,AI221)/(AI52+AH52+AF52+AE52),"")</f>
        <v>2.91810484131601</v>
      </c>
      <c r="AJ317" s="219">
        <f>IFERROR(SUM(AJ195,AJ196,AJ197,AJ200,AJ218,AJ221)/(AJ52+AI52+AH52+AF52),"")</f>
        <v>3.81011055785298</v>
      </c>
      <c r="AK317" s="219">
        <f>IFERROR(SUM(AK195,AK196,AK197,AK200,AK218,AK221)/(AK52+AJ52+AI52+AH52),"")</f>
        <v>5.25503433826097</v>
      </c>
      <c r="AM317" s="219">
        <f>IFERROR(SUM(AM195,AM196,AM197,AM200,AM218,AM221)/(AM52+AK52+AJ52+AI52),"")</f>
        <v>9.19283241702301</v>
      </c>
      <c r="AN317" s="219" t="str">
        <f>IFERROR(SUM(AN195,AN196,AN197,AN200,AN218,AN221)/(AN52+AM52+AK52+AJ52),"")</f>
        <v/>
      </c>
      <c r="AO317" s="219" t="str">
        <f>IFERROR(SUM(AO195,AO196,AO197,AO200,AO218,AO221)/(AO52+AN52+AM52+AK52),"")</f>
        <v/>
      </c>
      <c r="AP317" s="219" t="str">
        <f>IFERROR(SUM(AP195,AP196,AP197,AP200,AP218,AP221)/(AP52+AO52+AN52+AM52),"")</f>
        <v/>
      </c>
      <c r="AR317" s="219" t="str">
        <f>IFERROR(SUM(AR195,AR196,AR197,AR200,AR218,AR221)/(AR52+AP52+AO52+AN52),"")</f>
        <v/>
      </c>
      <c r="AS317" s="219" t="str">
        <f>IFERROR(SUM(AS195,AS196,AS197,AS200,AS218,AS221)/(AS52+AR52+AP52+AO52),"")</f>
        <v/>
      </c>
      <c r="AT317" s="219" t="str">
        <f>IFERROR(SUM(AT195,AT196,AT197,AT200,AT218,AT221)/(AT52+AS52+AR52+AP52),"")</f>
        <v/>
      </c>
      <c r="AU317" s="219" t="str">
        <f>IFERROR(SUM(AU195,AU196,AU197,AU200,AU218,AU221)/(AU52+AT52+AS52+AR52),"")</f>
        <v/>
      </c>
      <c r="AW317" s="219" t="str">
        <f>IFERROR(SUM(AW195,AW196,AW197,AW200,AW218,AW221)/(AW52+AU52+AT52+AS52),"")</f>
        <v/>
      </c>
      <c r="AX317" s="219" t="str">
        <f>IFERROR(SUM(AX195,AX196,AX197,AX200,AX218,AX221)/(AX52+AW52+AU52+AT52),"")</f>
        <v/>
      </c>
      <c r="AY317" s="219" t="str">
        <f>IFERROR(SUM(AY195,AY196,AY197,AY200,AY218,AY221)/(AY52+AX52+AW52+AU52),"")</f>
        <v/>
      </c>
      <c r="AZ317" s="219" t="str">
        <f>IFERROR(SUM(AZ195,AZ196,AZ197,AZ200,AZ218,AZ221)/(AZ52+AY52+AX52+AW52),"")</f>
        <v/>
      </c>
      <c r="BB317" s="219" t="str">
        <f>IFERROR(SUM(BB195,BB196,BB197,BB200,BB218,BB221)/(BB52+AZ52+AY52+AX52),"")</f>
        <v/>
      </c>
      <c r="BC317" s="219" t="str">
        <f>IFERROR(SUM(BC195,BC196,BC197,BC200,BC218,BC221)/(BC52+BB52+AZ52+AY52),"")</f>
        <v/>
      </c>
      <c r="BD317" s="219" t="str">
        <f>IFERROR(SUM(BD195,BD196,BD197,BD200,BD218,BD221)/(BD52+BC52+BB52+AZ52),"")</f>
        <v/>
      </c>
      <c r="BE317" s="219" t="str">
        <f>IFERROR(SUM(BE195,BE196,BE197,BE200,BE218,BE221)/(BE52+BD52+BC52+BB52),"")</f>
        <v/>
      </c>
      <c r="BG317" s="219" t="str">
        <f>IFERROR(SUM(BG195,BG196,BG197,BG200,BG218,BG221)/(BG52+BE52+BD52+BC52),"")</f>
        <v/>
      </c>
      <c r="BH317" s="219" t="str">
        <f>IFERROR(SUM(BH195,BH196,BH197,BH200,BH218,BH221)/(BH52+BG52+BE52+BD52),"")</f>
        <v/>
      </c>
      <c r="BI317" s="219" t="str">
        <f>IFERROR(SUM(BI195,BI196,BI197,BI200,BI218,BI221)/(BI52+BH52+BG52+BE52),"")</f>
        <v/>
      </c>
      <c r="BJ317" s="219" t="str">
        <f>IFERROR(SUM(BJ195,BJ196,BJ197,BJ200,BJ218,BJ221)/(BJ52+BI52+BH52+BG52),"")</f>
        <v/>
      </c>
      <c r="BL317" s="219" t="str">
        <f>IFERROR(SUM(BL195,BL196,BL197,BL200,BL218,BL221)/(BL52+BJ52+BI52+BH52),"")</f>
        <v/>
      </c>
      <c r="BM317" s="219" t="str">
        <f>IFERROR(SUM(BM195,BM196,BM197,BM200,BM218,BM221)/(BM52+BL52+BJ52+BI52),"")</f>
        <v/>
      </c>
      <c r="BN317" s="219" t="str">
        <f>IFERROR(SUM(BN195,BN196,BN197,BN200,BN218,BN221)/(BN52+BM52+BL52+BJ52),"")</f>
        <v/>
      </c>
      <c r="BO317" s="219" t="str">
        <f>IFERROR(SUM(BO195,BO196,BO197,BO200,BO218,BO221)/(BO52+BN52+BM52+BL52),"")</f>
        <v/>
      </c>
      <c r="BQ317" s="219" t="str">
        <f>IFERROR(SUM(BQ195,BQ196,BQ197,BQ200,BQ218,BQ221)/(BQ52+BO52+BN52+BM52),"")</f>
        <v/>
      </c>
      <c r="BR317" s="219" t="str">
        <f>IFERROR(SUM(BR195,BR196,BR197,BR200,BR218,BR221)/(BR52+BQ52+BO52+BN52),"")</f>
        <v/>
      </c>
      <c r="BS317" s="219" t="str">
        <f>IFERROR(SUM(BS195,BS196,BS197,BS200,BS218,BS221)/(BS52+BR52+BQ52+BO52),"")</f>
        <v/>
      </c>
      <c r="BT317" s="219" t="str">
        <f>IFERROR(SUM(BT195,BT196,BT197,BT200,BT218,BT221)/(BT52+BS52+BR52+BQ52),"")</f>
        <v/>
      </c>
      <c r="BV317" s="219" t="str">
        <f>IFERROR(SUM(BV195,BV196,BV197,BV200,BV218,BV221)/(BV52+BT52+BS52+BR52),"")</f>
        <v/>
      </c>
      <c r="BW317" s="219" t="str">
        <f>IFERROR(SUM(BW195,BW196,BW197,BW200,BW218,BW221)/(BW52+BV52+BT52+BS52),"")</f>
        <v/>
      </c>
      <c r="BX317" s="219" t="str">
        <f>IFERROR(SUM(BX195,BX196,BX197,BX200,BX218,BX221)/(BX52+BW52+BV52+BT52),"")</f>
        <v/>
      </c>
      <c r="BY317" s="219" t="str">
        <f>IFERROR(SUM(BY195,BY196,BY197,BY200,BY218,BY221)/(BY52+BX52+BW52+BV52),"")</f>
        <v/>
      </c>
      <c r="CA317" s="219" t="str">
        <f>IFERROR(SUM(CA195,CA196,CA197,CA200,CA218,CA221)/(CA52+BY52+BX52+BW52),"")</f>
        <v/>
      </c>
      <c r="CB317" s="219" t="str">
        <f>IFERROR(SUM(CB195,CB196,CB197,CB200,CB218,CB221)/(CB52+CA52+BY52+BX52),"")</f>
        <v/>
      </c>
      <c r="CC317" s="219" t="str">
        <f>IFERROR(SUM(CC195,CC196,CC197,CC200,CC218,CC221)/(CC52+CB52+CA52+BY52),"")</f>
        <v/>
      </c>
      <c r="CD317" s="219" t="str">
        <f>IFERROR(SUM(CD195,CD196,CD197,CD200,CD218,CD221)/(CD52+CC52+CB52+CA52),"")</f>
        <v/>
      </c>
      <c r="CF317" s="219" t="str">
        <f>IFERROR(SUM(CF195,CF196,CF197,CF200,CF218,CF221)/(CF52+CD52+CC52+CB52),"")</f>
        <v/>
      </c>
      <c r="CG317" s="219" t="str">
        <f>IFERROR(SUM(CG195,CG196,CG197,CG200,CG218,CG221)/(CG52+CF52+CD52+CC52),"")</f>
        <v/>
      </c>
      <c r="CH317" s="219" t="str">
        <f>IFERROR(SUM(CH195,CH196,CH197,CH200,CH218,CH221)/(CH52+CG52+CF52+CD52),"")</f>
        <v/>
      </c>
      <c r="CI317" s="219" t="str">
        <f>IFERROR(SUM(CI195,CI196,CI197,CI200,CI218,CI221)/(CI52+CH52+CG52+CF52),"")</f>
        <v/>
      </c>
      <c r="CK317" s="219" t="str">
        <f>IFERROR(SUM(CK195,CK196,CK197,CK200,CK218,CK221)/(CK52+CI52+CH52+CG52),"")</f>
        <v/>
      </c>
      <c r="CL317" s="219" t="str">
        <f>IFERROR(SUM(CL195,CL196,CL197,CL200,CL218,CL221)/(CL52+CK52+CI52+CH52),"")</f>
        <v/>
      </c>
      <c r="CM317" s="219" t="str">
        <f>IFERROR(SUM(CM195,CM196,CM197,CM200,CM218,CM221)/(CM52+CL52+CK52+CI52),"")</f>
        <v/>
      </c>
      <c r="CN317" s="219" t="str">
        <f>IFERROR(SUM(CN195,CN196,CN197,CN200,CN218,CN221)/(CN52+CM52+CL52+CK52),"")</f>
        <v/>
      </c>
      <c r="CP317" s="219" t="str">
        <f>IFERROR(SUM(CP195,CP196,CP197,CP200,CP218,CP221)/(CP52+CN52+CM52+CL52),"")</f>
        <v/>
      </c>
      <c r="CQ317" s="219" t="str">
        <f>IFERROR(SUM(CQ195,CQ196,CQ197,CQ200,CQ218,CQ221)/(CQ52+CP52+CN52+CM52),"")</f>
        <v/>
      </c>
      <c r="CR317" s="219" t="str">
        <f>IFERROR(SUM(CR195,CR196,CR197,CR200,CR218,CR221)/(CR52+CQ52+CP52+CN52),"")</f>
        <v/>
      </c>
      <c r="CS317" s="219" t="str">
        <f>IFERROR(SUM(CS195,CS196,CS197,CS200,CS218,CS221)/(CS52+CR52+CQ52+CP52),"")</f>
        <v/>
      </c>
      <c r="CU317" s="219" t="str">
        <f>IFERROR(SUM(CU195,CU196,CU197,CU200,CU218,CU221)/(CU52+CS52+CR52+CQ52),"")</f>
        <v/>
      </c>
      <c r="CV317" s="219" t="str">
        <f>IFERROR(SUM(CV195,CV196,CV197,CV200,CV218,CV221)/(CV52+CU52+CS52+CR52),"")</f>
        <v/>
      </c>
      <c r="CW317" s="219" t="str">
        <f>IFERROR(SUM(CW195,CW196,CW197,CW200,CW218,CW221)/(CW52+CV52+CU52+CS52),"")</f>
        <v/>
      </c>
      <c r="CX317" s="219" t="str">
        <f>IFERROR(SUM(CX195,CX196,CX197,CX200,CX218,CX221)/(CX52+CW52+CV52+CU52),"")</f>
        <v/>
      </c>
    </row>
    <row r="318" customFormat="1" s="233">
      <c r="A318" s="224" t="n"/>
      <c r="B318" s="224" t="n"/>
      <c r="C318" s="233" t="inlineStr">
        <is>
          <t>TOTAL DEBT / TOTAL CAPITALIZATION</t>
        </is>
      </c>
      <c r="D318" s="221">
        <f>SUM(D195+D196+D197+D200+D218+D221)/(SUM(D195+D196+D197+D200+D218+D221)+D254)</f>
        <v>0</v>
      </c>
      <c r="E318" s="221">
        <f>SUM(E195+E196+E197+E200+E218+E221)/(SUM(E195+E196+E197+E200+E218+E221)+E254)</f>
        <v>0</v>
      </c>
      <c r="F318" s="221">
        <f>SUM(F195+F196+F197+F200+F218+F221)/(SUM(F195+F196+F197+F200+F218+F221)+F254)</f>
        <v>0.71773343373494</v>
      </c>
      <c r="G318" s="221">
        <f>SUM(G195+G196+G197+G200+G218+G221)/(SUM(G195+G196+G197+G200+G218+G221)+G254)</f>
        <v>0.707314287889458</v>
      </c>
      <c r="I318" s="221">
        <f>SUM(I195+I196+I197+I200+I218+I221)/(SUM(I195+I196+I197+I200+I218+I221)+I254)</f>
        <v>0.696753471905396</v>
      </c>
      <c r="J318" s="221">
        <f>SUM(J195+J196+J197+J200+J218+J221)/(SUM(J195+J196+J197+J200+J218+J221)+J254)</f>
        <v>0.690076195722023</v>
      </c>
      <c r="K318" s="221">
        <f>SUM(K195+K196+K197+K200+K218+K221)/(SUM(K195+K196+K197+K200+K218+K221)+K254)</f>
        <v>0.687821387834477</v>
      </c>
      <c r="L318" s="221">
        <f>SUM(L195+L196+L197+L200+L218+L221)/(SUM(L195+L196+L197+L200+L218+L221)+L254)</f>
        <v>0.695865942362582</v>
      </c>
      <c r="N318" s="221">
        <f>SUM(N195+N196+N197+N200+N218+N221)/(SUM(N195+N196+N197+N200+N218+N221)+N254)</f>
        <v>0.687331980029626</v>
      </c>
      <c r="O318" s="221">
        <f>SUM(O195+O196+O197+O200+O218+O221)/(SUM(O195+O196+O197+O200+O218+O221)+O254)</f>
        <v>0.701086853436012</v>
      </c>
      <c r="P318" s="221">
        <f>SUM(P195+P196+P197+P200+P218+P221)/(SUM(P195+P196+P197+P200+P218+P221)+P254)</f>
        <v>0.700423801944503</v>
      </c>
      <c r="Q318" s="221">
        <f>SUM(Q195+Q196+Q197+Q200+Q218+Q221)/(SUM(Q195+Q196+Q197+Q200+Q218+Q221)+Q254)</f>
        <v>0.699512139777627</v>
      </c>
      <c r="S318" s="221">
        <f>SUM(S195+S196+S197+S200+S218+S221)/(SUM(S195+S196+S197+S200+S218+S221)+S254)</f>
        <v>0.670881031734531</v>
      </c>
      <c r="T318" s="221">
        <f>SUM(T195+T196+T197+T200+T218+T221)/(SUM(T195+T196+T197+T200+T218+T221)+T254)</f>
        <v>0.673737825037977</v>
      </c>
      <c r="U318" s="221">
        <f>SUM(U195+U196+U197+U200+U218+U221)/(SUM(U195+U196+U197+U200+U218+U221)+U254)</f>
        <v>0.644259792526802</v>
      </c>
      <c r="V318" s="221">
        <f>SUM(V195+V196+V197+V200+V218+V221)/(SUM(V195+V196+V197+V200+V218+V221)+V254)</f>
        <v>0.660113975009149</v>
      </c>
      <c r="X318" s="221">
        <f>SUM(X195+X196+X197+X200+X218+X221)/(SUM(X195+X196+X197+X200+X218+X221)+X254)</f>
        <v>0.68206061479693</v>
      </c>
      <c r="Y318" s="221">
        <f>SUM(Y195+Y196+Y197+Y200+Y218+Y221)/(SUM(Y195+Y196+Y197+Y200+Y218+Y221)+Y254)</f>
        <v>0.685271915808034</v>
      </c>
      <c r="Z318" s="221">
        <f>SUM(Z195+Z196+Z197+Z200+Z218+Z221)/(SUM(Z195+Z196+Z197+Z200+Z218+Z221)+Z254)</f>
        <v>0.661402345386012</v>
      </c>
      <c r="AA318" s="221">
        <f>SUM(AA195+AA196+AA197+AA200+AA218+AA221)/(SUM(AA195+AA196+AA197+AA200+AA218+AA221)+AA254)</f>
        <v>0.663333506035957</v>
      </c>
      <c r="AC318" s="221">
        <f>SUM(AC195+AC196+AC197+AC200+AC218+AC221)/(SUM(AC195+AC196+AC197+AC200+AC218+AC221)+AC254)</f>
        <v>0.68106886935649</v>
      </c>
      <c r="AD318" s="221">
        <f>SUM(AD195+AD196+AD197+AD200+AD218+AD221)/(SUM(AD195+AD196+AD197+AD200+AD218+AD221)+AD254)</f>
        <v>0.685866253724058</v>
      </c>
      <c r="AE318" s="221">
        <f>SUM(AE195+AE196+AE197+AE200+AE218+AE221)/(SUM(AE195+AE196+AE197+AE200+AE218+AE221)+AE254)</f>
        <v>0.667824353223032</v>
      </c>
      <c r="AF318" s="221">
        <f>SUM(AF195+AF196+AF197+AF200+AF218+AF221)/(SUM(AF195+AF196+AF197+AF200+AF218+AF221)+AF254)</f>
        <v>0.670245019180795</v>
      </c>
      <c r="AH318" s="221">
        <f>SUM(AH195+AH196+AH197+AH200+AH218+AH221)/(SUM(AH195+AH196+AH197+AH200+AH218+AH221)+AH254)</f>
        <v>0.6976962706153</v>
      </c>
      <c r="AI318" s="221">
        <f>SUM(AI195+AI196+AI197+AI200+AI218+AI221)/(SUM(AI195+AI196+AI197+AI200+AI218+AI221)+AI254)</f>
        <v>0.699504183452123</v>
      </c>
      <c r="AJ318" s="221">
        <f>SUM(AJ195+AJ196+AJ197+AJ200+AJ218+AJ221)/(SUM(AJ195+AJ196+AJ197+AJ200+AJ218+AJ221)+AJ254)</f>
        <v>0.698054859758172</v>
      </c>
      <c r="AK318" s="221">
        <f>SUM(AK195+AK196+AK197+AK200+AK218+AK221)/(SUM(AK195+AK196+AK197+AK200+AK218+AK221)+AK254)</f>
        <v>0.69429749015748</v>
      </c>
      <c r="AM318" s="221">
        <f>SUM(AM195+AM196+AM197+AM200+AM218+AM221)/(SUM(AM195+AM196+AM197+AM200+AM218+AM221)+AM254)</f>
        <v>0.691426471038687</v>
      </c>
      <c r="AN318" s="221">
        <f>SUM(AN195+AN196+AN197+AN200+AN218+AN221)/(SUM(AN195+AN196+AN197+AN200+AN218+AN221)+AN254)</f>
        <v>0.682355430609716</v>
      </c>
      <c r="AO318" s="221">
        <f>SUM(AO195+AO196+AO197+AO200+AO218+AO221)/(SUM(AO195+AO196+AO197+AO200+AO218+AO221)+AO254)</f>
        <v>0.679571899507775</v>
      </c>
      <c r="AP318" s="221">
        <f>SUM(AP195+AP196+AP197+AP200+AP218+AP221)/(SUM(AP195+AP196+AP197+AP200+AP218+AP221)+AP254)</f>
        <v>0.670837171981337</v>
      </c>
      <c r="AR318" s="221">
        <f>SUM(AR195+AR196+AR197+AR200+AR218+AR221)/(SUM(AR195+AR196+AR197+AR200+AR218+AR221)+AR254)</f>
        <v>0.663102389730182</v>
      </c>
      <c r="AS318" s="221">
        <f>SUM(AS195+AS196+AS197+AS200+AS218+AS221)/(SUM(AS195+AS196+AS197+AS200+AS218+AS221)+AS254)</f>
        <v>0.642601950039143</v>
      </c>
      <c r="AT318" s="221">
        <f>SUM(AT195+AT196+AT197+AT200+AT218+AT221)/(SUM(AT195+AT196+AT197+AT200+AT218+AT221)+AT254)</f>
        <v>0.635492180571783</v>
      </c>
      <c r="AU318" s="221">
        <f>SUM(AU195+AU196+AU197+AU200+AU218+AU221)/(SUM(AU195+AU196+AU197+AU200+AU218+AU221)+AU254)</f>
        <v>0.616664390110641</v>
      </c>
      <c r="AW318" s="221">
        <f>SUM(AW195+AW196+AW197+AW200+AW218+AW221)/(SUM(AW195+AW196+AW197+AW200+AW218+AW221)+AW254)</f>
        <v>0.599556435012417</v>
      </c>
      <c r="AX318" s="221">
        <f>SUM(AX195+AX196+AX197+AX200+AX218+AX221)/(SUM(AX195+AX196+AX197+AX200+AX218+AX221)+AX254)</f>
        <v>0.556609007631706</v>
      </c>
      <c r="AY318" s="221">
        <f>SUM(AY195+AY196+AY197+AY200+AY218+AY221)/(SUM(AY195+AY196+AY197+AY200+AY218+AY221)+AY254)</f>
        <v>0.542626714263393</v>
      </c>
      <c r="AZ318" s="221">
        <f>SUM(AZ195+AZ196+AZ197+AZ200+AZ218+AZ221)/(SUM(AZ195+AZ196+AZ197+AZ200+AZ218+AZ221)+AZ254)</f>
        <v>0.507224232074242</v>
      </c>
      <c r="BB318" s="221">
        <f>SUM(BB195+BB196+BB197+BB200+BB218+BB221)/(SUM(BB195+BB196+BB197+BB200+BB218+BB221)+BB254)</f>
        <v>0.476560438284442</v>
      </c>
      <c r="BC318" s="221">
        <f>SUM(BC195+BC196+BC197+BC200+BC218+BC221)/(SUM(BC195+BC196+BC197+BC200+BC218+BC221)+BC254)</f>
        <v>0.408831173535458</v>
      </c>
      <c r="BD318" s="221">
        <f>SUM(BD195+BD196+BD197+BD200+BD218+BD221)/(SUM(BD195+BD196+BD197+BD200+BD218+BD221)+BD254)</f>
        <v>0.388670311222074</v>
      </c>
      <c r="BE318" s="221">
        <f>SUM(BE195+BE196+BE197+BE200+BE218+BE221)/(SUM(BE195+BE196+BE197+BE200+BE218+BE221)+BE254)</f>
        <v>0.342414635256284</v>
      </c>
      <c r="BG318" s="221">
        <f>SUM(BG195+BG196+BG197+BG200+BG218+BG221)/(SUM(BG195+BG196+BG197+BG200+BG218+BG221)+BG254)</f>
        <v>0.306163830811694</v>
      </c>
      <c r="BH318" s="221">
        <f>SUM(BH195+BH196+BH197+BH200+BH218+BH221)/(SUM(BH195+BH196+BH197+BH200+BH218+BH221)+BH254)</f>
        <v>0.237366912905176</v>
      </c>
      <c r="BI318" s="221">
        <f>SUM(BI195+BI196+BI197+BI200+BI218+BI221)/(SUM(BI195+BI196+BI197+BI200+BI218+BI221)+BI254)</f>
        <v>0.219360857502417</v>
      </c>
      <c r="BJ318" s="221">
        <f>SUM(BJ195+BJ196+BJ197+BJ200+BJ218+BJ221)/(SUM(BJ195+BJ196+BJ197+BJ200+BJ218+BJ221)+BJ254)</f>
        <v>0.181643343982104</v>
      </c>
      <c r="BL318" s="221">
        <f>SUM(BL195+BL196+BL197+BL200+BL218+BL221)/(SUM(BL195+BL196+BL197+BL200+BL218+BL221)+BL254)</f>
        <v>0.155035937870239</v>
      </c>
      <c r="BM318" s="221">
        <f>SUM(BM195+BM196+BM197+BM200+BM218+BM221)/(SUM(BM195+BM196+BM197+BM200+BM218+BM221)+BM254)</f>
        <v>0.110708671844155</v>
      </c>
      <c r="BN318" s="221">
        <f>SUM(BN195+BN196+BN197+BN200+BN218+BN221)/(SUM(BN195+BN196+BN197+BN200+BN218+BN221)+BN254)</f>
        <v>0.10022488772264</v>
      </c>
      <c r="BO318" s="221">
        <f>SUM(BO195+BO196+BO197+BO200+BO218+BO221)/(SUM(BO195+BO196+BO197+BO200+BO218+BO221)+BO254)</f>
        <v>0.079617239056289</v>
      </c>
      <c r="BQ318" s="221">
        <f>SUM(BQ195+BQ196+BQ197+BQ200+BQ218+BQ221)/(SUM(BQ195+BQ196+BQ197+BQ200+BQ218+BQ221)+BQ254)</f>
        <v>0.0660464721622005</v>
      </c>
      <c r="BR318" s="221">
        <f>SUM(BR195+BR196+BR197+BR200+BR218+BR221)/(SUM(BR195+BR196+BR197+BR200+BR218+BR221)+BR254)</f>
        <v>0.0450584514288737</v>
      </c>
      <c r="BS318" s="221">
        <f>SUM(BS195+BS196+BS197+BS200+BS218+BS221)/(SUM(BS195+BS196+BS197+BS200+BS218+BS221)+BS254)</f>
        <v>0.0403646101094814</v>
      </c>
      <c r="BT318" s="221">
        <f>SUM(BT195+BT196+BT197+BT200+BT218+BT221)/(SUM(BT195+BT196+BT197+BT200+BT218+BT221)+BT254)</f>
        <v>0.031420207871964</v>
      </c>
      <c r="BV318" s="221">
        <f>SUM(BV195+BV196+BV197+BV200+BV218+BV221)/(SUM(BV195+BV196+BV197+BV200+BV218+BV221)+BV254)</f>
        <v>0.0257219154753677</v>
      </c>
      <c r="BW318" s="221">
        <f>SUM(BW195+BW196+BW197+BW200+BW218+BW221)/(SUM(BW195+BW196+BW197+BW200+BW218+BW221)+BW254)</f>
        <v>0.0171993738339868</v>
      </c>
      <c r="BX318" s="221">
        <f>SUM(BX195+BX196+BX197+BX200+BX218+BX221)/(SUM(BX195+BX196+BX197+BX200+BX218+BX221)+BX254)</f>
        <v>0.0153392170020471</v>
      </c>
      <c r="BY318" s="221">
        <f>SUM(BY195+BY196+BY197+BY200+BY218+BY221)/(SUM(BY195+BY196+BY197+BY200+BY218+BY221)+BY254)</f>
        <v>0.011840399823965</v>
      </c>
      <c r="CA318" s="221">
        <f>SUM(CA195+CA196+CA197+CA200+CA218+CA221)/(SUM(CA195+CA196+CA197+CA200+CA218+CA221)+CA254)</f>
        <v>0.00964142880054911</v>
      </c>
      <c r="CB318" s="221">
        <f>SUM(CB195+CB196+CB197+CB200+CB218+CB221)/(SUM(CB195+CB196+CB197+CB200+CB218+CB221)+CB254)</f>
        <v>0.00639603900640241</v>
      </c>
      <c r="CC318" s="221">
        <f>SUM(CC195+CC196+CC197+CC200+CC218+CC221)/(SUM(CC195+CC196+CC197+CC200+CC218+CC221)+CC254)</f>
        <v>0.00569446099957682</v>
      </c>
      <c r="CD318" s="221">
        <f>SUM(CD195+CD196+CD197+CD200+CD218+CD221)/(SUM(CD195+CD196+CD197+CD200+CD218+CD221)+CD254)</f>
        <v>0.00438141293336887</v>
      </c>
      <c r="CF318" s="221">
        <f>SUM(CF195+CF196+CF197+CF200+CF218+CF221)/(SUM(CF195+CF196+CF197+CF200+CF218+CF221)+CF254)</f>
        <v>0.00356045811027893</v>
      </c>
      <c r="CG318" s="221">
        <f>SUM(CG195+CG196+CG197+CG200+CG218+CG221)/(SUM(CG195+CG196+CG197+CG200+CG218+CG221)+CG254)</f>
        <v>0.00235493182324752</v>
      </c>
      <c r="CH318" s="221">
        <f>SUM(CH195+CH196+CH197+CH200+CH218+CH221)/(SUM(CH195+CH196+CH197+CH200+CH218+CH221)+CH254)</f>
        <v>0.00209526488977721</v>
      </c>
      <c r="CI318" s="221">
        <f>SUM(CI195+CI196+CI197+CI200+CI218+CI221)/(SUM(CI195+CI196+CI197+CI200+CI218+CI221)+CI254)</f>
        <v>0.00161019040164453</v>
      </c>
      <c r="CK318" s="221">
        <f>SUM(CK195+CK196+CK197+CK200+CK218+CK221)/(SUM(CK195+CK196+CK197+CK200+CK218+CK221)+CK254)</f>
        <v>0.00130749592866458</v>
      </c>
      <c r="CL318" s="221">
        <f>SUM(CL195+CL196+CL197+CL200+CL218+CL221)/(SUM(CL195+CL196+CL197+CL200+CL218+CL221)+CL254)</f>
        <v>0.000863836726630921</v>
      </c>
      <c r="CM318" s="221">
        <f>SUM(CM195+CM196+CM197+CM200+CM218+CM221)/(SUM(CM195+CM196+CM197+CM200+CM218+CM221)+CM254)</f>
        <v>0.000768401863860452</v>
      </c>
      <c r="CN318" s="221">
        <f>SUM(CN195+CN196+CN197+CN200+CN218+CN221)/(SUM(CN195+CN196+CN197+CN200+CN218+CN221)+CN254)</f>
        <v>0.000590246393418819</v>
      </c>
      <c r="CP318" s="221">
        <f>SUM(CP195+CP196+CP197+CP200+CP218+CP221)/(SUM(CP195+CP196+CP197+CP200+CP218+CP221)+CP254)</f>
        <v>0.000479154085546378</v>
      </c>
      <c r="CQ318" s="221">
        <f>SUM(CQ195+CQ196+CQ197+CQ200+CQ218+CQ221)/(SUM(CQ195+CQ196+CQ197+CQ200+CQ218+CQ221)+CQ254)</f>
        <v>0.000316438450404848</v>
      </c>
      <c r="CR318" s="221">
        <f>SUM(CR195+CR196+CR197+CR200+CR218+CR221)/(SUM(CR195+CR196+CR197+CR200+CR218+CR221)+CR254)</f>
        <v>0.000281454208171515</v>
      </c>
      <c r="CS318" s="221">
        <f>SUM(CS195+CS196+CS197+CS200+CS218+CS221)/(SUM(CS195+CS196+CS197+CS200+CS218+CS221)+CS254)</f>
        <v>0.000216163090680393</v>
      </c>
      <c r="CU318" s="221">
        <f>SUM(CU195+CU196+CU197+CU200+CU218+CU221)/(SUM(CU195+CU196+CU197+CU200+CU218+CU221)+CU254)</f>
        <v>0.000175460275703802</v>
      </c>
      <c r="CV318" s="221">
        <f>SUM(CV195+CV196+CV197+CV200+CV218+CV221)/(SUM(CV195+CV196+CV197+CV200+CV218+CV221)+CV254)</f>
        <v>0.000115858444180616</v>
      </c>
      <c r="CW318" s="221">
        <f>SUM(CW195+CW196+CW197+CW200+CW218+CW221)/(SUM(CW195+CW196+CW197+CW200+CW218+CW221)+CW254)</f>
        <v>0.000103046237460287</v>
      </c>
      <c r="CX318" s="221">
        <f>SUM(CX195+CX196+CX197+CX200+CX218+CX221)/(SUM(CX195+CX196+CX197+CX200+CX218+CX221)+CX254)</f>
        <v>7.91370383801454e-05</v>
      </c>
    </row>
    <row r="319" customFormat="1" s="233">
      <c r="A319" s="224" t="n"/>
      <c r="B319" s="224" t="n"/>
      <c r="C319" s="233" t="inlineStr">
        <is>
          <t>NET DEBT / EBITDA LTM (com arrendamentos)</t>
        </is>
      </c>
      <c r="D319" s="219" t="str">
        <f>""</f>
        <v/>
      </c>
      <c r="E319" s="219" t="str">
        <f>""</f>
        <v/>
      </c>
      <c r="F319" s="219" t="str">
        <f>""</f>
        <v/>
      </c>
      <c r="G319" s="219">
        <f>IFERROR((SUM(G195,G196,G197,G200,G218,G221)-G127)/(G52+F52+E52+D52),"")</f>
        <v>3.9815318539728</v>
      </c>
      <c r="I319" s="219">
        <f>IFERROR((SUM(I195,I196,I197,I200,I218,I221)-I127)/(I52+G52+F52+E52),"")</f>
        <v>3.64300257906882</v>
      </c>
      <c r="J319" s="219">
        <f>IFERROR((SUM(J195,J196,J197,J200,J218,J221)-J127)/(J52+I52+G52+F52),"")</f>
        <v>3.20368818105616</v>
      </c>
      <c r="K319" s="219">
        <f>IFERROR((SUM(K195,K196,K197,K200,K218,K221)-K127)/(K52+J52+I52+G52),"")</f>
        <v>3.02746400885936</v>
      </c>
      <c r="L319" s="219">
        <f>IFERROR((SUM(L195,L196,L197,L200,L218,L221)-L127)/(L52+K52+J52+I52),"")</f>
        <v>3.09154929577465</v>
      </c>
      <c r="N319" s="219">
        <f>IFERROR((SUM(N195,N196,N197,N200,N218,N221)-N127)/(N52+L52+K52+J52),"")</f>
        <v>3.36052802423718</v>
      </c>
      <c r="O319" s="219">
        <f>IFERROR((SUM(O195,O196,O197,O200,O218,O221)-O127)/(O52+N52+L52+K52),"")</f>
        <v>3.30535084908683</v>
      </c>
      <c r="P319" s="219">
        <f>IFERROR((SUM(P195,P196,P197,P200,P218,P221)-P127)/(P52+O52+N52+L52),"")</f>
        <v>2.99335449315612</v>
      </c>
      <c r="Q319" s="219">
        <f>IFERROR((SUM(Q195,Q196,Q197,Q200,Q218,Q221)-Q127)/(Q52+P52+O52+N52),"")</f>
        <v>2.96246172083375</v>
      </c>
      <c r="S319" s="219">
        <f>IFERROR((SUM(S195,S196,S197,S200,S218,S221)-S127)/(S52+Q52+P52+O52),"")</f>
        <v>2.75642427556042</v>
      </c>
      <c r="T319" s="219">
        <f>IFERROR((SUM(T195,T196,T197,T200,T218,T221)-T127)/(T52+S52+Q52+P52),"")</f>
        <v>2.39223423565622</v>
      </c>
      <c r="U319" s="219">
        <f>IFERROR((SUM(U195,U196,U197,U200,U218,U221)-U127)/(U52+T52+S52+Q52),"")</f>
        <v>2.23820323359426</v>
      </c>
      <c r="V319" s="219">
        <f>IFERROR((SUM(V195,V196,V197,V200,V218,V221)-V127)/(V52+U52+T52+S52),"")</f>
        <v>2.04500330906684</v>
      </c>
      <c r="X319" s="219">
        <f>IFERROR((SUM(X195,X196,X197,X200,X218,X221)-X127)/(X52+V52+U52+T52),"")</f>
        <v>2.07010698552549</v>
      </c>
      <c r="Y319" s="219">
        <f>IFERROR((SUM(Y195,Y196,Y197,Y200,Y218,Y221)-Y127)/(Y52+X52+V52+U52),"")</f>
        <v>2.09879686803743</v>
      </c>
      <c r="Z319" s="219">
        <f>IFERROR((SUM(Z195,Z196,Z197,Z200,Z218,Z221)-Z127)/(Z52+Y52+X52+V52),"")</f>
        <v>2.09160453808752</v>
      </c>
      <c r="AA319" s="219">
        <f>IFERROR((SUM(AA195,AA196,AA197,AA200,AA218,AA221)-AA127)/(AA52+Z52+Y52+X52),"")</f>
        <v>2.07027914614122</v>
      </c>
      <c r="AC319" s="219">
        <f>IFERROR((SUM(AC195,AC196,AC197,AC200,AC218,AC221)-AC127)/(AC52+AA52+Z52+Y52),"")</f>
        <v>2.44919935668834</v>
      </c>
      <c r="AD319" s="219">
        <f>IFERROR((SUM(AD195,AD196,AD197,AD200,AD218,AD221)-AD127)/(AD52+AC52+AA52+Z52),"")</f>
        <v>2.57670413078383</v>
      </c>
      <c r="AE319" s="219">
        <f>IFERROR((SUM(AE195,AE196,AE197,AE200,AE218,AE221)-AE127)/(AE52+AD52+AC52+AA52),"")</f>
        <v>2.49347220184832</v>
      </c>
      <c r="AF319" s="219">
        <f>IFERROR((SUM(AF195,AF196,AF197,AF200,AF218,AF221)-AF127)/(AF52+AE52+AD52+AC52),"")</f>
        <v>2.48639379706255</v>
      </c>
      <c r="AH319" s="219">
        <f>IFERROR((SUM(AH195,AH196,AH197,AH200,AH218,AH221)-AH127)/(AH52+AF52+AE52+AD52),"")</f>
        <v>2.79046801202233</v>
      </c>
      <c r="AI319" s="219">
        <f>IFERROR((SUM(AI195,AI196,AI197,AI200,AI218,AI221)-AI127)/(AI52+AH52+AF52+AE52),"")</f>
        <v>2.48419623812294</v>
      </c>
      <c r="AJ319" s="219">
        <f>IFERROR((SUM(AJ195,AJ196,AJ197,AJ200,AJ218,AJ221)-AJ127)/(AJ52+AI52+AH52+AF52),"")</f>
        <v>1.886910287788</v>
      </c>
      <c r="AK319" s="219">
        <f>IFERROR((SUM(AK195,AK196,AK197,AK200,AK218,AK221)-AK127)/(AK52+AJ52+AI52+AH52),"")</f>
        <v>2.57187754626935</v>
      </c>
      <c r="AM319" s="219" t="str">
        <f>IFERROR((SUM(AM195,AM196,AM197,AM200,AM218,AM221)-AM127)/(AM52+AK52+AJ52+AI52),"")</f>
        <v/>
      </c>
      <c r="AN319" s="219" t="str">
        <f>IFERROR((SUM(AN195,AN196,AN197,AN200,AN218,AN221)-AN127)/(AN52+AM52+AK52+AJ52),"")</f>
        <v/>
      </c>
      <c r="AO319" s="219" t="str">
        <f>IFERROR((SUM(AO195,AO196,AO197,AO200,AO218,AO221)-AO127)/(AO52+AN52+AM52+AK52),"")</f>
        <v/>
      </c>
      <c r="AP319" s="219" t="str">
        <f>IFERROR((SUM(AP195,AP196,AP197,AP200,AP218,AP221)-AP127)/(AP52+AO52+AN52+AM52),"")</f>
        <v/>
      </c>
      <c r="AR319" s="219" t="str">
        <f>IFERROR((SUM(AR195,AR196,AR197,AR200,AR218,AR221)-AR127)/(AR52+AP52+AO52+AN52),"")</f>
        <v/>
      </c>
      <c r="AS319" s="219" t="str">
        <f>IFERROR((SUM(AS195,AS196,AS197,AS200,AS218,AS221)-AS127)/(AS52+AR52+AP52+AO52),"")</f>
        <v/>
      </c>
      <c r="AT319" s="219" t="str">
        <f>IFERROR((SUM(AT195,AT196,AT197,AT200,AT218,AT221)-AT127)/(AT52+AS52+AR52+AP52),"")</f>
        <v/>
      </c>
      <c r="AU319" s="219" t="str">
        <f>IFERROR((SUM(AU195,AU196,AU197,AU200,AU218,AU221)-AU127)/(AU52+AT52+AS52+AR52),"")</f>
        <v/>
      </c>
      <c r="AW319" s="219" t="str">
        <f>IFERROR((SUM(AW195,AW196,AW197,AW200,AW218,AW221)-AW127)/(AW52+AU52+AT52+AS52),"")</f>
        <v/>
      </c>
      <c r="AX319" s="219" t="str">
        <f>IFERROR((SUM(AX195,AX196,AX197,AX200,AX218,AX221)-AX127)/(AX52+AW52+AU52+AT52),"")</f>
        <v/>
      </c>
      <c r="AY319" s="219" t="str">
        <f>IFERROR((SUM(AY195,AY196,AY197,AY200,AY218,AY221)-AY127)/(AY52+AX52+AW52+AU52),"")</f>
        <v/>
      </c>
      <c r="AZ319" s="219" t="str">
        <f>IFERROR((SUM(AZ195,AZ196,AZ197,AZ200,AZ218,AZ221)-AZ127)/(AZ52+AY52+AX52+AW52),"")</f>
        <v/>
      </c>
      <c r="BB319" s="219" t="str">
        <f>IFERROR((SUM(BB195,BB196,BB197,BB200,BB218,BB221)-BB127)/(BB52+AZ52+AY52+AX52),"")</f>
        <v/>
      </c>
      <c r="BC319" s="219" t="str">
        <f>IFERROR((SUM(BC195,BC196,BC197,BC200,BC218,BC221)-BC127)/(BC52+BB52+AZ52+AY52),"")</f>
        <v/>
      </c>
      <c r="BD319" s="219" t="str">
        <f>IFERROR((SUM(BD195,BD196,BD197,BD200,BD218,BD221)-BD127)/(BD52+BC52+BB52+AZ52),"")</f>
        <v/>
      </c>
      <c r="BE319" s="219" t="str">
        <f>IFERROR((SUM(BE195,BE196,BE197,BE200,BE218,BE221)-BE127)/(BE52+BD52+BC52+BB52),"")</f>
        <v/>
      </c>
      <c r="BG319" s="219" t="str">
        <f>IFERROR((SUM(BG195,BG196,BG197,BG200,BG218,BG221)-BG127)/(BG52+BE52+BD52+BC52),"")</f>
        <v/>
      </c>
      <c r="BH319" s="219" t="str">
        <f>IFERROR((SUM(BH195,BH196,BH197,BH200,BH218,BH221)-BH127)/(BH52+BG52+BE52+BD52),"")</f>
        <v/>
      </c>
      <c r="BI319" s="219" t="str">
        <f>IFERROR((SUM(BI195,BI196,BI197,BI200,BI218,BI221)-BI127)/(BI52+BH52+BG52+BE52),"")</f>
        <v/>
      </c>
      <c r="BJ319" s="219" t="str">
        <f>IFERROR((SUM(BJ195,BJ196,BJ197,BJ200,BJ218,BJ221)-BJ127)/(BJ52+BI52+BH52+BG52),"")</f>
        <v/>
      </c>
      <c r="BL319" s="219" t="str">
        <f>IFERROR((SUM(BL195,BL196,BL197,BL200,BL218,BL221)-BL127)/(BL52+BJ52+BI52+BH52),"")</f>
        <v/>
      </c>
      <c r="BM319" s="219" t="str">
        <f>IFERROR((SUM(BM195,BM196,BM197,BM200,BM218,BM221)-BM127)/(BM52+BL52+BJ52+BI52),"")</f>
        <v/>
      </c>
      <c r="BN319" s="219" t="str">
        <f>IFERROR((SUM(BN195,BN196,BN197,BN200,BN218,BN221)-BN127)/(BN52+BM52+BL52+BJ52),"")</f>
        <v/>
      </c>
      <c r="BO319" s="219" t="str">
        <f>IFERROR((SUM(BO195,BO196,BO197,BO200,BO218,BO221)-BO127)/(BO52+BN52+BM52+BL52),"")</f>
        <v/>
      </c>
      <c r="BQ319" s="219" t="str">
        <f>IFERROR((SUM(BQ195,BQ196,BQ197,BQ200,BQ218,BQ221)-BQ127)/(BQ52+BO52+BN52+BM52),"")</f>
        <v/>
      </c>
      <c r="BR319" s="219" t="str">
        <f>IFERROR((SUM(BR195,BR196,BR197,BR200,BR218,BR221)-BR127)/(BR52+BQ52+BO52+BN52),"")</f>
        <v/>
      </c>
      <c r="BS319" s="219" t="str">
        <f>IFERROR((SUM(BS195,BS196,BS197,BS200,BS218,BS221)-BS127)/(BS52+BR52+BQ52+BO52),"")</f>
        <v/>
      </c>
      <c r="BT319" s="219" t="str">
        <f>IFERROR((SUM(BT195,BT196,BT197,BT200,BT218,BT221)-BT127)/(BT52+BS52+BR52+BQ52),"")</f>
        <v/>
      </c>
      <c r="BV319" s="219" t="str">
        <f>IFERROR((SUM(BV195,BV196,BV197,BV200,BV218,BV221)-BV127)/(BV52+BT52+BS52+BR52),"")</f>
        <v/>
      </c>
      <c r="BW319" s="219" t="str">
        <f>IFERROR((SUM(BW195,BW196,BW197,BW200,BW218,BW221)-BW127)/(BW52+BV52+BT52+BS52),"")</f>
        <v/>
      </c>
      <c r="BX319" s="219" t="str">
        <f>IFERROR((SUM(BX195,BX196,BX197,BX200,BX218,BX221)-BX127)/(BX52+BW52+BV52+BT52),"")</f>
        <v/>
      </c>
      <c r="BY319" s="219" t="str">
        <f>IFERROR((SUM(BY195,BY196,BY197,BY200,BY218,BY221)-BY127)/(BY52+BX52+BW52+BV52),"")</f>
        <v/>
      </c>
      <c r="CA319" s="219" t="str">
        <f>IFERROR((SUM(CA195,CA196,CA197,CA200,CA218,CA221)-CA127)/(CA52+BY52+BX52+BW52),"")</f>
        <v/>
      </c>
      <c r="CB319" s="219" t="str">
        <f>IFERROR((SUM(CB195,CB196,CB197,CB200,CB218,CB221)-CB127)/(CB52+CA52+BY52+BX52),"")</f>
        <v/>
      </c>
      <c r="CC319" s="219" t="str">
        <f>IFERROR((SUM(CC195,CC196,CC197,CC200,CC218,CC221)-CC127)/(CC52+CB52+CA52+BY52),"")</f>
        <v/>
      </c>
      <c r="CD319" s="219" t="str">
        <f>IFERROR((SUM(CD195,CD196,CD197,CD200,CD218,CD221)-CD127)/(CD52+CC52+CB52+CA52),"")</f>
        <v/>
      </c>
      <c r="CF319" s="219" t="str">
        <f>IFERROR((SUM(CF195,CF196,CF197,CF200,CF218,CF221)-CF127)/(CF52+CD52+CC52+CB52),"")</f>
        <v/>
      </c>
      <c r="CG319" s="219" t="str">
        <f>IFERROR((SUM(CG195,CG196,CG197,CG200,CG218,CG221)-CG127)/(CG52+CF52+CD52+CC52),"")</f>
        <v/>
      </c>
      <c r="CH319" s="219" t="str">
        <f>IFERROR((SUM(CH195,CH196,CH197,CH200,CH218,CH221)-CH127)/(CH52+CG52+CF52+CD52),"")</f>
        <v/>
      </c>
      <c r="CI319" s="219" t="str">
        <f>IFERROR((SUM(CI195,CI196,CI197,CI200,CI218,CI221)-CI127)/(CI52+CH52+CG52+CF52),"")</f>
        <v/>
      </c>
      <c r="CK319" s="219" t="str">
        <f>IFERROR((SUM(CK195,CK196,CK197,CK200,CK218,CK221)-CK127)/(CK52+CI52+CH52+CG52),"")</f>
        <v/>
      </c>
      <c r="CL319" s="219" t="str">
        <f>IFERROR((SUM(CL195,CL196,CL197,CL200,CL218,CL221)-CL127)/(CL52+CK52+CI52+CH52),"")</f>
        <v/>
      </c>
      <c r="CM319" s="219" t="str">
        <f>IFERROR((SUM(CM195,CM196,CM197,CM200,CM218,CM221)-CM127)/(CM52+CL52+CK52+CI52),"")</f>
        <v/>
      </c>
      <c r="CN319" s="219" t="str">
        <f>IFERROR((SUM(CN195,CN196,CN197,CN200,CN218,CN221)-CN127)/(CN52+CM52+CL52+CK52),"")</f>
        <v/>
      </c>
      <c r="CP319" s="219" t="str">
        <f>IFERROR((SUM(CP195,CP196,CP197,CP200,CP218,CP221)-CP127)/(CP52+CN52+CM52+CL52),"")</f>
        <v/>
      </c>
      <c r="CQ319" s="219" t="str">
        <f>IFERROR((SUM(CQ195,CQ196,CQ197,CQ200,CQ218,CQ221)-CQ127)/(CQ52+CP52+CN52+CM52),"")</f>
        <v/>
      </c>
      <c r="CR319" s="219" t="str">
        <f>IFERROR((SUM(CR195,CR196,CR197,CR200,CR218,CR221)-CR127)/(CR52+CQ52+CP52+CN52),"")</f>
        <v/>
      </c>
      <c r="CS319" s="219" t="str">
        <f>IFERROR((SUM(CS195,CS196,CS197,CS200,CS218,CS221)-CS127)/(CS52+CR52+CQ52+CP52),"")</f>
        <v/>
      </c>
      <c r="CU319" s="219" t="str">
        <f>IFERROR((SUM(CU195,CU196,CU197,CU200,CU218,CU221)-CU127)/(CU52+CS52+CR52+CQ52),"")</f>
        <v/>
      </c>
      <c r="CV319" s="219" t="str">
        <f>IFERROR((SUM(CV195,CV196,CV197,CV200,CV218,CV221)-CV127)/(CV52+CU52+CS52+CR52),"")</f>
        <v/>
      </c>
      <c r="CW319" s="219" t="str">
        <f>IFERROR((SUM(CW195,CW196,CW197,CW200,CW218,CW221)-CW127)/(CW52+CV52+CU52+CS52),"")</f>
        <v/>
      </c>
      <c r="CX319" s="219" t="str">
        <f>IFERROR((SUM(CX195,CX196,CX197,CX200,CX218,CX221)-CX127)/(CX52+CW52+CV52+CU52),"")</f>
        <v/>
      </c>
    </row>
    <row r="320" customFormat="1" s="233">
      <c r="A320" s="224" t="n"/>
      <c r="B320" s="224" t="n"/>
      <c r="C320" s="237" t="inlineStr">
        <is>
          <t>NET DEBT (EX IFRS 16) / EBITDA LTM</t>
        </is>
      </c>
      <c r="D320" s="219" t="str">
        <f>""</f>
        <v/>
      </c>
      <c r="E320" s="219" t="str">
        <f>""</f>
        <v/>
      </c>
      <c r="F320" s="219" t="str">
        <f>""</f>
        <v/>
      </c>
      <c r="G320" s="219">
        <f>IFERROR((SUM(G195,G196,G200,G221)-G127)/(G52+F52+E52+D52),"")</f>
        <v>3.9815318539728</v>
      </c>
      <c r="I320" s="219">
        <f>IFERROR((SUM(I195,I196,I200,I221)-I127)/(I52+G52+F52+E52),"")</f>
        <v>3.64300257906882</v>
      </c>
      <c r="J320" s="219">
        <f>IFERROR((SUM(J195,J196,J200,J221)-J127)/(J52+I52+G52+F52),"")</f>
        <v>3.20368818105616</v>
      </c>
      <c r="K320" s="219">
        <f>IFERROR((SUM(K195,K196,K200,K221)-K127)/(K52+J52+I52+G52),"")</f>
        <v>3.02746400885936</v>
      </c>
      <c r="L320" s="219">
        <f>IFERROR((SUM(L195,L196,L200,L221)-L127)/(L52+K52+J52+I52),"")</f>
        <v>3.09154929577465</v>
      </c>
      <c r="N320" s="219">
        <f>IFERROR((SUM(N195,N196,N200,N221)-N127)/(N52+L52+K52+J52),"")</f>
        <v>3.36052802423718</v>
      </c>
      <c r="O320" s="219">
        <f>IFERROR((SUM(O195,O196,O200,O221)-O127)/(O52+N52+L52+K52),"")</f>
        <v>3.30535084908683</v>
      </c>
      <c r="P320" s="219">
        <f>IFERROR((SUM(P195,P196,P200,P221)-P127)/(P52+O52+N52+L52),"")</f>
        <v>2.99335449315612</v>
      </c>
      <c r="Q320" s="219">
        <f>IFERROR((SUM(Q195,Q196,Q200,Q221)-Q127)/(Q52+P52+O52+N52),"")</f>
        <v>2.96246172083375</v>
      </c>
      <c r="S320" s="219">
        <f>IFERROR((SUM(S195,S196,S200,S221)-S127)/(S52+Q52+P52+O52),"")</f>
        <v>2.75642427556042</v>
      </c>
      <c r="T320" s="219">
        <f>IFERROR((SUM(T195,T196,T200,T221)-T127)/(T52+S52+Q52+P52),"")</f>
        <v>2.39223423565622</v>
      </c>
      <c r="U320" s="219">
        <f>IFERROR((SUM(U195,U196,U200,U221)-U127)/(U52+T52+S52+Q52),"")</f>
        <v>2.23820323359426</v>
      </c>
      <c r="V320" s="219">
        <f>IFERROR((SUM(V195,V196,V200,V221)-V127)/(V52+U52+T52+S52),"")</f>
        <v>2.04500330906684</v>
      </c>
      <c r="X320" s="219">
        <f>IFERROR((SUM(X195,X196,X200,X221)-X127)/(X52+V52+U52+T52),"")</f>
        <v>2.07010698552549</v>
      </c>
      <c r="Y320" s="219">
        <f>IFERROR((SUM(Y195,Y196,Y200,Y221)-Y127)/(Y52+X52+V52+U52),"")</f>
        <v>2.09879686803743</v>
      </c>
      <c r="Z320" s="219">
        <f>IFERROR((SUM(Z195,Z196,Z200,Z221)-Z127)/(Z52+Y52+X52+V52),"")</f>
        <v>2.09160453808752</v>
      </c>
      <c r="AA320" s="219">
        <f>IFERROR((SUM(AA195,AA196,AA200,AA221)-AA127)/(AA52+Z52+Y52+X52),"")</f>
        <v>2.07027914614122</v>
      </c>
      <c r="AC320" s="219">
        <f>IFERROR((SUM(AC195,AC196,AC200,AC221)-AC127)/(AC52+AA52+Z52+Y52),"")</f>
        <v>2.44919935668834</v>
      </c>
      <c r="AD320" s="219">
        <f>IFERROR((SUM(AD195,AD196,AD200,AD221)-AD127)/(AD52+AC52+AA52+Z52),"")</f>
        <v>2.57670413078383</v>
      </c>
      <c r="AE320" s="219">
        <f>IFERROR((SUM(AE195,AE196,AE200,AE221)-AE127)/(AE52+AD52+AC52+AA52),"")</f>
        <v>2.49347220184832</v>
      </c>
      <c r="AF320" s="219">
        <f>IFERROR((SUM(AF195,AF196,AF200,AF221)-AF127)/(AF52+AE52+AD52+AC52),"")</f>
        <v>2.48639379706255</v>
      </c>
      <c r="AH320" s="219">
        <f>IFERROR((SUM(AH195,AH196,AH200,AH221)-AH127)/(AH52+AF52+AE52+AD52),"")</f>
        <v>2.79046801202233</v>
      </c>
      <c r="AI320" s="219">
        <f>IFERROR((SUM(AI195,AI196,AI200,AI221)-AI127)/(AI52+AH52+AF52+AE52),"")</f>
        <v>2.48419623812294</v>
      </c>
      <c r="AJ320" s="219">
        <f>IFERROR((SUM(AJ195,AJ196,AJ200,AJ221)-AJ127)/(AJ52+AI52+AH52+AF52),"")</f>
        <v>1.886910287788</v>
      </c>
      <c r="AK320" s="219">
        <f>IFERROR((SUM(AK195,AK196,AK200,AK221)-AK127)/(AK52+AJ52+AI52+AH52),"")</f>
        <v>2.57187754626935</v>
      </c>
      <c r="AM320" s="219" t="str">
        <f>IFERROR((SUM(AM195,AM196,AM200,AM221)-AM127)/(AM52+AK52+AJ52+AI52),"")</f>
        <v/>
      </c>
      <c r="AN320" s="219" t="str">
        <f>IFERROR((SUM(AN195,AN196,AN200,AN221)-AN127)/(AN52+AM52+AK52+AJ52),"")</f>
        <v/>
      </c>
      <c r="AO320" s="219" t="str">
        <f>IFERROR((SUM(AO195,AO196,AO200,AO221)-AO127)/(AO52+AN52+AM52+AK52),"")</f>
        <v/>
      </c>
      <c r="AP320" s="219" t="str">
        <f>IFERROR((SUM(AP195,AP196,AP200,AP221)-AP127)/(AP52+AO52+AN52+AM52),"")</f>
        <v/>
      </c>
      <c r="AR320" s="219" t="str">
        <f>IFERROR((SUM(AR195,AR196,AR200,AR221)-AR127)/(AR52+AP52+AO52+AN52),"")</f>
        <v/>
      </c>
      <c r="AS320" s="219" t="str">
        <f>IFERROR((SUM(AS195,AS196,AS200,AS221)-AS127)/(AS52+AR52+AP52+AO52),"")</f>
        <v/>
      </c>
      <c r="AT320" s="219" t="str">
        <f>IFERROR((SUM(AT195,AT196,AT200,AT221)-AT127)/(AT52+AS52+AR52+AP52),"")</f>
        <v/>
      </c>
      <c r="AU320" s="219" t="str">
        <f>IFERROR((SUM(AU195,AU196,AU200,AU221)-AU127)/(AU52+AT52+AS52+AR52),"")</f>
        <v/>
      </c>
      <c r="AW320" s="219" t="str">
        <f>IFERROR((SUM(AW195,AW196,AW200,AW221)-AW127)/(AW52+AU52+AT52+AS52),"")</f>
        <v/>
      </c>
      <c r="AX320" s="219" t="str">
        <f>IFERROR((SUM(AX195,AX196,AX200,AX221)-AX127)/(AX52+AW52+AU52+AT52),"")</f>
        <v/>
      </c>
      <c r="AY320" s="219" t="str">
        <f>IFERROR((SUM(AY195,AY196,AY200,AY221)-AY127)/(AY52+AX52+AW52+AU52),"")</f>
        <v/>
      </c>
      <c r="AZ320" s="219" t="str">
        <f>IFERROR((SUM(AZ195,AZ196,AZ200,AZ221)-AZ127)/(AZ52+AY52+AX52+AW52),"")</f>
        <v/>
      </c>
      <c r="BB320" s="219" t="str">
        <f>IFERROR((SUM(BB195,BB196,BB200,BB221)-BB127)/(BB52+AZ52+AY52+AX52),"")</f>
        <v/>
      </c>
      <c r="BC320" s="219" t="str">
        <f>IFERROR((SUM(BC195,BC196,BC200,BC221)-BC127)/(BC52+BB52+AZ52+AY52),"")</f>
        <v/>
      </c>
      <c r="BD320" s="219" t="str">
        <f>IFERROR((SUM(BD195,BD196,BD200,BD221)-BD127)/(BD52+BC52+BB52+AZ52),"")</f>
        <v/>
      </c>
      <c r="BE320" s="219" t="str">
        <f>IFERROR((SUM(BE195,BE196,BE200,BE221)-BE127)/(BE52+BD52+BC52+BB52),"")</f>
        <v/>
      </c>
      <c r="BG320" s="219" t="str">
        <f>IFERROR((SUM(BG195,BG196,BG200,BG221)-BG127)/(BG52+BE52+BD52+BC52),"")</f>
        <v/>
      </c>
      <c r="BH320" s="219" t="str">
        <f>IFERROR((SUM(BH195,BH196,BH200,BH221)-BH127)/(BH52+BG52+BE52+BD52),"")</f>
        <v/>
      </c>
      <c r="BI320" s="219" t="str">
        <f>IFERROR((SUM(BI195,BI196,BI200,BI221)-BI127)/(BI52+BH52+BG52+BE52),"")</f>
        <v/>
      </c>
      <c r="BJ320" s="219" t="str">
        <f>IFERROR((SUM(BJ195,BJ196,BJ200,BJ221)-BJ127)/(BJ52+BI52+BH52+BG52),"")</f>
        <v/>
      </c>
      <c r="BL320" s="219" t="str">
        <f>IFERROR((SUM(BL195,BL196,BL200,BL221)-BL127)/(BL52+BJ52+BI52+BH52),"")</f>
        <v/>
      </c>
      <c r="BM320" s="219" t="str">
        <f>IFERROR((SUM(BM195,BM196,BM200,BM221)-BM127)/(BM52+BL52+BJ52+BI52),"")</f>
        <v/>
      </c>
      <c r="BN320" s="219" t="str">
        <f>IFERROR((SUM(BN195,BN196,BN200,BN221)-BN127)/(BN52+BM52+BL52+BJ52),"")</f>
        <v/>
      </c>
      <c r="BO320" s="219" t="str">
        <f>IFERROR((SUM(BO195,BO196,BO200,BO221)-BO127)/(BO52+BN52+BM52+BL52),"")</f>
        <v/>
      </c>
      <c r="BQ320" s="219" t="str">
        <f>IFERROR((SUM(BQ195,BQ196,BQ200,BQ221)-BQ127)/(BQ52+BO52+BN52+BM52),"")</f>
        <v/>
      </c>
      <c r="BR320" s="219" t="str">
        <f>IFERROR((SUM(BR195,BR196,BR200,BR221)-BR127)/(BR52+BQ52+BO52+BN52),"")</f>
        <v/>
      </c>
      <c r="BS320" s="219" t="str">
        <f>IFERROR((SUM(BS195,BS196,BS200,BS221)-BS127)/(BS52+BR52+BQ52+BO52),"")</f>
        <v/>
      </c>
      <c r="BT320" s="219" t="str">
        <f>IFERROR((SUM(BT195,BT196,BT200,BT221)-BT127)/(BT52+BS52+BR52+BQ52),"")</f>
        <v/>
      </c>
      <c r="BV320" s="219" t="str">
        <f>IFERROR((SUM(BV195,BV196,BV200,BV221)-BV127)/(BV52+BT52+BS52+BR52),"")</f>
        <v/>
      </c>
      <c r="BW320" s="219" t="str">
        <f>IFERROR((SUM(BW195,BW196,BW200,BW221)-BW127)/(BW52+BV52+BT52+BS52),"")</f>
        <v/>
      </c>
      <c r="BX320" s="219" t="str">
        <f>IFERROR((SUM(BX195,BX196,BX200,BX221)-BX127)/(BX52+BW52+BV52+BT52),"")</f>
        <v/>
      </c>
      <c r="BY320" s="219" t="str">
        <f>IFERROR((SUM(BY195,BY196,BY200,BY221)-BY127)/(BY52+BX52+BW52+BV52),"")</f>
        <v/>
      </c>
      <c r="CA320" s="219" t="str">
        <f>IFERROR((SUM(CA195,CA196,CA200,CA221)-CA127)/(CA52+BY52+BX52+BW52),"")</f>
        <v/>
      </c>
      <c r="CB320" s="219" t="str">
        <f>IFERROR((SUM(CB195,CB196,CB200,CB221)-CB127)/(CB52+CA52+BY52+BX52),"")</f>
        <v/>
      </c>
      <c r="CC320" s="219" t="str">
        <f>IFERROR((SUM(CC195,CC196,CC200,CC221)-CC127)/(CC52+CB52+CA52+BY52),"")</f>
        <v/>
      </c>
      <c r="CD320" s="219" t="str">
        <f>IFERROR((SUM(CD195,CD196,CD200,CD221)-CD127)/(CD52+CC52+CB52+CA52),"")</f>
        <v/>
      </c>
      <c r="CF320" s="219" t="str">
        <f>IFERROR((SUM(CF195,CF196,CF200,CF221)-CF127)/(CF52+CD52+CC52+CB52),"")</f>
        <v/>
      </c>
      <c r="CG320" s="219" t="str">
        <f>IFERROR((SUM(CG195,CG196,CG200,CG221)-CG127)/(CG52+CF52+CD52+CC52),"")</f>
        <v/>
      </c>
      <c r="CH320" s="219" t="str">
        <f>IFERROR((SUM(CH195,CH196,CH200,CH221)-CH127)/(CH52+CG52+CF52+CD52),"")</f>
        <v/>
      </c>
      <c r="CI320" s="219" t="str">
        <f>IFERROR((SUM(CI195,CI196,CI200,CI221)-CI127)/(CI52+CH52+CG52+CF52),"")</f>
        <v/>
      </c>
      <c r="CK320" s="219" t="str">
        <f>IFERROR((SUM(CK195,CK196,CK200,CK221)-CK127)/(CK52+CI52+CH52+CG52),"")</f>
        <v/>
      </c>
      <c r="CL320" s="219" t="str">
        <f>IFERROR((SUM(CL195,CL196,CL200,CL221)-CL127)/(CL52+CK52+CI52+CH52),"")</f>
        <v/>
      </c>
      <c r="CM320" s="219" t="str">
        <f>IFERROR((SUM(CM195,CM196,CM200,CM221)-CM127)/(CM52+CL52+CK52+CI52),"")</f>
        <v/>
      </c>
      <c r="CN320" s="219" t="str">
        <f>IFERROR((SUM(CN195,CN196,CN200,CN221)-CN127)/(CN52+CM52+CL52+CK52),"")</f>
        <v/>
      </c>
      <c r="CP320" s="219" t="str">
        <f>IFERROR((SUM(CP195,CP196,CP200,CP221)-CP127)/(CP52+CN52+CM52+CL52),"")</f>
        <v/>
      </c>
      <c r="CQ320" s="219" t="str">
        <f>IFERROR((SUM(CQ195,CQ196,CQ200,CQ221)-CQ127)/(CQ52+CP52+CN52+CM52),"")</f>
        <v/>
      </c>
      <c r="CR320" s="219" t="str">
        <f>IFERROR((SUM(CR195,CR196,CR200,CR221)-CR127)/(CR52+CQ52+CP52+CN52),"")</f>
        <v/>
      </c>
      <c r="CS320" s="219" t="str">
        <f>IFERROR((SUM(CS195,CS196,CS200,CS221)-CS127)/(CS52+CR52+CQ52+CP52),"")</f>
        <v/>
      </c>
      <c r="CU320" s="219" t="str">
        <f>IFERROR((SUM(CU195,CU196,CU200,CU221)-CU127)/(CU52+CS52+CR52+CQ52),"")</f>
        <v/>
      </c>
      <c r="CV320" s="219" t="str">
        <f>IFERROR((SUM(CV195,CV196,CV200,CV221)-CV127)/(CV52+CU52+CS52+CR52),"")</f>
        <v/>
      </c>
      <c r="CW320" s="219" t="str">
        <f>IFERROR((SUM(CW195,CW196,CW200,CW221)-CW127)/(CW52+CV52+CU52+CS52),"")</f>
        <v/>
      </c>
      <c r="CX320" s="219" t="str">
        <f>IFERROR((SUM(CX195,CX196,CX200,CX221)-CX127)/(CX52+CW52+CV52+CU52),"")</f>
        <v/>
      </c>
    </row>
    <row r="321" customFormat="1" s="233">
      <c r="A321" s="224" t="n"/>
      <c r="B321" s="224" t="n"/>
      <c r="C321" s="233" t="inlineStr">
        <is>
          <t>INTEREST COVERAGE</t>
        </is>
      </c>
      <c r="D321" s="219" t="str">
        <f>IFERROR(D56/-D57,"")</f>
        <v/>
      </c>
      <c r="E321" s="219" t="str">
        <f>IFERROR(E56/-E57,"")</f>
        <v/>
      </c>
      <c r="F321" s="219" t="str">
        <f>IFERROR(F56/-F57,"")</f>
        <v/>
      </c>
      <c r="G321" s="219" t="str">
        <f>IFERROR(G56/-G57,"")</f>
        <v/>
      </c>
      <c r="I321" s="219" t="str">
        <f>IFERROR(I56/-I57,"")</f>
        <v/>
      </c>
      <c r="J321" s="219" t="str">
        <f>IFERROR(J56/-J57,"")</f>
        <v/>
      </c>
      <c r="K321" s="219" t="str">
        <f>IFERROR(K56/-K57,"")</f>
        <v/>
      </c>
      <c r="L321" s="219" t="str">
        <f>IFERROR(L56/-L57,"")</f>
        <v/>
      </c>
      <c r="N321" s="219" t="str">
        <f>IFERROR(N56/-N57,"")</f>
        <v/>
      </c>
      <c r="O321" s="219" t="str">
        <f>IFERROR(O56/-O57,"")</f>
        <v/>
      </c>
      <c r="P321" s="219" t="str">
        <f>IFERROR(P56/-P57,"")</f>
        <v/>
      </c>
      <c r="Q321" s="219" t="str">
        <f>IFERROR(Q56/-Q57,"")</f>
        <v/>
      </c>
      <c r="S321" s="219" t="str">
        <f>IFERROR(S56/-S57,"")</f>
        <v/>
      </c>
      <c r="T321" s="219" t="str">
        <f>IFERROR(T56/-T57,"")</f>
        <v/>
      </c>
      <c r="U321" s="219" t="str">
        <f>IFERROR(U56/-U57,"")</f>
        <v/>
      </c>
      <c r="V321" s="219" t="str">
        <f>IFERROR(V56/-V57,"")</f>
        <v/>
      </c>
      <c r="X321" s="219" t="str">
        <f>IFERROR(X56/-X57,"")</f>
        <v/>
      </c>
      <c r="Y321" s="219" t="str">
        <f>IFERROR(Y56/-Y57,"")</f>
        <v/>
      </c>
      <c r="Z321" s="219" t="str">
        <f>IFERROR(Z56/-Z57,"")</f>
        <v/>
      </c>
      <c r="AA321" s="219" t="str">
        <f>IFERROR(AA56/-AA57,"")</f>
        <v/>
      </c>
      <c r="AC321" s="219" t="str">
        <f>IFERROR(AC56/-AC57,"")</f>
        <v/>
      </c>
      <c r="AD321" s="219" t="str">
        <f>IFERROR(AD56/-AD57,"")</f>
        <v/>
      </c>
      <c r="AE321" s="219" t="str">
        <f>IFERROR(AE56/-AE57,"")</f>
        <v/>
      </c>
      <c r="AF321" s="219" t="str">
        <f>IFERROR(AF56/-AF57,"")</f>
        <v/>
      </c>
      <c r="AH321" s="219" t="str">
        <f>IFERROR(AH56/-AH57,"")</f>
        <v/>
      </c>
      <c r="AI321" s="219" t="str">
        <f>IFERROR(AI56/-AI57,"")</f>
        <v/>
      </c>
      <c r="AJ321" s="219" t="str">
        <f>IFERROR(AJ56/-AJ57,"")</f>
        <v/>
      </c>
      <c r="AK321" s="219" t="str">
        <f>IFERROR(AK56/-AK57,"")</f>
        <v/>
      </c>
      <c r="AM321" s="219" t="str">
        <f>IFERROR(AM56/-AM57,"")</f>
        <v/>
      </c>
      <c r="AN321" s="219" t="str">
        <f>IFERROR(AN56/-AN57,"")</f>
        <v/>
      </c>
      <c r="AO321" s="219" t="str">
        <f>IFERROR(AO56/-AO57,"")</f>
        <v/>
      </c>
      <c r="AP321" s="219" t="str">
        <f>IFERROR(AP56/-AP57,"")</f>
        <v/>
      </c>
      <c r="AR321" s="219" t="str">
        <f>IFERROR(AR56/-AR57,"")</f>
        <v/>
      </c>
      <c r="AS321" s="219" t="str">
        <f>IFERROR(AS56/-AS57,"")</f>
        <v/>
      </c>
      <c r="AT321" s="219" t="str">
        <f>IFERROR(AT56/-AT57,"")</f>
        <v/>
      </c>
      <c r="AU321" s="219" t="str">
        <f>IFERROR(AU56/-AU57,"")</f>
        <v/>
      </c>
      <c r="AW321" s="219" t="str">
        <f>IFERROR(AW56/-AW57,"")</f>
        <v/>
      </c>
      <c r="AX321" s="219" t="str">
        <f>IFERROR(AX56/-AX57,"")</f>
        <v/>
      </c>
      <c r="AY321" s="219" t="str">
        <f>IFERROR(AY56/-AY57,"")</f>
        <v/>
      </c>
      <c r="AZ321" s="219" t="str">
        <f>IFERROR(AZ56/-AZ57,"")</f>
        <v/>
      </c>
      <c r="BB321" s="219" t="str">
        <f>IFERROR(BB56/-BB57,"")</f>
        <v/>
      </c>
      <c r="BC321" s="219" t="str">
        <f>IFERROR(BC56/-BC57,"")</f>
        <v/>
      </c>
      <c r="BD321" s="219" t="str">
        <f>IFERROR(BD56/-BD57,"")</f>
        <v/>
      </c>
      <c r="BE321" s="219" t="str">
        <f>IFERROR(BE56/-BE57,"")</f>
        <v/>
      </c>
      <c r="BG321" s="219" t="str">
        <f>IFERROR(BG56/-BG57,"")</f>
        <v/>
      </c>
      <c r="BH321" s="219" t="str">
        <f>IFERROR(BH56/-BH57,"")</f>
        <v/>
      </c>
      <c r="BI321" s="219" t="str">
        <f>IFERROR(BI56/-BI57,"")</f>
        <v/>
      </c>
      <c r="BJ321" s="219" t="str">
        <f>IFERROR(BJ56/-BJ57,"")</f>
        <v/>
      </c>
      <c r="BL321" s="219" t="str">
        <f>IFERROR(BL56/-BL57,"")</f>
        <v/>
      </c>
      <c r="BM321" s="219" t="str">
        <f>IFERROR(BM56/-BM57,"")</f>
        <v/>
      </c>
      <c r="BN321" s="219" t="str">
        <f>IFERROR(BN56/-BN57,"")</f>
        <v/>
      </c>
      <c r="BO321" s="219" t="str">
        <f>IFERROR(BO56/-BO57,"")</f>
        <v/>
      </c>
      <c r="BQ321" s="219" t="str">
        <f>IFERROR(BQ56/-BQ57,"")</f>
        <v/>
      </c>
      <c r="BR321" s="219" t="str">
        <f>IFERROR(BR56/-BR57,"")</f>
        <v/>
      </c>
      <c r="BS321" s="219" t="str">
        <f>IFERROR(BS56/-BS57,"")</f>
        <v/>
      </c>
      <c r="BT321" s="219" t="str">
        <f>IFERROR(BT56/-BT57,"")</f>
        <v/>
      </c>
      <c r="BV321" s="219" t="str">
        <f>IFERROR(BV56/-BV57,"")</f>
        <v/>
      </c>
      <c r="BW321" s="219" t="str">
        <f>IFERROR(BW56/-BW57,"")</f>
        <v/>
      </c>
      <c r="BX321" s="219" t="str">
        <f>IFERROR(BX56/-BX57,"")</f>
        <v/>
      </c>
      <c r="BY321" s="219" t="str">
        <f>IFERROR(BY56/-BY57,"")</f>
        <v/>
      </c>
      <c r="CA321" s="219" t="str">
        <f>IFERROR(CA56/-CA57,"")</f>
        <v/>
      </c>
      <c r="CB321" s="219" t="str">
        <f>IFERROR(CB56/-CB57,"")</f>
        <v/>
      </c>
      <c r="CC321" s="219" t="str">
        <f>IFERROR(CC56/-CC57,"")</f>
        <v/>
      </c>
      <c r="CD321" s="219" t="str">
        <f>IFERROR(CD56/-CD57,"")</f>
        <v/>
      </c>
      <c r="CF321" s="219" t="str">
        <f>IFERROR(CF56/-CF57,"")</f>
        <v/>
      </c>
      <c r="CG321" s="219" t="str">
        <f>IFERROR(CG56/-CG57,"")</f>
        <v/>
      </c>
      <c r="CH321" s="219" t="str">
        <f>IFERROR(CH56/-CH57,"")</f>
        <v/>
      </c>
      <c r="CI321" s="219" t="str">
        <f>IFERROR(CI56/-CI57,"")</f>
        <v/>
      </c>
      <c r="CK321" s="219" t="str">
        <f>IFERROR(CK56/-CK57,"")</f>
        <v/>
      </c>
      <c r="CL321" s="219" t="str">
        <f>IFERROR(CL56/-CL57,"")</f>
        <v/>
      </c>
      <c r="CM321" s="219" t="str">
        <f>IFERROR(CM56/-CM57,"")</f>
        <v/>
      </c>
      <c r="CN321" s="219" t="str">
        <f>IFERROR(CN56/-CN57,"")</f>
        <v/>
      </c>
      <c r="CP321" s="219" t="str">
        <f>IFERROR(CP56/-CP57,"")</f>
        <v/>
      </c>
      <c r="CQ321" s="219" t="str">
        <f>IFERROR(CQ56/-CQ57,"")</f>
        <v/>
      </c>
      <c r="CR321" s="219" t="str">
        <f>IFERROR(CR56/-CR57,"")</f>
        <v/>
      </c>
      <c r="CS321" s="219" t="str">
        <f>IFERROR(CS56/-CS57,"")</f>
        <v/>
      </c>
      <c r="CU321" s="219" t="str">
        <f>IFERROR(CU56/-CU57,"")</f>
        <v/>
      </c>
      <c r="CV321" s="219" t="str">
        <f>IFERROR(CV56/-CV57,"")</f>
        <v/>
      </c>
      <c r="CW321" s="219" t="str">
        <f>IFERROR(CW56/-CW57,"")</f>
        <v/>
      </c>
      <c r="CX321" s="219" t="str">
        <f>IFERROR(CX56/-CX57,"")</f>
        <v/>
      </c>
    </row>
    <row r="322" customFormat="1" s="233">
      <c r="A322" s="224" t="n"/>
      <c r="B322" s="224" t="n"/>
    </row>
    <row r="323" customFormat="1" s="233">
      <c r="A323" s="224" t="n"/>
      <c r="B323" s="224" t="n"/>
      <c r="C323" s="234" t="inlineStr">
        <is>
          <t>INTERNAL LIQUIDITY</t>
        </is>
      </c>
    </row>
    <row r="324" customFormat="1" s="233">
      <c r="A324" s="224" t="n"/>
      <c r="B324" s="224" t="n"/>
      <c r="C324" s="233" t="inlineStr">
        <is>
          <t>CURRENT RATIO</t>
        </is>
      </c>
      <c r="D324" s="219">
        <f>SUM(D127,D128,D132,D136,D137,D138)/SUM(D181,D185,D187,D188)</f>
        <v>1.41748378337607</v>
      </c>
      <c r="E324" s="219">
        <f>SUM(E127,E128,E132,E136,E137,E138)/SUM(E181,E185,E187,E188)</f>
        <v>1.50061432364948</v>
      </c>
      <c r="F324" s="219">
        <f>SUM(F127,F128,F132,F136,F137,F138)/SUM(F181,F185,F187,F188)</f>
        <v>2.97353190832626</v>
      </c>
      <c r="G324" s="219">
        <f>SUM(G127,G128,G132,G136,G137,G138)/SUM(G181,G185,G187,G188)</f>
        <v>2.71174328317185</v>
      </c>
      <c r="I324" s="219">
        <f>SUM(I127,I128,I132,I136,I137,I138)/SUM(I181,I185,I187,I188)</f>
        <v>2.88606479598753</v>
      </c>
      <c r="J324" s="219">
        <f>SUM(J127,J128,J132,J136,J137,J138)/SUM(J181,J185,J187,J188)</f>
        <v>2.66298753642959</v>
      </c>
      <c r="K324" s="219">
        <f>SUM(K127,K128,K132,K136,K137,K138)/SUM(K181,K185,K187,K188)</f>
        <v>2.56289000367062</v>
      </c>
      <c r="L324" s="219">
        <f>SUM(L127,L128,L132,L136,L137,L138)/SUM(L181,L185,L187,L188)</f>
        <v>2.40202310541153</v>
      </c>
      <c r="N324" s="219">
        <f>SUM(N127,N128,N132,N136,N137,N138)/SUM(N181,N185,N187,N188)</f>
        <v>2.47140783744557</v>
      </c>
      <c r="O324" s="219">
        <f>SUM(O127,O128,O132,O136,O137,O138)/SUM(O181,O185,O187,O188)</f>
        <v>2.30417124039517</v>
      </c>
      <c r="P324" s="219">
        <f>SUM(P127,P128,P132,P136,P137,P138)/SUM(P181,P185,P187,P188)</f>
        <v>2.21917022829146</v>
      </c>
      <c r="Q324" s="219">
        <f>SUM(Q127,Q128,Q132,Q136,Q137,Q138)/SUM(Q181,Q185,Q187,Q188)</f>
        <v>2.1620086904997</v>
      </c>
      <c r="S324" s="219">
        <f>SUM(S127,S128,S132,S136,S137,S138)/SUM(S181,S185,S187,S188)</f>
        <v>2.32047568226864</v>
      </c>
      <c r="T324" s="219">
        <f>SUM(T127,T128,T132,T136,T137,T138)/SUM(T181,T185,T187,T188)</f>
        <v>2.28155339805825</v>
      </c>
      <c r="U324" s="219">
        <f>SUM(U127,U128,U132,U136,U137,U138)/SUM(U181,U185,U187,U188)</f>
        <v>2.37131989725351</v>
      </c>
      <c r="V324" s="219">
        <f>SUM(V127,V128,V132,V136,V137,V138)/SUM(V181,V185,V187,V188)</f>
        <v>2.20190413657255</v>
      </c>
      <c r="X324" s="219">
        <f>SUM(X127,X128,X132,X136,X137,X138)/SUM(X181,X185,X187,X188)</f>
        <v>2.25665409065068</v>
      </c>
      <c r="Y324" s="219">
        <f>SUM(Y127,Y128,Y132,Y136,Y137,Y138)/SUM(Y181,Y185,Y187,Y188)</f>
        <v>2.14525362138484</v>
      </c>
      <c r="Z324" s="219">
        <f>SUM(Z127,Z128,Z132,Z136,Z137,Z138)/SUM(Z181,Z185,Z187,Z188)</f>
        <v>2.23600815879807</v>
      </c>
      <c r="AA324" s="219">
        <f>SUM(AA127,AA128,AA132,AA136,AA137,AA138)/SUM(AA181,AA185,AA187,AA188)</f>
        <v>2.15338927123598</v>
      </c>
      <c r="AC324" s="219">
        <f>SUM(AC127,AC128,AC132,AC136,AC137,AC138)/SUM(AC181,AC185,AC187,AC188)</f>
        <v>2.16982749924342</v>
      </c>
      <c r="AD324" s="219">
        <f>SUM(AD127,AD128,AD132,AD136,AD137,AD138)/SUM(AD181,AD185,AD187,AD188)</f>
        <v>2.11236107346164</v>
      </c>
      <c r="AE324" s="219">
        <f>SUM(AE127,AE128,AE132,AE136,AE137,AE138)/SUM(AE181,AE185,AE187,AE188)</f>
        <v>2.24476186184833</v>
      </c>
      <c r="AF324" s="219">
        <f>SUM(AF127,AF128,AF132,AF136,AF137,AF138)/SUM(AF181,AF185,AF187,AF188)</f>
        <v>2.1938221033272</v>
      </c>
      <c r="AH324" s="219">
        <f>SUM(AH127,AH128,AH132,AH136,AH137,AH138)/SUM(AH181,AH185,AH187,AH188)</f>
        <v>2.06866002214839</v>
      </c>
      <c r="AI324" s="219">
        <f>SUM(AI127,AI128,AI132,AI136,AI137,AI138)/SUM(AI181,AI185,AI187,AI188)</f>
        <v>2.04062511711577</v>
      </c>
      <c r="AJ324" s="219">
        <f>SUM(AJ127,AJ128,AJ132,AJ136,AJ137,AJ138)/SUM(AJ181,AJ185,AJ187,AJ188)</f>
        <v>4.3717994521853</v>
      </c>
      <c r="AK324" s="219">
        <f>SUM(AK127,AK128,AK132,AK136,AK137,AK138)/SUM(AK181,AK185,AK187,AK188)</f>
        <v>4.40312016196261</v>
      </c>
      <c r="AM324" s="219" t="e">
        <f>SUM(AM127,AM128,AM132,AM136,AM137,AM138)/SUM(AM181,AM185,AM187,AM188)</f>
        <v>#DIV/0!</v>
      </c>
      <c r="AN324" s="219" t="e">
        <f>SUM(AN127,AN128,AN132,AN136,AN137,AN138)/SUM(AN181,AN185,AN187,AN188)</f>
        <v>#DIV/0!</v>
      </c>
      <c r="AO324" s="219" t="e">
        <f>SUM(AO127,AO128,AO132,AO136,AO137,AO138)/SUM(AO181,AO185,AO187,AO188)</f>
        <v>#DIV/0!</v>
      </c>
      <c r="AP324" s="219" t="e">
        <f>SUM(AP127,AP128,AP132,AP136,AP137,AP138)/SUM(AP181,AP185,AP187,AP188)</f>
        <v>#DIV/0!</v>
      </c>
      <c r="AR324" s="219" t="e">
        <f>SUM(AR127,AR128,AR132,AR136,AR137,AR138)/SUM(AR181,AR185,AR187,AR188)</f>
        <v>#DIV/0!</v>
      </c>
      <c r="AS324" s="219" t="e">
        <f>SUM(AS127,AS128,AS132,AS136,AS137,AS138)/SUM(AS181,AS185,AS187,AS188)</f>
        <v>#DIV/0!</v>
      </c>
      <c r="AT324" s="219" t="e">
        <f>SUM(AT127,AT128,AT132,AT136,AT137,AT138)/SUM(AT181,AT185,AT187,AT188)</f>
        <v>#DIV/0!</v>
      </c>
      <c r="AU324" s="219" t="e">
        <f>SUM(AU127,AU128,AU132,AU136,AU137,AU138)/SUM(AU181,AU185,AU187,AU188)</f>
        <v>#DIV/0!</v>
      </c>
      <c r="AW324" s="219" t="e">
        <f>SUM(AW127,AW128,AW132,AW136,AW137,AW138)/SUM(AW181,AW185,AW187,AW188)</f>
        <v>#DIV/0!</v>
      </c>
      <c r="AX324" s="219" t="e">
        <f>SUM(AX127,AX128,AX132,AX136,AX137,AX138)/SUM(AX181,AX185,AX187,AX188)</f>
        <v>#DIV/0!</v>
      </c>
      <c r="AY324" s="219" t="e">
        <f>SUM(AY127,AY128,AY132,AY136,AY137,AY138)/SUM(AY181,AY185,AY187,AY188)</f>
        <v>#DIV/0!</v>
      </c>
      <c r="AZ324" s="219" t="e">
        <f>SUM(AZ127,AZ128,AZ132,AZ136,AZ137,AZ138)/SUM(AZ181,AZ185,AZ187,AZ188)</f>
        <v>#DIV/0!</v>
      </c>
      <c r="BB324" s="219" t="e">
        <f>SUM(BB127,BB128,BB132,BB136,BB137,BB138)/SUM(BB181,BB185,BB187,BB188)</f>
        <v>#DIV/0!</v>
      </c>
      <c r="BC324" s="219" t="e">
        <f>SUM(BC127,BC128,BC132,BC136,BC137,BC138)/SUM(BC181,BC185,BC187,BC188)</f>
        <v>#DIV/0!</v>
      </c>
      <c r="BD324" s="219" t="e">
        <f>SUM(BD127,BD128,BD132,BD136,BD137,BD138)/SUM(BD181,BD185,BD187,BD188)</f>
        <v>#DIV/0!</v>
      </c>
      <c r="BE324" s="219" t="e">
        <f>SUM(BE127,BE128,BE132,BE136,BE137,BE138)/SUM(BE181,BE185,BE187,BE188)</f>
        <v>#DIV/0!</v>
      </c>
      <c r="BG324" s="219" t="e">
        <f>SUM(BG127,BG128,BG132,BG136,BG137,BG138)/SUM(BG181,BG185,BG187,BG188)</f>
        <v>#DIV/0!</v>
      </c>
      <c r="BH324" s="219" t="e">
        <f>SUM(BH127,BH128,BH132,BH136,BH137,BH138)/SUM(BH181,BH185,BH187,BH188)</f>
        <v>#DIV/0!</v>
      </c>
      <c r="BI324" s="219" t="e">
        <f>SUM(BI127,BI128,BI132,BI136,BI137,BI138)/SUM(BI181,BI185,BI187,BI188)</f>
        <v>#DIV/0!</v>
      </c>
      <c r="BJ324" s="219" t="e">
        <f>SUM(BJ127,BJ128,BJ132,BJ136,BJ137,BJ138)/SUM(BJ181,BJ185,BJ187,BJ188)</f>
        <v>#DIV/0!</v>
      </c>
      <c r="BL324" s="219" t="e">
        <f>SUM(BL127,BL128,BL132,BL136,BL137,BL138)/SUM(BL181,BL185,BL187,BL188)</f>
        <v>#DIV/0!</v>
      </c>
      <c r="BM324" s="219" t="e">
        <f>SUM(BM127,BM128,BM132,BM136,BM137,BM138)/SUM(BM181,BM185,BM187,BM188)</f>
        <v>#DIV/0!</v>
      </c>
      <c r="BN324" s="219" t="e">
        <f>SUM(BN127,BN128,BN132,BN136,BN137,BN138)/SUM(BN181,BN185,BN187,BN188)</f>
        <v>#DIV/0!</v>
      </c>
      <c r="BO324" s="219" t="e">
        <f>SUM(BO127,BO128,BO132,BO136,BO137,BO138)/SUM(BO181,BO185,BO187,BO188)</f>
        <v>#DIV/0!</v>
      </c>
      <c r="BQ324" s="219" t="e">
        <f>SUM(BQ127,BQ128,BQ132,BQ136,BQ137,BQ138)/SUM(BQ181,BQ185,BQ187,BQ188)</f>
        <v>#DIV/0!</v>
      </c>
      <c r="BR324" s="219" t="e">
        <f>SUM(BR127,BR128,BR132,BR136,BR137,BR138)/SUM(BR181,BR185,BR187,BR188)</f>
        <v>#DIV/0!</v>
      </c>
      <c r="BS324" s="219" t="e">
        <f>SUM(BS127,BS128,BS132,BS136,BS137,BS138)/SUM(BS181,BS185,BS187,BS188)</f>
        <v>#DIV/0!</v>
      </c>
      <c r="BT324" s="219" t="e">
        <f>SUM(BT127,BT128,BT132,BT136,BT137,BT138)/SUM(BT181,BT185,BT187,BT188)</f>
        <v>#DIV/0!</v>
      </c>
      <c r="BV324" s="219" t="e">
        <f>SUM(BV127,BV128,BV132,BV136,BV137,BV138)/SUM(BV181,BV185,BV187,BV188)</f>
        <v>#DIV/0!</v>
      </c>
      <c r="BW324" s="219" t="e">
        <f>SUM(BW127,BW128,BW132,BW136,BW137,BW138)/SUM(BW181,BW185,BW187,BW188)</f>
        <v>#DIV/0!</v>
      </c>
      <c r="BX324" s="219" t="e">
        <f>SUM(BX127,BX128,BX132,BX136,BX137,BX138)/SUM(BX181,BX185,BX187,BX188)</f>
        <v>#DIV/0!</v>
      </c>
      <c r="BY324" s="219" t="e">
        <f>SUM(BY127,BY128,BY132,BY136,BY137,BY138)/SUM(BY181,BY185,BY187,BY188)</f>
        <v>#DIV/0!</v>
      </c>
      <c r="CA324" s="219" t="e">
        <f>SUM(CA127,CA128,CA132,CA136,CA137,CA138)/SUM(CA181,CA185,CA187,CA188)</f>
        <v>#DIV/0!</v>
      </c>
      <c r="CB324" s="219" t="e">
        <f>SUM(CB127,CB128,CB132,CB136,CB137,CB138)/SUM(CB181,CB185,CB187,CB188)</f>
        <v>#DIV/0!</v>
      </c>
      <c r="CC324" s="219" t="e">
        <f>SUM(CC127,CC128,CC132,CC136,CC137,CC138)/SUM(CC181,CC185,CC187,CC188)</f>
        <v>#DIV/0!</v>
      </c>
      <c r="CD324" s="219" t="e">
        <f>SUM(CD127,CD128,CD132,CD136,CD137,CD138)/SUM(CD181,CD185,CD187,CD188)</f>
        <v>#DIV/0!</v>
      </c>
      <c r="CF324" s="219" t="e">
        <f>SUM(CF127,CF128,CF132,CF136,CF137,CF138)/SUM(CF181,CF185,CF187,CF188)</f>
        <v>#DIV/0!</v>
      </c>
      <c r="CG324" s="219" t="e">
        <f>SUM(CG127,CG128,CG132,CG136,CG137,CG138)/SUM(CG181,CG185,CG187,CG188)</f>
        <v>#DIV/0!</v>
      </c>
      <c r="CH324" s="219" t="e">
        <f>SUM(CH127,CH128,CH132,CH136,CH137,CH138)/SUM(CH181,CH185,CH187,CH188)</f>
        <v>#DIV/0!</v>
      </c>
      <c r="CI324" s="219" t="e">
        <f>SUM(CI127,CI128,CI132,CI136,CI137,CI138)/SUM(CI181,CI185,CI187,CI188)</f>
        <v>#DIV/0!</v>
      </c>
      <c r="CK324" s="219" t="e">
        <f>SUM(CK127,CK128,CK132,CK136,CK137,CK138)/SUM(CK181,CK185,CK187,CK188)</f>
        <v>#DIV/0!</v>
      </c>
      <c r="CL324" s="219" t="e">
        <f>SUM(CL127,CL128,CL132,CL136,CL137,CL138)/SUM(CL181,CL185,CL187,CL188)</f>
        <v>#DIV/0!</v>
      </c>
      <c r="CM324" s="219" t="e">
        <f>SUM(CM127,CM128,CM132,CM136,CM137,CM138)/SUM(CM181,CM185,CM187,CM188)</f>
        <v>#DIV/0!</v>
      </c>
      <c r="CN324" s="219" t="e">
        <f>SUM(CN127,CN128,CN132,CN136,CN137,CN138)/SUM(CN181,CN185,CN187,CN188)</f>
        <v>#DIV/0!</v>
      </c>
      <c r="CP324" s="219" t="e">
        <f>SUM(CP127,CP128,CP132,CP136,CP137,CP138)/SUM(CP181,CP185,CP187,CP188)</f>
        <v>#DIV/0!</v>
      </c>
      <c r="CQ324" s="219" t="e">
        <f>SUM(CQ127,CQ128,CQ132,CQ136,CQ137,CQ138)/SUM(CQ181,CQ185,CQ187,CQ188)</f>
        <v>#DIV/0!</v>
      </c>
      <c r="CR324" s="219" t="e">
        <f>SUM(CR127,CR128,CR132,CR136,CR137,CR138)/SUM(CR181,CR185,CR187,CR188)</f>
        <v>#DIV/0!</v>
      </c>
      <c r="CS324" s="219" t="e">
        <f>SUM(CS127,CS128,CS132,CS136,CS137,CS138)/SUM(CS181,CS185,CS187,CS188)</f>
        <v>#DIV/0!</v>
      </c>
      <c r="CU324" s="219" t="e">
        <f>SUM(CU127,CU128,CU132,CU136,CU137,CU138)/SUM(CU181,CU185,CU187,CU188)</f>
        <v>#DIV/0!</v>
      </c>
      <c r="CV324" s="219" t="e">
        <f>SUM(CV127,CV128,CV132,CV136,CV137,CV138)/SUM(CV181,CV185,CV187,CV188)</f>
        <v>#DIV/0!</v>
      </c>
      <c r="CW324" s="219" t="e">
        <f>SUM(CW127,CW128,CW132,CW136,CW137,CW138)/SUM(CW181,CW185,CW187,CW188)</f>
        <v>#DIV/0!</v>
      </c>
      <c r="CX324" s="219" t="e">
        <f>SUM(CX127,CX128,CX132,CX136,CX137,CX138)/SUM(CX181,CX185,CX187,CX188)</f>
        <v>#DIV/0!</v>
      </c>
    </row>
    <row r="325" customFormat="1" s="233">
      <c r="A325" s="224" t="n"/>
      <c r="B325" s="224" t="n"/>
      <c r="C325" s="233" t="inlineStr">
        <is>
          <t>CASH RATIO</t>
        </is>
      </c>
      <c r="D325" s="219">
        <f>SUM(D127)/SUM(D181,D185,D187,D188)</f>
        <v>0.268630260974506</v>
      </c>
      <c r="E325" s="219">
        <f>SUM(E127)/SUM(E181,E185,E187,E188)</f>
        <v>0.348143157227221</v>
      </c>
      <c r="F325" s="219">
        <f>SUM(F127)/SUM(F181,F185,F187,F188)</f>
        <v>0.71880546338452</v>
      </c>
      <c r="G325" s="219">
        <f>SUM(G127)/SUM(G181,G185,G187,G188)</f>
        <v>0.642616642616643</v>
      </c>
      <c r="I325" s="219">
        <f>SUM(I127)/SUM(I181,I185,I187,I188)</f>
        <v>0.768740680493426</v>
      </c>
      <c r="J325" s="219">
        <f>SUM(J127)/SUM(J181,J185,J187,J188)</f>
        <v>0.671606622434427</v>
      </c>
      <c r="K325" s="219">
        <f>SUM(K127)/SUM(K181,K185,K187,K188)</f>
        <v>0.577878380031812</v>
      </c>
      <c r="L325" s="219">
        <f>SUM(L127)/SUM(L181,L185,L187,L188)</f>
        <v>0.511525067713228</v>
      </c>
      <c r="N325" s="219">
        <f>SUM(N127)/SUM(N181,N185,N187,N188)</f>
        <v>0.378867924528302</v>
      </c>
      <c r="O325" s="219">
        <f>SUM(O127)/SUM(O181,O185,O187,O188)</f>
        <v>0.330076838638858</v>
      </c>
      <c r="P325" s="219">
        <f>SUM(P127)/SUM(P181,P185,P187,P188)</f>
        <v>0.330762013968519</v>
      </c>
      <c r="Q325" s="219">
        <f>SUM(Q127)/SUM(Q181,Q185,Q187,Q188)</f>
        <v>0.345842385937191</v>
      </c>
      <c r="S325" s="219">
        <f>SUM(S127)/SUM(S181,S185,S187,S188)</f>
        <v>0.34502210702851</v>
      </c>
      <c r="T325" s="219">
        <f>SUM(T127)/SUM(T181,T185,T187,T188)</f>
        <v>0.358592233009709</v>
      </c>
      <c r="U325" s="219">
        <f>SUM(U127)/SUM(U181,U185,U187,U188)</f>
        <v>0.323305670816044</v>
      </c>
      <c r="V325" s="219">
        <f>SUM(V127)/SUM(V181,V185,V187,V188)</f>
        <v>0.3272676109183</v>
      </c>
      <c r="X325" s="219">
        <f>SUM(X127)/SUM(X181,X185,X187,X188)</f>
        <v>0.256292314848313</v>
      </c>
      <c r="Y325" s="219">
        <f>SUM(Y127)/SUM(Y181,Y185,Y187,Y188)</f>
        <v>0.216088406590672</v>
      </c>
      <c r="Z325" s="219">
        <f>SUM(Z127)/SUM(Z181,Z185,Z187,Z188)</f>
        <v>0.280483558031939</v>
      </c>
      <c r="AA325" s="219">
        <f>SUM(AA127)/SUM(AA181,AA185,AA187,AA188)</f>
        <v>0.324738380314886</v>
      </c>
      <c r="AC325" s="219">
        <f>SUM(AC127)/SUM(AC181,AC185,AC187,AC188)</f>
        <v>0.17966306869767</v>
      </c>
      <c r="AD325" s="219">
        <f>SUM(AD127)/SUM(AD181,AD185,AD187,AD188)</f>
        <v>0.245866088370832</v>
      </c>
      <c r="AE325" s="219">
        <f>SUM(AE127)/SUM(AE181,AE185,AE187,AE188)</f>
        <v>0.339656648492768</v>
      </c>
      <c r="AF325" s="219">
        <f>SUM(AF127)/SUM(AF181,AF185,AF187,AF188)</f>
        <v>0.417154322019729</v>
      </c>
      <c r="AH325" s="219">
        <f>SUM(AH127)/SUM(AH181,AH185,AH187,AH188)</f>
        <v>0.173438964136639</v>
      </c>
      <c r="AI325" s="219">
        <f>SUM(AI127)/SUM(AI181,AI185,AI187,AI188)</f>
        <v>0.251583405164337</v>
      </c>
      <c r="AJ325" s="219">
        <f>SUM(AJ127)/SUM(AJ181,AJ185,AJ187,AJ188)</f>
        <v>2.71382636655949</v>
      </c>
      <c r="AK325" s="219">
        <f>SUM(AK127)/SUM(AK181,AK185,AK187,AK188)</f>
        <v>2.74514707633679</v>
      </c>
      <c r="AM325" s="219" t="e">
        <f>SUM(AM127)/SUM(AM181,AM185,AM187,AM188)</f>
        <v>#DIV/0!</v>
      </c>
      <c r="AN325" s="219" t="e">
        <f>SUM(AN127)/SUM(AN181,AN185,AN187,AN188)</f>
        <v>#DIV/0!</v>
      </c>
      <c r="AO325" s="219" t="e">
        <f>SUM(AO127)/SUM(AO181,AO185,AO187,AO188)</f>
        <v>#DIV/0!</v>
      </c>
      <c r="AP325" s="219" t="e">
        <f>SUM(AP127)/SUM(AP181,AP185,AP187,AP188)</f>
        <v>#DIV/0!</v>
      </c>
      <c r="AR325" s="219" t="e">
        <f>SUM(AR127)/SUM(AR181,AR185,AR187,AR188)</f>
        <v>#DIV/0!</v>
      </c>
      <c r="AS325" s="219" t="e">
        <f>SUM(AS127)/SUM(AS181,AS185,AS187,AS188)</f>
        <v>#DIV/0!</v>
      </c>
      <c r="AT325" s="219" t="e">
        <f>SUM(AT127)/SUM(AT181,AT185,AT187,AT188)</f>
        <v>#DIV/0!</v>
      </c>
      <c r="AU325" s="219" t="e">
        <f>SUM(AU127)/SUM(AU181,AU185,AU187,AU188)</f>
        <v>#DIV/0!</v>
      </c>
      <c r="AW325" s="219" t="e">
        <f>SUM(AW127)/SUM(AW181,AW185,AW187,AW188)</f>
        <v>#DIV/0!</v>
      </c>
      <c r="AX325" s="219" t="e">
        <f>SUM(AX127)/SUM(AX181,AX185,AX187,AX188)</f>
        <v>#DIV/0!</v>
      </c>
      <c r="AY325" s="219" t="e">
        <f>SUM(AY127)/SUM(AY181,AY185,AY187,AY188)</f>
        <v>#DIV/0!</v>
      </c>
      <c r="AZ325" s="219" t="e">
        <f>SUM(AZ127)/SUM(AZ181,AZ185,AZ187,AZ188)</f>
        <v>#DIV/0!</v>
      </c>
      <c r="BB325" s="219" t="e">
        <f>SUM(BB127)/SUM(BB181,BB185,BB187,BB188)</f>
        <v>#DIV/0!</v>
      </c>
      <c r="BC325" s="219" t="e">
        <f>SUM(BC127)/SUM(BC181,BC185,BC187,BC188)</f>
        <v>#DIV/0!</v>
      </c>
      <c r="BD325" s="219" t="e">
        <f>SUM(BD127)/SUM(BD181,BD185,BD187,BD188)</f>
        <v>#DIV/0!</v>
      </c>
      <c r="BE325" s="219" t="e">
        <f>SUM(BE127)/SUM(BE181,BE185,BE187,BE188)</f>
        <v>#DIV/0!</v>
      </c>
      <c r="BG325" s="219" t="e">
        <f>SUM(BG127)/SUM(BG181,BG185,BG187,BG188)</f>
        <v>#DIV/0!</v>
      </c>
      <c r="BH325" s="219" t="e">
        <f>SUM(BH127)/SUM(BH181,BH185,BH187,BH188)</f>
        <v>#DIV/0!</v>
      </c>
      <c r="BI325" s="219" t="e">
        <f>SUM(BI127)/SUM(BI181,BI185,BI187,BI188)</f>
        <v>#DIV/0!</v>
      </c>
      <c r="BJ325" s="219" t="e">
        <f>SUM(BJ127)/SUM(BJ181,BJ185,BJ187,BJ188)</f>
        <v>#DIV/0!</v>
      </c>
      <c r="BL325" s="219" t="e">
        <f>SUM(BL127)/SUM(BL181,BL185,BL187,BL188)</f>
        <v>#DIV/0!</v>
      </c>
      <c r="BM325" s="219" t="e">
        <f>SUM(BM127)/SUM(BM181,BM185,BM187,BM188)</f>
        <v>#DIV/0!</v>
      </c>
      <c r="BN325" s="219" t="e">
        <f>SUM(BN127)/SUM(BN181,BN185,BN187,BN188)</f>
        <v>#DIV/0!</v>
      </c>
      <c r="BO325" s="219" t="e">
        <f>SUM(BO127)/SUM(BO181,BO185,BO187,BO188)</f>
        <v>#DIV/0!</v>
      </c>
      <c r="BQ325" s="219" t="e">
        <f>SUM(BQ127)/SUM(BQ181,BQ185,BQ187,BQ188)</f>
        <v>#DIV/0!</v>
      </c>
      <c r="BR325" s="219" t="e">
        <f>SUM(BR127)/SUM(BR181,BR185,BR187,BR188)</f>
        <v>#DIV/0!</v>
      </c>
      <c r="BS325" s="219" t="e">
        <f>SUM(BS127)/SUM(BS181,BS185,BS187,BS188)</f>
        <v>#DIV/0!</v>
      </c>
      <c r="BT325" s="219" t="e">
        <f>SUM(BT127)/SUM(BT181,BT185,BT187,BT188)</f>
        <v>#DIV/0!</v>
      </c>
      <c r="BV325" s="219" t="e">
        <f>SUM(BV127)/SUM(BV181,BV185,BV187,BV188)</f>
        <v>#DIV/0!</v>
      </c>
      <c r="BW325" s="219" t="e">
        <f>SUM(BW127)/SUM(BW181,BW185,BW187,BW188)</f>
        <v>#DIV/0!</v>
      </c>
      <c r="BX325" s="219" t="e">
        <f>SUM(BX127)/SUM(BX181,BX185,BX187,BX188)</f>
        <v>#DIV/0!</v>
      </c>
      <c r="BY325" s="219" t="e">
        <f>SUM(BY127)/SUM(BY181,BY185,BY187,BY188)</f>
        <v>#DIV/0!</v>
      </c>
      <c r="CA325" s="219" t="e">
        <f>SUM(CA127)/SUM(CA181,CA185,CA187,CA188)</f>
        <v>#DIV/0!</v>
      </c>
      <c r="CB325" s="219" t="e">
        <f>SUM(CB127)/SUM(CB181,CB185,CB187,CB188)</f>
        <v>#DIV/0!</v>
      </c>
      <c r="CC325" s="219" t="e">
        <f>SUM(CC127)/SUM(CC181,CC185,CC187,CC188)</f>
        <v>#DIV/0!</v>
      </c>
      <c r="CD325" s="219" t="e">
        <f>SUM(CD127)/SUM(CD181,CD185,CD187,CD188)</f>
        <v>#DIV/0!</v>
      </c>
      <c r="CF325" s="219" t="e">
        <f>SUM(CF127)/SUM(CF181,CF185,CF187,CF188)</f>
        <v>#DIV/0!</v>
      </c>
      <c r="CG325" s="219" t="e">
        <f>SUM(CG127)/SUM(CG181,CG185,CG187,CG188)</f>
        <v>#DIV/0!</v>
      </c>
      <c r="CH325" s="219" t="e">
        <f>SUM(CH127)/SUM(CH181,CH185,CH187,CH188)</f>
        <v>#DIV/0!</v>
      </c>
      <c r="CI325" s="219" t="e">
        <f>SUM(CI127)/SUM(CI181,CI185,CI187,CI188)</f>
        <v>#DIV/0!</v>
      </c>
      <c r="CK325" s="219" t="e">
        <f>SUM(CK127)/SUM(CK181,CK185,CK187,CK188)</f>
        <v>#DIV/0!</v>
      </c>
      <c r="CL325" s="219" t="e">
        <f>SUM(CL127)/SUM(CL181,CL185,CL187,CL188)</f>
        <v>#DIV/0!</v>
      </c>
      <c r="CM325" s="219" t="e">
        <f>SUM(CM127)/SUM(CM181,CM185,CM187,CM188)</f>
        <v>#DIV/0!</v>
      </c>
      <c r="CN325" s="219" t="e">
        <f>SUM(CN127)/SUM(CN181,CN185,CN187,CN188)</f>
        <v>#DIV/0!</v>
      </c>
      <c r="CP325" s="219" t="e">
        <f>SUM(CP127)/SUM(CP181,CP185,CP187,CP188)</f>
        <v>#DIV/0!</v>
      </c>
      <c r="CQ325" s="219" t="e">
        <f>SUM(CQ127)/SUM(CQ181,CQ185,CQ187,CQ188)</f>
        <v>#DIV/0!</v>
      </c>
      <c r="CR325" s="219" t="e">
        <f>SUM(CR127)/SUM(CR181,CR185,CR187,CR188)</f>
        <v>#DIV/0!</v>
      </c>
      <c r="CS325" s="219" t="e">
        <f>SUM(CS127)/SUM(CS181,CS185,CS187,CS188)</f>
        <v>#DIV/0!</v>
      </c>
      <c r="CU325" s="219" t="e">
        <f>SUM(CU127)/SUM(CU181,CU185,CU187,CU188)</f>
        <v>#DIV/0!</v>
      </c>
      <c r="CV325" s="219" t="e">
        <f>SUM(CV127)/SUM(CV181,CV185,CV187,CV188)</f>
        <v>#DIV/0!</v>
      </c>
      <c r="CW325" s="219" t="e">
        <f>SUM(CW127)/SUM(CW181,CW185,CW187,CW188)</f>
        <v>#DIV/0!</v>
      </c>
      <c r="CX325" s="219" t="e">
        <f>SUM(CX127)/SUM(CX181,CX185,CX187,CX188)</f>
        <v>#DIV/0!</v>
      </c>
    </row>
    <row r="326" customFormat="1" s="233">
      <c r="A326" s="224" t="n"/>
      <c r="B326" s="224" t="n"/>
    </row>
    <row r="327" customFormat="1" s="233">
      <c r="A327" s="224" t="n"/>
      <c r="B327" s="224" t="n"/>
      <c r="C327" s="234" t="inlineStr">
        <is>
          <t>OPERATING EFFICIENCY</t>
        </is>
      </c>
    </row>
    <row r="328" customFormat="1" s="238">
      <c r="A328" s="222" t="n"/>
      <c r="B328" s="222" t="n"/>
      <c r="C328" s="238" t="inlineStr">
        <is>
          <t>RETURN ON CAPITAL (ROIC)</t>
        </is>
      </c>
      <c r="D328" s="238">
        <f>D330/D333</f>
        <v>0.141879985599788</v>
      </c>
      <c r="E328" s="238">
        <f>E330/E333</f>
        <v>0.104448292506264</v>
      </c>
      <c r="F328" s="238">
        <f>F330/F333</f>
        <v>0.0176136128420183</v>
      </c>
      <c r="G328" s="238">
        <f>G330/G333</f>
        <v>0.0262819312657568</v>
      </c>
      <c r="H328" s="238">
        <f>H330/H333</f>
        <v>0.0788739577021695</v>
      </c>
      <c r="I328" s="222">
        <f>I330/I333</f>
        <v>0.0318151603195842</v>
      </c>
      <c r="J328" s="222">
        <f>J330/J333</f>
        <v>0.0306952901125282</v>
      </c>
      <c r="K328" s="222">
        <f>K330/K333</f>
        <v>0.029955100895839</v>
      </c>
      <c r="L328" s="222">
        <f>L330/L333</f>
        <v>0.029771645218947</v>
      </c>
      <c r="M328" s="222">
        <f>M330/M333</f>
        <v>0.120253863433891</v>
      </c>
      <c r="N328" s="222">
        <f>N330/N333</f>
        <v>0.0294836443244985</v>
      </c>
      <c r="O328" s="222">
        <f>O330/O333</f>
        <v>0.0331420482765958</v>
      </c>
      <c r="P328" s="222">
        <f>P330/P333</f>
        <v>0.0420383988051516</v>
      </c>
      <c r="Q328" s="222">
        <f>Q330/Q333</f>
        <v>0.0253826187834702</v>
      </c>
      <c r="R328" s="222">
        <f>R330/R333</f>
        <v>0.131588405649265</v>
      </c>
      <c r="S328" s="222">
        <f>S330/S333</f>
        <v>0.041242634235765</v>
      </c>
      <c r="T328" s="222">
        <f>T330/T333</f>
        <v>0.0597100971833306</v>
      </c>
      <c r="U328" s="222">
        <f>U330/U333</f>
        <v>0.0533997784155624</v>
      </c>
      <c r="V328" s="222">
        <f>V330/V333</f>
        <v>0.0509449271313961</v>
      </c>
      <c r="W328" s="222">
        <f>W330/W333</f>
        <v>0.202426456553284</v>
      </c>
      <c r="X328" s="222">
        <f>X330/X333</f>
        <v>0.0560662513371988</v>
      </c>
      <c r="Y328" s="222">
        <f>Y330/Y333</f>
        <v>0.0528938536017928</v>
      </c>
      <c r="Z328" s="222">
        <f>Z330/Z333</f>
        <v>0.0482879593331723</v>
      </c>
      <c r="AA328" s="222">
        <f>AA330/AA333</f>
        <v>0.0491344204352264</v>
      </c>
      <c r="AB328" s="222">
        <f>AB330/AB333</f>
        <v>0.205868460294047</v>
      </c>
      <c r="AC328" s="222">
        <f>AC330/AC333</f>
        <v>0.0377239318078289</v>
      </c>
      <c r="AD328" s="222">
        <f>AD330/AD333</f>
        <v>0.0408451499001457</v>
      </c>
      <c r="AE328" s="222">
        <f>AE330/AE333</f>
        <v>0.040912106252913</v>
      </c>
      <c r="AF328" s="222">
        <f>AF330/AF333</f>
        <v>0.0372085616276217</v>
      </c>
      <c r="AG328" s="222">
        <f>AG330/AG333</f>
        <v>0.155054836863965</v>
      </c>
      <c r="AH328" s="222">
        <f>AH330/AH333</f>
        <v>0.0423438248016926</v>
      </c>
      <c r="AI328" s="222">
        <f>AI330/AI333</f>
        <v>0.0570818871282959</v>
      </c>
      <c r="AJ328" s="222">
        <f>AJ330/AJ333</f>
        <v>0</v>
      </c>
      <c r="AK328" s="222">
        <f>AK330/AK333</f>
        <v>0</v>
      </c>
      <c r="AL328" s="222">
        <f>AL330/AL333</f>
        <v>0.138963351453382</v>
      </c>
      <c r="AM328" s="222" t="e">
        <f>AM330/AM333</f>
        <v>#DIV/0!</v>
      </c>
      <c r="AN328" s="222">
        <f>AN330/AN333</f>
        <v>0</v>
      </c>
      <c r="AO328" s="222" t="e">
        <f>AO330/AO333</f>
        <v>#DIV/0!</v>
      </c>
      <c r="AP328" s="222" t="e">
        <f>AP330/AP333</f>
        <v>#DIV/0!</v>
      </c>
      <c r="AQ328" s="222" t="e">
        <f>AQ330/AQ333</f>
        <v>#DIV/0!</v>
      </c>
      <c r="AR328" s="222" t="e">
        <f>AR330/AR333</f>
        <v>#DIV/0!</v>
      </c>
      <c r="AS328" s="222" t="e">
        <f>AS330/AS333</f>
        <v>#DIV/0!</v>
      </c>
      <c r="AT328" s="222" t="e">
        <f>AT330/AT333</f>
        <v>#DIV/0!</v>
      </c>
      <c r="AU328" s="222" t="e">
        <f>AU330/AU333</f>
        <v>#DIV/0!</v>
      </c>
      <c r="AV328" s="222" t="e">
        <f>AV330/AV333</f>
        <v>#DIV/0!</v>
      </c>
      <c r="AW328" s="222" t="e">
        <f>AW330/AW333</f>
        <v>#DIV/0!</v>
      </c>
      <c r="AX328" s="222" t="e">
        <f>AX330/AX333</f>
        <v>#DIV/0!</v>
      </c>
      <c r="AY328" s="222" t="e">
        <f>AY330/AY333</f>
        <v>#DIV/0!</v>
      </c>
      <c r="AZ328" s="222" t="e">
        <f>AZ330/AZ333</f>
        <v>#DIV/0!</v>
      </c>
      <c r="BA328" s="222" t="e">
        <f>BA330/BA333</f>
        <v>#DIV/0!</v>
      </c>
      <c r="BB328" s="222" t="e">
        <f>BB330/BB333</f>
        <v>#DIV/0!</v>
      </c>
      <c r="BC328" s="222" t="e">
        <f>BC330/BC333</f>
        <v>#DIV/0!</v>
      </c>
      <c r="BD328" s="222" t="e">
        <f>BD330/BD333</f>
        <v>#DIV/0!</v>
      </c>
      <c r="BE328" s="222" t="e">
        <f>BE330/BE333</f>
        <v>#DIV/0!</v>
      </c>
      <c r="BF328" s="222" t="e">
        <f>BF330/BF333</f>
        <v>#DIV/0!</v>
      </c>
      <c r="BG328" s="222" t="e">
        <f>BG330/BG333</f>
        <v>#DIV/0!</v>
      </c>
      <c r="BH328" s="222" t="e">
        <f>BH330/BH333</f>
        <v>#DIV/0!</v>
      </c>
      <c r="BI328" s="222" t="e">
        <f>BI330/BI333</f>
        <v>#DIV/0!</v>
      </c>
      <c r="BJ328" s="222" t="e">
        <f>BJ330/BJ333</f>
        <v>#DIV/0!</v>
      </c>
      <c r="BK328" s="222" t="e">
        <f>BK330/BK333</f>
        <v>#DIV/0!</v>
      </c>
      <c r="BL328" s="222" t="e">
        <f>BL330/BL333</f>
        <v>#DIV/0!</v>
      </c>
      <c r="BM328" s="222" t="e">
        <f>BM330/BM333</f>
        <v>#DIV/0!</v>
      </c>
      <c r="BN328" s="222" t="e">
        <f>BN330/BN333</f>
        <v>#DIV/0!</v>
      </c>
      <c r="BO328" s="222" t="e">
        <f>BO330/BO333</f>
        <v>#DIV/0!</v>
      </c>
      <c r="BP328" s="222" t="e">
        <f>BP330/BP333</f>
        <v>#DIV/0!</v>
      </c>
      <c r="BQ328" s="222" t="e">
        <f>BQ330/BQ333</f>
        <v>#DIV/0!</v>
      </c>
      <c r="BR328" s="222" t="e">
        <f>BR330/BR333</f>
        <v>#DIV/0!</v>
      </c>
      <c r="BS328" s="222" t="e">
        <f>BS330/BS333</f>
        <v>#DIV/0!</v>
      </c>
      <c r="BT328" s="222" t="e">
        <f>BT330/BT333</f>
        <v>#DIV/0!</v>
      </c>
      <c r="BU328" s="222" t="e">
        <f>BU330/BU333</f>
        <v>#DIV/0!</v>
      </c>
      <c r="BV328" s="222" t="e">
        <f>BV330/BV333</f>
        <v>#DIV/0!</v>
      </c>
      <c r="BW328" s="222" t="e">
        <f>BW330/BW333</f>
        <v>#DIV/0!</v>
      </c>
      <c r="BX328" s="222" t="e">
        <f>BX330/BX333</f>
        <v>#DIV/0!</v>
      </c>
      <c r="BY328" s="222" t="e">
        <f>BY330/BY333</f>
        <v>#DIV/0!</v>
      </c>
      <c r="BZ328" s="222" t="e">
        <f>BZ330/BZ333</f>
        <v>#DIV/0!</v>
      </c>
      <c r="CA328" s="222" t="e">
        <f>CA330/CA333</f>
        <v>#DIV/0!</v>
      </c>
      <c r="CB328" s="222" t="e">
        <f>CB330/CB333</f>
        <v>#DIV/0!</v>
      </c>
      <c r="CC328" s="222" t="e">
        <f>CC330/CC333</f>
        <v>#DIV/0!</v>
      </c>
      <c r="CD328" s="222" t="e">
        <f>CD330/CD333</f>
        <v>#DIV/0!</v>
      </c>
      <c r="CE328" s="222" t="e">
        <f>CE330/CE333</f>
        <v>#DIV/0!</v>
      </c>
      <c r="CF328" s="222" t="e">
        <f>CF330/CF333</f>
        <v>#DIV/0!</v>
      </c>
      <c r="CG328" s="222" t="e">
        <f>CG330/CG333</f>
        <v>#DIV/0!</v>
      </c>
      <c r="CH328" s="222" t="e">
        <f>CH330/CH333</f>
        <v>#DIV/0!</v>
      </c>
      <c r="CI328" s="222" t="e">
        <f>CI330/CI333</f>
        <v>#DIV/0!</v>
      </c>
      <c r="CJ328" s="222" t="e">
        <f>CJ330/CJ333</f>
        <v>#DIV/0!</v>
      </c>
      <c r="CK328" s="222" t="e">
        <f>CK330/CK333</f>
        <v>#DIV/0!</v>
      </c>
      <c r="CL328" s="222" t="e">
        <f>CL330/CL333</f>
        <v>#DIV/0!</v>
      </c>
      <c r="CM328" s="222" t="e">
        <f>CM330/CM333</f>
        <v>#DIV/0!</v>
      </c>
      <c r="CN328" s="222" t="e">
        <f>CN330/CN333</f>
        <v>#DIV/0!</v>
      </c>
      <c r="CO328" s="222" t="e">
        <f>CO330/CO333</f>
        <v>#DIV/0!</v>
      </c>
      <c r="CP328" s="222" t="e">
        <f>CP330/CP333</f>
        <v>#DIV/0!</v>
      </c>
      <c r="CQ328" s="222" t="e">
        <f>CQ330/CQ333</f>
        <v>#DIV/0!</v>
      </c>
      <c r="CR328" s="222" t="e">
        <f>CR330/CR333</f>
        <v>#DIV/0!</v>
      </c>
      <c r="CS328" s="222" t="e">
        <f>CS330/CS333</f>
        <v>#DIV/0!</v>
      </c>
      <c r="CT328" s="222" t="e">
        <f>CT330/CT333</f>
        <v>#DIV/0!</v>
      </c>
      <c r="CU328" s="222" t="e">
        <f>CU330/CU333</f>
        <v>#DIV/0!</v>
      </c>
      <c r="CV328" s="222" t="e">
        <f>CV330/CV333</f>
        <v>#DIV/0!</v>
      </c>
      <c r="CW328" s="222" t="e">
        <f>CW330/CW333</f>
        <v>#DIV/0!</v>
      </c>
      <c r="CX328" s="222" t="e">
        <f>CX330/CX333</f>
        <v>#DIV/0!</v>
      </c>
      <c r="CY328" s="222" t="e">
        <f>CY330/CY333</f>
        <v>#DIV/0!</v>
      </c>
    </row>
    <row r="329" customFormat="1" s="238">
      <c r="A329" s="222" t="n"/>
      <c r="B329" s="222" t="n"/>
      <c r="C329" s="238" t="inlineStr">
        <is>
          <t>RETURN ON CAPITAL (ROIC) - EX GOODWILL</t>
        </is>
      </c>
      <c r="D329" s="238">
        <f>D330/D334</f>
        <v>1.03444464910665</v>
      </c>
      <c r="E329" s="238">
        <f>E330/E334</f>
        <v>-0.434954399069037</v>
      </c>
      <c r="F329" s="238">
        <f>F330/F334</f>
        <v>0.0205744996278662</v>
      </c>
      <c r="G329" s="238">
        <f>G330/G334</f>
        <v>0.0308490373539005</v>
      </c>
      <c r="H329" s="238">
        <f>H330/H334</f>
        <v>0.0925801701100421</v>
      </c>
      <c r="I329" s="222">
        <f>I330/I334</f>
        <v>0.0372528506059369</v>
      </c>
      <c r="J329" s="222">
        <f>J330/J334</f>
        <v>0.0359443478280837</v>
      </c>
      <c r="K329" s="222">
        <f>K330/K334</f>
        <v>0.0350056517448641</v>
      </c>
      <c r="L329" s="222">
        <f>L330/L334</f>
        <v>0.0346332633242643</v>
      </c>
      <c r="M329" s="222">
        <f>M330/M334</f>
        <v>0.139890949507068</v>
      </c>
      <c r="N329" s="222">
        <f>N330/N334</f>
        <v>0.0339158399609723</v>
      </c>
      <c r="O329" s="222">
        <f>O330/O334</f>
        <v>0.0382100525487501</v>
      </c>
      <c r="P329" s="222">
        <f>P330/P334</f>
        <v>0.0484877660901747</v>
      </c>
      <c r="Q329" s="222">
        <f>Q330/Q334</f>
        <v>0.0286892626573121</v>
      </c>
      <c r="R329" s="222">
        <f>R330/R334</f>
        <v>0.148730687110473</v>
      </c>
      <c r="S329" s="222">
        <f>S330/S334</f>
        <v>0.0463216679902924</v>
      </c>
      <c r="T329" s="222">
        <f>T330/T334</f>
        <v>0.0670132871172733</v>
      </c>
      <c r="U329" s="222">
        <f>U330/U334</f>
        <v>0.0595374964940906</v>
      </c>
      <c r="V329" s="222">
        <f>V330/V334</f>
        <v>0.0569415048720203</v>
      </c>
      <c r="W329" s="222">
        <f>W330/W334</f>
        <v>0.226253480200802</v>
      </c>
      <c r="X329" s="222">
        <f>X330/X334</f>
        <v>0.0626028959465046</v>
      </c>
      <c r="Y329" s="222">
        <f>Y330/Y334</f>
        <v>0.0591030602687531</v>
      </c>
      <c r="Z329" s="222">
        <f>Z330/Z334</f>
        <v>0.0538273901682384</v>
      </c>
      <c r="AA329" s="222">
        <f>AA330/AA334</f>
        <v>0.0547603024508474</v>
      </c>
      <c r="AB329" s="222">
        <f>AB330/AB334</f>
        <v>0.22944036076815</v>
      </c>
      <c r="AC329" s="222">
        <f>AC330/AC334</f>
        <v>0.0418807737061114</v>
      </c>
      <c r="AD329" s="222">
        <f>AD330/AD334</f>
        <v>0.0453220094362631</v>
      </c>
      <c r="AE329" s="222">
        <f>AE330/AE334</f>
        <v>0.0453321000537842</v>
      </c>
      <c r="AF329" s="222">
        <f>AF330/AF334</f>
        <v>0.0412206952207596</v>
      </c>
      <c r="AG329" s="222">
        <f>AG330/AG334</f>
        <v>0.171774126526014</v>
      </c>
      <c r="AH329" s="222">
        <f>AH330/AH334</f>
        <v>0.0471391777233927</v>
      </c>
      <c r="AI329" s="222">
        <f>AI330/AI334</f>
        <v>0.0635174393274317</v>
      </c>
      <c r="AJ329" s="222">
        <f>AJ330/AJ334</f>
        <v>0</v>
      </c>
      <c r="AK329" s="222">
        <f>AK330/AK334</f>
        <v>0</v>
      </c>
      <c r="AL329" s="222">
        <f>AL330/AL334</f>
        <v>0.161567706825974</v>
      </c>
      <c r="AM329" s="222" t="e">
        <f>AM330/AM334</f>
        <v>#DIV/0!</v>
      </c>
      <c r="AN329" s="222">
        <f>AN330/AN334</f>
        <v>0</v>
      </c>
      <c r="AO329" s="222" t="e">
        <f>AO330/AO334</f>
        <v>#DIV/0!</v>
      </c>
      <c r="AP329" s="222" t="e">
        <f>AP330/AP334</f>
        <v>#DIV/0!</v>
      </c>
      <c r="AQ329" s="222" t="e">
        <f>AQ330/AQ334</f>
        <v>#DIV/0!</v>
      </c>
      <c r="AR329" s="222" t="e">
        <f>AR330/AR334</f>
        <v>#DIV/0!</v>
      </c>
      <c r="AS329" s="222" t="e">
        <f>AS330/AS334</f>
        <v>#DIV/0!</v>
      </c>
      <c r="AT329" s="222" t="e">
        <f>AT330/AT334</f>
        <v>#DIV/0!</v>
      </c>
      <c r="AU329" s="222" t="e">
        <f>AU330/AU334</f>
        <v>#DIV/0!</v>
      </c>
      <c r="AV329" s="222" t="e">
        <f>AV330/AV334</f>
        <v>#DIV/0!</v>
      </c>
      <c r="AW329" s="222" t="e">
        <f>AW330/AW334</f>
        <v>#DIV/0!</v>
      </c>
      <c r="AX329" s="222" t="e">
        <f>AX330/AX334</f>
        <v>#DIV/0!</v>
      </c>
      <c r="AY329" s="222" t="e">
        <f>AY330/AY334</f>
        <v>#DIV/0!</v>
      </c>
      <c r="AZ329" s="222" t="e">
        <f>AZ330/AZ334</f>
        <v>#DIV/0!</v>
      </c>
      <c r="BA329" s="222" t="e">
        <f>BA330/BA334</f>
        <v>#DIV/0!</v>
      </c>
      <c r="BB329" s="222" t="e">
        <f>BB330/BB334</f>
        <v>#DIV/0!</v>
      </c>
      <c r="BC329" s="222" t="e">
        <f>BC330/BC334</f>
        <v>#DIV/0!</v>
      </c>
      <c r="BD329" s="222" t="e">
        <f>BD330/BD334</f>
        <v>#DIV/0!</v>
      </c>
      <c r="BE329" s="222" t="e">
        <f>BE330/BE334</f>
        <v>#DIV/0!</v>
      </c>
      <c r="BF329" s="222" t="e">
        <f>BF330/BF334</f>
        <v>#DIV/0!</v>
      </c>
      <c r="BG329" s="222" t="e">
        <f>BG330/BG334</f>
        <v>#DIV/0!</v>
      </c>
      <c r="BH329" s="222" t="e">
        <f>BH330/BH334</f>
        <v>#DIV/0!</v>
      </c>
      <c r="BI329" s="222" t="e">
        <f>BI330/BI334</f>
        <v>#DIV/0!</v>
      </c>
      <c r="BJ329" s="222" t="e">
        <f>BJ330/BJ334</f>
        <v>#DIV/0!</v>
      </c>
      <c r="BK329" s="222" t="e">
        <f>BK330/BK334</f>
        <v>#DIV/0!</v>
      </c>
      <c r="BL329" s="222" t="e">
        <f>BL330/BL334</f>
        <v>#DIV/0!</v>
      </c>
      <c r="BM329" s="222" t="e">
        <f>BM330/BM334</f>
        <v>#DIV/0!</v>
      </c>
      <c r="BN329" s="222" t="e">
        <f>BN330/BN334</f>
        <v>#DIV/0!</v>
      </c>
      <c r="BO329" s="222" t="e">
        <f>BO330/BO334</f>
        <v>#DIV/0!</v>
      </c>
      <c r="BP329" s="222" t="e">
        <f>BP330/BP334</f>
        <v>#DIV/0!</v>
      </c>
      <c r="BQ329" s="222" t="e">
        <f>BQ330/BQ334</f>
        <v>#DIV/0!</v>
      </c>
      <c r="BR329" s="222" t="e">
        <f>BR330/BR334</f>
        <v>#DIV/0!</v>
      </c>
      <c r="BS329" s="222" t="e">
        <f>BS330/BS334</f>
        <v>#DIV/0!</v>
      </c>
      <c r="BT329" s="222" t="e">
        <f>BT330/BT334</f>
        <v>#DIV/0!</v>
      </c>
      <c r="BU329" s="222" t="e">
        <f>BU330/BU334</f>
        <v>#DIV/0!</v>
      </c>
      <c r="BV329" s="222" t="e">
        <f>BV330/BV334</f>
        <v>#DIV/0!</v>
      </c>
      <c r="BW329" s="222" t="e">
        <f>BW330/BW334</f>
        <v>#DIV/0!</v>
      </c>
      <c r="BX329" s="222" t="e">
        <f>BX330/BX334</f>
        <v>#DIV/0!</v>
      </c>
      <c r="BY329" s="222" t="e">
        <f>BY330/BY334</f>
        <v>#DIV/0!</v>
      </c>
      <c r="BZ329" s="222" t="e">
        <f>BZ330/BZ334</f>
        <v>#DIV/0!</v>
      </c>
      <c r="CA329" s="222" t="e">
        <f>CA330/CA334</f>
        <v>#DIV/0!</v>
      </c>
      <c r="CB329" s="222" t="e">
        <f>CB330/CB334</f>
        <v>#DIV/0!</v>
      </c>
      <c r="CC329" s="222" t="e">
        <f>CC330/CC334</f>
        <v>#DIV/0!</v>
      </c>
      <c r="CD329" s="222" t="e">
        <f>CD330/CD334</f>
        <v>#DIV/0!</v>
      </c>
      <c r="CE329" s="222" t="e">
        <f>CE330/CE334</f>
        <v>#DIV/0!</v>
      </c>
      <c r="CF329" s="222" t="e">
        <f>CF330/CF334</f>
        <v>#DIV/0!</v>
      </c>
      <c r="CG329" s="222" t="e">
        <f>CG330/CG334</f>
        <v>#DIV/0!</v>
      </c>
      <c r="CH329" s="222" t="e">
        <f>CH330/CH334</f>
        <v>#DIV/0!</v>
      </c>
      <c r="CI329" s="222" t="e">
        <f>CI330/CI334</f>
        <v>#DIV/0!</v>
      </c>
      <c r="CJ329" s="222" t="e">
        <f>CJ330/CJ334</f>
        <v>#DIV/0!</v>
      </c>
      <c r="CK329" s="222" t="e">
        <f>CK330/CK334</f>
        <v>#DIV/0!</v>
      </c>
      <c r="CL329" s="222" t="e">
        <f>CL330/CL334</f>
        <v>#DIV/0!</v>
      </c>
      <c r="CM329" s="222" t="e">
        <f>CM330/CM334</f>
        <v>#DIV/0!</v>
      </c>
      <c r="CN329" s="222" t="e">
        <f>CN330/CN334</f>
        <v>#DIV/0!</v>
      </c>
      <c r="CO329" s="222" t="e">
        <f>CO330/CO334</f>
        <v>#DIV/0!</v>
      </c>
      <c r="CP329" s="222" t="e">
        <f>CP330/CP334</f>
        <v>#DIV/0!</v>
      </c>
      <c r="CQ329" s="222" t="e">
        <f>CQ330/CQ334</f>
        <v>#DIV/0!</v>
      </c>
      <c r="CR329" s="222" t="e">
        <f>CR330/CR334</f>
        <v>#DIV/0!</v>
      </c>
      <c r="CS329" s="222" t="e">
        <f>CS330/CS334</f>
        <v>#DIV/0!</v>
      </c>
      <c r="CT329" s="222" t="e">
        <f>CT330/CT334</f>
        <v>#DIV/0!</v>
      </c>
      <c r="CU329" s="222" t="e">
        <f>CU330/CU334</f>
        <v>#DIV/0!</v>
      </c>
      <c r="CV329" s="222" t="e">
        <f>CV330/CV334</f>
        <v>#DIV/0!</v>
      </c>
      <c r="CW329" s="222" t="e">
        <f>CW330/CW334</f>
        <v>#DIV/0!</v>
      </c>
      <c r="CX329" s="222" t="e">
        <f>CX330/CX334</f>
        <v>#DIV/0!</v>
      </c>
      <c r="CY329" s="222" t="e">
        <f>CY330/CY334</f>
        <v>#DIV/0!</v>
      </c>
    </row>
    <row r="330" customFormat="1" s="233">
      <c r="A330" s="224" t="n"/>
      <c r="B330" s="224" t="n"/>
      <c r="C330" s="233" t="inlineStr">
        <is>
          <t>NOPLAT</t>
        </is>
      </c>
      <c r="D330" s="233">
        <f>D331*(1-D332)</f>
        <v>1009.61797752809</v>
      </c>
      <c r="E330" s="233">
        <f>E331*(1-E332)</f>
        <v>521.510324483776</v>
      </c>
      <c r="F330" s="233">
        <f>F331*(1-F332)</f>
        <v>771.564310544612</v>
      </c>
      <c r="G330" s="233">
        <f>G331*(1-G332)</f>
        <v>1135.09032943677</v>
      </c>
      <c r="H330" s="233">
        <f>H331*(1-H332)</f>
        <v>3406.487359199</v>
      </c>
      <c r="I330" s="223">
        <f>I331*(1-I332)</f>
        <v>1382.52779168753</v>
      </c>
      <c r="J330" s="224">
        <f>J331*(1-J332)</f>
        <v>1339.35828877005</v>
      </c>
      <c r="K330" s="224">
        <f>K331*(1-K332)</f>
        <v>1319.01295774648</v>
      </c>
      <c r="L330" s="224">
        <f>L331*(1-L332)</f>
        <v>1341.24238875878</v>
      </c>
      <c r="M330" s="224">
        <f>M331*(1-M332)</f>
        <v>5417.55680156022</v>
      </c>
      <c r="N330" s="223">
        <f>N331*(1-N332)</f>
        <v>1419.78489244622</v>
      </c>
      <c r="O330" s="224">
        <f>O331*(1-O332)</f>
        <v>1547.96564885496</v>
      </c>
      <c r="P330" s="224">
        <f>P331*(1-P332)</f>
        <v>1925.40070367475</v>
      </c>
      <c r="Q330" s="224">
        <f>Q331*(1-Q332)</f>
        <v>1164.55454978561</v>
      </c>
      <c r="R330" s="224">
        <f>R331*(1-R332)</f>
        <v>6037.2760511883</v>
      </c>
      <c r="S330" s="223">
        <f>S331*(1-S332)</f>
        <v>1996.9271070615</v>
      </c>
      <c r="T330" s="224">
        <f>T331*(1-T332)</f>
        <v>2900</v>
      </c>
      <c r="U330" s="224">
        <f>U331*(1-U332)</f>
        <v>2728.78207681366</v>
      </c>
      <c r="V330" s="224">
        <f>V331*(1-V332)</f>
        <v>2567.77716220376</v>
      </c>
      <c r="W330" s="224">
        <f>W331*(1-W332)</f>
        <v>10202.9006896552</v>
      </c>
      <c r="X330" s="223">
        <f>X331*(1-X332)</f>
        <v>2833.53227633069</v>
      </c>
      <c r="Y330" s="224">
        <f>Y331*(1-Y332)</f>
        <v>2650.29942857143</v>
      </c>
      <c r="Z330" s="224">
        <f>Z331*(1-Z332)</f>
        <v>2494.84570690768</v>
      </c>
      <c r="AA330" s="224">
        <f>AA331*(1-AA332)</f>
        <v>2506.54332408264</v>
      </c>
      <c r="AB330" s="224">
        <f>AB331*(1-AB332)</f>
        <v>10502.1736334405</v>
      </c>
      <c r="AC330" s="223">
        <f>AC331*(1-AC332)</f>
        <v>2002.98988326848</v>
      </c>
      <c r="AD330" s="224">
        <f>AD331*(1-AD332)</f>
        <v>2204.37189496097</v>
      </c>
      <c r="AE330" s="224">
        <f>AE331*(1-AE332)</f>
        <v>2236.05116725296</v>
      </c>
      <c r="AF330" s="224">
        <f>AF331*(1-AF332)</f>
        <v>2034.11764705882</v>
      </c>
      <c r="AG330" s="224">
        <f>AG331*(1-AG332)</f>
        <v>8476.53782167923</v>
      </c>
      <c r="AH330" s="223">
        <f>AH331*(1-AH332)</f>
        <v>2441.29087511679</v>
      </c>
      <c r="AI330" s="224">
        <f>AI331*(1-AI332)</f>
        <v>3300.87428696797</v>
      </c>
      <c r="AJ330" s="224">
        <f>AJ331*(1-AJ332)</f>
        <v>0</v>
      </c>
      <c r="AK330" s="224">
        <f>AK331*(1-AK332)</f>
        <v>0</v>
      </c>
      <c r="AL330" s="224">
        <f>AL331*(1-AL332)</f>
        <v>5819.50723216475</v>
      </c>
      <c r="AM330" s="223">
        <f>AM331*(1-AM332)</f>
        <v>0</v>
      </c>
      <c r="AN330" s="224">
        <f>AN331*(1-AN332)</f>
        <v>0</v>
      </c>
      <c r="AO330" s="224">
        <f>AO331*(1-AO332)</f>
        <v>0</v>
      </c>
      <c r="AP330" s="224">
        <f>AP331*(1-AP332)</f>
        <v>0</v>
      </c>
      <c r="AQ330" s="224">
        <f>AQ331*(1-AQ332)</f>
        <v>0</v>
      </c>
      <c r="AR330" s="223">
        <f>AR331*(1-AR332)</f>
        <v>0</v>
      </c>
      <c r="AS330" s="224">
        <f>AS331*(1-AS332)</f>
        <v>0</v>
      </c>
      <c r="AT330" s="224">
        <f>AT331*(1-AT332)</f>
        <v>0</v>
      </c>
      <c r="AU330" s="224">
        <f>AU331*(1-AU332)</f>
        <v>0</v>
      </c>
      <c r="AV330" s="224">
        <f>AV331*(1-AV332)</f>
        <v>0</v>
      </c>
      <c r="AW330" s="223">
        <f>AW331*(1-AW332)</f>
        <v>0</v>
      </c>
      <c r="AX330" s="224">
        <f>AX331*(1-AX332)</f>
        <v>0</v>
      </c>
      <c r="AY330" s="224">
        <f>AY331*(1-AY332)</f>
        <v>0</v>
      </c>
      <c r="AZ330" s="224">
        <f>AZ331*(1-AZ332)</f>
        <v>0</v>
      </c>
      <c r="BA330" s="224">
        <f>BA331*(1-BA332)</f>
        <v>0</v>
      </c>
      <c r="BB330" s="223">
        <f>BB331*(1-BB332)</f>
        <v>0</v>
      </c>
      <c r="BC330" s="224">
        <f>BC331*(1-BC332)</f>
        <v>0</v>
      </c>
      <c r="BD330" s="224">
        <f>BD331*(1-BD332)</f>
        <v>0</v>
      </c>
      <c r="BE330" s="224">
        <f>BE331*(1-BE332)</f>
        <v>0</v>
      </c>
      <c r="BF330" s="224">
        <f>BF331*(1-BF332)</f>
        <v>0</v>
      </c>
      <c r="BG330" s="223">
        <f>BG331*(1-BG332)</f>
        <v>0</v>
      </c>
      <c r="BH330" s="224">
        <f>BH331*(1-BH332)</f>
        <v>0</v>
      </c>
      <c r="BI330" s="224">
        <f>BI331*(1-BI332)</f>
        <v>0</v>
      </c>
      <c r="BJ330" s="224">
        <f>BJ331*(1-BJ332)</f>
        <v>0</v>
      </c>
      <c r="BK330" s="224">
        <f>BK331*(1-BK332)</f>
        <v>0</v>
      </c>
      <c r="BL330" s="223">
        <f>BL331*(1-BL332)</f>
        <v>0</v>
      </c>
      <c r="BM330" s="224">
        <f>BM331*(1-BM332)</f>
        <v>0</v>
      </c>
      <c r="BN330" s="224">
        <f>BN331*(1-BN332)</f>
        <v>0</v>
      </c>
      <c r="BO330" s="224">
        <f>BO331*(1-BO332)</f>
        <v>0</v>
      </c>
      <c r="BP330" s="224">
        <f>BP331*(1-BP332)</f>
        <v>0</v>
      </c>
      <c r="BQ330" s="223">
        <f>BQ331*(1-BQ332)</f>
        <v>0</v>
      </c>
      <c r="BR330" s="224">
        <f>BR331*(1-BR332)</f>
        <v>0</v>
      </c>
      <c r="BS330" s="224">
        <f>BS331*(1-BS332)</f>
        <v>0</v>
      </c>
      <c r="BT330" s="224">
        <f>BT331*(1-BT332)</f>
        <v>0</v>
      </c>
      <c r="BU330" s="224">
        <f>BU331*(1-BU332)</f>
        <v>0</v>
      </c>
      <c r="BV330" s="223">
        <f>BV331*(1-BV332)</f>
        <v>0</v>
      </c>
      <c r="BW330" s="224">
        <f>BW331*(1-BW332)</f>
        <v>0</v>
      </c>
      <c r="BX330" s="224">
        <f>BX331*(1-BX332)</f>
        <v>0</v>
      </c>
      <c r="BY330" s="224">
        <f>BY331*(1-BY332)</f>
        <v>0</v>
      </c>
      <c r="BZ330" s="224">
        <f>BZ331*(1-BZ332)</f>
        <v>0</v>
      </c>
      <c r="CA330" s="223">
        <f>CA331*(1-CA332)</f>
        <v>0</v>
      </c>
      <c r="CB330" s="224">
        <f>CB331*(1-CB332)</f>
        <v>0</v>
      </c>
      <c r="CC330" s="224">
        <f>CC331*(1-CC332)</f>
        <v>0</v>
      </c>
      <c r="CD330" s="224">
        <f>CD331*(1-CD332)</f>
        <v>0</v>
      </c>
      <c r="CE330" s="224">
        <f>CE331*(1-CE332)</f>
        <v>0</v>
      </c>
      <c r="CF330" s="223">
        <f>CF331*(1-CF332)</f>
        <v>0</v>
      </c>
      <c r="CG330" s="224">
        <f>CG331*(1-CG332)</f>
        <v>0</v>
      </c>
      <c r="CH330" s="224">
        <f>CH331*(1-CH332)</f>
        <v>0</v>
      </c>
      <c r="CI330" s="224">
        <f>CI331*(1-CI332)</f>
        <v>0</v>
      </c>
      <c r="CJ330" s="224">
        <f>CJ331*(1-CJ332)</f>
        <v>0</v>
      </c>
      <c r="CK330" s="223">
        <f>CK331*(1-CK332)</f>
        <v>0</v>
      </c>
      <c r="CL330" s="224">
        <f>CL331*(1-CL332)</f>
        <v>0</v>
      </c>
      <c r="CM330" s="224">
        <f>CM331*(1-CM332)</f>
        <v>0</v>
      </c>
      <c r="CN330" s="224">
        <f>CN331*(1-CN332)</f>
        <v>0</v>
      </c>
      <c r="CO330" s="224">
        <f>CO331*(1-CO332)</f>
        <v>0</v>
      </c>
      <c r="CP330" s="223">
        <f>CP331*(1-CP332)</f>
        <v>0</v>
      </c>
      <c r="CQ330" s="224">
        <f>CQ331*(1-CQ332)</f>
        <v>0</v>
      </c>
      <c r="CR330" s="224">
        <f>CR331*(1-CR332)</f>
        <v>0</v>
      </c>
      <c r="CS330" s="224">
        <f>CS331*(1-CS332)</f>
        <v>0</v>
      </c>
      <c r="CT330" s="224">
        <f>CT331*(1-CT332)</f>
        <v>0</v>
      </c>
      <c r="CU330" s="223">
        <f>CU331*(1-CU332)</f>
        <v>0</v>
      </c>
      <c r="CV330" s="224">
        <f>CV331*(1-CV332)</f>
        <v>0</v>
      </c>
      <c r="CW330" s="224">
        <f>CW331*(1-CW332)</f>
        <v>0</v>
      </c>
      <c r="CX330" s="224">
        <f>CX331*(1-CX332)</f>
        <v>0</v>
      </c>
      <c r="CY330" s="224">
        <f>CY331*(1-CY332)</f>
        <v>0</v>
      </c>
    </row>
    <row r="331" customFormat="1" s="233">
      <c r="A331" s="224" t="n"/>
      <c r="B331" s="224" t="n"/>
      <c r="C331" s="233" t="inlineStr">
        <is>
          <t>EBIT</t>
        </is>
      </c>
      <c r="D331" s="239">
        <f>D56</f>
        <v>1404</v>
      </c>
      <c r="E331" s="239">
        <f>E56</f>
        <v>784</v>
      </c>
      <c r="F331" s="239">
        <f>F56</f>
        <v>985</v>
      </c>
      <c r="G331" s="239">
        <f>G56</f>
        <v>1380</v>
      </c>
      <c r="H331" s="239">
        <f>H56</f>
        <v>4553</v>
      </c>
      <c r="I331" s="36">
        <f>I56</f>
        <v>1814</v>
      </c>
      <c r="J331" s="36">
        <f>J56</f>
        <v>1789</v>
      </c>
      <c r="K331" s="36">
        <f>K56</f>
        <v>1664</v>
      </c>
      <c r="L331" s="36">
        <f>L56</f>
        <v>1611</v>
      </c>
      <c r="M331" s="36">
        <f>M56</f>
        <v>6878</v>
      </c>
      <c r="N331" s="36">
        <f>N56</f>
        <v>1855</v>
      </c>
      <c r="O331" s="36">
        <f>O56</f>
        <v>1944</v>
      </c>
      <c r="P331" s="36">
        <f>P56</f>
        <v>2425</v>
      </c>
      <c r="Q331" s="36">
        <f>Q56</f>
        <v>1680</v>
      </c>
      <c r="R331" s="36">
        <f>R56</f>
        <v>7904</v>
      </c>
      <c r="S331" s="36">
        <f>S56</f>
        <v>2731</v>
      </c>
      <c r="T331" s="36">
        <f>T56</f>
        <v>3652</v>
      </c>
      <c r="U331" s="36">
        <f>U56</f>
        <v>3449</v>
      </c>
      <c r="V331" s="36">
        <f>V56</f>
        <v>3134</v>
      </c>
      <c r="W331" s="36">
        <f>W56</f>
        <v>12966</v>
      </c>
      <c r="X331" s="36">
        <f>X56</f>
        <v>3519</v>
      </c>
      <c r="Y331" s="36">
        <f>Y56</f>
        <v>3482</v>
      </c>
      <c r="Z331" s="36">
        <f>Z56</f>
        <v>3147</v>
      </c>
      <c r="AA331" s="36">
        <f>AA56</f>
        <v>2924</v>
      </c>
      <c r="AB331" s="36">
        <f>AB56</f>
        <v>13072</v>
      </c>
      <c r="AC331" s="36">
        <f>AC56</f>
        <v>2579</v>
      </c>
      <c r="AD331" s="36">
        <f>AD56</f>
        <v>2860</v>
      </c>
      <c r="AE331" s="36">
        <f>AE56</f>
        <v>3052</v>
      </c>
      <c r="AF331" s="36">
        <f>AF56</f>
        <v>2660</v>
      </c>
      <c r="AG331" s="36">
        <f>AG56</f>
        <v>11151</v>
      </c>
      <c r="AH331" s="36">
        <f>AH56</f>
        <v>3085</v>
      </c>
      <c r="AI331" s="36">
        <f>AI56</f>
        <v>4295</v>
      </c>
      <c r="AJ331" s="36">
        <f>AJ56</f>
        <v>0</v>
      </c>
      <c r="AK331" s="36">
        <f>AK56</f>
        <v>0</v>
      </c>
      <c r="AL331" s="36">
        <f>AL56</f>
        <v>7380</v>
      </c>
      <c r="AM331" s="36">
        <f>AM56</f>
        <v>0</v>
      </c>
      <c r="AN331" s="36">
        <f>AN56</f>
        <v>0</v>
      </c>
      <c r="AO331" s="36">
        <f>AO56</f>
        <v>0</v>
      </c>
      <c r="AP331" s="36">
        <f>AP56</f>
        <v>0</v>
      </c>
      <c r="AQ331" s="36">
        <f>AQ56</f>
        <v>0</v>
      </c>
      <c r="AR331" s="36">
        <f>AR56</f>
        <v>0</v>
      </c>
      <c r="AS331" s="36">
        <f>AS56</f>
        <v>0</v>
      </c>
      <c r="AT331" s="36">
        <f>AT56</f>
        <v>0</v>
      </c>
      <c r="AU331" s="36">
        <f>AU56</f>
        <v>0</v>
      </c>
      <c r="AV331" s="36">
        <f>AV56</f>
        <v>0</v>
      </c>
      <c r="AW331" s="36">
        <f>AW56</f>
        <v>0</v>
      </c>
      <c r="AX331" s="36">
        <f>AX56</f>
        <v>0</v>
      </c>
      <c r="AY331" s="36">
        <f>AY56</f>
        <v>0</v>
      </c>
      <c r="AZ331" s="36">
        <f>AZ56</f>
        <v>0</v>
      </c>
      <c r="BA331" s="36">
        <f>BA56</f>
        <v>0</v>
      </c>
      <c r="BB331" s="36">
        <f>BB56</f>
        <v>0</v>
      </c>
      <c r="BC331" s="36">
        <f>BC56</f>
        <v>0</v>
      </c>
      <c r="BD331" s="36">
        <f>BD56</f>
        <v>0</v>
      </c>
      <c r="BE331" s="36">
        <f>BE56</f>
        <v>0</v>
      </c>
      <c r="BF331" s="36">
        <f>BF56</f>
        <v>0</v>
      </c>
      <c r="BG331" s="36">
        <f>BG56</f>
        <v>0</v>
      </c>
      <c r="BH331" s="36">
        <f>BH56</f>
        <v>0</v>
      </c>
      <c r="BI331" s="36">
        <f>BI56</f>
        <v>0</v>
      </c>
      <c r="BJ331" s="36">
        <f>BJ56</f>
        <v>0</v>
      </c>
      <c r="BK331" s="36">
        <f>BK56</f>
        <v>0</v>
      </c>
      <c r="BL331" s="36">
        <f>BL56</f>
        <v>0</v>
      </c>
      <c r="BM331" s="36">
        <f>BM56</f>
        <v>0</v>
      </c>
      <c r="BN331" s="36">
        <f>BN56</f>
        <v>0</v>
      </c>
      <c r="BO331" s="36">
        <f>BO56</f>
        <v>0</v>
      </c>
      <c r="BP331" s="36">
        <f>BP56</f>
        <v>0</v>
      </c>
      <c r="BQ331" s="36">
        <f>BQ56</f>
        <v>0</v>
      </c>
      <c r="BR331" s="36">
        <f>BR56</f>
        <v>0</v>
      </c>
      <c r="BS331" s="36">
        <f>BS56</f>
        <v>0</v>
      </c>
      <c r="BT331" s="36">
        <f>BT56</f>
        <v>0</v>
      </c>
      <c r="BU331" s="36">
        <f>BU56</f>
        <v>0</v>
      </c>
      <c r="BV331" s="36">
        <f>BV56</f>
        <v>0</v>
      </c>
      <c r="BW331" s="36">
        <f>BW56</f>
        <v>0</v>
      </c>
      <c r="BX331" s="36">
        <f>BX56</f>
        <v>0</v>
      </c>
      <c r="BY331" s="36">
        <f>BY56</f>
        <v>0</v>
      </c>
      <c r="BZ331" s="36">
        <f>BZ56</f>
        <v>0</v>
      </c>
      <c r="CA331" s="36">
        <f>CA56</f>
        <v>0</v>
      </c>
      <c r="CB331" s="36">
        <f>CB56</f>
        <v>0</v>
      </c>
      <c r="CC331" s="36">
        <f>CC56</f>
        <v>0</v>
      </c>
      <c r="CD331" s="36">
        <f>CD56</f>
        <v>0</v>
      </c>
      <c r="CE331" s="36">
        <f>CE56</f>
        <v>0</v>
      </c>
      <c r="CF331" s="36">
        <f>CF56</f>
        <v>0</v>
      </c>
      <c r="CG331" s="36">
        <f>CG56</f>
        <v>0</v>
      </c>
      <c r="CH331" s="36">
        <f>CH56</f>
        <v>0</v>
      </c>
      <c r="CI331" s="36">
        <f>CI56</f>
        <v>0</v>
      </c>
      <c r="CJ331" s="36">
        <f>CJ56</f>
        <v>0</v>
      </c>
      <c r="CK331" s="36">
        <f>CK56</f>
        <v>0</v>
      </c>
      <c r="CL331" s="36">
        <f>CL56</f>
        <v>0</v>
      </c>
      <c r="CM331" s="36">
        <f>CM56</f>
        <v>0</v>
      </c>
      <c r="CN331" s="36">
        <f>CN56</f>
        <v>0</v>
      </c>
      <c r="CO331" s="36">
        <f>CO56</f>
        <v>0</v>
      </c>
      <c r="CP331" s="36">
        <f>CP56</f>
        <v>0</v>
      </c>
      <c r="CQ331" s="36">
        <f>CQ56</f>
        <v>0</v>
      </c>
      <c r="CR331" s="36">
        <f>CR56</f>
        <v>0</v>
      </c>
      <c r="CS331" s="36">
        <f>CS56</f>
        <v>0</v>
      </c>
      <c r="CT331" s="36">
        <f>CT56</f>
        <v>0</v>
      </c>
      <c r="CU331" s="36">
        <f>CU56</f>
        <v>0</v>
      </c>
      <c r="CV331" s="36">
        <f>CV56</f>
        <v>0</v>
      </c>
      <c r="CW331" s="36">
        <f>CW56</f>
        <v>0</v>
      </c>
      <c r="CX331" s="36">
        <f>CX56</f>
        <v>0</v>
      </c>
      <c r="CY331" s="36">
        <f>CY56</f>
        <v>0</v>
      </c>
    </row>
    <row r="332" customFormat="1" s="233">
      <c r="A332" s="224" t="n"/>
      <c r="B332" s="224" t="n"/>
      <c r="C332" s="233" t="inlineStr">
        <is>
          <t>ETR</t>
        </is>
      </c>
      <c r="D332" s="240">
        <f>D115</f>
        <v>0.280898876404494</v>
      </c>
      <c r="E332" s="240">
        <f>E115</f>
        <v>0.334808259587021</v>
      </c>
      <c r="F332" s="240">
        <f>F115</f>
        <v>0.216685979142526</v>
      </c>
      <c r="G332" s="240">
        <f>G115</f>
        <v>0.177470775770457</v>
      </c>
      <c r="H332" s="240">
        <f>H115</f>
        <v>0.251814768460576</v>
      </c>
      <c r="I332" s="225">
        <f>I115</f>
        <v>0.237856785177767</v>
      </c>
      <c r="J332" s="225">
        <f>J115</f>
        <v>0.251336898395722</v>
      </c>
      <c r="K332" s="225">
        <f>K115</f>
        <v>0.207323943661972</v>
      </c>
      <c r="L332" s="225">
        <f>L115</f>
        <v>0.167447306791569</v>
      </c>
      <c r="M332" s="225">
        <f>M115</f>
        <v>0.212335446123842</v>
      </c>
      <c r="N332" s="225">
        <f>N115</f>
        <v>0.234617308654327</v>
      </c>
      <c r="O332" s="225">
        <f>O115</f>
        <v>0.203721374045802</v>
      </c>
      <c r="P332" s="225">
        <f>P115</f>
        <v>0.206020328381548</v>
      </c>
      <c r="Q332" s="225">
        <f>Q115</f>
        <v>0.306812767984755</v>
      </c>
      <c r="R332" s="225">
        <f>R115</f>
        <v>0.236174588665448</v>
      </c>
      <c r="S332" s="225">
        <f>S115</f>
        <v>0.26879271070615</v>
      </c>
      <c r="T332" s="225">
        <f>T115</f>
        <v>0.205914567360351</v>
      </c>
      <c r="U332" s="225">
        <f>U115</f>
        <v>0.208819345661451</v>
      </c>
      <c r="V332" s="225">
        <f>V115</f>
        <v>0.180670975684826</v>
      </c>
      <c r="W332" s="225">
        <f>W115</f>
        <v>0.213103448275862</v>
      </c>
      <c r="X332" s="225">
        <f>X115</f>
        <v>0.194790486976217</v>
      </c>
      <c r="Y332" s="225">
        <f>Y115</f>
        <v>0.238857142857143</v>
      </c>
      <c r="Z332" s="225">
        <f>Z115</f>
        <v>0.207230471271788</v>
      </c>
      <c r="AA332" s="225">
        <f>AA115</f>
        <v>0.142769041011409</v>
      </c>
      <c r="AB332" s="225">
        <f>AB115</f>
        <v>0.196590144320646</v>
      </c>
      <c r="AC332" s="225">
        <f>AC115</f>
        <v>0.223346303501946</v>
      </c>
      <c r="AD332" s="225">
        <f>AD115</f>
        <v>0.229240596167495</v>
      </c>
      <c r="AE332" s="225">
        <f>AE115</f>
        <v>0.267348896706108</v>
      </c>
      <c r="AF332" s="225">
        <f>AF115</f>
        <v>0.235294117647059</v>
      </c>
      <c r="AG332" s="225">
        <f>AG115</f>
        <v>0.239840568408284</v>
      </c>
      <c r="AH332" s="225">
        <f>AH115</f>
        <v>0.208657739022112</v>
      </c>
      <c r="AI332" s="225">
        <f>AI115</f>
        <v>0.231461167178587</v>
      </c>
      <c r="AJ332" s="225">
        <f>AJ115</f>
        <v>0</v>
      </c>
      <c r="AK332" s="225">
        <f>AK115</f>
        <v>0</v>
      </c>
      <c r="AL332" s="225">
        <f>AL115</f>
        <v>0.211448884530522</v>
      </c>
      <c r="AM332" s="225">
        <f>AM115</f>
        <v>0</v>
      </c>
      <c r="AN332" s="225">
        <f>AN115</f>
        <v>0</v>
      </c>
      <c r="AO332" s="225">
        <f>AO115</f>
        <v>0</v>
      </c>
      <c r="AP332" s="225">
        <f>AP115</f>
        <v>0</v>
      </c>
      <c r="AQ332" s="225">
        <f>AQ115</f>
        <v>0</v>
      </c>
      <c r="AR332" s="225">
        <f>AR115</f>
        <v>0</v>
      </c>
      <c r="AS332" s="225">
        <f>AS115</f>
        <v>0</v>
      </c>
      <c r="AT332" s="225">
        <f>AT115</f>
        <v>0</v>
      </c>
      <c r="AU332" s="225">
        <f>AU115</f>
        <v>0</v>
      </c>
      <c r="AV332" s="225">
        <f>AV115</f>
        <v>0</v>
      </c>
      <c r="AW332" s="225">
        <f>AW115</f>
        <v>0</v>
      </c>
      <c r="AX332" s="225">
        <f>AX115</f>
        <v>0</v>
      </c>
      <c r="AY332" s="225">
        <f>AY115</f>
        <v>0</v>
      </c>
      <c r="AZ332" s="225">
        <f>AZ115</f>
        <v>0</v>
      </c>
      <c r="BA332" s="225">
        <f>BA115</f>
        <v>0</v>
      </c>
      <c r="BB332" s="225">
        <f>BB115</f>
        <v>0</v>
      </c>
      <c r="BC332" s="225">
        <f>BC115</f>
        <v>0</v>
      </c>
      <c r="BD332" s="225">
        <f>BD115</f>
        <v>0</v>
      </c>
      <c r="BE332" s="225">
        <f>BE115</f>
        <v>0</v>
      </c>
      <c r="BF332" s="225">
        <f>BF115</f>
        <v>0</v>
      </c>
      <c r="BG332" s="225">
        <f>BG115</f>
        <v>0</v>
      </c>
      <c r="BH332" s="225">
        <f>BH115</f>
        <v>0</v>
      </c>
      <c r="BI332" s="225">
        <f>BI115</f>
        <v>0</v>
      </c>
      <c r="BJ332" s="225">
        <f>BJ115</f>
        <v>0</v>
      </c>
      <c r="BK332" s="225">
        <f>BK115</f>
        <v>0</v>
      </c>
      <c r="BL332" s="225">
        <f>BL115</f>
        <v>0</v>
      </c>
      <c r="BM332" s="225">
        <f>BM115</f>
        <v>0</v>
      </c>
      <c r="BN332" s="225">
        <f>BN115</f>
        <v>0</v>
      </c>
      <c r="BO332" s="225">
        <f>BO115</f>
        <v>0</v>
      </c>
      <c r="BP332" s="225">
        <f>BP115</f>
        <v>0</v>
      </c>
      <c r="BQ332" s="225">
        <f>BQ115</f>
        <v>0</v>
      </c>
      <c r="BR332" s="225">
        <f>BR115</f>
        <v>0</v>
      </c>
      <c r="BS332" s="225">
        <f>BS115</f>
        <v>0</v>
      </c>
      <c r="BT332" s="225">
        <f>BT115</f>
        <v>0</v>
      </c>
      <c r="BU332" s="225">
        <f>BU115</f>
        <v>0</v>
      </c>
      <c r="BV332" s="225">
        <f>BV115</f>
        <v>0</v>
      </c>
      <c r="BW332" s="225">
        <f>BW115</f>
        <v>0</v>
      </c>
      <c r="BX332" s="225">
        <f>BX115</f>
        <v>0</v>
      </c>
      <c r="BY332" s="225">
        <f>BY115</f>
        <v>0</v>
      </c>
      <c r="BZ332" s="225">
        <f>BZ115</f>
        <v>0</v>
      </c>
      <c r="CA332" s="225">
        <f>CA115</f>
        <v>0</v>
      </c>
      <c r="CB332" s="225">
        <f>CB115</f>
        <v>0</v>
      </c>
      <c r="CC332" s="225">
        <f>CC115</f>
        <v>0</v>
      </c>
      <c r="CD332" s="225">
        <f>CD115</f>
        <v>0</v>
      </c>
      <c r="CE332" s="225">
        <f>CE115</f>
        <v>0</v>
      </c>
      <c r="CF332" s="225">
        <f>CF115</f>
        <v>0</v>
      </c>
      <c r="CG332" s="225">
        <f>CG115</f>
        <v>0</v>
      </c>
      <c r="CH332" s="225">
        <f>CH115</f>
        <v>0</v>
      </c>
      <c r="CI332" s="225">
        <f>CI115</f>
        <v>0</v>
      </c>
      <c r="CJ332" s="225">
        <f>CJ115</f>
        <v>0</v>
      </c>
      <c r="CK332" s="225">
        <f>CK115</f>
        <v>0</v>
      </c>
      <c r="CL332" s="225">
        <f>CL115</f>
        <v>0</v>
      </c>
      <c r="CM332" s="225">
        <f>CM115</f>
        <v>0</v>
      </c>
      <c r="CN332" s="225">
        <f>CN115</f>
        <v>0</v>
      </c>
      <c r="CO332" s="225">
        <f>CO115</f>
        <v>0</v>
      </c>
      <c r="CP332" s="225">
        <f>CP115</f>
        <v>0</v>
      </c>
      <c r="CQ332" s="225">
        <f>CQ115</f>
        <v>0</v>
      </c>
      <c r="CR332" s="225">
        <f>CR115</f>
        <v>0</v>
      </c>
      <c r="CS332" s="225">
        <f>CS115</f>
        <v>0</v>
      </c>
      <c r="CT332" s="225">
        <f>CT115</f>
        <v>0</v>
      </c>
      <c r="CU332" s="225">
        <f>CU115</f>
        <v>0</v>
      </c>
      <c r="CV332" s="225">
        <f>CV115</f>
        <v>0</v>
      </c>
      <c r="CW332" s="225">
        <f>CW115</f>
        <v>0</v>
      </c>
      <c r="CX332" s="225">
        <f>CX115</f>
        <v>0</v>
      </c>
      <c r="CY332" s="225">
        <f>CY115</f>
        <v>0</v>
      </c>
    </row>
    <row r="333" customFormat="1" s="233">
      <c r="A333" s="224" t="n"/>
      <c r="B333" s="224" t="n"/>
      <c r="C333" s="233" t="inlineStr">
        <is>
          <t>INVESTED CAPITAL</t>
        </is>
      </c>
      <c r="D333" s="239">
        <f>D336-D337+D338</f>
        <v>7116</v>
      </c>
      <c r="E333" s="239">
        <f>E336-E337+E338</f>
        <v>4993</v>
      </c>
      <c r="F333" s="239">
        <f>F336-F337+F338</f>
        <v>43805</v>
      </c>
      <c r="G333" s="239">
        <f>G336-G337+G338</f>
        <v>43189</v>
      </c>
      <c r="H333" s="239">
        <f>H336-H337+H338</f>
        <v>43189</v>
      </c>
      <c r="I333" s="36">
        <f>I336-I337+I338</f>
        <v>43455</v>
      </c>
      <c r="J333" s="36">
        <f>J336-J337+J338</f>
        <v>43634</v>
      </c>
      <c r="K333" s="36">
        <f>K336-K337+K338</f>
        <v>44033</v>
      </c>
      <c r="L333" s="36">
        <f>L336-L337+L338</f>
        <v>45051</v>
      </c>
      <c r="M333" s="36">
        <f>M336-M337+M338</f>
        <v>45051</v>
      </c>
      <c r="N333" s="36">
        <f>N336-N337+N338</f>
        <v>48155</v>
      </c>
      <c r="O333" s="36">
        <f>O336-O337+O338</f>
        <v>46707</v>
      </c>
      <c r="P333" s="36">
        <f>P336-P337+P338</f>
        <v>45801</v>
      </c>
      <c r="Q333" s="36">
        <f>Q336-Q337+Q338</f>
        <v>45880</v>
      </c>
      <c r="R333" s="36">
        <f>R336-R337+R338</f>
        <v>45880</v>
      </c>
      <c r="S333" s="36">
        <f>S336-S337+S338</f>
        <v>48419</v>
      </c>
      <c r="T333" s="36">
        <f>T336-T337+T338</f>
        <v>48568</v>
      </c>
      <c r="U333" s="36">
        <f>U336-U337+U338</f>
        <v>51101</v>
      </c>
      <c r="V333" s="36">
        <f>V336-V337+V338</f>
        <v>50403</v>
      </c>
      <c r="W333" s="36">
        <f>W336-W337+W338</f>
        <v>50403</v>
      </c>
      <c r="X333" s="36">
        <f>X336-X337+X338</f>
        <v>50539</v>
      </c>
      <c r="Y333" s="36">
        <f>Y336-Y337+Y338</f>
        <v>50106</v>
      </c>
      <c r="Z333" s="36">
        <f>Z336-Z337+Z338</f>
        <v>51666</v>
      </c>
      <c r="AA333" s="36">
        <f>AA336-AA337+AA338</f>
        <v>51014</v>
      </c>
      <c r="AB333" s="36">
        <f>AB336-AB337+AB338</f>
        <v>51014</v>
      </c>
      <c r="AC333" s="36">
        <f>AC336-AC337+AC338</f>
        <v>53096</v>
      </c>
      <c r="AD333" s="36">
        <f>AD336-AD337+AD338</f>
        <v>53969</v>
      </c>
      <c r="AE333" s="36">
        <f>AE336-AE337+AE338</f>
        <v>54655</v>
      </c>
      <c r="AF333" s="36">
        <f>AF336-AF337+AF338</f>
        <v>54668</v>
      </c>
      <c r="AG333" s="36">
        <f>AG336-AG337+AG338</f>
        <v>54668</v>
      </c>
      <c r="AH333" s="36">
        <f>AH336-AH337+AH338</f>
        <v>57654</v>
      </c>
      <c r="AI333" s="36">
        <f>AI336-AI337+AI338</f>
        <v>57827</v>
      </c>
      <c r="AJ333" s="36">
        <f>AJ336-AJ337+AJ338</f>
        <v>41878</v>
      </c>
      <c r="AK333" s="36">
        <f>AK336-AK337+AK338</f>
        <v>41878</v>
      </c>
      <c r="AL333" s="36">
        <f>AL336-AL337+AL338</f>
        <v>41878</v>
      </c>
      <c r="AM333" s="36" t="e">
        <f>AM336-AM337+AM338</f>
        <v>#DIV/0!</v>
      </c>
      <c r="AN333" s="36">
        <f>AN336-AN337+AN338</f>
        <v>41878</v>
      </c>
      <c r="AO333" s="36" t="e">
        <f>AO336-AO337+AO338</f>
        <v>#DIV/0!</v>
      </c>
      <c r="AP333" s="36" t="e">
        <f>AP336-AP337+AP338</f>
        <v>#DIV/0!</v>
      </c>
      <c r="AQ333" s="36" t="e">
        <f>AQ336-AQ337+AQ338</f>
        <v>#DIV/0!</v>
      </c>
      <c r="AR333" s="36" t="e">
        <f>AR336-AR337+AR338</f>
        <v>#DIV/0!</v>
      </c>
      <c r="AS333" s="36" t="e">
        <f>AS336-AS337+AS338</f>
        <v>#DIV/0!</v>
      </c>
      <c r="AT333" s="36" t="e">
        <f>AT336-AT337+AT338</f>
        <v>#DIV/0!</v>
      </c>
      <c r="AU333" s="36" t="e">
        <f>AU336-AU337+AU338</f>
        <v>#DIV/0!</v>
      </c>
      <c r="AV333" s="36" t="e">
        <f>AV336-AV337+AV338</f>
        <v>#DIV/0!</v>
      </c>
      <c r="AW333" s="36" t="e">
        <f>AW336-AW337+AW338</f>
        <v>#DIV/0!</v>
      </c>
      <c r="AX333" s="36" t="e">
        <f>AX336-AX337+AX338</f>
        <v>#DIV/0!</v>
      </c>
      <c r="AY333" s="36" t="e">
        <f>AY336-AY337+AY338</f>
        <v>#DIV/0!</v>
      </c>
      <c r="AZ333" s="36" t="e">
        <f>AZ336-AZ337+AZ338</f>
        <v>#DIV/0!</v>
      </c>
      <c r="BA333" s="36" t="e">
        <f>BA336-BA337+BA338</f>
        <v>#DIV/0!</v>
      </c>
      <c r="BB333" s="36" t="e">
        <f>BB336-BB337+BB338</f>
        <v>#DIV/0!</v>
      </c>
      <c r="BC333" s="36" t="e">
        <f>BC336-BC337+BC338</f>
        <v>#DIV/0!</v>
      </c>
      <c r="BD333" s="36" t="e">
        <f>BD336-BD337+BD338</f>
        <v>#DIV/0!</v>
      </c>
      <c r="BE333" s="36" t="e">
        <f>BE336-BE337+BE338</f>
        <v>#DIV/0!</v>
      </c>
      <c r="BF333" s="36" t="e">
        <f>BF336-BF337+BF338</f>
        <v>#DIV/0!</v>
      </c>
      <c r="BG333" s="36" t="e">
        <f>BG336-BG337+BG338</f>
        <v>#DIV/0!</v>
      </c>
      <c r="BH333" s="36" t="e">
        <f>BH336-BH337+BH338</f>
        <v>#DIV/0!</v>
      </c>
      <c r="BI333" s="36" t="e">
        <f>BI336-BI337+BI338</f>
        <v>#DIV/0!</v>
      </c>
      <c r="BJ333" s="36" t="e">
        <f>BJ336-BJ337+BJ338</f>
        <v>#DIV/0!</v>
      </c>
      <c r="BK333" s="36" t="e">
        <f>BK336-BK337+BK338</f>
        <v>#DIV/0!</v>
      </c>
      <c r="BL333" s="36" t="e">
        <f>BL336-BL337+BL338</f>
        <v>#DIV/0!</v>
      </c>
      <c r="BM333" s="36" t="e">
        <f>BM336-BM337+BM338</f>
        <v>#DIV/0!</v>
      </c>
      <c r="BN333" s="36" t="e">
        <f>BN336-BN337+BN338</f>
        <v>#DIV/0!</v>
      </c>
      <c r="BO333" s="36" t="e">
        <f>BO336-BO337+BO338</f>
        <v>#DIV/0!</v>
      </c>
      <c r="BP333" s="36" t="e">
        <f>BP336-BP337+BP338</f>
        <v>#DIV/0!</v>
      </c>
      <c r="BQ333" s="36" t="e">
        <f>BQ336-BQ337+BQ338</f>
        <v>#DIV/0!</v>
      </c>
      <c r="BR333" s="36" t="e">
        <f>BR336-BR337+BR338</f>
        <v>#DIV/0!</v>
      </c>
      <c r="BS333" s="36" t="e">
        <f>BS336-BS337+BS338</f>
        <v>#DIV/0!</v>
      </c>
      <c r="BT333" s="36" t="e">
        <f>BT336-BT337+BT338</f>
        <v>#DIV/0!</v>
      </c>
      <c r="BU333" s="36" t="e">
        <f>BU336-BU337+BU338</f>
        <v>#DIV/0!</v>
      </c>
      <c r="BV333" s="36" t="e">
        <f>BV336-BV337+BV338</f>
        <v>#DIV/0!</v>
      </c>
      <c r="BW333" s="36" t="e">
        <f>BW336-BW337+BW338</f>
        <v>#DIV/0!</v>
      </c>
      <c r="BX333" s="36" t="e">
        <f>BX336-BX337+BX338</f>
        <v>#DIV/0!</v>
      </c>
      <c r="BY333" s="36" t="e">
        <f>BY336-BY337+BY338</f>
        <v>#DIV/0!</v>
      </c>
      <c r="BZ333" s="36" t="e">
        <f>BZ336-BZ337+BZ338</f>
        <v>#DIV/0!</v>
      </c>
      <c r="CA333" s="36" t="e">
        <f>CA336-CA337+CA338</f>
        <v>#DIV/0!</v>
      </c>
      <c r="CB333" s="36" t="e">
        <f>CB336-CB337+CB338</f>
        <v>#DIV/0!</v>
      </c>
      <c r="CC333" s="36" t="e">
        <f>CC336-CC337+CC338</f>
        <v>#DIV/0!</v>
      </c>
      <c r="CD333" s="36" t="e">
        <f>CD336-CD337+CD338</f>
        <v>#DIV/0!</v>
      </c>
      <c r="CE333" s="36" t="e">
        <f>CE336-CE337+CE338</f>
        <v>#DIV/0!</v>
      </c>
      <c r="CF333" s="36" t="e">
        <f>CF336-CF337+CF338</f>
        <v>#DIV/0!</v>
      </c>
      <c r="CG333" s="36" t="e">
        <f>CG336-CG337+CG338</f>
        <v>#DIV/0!</v>
      </c>
      <c r="CH333" s="36" t="e">
        <f>CH336-CH337+CH338</f>
        <v>#DIV/0!</v>
      </c>
      <c r="CI333" s="36" t="e">
        <f>CI336-CI337+CI338</f>
        <v>#DIV/0!</v>
      </c>
      <c r="CJ333" s="36" t="e">
        <f>CJ336-CJ337+CJ338</f>
        <v>#DIV/0!</v>
      </c>
      <c r="CK333" s="36" t="e">
        <f>CK336-CK337+CK338</f>
        <v>#DIV/0!</v>
      </c>
      <c r="CL333" s="36" t="e">
        <f>CL336-CL337+CL338</f>
        <v>#DIV/0!</v>
      </c>
      <c r="CM333" s="36" t="e">
        <f>CM336-CM337+CM338</f>
        <v>#DIV/0!</v>
      </c>
      <c r="CN333" s="36" t="e">
        <f>CN336-CN337+CN338</f>
        <v>#DIV/0!</v>
      </c>
      <c r="CO333" s="36" t="e">
        <f>CO336-CO337+CO338</f>
        <v>#DIV/0!</v>
      </c>
      <c r="CP333" s="36" t="e">
        <f>CP336-CP337+CP338</f>
        <v>#DIV/0!</v>
      </c>
      <c r="CQ333" s="36" t="e">
        <f>CQ336-CQ337+CQ338</f>
        <v>#DIV/0!</v>
      </c>
      <c r="CR333" s="36" t="e">
        <f>CR336-CR337+CR338</f>
        <v>#DIV/0!</v>
      </c>
      <c r="CS333" s="36" t="e">
        <f>CS336-CS337+CS338</f>
        <v>#DIV/0!</v>
      </c>
      <c r="CT333" s="36" t="e">
        <f>CT336-CT337+CT338</f>
        <v>#DIV/0!</v>
      </c>
      <c r="CU333" s="36" t="e">
        <f>CU336-CU337+CU338</f>
        <v>#DIV/0!</v>
      </c>
      <c r="CV333" s="36" t="e">
        <f>CV336-CV337+CV338</f>
        <v>#DIV/0!</v>
      </c>
      <c r="CW333" s="36" t="e">
        <f>CW336-CW337+CW338</f>
        <v>#DIV/0!</v>
      </c>
      <c r="CX333" s="36" t="e">
        <f>CX336-CX337+CX338</f>
        <v>#DIV/0!</v>
      </c>
      <c r="CY333" s="36" t="e">
        <f>CY336-CY337+CY338</f>
        <v>#DIV/0!</v>
      </c>
    </row>
    <row r="334" customFormat="1" s="233">
      <c r="A334" s="224" t="n"/>
      <c r="B334" s="224" t="n"/>
      <c r="C334" s="233" t="inlineStr">
        <is>
          <t>INVESTED CAPITAL - EX GOODWILL</t>
        </is>
      </c>
      <c r="D334" s="241">
        <f>D333-D162</f>
        <v>976</v>
      </c>
      <c r="E334" s="241">
        <f>E333-E162</f>
        <v>-1199</v>
      </c>
      <c r="F334" s="241">
        <f>F333-F162</f>
        <v>37501</v>
      </c>
      <c r="G334" s="241">
        <f>G333-G162</f>
        <v>36795</v>
      </c>
      <c r="H334" s="241">
        <f>H333-H162</f>
        <v>36795</v>
      </c>
      <c r="I334" s="226">
        <f>I333-I162</f>
        <v>37112</v>
      </c>
      <c r="J334" s="226">
        <f>J333-J162</f>
        <v>37262</v>
      </c>
      <c r="K334" s="226">
        <f>K333-K162</f>
        <v>37680</v>
      </c>
      <c r="L334" s="226">
        <f>L333-L162</f>
        <v>38727</v>
      </c>
      <c r="M334" s="226">
        <f>M333-M162</f>
        <v>38727</v>
      </c>
      <c r="N334" s="226">
        <f>N333-N162</f>
        <v>41862</v>
      </c>
      <c r="O334" s="226">
        <f>O333-O162</f>
        <v>40512</v>
      </c>
      <c r="P334" s="226">
        <f>P333-P162</f>
        <v>39709</v>
      </c>
      <c r="Q334" s="226">
        <f>Q333-Q162</f>
        <v>40592</v>
      </c>
      <c r="R334" s="226">
        <f>R333-R162</f>
        <v>40592</v>
      </c>
      <c r="S334" s="226">
        <f>S333-S162</f>
        <v>43110</v>
      </c>
      <c r="T334" s="226">
        <f>T333-T162</f>
        <v>43275</v>
      </c>
      <c r="U334" s="226">
        <f>U333-U162</f>
        <v>45833</v>
      </c>
      <c r="V334" s="226">
        <f>V333-V162</f>
        <v>45095</v>
      </c>
      <c r="W334" s="226">
        <f>W333-W162</f>
        <v>45095</v>
      </c>
      <c r="X334" s="226">
        <f>X333-X162</f>
        <v>45262</v>
      </c>
      <c r="Y334" s="226">
        <f>Y333-Y162</f>
        <v>44842</v>
      </c>
      <c r="Z334" s="226">
        <f>Z333-Z162</f>
        <v>46349</v>
      </c>
      <c r="AA334" s="226">
        <f>AA333-AA162</f>
        <v>45773</v>
      </c>
      <c r="AB334" s="226">
        <f>AB333-AB162</f>
        <v>45773</v>
      </c>
      <c r="AC334" s="226">
        <f>AC333-AC162</f>
        <v>47826</v>
      </c>
      <c r="AD334" s="226">
        <f>AD333-AD162</f>
        <v>48638</v>
      </c>
      <c r="AE334" s="226">
        <f>AE333-AE162</f>
        <v>49326</v>
      </c>
      <c r="AF334" s="226">
        <f>AF333-AF162</f>
        <v>49347</v>
      </c>
      <c r="AG334" s="226">
        <f>AG333-AG162</f>
        <v>49347</v>
      </c>
      <c r="AH334" s="226">
        <f>AH333-AH162</f>
        <v>51789</v>
      </c>
      <c r="AI334" s="226">
        <f>AI333-AI162</f>
        <v>51968</v>
      </c>
      <c r="AJ334" s="226">
        <f>AJ333-AJ162</f>
        <v>36019</v>
      </c>
      <c r="AK334" s="226">
        <f>AK333-AK162</f>
        <v>36019</v>
      </c>
      <c r="AL334" s="226">
        <f>AL333-AL162</f>
        <v>36019</v>
      </c>
      <c r="AM334" s="226" t="e">
        <f>AM333-AM162</f>
        <v>#DIV/0!</v>
      </c>
      <c r="AN334" s="226">
        <f>AN333-AN162</f>
        <v>36019</v>
      </c>
      <c r="AO334" s="226" t="e">
        <f>AO333-AO162</f>
        <v>#DIV/0!</v>
      </c>
      <c r="AP334" s="226" t="e">
        <f>AP333-AP162</f>
        <v>#DIV/0!</v>
      </c>
      <c r="AQ334" s="226" t="e">
        <f>AQ333-AQ162</f>
        <v>#DIV/0!</v>
      </c>
      <c r="AR334" s="226" t="e">
        <f>AR333-AR162</f>
        <v>#DIV/0!</v>
      </c>
      <c r="AS334" s="226" t="e">
        <f>AS333-AS162</f>
        <v>#DIV/0!</v>
      </c>
      <c r="AT334" s="226" t="e">
        <f>AT333-AT162</f>
        <v>#DIV/0!</v>
      </c>
      <c r="AU334" s="226" t="e">
        <f>AU333-AU162</f>
        <v>#DIV/0!</v>
      </c>
      <c r="AV334" s="226" t="e">
        <f>AV333-AV162</f>
        <v>#DIV/0!</v>
      </c>
      <c r="AW334" s="226" t="e">
        <f>AW333-AW162</f>
        <v>#DIV/0!</v>
      </c>
      <c r="AX334" s="226" t="e">
        <f>AX333-AX162</f>
        <v>#DIV/0!</v>
      </c>
      <c r="AY334" s="226" t="e">
        <f>AY333-AY162</f>
        <v>#DIV/0!</v>
      </c>
      <c r="AZ334" s="226" t="e">
        <f>AZ333-AZ162</f>
        <v>#DIV/0!</v>
      </c>
      <c r="BA334" s="226" t="e">
        <f>BA333-BA162</f>
        <v>#DIV/0!</v>
      </c>
      <c r="BB334" s="226" t="e">
        <f>BB333-BB162</f>
        <v>#DIV/0!</v>
      </c>
      <c r="BC334" s="226" t="e">
        <f>BC333-BC162</f>
        <v>#DIV/0!</v>
      </c>
      <c r="BD334" s="226" t="e">
        <f>BD333-BD162</f>
        <v>#DIV/0!</v>
      </c>
      <c r="BE334" s="226" t="e">
        <f>BE333-BE162</f>
        <v>#DIV/0!</v>
      </c>
      <c r="BF334" s="226" t="e">
        <f>BF333-BF162</f>
        <v>#DIV/0!</v>
      </c>
      <c r="BG334" s="226" t="e">
        <f>BG333-BG162</f>
        <v>#DIV/0!</v>
      </c>
      <c r="BH334" s="226" t="e">
        <f>BH333-BH162</f>
        <v>#DIV/0!</v>
      </c>
      <c r="BI334" s="226" t="e">
        <f>BI333-BI162</f>
        <v>#DIV/0!</v>
      </c>
      <c r="BJ334" s="226" t="e">
        <f>BJ333-BJ162</f>
        <v>#DIV/0!</v>
      </c>
      <c r="BK334" s="226" t="e">
        <f>BK333-BK162</f>
        <v>#DIV/0!</v>
      </c>
      <c r="BL334" s="226" t="e">
        <f>BL333-BL162</f>
        <v>#DIV/0!</v>
      </c>
      <c r="BM334" s="226" t="e">
        <f>BM333-BM162</f>
        <v>#DIV/0!</v>
      </c>
      <c r="BN334" s="226" t="e">
        <f>BN333-BN162</f>
        <v>#DIV/0!</v>
      </c>
      <c r="BO334" s="226" t="e">
        <f>BO333-BO162</f>
        <v>#DIV/0!</v>
      </c>
      <c r="BP334" s="226" t="e">
        <f>BP333-BP162</f>
        <v>#DIV/0!</v>
      </c>
      <c r="BQ334" s="226" t="e">
        <f>BQ333-BQ162</f>
        <v>#DIV/0!</v>
      </c>
      <c r="BR334" s="226" t="e">
        <f>BR333-BR162</f>
        <v>#DIV/0!</v>
      </c>
      <c r="BS334" s="226" t="e">
        <f>BS333-BS162</f>
        <v>#DIV/0!</v>
      </c>
      <c r="BT334" s="226" t="e">
        <f>BT333-BT162</f>
        <v>#DIV/0!</v>
      </c>
      <c r="BU334" s="226" t="e">
        <f>BU333-BU162</f>
        <v>#DIV/0!</v>
      </c>
      <c r="BV334" s="226" t="e">
        <f>BV333-BV162</f>
        <v>#DIV/0!</v>
      </c>
      <c r="BW334" s="226" t="e">
        <f>BW333-BW162</f>
        <v>#DIV/0!</v>
      </c>
      <c r="BX334" s="226" t="e">
        <f>BX333-BX162</f>
        <v>#DIV/0!</v>
      </c>
      <c r="BY334" s="226" t="e">
        <f>BY333-BY162</f>
        <v>#DIV/0!</v>
      </c>
      <c r="BZ334" s="226" t="e">
        <f>BZ333-BZ162</f>
        <v>#DIV/0!</v>
      </c>
      <c r="CA334" s="226" t="e">
        <f>CA333-CA162</f>
        <v>#DIV/0!</v>
      </c>
      <c r="CB334" s="226" t="e">
        <f>CB333-CB162</f>
        <v>#DIV/0!</v>
      </c>
      <c r="CC334" s="226" t="e">
        <f>CC333-CC162</f>
        <v>#DIV/0!</v>
      </c>
      <c r="CD334" s="226" t="e">
        <f>CD333-CD162</f>
        <v>#DIV/0!</v>
      </c>
      <c r="CE334" s="226" t="e">
        <f>CE333-CE162</f>
        <v>#DIV/0!</v>
      </c>
      <c r="CF334" s="226" t="e">
        <f>CF333-CF162</f>
        <v>#DIV/0!</v>
      </c>
      <c r="CG334" s="226" t="e">
        <f>CG333-CG162</f>
        <v>#DIV/0!</v>
      </c>
      <c r="CH334" s="226" t="e">
        <f>CH333-CH162</f>
        <v>#DIV/0!</v>
      </c>
      <c r="CI334" s="226" t="e">
        <f>CI333-CI162</f>
        <v>#DIV/0!</v>
      </c>
      <c r="CJ334" s="226" t="e">
        <f>CJ333-CJ162</f>
        <v>#DIV/0!</v>
      </c>
      <c r="CK334" s="226" t="e">
        <f>CK333-CK162</f>
        <v>#DIV/0!</v>
      </c>
      <c r="CL334" s="226" t="e">
        <f>CL333-CL162</f>
        <v>#DIV/0!</v>
      </c>
      <c r="CM334" s="226" t="e">
        <f>CM333-CM162</f>
        <v>#DIV/0!</v>
      </c>
      <c r="CN334" s="226" t="e">
        <f>CN333-CN162</f>
        <v>#DIV/0!</v>
      </c>
      <c r="CO334" s="226" t="e">
        <f>CO333-CO162</f>
        <v>#DIV/0!</v>
      </c>
      <c r="CP334" s="226" t="e">
        <f>CP333-CP162</f>
        <v>#DIV/0!</v>
      </c>
      <c r="CQ334" s="226" t="e">
        <f>CQ333-CQ162</f>
        <v>#DIV/0!</v>
      </c>
      <c r="CR334" s="226" t="e">
        <f>CR333-CR162</f>
        <v>#DIV/0!</v>
      </c>
      <c r="CS334" s="226" t="e">
        <f>CS333-CS162</f>
        <v>#DIV/0!</v>
      </c>
      <c r="CT334" s="226" t="e">
        <f>CT333-CT162</f>
        <v>#DIV/0!</v>
      </c>
      <c r="CU334" s="226" t="e">
        <f>CU333-CU162</f>
        <v>#DIV/0!</v>
      </c>
      <c r="CV334" s="226" t="e">
        <f>CV333-CV162</f>
        <v>#DIV/0!</v>
      </c>
      <c r="CW334" s="226" t="e">
        <f>CW333-CW162</f>
        <v>#DIV/0!</v>
      </c>
      <c r="CX334" s="226" t="e">
        <f>CX333-CX162</f>
        <v>#DIV/0!</v>
      </c>
      <c r="CY334" s="226" t="e">
        <f>CY333-CY162</f>
        <v>#DIV/0!</v>
      </c>
    </row>
    <row r="335" customFormat="1" s="233">
      <c r="A335" s="224" t="n"/>
      <c r="B335" s="224" t="n"/>
      <c r="C335" s="233" t="inlineStr">
        <is>
          <t>OPERATING WORKING CAPITAL</t>
        </is>
      </c>
      <c r="D335" s="242">
        <f>D336-D337</f>
        <v>3947</v>
      </c>
      <c r="E335" s="242">
        <f>E336-E337</f>
        <v>3847</v>
      </c>
      <c r="F335" s="242">
        <f>F336-F337</f>
        <v>16260</v>
      </c>
      <c r="G335" s="242">
        <f>G336-G337</f>
        <v>15559</v>
      </c>
      <c r="H335" s="242">
        <f>H336-H337</f>
        <v>15559</v>
      </c>
      <c r="I335" s="36">
        <f>I336-I337</f>
        <v>16485</v>
      </c>
      <c r="J335" s="36">
        <f>J336-J337</f>
        <v>15988</v>
      </c>
      <c r="K335" s="36">
        <f>K336-K337</f>
        <v>16101</v>
      </c>
      <c r="L335" s="36">
        <f>L336-L337</f>
        <v>16110</v>
      </c>
      <c r="M335" s="36">
        <f>M336-M337</f>
        <v>16110</v>
      </c>
      <c r="N335" s="36">
        <f>N336-N337</f>
        <v>18819</v>
      </c>
      <c r="O335" s="36">
        <f>O336-O337</f>
        <v>17748</v>
      </c>
      <c r="P335" s="36">
        <f>P336-P337</f>
        <v>17045</v>
      </c>
      <c r="Q335" s="36">
        <f>Q336-Q337</f>
        <v>16529</v>
      </c>
      <c r="R335" s="36">
        <f>R336-R337</f>
        <v>16529</v>
      </c>
      <c r="S335" s="36">
        <f>S336-S337</f>
        <v>19194</v>
      </c>
      <c r="T335" s="36">
        <f>T336-T337</f>
        <v>19013</v>
      </c>
      <c r="U335" s="36">
        <f>U336-U337</f>
        <v>21216</v>
      </c>
      <c r="V335" s="36">
        <f>V336-V337</f>
        <v>18649</v>
      </c>
      <c r="W335" s="36">
        <f>W336-W337</f>
        <v>18649</v>
      </c>
      <c r="X335" s="36">
        <f>X336-X337</f>
        <v>19356</v>
      </c>
      <c r="Y335" s="36">
        <f>Y336-Y337</f>
        <v>18666</v>
      </c>
      <c r="Z335" s="36">
        <f>Z336-Z337</f>
        <v>19207</v>
      </c>
      <c r="AA335" s="36">
        <f>AA336-AA337</f>
        <v>17579</v>
      </c>
      <c r="AB335" s="36">
        <f>AB336-AB337</f>
        <v>17579</v>
      </c>
      <c r="AC335" s="36">
        <f>AC336-AC337</f>
        <v>19631</v>
      </c>
      <c r="AD335" s="36">
        <f>AD336-AD337</f>
        <v>19179</v>
      </c>
      <c r="AE335" s="36">
        <f>AE336-AE337</f>
        <v>20087</v>
      </c>
      <c r="AF335" s="36">
        <f>AF336-AF337</f>
        <v>18581</v>
      </c>
      <c r="AG335" s="36">
        <f>AG336-AG337</f>
        <v>18581</v>
      </c>
      <c r="AH335" s="36">
        <f>AH336-AH337</f>
        <v>21018</v>
      </c>
      <c r="AI335" s="36">
        <f>AI336-AI337</f>
        <v>21054</v>
      </c>
      <c r="AJ335" s="36">
        <f>AJ336-AJ337</f>
        <v>5525</v>
      </c>
      <c r="AK335" s="36">
        <f>AK336-AK337</f>
        <v>5525</v>
      </c>
      <c r="AL335" s="36">
        <f>AL336-AL337</f>
        <v>5525</v>
      </c>
      <c r="AM335" s="36" t="e">
        <f>AM336-AM337</f>
        <v>#DIV/0!</v>
      </c>
      <c r="AN335" s="36">
        <f>AN336-AN337</f>
        <v>5525</v>
      </c>
      <c r="AO335" s="36" t="e">
        <f>AO336-AO337</f>
        <v>#DIV/0!</v>
      </c>
      <c r="AP335" s="36" t="e">
        <f>AP336-AP337</f>
        <v>#DIV/0!</v>
      </c>
      <c r="AQ335" s="36" t="e">
        <f>AQ336-AQ337</f>
        <v>#DIV/0!</v>
      </c>
      <c r="AR335" s="36" t="e">
        <f>AR336-AR337</f>
        <v>#DIV/0!</v>
      </c>
      <c r="AS335" s="36" t="e">
        <f>AS336-AS337</f>
        <v>#DIV/0!</v>
      </c>
      <c r="AT335" s="36" t="e">
        <f>AT336-AT337</f>
        <v>#DIV/0!</v>
      </c>
      <c r="AU335" s="36" t="e">
        <f>AU336-AU337</f>
        <v>#DIV/0!</v>
      </c>
      <c r="AV335" s="36" t="e">
        <f>AV336-AV337</f>
        <v>#DIV/0!</v>
      </c>
      <c r="AW335" s="36" t="e">
        <f>AW336-AW337</f>
        <v>#DIV/0!</v>
      </c>
      <c r="AX335" s="36" t="e">
        <f>AX336-AX337</f>
        <v>#DIV/0!</v>
      </c>
      <c r="AY335" s="36" t="e">
        <f>AY336-AY337</f>
        <v>#DIV/0!</v>
      </c>
      <c r="AZ335" s="36" t="e">
        <f>AZ336-AZ337</f>
        <v>#DIV/0!</v>
      </c>
      <c r="BA335" s="36" t="e">
        <f>BA336-BA337</f>
        <v>#DIV/0!</v>
      </c>
      <c r="BB335" s="36" t="e">
        <f>BB336-BB337</f>
        <v>#DIV/0!</v>
      </c>
      <c r="BC335" s="36" t="e">
        <f>BC336-BC337</f>
        <v>#DIV/0!</v>
      </c>
      <c r="BD335" s="36" t="e">
        <f>BD336-BD337</f>
        <v>#DIV/0!</v>
      </c>
      <c r="BE335" s="36" t="e">
        <f>BE336-BE337</f>
        <v>#DIV/0!</v>
      </c>
      <c r="BF335" s="36" t="e">
        <f>BF336-BF337</f>
        <v>#DIV/0!</v>
      </c>
      <c r="BG335" s="36" t="e">
        <f>BG336-BG337</f>
        <v>#DIV/0!</v>
      </c>
      <c r="BH335" s="36" t="e">
        <f>BH336-BH337</f>
        <v>#DIV/0!</v>
      </c>
      <c r="BI335" s="36" t="e">
        <f>BI336-BI337</f>
        <v>#DIV/0!</v>
      </c>
      <c r="BJ335" s="36" t="e">
        <f>BJ336-BJ337</f>
        <v>#DIV/0!</v>
      </c>
      <c r="BK335" s="36" t="e">
        <f>BK336-BK337</f>
        <v>#DIV/0!</v>
      </c>
      <c r="BL335" s="36" t="e">
        <f>BL336-BL337</f>
        <v>#DIV/0!</v>
      </c>
      <c r="BM335" s="36" t="e">
        <f>BM336-BM337</f>
        <v>#DIV/0!</v>
      </c>
      <c r="BN335" s="36" t="e">
        <f>BN336-BN337</f>
        <v>#DIV/0!</v>
      </c>
      <c r="BO335" s="36" t="e">
        <f>BO336-BO337</f>
        <v>#DIV/0!</v>
      </c>
      <c r="BP335" s="36" t="e">
        <f>BP336-BP337</f>
        <v>#DIV/0!</v>
      </c>
      <c r="BQ335" s="36" t="e">
        <f>BQ336-BQ337</f>
        <v>#DIV/0!</v>
      </c>
      <c r="BR335" s="36" t="e">
        <f>BR336-BR337</f>
        <v>#DIV/0!</v>
      </c>
      <c r="BS335" s="36" t="e">
        <f>BS336-BS337</f>
        <v>#DIV/0!</v>
      </c>
      <c r="BT335" s="36" t="e">
        <f>BT336-BT337</f>
        <v>#DIV/0!</v>
      </c>
      <c r="BU335" s="36" t="e">
        <f>BU336-BU337</f>
        <v>#DIV/0!</v>
      </c>
      <c r="BV335" s="36" t="e">
        <f>BV336-BV337</f>
        <v>#DIV/0!</v>
      </c>
      <c r="BW335" s="36" t="e">
        <f>BW336-BW337</f>
        <v>#DIV/0!</v>
      </c>
      <c r="BX335" s="36" t="e">
        <f>BX336-BX337</f>
        <v>#DIV/0!</v>
      </c>
      <c r="BY335" s="36" t="e">
        <f>BY336-BY337</f>
        <v>#DIV/0!</v>
      </c>
      <c r="BZ335" s="36" t="e">
        <f>BZ336-BZ337</f>
        <v>#DIV/0!</v>
      </c>
      <c r="CA335" s="36" t="e">
        <f>CA336-CA337</f>
        <v>#DIV/0!</v>
      </c>
      <c r="CB335" s="36" t="e">
        <f>CB336-CB337</f>
        <v>#DIV/0!</v>
      </c>
      <c r="CC335" s="36" t="e">
        <f>CC336-CC337</f>
        <v>#DIV/0!</v>
      </c>
      <c r="CD335" s="36" t="e">
        <f>CD336-CD337</f>
        <v>#DIV/0!</v>
      </c>
      <c r="CE335" s="36" t="e">
        <f>CE336-CE337</f>
        <v>#DIV/0!</v>
      </c>
      <c r="CF335" s="36" t="e">
        <f>CF336-CF337</f>
        <v>#DIV/0!</v>
      </c>
      <c r="CG335" s="36" t="e">
        <f>CG336-CG337</f>
        <v>#DIV/0!</v>
      </c>
      <c r="CH335" s="36" t="e">
        <f>CH336-CH337</f>
        <v>#DIV/0!</v>
      </c>
      <c r="CI335" s="36" t="e">
        <f>CI336-CI337</f>
        <v>#DIV/0!</v>
      </c>
      <c r="CJ335" s="36" t="e">
        <f>CJ336-CJ337</f>
        <v>#DIV/0!</v>
      </c>
      <c r="CK335" s="36" t="e">
        <f>CK336-CK337</f>
        <v>#DIV/0!</v>
      </c>
      <c r="CL335" s="36" t="e">
        <f>CL336-CL337</f>
        <v>#DIV/0!</v>
      </c>
      <c r="CM335" s="36" t="e">
        <f>CM336-CM337</f>
        <v>#DIV/0!</v>
      </c>
      <c r="CN335" s="36" t="e">
        <f>CN336-CN337</f>
        <v>#DIV/0!</v>
      </c>
      <c r="CO335" s="36" t="e">
        <f>CO336-CO337</f>
        <v>#DIV/0!</v>
      </c>
      <c r="CP335" s="36" t="e">
        <f>CP336-CP337</f>
        <v>#DIV/0!</v>
      </c>
      <c r="CQ335" s="36" t="e">
        <f>CQ336-CQ337</f>
        <v>#DIV/0!</v>
      </c>
      <c r="CR335" s="36" t="e">
        <f>CR336-CR337</f>
        <v>#DIV/0!</v>
      </c>
      <c r="CS335" s="36" t="e">
        <f>CS336-CS337</f>
        <v>#DIV/0!</v>
      </c>
      <c r="CT335" s="36" t="e">
        <f>CT336-CT337</f>
        <v>#DIV/0!</v>
      </c>
      <c r="CU335" s="36" t="e">
        <f>CU336-CU337</f>
        <v>#DIV/0!</v>
      </c>
      <c r="CV335" s="36" t="e">
        <f>CV336-CV337</f>
        <v>#DIV/0!</v>
      </c>
      <c r="CW335" s="36" t="e">
        <f>CW336-CW337</f>
        <v>#DIV/0!</v>
      </c>
      <c r="CX335" s="36" t="e">
        <f>CX336-CX337</f>
        <v>#DIV/0!</v>
      </c>
      <c r="CY335" s="36" t="e">
        <f>CY336-CY337</f>
        <v>#DIV/0!</v>
      </c>
    </row>
    <row r="336" customFormat="1" s="233">
      <c r="A336" s="224" t="n"/>
      <c r="B336" s="224" t="n"/>
      <c r="C336" s="233" t="inlineStr">
        <is>
          <t>CURRENT ASSETS</t>
        </is>
      </c>
      <c r="D336" s="241">
        <f>D128+D132+D136+D137+D138</f>
        <v>30463</v>
      </c>
      <c r="E336" s="241">
        <f>E128+E132+E136+E137+E138</f>
        <v>29078</v>
      </c>
      <c r="F336" s="241">
        <f>F128+F132+F136+F137+F138</f>
        <v>29219</v>
      </c>
      <c r="G336" s="241">
        <f>G128+G132+G136+G137+G138</f>
        <v>30112</v>
      </c>
      <c r="H336" s="241">
        <f>H128+H132+H136+H137+H138</f>
        <v>30112</v>
      </c>
      <c r="I336" s="226">
        <f>I128+I132+I136+I137+I138</f>
        <v>31239</v>
      </c>
      <c r="J336" s="226">
        <f>J128+J132+J136+J137+J138</f>
        <v>32115</v>
      </c>
      <c r="K336" s="226">
        <f>K128+K132+K136+K137+K138</f>
        <v>32447</v>
      </c>
      <c r="L336" s="226">
        <f>L128+L132+L136+L137+L138</f>
        <v>34201</v>
      </c>
      <c r="M336" s="226">
        <f>M128+M132+M136+M137+M138</f>
        <v>34201</v>
      </c>
      <c r="N336" s="226">
        <f>N128+N132+N136+N137+N138</f>
        <v>36044</v>
      </c>
      <c r="O336" s="226">
        <f>O128+O132+O136+O137+O138</f>
        <v>35968</v>
      </c>
      <c r="P336" s="226">
        <f>P128+P132+P136+P137+P138</f>
        <v>36231</v>
      </c>
      <c r="Q336" s="226">
        <f>Q128+Q132+Q136+Q137+Q138</f>
        <v>36781</v>
      </c>
      <c r="R336" s="226">
        <f>R128+R132+R136+R137+R138</f>
        <v>36781</v>
      </c>
      <c r="S336" s="226">
        <f>S128+S132+S136+S137+S138</f>
        <v>38871</v>
      </c>
      <c r="T336" s="226">
        <f>T128+T132+T136+T137+T138</f>
        <v>39613</v>
      </c>
      <c r="U336" s="226">
        <f>U128+U132+U136+U137+U138</f>
        <v>41460</v>
      </c>
      <c r="V336" s="226">
        <f>V128+V132+V136+V137+V138</f>
        <v>39971</v>
      </c>
      <c r="W336" s="226">
        <f>W128+W132+W136+W137+W138</f>
        <v>39971</v>
      </c>
      <c r="X336" s="226">
        <f>X128+X132+X136+X137+X138</f>
        <v>38705</v>
      </c>
      <c r="Y336" s="226">
        <f>Y128+Y132+Y136+Y137+Y138</f>
        <v>38755</v>
      </c>
      <c r="Z336" s="226">
        <f>Z128+Z132+Z136+Z137+Z138</f>
        <v>39308</v>
      </c>
      <c r="AA336" s="226">
        <f>AA128+AA132+AA136+AA137+AA138</f>
        <v>38793</v>
      </c>
      <c r="AB336" s="226">
        <f>AB128+AB132+AB136+AB137+AB138</f>
        <v>38793</v>
      </c>
      <c r="AC336" s="226">
        <f>AC128+AC132+AC136+AC137+AC138</f>
        <v>39457</v>
      </c>
      <c r="AD336" s="226">
        <f>AD128+AD132+AD136+AD137+AD138</f>
        <v>41313</v>
      </c>
      <c r="AE336" s="226">
        <f>AE128+AE132+AE136+AE137+AE138</f>
        <v>42280</v>
      </c>
      <c r="AF336" s="226">
        <f>AF128+AF132+AF136+AF137+AF138</f>
        <v>42505</v>
      </c>
      <c r="AG336" s="226">
        <f>AG128+AG132+AG136+AG137+AG138</f>
        <v>42505</v>
      </c>
      <c r="AH336" s="226">
        <f>AH128+AH132+AH136+AH137+AH138</f>
        <v>44496</v>
      </c>
      <c r="AI336" s="226">
        <f>AI128+AI132+AI136+AI137+AI138</f>
        <v>47737</v>
      </c>
      <c r="AJ336" s="226">
        <f>AJ128+AJ132+AJ136+AJ137+AJ138</f>
        <v>13922</v>
      </c>
      <c r="AK336" s="226">
        <f>AK128+AK132+AK136+AK137+AK138</f>
        <v>13922</v>
      </c>
      <c r="AL336" s="226">
        <f>AL128+AL132+AL136+AL137+AL138</f>
        <v>13922</v>
      </c>
      <c r="AM336" s="226">
        <f>AM128+AM132+AM136+AM137+AM138</f>
        <v>13922</v>
      </c>
      <c r="AN336" s="226">
        <f>AN128+AN132+AN136+AN137+AN138</f>
        <v>13922</v>
      </c>
      <c r="AO336" s="226">
        <f>AO128+AO132+AO136+AO137+AO138</f>
        <v>13922</v>
      </c>
      <c r="AP336" s="226">
        <f>AP128+AP132+AP136+AP137+AP138</f>
        <v>13922</v>
      </c>
      <c r="AQ336" s="226">
        <f>AQ128+AQ132+AQ136+AQ137+AQ138</f>
        <v>13922</v>
      </c>
      <c r="AR336" s="226">
        <f>AR128+AR132+AR136+AR137+AR138</f>
        <v>13922</v>
      </c>
      <c r="AS336" s="226">
        <f>AS128+AS132+AS136+AS137+AS138</f>
        <v>13922</v>
      </c>
      <c r="AT336" s="226">
        <f>AT128+AT132+AT136+AT137+AT138</f>
        <v>13922</v>
      </c>
      <c r="AU336" s="226">
        <f>AU128+AU132+AU136+AU137+AU138</f>
        <v>13922</v>
      </c>
      <c r="AV336" s="226">
        <f>AV128+AV132+AV136+AV137+AV138</f>
        <v>13922</v>
      </c>
      <c r="AW336" s="226">
        <f>AW128+AW132+AW136+AW137+AW138</f>
        <v>13922</v>
      </c>
      <c r="AX336" s="226">
        <f>AX128+AX132+AX136+AX137+AX138</f>
        <v>13922</v>
      </c>
      <c r="AY336" s="226">
        <f>AY128+AY132+AY136+AY137+AY138</f>
        <v>13922</v>
      </c>
      <c r="AZ336" s="226">
        <f>AZ128+AZ132+AZ136+AZ137+AZ138</f>
        <v>13922</v>
      </c>
      <c r="BA336" s="226">
        <f>BA128+BA132+BA136+BA137+BA138</f>
        <v>13922</v>
      </c>
      <c r="BB336" s="226">
        <f>BB128+BB132+BB136+BB137+BB138</f>
        <v>13922</v>
      </c>
      <c r="BC336" s="226">
        <f>BC128+BC132+BC136+BC137+BC138</f>
        <v>13922</v>
      </c>
      <c r="BD336" s="226">
        <f>BD128+BD132+BD136+BD137+BD138</f>
        <v>13922</v>
      </c>
      <c r="BE336" s="226">
        <f>BE128+BE132+BE136+BE137+BE138</f>
        <v>13922</v>
      </c>
      <c r="BF336" s="226">
        <f>BF128+BF132+BF136+BF137+BF138</f>
        <v>13922</v>
      </c>
      <c r="BG336" s="226">
        <f>BG128+BG132+BG136+BG137+BG138</f>
        <v>13922</v>
      </c>
      <c r="BH336" s="226">
        <f>BH128+BH132+BH136+BH137+BH138</f>
        <v>13922</v>
      </c>
      <c r="BI336" s="226">
        <f>BI128+BI132+BI136+BI137+BI138</f>
        <v>13922</v>
      </c>
      <c r="BJ336" s="226">
        <f>BJ128+BJ132+BJ136+BJ137+BJ138</f>
        <v>13922</v>
      </c>
      <c r="BK336" s="226">
        <f>BK128+BK132+BK136+BK137+BK138</f>
        <v>13922</v>
      </c>
      <c r="BL336" s="226">
        <f>BL128+BL132+BL136+BL137+BL138</f>
        <v>13922</v>
      </c>
      <c r="BM336" s="226">
        <f>BM128+BM132+BM136+BM137+BM138</f>
        <v>13922</v>
      </c>
      <c r="BN336" s="226">
        <f>BN128+BN132+BN136+BN137+BN138</f>
        <v>13922</v>
      </c>
      <c r="BO336" s="226">
        <f>BO128+BO132+BO136+BO137+BO138</f>
        <v>13922</v>
      </c>
      <c r="BP336" s="226">
        <f>BP128+BP132+BP136+BP137+BP138</f>
        <v>13922</v>
      </c>
      <c r="BQ336" s="226">
        <f>BQ128+BQ132+BQ136+BQ137+BQ138</f>
        <v>13922</v>
      </c>
      <c r="BR336" s="226">
        <f>BR128+BR132+BR136+BR137+BR138</f>
        <v>13922</v>
      </c>
      <c r="BS336" s="226">
        <f>BS128+BS132+BS136+BS137+BS138</f>
        <v>13922</v>
      </c>
      <c r="BT336" s="226">
        <f>BT128+BT132+BT136+BT137+BT138</f>
        <v>13922</v>
      </c>
      <c r="BU336" s="226">
        <f>BU128+BU132+BU136+BU137+BU138</f>
        <v>13922</v>
      </c>
      <c r="BV336" s="226">
        <f>BV128+BV132+BV136+BV137+BV138</f>
        <v>13922</v>
      </c>
      <c r="BW336" s="226">
        <f>BW128+BW132+BW136+BW137+BW138</f>
        <v>13922</v>
      </c>
      <c r="BX336" s="226">
        <f>BX128+BX132+BX136+BX137+BX138</f>
        <v>13922</v>
      </c>
      <c r="BY336" s="226">
        <f>BY128+BY132+BY136+BY137+BY138</f>
        <v>13922</v>
      </c>
      <c r="BZ336" s="226">
        <f>BZ128+BZ132+BZ136+BZ137+BZ138</f>
        <v>13922</v>
      </c>
      <c r="CA336" s="226">
        <f>CA128+CA132+CA136+CA137+CA138</f>
        <v>13922</v>
      </c>
      <c r="CB336" s="226">
        <f>CB128+CB132+CB136+CB137+CB138</f>
        <v>13922</v>
      </c>
      <c r="CC336" s="226">
        <f>CC128+CC132+CC136+CC137+CC138</f>
        <v>13922</v>
      </c>
      <c r="CD336" s="226">
        <f>CD128+CD132+CD136+CD137+CD138</f>
        <v>13922</v>
      </c>
      <c r="CE336" s="226">
        <f>CE128+CE132+CE136+CE137+CE138</f>
        <v>13922</v>
      </c>
      <c r="CF336" s="226">
        <f>CF128+CF132+CF136+CF137+CF138</f>
        <v>13922</v>
      </c>
      <c r="CG336" s="226">
        <f>CG128+CG132+CG136+CG137+CG138</f>
        <v>13922</v>
      </c>
      <c r="CH336" s="226">
        <f>CH128+CH132+CH136+CH137+CH138</f>
        <v>13922</v>
      </c>
      <c r="CI336" s="226">
        <f>CI128+CI132+CI136+CI137+CI138</f>
        <v>13922</v>
      </c>
      <c r="CJ336" s="226">
        <f>CJ128+CJ132+CJ136+CJ137+CJ138</f>
        <v>13922</v>
      </c>
      <c r="CK336" s="226">
        <f>CK128+CK132+CK136+CK137+CK138</f>
        <v>13922</v>
      </c>
      <c r="CL336" s="226">
        <f>CL128+CL132+CL136+CL137+CL138</f>
        <v>13922</v>
      </c>
      <c r="CM336" s="226">
        <f>CM128+CM132+CM136+CM137+CM138</f>
        <v>13922</v>
      </c>
      <c r="CN336" s="226">
        <f>CN128+CN132+CN136+CN137+CN138</f>
        <v>13922</v>
      </c>
      <c r="CO336" s="226">
        <f>CO128+CO132+CO136+CO137+CO138</f>
        <v>13922</v>
      </c>
      <c r="CP336" s="226">
        <f>CP128+CP132+CP136+CP137+CP138</f>
        <v>13922</v>
      </c>
      <c r="CQ336" s="226">
        <f>CQ128+CQ132+CQ136+CQ137+CQ138</f>
        <v>13922</v>
      </c>
      <c r="CR336" s="226">
        <f>CR128+CR132+CR136+CR137+CR138</f>
        <v>13922</v>
      </c>
      <c r="CS336" s="226">
        <f>CS128+CS132+CS136+CS137+CS138</f>
        <v>13922</v>
      </c>
      <c r="CT336" s="226">
        <f>CT128+CT132+CT136+CT137+CT138</f>
        <v>13922</v>
      </c>
      <c r="CU336" s="226">
        <f>CU128+CU132+CU136+CU137+CU138</f>
        <v>13922</v>
      </c>
      <c r="CV336" s="226">
        <f>CV128+CV132+CV136+CV137+CV138</f>
        <v>13922</v>
      </c>
      <c r="CW336" s="226">
        <f>CW128+CW132+CW136+CW137+CW138</f>
        <v>13922</v>
      </c>
      <c r="CX336" s="226">
        <f>CX128+CX132+CX136+CX137+CX138</f>
        <v>13922</v>
      </c>
      <c r="CY336" s="226">
        <f>CY128+CY132+CY136+CY137+CY138</f>
        <v>13922</v>
      </c>
    </row>
    <row r="337" customFormat="1" s="233">
      <c r="A337" s="224" t="n"/>
      <c r="B337" s="224" t="n"/>
      <c r="C337" s="233" t="inlineStr">
        <is>
          <t>CURRENT LIABILITIES</t>
        </is>
      </c>
      <c r="D337" s="241">
        <f>D181+D185+D187+D188</f>
        <v>26516</v>
      </c>
      <c r="E337" s="241">
        <f>E181+E185+E187+E188</f>
        <v>25231</v>
      </c>
      <c r="F337" s="241">
        <f>F181+F185+F187+F188</f>
        <v>12959</v>
      </c>
      <c r="G337" s="241">
        <f>G181+G185+G187+G188</f>
        <v>14553</v>
      </c>
      <c r="H337" s="241">
        <f>H181+H185+H187+H188</f>
        <v>14553</v>
      </c>
      <c r="I337" s="226">
        <f>I181+I185+I187+I188</f>
        <v>14754</v>
      </c>
      <c r="J337" s="226">
        <f>J181+J185+J187+J188</f>
        <v>16127</v>
      </c>
      <c r="K337" s="226">
        <f>K181+K185+K187+K188</f>
        <v>16346</v>
      </c>
      <c r="L337" s="226">
        <f>L181+L185+L187+L188</f>
        <v>18091</v>
      </c>
      <c r="M337" s="226">
        <f>M181+M185+M187+M188</f>
        <v>18091</v>
      </c>
      <c r="N337" s="226">
        <f>N181+N185+N187+N188</f>
        <v>17225</v>
      </c>
      <c r="O337" s="226">
        <f>O181+O185+O187+O188</f>
        <v>18220</v>
      </c>
      <c r="P337" s="226">
        <f>P181+P185+P187+P188</f>
        <v>19186</v>
      </c>
      <c r="Q337" s="226">
        <f>Q181+Q185+Q187+Q188</f>
        <v>20252</v>
      </c>
      <c r="R337" s="226">
        <f>R181+R185+R187+R188</f>
        <v>20252</v>
      </c>
      <c r="S337" s="226">
        <f>S181+S185+S187+S188</f>
        <v>19677</v>
      </c>
      <c r="T337" s="226">
        <f>T181+T185+T187+T188</f>
        <v>20600</v>
      </c>
      <c r="U337" s="226">
        <f>U181+U185+U187+U188</f>
        <v>20244</v>
      </c>
      <c r="V337" s="226">
        <f>V181+V185+V187+V188</f>
        <v>21322</v>
      </c>
      <c r="W337" s="226">
        <f>W181+W185+W187+W188</f>
        <v>21322</v>
      </c>
      <c r="X337" s="226">
        <f>X181+X185+X187+X188</f>
        <v>19349</v>
      </c>
      <c r="Y337" s="226">
        <f>Y181+Y185+Y187+Y188</f>
        <v>20089</v>
      </c>
      <c r="Z337" s="226">
        <f>Z181+Z185+Z187+Z188</f>
        <v>20101</v>
      </c>
      <c r="AA337" s="226">
        <f>AA181+AA185+AA187+AA188</f>
        <v>21214</v>
      </c>
      <c r="AB337" s="226">
        <f>AB181+AB185+AB187+AB188</f>
        <v>21214</v>
      </c>
      <c r="AC337" s="226">
        <f>AC181+AC185+AC187+AC188</f>
        <v>19826</v>
      </c>
      <c r="AD337" s="226">
        <f>AD181+AD185+AD187+AD188</f>
        <v>22134</v>
      </c>
      <c r="AE337" s="226">
        <f>AE181+AE185+AE187+AE188</f>
        <v>22193</v>
      </c>
      <c r="AF337" s="226">
        <f>AF181+AF185+AF187+AF188</f>
        <v>23924</v>
      </c>
      <c r="AG337" s="226">
        <f>AG181+AG185+AG187+AG188</f>
        <v>23924</v>
      </c>
      <c r="AH337" s="226">
        <f>AH181+AH185+AH187+AH188</f>
        <v>23478</v>
      </c>
      <c r="AI337" s="226">
        <f>AI181+AI185+AI187+AI188</f>
        <v>26683</v>
      </c>
      <c r="AJ337" s="226">
        <f>AJ181+AJ185+AJ187+AJ188</f>
        <v>8397</v>
      </c>
      <c r="AK337" s="226">
        <f>AK181+AK185+AK187+AK188</f>
        <v>8397</v>
      </c>
      <c r="AL337" s="226">
        <f>AL181+AL185+AL187+AL188</f>
        <v>8397</v>
      </c>
      <c r="AM337" s="226" t="e">
        <f>AM181+AM185+AM187+AM188</f>
        <v>#DIV/0!</v>
      </c>
      <c r="AN337" s="226">
        <f>AN181+AN185+AN187+AN188</f>
        <v>8397</v>
      </c>
      <c r="AO337" s="226" t="e">
        <f>AO181+AO185+AO187+AO188</f>
        <v>#DIV/0!</v>
      </c>
      <c r="AP337" s="226" t="e">
        <f>AP181+AP185+AP187+AP188</f>
        <v>#DIV/0!</v>
      </c>
      <c r="AQ337" s="226" t="e">
        <f>AQ181+AQ185+AQ187+AQ188</f>
        <v>#DIV/0!</v>
      </c>
      <c r="AR337" s="226" t="e">
        <f>AR181+AR185+AR187+AR188</f>
        <v>#DIV/0!</v>
      </c>
      <c r="AS337" s="226" t="e">
        <f>AS181+AS185+AS187+AS188</f>
        <v>#DIV/0!</v>
      </c>
      <c r="AT337" s="226" t="e">
        <f>AT181+AT185+AT187+AT188</f>
        <v>#DIV/0!</v>
      </c>
      <c r="AU337" s="226" t="e">
        <f>AU181+AU185+AU187+AU188</f>
        <v>#DIV/0!</v>
      </c>
      <c r="AV337" s="226" t="e">
        <f>AV181+AV185+AV187+AV188</f>
        <v>#DIV/0!</v>
      </c>
      <c r="AW337" s="226" t="e">
        <f>AW181+AW185+AW187+AW188</f>
        <v>#DIV/0!</v>
      </c>
      <c r="AX337" s="226" t="e">
        <f>AX181+AX185+AX187+AX188</f>
        <v>#DIV/0!</v>
      </c>
      <c r="AY337" s="226" t="e">
        <f>AY181+AY185+AY187+AY188</f>
        <v>#DIV/0!</v>
      </c>
      <c r="AZ337" s="226" t="e">
        <f>AZ181+AZ185+AZ187+AZ188</f>
        <v>#DIV/0!</v>
      </c>
      <c r="BA337" s="226" t="e">
        <f>BA181+BA185+BA187+BA188</f>
        <v>#DIV/0!</v>
      </c>
      <c r="BB337" s="226" t="e">
        <f>BB181+BB185+BB187+BB188</f>
        <v>#DIV/0!</v>
      </c>
      <c r="BC337" s="226" t="e">
        <f>BC181+BC185+BC187+BC188</f>
        <v>#DIV/0!</v>
      </c>
      <c r="BD337" s="226" t="e">
        <f>BD181+BD185+BD187+BD188</f>
        <v>#DIV/0!</v>
      </c>
      <c r="BE337" s="226" t="e">
        <f>BE181+BE185+BE187+BE188</f>
        <v>#DIV/0!</v>
      </c>
      <c r="BF337" s="226" t="e">
        <f>BF181+BF185+BF187+BF188</f>
        <v>#DIV/0!</v>
      </c>
      <c r="BG337" s="226" t="e">
        <f>BG181+BG185+BG187+BG188</f>
        <v>#DIV/0!</v>
      </c>
      <c r="BH337" s="226" t="e">
        <f>BH181+BH185+BH187+BH188</f>
        <v>#DIV/0!</v>
      </c>
      <c r="BI337" s="226" t="e">
        <f>BI181+BI185+BI187+BI188</f>
        <v>#DIV/0!</v>
      </c>
      <c r="BJ337" s="226" t="e">
        <f>BJ181+BJ185+BJ187+BJ188</f>
        <v>#DIV/0!</v>
      </c>
      <c r="BK337" s="226" t="e">
        <f>BK181+BK185+BK187+BK188</f>
        <v>#DIV/0!</v>
      </c>
      <c r="BL337" s="226" t="e">
        <f>BL181+BL185+BL187+BL188</f>
        <v>#DIV/0!</v>
      </c>
      <c r="BM337" s="226" t="e">
        <f>BM181+BM185+BM187+BM188</f>
        <v>#DIV/0!</v>
      </c>
      <c r="BN337" s="226" t="e">
        <f>BN181+BN185+BN187+BN188</f>
        <v>#DIV/0!</v>
      </c>
      <c r="BO337" s="226" t="e">
        <f>BO181+BO185+BO187+BO188</f>
        <v>#DIV/0!</v>
      </c>
      <c r="BP337" s="226" t="e">
        <f>BP181+BP185+BP187+BP188</f>
        <v>#DIV/0!</v>
      </c>
      <c r="BQ337" s="226" t="e">
        <f>BQ181+BQ185+BQ187+BQ188</f>
        <v>#DIV/0!</v>
      </c>
      <c r="BR337" s="226" t="e">
        <f>BR181+BR185+BR187+BR188</f>
        <v>#DIV/0!</v>
      </c>
      <c r="BS337" s="226" t="e">
        <f>BS181+BS185+BS187+BS188</f>
        <v>#DIV/0!</v>
      </c>
      <c r="BT337" s="226" t="e">
        <f>BT181+BT185+BT187+BT188</f>
        <v>#DIV/0!</v>
      </c>
      <c r="BU337" s="226" t="e">
        <f>BU181+BU185+BU187+BU188</f>
        <v>#DIV/0!</v>
      </c>
      <c r="BV337" s="226" t="e">
        <f>BV181+BV185+BV187+BV188</f>
        <v>#DIV/0!</v>
      </c>
      <c r="BW337" s="226" t="e">
        <f>BW181+BW185+BW187+BW188</f>
        <v>#DIV/0!</v>
      </c>
      <c r="BX337" s="226" t="e">
        <f>BX181+BX185+BX187+BX188</f>
        <v>#DIV/0!</v>
      </c>
      <c r="BY337" s="226" t="e">
        <f>BY181+BY185+BY187+BY188</f>
        <v>#DIV/0!</v>
      </c>
      <c r="BZ337" s="226" t="e">
        <f>BZ181+BZ185+BZ187+BZ188</f>
        <v>#DIV/0!</v>
      </c>
      <c r="CA337" s="226" t="e">
        <f>CA181+CA185+CA187+CA188</f>
        <v>#DIV/0!</v>
      </c>
      <c r="CB337" s="226" t="e">
        <f>CB181+CB185+CB187+CB188</f>
        <v>#DIV/0!</v>
      </c>
      <c r="CC337" s="226" t="e">
        <f>CC181+CC185+CC187+CC188</f>
        <v>#DIV/0!</v>
      </c>
      <c r="CD337" s="226" t="e">
        <f>CD181+CD185+CD187+CD188</f>
        <v>#DIV/0!</v>
      </c>
      <c r="CE337" s="226" t="e">
        <f>CE181+CE185+CE187+CE188</f>
        <v>#DIV/0!</v>
      </c>
      <c r="CF337" s="226" t="e">
        <f>CF181+CF185+CF187+CF188</f>
        <v>#DIV/0!</v>
      </c>
      <c r="CG337" s="226" t="e">
        <f>CG181+CG185+CG187+CG188</f>
        <v>#DIV/0!</v>
      </c>
      <c r="CH337" s="226" t="e">
        <f>CH181+CH185+CH187+CH188</f>
        <v>#DIV/0!</v>
      </c>
      <c r="CI337" s="226" t="e">
        <f>CI181+CI185+CI187+CI188</f>
        <v>#DIV/0!</v>
      </c>
      <c r="CJ337" s="226" t="e">
        <f>CJ181+CJ185+CJ187+CJ188</f>
        <v>#DIV/0!</v>
      </c>
      <c r="CK337" s="226" t="e">
        <f>CK181+CK185+CK187+CK188</f>
        <v>#DIV/0!</v>
      </c>
      <c r="CL337" s="226" t="e">
        <f>CL181+CL185+CL187+CL188</f>
        <v>#DIV/0!</v>
      </c>
      <c r="CM337" s="226" t="e">
        <f>CM181+CM185+CM187+CM188</f>
        <v>#DIV/0!</v>
      </c>
      <c r="CN337" s="226" t="e">
        <f>CN181+CN185+CN187+CN188</f>
        <v>#DIV/0!</v>
      </c>
      <c r="CO337" s="226" t="e">
        <f>CO181+CO185+CO187+CO188</f>
        <v>#DIV/0!</v>
      </c>
      <c r="CP337" s="226" t="e">
        <f>CP181+CP185+CP187+CP188</f>
        <v>#DIV/0!</v>
      </c>
      <c r="CQ337" s="226" t="e">
        <f>CQ181+CQ185+CQ187+CQ188</f>
        <v>#DIV/0!</v>
      </c>
      <c r="CR337" s="226" t="e">
        <f>CR181+CR185+CR187+CR188</f>
        <v>#DIV/0!</v>
      </c>
      <c r="CS337" s="226" t="e">
        <f>CS181+CS185+CS187+CS188</f>
        <v>#DIV/0!</v>
      </c>
      <c r="CT337" s="226" t="e">
        <f>CT181+CT185+CT187+CT188</f>
        <v>#DIV/0!</v>
      </c>
      <c r="CU337" s="226" t="e">
        <f>CU181+CU185+CU187+CU188</f>
        <v>#DIV/0!</v>
      </c>
      <c r="CV337" s="226" t="e">
        <f>CV181+CV185+CV187+CV188</f>
        <v>#DIV/0!</v>
      </c>
      <c r="CW337" s="226" t="e">
        <f>CW181+CW185+CW187+CW188</f>
        <v>#DIV/0!</v>
      </c>
      <c r="CX337" s="226" t="e">
        <f>CX181+CX185+CX187+CX188</f>
        <v>#DIV/0!</v>
      </c>
      <c r="CY337" s="226" t="e">
        <f>CY181+CY185+CY187+CY188</f>
        <v>#DIV/0!</v>
      </c>
    </row>
    <row r="338" customFormat="1" s="233">
      <c r="A338" s="224" t="n"/>
      <c r="B338" s="224" t="n"/>
      <c r="C338" s="233" t="inlineStr">
        <is>
          <t>FIXED ASSETS</t>
        </is>
      </c>
      <c r="D338" s="241">
        <f>D149+D159+D162+D163+D172-D223</f>
        <v>3169</v>
      </c>
      <c r="E338" s="241">
        <f>E149+E159+E162+E163+E172-E223</f>
        <v>1146</v>
      </c>
      <c r="F338" s="241">
        <f>F149+F159+F162+F163+F172-F223</f>
        <v>27545</v>
      </c>
      <c r="G338" s="241">
        <f>G149+G159+G162+G163+G172-G223</f>
        <v>27630</v>
      </c>
      <c r="H338" s="241">
        <f>H149+H159+H162+H163+H172-H223</f>
        <v>27630</v>
      </c>
      <c r="I338" s="226">
        <f>I149+I159+I162+I163+I172-I223</f>
        <v>26970</v>
      </c>
      <c r="J338" s="226">
        <f>J149+J159+J162+J163+J172-J223</f>
        <v>27646</v>
      </c>
      <c r="K338" s="226">
        <f>K149+K159+K162+K163+K172-K223</f>
        <v>27932</v>
      </c>
      <c r="L338" s="226">
        <f>L149+L159+L162+L163+L172-L223</f>
        <v>28941</v>
      </c>
      <c r="M338" s="226">
        <f>M149+M159+M162+M163+M172-M223</f>
        <v>28941</v>
      </c>
      <c r="N338" s="226">
        <f>N149+N159+N162+N163+N172-N223</f>
        <v>29336</v>
      </c>
      <c r="O338" s="226">
        <f>O149+O159+O162+O163+O172-O223</f>
        <v>28959</v>
      </c>
      <c r="P338" s="226">
        <f>P149+P159+P162+P163+P172-P223</f>
        <v>28756</v>
      </c>
      <c r="Q338" s="226">
        <f>Q149+Q159+Q162+Q163+Q172-Q223</f>
        <v>29351</v>
      </c>
      <c r="R338" s="226">
        <f>R149+R159+R162+R163+R172-R223</f>
        <v>29351</v>
      </c>
      <c r="S338" s="226">
        <f>S149+S159+S162+S163+S172-S223</f>
        <v>29225</v>
      </c>
      <c r="T338" s="226">
        <f>T149+T159+T162+T163+T172-T223</f>
        <v>29555</v>
      </c>
      <c r="U338" s="226">
        <f>U149+U159+U162+U163+U172-U223</f>
        <v>29885</v>
      </c>
      <c r="V338" s="226">
        <f>V149+V159+V162+V163+V172-V223</f>
        <v>31754</v>
      </c>
      <c r="W338" s="226">
        <f>W149+W159+W162+W163+W172-W223</f>
        <v>31754</v>
      </c>
      <c r="X338" s="226">
        <f>X149+X159+X162+X163+X172-X223</f>
        <v>31183</v>
      </c>
      <c r="Y338" s="226">
        <f>Y149+Y159+Y162+Y163+Y172-Y223</f>
        <v>31440</v>
      </c>
      <c r="Z338" s="226">
        <f>Z149+Z159+Z162+Z163+Z172-Z223</f>
        <v>32459</v>
      </c>
      <c r="AA338" s="226">
        <f>AA149+AA159+AA162+AA163+AA172-AA223</f>
        <v>33435</v>
      </c>
      <c r="AB338" s="226">
        <f>AB149+AB159+AB162+AB163+AB172-AB223</f>
        <v>33435</v>
      </c>
      <c r="AC338" s="226">
        <f>AC149+AC159+AC162+AC163+AC172-AC223</f>
        <v>33465</v>
      </c>
      <c r="AD338" s="226">
        <f>AD149+AD159+AD162+AD163+AD172-AD223</f>
        <v>34790</v>
      </c>
      <c r="AE338" s="226">
        <f>AE149+AE159+AE162+AE163+AE172-AE223</f>
        <v>34568</v>
      </c>
      <c r="AF338" s="226">
        <f>AF149+AF159+AF162+AF163+AF172-AF223</f>
        <v>36087</v>
      </c>
      <c r="AG338" s="226">
        <f>AG149+AG159+AG162+AG163+AG172-AG223</f>
        <v>36087</v>
      </c>
      <c r="AH338" s="226">
        <f>AH149+AH159+AH162+AH163+AH172-AH223</f>
        <v>36636</v>
      </c>
      <c r="AI338" s="226">
        <f>AI149+AI159+AI162+AI163+AI172-AI223</f>
        <v>36773</v>
      </c>
      <c r="AJ338" s="226">
        <f>AJ149+AJ159+AJ162+AJ163+AJ172-AJ223</f>
        <v>36353</v>
      </c>
      <c r="AK338" s="226">
        <f>AK149+AK159+AK162+AK163+AK172-AK223</f>
        <v>36353</v>
      </c>
      <c r="AL338" s="226">
        <f>AL149+AL159+AL162+AL163+AL172-AL223</f>
        <v>36353</v>
      </c>
      <c r="AM338" s="226">
        <f>AM149+AM159+AM162+AM163+AM172-AM223</f>
        <v>36353</v>
      </c>
      <c r="AN338" s="226">
        <f>AN149+AN159+AN162+AN163+AN172-AN223</f>
        <v>36353</v>
      </c>
      <c r="AO338" s="226">
        <f>AO149+AO159+AO162+AO163+AO172-AO223</f>
        <v>36353</v>
      </c>
      <c r="AP338" s="226">
        <f>AP149+AP159+AP162+AP163+AP172-AP223</f>
        <v>36353</v>
      </c>
      <c r="AQ338" s="226">
        <f>AQ149+AQ159+AQ162+AQ163+AQ172-AQ223</f>
        <v>36353</v>
      </c>
      <c r="AR338" s="226">
        <f>AR149+AR159+AR162+AR163+AR172-AR223</f>
        <v>36353</v>
      </c>
      <c r="AS338" s="226">
        <f>AS149+AS159+AS162+AS163+AS172-AS223</f>
        <v>36353</v>
      </c>
      <c r="AT338" s="226">
        <f>AT149+AT159+AT162+AT163+AT172-AT223</f>
        <v>36353</v>
      </c>
      <c r="AU338" s="226">
        <f>AU149+AU159+AU162+AU163+AU172-AU223</f>
        <v>36353</v>
      </c>
      <c r="AV338" s="226">
        <f>AV149+AV159+AV162+AV163+AV172-AV223</f>
        <v>36353</v>
      </c>
      <c r="AW338" s="226">
        <f>AW149+AW159+AW162+AW163+AW172-AW223</f>
        <v>36353</v>
      </c>
      <c r="AX338" s="226">
        <f>AX149+AX159+AX162+AX163+AX172-AX223</f>
        <v>36353</v>
      </c>
      <c r="AY338" s="226">
        <f>AY149+AY159+AY162+AY163+AY172-AY223</f>
        <v>36353</v>
      </c>
      <c r="AZ338" s="226">
        <f>AZ149+AZ159+AZ162+AZ163+AZ172-AZ223</f>
        <v>36353</v>
      </c>
      <c r="BA338" s="226">
        <f>BA149+BA159+BA162+BA163+BA172-BA223</f>
        <v>36353</v>
      </c>
      <c r="BB338" s="226">
        <f>BB149+BB159+BB162+BB163+BB172-BB223</f>
        <v>36353</v>
      </c>
      <c r="BC338" s="226">
        <f>BC149+BC159+BC162+BC163+BC172-BC223</f>
        <v>36353</v>
      </c>
      <c r="BD338" s="226">
        <f>BD149+BD159+BD162+BD163+BD172-BD223</f>
        <v>36353</v>
      </c>
      <c r="BE338" s="226">
        <f>BE149+BE159+BE162+BE163+BE172-BE223</f>
        <v>36353</v>
      </c>
      <c r="BF338" s="226">
        <f>BF149+BF159+BF162+BF163+BF172-BF223</f>
        <v>36353</v>
      </c>
      <c r="BG338" s="226">
        <f>BG149+BG159+BG162+BG163+BG172-BG223</f>
        <v>36353</v>
      </c>
      <c r="BH338" s="226">
        <f>BH149+BH159+BH162+BH163+BH172-BH223</f>
        <v>36353</v>
      </c>
      <c r="BI338" s="226">
        <f>BI149+BI159+BI162+BI163+BI172-BI223</f>
        <v>36353</v>
      </c>
      <c r="BJ338" s="226">
        <f>BJ149+BJ159+BJ162+BJ163+BJ172-BJ223</f>
        <v>36353</v>
      </c>
      <c r="BK338" s="226">
        <f>BK149+BK159+BK162+BK163+BK172-BK223</f>
        <v>36353</v>
      </c>
      <c r="BL338" s="226">
        <f>BL149+BL159+BL162+BL163+BL172-BL223</f>
        <v>36353</v>
      </c>
      <c r="BM338" s="226">
        <f>BM149+BM159+BM162+BM163+BM172-BM223</f>
        <v>36353</v>
      </c>
      <c r="BN338" s="226">
        <f>BN149+BN159+BN162+BN163+BN172-BN223</f>
        <v>36353</v>
      </c>
      <c r="BO338" s="226">
        <f>BO149+BO159+BO162+BO163+BO172-BO223</f>
        <v>36353</v>
      </c>
      <c r="BP338" s="226">
        <f>BP149+BP159+BP162+BP163+BP172-BP223</f>
        <v>36353</v>
      </c>
      <c r="BQ338" s="226">
        <f>BQ149+BQ159+BQ162+BQ163+BQ172-BQ223</f>
        <v>36353</v>
      </c>
      <c r="BR338" s="226">
        <f>BR149+BR159+BR162+BR163+BR172-BR223</f>
        <v>36353</v>
      </c>
      <c r="BS338" s="226">
        <f>BS149+BS159+BS162+BS163+BS172-BS223</f>
        <v>36353</v>
      </c>
      <c r="BT338" s="226">
        <f>BT149+BT159+BT162+BT163+BT172-BT223</f>
        <v>36353</v>
      </c>
      <c r="BU338" s="226">
        <f>BU149+BU159+BU162+BU163+BU172-BU223</f>
        <v>36353</v>
      </c>
      <c r="BV338" s="226">
        <f>BV149+BV159+BV162+BV163+BV172-BV223</f>
        <v>36353</v>
      </c>
      <c r="BW338" s="226">
        <f>BW149+BW159+BW162+BW163+BW172-BW223</f>
        <v>36353</v>
      </c>
      <c r="BX338" s="226">
        <f>BX149+BX159+BX162+BX163+BX172-BX223</f>
        <v>36353</v>
      </c>
      <c r="BY338" s="226">
        <f>BY149+BY159+BY162+BY163+BY172-BY223</f>
        <v>36353</v>
      </c>
      <c r="BZ338" s="226">
        <f>BZ149+BZ159+BZ162+BZ163+BZ172-BZ223</f>
        <v>36353</v>
      </c>
      <c r="CA338" s="226">
        <f>CA149+CA159+CA162+CA163+CA172-CA223</f>
        <v>36353</v>
      </c>
      <c r="CB338" s="226">
        <f>CB149+CB159+CB162+CB163+CB172-CB223</f>
        <v>36353</v>
      </c>
      <c r="CC338" s="226">
        <f>CC149+CC159+CC162+CC163+CC172-CC223</f>
        <v>36353</v>
      </c>
      <c r="CD338" s="226">
        <f>CD149+CD159+CD162+CD163+CD172-CD223</f>
        <v>36353</v>
      </c>
      <c r="CE338" s="226">
        <f>CE149+CE159+CE162+CE163+CE172-CE223</f>
        <v>36353</v>
      </c>
      <c r="CF338" s="226">
        <f>CF149+CF159+CF162+CF163+CF172-CF223</f>
        <v>36353</v>
      </c>
      <c r="CG338" s="226">
        <f>CG149+CG159+CG162+CG163+CG172-CG223</f>
        <v>36353</v>
      </c>
      <c r="CH338" s="226">
        <f>CH149+CH159+CH162+CH163+CH172-CH223</f>
        <v>36353</v>
      </c>
      <c r="CI338" s="226">
        <f>CI149+CI159+CI162+CI163+CI172-CI223</f>
        <v>36353</v>
      </c>
      <c r="CJ338" s="226">
        <f>CJ149+CJ159+CJ162+CJ163+CJ172-CJ223</f>
        <v>36353</v>
      </c>
      <c r="CK338" s="226">
        <f>CK149+CK159+CK162+CK163+CK172-CK223</f>
        <v>36353</v>
      </c>
      <c r="CL338" s="226">
        <f>CL149+CL159+CL162+CL163+CL172-CL223</f>
        <v>36353</v>
      </c>
      <c r="CM338" s="226">
        <f>CM149+CM159+CM162+CM163+CM172-CM223</f>
        <v>36353</v>
      </c>
      <c r="CN338" s="226">
        <f>CN149+CN159+CN162+CN163+CN172-CN223</f>
        <v>36353</v>
      </c>
      <c r="CO338" s="226">
        <f>CO149+CO159+CO162+CO163+CO172-CO223</f>
        <v>36353</v>
      </c>
      <c r="CP338" s="226">
        <f>CP149+CP159+CP162+CP163+CP172-CP223</f>
        <v>36353</v>
      </c>
      <c r="CQ338" s="226">
        <f>CQ149+CQ159+CQ162+CQ163+CQ172-CQ223</f>
        <v>36353</v>
      </c>
      <c r="CR338" s="226">
        <f>CR149+CR159+CR162+CR163+CR172-CR223</f>
        <v>36353</v>
      </c>
      <c r="CS338" s="226">
        <f>CS149+CS159+CS162+CS163+CS172-CS223</f>
        <v>36353</v>
      </c>
      <c r="CT338" s="226">
        <f>CT149+CT159+CT162+CT163+CT172-CT223</f>
        <v>36353</v>
      </c>
      <c r="CU338" s="226">
        <f>CU149+CU159+CU162+CU163+CU172-CU223</f>
        <v>36353</v>
      </c>
      <c r="CV338" s="226">
        <f>CV149+CV159+CV162+CV163+CV172-CV223</f>
        <v>36353</v>
      </c>
      <c r="CW338" s="226">
        <f>CW149+CW159+CW162+CW163+CW172-CW223</f>
        <v>36353</v>
      </c>
      <c r="CX338" s="226">
        <f>CX149+CX159+CX162+CX163+CX172-CX223</f>
        <v>36353</v>
      </c>
      <c r="CY338" s="226">
        <f>CY149+CY159+CY162+CY163+CY172-CY223</f>
        <v>36353</v>
      </c>
    </row>
    <row r="339" customFormat="1" s="233">
      <c r="A339" s="224" t="n"/>
      <c r="B339" s="224" t="n"/>
    </row>
    <row r="340" customFormat="1" s="233">
      <c r="A340" s="224" t="n"/>
      <c r="B340" s="224" t="n"/>
    </row>
    <row r="341" customFormat="1" s="233">
      <c r="A341" s="224" t="n"/>
      <c r="B341" s="224" t="n"/>
    </row>
    <row r="342" customFormat="1" s="233">
      <c r="A342" s="224" t="n"/>
      <c r="B342" s="224" t="n"/>
    </row>
    <row r="343" customFormat="1" s="233">
      <c r="A343" s="224" t="n"/>
      <c r="B343" s="224" t="n"/>
    </row>
    <row r="344" customFormat="1" s="233">
      <c r="A344" s="224" t="n"/>
      <c r="B344" s="224" t="n"/>
    </row>
    <row r="345" customFormat="1" s="233">
      <c r="A345" s="224" t="n"/>
      <c r="B345" s="224" t="n"/>
    </row>
    <row r="346" customFormat="1" s="233">
      <c r="A346" s="224" t="n"/>
      <c r="B346" s="224" t="n"/>
      <c r="C346" s="234" t="inlineStr">
        <is>
          <t>DUPONT ANALYSIS</t>
        </is>
      </c>
    </row>
    <row r="347" customFormat="1" s="233">
      <c r="A347" s="224" t="n"/>
      <c r="B347" s="224" t="n"/>
      <c r="C347" s="233" t="inlineStr">
        <is>
          <t>NET PROFIT MARGIN</t>
        </is>
      </c>
      <c r="D347" s="238">
        <f>D120/D15</f>
        <v>0.102679830747532</v>
      </c>
      <c r="E347" s="238">
        <f>E120/E15</f>
        <v>0.045813744123237</v>
      </c>
      <c r="F347" s="238">
        <f>F120/F15</f>
        <v>0.0676044934723206</v>
      </c>
      <c r="G347" s="238">
        <f>G120/G15</f>
        <v>0.0694259012016021</v>
      </c>
      <c r="I347" s="222">
        <f>I120/I15</f>
        <v>0.128712038361235</v>
      </c>
      <c r="J347" s="222">
        <f>J120/J15</f>
        <v>0.109628365272713</v>
      </c>
      <c r="K347" s="222">
        <f>K120/K15</f>
        <v>0.115027829313544</v>
      </c>
      <c r="L347" s="222">
        <f>L120/L15</f>
        <v>0.153645455863169</v>
      </c>
      <c r="N347" s="222">
        <f>N120/N15</f>
        <v>0.1131061888292</v>
      </c>
      <c r="O347" s="222">
        <f>O120/O15</f>
        <v>0.117428230504668</v>
      </c>
      <c r="P347" s="222">
        <f>P120/P15</f>
        <v>0.136121115112712</v>
      </c>
      <c r="Q347" s="222">
        <f>Q120/Q15</f>
        <v>0.0876061938904621</v>
      </c>
      <c r="S347" s="222">
        <f>S120/S15</f>
        <v>0.122494010843525</v>
      </c>
      <c r="T347" s="222">
        <f>T120/T15</f>
        <v>0.168726180852292</v>
      </c>
      <c r="U347" s="222">
        <f>U120/U15</f>
        <v>0.166210588935158</v>
      </c>
      <c r="V347" s="222">
        <f>V120/V15</f>
        <v>0.15676625659051</v>
      </c>
      <c r="X347" s="222">
        <f>X120/X15</f>
        <v>0.180770934869296</v>
      </c>
      <c r="Y347" s="222">
        <f>Y120/Y15</f>
        <v>0.160644736053688</v>
      </c>
      <c r="Z347" s="222">
        <f>Z120/Z15</f>
        <v>0.152986464671551</v>
      </c>
      <c r="AA347" s="222">
        <f>AA120/AA15</f>
        <v>0.172124576009867</v>
      </c>
      <c r="AC347" s="222">
        <f>AC120/AC15</f>
        <v>0.140571268159169</v>
      </c>
      <c r="AD347" s="222">
        <f>AD120/AD15</f>
        <v>0.1315106524232</v>
      </c>
      <c r="AE347" s="222">
        <f>AE120/AE15</f>
        <v>0.130400272139698</v>
      </c>
      <c r="AF347" s="222">
        <f>AF120/AF15</f>
        <v>0.125542256833743</v>
      </c>
      <c r="AH347" s="222">
        <f>AH120/AH15</f>
        <v>0.146368073499856</v>
      </c>
      <c r="AI347" s="222">
        <f>AI120/AI15</f>
        <v>0.174901426276591</v>
      </c>
      <c r="AJ347" s="222">
        <f>AJ120/AJ15</f>
        <v>0.00765392901689534</v>
      </c>
      <c r="AK347" s="222">
        <f>AK120/AK15</f>
        <v>0.0183452673391523</v>
      </c>
      <c r="AM347" s="222">
        <f>AM120/AM15</f>
        <v>0.0155612977318404</v>
      </c>
      <c r="AN347" s="222">
        <f>AN120/AN15</f>
        <v>0.0422528355157475</v>
      </c>
      <c r="AO347" s="222">
        <f>AO120/AO15</f>
        <v>0.0154212495747817</v>
      </c>
      <c r="AP347" s="222">
        <f>AP120/AP15</f>
        <v>0.0452621125803585</v>
      </c>
      <c r="AR347" s="222">
        <f>AR120/AR15</f>
        <v>0.0451335055986219</v>
      </c>
      <c r="AS347" s="222">
        <f>AS120/AS15</f>
        <v>0.10572944555323</v>
      </c>
      <c r="AT347" s="222">
        <f>AT120/AT15</f>
        <v>0.0446195713799751</v>
      </c>
      <c r="AU347" s="222">
        <f>AU120/AU15</f>
        <v>0.113416610045471</v>
      </c>
      <c r="AW347" s="222">
        <f>AW120/AW15</f>
        <v>0.12001148435257</v>
      </c>
      <c r="AX347" s="222">
        <f>AX120/AX15</f>
        <v>0.282821399016697</v>
      </c>
      <c r="AY347" s="222">
        <f>AY120/AY15</f>
        <v>0.118550856106134</v>
      </c>
      <c r="AZ347" s="222">
        <f>AZ120/AZ15</f>
        <v>0.303559295458109</v>
      </c>
      <c r="BB347" s="222">
        <f>BB120/BB15</f>
        <v>0.328911857594028</v>
      </c>
      <c r="BC347" s="222">
        <f>BC120/BC15</f>
        <v>0.763958526018595</v>
      </c>
      <c r="BD347" s="222">
        <f>BD120/BD15</f>
        <v>0.32481006916884</v>
      </c>
      <c r="BE347" s="222">
        <f>BE120/BE15</f>
        <v>0.82015366121361</v>
      </c>
      <c r="BG347" s="222">
        <f>BG120/BG15</f>
        <v>0.896468561584841</v>
      </c>
      <c r="BH347" s="222">
        <f>BH120/BH15</f>
        <v>2.08041668694933</v>
      </c>
      <c r="BI347" s="222">
        <f>BI120/BI15</f>
        <v>0.88519106474657</v>
      </c>
      <c r="BJ347" s="222">
        <f>BJ120/BJ15</f>
        <v>2.23362776354989</v>
      </c>
      <c r="BL347" s="222">
        <f>BL120/BL15</f>
        <v>2.44938271604938</v>
      </c>
      <c r="BM347" s="222">
        <f>BM120/BM15</f>
        <v>5.67560726281458</v>
      </c>
      <c r="BN347" s="222">
        <f>BN120/BN15</f>
        <v>2.41847148202744</v>
      </c>
      <c r="BO347" s="222">
        <f>BO120/BO15</f>
        <v>6.09376469973345</v>
      </c>
      <c r="BQ347" s="222">
        <f>BQ120/BQ15</f>
        <v>6.69032443296009</v>
      </c>
      <c r="BR347" s="222">
        <f>BR120/BR15</f>
        <v>15.4989047364066</v>
      </c>
      <c r="BS347" s="222">
        <f>BS120/BS15</f>
        <v>6.60579430774464</v>
      </c>
      <c r="BT347" s="222">
        <f>BT120/BT15</f>
        <v>16.6409867767731</v>
      </c>
      <c r="BV347" s="222">
        <f>BV120/BV15</f>
        <v>18.2780361757106</v>
      </c>
      <c r="BW347" s="222">
        <f>BW120/BW15</f>
        <v>42.335880835321</v>
      </c>
      <c r="BX347" s="222">
        <f>BX120/BX15</f>
        <v>18.0470007937408</v>
      </c>
      <c r="BY347" s="222">
        <f>BY120/BY15</f>
        <v>45.4557048032196</v>
      </c>
      <c r="CA347" s="222">
        <f>CA120/CA15</f>
        <v>49.935343095033</v>
      </c>
      <c r="CB347" s="222">
        <f>CB120/CB15</f>
        <v>115.656427980334</v>
      </c>
      <c r="CC347" s="222">
        <f>CC120/CC15</f>
        <v>49.3040594171675</v>
      </c>
      <c r="CD347" s="222">
        <f>CD120/CD15</f>
        <v>124.179585010192</v>
      </c>
      <c r="CF347" s="222">
        <f>CF120/CF15</f>
        <v>136.425380419179</v>
      </c>
      <c r="CG347" s="222">
        <f>CG120/CG15</f>
        <v>315.971474468189</v>
      </c>
      <c r="CH347" s="222">
        <f>CH120/CH15</f>
        <v>134.700589636013</v>
      </c>
      <c r="CI347" s="222">
        <f>CI120/CI15</f>
        <v>339.256781477029</v>
      </c>
      <c r="CK347" s="222">
        <f>CK120/CK15</f>
        <v>372.720068906115</v>
      </c>
      <c r="CL347" s="222">
        <f>CL120/CL15</f>
        <v>863.242661733924</v>
      </c>
      <c r="CM347" s="222">
        <f>CM120/CM15</f>
        <v>368.007767320558</v>
      </c>
      <c r="CN347" s="222">
        <f>CN120/CN15</f>
        <v>926.858934824649</v>
      </c>
      <c r="CP347" s="222">
        <f>CP120/CP15</f>
        <v>1018.28952052828</v>
      </c>
      <c r="CQ347" s="222">
        <f>CQ120/CQ15</f>
        <v>2358.4151292411</v>
      </c>
      <c r="CR347" s="222">
        <f>CR120/CR15</f>
        <v>1005.41518312734</v>
      </c>
      <c r="CS347" s="222">
        <f>CS120/CS15</f>
        <v>2532.21763445356</v>
      </c>
      <c r="CU347" s="222">
        <f>CU120/CU15</f>
        <v>2782.01780074648</v>
      </c>
      <c r="CV347" s="222">
        <f>CV120/CV15</f>
        <v>6443.30243878693</v>
      </c>
      <c r="CW347" s="222">
        <f>CW120/CW15</f>
        <v>2746.84437010999</v>
      </c>
      <c r="CX347" s="222">
        <f>CX120/CX15</f>
        <v>6918.13934040663</v>
      </c>
    </row>
    <row r="348" customFormat="1" s="233">
      <c r="A348" s="224" t="n"/>
      <c r="B348" s="224" t="n"/>
      <c r="C348" s="233" t="inlineStr">
        <is>
          <t>ASSET TURNOVER</t>
        </is>
      </c>
      <c r="D348" s="238">
        <f>D120/D180</f>
        <v>0.0143884892086331</v>
      </c>
      <c r="E348" s="238">
        <f>E120/E180</f>
        <v>0.00598176736410417</v>
      </c>
      <c r="F348" s="238">
        <f>F120/F180</f>
        <v>0.00870460379718794</v>
      </c>
      <c r="G348" s="238">
        <f>G120/G180</f>
        <v>0.00995863336908227</v>
      </c>
      <c r="I348" s="222">
        <f>I120/I180</f>
        <v>0.0189522971918394</v>
      </c>
      <c r="J348" s="222">
        <f>J120/J180</f>
        <v>0.0172956167301125</v>
      </c>
      <c r="K348" s="222">
        <f>K120/K180</f>
        <v>0.0176520102990691</v>
      </c>
      <c r="L348" s="222">
        <f>L120/L180</f>
        <v>0.0256060294952472</v>
      </c>
      <c r="N348" s="222">
        <f>N120/N180</f>
        <v>0.0186810248432107</v>
      </c>
      <c r="O348" s="222">
        <f>O120/O180</f>
        <v>0.0206270728790363</v>
      </c>
      <c r="P348" s="222">
        <f>P120/P180</f>
        <v>0.0252264946172766</v>
      </c>
      <c r="Q348" s="222">
        <f>Q120/Q180</f>
        <v>0.0177440415898857</v>
      </c>
      <c r="S348" s="222">
        <f>S120/S180</f>
        <v>0.0232280122894476</v>
      </c>
      <c r="T348" s="222">
        <f>T120/T180</f>
        <v>0.0342046425603147</v>
      </c>
      <c r="U348" s="222">
        <f>U120/U180</f>
        <v>0.0321922780011752</v>
      </c>
      <c r="V348" s="222">
        <f>V120/V180</f>
        <v>0.0305912478851342</v>
      </c>
      <c r="X348" s="222">
        <f>X120/X180</f>
        <v>0.0341051575691716</v>
      </c>
      <c r="Y348" s="222">
        <f>Y120/Y180</f>
        <v>0.0321709705289431</v>
      </c>
      <c r="Z348" s="222">
        <f>Z120/Z180</f>
        <v>0.0285604998087467</v>
      </c>
      <c r="AA348" s="222">
        <f>AA120/AA180</f>
        <v>0.0318011941114808</v>
      </c>
      <c r="AC348" s="222">
        <f>AC120/AC180</f>
        <v>0.0235719161155177</v>
      </c>
      <c r="AD348" s="222">
        <f>AD120/AD180</f>
        <v>0.0241239966786604</v>
      </c>
      <c r="AE348" s="222">
        <f>AE120/AE180</f>
        <v>0.024540662811293</v>
      </c>
      <c r="AF348" s="222">
        <f>AF120/AF180</f>
        <v>0.0243647613734341</v>
      </c>
      <c r="AH348" s="222">
        <f>AH120/AH180</f>
        <v>0.0266771323914181</v>
      </c>
      <c r="AI348" s="222">
        <f>AI120/AI180</f>
        <v>0.0350164215614615</v>
      </c>
      <c r="AJ348" s="222">
        <f>AJ120/AJ180</f>
        <v>0.00159844654676344</v>
      </c>
      <c r="AK348" s="222">
        <f>AK120/AK180</f>
        <v>0.00413880929640242</v>
      </c>
      <c r="AM348" s="222" t="e">
        <f>AM120/AM180</f>
        <v>#DIV/0!</v>
      </c>
      <c r="AN348" s="222" t="e">
        <f>AN120/AN180</f>
        <v>#DIV/0!</v>
      </c>
      <c r="AO348" s="222" t="e">
        <f>AO120/AO180</f>
        <v>#DIV/0!</v>
      </c>
      <c r="AP348" s="222" t="e">
        <f>AP120/AP180</f>
        <v>#DIV/0!</v>
      </c>
      <c r="AR348" s="222" t="e">
        <f>AR120/AR180</f>
        <v>#DIV/0!</v>
      </c>
      <c r="AS348" s="222" t="e">
        <f>AS120/AS180</f>
        <v>#DIV/0!</v>
      </c>
      <c r="AT348" s="222" t="e">
        <f>AT120/AT180</f>
        <v>#DIV/0!</v>
      </c>
      <c r="AU348" s="222" t="e">
        <f>AU120/AU180</f>
        <v>#DIV/0!</v>
      </c>
      <c r="AW348" s="222" t="e">
        <f>AW120/AW180</f>
        <v>#DIV/0!</v>
      </c>
      <c r="AX348" s="222" t="e">
        <f>AX120/AX180</f>
        <v>#DIV/0!</v>
      </c>
      <c r="AY348" s="222" t="e">
        <f>AY120/AY180</f>
        <v>#DIV/0!</v>
      </c>
      <c r="AZ348" s="222" t="e">
        <f>AZ120/AZ180</f>
        <v>#DIV/0!</v>
      </c>
      <c r="BB348" s="222" t="e">
        <f>BB120/BB180</f>
        <v>#DIV/0!</v>
      </c>
      <c r="BC348" s="222" t="e">
        <f>BC120/BC180</f>
        <v>#DIV/0!</v>
      </c>
      <c r="BD348" s="222" t="e">
        <f>BD120/BD180</f>
        <v>#DIV/0!</v>
      </c>
      <c r="BE348" s="222" t="e">
        <f>BE120/BE180</f>
        <v>#DIV/0!</v>
      </c>
      <c r="BG348" s="222" t="e">
        <f>BG120/BG180</f>
        <v>#DIV/0!</v>
      </c>
      <c r="BH348" s="222" t="e">
        <f>BH120/BH180</f>
        <v>#DIV/0!</v>
      </c>
      <c r="BI348" s="222" t="e">
        <f>BI120/BI180</f>
        <v>#DIV/0!</v>
      </c>
      <c r="BJ348" s="222" t="e">
        <f>BJ120/BJ180</f>
        <v>#DIV/0!</v>
      </c>
      <c r="BL348" s="222" t="e">
        <f>BL120/BL180</f>
        <v>#DIV/0!</v>
      </c>
      <c r="BM348" s="222" t="e">
        <f>BM120/BM180</f>
        <v>#DIV/0!</v>
      </c>
      <c r="BN348" s="222" t="e">
        <f>BN120/BN180</f>
        <v>#DIV/0!</v>
      </c>
      <c r="BO348" s="222" t="e">
        <f>BO120/BO180</f>
        <v>#DIV/0!</v>
      </c>
      <c r="BQ348" s="222" t="e">
        <f>BQ120/BQ180</f>
        <v>#DIV/0!</v>
      </c>
      <c r="BR348" s="222" t="e">
        <f>BR120/BR180</f>
        <v>#DIV/0!</v>
      </c>
      <c r="BS348" s="222" t="e">
        <f>BS120/BS180</f>
        <v>#DIV/0!</v>
      </c>
      <c r="BT348" s="222" t="e">
        <f>BT120/BT180</f>
        <v>#DIV/0!</v>
      </c>
      <c r="BV348" s="222" t="e">
        <f>BV120/BV180</f>
        <v>#DIV/0!</v>
      </c>
      <c r="BW348" s="222" t="e">
        <f>BW120/BW180</f>
        <v>#DIV/0!</v>
      </c>
      <c r="BX348" s="222" t="e">
        <f>BX120/BX180</f>
        <v>#DIV/0!</v>
      </c>
      <c r="BY348" s="222" t="e">
        <f>BY120/BY180</f>
        <v>#DIV/0!</v>
      </c>
      <c r="CA348" s="222" t="e">
        <f>CA120/CA180</f>
        <v>#DIV/0!</v>
      </c>
      <c r="CB348" s="222" t="e">
        <f>CB120/CB180</f>
        <v>#DIV/0!</v>
      </c>
      <c r="CC348" s="222" t="e">
        <f>CC120/CC180</f>
        <v>#DIV/0!</v>
      </c>
      <c r="CD348" s="222" t="e">
        <f>CD120/CD180</f>
        <v>#DIV/0!</v>
      </c>
      <c r="CF348" s="222" t="e">
        <f>CF120/CF180</f>
        <v>#DIV/0!</v>
      </c>
      <c r="CG348" s="222" t="e">
        <f>CG120/CG180</f>
        <v>#DIV/0!</v>
      </c>
      <c r="CH348" s="222" t="e">
        <f>CH120/CH180</f>
        <v>#DIV/0!</v>
      </c>
      <c r="CI348" s="222" t="e">
        <f>CI120/CI180</f>
        <v>#DIV/0!</v>
      </c>
      <c r="CK348" s="222" t="e">
        <f>CK120/CK180</f>
        <v>#DIV/0!</v>
      </c>
      <c r="CL348" s="222" t="e">
        <f>CL120/CL180</f>
        <v>#DIV/0!</v>
      </c>
      <c r="CM348" s="222" t="e">
        <f>CM120/CM180</f>
        <v>#DIV/0!</v>
      </c>
      <c r="CN348" s="222" t="e">
        <f>CN120/CN180</f>
        <v>#DIV/0!</v>
      </c>
      <c r="CP348" s="222" t="e">
        <f>CP120/CP180</f>
        <v>#DIV/0!</v>
      </c>
      <c r="CQ348" s="222" t="e">
        <f>CQ120/CQ180</f>
        <v>#DIV/0!</v>
      </c>
      <c r="CR348" s="222" t="e">
        <f>CR120/CR180</f>
        <v>#DIV/0!</v>
      </c>
      <c r="CS348" s="222" t="e">
        <f>CS120/CS180</f>
        <v>#DIV/0!</v>
      </c>
      <c r="CU348" s="222" t="e">
        <f>CU120/CU180</f>
        <v>#DIV/0!</v>
      </c>
      <c r="CV348" s="222" t="e">
        <f>CV120/CV180</f>
        <v>#DIV/0!</v>
      </c>
      <c r="CW348" s="222" t="e">
        <f>CW120/CW180</f>
        <v>#DIV/0!</v>
      </c>
      <c r="CX348" s="222" t="e">
        <f>CX120/CX180</f>
        <v>#DIV/0!</v>
      </c>
    </row>
    <row r="349" customFormat="1" s="233">
      <c r="A349" s="224" t="n"/>
      <c r="B349" s="224" t="n"/>
      <c r="C349" s="233" t="inlineStr">
        <is>
          <t>EQUITY MULTIPLIER</t>
        </is>
      </c>
      <c r="D349" s="238">
        <f>D180/D254</f>
        <v>5.33000912985462</v>
      </c>
      <c r="E349" s="238">
        <f>E180/E254</f>
        <v>5.55752340857952</v>
      </c>
      <c r="F349" s="238">
        <f>F180/F254</f>
        <v>5.11811391223156</v>
      </c>
      <c r="G349" s="238">
        <f>G180/G254</f>
        <v>5.09325009754194</v>
      </c>
      <c r="I349" s="222">
        <f>I180/I254</f>
        <v>4.85821748811458</v>
      </c>
      <c r="J349" s="222">
        <f>J180/J254</f>
        <v>4.83986966824645</v>
      </c>
      <c r="K349" s="222">
        <f>K180/K254</f>
        <v>4.83881401617251</v>
      </c>
      <c r="L349" s="222">
        <f>L180/L254</f>
        <v>5.01289658512957</v>
      </c>
      <c r="N349" s="222">
        <f>N180/N254</f>
        <v>4.81230625255893</v>
      </c>
      <c r="O349" s="222">
        <f>O180/O254</f>
        <v>5.14670981661273</v>
      </c>
      <c r="P349" s="222">
        <f>P180/P254</f>
        <v>5.17904237613622</v>
      </c>
      <c r="Q349" s="222">
        <f>Q180/Q254</f>
        <v>5.15656661003084</v>
      </c>
      <c r="S349" s="222">
        <f>S180/S254</f>
        <v>4.60368739680793</v>
      </c>
      <c r="T349" s="222">
        <f>T180/T254</f>
        <v>4.6793930762489</v>
      </c>
      <c r="U349" s="222">
        <f>U180/U254</f>
        <v>4.23226215438631</v>
      </c>
      <c r="V349" s="222">
        <f>V180/V254</f>
        <v>4.48525867815208</v>
      </c>
      <c r="X349" s="222">
        <f>X180/X254</f>
        <v>4.74587701898555</v>
      </c>
      <c r="Y349" s="222">
        <f>Y180/Y254</f>
        <v>4.86321195144725</v>
      </c>
      <c r="Z349" s="222">
        <f>Z180/Z254</f>
        <v>4.44637427201979</v>
      </c>
      <c r="AA349" s="222">
        <f>AA180/AA254</f>
        <v>4.50210321124449</v>
      </c>
      <c r="AC349" s="222">
        <f>AC180/AC254</f>
        <v>4.70249031543996</v>
      </c>
      <c r="AD349" s="222">
        <f>AD180/AD254</f>
        <v>4.8397899587419</v>
      </c>
      <c r="AE349" s="222">
        <f>AE180/AE254</f>
        <v>4.53661842296336</v>
      </c>
      <c r="AF349" s="222">
        <f>AF180/AF254</f>
        <v>4.62449573130688</v>
      </c>
      <c r="AH349" s="222">
        <f>AH180/AH254</f>
        <v>5.12057877813505</v>
      </c>
      <c r="AI349" s="222">
        <f>AI180/AI254</f>
        <v>5.29076002887491</v>
      </c>
      <c r="AJ349" s="222">
        <f>AJ180/AJ254</f>
        <v>4.32491806636624</v>
      </c>
      <c r="AK349" s="222">
        <f>AK180/AK254</f>
        <v>4.26637488680954</v>
      </c>
      <c r="AM349" s="222" t="e">
        <f>AM180/AM254</f>
        <v>#DIV/0!</v>
      </c>
      <c r="AN349" s="222" t="e">
        <f>AN180/AN254</f>
        <v>#DIV/0!</v>
      </c>
      <c r="AO349" s="222" t="e">
        <f>AO180/AO254</f>
        <v>#DIV/0!</v>
      </c>
      <c r="AP349" s="222" t="e">
        <f>AP180/AP254</f>
        <v>#DIV/0!</v>
      </c>
      <c r="AR349" s="222" t="e">
        <f>AR180/AR254</f>
        <v>#DIV/0!</v>
      </c>
      <c r="AS349" s="222" t="e">
        <f>AS180/AS254</f>
        <v>#DIV/0!</v>
      </c>
      <c r="AT349" s="222" t="e">
        <f>AT180/AT254</f>
        <v>#DIV/0!</v>
      </c>
      <c r="AU349" s="222" t="e">
        <f>AU180/AU254</f>
        <v>#DIV/0!</v>
      </c>
      <c r="AW349" s="222" t="e">
        <f>AW180/AW254</f>
        <v>#DIV/0!</v>
      </c>
      <c r="AX349" s="222" t="e">
        <f>AX180/AX254</f>
        <v>#DIV/0!</v>
      </c>
      <c r="AY349" s="222" t="e">
        <f>AY180/AY254</f>
        <v>#DIV/0!</v>
      </c>
      <c r="AZ349" s="222" t="e">
        <f>AZ180/AZ254</f>
        <v>#DIV/0!</v>
      </c>
      <c r="BB349" s="222" t="e">
        <f>BB180/BB254</f>
        <v>#DIV/0!</v>
      </c>
      <c r="BC349" s="222" t="e">
        <f>BC180/BC254</f>
        <v>#DIV/0!</v>
      </c>
      <c r="BD349" s="222" t="e">
        <f>BD180/BD254</f>
        <v>#DIV/0!</v>
      </c>
      <c r="BE349" s="222" t="e">
        <f>BE180/BE254</f>
        <v>#DIV/0!</v>
      </c>
      <c r="BG349" s="222" t="e">
        <f>BG180/BG254</f>
        <v>#DIV/0!</v>
      </c>
      <c r="BH349" s="222" t="e">
        <f>BH180/BH254</f>
        <v>#DIV/0!</v>
      </c>
      <c r="BI349" s="222" t="e">
        <f>BI180/BI254</f>
        <v>#DIV/0!</v>
      </c>
      <c r="BJ349" s="222" t="e">
        <f>BJ180/BJ254</f>
        <v>#DIV/0!</v>
      </c>
      <c r="BL349" s="222" t="e">
        <f>BL180/BL254</f>
        <v>#DIV/0!</v>
      </c>
      <c r="BM349" s="222" t="e">
        <f>BM180/BM254</f>
        <v>#DIV/0!</v>
      </c>
      <c r="BN349" s="222" t="e">
        <f>BN180/BN254</f>
        <v>#DIV/0!</v>
      </c>
      <c r="BO349" s="222" t="e">
        <f>BO180/BO254</f>
        <v>#DIV/0!</v>
      </c>
      <c r="BQ349" s="222" t="e">
        <f>BQ180/BQ254</f>
        <v>#DIV/0!</v>
      </c>
      <c r="BR349" s="222" t="e">
        <f>BR180/BR254</f>
        <v>#DIV/0!</v>
      </c>
      <c r="BS349" s="222" t="e">
        <f>BS180/BS254</f>
        <v>#DIV/0!</v>
      </c>
      <c r="BT349" s="222" t="e">
        <f>BT180/BT254</f>
        <v>#DIV/0!</v>
      </c>
      <c r="BV349" s="222" t="e">
        <f>BV180/BV254</f>
        <v>#DIV/0!</v>
      </c>
      <c r="BW349" s="222" t="e">
        <f>BW180/BW254</f>
        <v>#DIV/0!</v>
      </c>
      <c r="BX349" s="222" t="e">
        <f>BX180/BX254</f>
        <v>#DIV/0!</v>
      </c>
      <c r="BY349" s="222" t="e">
        <f>BY180/BY254</f>
        <v>#DIV/0!</v>
      </c>
      <c r="CA349" s="222" t="e">
        <f>CA180/CA254</f>
        <v>#DIV/0!</v>
      </c>
      <c r="CB349" s="222" t="e">
        <f>CB180/CB254</f>
        <v>#DIV/0!</v>
      </c>
      <c r="CC349" s="222" t="e">
        <f>CC180/CC254</f>
        <v>#DIV/0!</v>
      </c>
      <c r="CD349" s="222" t="e">
        <f>CD180/CD254</f>
        <v>#DIV/0!</v>
      </c>
      <c r="CF349" s="222" t="e">
        <f>CF180/CF254</f>
        <v>#DIV/0!</v>
      </c>
      <c r="CG349" s="222" t="e">
        <f>CG180/CG254</f>
        <v>#DIV/0!</v>
      </c>
      <c r="CH349" s="222" t="e">
        <f>CH180/CH254</f>
        <v>#DIV/0!</v>
      </c>
      <c r="CI349" s="222" t="e">
        <f>CI180/CI254</f>
        <v>#DIV/0!</v>
      </c>
      <c r="CK349" s="222" t="e">
        <f>CK180/CK254</f>
        <v>#DIV/0!</v>
      </c>
      <c r="CL349" s="222" t="e">
        <f>CL180/CL254</f>
        <v>#DIV/0!</v>
      </c>
      <c r="CM349" s="222" t="e">
        <f>CM180/CM254</f>
        <v>#DIV/0!</v>
      </c>
      <c r="CN349" s="222" t="e">
        <f>CN180/CN254</f>
        <v>#DIV/0!</v>
      </c>
      <c r="CP349" s="222" t="e">
        <f>CP180/CP254</f>
        <v>#DIV/0!</v>
      </c>
      <c r="CQ349" s="222" t="e">
        <f>CQ180/CQ254</f>
        <v>#DIV/0!</v>
      </c>
      <c r="CR349" s="222" t="e">
        <f>CR180/CR254</f>
        <v>#DIV/0!</v>
      </c>
      <c r="CS349" s="222" t="e">
        <f>CS180/CS254</f>
        <v>#DIV/0!</v>
      </c>
      <c r="CU349" s="222" t="e">
        <f>CU180/CU254</f>
        <v>#DIV/0!</v>
      </c>
      <c r="CV349" s="222" t="e">
        <f>CV180/CV254</f>
        <v>#DIV/0!</v>
      </c>
      <c r="CW349" s="222" t="e">
        <f>CW180/CW254</f>
        <v>#DIV/0!</v>
      </c>
      <c r="CX349" s="222" t="e">
        <f>CX180/CX254</f>
        <v>#DIV/0!</v>
      </c>
    </row>
    <row r="350" customFormat="1" s="233">
      <c r="A350" s="224" t="n"/>
      <c r="B350" s="224" t="n"/>
      <c r="C350" s="233" t="inlineStr">
        <is>
          <t>ROE - DUPONT</t>
        </is>
      </c>
      <c r="D350" s="238">
        <f>PRODUCT(D347:D349)</f>
        <v>0.0078745961918888</v>
      </c>
      <c r="E350" s="238">
        <f>PRODUCT(E347:E349)</f>
        <v>0.00152302350355248</v>
      </c>
      <c r="F350" s="238">
        <f>PRODUCT(F347:F349)</f>
        <v>0.00301185818590837</v>
      </c>
      <c r="G350" s="238">
        <f>PRODUCT(G347:G349)</f>
        <v>0.00352140739610155</v>
      </c>
      <c r="I350" s="222">
        <f>PRODUCT(I347:I349)</f>
        <v>0.0118510813439664</v>
      </c>
      <c r="J350" s="222">
        <f>PRODUCT(J347:J349)</f>
        <v>0.00917682939160804</v>
      </c>
      <c r="K350" s="222">
        <f>PRODUCT(K347:K349)</f>
        <v>0.00982507844271418</v>
      </c>
      <c r="L350" s="222">
        <f>PRODUCT(L347:L349)</f>
        <v>0.0197219887642236</v>
      </c>
      <c r="N350" s="222">
        <f>PRODUCT(N347:N349)</f>
        <v>0.0101681120799252</v>
      </c>
      <c r="O350" s="222">
        <f>PRODUCT(O347:O349)</f>
        <v>0.012466363959281</v>
      </c>
      <c r="P350" s="222">
        <f>PRODUCT(P347:P349)</f>
        <v>0.0177840990875077</v>
      </c>
      <c r="Q350" s="222">
        <f>PRODUCT(Q347:Q349)</f>
        <v>0.00801582064795997</v>
      </c>
      <c r="S350" s="222">
        <f>PRODUCT(S347:S349)</f>
        <v>0.0130988367126566</v>
      </c>
      <c r="T350" s="222">
        <f>PRODUCT(T347:T349)</f>
        <v>0.0270058008572742</v>
      </c>
      <c r="U350" s="222">
        <f>PRODUCT(U347:U349)</f>
        <v>0.0226455544684659</v>
      </c>
      <c r="V350" s="222">
        <f>PRODUCT(V347:V349)</f>
        <v>0.0215098447744554</v>
      </c>
      <c r="X350" s="222">
        <f>PRODUCT(X347:X349)</f>
        <v>0.0292593816937777</v>
      </c>
      <c r="Y350" s="222">
        <f>PRODUCT(Y347:Y349)</f>
        <v>0.0251335514332363</v>
      </c>
      <c r="Z350" s="222">
        <f>PRODUCT(Z347:Z349)</f>
        <v>0.0194278538860332</v>
      </c>
      <c r="AA350" s="222">
        <f>PRODUCT(AA347:AA349)</f>
        <v>0.0246434642271232</v>
      </c>
      <c r="AC350" s="222">
        <f>PRODUCT(AC347:AC349)</f>
        <v>0.0155818622093423</v>
      </c>
      <c r="AD350" s="222">
        <f>PRODUCT(AD347:AD349)</f>
        <v>0.0153545363355384</v>
      </c>
      <c r="AE350" s="222">
        <f>PRODUCT(AE347:AE349)</f>
        <v>0.0145176739397505</v>
      </c>
      <c r="AF350" s="222">
        <f>PRODUCT(AF347:AF349)</f>
        <v>0.0141454405157449</v>
      </c>
      <c r="AH350" s="222">
        <f>PRODUCT(AH347:AH349)</f>
        <v>0.0199942239738014</v>
      </c>
      <c r="AI350" s="222">
        <f>PRODUCT(AI347:AI349)</f>
        <v>0.032402847510147</v>
      </c>
      <c r="AJ350" s="222">
        <f>PRODUCT(AJ347:AJ349)</f>
        <v>5.29127620483854e-05</v>
      </c>
      <c r="AK350" s="222">
        <f>PRODUCT(AK347:AK349)</f>
        <v>0.000323935448035136</v>
      </c>
      <c r="AM350" s="222" t="e">
        <f>PRODUCT(AM347:AM349)</f>
        <v>#DIV/0!</v>
      </c>
      <c r="AN350" s="222" t="e">
        <f>PRODUCT(AN347:AN349)</f>
        <v>#DIV/0!</v>
      </c>
      <c r="AO350" s="222" t="e">
        <f>PRODUCT(AO347:AO349)</f>
        <v>#DIV/0!</v>
      </c>
      <c r="AP350" s="222" t="e">
        <f>PRODUCT(AP347:AP349)</f>
        <v>#DIV/0!</v>
      </c>
      <c r="AR350" s="222" t="e">
        <f>PRODUCT(AR347:AR349)</f>
        <v>#DIV/0!</v>
      </c>
      <c r="AS350" s="222" t="e">
        <f>PRODUCT(AS347:AS349)</f>
        <v>#DIV/0!</v>
      </c>
      <c r="AT350" s="222" t="e">
        <f>PRODUCT(AT347:AT349)</f>
        <v>#DIV/0!</v>
      </c>
      <c r="AU350" s="222" t="e">
        <f>PRODUCT(AU347:AU349)</f>
        <v>#DIV/0!</v>
      </c>
      <c r="AW350" s="222" t="e">
        <f>PRODUCT(AW347:AW349)</f>
        <v>#DIV/0!</v>
      </c>
      <c r="AX350" s="222" t="e">
        <f>PRODUCT(AX347:AX349)</f>
        <v>#DIV/0!</v>
      </c>
      <c r="AY350" s="222" t="e">
        <f>PRODUCT(AY347:AY349)</f>
        <v>#DIV/0!</v>
      </c>
      <c r="AZ350" s="222" t="e">
        <f>PRODUCT(AZ347:AZ349)</f>
        <v>#DIV/0!</v>
      </c>
      <c r="BB350" s="222" t="e">
        <f>PRODUCT(BB347:BB349)</f>
        <v>#DIV/0!</v>
      </c>
      <c r="BC350" s="222" t="e">
        <f>PRODUCT(BC347:BC349)</f>
        <v>#DIV/0!</v>
      </c>
      <c r="BD350" s="222" t="e">
        <f>PRODUCT(BD347:BD349)</f>
        <v>#DIV/0!</v>
      </c>
      <c r="BE350" s="222" t="e">
        <f>PRODUCT(BE347:BE349)</f>
        <v>#DIV/0!</v>
      </c>
      <c r="BG350" s="222" t="e">
        <f>PRODUCT(BG347:BG349)</f>
        <v>#DIV/0!</v>
      </c>
      <c r="BH350" s="222" t="e">
        <f>PRODUCT(BH347:BH349)</f>
        <v>#DIV/0!</v>
      </c>
      <c r="BI350" s="222" t="e">
        <f>PRODUCT(BI347:BI349)</f>
        <v>#DIV/0!</v>
      </c>
      <c r="BJ350" s="222" t="e">
        <f>PRODUCT(BJ347:BJ349)</f>
        <v>#DIV/0!</v>
      </c>
      <c r="BL350" s="222" t="e">
        <f>PRODUCT(BL347:BL349)</f>
        <v>#DIV/0!</v>
      </c>
      <c r="BM350" s="222" t="e">
        <f>PRODUCT(BM347:BM349)</f>
        <v>#DIV/0!</v>
      </c>
      <c r="BN350" s="222" t="e">
        <f>PRODUCT(BN347:BN349)</f>
        <v>#DIV/0!</v>
      </c>
      <c r="BO350" s="222" t="e">
        <f>PRODUCT(BO347:BO349)</f>
        <v>#DIV/0!</v>
      </c>
      <c r="BQ350" s="222" t="e">
        <f>PRODUCT(BQ347:BQ349)</f>
        <v>#DIV/0!</v>
      </c>
      <c r="BR350" s="222" t="e">
        <f>PRODUCT(BR347:BR349)</f>
        <v>#DIV/0!</v>
      </c>
      <c r="BS350" s="222" t="e">
        <f>PRODUCT(BS347:BS349)</f>
        <v>#DIV/0!</v>
      </c>
      <c r="BT350" s="222" t="e">
        <f>PRODUCT(BT347:BT349)</f>
        <v>#DIV/0!</v>
      </c>
      <c r="BV350" s="222" t="e">
        <f>PRODUCT(BV347:BV349)</f>
        <v>#DIV/0!</v>
      </c>
      <c r="BW350" s="222" t="e">
        <f>PRODUCT(BW347:BW349)</f>
        <v>#DIV/0!</v>
      </c>
      <c r="BX350" s="222" t="e">
        <f>PRODUCT(BX347:BX349)</f>
        <v>#DIV/0!</v>
      </c>
      <c r="BY350" s="222" t="e">
        <f>PRODUCT(BY347:BY349)</f>
        <v>#DIV/0!</v>
      </c>
      <c r="CA350" s="222" t="e">
        <f>PRODUCT(CA347:CA349)</f>
        <v>#DIV/0!</v>
      </c>
      <c r="CB350" s="222" t="e">
        <f>PRODUCT(CB347:CB349)</f>
        <v>#DIV/0!</v>
      </c>
      <c r="CC350" s="222" t="e">
        <f>PRODUCT(CC347:CC349)</f>
        <v>#DIV/0!</v>
      </c>
      <c r="CD350" s="222" t="e">
        <f>PRODUCT(CD347:CD349)</f>
        <v>#DIV/0!</v>
      </c>
      <c r="CF350" s="222" t="e">
        <f>PRODUCT(CF347:CF349)</f>
        <v>#DIV/0!</v>
      </c>
      <c r="CG350" s="222" t="e">
        <f>PRODUCT(CG347:CG349)</f>
        <v>#DIV/0!</v>
      </c>
      <c r="CH350" s="222" t="e">
        <f>PRODUCT(CH347:CH349)</f>
        <v>#DIV/0!</v>
      </c>
      <c r="CI350" s="222" t="e">
        <f>PRODUCT(CI347:CI349)</f>
        <v>#DIV/0!</v>
      </c>
      <c r="CK350" s="222" t="e">
        <f>PRODUCT(CK347:CK349)</f>
        <v>#DIV/0!</v>
      </c>
      <c r="CL350" s="222" t="e">
        <f>PRODUCT(CL347:CL349)</f>
        <v>#DIV/0!</v>
      </c>
      <c r="CM350" s="222" t="e">
        <f>PRODUCT(CM347:CM349)</f>
        <v>#DIV/0!</v>
      </c>
      <c r="CN350" s="222" t="e">
        <f>PRODUCT(CN347:CN349)</f>
        <v>#DIV/0!</v>
      </c>
      <c r="CP350" s="222" t="e">
        <f>PRODUCT(CP347:CP349)</f>
        <v>#DIV/0!</v>
      </c>
      <c r="CQ350" s="222" t="e">
        <f>PRODUCT(CQ347:CQ349)</f>
        <v>#DIV/0!</v>
      </c>
      <c r="CR350" s="222" t="e">
        <f>PRODUCT(CR347:CR349)</f>
        <v>#DIV/0!</v>
      </c>
      <c r="CS350" s="222" t="e">
        <f>PRODUCT(CS347:CS349)</f>
        <v>#DIV/0!</v>
      </c>
      <c r="CU350" s="222" t="e">
        <f>PRODUCT(CU347:CU349)</f>
        <v>#DIV/0!</v>
      </c>
      <c r="CV350" s="222" t="e">
        <f>PRODUCT(CV347:CV349)</f>
        <v>#DIV/0!</v>
      </c>
      <c r="CW350" s="222" t="e">
        <f>PRODUCT(CW347:CW349)</f>
        <v>#DIV/0!</v>
      </c>
      <c r="CX350" s="222" t="e">
        <f>PRODUCT(CX347:CX349)</f>
        <v>#DIV/0!</v>
      </c>
    </row>
    <row r="351" customFormat="1" s="233">
      <c r="A351" s="224" t="n"/>
      <c r="B351" s="224" t="n"/>
      <c r="C351" s="233" t="inlineStr">
        <is>
          <t>ROE</t>
        </is>
      </c>
      <c r="D351" s="238">
        <f>D120/D254</f>
        <v>0.0766907788468291</v>
      </c>
      <c r="E351" s="238">
        <f>E120/E254</f>
        <v>0.0332438121506859</v>
      </c>
      <c r="F351" s="238">
        <f>F120/F254</f>
        <v>0.0445511537948513</v>
      </c>
      <c r="G351" s="238">
        <f>G120/G254</f>
        <v>0.0507218103784627</v>
      </c>
      <c r="I351" s="222">
        <f>I120/I254</f>
        <v>0.0920743816573389</v>
      </c>
      <c r="J351" s="222">
        <f>J120/J254</f>
        <v>0.0837085308056872</v>
      </c>
      <c r="K351" s="222">
        <f>K120/K254</f>
        <v>0.0854147948487571</v>
      </c>
      <c r="L351" s="222">
        <f>L120/L254</f>
        <v>0.128360377815452</v>
      </c>
      <c r="N351" s="222">
        <f>N120/N254</f>
        <v>0.0898988126571913</v>
      </c>
      <c r="O351" s="222">
        <f>O120/O254</f>
        <v>0.106161558474523</v>
      </c>
      <c r="P351" s="222">
        <f>P120/P254</f>
        <v>0.130649084624248</v>
      </c>
      <c r="Q351" s="222">
        <f>Q120/Q254</f>
        <v>0.0914983323894028</v>
      </c>
      <c r="S351" s="222">
        <f>S120/S254</f>
        <v>0.106934507429829</v>
      </c>
      <c r="T351" s="222">
        <f>T120/T254</f>
        <v>0.160056967572305</v>
      </c>
      <c r="U351" s="222">
        <f>U120/U254</f>
        <v>0.136246159847857</v>
      </c>
      <c r="V351" s="222">
        <f>V120/V254</f>
        <v>0.1372096600523</v>
      </c>
      <c r="X351" s="222">
        <f>X120/X254</f>
        <v>0.161858883536413</v>
      </c>
      <c r="Y351" s="222">
        <f>Y120/Y254</f>
        <v>0.156454248366013</v>
      </c>
      <c r="Z351" s="222">
        <f>Z120/Z254</f>
        <v>0.126990671545637</v>
      </c>
      <c r="AA351" s="222">
        <f>AA120/AA254</f>
        <v>0.143172258130707</v>
      </c>
      <c r="AC351" s="222">
        <f>AC120/AC254</f>
        <v>0.110846707249585</v>
      </c>
      <c r="AD351" s="222">
        <f>AD120/AD254</f>
        <v>0.116755076890103</v>
      </c>
      <c r="AE351" s="222">
        <f>AE120/AE254</f>
        <v>0.111331623021443</v>
      </c>
      <c r="AF351" s="222">
        <f>AF120/AF254</f>
        <v>0.112674734965757</v>
      </c>
      <c r="AH351" s="222">
        <f>AH120/AH254</f>
        <v>0.136602357984995</v>
      </c>
      <c r="AI351" s="222">
        <f>AI120/AI254</f>
        <v>0.185263483551614</v>
      </c>
      <c r="AJ351" s="222">
        <f>AJ120/AJ254</f>
        <v>0.00691315034821794</v>
      </c>
      <c r="AK351" s="222">
        <f>AK120/AK254</f>
        <v>0.0176577120434651</v>
      </c>
      <c r="AM351" s="222">
        <f>AM120/AM254</f>
        <v>0.0134504665475481</v>
      </c>
      <c r="AN351" s="222">
        <f>AN120/AN254</f>
        <v>0.0413018652455272</v>
      </c>
      <c r="AO351" s="222">
        <f>AO120/AO254</f>
        <v>0.0127777516794288</v>
      </c>
      <c r="AP351" s="222">
        <f>AP120/AP254</f>
        <v>0.0390935355724088</v>
      </c>
      <c r="AR351" s="222">
        <f>AR120/AR254</f>
        <v>0.034267776954266</v>
      </c>
      <c r="AS351" s="222">
        <f>AS120/AS254</f>
        <v>0.0865028475845314</v>
      </c>
      <c r="AT351" s="222">
        <f>AT120/AT254</f>
        <v>0.0303919675613053</v>
      </c>
      <c r="AU351" s="222">
        <f>AU120/AU254</f>
        <v>0.0773232611174458</v>
      </c>
      <c r="AW351" s="222">
        <f>AW120/AW254</f>
        <v>0.0693131695022054</v>
      </c>
      <c r="AX351" s="222">
        <f>AX120/AX254</f>
        <v>0.161554931457331</v>
      </c>
      <c r="AY351" s="222">
        <f>AY120/AY254</f>
        <v>0.0549496754526581</v>
      </c>
      <c r="AZ351" s="222">
        <f>AZ120/AZ254</f>
        <v>0.132421340629275</v>
      </c>
      <c r="BB351" s="222">
        <f>BB120/BB254</f>
        <v>0.115514146853006</v>
      </c>
      <c r="BC351" s="222">
        <f>BC120/BC254</f>
        <v>0.240406856512615</v>
      </c>
      <c r="BD351" s="222">
        <f>BD120/BD254</f>
        <v>0.0806799138137419</v>
      </c>
      <c r="BE351" s="222">
        <f>BE120/BE254</f>
        <v>0.180991926182238</v>
      </c>
      <c r="BG351" s="222">
        <f>BG120/BG254</f>
        <v>0.152593562764512</v>
      </c>
      <c r="BH351" s="222">
        <f>BH120/BH254</f>
        <v>0.29464525780943</v>
      </c>
      <c r="BI351" s="222">
        <f>BI120/BI254</f>
        <v>0.0971797760501926</v>
      </c>
      <c r="BJ351" s="222">
        <f>BJ120/BJ254</f>
        <v>0.210112293260438</v>
      </c>
      <c r="BL351" s="222">
        <f>BL120/BL254</f>
        <v>0.173362432991534</v>
      </c>
      <c r="BM351" s="222">
        <f>BM120/BM254</f>
        <v>0.321510016682982</v>
      </c>
      <c r="BN351" s="222">
        <f>BN120/BN254</f>
        <v>0.105247704792241</v>
      </c>
      <c r="BO351" s="222">
        <f>BO120/BO254</f>
        <v>0.223402543054885</v>
      </c>
      <c r="BQ351" s="222">
        <f>BQ120/BQ254</f>
        <v>0.182505408025965</v>
      </c>
      <c r="BR351" s="222">
        <f>BR120/BR254</f>
        <v>0.332770692215799</v>
      </c>
      <c r="BS351" s="222">
        <f>BS120/BS254</f>
        <v>0.108554945500317</v>
      </c>
      <c r="BT351" s="222">
        <f>BT120/BT254</f>
        <v>0.228779190917583</v>
      </c>
      <c r="BV351" s="222">
        <f>BV120/BV254</f>
        <v>0.186146170989543</v>
      </c>
      <c r="BW351" s="222">
        <f>BW120/BW254</f>
        <v>0.337132328856227</v>
      </c>
      <c r="BX351" s="222">
        <f>BX120/BX254</f>
        <v>0.109837755246756</v>
      </c>
      <c r="BY351" s="222">
        <f>BY120/BY254</f>
        <v>0.230829581297184</v>
      </c>
      <c r="CA351" s="222">
        <f>CA120/CA254</f>
        <v>0.187525863342358</v>
      </c>
      <c r="CB351" s="222">
        <f>CB120/CB254</f>
        <v>0.338775623691323</v>
      </c>
      <c r="CC351" s="222">
        <f>CC120/CC254</f>
        <v>0.110317777358587</v>
      </c>
      <c r="CD351" s="222">
        <f>CD120/CD254</f>
        <v>0.231598204708604</v>
      </c>
      <c r="CF351" s="222">
        <f>CF120/CF254</f>
        <v>0.18804175775522</v>
      </c>
      <c r="CG351" s="222">
        <f>CG120/CG254</f>
        <v>0.339386641576498</v>
      </c>
      <c r="CH351" s="222">
        <f>CH120/CH254</f>
        <v>0.110496725977631</v>
      </c>
      <c r="CI351" s="222">
        <f>CI120/CI254</f>
        <v>0.23188327515353</v>
      </c>
      <c r="CK351" s="222">
        <f>CK120/CK254</f>
        <v>0.188232900471591</v>
      </c>
      <c r="CL351" s="222">
        <f>CL120/CL254</f>
        <v>0.339613128241937</v>
      </c>
      <c r="CM351" s="222">
        <f>CM120/CM254</f>
        <v>0.110562868258166</v>
      </c>
      <c r="CN351" s="222">
        <f>CN120/CN254</f>
        <v>0.231988893580345</v>
      </c>
      <c r="CP351" s="222">
        <f>CP120/CP254</f>
        <v>0.188303683394247</v>
      </c>
      <c r="CQ351" s="222">
        <f>CQ120/CQ254</f>
        <v>0.339696865441058</v>
      </c>
      <c r="CR351" s="222">
        <f>CR120/CR254</f>
        <v>0.110587361922034</v>
      </c>
      <c r="CS351" s="222">
        <f>CS120/CS254</f>
        <v>0.23202792327937</v>
      </c>
      <c r="CU351" s="222">
        <f>CU120/CU254</f>
        <v>0.18832983313278</v>
      </c>
      <c r="CV351" s="222">
        <f>CV120/CV254</f>
        <v>0.33972782420234</v>
      </c>
      <c r="CW351" s="222">
        <f>CW120/CW254</f>
        <v>0.110596404614114</v>
      </c>
      <c r="CX351" s="222">
        <f>CX120/CX254</f>
        <v>0.232042354025347</v>
      </c>
    </row>
    <row r="353">
      <c r="C353" s="53" t="inlineStr">
        <is>
          <t>Scenario Analysis</t>
        </is>
      </c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  <c r="AA353" s="53" t="n"/>
      <c r="AB353" s="53" t="n"/>
      <c r="AC353" s="53" t="n"/>
      <c r="AD353" s="53" t="n"/>
      <c r="AE353" s="53" t="n"/>
      <c r="AF353" s="53" t="n"/>
      <c r="AG353" s="53" t="n"/>
      <c r="AH353" s="53" t="n"/>
      <c r="AI353" s="53" t="n"/>
      <c r="AJ353" s="53" t="n"/>
      <c r="AK353" s="53" t="n"/>
      <c r="AL353" s="53" t="n"/>
      <c r="AM353" s="53" t="n"/>
      <c r="AN353" s="53" t="n"/>
      <c r="AO353" s="53" t="n"/>
      <c r="AP353" s="53" t="n"/>
      <c r="AQ353" s="53" t="n"/>
      <c r="AR353" s="53" t="n"/>
      <c r="AS353" s="53" t="n"/>
      <c r="AT353" s="53" t="n"/>
      <c r="AU353" s="53" t="n"/>
      <c r="AV353" s="53" t="n"/>
      <c r="AW353" s="53" t="n"/>
      <c r="AX353" s="53" t="n"/>
      <c r="AY353" s="53" t="n"/>
      <c r="AZ353" s="53" t="n"/>
      <c r="BA353" s="53" t="n"/>
      <c r="BB353" s="53" t="n"/>
      <c r="BC353" s="53" t="n"/>
      <c r="BD353" s="53" t="n"/>
      <c r="BE353" s="53" t="n"/>
      <c r="BF353" s="53" t="n"/>
      <c r="BG353" s="53" t="n"/>
      <c r="BH353" s="53" t="n"/>
      <c r="BI353" s="53" t="n"/>
      <c r="BJ353" s="53" t="n"/>
      <c r="BK353" s="53" t="n"/>
      <c r="BL353" s="53" t="n"/>
      <c r="BM353" s="53" t="n"/>
      <c r="BN353" s="53" t="n"/>
      <c r="BO353" s="53" t="n"/>
      <c r="BP353" s="53" t="n"/>
      <c r="BQ353" s="53" t="n"/>
      <c r="BR353" s="53" t="n"/>
      <c r="BS353" s="53" t="n"/>
      <c r="BT353" s="53" t="n"/>
      <c r="BU353" s="53" t="n"/>
      <c r="BV353" s="53" t="n"/>
      <c r="BW353" s="53" t="n"/>
      <c r="BX353" s="53" t="n"/>
      <c r="BY353" s="53" t="n"/>
      <c r="BZ353" s="53" t="n"/>
      <c r="CA353" s="53" t="n"/>
      <c r="CB353" s="53" t="n"/>
      <c r="CC353" s="53" t="n"/>
      <c r="CD353" s="53" t="n"/>
      <c r="CE353" s="53" t="n"/>
      <c r="CF353" s="53" t="n"/>
      <c r="CG353" s="53" t="n"/>
      <c r="CH353" s="53" t="n"/>
      <c r="CI353" s="53" t="n"/>
      <c r="CJ353" s="53" t="n"/>
      <c r="CK353" s="53" t="n"/>
      <c r="CL353" s="53" t="n"/>
      <c r="CM353" s="53" t="n"/>
      <c r="CN353" s="53" t="n"/>
      <c r="CO353" s="53" t="n"/>
      <c r="CP353" s="53" t="n"/>
      <c r="CQ353" s="53" t="n"/>
      <c r="CR353" s="53" t="n"/>
      <c r="CS353" s="53" t="n"/>
      <c r="CT353" s="53" t="n"/>
      <c r="CU353" s="53" t="n"/>
      <c r="CV353" s="53" t="n"/>
      <c r="CW353" s="53" t="n"/>
      <c r="CX353" s="53" t="n"/>
      <c r="CY353" s="53" t="n"/>
    </row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6">
      <c r="C366" s="4" t="inlineStr">
        <is>
          <t>% Gross Margin</t>
        </is>
      </c>
    </row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2">
      <c r="C372" s="4" t="inlineStr">
        <is>
          <t>Capital expenditures</t>
        </is>
      </c>
    </row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298:G298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298:L298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298:Q298">
    <cfRule type="cellIs" priority="44" operator="notEqual" dxfId="0">
      <formula>0</formula>
    </cfRule>
  </conditionalFormatting>
  <conditionalFormatting sqref="S298:V298">
    <cfRule type="cellIs" priority="43" operator="notEqual" dxfId="0">
      <formula>0</formula>
    </cfRule>
  </conditionalFormatting>
  <conditionalFormatting sqref="X298:AA298">
    <cfRule type="cellIs" priority="42" operator="notEqual" dxfId="0">
      <formula>0</formula>
    </cfRule>
  </conditionalFormatting>
  <conditionalFormatting sqref="AC298:AF298">
    <cfRule type="cellIs" priority="41" operator="notEqual" dxfId="0">
      <formula>0</formula>
    </cfRule>
  </conditionalFormatting>
  <conditionalFormatting sqref="AH298:AK298">
    <cfRule type="cellIs" priority="14" operator="notEqual" dxfId="0">
      <formula>0</formula>
    </cfRule>
  </conditionalFormatting>
  <conditionalFormatting sqref="AM298:AP298">
    <cfRule type="cellIs" priority="13" operator="notEqual" dxfId="0">
      <formula>0</formula>
    </cfRule>
  </conditionalFormatting>
  <conditionalFormatting sqref="AR298:AU298">
    <cfRule type="cellIs" priority="12" operator="notEqual" dxfId="0">
      <formula>0</formula>
    </cfRule>
  </conditionalFormatting>
  <conditionalFormatting sqref="AW298:AZ298">
    <cfRule type="cellIs" priority="11" operator="notEqual" dxfId="0">
      <formula>0</formula>
    </cfRule>
  </conditionalFormatting>
  <conditionalFormatting sqref="BB298:BE298">
    <cfRule type="cellIs" priority="10" operator="notEqual" dxfId="0">
      <formula>0</formula>
    </cfRule>
  </conditionalFormatting>
  <conditionalFormatting sqref="BG298:BJ298">
    <cfRule type="cellIs" priority="9" operator="notEqual" dxfId="0">
      <formula>0</formula>
    </cfRule>
  </conditionalFormatting>
  <conditionalFormatting sqref="BL298:BO298">
    <cfRule type="cellIs" priority="8" operator="notEqual" dxfId="0">
      <formula>0</formula>
    </cfRule>
  </conditionalFormatting>
  <conditionalFormatting sqref="BQ298:BT298">
    <cfRule type="cellIs" priority="7" operator="notEqual" dxfId="0">
      <formula>0</formula>
    </cfRule>
  </conditionalFormatting>
  <conditionalFormatting sqref="BV298:BY298">
    <cfRule type="cellIs" priority="6" operator="notEqual" dxfId="0">
      <formula>0</formula>
    </cfRule>
  </conditionalFormatting>
  <conditionalFormatting sqref="CA298:CD298">
    <cfRule type="cellIs" priority="5" operator="notEqual" dxfId="0">
      <formula>0</formula>
    </cfRule>
  </conditionalFormatting>
  <conditionalFormatting sqref="CF298:CI298">
    <cfRule type="cellIs" priority="4" operator="notEqual" dxfId="0">
      <formula>0</formula>
    </cfRule>
  </conditionalFormatting>
  <conditionalFormatting sqref="CK298:CN298">
    <cfRule type="cellIs" priority="3" operator="notEqual" dxfId="0">
      <formula>0</formula>
    </cfRule>
  </conditionalFormatting>
  <conditionalFormatting sqref="CP298:CS298">
    <cfRule type="cellIs" priority="2" operator="notEqual" dxfId="0">
      <formula>0</formula>
    </cfRule>
  </conditionalFormatting>
  <conditionalFormatting sqref="CU298:CX298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67060</v>
      </c>
      <c r="E18" s="83">
        <f>Model!AB15</f>
        <v>64809</v>
      </c>
      <c r="F18" s="83">
        <f>Model!AG15</f>
        <v>67589</v>
      </c>
      <c r="G18" s="83">
        <f>Model!AL15</f>
        <v>74729</v>
      </c>
      <c r="H18" s="83">
        <f>Model!AQ15</f>
        <v>74729</v>
      </c>
      <c r="I18" s="83">
        <f>Model!AV15</f>
        <v>74729</v>
      </c>
      <c r="J18" s="83">
        <f>Model!BA15</f>
        <v>74729</v>
      </c>
      <c r="K18" s="83">
        <f>Model!BF15</f>
        <v>74729</v>
      </c>
      <c r="L18" s="83">
        <f>Model!BK15</f>
        <v>74729</v>
      </c>
      <c r="M18" s="83">
        <f>Model!BP15</f>
        <v>74729</v>
      </c>
      <c r="N18" s="83">
        <f>Model!BU15</f>
        <v>74729</v>
      </c>
      <c r="O18" s="83">
        <f>Model!BZ15</f>
        <v>74729</v>
      </c>
      <c r="P18" s="83">
        <f>Model!CE15</f>
        <v>74729</v>
      </c>
      <c r="Q18" s="83">
        <f>Model!CJ15</f>
        <v>74729</v>
      </c>
      <c r="R18" s="83">
        <f>Model!CO15</f>
        <v>74729</v>
      </c>
      <c r="S18" s="83" t="n"/>
      <c r="T18" s="83" t="n"/>
      <c r="U18" s="83" t="n"/>
      <c r="V18" s="84" t="n"/>
      <c r="X18" s="85">
        <f>((L18/F18)^(1/6))-1</f>
        <v>0.0168780157988142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-0.0335669549657024</v>
      </c>
      <c r="F19" s="87">
        <f>F18/E18-1</f>
        <v>0.0428952768905553</v>
      </c>
      <c r="G19" s="87">
        <f>G18/F18-1</f>
        <v>0.105638491470506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Model!W52</f>
        <v>15110</v>
      </c>
      <c r="E20" s="83">
        <f>Model!AB52</f>
        <v>15225</v>
      </c>
      <c r="F20" s="83">
        <f>Model!AG52</f>
        <v>13413</v>
      </c>
      <c r="G20" s="83">
        <f>Model!AL52</f>
        <v>8591</v>
      </c>
      <c r="H20" s="83">
        <f>Model!AQ52</f>
        <v>0</v>
      </c>
      <c r="I20" s="83">
        <f>Model!BA52</f>
        <v>0</v>
      </c>
      <c r="J20" s="83">
        <f>Model!BA52</f>
        <v>0</v>
      </c>
      <c r="K20" s="83">
        <f>Model!BF52</f>
        <v>0</v>
      </c>
      <c r="L20" s="83">
        <f>Model!BK52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0.225320608410379</v>
      </c>
      <c r="E21" s="92">
        <f>E20/E18</f>
        <v>0.234921075776513</v>
      </c>
      <c r="F21" s="92">
        <f>F20/F18</f>
        <v>0.198449451833878</v>
      </c>
      <c r="G21" s="92">
        <f>G20/G18</f>
        <v>0.114962062920687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Model!W56</f>
        <v>12966</v>
      </c>
      <c r="E22" s="83">
        <f>Model!AB56</f>
        <v>13072</v>
      </c>
      <c r="F22" s="83">
        <f>Model!AG56</f>
        <v>11151</v>
      </c>
      <c r="G22" s="83">
        <f>Model!AL56</f>
        <v>7380</v>
      </c>
      <c r="H22" s="83">
        <f>Model!AQ56</f>
        <v>0</v>
      </c>
      <c r="I22" s="83">
        <f>Model!AV56</f>
        <v>0</v>
      </c>
      <c r="J22" s="83">
        <f>Model!BA56</f>
        <v>0</v>
      </c>
      <c r="K22" s="83">
        <f>Model!BF56</f>
        <v>0</v>
      </c>
      <c r="L22" s="83">
        <f>Model!BK56</f>
        <v>0</v>
      </c>
      <c r="M22" s="83">
        <f>Model!BP56</f>
        <v>0</v>
      </c>
      <c r="N22" s="83">
        <f>Model!BU56</f>
        <v>0</v>
      </c>
      <c r="O22" s="83">
        <f>Model!BZ56</f>
        <v>0</v>
      </c>
      <c r="P22" s="83">
        <f>Model!CE56</f>
        <v>0</v>
      </c>
      <c r="Q22" s="83">
        <f>Model!CJ56</f>
        <v>0</v>
      </c>
      <c r="R22" s="83">
        <f>Model!CO56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0.193349239487027</v>
      </c>
      <c r="E23" s="92">
        <f>E22/E18</f>
        <v>0.201700381119906</v>
      </c>
      <c r="F23" s="92">
        <f>F22/F18</f>
        <v>0.16498246756129</v>
      </c>
      <c r="G23" s="92">
        <f>G22/G18</f>
        <v>0.0987568413868779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Model!W115</f>
        <v>0.213103448275862</v>
      </c>
      <c r="E24" s="95">
        <f>Model!AB115</f>
        <v>0.196590144320646</v>
      </c>
      <c r="F24" s="95">
        <f>Model!AG115</f>
        <v>0.239840568408284</v>
      </c>
      <c r="G24" s="95">
        <f>Model!AL115</f>
        <v>0.211448884530522</v>
      </c>
      <c r="H24" s="95">
        <f>Model!AQ115</f>
        <v>0</v>
      </c>
      <c r="I24" s="95">
        <f>Model!AV115</f>
        <v>0</v>
      </c>
      <c r="J24" s="95">
        <f>Model!BA115</f>
        <v>0</v>
      </c>
      <c r="K24" s="95">
        <f>Model!BF115</f>
        <v>0</v>
      </c>
      <c r="L24" s="95">
        <f>Model!BK115</f>
        <v>0</v>
      </c>
      <c r="M24" s="95">
        <f>Model!BP115</f>
        <v>0</v>
      </c>
      <c r="N24" s="95">
        <f>Model!BU115</f>
        <v>0</v>
      </c>
      <c r="O24" s="95">
        <f>Model!BZ115</f>
        <v>0</v>
      </c>
      <c r="P24" s="95">
        <f>Model!CE115</f>
        <v>0</v>
      </c>
      <c r="Q24" s="95">
        <f>Model!CJ115</f>
        <v>0</v>
      </c>
      <c r="R24" s="95">
        <f>Model!CO115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10202.9006896552</v>
      </c>
      <c r="E25" s="97">
        <f>E22*(1-E24)</f>
        <v>10502.1736334405</v>
      </c>
      <c r="F25" s="97">
        <f>F22*(1-F24)</f>
        <v>8476.53782167923</v>
      </c>
      <c r="G25" s="97">
        <f>G22*(1-G24)</f>
        <v>5819.50723216475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Model!W53</f>
        <v>-2144</v>
      </c>
      <c r="E26" s="100">
        <f>Model!AB53</f>
        <v>-2153</v>
      </c>
      <c r="F26" s="100">
        <f>Model!AG53</f>
        <v>-2262</v>
      </c>
      <c r="G26" s="100">
        <f>Model!AL53</f>
        <v>-1211</v>
      </c>
      <c r="H26" s="100">
        <f>Model!AQ53</f>
        <v>0</v>
      </c>
      <c r="I26" s="100">
        <f>Model!AV53</f>
        <v>0</v>
      </c>
      <c r="J26" s="100">
        <f>Model!BA53</f>
        <v>0</v>
      </c>
      <c r="K26" s="100">
        <f>Model!BF53</f>
        <v>0</v>
      </c>
      <c r="L26" s="101">
        <f>Model!BK53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-4045</v>
      </c>
      <c r="E27" s="103">
        <f>SUM(E28:E39)</f>
        <v>-162</v>
      </c>
      <c r="F27" s="103">
        <f>SUM(F28:F39)</f>
        <v>-1953</v>
      </c>
      <c r="G27" s="103">
        <f>SUM(G28:G39)</f>
        <v>13575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Model!W263</f>
        <v>-454</v>
      </c>
      <c r="E28" s="106">
        <f>Model!AB263</f>
        <v>28</v>
      </c>
      <c r="F28" s="106">
        <f>Model!AG263</f>
        <v>-1638</v>
      </c>
      <c r="G28" s="106">
        <f>Model!AL263</f>
        <v>10920</v>
      </c>
      <c r="H28" s="106">
        <f>Model!AQ263</f>
        <v>0</v>
      </c>
      <c r="I28" s="106">
        <f>Model!AV263</f>
        <v>0</v>
      </c>
      <c r="J28" s="106">
        <f>Model!BA263</f>
        <v>0</v>
      </c>
      <c r="K28" s="106">
        <f>Model!BF263</f>
        <v>0</v>
      </c>
      <c r="L28" s="107">
        <f>Model!BK263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Model!W264</f>
        <v>-295</v>
      </c>
      <c r="E29" s="106">
        <f>Model!AB264</f>
        <v>-262</v>
      </c>
      <c r="F29" s="106">
        <f>Model!AG264</f>
        <v>-1308</v>
      </c>
      <c r="G29" s="106">
        <f>Model!AL264</f>
        <v>18135</v>
      </c>
      <c r="H29" s="106">
        <f>Model!AQ264</f>
        <v>0</v>
      </c>
      <c r="I29" s="106">
        <f>Model!AV264</f>
        <v>0</v>
      </c>
      <c r="J29" s="106">
        <f>Model!BA264</f>
        <v>0</v>
      </c>
      <c r="K29" s="106">
        <f>Model!BF264</f>
        <v>0</v>
      </c>
      <c r="L29" s="107">
        <f>Model!BK264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Model!W265</f>
        <v>0</v>
      </c>
      <c r="E30" s="106">
        <f>Model!AB265</f>
        <v>0</v>
      </c>
      <c r="F30" s="106">
        <f>Model!AG265</f>
        <v>0</v>
      </c>
      <c r="G30" s="106">
        <f>Model!AL265</f>
        <v>0</v>
      </c>
      <c r="H30" s="106">
        <f>Model!AQ265</f>
        <v>0</v>
      </c>
      <c r="I30" s="106">
        <f>Model!AV265</f>
        <v>0</v>
      </c>
      <c r="J30" s="106">
        <f>Model!BA265</f>
        <v>0</v>
      </c>
      <c r="K30" s="106">
        <f>Model!BF265</f>
        <v>0</v>
      </c>
      <c r="L30" s="107">
        <f>Model!BK265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Model!W266</f>
        <v>0</v>
      </c>
      <c r="E31" s="106">
        <f>Model!AB266</f>
        <v>0</v>
      </c>
      <c r="F31" s="106">
        <f>Model!AG266</f>
        <v>0</v>
      </c>
      <c r="G31" s="106">
        <f>Model!AL266</f>
        <v>0</v>
      </c>
      <c r="H31" s="106">
        <f>Model!AQ266</f>
        <v>0</v>
      </c>
      <c r="I31" s="106">
        <f>Model!AV266</f>
        <v>0</v>
      </c>
      <c r="J31" s="106">
        <f>Model!BA266</f>
        <v>0</v>
      </c>
      <c r="K31" s="106">
        <f>Model!BF266</f>
        <v>0</v>
      </c>
      <c r="L31" s="107">
        <f>Model!BK266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Model!W267</f>
        <v>-2441</v>
      </c>
      <c r="E32" s="106">
        <f>Model!AB267</f>
        <v>1412</v>
      </c>
      <c r="F32" s="106">
        <f>Model!AG267</f>
        <v>-766</v>
      </c>
      <c r="G32" s="106">
        <f>Model!AL267</f>
        <v>-472</v>
      </c>
      <c r="H32" s="106">
        <f>Model!AQ267</f>
        <v>0</v>
      </c>
      <c r="I32" s="106">
        <f>Model!AV267</f>
        <v>0</v>
      </c>
      <c r="J32" s="106">
        <f>Model!BA267</f>
        <v>0</v>
      </c>
      <c r="K32" s="106">
        <f>Model!BF267</f>
        <v>0</v>
      </c>
      <c r="L32" s="107">
        <f>Model!BK267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Model!W268</f>
        <v>-783</v>
      </c>
      <c r="E33" s="106">
        <f>Model!AB268</f>
        <v>-231</v>
      </c>
      <c r="F33" s="106">
        <f>Model!AG268</f>
        <v>1293</v>
      </c>
      <c r="G33" s="106">
        <f>Model!AL268</f>
        <v>-8968</v>
      </c>
      <c r="H33" s="106">
        <f>Model!AQ268</f>
        <v>0</v>
      </c>
      <c r="I33" s="106">
        <f>Model!AV268</f>
        <v>0</v>
      </c>
      <c r="J33" s="106">
        <f>Model!BA268</f>
        <v>0</v>
      </c>
      <c r="K33" s="106">
        <f>Model!BF268</f>
        <v>0</v>
      </c>
      <c r="L33" s="107">
        <f>Model!BK268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Model!W269</f>
        <v>1322</v>
      </c>
      <c r="E34" s="106">
        <f>Model!AB269</f>
        <v>-81</v>
      </c>
      <c r="F34" s="106">
        <f>Model!AG269</f>
        <v>507</v>
      </c>
      <c r="G34" s="106">
        <f>Model!AL269</f>
        <v>-8141</v>
      </c>
      <c r="H34" s="106" t="e">
        <f>Model!AQ269</f>
        <v>#DIV/0!</v>
      </c>
      <c r="I34" s="106" t="e">
        <f>Model!AV269</f>
        <v>#DIV/0!</v>
      </c>
      <c r="J34" s="106" t="e">
        <f>Model!BA269</f>
        <v>#DIV/0!</v>
      </c>
      <c r="K34" s="106" t="e">
        <f>Model!BF269</f>
        <v>#DIV/0!</v>
      </c>
      <c r="L34" s="107" t="e">
        <f>Model!BK269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Model!W270</f>
        <v>0</v>
      </c>
      <c r="E35" s="106">
        <f>Model!AB270</f>
        <v>0</v>
      </c>
      <c r="F35" s="106">
        <f>Model!AG270</f>
        <v>0</v>
      </c>
      <c r="G35" s="106">
        <f>Model!AL270</f>
        <v>0</v>
      </c>
      <c r="H35" s="106" t="e">
        <f>Model!AQ270</f>
        <v>#DIV/0!</v>
      </c>
      <c r="I35" s="106" t="e">
        <f>Model!AV270</f>
        <v>#DIV/0!</v>
      </c>
      <c r="J35" s="106" t="e">
        <f>Model!BA270</f>
        <v>#DIV/0!</v>
      </c>
      <c r="K35" s="106" t="e">
        <f>Model!BF270</f>
        <v>#DIV/0!</v>
      </c>
      <c r="L35" s="107" t="e">
        <f>Model!BK270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Model!W271</f>
        <v>531</v>
      </c>
      <c r="E36" s="106">
        <f>Model!AB271</f>
        <v>204</v>
      </c>
      <c r="F36" s="106">
        <f>Model!AG271</f>
        <v>910</v>
      </c>
      <c r="G36" s="106">
        <f>Model!AL271</f>
        <v>1582</v>
      </c>
      <c r="H36" s="106">
        <f>Model!AQ271</f>
        <v>0</v>
      </c>
      <c r="I36" s="106">
        <f>Model!AV271</f>
        <v>0</v>
      </c>
      <c r="J36" s="106">
        <f>Model!BA271</f>
        <v>0</v>
      </c>
      <c r="K36" s="106">
        <f>Model!BF271</f>
        <v>0</v>
      </c>
      <c r="L36" s="107">
        <f>Model!BK271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Model!W272</f>
        <v>0</v>
      </c>
      <c r="E37" s="106">
        <f>Model!AB272</f>
        <v>0</v>
      </c>
      <c r="F37" s="106">
        <f>Model!AG272</f>
        <v>0</v>
      </c>
      <c r="G37" s="106">
        <f>Model!AL272</f>
        <v>0</v>
      </c>
      <c r="H37" s="106">
        <f>Model!AQ272</f>
        <v>0</v>
      </c>
      <c r="I37" s="106">
        <f>Model!AV272</f>
        <v>0</v>
      </c>
      <c r="J37" s="106">
        <f>Model!BA272</f>
        <v>0</v>
      </c>
      <c r="K37" s="106">
        <f>Model!BF272</f>
        <v>0</v>
      </c>
      <c r="L37" s="107">
        <f>Model!BK272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(Model!W172-Model!R172)*-1</f>
        <v>-1891</v>
      </c>
      <c r="E38" s="106">
        <f>(Model!AB172-Model!W172)*-1</f>
        <v>-1106</v>
      </c>
      <c r="F38" s="106">
        <f>(Model!AG172-Model!AB172)*-1</f>
        <v>-2317</v>
      </c>
      <c r="G38" s="106">
        <f>(Model!AL172-Model!AG172)*-1</f>
        <v>-854</v>
      </c>
      <c r="H38" s="106">
        <f>(Model!AQ172-Model!AL172)*-1</f>
        <v>0</v>
      </c>
      <c r="I38" s="106">
        <f>(Model!AV172-Model!AQ172)*-1</f>
        <v>0</v>
      </c>
      <c r="J38" s="106">
        <f>(Model!BA172-Model!AV172)*-1</f>
        <v>0</v>
      </c>
      <c r="K38" s="106">
        <f>(Model!BF172-Model!BA172)*-1</f>
        <v>0</v>
      </c>
      <c r="L38" s="107">
        <f>(Model!BK172-Model!BF172)*-1</f>
        <v>0</v>
      </c>
      <c r="M38">
        <f>(Model!BP172-Model!BK172)*-1</f>
        <v>0</v>
      </c>
      <c r="N38">
        <f>(Model!BU172-Model!BP172)*-1</f>
        <v>0</v>
      </c>
      <c r="O38">
        <f>(Model!BZ172-Model!BU172)*-1</f>
        <v>0</v>
      </c>
      <c r="P38">
        <f>(Model!CE172-Model!BZ172)*-1</f>
        <v>0</v>
      </c>
      <c r="Q38">
        <f>(Model!CJ172-Model!CE172)*-1</f>
        <v>0</v>
      </c>
      <c r="R38">
        <f>(Model!CO172-Model!CJ172)*-1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Model!W223-Model!R223</f>
        <v>-34</v>
      </c>
      <c r="E39" s="106">
        <f>Model!AB223-Model!W223</f>
        <v>-126</v>
      </c>
      <c r="F39" s="106">
        <f>Model!AG223-Model!AB223</f>
        <v>1366</v>
      </c>
      <c r="G39" s="106">
        <f>Model!AL223-Model!AG223</f>
        <v>1373</v>
      </c>
      <c r="H39" s="106">
        <f>Model!AQ223-Model!AL223</f>
        <v>0</v>
      </c>
      <c r="I39" s="106">
        <f>Model!AV223-Model!AQ223</f>
        <v>0</v>
      </c>
      <c r="J39" s="106">
        <f>Model!BA223-Model!AV223</f>
        <v>0</v>
      </c>
      <c r="K39" s="106">
        <f>Model!BF223-Model!BA223</f>
        <v>0</v>
      </c>
      <c r="L39" s="107">
        <f>Model!BK223-Model!BF223</f>
        <v>0</v>
      </c>
      <c r="M39">
        <f>Model!BP223-Model!BK223</f>
        <v>0</v>
      </c>
      <c r="N39">
        <f>Model!BU223-Model!BP223</f>
        <v>0</v>
      </c>
      <c r="O39">
        <f>Model!BZ223-Model!BU223</f>
        <v>0</v>
      </c>
      <c r="P39">
        <f>Model!CE223-Model!BZ223</f>
        <v>0</v>
      </c>
      <c r="Q39">
        <f>Model!CJ223-Model!CE223</f>
        <v>0</v>
      </c>
      <c r="R39">
        <f>Model!CO223-Model!CJ223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-6189</v>
      </c>
      <c r="E44" s="103">
        <f>SUM(E27+E40+E41+E42+E26)</f>
        <v>-2315</v>
      </c>
      <c r="F44" s="103">
        <f>SUM(F27+F40+F41+F42+F26)</f>
        <v>-4215</v>
      </c>
      <c r="G44" s="103">
        <f>SUM(G27+G40+G41+G42+G26)</f>
        <v>12364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Model!W333</f>
        <v>50403</v>
      </c>
      <c r="E46" s="106">
        <f>Model!AB333</f>
        <v>51014</v>
      </c>
      <c r="F46" s="106">
        <f>Model!AG333</f>
        <v>54668</v>
      </c>
      <c r="G46" s="106">
        <f>Model!AL333</f>
        <v>41878</v>
      </c>
      <c r="H46" s="106" t="e">
        <f>Model!AQ333</f>
        <v>#DIV/0!</v>
      </c>
      <c r="I46" s="106" t="e">
        <f>Model!AV333</f>
        <v>#DIV/0!</v>
      </c>
      <c r="J46" s="106" t="e">
        <f>Model!BA333</f>
        <v>#DIV/0!</v>
      </c>
      <c r="K46" s="106" t="e">
        <f>Model!BF333</f>
        <v>#DIV/0!</v>
      </c>
      <c r="L46" s="106" t="e">
        <f>Model!BK333</f>
        <v>#DIV/0!</v>
      </c>
      <c r="M46" s="115" t="e">
        <f>Model!BP333</f>
        <v>#DIV/0!</v>
      </c>
      <c r="N46" s="115" t="e">
        <f>Model!BU333</f>
        <v>#DIV/0!</v>
      </c>
      <c r="O46" s="115" t="e">
        <f>Model!BZ333</f>
        <v>#DIV/0!</v>
      </c>
      <c r="P46" s="115" t="e">
        <f>Model!CE333</f>
        <v>#DIV/0!</v>
      </c>
      <c r="Q46" s="115" t="e">
        <f>Model!CJ333</f>
        <v>#DIV/0!</v>
      </c>
      <c r="R46" s="115" t="e">
        <f>Model!CO333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Model!W334</f>
        <v>45095</v>
      </c>
      <c r="E47" s="106">
        <f>Model!AB334</f>
        <v>45773</v>
      </c>
      <c r="F47" s="106">
        <f>Model!AG334</f>
        <v>49347</v>
      </c>
      <c r="G47" s="106">
        <f>Model!AL334</f>
        <v>36019</v>
      </c>
      <c r="H47" s="106" t="e">
        <f>Model!AQ334</f>
        <v>#DIV/0!</v>
      </c>
      <c r="I47" s="106" t="e">
        <f>Model!AV334</f>
        <v>#DIV/0!</v>
      </c>
      <c r="J47" s="106" t="e">
        <f>Model!BA334</f>
        <v>#DIV/0!</v>
      </c>
      <c r="K47" s="106" t="e">
        <f>Model!BF334</f>
        <v>#DIV/0!</v>
      </c>
      <c r="L47" s="106" t="e">
        <f>Model!BK334</f>
        <v>#DIV/0!</v>
      </c>
      <c r="M47" t="e">
        <f>Model!BP334</f>
        <v>#DIV/0!</v>
      </c>
      <c r="N47" t="e">
        <f>Model!BU334</f>
        <v>#DIV/0!</v>
      </c>
      <c r="O47" t="e">
        <f>Model!BZ334</f>
        <v>#DIV/0!</v>
      </c>
      <c r="P47" t="e">
        <f>Model!CE334</f>
        <v>#DIV/0!</v>
      </c>
      <c r="Q47" t="e">
        <f>Model!CJ334</f>
        <v>#DIV/0!</v>
      </c>
      <c r="R47" t="e">
        <f>Model!CO334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0.751610498061438</v>
      </c>
      <c r="E48" s="92">
        <f>E46/E18</f>
        <v>0.787143760897406</v>
      </c>
      <c r="F48" s="92">
        <f>F46/F18</f>
        <v>0.808829839175014</v>
      </c>
      <c r="G48" s="92">
        <f>G46/G18</f>
        <v>0.560398238970146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0.120554082658313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1.3304763605341</v>
      </c>
      <c r="E51" s="124">
        <f>E18/E46</f>
        <v>1.27041596424511</v>
      </c>
      <c r="F51" s="124">
        <f>F18/F46</f>
        <v>1.23635399136606</v>
      </c>
      <c r="G51" s="124">
        <f>G18/G46</f>
        <v>1.78444529347151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4013.90068965517</v>
      </c>
      <c r="E53" s="125">
        <f>E25+E44</f>
        <v>8187.17363344051</v>
      </c>
      <c r="F53" s="125">
        <f>F25+F44</f>
        <v>4261.53782167923</v>
      </c>
      <c r="G53" s="126">
        <f>(G25+G44)*stub_year_fraction</f>
        <v>4732.69366316617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0.239840568408284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2026-10-14T11:55:27Z</dcterms:modified>
  <cp:lastModifiedBy>Lucas Nascimento</cp:lastModifiedBy>
</cp:coreProperties>
</file>