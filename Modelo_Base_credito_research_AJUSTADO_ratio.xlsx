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nça\AppData\Local\Temp\claude\C--Users-Con-a-OneDrive-Documentos-Projeto-de-carreira\6af3464f-a475-4979-a1d1-779e249a6024\scratchpad\ratio\out\"/>
    </mc:Choice>
  </mc:AlternateContent>
  <xr:revisionPtr revIDLastSave="0" documentId="13_ncr:1_{984BCBA7-6C78-45FC-A6E4-F4AF9EACB653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Inputs" sheetId="1" r:id="rId1"/>
    <sheet name="Inputs (2)" sheetId="2" r:id="rId2"/>
    <sheet name="Model" sheetId="3" r:id="rId3"/>
    <sheet name="Valuation" sheetId="4" r:id="rId4"/>
    <sheet name="Control" sheetId="5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 localSheetId="1">#REF!</definedName>
    <definedName name="beta_observed">Valuation!$D$93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market_equity" localSheetId="3">Valuation!$G$89</definedName>
    <definedName name="noplat_t1" localSheetId="3">Valuation!$D$65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RowLevel" hidden="1">1</definedName>
    <definedName name="stub_year_fraction" localSheetId="3">Valuation!$D$11</definedName>
    <definedName name="TBdbName" hidden="1">"88D5BF544BE111D2B8C5006097494125.mdb"</definedName>
    <definedName name="TextRefCopyRangeCount" hidden="1">68</definedName>
    <definedName name="ticker" localSheetId="1">#REF!</definedName>
    <definedName name="ticker">Valuation!$D$7</definedName>
    <definedName name="totalcap" localSheetId="3">Valuation!$G$90</definedName>
    <definedName name="Useful_Life_of_Depreciable_PP_E">"PPElife"</definedName>
    <definedName name="wacc" localSheetId="3">Valuation!$D$12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4" i="3" l="1"/>
  <c r="I334" i="3"/>
  <c r="J334" i="3"/>
  <c r="K334" i="3"/>
  <c r="H332" i="3"/>
  <c r="H331" i="3"/>
  <c r="I331" i="3"/>
  <c r="J331" i="3"/>
  <c r="K331" i="3"/>
  <c r="H330" i="3"/>
  <c r="H333" i="3" s="1"/>
  <c r="I330" i="3"/>
  <c r="J330" i="3"/>
  <c r="K330" i="3"/>
  <c r="H321" i="3"/>
  <c r="H320" i="3"/>
  <c r="H319" i="3"/>
  <c r="H318" i="3" s="1"/>
  <c r="H316" i="3" s="1"/>
  <c r="H317" i="3" s="1"/>
  <c r="H315" i="3"/>
  <c r="H314" i="3"/>
  <c r="H313" i="3"/>
  <c r="I312" i="3"/>
  <c r="J312" i="3"/>
  <c r="K312" i="3"/>
  <c r="I311" i="3"/>
  <c r="J311" i="3"/>
  <c r="K311" i="3"/>
  <c r="H308" i="3"/>
  <c r="H307" i="3"/>
  <c r="H304" i="3"/>
  <c r="I304" i="3"/>
  <c r="J304" i="3"/>
  <c r="K304" i="3"/>
  <c r="H303" i="3"/>
  <c r="I303" i="3"/>
  <c r="J303" i="3"/>
  <c r="K303" i="3"/>
  <c r="H302" i="3"/>
  <c r="I302" i="3"/>
  <c r="J302" i="3"/>
  <c r="K302" i="3"/>
  <c r="H301" i="3"/>
  <c r="H300" i="3"/>
  <c r="I300" i="3"/>
  <c r="J300" i="3"/>
  <c r="K300" i="3"/>
  <c r="H299" i="3"/>
  <c r="I299" i="3"/>
  <c r="J299" i="3"/>
  <c r="K299" i="3"/>
  <c r="H298" i="3"/>
  <c r="I298" i="3"/>
  <c r="J298" i="3"/>
  <c r="K298" i="3"/>
  <c r="H295" i="3"/>
  <c r="H294" i="3"/>
  <c r="H291" i="3"/>
  <c r="H290" i="3"/>
  <c r="H289" i="3"/>
  <c r="H288" i="3"/>
  <c r="H287" i="3"/>
  <c r="I287" i="3"/>
  <c r="J287" i="3"/>
  <c r="K287" i="3"/>
  <c r="L287" i="3"/>
  <c r="B33" i="5"/>
  <c r="B32" i="5"/>
  <c r="B13" i="5"/>
  <c r="D93" i="4"/>
  <c r="D92" i="4"/>
  <c r="D91" i="4"/>
  <c r="G89" i="4"/>
  <c r="D87" i="4"/>
  <c r="D79" i="4"/>
  <c r="H76" i="4"/>
  <c r="D72" i="4"/>
  <c r="D63" i="4"/>
  <c r="H59" i="4"/>
  <c r="D59" i="4"/>
  <c r="K42" i="4"/>
  <c r="J42" i="4"/>
  <c r="I42" i="4"/>
  <c r="H42" i="4"/>
  <c r="G42" i="4"/>
  <c r="F42" i="4"/>
  <c r="E42" i="4"/>
  <c r="D42" i="4"/>
  <c r="K41" i="4"/>
  <c r="J41" i="4"/>
  <c r="I41" i="4"/>
  <c r="H41" i="4"/>
  <c r="G41" i="4"/>
  <c r="F41" i="4"/>
  <c r="E41" i="4"/>
  <c r="D41" i="4"/>
  <c r="D19" i="4"/>
  <c r="D11" i="4"/>
  <c r="D10" i="4"/>
  <c r="D9" i="4"/>
  <c r="D8" i="4"/>
  <c r="G7" i="4"/>
  <c r="D7" i="4"/>
  <c r="C98" i="4" s="1"/>
  <c r="G334" i="3"/>
  <c r="F334" i="3"/>
  <c r="E334" i="3"/>
  <c r="D334" i="3"/>
  <c r="G332" i="3"/>
  <c r="F332" i="3"/>
  <c r="E332" i="3"/>
  <c r="D332" i="3"/>
  <c r="G331" i="3"/>
  <c r="F331" i="3"/>
  <c r="E331" i="3"/>
  <c r="D331" i="3"/>
  <c r="G330" i="3"/>
  <c r="G333" i="3" s="1"/>
  <c r="F330" i="3"/>
  <c r="F333" i="3" s="1"/>
  <c r="E330" i="3"/>
  <c r="D330" i="3"/>
  <c r="G321" i="3"/>
  <c r="F321" i="3"/>
  <c r="E321" i="3"/>
  <c r="D321" i="3"/>
  <c r="G320" i="3"/>
  <c r="F320" i="3"/>
  <c r="E320" i="3"/>
  <c r="D320" i="3"/>
  <c r="G319" i="3"/>
  <c r="F319" i="3"/>
  <c r="F318" i="3" s="1"/>
  <c r="E319" i="3"/>
  <c r="D319" i="3"/>
  <c r="G315" i="3"/>
  <c r="G313" i="3" s="1"/>
  <c r="F315" i="3"/>
  <c r="E315" i="3"/>
  <c r="D315" i="3"/>
  <c r="G314" i="3"/>
  <c r="F314" i="3"/>
  <c r="F313" i="3" s="1"/>
  <c r="E314" i="3"/>
  <c r="E313" i="3" s="1"/>
  <c r="D314" i="3"/>
  <c r="D313" i="3" s="1"/>
  <c r="G308" i="3"/>
  <c r="F308" i="3"/>
  <c r="E308" i="3"/>
  <c r="D308" i="3"/>
  <c r="G307" i="3"/>
  <c r="F307" i="3"/>
  <c r="E307" i="3"/>
  <c r="D307" i="3"/>
  <c r="G304" i="3"/>
  <c r="F304" i="3"/>
  <c r="E304" i="3"/>
  <c r="D304" i="3"/>
  <c r="G303" i="3"/>
  <c r="F303" i="3"/>
  <c r="E303" i="3"/>
  <c r="D303" i="3"/>
  <c r="G302" i="3"/>
  <c r="F302" i="3"/>
  <c r="E302" i="3"/>
  <c r="D302" i="3"/>
  <c r="G301" i="3"/>
  <c r="F301" i="3"/>
  <c r="E301" i="3"/>
  <c r="D301" i="3"/>
  <c r="G300" i="3"/>
  <c r="F300" i="3"/>
  <c r="E300" i="3"/>
  <c r="D300" i="3"/>
  <c r="G299" i="3"/>
  <c r="F299" i="3"/>
  <c r="E299" i="3"/>
  <c r="D299" i="3"/>
  <c r="G298" i="3"/>
  <c r="F298" i="3"/>
  <c r="E298" i="3"/>
  <c r="D298" i="3"/>
  <c r="G291" i="3"/>
  <c r="F291" i="3"/>
  <c r="E291" i="3"/>
  <c r="D291" i="3"/>
  <c r="G290" i="3"/>
  <c r="F290" i="3"/>
  <c r="E290" i="3"/>
  <c r="D290" i="3"/>
  <c r="G289" i="3"/>
  <c r="F289" i="3"/>
  <c r="E289" i="3"/>
  <c r="D289" i="3"/>
  <c r="G288" i="3"/>
  <c r="F288" i="3"/>
  <c r="E288" i="3"/>
  <c r="D288" i="3"/>
  <c r="G287" i="3"/>
  <c r="F287" i="3"/>
  <c r="E287" i="3"/>
  <c r="H285" i="3"/>
  <c r="G285" i="3"/>
  <c r="F285" i="3"/>
  <c r="E285" i="3"/>
  <c r="D285" i="3"/>
  <c r="M281" i="3"/>
  <c r="I281" i="3"/>
  <c r="I278" i="3"/>
  <c r="AI262" i="3"/>
  <c r="AH262" i="3"/>
  <c r="AF262" i="3"/>
  <c r="AE262" i="3"/>
  <c r="AD262" i="3"/>
  <c r="AC262" i="3"/>
  <c r="AA262" i="3"/>
  <c r="Z262" i="3"/>
  <c r="Y262" i="3"/>
  <c r="X262" i="3"/>
  <c r="AB262" i="3" s="1"/>
  <c r="V262" i="3"/>
  <c r="U262" i="3"/>
  <c r="T262" i="3"/>
  <c r="S262" i="3"/>
  <c r="Q262" i="3"/>
  <c r="P262" i="3"/>
  <c r="O262" i="3"/>
  <c r="N262" i="3"/>
  <c r="L262" i="3"/>
  <c r="K262" i="3"/>
  <c r="J262" i="3"/>
  <c r="I262" i="3"/>
  <c r="M262" i="3" s="1"/>
  <c r="AI261" i="3"/>
  <c r="AH261" i="3"/>
  <c r="AF261" i="3"/>
  <c r="I261" i="3"/>
  <c r="BE257" i="3"/>
  <c r="BF257" i="3" s="1"/>
  <c r="BD257" i="3"/>
  <c r="BC257" i="3"/>
  <c r="BB257" i="3"/>
  <c r="AZ257" i="3"/>
  <c r="AY257" i="3"/>
  <c r="AX257" i="3"/>
  <c r="AW257" i="3"/>
  <c r="BA257" i="3" s="1"/>
  <c r="AU257" i="3"/>
  <c r="AT257" i="3"/>
  <c r="AS257" i="3"/>
  <c r="AR257" i="3"/>
  <c r="AP257" i="3"/>
  <c r="AO257" i="3"/>
  <c r="AN257" i="3"/>
  <c r="AM257" i="3"/>
  <c r="AK257" i="3"/>
  <c r="AJ257" i="3"/>
  <c r="AI257" i="3"/>
  <c r="AH257" i="3"/>
  <c r="AL257" i="3" s="1"/>
  <c r="AF257" i="3"/>
  <c r="AE257" i="3"/>
  <c r="AD257" i="3"/>
  <c r="AC257" i="3"/>
  <c r="AG257" i="3" s="1"/>
  <c r="AA257" i="3"/>
  <c r="Z257" i="3"/>
  <c r="Y257" i="3"/>
  <c r="X257" i="3"/>
  <c r="V257" i="3"/>
  <c r="U257" i="3"/>
  <c r="T257" i="3"/>
  <c r="S257" i="3"/>
  <c r="W257" i="3" s="1"/>
  <c r="Q257" i="3"/>
  <c r="P257" i="3"/>
  <c r="O257" i="3"/>
  <c r="N257" i="3"/>
  <c r="R257" i="3" s="1"/>
  <c r="L257" i="3"/>
  <c r="K257" i="3"/>
  <c r="J257" i="3"/>
  <c r="I257" i="3"/>
  <c r="BE226" i="3"/>
  <c r="BD226" i="3"/>
  <c r="BC226" i="3"/>
  <c r="BB226" i="3"/>
  <c r="AZ226" i="3"/>
  <c r="AY226" i="3"/>
  <c r="AX226" i="3"/>
  <c r="AW226" i="3"/>
  <c r="AU226" i="3"/>
  <c r="AT226" i="3"/>
  <c r="AS226" i="3"/>
  <c r="AR226" i="3"/>
  <c r="AP226" i="3"/>
  <c r="AO226" i="3"/>
  <c r="AN226" i="3"/>
  <c r="AM226" i="3"/>
  <c r="AK226" i="3"/>
  <c r="AJ226" i="3"/>
  <c r="AI226" i="3"/>
  <c r="AH226" i="3"/>
  <c r="AH225" i="3" s="1"/>
  <c r="I207" i="3"/>
  <c r="I202" i="3"/>
  <c r="BB189" i="3"/>
  <c r="BB183" i="3" s="1"/>
  <c r="AW189" i="3"/>
  <c r="AR189" i="3"/>
  <c r="AM189" i="3"/>
  <c r="AM183" i="3" s="1"/>
  <c r="AH189" i="3"/>
  <c r="AH183" i="3" s="1"/>
  <c r="BE187" i="3"/>
  <c r="BD187" i="3"/>
  <c r="BC187" i="3"/>
  <c r="AZ187" i="3"/>
  <c r="AY187" i="3"/>
  <c r="AX187" i="3"/>
  <c r="AU187" i="3"/>
  <c r="AT187" i="3"/>
  <c r="AS187" i="3"/>
  <c r="AP187" i="3"/>
  <c r="AO187" i="3"/>
  <c r="AN187" i="3"/>
  <c r="AK187" i="3"/>
  <c r="AJ187" i="3"/>
  <c r="AI187" i="3"/>
  <c r="BE183" i="3"/>
  <c r="BF183" i="3" s="1"/>
  <c r="BD183" i="3"/>
  <c r="BC183" i="3"/>
  <c r="AZ183" i="3"/>
  <c r="BA183" i="3" s="1"/>
  <c r="AY183" i="3"/>
  <c r="AX183" i="3"/>
  <c r="AW183" i="3"/>
  <c r="AU183" i="3"/>
  <c r="AV183" i="3" s="1"/>
  <c r="AT183" i="3"/>
  <c r="AS183" i="3"/>
  <c r="AR183" i="3"/>
  <c r="AP183" i="3"/>
  <c r="AQ183" i="3" s="1"/>
  <c r="AO183" i="3"/>
  <c r="AN183" i="3"/>
  <c r="AK183" i="3"/>
  <c r="AL183" i="3" s="1"/>
  <c r="AJ183" i="3"/>
  <c r="AI183" i="3"/>
  <c r="I181" i="3"/>
  <c r="I172" i="3"/>
  <c r="I169" i="3"/>
  <c r="I156" i="3"/>
  <c r="AI150" i="3"/>
  <c r="AH149" i="3"/>
  <c r="AH150" i="3" s="1"/>
  <c r="AE149" i="3"/>
  <c r="AD149" i="3"/>
  <c r="AC149" i="3"/>
  <c r="AA149" i="3"/>
  <c r="Z149" i="3"/>
  <c r="Y149" i="3"/>
  <c r="X149" i="3"/>
  <c r="V149" i="3"/>
  <c r="U149" i="3"/>
  <c r="T149" i="3"/>
  <c r="S149" i="3"/>
  <c r="Q149" i="3"/>
  <c r="P149" i="3"/>
  <c r="O149" i="3"/>
  <c r="N149" i="3"/>
  <c r="L149" i="3"/>
  <c r="K149" i="3"/>
  <c r="J149" i="3"/>
  <c r="I149" i="3"/>
  <c r="I143" i="3"/>
  <c r="BE135" i="3"/>
  <c r="BE262" i="3" s="1"/>
  <c r="BD135" i="3"/>
  <c r="BD262" i="3" s="1"/>
  <c r="BC135" i="3"/>
  <c r="BC262" i="3" s="1"/>
  <c r="BB135" i="3"/>
  <c r="BB262" i="3" s="1"/>
  <c r="AZ135" i="3"/>
  <c r="AZ262" i="3" s="1"/>
  <c r="AY135" i="3"/>
  <c r="AY262" i="3" s="1"/>
  <c r="AX135" i="3"/>
  <c r="AX262" i="3" s="1"/>
  <c r="AW135" i="3"/>
  <c r="AW262" i="3" s="1"/>
  <c r="AU135" i="3"/>
  <c r="AU262" i="3" s="1"/>
  <c r="AT135" i="3"/>
  <c r="AT262" i="3" s="1"/>
  <c r="AS135" i="3"/>
  <c r="AS262" i="3" s="1"/>
  <c r="AR135" i="3"/>
  <c r="AR262" i="3" s="1"/>
  <c r="AP135" i="3"/>
  <c r="AP262" i="3" s="1"/>
  <c r="AO135" i="3"/>
  <c r="AO262" i="3" s="1"/>
  <c r="AN135" i="3"/>
  <c r="AN262" i="3" s="1"/>
  <c r="AM135" i="3"/>
  <c r="AM262" i="3" s="1"/>
  <c r="AK135" i="3"/>
  <c r="AK262" i="3" s="1"/>
  <c r="AJ135" i="3"/>
  <c r="AJ262" i="3" s="1"/>
  <c r="AB135" i="3"/>
  <c r="W135" i="3"/>
  <c r="R135" i="3"/>
  <c r="M135" i="3"/>
  <c r="AG125" i="3"/>
  <c r="AH125" i="3" s="1"/>
  <c r="AI125" i="3" s="1"/>
  <c r="AJ125" i="3" s="1"/>
  <c r="AK125" i="3" s="1"/>
  <c r="AL125" i="3" s="1"/>
  <c r="AG124" i="3"/>
  <c r="I122" i="3"/>
  <c r="BE102" i="3"/>
  <c r="BE258" i="3" s="1"/>
  <c r="BD102" i="3"/>
  <c r="BD258" i="3" s="1"/>
  <c r="BC102" i="3"/>
  <c r="BC258" i="3" s="1"/>
  <c r="BB102" i="3"/>
  <c r="BB258" i="3" s="1"/>
  <c r="AZ102" i="3"/>
  <c r="AZ258" i="3" s="1"/>
  <c r="AY102" i="3"/>
  <c r="AY258" i="3" s="1"/>
  <c r="AX102" i="3"/>
  <c r="AX258" i="3" s="1"/>
  <c r="AW102" i="3"/>
  <c r="AU102" i="3"/>
  <c r="AU258" i="3" s="1"/>
  <c r="AT102" i="3"/>
  <c r="AT258" i="3" s="1"/>
  <c r="AS102" i="3"/>
  <c r="AS258" i="3" s="1"/>
  <c r="AR102" i="3"/>
  <c r="AR258" i="3" s="1"/>
  <c r="AP102" i="3"/>
  <c r="AP258" i="3" s="1"/>
  <c r="AO102" i="3"/>
  <c r="AO258" i="3" s="1"/>
  <c r="AN102" i="3"/>
  <c r="AN258" i="3" s="1"/>
  <c r="AM102" i="3"/>
  <c r="AM258" i="3" s="1"/>
  <c r="AK102" i="3"/>
  <c r="AK258" i="3" s="1"/>
  <c r="AJ102" i="3"/>
  <c r="AJ258" i="3" s="1"/>
  <c r="BE101" i="3"/>
  <c r="BD101" i="3"/>
  <c r="BC101" i="3"/>
  <c r="BB101" i="3"/>
  <c r="AZ101" i="3"/>
  <c r="AY101" i="3"/>
  <c r="AX101" i="3"/>
  <c r="AW101" i="3"/>
  <c r="AU101" i="3"/>
  <c r="AT101" i="3"/>
  <c r="AS101" i="3"/>
  <c r="AR101" i="3"/>
  <c r="AP101" i="3"/>
  <c r="AO101" i="3"/>
  <c r="AN101" i="3"/>
  <c r="AM101" i="3"/>
  <c r="AK101" i="3"/>
  <c r="AJ101" i="3"/>
  <c r="M7" i="3"/>
  <c r="M13" i="3" s="1"/>
  <c r="M108" i="3" s="1"/>
  <c r="M241" i="3" s="1"/>
  <c r="M285" i="3" s="1"/>
  <c r="I6" i="3"/>
  <c r="I7" i="3" s="1"/>
  <c r="I13" i="3" s="1"/>
  <c r="I108" i="3" s="1"/>
  <c r="I241" i="3" s="1"/>
  <c r="I285" i="3" s="1"/>
  <c r="J5" i="3"/>
  <c r="AF47" i="2"/>
  <c r="AG47" i="2" s="1"/>
  <c r="AE47" i="2"/>
  <c r="AD47" i="2"/>
  <c r="AI236" i="3" s="1"/>
  <c r="AC47" i="2"/>
  <c r="AH236" i="3" s="1"/>
  <c r="AA47" i="2"/>
  <c r="Z47" i="2"/>
  <c r="AE236" i="3" s="1"/>
  <c r="Y47" i="2"/>
  <c r="AD236" i="3" s="1"/>
  <c r="X47" i="2"/>
  <c r="AC236" i="3" s="1"/>
  <c r="V47" i="2"/>
  <c r="AA236" i="3" s="1"/>
  <c r="U47" i="2"/>
  <c r="Z236" i="3" s="1"/>
  <c r="T47" i="2"/>
  <c r="Y236" i="3" s="1"/>
  <c r="S47" i="2"/>
  <c r="X236" i="3" s="1"/>
  <c r="Q47" i="2"/>
  <c r="V236" i="3" s="1"/>
  <c r="P47" i="2"/>
  <c r="U236" i="3" s="1"/>
  <c r="O47" i="2"/>
  <c r="T236" i="3" s="1"/>
  <c r="N47" i="2"/>
  <c r="S236" i="3" s="1"/>
  <c r="L47" i="2"/>
  <c r="Q236" i="3" s="1"/>
  <c r="K47" i="2"/>
  <c r="P236" i="3" s="1"/>
  <c r="J47" i="2"/>
  <c r="O236" i="3" s="1"/>
  <c r="I47" i="2"/>
  <c r="N236" i="3" s="1"/>
  <c r="G47" i="2"/>
  <c r="L236" i="3" s="1"/>
  <c r="F47" i="2"/>
  <c r="K236" i="3" s="1"/>
  <c r="E47" i="2"/>
  <c r="J236" i="3" s="1"/>
  <c r="D47" i="2"/>
  <c r="I236" i="3" s="1"/>
  <c r="AF46" i="2"/>
  <c r="AG46" i="2" s="1"/>
  <c r="AE46" i="2"/>
  <c r="AD46" i="2"/>
  <c r="AI235" i="3" s="1"/>
  <c r="AC46" i="2"/>
  <c r="AH235" i="3" s="1"/>
  <c r="AA46" i="2"/>
  <c r="AF235" i="3" s="1"/>
  <c r="Z46" i="2"/>
  <c r="AE235" i="3" s="1"/>
  <c r="Y46" i="2"/>
  <c r="AD235" i="3" s="1"/>
  <c r="X46" i="2"/>
  <c r="AC235" i="3" s="1"/>
  <c r="W46" i="2"/>
  <c r="AB235" i="3" s="1"/>
  <c r="V46" i="2"/>
  <c r="AA235" i="3" s="1"/>
  <c r="U46" i="2"/>
  <c r="Z235" i="3" s="1"/>
  <c r="T46" i="2"/>
  <c r="Y235" i="3" s="1"/>
  <c r="S46" i="2"/>
  <c r="X235" i="3" s="1"/>
  <c r="Q46" i="2"/>
  <c r="P46" i="2"/>
  <c r="U235" i="3" s="1"/>
  <c r="O46" i="2"/>
  <c r="T235" i="3" s="1"/>
  <c r="N46" i="2"/>
  <c r="S235" i="3" s="1"/>
  <c r="L46" i="2"/>
  <c r="Q235" i="3" s="1"/>
  <c r="K46" i="2"/>
  <c r="P235" i="3" s="1"/>
  <c r="J46" i="2"/>
  <c r="O235" i="3" s="1"/>
  <c r="I46" i="2"/>
  <c r="N235" i="3" s="1"/>
  <c r="H46" i="2"/>
  <c r="M235" i="3" s="1"/>
  <c r="G46" i="2"/>
  <c r="L235" i="3" s="1"/>
  <c r="F46" i="2"/>
  <c r="K235" i="3" s="1"/>
  <c r="E46" i="2"/>
  <c r="J235" i="3" s="1"/>
  <c r="D46" i="2"/>
  <c r="I235" i="3" s="1"/>
  <c r="I272" i="3" s="1"/>
  <c r="M272" i="3" s="1"/>
  <c r="AF45" i="2"/>
  <c r="AG45" i="2" s="1"/>
  <c r="AE45" i="2"/>
  <c r="AD45" i="2"/>
  <c r="AI234" i="3" s="1"/>
  <c r="AC45" i="2"/>
  <c r="AH234" i="3" s="1"/>
  <c r="AA45" i="2"/>
  <c r="Z45" i="2"/>
  <c r="AE234" i="3" s="1"/>
  <c r="Y45" i="2"/>
  <c r="AD234" i="3" s="1"/>
  <c r="AD271" i="3" s="1"/>
  <c r="X45" i="2"/>
  <c r="AC234" i="3" s="1"/>
  <c r="V45" i="2"/>
  <c r="AA234" i="3" s="1"/>
  <c r="U45" i="2"/>
  <c r="Z234" i="3" s="1"/>
  <c r="T45" i="2"/>
  <c r="Y234" i="3" s="1"/>
  <c r="S45" i="2"/>
  <c r="X234" i="3" s="1"/>
  <c r="Q45" i="2"/>
  <c r="V234" i="3" s="1"/>
  <c r="P45" i="2"/>
  <c r="U234" i="3" s="1"/>
  <c r="O45" i="2"/>
  <c r="T234" i="3" s="1"/>
  <c r="N45" i="2"/>
  <c r="S234" i="3" s="1"/>
  <c r="L45" i="2"/>
  <c r="Q234" i="3" s="1"/>
  <c r="K45" i="2"/>
  <c r="P234" i="3" s="1"/>
  <c r="P271" i="3" s="1"/>
  <c r="J45" i="2"/>
  <c r="O234" i="3" s="1"/>
  <c r="I45" i="2"/>
  <c r="N234" i="3" s="1"/>
  <c r="G45" i="2"/>
  <c r="L234" i="3" s="1"/>
  <c r="F45" i="2"/>
  <c r="K234" i="3" s="1"/>
  <c r="E45" i="2"/>
  <c r="J234" i="3" s="1"/>
  <c r="J271" i="3" s="1"/>
  <c r="D45" i="2"/>
  <c r="I234" i="3" s="1"/>
  <c r="I271" i="3" s="1"/>
  <c r="M271" i="3" s="1"/>
  <c r="AF44" i="2"/>
  <c r="AG44" i="2" s="1"/>
  <c r="AE44" i="2"/>
  <c r="AD44" i="2"/>
  <c r="AI233" i="3" s="1"/>
  <c r="AC44" i="2"/>
  <c r="AH233" i="3" s="1"/>
  <c r="AA44" i="2"/>
  <c r="AF233" i="3" s="1"/>
  <c r="AF270" i="3" s="1"/>
  <c r="Z44" i="2"/>
  <c r="AE233" i="3" s="1"/>
  <c r="Y44" i="2"/>
  <c r="AD233" i="3" s="1"/>
  <c r="X44" i="2"/>
  <c r="AC233" i="3" s="1"/>
  <c r="V44" i="2"/>
  <c r="AA233" i="3" s="1"/>
  <c r="AA270" i="3" s="1"/>
  <c r="U44" i="2"/>
  <c r="Z233" i="3" s="1"/>
  <c r="Z270" i="3" s="1"/>
  <c r="T44" i="2"/>
  <c r="Y233" i="3" s="1"/>
  <c r="S44" i="2"/>
  <c r="X233" i="3" s="1"/>
  <c r="Q44" i="2"/>
  <c r="V233" i="3" s="1"/>
  <c r="P44" i="2"/>
  <c r="U233" i="3" s="1"/>
  <c r="O44" i="2"/>
  <c r="T233" i="3" s="1"/>
  <c r="N44" i="2"/>
  <c r="S233" i="3" s="1"/>
  <c r="L44" i="2"/>
  <c r="Q233" i="3" s="1"/>
  <c r="K44" i="2"/>
  <c r="P233" i="3" s="1"/>
  <c r="J44" i="2"/>
  <c r="O233" i="3" s="1"/>
  <c r="I44" i="2"/>
  <c r="N233" i="3" s="1"/>
  <c r="G44" i="2"/>
  <c r="L233" i="3" s="1"/>
  <c r="L270" i="3" s="1"/>
  <c r="F44" i="2"/>
  <c r="K233" i="3" s="1"/>
  <c r="E44" i="2"/>
  <c r="J233" i="3" s="1"/>
  <c r="D44" i="2"/>
  <c r="I233" i="3" s="1"/>
  <c r="I270" i="3" s="1"/>
  <c r="M270" i="3" s="1"/>
  <c r="AG43" i="2"/>
  <c r="AF43" i="2"/>
  <c r="AE43" i="2"/>
  <c r="AD43" i="2"/>
  <c r="AC43" i="2"/>
  <c r="AA43" i="2"/>
  <c r="AF220" i="3" s="1"/>
  <c r="Z43" i="2"/>
  <c r="AE220" i="3" s="1"/>
  <c r="Y43" i="2"/>
  <c r="AD220" i="3" s="1"/>
  <c r="X43" i="2"/>
  <c r="AC220" i="3" s="1"/>
  <c r="V43" i="2"/>
  <c r="AA220" i="3" s="1"/>
  <c r="U43" i="2"/>
  <c r="Z220" i="3" s="1"/>
  <c r="T43" i="2"/>
  <c r="Y220" i="3" s="1"/>
  <c r="S43" i="2"/>
  <c r="X220" i="3" s="1"/>
  <c r="Q43" i="2"/>
  <c r="V220" i="3" s="1"/>
  <c r="P43" i="2"/>
  <c r="U220" i="3" s="1"/>
  <c r="O43" i="2"/>
  <c r="T220" i="3" s="1"/>
  <c r="N43" i="2"/>
  <c r="S220" i="3" s="1"/>
  <c r="L43" i="2"/>
  <c r="Q220" i="3" s="1"/>
  <c r="K43" i="2"/>
  <c r="P220" i="3" s="1"/>
  <c r="J43" i="2"/>
  <c r="O220" i="3" s="1"/>
  <c r="I43" i="2"/>
  <c r="N220" i="3" s="1"/>
  <c r="G43" i="2"/>
  <c r="L220" i="3" s="1"/>
  <c r="F43" i="2"/>
  <c r="K220" i="3" s="1"/>
  <c r="E43" i="2"/>
  <c r="J220" i="3" s="1"/>
  <c r="J269" i="3" s="1"/>
  <c r="D43" i="2"/>
  <c r="I220" i="3" s="1"/>
  <c r="I269" i="3" s="1"/>
  <c r="M269" i="3" s="1"/>
  <c r="AF42" i="2"/>
  <c r="AG42" i="2" s="1"/>
  <c r="AE42" i="2"/>
  <c r="AD42" i="2"/>
  <c r="AI219" i="3" s="1"/>
  <c r="AC42" i="2"/>
  <c r="AH219" i="3" s="1"/>
  <c r="AA42" i="2"/>
  <c r="AF219" i="3" s="1"/>
  <c r="AF268" i="3" s="1"/>
  <c r="AF276" i="3" s="1"/>
  <c r="Z42" i="2"/>
  <c r="AE219" i="3" s="1"/>
  <c r="Y42" i="2"/>
  <c r="AD219" i="3" s="1"/>
  <c r="X42" i="2"/>
  <c r="AC219" i="3" s="1"/>
  <c r="V42" i="2"/>
  <c r="AA219" i="3" s="1"/>
  <c r="U42" i="2"/>
  <c r="Z219" i="3" s="1"/>
  <c r="Z268" i="3" s="1"/>
  <c r="Z276" i="3" s="1"/>
  <c r="T42" i="2"/>
  <c r="Y219" i="3" s="1"/>
  <c r="S42" i="2"/>
  <c r="X219" i="3" s="1"/>
  <c r="Q42" i="2"/>
  <c r="V219" i="3" s="1"/>
  <c r="P42" i="2"/>
  <c r="U219" i="3" s="1"/>
  <c r="O42" i="2"/>
  <c r="T219" i="3" s="1"/>
  <c r="N42" i="2"/>
  <c r="S219" i="3" s="1"/>
  <c r="L42" i="2"/>
  <c r="Q219" i="3" s="1"/>
  <c r="K42" i="2"/>
  <c r="P219" i="3" s="1"/>
  <c r="J42" i="2"/>
  <c r="O219" i="3" s="1"/>
  <c r="O268" i="3" s="1"/>
  <c r="O276" i="3" s="1"/>
  <c r="I42" i="2"/>
  <c r="N219" i="3" s="1"/>
  <c r="G42" i="2"/>
  <c r="L219" i="3" s="1"/>
  <c r="F42" i="2"/>
  <c r="K219" i="3" s="1"/>
  <c r="E42" i="2"/>
  <c r="J219" i="3" s="1"/>
  <c r="D42" i="2"/>
  <c r="I219" i="3" s="1"/>
  <c r="I268" i="3" s="1"/>
  <c r="AG41" i="2"/>
  <c r="AF41" i="2"/>
  <c r="AE41" i="2"/>
  <c r="AD41" i="2"/>
  <c r="AI214" i="3" s="1"/>
  <c r="AC41" i="2"/>
  <c r="AH214" i="3" s="1"/>
  <c r="AB41" i="2"/>
  <c r="AG214" i="3" s="1"/>
  <c r="AA41" i="2"/>
  <c r="AF214" i="3" s="1"/>
  <c r="Z41" i="2"/>
  <c r="AE214" i="3" s="1"/>
  <c r="Y41" i="2"/>
  <c r="AD214" i="3" s="1"/>
  <c r="X41" i="2"/>
  <c r="AC214" i="3" s="1"/>
  <c r="V41" i="2"/>
  <c r="AA214" i="3" s="1"/>
  <c r="U41" i="2"/>
  <c r="Z214" i="3" s="1"/>
  <c r="T41" i="2"/>
  <c r="Y214" i="3" s="1"/>
  <c r="S41" i="2"/>
  <c r="X214" i="3" s="1"/>
  <c r="Q41" i="2"/>
  <c r="V214" i="3" s="1"/>
  <c r="P41" i="2"/>
  <c r="U214" i="3" s="1"/>
  <c r="O41" i="2"/>
  <c r="T214" i="3" s="1"/>
  <c r="N41" i="2"/>
  <c r="S214" i="3" s="1"/>
  <c r="M41" i="2"/>
  <c r="R214" i="3" s="1"/>
  <c r="L41" i="2"/>
  <c r="Q214" i="3" s="1"/>
  <c r="K41" i="2"/>
  <c r="P214" i="3" s="1"/>
  <c r="J41" i="2"/>
  <c r="O214" i="3" s="1"/>
  <c r="I41" i="2"/>
  <c r="N214" i="3" s="1"/>
  <c r="G41" i="2"/>
  <c r="L214" i="3" s="1"/>
  <c r="F41" i="2"/>
  <c r="K214" i="3" s="1"/>
  <c r="E41" i="2"/>
  <c r="J214" i="3" s="1"/>
  <c r="D41" i="2"/>
  <c r="I214" i="3" s="1"/>
  <c r="AF39" i="2"/>
  <c r="AG39" i="2" s="1"/>
  <c r="AE39" i="2"/>
  <c r="AD39" i="2"/>
  <c r="AI206" i="3" s="1"/>
  <c r="AC39" i="2"/>
  <c r="AH206" i="3" s="1"/>
  <c r="AA39" i="2"/>
  <c r="AF206" i="3" s="1"/>
  <c r="Z39" i="2"/>
  <c r="AE206" i="3" s="1"/>
  <c r="Y39" i="2"/>
  <c r="AD206" i="3" s="1"/>
  <c r="AE207" i="3" s="1"/>
  <c r="X39" i="2"/>
  <c r="AC206" i="3" s="1"/>
  <c r="V39" i="2"/>
  <c r="AA206" i="3" s="1"/>
  <c r="U39" i="2"/>
  <c r="Z206" i="3" s="1"/>
  <c r="T39" i="2"/>
  <c r="Y206" i="3" s="1"/>
  <c r="S39" i="2"/>
  <c r="X206" i="3" s="1"/>
  <c r="Y207" i="3" s="1"/>
  <c r="Q39" i="2"/>
  <c r="V206" i="3" s="1"/>
  <c r="P39" i="2"/>
  <c r="U206" i="3" s="1"/>
  <c r="O39" i="2"/>
  <c r="T206" i="3" s="1"/>
  <c r="N39" i="2"/>
  <c r="S206" i="3" s="1"/>
  <c r="L39" i="2"/>
  <c r="Q206" i="3" s="1"/>
  <c r="K39" i="2"/>
  <c r="P206" i="3" s="1"/>
  <c r="Q207" i="3" s="1"/>
  <c r="J39" i="2"/>
  <c r="O206" i="3" s="1"/>
  <c r="I39" i="2"/>
  <c r="N206" i="3" s="1"/>
  <c r="G39" i="2"/>
  <c r="L206" i="3" s="1"/>
  <c r="F39" i="2"/>
  <c r="K206" i="3" s="1"/>
  <c r="E39" i="2"/>
  <c r="J206" i="3" s="1"/>
  <c r="D39" i="2"/>
  <c r="I206" i="3" s="1"/>
  <c r="AG38" i="2"/>
  <c r="AF38" i="2"/>
  <c r="AE38" i="2"/>
  <c r="AD38" i="2"/>
  <c r="AI205" i="3" s="1"/>
  <c r="AC38" i="2"/>
  <c r="AH205" i="3" s="1"/>
  <c r="AA38" i="2"/>
  <c r="AF205" i="3" s="1"/>
  <c r="Z38" i="2"/>
  <c r="AE205" i="3" s="1"/>
  <c r="Y38" i="2"/>
  <c r="AD205" i="3" s="1"/>
  <c r="AD255" i="3" s="1"/>
  <c r="X38" i="2"/>
  <c r="AC205" i="3" s="1"/>
  <c r="V38" i="2"/>
  <c r="AA205" i="3" s="1"/>
  <c r="U38" i="2"/>
  <c r="Z205" i="3" s="1"/>
  <c r="T38" i="2"/>
  <c r="Y205" i="3" s="1"/>
  <c r="S38" i="2"/>
  <c r="X205" i="3" s="1"/>
  <c r="Q38" i="2"/>
  <c r="V205" i="3" s="1"/>
  <c r="P38" i="2"/>
  <c r="U205" i="3" s="1"/>
  <c r="O38" i="2"/>
  <c r="T205" i="3" s="1"/>
  <c r="N38" i="2"/>
  <c r="S205" i="3" s="1"/>
  <c r="L38" i="2"/>
  <c r="Q205" i="3" s="1"/>
  <c r="K38" i="2"/>
  <c r="P205" i="3" s="1"/>
  <c r="J38" i="2"/>
  <c r="O205" i="3" s="1"/>
  <c r="I38" i="2"/>
  <c r="N205" i="3" s="1"/>
  <c r="G38" i="2"/>
  <c r="L205" i="3" s="1"/>
  <c r="F38" i="2"/>
  <c r="K205" i="3" s="1"/>
  <c r="E38" i="2"/>
  <c r="J205" i="3" s="1"/>
  <c r="D38" i="2"/>
  <c r="I205" i="3" s="1"/>
  <c r="I255" i="3" s="1"/>
  <c r="M255" i="3" s="1"/>
  <c r="AF37" i="2"/>
  <c r="AG37" i="2" s="1"/>
  <c r="AE37" i="2"/>
  <c r="AD37" i="2"/>
  <c r="AI204" i="3" s="1"/>
  <c r="AJ204" i="3" s="1"/>
  <c r="AK204" i="3" s="1"/>
  <c r="AL204" i="3" s="1"/>
  <c r="AM204" i="3" s="1"/>
  <c r="AC37" i="2"/>
  <c r="AH204" i="3" s="1"/>
  <c r="AH192" i="3" s="1"/>
  <c r="AI192" i="3" s="1"/>
  <c r="AJ192" i="3" s="1"/>
  <c r="AK192" i="3" s="1"/>
  <c r="AA37" i="2"/>
  <c r="AF204" i="3" s="1"/>
  <c r="Z37" i="2"/>
  <c r="AE204" i="3" s="1"/>
  <c r="Y37" i="2"/>
  <c r="AD204" i="3" s="1"/>
  <c r="X37" i="2"/>
  <c r="AC204" i="3" s="1"/>
  <c r="V37" i="2"/>
  <c r="AA204" i="3" s="1"/>
  <c r="U37" i="2"/>
  <c r="Z204" i="3" s="1"/>
  <c r="T37" i="2"/>
  <c r="Y204" i="3" s="1"/>
  <c r="S37" i="2"/>
  <c r="X204" i="3" s="1"/>
  <c r="Q37" i="2"/>
  <c r="V204" i="3" s="1"/>
  <c r="P37" i="2"/>
  <c r="U204" i="3" s="1"/>
  <c r="O37" i="2"/>
  <c r="T204" i="3" s="1"/>
  <c r="N37" i="2"/>
  <c r="S204" i="3" s="1"/>
  <c r="L37" i="2"/>
  <c r="Q204" i="3" s="1"/>
  <c r="K37" i="2"/>
  <c r="P204" i="3" s="1"/>
  <c r="J37" i="2"/>
  <c r="O204" i="3" s="1"/>
  <c r="I37" i="2"/>
  <c r="N204" i="3" s="1"/>
  <c r="G37" i="2"/>
  <c r="L204" i="3" s="1"/>
  <c r="F37" i="2"/>
  <c r="K204" i="3" s="1"/>
  <c r="E37" i="2"/>
  <c r="J204" i="3" s="1"/>
  <c r="D37" i="2"/>
  <c r="I204" i="3" s="1"/>
  <c r="AG36" i="2"/>
  <c r="AF36" i="2"/>
  <c r="AE36" i="2"/>
  <c r="AD36" i="2"/>
  <c r="AI201" i="3" s="1"/>
  <c r="AC36" i="2"/>
  <c r="AH201" i="3" s="1"/>
  <c r="AI202" i="3" s="1"/>
  <c r="AB36" i="2"/>
  <c r="AG201" i="3" s="1"/>
  <c r="AA36" i="2"/>
  <c r="AF201" i="3" s="1"/>
  <c r="Z36" i="2"/>
  <c r="AE201" i="3" s="1"/>
  <c r="Y36" i="2"/>
  <c r="AD201" i="3" s="1"/>
  <c r="X36" i="2"/>
  <c r="AC201" i="3" s="1"/>
  <c r="V36" i="2"/>
  <c r="AA201" i="3" s="1"/>
  <c r="U36" i="2"/>
  <c r="Z201" i="3" s="1"/>
  <c r="T36" i="2"/>
  <c r="Y201" i="3" s="1"/>
  <c r="S36" i="2"/>
  <c r="X201" i="3" s="1"/>
  <c r="Q36" i="2"/>
  <c r="V201" i="3" s="1"/>
  <c r="P36" i="2"/>
  <c r="U201" i="3" s="1"/>
  <c r="V202" i="3" s="1"/>
  <c r="O36" i="2"/>
  <c r="T201" i="3" s="1"/>
  <c r="N36" i="2"/>
  <c r="S201" i="3" s="1"/>
  <c r="L36" i="2"/>
  <c r="Q201" i="3" s="1"/>
  <c r="K36" i="2"/>
  <c r="P201" i="3" s="1"/>
  <c r="J36" i="2"/>
  <c r="O201" i="3" s="1"/>
  <c r="I36" i="2"/>
  <c r="N201" i="3" s="1"/>
  <c r="G36" i="2"/>
  <c r="L201" i="3" s="1"/>
  <c r="F36" i="2"/>
  <c r="K201" i="3" s="1"/>
  <c r="E36" i="2"/>
  <c r="J201" i="3" s="1"/>
  <c r="D36" i="2"/>
  <c r="I201" i="3" s="1"/>
  <c r="AF35" i="2"/>
  <c r="AG35" i="2" s="1"/>
  <c r="AE35" i="2"/>
  <c r="AD35" i="2"/>
  <c r="AC35" i="2"/>
  <c r="AA35" i="2"/>
  <c r="AF183" i="3" s="1"/>
  <c r="Z35" i="2"/>
  <c r="AE183" i="3" s="1"/>
  <c r="Y35" i="2"/>
  <c r="AD183" i="3" s="1"/>
  <c r="X35" i="2"/>
  <c r="AC183" i="3" s="1"/>
  <c r="V35" i="2"/>
  <c r="AA183" i="3" s="1"/>
  <c r="U35" i="2"/>
  <c r="Z183" i="3" s="1"/>
  <c r="T35" i="2"/>
  <c r="Y183" i="3" s="1"/>
  <c r="S35" i="2"/>
  <c r="X183" i="3" s="1"/>
  <c r="Q35" i="2"/>
  <c r="V183" i="3" s="1"/>
  <c r="P35" i="2"/>
  <c r="U183" i="3" s="1"/>
  <c r="O35" i="2"/>
  <c r="T183" i="3" s="1"/>
  <c r="N35" i="2"/>
  <c r="S183" i="3" s="1"/>
  <c r="L35" i="2"/>
  <c r="Q183" i="3" s="1"/>
  <c r="K35" i="2"/>
  <c r="P183" i="3" s="1"/>
  <c r="J35" i="2"/>
  <c r="O183" i="3" s="1"/>
  <c r="I35" i="2"/>
  <c r="N183" i="3" s="1"/>
  <c r="G35" i="2"/>
  <c r="L183" i="3" s="1"/>
  <c r="F35" i="2"/>
  <c r="K183" i="3" s="1"/>
  <c r="E35" i="2"/>
  <c r="J183" i="3" s="1"/>
  <c r="D35" i="2"/>
  <c r="I183" i="3" s="1"/>
  <c r="AF34" i="2"/>
  <c r="AG34" i="2" s="1"/>
  <c r="AE34" i="2"/>
  <c r="AD34" i="2"/>
  <c r="AI180" i="3" s="1"/>
  <c r="AC34" i="2"/>
  <c r="AH180" i="3" s="1"/>
  <c r="AA34" i="2"/>
  <c r="AF180" i="3" s="1"/>
  <c r="Z34" i="2"/>
  <c r="AE180" i="3" s="1"/>
  <c r="Y34" i="2"/>
  <c r="AD180" i="3" s="1"/>
  <c r="X34" i="2"/>
  <c r="AC180" i="3" s="1"/>
  <c r="V34" i="2"/>
  <c r="AA180" i="3" s="1"/>
  <c r="U34" i="2"/>
  <c r="Z180" i="3" s="1"/>
  <c r="T34" i="2"/>
  <c r="Y180" i="3" s="1"/>
  <c r="S34" i="2"/>
  <c r="X180" i="3" s="1"/>
  <c r="Y181" i="3" s="1"/>
  <c r="Q34" i="2"/>
  <c r="V180" i="3" s="1"/>
  <c r="P34" i="2"/>
  <c r="U180" i="3" s="1"/>
  <c r="O34" i="2"/>
  <c r="T180" i="3" s="1"/>
  <c r="N34" i="2"/>
  <c r="S180" i="3" s="1"/>
  <c r="L34" i="2"/>
  <c r="Q180" i="3" s="1"/>
  <c r="K34" i="2"/>
  <c r="P180" i="3" s="1"/>
  <c r="J34" i="2"/>
  <c r="O180" i="3" s="1"/>
  <c r="I34" i="2"/>
  <c r="N180" i="3" s="1"/>
  <c r="O181" i="3" s="1"/>
  <c r="G34" i="2"/>
  <c r="L180" i="3" s="1"/>
  <c r="F34" i="2"/>
  <c r="K180" i="3" s="1"/>
  <c r="E34" i="2"/>
  <c r="J180" i="3" s="1"/>
  <c r="K181" i="3" s="1"/>
  <c r="D34" i="2"/>
  <c r="I180" i="3" s="1"/>
  <c r="AF33" i="2"/>
  <c r="AG33" i="2" s="1"/>
  <c r="AE33" i="2"/>
  <c r="AD33" i="2"/>
  <c r="AI179" i="3" s="1"/>
  <c r="AC33" i="2"/>
  <c r="AH179" i="3" s="1"/>
  <c r="AA33" i="2"/>
  <c r="AF179" i="3" s="1"/>
  <c r="Z33" i="2"/>
  <c r="AE179" i="3" s="1"/>
  <c r="Y33" i="2"/>
  <c r="AD179" i="3" s="1"/>
  <c r="X33" i="2"/>
  <c r="AC179" i="3" s="1"/>
  <c r="V33" i="2"/>
  <c r="AA179" i="3" s="1"/>
  <c r="U33" i="2"/>
  <c r="Z179" i="3" s="1"/>
  <c r="T33" i="2"/>
  <c r="Y179" i="3" s="1"/>
  <c r="S33" i="2"/>
  <c r="X179" i="3" s="1"/>
  <c r="Q33" i="2"/>
  <c r="V179" i="3" s="1"/>
  <c r="P33" i="2"/>
  <c r="U179" i="3" s="1"/>
  <c r="O33" i="2"/>
  <c r="T179" i="3" s="1"/>
  <c r="N33" i="2"/>
  <c r="S179" i="3" s="1"/>
  <c r="L33" i="2"/>
  <c r="Q179" i="3" s="1"/>
  <c r="K33" i="2"/>
  <c r="P179" i="3" s="1"/>
  <c r="J33" i="2"/>
  <c r="O179" i="3" s="1"/>
  <c r="I33" i="2"/>
  <c r="N179" i="3" s="1"/>
  <c r="G33" i="2"/>
  <c r="L179" i="3" s="1"/>
  <c r="F33" i="2"/>
  <c r="K179" i="3" s="1"/>
  <c r="E33" i="2"/>
  <c r="J179" i="3" s="1"/>
  <c r="D33" i="2"/>
  <c r="I179" i="3" s="1"/>
  <c r="AF32" i="2"/>
  <c r="AG32" i="2" s="1"/>
  <c r="AE32" i="2"/>
  <c r="AD32" i="2"/>
  <c r="AI178" i="3" s="1"/>
  <c r="AC32" i="2"/>
  <c r="AH178" i="3" s="1"/>
  <c r="AA32" i="2"/>
  <c r="AF178" i="3" s="1"/>
  <c r="Z32" i="2"/>
  <c r="AE178" i="3" s="1"/>
  <c r="Y32" i="2"/>
  <c r="AD178" i="3" s="1"/>
  <c r="X32" i="2"/>
  <c r="AC178" i="3" s="1"/>
  <c r="V32" i="2"/>
  <c r="AA178" i="3" s="1"/>
  <c r="U32" i="2"/>
  <c r="Z178" i="3" s="1"/>
  <c r="T32" i="2"/>
  <c r="Y178" i="3" s="1"/>
  <c r="S32" i="2"/>
  <c r="X178" i="3" s="1"/>
  <c r="Q32" i="2"/>
  <c r="V178" i="3" s="1"/>
  <c r="P32" i="2"/>
  <c r="U178" i="3" s="1"/>
  <c r="O32" i="2"/>
  <c r="T178" i="3" s="1"/>
  <c r="N32" i="2"/>
  <c r="S178" i="3" s="1"/>
  <c r="M32" i="2"/>
  <c r="R178" i="3" s="1"/>
  <c r="L32" i="2"/>
  <c r="Q178" i="3" s="1"/>
  <c r="K32" i="2"/>
  <c r="P178" i="3" s="1"/>
  <c r="J32" i="2"/>
  <c r="O178" i="3" s="1"/>
  <c r="I32" i="2"/>
  <c r="N178" i="3" s="1"/>
  <c r="G32" i="2"/>
  <c r="L178" i="3" s="1"/>
  <c r="F32" i="2"/>
  <c r="K178" i="3" s="1"/>
  <c r="E32" i="2"/>
  <c r="J178" i="3" s="1"/>
  <c r="D32" i="2"/>
  <c r="I178" i="3" s="1"/>
  <c r="AF31" i="2"/>
  <c r="AG31" i="2" s="1"/>
  <c r="AE31" i="2"/>
  <c r="AD31" i="2"/>
  <c r="AI171" i="3" s="1"/>
  <c r="AC31" i="2"/>
  <c r="AH171" i="3" s="1"/>
  <c r="AA31" i="2"/>
  <c r="AF171" i="3" s="1"/>
  <c r="Z31" i="2"/>
  <c r="AE171" i="3" s="1"/>
  <c r="Y31" i="2"/>
  <c r="AD171" i="3" s="1"/>
  <c r="X31" i="2"/>
  <c r="AC171" i="3" s="1"/>
  <c r="V31" i="2"/>
  <c r="AA171" i="3" s="1"/>
  <c r="U31" i="2"/>
  <c r="Z171" i="3" s="1"/>
  <c r="T31" i="2"/>
  <c r="Y171" i="3" s="1"/>
  <c r="S31" i="2"/>
  <c r="X171" i="3" s="1"/>
  <c r="Q31" i="2"/>
  <c r="V171" i="3" s="1"/>
  <c r="P31" i="2"/>
  <c r="U171" i="3" s="1"/>
  <c r="O31" i="2"/>
  <c r="T171" i="3" s="1"/>
  <c r="N31" i="2"/>
  <c r="S171" i="3" s="1"/>
  <c r="L31" i="2"/>
  <c r="Q171" i="3" s="1"/>
  <c r="K31" i="2"/>
  <c r="P171" i="3" s="1"/>
  <c r="J31" i="2"/>
  <c r="O171" i="3" s="1"/>
  <c r="I31" i="2"/>
  <c r="N171" i="3" s="1"/>
  <c r="G31" i="2"/>
  <c r="L171" i="3" s="1"/>
  <c r="F31" i="2"/>
  <c r="K171" i="3" s="1"/>
  <c r="E31" i="2"/>
  <c r="J171" i="3" s="1"/>
  <c r="D31" i="2"/>
  <c r="I171" i="3" s="1"/>
  <c r="AF30" i="2"/>
  <c r="AG30" i="2" s="1"/>
  <c r="AE30" i="2"/>
  <c r="AD30" i="2"/>
  <c r="AI170" i="3" s="1"/>
  <c r="AC30" i="2"/>
  <c r="AH170" i="3" s="1"/>
  <c r="AA30" i="2"/>
  <c r="AF170" i="3" s="1"/>
  <c r="AF253" i="3" s="1"/>
  <c r="Z30" i="2"/>
  <c r="AE170" i="3" s="1"/>
  <c r="Y30" i="2"/>
  <c r="AD170" i="3" s="1"/>
  <c r="X30" i="2"/>
  <c r="AC170" i="3" s="1"/>
  <c r="V30" i="2"/>
  <c r="AA170" i="3" s="1"/>
  <c r="U30" i="2"/>
  <c r="Z170" i="3" s="1"/>
  <c r="Z253" i="3" s="1"/>
  <c r="T30" i="2"/>
  <c r="Y170" i="3" s="1"/>
  <c r="S30" i="2"/>
  <c r="X170" i="3" s="1"/>
  <c r="Q30" i="2"/>
  <c r="V170" i="3" s="1"/>
  <c r="P30" i="2"/>
  <c r="U170" i="3" s="1"/>
  <c r="O30" i="2"/>
  <c r="T170" i="3" s="1"/>
  <c r="N30" i="2"/>
  <c r="S170" i="3" s="1"/>
  <c r="L30" i="2"/>
  <c r="Q170" i="3" s="1"/>
  <c r="K30" i="2"/>
  <c r="P170" i="3" s="1"/>
  <c r="J30" i="2"/>
  <c r="O170" i="3" s="1"/>
  <c r="I30" i="2"/>
  <c r="N170" i="3" s="1"/>
  <c r="G30" i="2"/>
  <c r="L170" i="3" s="1"/>
  <c r="F30" i="2"/>
  <c r="K170" i="3" s="1"/>
  <c r="E30" i="2"/>
  <c r="J170" i="3" s="1"/>
  <c r="J253" i="3" s="1"/>
  <c r="D30" i="2"/>
  <c r="I170" i="3" s="1"/>
  <c r="I253" i="3" s="1"/>
  <c r="M253" i="3" s="1"/>
  <c r="AF29" i="2"/>
  <c r="AG29" i="2" s="1"/>
  <c r="AE29" i="2"/>
  <c r="AD29" i="2"/>
  <c r="AI168" i="3" s="1"/>
  <c r="AC29" i="2"/>
  <c r="AH168" i="3" s="1"/>
  <c r="AA29" i="2"/>
  <c r="AF168" i="3" s="1"/>
  <c r="Z29" i="2"/>
  <c r="AE168" i="3" s="1"/>
  <c r="Y29" i="2"/>
  <c r="AD168" i="3" s="1"/>
  <c r="X29" i="2"/>
  <c r="AC168" i="3" s="1"/>
  <c r="W29" i="2"/>
  <c r="AB168" i="3" s="1"/>
  <c r="V29" i="2"/>
  <c r="AA168" i="3" s="1"/>
  <c r="U29" i="2"/>
  <c r="Z168" i="3" s="1"/>
  <c r="T29" i="2"/>
  <c r="Y168" i="3" s="1"/>
  <c r="S29" i="2"/>
  <c r="X168" i="3" s="1"/>
  <c r="Q29" i="2"/>
  <c r="V168" i="3" s="1"/>
  <c r="P29" i="2"/>
  <c r="U168" i="3" s="1"/>
  <c r="O29" i="2"/>
  <c r="T168" i="3" s="1"/>
  <c r="N29" i="2"/>
  <c r="S168" i="3" s="1"/>
  <c r="L29" i="2"/>
  <c r="Q168" i="3" s="1"/>
  <c r="K29" i="2"/>
  <c r="P168" i="3" s="1"/>
  <c r="J29" i="2"/>
  <c r="O168" i="3" s="1"/>
  <c r="I29" i="2"/>
  <c r="N168" i="3" s="1"/>
  <c r="G29" i="2"/>
  <c r="L168" i="3" s="1"/>
  <c r="F29" i="2"/>
  <c r="K168" i="3" s="1"/>
  <c r="E29" i="2"/>
  <c r="J168" i="3" s="1"/>
  <c r="D29" i="2"/>
  <c r="I168" i="3" s="1"/>
  <c r="AF28" i="2"/>
  <c r="AG28" i="2" s="1"/>
  <c r="AE28" i="2"/>
  <c r="AD28" i="2"/>
  <c r="AI164" i="3" s="1"/>
  <c r="AC28" i="2"/>
  <c r="AH164" i="3" s="1"/>
  <c r="AA28" i="2"/>
  <c r="AF164" i="3" s="1"/>
  <c r="Z28" i="2"/>
  <c r="AE164" i="3" s="1"/>
  <c r="Y28" i="2"/>
  <c r="AD164" i="3" s="1"/>
  <c r="X28" i="2"/>
  <c r="AC164" i="3" s="1"/>
  <c r="V28" i="2"/>
  <c r="AA164" i="3" s="1"/>
  <c r="U28" i="2"/>
  <c r="Z164" i="3" s="1"/>
  <c r="T28" i="2"/>
  <c r="Y164" i="3" s="1"/>
  <c r="S28" i="2"/>
  <c r="X164" i="3" s="1"/>
  <c r="Q28" i="2"/>
  <c r="V164" i="3" s="1"/>
  <c r="P28" i="2"/>
  <c r="U164" i="3" s="1"/>
  <c r="O28" i="2"/>
  <c r="T164" i="3" s="1"/>
  <c r="N28" i="2"/>
  <c r="S164" i="3" s="1"/>
  <c r="L28" i="2"/>
  <c r="Q164" i="3" s="1"/>
  <c r="K28" i="2"/>
  <c r="P164" i="3" s="1"/>
  <c r="J28" i="2"/>
  <c r="O164" i="3" s="1"/>
  <c r="I28" i="2"/>
  <c r="N164" i="3" s="1"/>
  <c r="G28" i="2"/>
  <c r="L164" i="3" s="1"/>
  <c r="F28" i="2"/>
  <c r="K164" i="3" s="1"/>
  <c r="E28" i="2"/>
  <c r="J164" i="3" s="1"/>
  <c r="D28" i="2"/>
  <c r="I164" i="3" s="1"/>
  <c r="AF26" i="2"/>
  <c r="AG26" i="2" s="1"/>
  <c r="AE26" i="2"/>
  <c r="AD26" i="2"/>
  <c r="AI155" i="3" s="1"/>
  <c r="AC26" i="2"/>
  <c r="AH155" i="3" s="1"/>
  <c r="AA26" i="2"/>
  <c r="AF155" i="3" s="1"/>
  <c r="Z26" i="2"/>
  <c r="AE155" i="3" s="1"/>
  <c r="Y26" i="2"/>
  <c r="AD155" i="3" s="1"/>
  <c r="X26" i="2"/>
  <c r="AC155" i="3" s="1"/>
  <c r="V26" i="2"/>
  <c r="AA155" i="3" s="1"/>
  <c r="U26" i="2"/>
  <c r="Z155" i="3" s="1"/>
  <c r="T26" i="2"/>
  <c r="Y155" i="3" s="1"/>
  <c r="S26" i="2"/>
  <c r="X155" i="3" s="1"/>
  <c r="Q26" i="2"/>
  <c r="V155" i="3" s="1"/>
  <c r="P26" i="2"/>
  <c r="U155" i="3" s="1"/>
  <c r="O26" i="2"/>
  <c r="T155" i="3" s="1"/>
  <c r="N26" i="2"/>
  <c r="S155" i="3" s="1"/>
  <c r="L26" i="2"/>
  <c r="Q155" i="3" s="1"/>
  <c r="K26" i="2"/>
  <c r="P155" i="3" s="1"/>
  <c r="J26" i="2"/>
  <c r="O155" i="3" s="1"/>
  <c r="I26" i="2"/>
  <c r="N155" i="3" s="1"/>
  <c r="G26" i="2"/>
  <c r="L155" i="3" s="1"/>
  <c r="F26" i="2"/>
  <c r="K155" i="3" s="1"/>
  <c r="E26" i="2"/>
  <c r="J155" i="3" s="1"/>
  <c r="D26" i="2"/>
  <c r="I155" i="3" s="1"/>
  <c r="AG25" i="2"/>
  <c r="AF25" i="2"/>
  <c r="AE25" i="2"/>
  <c r="AD25" i="2"/>
  <c r="AI146" i="3" s="1"/>
  <c r="AC25" i="2"/>
  <c r="AH146" i="3" s="1"/>
  <c r="AA25" i="2"/>
  <c r="AF146" i="3" s="1"/>
  <c r="AF264" i="3" s="1"/>
  <c r="Z25" i="2"/>
  <c r="AE146" i="3" s="1"/>
  <c r="Y25" i="2"/>
  <c r="AD146" i="3" s="1"/>
  <c r="X25" i="2"/>
  <c r="AC146" i="3" s="1"/>
  <c r="V25" i="2"/>
  <c r="AA146" i="3" s="1"/>
  <c r="U25" i="2"/>
  <c r="Z146" i="3" s="1"/>
  <c r="T25" i="2"/>
  <c r="Y146" i="3" s="1"/>
  <c r="S25" i="2"/>
  <c r="X146" i="3" s="1"/>
  <c r="Q25" i="2"/>
  <c r="V146" i="3" s="1"/>
  <c r="P25" i="2"/>
  <c r="U146" i="3" s="1"/>
  <c r="O25" i="2"/>
  <c r="T146" i="3" s="1"/>
  <c r="N25" i="2"/>
  <c r="S146" i="3" s="1"/>
  <c r="L25" i="2"/>
  <c r="Q146" i="3" s="1"/>
  <c r="K25" i="2"/>
  <c r="P146" i="3" s="1"/>
  <c r="J25" i="2"/>
  <c r="O146" i="3" s="1"/>
  <c r="I25" i="2"/>
  <c r="N146" i="3" s="1"/>
  <c r="G25" i="2"/>
  <c r="L146" i="3" s="1"/>
  <c r="F25" i="2"/>
  <c r="K146" i="3" s="1"/>
  <c r="E25" i="2"/>
  <c r="J146" i="3" s="1"/>
  <c r="D25" i="2"/>
  <c r="I146" i="3" s="1"/>
  <c r="AF24" i="2"/>
  <c r="AG24" i="2" s="1"/>
  <c r="AE24" i="2"/>
  <c r="AD24" i="2"/>
  <c r="AI145" i="3" s="1"/>
  <c r="AJ145" i="3" s="1"/>
  <c r="AK145" i="3" s="1"/>
  <c r="AL145" i="3" s="1"/>
  <c r="AM145" i="3" s="1"/>
  <c r="AN145" i="3" s="1"/>
  <c r="AO145" i="3" s="1"/>
  <c r="AP145" i="3" s="1"/>
  <c r="AQ145" i="3" s="1"/>
  <c r="AR145" i="3" s="1"/>
  <c r="AS145" i="3" s="1"/>
  <c r="AT145" i="3" s="1"/>
  <c r="AU145" i="3" s="1"/>
  <c r="AV145" i="3" s="1"/>
  <c r="AW145" i="3" s="1"/>
  <c r="AX145" i="3" s="1"/>
  <c r="AY145" i="3" s="1"/>
  <c r="AZ145" i="3" s="1"/>
  <c r="BA145" i="3" s="1"/>
  <c r="BB145" i="3" s="1"/>
  <c r="BC145" i="3" s="1"/>
  <c r="BD145" i="3" s="1"/>
  <c r="BE145" i="3" s="1"/>
  <c r="BF145" i="3" s="1"/>
  <c r="AC24" i="2"/>
  <c r="AH145" i="3" s="1"/>
  <c r="AB24" i="2"/>
  <c r="AG145" i="3" s="1"/>
  <c r="AA24" i="2"/>
  <c r="AF145" i="3" s="1"/>
  <c r="Z24" i="2"/>
  <c r="AE145" i="3" s="1"/>
  <c r="AE150" i="3" s="1"/>
  <c r="Y24" i="2"/>
  <c r="AD145" i="3" s="1"/>
  <c r="AD150" i="3" s="1"/>
  <c r="X24" i="2"/>
  <c r="AC145" i="3" s="1"/>
  <c r="AC150" i="3" s="1"/>
  <c r="V24" i="2"/>
  <c r="AA145" i="3" s="1"/>
  <c r="AA150" i="3" s="1"/>
  <c r="U24" i="2"/>
  <c r="Z145" i="3" s="1"/>
  <c r="Z150" i="3" s="1"/>
  <c r="T24" i="2"/>
  <c r="Y145" i="3" s="1"/>
  <c r="Y150" i="3" s="1"/>
  <c r="S24" i="2"/>
  <c r="X145" i="3" s="1"/>
  <c r="X150" i="3" s="1"/>
  <c r="Q24" i="2"/>
  <c r="V145" i="3" s="1"/>
  <c r="V150" i="3" s="1"/>
  <c r="P24" i="2"/>
  <c r="U145" i="3" s="1"/>
  <c r="U150" i="3" s="1"/>
  <c r="O24" i="2"/>
  <c r="T145" i="3" s="1"/>
  <c r="T150" i="3" s="1"/>
  <c r="N24" i="2"/>
  <c r="S145" i="3" s="1"/>
  <c r="S150" i="3" s="1"/>
  <c r="L24" i="2"/>
  <c r="Q145" i="3" s="1"/>
  <c r="Q150" i="3" s="1"/>
  <c r="K24" i="2"/>
  <c r="P145" i="3" s="1"/>
  <c r="P150" i="3" s="1"/>
  <c r="J24" i="2"/>
  <c r="O145" i="3" s="1"/>
  <c r="O150" i="3" s="1"/>
  <c r="I24" i="2"/>
  <c r="N145" i="3" s="1"/>
  <c r="N150" i="3" s="1"/>
  <c r="H24" i="2"/>
  <c r="M145" i="3" s="1"/>
  <c r="G24" i="2"/>
  <c r="L145" i="3" s="1"/>
  <c r="L150" i="3" s="1"/>
  <c r="F24" i="2"/>
  <c r="K145" i="3" s="1"/>
  <c r="K150" i="3" s="1"/>
  <c r="E24" i="2"/>
  <c r="J145" i="3" s="1"/>
  <c r="J150" i="3" s="1"/>
  <c r="D24" i="2"/>
  <c r="I145" i="3" s="1"/>
  <c r="I150" i="3" s="1"/>
  <c r="AG23" i="2"/>
  <c r="AF23" i="2"/>
  <c r="AE23" i="2"/>
  <c r="AD23" i="2"/>
  <c r="AI142" i="3" s="1"/>
  <c r="AC23" i="2"/>
  <c r="AH142" i="3" s="1"/>
  <c r="AA23" i="2"/>
  <c r="AF142" i="3" s="1"/>
  <c r="Z23" i="2"/>
  <c r="AE142" i="3" s="1"/>
  <c r="Y23" i="2"/>
  <c r="AD142" i="3" s="1"/>
  <c r="X23" i="2"/>
  <c r="AC142" i="3" s="1"/>
  <c r="V23" i="2"/>
  <c r="AA142" i="3" s="1"/>
  <c r="U23" i="2"/>
  <c r="Z142" i="3" s="1"/>
  <c r="T23" i="2"/>
  <c r="Y142" i="3" s="1"/>
  <c r="S23" i="2"/>
  <c r="X142" i="3" s="1"/>
  <c r="Q23" i="2"/>
  <c r="V142" i="3" s="1"/>
  <c r="P23" i="2"/>
  <c r="U142" i="3" s="1"/>
  <c r="O23" i="2"/>
  <c r="T142" i="3" s="1"/>
  <c r="N23" i="2"/>
  <c r="S142" i="3" s="1"/>
  <c r="L23" i="2"/>
  <c r="Q142" i="3" s="1"/>
  <c r="K23" i="2"/>
  <c r="P142" i="3" s="1"/>
  <c r="J23" i="2"/>
  <c r="O142" i="3" s="1"/>
  <c r="I23" i="2"/>
  <c r="N142" i="3" s="1"/>
  <c r="G23" i="2"/>
  <c r="L142" i="3" s="1"/>
  <c r="F23" i="2"/>
  <c r="K142" i="3" s="1"/>
  <c r="E23" i="2"/>
  <c r="J142" i="3" s="1"/>
  <c r="D23" i="2"/>
  <c r="I142" i="3" s="1"/>
  <c r="AG22" i="2"/>
  <c r="AF22" i="2"/>
  <c r="AE22" i="2"/>
  <c r="AD22" i="2"/>
  <c r="AI132" i="3" s="1"/>
  <c r="AC22" i="2"/>
  <c r="AH132" i="3" s="1"/>
  <c r="AA22" i="2"/>
  <c r="AF132" i="3" s="1"/>
  <c r="Z22" i="2"/>
  <c r="AE132" i="3" s="1"/>
  <c r="Y22" i="2"/>
  <c r="AD132" i="3" s="1"/>
  <c r="X22" i="2"/>
  <c r="AC132" i="3" s="1"/>
  <c r="V22" i="2"/>
  <c r="AA132" i="3" s="1"/>
  <c r="U22" i="2"/>
  <c r="Z132" i="3" s="1"/>
  <c r="Z321" i="3" s="1"/>
  <c r="T22" i="2"/>
  <c r="Y132" i="3" s="1"/>
  <c r="Y321" i="3" s="1"/>
  <c r="S22" i="2"/>
  <c r="X132" i="3" s="1"/>
  <c r="Q22" i="2"/>
  <c r="V132" i="3" s="1"/>
  <c r="P22" i="2"/>
  <c r="U132" i="3" s="1"/>
  <c r="O22" i="2"/>
  <c r="T132" i="3" s="1"/>
  <c r="T321" i="3" s="1"/>
  <c r="N22" i="2"/>
  <c r="S132" i="3" s="1"/>
  <c r="L22" i="2"/>
  <c r="Q132" i="3" s="1"/>
  <c r="K22" i="2"/>
  <c r="P132" i="3" s="1"/>
  <c r="J22" i="2"/>
  <c r="O132" i="3" s="1"/>
  <c r="I22" i="2"/>
  <c r="N132" i="3" s="1"/>
  <c r="G22" i="2"/>
  <c r="L132" i="3" s="1"/>
  <c r="L321" i="3" s="1"/>
  <c r="F22" i="2"/>
  <c r="K132" i="3" s="1"/>
  <c r="K321" i="3" s="1"/>
  <c r="E22" i="2"/>
  <c r="J132" i="3" s="1"/>
  <c r="D22" i="2"/>
  <c r="I132" i="3" s="1"/>
  <c r="AF21" i="2"/>
  <c r="AG21" i="2" s="1"/>
  <c r="AE21" i="2"/>
  <c r="AD21" i="2"/>
  <c r="AI127" i="3" s="1"/>
  <c r="AC21" i="2"/>
  <c r="AH127" i="3" s="1"/>
  <c r="AA21" i="2"/>
  <c r="AF127" i="3" s="1"/>
  <c r="Z21" i="2"/>
  <c r="AE127" i="3" s="1"/>
  <c r="AE256" i="3" s="1"/>
  <c r="Y21" i="2"/>
  <c r="AD127" i="3" s="1"/>
  <c r="X21" i="2"/>
  <c r="AC127" i="3" s="1"/>
  <c r="V21" i="2"/>
  <c r="AA127" i="3" s="1"/>
  <c r="U21" i="2"/>
  <c r="Z127" i="3" s="1"/>
  <c r="Z256" i="3" s="1"/>
  <c r="T21" i="2"/>
  <c r="Y127" i="3" s="1"/>
  <c r="S21" i="2"/>
  <c r="X127" i="3" s="1"/>
  <c r="Q21" i="2"/>
  <c r="V127" i="3" s="1"/>
  <c r="P21" i="2"/>
  <c r="U127" i="3" s="1"/>
  <c r="O21" i="2"/>
  <c r="T127" i="3" s="1"/>
  <c r="N21" i="2"/>
  <c r="S127" i="3" s="1"/>
  <c r="L21" i="2"/>
  <c r="Q127" i="3" s="1"/>
  <c r="K21" i="2"/>
  <c r="P127" i="3" s="1"/>
  <c r="J21" i="2"/>
  <c r="O127" i="3" s="1"/>
  <c r="I21" i="2"/>
  <c r="N127" i="3" s="1"/>
  <c r="G21" i="2"/>
  <c r="L127" i="3" s="1"/>
  <c r="F21" i="2"/>
  <c r="K127" i="3" s="1"/>
  <c r="E21" i="2"/>
  <c r="J127" i="3" s="1"/>
  <c r="J256" i="3" s="1"/>
  <c r="D21" i="2"/>
  <c r="I127" i="3" s="1"/>
  <c r="I256" i="3" s="1"/>
  <c r="M256" i="3" s="1"/>
  <c r="AF20" i="2"/>
  <c r="AG20" i="2" s="1"/>
  <c r="AE20" i="2"/>
  <c r="AD20" i="2"/>
  <c r="AI121" i="3" s="1"/>
  <c r="AC20" i="2"/>
  <c r="AH121" i="3" s="1"/>
  <c r="AB20" i="2"/>
  <c r="AG121" i="3" s="1"/>
  <c r="AA20" i="2"/>
  <c r="AF121" i="3" s="1"/>
  <c r="Z20" i="2"/>
  <c r="AE121" i="3" s="1"/>
  <c r="Y20" i="2"/>
  <c r="AD121" i="3" s="1"/>
  <c r="X20" i="2"/>
  <c r="AC121" i="3" s="1"/>
  <c r="W20" i="2"/>
  <c r="AB121" i="3" s="1"/>
  <c r="V20" i="2"/>
  <c r="AA121" i="3" s="1"/>
  <c r="U20" i="2"/>
  <c r="Z121" i="3" s="1"/>
  <c r="T20" i="2"/>
  <c r="Y121" i="3" s="1"/>
  <c r="S20" i="2"/>
  <c r="X121" i="3" s="1"/>
  <c r="Q20" i="2"/>
  <c r="V121" i="3" s="1"/>
  <c r="P20" i="2"/>
  <c r="U121" i="3" s="1"/>
  <c r="O20" i="2"/>
  <c r="T121" i="3" s="1"/>
  <c r="N20" i="2"/>
  <c r="S121" i="3" s="1"/>
  <c r="L20" i="2"/>
  <c r="Q121" i="3" s="1"/>
  <c r="K20" i="2"/>
  <c r="P121" i="3" s="1"/>
  <c r="J20" i="2"/>
  <c r="O121" i="3" s="1"/>
  <c r="I20" i="2"/>
  <c r="N121" i="3" s="1"/>
  <c r="G20" i="2"/>
  <c r="L121" i="3" s="1"/>
  <c r="F20" i="2"/>
  <c r="K121" i="3" s="1"/>
  <c r="E20" i="2"/>
  <c r="J121" i="3" s="1"/>
  <c r="D20" i="2"/>
  <c r="I121" i="3" s="1"/>
  <c r="AG19" i="2"/>
  <c r="AF19" i="2"/>
  <c r="AE19" i="2"/>
  <c r="AD19" i="2"/>
  <c r="AI120" i="3" s="1"/>
  <c r="AC19" i="2"/>
  <c r="AH120" i="3" s="1"/>
  <c r="AA19" i="2"/>
  <c r="AF120" i="3" s="1"/>
  <c r="AF249" i="3" s="1"/>
  <c r="Z19" i="2"/>
  <c r="AE120" i="3" s="1"/>
  <c r="Y19" i="2"/>
  <c r="AD120" i="3" s="1"/>
  <c r="X19" i="2"/>
  <c r="AC120" i="3" s="1"/>
  <c r="V19" i="2"/>
  <c r="AA120" i="3" s="1"/>
  <c r="U19" i="2"/>
  <c r="Z120" i="3" s="1"/>
  <c r="T19" i="2"/>
  <c r="Y120" i="3" s="1"/>
  <c r="S19" i="2"/>
  <c r="X120" i="3" s="1"/>
  <c r="Q19" i="2"/>
  <c r="V120" i="3" s="1"/>
  <c r="V249" i="3" s="1"/>
  <c r="P19" i="2"/>
  <c r="U120" i="3" s="1"/>
  <c r="O19" i="2"/>
  <c r="T120" i="3" s="1"/>
  <c r="N19" i="2"/>
  <c r="S120" i="3" s="1"/>
  <c r="L19" i="2"/>
  <c r="Q120" i="3" s="1"/>
  <c r="K19" i="2"/>
  <c r="P120" i="3" s="1"/>
  <c r="J19" i="2"/>
  <c r="O120" i="3" s="1"/>
  <c r="I19" i="2"/>
  <c r="N120" i="3" s="1"/>
  <c r="G19" i="2"/>
  <c r="L120" i="3" s="1"/>
  <c r="F19" i="2"/>
  <c r="K120" i="3" s="1"/>
  <c r="E19" i="2"/>
  <c r="J120" i="3" s="1"/>
  <c r="D19" i="2"/>
  <c r="I120" i="3" s="1"/>
  <c r="I249" i="3" s="1"/>
  <c r="M249" i="3" s="1"/>
  <c r="AG18" i="2"/>
  <c r="AF18" i="2"/>
  <c r="AE18" i="2"/>
  <c r="AD18" i="2"/>
  <c r="AI119" i="3" s="1"/>
  <c r="AC18" i="2"/>
  <c r="AH119" i="3" s="1"/>
  <c r="AA18" i="2"/>
  <c r="AF119" i="3" s="1"/>
  <c r="AF248" i="3" s="1"/>
  <c r="Z18" i="2"/>
  <c r="AE119" i="3" s="1"/>
  <c r="Y18" i="2"/>
  <c r="AD119" i="3" s="1"/>
  <c r="X18" i="2"/>
  <c r="AC119" i="3" s="1"/>
  <c r="V18" i="2"/>
  <c r="AA119" i="3" s="1"/>
  <c r="U18" i="2"/>
  <c r="Z119" i="3" s="1"/>
  <c r="T18" i="2"/>
  <c r="Y119" i="3" s="1"/>
  <c r="S18" i="2"/>
  <c r="X119" i="3" s="1"/>
  <c r="Q18" i="2"/>
  <c r="V119" i="3" s="1"/>
  <c r="P18" i="2"/>
  <c r="U119" i="3" s="1"/>
  <c r="O18" i="2"/>
  <c r="T119" i="3" s="1"/>
  <c r="N18" i="2"/>
  <c r="S119" i="3" s="1"/>
  <c r="L18" i="2"/>
  <c r="Q119" i="3" s="1"/>
  <c r="K18" i="2"/>
  <c r="P119" i="3" s="1"/>
  <c r="J18" i="2"/>
  <c r="O119" i="3" s="1"/>
  <c r="I18" i="2"/>
  <c r="N119" i="3" s="1"/>
  <c r="G18" i="2"/>
  <c r="L119" i="3" s="1"/>
  <c r="F18" i="2"/>
  <c r="K119" i="3" s="1"/>
  <c r="E18" i="2"/>
  <c r="J119" i="3" s="1"/>
  <c r="D18" i="2"/>
  <c r="I119" i="3" s="1"/>
  <c r="I248" i="3" s="1"/>
  <c r="M248" i="3" s="1"/>
  <c r="AF17" i="2"/>
  <c r="AG17" i="2" s="1"/>
  <c r="AE17" i="2"/>
  <c r="AD17" i="2"/>
  <c r="AI115" i="3" s="1"/>
  <c r="AC17" i="2"/>
  <c r="AH115" i="3" s="1"/>
  <c r="AA17" i="2"/>
  <c r="AF115" i="3" s="1"/>
  <c r="Z17" i="2"/>
  <c r="AE115" i="3" s="1"/>
  <c r="Y17" i="2"/>
  <c r="AD115" i="3" s="1"/>
  <c r="X17" i="2"/>
  <c r="AC115" i="3" s="1"/>
  <c r="V17" i="2"/>
  <c r="AA115" i="3" s="1"/>
  <c r="U17" i="2"/>
  <c r="Z115" i="3" s="1"/>
  <c r="T17" i="2"/>
  <c r="Y115" i="3" s="1"/>
  <c r="S17" i="2"/>
  <c r="X115" i="3" s="1"/>
  <c r="Q17" i="2"/>
  <c r="V115" i="3" s="1"/>
  <c r="P17" i="2"/>
  <c r="U115" i="3" s="1"/>
  <c r="O17" i="2"/>
  <c r="T115" i="3" s="1"/>
  <c r="N17" i="2"/>
  <c r="S115" i="3" s="1"/>
  <c r="L17" i="2"/>
  <c r="Q115" i="3" s="1"/>
  <c r="K17" i="2"/>
  <c r="P115" i="3" s="1"/>
  <c r="J17" i="2"/>
  <c r="O115" i="3" s="1"/>
  <c r="I17" i="2"/>
  <c r="N115" i="3" s="1"/>
  <c r="G17" i="2"/>
  <c r="L115" i="3" s="1"/>
  <c r="F17" i="2"/>
  <c r="K115" i="3" s="1"/>
  <c r="E17" i="2"/>
  <c r="J115" i="3" s="1"/>
  <c r="D17" i="2"/>
  <c r="I115" i="3" s="1"/>
  <c r="AF16" i="2"/>
  <c r="AG16" i="2" s="1"/>
  <c r="AE16" i="2"/>
  <c r="AD16" i="2"/>
  <c r="AI111" i="3" s="1"/>
  <c r="AI319" i="3" s="1"/>
  <c r="AC16" i="2"/>
  <c r="AH111" i="3" s="1"/>
  <c r="AA16" i="2"/>
  <c r="AF111" i="3" s="1"/>
  <c r="Z16" i="2"/>
  <c r="AE111" i="3" s="1"/>
  <c r="Y16" i="2"/>
  <c r="AD111" i="3" s="1"/>
  <c r="X16" i="2"/>
  <c r="AC111" i="3" s="1"/>
  <c r="W16" i="2"/>
  <c r="AB111" i="3" s="1"/>
  <c r="V16" i="2"/>
  <c r="AA111" i="3" s="1"/>
  <c r="U16" i="2"/>
  <c r="Z111" i="3" s="1"/>
  <c r="Z319" i="3" s="1"/>
  <c r="T16" i="2"/>
  <c r="Y111" i="3" s="1"/>
  <c r="Y319" i="3" s="1"/>
  <c r="S16" i="2"/>
  <c r="X111" i="3" s="1"/>
  <c r="X319" i="3" s="1"/>
  <c r="Q16" i="2"/>
  <c r="V111" i="3" s="1"/>
  <c r="V319" i="3" s="1"/>
  <c r="P16" i="2"/>
  <c r="U111" i="3" s="1"/>
  <c r="O16" i="2"/>
  <c r="T111" i="3" s="1"/>
  <c r="N16" i="2"/>
  <c r="S111" i="3" s="1"/>
  <c r="L16" i="2"/>
  <c r="Q111" i="3" s="1"/>
  <c r="K16" i="2"/>
  <c r="P111" i="3" s="1"/>
  <c r="J16" i="2"/>
  <c r="O111" i="3" s="1"/>
  <c r="I16" i="2"/>
  <c r="N111" i="3" s="1"/>
  <c r="G16" i="2"/>
  <c r="L111" i="3" s="1"/>
  <c r="F16" i="2"/>
  <c r="K111" i="3" s="1"/>
  <c r="K319" i="3" s="1"/>
  <c r="E16" i="2"/>
  <c r="J111" i="3" s="1"/>
  <c r="J319" i="3" s="1"/>
  <c r="D16" i="2"/>
  <c r="I111" i="3" s="1"/>
  <c r="I319" i="3" s="1"/>
  <c r="AF15" i="2"/>
  <c r="AG15" i="2" s="1"/>
  <c r="AE15" i="2"/>
  <c r="AD15" i="2"/>
  <c r="AI110" i="3" s="1"/>
  <c r="AC15" i="2"/>
  <c r="AH110" i="3" s="1"/>
  <c r="AA15" i="2"/>
  <c r="AF110" i="3" s="1"/>
  <c r="Z15" i="2"/>
  <c r="AE110" i="3" s="1"/>
  <c r="Y15" i="2"/>
  <c r="AD110" i="3" s="1"/>
  <c r="X15" i="2"/>
  <c r="AC110" i="3" s="1"/>
  <c r="V15" i="2"/>
  <c r="AA110" i="3" s="1"/>
  <c r="U15" i="2"/>
  <c r="Z110" i="3" s="1"/>
  <c r="T15" i="2"/>
  <c r="Y110" i="3" s="1"/>
  <c r="S15" i="2"/>
  <c r="X110" i="3" s="1"/>
  <c r="Q15" i="2"/>
  <c r="V110" i="3" s="1"/>
  <c r="P15" i="2"/>
  <c r="U110" i="3" s="1"/>
  <c r="O15" i="2"/>
  <c r="T110" i="3" s="1"/>
  <c r="N15" i="2"/>
  <c r="S110" i="3" s="1"/>
  <c r="L15" i="2"/>
  <c r="Q110" i="3" s="1"/>
  <c r="K15" i="2"/>
  <c r="P110" i="3" s="1"/>
  <c r="J15" i="2"/>
  <c r="O110" i="3" s="1"/>
  <c r="I15" i="2"/>
  <c r="N110" i="3" s="1"/>
  <c r="G15" i="2"/>
  <c r="L110" i="3" s="1"/>
  <c r="F15" i="2"/>
  <c r="K110" i="3" s="1"/>
  <c r="E15" i="2"/>
  <c r="J110" i="3" s="1"/>
  <c r="D15" i="2"/>
  <c r="I110" i="3" s="1"/>
  <c r="AF13" i="2"/>
  <c r="AE13" i="2"/>
  <c r="AD13" i="2"/>
  <c r="AI104" i="3" s="1"/>
  <c r="AC13" i="2"/>
  <c r="AH104" i="3" s="1"/>
  <c r="AA13" i="2"/>
  <c r="AF104" i="3" s="1"/>
  <c r="Z13" i="2"/>
  <c r="AE104" i="3" s="1"/>
  <c r="Y13" i="2"/>
  <c r="AD104" i="3" s="1"/>
  <c r="X13" i="2"/>
  <c r="AC104" i="3" s="1"/>
  <c r="V13" i="2"/>
  <c r="AA104" i="3" s="1"/>
  <c r="U13" i="2"/>
  <c r="Z104" i="3" s="1"/>
  <c r="T13" i="2"/>
  <c r="Y104" i="3" s="1"/>
  <c r="S13" i="2"/>
  <c r="X104" i="3" s="1"/>
  <c r="Q13" i="2"/>
  <c r="V104" i="3" s="1"/>
  <c r="P13" i="2"/>
  <c r="U104" i="3" s="1"/>
  <c r="O13" i="2"/>
  <c r="T104" i="3" s="1"/>
  <c r="N13" i="2"/>
  <c r="S104" i="3" s="1"/>
  <c r="L13" i="2"/>
  <c r="Q104" i="3" s="1"/>
  <c r="K13" i="2"/>
  <c r="P104" i="3" s="1"/>
  <c r="J13" i="2"/>
  <c r="O104" i="3" s="1"/>
  <c r="I13" i="2"/>
  <c r="N104" i="3" s="1"/>
  <c r="G13" i="2"/>
  <c r="L104" i="3" s="1"/>
  <c r="F13" i="2"/>
  <c r="K104" i="3" s="1"/>
  <c r="E13" i="2"/>
  <c r="J104" i="3" s="1"/>
  <c r="D13" i="2"/>
  <c r="AF12" i="2"/>
  <c r="AE12" i="2"/>
  <c r="AD12" i="2"/>
  <c r="AI102" i="3" s="1"/>
  <c r="AI258" i="3" s="1"/>
  <c r="AC12" i="2"/>
  <c r="AH102" i="3" s="1"/>
  <c r="AA12" i="2"/>
  <c r="AF102" i="3" s="1"/>
  <c r="AF258" i="3" s="1"/>
  <c r="Z12" i="2"/>
  <c r="AE102" i="3" s="1"/>
  <c r="AE258" i="3" s="1"/>
  <c r="Y12" i="2"/>
  <c r="AD102" i="3" s="1"/>
  <c r="AD258" i="3" s="1"/>
  <c r="X12" i="2"/>
  <c r="AC102" i="3" s="1"/>
  <c r="AC258" i="3" s="1"/>
  <c r="AG258" i="3" s="1"/>
  <c r="V12" i="2"/>
  <c r="AA102" i="3" s="1"/>
  <c r="AA258" i="3" s="1"/>
  <c r="U12" i="2"/>
  <c r="Z102" i="3" s="1"/>
  <c r="Z258" i="3" s="1"/>
  <c r="T12" i="2"/>
  <c r="Y102" i="3" s="1"/>
  <c r="Y258" i="3" s="1"/>
  <c r="S12" i="2"/>
  <c r="X102" i="3" s="1"/>
  <c r="X258" i="3" s="1"/>
  <c r="AB258" i="3" s="1"/>
  <c r="Q12" i="2"/>
  <c r="V102" i="3" s="1"/>
  <c r="V258" i="3" s="1"/>
  <c r="P12" i="2"/>
  <c r="U102" i="3" s="1"/>
  <c r="U258" i="3" s="1"/>
  <c r="O12" i="2"/>
  <c r="T102" i="3" s="1"/>
  <c r="T258" i="3" s="1"/>
  <c r="N12" i="2"/>
  <c r="S102" i="3" s="1"/>
  <c r="S258" i="3" s="1"/>
  <c r="W258" i="3" s="1"/>
  <c r="L12" i="2"/>
  <c r="Q102" i="3" s="1"/>
  <c r="Q258" i="3" s="1"/>
  <c r="K12" i="2"/>
  <c r="P102" i="3" s="1"/>
  <c r="P258" i="3" s="1"/>
  <c r="J12" i="2"/>
  <c r="O102" i="3" s="1"/>
  <c r="O258" i="3" s="1"/>
  <c r="I12" i="2"/>
  <c r="N102" i="3" s="1"/>
  <c r="N258" i="3" s="1"/>
  <c r="R258" i="3" s="1"/>
  <c r="G12" i="2"/>
  <c r="L102" i="3" s="1"/>
  <c r="L258" i="3" s="1"/>
  <c r="F12" i="2"/>
  <c r="K102" i="3" s="1"/>
  <c r="K258" i="3" s="1"/>
  <c r="E12" i="2"/>
  <c r="J102" i="3" s="1"/>
  <c r="J258" i="3" s="1"/>
  <c r="D12" i="2"/>
  <c r="I102" i="3" s="1"/>
  <c r="I258" i="3" s="1"/>
  <c r="M258" i="3" s="1"/>
  <c r="AF11" i="2"/>
  <c r="AE11" i="2"/>
  <c r="AD11" i="2"/>
  <c r="AI101" i="3" s="1"/>
  <c r="AC11" i="2"/>
  <c r="AH101" i="3" s="1"/>
  <c r="AA11" i="2"/>
  <c r="AF101" i="3" s="1"/>
  <c r="Z11" i="2"/>
  <c r="AE101" i="3" s="1"/>
  <c r="Y11" i="2"/>
  <c r="AD101" i="3" s="1"/>
  <c r="X11" i="2"/>
  <c r="AC101" i="3" s="1"/>
  <c r="V11" i="2"/>
  <c r="AA101" i="3" s="1"/>
  <c r="U11" i="2"/>
  <c r="Z101" i="3" s="1"/>
  <c r="T11" i="2"/>
  <c r="Y101" i="3" s="1"/>
  <c r="S11" i="2"/>
  <c r="X101" i="3" s="1"/>
  <c r="Q11" i="2"/>
  <c r="V101" i="3" s="1"/>
  <c r="P11" i="2"/>
  <c r="U101" i="3" s="1"/>
  <c r="O11" i="2"/>
  <c r="T101" i="3" s="1"/>
  <c r="N11" i="2"/>
  <c r="S101" i="3" s="1"/>
  <c r="L11" i="2"/>
  <c r="Q101" i="3" s="1"/>
  <c r="K11" i="2"/>
  <c r="P101" i="3" s="1"/>
  <c r="J11" i="2"/>
  <c r="O101" i="3" s="1"/>
  <c r="I11" i="2"/>
  <c r="N101" i="3" s="1"/>
  <c r="G11" i="2"/>
  <c r="L101" i="3" s="1"/>
  <c r="F11" i="2"/>
  <c r="K101" i="3" s="1"/>
  <c r="E11" i="2"/>
  <c r="J101" i="3" s="1"/>
  <c r="D11" i="2"/>
  <c r="I101" i="3" s="1"/>
  <c r="AF10" i="2"/>
  <c r="AE10" i="2"/>
  <c r="AD10" i="2"/>
  <c r="AI97" i="3" s="1"/>
  <c r="AC10" i="2"/>
  <c r="AH97" i="3" s="1"/>
  <c r="AA10" i="2"/>
  <c r="AF97" i="3" s="1"/>
  <c r="Z10" i="2"/>
  <c r="AE97" i="3" s="1"/>
  <c r="Y10" i="2"/>
  <c r="AD97" i="3" s="1"/>
  <c r="X10" i="2"/>
  <c r="AC97" i="3" s="1"/>
  <c r="V10" i="2"/>
  <c r="AA97" i="3" s="1"/>
  <c r="U10" i="2"/>
  <c r="Z97" i="3" s="1"/>
  <c r="T10" i="2"/>
  <c r="Y97" i="3" s="1"/>
  <c r="S10" i="2"/>
  <c r="Q10" i="2"/>
  <c r="V97" i="3" s="1"/>
  <c r="P10" i="2"/>
  <c r="U97" i="3" s="1"/>
  <c r="O10" i="2"/>
  <c r="T97" i="3" s="1"/>
  <c r="N10" i="2"/>
  <c r="S97" i="3" s="1"/>
  <c r="L10" i="2"/>
  <c r="Q97" i="3" s="1"/>
  <c r="K10" i="2"/>
  <c r="P97" i="3" s="1"/>
  <c r="J10" i="2"/>
  <c r="O97" i="3" s="1"/>
  <c r="I10" i="2"/>
  <c r="N97" i="3" s="1"/>
  <c r="G10" i="2"/>
  <c r="L97" i="3" s="1"/>
  <c r="F10" i="2"/>
  <c r="K97" i="3" s="1"/>
  <c r="E10" i="2"/>
  <c r="J97" i="3" s="1"/>
  <c r="D10" i="2"/>
  <c r="I97" i="3" s="1"/>
  <c r="AF9" i="2"/>
  <c r="AE9" i="2"/>
  <c r="AD9" i="2"/>
  <c r="AI89" i="3" s="1"/>
  <c r="AC9" i="2"/>
  <c r="AH89" i="3" s="1"/>
  <c r="AA9" i="2"/>
  <c r="AF89" i="3" s="1"/>
  <c r="Z9" i="2"/>
  <c r="AE89" i="3" s="1"/>
  <c r="Y9" i="2"/>
  <c r="AD89" i="3" s="1"/>
  <c r="X9" i="2"/>
  <c r="AC89" i="3" s="1"/>
  <c r="V9" i="2"/>
  <c r="AA89" i="3" s="1"/>
  <c r="U9" i="2"/>
  <c r="Z89" i="3" s="1"/>
  <c r="T9" i="2"/>
  <c r="Y89" i="3" s="1"/>
  <c r="S9" i="2"/>
  <c r="X89" i="3" s="1"/>
  <c r="Q9" i="2"/>
  <c r="V89" i="3" s="1"/>
  <c r="P9" i="2"/>
  <c r="U89" i="3" s="1"/>
  <c r="O9" i="2"/>
  <c r="T89" i="3" s="1"/>
  <c r="N9" i="2"/>
  <c r="S89" i="3" s="1"/>
  <c r="L9" i="2"/>
  <c r="Q89" i="3" s="1"/>
  <c r="K9" i="2"/>
  <c r="P89" i="3" s="1"/>
  <c r="J9" i="2"/>
  <c r="O89" i="3" s="1"/>
  <c r="I9" i="2"/>
  <c r="N89" i="3" s="1"/>
  <c r="G9" i="2"/>
  <c r="L89" i="3" s="1"/>
  <c r="F9" i="2"/>
  <c r="K89" i="3" s="1"/>
  <c r="E9" i="2"/>
  <c r="J89" i="3" s="1"/>
  <c r="D9" i="2"/>
  <c r="I89" i="3" s="1"/>
  <c r="AF8" i="2"/>
  <c r="AE8" i="2"/>
  <c r="AD8" i="2"/>
  <c r="AI40" i="3" s="1"/>
  <c r="AC8" i="2"/>
  <c r="AH40" i="3" s="1"/>
  <c r="AA8" i="2"/>
  <c r="AF40" i="3" s="1"/>
  <c r="Z8" i="2"/>
  <c r="AE40" i="3" s="1"/>
  <c r="AE41" i="3" s="1"/>
  <c r="Y8" i="2"/>
  <c r="AD40" i="3" s="1"/>
  <c r="X8" i="2"/>
  <c r="AC40" i="3" s="1"/>
  <c r="AC41" i="3" s="1"/>
  <c r="V8" i="2"/>
  <c r="AA40" i="3" s="1"/>
  <c r="AA41" i="3" s="1"/>
  <c r="U8" i="2"/>
  <c r="Z40" i="3" s="1"/>
  <c r="Z41" i="3" s="1"/>
  <c r="T8" i="2"/>
  <c r="Y40" i="3" s="1"/>
  <c r="Y41" i="3" s="1"/>
  <c r="S8" i="2"/>
  <c r="X40" i="3" s="1"/>
  <c r="X41" i="3" s="1"/>
  <c r="Q8" i="2"/>
  <c r="V40" i="3" s="1"/>
  <c r="P8" i="2"/>
  <c r="U40" i="3" s="1"/>
  <c r="U41" i="3" s="1"/>
  <c r="O8" i="2"/>
  <c r="T40" i="3" s="1"/>
  <c r="T41" i="3" s="1"/>
  <c r="N8" i="2"/>
  <c r="L8" i="2"/>
  <c r="Q40" i="3" s="1"/>
  <c r="Q41" i="3" s="1"/>
  <c r="K8" i="2"/>
  <c r="P40" i="3" s="1"/>
  <c r="P41" i="3" s="1"/>
  <c r="J8" i="2"/>
  <c r="O40" i="3" s="1"/>
  <c r="O41" i="3" s="1"/>
  <c r="I8" i="2"/>
  <c r="N40" i="3" s="1"/>
  <c r="N41" i="3" s="1"/>
  <c r="G8" i="2"/>
  <c r="L40" i="3" s="1"/>
  <c r="L41" i="3" s="1"/>
  <c r="F8" i="2"/>
  <c r="K40" i="3" s="1"/>
  <c r="E8" i="2"/>
  <c r="J40" i="3" s="1"/>
  <c r="D8" i="2"/>
  <c r="I40" i="3" s="1"/>
  <c r="I41" i="3" s="1"/>
  <c r="AF7" i="2"/>
  <c r="AE7" i="2"/>
  <c r="AD7" i="2"/>
  <c r="AI36" i="3" s="1"/>
  <c r="AC7" i="2"/>
  <c r="AH36" i="3" s="1"/>
  <c r="AA7" i="2"/>
  <c r="AF36" i="3" s="1"/>
  <c r="Z7" i="2"/>
  <c r="AE36" i="3" s="1"/>
  <c r="Y7" i="2"/>
  <c r="AD36" i="3" s="1"/>
  <c r="X7" i="2"/>
  <c r="AC36" i="3" s="1"/>
  <c r="V7" i="2"/>
  <c r="AA36" i="3" s="1"/>
  <c r="U7" i="2"/>
  <c r="Z36" i="3" s="1"/>
  <c r="T7" i="2"/>
  <c r="S7" i="2"/>
  <c r="X36" i="3" s="1"/>
  <c r="Q7" i="2"/>
  <c r="V36" i="3" s="1"/>
  <c r="P7" i="2"/>
  <c r="U36" i="3" s="1"/>
  <c r="O7" i="2"/>
  <c r="T36" i="3" s="1"/>
  <c r="N7" i="2"/>
  <c r="S36" i="3" s="1"/>
  <c r="L7" i="2"/>
  <c r="Q36" i="3" s="1"/>
  <c r="K7" i="2"/>
  <c r="P36" i="3" s="1"/>
  <c r="J7" i="2"/>
  <c r="O36" i="3" s="1"/>
  <c r="I7" i="2"/>
  <c r="N36" i="3" s="1"/>
  <c r="G7" i="2"/>
  <c r="L36" i="3" s="1"/>
  <c r="F7" i="2"/>
  <c r="K36" i="3" s="1"/>
  <c r="E7" i="2"/>
  <c r="J36" i="3" s="1"/>
  <c r="D7" i="2"/>
  <c r="I36" i="3" s="1"/>
  <c r="AF6" i="2"/>
  <c r="AE6" i="2"/>
  <c r="AD6" i="2"/>
  <c r="AI24" i="3" s="1"/>
  <c r="AC6" i="2"/>
  <c r="AH24" i="3" s="1"/>
  <c r="AA6" i="2"/>
  <c r="AF24" i="3" s="1"/>
  <c r="Z6" i="2"/>
  <c r="AE24" i="3" s="1"/>
  <c r="Y6" i="2"/>
  <c r="AD24" i="3" s="1"/>
  <c r="X6" i="2"/>
  <c r="AC24" i="3" s="1"/>
  <c r="V6" i="2"/>
  <c r="AA24" i="3" s="1"/>
  <c r="U6" i="2"/>
  <c r="Z24" i="3" s="1"/>
  <c r="T6" i="2"/>
  <c r="Y24" i="3" s="1"/>
  <c r="S6" i="2"/>
  <c r="X24" i="3" s="1"/>
  <c r="Q6" i="2"/>
  <c r="V24" i="3" s="1"/>
  <c r="P6" i="2"/>
  <c r="U24" i="3" s="1"/>
  <c r="O6" i="2"/>
  <c r="T24" i="3" s="1"/>
  <c r="N6" i="2"/>
  <c r="S24" i="3" s="1"/>
  <c r="L6" i="2"/>
  <c r="Q24" i="3" s="1"/>
  <c r="K6" i="2"/>
  <c r="P24" i="3" s="1"/>
  <c r="J6" i="2"/>
  <c r="O24" i="3" s="1"/>
  <c r="I6" i="2"/>
  <c r="N24" i="3" s="1"/>
  <c r="G6" i="2"/>
  <c r="L24" i="3" s="1"/>
  <c r="F6" i="2"/>
  <c r="K24" i="3" s="1"/>
  <c r="E6" i="2"/>
  <c r="J24" i="3" s="1"/>
  <c r="D6" i="2"/>
  <c r="I24" i="3" s="1"/>
  <c r="AF5" i="2"/>
  <c r="AE5" i="2"/>
  <c r="AD5" i="2"/>
  <c r="AI20" i="3" s="1"/>
  <c r="AC5" i="2"/>
  <c r="AH20" i="3" s="1"/>
  <c r="AA5" i="2"/>
  <c r="AF20" i="3" s="1"/>
  <c r="Z5" i="2"/>
  <c r="AE20" i="3" s="1"/>
  <c r="Y5" i="2"/>
  <c r="AD20" i="3" s="1"/>
  <c r="X5" i="2"/>
  <c r="AC20" i="3" s="1"/>
  <c r="V5" i="2"/>
  <c r="AA20" i="3" s="1"/>
  <c r="U5" i="2"/>
  <c r="Z20" i="3" s="1"/>
  <c r="T5" i="2"/>
  <c r="Y20" i="3" s="1"/>
  <c r="S5" i="2"/>
  <c r="X20" i="3" s="1"/>
  <c r="Q5" i="2"/>
  <c r="V20" i="3" s="1"/>
  <c r="P5" i="2"/>
  <c r="U20" i="3" s="1"/>
  <c r="O5" i="2"/>
  <c r="T20" i="3" s="1"/>
  <c r="N5" i="2"/>
  <c r="S20" i="3" s="1"/>
  <c r="L5" i="2"/>
  <c r="Q20" i="3" s="1"/>
  <c r="K5" i="2"/>
  <c r="P20" i="3" s="1"/>
  <c r="J5" i="2"/>
  <c r="O20" i="3" s="1"/>
  <c r="I5" i="2"/>
  <c r="N20" i="3" s="1"/>
  <c r="G5" i="2"/>
  <c r="L20" i="3" s="1"/>
  <c r="F5" i="2"/>
  <c r="K20" i="3" s="1"/>
  <c r="E5" i="2"/>
  <c r="J20" i="3" s="1"/>
  <c r="D5" i="2"/>
  <c r="I20" i="3" s="1"/>
  <c r="AF4" i="2"/>
  <c r="AE4" i="2"/>
  <c r="AD4" i="2"/>
  <c r="AI15" i="3" s="1"/>
  <c r="AI287" i="3" s="1"/>
  <c r="AC4" i="2"/>
  <c r="AH15" i="3" s="1"/>
  <c r="AH287" i="3" s="1"/>
  <c r="AA4" i="2"/>
  <c r="AF15" i="3" s="1"/>
  <c r="AF290" i="3" s="1"/>
  <c r="Z4" i="2"/>
  <c r="AE15" i="3" s="1"/>
  <c r="AE287" i="3" s="1"/>
  <c r="Y4" i="2"/>
  <c r="AD15" i="3" s="1"/>
  <c r="AD289" i="3" s="1"/>
  <c r="X4" i="2"/>
  <c r="AC15" i="3" s="1"/>
  <c r="AC287" i="3" s="1"/>
  <c r="V4" i="2"/>
  <c r="AA15" i="3" s="1"/>
  <c r="U4" i="2"/>
  <c r="Z15" i="3" s="1"/>
  <c r="Z290" i="3" s="1"/>
  <c r="T4" i="2"/>
  <c r="Y15" i="3" s="1"/>
  <c r="Y290" i="3" s="1"/>
  <c r="S4" i="2"/>
  <c r="X15" i="3" s="1"/>
  <c r="X289" i="3" s="1"/>
  <c r="Q4" i="2"/>
  <c r="V15" i="3" s="1"/>
  <c r="V288" i="3" s="1"/>
  <c r="P4" i="2"/>
  <c r="U15" i="3" s="1"/>
  <c r="U287" i="3" s="1"/>
  <c r="O4" i="2"/>
  <c r="T15" i="3" s="1"/>
  <c r="T287" i="3" s="1"/>
  <c r="N4" i="2"/>
  <c r="S15" i="3" s="1"/>
  <c r="S290" i="3" s="1"/>
  <c r="L4" i="2"/>
  <c r="Q15" i="3" s="1"/>
  <c r="Q289" i="3" s="1"/>
  <c r="K4" i="2"/>
  <c r="P15" i="3" s="1"/>
  <c r="P289" i="3" s="1"/>
  <c r="J4" i="2"/>
  <c r="O15" i="3" s="1"/>
  <c r="O289" i="3" s="1"/>
  <c r="I4" i="2"/>
  <c r="M4" i="2" s="1"/>
  <c r="R15" i="3" s="1"/>
  <c r="R288" i="3" s="1"/>
  <c r="G4" i="2"/>
  <c r="L15" i="3" s="1"/>
  <c r="F4" i="2"/>
  <c r="K15" i="3" s="1"/>
  <c r="K289" i="3" s="1"/>
  <c r="E4" i="2"/>
  <c r="J15" i="3" s="1"/>
  <c r="J289" i="3" s="1"/>
  <c r="D4" i="2"/>
  <c r="I15" i="3" s="1"/>
  <c r="I288" i="3" s="1"/>
  <c r="A1" i="2"/>
  <c r="J321" i="3" l="1"/>
  <c r="X321" i="3"/>
  <c r="N320" i="3"/>
  <c r="N308" i="3"/>
  <c r="N307" i="3"/>
  <c r="AC320" i="3"/>
  <c r="AC308" i="3"/>
  <c r="AC307" i="3"/>
  <c r="AI181" i="3"/>
  <c r="BA101" i="3"/>
  <c r="Z287" i="3"/>
  <c r="AC288" i="3"/>
  <c r="Q288" i="3"/>
  <c r="AF289" i="3"/>
  <c r="T289" i="3"/>
  <c r="AI290" i="3"/>
  <c r="K290" i="3"/>
  <c r="O320" i="3"/>
  <c r="O308" i="3"/>
  <c r="O307" i="3"/>
  <c r="AD320" i="3"/>
  <c r="AD308" i="3"/>
  <c r="AD307" i="3"/>
  <c r="V181" i="3"/>
  <c r="AH202" i="3"/>
  <c r="T270" i="3"/>
  <c r="AC272" i="3"/>
  <c r="AG272" i="3" s="1"/>
  <c r="Y287" i="3"/>
  <c r="P288" i="3"/>
  <c r="AE289" i="3"/>
  <c r="S289" i="3"/>
  <c r="AH290" i="3"/>
  <c r="V290" i="3"/>
  <c r="J290" i="3"/>
  <c r="AE320" i="3"/>
  <c r="AE308" i="3"/>
  <c r="AE307" i="3"/>
  <c r="M45" i="2"/>
  <c r="R234" i="3" s="1"/>
  <c r="X287" i="3"/>
  <c r="AA288" i="3"/>
  <c r="O288" i="3"/>
  <c r="R289" i="3"/>
  <c r="U290" i="3"/>
  <c r="I290" i="3"/>
  <c r="P320" i="3"/>
  <c r="P308" i="3"/>
  <c r="P307" i="3"/>
  <c r="Q320" i="3"/>
  <c r="Q308" i="3"/>
  <c r="Q307" i="3"/>
  <c r="M38" i="2"/>
  <c r="R205" i="3" s="1"/>
  <c r="AF255" i="3"/>
  <c r="Z288" i="3"/>
  <c r="AC289" i="3"/>
  <c r="T290" i="3"/>
  <c r="L319" i="3"/>
  <c r="U248" i="3"/>
  <c r="H22" i="2"/>
  <c r="M132" i="3" s="1"/>
  <c r="AA321" i="3"/>
  <c r="AF307" i="3"/>
  <c r="AF320" i="3"/>
  <c r="AF308" i="3"/>
  <c r="H16" i="2"/>
  <c r="M111" i="3" s="1"/>
  <c r="AA319" i="3"/>
  <c r="O256" i="3"/>
  <c r="N321" i="3"/>
  <c r="AC321" i="3"/>
  <c r="S320" i="3"/>
  <c r="S308" i="3"/>
  <c r="S307" i="3"/>
  <c r="AH307" i="3"/>
  <c r="AH320" i="3"/>
  <c r="AH308" i="3"/>
  <c r="O253" i="3"/>
  <c r="AB38" i="2"/>
  <c r="AG205" i="3" s="1"/>
  <c r="L268" i="3"/>
  <c r="L276" i="3" s="1"/>
  <c r="AA268" i="3"/>
  <c r="AA276" i="3" s="1"/>
  <c r="AF272" i="3"/>
  <c r="AQ101" i="3"/>
  <c r="V287" i="3"/>
  <c r="Y288" i="3"/>
  <c r="AE290" i="3"/>
  <c r="AB9" i="2"/>
  <c r="AG89" i="3" s="1"/>
  <c r="N319" i="3"/>
  <c r="N318" i="3" s="1"/>
  <c r="N316" i="3" s="1"/>
  <c r="N317" i="3" s="1"/>
  <c r="AH122" i="3"/>
  <c r="O321" i="3"/>
  <c r="AD321" i="3"/>
  <c r="T307" i="3"/>
  <c r="T320" i="3"/>
  <c r="T308" i="3"/>
  <c r="AI308" i="3"/>
  <c r="AI307" i="3"/>
  <c r="AI320" i="3"/>
  <c r="AI318" i="3" s="1"/>
  <c r="AI316" i="3" s="1"/>
  <c r="AI317" i="3" s="1"/>
  <c r="AB29" i="2"/>
  <c r="AG168" i="3" s="1"/>
  <c r="P253" i="3"/>
  <c r="T255" i="3"/>
  <c r="W42" i="2"/>
  <c r="AB219" i="3" s="1"/>
  <c r="L269" i="3"/>
  <c r="Z269" i="3"/>
  <c r="M47" i="2"/>
  <c r="R236" i="3" s="1"/>
  <c r="X288" i="3"/>
  <c r="L288" i="3"/>
  <c r="AA289" i="3"/>
  <c r="AD290" i="3"/>
  <c r="R290" i="3"/>
  <c r="U307" i="3"/>
  <c r="U320" i="3"/>
  <c r="U308" i="3"/>
  <c r="AF287" i="3"/>
  <c r="AI288" i="3"/>
  <c r="K288" i="3"/>
  <c r="Z289" i="3"/>
  <c r="AC290" i="3"/>
  <c r="Q290" i="3"/>
  <c r="V318" i="3"/>
  <c r="AC319" i="3"/>
  <c r="P321" i="3"/>
  <c r="AG4" i="2"/>
  <c r="P319" i="3"/>
  <c r="P318" i="3" s="1"/>
  <c r="P316" i="3" s="1"/>
  <c r="P317" i="3" s="1"/>
  <c r="AD319" i="3"/>
  <c r="Z248" i="3"/>
  <c r="Q321" i="3"/>
  <c r="AF321" i="3"/>
  <c r="W24" i="2"/>
  <c r="AB145" i="3" s="1"/>
  <c r="V307" i="3"/>
  <c r="V320" i="3"/>
  <c r="V308" i="3"/>
  <c r="AH288" i="3"/>
  <c r="J288" i="3"/>
  <c r="Y289" i="3"/>
  <c r="P290" i="3"/>
  <c r="O319" i="3"/>
  <c r="O318" i="3" s="1"/>
  <c r="O316" i="3" s="1"/>
  <c r="O317" i="3" s="1"/>
  <c r="AE321" i="3"/>
  <c r="AG7" i="2"/>
  <c r="V41" i="3"/>
  <c r="Q319" i="3"/>
  <c r="AE319" i="3"/>
  <c r="H18" i="2"/>
  <c r="M119" i="3" s="1"/>
  <c r="N248" i="3" s="1"/>
  <c r="R248" i="3" s="1"/>
  <c r="Z249" i="3"/>
  <c r="S321" i="3"/>
  <c r="AH321" i="3"/>
  <c r="I307" i="3"/>
  <c r="I320" i="3"/>
  <c r="I318" i="3" s="1"/>
  <c r="I316" i="3" s="1"/>
  <c r="I317" i="3" s="1"/>
  <c r="I308" i="3"/>
  <c r="X308" i="3"/>
  <c r="X307" i="3"/>
  <c r="X320" i="3"/>
  <c r="X318" i="3" s="1"/>
  <c r="X316" i="3" s="1"/>
  <c r="X317" i="3" s="1"/>
  <c r="AB31" i="2"/>
  <c r="AG171" i="3" s="1"/>
  <c r="P269" i="3"/>
  <c r="AD269" i="3"/>
  <c r="W44" i="2"/>
  <c r="AB233" i="3" s="1"/>
  <c r="AD287" i="3"/>
  <c r="U288" i="3"/>
  <c r="L289" i="3"/>
  <c r="AA290" i="3"/>
  <c r="O290" i="3"/>
  <c r="J307" i="3"/>
  <c r="J320" i="3"/>
  <c r="J318" i="3" s="1"/>
  <c r="J316" i="3" s="1"/>
  <c r="J317" i="3" s="1"/>
  <c r="J308" i="3"/>
  <c r="Y308" i="3"/>
  <c r="Y307" i="3"/>
  <c r="Y320" i="3"/>
  <c r="Y318" i="3" s="1"/>
  <c r="Y316" i="3" s="1"/>
  <c r="Y317" i="3" s="1"/>
  <c r="O202" i="3"/>
  <c r="AV257" i="3"/>
  <c r="Q287" i="3"/>
  <c r="AF288" i="3"/>
  <c r="T288" i="3"/>
  <c r="AI289" i="3"/>
  <c r="S319" i="3"/>
  <c r="AI321" i="3"/>
  <c r="Y25" i="3"/>
  <c r="J41" i="3"/>
  <c r="AG11" i="2"/>
  <c r="T319" i="3"/>
  <c r="T318" i="3" s="1"/>
  <c r="T316" i="3" s="1"/>
  <c r="T317" i="3" s="1"/>
  <c r="L255" i="3"/>
  <c r="Z255" i="3"/>
  <c r="T268" i="3"/>
  <c r="T276" i="3" s="1"/>
  <c r="M43" i="2"/>
  <c r="R220" i="3" s="1"/>
  <c r="R47" i="2"/>
  <c r="W236" i="3" s="1"/>
  <c r="AQ258" i="3"/>
  <c r="D318" i="3"/>
  <c r="D333" i="3"/>
  <c r="D94" i="4"/>
  <c r="P287" i="3"/>
  <c r="AE288" i="3"/>
  <c r="S288" i="3"/>
  <c r="AH289" i="3"/>
  <c r="V289" i="3"/>
  <c r="AF319" i="3"/>
  <c r="AF318" i="3" s="1"/>
  <c r="AF316" i="3" s="1"/>
  <c r="AF317" i="3" s="1"/>
  <c r="J37" i="3"/>
  <c r="AB16" i="2"/>
  <c r="AG111" i="3" s="1"/>
  <c r="V256" i="3"/>
  <c r="U321" i="3"/>
  <c r="K308" i="3"/>
  <c r="K307" i="3"/>
  <c r="K320" i="3"/>
  <c r="K318" i="3" s="1"/>
  <c r="K316" i="3" s="1"/>
  <c r="K317" i="3" s="1"/>
  <c r="Z320" i="3"/>
  <c r="Z318" i="3" s="1"/>
  <c r="Z316" i="3" s="1"/>
  <c r="Z317" i="3" s="1"/>
  <c r="Z308" i="3"/>
  <c r="Z307" i="3"/>
  <c r="V253" i="3"/>
  <c r="M34" i="2"/>
  <c r="R180" i="3" s="1"/>
  <c r="K41" i="3"/>
  <c r="U319" i="3"/>
  <c r="U318" i="3" s="1"/>
  <c r="U316" i="3" s="1"/>
  <c r="U317" i="3" s="1"/>
  <c r="AH319" i="3"/>
  <c r="AH318" i="3" s="1"/>
  <c r="AH316" i="3" s="1"/>
  <c r="AH317" i="3" s="1"/>
  <c r="P248" i="3"/>
  <c r="O249" i="3"/>
  <c r="H20" i="2"/>
  <c r="M121" i="3" s="1"/>
  <c r="I321" i="3"/>
  <c r="V321" i="3"/>
  <c r="L308" i="3"/>
  <c r="L307" i="3"/>
  <c r="L320" i="3"/>
  <c r="AA320" i="3"/>
  <c r="AA308" i="3"/>
  <c r="AA307" i="3"/>
  <c r="AB34" i="2"/>
  <c r="AG180" i="3" s="1"/>
  <c r="AH181" i="3" s="1"/>
  <c r="K207" i="3"/>
  <c r="E316" i="3"/>
  <c r="E317" i="3" s="1"/>
  <c r="E312" i="3" s="1"/>
  <c r="E333" i="3"/>
  <c r="AA287" i="3"/>
  <c r="O287" i="3"/>
  <c r="AD288" i="3"/>
  <c r="U289" i="3"/>
  <c r="I289" i="3"/>
  <c r="X290" i="3"/>
  <c r="L290" i="3"/>
  <c r="AE318" i="3"/>
  <c r="AE316" i="3" s="1"/>
  <c r="AE317" i="3" s="1"/>
  <c r="S318" i="3"/>
  <c r="S316" i="3" s="1"/>
  <c r="S317" i="3" s="1"/>
  <c r="AD318" i="3"/>
  <c r="AD316" i="3" s="1"/>
  <c r="AD317" i="3" s="1"/>
  <c r="AC318" i="3"/>
  <c r="AC316" i="3" s="1"/>
  <c r="AC317" i="3" s="1"/>
  <c r="Q318" i="3"/>
  <c r="Q316" i="3" s="1"/>
  <c r="Q317" i="3" s="1"/>
  <c r="H312" i="3"/>
  <c r="H311" i="3"/>
  <c r="E311" i="3"/>
  <c r="S181" i="3"/>
  <c r="V271" i="3"/>
  <c r="AG8" i="2"/>
  <c r="AF247" i="3"/>
  <c r="W18" i="2"/>
  <c r="AB119" i="3" s="1"/>
  <c r="J249" i="3"/>
  <c r="AF256" i="3"/>
  <c r="W22" i="2"/>
  <c r="AB132" i="3" s="1"/>
  <c r="W26" i="2"/>
  <c r="AB155" i="3" s="1"/>
  <c r="AA202" i="3"/>
  <c r="P207" i="3"/>
  <c r="V268" i="3"/>
  <c r="V276" i="3" s="1"/>
  <c r="AF269" i="3"/>
  <c r="O270" i="3"/>
  <c r="M11" i="2"/>
  <c r="R101" i="3" s="1"/>
  <c r="AB11" i="2"/>
  <c r="AG101" i="3" s="1"/>
  <c r="AD248" i="3"/>
  <c r="L249" i="3"/>
  <c r="AA249" i="3"/>
  <c r="T256" i="3"/>
  <c r="L263" i="3"/>
  <c r="T253" i="3"/>
  <c r="W36" i="2"/>
  <c r="AB201" i="3" s="1"/>
  <c r="AC202" i="3" s="1"/>
  <c r="U255" i="3"/>
  <c r="W41" i="2"/>
  <c r="AB214" i="3" s="1"/>
  <c r="J268" i="3"/>
  <c r="J276" i="3" s="1"/>
  <c r="T269" i="3"/>
  <c r="AB43" i="2"/>
  <c r="AG220" i="3" s="1"/>
  <c r="AH220" i="3" s="1"/>
  <c r="P270" i="3"/>
  <c r="L271" i="3"/>
  <c r="AV102" i="3"/>
  <c r="BA216" i="3" s="1"/>
  <c r="AC25" i="3"/>
  <c r="AG10" i="2"/>
  <c r="AL101" i="3"/>
  <c r="M18" i="2"/>
  <c r="R119" i="3" s="1"/>
  <c r="M22" i="2"/>
  <c r="R132" i="3" s="1"/>
  <c r="M26" i="2"/>
  <c r="R155" i="3" s="1"/>
  <c r="S156" i="3" s="1"/>
  <c r="W28" i="2"/>
  <c r="AB164" i="3" s="1"/>
  <c r="M31" i="2"/>
  <c r="R171" i="3" s="1"/>
  <c r="S172" i="3" s="1"/>
  <c r="W32" i="2"/>
  <c r="AB178" i="3" s="1"/>
  <c r="J181" i="3"/>
  <c r="M35" i="2"/>
  <c r="R183" i="3" s="1"/>
  <c r="Q202" i="3"/>
  <c r="M39" i="2"/>
  <c r="R206" i="3" s="1"/>
  <c r="S207" i="3" s="1"/>
  <c r="U269" i="3"/>
  <c r="AD270" i="3"/>
  <c r="BF101" i="3"/>
  <c r="W7" i="2"/>
  <c r="AB36" i="3" s="1"/>
  <c r="E26" i="4" s="1"/>
  <c r="M13" i="2"/>
  <c r="R104" i="3" s="1"/>
  <c r="AE202" i="3"/>
  <c r="AI207" i="3"/>
  <c r="V269" i="3"/>
  <c r="M44" i="2"/>
  <c r="R233" i="3" s="1"/>
  <c r="W45" i="2"/>
  <c r="AB234" i="3" s="1"/>
  <c r="L272" i="3"/>
  <c r="Z272" i="3"/>
  <c r="BA262" i="3"/>
  <c r="M257" i="3"/>
  <c r="AB257" i="3"/>
  <c r="AQ257" i="3"/>
  <c r="AG262" i="3"/>
  <c r="Z25" i="3"/>
  <c r="M5" i="2"/>
  <c r="R20" i="3" s="1"/>
  <c r="R21" i="3" s="1"/>
  <c r="AG9" i="2"/>
  <c r="AB5" i="2"/>
  <c r="AG20" i="3" s="1"/>
  <c r="W10" i="2"/>
  <c r="AB97" i="3" s="1"/>
  <c r="AB13" i="2"/>
  <c r="AG104" i="3" s="1"/>
  <c r="T248" i="3"/>
  <c r="AB18" i="2"/>
  <c r="AG119" i="3" s="1"/>
  <c r="AE249" i="3"/>
  <c r="AB22" i="2"/>
  <c r="AG132" i="3" s="1"/>
  <c r="AB26" i="2"/>
  <c r="AG155" i="3" s="1"/>
  <c r="M36" i="2"/>
  <c r="R201" i="3" s="1"/>
  <c r="S202" i="3" s="1"/>
  <c r="U207" i="3"/>
  <c r="AV101" i="3"/>
  <c r="R262" i="3"/>
  <c r="D316" i="3"/>
  <c r="D317" i="3" s="1"/>
  <c r="AG12" i="2"/>
  <c r="AC122" i="3"/>
  <c r="AC169" i="3"/>
  <c r="AA181" i="3"/>
  <c r="M7" i="2"/>
  <c r="R36" i="3" s="1"/>
  <c r="F316" i="3"/>
  <c r="F317" i="3" s="1"/>
  <c r="F312" i="3" s="1"/>
  <c r="H13" i="2"/>
  <c r="M104" i="3" s="1"/>
  <c r="T249" i="3"/>
  <c r="L256" i="3"/>
  <c r="AA256" i="3"/>
  <c r="L253" i="3"/>
  <c r="AA253" i="3"/>
  <c r="W34" i="2"/>
  <c r="AB180" i="3" s="1"/>
  <c r="AC181" i="3" s="1"/>
  <c r="W38" i="2"/>
  <c r="AB205" i="3" s="1"/>
  <c r="AD268" i="3"/>
  <c r="AD276" i="3" s="1"/>
  <c r="V270" i="3"/>
  <c r="P272" i="3"/>
  <c r="AD272" i="3"/>
  <c r="W262" i="3"/>
  <c r="AB7" i="2"/>
  <c r="AG36" i="3" s="1"/>
  <c r="F26" i="4" s="1"/>
  <c r="AG6" i="2"/>
  <c r="M16" i="2"/>
  <c r="R111" i="3" s="1"/>
  <c r="Y248" i="3"/>
  <c r="M20" i="2"/>
  <c r="R121" i="3" s="1"/>
  <c r="S122" i="3" s="1"/>
  <c r="M24" i="2"/>
  <c r="R145" i="3" s="1"/>
  <c r="W25" i="2"/>
  <c r="AB146" i="3" s="1"/>
  <c r="AC264" i="3" s="1"/>
  <c r="AG264" i="3" s="1"/>
  <c r="M29" i="2"/>
  <c r="R168" i="3" s="1"/>
  <c r="S169" i="3" s="1"/>
  <c r="W30" i="2"/>
  <c r="AB170" i="3" s="1"/>
  <c r="M33" i="2"/>
  <c r="R179" i="3" s="1"/>
  <c r="Q181" i="3"/>
  <c r="J202" i="3"/>
  <c r="M37" i="2"/>
  <c r="R204" i="3" s="1"/>
  <c r="P255" i="3"/>
  <c r="M42" i="2"/>
  <c r="R219" i="3" s="1"/>
  <c r="W43" i="2"/>
  <c r="AB220" i="3" s="1"/>
  <c r="J270" i="3"/>
  <c r="T271" i="3"/>
  <c r="Q272" i="3"/>
  <c r="R7" i="3"/>
  <c r="W7" i="3" s="1"/>
  <c r="AB7" i="3" s="1"/>
  <c r="AB13" i="3" s="1"/>
  <c r="AB108" i="3" s="1"/>
  <c r="AB241" i="3" s="1"/>
  <c r="AB285" i="3" s="1"/>
  <c r="AG5" i="2"/>
  <c r="R8" i="2"/>
  <c r="W40" i="3" s="1"/>
  <c r="M9" i="2"/>
  <c r="R89" i="3" s="1"/>
  <c r="AG13" i="2"/>
  <c r="AE181" i="3"/>
  <c r="K202" i="3"/>
  <c r="Y202" i="3"/>
  <c r="AV258" i="3"/>
  <c r="AA21" i="3"/>
  <c r="AA35" i="3"/>
  <c r="AA16" i="3"/>
  <c r="X244" i="3"/>
  <c r="AB244" i="3" s="1"/>
  <c r="X136" i="3"/>
  <c r="X37" i="3"/>
  <c r="L244" i="3"/>
  <c r="L136" i="3"/>
  <c r="L37" i="3"/>
  <c r="AA25" i="3"/>
  <c r="AF139" i="3"/>
  <c r="AF35" i="3"/>
  <c r="AE134" i="3"/>
  <c r="AE261" i="3" s="1"/>
  <c r="AE266" i="3" s="1"/>
  <c r="AE137" i="3"/>
  <c r="Q35" i="3"/>
  <c r="Q21" i="3"/>
  <c r="Q16" i="3"/>
  <c r="O25" i="3"/>
  <c r="L35" i="3"/>
  <c r="L21" i="3"/>
  <c r="O21" i="3"/>
  <c r="O35" i="3"/>
  <c r="O16" i="3"/>
  <c r="T35" i="3"/>
  <c r="T21" i="3"/>
  <c r="T16" i="3"/>
  <c r="P25" i="3"/>
  <c r="P35" i="3"/>
  <c r="P21" i="3"/>
  <c r="P16" i="3"/>
  <c r="U35" i="3"/>
  <c r="U21" i="3"/>
  <c r="U16" i="3"/>
  <c r="Q25" i="3"/>
  <c r="I35" i="3"/>
  <c r="I21" i="3"/>
  <c r="AG7" i="3"/>
  <c r="X35" i="3"/>
  <c r="X21" i="3"/>
  <c r="X16" i="3"/>
  <c r="Y35" i="3"/>
  <c r="Y21" i="3"/>
  <c r="Y16" i="3"/>
  <c r="Z16" i="3"/>
  <c r="Z21" i="3"/>
  <c r="Z35" i="3"/>
  <c r="X25" i="3"/>
  <c r="AD250" i="3"/>
  <c r="AE122" i="3"/>
  <c r="AD134" i="3"/>
  <c r="AD261" i="3" s="1"/>
  <c r="AD266" i="3" s="1"/>
  <c r="AD137" i="3"/>
  <c r="Y143" i="3"/>
  <c r="L264" i="3"/>
  <c r="L148" i="3"/>
  <c r="AD265" i="3"/>
  <c r="AE156" i="3"/>
  <c r="L251" i="3"/>
  <c r="L213" i="3"/>
  <c r="X213" i="3"/>
  <c r="AD252" i="3"/>
  <c r="AE169" i="3"/>
  <c r="AD254" i="3"/>
  <c r="AE172" i="3"/>
  <c r="L275" i="3"/>
  <c r="L274" i="3"/>
  <c r="L237" i="3"/>
  <c r="L295" i="3" s="1"/>
  <c r="X237" i="3"/>
  <c r="L163" i="3"/>
  <c r="L331" i="3" s="1"/>
  <c r="L247" i="3"/>
  <c r="H4" i="2"/>
  <c r="M15" i="3" s="1"/>
  <c r="R287" i="3" s="1"/>
  <c r="H6" i="2"/>
  <c r="M24" i="3" s="1"/>
  <c r="S244" i="3"/>
  <c r="W244" i="3" s="1"/>
  <c r="S37" i="3"/>
  <c r="S136" i="3"/>
  <c r="AE244" i="3"/>
  <c r="AE136" i="3"/>
  <c r="AE37" i="3"/>
  <c r="H8" i="2"/>
  <c r="M40" i="3" s="1"/>
  <c r="H10" i="2"/>
  <c r="M97" i="3" s="1"/>
  <c r="X216" i="3"/>
  <c r="X129" i="3"/>
  <c r="H12" i="2"/>
  <c r="M102" i="3" s="1"/>
  <c r="H15" i="2"/>
  <c r="M110" i="3" s="1"/>
  <c r="Y163" i="3"/>
  <c r="Y331" i="3" s="1"/>
  <c r="S246" i="3"/>
  <c r="AE246" i="3"/>
  <c r="AE245" i="3" s="1"/>
  <c r="H17" i="2"/>
  <c r="M115" i="3" s="1"/>
  <c r="N247" i="3" s="1"/>
  <c r="R247" i="3" s="1"/>
  <c r="Y247" i="3"/>
  <c r="S248" i="3"/>
  <c r="W248" i="3" s="1"/>
  <c r="D30" i="4" s="1"/>
  <c r="AE248" i="3"/>
  <c r="H19" i="2"/>
  <c r="M120" i="3" s="1"/>
  <c r="N249" i="3" s="1"/>
  <c r="R249" i="3" s="1"/>
  <c r="Y249" i="3"/>
  <c r="S250" i="3"/>
  <c r="W250" i="3" s="1"/>
  <c r="D32" i="4" s="1"/>
  <c r="T122" i="3"/>
  <c r="AE250" i="3"/>
  <c r="AF122" i="3"/>
  <c r="H21" i="2"/>
  <c r="M127" i="3" s="1"/>
  <c r="Y256" i="3"/>
  <c r="S137" i="3"/>
  <c r="S134" i="3"/>
  <c r="S261" i="3" s="1"/>
  <c r="H23" i="2"/>
  <c r="M142" i="3" s="1"/>
  <c r="N143" i="3" s="1"/>
  <c r="Y263" i="3"/>
  <c r="Z143" i="3"/>
  <c r="H25" i="2"/>
  <c r="M146" i="3" s="1"/>
  <c r="N148" i="3" s="1"/>
  <c r="Y264" i="3"/>
  <c r="Y148" i="3"/>
  <c r="S265" i="3"/>
  <c r="W265" i="3" s="1"/>
  <c r="T156" i="3"/>
  <c r="AE265" i="3"/>
  <c r="AF156" i="3"/>
  <c r="H28" i="2"/>
  <c r="M164" i="3" s="1"/>
  <c r="Y251" i="3"/>
  <c r="Y213" i="3"/>
  <c r="S252" i="3"/>
  <c r="W252" i="3" s="1"/>
  <c r="D34" i="4" s="1"/>
  <c r="T169" i="3"/>
  <c r="AE252" i="3"/>
  <c r="AF169" i="3"/>
  <c r="H30" i="2"/>
  <c r="M170" i="3" s="1"/>
  <c r="Y253" i="3"/>
  <c r="S254" i="3"/>
  <c r="W254" i="3" s="1"/>
  <c r="D36" i="4" s="1"/>
  <c r="T172" i="3"/>
  <c r="AE254" i="3"/>
  <c r="AF172" i="3"/>
  <c r="H32" i="2"/>
  <c r="M178" i="3" s="1"/>
  <c r="Y275" i="3"/>
  <c r="H34" i="2"/>
  <c r="M180" i="3" s="1"/>
  <c r="N181" i="3" s="1"/>
  <c r="Z181" i="3"/>
  <c r="H36" i="2"/>
  <c r="M201" i="3" s="1"/>
  <c r="N202" i="3" s="1"/>
  <c r="Z202" i="3"/>
  <c r="H38" i="2"/>
  <c r="M205" i="3" s="1"/>
  <c r="N255" i="3" s="1"/>
  <c r="R255" i="3" s="1"/>
  <c r="Y255" i="3"/>
  <c r="T207" i="3"/>
  <c r="AF207" i="3"/>
  <c r="H41" i="2"/>
  <c r="M214" i="3" s="1"/>
  <c r="N274" i="3" s="1"/>
  <c r="R274" i="3" s="1"/>
  <c r="Y274" i="3"/>
  <c r="Y237" i="3"/>
  <c r="Y301" i="3" s="1"/>
  <c r="S268" i="3"/>
  <c r="AE268" i="3"/>
  <c r="AE276" i="3" s="1"/>
  <c r="H43" i="2"/>
  <c r="M220" i="3" s="1"/>
  <c r="N269" i="3" s="1"/>
  <c r="R269" i="3" s="1"/>
  <c r="Y269" i="3"/>
  <c r="S270" i="3"/>
  <c r="W270" i="3" s="1"/>
  <c r="AE270" i="3"/>
  <c r="H45" i="2"/>
  <c r="M234" i="3" s="1"/>
  <c r="N271" i="3" s="1"/>
  <c r="R271" i="3" s="1"/>
  <c r="Y271" i="3"/>
  <c r="T272" i="3"/>
  <c r="AB46" i="2"/>
  <c r="AG235" i="3" s="1"/>
  <c r="AH272" i="3" s="1"/>
  <c r="AL272" i="3" s="1"/>
  <c r="S40" i="3"/>
  <c r="S41" i="3" s="1"/>
  <c r="L25" i="3"/>
  <c r="AD244" i="3"/>
  <c r="AD136" i="3"/>
  <c r="AD37" i="3"/>
  <c r="X163" i="3"/>
  <c r="X331" i="3" s="1"/>
  <c r="AD246" i="3"/>
  <c r="AD245" i="3" s="1"/>
  <c r="T244" i="3"/>
  <c r="T37" i="3"/>
  <c r="T136" i="3"/>
  <c r="AF244" i="3"/>
  <c r="AF136" i="3"/>
  <c r="Y216" i="3"/>
  <c r="Y129" i="3"/>
  <c r="N163" i="3"/>
  <c r="Z163" i="3"/>
  <c r="Z331" i="3" s="1"/>
  <c r="T246" i="3"/>
  <c r="T245" i="3" s="1"/>
  <c r="AF246" i="3"/>
  <c r="AF245" i="3" s="1"/>
  <c r="Z247" i="3"/>
  <c r="T250" i="3"/>
  <c r="U122" i="3"/>
  <c r="AF250" i="3"/>
  <c r="AG122" i="3"/>
  <c r="N256" i="3"/>
  <c r="R256" i="3" s="1"/>
  <c r="T134" i="3"/>
  <c r="T261" i="3" s="1"/>
  <c r="T266" i="3" s="1"/>
  <c r="T137" i="3"/>
  <c r="O143" i="3"/>
  <c r="Z263" i="3"/>
  <c r="AA143" i="3"/>
  <c r="N264" i="3"/>
  <c r="R264" i="3" s="1"/>
  <c r="Z264" i="3"/>
  <c r="Z148" i="3"/>
  <c r="T265" i="3"/>
  <c r="U156" i="3"/>
  <c r="AF265" i="3"/>
  <c r="AG156" i="3"/>
  <c r="N213" i="3"/>
  <c r="Z251" i="3"/>
  <c r="Z213" i="3"/>
  <c r="T252" i="3"/>
  <c r="U169" i="3"/>
  <c r="AF252" i="3"/>
  <c r="AG169" i="3"/>
  <c r="N253" i="3"/>
  <c r="R253" i="3" s="1"/>
  <c r="T254" i="3"/>
  <c r="U172" i="3"/>
  <c r="AF254" i="3"/>
  <c r="AG172" i="3"/>
  <c r="Z275" i="3"/>
  <c r="N237" i="3"/>
  <c r="N301" i="3" s="1"/>
  <c r="Z237" i="3"/>
  <c r="Z274" i="3"/>
  <c r="Z271" i="3"/>
  <c r="U272" i="3"/>
  <c r="W47" i="2"/>
  <c r="AB236" i="3" s="1"/>
  <c r="AB237" i="3" s="1"/>
  <c r="K5" i="3"/>
  <c r="W13" i="3"/>
  <c r="W108" i="3" s="1"/>
  <c r="W241" i="3" s="1"/>
  <c r="W285" i="3" s="1"/>
  <c r="Y36" i="3"/>
  <c r="AA263" i="3"/>
  <c r="O264" i="3"/>
  <c r="O148" i="3"/>
  <c r="AA264" i="3"/>
  <c r="AA148" i="3"/>
  <c r="I265" i="3"/>
  <c r="M265" i="3" s="1"/>
  <c r="J156" i="3"/>
  <c r="U265" i="3"/>
  <c r="V156" i="3"/>
  <c r="F38" i="4"/>
  <c r="AH156" i="3"/>
  <c r="O213" i="3"/>
  <c r="O251" i="3"/>
  <c r="AA251" i="3"/>
  <c r="AA213" i="3"/>
  <c r="I252" i="3"/>
  <c r="M252" i="3" s="1"/>
  <c r="J169" i="3"/>
  <c r="U252" i="3"/>
  <c r="V169" i="3"/>
  <c r="AH169" i="3"/>
  <c r="I254" i="3"/>
  <c r="M254" i="3" s="1"/>
  <c r="J172" i="3"/>
  <c r="U254" i="3"/>
  <c r="V172" i="3"/>
  <c r="AH172" i="3"/>
  <c r="O275" i="3"/>
  <c r="AA275" i="3"/>
  <c r="AB33" i="2"/>
  <c r="AG179" i="3" s="1"/>
  <c r="P181" i="3"/>
  <c r="AB181" i="3"/>
  <c r="AB35" i="2"/>
  <c r="AG183" i="3" s="1"/>
  <c r="P202" i="3"/>
  <c r="AB202" i="3"/>
  <c r="AB37" i="2"/>
  <c r="AG204" i="3" s="1"/>
  <c r="O255" i="3"/>
  <c r="AA255" i="3"/>
  <c r="J207" i="3"/>
  <c r="V207" i="3"/>
  <c r="AB39" i="2"/>
  <c r="AG206" i="3" s="1"/>
  <c r="AG207" i="3" s="1"/>
  <c r="O274" i="3"/>
  <c r="O237" i="3"/>
  <c r="AA274" i="3"/>
  <c r="AA237" i="3"/>
  <c r="I276" i="3"/>
  <c r="M268" i="3"/>
  <c r="M276" i="3" s="1"/>
  <c r="U268" i="3"/>
  <c r="U276" i="3" s="1"/>
  <c r="AB42" i="2"/>
  <c r="AG219" i="3" s="1"/>
  <c r="AH268" i="3" s="1"/>
  <c r="O269" i="3"/>
  <c r="AA269" i="3"/>
  <c r="U270" i="3"/>
  <c r="AB44" i="2"/>
  <c r="AG233" i="3" s="1"/>
  <c r="AH270" i="3" s="1"/>
  <c r="AL270" i="3" s="1"/>
  <c r="O271" i="3"/>
  <c r="AA271" i="3"/>
  <c r="J272" i="3"/>
  <c r="V235" i="3"/>
  <c r="V272" i="3" s="1"/>
  <c r="R46" i="2"/>
  <c r="W235" i="3" s="1"/>
  <c r="X272" i="3" s="1"/>
  <c r="AB272" i="3" s="1"/>
  <c r="U246" i="3"/>
  <c r="U245" i="3" s="1"/>
  <c r="U137" i="3"/>
  <c r="U134" i="3"/>
  <c r="U261" i="3" s="1"/>
  <c r="U266" i="3" s="1"/>
  <c r="V244" i="3"/>
  <c r="V136" i="3"/>
  <c r="V37" i="3"/>
  <c r="W15" i="2"/>
  <c r="AB110" i="3" s="1"/>
  <c r="J248" i="3"/>
  <c r="AH248" i="3"/>
  <c r="AL248" i="3" s="1"/>
  <c r="G30" i="4" s="1"/>
  <c r="W19" i="2"/>
  <c r="AB120" i="3" s="1"/>
  <c r="AC249" i="3" s="1"/>
  <c r="AG249" i="3" s="1"/>
  <c r="F31" i="4" s="1"/>
  <c r="AH250" i="3"/>
  <c r="AL250" i="3" s="1"/>
  <c r="G32" i="4" s="1"/>
  <c r="AI122" i="3"/>
  <c r="V137" i="3"/>
  <c r="V134" i="3"/>
  <c r="V261" i="3" s="1"/>
  <c r="V266" i="3" s="1"/>
  <c r="V265" i="3"/>
  <c r="AI156" i="3"/>
  <c r="P251" i="3"/>
  <c r="P213" i="3"/>
  <c r="J252" i="3"/>
  <c r="K169" i="3"/>
  <c r="V252" i="3"/>
  <c r="AH252" i="3"/>
  <c r="AL252" i="3" s="1"/>
  <c r="G34" i="4" s="1"/>
  <c r="AI169" i="3"/>
  <c r="J254" i="3"/>
  <c r="K172" i="3"/>
  <c r="V254" i="3"/>
  <c r="AH254" i="3"/>
  <c r="AL254" i="3" s="1"/>
  <c r="G36" i="4" s="1"/>
  <c r="AI172" i="3"/>
  <c r="P275" i="3"/>
  <c r="AH199" i="3"/>
  <c r="P274" i="3"/>
  <c r="P237" i="3"/>
  <c r="P301" i="3" s="1"/>
  <c r="U244" i="3"/>
  <c r="U136" i="3"/>
  <c r="U37" i="3"/>
  <c r="W6" i="2"/>
  <c r="AB24" i="3" s="1"/>
  <c r="AH244" i="3"/>
  <c r="AL244" i="3" s="1"/>
  <c r="AH136" i="3"/>
  <c r="W8" i="2"/>
  <c r="AB40" i="3" s="1"/>
  <c r="AA216" i="3"/>
  <c r="AA129" i="3"/>
  <c r="W12" i="2"/>
  <c r="AB102" i="3" s="1"/>
  <c r="P163" i="3"/>
  <c r="AH246" i="3"/>
  <c r="P249" i="3"/>
  <c r="R11" i="2"/>
  <c r="W101" i="3" s="1"/>
  <c r="R18" i="2"/>
  <c r="W119" i="3" s="1"/>
  <c r="AI250" i="3"/>
  <c r="AJ121" i="3"/>
  <c r="AJ122" i="3" s="1"/>
  <c r="K137" i="3"/>
  <c r="K134" i="3"/>
  <c r="K261" i="3" s="1"/>
  <c r="K266" i="3" s="1"/>
  <c r="R22" i="2"/>
  <c r="W132" i="3" s="1"/>
  <c r="Q263" i="3"/>
  <c r="AD143" i="3"/>
  <c r="R24" i="2"/>
  <c r="W145" i="3" s="1"/>
  <c r="Q264" i="3"/>
  <c r="Q148" i="3"/>
  <c r="K265" i="3"/>
  <c r="L156" i="3"/>
  <c r="R26" i="2"/>
  <c r="W155" i="3" s="1"/>
  <c r="W156" i="3" s="1"/>
  <c r="AI265" i="3"/>
  <c r="AJ155" i="3"/>
  <c r="Q251" i="3"/>
  <c r="Q213" i="3"/>
  <c r="AC251" i="3"/>
  <c r="AG251" i="3" s="1"/>
  <c r="F33" i="4" s="1"/>
  <c r="AC213" i="3"/>
  <c r="K252" i="3"/>
  <c r="L169" i="3"/>
  <c r="R29" i="2"/>
  <c r="W168" i="3" s="1"/>
  <c r="X169" i="3" s="1"/>
  <c r="AI252" i="3"/>
  <c r="Q253" i="3"/>
  <c r="AC253" i="3"/>
  <c r="AG253" i="3" s="1"/>
  <c r="F35" i="4" s="1"/>
  <c r="K254" i="3"/>
  <c r="L172" i="3"/>
  <c r="R31" i="2"/>
  <c r="W171" i="3" s="1"/>
  <c r="X172" i="3" s="1"/>
  <c r="AI254" i="3"/>
  <c r="AJ171" i="3"/>
  <c r="AJ172" i="3" s="1"/>
  <c r="Q275" i="3"/>
  <c r="R33" i="2"/>
  <c r="W179" i="3" s="1"/>
  <c r="AJ179" i="3"/>
  <c r="R181" i="3"/>
  <c r="AD181" i="3"/>
  <c r="R35" i="2"/>
  <c r="W183" i="3" s="1"/>
  <c r="R202" i="3"/>
  <c r="AD202" i="3"/>
  <c r="R37" i="2"/>
  <c r="W204" i="3" s="1"/>
  <c r="AM192" i="3"/>
  <c r="AN192" i="3" s="1"/>
  <c r="AO192" i="3" s="1"/>
  <c r="AP192" i="3" s="1"/>
  <c r="AN204" i="3"/>
  <c r="AO204" i="3" s="1"/>
  <c r="AP204" i="3" s="1"/>
  <c r="AQ204" i="3" s="1"/>
  <c r="AR204" i="3" s="1"/>
  <c r="Q255" i="3"/>
  <c r="AC255" i="3"/>
  <c r="AG255" i="3" s="1"/>
  <c r="F37" i="4" s="1"/>
  <c r="L207" i="3"/>
  <c r="R39" i="2"/>
  <c r="W206" i="3" s="1"/>
  <c r="W207" i="3" s="1"/>
  <c r="AJ206" i="3"/>
  <c r="Q274" i="3"/>
  <c r="Q237" i="3"/>
  <c r="Q295" i="3" s="1"/>
  <c r="AC274" i="3"/>
  <c r="AG274" i="3" s="1"/>
  <c r="AC237" i="3"/>
  <c r="AC295" i="3" s="1"/>
  <c r="K268" i="3"/>
  <c r="K276" i="3" s="1"/>
  <c r="R42" i="2"/>
  <c r="W219" i="3" s="1"/>
  <c r="X268" i="3" s="1"/>
  <c r="AI268" i="3"/>
  <c r="AJ219" i="3"/>
  <c r="Q269" i="3"/>
  <c r="AC269" i="3"/>
  <c r="AG269" i="3" s="1"/>
  <c r="K270" i="3"/>
  <c r="R44" i="2"/>
  <c r="W233" i="3" s="1"/>
  <c r="AI270" i="3"/>
  <c r="AJ233" i="3"/>
  <c r="Q271" i="3"/>
  <c r="AC271" i="3"/>
  <c r="AG271" i="3" s="1"/>
  <c r="Y272" i="3"/>
  <c r="N15" i="3"/>
  <c r="X97" i="3"/>
  <c r="I246" i="3"/>
  <c r="I112" i="3"/>
  <c r="I250" i="3"/>
  <c r="M250" i="3" s="1"/>
  <c r="J122" i="3"/>
  <c r="O263" i="3"/>
  <c r="P143" i="3"/>
  <c r="W4" i="2"/>
  <c r="AB15" i="3" s="1"/>
  <c r="J246" i="3"/>
  <c r="J245" i="3" s="1"/>
  <c r="J112" i="3"/>
  <c r="P247" i="3"/>
  <c r="W17" i="2"/>
  <c r="AB115" i="3" s="1"/>
  <c r="AC247" i="3" s="1"/>
  <c r="AG247" i="3" s="1"/>
  <c r="F29" i="4" s="1"/>
  <c r="V248" i="3"/>
  <c r="J250" i="3"/>
  <c r="K122" i="3"/>
  <c r="V250" i="3"/>
  <c r="P256" i="3"/>
  <c r="W21" i="2"/>
  <c r="AB127" i="3" s="1"/>
  <c r="AC256" i="3" s="1"/>
  <c r="AG256" i="3" s="1"/>
  <c r="J137" i="3"/>
  <c r="J134" i="3"/>
  <c r="J261" i="3" s="1"/>
  <c r="P263" i="3"/>
  <c r="Q143" i="3"/>
  <c r="W23" i="2"/>
  <c r="AB142" i="3" s="1"/>
  <c r="AC143" i="3" s="1"/>
  <c r="P264" i="3"/>
  <c r="P148" i="3"/>
  <c r="J265" i="3"/>
  <c r="K156" i="3"/>
  <c r="AC35" i="3"/>
  <c r="AC21" i="3"/>
  <c r="R5" i="2"/>
  <c r="W20" i="3" s="1"/>
  <c r="K244" i="3"/>
  <c r="K136" i="3"/>
  <c r="K37" i="3"/>
  <c r="R7" i="2"/>
  <c r="W36" i="3" s="1"/>
  <c r="D26" i="4" s="1"/>
  <c r="AI244" i="3"/>
  <c r="AI136" i="3"/>
  <c r="R9" i="2"/>
  <c r="W89" i="3" s="1"/>
  <c r="P216" i="3"/>
  <c r="P129" i="3"/>
  <c r="R13" i="2"/>
  <c r="W104" i="3" s="1"/>
  <c r="Q163" i="3"/>
  <c r="AC163" i="3"/>
  <c r="AC331" i="3" s="1"/>
  <c r="K246" i="3"/>
  <c r="K245" i="3" s="1"/>
  <c r="R16" i="2"/>
  <c r="W111" i="3" s="1"/>
  <c r="AI246" i="3"/>
  <c r="AI245" i="3" s="1"/>
  <c r="Q247" i="3"/>
  <c r="K248" i="3"/>
  <c r="AI248" i="3"/>
  <c r="AJ119" i="3"/>
  <c r="Q249" i="3"/>
  <c r="K250" i="3"/>
  <c r="L122" i="3"/>
  <c r="R20" i="2"/>
  <c r="W121" i="3" s="1"/>
  <c r="X122" i="3" s="1"/>
  <c r="Q256" i="3"/>
  <c r="AD35" i="3"/>
  <c r="AD21" i="3"/>
  <c r="AD16" i="3"/>
  <c r="M6" i="2"/>
  <c r="R24" i="3" s="1"/>
  <c r="R25" i="3" s="1"/>
  <c r="AD25" i="3"/>
  <c r="M8" i="2"/>
  <c r="R40" i="3" s="1"/>
  <c r="AD41" i="3"/>
  <c r="M10" i="2"/>
  <c r="R97" i="3" s="1"/>
  <c r="Q216" i="3"/>
  <c r="Q129" i="3"/>
  <c r="AC216" i="3"/>
  <c r="AC129" i="3"/>
  <c r="M12" i="2"/>
  <c r="R102" i="3" s="1"/>
  <c r="M15" i="2"/>
  <c r="R110" i="3" s="1"/>
  <c r="AD163" i="3"/>
  <c r="AD331" i="3" s="1"/>
  <c r="L246" i="3"/>
  <c r="L245" i="3" s="1"/>
  <c r="M17" i="2"/>
  <c r="R115" i="3" s="1"/>
  <c r="S247" i="3" s="1"/>
  <c r="W247" i="3" s="1"/>
  <c r="D29" i="4" s="1"/>
  <c r="AD247" i="3"/>
  <c r="L248" i="3"/>
  <c r="X248" i="3"/>
  <c r="AB248" i="3" s="1"/>
  <c r="E30" i="4" s="1"/>
  <c r="M19" i="2"/>
  <c r="R120" i="3" s="1"/>
  <c r="S249" i="3" s="1"/>
  <c r="W249" i="3" s="1"/>
  <c r="D31" i="4" s="1"/>
  <c r="AD249" i="3"/>
  <c r="L250" i="3"/>
  <c r="M122" i="3"/>
  <c r="Y122" i="3"/>
  <c r="M21" i="2"/>
  <c r="R127" i="3" s="1"/>
  <c r="S256" i="3" s="1"/>
  <c r="W256" i="3" s="1"/>
  <c r="AD256" i="3"/>
  <c r="L137" i="3"/>
  <c r="L134" i="3"/>
  <c r="L261" i="3" s="1"/>
  <c r="L266" i="3" s="1"/>
  <c r="X134" i="3"/>
  <c r="X261" i="3" s="1"/>
  <c r="X137" i="3"/>
  <c r="M23" i="2"/>
  <c r="R142" i="3" s="1"/>
  <c r="S143" i="3" s="1"/>
  <c r="AD263" i="3"/>
  <c r="AE143" i="3"/>
  <c r="M25" i="2"/>
  <c r="R146" i="3" s="1"/>
  <c r="S148" i="3" s="1"/>
  <c r="AD264" i="3"/>
  <c r="AD148" i="3"/>
  <c r="L265" i="3"/>
  <c r="X265" i="3"/>
  <c r="AB265" i="3" s="1"/>
  <c r="Y156" i="3"/>
  <c r="M28" i="2"/>
  <c r="R164" i="3" s="1"/>
  <c r="AD251" i="3"/>
  <c r="AD213" i="3"/>
  <c r="L252" i="3"/>
  <c r="Y169" i="3"/>
  <c r="M30" i="2"/>
  <c r="R170" i="3" s="1"/>
  <c r="S253" i="3" s="1"/>
  <c r="W253" i="3" s="1"/>
  <c r="D35" i="4" s="1"/>
  <c r="AD253" i="3"/>
  <c r="L254" i="3"/>
  <c r="X254" i="3"/>
  <c r="AB254" i="3" s="1"/>
  <c r="E36" i="4" s="1"/>
  <c r="Y172" i="3"/>
  <c r="AD275" i="3"/>
  <c r="AD274" i="3"/>
  <c r="AD237" i="3"/>
  <c r="X270" i="3"/>
  <c r="AB270" i="3" s="1"/>
  <c r="AF236" i="3"/>
  <c r="AB47" i="2"/>
  <c r="AG236" i="3" s="1"/>
  <c r="I104" i="3"/>
  <c r="Z216" i="3"/>
  <c r="Z129" i="3"/>
  <c r="AA163" i="3"/>
  <c r="AA331" i="3" s="1"/>
  <c r="I137" i="3"/>
  <c r="J244" i="3"/>
  <c r="J136" i="3"/>
  <c r="O216" i="3"/>
  <c r="O129" i="3"/>
  <c r="V246" i="3"/>
  <c r="V245" i="3" s="1"/>
  <c r="S35" i="3"/>
  <c r="S21" i="3"/>
  <c r="S16" i="3"/>
  <c r="AE35" i="3"/>
  <c r="AE21" i="3"/>
  <c r="AE16" i="3"/>
  <c r="H5" i="2"/>
  <c r="M20" i="3" s="1"/>
  <c r="S25" i="3"/>
  <c r="AE25" i="3"/>
  <c r="H7" i="2"/>
  <c r="M36" i="3" s="1"/>
  <c r="H9" i="2"/>
  <c r="M89" i="3" s="1"/>
  <c r="H11" i="2"/>
  <c r="M101" i="3" s="1"/>
  <c r="AD216" i="3"/>
  <c r="AD129" i="3"/>
  <c r="S163" i="3"/>
  <c r="S331" i="3" s="1"/>
  <c r="AE163" i="3"/>
  <c r="AE331" i="3" s="1"/>
  <c r="Y246" i="3"/>
  <c r="Y245" i="3" s="1"/>
  <c r="AE247" i="3"/>
  <c r="N122" i="3"/>
  <c r="Y250" i="3"/>
  <c r="Z122" i="3"/>
  <c r="Y137" i="3"/>
  <c r="Y134" i="3"/>
  <c r="Y261" i="3" s="1"/>
  <c r="Y266" i="3" s="1"/>
  <c r="T143" i="3"/>
  <c r="AE263" i="3"/>
  <c r="AF143" i="3"/>
  <c r="AE264" i="3"/>
  <c r="AE148" i="3"/>
  <c r="H26" i="2"/>
  <c r="M155" i="3" s="1"/>
  <c r="N156" i="3" s="1"/>
  <c r="Y265" i="3"/>
  <c r="Z156" i="3"/>
  <c r="S213" i="3"/>
  <c r="AE251" i="3"/>
  <c r="AE213" i="3"/>
  <c r="H29" i="2"/>
  <c r="M168" i="3" s="1"/>
  <c r="N169" i="3" s="1"/>
  <c r="Y252" i="3"/>
  <c r="Z169" i="3"/>
  <c r="AE253" i="3"/>
  <c r="H31" i="2"/>
  <c r="M171" i="3" s="1"/>
  <c r="N172" i="3" s="1"/>
  <c r="Y254" i="3"/>
  <c r="Z172" i="3"/>
  <c r="S275" i="3"/>
  <c r="AE275" i="3"/>
  <c r="H33" i="2"/>
  <c r="M179" i="3" s="1"/>
  <c r="T181" i="3"/>
  <c r="AF181" i="3"/>
  <c r="H35" i="2"/>
  <c r="M183" i="3" s="1"/>
  <c r="T202" i="3"/>
  <c r="AF202" i="3"/>
  <c r="H37" i="2"/>
  <c r="M204" i="3" s="1"/>
  <c r="S255" i="3"/>
  <c r="W255" i="3" s="1"/>
  <c r="D37" i="4" s="1"/>
  <c r="AE255" i="3"/>
  <c r="H39" i="2"/>
  <c r="M206" i="3" s="1"/>
  <c r="N207" i="3" s="1"/>
  <c r="Z207" i="3"/>
  <c r="S274" i="3"/>
  <c r="W274" i="3" s="1"/>
  <c r="S237" i="3"/>
  <c r="S295" i="3" s="1"/>
  <c r="AE274" i="3"/>
  <c r="AE237" i="3"/>
  <c r="H42" i="2"/>
  <c r="M219" i="3" s="1"/>
  <c r="Y268" i="3"/>
  <c r="Y276" i="3" s="1"/>
  <c r="S269" i="3"/>
  <c r="W269" i="3" s="1"/>
  <c r="AE269" i="3"/>
  <c r="H44" i="2"/>
  <c r="M233" i="3" s="1"/>
  <c r="N270" i="3" s="1"/>
  <c r="R270" i="3" s="1"/>
  <c r="Y270" i="3"/>
  <c r="S271" i="3"/>
  <c r="W271" i="3" s="1"/>
  <c r="AE271" i="3"/>
  <c r="N272" i="3"/>
  <c r="R272" i="3" s="1"/>
  <c r="N216" i="3"/>
  <c r="J216" i="3"/>
  <c r="N129" i="3"/>
  <c r="U250" i="3"/>
  <c r="V122" i="3"/>
  <c r="AF163" i="3"/>
  <c r="AF331" i="3" s="1"/>
  <c r="T247" i="3"/>
  <c r="N250" i="3"/>
  <c r="R250" i="3" s="1"/>
  <c r="O122" i="3"/>
  <c r="N137" i="3"/>
  <c r="N134" i="3"/>
  <c r="N261" i="3" s="1"/>
  <c r="T264" i="3"/>
  <c r="T148" i="3"/>
  <c r="Z265" i="3"/>
  <c r="AA156" i="3"/>
  <c r="O169" i="3"/>
  <c r="Z254" i="3"/>
  <c r="AA172" i="3"/>
  <c r="AF275" i="3"/>
  <c r="AH185" i="3"/>
  <c r="U181" i="3"/>
  <c r="AG181" i="3"/>
  <c r="U202" i="3"/>
  <c r="AG202" i="3"/>
  <c r="O207" i="3"/>
  <c r="AA207" i="3"/>
  <c r="T274" i="3"/>
  <c r="T237" i="3"/>
  <c r="T295" i="3" s="1"/>
  <c r="AF274" i="3"/>
  <c r="N268" i="3"/>
  <c r="AF234" i="3"/>
  <c r="AF271" i="3" s="1"/>
  <c r="AB45" i="2"/>
  <c r="AG234" i="3" s="1"/>
  <c r="AG237" i="3" s="1"/>
  <c r="AC16" i="3"/>
  <c r="O163" i="3"/>
  <c r="AA247" i="3"/>
  <c r="T25" i="3"/>
  <c r="N244" i="3"/>
  <c r="R244" i="3" s="1"/>
  <c r="N136" i="3"/>
  <c r="T163" i="3"/>
  <c r="T331" i="3" s="1"/>
  <c r="Z246" i="3"/>
  <c r="Z245" i="3" s="1"/>
  <c r="Z137" i="3"/>
  <c r="Z134" i="3"/>
  <c r="Z261" i="3" s="1"/>
  <c r="Z266" i="3" s="1"/>
  <c r="T263" i="3"/>
  <c r="U143" i="3"/>
  <c r="AF263" i="3"/>
  <c r="O156" i="3"/>
  <c r="T251" i="3"/>
  <c r="T213" i="3"/>
  <c r="AF251" i="3"/>
  <c r="AF213" i="3"/>
  <c r="Z252" i="3"/>
  <c r="AA169" i="3"/>
  <c r="O172" i="3"/>
  <c r="T275" i="3"/>
  <c r="AB4" i="2"/>
  <c r="AG15" i="3" s="1"/>
  <c r="I25" i="3"/>
  <c r="U25" i="3"/>
  <c r="AB6" i="2"/>
  <c r="AG24" i="3" s="1"/>
  <c r="O244" i="3"/>
  <c r="O136" i="3"/>
  <c r="O37" i="3"/>
  <c r="AA244" i="3"/>
  <c r="AA136" i="3"/>
  <c r="AA37" i="3"/>
  <c r="AB8" i="2"/>
  <c r="AG40" i="3" s="1"/>
  <c r="AB10" i="2"/>
  <c r="AG97" i="3" s="1"/>
  <c r="T129" i="3"/>
  <c r="T216" i="3"/>
  <c r="AF216" i="3"/>
  <c r="AF129" i="3"/>
  <c r="AB12" i="2"/>
  <c r="AG102" i="3" s="1"/>
  <c r="I163" i="3"/>
  <c r="U163" i="3"/>
  <c r="U331" i="3" s="1"/>
  <c r="AB15" i="2"/>
  <c r="AG110" i="3" s="1"/>
  <c r="O246" i="3"/>
  <c r="O245" i="3" s="1"/>
  <c r="AA246" i="3"/>
  <c r="AA245" i="3" s="1"/>
  <c r="I247" i="3"/>
  <c r="M247" i="3" s="1"/>
  <c r="I116" i="3"/>
  <c r="U247" i="3"/>
  <c r="AB17" i="2"/>
  <c r="AG115" i="3" s="1"/>
  <c r="O248" i="3"/>
  <c r="AA248" i="3"/>
  <c r="U249" i="3"/>
  <c r="AB19" i="2"/>
  <c r="AG120" i="3" s="1"/>
  <c r="AH249" i="3" s="1"/>
  <c r="AL249" i="3" s="1"/>
  <c r="G31" i="4" s="1"/>
  <c r="O250" i="3"/>
  <c r="P122" i="3"/>
  <c r="AA250" i="3"/>
  <c r="AB122" i="3"/>
  <c r="U256" i="3"/>
  <c r="AB21" i="2"/>
  <c r="AG127" i="3" s="1"/>
  <c r="AH256" i="3" s="1"/>
  <c r="AL256" i="3" s="1"/>
  <c r="O137" i="3"/>
  <c r="O134" i="3"/>
  <c r="O261" i="3" s="1"/>
  <c r="O266" i="3" s="1"/>
  <c r="AA134" i="3"/>
  <c r="AA261" i="3" s="1"/>
  <c r="AA266" i="3" s="1"/>
  <c r="I263" i="3"/>
  <c r="M263" i="3" s="1"/>
  <c r="J143" i="3"/>
  <c r="U263" i="3"/>
  <c r="V143" i="3"/>
  <c r="AB23" i="2"/>
  <c r="AG142" i="3" s="1"/>
  <c r="AH143" i="3" s="1"/>
  <c r="I264" i="3"/>
  <c r="M264" i="3" s="1"/>
  <c r="I148" i="3"/>
  <c r="U264" i="3"/>
  <c r="U148" i="3"/>
  <c r="AB25" i="2"/>
  <c r="AG146" i="3" s="1"/>
  <c r="AH264" i="3" s="1"/>
  <c r="O265" i="3"/>
  <c r="P156" i="3"/>
  <c r="AA265" i="3"/>
  <c r="AB156" i="3"/>
  <c r="I213" i="3"/>
  <c r="I251" i="3"/>
  <c r="M251" i="3" s="1"/>
  <c r="I165" i="3"/>
  <c r="U213" i="3"/>
  <c r="U251" i="3"/>
  <c r="AB28" i="2"/>
  <c r="AG164" i="3" s="1"/>
  <c r="O252" i="3"/>
  <c r="P169" i="3"/>
  <c r="AA252" i="3"/>
  <c r="AB169" i="3"/>
  <c r="U253" i="3"/>
  <c r="AB30" i="2"/>
  <c r="AG170" i="3" s="1"/>
  <c r="AH253" i="3" s="1"/>
  <c r="AL253" i="3" s="1"/>
  <c r="G35" i="4" s="1"/>
  <c r="O254" i="3"/>
  <c r="P172" i="3"/>
  <c r="AA254" i="3"/>
  <c r="I275" i="3"/>
  <c r="U275" i="3"/>
  <c r="AB32" i="2"/>
  <c r="AG178" i="3" s="1"/>
  <c r="I274" i="3"/>
  <c r="M274" i="3" s="1"/>
  <c r="I237" i="3"/>
  <c r="I301" i="3" s="1"/>
  <c r="U274" i="3"/>
  <c r="U237" i="3"/>
  <c r="AH269" i="3"/>
  <c r="AL269" i="3" s="1"/>
  <c r="AI220" i="3"/>
  <c r="AI237" i="3" s="1"/>
  <c r="Z244" i="3"/>
  <c r="Z136" i="3"/>
  <c r="Z37" i="3"/>
  <c r="AE216" i="3"/>
  <c r="AE129" i="3"/>
  <c r="V163" i="3"/>
  <c r="V331" i="3" s="1"/>
  <c r="V247" i="3"/>
  <c r="P134" i="3"/>
  <c r="P261" i="3" s="1"/>
  <c r="P266" i="3" s="1"/>
  <c r="P137" i="3"/>
  <c r="J263" i="3"/>
  <c r="K143" i="3"/>
  <c r="V263" i="3"/>
  <c r="AI143" i="3"/>
  <c r="J264" i="3"/>
  <c r="J148" i="3"/>
  <c r="V264" i="3"/>
  <c r="V148" i="3"/>
  <c r="P265" i="3"/>
  <c r="Q156" i="3"/>
  <c r="E38" i="4"/>
  <c r="AC156" i="3"/>
  <c r="J251" i="3"/>
  <c r="J213" i="3"/>
  <c r="J165" i="3"/>
  <c r="V251" i="3"/>
  <c r="V213" i="3"/>
  <c r="AH213" i="3"/>
  <c r="P252" i="3"/>
  <c r="Q169" i="3"/>
  <c r="P254" i="3"/>
  <c r="Q172" i="3"/>
  <c r="W31" i="2"/>
  <c r="AB171" i="3" s="1"/>
  <c r="AC172" i="3" s="1"/>
  <c r="J275" i="3"/>
  <c r="V275" i="3"/>
  <c r="W33" i="2"/>
  <c r="AB179" i="3" s="1"/>
  <c r="W35" i="2"/>
  <c r="AB183" i="3" s="1"/>
  <c r="W37" i="2"/>
  <c r="AB204" i="3" s="1"/>
  <c r="J255" i="3"/>
  <c r="V255" i="3"/>
  <c r="AH255" i="3"/>
  <c r="AL255" i="3" s="1"/>
  <c r="G37" i="4" s="1"/>
  <c r="W39" i="2"/>
  <c r="AB206" i="3" s="1"/>
  <c r="AC265" i="3" s="1"/>
  <c r="AG265" i="3" s="1"/>
  <c r="J274" i="3"/>
  <c r="J237" i="3"/>
  <c r="V274" i="3"/>
  <c r="V237" i="3"/>
  <c r="V301" i="3" s="1"/>
  <c r="AH274" i="3"/>
  <c r="AL274" i="3" s="1"/>
  <c r="AH237" i="3"/>
  <c r="AH301" i="3" s="1"/>
  <c r="P268" i="3"/>
  <c r="P276" i="3" s="1"/>
  <c r="AI271" i="3"/>
  <c r="AJ234" i="3"/>
  <c r="I244" i="3"/>
  <c r="M244" i="3" s="1"/>
  <c r="I136" i="3"/>
  <c r="I37" i="3"/>
  <c r="O247" i="3"/>
  <c r="S216" i="3"/>
  <c r="S129" i="3"/>
  <c r="N246" i="3"/>
  <c r="Z250" i="3"/>
  <c r="AA122" i="3"/>
  <c r="J35" i="3"/>
  <c r="J21" i="3"/>
  <c r="V35" i="3"/>
  <c r="V21" i="3"/>
  <c r="V16" i="3"/>
  <c r="AH197" i="3"/>
  <c r="AH139" i="3"/>
  <c r="AH35" i="3"/>
  <c r="W5" i="2"/>
  <c r="AB20" i="3" s="1"/>
  <c r="J25" i="3"/>
  <c r="V25" i="3"/>
  <c r="P244" i="3"/>
  <c r="P136" i="3"/>
  <c r="P37" i="3"/>
  <c r="W9" i="2"/>
  <c r="AB89" i="3" s="1"/>
  <c r="U216" i="3"/>
  <c r="U129" i="3"/>
  <c r="W11" i="2"/>
  <c r="AB101" i="3" s="1"/>
  <c r="AH258" i="3"/>
  <c r="AL258" i="3" s="1"/>
  <c r="AL102" i="3"/>
  <c r="AQ216" i="3" s="1"/>
  <c r="W13" i="2"/>
  <c r="AB104" i="3" s="1"/>
  <c r="J163" i="3"/>
  <c r="AH163" i="3"/>
  <c r="AH331" i="3" s="1"/>
  <c r="P246" i="3"/>
  <c r="P245" i="3" s="1"/>
  <c r="J247" i="3"/>
  <c r="J116" i="3"/>
  <c r="AH247" i="3"/>
  <c r="AL247" i="3" s="1"/>
  <c r="G29" i="4" s="1"/>
  <c r="P250" i="3"/>
  <c r="Q122" i="3"/>
  <c r="K35" i="3"/>
  <c r="K21" i="3"/>
  <c r="R4" i="2"/>
  <c r="W15" i="3" s="1"/>
  <c r="AI197" i="3"/>
  <c r="AI139" i="3"/>
  <c r="AI35" i="3"/>
  <c r="K25" i="3"/>
  <c r="R6" i="2"/>
  <c r="W24" i="3" s="1"/>
  <c r="Q244" i="3"/>
  <c r="Q136" i="3"/>
  <c r="Q37" i="3"/>
  <c r="AC244" i="3"/>
  <c r="AG244" i="3" s="1"/>
  <c r="AC136" i="3"/>
  <c r="AC37" i="3"/>
  <c r="B21" i="5" s="1"/>
  <c r="B23" i="5"/>
  <c r="C23" i="5" s="1"/>
  <c r="D23" i="5" s="1"/>
  <c r="E23" i="5" s="1"/>
  <c r="F23" i="5" s="1"/>
  <c r="R10" i="2"/>
  <c r="W97" i="3" s="1"/>
  <c r="V216" i="3"/>
  <c r="V129" i="3"/>
  <c r="R12" i="2"/>
  <c r="W102" i="3" s="1"/>
  <c r="AB216" i="3" s="1"/>
  <c r="K163" i="3"/>
  <c r="R15" i="2"/>
  <c r="W110" i="3" s="1"/>
  <c r="AI163" i="3"/>
  <c r="AI331" i="3" s="1"/>
  <c r="Q246" i="3"/>
  <c r="Q245" i="3" s="1"/>
  <c r="AC246" i="3"/>
  <c r="K247" i="3"/>
  <c r="K116" i="3"/>
  <c r="R17" i="2"/>
  <c r="W115" i="3" s="1"/>
  <c r="X247" i="3" s="1"/>
  <c r="AB247" i="3" s="1"/>
  <c r="E29" i="4" s="1"/>
  <c r="AI247" i="3"/>
  <c r="Q248" i="3"/>
  <c r="AC248" i="3"/>
  <c r="AG248" i="3" s="1"/>
  <c r="F30" i="4" s="1"/>
  <c r="K249" i="3"/>
  <c r="R19" i="2"/>
  <c r="W120" i="3" s="1"/>
  <c r="X249" i="3" s="1"/>
  <c r="AB249" i="3" s="1"/>
  <c r="E31" i="4" s="1"/>
  <c r="AI249" i="3"/>
  <c r="AJ120" i="3"/>
  <c r="Q250" i="3"/>
  <c r="R122" i="3"/>
  <c r="AD122" i="3"/>
  <c r="AC250" i="3"/>
  <c r="AG250" i="3" s="1"/>
  <c r="F32" i="4" s="1"/>
  <c r="K256" i="3"/>
  <c r="R21" i="2"/>
  <c r="W127" i="3" s="1"/>
  <c r="X256" i="3" s="1"/>
  <c r="AB256" i="3" s="1"/>
  <c r="AI256" i="3"/>
  <c r="AJ127" i="3"/>
  <c r="Q137" i="3"/>
  <c r="Q134" i="3"/>
  <c r="Q261" i="3" s="1"/>
  <c r="Q266" i="3" s="1"/>
  <c r="AC137" i="3"/>
  <c r="AC134" i="3"/>
  <c r="K263" i="3"/>
  <c r="L143" i="3"/>
  <c r="R23" i="2"/>
  <c r="W142" i="3" s="1"/>
  <c r="X143" i="3" s="1"/>
  <c r="AI263" i="3"/>
  <c r="AJ142" i="3"/>
  <c r="AJ143" i="3"/>
  <c r="K264" i="3"/>
  <c r="K148" i="3"/>
  <c r="R25" i="2"/>
  <c r="W146" i="3" s="1"/>
  <c r="X264" i="3" s="1"/>
  <c r="AB264" i="3" s="1"/>
  <c r="AI264" i="3"/>
  <c r="AI266" i="3" s="1"/>
  <c r="AJ146" i="3"/>
  <c r="Q265" i="3"/>
  <c r="R156" i="3"/>
  <c r="AD156" i="3"/>
  <c r="K251" i="3"/>
  <c r="K213" i="3"/>
  <c r="K165" i="3"/>
  <c r="R28" i="2"/>
  <c r="W164" i="3" s="1"/>
  <c r="AI251" i="3"/>
  <c r="AI213" i="3"/>
  <c r="Q252" i="3"/>
  <c r="R169" i="3"/>
  <c r="AC252" i="3"/>
  <c r="AG252" i="3" s="1"/>
  <c r="F34" i="4" s="1"/>
  <c r="AD169" i="3"/>
  <c r="K253" i="3"/>
  <c r="R30" i="2"/>
  <c r="W170" i="3" s="1"/>
  <c r="X253" i="3" s="1"/>
  <c r="AB253" i="3" s="1"/>
  <c r="E35" i="4" s="1"/>
  <c r="AI253" i="3"/>
  <c r="Q254" i="3"/>
  <c r="R172" i="3"/>
  <c r="AC254" i="3"/>
  <c r="AG254" i="3" s="1"/>
  <c r="F36" i="4" s="1"/>
  <c r="AD172" i="3"/>
  <c r="K275" i="3"/>
  <c r="R32" i="2"/>
  <c r="W178" i="3" s="1"/>
  <c r="AI275" i="3"/>
  <c r="AJ178" i="3"/>
  <c r="L181" i="3"/>
  <c r="R34" i="2"/>
  <c r="W180" i="3" s="1"/>
  <c r="X181" i="3" s="1"/>
  <c r="AJ180" i="3"/>
  <c r="AJ181" i="3" s="1"/>
  <c r="L202" i="3"/>
  <c r="R36" i="2"/>
  <c r="W201" i="3" s="1"/>
  <c r="X202" i="3" s="1"/>
  <c r="AJ201" i="3"/>
  <c r="AJ202" i="3" s="1"/>
  <c r="K255" i="3"/>
  <c r="R38" i="2"/>
  <c r="W205" i="3" s="1"/>
  <c r="X255" i="3" s="1"/>
  <c r="AB255" i="3" s="1"/>
  <c r="E37" i="4" s="1"/>
  <c r="AI255" i="3"/>
  <c r="AJ205" i="3"/>
  <c r="R207" i="3"/>
  <c r="AD207" i="3"/>
  <c r="K274" i="3"/>
  <c r="K237" i="3"/>
  <c r="R41" i="2"/>
  <c r="W214" i="3" s="1"/>
  <c r="AI274" i="3"/>
  <c r="AJ214" i="3"/>
  <c r="Q268" i="3"/>
  <c r="Q276" i="3" s="1"/>
  <c r="AC268" i="3"/>
  <c r="K269" i="3"/>
  <c r="R43" i="2"/>
  <c r="W220" i="3" s="1"/>
  <c r="X269" i="3" s="1"/>
  <c r="AB269" i="3" s="1"/>
  <c r="Q270" i="3"/>
  <c r="AC270" i="3"/>
  <c r="AG270" i="3" s="1"/>
  <c r="K271" i="3"/>
  <c r="R45" i="2"/>
  <c r="W234" i="3" s="1"/>
  <c r="X271" i="3" s="1"/>
  <c r="AB271" i="3" s="1"/>
  <c r="M46" i="2"/>
  <c r="R235" i="3" s="1"/>
  <c r="S272" i="3" s="1"/>
  <c r="W272" i="3" s="1"/>
  <c r="AE272" i="3"/>
  <c r="H47" i="2"/>
  <c r="M236" i="3" s="1"/>
  <c r="J6" i="3"/>
  <c r="J7" i="3" s="1"/>
  <c r="J13" i="3" s="1"/>
  <c r="J108" i="3" s="1"/>
  <c r="J241" i="3" s="1"/>
  <c r="J285" i="3" s="1"/>
  <c r="R13" i="3"/>
  <c r="R108" i="3" s="1"/>
  <c r="R241" i="3" s="1"/>
  <c r="R285" i="3" s="1"/>
  <c r="M143" i="3"/>
  <c r="AW258" i="3"/>
  <c r="BA258" i="3" s="1"/>
  <c r="BA102" i="3"/>
  <c r="BF216" i="3" s="1"/>
  <c r="K272" i="3"/>
  <c r="AJ235" i="3"/>
  <c r="AI272" i="3"/>
  <c r="AQ102" i="3"/>
  <c r="AV216" i="3" s="1"/>
  <c r="BF102" i="3"/>
  <c r="U271" i="3"/>
  <c r="O272" i="3"/>
  <c r="AA272" i="3"/>
  <c r="AQ262" i="3"/>
  <c r="BF262" i="3"/>
  <c r="AH229" i="3"/>
  <c r="AJ225" i="3"/>
  <c r="AI225" i="3"/>
  <c r="AH228" i="3"/>
  <c r="BF258" i="3"/>
  <c r="AH124" i="3"/>
  <c r="AI124" i="3" s="1"/>
  <c r="AV262" i="3"/>
  <c r="I266" i="3"/>
  <c r="AF266" i="3"/>
  <c r="AL262" i="3"/>
  <c r="G318" i="3"/>
  <c r="G316" i="3"/>
  <c r="G317" i="3" s="1"/>
  <c r="G312" i="3" s="1"/>
  <c r="D312" i="3"/>
  <c r="D311" i="3"/>
  <c r="E318" i="3"/>
  <c r="AI332" i="3" l="1"/>
  <c r="AI294" i="3"/>
  <c r="AI301" i="3"/>
  <c r="AI295" i="3"/>
  <c r="AE332" i="3"/>
  <c r="AE294" i="3"/>
  <c r="W302" i="3"/>
  <c r="V300" i="3"/>
  <c r="W300" i="3"/>
  <c r="V303" i="3"/>
  <c r="W303" i="3"/>
  <c r="V298" i="3"/>
  <c r="V299" i="3"/>
  <c r="W298" i="3"/>
  <c r="W299" i="3"/>
  <c r="V302" i="3"/>
  <c r="O332" i="3"/>
  <c r="O294" i="3"/>
  <c r="Z332" i="3"/>
  <c r="Z294" i="3"/>
  <c r="S303" i="3"/>
  <c r="S299" i="3"/>
  <c r="S298" i="3"/>
  <c r="S302" i="3"/>
  <c r="S300" i="3"/>
  <c r="AB319" i="3"/>
  <c r="AB318" i="3" s="1"/>
  <c r="M321" i="3"/>
  <c r="P295" i="3"/>
  <c r="AH332" i="3"/>
  <c r="AH294" i="3"/>
  <c r="N332" i="3"/>
  <c r="N294" i="3"/>
  <c r="X332" i="3"/>
  <c r="X294" i="3"/>
  <c r="AB320" i="3"/>
  <c r="AB308" i="3"/>
  <c r="AB307" i="3"/>
  <c r="T301" i="3"/>
  <c r="I295" i="3"/>
  <c r="S332" i="3"/>
  <c r="S294" i="3"/>
  <c r="AD332" i="3"/>
  <c r="AD294" i="3"/>
  <c r="L239" i="3"/>
  <c r="L332" i="3"/>
  <c r="L294" i="3"/>
  <c r="O295" i="3"/>
  <c r="L318" i="3"/>
  <c r="L316" i="3" s="1"/>
  <c r="L317" i="3" s="1"/>
  <c r="V239" i="3"/>
  <c r="V332" i="3"/>
  <c r="V294" i="3"/>
  <c r="U332" i="3"/>
  <c r="U294" i="3"/>
  <c r="Q331" i="3"/>
  <c r="N290" i="3"/>
  <c r="N289" i="3"/>
  <c r="N288" i="3"/>
  <c r="N287" i="3"/>
  <c r="W321" i="3"/>
  <c r="AC300" i="3"/>
  <c r="AC302" i="3"/>
  <c r="AC298" i="3"/>
  <c r="AC299" i="3"/>
  <c r="AC303" i="3"/>
  <c r="Y300" i="3"/>
  <c r="Y303" i="3"/>
  <c r="Y298" i="3"/>
  <c r="Y302" i="3"/>
  <c r="Y299" i="3"/>
  <c r="R321" i="3"/>
  <c r="S287" i="3"/>
  <c r="O301" i="3"/>
  <c r="AH295" i="3"/>
  <c r="R320" i="3"/>
  <c r="R308" i="3"/>
  <c r="R307" i="3"/>
  <c r="Y332" i="3"/>
  <c r="Y294" i="3"/>
  <c r="AG321" i="3"/>
  <c r="AG319" i="3"/>
  <c r="Z295" i="3"/>
  <c r="AA318" i="3"/>
  <c r="AA316" i="3" s="1"/>
  <c r="AA317" i="3" s="1"/>
  <c r="S301" i="3"/>
  <c r="W308" i="3"/>
  <c r="W307" i="3"/>
  <c r="W320" i="3"/>
  <c r="W289" i="3"/>
  <c r="W288" i="3"/>
  <c r="W287" i="3"/>
  <c r="W290" i="3"/>
  <c r="J239" i="3"/>
  <c r="J332" i="3"/>
  <c r="J333" i="3" s="1"/>
  <c r="J294" i="3"/>
  <c r="I332" i="3"/>
  <c r="I333" i="3" s="1"/>
  <c r="I294" i="3"/>
  <c r="AC332" i="3"/>
  <c r="AC294" i="3"/>
  <c r="W172" i="3"/>
  <c r="AH265" i="3"/>
  <c r="AL265" i="3" s="1"/>
  <c r="M308" i="3"/>
  <c r="M307" i="3"/>
  <c r="M320" i="3"/>
  <c r="O331" i="3"/>
  <c r="Z301" i="3"/>
  <c r="M319" i="3"/>
  <c r="AD301" i="3"/>
  <c r="AG289" i="3"/>
  <c r="AG288" i="3"/>
  <c r="AG287" i="3"/>
  <c r="AG290" i="3"/>
  <c r="AG332" i="3"/>
  <c r="AG294" i="3"/>
  <c r="AA303" i="3"/>
  <c r="AA299" i="3"/>
  <c r="AB302" i="3"/>
  <c r="AB298" i="3"/>
  <c r="AA302" i="3"/>
  <c r="AB299" i="3"/>
  <c r="AA300" i="3"/>
  <c r="AB300" i="3"/>
  <c r="AB303" i="3"/>
  <c r="AA298" i="3"/>
  <c r="T303" i="3"/>
  <c r="T299" i="3"/>
  <c r="T298" i="3"/>
  <c r="T302" i="3"/>
  <c r="T300" i="3"/>
  <c r="V316" i="3"/>
  <c r="V317" i="3" s="1"/>
  <c r="J295" i="3"/>
  <c r="AE295" i="3"/>
  <c r="O299" i="3"/>
  <c r="AB207" i="3"/>
  <c r="M172" i="3"/>
  <c r="X246" i="3"/>
  <c r="W319" i="3"/>
  <c r="W318" i="3" s="1"/>
  <c r="W316" i="3" s="1"/>
  <c r="AB287" i="3"/>
  <c r="AB290" i="3"/>
  <c r="AB289" i="3"/>
  <c r="AB288" i="3"/>
  <c r="Q332" i="3"/>
  <c r="Q294" i="3"/>
  <c r="U303" i="3"/>
  <c r="U299" i="3"/>
  <c r="U298" i="3"/>
  <c r="U302" i="3"/>
  <c r="U300" i="3"/>
  <c r="AB321" i="3"/>
  <c r="N331" i="3"/>
  <c r="V295" i="3"/>
  <c r="X295" i="3"/>
  <c r="Y295" i="3"/>
  <c r="Q301" i="3"/>
  <c r="K294" i="3"/>
  <c r="K332" i="3"/>
  <c r="K333" i="3" s="1"/>
  <c r="AH275" i="3"/>
  <c r="AG301" i="3"/>
  <c r="AG295" i="3"/>
  <c r="AH251" i="3"/>
  <c r="AL251" i="3" s="1"/>
  <c r="G33" i="4" s="1"/>
  <c r="AG307" i="3"/>
  <c r="AG320" i="3"/>
  <c r="AG308" i="3"/>
  <c r="N254" i="3"/>
  <c r="R254" i="3" s="1"/>
  <c r="AH300" i="3"/>
  <c r="AH298" i="3"/>
  <c r="AH299" i="3"/>
  <c r="AH302" i="3"/>
  <c r="AH303" i="3"/>
  <c r="AB332" i="3"/>
  <c r="AB294" i="3"/>
  <c r="AE303" i="3"/>
  <c r="AE299" i="3"/>
  <c r="AE302" i="3"/>
  <c r="AE300" i="3"/>
  <c r="AE298" i="3"/>
  <c r="L301" i="3"/>
  <c r="AD295" i="3"/>
  <c r="S264" i="3"/>
  <c r="W264" i="3" s="1"/>
  <c r="AI302" i="3"/>
  <c r="AI300" i="3"/>
  <c r="AI298" i="3"/>
  <c r="AI299" i="3"/>
  <c r="AI303" i="3"/>
  <c r="P331" i="3"/>
  <c r="K301" i="3"/>
  <c r="W237" i="3"/>
  <c r="W295" i="3" s="1"/>
  <c r="G311" i="3"/>
  <c r="Z303" i="3"/>
  <c r="Z300" i="3"/>
  <c r="Z298" i="3"/>
  <c r="Z302" i="3"/>
  <c r="Z299" i="3"/>
  <c r="AA239" i="3"/>
  <c r="AA332" i="3"/>
  <c r="AA294" i="3"/>
  <c r="M290" i="3"/>
  <c r="M289" i="3"/>
  <c r="M288" i="3"/>
  <c r="M287" i="3"/>
  <c r="AD300" i="3"/>
  <c r="AD302" i="3"/>
  <c r="AD298" i="3"/>
  <c r="AD299" i="3"/>
  <c r="AD303" i="3"/>
  <c r="X302" i="3"/>
  <c r="X298" i="3"/>
  <c r="X300" i="3"/>
  <c r="X303" i="3"/>
  <c r="X299" i="3"/>
  <c r="U295" i="3"/>
  <c r="AA301" i="3"/>
  <c r="AE301" i="3"/>
  <c r="X301" i="3"/>
  <c r="AC301" i="3"/>
  <c r="T239" i="3"/>
  <c r="T332" i="3"/>
  <c r="T294" i="3"/>
  <c r="X252" i="3"/>
  <c r="AB252" i="3" s="1"/>
  <c r="E34" i="4" s="1"/>
  <c r="AF303" i="3"/>
  <c r="AF299" i="3"/>
  <c r="AG303" i="3"/>
  <c r="AG299" i="3"/>
  <c r="AF298" i="3"/>
  <c r="AG298" i="3"/>
  <c r="AF302" i="3"/>
  <c r="AG302" i="3"/>
  <c r="AF300" i="3"/>
  <c r="AG300" i="3"/>
  <c r="P332" i="3"/>
  <c r="P294" i="3"/>
  <c r="L302" i="3"/>
  <c r="L298" i="3"/>
  <c r="L300" i="3"/>
  <c r="M298" i="3"/>
  <c r="L299" i="3"/>
  <c r="M299" i="3"/>
  <c r="M302" i="3"/>
  <c r="M300" i="3"/>
  <c r="L303" i="3"/>
  <c r="M303" i="3"/>
  <c r="R319" i="3"/>
  <c r="R318" i="3" s="1"/>
  <c r="R316" i="3" s="1"/>
  <c r="R317" i="3" s="1"/>
  <c r="AB301" i="3"/>
  <c r="AB295" i="3"/>
  <c r="N295" i="3"/>
  <c r="K295" i="3"/>
  <c r="U301" i="3"/>
  <c r="J301" i="3"/>
  <c r="AA295" i="3"/>
  <c r="AG25" i="3"/>
  <c r="B18" i="5"/>
  <c r="M25" i="3"/>
  <c r="N275" i="3"/>
  <c r="R275" i="3" s="1"/>
  <c r="AC239" i="3"/>
  <c r="AH271" i="3"/>
  <c r="AL271" i="3" s="1"/>
  <c r="R213" i="3"/>
  <c r="O239" i="3"/>
  <c r="S263" i="3"/>
  <c r="W263" i="3" s="1"/>
  <c r="M275" i="3"/>
  <c r="N263" i="3"/>
  <c r="R263" i="3" s="1"/>
  <c r="M202" i="3"/>
  <c r="AC275" i="3"/>
  <c r="AG275" i="3" s="1"/>
  <c r="W25" i="3"/>
  <c r="AC148" i="3"/>
  <c r="F311" i="3"/>
  <c r="X275" i="3"/>
  <c r="AB275" i="3" s="1"/>
  <c r="AH263" i="3"/>
  <c r="AL263" i="3" s="1"/>
  <c r="AL216" i="3"/>
  <c r="X250" i="3"/>
  <c r="AB250" i="3" s="1"/>
  <c r="E32" i="4" s="1"/>
  <c r="B20" i="5"/>
  <c r="C20" i="5" s="1"/>
  <c r="AB246" i="3"/>
  <c r="E28" i="4" s="1"/>
  <c r="X245" i="3"/>
  <c r="AB245" i="3" s="1"/>
  <c r="E27" i="4" s="1"/>
  <c r="E44" i="4" s="1"/>
  <c r="AH276" i="3"/>
  <c r="AL268" i="3"/>
  <c r="AL276" i="3" s="1"/>
  <c r="AH196" i="3"/>
  <c r="AC2" i="3"/>
  <c r="AC1" i="3" s="1"/>
  <c r="AC39" i="3"/>
  <c r="AG35" i="3"/>
  <c r="N16" i="3"/>
  <c r="N21" i="3"/>
  <c r="N35" i="3"/>
  <c r="P300" i="3" s="1"/>
  <c r="AJ268" i="3"/>
  <c r="AK219" i="3"/>
  <c r="L5" i="3"/>
  <c r="K6" i="3"/>
  <c r="K7" i="3" s="1"/>
  <c r="K13" i="3" s="1"/>
  <c r="K108" i="3" s="1"/>
  <c r="K241" i="3" s="1"/>
  <c r="K285" i="3" s="1"/>
  <c r="M213" i="3"/>
  <c r="T39" i="3"/>
  <c r="L39" i="3"/>
  <c r="AC276" i="3"/>
  <c r="AG268" i="3"/>
  <c r="AG276" i="3" s="1"/>
  <c r="W163" i="3"/>
  <c r="W331" i="3" s="1"/>
  <c r="J2" i="3"/>
  <c r="J1" i="3" s="1"/>
  <c r="K239" i="3"/>
  <c r="K2" i="3" s="1"/>
  <c r="K1" i="3" s="1"/>
  <c r="AK180" i="3"/>
  <c r="AK181" i="3" s="1"/>
  <c r="AC261" i="3"/>
  <c r="AG134" i="3"/>
  <c r="AG139" i="3" s="1"/>
  <c r="W181" i="3"/>
  <c r="N37" i="3"/>
  <c r="C18" i="5"/>
  <c r="AK16" i="3"/>
  <c r="AK15" i="3" s="1"/>
  <c r="AJ16" i="3"/>
  <c r="N252" i="3"/>
  <c r="R252" i="3" s="1"/>
  <c r="S239" i="3"/>
  <c r="AA137" i="3"/>
  <c r="R237" i="3"/>
  <c r="R301" i="3" s="1"/>
  <c r="R163" i="3"/>
  <c r="R331" i="3" s="1"/>
  <c r="AJ248" i="3"/>
  <c r="AK119" i="3"/>
  <c r="AI276" i="3"/>
  <c r="AI196" i="3"/>
  <c r="AI198" i="3" s="1"/>
  <c r="P239" i="3"/>
  <c r="P2" i="3" s="1"/>
  <c r="P1" i="3" s="1"/>
  <c r="N251" i="3"/>
  <c r="R251" i="3" s="1"/>
  <c r="M181" i="3"/>
  <c r="X148" i="3"/>
  <c r="X39" i="3"/>
  <c r="AB35" i="3"/>
  <c r="AF137" i="3"/>
  <c r="AH137" i="3" s="1"/>
  <c r="AI137" i="3" s="1"/>
  <c r="AJ264" i="3"/>
  <c r="AJ150" i="3"/>
  <c r="AK146" i="3"/>
  <c r="AC245" i="3"/>
  <c r="AG245" i="3" s="1"/>
  <c r="F27" i="4" s="1"/>
  <c r="F44" i="4" s="1"/>
  <c r="AG246" i="3"/>
  <c r="F28" i="4" s="1"/>
  <c r="AH39" i="3"/>
  <c r="M207" i="3"/>
  <c r="W216" i="3"/>
  <c r="AR192" i="3"/>
  <c r="AS192" i="3" s="1"/>
  <c r="AT192" i="3" s="1"/>
  <c r="AU192" i="3" s="1"/>
  <c r="AS204" i="3"/>
  <c r="AT204" i="3" s="1"/>
  <c r="AU204" i="3" s="1"/>
  <c r="AV204" i="3" s="1"/>
  <c r="AW204" i="3" s="1"/>
  <c r="AB25" i="3"/>
  <c r="M163" i="3"/>
  <c r="M331" i="3" s="1"/>
  <c r="AJ272" i="3"/>
  <c r="AK235" i="3"/>
  <c r="C21" i="5"/>
  <c r="AK37" i="3"/>
  <c r="AK36" i="3" s="1"/>
  <c r="AJ37" i="3"/>
  <c r="AJ249" i="3"/>
  <c r="AK120" i="3"/>
  <c r="J39" i="3"/>
  <c r="F18" i="4"/>
  <c r="AG21" i="3"/>
  <c r="AG16" i="3"/>
  <c r="AE39" i="3"/>
  <c r="M169" i="3"/>
  <c r="E18" i="4"/>
  <c r="AB21" i="3"/>
  <c r="AB16" i="3"/>
  <c r="AC263" i="3"/>
  <c r="AG263" i="3" s="1"/>
  <c r="AB163" i="3"/>
  <c r="AB331" i="3" s="1"/>
  <c r="M35" i="3"/>
  <c r="I39" i="3"/>
  <c r="K39" i="3"/>
  <c r="O2" i="3"/>
  <c r="O1" i="3" s="1"/>
  <c r="V2" i="3"/>
  <c r="V1" i="3" s="1"/>
  <c r="AD39" i="3"/>
  <c r="W122" i="3"/>
  <c r="R143" i="3"/>
  <c r="AI199" i="3"/>
  <c r="P39" i="3"/>
  <c r="N25" i="3"/>
  <c r="AH239" i="3"/>
  <c r="W213" i="3"/>
  <c r="W239" i="3" s="1"/>
  <c r="W275" i="3"/>
  <c r="AJ265" i="3"/>
  <c r="AK155" i="3"/>
  <c r="AG216" i="3"/>
  <c r="W268" i="3"/>
  <c r="W276" i="3" s="1"/>
  <c r="S276" i="3"/>
  <c r="M21" i="3"/>
  <c r="X251" i="3"/>
  <c r="AB251" i="3" s="1"/>
  <c r="E33" i="4" s="1"/>
  <c r="Y39" i="3"/>
  <c r="AL7" i="3"/>
  <c r="AG13" i="3"/>
  <c r="AG108" i="3" s="1"/>
  <c r="AG241" i="3" s="1"/>
  <c r="AG285" i="3" s="1"/>
  <c r="AJ256" i="3"/>
  <c r="AK127" i="3"/>
  <c r="T2" i="3"/>
  <c r="T1" i="3" s="1"/>
  <c r="AJ255" i="3"/>
  <c r="AK205" i="3"/>
  <c r="D18" i="4"/>
  <c r="W21" i="3"/>
  <c r="W16" i="3"/>
  <c r="W143" i="3"/>
  <c r="AI269" i="3"/>
  <c r="AJ220" i="3"/>
  <c r="E9" i="5"/>
  <c r="AJ275" i="3"/>
  <c r="AK178" i="3"/>
  <c r="E39" i="4"/>
  <c r="AC207" i="3"/>
  <c r="N266" i="3"/>
  <c r="R261" i="3"/>
  <c r="R266" i="3" s="1"/>
  <c r="AJ270" i="3"/>
  <c r="AK233" i="3"/>
  <c r="Q239" i="3"/>
  <c r="Q2" i="3" s="1"/>
  <c r="Q1" i="3" s="1"/>
  <c r="AJ156" i="3"/>
  <c r="W169" i="3"/>
  <c r="Y239" i="3"/>
  <c r="Y2" i="3" s="1"/>
  <c r="Y1" i="3" s="1"/>
  <c r="X263" i="3"/>
  <c r="AB263" i="3" s="1"/>
  <c r="O39" i="3"/>
  <c r="AF39" i="3"/>
  <c r="W246" i="3"/>
  <c r="D28" i="4" s="1"/>
  <c r="S245" i="3"/>
  <c r="W245" i="3" s="1"/>
  <c r="D27" i="4" s="1"/>
  <c r="D44" i="4" s="1"/>
  <c r="X239" i="3"/>
  <c r="R16" i="3"/>
  <c r="AA39" i="3"/>
  <c r="AI229" i="3"/>
  <c r="AI228" i="3"/>
  <c r="U239" i="3"/>
  <c r="N265" i="3"/>
  <c r="R265" i="3" s="1"/>
  <c r="AF237" i="3"/>
  <c r="S2" i="3"/>
  <c r="S1" i="3" s="1"/>
  <c r="X266" i="3"/>
  <c r="AB261" i="3"/>
  <c r="AK206" i="3"/>
  <c r="AK207" i="3" s="1"/>
  <c r="AJ254" i="3"/>
  <c r="AK171" i="3"/>
  <c r="AK172" i="3" s="1"/>
  <c r="D38" i="4"/>
  <c r="X156" i="3"/>
  <c r="AB143" i="3"/>
  <c r="M237" i="3"/>
  <c r="M301" i="3" s="1"/>
  <c r="X274" i="3"/>
  <c r="AB274" i="3" s="1"/>
  <c r="Q39" i="3"/>
  <c r="AH2" i="3"/>
  <c r="AH1" i="3" s="1"/>
  <c r="AJ263" i="3"/>
  <c r="AK142" i="3"/>
  <c r="AK225" i="3"/>
  <c r="AJ228" i="3"/>
  <c r="AJ229" i="3"/>
  <c r="AJ274" i="3"/>
  <c r="AK214" i="3"/>
  <c r="AK201" i="3"/>
  <c r="AK202" i="3" s="1"/>
  <c r="AJ271" i="3"/>
  <c r="AK234" i="3"/>
  <c r="AG213" i="3"/>
  <c r="AG239" i="3" s="1"/>
  <c r="AG143" i="3"/>
  <c r="S39" i="3"/>
  <c r="W35" i="3"/>
  <c r="K112" i="3"/>
  <c r="I245" i="3"/>
  <c r="M245" i="3" s="1"/>
  <c r="M246" i="3"/>
  <c r="AJ207" i="3"/>
  <c r="F39" i="4"/>
  <c r="AH207" i="3"/>
  <c r="Z239" i="3"/>
  <c r="Z2" i="3" s="1"/>
  <c r="Z1" i="3" s="1"/>
  <c r="L2" i="3"/>
  <c r="L1" i="3" s="1"/>
  <c r="Z39" i="3"/>
  <c r="N276" i="3"/>
  <c r="R268" i="3"/>
  <c r="R276" i="3" s="1"/>
  <c r="N245" i="3"/>
  <c r="R245" i="3" s="1"/>
  <c r="R246" i="3"/>
  <c r="AL264" i="3"/>
  <c r="AH266" i="3"/>
  <c r="I239" i="3"/>
  <c r="I2" i="3" s="1"/>
  <c r="I1" i="3" s="1"/>
  <c r="AH195" i="3"/>
  <c r="AH198" i="3" s="1"/>
  <c r="AG163" i="3"/>
  <c r="AG331" i="3" s="1"/>
  <c r="AA2" i="3"/>
  <c r="AA1" i="3" s="1"/>
  <c r="X276" i="3"/>
  <c r="AB268" i="3"/>
  <c r="AB276" i="3" s="1"/>
  <c r="D39" i="4"/>
  <c r="X207" i="3"/>
  <c r="AK179" i="3"/>
  <c r="AH245" i="3"/>
  <c r="AL245" i="3" s="1"/>
  <c r="G27" i="4" s="1"/>
  <c r="G44" i="4" s="1"/>
  <c r="AL246" i="3"/>
  <c r="G28" i="4" s="1"/>
  <c r="AB213" i="3"/>
  <c r="AB239" i="3" s="1"/>
  <c r="Y136" i="3"/>
  <c r="Y244" i="3"/>
  <c r="Y37" i="3"/>
  <c r="N239" i="3"/>
  <c r="N2" i="3" s="1"/>
  <c r="N1" i="3" s="1"/>
  <c r="X2" i="3"/>
  <c r="X1" i="3" s="1"/>
  <c r="U39" i="3"/>
  <c r="AI2" i="3"/>
  <c r="AI1" i="3" s="1"/>
  <c r="AH230" i="3"/>
  <c r="AI239" i="3"/>
  <c r="V39" i="3"/>
  <c r="AI39" i="3"/>
  <c r="W202" i="3"/>
  <c r="AB172" i="3"/>
  <c r="U2" i="3"/>
  <c r="U1" i="3" s="1"/>
  <c r="AE239" i="3"/>
  <c r="AE2" i="3" s="1"/>
  <c r="AE1" i="3" s="1"/>
  <c r="S251" i="3"/>
  <c r="W251" i="3" s="1"/>
  <c r="D33" i="4" s="1"/>
  <c r="AD239" i="3"/>
  <c r="AD2" i="3" s="1"/>
  <c r="AD1" i="3" s="1"/>
  <c r="M156" i="3"/>
  <c r="B19" i="5"/>
  <c r="M261" i="3"/>
  <c r="M266" i="3" s="1"/>
  <c r="J266" i="3"/>
  <c r="AJ250" i="3"/>
  <c r="AK121" i="3"/>
  <c r="AK122" i="3" s="1"/>
  <c r="W261" i="3"/>
  <c r="S266" i="3"/>
  <c r="P298" i="3" l="1"/>
  <c r="I314" i="3"/>
  <c r="L304" i="3"/>
  <c r="M304" i="3"/>
  <c r="J314" i="3"/>
  <c r="X314" i="3"/>
  <c r="AA304" i="3"/>
  <c r="AB304" i="3"/>
  <c r="O300" i="3"/>
  <c r="P302" i="3"/>
  <c r="S314" i="3"/>
  <c r="V304" i="3"/>
  <c r="W304" i="3"/>
  <c r="AC304" i="3"/>
  <c r="Y314" i="3"/>
  <c r="O302" i="3"/>
  <c r="P303" i="3"/>
  <c r="N300" i="3"/>
  <c r="U304" i="3"/>
  <c r="Q314" i="3"/>
  <c r="T304" i="3"/>
  <c r="P314" i="3"/>
  <c r="AF304" i="3"/>
  <c r="AG304" i="3"/>
  <c r="AC314" i="3"/>
  <c r="O298" i="3"/>
  <c r="N302" i="3"/>
  <c r="AF332" i="3"/>
  <c r="AF294" i="3"/>
  <c r="AF301" i="3"/>
  <c r="AF295" i="3"/>
  <c r="AK290" i="3"/>
  <c r="AK289" i="3"/>
  <c r="AK288" i="3"/>
  <c r="AK287" i="3"/>
  <c r="L314" i="3"/>
  <c r="AB316" i="3"/>
  <c r="N299" i="3"/>
  <c r="S304" i="3"/>
  <c r="O314" i="3"/>
  <c r="AH314" i="3"/>
  <c r="T314" i="3"/>
  <c r="X304" i="3"/>
  <c r="O303" i="3"/>
  <c r="N298" i="3"/>
  <c r="M332" i="3"/>
  <c r="M294" i="3"/>
  <c r="N303" i="3"/>
  <c r="AH304" i="3"/>
  <c r="AD314" i="3"/>
  <c r="W332" i="3"/>
  <c r="W294" i="3"/>
  <c r="W301" i="3"/>
  <c r="AD304" i="3"/>
  <c r="Z314" i="3"/>
  <c r="AF314" i="3"/>
  <c r="AE314" i="3"/>
  <c r="AI304" i="3"/>
  <c r="W317" i="3"/>
  <c r="D47" i="4" s="1"/>
  <c r="D46" i="4"/>
  <c r="AG318" i="3"/>
  <c r="AG316" i="3" s="1"/>
  <c r="AI314" i="3"/>
  <c r="M318" i="3"/>
  <c r="M316" i="3" s="1"/>
  <c r="M317" i="3" s="1"/>
  <c r="V314" i="3"/>
  <c r="Z304" i="3"/>
  <c r="U314" i="3"/>
  <c r="Y304" i="3"/>
  <c r="AE304" i="3"/>
  <c r="AA314" i="3"/>
  <c r="K314" i="3"/>
  <c r="R332" i="3"/>
  <c r="R294" i="3"/>
  <c r="Q300" i="3"/>
  <c r="R300" i="3"/>
  <c r="Q302" i="3"/>
  <c r="Q298" i="3"/>
  <c r="R302" i="3"/>
  <c r="R298" i="3"/>
  <c r="Q303" i="3"/>
  <c r="R303" i="3"/>
  <c r="Q299" i="3"/>
  <c r="R299" i="3"/>
  <c r="M295" i="3"/>
  <c r="P299" i="3"/>
  <c r="R295" i="3"/>
  <c r="AJ25" i="3"/>
  <c r="AK25" i="3"/>
  <c r="E40" i="4"/>
  <c r="AB266" i="3"/>
  <c r="AD96" i="3"/>
  <c r="L6" i="3"/>
  <c r="L7" i="3" s="1"/>
  <c r="L13" i="3" s="1"/>
  <c r="L108" i="3" s="1"/>
  <c r="L241" i="3" s="1"/>
  <c r="L285" i="3" s="1"/>
  <c r="M5" i="3"/>
  <c r="L165" i="3"/>
  <c r="L116" i="3"/>
  <c r="L112" i="3"/>
  <c r="D40" i="4"/>
  <c r="W266" i="3"/>
  <c r="AL201" i="3"/>
  <c r="AA96" i="3"/>
  <c r="AF96" i="3"/>
  <c r="K96" i="3"/>
  <c r="AK264" i="3"/>
  <c r="AK150" i="3"/>
  <c r="AL146" i="3"/>
  <c r="AM146" i="3" s="1"/>
  <c r="B24" i="5"/>
  <c r="C24" i="5" s="1"/>
  <c r="D24" i="5" s="1"/>
  <c r="E24" i="5" s="1"/>
  <c r="F24" i="5" s="1"/>
  <c r="AG261" i="3"/>
  <c r="AC266" i="3"/>
  <c r="C19" i="5"/>
  <c r="AK21" i="3"/>
  <c r="AK20" i="3" s="1"/>
  <c r="AJ21" i="3"/>
  <c r="Q96" i="3"/>
  <c r="F19" i="4"/>
  <c r="AK274" i="3"/>
  <c r="AL214" i="3"/>
  <c r="AK275" i="3"/>
  <c r="AL275" i="3" s="1"/>
  <c r="AL178" i="3"/>
  <c r="AM185" i="3"/>
  <c r="P96" i="3"/>
  <c r="AL180" i="3"/>
  <c r="F20" i="4"/>
  <c r="AF239" i="3"/>
  <c r="AF2" i="3" s="1"/>
  <c r="AF1" i="3" s="1"/>
  <c r="T96" i="3"/>
  <c r="AC96" i="3"/>
  <c r="AG39" i="3"/>
  <c r="AG314" i="3" s="1"/>
  <c r="D20" i="5"/>
  <c r="AM25" i="3"/>
  <c r="AO25" i="3"/>
  <c r="AN25" i="3"/>
  <c r="AP25" i="3"/>
  <c r="AB2" i="3"/>
  <c r="E20" i="4"/>
  <c r="E21" i="4" s="1"/>
  <c r="AJ170" i="3"/>
  <c r="AJ168" i="3"/>
  <c r="AJ15" i="3"/>
  <c r="M239" i="3"/>
  <c r="M2" i="3" s="1"/>
  <c r="U96" i="3"/>
  <c r="AK250" i="3"/>
  <c r="AL121" i="3"/>
  <c r="AL122" i="3" s="1"/>
  <c r="AK254" i="3"/>
  <c r="AL171" i="3"/>
  <c r="AL172" i="3" s="1"/>
  <c r="O96" i="3"/>
  <c r="AK256" i="3"/>
  <c r="AL127" i="3"/>
  <c r="AM127" i="3" s="1"/>
  <c r="AK265" i="3"/>
  <c r="AL155" i="3"/>
  <c r="AL156" i="3" s="1"/>
  <c r="I96" i="3"/>
  <c r="M39" i="3"/>
  <c r="M314" i="3" s="1"/>
  <c r="AK249" i="3"/>
  <c r="AL120" i="3"/>
  <c r="AM120" i="3" s="1"/>
  <c r="AH96" i="3"/>
  <c r="X96" i="3"/>
  <c r="AB39" i="3"/>
  <c r="AB314" i="3" s="1"/>
  <c r="AK197" i="3"/>
  <c r="AK138" i="3"/>
  <c r="AK134" i="3"/>
  <c r="AK35" i="3"/>
  <c r="AK24" i="3"/>
  <c r="AK89" i="3"/>
  <c r="AK270" i="3"/>
  <c r="AL233" i="3"/>
  <c r="AM233" i="3" s="1"/>
  <c r="AK156" i="3"/>
  <c r="AK248" i="3"/>
  <c r="AL119" i="3"/>
  <c r="AM119" i="3" s="1"/>
  <c r="D18" i="5"/>
  <c r="AO16" i="3"/>
  <c r="AN16" i="3"/>
  <c r="AN15" i="3" s="1"/>
  <c r="AM16" i="3"/>
  <c r="AM15" i="3" s="1"/>
  <c r="AP16" i="3"/>
  <c r="AP15" i="3" s="1"/>
  <c r="W2" i="3"/>
  <c r="AK268" i="3"/>
  <c r="AL219" i="3"/>
  <c r="AM219" i="3" s="1"/>
  <c r="AK228" i="3"/>
  <c r="AM225" i="3"/>
  <c r="AK229" i="3"/>
  <c r="D48" i="4"/>
  <c r="E19" i="4"/>
  <c r="AE96" i="3"/>
  <c r="AJ36" i="3"/>
  <c r="AJ276" i="3"/>
  <c r="AJ196" i="3"/>
  <c r="AL179" i="3"/>
  <c r="AM179" i="3" s="1"/>
  <c r="AI96" i="3"/>
  <c r="Z96" i="3"/>
  <c r="AK263" i="3"/>
  <c r="AL142" i="3"/>
  <c r="AL143" i="3" s="1"/>
  <c r="AL206" i="3"/>
  <c r="E12" i="5"/>
  <c r="D86" i="4"/>
  <c r="D88" i="4" s="1"/>
  <c r="AY41" i="3"/>
  <c r="AJ41" i="3"/>
  <c r="BB40" i="3"/>
  <c r="AP40" i="3"/>
  <c r="AX41" i="3"/>
  <c r="AO40" i="3"/>
  <c r="AW41" i="3"/>
  <c r="AZ40" i="3"/>
  <c r="AN40" i="3"/>
  <c r="AU41" i="3"/>
  <c r="AY40" i="3"/>
  <c r="AM40" i="3"/>
  <c r="AT41" i="3"/>
  <c r="AX40" i="3"/>
  <c r="AS41" i="3"/>
  <c r="AW40" i="3"/>
  <c r="AK40" i="3"/>
  <c r="AR41" i="3"/>
  <c r="AJ40" i="3"/>
  <c r="AL40" i="3" s="1"/>
  <c r="BE41" i="3"/>
  <c r="AP41" i="3"/>
  <c r="AU40" i="3"/>
  <c r="BD41" i="3"/>
  <c r="AO41" i="3"/>
  <c r="AT40" i="3"/>
  <c r="BC41" i="3"/>
  <c r="AN41" i="3"/>
  <c r="BE40" i="3"/>
  <c r="AS40" i="3"/>
  <c r="BB41" i="3"/>
  <c r="AM41" i="3"/>
  <c r="BD40" i="3"/>
  <c r="AR40" i="3"/>
  <c r="AZ41" i="3"/>
  <c r="AK41" i="3"/>
  <c r="BC40" i="3"/>
  <c r="AK255" i="3"/>
  <c r="AL205" i="3"/>
  <c r="AM205" i="3" s="1"/>
  <c r="AL13" i="3"/>
  <c r="AL108" i="3" s="1"/>
  <c r="AL241" i="3" s="1"/>
  <c r="AL285" i="3" s="1"/>
  <c r="AQ7" i="3"/>
  <c r="AK244" i="3"/>
  <c r="AK136" i="3"/>
  <c r="AW192" i="3"/>
  <c r="AX192" i="3" s="1"/>
  <c r="AY192" i="3" s="1"/>
  <c r="AZ192" i="3" s="1"/>
  <c r="AX204" i="3"/>
  <c r="AY204" i="3" s="1"/>
  <c r="AZ204" i="3" s="1"/>
  <c r="BA204" i="3" s="1"/>
  <c r="BB204" i="3" s="1"/>
  <c r="N39" i="3"/>
  <c r="R35" i="3"/>
  <c r="AG2" i="3"/>
  <c r="AL234" i="3"/>
  <c r="AM234" i="3" s="1"/>
  <c r="AK271" i="3"/>
  <c r="AK143" i="3"/>
  <c r="AJ269" i="3"/>
  <c r="AK220" i="3"/>
  <c r="Y96" i="3"/>
  <c r="F21" i="4"/>
  <c r="D21" i="5"/>
  <c r="AP37" i="3"/>
  <c r="AO37" i="3"/>
  <c r="AN37" i="3"/>
  <c r="AN36" i="3" s="1"/>
  <c r="AM37" i="3"/>
  <c r="S96" i="3"/>
  <c r="W39" i="3"/>
  <c r="W314" i="3" s="1"/>
  <c r="V96" i="3"/>
  <c r="AH231" i="3"/>
  <c r="AI230" i="3"/>
  <c r="AJ230" i="3"/>
  <c r="AJ231" i="3"/>
  <c r="AI231" i="3"/>
  <c r="D20" i="4"/>
  <c r="D21" i="4" s="1"/>
  <c r="J96" i="3"/>
  <c r="AK272" i="3"/>
  <c r="AL235" i="3"/>
  <c r="AM235" i="3" s="1"/>
  <c r="R239" i="3"/>
  <c r="R2" i="3" s="1"/>
  <c r="L96" i="3"/>
  <c r="AN287" i="3" l="1"/>
  <c r="AN290" i="3"/>
  <c r="AN289" i="3"/>
  <c r="AN288" i="3"/>
  <c r="AE315" i="3"/>
  <c r="AE313" i="3" s="1"/>
  <c r="AE291" i="3"/>
  <c r="P315" i="3"/>
  <c r="P313" i="3" s="1"/>
  <c r="P291" i="3"/>
  <c r="V313" i="3"/>
  <c r="O315" i="3"/>
  <c r="O313" i="3" s="1"/>
  <c r="O291" i="3"/>
  <c r="X315" i="3"/>
  <c r="X291" i="3"/>
  <c r="AM178" i="3"/>
  <c r="Q313" i="3"/>
  <c r="Q304" i="3"/>
  <c r="R304" i="3"/>
  <c r="N314" i="3"/>
  <c r="AH315" i="3"/>
  <c r="AH291" i="3"/>
  <c r="O304" i="3"/>
  <c r="AH313" i="3"/>
  <c r="K313" i="3"/>
  <c r="AG317" i="3"/>
  <c r="F47" i="4" s="1"/>
  <c r="F46" i="4"/>
  <c r="AD313" i="3"/>
  <c r="X313" i="3"/>
  <c r="S315" i="3"/>
  <c r="S313" i="3" s="1"/>
  <c r="S291" i="3"/>
  <c r="AD315" i="3"/>
  <c r="AD291" i="3"/>
  <c r="D50" i="4"/>
  <c r="D51" i="4"/>
  <c r="N304" i="3"/>
  <c r="Z315" i="3"/>
  <c r="Z313" i="3" s="1"/>
  <c r="Z291" i="3"/>
  <c r="U315" i="3"/>
  <c r="U291" i="3"/>
  <c r="K315" i="3"/>
  <c r="K291" i="3"/>
  <c r="J313" i="3"/>
  <c r="Y315" i="3"/>
  <c r="Y313" i="3" s="1"/>
  <c r="Y291" i="3"/>
  <c r="AI315" i="3"/>
  <c r="AI313" i="3" s="1"/>
  <c r="AI291" i="3"/>
  <c r="I315" i="3"/>
  <c r="I291" i="3"/>
  <c r="AC315" i="3"/>
  <c r="AC291" i="3"/>
  <c r="AF315" i="3"/>
  <c r="AF291" i="3"/>
  <c r="AB317" i="3"/>
  <c r="E47" i="4" s="1"/>
  <c r="E46" i="4"/>
  <c r="AJ290" i="3"/>
  <c r="AJ289" i="3"/>
  <c r="AJ288" i="3"/>
  <c r="AJ287" i="3"/>
  <c r="T315" i="3"/>
  <c r="T313" i="3" s="1"/>
  <c r="T291" i="3"/>
  <c r="Q315" i="3"/>
  <c r="Q291" i="3"/>
  <c r="AA315" i="3"/>
  <c r="AA313" i="3" s="1"/>
  <c r="AA291" i="3"/>
  <c r="U313" i="3"/>
  <c r="P304" i="3"/>
  <c r="V315" i="3"/>
  <c r="V291" i="3"/>
  <c r="AP288" i="3"/>
  <c r="AP287" i="3"/>
  <c r="AP290" i="3"/>
  <c r="AP289" i="3"/>
  <c r="L313" i="3"/>
  <c r="AC313" i="3"/>
  <c r="I313" i="3"/>
  <c r="J315" i="3"/>
  <c r="J291" i="3"/>
  <c r="L315" i="3"/>
  <c r="L291" i="3"/>
  <c r="AM287" i="3"/>
  <c r="AM290" i="3"/>
  <c r="AM289" i="3"/>
  <c r="AM288" i="3"/>
  <c r="AF313" i="3"/>
  <c r="AJ20" i="3"/>
  <c r="AL20" i="3" s="1"/>
  <c r="AQ40" i="3"/>
  <c r="AP197" i="3"/>
  <c r="AP138" i="3"/>
  <c r="AP134" i="3"/>
  <c r="AP35" i="3"/>
  <c r="AP24" i="3"/>
  <c r="AP89" i="3"/>
  <c r="AK231" i="3"/>
  <c r="AK230" i="3"/>
  <c r="AI103" i="3"/>
  <c r="AM197" i="3"/>
  <c r="AM134" i="3"/>
  <c r="AM138" i="3"/>
  <c r="AM89" i="3"/>
  <c r="AQ89" i="3" s="1"/>
  <c r="AQ15" i="3"/>
  <c r="AM24" i="3"/>
  <c r="AQ24" i="3" s="1"/>
  <c r="AQ25" i="3" s="1"/>
  <c r="AM35" i="3"/>
  <c r="E20" i="5"/>
  <c r="AU25" i="3"/>
  <c r="AT25" i="3"/>
  <c r="AS25" i="3"/>
  <c r="AR25" i="3"/>
  <c r="AP36" i="3"/>
  <c r="AN197" i="3"/>
  <c r="AN134" i="3"/>
  <c r="AN35" i="3"/>
  <c r="AN138" i="3"/>
  <c r="AN24" i="3"/>
  <c r="AN89" i="3"/>
  <c r="G38" i="4"/>
  <c r="AM155" i="3"/>
  <c r="AM156" i="3"/>
  <c r="F22" i="4"/>
  <c r="V103" i="3"/>
  <c r="V98" i="3"/>
  <c r="AM271" i="3"/>
  <c r="AQ271" i="3" s="1"/>
  <c r="AN234" i="3"/>
  <c r="G55" i="4"/>
  <c r="H55" i="4" s="1"/>
  <c r="I55" i="4" s="1"/>
  <c r="J55" i="4" s="1"/>
  <c r="K55" i="4" s="1"/>
  <c r="J93" i="4"/>
  <c r="G54" i="4"/>
  <c r="D12" i="4"/>
  <c r="AH103" i="3"/>
  <c r="U103" i="3"/>
  <c r="U98" i="3"/>
  <c r="AG96" i="3"/>
  <c r="AC103" i="3"/>
  <c r="AC98" i="3"/>
  <c r="AM214" i="3"/>
  <c r="D19" i="5"/>
  <c r="AN21" i="3"/>
  <c r="AN20" i="3" s="1"/>
  <c r="AM21" i="3"/>
  <c r="AM20" i="3" s="1"/>
  <c r="AQ20" i="3" s="1"/>
  <c r="AP21" i="3"/>
  <c r="AP20" i="3" s="1"/>
  <c r="AO21" i="3"/>
  <c r="AF103" i="3"/>
  <c r="G39" i="4"/>
  <c r="AM206" i="3"/>
  <c r="AM207" i="3" s="1"/>
  <c r="AN179" i="3"/>
  <c r="AM199" i="3"/>
  <c r="E18" i="5"/>
  <c r="AU16" i="3"/>
  <c r="AU15" i="3" s="1"/>
  <c r="AT16" i="3"/>
  <c r="AS16" i="3"/>
  <c r="AS15" i="3" s="1"/>
  <c r="AR16" i="3"/>
  <c r="AR15" i="3" s="1"/>
  <c r="AK39" i="3"/>
  <c r="AM256" i="3"/>
  <c r="AQ256" i="3" s="1"/>
  <c r="AN127" i="3"/>
  <c r="AM180" i="3"/>
  <c r="AM181" i="3"/>
  <c r="AM121" i="3"/>
  <c r="BB192" i="3"/>
  <c r="BC192" i="3" s="1"/>
  <c r="BD192" i="3" s="1"/>
  <c r="BE192" i="3" s="1"/>
  <c r="BC204" i="3"/>
  <c r="BD204" i="3" s="1"/>
  <c r="BE204" i="3" s="1"/>
  <c r="BF204" i="3" s="1"/>
  <c r="AV40" i="3"/>
  <c r="AL207" i="3"/>
  <c r="AM248" i="3"/>
  <c r="AQ248" i="3" s="1"/>
  <c r="H30" i="4" s="1"/>
  <c r="AN119" i="3"/>
  <c r="AK261" i="3"/>
  <c r="AK266" i="3" s="1"/>
  <c r="AK139" i="3"/>
  <c r="AL181" i="3"/>
  <c r="M6" i="3"/>
  <c r="N5" i="3"/>
  <c r="X103" i="3"/>
  <c r="AB96" i="3"/>
  <c r="X98" i="3"/>
  <c r="AM272" i="3"/>
  <c r="AQ272" i="3" s="1"/>
  <c r="AN235" i="3"/>
  <c r="D22" i="4"/>
  <c r="AM142" i="3"/>
  <c r="AN225" i="3"/>
  <c r="AO225" i="3"/>
  <c r="AM228" i="3"/>
  <c r="AM229" i="3"/>
  <c r="O103" i="3"/>
  <c r="O98" i="3"/>
  <c r="T103" i="3"/>
  <c r="T98" i="3"/>
  <c r="P103" i="3"/>
  <c r="P98" i="3"/>
  <c r="F40" i="4"/>
  <c r="AG266" i="3"/>
  <c r="AA103" i="3"/>
  <c r="AA98" i="3"/>
  <c r="AM249" i="3"/>
  <c r="AQ249" i="3" s="1"/>
  <c r="H31" i="4" s="1"/>
  <c r="AN120" i="3"/>
  <c r="AD103" i="3"/>
  <c r="AD98" i="3"/>
  <c r="Y103" i="3"/>
  <c r="Y98" i="3"/>
  <c r="AJ244" i="3"/>
  <c r="AJ136" i="3"/>
  <c r="AL36" i="3"/>
  <c r="G26" i="4" s="1"/>
  <c r="AM268" i="3"/>
  <c r="AN219" i="3"/>
  <c r="J103" i="3"/>
  <c r="J98" i="3"/>
  <c r="L103" i="3"/>
  <c r="L98" i="3"/>
  <c r="W96" i="3"/>
  <c r="S103" i="3"/>
  <c r="S98" i="3"/>
  <c r="Z103" i="3"/>
  <c r="Z98" i="3"/>
  <c r="AE103" i="3"/>
  <c r="AE98" i="3"/>
  <c r="AK276" i="3"/>
  <c r="AK196" i="3"/>
  <c r="AK198" i="3" s="1"/>
  <c r="AM264" i="3"/>
  <c r="AQ264" i="3" s="1"/>
  <c r="AN146" i="3"/>
  <c r="AM150" i="3"/>
  <c r="AM255" i="3"/>
  <c r="AQ255" i="3" s="1"/>
  <c r="H37" i="4" s="1"/>
  <c r="AN205" i="3"/>
  <c r="K103" i="3"/>
  <c r="K98" i="3"/>
  <c r="R39" i="3"/>
  <c r="R314" i="3" s="1"/>
  <c r="N96" i="3"/>
  <c r="BA40" i="3"/>
  <c r="M96" i="3"/>
  <c r="I103" i="3"/>
  <c r="I98" i="3"/>
  <c r="AM171" i="3"/>
  <c r="AM172" i="3" s="1"/>
  <c r="AJ197" i="3"/>
  <c r="AJ198" i="3" s="1"/>
  <c r="AJ199" i="3" s="1"/>
  <c r="AK199" i="3" s="1"/>
  <c r="AJ134" i="3"/>
  <c r="AJ138" i="3"/>
  <c r="AJ35" i="3"/>
  <c r="AJ24" i="3"/>
  <c r="AL24" i="3" s="1"/>
  <c r="AJ89" i="3"/>
  <c r="AL89" i="3" s="1"/>
  <c r="AO15" i="3"/>
  <c r="AL15" i="3"/>
  <c r="AJ124" i="3"/>
  <c r="AK124" i="3" s="1"/>
  <c r="AL124" i="3" s="1"/>
  <c r="Q103" i="3"/>
  <c r="Q98" i="3"/>
  <c r="AM201" i="3"/>
  <c r="AM275" i="3" s="1"/>
  <c r="AN244" i="3"/>
  <c r="AN136" i="3"/>
  <c r="AJ253" i="3"/>
  <c r="AK170" i="3"/>
  <c r="E21" i="5"/>
  <c r="AU37" i="3"/>
  <c r="AT37" i="3"/>
  <c r="AS37" i="3"/>
  <c r="AR37" i="3"/>
  <c r="AV7" i="3"/>
  <c r="AQ13" i="3"/>
  <c r="AQ108" i="3" s="1"/>
  <c r="AQ241" i="3" s="1"/>
  <c r="AQ285" i="3" s="1"/>
  <c r="AM36" i="3"/>
  <c r="AK269" i="3"/>
  <c r="AL220" i="3"/>
  <c r="AM220" i="3" s="1"/>
  <c r="BF40" i="3"/>
  <c r="AN233" i="3"/>
  <c r="AM270" i="3"/>
  <c r="AQ270" i="3" s="1"/>
  <c r="E22" i="4"/>
  <c r="AJ252" i="3"/>
  <c r="AK169" i="3"/>
  <c r="AK168" i="3"/>
  <c r="AJ169" i="3"/>
  <c r="AN178" i="3"/>
  <c r="AL202" i="3"/>
  <c r="T312" i="3" l="1"/>
  <c r="T311" i="3"/>
  <c r="X311" i="3"/>
  <c r="X312" i="3"/>
  <c r="W312" i="3"/>
  <c r="V311" i="3"/>
  <c r="W311" i="3"/>
  <c r="V312" i="3"/>
  <c r="AE311" i="3"/>
  <c r="AE312" i="3"/>
  <c r="AH334" i="3"/>
  <c r="AH330" i="3"/>
  <c r="AH333" i="3" s="1"/>
  <c r="S334" i="3"/>
  <c r="S330" i="3"/>
  <c r="S333" i="3" s="1"/>
  <c r="AG315" i="3"/>
  <c r="AG313" i="3" s="1"/>
  <c r="AG291" i="3"/>
  <c r="Z334" i="3"/>
  <c r="Z330" i="3"/>
  <c r="Z333" i="3" s="1"/>
  <c r="AG312" i="3"/>
  <c r="AG311" i="3"/>
  <c r="AF312" i="3"/>
  <c r="AF311" i="3"/>
  <c r="AB311" i="3"/>
  <c r="AB312" i="3"/>
  <c r="AA311" i="3"/>
  <c r="AA312" i="3"/>
  <c r="U311" i="3"/>
  <c r="U312" i="3"/>
  <c r="AH311" i="3"/>
  <c r="AH312" i="3"/>
  <c r="W315" i="3"/>
  <c r="W313" i="3" s="1"/>
  <c r="W291" i="3"/>
  <c r="Y334" i="3"/>
  <c r="Y330" i="3"/>
  <c r="Y333" i="3" s="1"/>
  <c r="F50" i="4"/>
  <c r="F51" i="4"/>
  <c r="F48" i="4"/>
  <c r="U334" i="3"/>
  <c r="U330" i="3"/>
  <c r="U333" i="3" s="1"/>
  <c r="L334" i="3"/>
  <c r="L330" i="3"/>
  <c r="L333" i="3" s="1"/>
  <c r="M334" i="3"/>
  <c r="M330" i="3"/>
  <c r="M333" i="3" s="1"/>
  <c r="Y311" i="3"/>
  <c r="Y312" i="3"/>
  <c r="AD311" i="3"/>
  <c r="AD312" i="3"/>
  <c r="AI311" i="3"/>
  <c r="AI312" i="3"/>
  <c r="M311" i="3"/>
  <c r="M312" i="3"/>
  <c r="L311" i="3"/>
  <c r="L312" i="3"/>
  <c r="M315" i="3"/>
  <c r="M313" i="3" s="1"/>
  <c r="M291" i="3"/>
  <c r="AE334" i="3"/>
  <c r="AE330" i="3"/>
  <c r="AE333" i="3" s="1"/>
  <c r="AK314" i="3"/>
  <c r="AL290" i="3"/>
  <c r="AL289" i="3"/>
  <c r="AL288" i="3"/>
  <c r="AL287" i="3"/>
  <c r="AR288" i="3"/>
  <c r="AR287" i="3"/>
  <c r="AR290" i="3"/>
  <c r="AR289" i="3"/>
  <c r="AO287" i="3"/>
  <c r="AO290" i="3"/>
  <c r="AO289" i="3"/>
  <c r="AO288" i="3"/>
  <c r="AC311" i="3"/>
  <c r="AC312" i="3"/>
  <c r="AA334" i="3"/>
  <c r="AA330" i="3"/>
  <c r="AA333" i="3" s="1"/>
  <c r="AB334" i="3"/>
  <c r="AB330" i="3"/>
  <c r="AB333" i="3" s="1"/>
  <c r="AI334" i="3"/>
  <c r="AI330" i="3"/>
  <c r="AI333" i="3" s="1"/>
  <c r="AQ288" i="3"/>
  <c r="AQ287" i="3"/>
  <c r="AQ290" i="3"/>
  <c r="AQ289" i="3"/>
  <c r="E50" i="4"/>
  <c r="E51" i="4"/>
  <c r="E48" i="4"/>
  <c r="S312" i="3"/>
  <c r="S311" i="3"/>
  <c r="AD334" i="3"/>
  <c r="AD330" i="3"/>
  <c r="AD333" i="3" s="1"/>
  <c r="T334" i="3"/>
  <c r="T330" i="3"/>
  <c r="T333" i="3" s="1"/>
  <c r="AU289" i="3"/>
  <c r="AU288" i="3"/>
  <c r="AU287" i="3"/>
  <c r="AU290" i="3"/>
  <c r="N315" i="3"/>
  <c r="N313" i="3" s="1"/>
  <c r="N291" i="3"/>
  <c r="AS289" i="3"/>
  <c r="AS288" i="3"/>
  <c r="AS287" i="3"/>
  <c r="AS290" i="3"/>
  <c r="AN302" i="3"/>
  <c r="AN298" i="3"/>
  <c r="AN303" i="3"/>
  <c r="AN299" i="3"/>
  <c r="AN300" i="3"/>
  <c r="AM302" i="3"/>
  <c r="AM300" i="3"/>
  <c r="AL303" i="3"/>
  <c r="AK298" i="3"/>
  <c r="AK302" i="3"/>
  <c r="AL298" i="3"/>
  <c r="AJ302" i="3"/>
  <c r="AL302" i="3"/>
  <c r="AJ298" i="3"/>
  <c r="AK299" i="3"/>
  <c r="AJ300" i="3"/>
  <c r="AK300" i="3"/>
  <c r="AJ299" i="3"/>
  <c r="AL299" i="3"/>
  <c r="AJ303" i="3"/>
  <c r="AM303" i="3"/>
  <c r="AL300" i="3"/>
  <c r="AM299" i="3"/>
  <c r="AK303" i="3"/>
  <c r="AM298" i="3"/>
  <c r="AF334" i="3"/>
  <c r="AF330" i="3"/>
  <c r="AF333" i="3" s="1"/>
  <c r="AG334" i="3"/>
  <c r="AG330" i="3"/>
  <c r="AG333" i="3" s="1"/>
  <c r="Z311" i="3"/>
  <c r="Z312" i="3"/>
  <c r="V334" i="3"/>
  <c r="V330" i="3"/>
  <c r="V333" i="3" s="1"/>
  <c r="W334" i="3"/>
  <c r="W330" i="3"/>
  <c r="W333" i="3" s="1"/>
  <c r="AC334" i="3"/>
  <c r="AC330" i="3"/>
  <c r="AC333" i="3" s="1"/>
  <c r="X334" i="3"/>
  <c r="X330" i="3"/>
  <c r="X333" i="3" s="1"/>
  <c r="AB315" i="3"/>
  <c r="AB313" i="3" s="1"/>
  <c r="AB291" i="3"/>
  <c r="AR197" i="3"/>
  <c r="AR134" i="3"/>
  <c r="AR35" i="3"/>
  <c r="AR24" i="3"/>
  <c r="AV24" i="3" s="1"/>
  <c r="AR89" i="3"/>
  <c r="AV89" i="3" s="1"/>
  <c r="AR138" i="3"/>
  <c r="AV15" i="3"/>
  <c r="AS197" i="3"/>
  <c r="AS138" i="3"/>
  <c r="AS134" i="3"/>
  <c r="AS35" i="3"/>
  <c r="AS24" i="3"/>
  <c r="AS89" i="3"/>
  <c r="AX15" i="3"/>
  <c r="AU138" i="3"/>
  <c r="AU197" i="3"/>
  <c r="AU134" i="3"/>
  <c r="AU35" i="3"/>
  <c r="AU24" i="3"/>
  <c r="AU89" i="3"/>
  <c r="L243" i="3"/>
  <c r="L105" i="3"/>
  <c r="AA243" i="3"/>
  <c r="AA105" i="3"/>
  <c r="D23" i="4"/>
  <c r="AN180" i="3"/>
  <c r="F18" i="5"/>
  <c r="AZ16" i="3"/>
  <c r="AZ15" i="3" s="1"/>
  <c r="AY16" i="3"/>
  <c r="AX16" i="3"/>
  <c r="AW16" i="3"/>
  <c r="AW15" i="3" s="1"/>
  <c r="U243" i="3"/>
  <c r="U105" i="3"/>
  <c r="AN271" i="3"/>
  <c r="AO234" i="3"/>
  <c r="AN264" i="3"/>
  <c r="AN150" i="3"/>
  <c r="AO146" i="3"/>
  <c r="Y243" i="3"/>
  <c r="Y105" i="3"/>
  <c r="AN272" i="3"/>
  <c r="AO235" i="3"/>
  <c r="AN256" i="3"/>
  <c r="AO127" i="3"/>
  <c r="AP244" i="3"/>
  <c r="AP136" i="3"/>
  <c r="AM261" i="3"/>
  <c r="AM139" i="3"/>
  <c r="O243" i="3"/>
  <c r="O105" i="3"/>
  <c r="AN248" i="3"/>
  <c r="AO119" i="3"/>
  <c r="AO179" i="3"/>
  <c r="E19" i="5"/>
  <c r="AU21" i="3"/>
  <c r="AU20" i="3" s="1"/>
  <c r="AT21" i="3"/>
  <c r="AS21" i="3"/>
  <c r="AS20" i="3" s="1"/>
  <c r="AR21" i="3"/>
  <c r="AR20" i="3" s="1"/>
  <c r="AV20" i="3" s="1"/>
  <c r="AS36" i="3"/>
  <c r="Z243" i="3"/>
  <c r="Z105" i="3"/>
  <c r="AO197" i="3"/>
  <c r="AO138" i="3"/>
  <c r="AO134" i="3"/>
  <c r="AT15" i="3"/>
  <c r="AO35" i="3"/>
  <c r="AQ300" i="3" s="1"/>
  <c r="AO89" i="3"/>
  <c r="AO24" i="3"/>
  <c r="AK96" i="3"/>
  <c r="AM274" i="3"/>
  <c r="AQ274" i="3" s="1"/>
  <c r="AN214" i="3"/>
  <c r="AN39" i="3"/>
  <c r="AP39" i="3"/>
  <c r="Q243" i="3"/>
  <c r="Q105" i="3"/>
  <c r="G18" i="4"/>
  <c r="AL139" i="3"/>
  <c r="AL21" i="3"/>
  <c r="AL16" i="3"/>
  <c r="J243" i="3"/>
  <c r="J105" i="3"/>
  <c r="AN206" i="3"/>
  <c r="AL237" i="3"/>
  <c r="AH243" i="3"/>
  <c r="AH105" i="3"/>
  <c r="AH3" i="3"/>
  <c r="V243" i="3"/>
  <c r="V105" i="3"/>
  <c r="AP261" i="3"/>
  <c r="AP266" i="3" s="1"/>
  <c r="AP139" i="3"/>
  <c r="AN270" i="3"/>
  <c r="AO233" i="3"/>
  <c r="AO178" i="3"/>
  <c r="AM269" i="3"/>
  <c r="AQ269" i="3" s="1"/>
  <c r="AN220" i="3"/>
  <c r="AL25" i="3"/>
  <c r="I243" i="3"/>
  <c r="I105" i="3"/>
  <c r="M103" i="3"/>
  <c r="AD243" i="3"/>
  <c r="AD105" i="3"/>
  <c r="AB98" i="3"/>
  <c r="E24" i="4" s="1"/>
  <c r="E25" i="4" s="1"/>
  <c r="E53" i="4" s="1"/>
  <c r="B22" i="5"/>
  <c r="AN261" i="3"/>
  <c r="AN266" i="3" s="1"/>
  <c r="AN139" i="3"/>
  <c r="E23" i="4"/>
  <c r="AN268" i="3"/>
  <c r="AO219" i="3"/>
  <c r="P243" i="3"/>
  <c r="P105" i="3"/>
  <c r="AO228" i="3"/>
  <c r="AO229" i="3"/>
  <c r="AP225" i="3"/>
  <c r="X243" i="3"/>
  <c r="X105" i="3"/>
  <c r="AB103" i="3"/>
  <c r="AO36" i="3"/>
  <c r="F20" i="5"/>
  <c r="AY25" i="3"/>
  <c r="AX25" i="3"/>
  <c r="AW25" i="3"/>
  <c r="AZ25" i="3"/>
  <c r="F21" i="5"/>
  <c r="AZ37" i="3"/>
  <c r="AY37" i="3"/>
  <c r="AX37" i="3"/>
  <c r="AX36" i="3" s="1"/>
  <c r="AW37" i="3"/>
  <c r="AM136" i="3"/>
  <c r="AM244" i="3"/>
  <c r="AQ244" i="3" s="1"/>
  <c r="AQ36" i="3"/>
  <c r="H26" i="4" s="1"/>
  <c r="AN201" i="3"/>
  <c r="AN202" i="3" s="1"/>
  <c r="K243" i="3"/>
  <c r="K105" i="3"/>
  <c r="AE243" i="3"/>
  <c r="AE105" i="3"/>
  <c r="S243" i="3"/>
  <c r="W103" i="3"/>
  <c r="S105" i="3"/>
  <c r="AM276" i="3"/>
  <c r="AQ268" i="3"/>
  <c r="AQ276" i="3" s="1"/>
  <c r="AM196" i="3"/>
  <c r="AN229" i="3"/>
  <c r="AN228" i="3"/>
  <c r="AC243" i="3"/>
  <c r="AC105" i="3"/>
  <c r="AG103" i="3"/>
  <c r="G56" i="4"/>
  <c r="H54" i="4"/>
  <c r="AM39" i="3"/>
  <c r="AQ35" i="3"/>
  <c r="AI243" i="3"/>
  <c r="AI105" i="3"/>
  <c r="AI3" i="3"/>
  <c r="AU36" i="3"/>
  <c r="AM254" i="3"/>
  <c r="AQ254" i="3" s="1"/>
  <c r="H36" i="4" s="1"/>
  <c r="AN171" i="3"/>
  <c r="AM202" i="3"/>
  <c r="AJ261" i="3"/>
  <c r="AJ139" i="3"/>
  <c r="AJ137" i="3"/>
  <c r="W98" i="3"/>
  <c r="D24" i="4" s="1"/>
  <c r="D25" i="4" s="1"/>
  <c r="D53" i="4" s="1"/>
  <c r="AN249" i="3"/>
  <c r="AO120" i="3"/>
  <c r="AF243" i="3"/>
  <c r="AF105" i="3"/>
  <c r="AG98" i="3"/>
  <c r="F24" i="4" s="1"/>
  <c r="F25" i="4" s="1"/>
  <c r="F53" i="4" s="1"/>
  <c r="F23" i="4"/>
  <c r="AJ39" i="3"/>
  <c r="AL35" i="3"/>
  <c r="M98" i="3"/>
  <c r="AV13" i="3"/>
  <c r="AV108" i="3" s="1"/>
  <c r="AV241" i="3" s="1"/>
  <c r="AV285" i="3" s="1"/>
  <c r="BA7" i="3"/>
  <c r="AN255" i="3"/>
  <c r="AO205" i="3"/>
  <c r="AM263" i="3"/>
  <c r="AQ263" i="3" s="1"/>
  <c r="AN142" i="3"/>
  <c r="O5" i="3"/>
  <c r="N6" i="3"/>
  <c r="N7" i="3" s="1"/>
  <c r="N13" i="3" s="1"/>
  <c r="N108" i="3" s="1"/>
  <c r="N241" i="3" s="1"/>
  <c r="N285" i="3" s="1"/>
  <c r="N165" i="3"/>
  <c r="N116" i="3"/>
  <c r="N112" i="3"/>
  <c r="AM250" i="3"/>
  <c r="AQ250" i="3" s="1"/>
  <c r="H32" i="4" s="1"/>
  <c r="AN121" i="3"/>
  <c r="AN122" i="3" s="1"/>
  <c r="AM230" i="3"/>
  <c r="AK253" i="3"/>
  <c r="AL170" i="3"/>
  <c r="AM170" i="3" s="1"/>
  <c r="AL168" i="3"/>
  <c r="AK252" i="3"/>
  <c r="AL169" i="3"/>
  <c r="AR36" i="3"/>
  <c r="N103" i="3"/>
  <c r="N334" i="3" s="1"/>
  <c r="R96" i="3"/>
  <c r="N98" i="3"/>
  <c r="T243" i="3"/>
  <c r="T105" i="3"/>
  <c r="AM143" i="3"/>
  <c r="AM122" i="3"/>
  <c r="AO20" i="3"/>
  <c r="AM265" i="3"/>
  <c r="AQ265" i="3" s="1"/>
  <c r="AN155" i="3"/>
  <c r="AN156" i="3" s="1"/>
  <c r="H18" i="4"/>
  <c r="AQ139" i="3"/>
  <c r="AQ16" i="3"/>
  <c r="AQ21" i="3"/>
  <c r="R311" i="3" l="1"/>
  <c r="Q312" i="3"/>
  <c r="R312" i="3"/>
  <c r="Q311" i="3"/>
  <c r="P311" i="3"/>
  <c r="AR302" i="3"/>
  <c r="P330" i="3"/>
  <c r="P333" i="3" s="1"/>
  <c r="AW290" i="3"/>
  <c r="AW289" i="3"/>
  <c r="AW288" i="3"/>
  <c r="AW287" i="3"/>
  <c r="AV290" i="3"/>
  <c r="AV289" i="3"/>
  <c r="AV288" i="3"/>
  <c r="AV287" i="3"/>
  <c r="AR298" i="3"/>
  <c r="P334" i="3"/>
  <c r="AS303" i="3"/>
  <c r="AS299" i="3"/>
  <c r="AS300" i="3"/>
  <c r="AS298" i="3"/>
  <c r="AS302" i="3"/>
  <c r="O330" i="3"/>
  <c r="O333" i="3" s="1"/>
  <c r="AR300" i="3"/>
  <c r="AP299" i="3"/>
  <c r="N330" i="3"/>
  <c r="N333" i="3" s="1"/>
  <c r="AM314" i="3"/>
  <c r="AT289" i="3"/>
  <c r="AT288" i="3"/>
  <c r="AT287" i="3"/>
  <c r="AT290" i="3"/>
  <c r="O334" i="3"/>
  <c r="AR299" i="3"/>
  <c r="AQ302" i="3"/>
  <c r="AO299" i="3"/>
  <c r="AZ287" i="3"/>
  <c r="AZ290" i="3"/>
  <c r="AZ289" i="3"/>
  <c r="AZ288" i="3"/>
  <c r="AR303" i="3"/>
  <c r="N312" i="3"/>
  <c r="AQ298" i="3"/>
  <c r="N311" i="3"/>
  <c r="AP303" i="3"/>
  <c r="AX290" i="3"/>
  <c r="AX289" i="3"/>
  <c r="AX288" i="3"/>
  <c r="AX287" i="3"/>
  <c r="AP298" i="3"/>
  <c r="AO298" i="3"/>
  <c r="AP314" i="3"/>
  <c r="AO302" i="3"/>
  <c r="AP302" i="3"/>
  <c r="AO303" i="3"/>
  <c r="AK315" i="3"/>
  <c r="AK313" i="3" s="1"/>
  <c r="AK291" i="3"/>
  <c r="R315" i="3"/>
  <c r="R313" i="3" s="1"/>
  <c r="R291" i="3"/>
  <c r="AJ314" i="3"/>
  <c r="AN304" i="3"/>
  <c r="AJ304" i="3"/>
  <c r="AK304" i="3"/>
  <c r="AM304" i="3"/>
  <c r="AL304" i="3"/>
  <c r="AN314" i="3"/>
  <c r="AQ299" i="3"/>
  <c r="Q334" i="3"/>
  <c r="Q330" i="3"/>
  <c r="Q333" i="3" s="1"/>
  <c r="R334" i="3"/>
  <c r="R330" i="3"/>
  <c r="R333" i="3" s="1"/>
  <c r="AL332" i="3"/>
  <c r="AL294" i="3"/>
  <c r="AL301" i="3"/>
  <c r="AQ303" i="3"/>
  <c r="O312" i="3"/>
  <c r="AO300" i="3"/>
  <c r="AP300" i="3"/>
  <c r="O311" i="3"/>
  <c r="P312" i="3"/>
  <c r="AN181" i="3"/>
  <c r="AZ36" i="3"/>
  <c r="AW197" i="3"/>
  <c r="AW138" i="3"/>
  <c r="AW134" i="3"/>
  <c r="AW35" i="3"/>
  <c r="AW24" i="3"/>
  <c r="BA24" i="3" s="1"/>
  <c r="AW89" i="3"/>
  <c r="BA89" i="3" s="1"/>
  <c r="BA15" i="3"/>
  <c r="H48" i="4"/>
  <c r="H23" i="4"/>
  <c r="H21" i="4"/>
  <c r="I19" i="4"/>
  <c r="R98" i="3"/>
  <c r="H20" i="4"/>
  <c r="AQ39" i="3"/>
  <c r="BE25" i="3"/>
  <c r="BD25" i="3"/>
  <c r="BC25" i="3"/>
  <c r="BB25" i="3"/>
  <c r="AO270" i="3"/>
  <c r="AP233" i="3"/>
  <c r="AO39" i="3"/>
  <c r="AS244" i="3"/>
  <c r="AS136" i="3"/>
  <c r="AP235" i="3"/>
  <c r="AO272" i="3"/>
  <c r="AO271" i="3"/>
  <c r="AP234" i="3"/>
  <c r="AO180" i="3"/>
  <c r="I18" i="4"/>
  <c r="AV139" i="3"/>
  <c r="AV21" i="3"/>
  <c r="AV16" i="3"/>
  <c r="AJ266" i="3"/>
  <c r="AL261" i="3"/>
  <c r="AM96" i="3"/>
  <c r="AO244" i="3"/>
  <c r="AO136" i="3"/>
  <c r="M105" i="3"/>
  <c r="M3" i="3"/>
  <c r="M1" i="3" s="1"/>
  <c r="Q259" i="3"/>
  <c r="Q273" i="3"/>
  <c r="AT197" i="3"/>
  <c r="AT138" i="3"/>
  <c r="AT134" i="3"/>
  <c r="AT35" i="3"/>
  <c r="AV300" i="3" s="1"/>
  <c r="AT24" i="3"/>
  <c r="AT89" i="3"/>
  <c r="AY15" i="3"/>
  <c r="AF259" i="3"/>
  <c r="AF273" i="3"/>
  <c r="AE259" i="3"/>
  <c r="AE273" i="3"/>
  <c r="AB3" i="3"/>
  <c r="AB1" i="3" s="1"/>
  <c r="AB105" i="3"/>
  <c r="C22" i="5"/>
  <c r="AK98" i="3"/>
  <c r="AJ98" i="3"/>
  <c r="AN274" i="3"/>
  <c r="AO214" i="3"/>
  <c r="AO261" i="3"/>
  <c r="AO266" i="3" s="1"/>
  <c r="AO139" i="3"/>
  <c r="AX197" i="3"/>
  <c r="AX134" i="3"/>
  <c r="AX138" i="3"/>
  <c r="AX24" i="3"/>
  <c r="AX89" i="3"/>
  <c r="AX35" i="3"/>
  <c r="AK137" i="3"/>
  <c r="AJ132" i="3"/>
  <c r="AJ321" i="3" s="1"/>
  <c r="AN265" i="3"/>
  <c r="AO155" i="3"/>
  <c r="AO156" i="3" s="1"/>
  <c r="AN254" i="3"/>
  <c r="AO171" i="3"/>
  <c r="AO172" i="3" s="1"/>
  <c r="AW36" i="3"/>
  <c r="I259" i="3"/>
  <c r="I280" i="3" s="1"/>
  <c r="M280" i="3" s="1"/>
  <c r="M243" i="3"/>
  <c r="M259" i="3" s="1"/>
  <c r="I273" i="3"/>
  <c r="M273" i="3" s="1"/>
  <c r="AO206" i="3"/>
  <c r="AT20" i="3"/>
  <c r="U259" i="3"/>
  <c r="U273" i="3"/>
  <c r="AN172" i="3"/>
  <c r="AX244" i="3"/>
  <c r="AX136" i="3"/>
  <c r="X259" i="3"/>
  <c r="AB243" i="3"/>
  <c r="AB259" i="3" s="1"/>
  <c r="X273" i="3"/>
  <c r="AB273" i="3" s="1"/>
  <c r="AO268" i="3"/>
  <c r="AP219" i="3"/>
  <c r="AN207" i="3"/>
  <c r="AP96" i="3"/>
  <c r="AM266" i="3"/>
  <c r="AQ261" i="3"/>
  <c r="Y259" i="3"/>
  <c r="Y273" i="3"/>
  <c r="AA259" i="3"/>
  <c r="AA273" i="3"/>
  <c r="AZ197" i="3"/>
  <c r="AZ134" i="3"/>
  <c r="AZ138" i="3"/>
  <c r="AZ35" i="3"/>
  <c r="AZ89" i="3"/>
  <c r="AZ24" i="3"/>
  <c r="AV25" i="3"/>
  <c r="BF7" i="3"/>
  <c r="BF13" i="3" s="1"/>
  <c r="BF108" i="3" s="1"/>
  <c r="BF241" i="3" s="1"/>
  <c r="BF285" i="3" s="1"/>
  <c r="BA13" i="3"/>
  <c r="BA108" i="3" s="1"/>
  <c r="BA241" i="3" s="1"/>
  <c r="BA285" i="3" s="1"/>
  <c r="AO249" i="3"/>
  <c r="AP120" i="3"/>
  <c r="AY36" i="3"/>
  <c r="AN276" i="3"/>
  <c r="AN196" i="3"/>
  <c r="AN198" i="3" s="1"/>
  <c r="AN199" i="3" s="1"/>
  <c r="V259" i="3"/>
  <c r="V273" i="3"/>
  <c r="F19" i="5"/>
  <c r="AZ21" i="3"/>
  <c r="AZ20" i="3" s="1"/>
  <c r="AY21" i="3"/>
  <c r="AY20" i="3" s="1"/>
  <c r="AX21" i="3"/>
  <c r="AX20" i="3" s="1"/>
  <c r="AW21" i="3"/>
  <c r="AW20" i="3" s="1"/>
  <c r="BA20" i="3" s="1"/>
  <c r="AS39" i="3"/>
  <c r="AR39" i="3"/>
  <c r="AV35" i="3"/>
  <c r="AN231" i="3"/>
  <c r="AO230" i="3"/>
  <c r="AN230" i="3"/>
  <c r="AO231" i="3"/>
  <c r="AM231" i="3"/>
  <c r="AU244" i="3"/>
  <c r="AU136" i="3"/>
  <c r="K259" i="3"/>
  <c r="K273" i="3"/>
  <c r="AZ244" i="3"/>
  <c r="AZ136" i="3"/>
  <c r="J259" i="3"/>
  <c r="J273" i="3"/>
  <c r="AK103" i="3"/>
  <c r="AP179" i="3"/>
  <c r="AS261" i="3"/>
  <c r="AS266" i="3" s="1"/>
  <c r="AS139" i="3"/>
  <c r="AR261" i="3"/>
  <c r="AR139" i="3"/>
  <c r="P259" i="3"/>
  <c r="P273" i="3"/>
  <c r="AO255" i="3"/>
  <c r="AP205" i="3"/>
  <c r="T259" i="3"/>
  <c r="T273" i="3"/>
  <c r="BE37" i="3"/>
  <c r="BD37" i="3"/>
  <c r="BC37" i="3"/>
  <c r="BB37" i="3"/>
  <c r="AP229" i="3"/>
  <c r="AP228" i="3"/>
  <c r="AR225" i="3"/>
  <c r="AN269" i="3"/>
  <c r="AO220" i="3"/>
  <c r="AU39" i="3"/>
  <c r="AN250" i="3"/>
  <c r="AO121" i="3"/>
  <c r="AO122" i="3" s="1"/>
  <c r="I54" i="4"/>
  <c r="H56" i="4"/>
  <c r="AG105" i="3"/>
  <c r="AG3" i="3"/>
  <c r="AG1" i="3" s="1"/>
  <c r="G48" i="4"/>
  <c r="G23" i="4"/>
  <c r="G21" i="4"/>
  <c r="H19" i="4"/>
  <c r="G19" i="4"/>
  <c r="AO248" i="3"/>
  <c r="AP119" i="3"/>
  <c r="L259" i="3"/>
  <c r="L273" i="3"/>
  <c r="AU261" i="3"/>
  <c r="AU266" i="3" s="1"/>
  <c r="AU139" i="3"/>
  <c r="AN263" i="3"/>
  <c r="AO142" i="3"/>
  <c r="N243" i="3"/>
  <c r="N105" i="3"/>
  <c r="R103" i="3"/>
  <c r="AR244" i="3"/>
  <c r="AV244" i="3" s="1"/>
  <c r="AR136" i="3"/>
  <c r="AV36" i="3"/>
  <c r="I26" i="4" s="1"/>
  <c r="P5" i="3"/>
  <c r="O6" i="3"/>
  <c r="O7" i="3" s="1"/>
  <c r="O13" i="3" s="1"/>
  <c r="O108" i="3" s="1"/>
  <c r="O241" i="3" s="1"/>
  <c r="O285" i="3" s="1"/>
  <c r="O112" i="3"/>
  <c r="O165" i="3"/>
  <c r="O116" i="3"/>
  <c r="G20" i="4"/>
  <c r="AL39" i="3"/>
  <c r="AI259" i="3"/>
  <c r="AI273" i="3"/>
  <c r="W105" i="3"/>
  <c r="W3" i="3"/>
  <c r="W1" i="3" s="1"/>
  <c r="AD259" i="3"/>
  <c r="AD273" i="3"/>
  <c r="AP178" i="3"/>
  <c r="AN96" i="3"/>
  <c r="Z259" i="3"/>
  <c r="Z273" i="3"/>
  <c r="AO264" i="3"/>
  <c r="AO150" i="3"/>
  <c r="AP146" i="3"/>
  <c r="AH259" i="3"/>
  <c r="AH273" i="3"/>
  <c r="AL273" i="3" s="1"/>
  <c r="O259" i="3"/>
  <c r="O273" i="3"/>
  <c r="AM168" i="3"/>
  <c r="AM169" i="3"/>
  <c r="AM253" i="3"/>
  <c r="AQ253" i="3" s="1"/>
  <c r="H35" i="4" s="1"/>
  <c r="AN170" i="3"/>
  <c r="AN143" i="3"/>
  <c r="AJ96" i="3"/>
  <c r="AC259" i="3"/>
  <c r="AG243" i="3"/>
  <c r="AG259" i="3" s="1"/>
  <c r="AC273" i="3"/>
  <c r="AG273" i="3" s="1"/>
  <c r="S259" i="3"/>
  <c r="W243" i="3"/>
  <c r="W259" i="3" s="1"/>
  <c r="S273" i="3"/>
  <c r="W273" i="3" s="1"/>
  <c r="AO201" i="3"/>
  <c r="AO202" i="3" s="1"/>
  <c r="AN275" i="3"/>
  <c r="AT36" i="3"/>
  <c r="AO256" i="3"/>
  <c r="AP127" i="3"/>
  <c r="BE16" i="3"/>
  <c r="BE15" i="3" s="1"/>
  <c r="BD16" i="3"/>
  <c r="BC16" i="3"/>
  <c r="BC15" i="3" s="1"/>
  <c r="BB16" i="3"/>
  <c r="BB15" i="3" s="1"/>
  <c r="BC288" i="3" l="1"/>
  <c r="BC287" i="3"/>
  <c r="BC290" i="3"/>
  <c r="BC289" i="3"/>
  <c r="AW302" i="3"/>
  <c r="AU298" i="3"/>
  <c r="AP315" i="3"/>
  <c r="AP291" i="3"/>
  <c r="BA287" i="3"/>
  <c r="BA290" i="3"/>
  <c r="BA289" i="3"/>
  <c r="BA288" i="3"/>
  <c r="AT298" i="3"/>
  <c r="AP313" i="3"/>
  <c r="AV303" i="3"/>
  <c r="AU303" i="3"/>
  <c r="BE289" i="3"/>
  <c r="BE288" i="3"/>
  <c r="BE287" i="3"/>
  <c r="BE290" i="3"/>
  <c r="AV299" i="3"/>
  <c r="AU299" i="3"/>
  <c r="AT302" i="3"/>
  <c r="AX303" i="3"/>
  <c r="AX302" i="3"/>
  <c r="AX298" i="3"/>
  <c r="AX300" i="3"/>
  <c r="AX299" i="3"/>
  <c r="AT303" i="3"/>
  <c r="AO314" i="3"/>
  <c r="AS304" i="3"/>
  <c r="AR304" i="3"/>
  <c r="H22" i="4"/>
  <c r="AQ314" i="3"/>
  <c r="AU300" i="3"/>
  <c r="AW298" i="3"/>
  <c r="AV298" i="3"/>
  <c r="AN315" i="3"/>
  <c r="AN313" i="3" s="1"/>
  <c r="AN291" i="3"/>
  <c r="AU314" i="3"/>
  <c r="AR314" i="3"/>
  <c r="AY287" i="3"/>
  <c r="AY290" i="3"/>
  <c r="AY289" i="3"/>
  <c r="AY288" i="3"/>
  <c r="AW303" i="3"/>
  <c r="AV302" i="3"/>
  <c r="AM313" i="3"/>
  <c r="AT300" i="3"/>
  <c r="G22" i="4"/>
  <c r="AL314" i="3"/>
  <c r="AJ315" i="3"/>
  <c r="AJ313" i="3" s="1"/>
  <c r="AJ291" i="3"/>
  <c r="AS314" i="3"/>
  <c r="AM315" i="3"/>
  <c r="AM291" i="3"/>
  <c r="AW299" i="3"/>
  <c r="AT299" i="3"/>
  <c r="AU302" i="3"/>
  <c r="AQ304" i="3"/>
  <c r="AO304" i="3"/>
  <c r="BB288" i="3"/>
  <c r="BB287" i="3"/>
  <c r="BB290" i="3"/>
  <c r="BB289" i="3"/>
  <c r="AW300" i="3"/>
  <c r="AP304" i="3"/>
  <c r="AK97" i="3"/>
  <c r="BB197" i="3"/>
  <c r="BB134" i="3"/>
  <c r="BB138" i="3"/>
  <c r="BF15" i="3"/>
  <c r="BB35" i="3"/>
  <c r="BB24" i="3"/>
  <c r="BF24" i="3" s="1"/>
  <c r="BF25" i="3" s="1"/>
  <c r="BB89" i="3"/>
  <c r="BF89" i="3" s="1"/>
  <c r="BE197" i="3"/>
  <c r="BE134" i="3"/>
  <c r="BE138" i="3"/>
  <c r="BE35" i="3"/>
  <c r="BE24" i="3"/>
  <c r="BE89" i="3"/>
  <c r="AO263" i="3"/>
  <c r="AP142" i="3"/>
  <c r="AP143" i="3"/>
  <c r="AZ261" i="3"/>
  <c r="AZ266" i="3" s="1"/>
  <c r="AZ139" i="3"/>
  <c r="AO254" i="3"/>
  <c r="AP171" i="3"/>
  <c r="AP172" i="3" s="1"/>
  <c r="AO96" i="3"/>
  <c r="J18" i="4"/>
  <c r="BA139" i="3"/>
  <c r="BA16" i="3"/>
  <c r="BA21" i="3"/>
  <c r="AP103" i="3"/>
  <c r="D22" i="5"/>
  <c r="AP98" i="3"/>
  <c r="AO98" i="3"/>
  <c r="AN98" i="3"/>
  <c r="AM98" i="3"/>
  <c r="T280" i="3"/>
  <c r="T281" i="3" s="1"/>
  <c r="T278" i="3"/>
  <c r="AK243" i="3"/>
  <c r="AK259" i="3" s="1"/>
  <c r="AK280" i="3" s="1"/>
  <c r="AK105" i="3"/>
  <c r="AK104" i="3"/>
  <c r="AK3" i="3"/>
  <c r="AY244" i="3"/>
  <c r="AY136" i="3"/>
  <c r="AO269" i="3"/>
  <c r="AP220" i="3"/>
  <c r="AP255" i="3"/>
  <c r="AQ205" i="3"/>
  <c r="AR205" i="3" s="1"/>
  <c r="AP230" i="3"/>
  <c r="AP231" i="3"/>
  <c r="AP249" i="3"/>
  <c r="AQ120" i="3"/>
  <c r="AR120" i="3" s="1"/>
  <c r="AO274" i="3"/>
  <c r="AP214" i="3"/>
  <c r="AM103" i="3"/>
  <c r="AQ96" i="3"/>
  <c r="AT261" i="3"/>
  <c r="AT266" i="3" s="1"/>
  <c r="AT139" i="3"/>
  <c r="AP264" i="3"/>
  <c r="AP150" i="3"/>
  <c r="AQ146" i="3"/>
  <c r="AR146" i="3" s="1"/>
  <c r="AP268" i="3"/>
  <c r="AQ219" i="3"/>
  <c r="AR219" i="3" s="1"/>
  <c r="AX261" i="3"/>
  <c r="AX266" i="3" s="1"/>
  <c r="AX139" i="3"/>
  <c r="J19" i="4"/>
  <c r="I23" i="4"/>
  <c r="I21" i="4"/>
  <c r="I48" i="4"/>
  <c r="BA25" i="3"/>
  <c r="AH280" i="3"/>
  <c r="AH278" i="3"/>
  <c r="AL278" i="3" s="1"/>
  <c r="AO275" i="3"/>
  <c r="L280" i="3"/>
  <c r="L281" i="3" s="1"/>
  <c r="L278" i="3"/>
  <c r="J54" i="4"/>
  <c r="I56" i="4"/>
  <c r="AR228" i="3"/>
  <c r="AT225" i="3"/>
  <c r="AS225" i="3"/>
  <c r="AR229" i="3"/>
  <c r="J280" i="3"/>
  <c r="J281" i="3" s="1"/>
  <c r="J278" i="3"/>
  <c r="M278" i="3" s="1"/>
  <c r="AO276" i="3"/>
  <c r="AO196" i="3"/>
  <c r="AO198" i="3" s="1"/>
  <c r="AO199" i="3" s="1"/>
  <c r="U280" i="3"/>
  <c r="U281" i="3" s="1"/>
  <c r="U278" i="3"/>
  <c r="AE280" i="3"/>
  <c r="AE281" i="3" s="1"/>
  <c r="AE278" i="3"/>
  <c r="AP180" i="3"/>
  <c r="AP181" i="3"/>
  <c r="AW39" i="3"/>
  <c r="BA35" i="3"/>
  <c r="AW244" i="3"/>
  <c r="BA244" i="3" s="1"/>
  <c r="AW136" i="3"/>
  <c r="BA36" i="3"/>
  <c r="J26" i="4" s="1"/>
  <c r="P6" i="3"/>
  <c r="P7" i="3" s="1"/>
  <c r="P13" i="3" s="1"/>
  <c r="P108" i="3" s="1"/>
  <c r="P241" i="3" s="1"/>
  <c r="P285" i="3" s="1"/>
  <c r="Q5" i="3"/>
  <c r="P165" i="3"/>
  <c r="P116" i="3"/>
  <c r="P112" i="3"/>
  <c r="AN253" i="3"/>
  <c r="AO170" i="3"/>
  <c r="AD280" i="3"/>
  <c r="AD281" i="3" s="1"/>
  <c r="AD278" i="3"/>
  <c r="R105" i="3"/>
  <c r="R3" i="3"/>
  <c r="R1" i="3" s="1"/>
  <c r="AP248" i="3"/>
  <c r="AQ119" i="3"/>
  <c r="AR119" i="3" s="1"/>
  <c r="AO250" i="3"/>
  <c r="AP121" i="3"/>
  <c r="AP122" i="3" s="1"/>
  <c r="P280" i="3"/>
  <c r="P281" i="3" s="1"/>
  <c r="P278" i="3"/>
  <c r="I20" i="4"/>
  <c r="AV39" i="3"/>
  <c r="AO265" i="3"/>
  <c r="AP155" i="3"/>
  <c r="AP156" i="3" s="1"/>
  <c r="G40" i="4"/>
  <c r="AL266" i="3"/>
  <c r="AO181" i="3"/>
  <c r="AP270" i="3"/>
  <c r="AQ233" i="3"/>
  <c r="AR233" i="3" s="1"/>
  <c r="AW261" i="3"/>
  <c r="AW139" i="3"/>
  <c r="O280" i="3"/>
  <c r="O281" i="3" s="1"/>
  <c r="O278" i="3"/>
  <c r="AI280" i="3"/>
  <c r="AI281" i="3" s="1"/>
  <c r="AI278" i="3"/>
  <c r="AR96" i="3"/>
  <c r="AA280" i="3"/>
  <c r="AA281" i="3" s="1"/>
  <c r="AA278" i="3"/>
  <c r="AP206" i="3"/>
  <c r="AF280" i="3"/>
  <c r="AF281" i="3" s="1"/>
  <c r="AF278" i="3"/>
  <c r="Q280" i="3"/>
  <c r="Q281" i="3" s="1"/>
  <c r="Q278" i="3"/>
  <c r="AP271" i="3"/>
  <c r="AQ234" i="3"/>
  <c r="AR234" i="3" s="1"/>
  <c r="Z280" i="3"/>
  <c r="Z281" i="3" s="1"/>
  <c r="Z278" i="3"/>
  <c r="N259" i="3"/>
  <c r="R243" i="3"/>
  <c r="R259" i="3" s="1"/>
  <c r="N273" i="3"/>
  <c r="R273" i="3" s="1"/>
  <c r="BB36" i="3"/>
  <c r="AR266" i="3"/>
  <c r="AV261" i="3"/>
  <c r="X280" i="3"/>
  <c r="X278" i="3"/>
  <c r="AB278" i="3" s="1"/>
  <c r="AO207" i="3"/>
  <c r="AY197" i="3"/>
  <c r="AY134" i="3"/>
  <c r="AY138" i="3"/>
  <c r="AY89" i="3"/>
  <c r="AY35" i="3"/>
  <c r="AZ303" i="3" s="1"/>
  <c r="AY24" i="3"/>
  <c r="BD15" i="3"/>
  <c r="BC197" i="3"/>
  <c r="BC134" i="3"/>
  <c r="BC138" i="3"/>
  <c r="BC35" i="3"/>
  <c r="BC24" i="3"/>
  <c r="BC89" i="3"/>
  <c r="AP256" i="3"/>
  <c r="AQ127" i="3"/>
  <c r="AR127" i="3" s="1"/>
  <c r="AU96" i="3"/>
  <c r="BC36" i="3"/>
  <c r="K280" i="3"/>
  <c r="K281" i="3" s="1"/>
  <c r="K278" i="3"/>
  <c r="BE21" i="3"/>
  <c r="BE20" i="3" s="1"/>
  <c r="BD21" i="3"/>
  <c r="BC21" i="3"/>
  <c r="BC20" i="3" s="1"/>
  <c r="BB21" i="3"/>
  <c r="BB20" i="3" s="1"/>
  <c r="BF20" i="3" s="1"/>
  <c r="Y280" i="3"/>
  <c r="Y281" i="3" s="1"/>
  <c r="Y278" i="3"/>
  <c r="AS96" i="3"/>
  <c r="AJ97" i="3"/>
  <c r="AJ103" i="3"/>
  <c r="AL96" i="3"/>
  <c r="AQ178" i="3"/>
  <c r="AR185" i="3"/>
  <c r="AP201" i="3"/>
  <c r="AP202" i="3" s="1"/>
  <c r="AM252" i="3"/>
  <c r="AQ252" i="3" s="1"/>
  <c r="H34" i="4" s="1"/>
  <c r="AN169" i="3"/>
  <c r="AN168" i="3"/>
  <c r="AZ39" i="3"/>
  <c r="H40" i="4"/>
  <c r="AQ266" i="3"/>
  <c r="AK132" i="3"/>
  <c r="AK321" i="3" s="1"/>
  <c r="AM137" i="3"/>
  <c r="AP272" i="3"/>
  <c r="AQ235" i="3"/>
  <c r="AR235" i="3" s="1"/>
  <c r="S280" i="3"/>
  <c r="S278" i="3"/>
  <c r="W278" i="3" s="1"/>
  <c r="AC280" i="3"/>
  <c r="AC278" i="3"/>
  <c r="AG278" i="3" s="1"/>
  <c r="AT244" i="3"/>
  <c r="AT136" i="3"/>
  <c r="AN103" i="3"/>
  <c r="AO143" i="3"/>
  <c r="BE36" i="3"/>
  <c r="AQ179" i="3"/>
  <c r="AR179" i="3" s="1"/>
  <c r="V280" i="3"/>
  <c r="V281" i="3" s="1"/>
  <c r="V278" i="3"/>
  <c r="AX39" i="3"/>
  <c r="AT39" i="3"/>
  <c r="AW304" i="3" s="1"/>
  <c r="BA303" i="3" l="1"/>
  <c r="AR178" i="3"/>
  <c r="AL315" i="3"/>
  <c r="AL313" i="3" s="1"/>
  <c r="AL291" i="3"/>
  <c r="BC303" i="3"/>
  <c r="BC299" i="3"/>
  <c r="BC302" i="3"/>
  <c r="BC298" i="3"/>
  <c r="BC300" i="3"/>
  <c r="BF299" i="3"/>
  <c r="AY303" i="3"/>
  <c r="BA299" i="3"/>
  <c r="AN330" i="3"/>
  <c r="AK330" i="3"/>
  <c r="AL334" i="3"/>
  <c r="AL330" i="3"/>
  <c r="AM330" i="3"/>
  <c r="AJ330" i="3"/>
  <c r="AR315" i="3"/>
  <c r="AR313" i="3" s="1"/>
  <c r="AR291" i="3"/>
  <c r="BF289" i="3"/>
  <c r="BF288" i="3"/>
  <c r="BF287" i="3"/>
  <c r="BF290" i="3"/>
  <c r="AZ300" i="3"/>
  <c r="AW314" i="3"/>
  <c r="AQ315" i="3"/>
  <c r="AQ313" i="3" s="1"/>
  <c r="AQ291" i="3"/>
  <c r="AZ299" i="3"/>
  <c r="BB303" i="3"/>
  <c r="AU313" i="3"/>
  <c r="AX314" i="3"/>
  <c r="I22" i="4"/>
  <c r="AV314" i="3"/>
  <c r="AS313" i="3"/>
  <c r="AY299" i="3"/>
  <c r="BA298" i="3"/>
  <c r="BB299" i="3"/>
  <c r="AT314" i="3"/>
  <c r="AX304" i="3"/>
  <c r="AY302" i="3"/>
  <c r="BA302" i="3"/>
  <c r="BB298" i="3"/>
  <c r="AY300" i="3"/>
  <c r="BD288" i="3"/>
  <c r="BD287" i="3"/>
  <c r="BD290" i="3"/>
  <c r="BD289" i="3"/>
  <c r="AS315" i="3"/>
  <c r="AS291" i="3"/>
  <c r="AZ314" i="3"/>
  <c r="AV304" i="3"/>
  <c r="AZ298" i="3"/>
  <c r="BB302" i="3"/>
  <c r="AU304" i="3"/>
  <c r="AO330" i="3"/>
  <c r="AZ302" i="3"/>
  <c r="BB300" i="3"/>
  <c r="AT304" i="3"/>
  <c r="AU315" i="3"/>
  <c r="AU291" i="3"/>
  <c r="AR330" i="3"/>
  <c r="BA300" i="3"/>
  <c r="AO315" i="3"/>
  <c r="AO313" i="3" s="1"/>
  <c r="AO291" i="3"/>
  <c r="AY298" i="3"/>
  <c r="AM97" i="3"/>
  <c r="AR248" i="3"/>
  <c r="AV248" i="3" s="1"/>
  <c r="I30" i="4" s="1"/>
  <c r="AS119" i="3"/>
  <c r="AW96" i="3"/>
  <c r="AR264" i="3"/>
  <c r="AV264" i="3" s="1"/>
  <c r="AR150" i="3"/>
  <c r="AS146" i="3"/>
  <c r="AR249" i="3"/>
  <c r="AV249" i="3" s="1"/>
  <c r="I31" i="4" s="1"/>
  <c r="AS120" i="3"/>
  <c r="AP263" i="3"/>
  <c r="AQ142" i="3"/>
  <c r="J20" i="4"/>
  <c r="BA39" i="3"/>
  <c r="E22" i="5"/>
  <c r="AT98" i="3"/>
  <c r="AS98" i="3"/>
  <c r="AS97" i="3" s="1"/>
  <c r="AR98" i="3"/>
  <c r="AU98" i="3"/>
  <c r="BB39" i="3"/>
  <c r="BF35" i="3"/>
  <c r="AN97" i="3"/>
  <c r="AR256" i="3"/>
  <c r="AV256" i="3" s="1"/>
  <c r="AS127" i="3"/>
  <c r="BD197" i="3"/>
  <c r="BD138" i="3"/>
  <c r="BD134" i="3"/>
  <c r="BD35" i="3"/>
  <c r="BD300" i="3" s="1"/>
  <c r="BD24" i="3"/>
  <c r="BD89" i="3"/>
  <c r="AB280" i="3"/>
  <c r="AB281" i="3" s="1"/>
  <c r="X281" i="3"/>
  <c r="AL280" i="3"/>
  <c r="AH281" i="3"/>
  <c r="AP97" i="3"/>
  <c r="J48" i="4"/>
  <c r="J23" i="4"/>
  <c r="J21" i="4"/>
  <c r="K19" i="4"/>
  <c r="K18" i="4"/>
  <c r="BF139" i="3"/>
  <c r="BF21" i="3"/>
  <c r="BF16" i="3"/>
  <c r="BC244" i="3"/>
  <c r="BC136" i="3"/>
  <c r="AQ201" i="3"/>
  <c r="AQ202" i="3" s="1"/>
  <c r="AZ96" i="3"/>
  <c r="I40" i="4"/>
  <c r="AV266" i="3"/>
  <c r="AR230" i="3"/>
  <c r="AP243" i="3"/>
  <c r="AP259" i="3" s="1"/>
  <c r="AP280" i="3" s="1"/>
  <c r="AP104" i="3"/>
  <c r="AP105" i="3"/>
  <c r="AP3" i="3"/>
  <c r="AO103" i="3"/>
  <c r="AO97" i="3"/>
  <c r="AP276" i="3"/>
  <c r="AP196" i="3"/>
  <c r="AP198" i="3" s="1"/>
  <c r="AP199" i="3" s="1"/>
  <c r="AX96" i="3"/>
  <c r="AS178" i="3"/>
  <c r="AY39" i="3"/>
  <c r="BE39" i="3"/>
  <c r="BE314" i="3" s="1"/>
  <c r="BB139" i="3"/>
  <c r="BB261" i="3"/>
  <c r="AP275" i="3"/>
  <c r="AQ275" i="3" s="1"/>
  <c r="BB244" i="3"/>
  <c r="BF244" i="3" s="1"/>
  <c r="BB136" i="3"/>
  <c r="BF36" i="3"/>
  <c r="K26" i="4" s="1"/>
  <c r="AQ206" i="3"/>
  <c r="AQ207" i="3" s="1"/>
  <c r="BA261" i="3"/>
  <c r="AW266" i="3"/>
  <c r="AS228" i="3"/>
  <c r="AS229" i="3"/>
  <c r="AQ97" i="3"/>
  <c r="AQ98" i="3" s="1"/>
  <c r="H24" i="4" s="1"/>
  <c r="H25" i="4" s="1"/>
  <c r="AR268" i="3"/>
  <c r="AS219" i="3"/>
  <c r="AU97" i="3"/>
  <c r="AU103" i="3"/>
  <c r="AP265" i="3"/>
  <c r="AQ155" i="3"/>
  <c r="BD20" i="3"/>
  <c r="BC39" i="3"/>
  <c r="BC314" i="3" s="1"/>
  <c r="AP207" i="3"/>
  <c r="AR270" i="3"/>
  <c r="AV270" i="3" s="1"/>
  <c r="AS233" i="3"/>
  <c r="Q6" i="3"/>
  <c r="Q7" i="3" s="1"/>
  <c r="Q13" i="3" s="1"/>
  <c r="Q108" i="3" s="1"/>
  <c r="Q241" i="3" s="1"/>
  <c r="Q285" i="3" s="1"/>
  <c r="R5" i="3"/>
  <c r="Q112" i="3"/>
  <c r="Q116" i="3"/>
  <c r="Q165" i="3"/>
  <c r="AU225" i="3"/>
  <c r="AT228" i="3"/>
  <c r="AT229" i="3"/>
  <c r="AR255" i="3"/>
  <c r="AV255" i="3" s="1"/>
  <c r="I37" i="4" s="1"/>
  <c r="AS205" i="3"/>
  <c r="BE261" i="3"/>
  <c r="BE266" i="3" s="1"/>
  <c r="BE139" i="3"/>
  <c r="AM132" i="3"/>
  <c r="AM321" i="3" s="1"/>
  <c r="AN137" i="3"/>
  <c r="AR271" i="3"/>
  <c r="AV271" i="3" s="1"/>
  <c r="AS234" i="3"/>
  <c r="AN243" i="3"/>
  <c r="AN259" i="3" s="1"/>
  <c r="AN280" i="3" s="1"/>
  <c r="AN104" i="3"/>
  <c r="AN3" i="3"/>
  <c r="AN105" i="3"/>
  <c r="AT96" i="3"/>
  <c r="W280" i="3"/>
  <c r="W281" i="3" s="1"/>
  <c r="S281" i="3"/>
  <c r="AY261" i="3"/>
  <c r="AY266" i="3" s="1"/>
  <c r="AY139" i="3"/>
  <c r="AO253" i="3"/>
  <c r="AP170" i="3"/>
  <c r="AQ180" i="3"/>
  <c r="AQ181" i="3" s="1"/>
  <c r="AM243" i="3"/>
  <c r="AM104" i="3"/>
  <c r="AQ104" i="3" s="1"/>
  <c r="AM105" i="3"/>
  <c r="AQ103" i="3"/>
  <c r="AM3" i="3"/>
  <c r="AP254" i="3"/>
  <c r="AQ171" i="3"/>
  <c r="AQ172" i="3" s="1"/>
  <c r="AS103" i="3"/>
  <c r="AR199" i="3"/>
  <c r="AS179" i="3"/>
  <c r="AJ243" i="3"/>
  <c r="AJ105" i="3"/>
  <c r="AJ104" i="3"/>
  <c r="AL104" i="3" s="1"/>
  <c r="AJ3" i="3"/>
  <c r="AJ236" i="3"/>
  <c r="AL103" i="3"/>
  <c r="AP269" i="3"/>
  <c r="AQ220" i="3"/>
  <c r="AR220" i="3" s="1"/>
  <c r="AL132" i="3"/>
  <c r="AL321" i="3" s="1"/>
  <c r="AG280" i="3"/>
  <c r="AG281" i="3" s="1"/>
  <c r="AC281" i="3"/>
  <c r="BD36" i="3"/>
  <c r="BC261" i="3"/>
  <c r="BC266" i="3" s="1"/>
  <c r="BC139" i="3"/>
  <c r="N280" i="3"/>
  <c r="N278" i="3"/>
  <c r="R278" i="3" s="1"/>
  <c r="BE244" i="3"/>
  <c r="BE136" i="3"/>
  <c r="AR272" i="3"/>
  <c r="AV272" i="3" s="1"/>
  <c r="AS235" i="3"/>
  <c r="AN252" i="3"/>
  <c r="AO168" i="3"/>
  <c r="AO169" i="3"/>
  <c r="AL97" i="3"/>
  <c r="AL98" i="3" s="1"/>
  <c r="G24" i="4" s="1"/>
  <c r="G25" i="4" s="1"/>
  <c r="G53" i="4" s="1"/>
  <c r="AR97" i="3"/>
  <c r="AV96" i="3"/>
  <c r="AR103" i="3"/>
  <c r="AP250" i="3"/>
  <c r="AQ121" i="3"/>
  <c r="AQ122" i="3" s="1"/>
  <c r="K54" i="4"/>
  <c r="K56" i="4" s="1"/>
  <c r="J56" i="4"/>
  <c r="AP274" i="3"/>
  <c r="AQ214" i="3"/>
  <c r="AW315" i="3" l="1"/>
  <c r="AW313" i="3" s="1"/>
  <c r="AW291" i="3"/>
  <c r="BF298" i="3"/>
  <c r="BF302" i="3"/>
  <c r="J22" i="4"/>
  <c r="BA314" i="3"/>
  <c r="BE298" i="3"/>
  <c r="BC304" i="3"/>
  <c r="AY314" i="3"/>
  <c r="AQ330" i="3"/>
  <c r="BE302" i="3"/>
  <c r="AY304" i="3"/>
  <c r="AZ304" i="3"/>
  <c r="BE299" i="3"/>
  <c r="AX315" i="3"/>
  <c r="AX313" i="3" s="1"/>
  <c r="AX291" i="3"/>
  <c r="AZ315" i="3"/>
  <c r="AZ313" i="3" s="1"/>
  <c r="AZ291" i="3"/>
  <c r="AP330" i="3"/>
  <c r="BE303" i="3"/>
  <c r="BD298" i="3"/>
  <c r="BA304" i="3"/>
  <c r="BD299" i="3"/>
  <c r="BF300" i="3"/>
  <c r="G57" i="4"/>
  <c r="BD302" i="3"/>
  <c r="BB314" i="3"/>
  <c r="AT315" i="3"/>
  <c r="AT313" i="3" s="1"/>
  <c r="AT291" i="3"/>
  <c r="AU330" i="3"/>
  <c r="AV330" i="3"/>
  <c r="AV315" i="3"/>
  <c r="AV313" i="3" s="1"/>
  <c r="AV291" i="3"/>
  <c r="AS330" i="3"/>
  <c r="BF303" i="3"/>
  <c r="BB304" i="3"/>
  <c r="BD303" i="3"/>
  <c r="BE300" i="3"/>
  <c r="AY96" i="3"/>
  <c r="AS272" i="3"/>
  <c r="AT235" i="3"/>
  <c r="AS268" i="3"/>
  <c r="AT219" i="3"/>
  <c r="F22" i="5"/>
  <c r="AZ98" i="3"/>
  <c r="AY98" i="3"/>
  <c r="AX98" i="3"/>
  <c r="AW98" i="3"/>
  <c r="AW97" i="3" s="1"/>
  <c r="AS256" i="3"/>
  <c r="AT127" i="3"/>
  <c r="AU228" i="3"/>
  <c r="AU229" i="3"/>
  <c r="AW225" i="3"/>
  <c r="AR276" i="3"/>
  <c r="AV268" i="3"/>
  <c r="AV276" i="3" s="1"/>
  <c r="AR196" i="3"/>
  <c r="AZ103" i="3"/>
  <c r="AS264" i="3"/>
  <c r="AT146" i="3"/>
  <c r="AS150" i="3"/>
  <c r="AJ273" i="3"/>
  <c r="AK236" i="3"/>
  <c r="AJ237" i="3"/>
  <c r="AO243" i="3"/>
  <c r="AO259" i="3" s="1"/>
  <c r="AO280" i="3" s="1"/>
  <c r="AO104" i="3"/>
  <c r="AO105" i="3"/>
  <c r="AO3" i="3"/>
  <c r="K21" i="4"/>
  <c r="K48" i="4"/>
  <c r="K23" i="4"/>
  <c r="K20" i="4"/>
  <c r="D73" i="4" s="1"/>
  <c r="D74" i="4" s="1"/>
  <c r="D75" i="4" s="1"/>
  <c r="D76" i="4" s="1"/>
  <c r="BF39" i="3"/>
  <c r="BC96" i="3"/>
  <c r="AP253" i="3"/>
  <c r="AQ170" i="3"/>
  <c r="AR170" i="3" s="1"/>
  <c r="BF261" i="3"/>
  <c r="BB266" i="3"/>
  <c r="BB96" i="3"/>
  <c r="AO252" i="3"/>
  <c r="AP169" i="3"/>
  <c r="AP168" i="3"/>
  <c r="AR171" i="3"/>
  <c r="AR172" i="3"/>
  <c r="AR269" i="3"/>
  <c r="AV269" i="3" s="1"/>
  <c r="AS220" i="3"/>
  <c r="AQ3" i="3"/>
  <c r="AQ105" i="3"/>
  <c r="AR201" i="3"/>
  <c r="AR202" i="3" s="1"/>
  <c r="BD39" i="3"/>
  <c r="BD314" i="3" s="1"/>
  <c r="AW103" i="3"/>
  <c r="BA96" i="3"/>
  <c r="AT179" i="3"/>
  <c r="AO137" i="3"/>
  <c r="AN132" i="3"/>
  <c r="AN321" i="3" s="1"/>
  <c r="BE96" i="3"/>
  <c r="AT178" i="3"/>
  <c r="BD261" i="3"/>
  <c r="BD266" i="3" s="1"/>
  <c r="BD139" i="3"/>
  <c r="AT97" i="3"/>
  <c r="AT103" i="3"/>
  <c r="S5" i="3"/>
  <c r="R6" i="3"/>
  <c r="H38" i="4"/>
  <c r="AR155" i="3"/>
  <c r="AR156" i="3" s="1"/>
  <c r="AT230" i="3"/>
  <c r="AT231" i="3"/>
  <c r="AS230" i="3"/>
  <c r="AS231" i="3"/>
  <c r="AR231" i="3"/>
  <c r="AS249" i="3"/>
  <c r="AT120" i="3"/>
  <c r="AR121" i="3"/>
  <c r="AR122" i="3"/>
  <c r="AJ259" i="3"/>
  <c r="AJ280" i="3" s="1"/>
  <c r="AL243" i="3"/>
  <c r="AL259" i="3" s="1"/>
  <c r="R280" i="3"/>
  <c r="R281" i="3" s="1"/>
  <c r="N281" i="3"/>
  <c r="AM259" i="3"/>
  <c r="AM280" i="3" s="1"/>
  <c r="AQ280" i="3" s="1"/>
  <c r="AQ243" i="3"/>
  <c r="AQ259" i="3" s="1"/>
  <c r="AQ156" i="3"/>
  <c r="AS248" i="3"/>
  <c r="AT119" i="3"/>
  <c r="AR243" i="3"/>
  <c r="AR105" i="3"/>
  <c r="AR104" i="3"/>
  <c r="AV104" i="3" s="1"/>
  <c r="AR3" i="3"/>
  <c r="AV103" i="3"/>
  <c r="AV97" i="3"/>
  <c r="AV98" i="3" s="1"/>
  <c r="I24" i="4" s="1"/>
  <c r="I25" i="4" s="1"/>
  <c r="AQ237" i="3"/>
  <c r="AR214" i="3"/>
  <c r="AS270" i="3"/>
  <c r="AT233" i="3"/>
  <c r="J40" i="4"/>
  <c r="BA266" i="3"/>
  <c r="AX103" i="3"/>
  <c r="AR142" i="3"/>
  <c r="AR180" i="3"/>
  <c r="AR181" i="3"/>
  <c r="AS271" i="3"/>
  <c r="AT234" i="3"/>
  <c r="BD244" i="3"/>
  <c r="BD136" i="3"/>
  <c r="AL105" i="3"/>
  <c r="AL3" i="3"/>
  <c r="AS243" i="3"/>
  <c r="AS259" i="3" s="1"/>
  <c r="AS280" i="3" s="1"/>
  <c r="AS105" i="3"/>
  <c r="AS104" i="3"/>
  <c r="AS3" i="3"/>
  <c r="AS255" i="3"/>
  <c r="AT205" i="3"/>
  <c r="AU243" i="3"/>
  <c r="AU259" i="3" s="1"/>
  <c r="AU280" i="3" s="1"/>
  <c r="AU105" i="3"/>
  <c r="AU104" i="3"/>
  <c r="AU3" i="3"/>
  <c r="H39" i="4"/>
  <c r="AR206" i="3"/>
  <c r="AR207" i="3" s="1"/>
  <c r="AQ143" i="3"/>
  <c r="BE315" i="3" l="1"/>
  <c r="BE313" i="3" s="1"/>
  <c r="BE291" i="3"/>
  <c r="BC315" i="3"/>
  <c r="BC313" i="3" s="1"/>
  <c r="BC291" i="3"/>
  <c r="K22" i="4"/>
  <c r="BF314" i="3"/>
  <c r="AT330" i="3"/>
  <c r="AW330" i="3"/>
  <c r="BA315" i="3"/>
  <c r="BA291" i="3"/>
  <c r="AQ332" i="3"/>
  <c r="AQ294" i="3"/>
  <c r="AQ301" i="3"/>
  <c r="AX330" i="3"/>
  <c r="BB315" i="3"/>
  <c r="BB291" i="3"/>
  <c r="BE304" i="3"/>
  <c r="BB313" i="3"/>
  <c r="AQ334" i="3"/>
  <c r="BF304" i="3"/>
  <c r="BA313" i="3"/>
  <c r="AJ332" i="3"/>
  <c r="AJ294" i="3"/>
  <c r="AJ301" i="3"/>
  <c r="AJ334" i="3"/>
  <c r="AY315" i="3"/>
  <c r="AY313" i="3" s="1"/>
  <c r="AY291" i="3"/>
  <c r="BD304" i="3"/>
  <c r="T5" i="3"/>
  <c r="S6" i="3"/>
  <c r="S7" i="3" s="1"/>
  <c r="S13" i="3" s="1"/>
  <c r="S108" i="3" s="1"/>
  <c r="S241" i="3" s="1"/>
  <c r="S285" i="3" s="1"/>
  <c r="S116" i="3"/>
  <c r="S165" i="3"/>
  <c r="S112" i="3"/>
  <c r="BD96" i="3"/>
  <c r="K40" i="4"/>
  <c r="BF266" i="3"/>
  <c r="BE98" i="3"/>
  <c r="BE97" i="3" s="1"/>
  <c r="BD98" i="3"/>
  <c r="BC98" i="3"/>
  <c r="BB98" i="3"/>
  <c r="AT255" i="3"/>
  <c r="AU205" i="3"/>
  <c r="AR250" i="3"/>
  <c r="AV250" i="3" s="1"/>
  <c r="I32" i="4" s="1"/>
  <c r="AS121" i="3"/>
  <c r="AS122" i="3" s="1"/>
  <c r="AT271" i="3"/>
  <c r="AU234" i="3"/>
  <c r="AR274" i="3"/>
  <c r="AV274" i="3" s="1"/>
  <c r="AS214" i="3"/>
  <c r="AT248" i="3"/>
  <c r="AU119" i="3"/>
  <c r="AS171" i="3"/>
  <c r="AR254" i="3"/>
  <c r="AV254" i="3" s="1"/>
  <c r="I36" i="4" s="1"/>
  <c r="AS172" i="3"/>
  <c r="AW228" i="3"/>
  <c r="AW229" i="3"/>
  <c r="AY225" i="3"/>
  <c r="AX225" i="3"/>
  <c r="AT268" i="3"/>
  <c r="AU219" i="3"/>
  <c r="AP252" i="3"/>
  <c r="AQ168" i="3"/>
  <c r="AQ169" i="3"/>
  <c r="AR253" i="3"/>
  <c r="AV253" i="3" s="1"/>
  <c r="I35" i="4" s="1"/>
  <c r="AS170" i="3"/>
  <c r="AK273" i="3"/>
  <c r="AL236" i="3"/>
  <c r="AM236" i="3" s="1"/>
  <c r="AK237" i="3"/>
  <c r="AS276" i="3"/>
  <c r="AS196" i="3"/>
  <c r="AS198" i="3" s="1"/>
  <c r="AS199" i="3" s="1"/>
  <c r="AS180" i="3"/>
  <c r="AR275" i="3"/>
  <c r="AO132" i="3"/>
  <c r="AO321" i="3" s="1"/>
  <c r="AP137" i="3"/>
  <c r="AT272" i="3"/>
  <c r="AU235" i="3"/>
  <c r="AT243" i="3"/>
  <c r="AT259" i="3" s="1"/>
  <c r="AT280" i="3" s="1"/>
  <c r="AT105" i="3"/>
  <c r="AT104" i="3"/>
  <c r="AT3" i="3"/>
  <c r="AR263" i="3"/>
  <c r="AV263" i="3" s="1"/>
  <c r="AS142" i="3"/>
  <c r="AS143" i="3" s="1"/>
  <c r="AU179" i="3"/>
  <c r="BC103" i="3"/>
  <c r="AT256" i="3"/>
  <c r="AU127" i="3"/>
  <c r="AS269" i="3"/>
  <c r="AT220" i="3"/>
  <c r="AT249" i="3"/>
  <c r="AU120" i="3"/>
  <c r="AT264" i="3"/>
  <c r="AT150" i="3"/>
  <c r="AU146" i="3"/>
  <c r="AY103" i="3"/>
  <c r="BB330" i="3" s="1"/>
  <c r="AY97" i="3"/>
  <c r="AR143" i="3"/>
  <c r="AX97" i="3"/>
  <c r="BF96" i="3"/>
  <c r="BB103" i="3"/>
  <c r="BB97" i="3"/>
  <c r="BA97" i="3"/>
  <c r="BA98" i="3" s="1"/>
  <c r="J24" i="4" s="1"/>
  <c r="J25" i="4" s="1"/>
  <c r="AT270" i="3"/>
  <c r="AU233" i="3"/>
  <c r="AS206" i="3"/>
  <c r="AS207" i="3" s="1"/>
  <c r="AV105" i="3"/>
  <c r="AV3" i="3"/>
  <c r="AU230" i="3"/>
  <c r="AW230" i="3" s="1"/>
  <c r="AU231" i="3"/>
  <c r="AS201" i="3"/>
  <c r="AS202" i="3" s="1"/>
  <c r="AX243" i="3"/>
  <c r="AX259" i="3" s="1"/>
  <c r="AX280" i="3" s="1"/>
  <c r="AX105" i="3"/>
  <c r="AX104" i="3"/>
  <c r="AX3" i="3"/>
  <c r="AR265" i="3"/>
  <c r="AV265" i="3" s="1"/>
  <c r="AS155" i="3"/>
  <c r="AS156" i="3" s="1"/>
  <c r="AZ97" i="3"/>
  <c r="AW243" i="3"/>
  <c r="AW105" i="3"/>
  <c r="AW104" i="3"/>
  <c r="BA104" i="3" s="1"/>
  <c r="BA103" i="3"/>
  <c r="AW3" i="3"/>
  <c r="AR259" i="3"/>
  <c r="AR280" i="3" s="1"/>
  <c r="AV280" i="3" s="1"/>
  <c r="AV243" i="3"/>
  <c r="AV259" i="3" s="1"/>
  <c r="BE103" i="3"/>
  <c r="AU178" i="3"/>
  <c r="AZ243" i="3"/>
  <c r="AZ259" i="3" s="1"/>
  <c r="AZ280" i="3" s="1"/>
  <c r="AZ105" i="3"/>
  <c r="AZ104" i="3"/>
  <c r="AZ3" i="3"/>
  <c r="AZ330" i="3" l="1"/>
  <c r="BD315" i="3"/>
  <c r="BD313" i="3" s="1"/>
  <c r="BD291" i="3"/>
  <c r="BC330" i="3"/>
  <c r="AK332" i="3"/>
  <c r="AK294" i="3"/>
  <c r="AK301" i="3"/>
  <c r="AK334" i="3"/>
  <c r="AY330" i="3"/>
  <c r="BF313" i="3"/>
  <c r="BF330" i="3"/>
  <c r="BF315" i="3"/>
  <c r="BF291" i="3"/>
  <c r="BA330" i="3"/>
  <c r="AV179" i="3"/>
  <c r="AW179" i="3" s="1"/>
  <c r="AS250" i="3"/>
  <c r="AT121" i="3"/>
  <c r="BD97" i="3"/>
  <c r="BD103" i="3"/>
  <c r="AT180" i="3"/>
  <c r="AT181" i="3"/>
  <c r="AS275" i="3"/>
  <c r="AV235" i="3"/>
  <c r="AW235" i="3" s="1"/>
  <c r="AU272" i="3"/>
  <c r="BB243" i="3"/>
  <c r="BF103" i="3"/>
  <c r="BB105" i="3"/>
  <c r="BB104" i="3"/>
  <c r="BF104" i="3" s="1"/>
  <c r="BB3" i="3"/>
  <c r="AU249" i="3"/>
  <c r="AV120" i="3"/>
  <c r="AW120" i="3" s="1"/>
  <c r="AN236" i="3"/>
  <c r="AM273" i="3"/>
  <c r="AQ273" i="3" s="1"/>
  <c r="AM237" i="3"/>
  <c r="AU255" i="3"/>
  <c r="AV205" i="3"/>
  <c r="AW205" i="3" s="1"/>
  <c r="AU264" i="3"/>
  <c r="AU150" i="3"/>
  <c r="AV146" i="3"/>
  <c r="AW146" i="3" s="1"/>
  <c r="AT201" i="3"/>
  <c r="AT202" i="3"/>
  <c r="BE243" i="3"/>
  <c r="BE259" i="3" s="1"/>
  <c r="BE280" i="3" s="1"/>
  <c r="BE105" i="3"/>
  <c r="BE104" i="3"/>
  <c r="BE3" i="3"/>
  <c r="AS265" i="3"/>
  <c r="AT155" i="3"/>
  <c r="AT156" i="3" s="1"/>
  <c r="AP132" i="3"/>
  <c r="AP321" i="3" s="1"/>
  <c r="AR137" i="3"/>
  <c r="AS254" i="3"/>
  <c r="AT171" i="3"/>
  <c r="AT172" i="3"/>
  <c r="AX231" i="3"/>
  <c r="AW231" i="3"/>
  <c r="AY231" i="3"/>
  <c r="AS263" i="3"/>
  <c r="AT142" i="3"/>
  <c r="AT143" i="3"/>
  <c r="AS253" i="3"/>
  <c r="AT170" i="3"/>
  <c r="AU268" i="3"/>
  <c r="AV219" i="3"/>
  <c r="AW219" i="3" s="1"/>
  <c r="AU248" i="3"/>
  <c r="AV119" i="3"/>
  <c r="AW119" i="3" s="1"/>
  <c r="AT276" i="3"/>
  <c r="AT196" i="3"/>
  <c r="AT198" i="3" s="1"/>
  <c r="AT199" i="3" s="1"/>
  <c r="AW185" i="3"/>
  <c r="AV178" i="3"/>
  <c r="BF97" i="3"/>
  <c r="BF98" i="3" s="1"/>
  <c r="K24" i="4" s="1"/>
  <c r="K25" i="4" s="1"/>
  <c r="AX229" i="3"/>
  <c r="AX228" i="3"/>
  <c r="AS274" i="3"/>
  <c r="AT214" i="3"/>
  <c r="AU256" i="3"/>
  <c r="AV127" i="3"/>
  <c r="AW127" i="3" s="1"/>
  <c r="AR168" i="3"/>
  <c r="AR169" i="3"/>
  <c r="AZ225" i="3"/>
  <c r="AY229" i="3"/>
  <c r="AY228" i="3"/>
  <c r="BC243" i="3"/>
  <c r="BC259" i="3" s="1"/>
  <c r="BC280" i="3" s="1"/>
  <c r="BC3" i="3"/>
  <c r="BC105" i="3"/>
  <c r="BC104" i="3"/>
  <c r="AW259" i="3"/>
  <c r="AW280" i="3" s="1"/>
  <c r="BA280" i="3" s="1"/>
  <c r="BA243" i="3"/>
  <c r="BA259" i="3" s="1"/>
  <c r="BA105" i="3"/>
  <c r="BA3" i="3"/>
  <c r="AT206" i="3"/>
  <c r="AT269" i="3"/>
  <c r="AU220" i="3"/>
  <c r="AU270" i="3"/>
  <c r="AV233" i="3"/>
  <c r="AW233" i="3" s="1"/>
  <c r="AY243" i="3"/>
  <c r="AY259" i="3" s="1"/>
  <c r="AY280" i="3" s="1"/>
  <c r="AY105" i="3"/>
  <c r="AY104" i="3"/>
  <c r="AY3" i="3"/>
  <c r="BC97" i="3"/>
  <c r="AS181" i="3"/>
  <c r="AU271" i="3"/>
  <c r="AV234" i="3"/>
  <c r="AW234" i="3" s="1"/>
  <c r="U5" i="3"/>
  <c r="T6" i="3"/>
  <c r="T7" i="3" s="1"/>
  <c r="T13" i="3" s="1"/>
  <c r="T108" i="3" s="1"/>
  <c r="T241" i="3" s="1"/>
  <c r="T285" i="3" s="1"/>
  <c r="T116" i="3"/>
  <c r="T112" i="3"/>
  <c r="T165" i="3"/>
  <c r="BE330" i="3" l="1"/>
  <c r="BD330" i="3"/>
  <c r="AX230" i="3"/>
  <c r="AW178" i="3"/>
  <c r="AM332" i="3"/>
  <c r="AM294" i="3"/>
  <c r="AM301" i="3"/>
  <c r="AM334" i="3"/>
  <c r="AY230" i="3"/>
  <c r="AZ231" i="3"/>
  <c r="AU180" i="3"/>
  <c r="AT275" i="3"/>
  <c r="AT263" i="3"/>
  <c r="AU142" i="3"/>
  <c r="AU143" i="3" s="1"/>
  <c r="AR132" i="3"/>
  <c r="AR321" i="3" s="1"/>
  <c r="AS137" i="3"/>
  <c r="AU201" i="3"/>
  <c r="BD243" i="3"/>
  <c r="BD259" i="3" s="1"/>
  <c r="BD280" i="3" s="1"/>
  <c r="BD3" i="3"/>
  <c r="BD105" i="3"/>
  <c r="BD104" i="3"/>
  <c r="AQ132" i="3"/>
  <c r="AQ321" i="3" s="1"/>
  <c r="AW264" i="3"/>
  <c r="BA264" i="3" s="1"/>
  <c r="AW150" i="3"/>
  <c r="AX146" i="3"/>
  <c r="AU170" i="3"/>
  <c r="AT253" i="3"/>
  <c r="AX178" i="3"/>
  <c r="AT274" i="3"/>
  <c r="AU214" i="3"/>
  <c r="BF105" i="3"/>
  <c r="BF3" i="3"/>
  <c r="AW270" i="3"/>
  <c r="BA270" i="3" s="1"/>
  <c r="AX233" i="3"/>
  <c r="AT265" i="3"/>
  <c r="AU155" i="3"/>
  <c r="BB259" i="3"/>
  <c r="BB280" i="3" s="1"/>
  <c r="BF280" i="3" s="1"/>
  <c r="BF243" i="3"/>
  <c r="BF259" i="3" s="1"/>
  <c r="AW272" i="3"/>
  <c r="BA272" i="3" s="1"/>
  <c r="AX235" i="3"/>
  <c r="AT250" i="3"/>
  <c r="AU121" i="3"/>
  <c r="AU122" i="3" s="1"/>
  <c r="V5" i="3"/>
  <c r="U6" i="3"/>
  <c r="U7" i="3" s="1"/>
  <c r="U13" i="3" s="1"/>
  <c r="U108" i="3" s="1"/>
  <c r="U241" i="3" s="1"/>
  <c r="U285" i="3" s="1"/>
  <c r="U165" i="3"/>
  <c r="U112" i="3"/>
  <c r="U116" i="3"/>
  <c r="AW255" i="3"/>
  <c r="BA255" i="3" s="1"/>
  <c r="J37" i="4" s="1"/>
  <c r="AX205" i="3"/>
  <c r="AT122" i="3"/>
  <c r="AU206" i="3"/>
  <c r="AZ228" i="3"/>
  <c r="AZ229" i="3"/>
  <c r="AZ230" i="3" s="1"/>
  <c r="BB225" i="3"/>
  <c r="AW248" i="3"/>
  <c r="BA248" i="3" s="1"/>
  <c r="J30" i="4" s="1"/>
  <c r="AX119" i="3"/>
  <c r="AW249" i="3"/>
  <c r="BA249" i="3" s="1"/>
  <c r="J31" i="4" s="1"/>
  <c r="AX120" i="3"/>
  <c r="AT254" i="3"/>
  <c r="AU171" i="3"/>
  <c r="AU172" i="3"/>
  <c r="AX234" i="3"/>
  <c r="AW271" i="3"/>
  <c r="BA271" i="3" s="1"/>
  <c r="AT207" i="3"/>
  <c r="AR252" i="3"/>
  <c r="AV252" i="3" s="1"/>
  <c r="I34" i="4" s="1"/>
  <c r="AS168" i="3"/>
  <c r="AS169" i="3"/>
  <c r="AW199" i="3"/>
  <c r="AX179" i="3"/>
  <c r="AU269" i="3"/>
  <c r="AV220" i="3"/>
  <c r="AW220" i="3" s="1"/>
  <c r="AW256" i="3"/>
  <c r="BA256" i="3" s="1"/>
  <c r="AX127" i="3"/>
  <c r="AW268" i="3"/>
  <c r="AX219" i="3"/>
  <c r="D65" i="4"/>
  <c r="AU276" i="3"/>
  <c r="AU196" i="3"/>
  <c r="AU198" i="3" s="1"/>
  <c r="AU199" i="3" s="1"/>
  <c r="AN273" i="3"/>
  <c r="AO236" i="3"/>
  <c r="AN237" i="3"/>
  <c r="AN332" i="3" l="1"/>
  <c r="AN294" i="3"/>
  <c r="AN301" i="3"/>
  <c r="AN334" i="3"/>
  <c r="AU265" i="3"/>
  <c r="AV155" i="3"/>
  <c r="AU156" i="3"/>
  <c r="AY178" i="3"/>
  <c r="AX270" i="3"/>
  <c r="AY233" i="3"/>
  <c r="AX268" i="3"/>
  <c r="AY219" i="3"/>
  <c r="AS252" i="3"/>
  <c r="AT169" i="3"/>
  <c r="AT168" i="3"/>
  <c r="AV206" i="3"/>
  <c r="AU253" i="3"/>
  <c r="AV170" i="3"/>
  <c r="AW170" i="3" s="1"/>
  <c r="AV201" i="3"/>
  <c r="AV202" i="3" s="1"/>
  <c r="AV180" i="3"/>
  <c r="AU275" i="3"/>
  <c r="AV275" i="3" s="1"/>
  <c r="BC225" i="3"/>
  <c r="BB229" i="3"/>
  <c r="BD225" i="3"/>
  <c r="BB228" i="3"/>
  <c r="AX264" i="3"/>
  <c r="AX150" i="3"/>
  <c r="AY146" i="3"/>
  <c r="AU202" i="3"/>
  <c r="AU181" i="3"/>
  <c r="AX248" i="3"/>
  <c r="AY119" i="3"/>
  <c r="AW269" i="3"/>
  <c r="BA269" i="3" s="1"/>
  <c r="AX220" i="3"/>
  <c r="AY179" i="3"/>
  <c r="AX272" i="3"/>
  <c r="AY235" i="3"/>
  <c r="AT137" i="3"/>
  <c r="AS132" i="3"/>
  <c r="AS321" i="3" s="1"/>
  <c r="W5" i="3"/>
  <c r="V6" i="3"/>
  <c r="V7" i="3" s="1"/>
  <c r="V13" i="3" s="1"/>
  <c r="V108" i="3" s="1"/>
  <c r="V241" i="3" s="1"/>
  <c r="V285" i="3" s="1"/>
  <c r="V165" i="3"/>
  <c r="V116" i="3"/>
  <c r="V112" i="3"/>
  <c r="AU250" i="3"/>
  <c r="AV121" i="3"/>
  <c r="AX271" i="3"/>
  <c r="AY234" i="3"/>
  <c r="AU254" i="3"/>
  <c r="AV171" i="3"/>
  <c r="AV172" i="3" s="1"/>
  <c r="AU274" i="3"/>
  <c r="AV214" i="3"/>
  <c r="AX249" i="3"/>
  <c r="AY120" i="3"/>
  <c r="AW276" i="3"/>
  <c r="BA268" i="3"/>
  <c r="BA276" i="3" s="1"/>
  <c r="AW196" i="3"/>
  <c r="AX256" i="3"/>
  <c r="AY127" i="3"/>
  <c r="AO273" i="3"/>
  <c r="AP236" i="3"/>
  <c r="AO237" i="3"/>
  <c r="AU207" i="3"/>
  <c r="AX255" i="3"/>
  <c r="AY205" i="3"/>
  <c r="AU263" i="3"/>
  <c r="AV142" i="3"/>
  <c r="AV143" i="3" s="1"/>
  <c r="AV181" i="3" l="1"/>
  <c r="AO332" i="3"/>
  <c r="AO294" i="3"/>
  <c r="AO301" i="3"/>
  <c r="AO334" i="3"/>
  <c r="BB230" i="3"/>
  <c r="BB231" i="3" s="1"/>
  <c r="BD231" i="3"/>
  <c r="BC231" i="3"/>
  <c r="AY272" i="3"/>
  <c r="AZ235" i="3"/>
  <c r="AZ179" i="3"/>
  <c r="AZ178" i="3"/>
  <c r="AW253" i="3"/>
  <c r="BA253" i="3" s="1"/>
  <c r="J35" i="4" s="1"/>
  <c r="AX170" i="3"/>
  <c r="AY249" i="3"/>
  <c r="AZ120" i="3"/>
  <c r="I39" i="4"/>
  <c r="AW206" i="3"/>
  <c r="AW207" i="3"/>
  <c r="AX269" i="3"/>
  <c r="AY220" i="3"/>
  <c r="BC228" i="3"/>
  <c r="BC229" i="3"/>
  <c r="AV207" i="3"/>
  <c r="AZ233" i="3"/>
  <c r="AY270" i="3"/>
  <c r="AY255" i="3"/>
  <c r="AZ205" i="3"/>
  <c r="AW121" i="3"/>
  <c r="AW122" i="3" s="1"/>
  <c r="AY248" i="3"/>
  <c r="AZ119" i="3"/>
  <c r="AT252" i="3"/>
  <c r="AU169" i="3"/>
  <c r="AU168" i="3"/>
  <c r="I38" i="4"/>
  <c r="AW155" i="3"/>
  <c r="AW156" i="3" s="1"/>
  <c r="BD229" i="3"/>
  <c r="BE225" i="3"/>
  <c r="BD228" i="3"/>
  <c r="AV156" i="3"/>
  <c r="AW201" i="3"/>
  <c r="AW202" i="3" s="1"/>
  <c r="AZ234" i="3"/>
  <c r="AY271" i="3"/>
  <c r="AV122" i="3"/>
  <c r="AT132" i="3"/>
  <c r="AT321" i="3" s="1"/>
  <c r="AU137" i="3"/>
  <c r="AW171" i="3"/>
  <c r="AW172" i="3"/>
  <c r="X5" i="3"/>
  <c r="W6" i="3"/>
  <c r="AY268" i="3"/>
  <c r="AZ219" i="3"/>
  <c r="AP273" i="3"/>
  <c r="AQ236" i="3"/>
  <c r="AR236" i="3" s="1"/>
  <c r="AP237" i="3"/>
  <c r="AV237" i="3"/>
  <c r="AV301" i="3" s="1"/>
  <c r="AW214" i="3"/>
  <c r="AW142" i="3"/>
  <c r="AW143" i="3" s="1"/>
  <c r="AY256" i="3"/>
  <c r="AZ127" i="3"/>
  <c r="AY264" i="3"/>
  <c r="AZ146" i="3"/>
  <c r="AY150" i="3"/>
  <c r="AW180" i="3"/>
  <c r="AX276" i="3"/>
  <c r="AX196" i="3"/>
  <c r="AX198" i="3" s="1"/>
  <c r="AX199" i="3" s="1"/>
  <c r="AP332" i="3" l="1"/>
  <c r="AP294" i="3"/>
  <c r="AP301" i="3"/>
  <c r="AP334" i="3"/>
  <c r="BC230" i="3"/>
  <c r="BD230" i="3"/>
  <c r="BE231" i="3" s="1"/>
  <c r="AV332" i="3"/>
  <c r="AV294" i="3"/>
  <c r="AV334" i="3"/>
  <c r="AU252" i="3"/>
  <c r="AV169" i="3"/>
  <c r="AV168" i="3"/>
  <c r="AY269" i="3"/>
  <c r="AZ220" i="3"/>
  <c r="BA179" i="3"/>
  <c r="BB179" i="3" s="1"/>
  <c r="AX180" i="3"/>
  <c r="AW275" i="3"/>
  <c r="AZ248" i="3"/>
  <c r="BA119" i="3"/>
  <c r="BB119" i="3" s="1"/>
  <c r="AX206" i="3"/>
  <c r="AX207" i="3"/>
  <c r="AZ272" i="3"/>
  <c r="BA235" i="3"/>
  <c r="BB235" i="3" s="1"/>
  <c r="AY276" i="3"/>
  <c r="AY196" i="3"/>
  <c r="AY198" i="3" s="1"/>
  <c r="AY199" i="3" s="1"/>
  <c r="AW250" i="3"/>
  <c r="BA250" i="3" s="1"/>
  <c r="J32" i="4" s="1"/>
  <c r="AX121" i="3"/>
  <c r="AX122" i="3"/>
  <c r="AX201" i="3"/>
  <c r="AW263" i="3"/>
  <c r="BA263" i="3" s="1"/>
  <c r="AX142" i="3"/>
  <c r="BE229" i="3"/>
  <c r="BE228" i="3"/>
  <c r="AZ255" i="3"/>
  <c r="BA205" i="3"/>
  <c r="BB205" i="3" s="1"/>
  <c r="AZ249" i="3"/>
  <c r="BA120" i="3"/>
  <c r="BB120" i="3" s="1"/>
  <c r="BA178" i="3"/>
  <c r="BB185" i="3"/>
  <c r="X6" i="3"/>
  <c r="X7" i="3" s="1"/>
  <c r="X13" i="3" s="1"/>
  <c r="X108" i="3" s="1"/>
  <c r="X241" i="3" s="1"/>
  <c r="X285" i="3" s="1"/>
  <c r="Y5" i="3"/>
  <c r="X165" i="3"/>
  <c r="X112" i="3"/>
  <c r="X116" i="3"/>
  <c r="AW254" i="3"/>
  <c r="BA254" i="3" s="1"/>
  <c r="J36" i="4" s="1"/>
  <c r="AX171" i="3"/>
  <c r="AX172" i="3"/>
  <c r="AW274" i="3"/>
  <c r="BA274" i="3" s="1"/>
  <c r="AX214" i="3"/>
  <c r="AW265" i="3"/>
  <c r="BA265" i="3" s="1"/>
  <c r="AX155" i="3"/>
  <c r="AX253" i="3"/>
  <c r="AY170" i="3"/>
  <c r="AZ268" i="3"/>
  <c r="BA219" i="3"/>
  <c r="BB219" i="3" s="1"/>
  <c r="AZ264" i="3"/>
  <c r="BA146" i="3"/>
  <c r="BB146" i="3" s="1"/>
  <c r="AZ150" i="3"/>
  <c r="AZ256" i="3"/>
  <c r="BA127" i="3"/>
  <c r="BB127" i="3" s="1"/>
  <c r="AW137" i="3"/>
  <c r="AU132" i="3"/>
  <c r="AU321" i="3" s="1"/>
  <c r="AZ270" i="3"/>
  <c r="BA233" i="3"/>
  <c r="BB233" i="3" s="1"/>
  <c r="AZ271" i="3"/>
  <c r="BA234" i="3"/>
  <c r="BB234" i="3" s="1"/>
  <c r="AW181" i="3"/>
  <c r="AR273" i="3"/>
  <c r="AV273" i="3" s="1"/>
  <c r="AS236" i="3"/>
  <c r="AR237" i="3"/>
  <c r="BB178" i="3" l="1"/>
  <c r="AR332" i="3"/>
  <c r="AR294" i="3"/>
  <c r="AR334" i="3"/>
  <c r="AR301" i="3"/>
  <c r="BE230" i="3"/>
  <c r="BB255" i="3"/>
  <c r="BF255" i="3" s="1"/>
  <c r="K37" i="4" s="1"/>
  <c r="BC205" i="3"/>
  <c r="AY180" i="3"/>
  <c r="AX275" i="3"/>
  <c r="AX265" i="3"/>
  <c r="AY155" i="3"/>
  <c r="AY156" i="3" s="1"/>
  <c r="AX181" i="3"/>
  <c r="BC179" i="3"/>
  <c r="BB199" i="3"/>
  <c r="Y6" i="3"/>
  <c r="Y7" i="3" s="1"/>
  <c r="Y13" i="3" s="1"/>
  <c r="Y108" i="3" s="1"/>
  <c r="Y241" i="3" s="1"/>
  <c r="Y285" i="3" s="1"/>
  <c r="Z5" i="3"/>
  <c r="Y165" i="3"/>
  <c r="Y116" i="3"/>
  <c r="Y112" i="3"/>
  <c r="AX263" i="3"/>
  <c r="AY142" i="3"/>
  <c r="AY143" i="3" s="1"/>
  <c r="AZ269" i="3"/>
  <c r="BA220" i="3"/>
  <c r="BB220" i="3" s="1"/>
  <c r="BB256" i="3"/>
  <c r="BF256" i="3" s="1"/>
  <c r="BC127" i="3"/>
  <c r="BB272" i="3"/>
  <c r="BF272" i="3" s="1"/>
  <c r="BC235" i="3"/>
  <c r="AX143" i="3"/>
  <c r="AY206" i="3"/>
  <c r="AY207" i="3" s="1"/>
  <c r="BB248" i="3"/>
  <c r="BF248" i="3" s="1"/>
  <c r="K30" i="4" s="1"/>
  <c r="BC119" i="3"/>
  <c r="AW169" i="3"/>
  <c r="AW168" i="3"/>
  <c r="BB264" i="3"/>
  <c r="BF264" i="3" s="1"/>
  <c r="BB150" i="3"/>
  <c r="BC146" i="3"/>
  <c r="BB268" i="3"/>
  <c r="BC219" i="3"/>
  <c r="AZ276" i="3"/>
  <c r="AZ196" i="3"/>
  <c r="AZ198" i="3" s="1"/>
  <c r="AZ199" i="3" s="1"/>
  <c r="BC178" i="3"/>
  <c r="AY201" i="3"/>
  <c r="BB271" i="3"/>
  <c r="BF271" i="3" s="1"/>
  <c r="BC234" i="3"/>
  <c r="AV132" i="3"/>
  <c r="AV321" i="3" s="1"/>
  <c r="AX202" i="3"/>
  <c r="BB270" i="3"/>
  <c r="BF270" i="3" s="1"/>
  <c r="BC233" i="3"/>
  <c r="AS273" i="3"/>
  <c r="AT236" i="3"/>
  <c r="AS237" i="3"/>
  <c r="AX274" i="3"/>
  <c r="AY214" i="3"/>
  <c r="AY253" i="3"/>
  <c r="AZ170" i="3"/>
  <c r="AX137" i="3"/>
  <c r="AW132" i="3"/>
  <c r="AW321" i="3" s="1"/>
  <c r="AX156" i="3"/>
  <c r="AX254" i="3"/>
  <c r="AY171" i="3"/>
  <c r="AY172" i="3" s="1"/>
  <c r="BB249" i="3"/>
  <c r="BF249" i="3" s="1"/>
  <c r="K31" i="4" s="1"/>
  <c r="BC120" i="3"/>
  <c r="AX250" i="3"/>
  <c r="AY121" i="3"/>
  <c r="AS332" i="3" l="1"/>
  <c r="AS294" i="3"/>
  <c r="AS334" i="3"/>
  <c r="AS301" i="3"/>
  <c r="BD178" i="3"/>
  <c r="BC248" i="3"/>
  <c r="BD119" i="3"/>
  <c r="AY263" i="3"/>
  <c r="AZ142" i="3"/>
  <c r="AZ143" i="3"/>
  <c r="AY137" i="3"/>
  <c r="AX132" i="3"/>
  <c r="AX321" i="3" s="1"/>
  <c r="AZ206" i="3"/>
  <c r="AZ207" i="3" s="1"/>
  <c r="AY274" i="3"/>
  <c r="AZ214" i="3"/>
  <c r="AZ253" i="3"/>
  <c r="BA170" i="3"/>
  <c r="BB170" i="3" s="1"/>
  <c r="AY250" i="3"/>
  <c r="AZ121" i="3"/>
  <c r="AY122" i="3"/>
  <c r="BC268" i="3"/>
  <c r="BD219" i="3"/>
  <c r="BC272" i="3"/>
  <c r="BD235" i="3"/>
  <c r="AA5" i="3"/>
  <c r="Z6" i="3"/>
  <c r="Z7" i="3" s="1"/>
  <c r="Z13" i="3" s="1"/>
  <c r="Z108" i="3" s="1"/>
  <c r="Z241" i="3" s="1"/>
  <c r="Z285" i="3" s="1"/>
  <c r="Z165" i="3"/>
  <c r="Z112" i="3"/>
  <c r="Z116" i="3"/>
  <c r="AZ180" i="3"/>
  <c r="AY275" i="3"/>
  <c r="AY265" i="3"/>
  <c r="AZ155" i="3"/>
  <c r="BC249" i="3"/>
  <c r="BD120" i="3"/>
  <c r="BC264" i="3"/>
  <c r="BC150" i="3"/>
  <c r="BD146" i="3"/>
  <c r="BC256" i="3"/>
  <c r="BD127" i="3"/>
  <c r="AY181" i="3"/>
  <c r="BB276" i="3"/>
  <c r="BF268" i="3"/>
  <c r="BF276" i="3" s="1"/>
  <c r="BB196" i="3"/>
  <c r="AT273" i="3"/>
  <c r="AU236" i="3"/>
  <c r="AT237" i="3"/>
  <c r="BD179" i="3"/>
  <c r="BC255" i="3"/>
  <c r="BD205" i="3"/>
  <c r="AZ201" i="3"/>
  <c r="BB269" i="3"/>
  <c r="BF269" i="3" s="1"/>
  <c r="BC220" i="3"/>
  <c r="BD234" i="3"/>
  <c r="BC271" i="3"/>
  <c r="AY254" i="3"/>
  <c r="AZ171" i="3"/>
  <c r="AZ172" i="3"/>
  <c r="BC270" i="3"/>
  <c r="BD233" i="3"/>
  <c r="AY202" i="3"/>
  <c r="AW252" i="3"/>
  <c r="BA252" i="3" s="1"/>
  <c r="J34" i="4" s="1"/>
  <c r="AX168" i="3"/>
  <c r="AX169" i="3"/>
  <c r="AZ181" i="3" l="1"/>
  <c r="AT332" i="3"/>
  <c r="AT294" i="3"/>
  <c r="AT334" i="3"/>
  <c r="AT301" i="3"/>
  <c r="BC276" i="3"/>
  <c r="BC196" i="3"/>
  <c r="BC198" i="3" s="1"/>
  <c r="BC199" i="3" s="1"/>
  <c r="AZ137" i="3"/>
  <c r="AY132" i="3"/>
  <c r="AY321" i="3" s="1"/>
  <c r="AZ250" i="3"/>
  <c r="BA121" i="3"/>
  <c r="AZ122" i="3"/>
  <c r="AZ263" i="3"/>
  <c r="BA142" i="3"/>
  <c r="BA143" i="3" s="1"/>
  <c r="BE179" i="3"/>
  <c r="AU273" i="3"/>
  <c r="AV236" i="3"/>
  <c r="AW236" i="3" s="1"/>
  <c r="AU237" i="3"/>
  <c r="BD271" i="3"/>
  <c r="BE234" i="3"/>
  <c r="BD249" i="3"/>
  <c r="BE120" i="3"/>
  <c r="BB253" i="3"/>
  <c r="BF253" i="3" s="1"/>
  <c r="K35" i="4" s="1"/>
  <c r="BC170" i="3"/>
  <c r="BD248" i="3"/>
  <c r="BE119" i="3"/>
  <c r="BA180" i="3"/>
  <c r="AZ275" i="3"/>
  <c r="BA275" i="3" s="1"/>
  <c r="BD268" i="3"/>
  <c r="BE219" i="3"/>
  <c r="AZ254" i="3"/>
  <c r="BA171" i="3"/>
  <c r="BA172" i="3" s="1"/>
  <c r="AZ274" i="3"/>
  <c r="BA214" i="3"/>
  <c r="AZ265" i="3"/>
  <c r="BA155" i="3"/>
  <c r="AZ156" i="3"/>
  <c r="AA6" i="3"/>
  <c r="AA7" i="3" s="1"/>
  <c r="AA13" i="3" s="1"/>
  <c r="AA108" i="3" s="1"/>
  <c r="AA241" i="3" s="1"/>
  <c r="AA285" i="3" s="1"/>
  <c r="AB5" i="3"/>
  <c r="AA116" i="3"/>
  <c r="AA112" i="3"/>
  <c r="AA165" i="3"/>
  <c r="BE178" i="3"/>
  <c r="BC269" i="3"/>
  <c r="BD220" i="3"/>
  <c r="BA201" i="3"/>
  <c r="BA202" i="3" s="1"/>
  <c r="BD272" i="3"/>
  <c r="BE235" i="3"/>
  <c r="BD264" i="3"/>
  <c r="BD150" i="3"/>
  <c r="BE146" i="3"/>
  <c r="AX252" i="3"/>
  <c r="AY168" i="3"/>
  <c r="AY169" i="3"/>
  <c r="AZ202" i="3"/>
  <c r="BD255" i="3"/>
  <c r="BE205" i="3"/>
  <c r="BD256" i="3"/>
  <c r="BE127" i="3"/>
  <c r="BD270" i="3"/>
  <c r="BE233" i="3"/>
  <c r="BA206" i="3"/>
  <c r="AU332" i="3" l="1"/>
  <c r="AU294" i="3"/>
  <c r="AU334" i="3"/>
  <c r="AU301" i="3"/>
  <c r="BE256" i="3"/>
  <c r="BF127" i="3"/>
  <c r="J38" i="4"/>
  <c r="BB155" i="3"/>
  <c r="BE249" i="3"/>
  <c r="BF120" i="3"/>
  <c r="BB121" i="3"/>
  <c r="AB6" i="3"/>
  <c r="AC5" i="3"/>
  <c r="BE271" i="3"/>
  <c r="BF234" i="3"/>
  <c r="BA122" i="3"/>
  <c r="BE255" i="3"/>
  <c r="BF205" i="3"/>
  <c r="BD276" i="3"/>
  <c r="BD196" i="3"/>
  <c r="BD198" i="3" s="1"/>
  <c r="BD199" i="3" s="1"/>
  <c r="BC253" i="3"/>
  <c r="BD170" i="3"/>
  <c r="BE268" i="3"/>
  <c r="BF219" i="3"/>
  <c r="BF178" i="3"/>
  <c r="J39" i="4"/>
  <c r="BB206" i="3"/>
  <c r="BB207" i="3" s="1"/>
  <c r="BE264" i="3"/>
  <c r="BF146" i="3"/>
  <c r="BE150" i="3"/>
  <c r="AW273" i="3"/>
  <c r="BA273" i="3" s="1"/>
  <c r="AX236" i="3"/>
  <c r="AW237" i="3"/>
  <c r="AZ132" i="3"/>
  <c r="AZ321" i="3" s="1"/>
  <c r="BB137" i="3"/>
  <c r="BB201" i="3"/>
  <c r="BD269" i="3"/>
  <c r="BE220" i="3"/>
  <c r="BB180" i="3"/>
  <c r="BB181" i="3"/>
  <c r="BB142" i="3"/>
  <c r="BB143" i="3"/>
  <c r="BA156" i="3"/>
  <c r="AY252" i="3"/>
  <c r="AZ168" i="3"/>
  <c r="AZ169" i="3"/>
  <c r="BA181" i="3"/>
  <c r="BF179" i="3"/>
  <c r="BB171" i="3"/>
  <c r="BB172" i="3" s="1"/>
  <c r="BA207" i="3"/>
  <c r="BE270" i="3"/>
  <c r="BF233" i="3"/>
  <c r="BA237" i="3"/>
  <c r="BA301" i="3" s="1"/>
  <c r="BB214" i="3"/>
  <c r="BE272" i="3"/>
  <c r="BF235" i="3"/>
  <c r="BE248" i="3"/>
  <c r="BF119" i="3"/>
  <c r="BA332" i="3" l="1"/>
  <c r="BA294" i="3"/>
  <c r="BA334" i="3"/>
  <c r="AW332" i="3"/>
  <c r="AW294" i="3"/>
  <c r="AW334" i="3"/>
  <c r="AW301" i="3"/>
  <c r="AC6" i="3"/>
  <c r="AC7" i="3" s="1"/>
  <c r="AC13" i="3" s="1"/>
  <c r="AC108" i="3" s="1"/>
  <c r="AC241" i="3" s="1"/>
  <c r="AC285" i="3" s="1"/>
  <c r="AD5" i="3"/>
  <c r="AC165" i="3"/>
  <c r="AC116" i="3"/>
  <c r="AC112" i="3"/>
  <c r="BB263" i="3"/>
  <c r="BF263" i="3" s="1"/>
  <c r="BC142" i="3"/>
  <c r="BC143" i="3"/>
  <c r="BB250" i="3"/>
  <c r="BF250" i="3" s="1"/>
  <c r="K32" i="4" s="1"/>
  <c r="BC121" i="3"/>
  <c r="BB122" i="3"/>
  <c r="AX273" i="3"/>
  <c r="AY236" i="3"/>
  <c r="AX237" i="3"/>
  <c r="BA132" i="3"/>
  <c r="BA321" i="3" s="1"/>
  <c r="BD253" i="3"/>
  <c r="BE170" i="3"/>
  <c r="BB265" i="3"/>
  <c r="BF265" i="3" s="1"/>
  <c r="BC155" i="3"/>
  <c r="BC156" i="3"/>
  <c r="BE276" i="3"/>
  <c r="BE196" i="3"/>
  <c r="BE198" i="3" s="1"/>
  <c r="BE199" i="3" s="1"/>
  <c r="BB156" i="3"/>
  <c r="BB254" i="3"/>
  <c r="BF254" i="3" s="1"/>
  <c r="K36" i="4" s="1"/>
  <c r="BC171" i="3"/>
  <c r="BC172" i="3" s="1"/>
  <c r="BC180" i="3"/>
  <c r="BC181" i="3"/>
  <c r="BB275" i="3"/>
  <c r="BE269" i="3"/>
  <c r="BF220" i="3"/>
  <c r="BC206" i="3"/>
  <c r="BC207" i="3" s="1"/>
  <c r="BB274" i="3"/>
  <c r="BF274" i="3" s="1"/>
  <c r="BC214" i="3"/>
  <c r="BC201" i="3"/>
  <c r="BB202" i="3"/>
  <c r="AZ252" i="3"/>
  <c r="BA169" i="3"/>
  <c r="BA168" i="3"/>
  <c r="BC137" i="3"/>
  <c r="BB132" i="3"/>
  <c r="BB321" i="3" s="1"/>
  <c r="AX332" i="3" l="1"/>
  <c r="AX294" i="3"/>
  <c r="AX334" i="3"/>
  <c r="AX301" i="3"/>
  <c r="BC265" i="3"/>
  <c r="BD155" i="3"/>
  <c r="BC250" i="3"/>
  <c r="BD121" i="3"/>
  <c r="BD122" i="3" s="1"/>
  <c r="BC122" i="3"/>
  <c r="BD137" i="3"/>
  <c r="BC132" i="3"/>
  <c r="BC321" i="3" s="1"/>
  <c r="BD180" i="3"/>
  <c r="BD181" i="3"/>
  <c r="BC275" i="3"/>
  <c r="BC263" i="3"/>
  <c r="BD142" i="3"/>
  <c r="BD143" i="3" s="1"/>
  <c r="BE253" i="3"/>
  <c r="BF170" i="3"/>
  <c r="BC254" i="3"/>
  <c r="BD171" i="3"/>
  <c r="BD172" i="3"/>
  <c r="BB168" i="3"/>
  <c r="BB169" i="3"/>
  <c r="BD201" i="3"/>
  <c r="BC202" i="3"/>
  <c r="BD206" i="3"/>
  <c r="AY273" i="3"/>
  <c r="AZ236" i="3"/>
  <c r="AY237" i="3"/>
  <c r="AE5" i="3"/>
  <c r="AD6" i="3"/>
  <c r="AD7" i="3" s="1"/>
  <c r="AD13" i="3" s="1"/>
  <c r="AD108" i="3" s="1"/>
  <c r="AD241" i="3" s="1"/>
  <c r="AD285" i="3" s="1"/>
  <c r="AD116" i="3"/>
  <c r="AD112" i="3"/>
  <c r="AD165" i="3"/>
  <c r="BC274" i="3"/>
  <c r="BD214" i="3"/>
  <c r="AY332" i="3" l="1"/>
  <c r="AY294" i="3"/>
  <c r="AY334" i="3"/>
  <c r="AY301" i="3"/>
  <c r="BE137" i="3"/>
  <c r="BE132" i="3" s="1"/>
  <c r="BD132" i="3"/>
  <c r="BD321" i="3" s="1"/>
  <c r="BE206" i="3"/>
  <c r="BE207" i="3" s="1"/>
  <c r="BD263" i="3"/>
  <c r="BE142" i="3"/>
  <c r="BE201" i="3"/>
  <c r="BE202" i="3"/>
  <c r="BD250" i="3"/>
  <c r="BE121" i="3"/>
  <c r="BE122" i="3"/>
  <c r="BD202" i="3"/>
  <c r="BD265" i="3"/>
  <c r="BE155" i="3"/>
  <c r="BE180" i="3"/>
  <c r="BD275" i="3"/>
  <c r="AF5" i="3"/>
  <c r="AE6" i="3"/>
  <c r="AE7" i="3" s="1"/>
  <c r="AE13" i="3" s="1"/>
  <c r="AE108" i="3" s="1"/>
  <c r="AE241" i="3" s="1"/>
  <c r="AE285" i="3" s="1"/>
  <c r="AE116" i="3"/>
  <c r="B26" i="5" s="1"/>
  <c r="AE165" i="3"/>
  <c r="B27" i="5" s="1"/>
  <c r="AE112" i="3"/>
  <c r="B25" i="5" s="1"/>
  <c r="AZ273" i="3"/>
  <c r="BA236" i="3"/>
  <c r="BB236" i="3" s="1"/>
  <c r="AZ237" i="3"/>
  <c r="BD156" i="3"/>
  <c r="BD207" i="3"/>
  <c r="BE171" i="3"/>
  <c r="BE172" i="3" s="1"/>
  <c r="BD254" i="3"/>
  <c r="BD274" i="3"/>
  <c r="BE214" i="3"/>
  <c r="BB252" i="3"/>
  <c r="BF252" i="3" s="1"/>
  <c r="K34" i="4" s="1"/>
  <c r="BC168" i="3"/>
  <c r="BC169" i="3"/>
  <c r="BE321" i="3" l="1"/>
  <c r="BE181" i="3"/>
  <c r="AZ332" i="3"/>
  <c r="AZ294" i="3"/>
  <c r="AZ334" i="3"/>
  <c r="AZ301" i="3"/>
  <c r="C26" i="5"/>
  <c r="AK116" i="3"/>
  <c r="AJ116" i="3"/>
  <c r="C27" i="5"/>
  <c r="AJ165" i="3"/>
  <c r="AK165" i="3"/>
  <c r="BF180" i="3"/>
  <c r="BF181" i="3"/>
  <c r="BE275" i="3"/>
  <c r="BF275" i="3" s="1"/>
  <c r="BE263" i="3"/>
  <c r="BF142" i="3"/>
  <c r="BF143" i="3" s="1"/>
  <c r="BF201" i="3"/>
  <c r="BF202" i="3"/>
  <c r="BE265" i="3"/>
  <c r="BF155" i="3"/>
  <c r="K38" i="4" s="1"/>
  <c r="BE156" i="3"/>
  <c r="C25" i="5"/>
  <c r="AJ112" i="3"/>
  <c r="AK112" i="3"/>
  <c r="BE143" i="3"/>
  <c r="BE274" i="3"/>
  <c r="BF214" i="3"/>
  <c r="BF237" i="3" s="1"/>
  <c r="AG5" i="3"/>
  <c r="AF6" i="3"/>
  <c r="AF7" i="3" s="1"/>
  <c r="AF13" i="3" s="1"/>
  <c r="AF108" i="3" s="1"/>
  <c r="AF241" i="3" s="1"/>
  <c r="AF285" i="3" s="1"/>
  <c r="BF206" i="3"/>
  <c r="K39" i="4" s="1"/>
  <c r="BC252" i="3"/>
  <c r="BD168" i="3"/>
  <c r="BD169" i="3"/>
  <c r="BB273" i="3"/>
  <c r="BF273" i="3" s="1"/>
  <c r="BC236" i="3"/>
  <c r="BB237" i="3"/>
  <c r="BF132" i="3"/>
  <c r="BE254" i="3"/>
  <c r="BF171" i="3"/>
  <c r="BF172" i="3"/>
  <c r="BE250" i="3"/>
  <c r="BF121" i="3"/>
  <c r="BF122" i="3"/>
  <c r="BF156" i="3" l="1"/>
  <c r="BF321" i="3"/>
  <c r="BF301" i="3"/>
  <c r="BF332" i="3"/>
  <c r="BF294" i="3"/>
  <c r="BF334" i="3"/>
  <c r="BB332" i="3"/>
  <c r="BB294" i="3"/>
  <c r="BB334" i="3"/>
  <c r="BB301" i="3"/>
  <c r="BF207" i="3"/>
  <c r="AH5" i="3"/>
  <c r="AG6" i="3"/>
  <c r="D27" i="5"/>
  <c r="AM165" i="3"/>
  <c r="AO165" i="3"/>
  <c r="AP165" i="3"/>
  <c r="AN165" i="3"/>
  <c r="BC273" i="3"/>
  <c r="BD236" i="3"/>
  <c r="BC237" i="3"/>
  <c r="BD252" i="3"/>
  <c r="BE168" i="3"/>
  <c r="BE169" i="3"/>
  <c r="D25" i="5"/>
  <c r="AP112" i="3"/>
  <c r="AO112" i="3"/>
  <c r="AN112" i="3"/>
  <c r="AM112" i="3"/>
  <c r="D26" i="5"/>
  <c r="AP116" i="3"/>
  <c r="AM116" i="3"/>
  <c r="AO116" i="3"/>
  <c r="AN116" i="3"/>
  <c r="BC332" i="3" l="1"/>
  <c r="BC294" i="3"/>
  <c r="BC334" i="3"/>
  <c r="BC301" i="3"/>
  <c r="BF168" i="3"/>
  <c r="BF169" i="3"/>
  <c r="BE252" i="3"/>
  <c r="E26" i="5"/>
  <c r="AU116" i="3"/>
  <c r="AT116" i="3"/>
  <c r="AS116" i="3"/>
  <c r="AR116" i="3"/>
  <c r="BD273" i="3"/>
  <c r="BE236" i="3"/>
  <c r="BD237" i="3"/>
  <c r="AI5" i="3"/>
  <c r="AH6" i="3"/>
  <c r="AH7" i="3" s="1"/>
  <c r="AH13" i="3" s="1"/>
  <c r="AH108" i="3" s="1"/>
  <c r="AH241" i="3" s="1"/>
  <c r="AH285" i="3" s="1"/>
  <c r="E25" i="5"/>
  <c r="AU112" i="3"/>
  <c r="AT112" i="3"/>
  <c r="AS112" i="3"/>
  <c r="AR112" i="3"/>
  <c r="E27" i="5"/>
  <c r="AT165" i="3"/>
  <c r="AU165" i="3"/>
  <c r="AS165" i="3"/>
  <c r="AR165" i="3"/>
  <c r="BD332" i="3" l="1"/>
  <c r="BD294" i="3"/>
  <c r="BD334" i="3"/>
  <c r="BD301" i="3"/>
  <c r="F27" i="5"/>
  <c r="AY165" i="3"/>
  <c r="AW165" i="3"/>
  <c r="AZ165" i="3"/>
  <c r="AX165" i="3"/>
  <c r="BE273" i="3"/>
  <c r="BF236" i="3"/>
  <c r="BE237" i="3"/>
  <c r="AJ5" i="3"/>
  <c r="AI6" i="3"/>
  <c r="AI7" i="3" s="1"/>
  <c r="AI13" i="3" s="1"/>
  <c r="AI108" i="3" s="1"/>
  <c r="AI241" i="3" s="1"/>
  <c r="AI285" i="3" s="1"/>
  <c r="F26" i="5"/>
  <c r="AW116" i="3"/>
  <c r="AZ116" i="3"/>
  <c r="AY116" i="3"/>
  <c r="AX116" i="3"/>
  <c r="F25" i="5"/>
  <c r="AY112" i="3"/>
  <c r="AW112" i="3"/>
  <c r="AZ112" i="3"/>
  <c r="AX112" i="3"/>
  <c r="BE332" i="3" l="1"/>
  <c r="BE294" i="3"/>
  <c r="BE334" i="3"/>
  <c r="BE301" i="3"/>
  <c r="AJ6" i="3"/>
  <c r="AJ7" i="3" s="1"/>
  <c r="AJ13" i="3" s="1"/>
  <c r="AJ108" i="3" s="1"/>
  <c r="AJ241" i="3" s="1"/>
  <c r="AJ285" i="3" s="1"/>
  <c r="AK5" i="3"/>
  <c r="AJ111" i="3"/>
  <c r="AJ115" i="3"/>
  <c r="AJ247" i="3" s="1"/>
  <c r="AJ164" i="3"/>
  <c r="BD116" i="3"/>
  <c r="BC116" i="3"/>
  <c r="BB116" i="3"/>
  <c r="BE116" i="3"/>
  <c r="BC165" i="3"/>
  <c r="BE165" i="3"/>
  <c r="BD165" i="3"/>
  <c r="BB165" i="3"/>
  <c r="BE112" i="3"/>
  <c r="BD112" i="3"/>
  <c r="BC112" i="3"/>
  <c r="BB112" i="3"/>
  <c r="AJ308" i="3" l="1"/>
  <c r="AJ307" i="3"/>
  <c r="AJ320" i="3"/>
  <c r="AJ319" i="3"/>
  <c r="AJ318" i="3" s="1"/>
  <c r="AJ316" i="3" s="1"/>
  <c r="AJ251" i="3"/>
  <c r="AJ213" i="3"/>
  <c r="AJ239" i="3" s="1"/>
  <c r="AJ110" i="3" s="1"/>
  <c r="AJ295" i="3" s="1"/>
  <c r="AK6" i="3"/>
  <c r="AK7" i="3" s="1"/>
  <c r="AK13" i="3" s="1"/>
  <c r="AK108" i="3" s="1"/>
  <c r="AK241" i="3" s="1"/>
  <c r="AK285" i="3" s="1"/>
  <c r="AL5" i="3"/>
  <c r="AK115" i="3"/>
  <c r="AK111" i="3"/>
  <c r="AK319" i="3" s="1"/>
  <c r="AK164" i="3"/>
  <c r="AJ246" i="3"/>
  <c r="AJ245" i="3" s="1"/>
  <c r="AK308" i="3" l="1"/>
  <c r="AK307" i="3"/>
  <c r="AK320" i="3"/>
  <c r="AK318" i="3"/>
  <c r="AK316" i="3" s="1"/>
  <c r="AJ317" i="3"/>
  <c r="AJ311" i="3"/>
  <c r="AM5" i="3"/>
  <c r="AL6" i="3"/>
  <c r="AK251" i="3"/>
  <c r="AL164" i="3"/>
  <c r="AK213" i="3"/>
  <c r="AK239" i="3" s="1"/>
  <c r="AK110" i="3" s="1"/>
  <c r="AK295" i="3" s="1"/>
  <c r="AJ281" i="3"/>
  <c r="AJ278" i="3"/>
  <c r="AJ163" i="3"/>
  <c r="AJ331" i="3" s="1"/>
  <c r="AJ333" i="3" s="1"/>
  <c r="AK246" i="3"/>
  <c r="AK245" i="3" s="1"/>
  <c r="AL111" i="3"/>
  <c r="AK247" i="3"/>
  <c r="AL115" i="3"/>
  <c r="AL213" i="3" l="1"/>
  <c r="AL239" i="3" s="1"/>
  <c r="AL320" i="3"/>
  <c r="AL308" i="3"/>
  <c r="AL307" i="3"/>
  <c r="AK317" i="3"/>
  <c r="AK311" i="3"/>
  <c r="AL319" i="3"/>
  <c r="AL318" i="3" s="1"/>
  <c r="AL316" i="3" s="1"/>
  <c r="AN5" i="3"/>
  <c r="AM6" i="3"/>
  <c r="AM7" i="3" s="1"/>
  <c r="AM13" i="3" s="1"/>
  <c r="AM108" i="3" s="1"/>
  <c r="AM241" i="3" s="1"/>
  <c r="AM285" i="3" s="1"/>
  <c r="AM164" i="3"/>
  <c r="AM111" i="3"/>
  <c r="AM115" i="3"/>
  <c r="AM247" i="3" s="1"/>
  <c r="AQ247" i="3" s="1"/>
  <c r="H29" i="4" s="1"/>
  <c r="AJ312" i="3"/>
  <c r="AJ2" i="3"/>
  <c r="AJ1" i="3" s="1"/>
  <c r="AK278" i="3"/>
  <c r="AK281" i="3"/>
  <c r="AK163" i="3"/>
  <c r="AK331" i="3" s="1"/>
  <c r="AK333" i="3" s="1"/>
  <c r="AL110" i="3"/>
  <c r="AL295" i="3" s="1"/>
  <c r="AM319" i="3" l="1"/>
  <c r="AM320" i="3"/>
  <c r="AM308" i="3"/>
  <c r="AM307" i="3"/>
  <c r="AL317" i="3"/>
  <c r="G46" i="4"/>
  <c r="AL311" i="3"/>
  <c r="AL281" i="3"/>
  <c r="AM195" i="3"/>
  <c r="AM198" i="3" s="1"/>
  <c r="AL163" i="3"/>
  <c r="AL331" i="3" s="1"/>
  <c r="AL333" i="3" s="1"/>
  <c r="AM246" i="3"/>
  <c r="AK2" i="3"/>
  <c r="AK1" i="3" s="1"/>
  <c r="AM213" i="3"/>
  <c r="AM239" i="3" s="1"/>
  <c r="AM110" i="3" s="1"/>
  <c r="AM295" i="3" s="1"/>
  <c r="AM251" i="3"/>
  <c r="AQ251" i="3" s="1"/>
  <c r="H33" i="4" s="1"/>
  <c r="AN6" i="3"/>
  <c r="AN7" i="3" s="1"/>
  <c r="AN13" i="3" s="1"/>
  <c r="AN108" i="3" s="1"/>
  <c r="AN241" i="3" s="1"/>
  <c r="AN285" i="3" s="1"/>
  <c r="AO5" i="3"/>
  <c r="AN115" i="3"/>
  <c r="AN247" i="3" s="1"/>
  <c r="AN111" i="3"/>
  <c r="AN319" i="3" s="1"/>
  <c r="AN164" i="3"/>
  <c r="AK312" i="3"/>
  <c r="AN320" i="3" l="1"/>
  <c r="AN308" i="3"/>
  <c r="AN307" i="3"/>
  <c r="G50" i="4"/>
  <c r="G51" i="4"/>
  <c r="AN318" i="3"/>
  <c r="AN316" i="3" s="1"/>
  <c r="G47" i="4"/>
  <c r="AL312" i="3"/>
  <c r="AM318" i="3"/>
  <c r="AM316" i="3" s="1"/>
  <c r="AM245" i="3"/>
  <c r="AQ245" i="3" s="1"/>
  <c r="H27" i="4" s="1"/>
  <c r="H44" i="4" s="1"/>
  <c r="H53" i="4" s="1"/>
  <c r="AQ246" i="3"/>
  <c r="H28" i="4" s="1"/>
  <c r="AM278" i="3"/>
  <c r="AQ278" i="3" s="1"/>
  <c r="AM281" i="3"/>
  <c r="AM163" i="3"/>
  <c r="AM331" i="3" s="1"/>
  <c r="AM333" i="3" s="1"/>
  <c r="AN251" i="3"/>
  <c r="AN213" i="3"/>
  <c r="AN239" i="3" s="1"/>
  <c r="AN110" i="3" s="1"/>
  <c r="AN295" i="3" s="1"/>
  <c r="AN246" i="3"/>
  <c r="AN245" i="3" s="1"/>
  <c r="AL2" i="3"/>
  <c r="AL1" i="3" s="1"/>
  <c r="AO6" i="3"/>
  <c r="AO7" i="3" s="1"/>
  <c r="AO13" i="3" s="1"/>
  <c r="AO108" i="3" s="1"/>
  <c r="AO241" i="3" s="1"/>
  <c r="AO285" i="3" s="1"/>
  <c r="AP5" i="3"/>
  <c r="AO115" i="3"/>
  <c r="AO247" i="3" s="1"/>
  <c r="AO111" i="3"/>
  <c r="AO319" i="3" s="1"/>
  <c r="AO164" i="3"/>
  <c r="AO320" i="3" l="1"/>
  <c r="AO308" i="3"/>
  <c r="AO307" i="3"/>
  <c r="AM317" i="3"/>
  <c r="AM311" i="3"/>
  <c r="AN317" i="3"/>
  <c r="AN311" i="3"/>
  <c r="AO318" i="3"/>
  <c r="AO316" i="3" s="1"/>
  <c r="AO251" i="3"/>
  <c r="AO213" i="3"/>
  <c r="AO239" i="3" s="1"/>
  <c r="AO110" i="3" s="1"/>
  <c r="AO295" i="3" s="1"/>
  <c r="AM312" i="3"/>
  <c r="AO246" i="3"/>
  <c r="AO245" i="3" s="1"/>
  <c r="AQ5" i="3"/>
  <c r="AP6" i="3"/>
  <c r="AP7" i="3" s="1"/>
  <c r="AP13" i="3" s="1"/>
  <c r="AP108" i="3" s="1"/>
  <c r="AP241" i="3" s="1"/>
  <c r="AP285" i="3" s="1"/>
  <c r="AP111" i="3"/>
  <c r="AP115" i="3"/>
  <c r="AP164" i="3"/>
  <c r="AM2" i="3"/>
  <c r="AM1" i="3" s="1"/>
  <c r="AN278" i="3"/>
  <c r="AN281" i="3"/>
  <c r="AN163" i="3"/>
  <c r="AN331" i="3" s="1"/>
  <c r="AN333" i="3" s="1"/>
  <c r="AP320" i="3" l="1"/>
  <c r="AP308" i="3"/>
  <c r="AP307" i="3"/>
  <c r="AO317" i="3"/>
  <c r="AO311" i="3"/>
  <c r="AP319" i="3"/>
  <c r="AP318" i="3" s="1"/>
  <c r="AP316" i="3" s="1"/>
  <c r="AP251" i="3"/>
  <c r="AP213" i="3"/>
  <c r="AP239" i="3" s="1"/>
  <c r="AP110" i="3" s="1"/>
  <c r="AP295" i="3" s="1"/>
  <c r="AQ164" i="3"/>
  <c r="AP247" i="3"/>
  <c r="AQ115" i="3"/>
  <c r="AN2" i="3"/>
  <c r="AN1" i="3" s="1"/>
  <c r="AP246" i="3"/>
  <c r="AP245" i="3" s="1"/>
  <c r="AQ111" i="3"/>
  <c r="AR5" i="3"/>
  <c r="AQ6" i="3"/>
  <c r="AN312" i="3"/>
  <c r="AO281" i="3"/>
  <c r="AO278" i="3"/>
  <c r="AO163" i="3"/>
  <c r="AO331" i="3" s="1"/>
  <c r="AO333" i="3" s="1"/>
  <c r="AQ213" i="3" l="1"/>
  <c r="AQ239" i="3" s="1"/>
  <c r="AQ320" i="3"/>
  <c r="AQ308" i="3"/>
  <c r="AQ307" i="3"/>
  <c r="AP317" i="3"/>
  <c r="AP311" i="3"/>
  <c r="AQ319" i="3"/>
  <c r="AQ318" i="3" s="1"/>
  <c r="AQ316" i="3" s="1"/>
  <c r="AO2" i="3"/>
  <c r="AO1" i="3" s="1"/>
  <c r="AR6" i="3"/>
  <c r="AR7" i="3" s="1"/>
  <c r="AR13" i="3" s="1"/>
  <c r="AR108" i="3" s="1"/>
  <c r="AR241" i="3" s="1"/>
  <c r="AR285" i="3" s="1"/>
  <c r="AS5" i="3"/>
  <c r="AR164" i="3"/>
  <c r="AR115" i="3"/>
  <c r="AR247" i="3" s="1"/>
  <c r="AV247" i="3" s="1"/>
  <c r="I29" i="4" s="1"/>
  <c r="AR111" i="3"/>
  <c r="AP281" i="3"/>
  <c r="AP278" i="3"/>
  <c r="AP163" i="3"/>
  <c r="AP331" i="3" s="1"/>
  <c r="AP333" i="3" s="1"/>
  <c r="AQ110" i="3"/>
  <c r="AQ295" i="3" s="1"/>
  <c r="AO312" i="3"/>
  <c r="AQ317" i="3" l="1"/>
  <c r="H46" i="4"/>
  <c r="AQ311" i="3"/>
  <c r="AR307" i="3"/>
  <c r="AR320" i="3"/>
  <c r="AR308" i="3"/>
  <c r="AR319" i="3"/>
  <c r="AR318" i="3" s="1"/>
  <c r="AR316" i="3" s="1"/>
  <c r="AR251" i="3"/>
  <c r="AV251" i="3" s="1"/>
  <c r="I33" i="4" s="1"/>
  <c r="AR213" i="3"/>
  <c r="AR239" i="3" s="1"/>
  <c r="AR110" i="3" s="1"/>
  <c r="AR295" i="3" s="1"/>
  <c r="AR246" i="3"/>
  <c r="AS6" i="3"/>
  <c r="AS7" i="3" s="1"/>
  <c r="AS13" i="3" s="1"/>
  <c r="AS108" i="3" s="1"/>
  <c r="AS241" i="3" s="1"/>
  <c r="AS285" i="3" s="1"/>
  <c r="AT5" i="3"/>
  <c r="AS164" i="3"/>
  <c r="AS115" i="3"/>
  <c r="AS247" i="3" s="1"/>
  <c r="AS111" i="3"/>
  <c r="AS319" i="3" s="1"/>
  <c r="AP312" i="3"/>
  <c r="AP2" i="3"/>
  <c r="AP1" i="3" s="1"/>
  <c r="AQ281" i="3"/>
  <c r="AR195" i="3"/>
  <c r="AR198" i="3" s="1"/>
  <c r="AQ163" i="3"/>
  <c r="AQ331" i="3" s="1"/>
  <c r="AQ333" i="3" s="1"/>
  <c r="AR317" i="3" l="1"/>
  <c r="AR311" i="3"/>
  <c r="H51" i="4"/>
  <c r="H50" i="4"/>
  <c r="AS307" i="3"/>
  <c r="AS320" i="3"/>
  <c r="AS318" i="3" s="1"/>
  <c r="AS316" i="3" s="1"/>
  <c r="AS308" i="3"/>
  <c r="H47" i="4"/>
  <c r="AQ312" i="3"/>
  <c r="AS213" i="3"/>
  <c r="AS239" i="3" s="1"/>
  <c r="AS110" i="3" s="1"/>
  <c r="AS295" i="3" s="1"/>
  <c r="AS251" i="3"/>
  <c r="AS246" i="3"/>
  <c r="AS245" i="3" s="1"/>
  <c r="AT6" i="3"/>
  <c r="AT7" i="3" s="1"/>
  <c r="AT13" i="3" s="1"/>
  <c r="AT108" i="3" s="1"/>
  <c r="AT241" i="3" s="1"/>
  <c r="AT285" i="3" s="1"/>
  <c r="AU5" i="3"/>
  <c r="AT164" i="3"/>
  <c r="AT115" i="3"/>
  <c r="AT247" i="3" s="1"/>
  <c r="AT111" i="3"/>
  <c r="AT319" i="3" s="1"/>
  <c r="AR281" i="3"/>
  <c r="AR278" i="3"/>
  <c r="AV278" i="3" s="1"/>
  <c r="AR163" i="3"/>
  <c r="AR331" i="3" s="1"/>
  <c r="AR333" i="3" s="1"/>
  <c r="AR245" i="3"/>
  <c r="AV245" i="3" s="1"/>
  <c r="I27" i="4" s="1"/>
  <c r="I44" i="4" s="1"/>
  <c r="I53" i="4" s="1"/>
  <c r="AV246" i="3"/>
  <c r="I28" i="4" s="1"/>
  <c r="AQ2" i="3"/>
  <c r="AQ1" i="3" s="1"/>
  <c r="AS317" i="3" l="1"/>
  <c r="AS311" i="3"/>
  <c r="AT307" i="3"/>
  <c r="AT320" i="3"/>
  <c r="AT318" i="3" s="1"/>
  <c r="AT316" i="3" s="1"/>
  <c r="AT308" i="3"/>
  <c r="AT246" i="3"/>
  <c r="AT245" i="3" s="1"/>
  <c r="AT251" i="3"/>
  <c r="AT213" i="3"/>
  <c r="AT239" i="3" s="1"/>
  <c r="AT110" i="3" s="1"/>
  <c r="AT295" i="3" s="1"/>
  <c r="AR2" i="3"/>
  <c r="AR1" i="3" s="1"/>
  <c r="AR312" i="3"/>
  <c r="AS281" i="3"/>
  <c r="AS278" i="3"/>
  <c r="AS163" i="3"/>
  <c r="AS331" i="3" s="1"/>
  <c r="AS333" i="3" s="1"/>
  <c r="AV5" i="3"/>
  <c r="AU6" i="3"/>
  <c r="AU7" i="3" s="1"/>
  <c r="AU13" i="3" s="1"/>
  <c r="AU108" i="3" s="1"/>
  <c r="AU241" i="3" s="1"/>
  <c r="AU285" i="3" s="1"/>
  <c r="AU111" i="3"/>
  <c r="AU164" i="3"/>
  <c r="AU115" i="3"/>
  <c r="AT317" i="3" l="1"/>
  <c r="AT311" i="3"/>
  <c r="AU308" i="3"/>
  <c r="AU307" i="3"/>
  <c r="AU320" i="3"/>
  <c r="AU319" i="3"/>
  <c r="AU318" i="3" s="1"/>
  <c r="AU316" i="3" s="1"/>
  <c r="AV6" i="3"/>
  <c r="AW5" i="3"/>
  <c r="AS2" i="3"/>
  <c r="AS1" i="3" s="1"/>
  <c r="AU247" i="3"/>
  <c r="AV115" i="3"/>
  <c r="AU246" i="3"/>
  <c r="AU245" i="3" s="1"/>
  <c r="AV111" i="3"/>
  <c r="AS312" i="3"/>
  <c r="AU251" i="3"/>
  <c r="AU213" i="3"/>
  <c r="AU239" i="3" s="1"/>
  <c r="AU110" i="3" s="1"/>
  <c r="AU295" i="3" s="1"/>
  <c r="AV164" i="3"/>
  <c r="AT281" i="3"/>
  <c r="AT278" i="3"/>
  <c r="AT163" i="3"/>
  <c r="AT331" i="3" s="1"/>
  <c r="AT333" i="3" s="1"/>
  <c r="AU317" i="3" l="1"/>
  <c r="AU311" i="3"/>
  <c r="AV213" i="3"/>
  <c r="AV239" i="3" s="1"/>
  <c r="AV308" i="3"/>
  <c r="AV307" i="3"/>
  <c r="AV320" i="3"/>
  <c r="AV319" i="3"/>
  <c r="AV318" i="3" s="1"/>
  <c r="AV316" i="3" s="1"/>
  <c r="AT312" i="3"/>
  <c r="AT2" i="3"/>
  <c r="AT1" i="3" s="1"/>
  <c r="AU281" i="3"/>
  <c r="AU278" i="3"/>
  <c r="AU163" i="3"/>
  <c r="AU331" i="3" s="1"/>
  <c r="AU333" i="3" s="1"/>
  <c r="AV110" i="3"/>
  <c r="AV295" i="3" s="1"/>
  <c r="AW6" i="3"/>
  <c r="AW7" i="3" s="1"/>
  <c r="AW13" i="3" s="1"/>
  <c r="AW108" i="3" s="1"/>
  <c r="AW241" i="3" s="1"/>
  <c r="AW285" i="3" s="1"/>
  <c r="AX5" i="3"/>
  <c r="AW164" i="3"/>
  <c r="AW115" i="3"/>
  <c r="AW247" i="3" s="1"/>
  <c r="BA247" i="3" s="1"/>
  <c r="J29" i="4" s="1"/>
  <c r="AW111" i="3"/>
  <c r="AW319" i="3" s="1"/>
  <c r="AV317" i="3" l="1"/>
  <c r="I46" i="4"/>
  <c r="AV311" i="3"/>
  <c r="AW308" i="3"/>
  <c r="AW307" i="3"/>
  <c r="AW320" i="3"/>
  <c r="AW318" i="3"/>
  <c r="AW316" i="3" s="1"/>
  <c r="AW246" i="3"/>
  <c r="AY5" i="3"/>
  <c r="AX6" i="3"/>
  <c r="AX7" i="3" s="1"/>
  <c r="AX13" i="3" s="1"/>
  <c r="AX108" i="3" s="1"/>
  <c r="AX241" i="3" s="1"/>
  <c r="AX285" i="3" s="1"/>
  <c r="AX164" i="3"/>
  <c r="AX111" i="3"/>
  <c r="AX319" i="3" s="1"/>
  <c r="AX115" i="3"/>
  <c r="AX247" i="3" s="1"/>
  <c r="AU2" i="3"/>
  <c r="AU1" i="3" s="1"/>
  <c r="AW251" i="3"/>
  <c r="BA251" i="3" s="1"/>
  <c r="J33" i="4" s="1"/>
  <c r="AW213" i="3"/>
  <c r="AW239" i="3" s="1"/>
  <c r="AW110" i="3" s="1"/>
  <c r="AW295" i="3" s="1"/>
  <c r="AV281" i="3"/>
  <c r="AW195" i="3"/>
  <c r="AW198" i="3" s="1"/>
  <c r="AV163" i="3"/>
  <c r="AV331" i="3" s="1"/>
  <c r="AV333" i="3" s="1"/>
  <c r="AU312" i="3"/>
  <c r="AX320" i="3" l="1"/>
  <c r="AX318" i="3" s="1"/>
  <c r="AX316" i="3" s="1"/>
  <c r="AX308" i="3"/>
  <c r="AX307" i="3"/>
  <c r="AW317" i="3"/>
  <c r="AW311" i="3"/>
  <c r="I50" i="4"/>
  <c r="I51" i="4"/>
  <c r="I47" i="4"/>
  <c r="AV312" i="3"/>
  <c r="AX251" i="3"/>
  <c r="AX213" i="3"/>
  <c r="AX239" i="3" s="1"/>
  <c r="AX110" i="3" s="1"/>
  <c r="AX295" i="3" s="1"/>
  <c r="AZ5" i="3"/>
  <c r="AY6" i="3"/>
  <c r="AY7" i="3" s="1"/>
  <c r="AY13" i="3" s="1"/>
  <c r="AY108" i="3" s="1"/>
  <c r="AY241" i="3" s="1"/>
  <c r="AY285" i="3" s="1"/>
  <c r="AY115" i="3"/>
  <c r="AY247" i="3" s="1"/>
  <c r="AY111" i="3"/>
  <c r="AY164" i="3"/>
  <c r="BA246" i="3"/>
  <c r="J28" i="4" s="1"/>
  <c r="AW245" i="3"/>
  <c r="BA245" i="3" s="1"/>
  <c r="J27" i="4" s="1"/>
  <c r="J44" i="4" s="1"/>
  <c r="J53" i="4" s="1"/>
  <c r="AX246" i="3"/>
  <c r="AX245" i="3" s="1"/>
  <c r="AV2" i="3"/>
  <c r="AV1" i="3" s="1"/>
  <c r="AW278" i="3"/>
  <c r="BA278" i="3" s="1"/>
  <c r="AW281" i="3"/>
  <c r="AW163" i="3"/>
  <c r="AW331" i="3" s="1"/>
  <c r="AW333" i="3" s="1"/>
  <c r="AY320" i="3" l="1"/>
  <c r="AY308" i="3"/>
  <c r="AY307" i="3"/>
  <c r="AY319" i="3"/>
  <c r="AY318" i="3" s="1"/>
  <c r="AY316" i="3" s="1"/>
  <c r="AX317" i="3"/>
  <c r="AX311" i="3"/>
  <c r="AY213" i="3"/>
  <c r="AY239" i="3" s="1"/>
  <c r="AY110" i="3" s="1"/>
  <c r="AY295" i="3" s="1"/>
  <c r="AY251" i="3"/>
  <c r="AY246" i="3"/>
  <c r="AY245" i="3" s="1"/>
  <c r="AX278" i="3"/>
  <c r="AX281" i="3"/>
  <c r="AX163" i="3"/>
  <c r="AX331" i="3" s="1"/>
  <c r="AX333" i="3" s="1"/>
  <c r="AW312" i="3"/>
  <c r="AW2" i="3"/>
  <c r="AW1" i="3" s="1"/>
  <c r="AZ6" i="3"/>
  <c r="AZ7" i="3" s="1"/>
  <c r="AZ13" i="3" s="1"/>
  <c r="AZ108" i="3" s="1"/>
  <c r="AZ241" i="3" s="1"/>
  <c r="AZ285" i="3" s="1"/>
  <c r="BA5" i="3"/>
  <c r="AZ115" i="3"/>
  <c r="AZ164" i="3"/>
  <c r="AZ111" i="3"/>
  <c r="AZ319" i="3" s="1"/>
  <c r="AZ320" i="3" l="1"/>
  <c r="AZ308" i="3"/>
  <c r="AZ307" i="3"/>
  <c r="AZ318" i="3"/>
  <c r="AZ316" i="3" s="1"/>
  <c r="AY317" i="3"/>
  <c r="AY311" i="3"/>
  <c r="AX2" i="3"/>
  <c r="AX1" i="3" s="1"/>
  <c r="AZ246" i="3"/>
  <c r="AZ245" i="3" s="1"/>
  <c r="BA111" i="3"/>
  <c r="AZ247" i="3"/>
  <c r="BA115" i="3"/>
  <c r="BA6" i="3"/>
  <c r="BB5" i="3"/>
  <c r="AZ251" i="3"/>
  <c r="AZ213" i="3"/>
  <c r="AZ239" i="3" s="1"/>
  <c r="AZ110" i="3" s="1"/>
  <c r="AZ295" i="3" s="1"/>
  <c r="BA164" i="3"/>
  <c r="AY278" i="3"/>
  <c r="AY281" i="3"/>
  <c r="AY163" i="3"/>
  <c r="AY331" i="3" s="1"/>
  <c r="AY333" i="3" s="1"/>
  <c r="AX312" i="3"/>
  <c r="BA319" i="3" l="1"/>
  <c r="AZ317" i="3"/>
  <c r="AZ311" i="3"/>
  <c r="BA213" i="3"/>
  <c r="BA239" i="3" s="1"/>
  <c r="BA320" i="3"/>
  <c r="BA308" i="3"/>
  <c r="BA307" i="3"/>
  <c r="AY312" i="3"/>
  <c r="AZ278" i="3"/>
  <c r="AZ281" i="3"/>
  <c r="AZ163" i="3"/>
  <c r="AZ331" i="3" s="1"/>
  <c r="AZ333" i="3" s="1"/>
  <c r="BA110" i="3"/>
  <c r="BA295" i="3" s="1"/>
  <c r="AY2" i="3"/>
  <c r="AY1" i="3" s="1"/>
  <c r="BC5" i="3"/>
  <c r="BB6" i="3"/>
  <c r="BB7" i="3" s="1"/>
  <c r="BB13" i="3" s="1"/>
  <c r="BB108" i="3" s="1"/>
  <c r="BB241" i="3" s="1"/>
  <c r="BB285" i="3" s="1"/>
  <c r="BB111" i="3"/>
  <c r="BB164" i="3"/>
  <c r="BB115" i="3"/>
  <c r="BB247" i="3" s="1"/>
  <c r="BF247" i="3" s="1"/>
  <c r="K29" i="4" s="1"/>
  <c r="BB319" i="3" l="1"/>
  <c r="BB320" i="3"/>
  <c r="BB308" i="3"/>
  <c r="BB307" i="3"/>
  <c r="BA318" i="3"/>
  <c r="BA316" i="3" s="1"/>
  <c r="AZ2" i="3"/>
  <c r="AZ1" i="3" s="1"/>
  <c r="BB251" i="3"/>
  <c r="BF251" i="3" s="1"/>
  <c r="K33" i="4" s="1"/>
  <c r="BB213" i="3"/>
  <c r="BB239" i="3" s="1"/>
  <c r="BB110" i="3" s="1"/>
  <c r="BB295" i="3" s="1"/>
  <c r="BB246" i="3"/>
  <c r="BD5" i="3"/>
  <c r="BC6" i="3"/>
  <c r="BC7" i="3" s="1"/>
  <c r="BC13" i="3" s="1"/>
  <c r="BC108" i="3" s="1"/>
  <c r="BC241" i="3" s="1"/>
  <c r="BC285" i="3" s="1"/>
  <c r="BC111" i="3"/>
  <c r="BC319" i="3" s="1"/>
  <c r="BC115" i="3"/>
  <c r="BC247" i="3" s="1"/>
  <c r="BC164" i="3"/>
  <c r="AZ312" i="3"/>
  <c r="BA281" i="3"/>
  <c r="BB195" i="3"/>
  <c r="BB198" i="3" s="1"/>
  <c r="BA163" i="3"/>
  <c r="BA331" i="3" s="1"/>
  <c r="BA333" i="3" s="1"/>
  <c r="BC320" i="3" l="1"/>
  <c r="BC318" i="3" s="1"/>
  <c r="BC316" i="3" s="1"/>
  <c r="BC308" i="3"/>
  <c r="BC307" i="3"/>
  <c r="J46" i="4"/>
  <c r="BA317" i="3"/>
  <c r="BA311" i="3"/>
  <c r="BB318" i="3"/>
  <c r="BB316" i="3" s="1"/>
  <c r="BE5" i="3"/>
  <c r="BD6" i="3"/>
  <c r="BD7" i="3" s="1"/>
  <c r="BD13" i="3" s="1"/>
  <c r="BD108" i="3" s="1"/>
  <c r="BD241" i="3" s="1"/>
  <c r="BD285" i="3" s="1"/>
  <c r="BD164" i="3"/>
  <c r="BD111" i="3"/>
  <c r="BD319" i="3" s="1"/>
  <c r="BD115" i="3"/>
  <c r="BD247" i="3" s="1"/>
  <c r="BB245" i="3"/>
  <c r="BF245" i="3" s="1"/>
  <c r="K27" i="4" s="1"/>
  <c r="K44" i="4" s="1"/>
  <c r="K53" i="4" s="1"/>
  <c r="BF246" i="3"/>
  <c r="K28" i="4" s="1"/>
  <c r="BA2" i="3"/>
  <c r="BA1" i="3" s="1"/>
  <c r="BC246" i="3"/>
  <c r="BC245" i="3" s="1"/>
  <c r="BB281" i="3"/>
  <c r="BB278" i="3"/>
  <c r="BF278" i="3" s="1"/>
  <c r="BB163" i="3"/>
  <c r="BB331" i="3" s="1"/>
  <c r="BB333" i="3" s="1"/>
  <c r="BC251" i="3"/>
  <c r="BC213" i="3"/>
  <c r="BC239" i="3" s="1"/>
  <c r="BC110" i="3" s="1"/>
  <c r="BC295" i="3" s="1"/>
  <c r="BC317" i="3" l="1"/>
  <c r="BC311" i="3"/>
  <c r="BB317" i="3"/>
  <c r="BB311" i="3"/>
  <c r="J50" i="4"/>
  <c r="J51" i="4"/>
  <c r="BD307" i="3"/>
  <c r="BD320" i="3"/>
  <c r="BD318" i="3" s="1"/>
  <c r="BD316" i="3" s="1"/>
  <c r="BD308" i="3"/>
  <c r="J47" i="4"/>
  <c r="BA312" i="3"/>
  <c r="BC281" i="3"/>
  <c r="BC278" i="3"/>
  <c r="BC163" i="3"/>
  <c r="BC331" i="3" s="1"/>
  <c r="BC333" i="3" s="1"/>
  <c r="BD246" i="3"/>
  <c r="BD245" i="3" s="1"/>
  <c r="BB2" i="3"/>
  <c r="BB1" i="3" s="1"/>
  <c r="BD251" i="3"/>
  <c r="BD213" i="3"/>
  <c r="BD239" i="3" s="1"/>
  <c r="BD110" i="3" s="1"/>
  <c r="BD295" i="3" s="1"/>
  <c r="BB312" i="3"/>
  <c r="BF5" i="3"/>
  <c r="BE6" i="3"/>
  <c r="BE7" i="3" s="1"/>
  <c r="BE13" i="3" s="1"/>
  <c r="BE108" i="3" s="1"/>
  <c r="BE241" i="3" s="1"/>
  <c r="BE285" i="3" s="1"/>
  <c r="BE115" i="3"/>
  <c r="BE164" i="3"/>
  <c r="BE111" i="3"/>
  <c r="BD317" i="3" l="1"/>
  <c r="BD311" i="3"/>
  <c r="BE307" i="3"/>
  <c r="BE320" i="3"/>
  <c r="BE308" i="3"/>
  <c r="BE319" i="3"/>
  <c r="BE318" i="3" s="1"/>
  <c r="BE316" i="3" s="1"/>
  <c r="BC2" i="3"/>
  <c r="BC1" i="3" s="1"/>
  <c r="BE213" i="3"/>
  <c r="BE239" i="3" s="1"/>
  <c r="BE110" i="3" s="1"/>
  <c r="BE295" i="3" s="1"/>
  <c r="BE251" i="3"/>
  <c r="BF164" i="3"/>
  <c r="BD281" i="3"/>
  <c r="BD278" i="3"/>
  <c r="BD163" i="3"/>
  <c r="BD331" i="3" s="1"/>
  <c r="BD333" i="3" s="1"/>
  <c r="BE247" i="3"/>
  <c r="BF115" i="3"/>
  <c r="BE246" i="3"/>
  <c r="BE245" i="3" s="1"/>
  <c r="BF111" i="3"/>
  <c r="BF319" i="3" s="1"/>
  <c r="BC312" i="3"/>
  <c r="BF6" i="3"/>
  <c r="H68" i="4"/>
  <c r="H64" i="4"/>
  <c r="H72" i="4"/>
  <c r="H71" i="4"/>
  <c r="H69" i="4"/>
  <c r="H73" i="4"/>
  <c r="H67" i="4"/>
  <c r="H70" i="4"/>
  <c r="H65" i="4"/>
  <c r="H66" i="4"/>
  <c r="BF213" i="3" l="1"/>
  <c r="BF239" i="3" s="1"/>
  <c r="BF307" i="3"/>
  <c r="BF320" i="3"/>
  <c r="BF308" i="3"/>
  <c r="BE317" i="3"/>
  <c r="BE311" i="3"/>
  <c r="BF318" i="3"/>
  <c r="BF316" i="3" s="1"/>
  <c r="BD2" i="3"/>
  <c r="BD1" i="3" s="1"/>
  <c r="BE281" i="3"/>
  <c r="BE278" i="3"/>
  <c r="BE163" i="3"/>
  <c r="BE331" i="3" s="1"/>
  <c r="BE333" i="3" s="1"/>
  <c r="BF110" i="3"/>
  <c r="BF295" i="3" s="1"/>
  <c r="BD312" i="3"/>
  <c r="H74" i="4"/>
  <c r="G88" i="4" s="1"/>
  <c r="K46" i="4" l="1"/>
  <c r="BF317" i="3"/>
  <c r="BF311" i="3"/>
  <c r="BF281" i="3"/>
  <c r="BF163" i="3"/>
  <c r="BF331" i="3" s="1"/>
  <c r="BF333" i="3" s="1"/>
  <c r="G90" i="4"/>
  <c r="H88" i="4" s="1"/>
  <c r="BE312" i="3"/>
  <c r="BE2" i="3"/>
  <c r="BE1" i="3" s="1"/>
  <c r="K47" i="4" l="1"/>
  <c r="BF312" i="3"/>
  <c r="K50" i="4"/>
  <c r="D64" i="4" s="1"/>
  <c r="D66" i="4" s="1"/>
  <c r="D67" i="4" s="1"/>
  <c r="D68" i="4" s="1"/>
  <c r="K51" i="4"/>
  <c r="H89" i="4"/>
  <c r="J88" i="4"/>
  <c r="J89" i="4" s="1"/>
  <c r="BF2" i="3"/>
  <c r="BF1" i="3" s="1"/>
  <c r="D69" i="4" l="1"/>
  <c r="D80" i="4" s="1"/>
  <c r="H62" i="4" s="1"/>
  <c r="H75" i="4" s="1"/>
  <c r="H77" i="4" s="1"/>
  <c r="D8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64" authorId="0" shapeId="0" xr:uid="{00000000-0006-0000-0300-000001000000}">
      <text>
        <r>
          <rPr>
            <sz val="10"/>
            <rFont val="Arial"/>
            <family val="2"/>
          </rPr>
          <t>MG: 
- expected rate of return on new invested capital</t>
        </r>
      </text>
    </comment>
  </commentList>
</comments>
</file>

<file path=xl/sharedStrings.xml><?xml version="1.0" encoding="utf-8"?>
<sst xmlns="http://schemas.openxmlformats.org/spreadsheetml/2006/main" count="598" uniqueCount="398">
  <si>
    <t>Código</t>
  </si>
  <si>
    <t>Conta padronizada</t>
  </si>
  <si>
    <t>R$ milhões</t>
  </si>
  <si>
    <t>Período</t>
  </si>
  <si>
    <t>1Q21</t>
  </si>
  <si>
    <t>2Q21</t>
  </si>
  <si>
    <t>3Q21</t>
  </si>
  <si>
    <t>4Q21</t>
  </si>
  <si>
    <t>2021</t>
  </si>
  <si>
    <t>1Q22</t>
  </si>
  <si>
    <t>2Q22</t>
  </si>
  <si>
    <t>3Q22</t>
  </si>
  <si>
    <t>4Q22</t>
  </si>
  <si>
    <t>2022</t>
  </si>
  <si>
    <t>1Q23</t>
  </si>
  <si>
    <t>2Q23</t>
  </si>
  <si>
    <t>3Q23</t>
  </si>
  <si>
    <t>4Q23</t>
  </si>
  <si>
    <t>2023</t>
  </si>
  <si>
    <t>1Q24</t>
  </si>
  <si>
    <t>2Q24</t>
  </si>
  <si>
    <t>3Q24</t>
  </si>
  <si>
    <t>4Q24</t>
  </si>
  <si>
    <t>2024</t>
  </si>
  <si>
    <t>1Q25</t>
  </si>
  <si>
    <t>2Q25</t>
  </si>
  <si>
    <t>3Q25</t>
  </si>
  <si>
    <t>4Q25</t>
  </si>
  <si>
    <t>2025</t>
  </si>
  <si>
    <t>1Q26</t>
  </si>
  <si>
    <t>2Q26</t>
  </si>
  <si>
    <t>3Q26</t>
  </si>
  <si>
    <t>4Q26</t>
  </si>
  <si>
    <t>2026</t>
  </si>
  <si>
    <t>Actual flag</t>
  </si>
  <si>
    <t>0 = sem dados / 1 = realizado</t>
  </si>
  <si>
    <t>Net Revenues</t>
  </si>
  <si>
    <t>COGS (cash)</t>
  </si>
  <si>
    <t>SG&amp;A and Other (cash)</t>
  </si>
  <si>
    <t>D&amp;A</t>
  </si>
  <si>
    <t>Interest Expense</t>
  </si>
  <si>
    <t>Nonoperating Income / (Loss)</t>
  </si>
  <si>
    <t>Taxes</t>
  </si>
  <si>
    <t>Equity in Income of Affiliates, after tax (enter as +)</t>
  </si>
  <si>
    <t>Minority Interest Expense, after tax (enter as - )</t>
  </si>
  <si>
    <t>Common Dividends</t>
  </si>
  <si>
    <t>Cash and equivalents (inc. investment securities)</t>
  </si>
  <si>
    <t>Accounts receivable</t>
  </si>
  <si>
    <t>Inventories</t>
  </si>
  <si>
    <t>Deferred income taxes</t>
  </si>
  <si>
    <t>Prepaid expenses</t>
  </si>
  <si>
    <t>Other current assets</t>
  </si>
  <si>
    <t>Equity in affiliates</t>
  </si>
  <si>
    <t>PP&amp;E</t>
  </si>
  <si>
    <t>Right-of-use-assets</t>
  </si>
  <si>
    <t>Goodwill</t>
  </si>
  <si>
    <t>Intangibles</t>
  </si>
  <si>
    <t>Other non-current assets</t>
  </si>
  <si>
    <t>Accounts payable</t>
  </si>
  <si>
    <t>Accrued expenses</t>
  </si>
  <si>
    <t>Taxes payable</t>
  </si>
  <si>
    <t>Other current liabilities (non-debt)</t>
  </si>
  <si>
    <t>Current portion of long-term debt</t>
  </si>
  <si>
    <t>Short term debt (Revolving credit facility)</t>
  </si>
  <si>
    <t>Short term operating leases</t>
  </si>
  <si>
    <t>Long term debt</t>
  </si>
  <si>
    <t>Long term operating leases</t>
  </si>
  <si>
    <t>Convertible debt</t>
  </si>
  <si>
    <t>Other non-current liabilities</t>
  </si>
  <si>
    <t>Minority interest</t>
  </si>
  <si>
    <t>Convertible Preferred Stock</t>
  </si>
  <si>
    <t>Common Stock and APIC</t>
  </si>
  <si>
    <t>Treasury stock (contra account)</t>
  </si>
  <si>
    <t>Comprehensive (accumulated) loss</t>
  </si>
  <si>
    <t>Other equity account</t>
  </si>
  <si>
    <t>Retained earnings</t>
  </si>
  <si>
    <t>Base histórica normalizada (R$ mil)</t>
  </si>
  <si>
    <t>Fonte / conta original</t>
  </si>
  <si>
    <t>Fonte: preencher com planilha de fundamentos e/ou RI</t>
  </si>
  <si>
    <t>Unidade original: R$ mil</t>
  </si>
  <si>
    <t>CHECKS</t>
  </si>
  <si>
    <t>BS</t>
  </si>
  <si>
    <t>IS</t>
  </si>
  <si>
    <t>IPCA</t>
  </si>
  <si>
    <t>GDP BRAZIL</t>
  </si>
  <si>
    <t>CDI</t>
  </si>
  <si>
    <t>Income Statement</t>
  </si>
  <si>
    <t>% YoY</t>
  </si>
  <si>
    <t>Check Receita</t>
  </si>
  <si>
    <t>% Gross Margin</t>
  </si>
  <si>
    <t>% SG&amp;A and Other Margin</t>
  </si>
  <si>
    <t>Com Vendas</t>
  </si>
  <si>
    <t>Gerais &amp; Administrativas</t>
  </si>
  <si>
    <t>Outras Receitas (Despesas) Operacionais, Líquidas</t>
  </si>
  <si>
    <t>Com Vendas (%)</t>
  </si>
  <si>
    <t>Gerais &amp; Administrativas (%)</t>
  </si>
  <si>
    <t>Outras Receitas (Despesas) Operacionais, Líquidas (%)</t>
  </si>
  <si>
    <t>EBITDA</t>
  </si>
  <si>
    <t>% of Revenue</t>
  </si>
  <si>
    <t>Operating Profit - EBIT</t>
  </si>
  <si>
    <t>% of Debt</t>
  </si>
  <si>
    <t>%CDI</t>
  </si>
  <si>
    <t>RECEITA FINANCEIRA</t>
  </si>
  <si>
    <t>DESPESA FINANCEIRA</t>
  </si>
  <si>
    <t>OUTROS</t>
  </si>
  <si>
    <t>Interest on cash</t>
  </si>
  <si>
    <t>Average interest rate</t>
  </si>
  <si>
    <t>% CDI</t>
  </si>
  <si>
    <t>Total debt</t>
  </si>
  <si>
    <t>Interest expense</t>
  </si>
  <si>
    <t>Stake</t>
  </si>
  <si>
    <t>PRE</t>
  </si>
  <si>
    <t>CDI+</t>
  </si>
  <si>
    <t>Spread</t>
  </si>
  <si>
    <t>RECEITAS FINANCEIRAS - Rendimentos de aplicações financeiras</t>
  </si>
  <si>
    <t>RECEITAS FINANCEIRAS - Variação cambial ativa</t>
  </si>
  <si>
    <t>RECEITAS FINANCEIRAS - Atualização de contas a pagar por aquisição de empresas</t>
  </si>
  <si>
    <t>RECEITAS FINANCEIRAS - Resultado positivo com instrumentos derivativos</t>
  </si>
  <si>
    <t>RECEITAS FINANCEIRAS - Descontos obtidos de fornecedores por antecipação</t>
  </si>
  <si>
    <t>RECEITAS FINANCEIRAS - Atualização monetária sobre Exclusão ICMS da base de PIS/COFINS (nota explicativa nº 7)</t>
  </si>
  <si>
    <t>RECEITAS FINANCEIRAS - Outras</t>
  </si>
  <si>
    <t>DESPESAS FINANCEIRAS - Encargos sobre empréstimos, financiamentos e debêntures</t>
  </si>
  <si>
    <t>DESPESAS FINANCEIRAS - Variação cambial passiva</t>
  </si>
  <si>
    <t>DESPESAS FINANCEIRAS - Resultado negativo com instrumentos derivativos</t>
  </si>
  <si>
    <t>DESPESAS FINANCEIRAS - Juros sobre arrendamento - IFRS16</t>
  </si>
  <si>
    <t>DESPESAS FINANCEIRAS - Despesas bancárias</t>
  </si>
  <si>
    <t>DESPESAS FINANCEIRAS - Despesas com obtenção de empréstimos e financiamentos</t>
  </si>
  <si>
    <t>DESPESAS FINANCEIRAS - Atualização de contas a pagar por aquisição de empresas</t>
  </si>
  <si>
    <t>DESPESAS FINANCEIRAS - Outras</t>
  </si>
  <si>
    <t>CHECK [EX IFRS-16]</t>
  </si>
  <si>
    <t>Resultado Não Recorrente</t>
  </si>
  <si>
    <t>Plano de Opção de Compra de Ações</t>
  </si>
  <si>
    <t>Baixa Imobilizado</t>
  </si>
  <si>
    <t>Pretax Income - EBT</t>
  </si>
  <si>
    <t>% ETR</t>
  </si>
  <si>
    <t>Net Income</t>
  </si>
  <si>
    <t>% DVD Payout</t>
  </si>
  <si>
    <t>Balance Sheet</t>
  </si>
  <si>
    <t>DSO</t>
  </si>
  <si>
    <t>DIO</t>
  </si>
  <si>
    <t>%(Var.)</t>
  </si>
  <si>
    <t>Impostos e Contribuições a Recuperar </t>
  </si>
  <si>
    <t>Outros Créditos</t>
  </si>
  <si>
    <t>Equity in Income - % YoY</t>
  </si>
  <si>
    <t>Dividends (enter as -)</t>
  </si>
  <si>
    <t>Capital expenditures</t>
  </si>
  <si>
    <t>Recurring asset sales (enter as -)</t>
  </si>
  <si>
    <t>Depreciation</t>
  </si>
  <si>
    <t>Capital expenditures (% Net Revenues)</t>
  </si>
  <si>
    <t>Purchase of intangible assets</t>
  </si>
  <si>
    <t>Amortization (enter as -)</t>
  </si>
  <si>
    <t>Definir % do D&amp;A No PPE and Intagibles</t>
  </si>
  <si>
    <t>Outros Créditos - LP</t>
  </si>
  <si>
    <t>Imposto de Renda e Contribuição Social Diferidos </t>
  </si>
  <si>
    <t>Total Assets</t>
  </si>
  <si>
    <t>DPO</t>
  </si>
  <si>
    <t>Dividendos a Pagar </t>
  </si>
  <si>
    <t>Contas a pagar pela aquisição de controladas</t>
  </si>
  <si>
    <t>Outros</t>
  </si>
  <si>
    <t>Current portion of LTD</t>
  </si>
  <si>
    <t>Reclassification of LTD to CP of LTD</t>
  </si>
  <si>
    <t>Discretionary (paydown)/borrowing of long term debt</t>
  </si>
  <si>
    <t>Discretionary (paydown)/borrowing of convertible debt</t>
  </si>
  <si>
    <t>Calculation of short term debt</t>
  </si>
  <si>
    <t>Cash @ beginning of the period (end of last period)</t>
  </si>
  <si>
    <t>Plus: Free cash flows prior to debt during period</t>
  </si>
  <si>
    <t>% of sales</t>
  </si>
  <si>
    <t>Less: Minimum cash balance</t>
  </si>
  <si>
    <t>Total cash available / (debt required) for short term debt paydown</t>
  </si>
  <si>
    <t>Short term debt</t>
  </si>
  <si>
    <t>Outras Obrigações </t>
  </si>
  <si>
    <t>Provisão de Risco Cíveis, Trabalhistas e Tributários </t>
  </si>
  <si>
    <t>Total Liabilities</t>
  </si>
  <si>
    <t>Minority Interest Expense - % YoY</t>
  </si>
  <si>
    <t>Diluted Shares outstanding</t>
  </si>
  <si>
    <t>Treasury share $ repurchases</t>
  </si>
  <si>
    <t>Value of shares issued</t>
  </si>
  <si>
    <t>Expected average share price</t>
  </si>
  <si>
    <t>Consensus EPS growth</t>
  </si>
  <si>
    <t>Shares repurchased</t>
  </si>
  <si>
    <t>Shares issued</t>
  </si>
  <si>
    <t>End of period basic shares outstanding</t>
  </si>
  <si>
    <t>Weighted average basic shares outstanding</t>
  </si>
  <si>
    <t xml:space="preserve"> </t>
  </si>
  <si>
    <t>Total Shareholders' Equity</t>
  </si>
  <si>
    <t>Total Liabilities + Shareholders' Equity</t>
  </si>
  <si>
    <t>Cash Flow Statement</t>
  </si>
  <si>
    <t>Depreciation &amp; amortization</t>
  </si>
  <si>
    <t xml:space="preserve">Changes in working capital </t>
  </si>
  <si>
    <t>Equity income in affiliates</t>
  </si>
  <si>
    <t>Dividends received from affiliates</t>
  </si>
  <si>
    <t>Minority interest expense</t>
  </si>
  <si>
    <t>Cash from operations</t>
  </si>
  <si>
    <t>Purchase of fixed assets (capital expenditures)</t>
  </si>
  <si>
    <t>Proceeds from sale of fixed assets</t>
  </si>
  <si>
    <t>Var.Right-of-use-assets</t>
  </si>
  <si>
    <t>Purchases of intangible assets</t>
  </si>
  <si>
    <t>Purchases/Proceeds from other long-term assets</t>
  </si>
  <si>
    <t>Cash from investing</t>
  </si>
  <si>
    <t>Convertible preferred stock</t>
  </si>
  <si>
    <t>Common stock and APIC</t>
  </si>
  <si>
    <t>Treasury stock repurchases</t>
  </si>
  <si>
    <t>Comprehensive accumulated loss</t>
  </si>
  <si>
    <t>Common and preferred dividends</t>
  </si>
  <si>
    <t>Dividends to minority interests</t>
  </si>
  <si>
    <t>Increases / (decreases) in debt</t>
  </si>
  <si>
    <t>Cash from financing</t>
  </si>
  <si>
    <t>Others / cash reconciliation plug</t>
  </si>
  <si>
    <t>Total increase/decrease of cash</t>
  </si>
  <si>
    <t>Check</t>
  </si>
  <si>
    <t>Ratio Analysis</t>
  </si>
  <si>
    <t>YEAR</t>
  </si>
  <si>
    <t>GROWTH &amp; MARGINS</t>
  </si>
  <si>
    <t>GROSS MARGIN</t>
  </si>
  <si>
    <t>EBIT MARGIN</t>
  </si>
  <si>
    <t>ETR</t>
  </si>
  <si>
    <t>CAPITAL STRUCTURE</t>
  </si>
  <si>
    <t>FINANCIAL RISK RATIOS</t>
  </si>
  <si>
    <t>TOTAL DEBT / TOTAL CAPITALIZATION</t>
  </si>
  <si>
    <t>INTERNAL LIQUIDITY</t>
  </si>
  <si>
    <t>CURRENT RATIO</t>
  </si>
  <si>
    <t>CASH RATIO</t>
  </si>
  <si>
    <t>OPERATING EFFICIENCY</t>
  </si>
  <si>
    <t>NOPLAT</t>
  </si>
  <si>
    <t>EBIT</t>
  </si>
  <si>
    <t>INVESTED CAPITAL</t>
  </si>
  <si>
    <t>INVESTED CAPITAL - EX GOODWILL</t>
  </si>
  <si>
    <t>OPERATING WORKING CAPITAL</t>
  </si>
  <si>
    <t>FIXED ASSETS</t>
  </si>
  <si>
    <t>DUPONT ANALYSIS</t>
  </si>
  <si>
    <t>ROE - DUPONT</t>
  </si>
  <si>
    <t>Scenario Analysis</t>
  </si>
  <si>
    <t>Bull case</t>
  </si>
  <si>
    <t>Base case</t>
  </si>
  <si>
    <t>Bear case</t>
  </si>
  <si>
    <t>Discounted Cash Flow Model</t>
  </si>
  <si>
    <t>All figures in millions, except per share data</t>
  </si>
  <si>
    <t>Ticker</t>
  </si>
  <si>
    <t>Last close</t>
  </si>
  <si>
    <t>Operating scenario:</t>
  </si>
  <si>
    <t>Last fiscal year end date:</t>
  </si>
  <si>
    <t>Valuation / deal date:</t>
  </si>
  <si>
    <t>Stub year fraction:</t>
  </si>
  <si>
    <t>Weighted average cost of capital:</t>
  </si>
  <si>
    <t>Historicals</t>
  </si>
  <si>
    <t>Projected Annual Forecast</t>
  </si>
  <si>
    <t>Granular</t>
  </si>
  <si>
    <t>Tax rate</t>
  </si>
  <si>
    <t>Depreciation &amp; Amortization</t>
  </si>
  <si>
    <t>Cash from working capital</t>
  </si>
  <si>
    <t>Deferred income taxes (assets)</t>
  </si>
  <si>
    <t>Other current liabilities</t>
  </si>
  <si>
    <t>Deferred tax (liabilities)</t>
  </si>
  <si>
    <t>Capital expenditures [IFRS16 - implied lease payments]</t>
  </si>
  <si>
    <t>Net Investments</t>
  </si>
  <si>
    <t>Invested Capital</t>
  </si>
  <si>
    <t>Invested Capital (ex Goodwill)</t>
  </si>
  <si>
    <t>Invested Capital / Net Revenues</t>
  </si>
  <si>
    <t>ROIC</t>
  </si>
  <si>
    <t>Capital Turnover</t>
  </si>
  <si>
    <t>Unlevered free cash flows = FCFF</t>
  </si>
  <si>
    <t>Discount factor</t>
  </si>
  <si>
    <t>Midyear adjustment factor</t>
  </si>
  <si>
    <t>Present value of free cash flows</t>
  </si>
  <si>
    <t>Sum of present values of FCFs</t>
  </si>
  <si>
    <t>Terminal value</t>
  </si>
  <si>
    <t>Equity value calculations</t>
  </si>
  <si>
    <t xml:space="preserve"> Shares Outstanding Worksheet</t>
  </si>
  <si>
    <t>Key value driver method</t>
  </si>
  <si>
    <t>Enterprise value</t>
  </si>
  <si>
    <t>Basic Shares Outanding :</t>
  </si>
  <si>
    <t>g</t>
  </si>
  <si>
    <t>Calculation of net debt:</t>
  </si>
  <si>
    <t>Current Share Price:</t>
  </si>
  <si>
    <t>RONIC</t>
  </si>
  <si>
    <t>Options / Warrants Data</t>
  </si>
  <si>
    <t>NOPLAT (t+1)</t>
  </si>
  <si>
    <t># of options</t>
  </si>
  <si>
    <t xml:space="preserve">$ strike </t>
  </si>
  <si>
    <t>Batch 1</t>
  </si>
  <si>
    <t>Midyear adjusted terminal value</t>
  </si>
  <si>
    <t>Batch 2</t>
  </si>
  <si>
    <t>Present value of terminal value</t>
  </si>
  <si>
    <t>Batch 3</t>
  </si>
  <si>
    <t>Batch 4</t>
  </si>
  <si>
    <t>Batch 5</t>
  </si>
  <si>
    <t>Exit multiple method</t>
  </si>
  <si>
    <t>Batch 6</t>
  </si>
  <si>
    <t>Exit EV / EBITDA multiple</t>
  </si>
  <si>
    <t>Less: Excess cash</t>
  </si>
  <si>
    <t>Total in-the-$ options:</t>
  </si>
  <si>
    <t>LTM EBITDA at end of projection</t>
  </si>
  <si>
    <t>Less: Equity investments</t>
  </si>
  <si>
    <t>Total $ proceeds:</t>
  </si>
  <si>
    <t>Net debt</t>
  </si>
  <si>
    <t>Total shares repurchased:</t>
  </si>
  <si>
    <t>Equity value</t>
  </si>
  <si>
    <t>Basic shares outstanding</t>
  </si>
  <si>
    <t>Shares outstanding</t>
  </si>
  <si>
    <t>New shares from options:</t>
  </si>
  <si>
    <t>Equity value / share</t>
  </si>
  <si>
    <t>New shares from convert. pref. stock:</t>
  </si>
  <si>
    <t>Select a terminal value method</t>
  </si>
  <si>
    <t>New shares from convertible debt:</t>
  </si>
  <si>
    <t>Perpetual growth = 1 / Exit multiple = 2</t>
  </si>
  <si>
    <t>Total Shares Outstanding:</t>
  </si>
  <si>
    <t>Terminal value as percent of total value</t>
  </si>
  <si>
    <t>Analysis of WACC</t>
  </si>
  <si>
    <t>Cost of debt</t>
  </si>
  <si>
    <t>Capital structure</t>
  </si>
  <si>
    <t>Current capital structure</t>
  </si>
  <si>
    <t>Target capital structure</t>
  </si>
  <si>
    <t>Marginal tax rate</t>
  </si>
  <si>
    <t>Market value</t>
  </si>
  <si>
    <t>% Weight</t>
  </si>
  <si>
    <t>override</t>
  </si>
  <si>
    <t>Cost of debt after tax shield</t>
  </si>
  <si>
    <t>Equity</t>
  </si>
  <si>
    <t>Cost of equity</t>
  </si>
  <si>
    <t>Total</t>
  </si>
  <si>
    <t>Risk-Free Rate (rf)</t>
  </si>
  <si>
    <t>Market Risk Premium (rm-rf)</t>
  </si>
  <si>
    <t>Weighted average cost of capital</t>
  </si>
  <si>
    <t>Raw (observed) beta</t>
  </si>
  <si>
    <t>Cost of equity using relevered industry beta</t>
  </si>
  <si>
    <t>Industry beta calculation</t>
  </si>
  <si>
    <t xml:space="preserve">Comps </t>
  </si>
  <si>
    <t>Raw beta</t>
  </si>
  <si>
    <t>Share price</t>
  </si>
  <si>
    <t>Shares</t>
  </si>
  <si>
    <t>Market cap.</t>
  </si>
  <si>
    <t>Debt</t>
  </si>
  <si>
    <t>D / E</t>
  </si>
  <si>
    <t>Unl. Beta</t>
  </si>
  <si>
    <t>TICKER 2</t>
  </si>
  <si>
    <t>TICKER 3</t>
  </si>
  <si>
    <t>TICKER 4</t>
  </si>
  <si>
    <t>CONTROL &amp; ASSUMPTIONS – BASE MODEL</t>
  </si>
  <si>
    <t>Company</t>
  </si>
  <si>
    <t>Valuation assumptions</t>
  </si>
  <si>
    <t>Last close (R$/share)</t>
  </si>
  <si>
    <t>Currency</t>
  </si>
  <si>
    <t>Shares outstanding (mm)</t>
  </si>
  <si>
    <t>Model unit</t>
  </si>
  <si>
    <t>Risk-free rate</t>
  </si>
  <si>
    <t>Last actual period</t>
  </si>
  <si>
    <t>Market risk premium</t>
  </si>
  <si>
    <t>Quarterly forecast through</t>
  </si>
  <si>
    <t>Beta</t>
  </si>
  <si>
    <t>Forecast end</t>
  </si>
  <si>
    <t>Pre-tax cost of debt</t>
  </si>
  <si>
    <t>Scenario (1 Bull / 2 Base / 3 Bear)</t>
  </si>
  <si>
    <t>Terminal method (1 Perpetuity / 2 Exit)</t>
  </si>
  <si>
    <t>Target debt weight</t>
  </si>
  <si>
    <t>Valuation date</t>
  </si>
  <si>
    <t>WACC</t>
  </si>
  <si>
    <t>Stub year fraction</t>
  </si>
  <si>
    <t>Terminal growth</t>
  </si>
  <si>
    <t>Exit EV/EBITDA</t>
  </si>
  <si>
    <t>Dividend payout</t>
  </si>
  <si>
    <t>Forecast drivers</t>
  </si>
  <si>
    <t>2026E</t>
  </si>
  <si>
    <t>2027E</t>
  </si>
  <si>
    <t>2028E</t>
  </si>
  <si>
    <t>2029E</t>
  </si>
  <si>
    <t>2030E</t>
  </si>
  <si>
    <t>Revenue growth</t>
  </si>
  <si>
    <t>Gross margin</t>
  </si>
  <si>
    <t>SG&amp;A / Revenue</t>
  </si>
  <si>
    <t>D&amp;A / Revenue</t>
  </si>
  <si>
    <t>Effective tax rate</t>
  </si>
  <si>
    <t>Financial income / Revenue</t>
  </si>
  <si>
    <t>Capex / Revenue</t>
  </si>
  <si>
    <t>Model status</t>
  </si>
  <si>
    <t>Source</t>
  </si>
  <si>
    <t>Unit flow</t>
  </si>
  <si>
    <t>R$ mil → R$ milhões via Inputs (2)</t>
  </si>
  <si>
    <t>Historical coverage</t>
  </si>
  <si>
    <t>Valuation readiness</t>
  </si>
  <si>
    <t>NET REVENUE GROWTH (YoY)</t>
  </si>
  <si>
    <t>EBITDA MARGIN</t>
  </si>
  <si>
    <t>TOTAL DEBT / EQUITY (BOOK VALUE)</t>
  </si>
  <si>
    <t>NET DEBT / (NET DEBT + EQUITY) (BOOK VALUE)</t>
  </si>
  <si>
    <t>EBITDA / TOTAL INTEREST (LTM)</t>
  </si>
  <si>
    <t>(EBITDA - CAPEX) / TOTAL INTEREST (LTM)</t>
  </si>
  <si>
    <t>TOTAL DEBT / EBITDA (LTM)</t>
  </si>
  <si>
    <t>NET DEBT / EBITDA (LTM)</t>
  </si>
  <si>
    <t>NET DEBT (EX IFRS 16.) / EBITDA (LTM)</t>
  </si>
  <si>
    <t>INTEREST COVERAGE (EBIT / INTEREST, LTM)</t>
  </si>
  <si>
    <t>RETURN ON CAPITAL (ROIC) - LTM</t>
  </si>
  <si>
    <t>RETURN ON CAPITAL (ROIC) - EX GOODWILL - LTM</t>
  </si>
  <si>
    <t>ETR (LIMITED TO 0%-100%)</t>
  </si>
  <si>
    <t>CURRENT ASSETS (OPERATING, EX CASH)</t>
  </si>
  <si>
    <t>CURRENT LIABILITIES (OPERATING, EX DEBT)</t>
  </si>
  <si>
    <t>NET PROFIT MARGIN (LTM)</t>
  </si>
  <si>
    <t>ASSET TURNOVER (LTM REVENUE / ASSETS)</t>
  </si>
  <si>
    <t>EQUITY MULTIPLIER (ASSETS / EQUITY)</t>
  </si>
  <si>
    <t>ROE (LTM)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</si>
</sst>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_(* #,##0.00_);_(* \(#,##0.00\);_(* \-??_);_(@_)"/>
    <numFmt numFmtId="193" formatCode="_(* #,##0_);_(* \(#,##0\);_(* \-_);_(@_)"/>
    <numFmt numFmtId="194" formatCode="_(\$* #,##0.00_);_(\$* \(#,##0.00\);_(\$* \-??_);_(@_)"/>
    <numFmt numFmtId="195" formatCode="_(\$* #,##0_);_(\$* \(#,##0\);_(\$* \-_);_(@_)"/>
    <numFmt numFmtId="196" formatCode="m/d/yyyy"/>
    <numFmt numFmtId="197" formatCode="0_);\(0\)"/>
    <numFmt numFmtId="198" formatCode="0.0&quot;x&quot;"/>
    <numFmt numFmtId="199" formatCode="#,##0.0;\(#,##0.0\)"/>
  </numFmts>
  <fonts count="23" x14ac:knownFonts="1">
    <font>
      <sz val="10"/>
      <name val="Arial"/>
      <family val="2"/>
    </font>
    <font>
      <sz val="10"/>
      <name val="Arial"/>
      <charset val="1"/>
    </font>
    <font>
      <b/>
      <sz val="8"/>
      <name val="Arial"/>
      <charset val="1"/>
    </font>
    <font>
      <sz val="11"/>
      <color theme="1"/>
      <name val="Aptos Narrow"/>
      <charset val="1"/>
    </font>
    <font>
      <sz val="10"/>
      <color theme="1"/>
      <name val="Verdana"/>
      <charset val="1"/>
    </font>
    <font>
      <sz val="8"/>
      <name val="Arial"/>
      <charset val="1"/>
    </font>
    <font>
      <b/>
      <sz val="10"/>
      <color rgb="FF333333"/>
      <name val="Arial"/>
      <charset val="1"/>
    </font>
    <font>
      <sz val="11"/>
      <color rgb="FF000000"/>
      <name val="Calibri"/>
      <charset val="1"/>
    </font>
    <font>
      <b/>
      <sz val="11"/>
      <color rgb="FFFFFFFF"/>
      <name val="Cambria"/>
      <charset val="1"/>
    </font>
    <font>
      <b/>
      <sz val="11"/>
      <color rgb="FF17365D"/>
      <name val="Cambria"/>
      <charset val="1"/>
    </font>
    <font>
      <sz val="10"/>
      <color rgb="FF0000FF"/>
      <name val="Verdana"/>
      <charset val="1"/>
    </font>
    <font>
      <b/>
      <sz val="10"/>
      <color theme="1"/>
      <name val="Verdana"/>
      <charset val="1"/>
    </font>
    <font>
      <b/>
      <sz val="10"/>
      <color rgb="FFFFFFFF"/>
      <name val="Verdana"/>
      <charset val="1"/>
    </font>
    <font>
      <i/>
      <sz val="10"/>
      <color theme="1"/>
      <name val="Verdana"/>
      <charset val="1"/>
    </font>
    <font>
      <sz val="10"/>
      <name val="Verdana"/>
      <charset val="1"/>
    </font>
    <font>
      <b/>
      <sz val="10"/>
      <color theme="0"/>
      <name val="Verdana"/>
      <charset val="1"/>
    </font>
    <font>
      <b/>
      <sz val="10"/>
      <name val="Verdana"/>
      <charset val="1"/>
    </font>
    <font>
      <b/>
      <sz val="10"/>
      <color theme="0" tint="-4.9989318521683403E-2"/>
      <name val="Verdana"/>
      <charset val="1"/>
    </font>
    <font>
      <b/>
      <sz val="10"/>
      <color rgb="FF333333"/>
      <name val="Verdana"/>
      <charset val="1"/>
    </font>
    <font>
      <b/>
      <sz val="10"/>
      <color rgb="FF0000FF"/>
      <name val="Verdana"/>
      <charset val="1"/>
    </font>
    <font>
      <sz val="10"/>
      <color rgb="FF008000"/>
      <name val="Verdana"/>
      <charset val="1"/>
    </font>
    <font>
      <b/>
      <sz val="14"/>
      <color rgb="FFFFFFFF"/>
      <name val="Cambria"/>
      <charset val="1"/>
    </font>
    <font>
      <sz val="11"/>
      <color rgb="FF0000FF"/>
      <name val="Cambria"/>
      <charset val="1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3"/>
        <bgColor rgb="FF00CCFF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7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2" fontId="7" fillId="0" borderId="0"/>
  </cellStyleXfs>
  <cellXfs count="262">
    <xf numFmtId="0" fontId="0" fillId="0" borderId="0" xfId="0"/>
    <xf numFmtId="0" fontId="8" fillId="3" borderId="0" xfId="24" applyFont="1" applyFill="1"/>
    <xf numFmtId="0" fontId="9" fillId="4" borderId="0" xfId="24" applyFont="1" applyFill="1"/>
    <xf numFmtId="0" fontId="4" fillId="0" borderId="0" xfId="24" applyFont="1" applyAlignment="1">
      <alignment horizontal="center"/>
    </xf>
    <xf numFmtId="0" fontId="4" fillId="0" borderId="0" xfId="24" applyFont="1"/>
    <xf numFmtId="0" fontId="8" fillId="3" borderId="0" xfId="24" applyFont="1" applyFill="1" applyAlignment="1">
      <alignment horizontal="center"/>
    </xf>
    <xf numFmtId="0" fontId="8" fillId="3" borderId="0" xfId="21" applyFont="1" applyFill="1" applyAlignment="1">
      <alignment horizontal="center"/>
    </xf>
    <xf numFmtId="164" fontId="8" fillId="3" borderId="0" xfId="21" applyNumberFormat="1" applyFont="1" applyFill="1" applyAlignment="1">
      <alignment horizontal="center"/>
    </xf>
    <xf numFmtId="0" fontId="3" fillId="5" borderId="0" xfId="24" applyFill="1"/>
    <xf numFmtId="165" fontId="10" fillId="6" borderId="0" xfId="24" applyNumberFormat="1" applyFont="1" applyFill="1" applyAlignment="1">
      <alignment horizontal="center"/>
    </xf>
    <xf numFmtId="0" fontId="4" fillId="7" borderId="0" xfId="20" applyFont="1" applyFill="1"/>
    <xf numFmtId="166" fontId="10" fillId="6" borderId="0" xfId="24" applyNumberFormat="1" applyFont="1" applyFill="1" applyAlignment="1">
      <alignment horizontal="center"/>
    </xf>
    <xf numFmtId="166" fontId="4" fillId="0" borderId="0" xfId="24" applyNumberFormat="1" applyFont="1" applyAlignment="1">
      <alignment horizontal="center"/>
    </xf>
    <xf numFmtId="167" fontId="4" fillId="7" borderId="0" xfId="20" applyNumberFormat="1" applyFont="1" applyFill="1" applyAlignment="1">
      <alignment horizontal="left"/>
    </xf>
    <xf numFmtId="0" fontId="4" fillId="7" borderId="0" xfId="20" applyFont="1" applyFill="1" applyAlignment="1">
      <alignment horizontal="left"/>
    </xf>
    <xf numFmtId="0" fontId="4" fillId="7" borderId="1" xfId="20" applyFont="1" applyFill="1" applyBorder="1" applyAlignment="1">
      <alignment horizontal="left"/>
    </xf>
    <xf numFmtId="166" fontId="4" fillId="0" borderId="0" xfId="24" applyNumberFormat="1" applyFont="1"/>
    <xf numFmtId="0" fontId="11" fillId="0" borderId="0" xfId="20" applyFont="1"/>
    <xf numFmtId="0" fontId="4" fillId="0" borderId="0" xfId="20" applyFont="1"/>
    <xf numFmtId="168" fontId="10" fillId="6" borderId="0" xfId="24" applyNumberFormat="1" applyFont="1" applyFill="1" applyAlignment="1">
      <alignment horizontal="center"/>
    </xf>
    <xf numFmtId="169" fontId="10" fillId="6" borderId="0" xfId="21" applyNumberFormat="1" applyFont="1" applyFill="1" applyAlignment="1">
      <alignment horizontal="center"/>
    </xf>
    <xf numFmtId="170" fontId="4" fillId="7" borderId="0" xfId="21" applyNumberFormat="1" applyFont="1" applyFill="1" applyAlignment="1">
      <alignment horizontal="center"/>
    </xf>
    <xf numFmtId="170" fontId="11" fillId="7" borderId="0" xfId="21" applyNumberFormat="1" applyFont="1" applyFill="1" applyAlignment="1">
      <alignment horizontal="center"/>
    </xf>
    <xf numFmtId="168" fontId="10" fillId="0" borderId="0" xfId="24" applyNumberFormat="1" applyFont="1" applyAlignment="1">
      <alignment horizontal="center"/>
    </xf>
    <xf numFmtId="164" fontId="4" fillId="0" borderId="0" xfId="21" applyNumberFormat="1" applyFont="1" applyAlignment="1">
      <alignment horizontal="center"/>
    </xf>
    <xf numFmtId="0" fontId="4" fillId="0" borderId="0" xfId="21" applyFont="1" applyAlignment="1">
      <alignment horizontal="center"/>
    </xf>
    <xf numFmtId="0" fontId="11" fillId="8" borderId="0" xfId="21" applyFont="1" applyFill="1" applyAlignment="1">
      <alignment horizontal="center"/>
    </xf>
    <xf numFmtId="10" fontId="11" fillId="0" borderId="0" xfId="30" applyNumberFormat="1" applyFont="1" applyAlignment="1">
      <alignment horizontal="center"/>
    </xf>
    <xf numFmtId="0" fontId="11" fillId="0" borderId="0" xfId="21" applyFont="1" applyAlignment="1">
      <alignment horizontal="center"/>
    </xf>
    <xf numFmtId="10" fontId="11" fillId="0" borderId="0" xfId="21" applyNumberFormat="1" applyFont="1" applyAlignment="1">
      <alignment horizontal="center"/>
    </xf>
    <xf numFmtId="0" fontId="11" fillId="0" borderId="0" xfId="24" applyFont="1" applyAlignment="1">
      <alignment horizontal="center"/>
    </xf>
    <xf numFmtId="0" fontId="12" fillId="9" borderId="0" xfId="20" applyFont="1" applyFill="1" applyAlignment="1">
      <alignment horizontal="left"/>
    </xf>
    <xf numFmtId="0" fontId="11" fillId="0" borderId="0" xfId="24" applyFont="1"/>
    <xf numFmtId="0" fontId="11" fillId="7" borderId="0" xfId="20" applyFont="1" applyFill="1"/>
    <xf numFmtId="166" fontId="11" fillId="7" borderId="0" xfId="24" applyNumberFormat="1" applyFont="1" applyFill="1" applyAlignment="1">
      <alignment horizontal="center"/>
    </xf>
    <xf numFmtId="166" fontId="11" fillId="0" borderId="0" xfId="24" applyNumberFormat="1" applyFont="1" applyAlignment="1">
      <alignment horizontal="center"/>
    </xf>
    <xf numFmtId="0" fontId="11" fillId="10" borderId="0" xfId="24" applyFont="1" applyFill="1" applyAlignment="1">
      <alignment horizontal="center"/>
    </xf>
    <xf numFmtId="0" fontId="4" fillId="10" borderId="0" xfId="24" applyFont="1" applyFill="1" applyAlignment="1">
      <alignment horizontal="center"/>
    </xf>
    <xf numFmtId="171" fontId="4" fillId="10" borderId="0" xfId="20" applyNumberFormat="1" applyFont="1" applyFill="1"/>
    <xf numFmtId="166" fontId="11" fillId="10" borderId="0" xfId="24" applyNumberFormat="1" applyFont="1" applyFill="1" applyAlignment="1">
      <alignment horizontal="center"/>
    </xf>
    <xf numFmtId="9" fontId="4" fillId="10" borderId="0" xfId="30" applyFont="1" applyFill="1" applyAlignment="1">
      <alignment horizontal="center"/>
    </xf>
    <xf numFmtId="10" fontId="10" fillId="6" borderId="0" xfId="24" applyNumberFormat="1" applyFont="1" applyFill="1" applyAlignment="1">
      <alignment horizontal="center"/>
    </xf>
    <xf numFmtId="166" fontId="4" fillId="10" borderId="0" xfId="24" applyNumberFormat="1" applyFont="1" applyFill="1" applyAlignment="1">
      <alignment horizontal="center"/>
    </xf>
    <xf numFmtId="0" fontId="11" fillId="10" borderId="0" xfId="24" applyFont="1" applyFill="1"/>
    <xf numFmtId="171" fontId="13" fillId="10" borderId="0" xfId="20" applyNumberFormat="1" applyFont="1" applyFill="1"/>
    <xf numFmtId="0" fontId="11" fillId="10" borderId="0" xfId="20" applyFont="1" applyFill="1"/>
    <xf numFmtId="166" fontId="4" fillId="7" borderId="0" xfId="24" applyNumberFormat="1" applyFont="1" applyFill="1" applyAlignment="1">
      <alignment horizontal="center"/>
    </xf>
    <xf numFmtId="171" fontId="4" fillId="10" borderId="0" xfId="20" applyNumberFormat="1" applyFont="1" applyFill="1" applyAlignment="1">
      <alignment horizontal="left"/>
    </xf>
    <xf numFmtId="171" fontId="4" fillId="10" borderId="0" xfId="30" applyNumberFormat="1" applyFont="1" applyFill="1" applyAlignment="1">
      <alignment horizontal="center"/>
    </xf>
    <xf numFmtId="171" fontId="10" fillId="6" borderId="0" xfId="30" applyNumberFormat="1" applyFont="1" applyFill="1" applyAlignment="1">
      <alignment horizontal="center"/>
    </xf>
    <xf numFmtId="167" fontId="4" fillId="0" borderId="0" xfId="20" applyNumberFormat="1" applyFont="1" applyAlignment="1">
      <alignment horizontal="left"/>
    </xf>
    <xf numFmtId="171" fontId="4" fillId="0" borderId="0" xfId="30" applyNumberFormat="1" applyFont="1" applyAlignment="1">
      <alignment horizontal="center"/>
    </xf>
    <xf numFmtId="171" fontId="10" fillId="6" borderId="0" xfId="24" applyNumberFormat="1" applyFont="1" applyFill="1" applyAlignment="1">
      <alignment horizontal="center"/>
    </xf>
    <xf numFmtId="9" fontId="4" fillId="0" borderId="0" xfId="30" applyFont="1" applyAlignment="1">
      <alignment horizontal="center"/>
    </xf>
    <xf numFmtId="9" fontId="4" fillId="0" borderId="0" xfId="30" applyFont="1" applyAlignment="1">
      <alignment horizontal="left"/>
    </xf>
    <xf numFmtId="9" fontId="10" fillId="6" borderId="0" xfId="30" applyFont="1" applyFill="1" applyAlignment="1">
      <alignment horizontal="center"/>
    </xf>
    <xf numFmtId="9" fontId="4" fillId="0" borderId="0" xfId="30" applyFont="1"/>
    <xf numFmtId="0" fontId="4" fillId="0" borderId="0" xfId="20" applyFont="1" applyAlignment="1">
      <alignment horizontal="left"/>
    </xf>
    <xf numFmtId="171" fontId="4" fillId="0" borderId="0" xfId="24" applyNumberFormat="1" applyFont="1" applyAlignment="1">
      <alignment horizontal="center"/>
    </xf>
    <xf numFmtId="0" fontId="4" fillId="10" borderId="0" xfId="20" applyFont="1" applyFill="1" applyAlignment="1">
      <alignment horizontal="left"/>
    </xf>
    <xf numFmtId="0" fontId="14" fillId="10" borderId="0" xfId="20" applyFont="1" applyFill="1" applyAlignment="1">
      <alignment horizontal="left"/>
    </xf>
    <xf numFmtId="166" fontId="14" fillId="10" borderId="0" xfId="24" applyNumberFormat="1" applyFont="1" applyFill="1" applyAlignment="1">
      <alignment horizontal="center"/>
    </xf>
    <xf numFmtId="164" fontId="10" fillId="6" borderId="0" xfId="24" applyNumberFormat="1" applyFont="1" applyFill="1" applyAlignment="1">
      <alignment horizontal="center"/>
    </xf>
    <xf numFmtId="166" fontId="4" fillId="0" borderId="0" xfId="24" applyNumberFormat="1" applyFont="1" applyAlignment="1">
      <alignment horizontal="center" vertical="center"/>
    </xf>
    <xf numFmtId="172" fontId="4" fillId="0" borderId="0" xfId="24" applyNumberFormat="1" applyFont="1" applyAlignment="1">
      <alignment horizontal="center"/>
    </xf>
    <xf numFmtId="0" fontId="11" fillId="7" borderId="0" xfId="20" applyFont="1" applyFill="1" applyAlignment="1">
      <alignment horizontal="left"/>
    </xf>
    <xf numFmtId="0" fontId="4" fillId="10" borderId="0" xfId="24" applyFont="1" applyFill="1"/>
    <xf numFmtId="167" fontId="4" fillId="10" borderId="0" xfId="20" applyNumberFormat="1" applyFont="1" applyFill="1" applyAlignment="1">
      <alignment horizontal="left"/>
    </xf>
    <xf numFmtId="173" fontId="4" fillId="0" borderId="0" xfId="24" applyNumberFormat="1" applyFont="1" applyAlignment="1">
      <alignment horizontal="center"/>
    </xf>
    <xf numFmtId="165" fontId="4" fillId="0" borderId="0" xfId="24" applyNumberFormat="1" applyFont="1" applyAlignment="1">
      <alignment horizontal="center"/>
    </xf>
    <xf numFmtId="0" fontId="12" fillId="9" borderId="0" xfId="20" applyFont="1" applyFill="1" applyAlignment="1">
      <alignment horizontal="center"/>
    </xf>
    <xf numFmtId="0" fontId="4" fillId="7" borderId="1" xfId="20" applyFont="1" applyFill="1" applyBorder="1"/>
    <xf numFmtId="172" fontId="4" fillId="0" borderId="0" xfId="24" applyNumberFormat="1" applyFont="1"/>
    <xf numFmtId="0" fontId="15" fillId="11" borderId="0" xfId="24" applyFont="1" applyFill="1"/>
    <xf numFmtId="0" fontId="11" fillId="0" borderId="0" xfId="24" applyFont="1" applyAlignment="1">
      <alignment vertical="center"/>
    </xf>
    <xf numFmtId="0" fontId="11" fillId="0" borderId="0" xfId="24" applyFont="1" applyAlignment="1">
      <alignment horizontal="center" vertical="center"/>
    </xf>
    <xf numFmtId="0" fontId="4" fillId="0" borderId="0" xfId="24" applyFont="1" applyAlignment="1">
      <alignment horizontal="center" vertical="center"/>
    </xf>
    <xf numFmtId="0" fontId="4" fillId="0" borderId="0" xfId="24" applyFont="1" applyAlignment="1">
      <alignment vertical="center"/>
    </xf>
    <xf numFmtId="9" fontId="4" fillId="0" borderId="0" xfId="30" applyFont="1" applyAlignment="1">
      <alignment vertical="center"/>
    </xf>
    <xf numFmtId="9" fontId="4" fillId="0" borderId="0" xfId="30" applyFont="1" applyAlignment="1">
      <alignment horizontal="center" vertical="center"/>
    </xf>
    <xf numFmtId="171" fontId="4" fillId="0" borderId="0" xfId="24" applyNumberFormat="1" applyFont="1" applyAlignment="1">
      <alignment horizontal="center" vertical="center"/>
    </xf>
    <xf numFmtId="171" fontId="4" fillId="0" borderId="0" xfId="30" applyNumberFormat="1" applyFont="1" applyAlignment="1">
      <alignment horizontal="center" vertical="center"/>
    </xf>
    <xf numFmtId="174" fontId="4" fillId="0" borderId="0" xfId="24" applyNumberFormat="1" applyFont="1" applyAlignment="1">
      <alignment horizontal="center" vertical="center"/>
    </xf>
    <xf numFmtId="174" fontId="4" fillId="0" borderId="0" xfId="24" applyNumberFormat="1" applyFont="1" applyAlignment="1">
      <alignment vertical="center"/>
    </xf>
    <xf numFmtId="171" fontId="4" fillId="0" borderId="0" xfId="30" applyNumberFormat="1" applyFont="1" applyAlignment="1">
      <alignment vertical="center"/>
    </xf>
    <xf numFmtId="175" fontId="4" fillId="0" borderId="0" xfId="24" applyNumberFormat="1" applyFont="1" applyAlignment="1">
      <alignment horizontal="center" vertical="center"/>
    </xf>
    <xf numFmtId="166" fontId="4" fillId="0" borderId="0" xfId="24" applyNumberFormat="1" applyFont="1" applyAlignment="1">
      <alignment vertical="center"/>
    </xf>
    <xf numFmtId="9" fontId="4" fillId="0" borderId="0" xfId="24" applyNumberFormat="1" applyFont="1" applyAlignment="1">
      <alignment vertical="center"/>
    </xf>
    <xf numFmtId="9" fontId="4" fillId="0" borderId="0" xfId="24" applyNumberFormat="1" applyFont="1" applyAlignment="1">
      <alignment horizontal="center" vertical="center"/>
    </xf>
    <xf numFmtId="172" fontId="4" fillId="0" borderId="0" xfId="24" applyNumberFormat="1" applyFont="1" applyAlignment="1">
      <alignment vertical="center"/>
    </xf>
    <xf numFmtId="172" fontId="4" fillId="0" borderId="0" xfId="24" applyNumberFormat="1" applyFont="1" applyAlignment="1">
      <alignment horizontal="center" vertical="center"/>
    </xf>
    <xf numFmtId="166" fontId="4" fillId="0" borderId="0" xfId="24" applyNumberFormat="1" applyFont="1" applyAlignment="1">
      <alignment horizontal="right" vertical="center"/>
    </xf>
    <xf numFmtId="0" fontId="14" fillId="0" borderId="0" xfId="22" applyFont="1"/>
    <xf numFmtId="0" fontId="12" fillId="0" borderId="0" xfId="22" applyFont="1"/>
    <xf numFmtId="0" fontId="14" fillId="0" borderId="3" xfId="22" applyFont="1" applyBorder="1"/>
    <xf numFmtId="176" fontId="10" fillId="6" borderId="4" xfId="18" applyNumberFormat="1" applyFont="1" applyFill="1" applyBorder="1" applyAlignment="1">
      <alignment horizontal="center"/>
    </xf>
    <xf numFmtId="177" fontId="10" fillId="6" borderId="0" xfId="22" applyNumberFormat="1" applyFont="1" applyFill="1" applyAlignment="1">
      <alignment horizontal="center"/>
    </xf>
    <xf numFmtId="171" fontId="14" fillId="0" borderId="0" xfId="22" applyNumberFormat="1" applyFont="1" applyAlignment="1">
      <alignment horizontal="right"/>
    </xf>
    <xf numFmtId="176" fontId="10" fillId="6" borderId="4" xfId="18" applyNumberFormat="1" applyFont="1" applyFill="1" applyBorder="1" applyAlignment="1">
      <alignment horizontal="right"/>
    </xf>
    <xf numFmtId="171" fontId="14" fillId="0" borderId="0" xfId="22" applyNumberFormat="1" applyFont="1" applyAlignment="1">
      <alignment horizontal="center"/>
    </xf>
    <xf numFmtId="178" fontId="10" fillId="0" borderId="0" xfId="22" applyNumberFormat="1" applyFont="1" applyAlignment="1">
      <alignment horizontal="center"/>
    </xf>
    <xf numFmtId="179" fontId="14" fillId="0" borderId="0" xfId="22" applyNumberFormat="1" applyFont="1" applyAlignment="1">
      <alignment horizontal="center"/>
    </xf>
    <xf numFmtId="0" fontId="16" fillId="0" borderId="0" xfId="22" applyFont="1"/>
    <xf numFmtId="180" fontId="14" fillId="0" borderId="0" xfId="22" applyNumberFormat="1" applyFont="1"/>
    <xf numFmtId="0" fontId="11" fillId="7" borderId="0" xfId="22" applyFont="1" applyFill="1"/>
    <xf numFmtId="0" fontId="11" fillId="7" borderId="1" xfId="22" applyFont="1" applyFill="1" applyBorder="1"/>
    <xf numFmtId="0" fontId="16" fillId="0" borderId="0" xfId="22" applyFont="1" applyAlignment="1">
      <alignment horizontal="center"/>
    </xf>
    <xf numFmtId="0" fontId="14" fillId="0" borderId="0" xfId="22" applyFont="1" applyAlignment="1">
      <alignment horizontal="center"/>
    </xf>
    <xf numFmtId="1" fontId="16" fillId="0" borderId="0" xfId="22" applyNumberFormat="1" applyFont="1" applyAlignment="1">
      <alignment horizontal="center"/>
    </xf>
    <xf numFmtId="0" fontId="14" fillId="0" borderId="1" xfId="22" applyFont="1" applyBorder="1"/>
    <xf numFmtId="168" fontId="14" fillId="0" borderId="1" xfId="22" applyNumberFormat="1" applyFont="1" applyBorder="1" applyAlignment="1">
      <alignment horizontal="center"/>
    </xf>
    <xf numFmtId="168" fontId="14" fillId="0" borderId="0" xfId="22" applyNumberFormat="1" applyFont="1" applyAlignment="1">
      <alignment horizontal="center"/>
    </xf>
    <xf numFmtId="0" fontId="14" fillId="0" borderId="5" xfId="22" applyFont="1" applyBorder="1"/>
    <xf numFmtId="178" fontId="14" fillId="12" borderId="6" xfId="22" applyNumberFormat="1" applyFont="1" applyFill="1" applyBorder="1" applyAlignment="1">
      <alignment horizontal="center"/>
    </xf>
    <xf numFmtId="178" fontId="14" fillId="12" borderId="7" xfId="22" applyNumberFormat="1" applyFont="1" applyFill="1" applyBorder="1" applyAlignment="1">
      <alignment horizontal="center"/>
    </xf>
    <xf numFmtId="171" fontId="16" fillId="0" borderId="0" xfId="33" applyNumberFormat="1" applyFont="1" applyAlignment="1">
      <alignment horizontal="center"/>
    </xf>
    <xf numFmtId="0" fontId="14" fillId="0" borderId="8" xfId="22" applyFont="1" applyBorder="1"/>
    <xf numFmtId="171" fontId="16" fillId="0" borderId="1" xfId="33" applyNumberFormat="1" applyFont="1" applyBorder="1" applyAlignment="1">
      <alignment horizontal="center"/>
    </xf>
    <xf numFmtId="171" fontId="16" fillId="0" borderId="9" xfId="33" applyNumberFormat="1" applyFont="1" applyBorder="1" applyAlignment="1">
      <alignment horizontal="center"/>
    </xf>
    <xf numFmtId="178" fontId="14" fillId="0" borderId="5" xfId="22" applyNumberFormat="1" applyFont="1" applyBorder="1"/>
    <xf numFmtId="0" fontId="14" fillId="0" borderId="6" xfId="22" applyFont="1" applyBorder="1"/>
    <xf numFmtId="0" fontId="14" fillId="0" borderId="7" xfId="22" applyFont="1" applyBorder="1"/>
    <xf numFmtId="171" fontId="14" fillId="0" borderId="1" xfId="33" applyNumberFormat="1" applyFont="1" applyBorder="1" applyAlignment="1">
      <alignment horizontal="center"/>
    </xf>
    <xf numFmtId="0" fontId="14" fillId="0" borderId="9" xfId="22" applyFont="1" applyBorder="1"/>
    <xf numFmtId="171" fontId="14" fillId="0" borderId="9" xfId="33" applyNumberFormat="1" applyFont="1" applyBorder="1" applyAlignment="1">
      <alignment horizontal="center"/>
    </xf>
    <xf numFmtId="171" fontId="14" fillId="12" borderId="6" xfId="22" applyNumberFormat="1" applyFont="1" applyFill="1" applyBorder="1" applyAlignment="1">
      <alignment horizontal="center"/>
    </xf>
    <xf numFmtId="171" fontId="14" fillId="12" borderId="7" xfId="22" applyNumberFormat="1" applyFont="1" applyFill="1" applyBorder="1" applyAlignment="1">
      <alignment horizontal="center"/>
    </xf>
    <xf numFmtId="178" fontId="14" fillId="0" borderId="1" xfId="22" applyNumberFormat="1" applyFont="1" applyBorder="1" applyAlignment="1">
      <alignment horizontal="center"/>
    </xf>
    <xf numFmtId="178" fontId="14" fillId="0" borderId="9" xfId="22" applyNumberFormat="1" applyFont="1" applyBorder="1" applyAlignment="1">
      <alignment horizontal="center"/>
    </xf>
    <xf numFmtId="178" fontId="14" fillId="0" borderId="10" xfId="22" applyNumberFormat="1" applyFont="1" applyBorder="1" applyAlignment="1">
      <alignment horizontal="left"/>
    </xf>
    <xf numFmtId="178" fontId="14" fillId="12" borderId="11" xfId="22" applyNumberFormat="1" applyFont="1" applyFill="1" applyBorder="1" applyAlignment="1">
      <alignment horizontal="center"/>
    </xf>
    <xf numFmtId="178" fontId="14" fillId="12" borderId="12" xfId="22" applyNumberFormat="1" applyFont="1" applyFill="1" applyBorder="1" applyAlignment="1">
      <alignment horizontal="center"/>
    </xf>
    <xf numFmtId="178" fontId="14" fillId="0" borderId="5" xfId="22" applyNumberFormat="1" applyFont="1" applyBorder="1" applyAlignment="1">
      <alignment horizontal="left"/>
    </xf>
    <xf numFmtId="178" fontId="14" fillId="0" borderId="6" xfId="22" applyNumberFormat="1" applyFont="1" applyBorder="1" applyAlignment="1">
      <alignment horizontal="center"/>
    </xf>
    <xf numFmtId="178" fontId="14" fillId="0" borderId="7" xfId="22" applyNumberFormat="1" applyFont="1" applyBorder="1" applyAlignment="1">
      <alignment horizontal="center"/>
    </xf>
    <xf numFmtId="178" fontId="14" fillId="0" borderId="13" xfId="22" applyNumberFormat="1" applyFont="1" applyBorder="1" applyAlignment="1">
      <alignment horizontal="left"/>
    </xf>
    <xf numFmtId="178" fontId="14" fillId="12" borderId="0" xfId="22" applyNumberFormat="1" applyFont="1" applyFill="1" applyAlignment="1">
      <alignment horizontal="center"/>
    </xf>
    <xf numFmtId="178" fontId="14" fillId="12" borderId="14" xfId="22" applyNumberFormat="1" applyFont="1" applyFill="1" applyBorder="1" applyAlignment="1">
      <alignment horizontal="center"/>
    </xf>
    <xf numFmtId="178" fontId="14" fillId="0" borderId="8" xfId="22" applyNumberFormat="1" applyFont="1" applyBorder="1" applyAlignment="1">
      <alignment horizontal="left"/>
    </xf>
    <xf numFmtId="178" fontId="14" fillId="12" borderId="1" xfId="22" applyNumberFormat="1" applyFont="1" applyFill="1" applyBorder="1" applyAlignment="1">
      <alignment horizontal="center"/>
    </xf>
    <xf numFmtId="178" fontId="14" fillId="12" borderId="9" xfId="22" applyNumberFormat="1" applyFont="1" applyFill="1" applyBorder="1" applyAlignment="1">
      <alignment horizontal="center"/>
    </xf>
    <xf numFmtId="178" fontId="14" fillId="0" borderId="0" xfId="22" applyNumberFormat="1" applyFont="1" applyAlignment="1">
      <alignment horizontal="center"/>
    </xf>
    <xf numFmtId="178" fontId="14" fillId="0" borderId="15" xfId="22" applyNumberFormat="1" applyFont="1" applyBorder="1" applyAlignment="1">
      <alignment horizontal="center"/>
    </xf>
    <xf numFmtId="0" fontId="14" fillId="0" borderId="13" xfId="22" applyFont="1" applyBorder="1"/>
    <xf numFmtId="0" fontId="14" fillId="0" borderId="14" xfId="22" applyFont="1" applyBorder="1"/>
    <xf numFmtId="178" fontId="4" fillId="0" borderId="0" xfId="22" applyNumberFormat="1" applyFont="1" applyAlignment="1">
      <alignment horizontal="center"/>
    </xf>
    <xf numFmtId="178" fontId="4" fillId="0" borderId="14" xfId="22" applyNumberFormat="1" applyFont="1" applyBorder="1" applyAlignment="1">
      <alignment horizontal="center"/>
    </xf>
    <xf numFmtId="171" fontId="10" fillId="6" borderId="1" xfId="33" applyNumberFormat="1" applyFont="1" applyFill="1" applyBorder="1" applyAlignment="1">
      <alignment horizontal="center"/>
    </xf>
    <xf numFmtId="171" fontId="10" fillId="6" borderId="9" xfId="33" applyNumberFormat="1" applyFont="1" applyFill="1" applyBorder="1" applyAlignment="1">
      <alignment horizontal="center"/>
    </xf>
    <xf numFmtId="0" fontId="16" fillId="0" borderId="10" xfId="22" applyFont="1" applyBorder="1"/>
    <xf numFmtId="171" fontId="16" fillId="12" borderId="11" xfId="22" applyNumberFormat="1" applyFont="1" applyFill="1" applyBorder="1" applyAlignment="1">
      <alignment horizontal="center"/>
    </xf>
    <xf numFmtId="171" fontId="16" fillId="0" borderId="11" xfId="33" applyNumberFormat="1" applyFont="1" applyBorder="1" applyAlignment="1">
      <alignment horizontal="center"/>
    </xf>
    <xf numFmtId="171" fontId="16" fillId="0" borderId="12" xfId="33" applyNumberFormat="1" applyFont="1" applyBorder="1" applyAlignment="1">
      <alignment horizontal="center"/>
    </xf>
    <xf numFmtId="171" fontId="16" fillId="0" borderId="0" xfId="22" applyNumberFormat="1" applyFont="1" applyAlignment="1">
      <alignment horizontal="center"/>
    </xf>
    <xf numFmtId="181" fontId="14" fillId="0" borderId="0" xfId="23" applyNumberFormat="1" applyFont="1" applyAlignment="1">
      <alignment horizontal="center" vertical="center"/>
    </xf>
    <xf numFmtId="178" fontId="16" fillId="0" borderId="0" xfId="22" applyNumberFormat="1" applyFont="1" applyAlignment="1">
      <alignment horizontal="center"/>
    </xf>
    <xf numFmtId="178" fontId="18" fillId="2" borderId="2" xfId="28" applyNumberFormat="1" applyFont="1" applyAlignment="1">
      <alignment horizontal="center"/>
    </xf>
    <xf numFmtId="0" fontId="14" fillId="0" borderId="0" xfId="22" applyFont="1" applyAlignment="1">
      <alignment horizontal="left"/>
    </xf>
    <xf numFmtId="173" fontId="14" fillId="0" borderId="0" xfId="22" applyNumberFormat="1" applyFont="1" applyAlignment="1">
      <alignment horizontal="center"/>
    </xf>
    <xf numFmtId="173" fontId="18" fillId="2" borderId="2" xfId="28" applyNumberFormat="1" applyFont="1" applyAlignment="1">
      <alignment horizontal="center"/>
    </xf>
    <xf numFmtId="10" fontId="14" fillId="0" borderId="0" xfId="22" applyNumberFormat="1" applyFont="1"/>
    <xf numFmtId="178" fontId="16" fillId="0" borderId="0" xfId="22" applyNumberFormat="1" applyFont="1"/>
    <xf numFmtId="179" fontId="14" fillId="0" borderId="0" xfId="22" applyNumberFormat="1" applyFont="1"/>
    <xf numFmtId="0" fontId="11" fillId="7" borderId="5" xfId="22" applyFont="1" applyFill="1" applyBorder="1"/>
    <xf numFmtId="171" fontId="4" fillId="7" borderId="7" xfId="22" applyNumberFormat="1" applyFont="1" applyFill="1" applyBorder="1" applyAlignment="1">
      <alignment horizontal="center"/>
    </xf>
    <xf numFmtId="0" fontId="11" fillId="7" borderId="6" xfId="22" applyFont="1" applyFill="1" applyBorder="1"/>
    <xf numFmtId="0" fontId="4" fillId="7" borderId="6" xfId="22" applyFont="1" applyFill="1" applyBorder="1"/>
    <xf numFmtId="0" fontId="11" fillId="7" borderId="16" xfId="22" applyFont="1" applyFill="1" applyBorder="1"/>
    <xf numFmtId="171" fontId="4" fillId="7" borderId="17" xfId="22" applyNumberFormat="1" applyFont="1" applyFill="1" applyBorder="1" applyAlignment="1">
      <alignment horizontal="center"/>
    </xf>
    <xf numFmtId="0" fontId="4" fillId="7" borderId="17" xfId="22" applyFont="1" applyFill="1" applyBorder="1"/>
    <xf numFmtId="0" fontId="4" fillId="7" borderId="18" xfId="22" applyFont="1" applyFill="1" applyBorder="1"/>
    <xf numFmtId="0" fontId="16" fillId="0" borderId="13" xfId="22" applyFont="1" applyBorder="1" applyAlignment="1">
      <alignment horizontal="left"/>
    </xf>
    <xf numFmtId="178" fontId="14" fillId="0" borderId="14" xfId="22" applyNumberFormat="1" applyFont="1" applyBorder="1" applyAlignment="1">
      <alignment horizontal="right"/>
    </xf>
    <xf numFmtId="0" fontId="16" fillId="0" borderId="0" xfId="22" applyFont="1" applyAlignment="1">
      <alignment horizontal="left"/>
    </xf>
    <xf numFmtId="0" fontId="14" fillId="0" borderId="13" xfId="22" applyFont="1" applyBorder="1" applyAlignment="1">
      <alignment horizontal="left"/>
    </xf>
    <xf numFmtId="178" fontId="4" fillId="12" borderId="14" xfId="22" applyNumberFormat="1" applyFont="1" applyFill="1" applyBorder="1" applyAlignment="1">
      <alignment horizontal="center"/>
    </xf>
    <xf numFmtId="171" fontId="19" fillId="6" borderId="14" xfId="22" applyNumberFormat="1" applyFont="1" applyFill="1" applyBorder="1" applyAlignment="1">
      <alignment horizontal="center"/>
    </xf>
    <xf numFmtId="182" fontId="4" fillId="12" borderId="14" xfId="18" applyNumberFormat="1" applyFont="1" applyFill="1" applyBorder="1" applyAlignment="1">
      <alignment horizontal="center"/>
    </xf>
    <xf numFmtId="171" fontId="11" fillId="0" borderId="19" xfId="24" applyNumberFormat="1" applyFont="1" applyBorder="1" applyAlignment="1">
      <alignment horizontal="center"/>
    </xf>
    <xf numFmtId="0" fontId="14" fillId="0" borderId="1" xfId="22" applyFont="1" applyBorder="1" applyAlignment="1">
      <alignment horizontal="left"/>
    </xf>
    <xf numFmtId="0" fontId="14" fillId="0" borderId="9" xfId="22" applyFont="1" applyBorder="1" applyAlignment="1">
      <alignment horizontal="right"/>
    </xf>
    <xf numFmtId="178" fontId="16" fillId="0" borderId="14" xfId="22" applyNumberFormat="1" applyFont="1" applyBorder="1" applyAlignment="1">
      <alignment horizontal="center"/>
    </xf>
    <xf numFmtId="0" fontId="14" fillId="0" borderId="1" xfId="22" applyFont="1" applyBorder="1" applyAlignment="1">
      <alignment horizontal="right"/>
    </xf>
    <xf numFmtId="183" fontId="10" fillId="6" borderId="20" xfId="22" applyNumberFormat="1" applyFont="1" applyFill="1" applyBorder="1"/>
    <xf numFmtId="182" fontId="10" fillId="6" borderId="21" xfId="10" applyNumberFormat="1" applyFont="1" applyFill="1" applyBorder="1"/>
    <xf numFmtId="179" fontId="14" fillId="0" borderId="14" xfId="22" applyNumberFormat="1" applyFont="1" applyBorder="1" applyAlignment="1">
      <alignment horizontal="right"/>
    </xf>
    <xf numFmtId="183" fontId="10" fillId="6" borderId="22" xfId="22" applyNumberFormat="1" applyFont="1" applyFill="1" applyBorder="1"/>
    <xf numFmtId="182" fontId="10" fillId="6" borderId="23" xfId="10" applyNumberFormat="1" applyFont="1" applyFill="1" applyBorder="1"/>
    <xf numFmtId="178" fontId="14" fillId="0" borderId="14" xfId="22" applyNumberFormat="1" applyFont="1" applyBorder="1" applyAlignment="1">
      <alignment horizontal="center"/>
    </xf>
    <xf numFmtId="183" fontId="10" fillId="6" borderId="24" xfId="22" applyNumberFormat="1" applyFont="1" applyFill="1" applyBorder="1"/>
    <xf numFmtId="182" fontId="10" fillId="6" borderId="25" xfId="10" applyNumberFormat="1" applyFont="1" applyFill="1" applyBorder="1"/>
    <xf numFmtId="179" fontId="14" fillId="0" borderId="9" xfId="22" applyNumberFormat="1" applyFont="1" applyBorder="1" applyAlignment="1">
      <alignment horizontal="right"/>
    </xf>
    <xf numFmtId="174" fontId="10" fillId="6" borderId="14" xfId="22" applyNumberFormat="1" applyFont="1" applyFill="1" applyBorder="1" applyAlignment="1">
      <alignment horizontal="center"/>
    </xf>
    <xf numFmtId="184" fontId="14" fillId="0" borderId="0" xfId="22" applyNumberFormat="1" applyFont="1" applyAlignment="1">
      <alignment horizontal="right"/>
    </xf>
    <xf numFmtId="185" fontId="14" fillId="0" borderId="14" xfId="22" applyNumberFormat="1" applyFont="1" applyBorder="1" applyAlignment="1">
      <alignment horizontal="right"/>
    </xf>
    <xf numFmtId="0" fontId="14" fillId="0" borderId="0" xfId="22" applyFont="1" applyAlignment="1">
      <alignment horizontal="right"/>
    </xf>
    <xf numFmtId="178" fontId="20" fillId="0" borderId="0" xfId="22" applyNumberFormat="1" applyFont="1"/>
    <xf numFmtId="178" fontId="14" fillId="0" borderId="14" xfId="22" applyNumberFormat="1" applyFont="1" applyBorder="1"/>
    <xf numFmtId="182" fontId="16" fillId="0" borderId="26" xfId="22" applyNumberFormat="1" applyFont="1" applyBorder="1" applyAlignment="1">
      <alignment horizontal="center"/>
    </xf>
    <xf numFmtId="183" fontId="10" fillId="6" borderId="27" xfId="22" applyNumberFormat="1" applyFont="1" applyFill="1" applyBorder="1" applyAlignment="1">
      <alignment horizontal="right"/>
    </xf>
    <xf numFmtId="0" fontId="14" fillId="0" borderId="14" xfId="22" applyFont="1" applyBorder="1" applyAlignment="1">
      <alignment horizontal="right"/>
    </xf>
    <xf numFmtId="182" fontId="16" fillId="0" borderId="14" xfId="22" applyNumberFormat="1" applyFont="1" applyBorder="1" applyAlignment="1">
      <alignment horizontal="center"/>
    </xf>
    <xf numFmtId="183" fontId="10" fillId="6" borderId="28" xfId="22" applyNumberFormat="1" applyFont="1" applyFill="1" applyBorder="1" applyAlignment="1">
      <alignment horizontal="right"/>
    </xf>
    <xf numFmtId="186" fontId="10" fillId="6" borderId="14" xfId="22" applyNumberFormat="1" applyFont="1" applyFill="1" applyBorder="1" applyAlignment="1">
      <alignment horizontal="right"/>
    </xf>
    <xf numFmtId="0" fontId="16" fillId="0" borderId="0" xfId="22" applyFont="1" applyAlignment="1">
      <alignment horizontal="right"/>
    </xf>
    <xf numFmtId="178" fontId="16" fillId="0" borderId="14" xfId="27" applyNumberFormat="1" applyFont="1" applyBorder="1" applyAlignment="1">
      <alignment horizontal="right"/>
    </xf>
    <xf numFmtId="0" fontId="14" fillId="0" borderId="8" xfId="22" applyFont="1" applyBorder="1" applyAlignment="1">
      <alignment horizontal="left"/>
    </xf>
    <xf numFmtId="171" fontId="14" fillId="0" borderId="9" xfId="22" applyNumberFormat="1" applyFont="1" applyBorder="1" applyAlignment="1">
      <alignment horizontal="right"/>
    </xf>
    <xf numFmtId="0" fontId="11" fillId="7" borderId="3" xfId="22" applyFont="1" applyFill="1" applyBorder="1"/>
    <xf numFmtId="171" fontId="4" fillId="7" borderId="3" xfId="22" applyNumberFormat="1" applyFont="1" applyFill="1" applyBorder="1" applyAlignment="1">
      <alignment horizontal="center"/>
    </xf>
    <xf numFmtId="0" fontId="4" fillId="7" borderId="3" xfId="22" applyFont="1" applyFill="1" applyBorder="1"/>
    <xf numFmtId="0" fontId="16" fillId="0" borderId="1" xfId="22" applyFont="1" applyBorder="1"/>
    <xf numFmtId="171" fontId="10" fillId="6" borderId="0" xfId="22" applyNumberFormat="1" applyFont="1" applyFill="1" applyAlignment="1">
      <alignment horizontal="center"/>
    </xf>
    <xf numFmtId="0" fontId="14" fillId="0" borderId="11" xfId="22" applyFont="1" applyBorder="1" applyAlignment="1">
      <alignment horizontal="right"/>
    </xf>
    <xf numFmtId="178" fontId="14" fillId="0" borderId="0" xfId="22" applyNumberFormat="1" applyFont="1"/>
    <xf numFmtId="9" fontId="14" fillId="0" borderId="0" xfId="22" applyNumberFormat="1" applyFont="1"/>
    <xf numFmtId="187" fontId="14" fillId="0" borderId="0" xfId="22" applyNumberFormat="1" applyFont="1" applyAlignment="1">
      <alignment horizontal="center"/>
    </xf>
    <xf numFmtId="178" fontId="14" fillId="0" borderId="0" xfId="22" applyNumberFormat="1" applyFont="1" applyAlignment="1">
      <alignment horizontal="right"/>
    </xf>
    <xf numFmtId="188" fontId="14" fillId="0" borderId="0" xfId="22" applyNumberFormat="1" applyFont="1"/>
    <xf numFmtId="189" fontId="10" fillId="6" borderId="0" xfId="22" applyNumberFormat="1" applyFont="1" applyFill="1" applyAlignment="1">
      <alignment horizontal="center"/>
    </xf>
    <xf numFmtId="0" fontId="16" fillId="0" borderId="1" xfId="22" applyFont="1" applyBorder="1" applyAlignment="1">
      <alignment horizontal="left" wrapText="1"/>
    </xf>
    <xf numFmtId="0" fontId="16" fillId="0" borderId="1" xfId="22" applyFont="1" applyBorder="1" applyAlignment="1">
      <alignment horizontal="center" wrapText="1"/>
    </xf>
    <xf numFmtId="189" fontId="14" fillId="0" borderId="0" xfId="22" applyNumberFormat="1" applyFont="1" applyAlignment="1">
      <alignment horizontal="center"/>
    </xf>
    <xf numFmtId="182" fontId="14" fillId="0" borderId="0" xfId="22" applyNumberFormat="1" applyFont="1" applyAlignment="1">
      <alignment horizontal="center"/>
    </xf>
    <xf numFmtId="10" fontId="14" fillId="0" borderId="0" xfId="22" applyNumberFormat="1" applyFont="1" applyAlignment="1">
      <alignment horizontal="center"/>
    </xf>
    <xf numFmtId="2" fontId="14" fillId="0" borderId="0" xfId="22" applyNumberFormat="1" applyFont="1" applyAlignment="1">
      <alignment horizontal="center"/>
    </xf>
    <xf numFmtId="189" fontId="10" fillId="6" borderId="0" xfId="22" applyNumberFormat="1" applyFont="1" applyFill="1" applyAlignment="1">
      <alignment horizontal="left"/>
    </xf>
    <xf numFmtId="182" fontId="10" fillId="6" borderId="0" xfId="22" applyNumberFormat="1" applyFont="1" applyFill="1" applyAlignment="1">
      <alignment horizontal="center"/>
    </xf>
    <xf numFmtId="178" fontId="10" fillId="6" borderId="0" xfId="22" applyNumberFormat="1" applyFont="1" applyFill="1" applyAlignment="1">
      <alignment horizontal="center"/>
    </xf>
    <xf numFmtId="10" fontId="10" fillId="6" borderId="0" xfId="22" applyNumberFormat="1" applyFont="1" applyFill="1" applyAlignment="1">
      <alignment horizontal="center"/>
    </xf>
    <xf numFmtId="189" fontId="10" fillId="6" borderId="1" xfId="22" applyNumberFormat="1" applyFont="1" applyFill="1" applyBorder="1" applyAlignment="1">
      <alignment horizontal="left"/>
    </xf>
    <xf numFmtId="189" fontId="10" fillId="6" borderId="1" xfId="22" applyNumberFormat="1" applyFont="1" applyFill="1" applyBorder="1" applyAlignment="1">
      <alignment horizontal="center"/>
    </xf>
    <xf numFmtId="182" fontId="10" fillId="6" borderId="1" xfId="22" applyNumberFormat="1" applyFont="1" applyFill="1" applyBorder="1" applyAlignment="1">
      <alignment horizontal="center"/>
    </xf>
    <xf numFmtId="178" fontId="10" fillId="6" borderId="1" xfId="22" applyNumberFormat="1" applyFont="1" applyFill="1" applyBorder="1" applyAlignment="1">
      <alignment horizontal="center"/>
    </xf>
    <xf numFmtId="10" fontId="14" fillId="0" borderId="1" xfId="22" applyNumberFormat="1" applyFont="1" applyBorder="1" applyAlignment="1">
      <alignment horizontal="center"/>
    </xf>
    <xf numFmtId="10" fontId="10" fillId="6" borderId="1" xfId="22" applyNumberFormat="1" applyFont="1" applyFill="1" applyBorder="1" applyAlignment="1">
      <alignment horizontal="center"/>
    </xf>
    <xf numFmtId="189" fontId="14" fillId="0" borderId="1" xfId="22" applyNumberFormat="1" applyFont="1" applyBorder="1" applyAlignment="1">
      <alignment horizontal="center"/>
    </xf>
    <xf numFmtId="189" fontId="16" fillId="0" borderId="0" xfId="22" applyNumberFormat="1" applyFont="1" applyAlignment="1">
      <alignment horizontal="right"/>
    </xf>
    <xf numFmtId="189" fontId="16" fillId="0" borderId="29" xfId="22" applyNumberFormat="1" applyFont="1" applyBorder="1" applyAlignment="1">
      <alignment horizontal="center"/>
    </xf>
    <xf numFmtId="0" fontId="21" fillId="3" borderId="0" xfId="24" applyFont="1" applyFill="1"/>
    <xf numFmtId="0" fontId="22" fillId="13" borderId="0" xfId="24" applyFont="1" applyFill="1"/>
    <xf numFmtId="0" fontId="8" fillId="14" borderId="0" xfId="24" applyFont="1" applyFill="1"/>
    <xf numFmtId="180" fontId="22" fillId="13" borderId="0" xfId="24" applyNumberFormat="1" applyFont="1" applyFill="1"/>
    <xf numFmtId="190" fontId="22" fillId="13" borderId="0" xfId="24" applyNumberFormat="1" applyFont="1" applyFill="1"/>
    <xf numFmtId="171" fontId="22" fillId="13" borderId="0" xfId="24" applyNumberFormat="1" applyFont="1" applyFill="1"/>
    <xf numFmtId="14" fontId="22" fillId="13" borderId="0" xfId="24" applyNumberFormat="1" applyFont="1" applyFill="1"/>
    <xf numFmtId="191" fontId="22" fillId="13" borderId="0" xfId="24" applyNumberFormat="1" applyFont="1" applyFill="1"/>
    <xf numFmtId="171" fontId="3" fillId="0" borderId="0" xfId="24" applyNumberFormat="1"/>
    <xf numFmtId="174" fontId="22" fillId="13" borderId="0" xfId="24" applyNumberFormat="1" applyFont="1" applyFill="1"/>
    <xf numFmtId="175" fontId="3" fillId="0" borderId="0" xfId="24" applyNumberFormat="1"/>
    <xf numFmtId="0" fontId="17" fillId="9" borderId="0" xfId="22" applyFont="1" applyFill="1" applyAlignment="1">
      <alignment horizontal="center" wrapText="1"/>
    </xf>
    <xf numFmtId="0" fontId="14" fillId="0" borderId="0" xfId="22" applyFont="1"/>
    <xf numFmtId="0" fontId="16" fillId="0" borderId="1" xfId="22" applyFont="1" applyBorder="1" applyAlignment="1">
      <alignment horizontal="center"/>
    </xf>
    <xf numFmtId="0" fontId="0" fillId="0" borderId="1" xfId="0" applyBorder="1"/>
    <xf numFmtId="0" fontId="16" fillId="0" borderId="10" xfId="22" applyFont="1" applyBorder="1" applyAlignment="1">
      <alignment horizontal="center"/>
    </xf>
    <xf numFmtId="0" fontId="0" fillId="0" borderId="11" xfId="0" applyBorder="1"/>
    <xf numFmtId="0" fontId="15" fillId="9" borderId="1" xfId="22" applyFont="1" applyFill="1" applyBorder="1" applyAlignment="1">
      <alignment horizontal="center"/>
    </xf>
    <xf numFmtId="171" fontId="4" fillId="0" borderId="0" xfId="30" applyNumberFormat="1" applyFont="1" applyAlignment="1">
      <alignment horizontal="right" vertical="center"/>
    </xf>
    <xf numFmtId="171" fontId="4" fillId="0" borderId="0" xfId="24" applyNumberFormat="1" applyFont="1" applyAlignment="1">
      <alignment horizontal="right" vertical="center"/>
    </xf>
    <xf numFmtId="198" fontId="4" fillId="0" borderId="0" xfId="24" applyNumberFormat="1" applyFont="1" applyAlignment="1">
      <alignment horizontal="right" vertical="center"/>
    </xf>
    <xf numFmtId="199" fontId="4" fillId="0" borderId="0" xfId="24" applyNumberFormat="1" applyFont="1" applyAlignment="1">
      <alignment horizontal="right" vertical="center"/>
    </xf>
    <xf numFmtId="198" fontId="4" fillId="0" borderId="0" xfId="30" applyNumberFormat="1" applyFont="1" applyAlignment="1">
      <alignment horizontal="right" vertical="center"/>
    </xf>
  </cellXfs>
  <cellStyles count="35">
    <cellStyle name="Comma" xfId="1" xr:uid="{00000000-0005-0000-0000-000001000000}"/>
    <cellStyle name="Comma [0]" xfId="5" xr:uid="{00000000-0005-0000-0000-000005000000}"/>
    <cellStyle name="Comma [0] 2" xfId="6" xr:uid="{00000000-0005-0000-0000-000006000000}"/>
    <cellStyle name="Comma [0] 3" xfId="7" xr:uid="{00000000-0005-0000-0000-000007000000}"/>
    <cellStyle name="Comma [0] 4" xfId="8" xr:uid="{00000000-0005-0000-0000-000008000000}"/>
    <cellStyle name="Comma 1" xfId="2" xr:uid="{00000000-0005-0000-0000-000002000000}"/>
    <cellStyle name="Comma 2" xfId="3" xr:uid="{00000000-0005-0000-0000-000003000000}"/>
    <cellStyle name="Comma 3" xfId="4" xr:uid="{00000000-0005-0000-0000-000004000000}"/>
    <cellStyle name="Currency" xfId="9" xr:uid="{00000000-0005-0000-0000-000009000000}"/>
    <cellStyle name="Currency [0]" xfId="14" xr:uid="{00000000-0005-0000-0000-00000E000000}"/>
    <cellStyle name="Currency [0] 4" xfId="15" xr:uid="{00000000-0005-0000-0000-00000F000000}"/>
    <cellStyle name="Currency [0] 5" xfId="16" xr:uid="{00000000-0005-0000-0000-000010000000}"/>
    <cellStyle name="Currency [0] 6" xfId="17" xr:uid="{00000000-0005-0000-0000-000011000000}"/>
    <cellStyle name="Currency 2" xfId="10" xr:uid="{00000000-0005-0000-0000-00000A000000}"/>
    <cellStyle name="Currency 3" xfId="11" xr:uid="{00000000-0005-0000-0000-00000B000000}"/>
    <cellStyle name="Currency 4" xfId="12" xr:uid="{00000000-0005-0000-0000-00000C000000}"/>
    <cellStyle name="Currency 5" xfId="13" xr:uid="{00000000-0005-0000-0000-00000D000000}"/>
    <cellStyle name="m/d/yy" xfId="18" xr:uid="{00000000-0005-0000-0000-000012000000}"/>
    <cellStyle name="Normal" xfId="0" builtinId="0"/>
    <cellStyle name="Normal [3] 2" xfId="27" xr:uid="{00000000-0005-0000-0000-00001B000000}"/>
    <cellStyle name="Normal 2" xfId="20" xr:uid="{00000000-0005-0000-0000-000014000000}"/>
    <cellStyle name="Normal 2 2" xfId="21" xr:uid="{00000000-0005-0000-0000-000015000000}"/>
    <cellStyle name="Normal 2 3" xfId="22" xr:uid="{00000000-0005-0000-0000-000016000000}"/>
    <cellStyle name="Normal 3" xfId="19" xr:uid="{00000000-0005-0000-0000-000013000000}"/>
    <cellStyle name="Normal 4" xfId="23" xr:uid="{00000000-0005-0000-0000-000017000000}"/>
    <cellStyle name="Normal 5" xfId="24" xr:uid="{00000000-0005-0000-0000-000018000000}"/>
    <cellStyle name="Normal 6" xfId="25" xr:uid="{00000000-0005-0000-0000-000019000000}"/>
    <cellStyle name="Normal 7" xfId="26" xr:uid="{00000000-0005-0000-0000-00001A000000}"/>
    <cellStyle name="Output_dcfmodel" xfId="28" xr:uid="{00000000-0005-0000-0000-00001C000000}"/>
    <cellStyle name="Percent" xfId="29" xr:uid="{00000000-0005-0000-0000-00001D000000}"/>
    <cellStyle name="Percent 6" xfId="30" xr:uid="{00000000-0005-0000-0000-00001E000000}"/>
    <cellStyle name="Percent 7" xfId="31" xr:uid="{00000000-0005-0000-0000-00001F000000}"/>
    <cellStyle name="Percent 8" xfId="32" xr:uid="{00000000-0005-0000-0000-000020000000}"/>
    <cellStyle name="Porcentagem 3" xfId="33" xr:uid="{00000000-0005-0000-0000-000021000000}"/>
    <cellStyle name="Separador de milhares 2 17" xfId="34" xr:uid="{00000000-0005-0000-0000-000022000000}"/>
  </cellStyles>
  <dxfs count="24"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u/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4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9.7109375" defaultRowHeight="12.75" x14ac:dyDescent="0.2"/>
  <cols>
    <col min="1" max="1" width="47.7109375" customWidth="1"/>
    <col min="2" max="2" width="10.140625" customWidth="1"/>
    <col min="3" max="3" width="47.7109375" customWidth="1"/>
    <col min="4" max="33" width="12.42578125" customWidth="1"/>
  </cols>
  <sheetData>
    <row r="1" spans="1:33" ht="14.25" customHeight="1" x14ac:dyDescent="0.2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 x14ac:dyDescent="0.2">
      <c r="A2" s="2" t="s">
        <v>77</v>
      </c>
      <c r="B2" s="2" t="s">
        <v>0</v>
      </c>
      <c r="C2" s="2" t="s">
        <v>1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spans="1:33" x14ac:dyDescent="0.2">
      <c r="A3" t="s">
        <v>78</v>
      </c>
      <c r="C3" t="s">
        <v>79</v>
      </c>
    </row>
    <row r="4" spans="1:33" x14ac:dyDescent="0.2">
      <c r="B4">
        <v>1</v>
      </c>
      <c r="C4" t="s">
        <v>36</v>
      </c>
    </row>
    <row r="5" spans="1:33" x14ac:dyDescent="0.2">
      <c r="B5">
        <v>2</v>
      </c>
      <c r="C5" t="s">
        <v>37</v>
      </c>
    </row>
    <row r="6" spans="1:33" x14ac:dyDescent="0.2">
      <c r="B6">
        <v>3</v>
      </c>
      <c r="C6" t="s">
        <v>38</v>
      </c>
    </row>
    <row r="7" spans="1:33" x14ac:dyDescent="0.2">
      <c r="B7">
        <v>4</v>
      </c>
      <c r="C7" t="s">
        <v>39</v>
      </c>
    </row>
    <row r="8" spans="1:33" x14ac:dyDescent="0.2">
      <c r="B8">
        <v>5</v>
      </c>
      <c r="C8" t="s">
        <v>40</v>
      </c>
    </row>
    <row r="9" spans="1:33" x14ac:dyDescent="0.2">
      <c r="B9">
        <v>6</v>
      </c>
      <c r="C9" t="s">
        <v>41</v>
      </c>
    </row>
    <row r="10" spans="1:33" x14ac:dyDescent="0.2">
      <c r="B10">
        <v>7</v>
      </c>
      <c r="C10" t="s">
        <v>42</v>
      </c>
    </row>
    <row r="11" spans="1:33" x14ac:dyDescent="0.2">
      <c r="B11">
        <v>8</v>
      </c>
      <c r="C11" t="s">
        <v>43</v>
      </c>
    </row>
    <row r="12" spans="1:33" x14ac:dyDescent="0.2">
      <c r="B12">
        <v>9</v>
      </c>
      <c r="C12" t="s">
        <v>44</v>
      </c>
    </row>
    <row r="13" spans="1:33" x14ac:dyDescent="0.2">
      <c r="B13">
        <v>10</v>
      </c>
      <c r="C13" t="s">
        <v>45</v>
      </c>
    </row>
    <row r="14" spans="1:33" x14ac:dyDescent="0.2">
      <c r="B14">
        <v>11</v>
      </c>
      <c r="C14" t="s">
        <v>46</v>
      </c>
    </row>
    <row r="15" spans="1:33" x14ac:dyDescent="0.2">
      <c r="B15">
        <v>12</v>
      </c>
      <c r="C15" t="s">
        <v>47</v>
      </c>
    </row>
    <row r="16" spans="1:33" x14ac:dyDescent="0.2">
      <c r="B16">
        <v>13</v>
      </c>
      <c r="C16" t="s">
        <v>48</v>
      </c>
    </row>
    <row r="17" spans="2:3" x14ac:dyDescent="0.2">
      <c r="B17">
        <v>14</v>
      </c>
      <c r="C17" t="s">
        <v>49</v>
      </c>
    </row>
    <row r="18" spans="2:3" x14ac:dyDescent="0.2">
      <c r="B18">
        <v>15</v>
      </c>
      <c r="C18" t="s">
        <v>50</v>
      </c>
    </row>
    <row r="19" spans="2:3" x14ac:dyDescent="0.2">
      <c r="B19">
        <v>16</v>
      </c>
      <c r="C19" t="s">
        <v>51</v>
      </c>
    </row>
    <row r="20" spans="2:3" x14ac:dyDescent="0.2">
      <c r="B20">
        <v>17</v>
      </c>
      <c r="C20" t="s">
        <v>52</v>
      </c>
    </row>
    <row r="21" spans="2:3" x14ac:dyDescent="0.2">
      <c r="B21">
        <v>18</v>
      </c>
      <c r="C21" t="s">
        <v>53</v>
      </c>
    </row>
    <row r="22" spans="2:3" x14ac:dyDescent="0.2">
      <c r="B22">
        <v>19</v>
      </c>
      <c r="C22" t="s">
        <v>54</v>
      </c>
    </row>
    <row r="23" spans="2:3" x14ac:dyDescent="0.2">
      <c r="B23">
        <v>20</v>
      </c>
      <c r="C23" t="s">
        <v>55</v>
      </c>
    </row>
    <row r="24" spans="2:3" x14ac:dyDescent="0.2">
      <c r="B24">
        <v>21</v>
      </c>
      <c r="C24" t="s">
        <v>56</v>
      </c>
    </row>
    <row r="25" spans="2:3" x14ac:dyDescent="0.2">
      <c r="B25">
        <v>22</v>
      </c>
      <c r="C25" t="s">
        <v>57</v>
      </c>
    </row>
    <row r="26" spans="2:3" x14ac:dyDescent="0.2">
      <c r="B26">
        <v>23</v>
      </c>
      <c r="C26" t="s">
        <v>58</v>
      </c>
    </row>
    <row r="27" spans="2:3" x14ac:dyDescent="0.2">
      <c r="B27">
        <v>24</v>
      </c>
      <c r="C27" t="s">
        <v>59</v>
      </c>
    </row>
    <row r="28" spans="2:3" x14ac:dyDescent="0.2">
      <c r="B28">
        <v>25</v>
      </c>
      <c r="C28" t="s">
        <v>60</v>
      </c>
    </row>
    <row r="29" spans="2:3" x14ac:dyDescent="0.2">
      <c r="B29">
        <v>26</v>
      </c>
      <c r="C29" t="s">
        <v>61</v>
      </c>
    </row>
    <row r="30" spans="2:3" x14ac:dyDescent="0.2">
      <c r="B30">
        <v>27</v>
      </c>
      <c r="C30" t="s">
        <v>62</v>
      </c>
    </row>
    <row r="31" spans="2:3" x14ac:dyDescent="0.2">
      <c r="B31">
        <v>28</v>
      </c>
      <c r="C31" t="s">
        <v>63</v>
      </c>
    </row>
    <row r="32" spans="2:3" x14ac:dyDescent="0.2">
      <c r="B32">
        <v>29</v>
      </c>
      <c r="C32" t="s">
        <v>64</v>
      </c>
    </row>
    <row r="33" spans="2:3" x14ac:dyDescent="0.2">
      <c r="B33">
        <v>30</v>
      </c>
      <c r="C33" t="s">
        <v>65</v>
      </c>
    </row>
    <row r="34" spans="2:3" x14ac:dyDescent="0.2">
      <c r="B34">
        <v>31</v>
      </c>
      <c r="C34" t="s">
        <v>66</v>
      </c>
    </row>
    <row r="35" spans="2:3" x14ac:dyDescent="0.2">
      <c r="B35">
        <v>32</v>
      </c>
      <c r="C35" t="s">
        <v>67</v>
      </c>
    </row>
    <row r="36" spans="2:3" x14ac:dyDescent="0.2">
      <c r="B36">
        <v>33</v>
      </c>
      <c r="C36" t="s">
        <v>49</v>
      </c>
    </row>
    <row r="37" spans="2:3" x14ac:dyDescent="0.2">
      <c r="B37">
        <v>34</v>
      </c>
      <c r="C37" t="s">
        <v>68</v>
      </c>
    </row>
    <row r="38" spans="2:3" x14ac:dyDescent="0.2">
      <c r="B38">
        <v>35</v>
      </c>
      <c r="C38" t="s">
        <v>69</v>
      </c>
    </row>
    <row r="39" spans="2:3" x14ac:dyDescent="0.2">
      <c r="B39">
        <v>36</v>
      </c>
      <c r="C39" t="s">
        <v>70</v>
      </c>
    </row>
    <row r="40" spans="2:3" x14ac:dyDescent="0.2">
      <c r="B40">
        <v>37</v>
      </c>
      <c r="C40" t="s">
        <v>71</v>
      </c>
    </row>
    <row r="41" spans="2:3" x14ac:dyDescent="0.2">
      <c r="B41">
        <v>38</v>
      </c>
      <c r="C41" t="s">
        <v>72</v>
      </c>
    </row>
    <row r="42" spans="2:3" x14ac:dyDescent="0.2">
      <c r="B42">
        <v>39</v>
      </c>
      <c r="C42" t="s">
        <v>73</v>
      </c>
    </row>
    <row r="43" spans="2:3" x14ac:dyDescent="0.2">
      <c r="B43">
        <v>40</v>
      </c>
      <c r="C43" t="s">
        <v>74</v>
      </c>
    </row>
    <row r="44" spans="2:3" x14ac:dyDescent="0.2">
      <c r="B44">
        <v>41</v>
      </c>
      <c r="C44" t="s">
        <v>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9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10.42578125" defaultRowHeight="12.75" x14ac:dyDescent="0.2"/>
  <cols>
    <col min="1" max="1" width="14.7109375" style="3" customWidth="1"/>
    <col min="2" max="2" width="10.140625" style="3" customWidth="1"/>
    <col min="3" max="3" width="50" style="4" customWidth="1"/>
    <col min="4" max="33" width="12.42578125" style="3" customWidth="1"/>
    <col min="34" max="54" width="10.42578125" style="4" customWidth="1"/>
    <col min="55" max="55" width="11" style="4" customWidth="1"/>
    <col min="56" max="58" width="10.42578125" style="4" customWidth="1"/>
    <col min="59" max="16384" width="10.42578125" style="4"/>
  </cols>
  <sheetData>
    <row r="1" spans="1:33" s="3" customFormat="1" ht="14.25" customHeight="1" x14ac:dyDescent="0.2">
      <c r="A1" s="5" t="str">
        <f>IF(Control!B3="","EMPRESA",Control!B3)</f>
        <v>EMPRESA</v>
      </c>
      <c r="B1" s="5" t="s">
        <v>0</v>
      </c>
      <c r="C1" s="1" t="s">
        <v>1</v>
      </c>
      <c r="D1" s="1">
        <v>2021</v>
      </c>
      <c r="E1" s="1">
        <v>2021</v>
      </c>
      <c r="F1" s="1">
        <v>2021</v>
      </c>
      <c r="G1" s="1">
        <v>2021</v>
      </c>
      <c r="H1" s="1">
        <v>2021</v>
      </c>
      <c r="I1" s="1">
        <v>2022</v>
      </c>
      <c r="J1" s="1">
        <v>2022</v>
      </c>
      <c r="K1" s="1">
        <v>2022</v>
      </c>
      <c r="L1" s="1">
        <v>2022</v>
      </c>
      <c r="M1" s="1">
        <v>2022</v>
      </c>
      <c r="N1" s="1">
        <v>2023</v>
      </c>
      <c r="O1" s="1">
        <v>2023</v>
      </c>
      <c r="P1" s="1">
        <v>2023</v>
      </c>
      <c r="Q1" s="1">
        <v>2023</v>
      </c>
      <c r="R1" s="1">
        <v>2023</v>
      </c>
      <c r="S1" s="1">
        <v>2024</v>
      </c>
      <c r="T1" s="1">
        <v>2024</v>
      </c>
      <c r="U1" s="1">
        <v>2024</v>
      </c>
      <c r="V1" s="1">
        <v>2024</v>
      </c>
      <c r="W1" s="1">
        <v>2024</v>
      </c>
      <c r="X1" s="1">
        <v>2025</v>
      </c>
      <c r="Y1" s="1">
        <v>2025</v>
      </c>
      <c r="Z1" s="1">
        <v>2025</v>
      </c>
      <c r="AA1" s="1">
        <v>2025</v>
      </c>
      <c r="AB1" s="1">
        <v>2025</v>
      </c>
      <c r="AC1" s="1">
        <v>2026</v>
      </c>
      <c r="AD1" s="1">
        <v>2026</v>
      </c>
      <c r="AE1" s="1">
        <v>2026</v>
      </c>
      <c r="AF1" s="1">
        <v>2026</v>
      </c>
      <c r="AG1" s="1">
        <v>2026</v>
      </c>
    </row>
    <row r="2" spans="1:33" ht="14.25" customHeight="1" x14ac:dyDescent="0.2">
      <c r="A2" s="1" t="s">
        <v>2</v>
      </c>
      <c r="B2" s="1"/>
      <c r="C2" s="1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7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7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7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7" t="s">
        <v>33</v>
      </c>
    </row>
    <row r="3" spans="1:33" ht="15" customHeight="1" x14ac:dyDescent="0.25">
      <c r="A3" s="8" t="s">
        <v>34</v>
      </c>
      <c r="B3" s="8"/>
      <c r="C3" s="8" t="s">
        <v>35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</row>
    <row r="4" spans="1:33" x14ac:dyDescent="0.2">
      <c r="B4" s="9">
        <v>1</v>
      </c>
      <c r="C4" s="10" t="s">
        <v>36</v>
      </c>
      <c r="D4" s="11" t="str">
        <f>IF(D$3=0,"",SUMIFS(INDEX(Inputs!$D$4:$AG$100,0,MATCH(D$2,Inputs!$D$2:$AG$2,0)),Inputs!$B$4:$B$100,$B4)/1000)</f>
        <v/>
      </c>
      <c r="E4" s="11" t="str">
        <f>IF(E$3=0,"",SUMIFS(INDEX(Inputs!$D$4:$AG$100,0,MATCH(E$2,Inputs!$D$2:$AG$2,0)),Inputs!$B$4:$B$100,$B4)/1000)</f>
        <v/>
      </c>
      <c r="F4" s="11" t="str">
        <f>IF(F$3=0,"",SUMIFS(INDEX(Inputs!$D$4:$AG$100,0,MATCH(F$2,Inputs!$D$2:$AG$2,0)),Inputs!$B$4:$B$100,$B4)/1000)</f>
        <v/>
      </c>
      <c r="G4" s="11" t="str">
        <f>IF(G$3=0,"",SUMIFS(INDEX(Inputs!$D$4:$AG$100,0,MATCH(G$2,Inputs!$D$2:$AG$2,0)),Inputs!$B$4:$B$100,$B4)/1000)</f>
        <v/>
      </c>
      <c r="H4" s="12" t="str">
        <f t="shared" ref="H4:H13" si="0">IF(COUNT(D4:G4)=4,SUM(D4:G4),"")</f>
        <v/>
      </c>
      <c r="I4" s="11" t="str">
        <f>IF(I$3=0,"",SUMIFS(INDEX(Inputs!$D$4:$AG$100,0,MATCH(I$2,Inputs!$D$2:$AG$2,0)),Inputs!$B$4:$B$100,$B4)/1000)</f>
        <v/>
      </c>
      <c r="J4" s="11" t="str">
        <f>IF(J$3=0,"",SUMIFS(INDEX(Inputs!$D$4:$AG$100,0,MATCH(J$2,Inputs!$D$2:$AG$2,0)),Inputs!$B$4:$B$100,$B4)/1000)</f>
        <v/>
      </c>
      <c r="K4" s="11" t="str">
        <f>IF(K$3=0,"",SUMIFS(INDEX(Inputs!$D$4:$AG$100,0,MATCH(K$2,Inputs!$D$2:$AG$2,0)),Inputs!$B$4:$B$100,$B4)/1000)</f>
        <v/>
      </c>
      <c r="L4" s="11" t="str">
        <f>IF(L$3=0,"",SUMIFS(INDEX(Inputs!$D$4:$AG$100,0,MATCH(L$2,Inputs!$D$2:$AG$2,0)),Inputs!$B$4:$B$100,$B4)/1000)</f>
        <v/>
      </c>
      <c r="M4" s="12" t="str">
        <f t="shared" ref="M4:M13" si="1">IF(COUNT(I4:L4)=4,SUM(I4:L4),"")</f>
        <v/>
      </c>
      <c r="N4" s="11" t="str">
        <f>IF(N$3=0,"",SUMIFS(INDEX(Inputs!$D$4:$AG$100,0,MATCH(N$2,Inputs!$D$2:$AG$2,0)),Inputs!$B$4:$B$100,$B4)/1000)</f>
        <v/>
      </c>
      <c r="O4" s="11" t="str">
        <f>IF(O$3=0,"",SUMIFS(INDEX(Inputs!$D$4:$AG$100,0,MATCH(O$2,Inputs!$D$2:$AG$2,0)),Inputs!$B$4:$B$100,$B4)/1000)</f>
        <v/>
      </c>
      <c r="P4" s="11" t="str">
        <f>IF(P$3=0,"",SUMIFS(INDEX(Inputs!$D$4:$AG$100,0,MATCH(P$2,Inputs!$D$2:$AG$2,0)),Inputs!$B$4:$B$100,$B4)/1000)</f>
        <v/>
      </c>
      <c r="Q4" s="11" t="str">
        <f>IF(Q$3=0,"",SUMIFS(INDEX(Inputs!$D$4:$AG$100,0,MATCH(Q$2,Inputs!$D$2:$AG$2,0)),Inputs!$B$4:$B$100,$B4)/1000)</f>
        <v/>
      </c>
      <c r="R4" s="12" t="str">
        <f t="shared" ref="R4:R13" si="2">IF(COUNT(N4:Q4)=4,SUM(N4:Q4),"")</f>
        <v/>
      </c>
      <c r="S4" s="11" t="str">
        <f>IF(S$3=0,"",SUMIFS(INDEX(Inputs!$D$4:$AG$100,0,MATCH(S$2,Inputs!$D$2:$AG$2,0)),Inputs!$B$4:$B$100,$B4)/1000)</f>
        <v/>
      </c>
      <c r="T4" s="11" t="str">
        <f>IF(T$3=0,"",SUMIFS(INDEX(Inputs!$D$4:$AG$100,0,MATCH(T$2,Inputs!$D$2:$AG$2,0)),Inputs!$B$4:$B$100,$B4)/1000)</f>
        <v/>
      </c>
      <c r="U4" s="11" t="str">
        <f>IF(U$3=0,"",SUMIFS(INDEX(Inputs!$D$4:$AG$100,0,MATCH(U$2,Inputs!$D$2:$AG$2,0)),Inputs!$B$4:$B$100,$B4)/1000)</f>
        <v/>
      </c>
      <c r="V4" s="11" t="str">
        <f>IF(V$3=0,"",SUMIFS(INDEX(Inputs!$D$4:$AG$100,0,MATCH(V$2,Inputs!$D$2:$AG$2,0)),Inputs!$B$4:$B$100,$B4)/1000)</f>
        <v/>
      </c>
      <c r="W4" s="12" t="str">
        <f t="shared" ref="W4:W13" si="3">IF(COUNT(S4:V4)=4,SUM(S4:V4),"")</f>
        <v/>
      </c>
      <c r="X4" s="11" t="str">
        <f>IF(X$3=0,"",SUMIFS(INDEX(Inputs!$D$4:$AG$100,0,MATCH(X$2,Inputs!$D$2:$AG$2,0)),Inputs!$B$4:$B$100,$B4)/1000)</f>
        <v/>
      </c>
      <c r="Y4" s="11" t="str">
        <f>IF(Y$3=0,"",SUMIFS(INDEX(Inputs!$D$4:$AG$100,0,MATCH(Y$2,Inputs!$D$2:$AG$2,0)),Inputs!$B$4:$B$100,$B4)/1000)</f>
        <v/>
      </c>
      <c r="Z4" s="11" t="str">
        <f>IF(Z$3=0,"",SUMIFS(INDEX(Inputs!$D$4:$AG$100,0,MATCH(Z$2,Inputs!$D$2:$AG$2,0)),Inputs!$B$4:$B$100,$B4)/1000)</f>
        <v/>
      </c>
      <c r="AA4" s="11" t="str">
        <f>IF(AA$3=0,"",SUMIFS(INDEX(Inputs!$D$4:$AG$100,0,MATCH(AA$2,Inputs!$D$2:$AG$2,0)),Inputs!$B$4:$B$100,$B4)/1000)</f>
        <v/>
      </c>
      <c r="AB4" s="12" t="str">
        <f t="shared" ref="AB4:AB13" si="4">IF(COUNT(X4:AA4)=4,SUM(X4:AA4),"")</f>
        <v/>
      </c>
      <c r="AC4" s="11" t="str">
        <f>IF(AC$3=0,"",SUMIFS(INDEX(Inputs!$D$4:$AG$100,0,MATCH(AC$2,Inputs!$D$2:$AG$2,0)),Inputs!$B$4:$B$100,$B4)/1000)</f>
        <v/>
      </c>
      <c r="AD4" s="11" t="str">
        <f>IF(AD$3=0,"",SUMIFS(INDEX(Inputs!$D$4:$AG$100,0,MATCH(AD$2,Inputs!$D$2:$AG$2,0)),Inputs!$B$4:$B$100,$B4)/1000)</f>
        <v/>
      </c>
      <c r="AE4" s="11" t="str">
        <f>IF(AE$3=0,"",SUMIFS(INDEX(Inputs!$D$4:$AG$100,0,MATCH(AE$2,Inputs!$D$2:$AG$2,0)),Inputs!$B$4:$B$100,$B4)/1000)</f>
        <v/>
      </c>
      <c r="AF4" s="11" t="str">
        <f>IF(AF$3=0,"",SUMIFS(INDEX(Inputs!$D$4:$AG$100,0,MATCH(AF$2,Inputs!$D$2:$AG$2,0)),Inputs!$B$4:$B$100,$B4)/1000)</f>
        <v/>
      </c>
      <c r="AG4" s="12" t="str">
        <f t="shared" ref="AG4:AG13" si="5">IF(COUNT(AC4:AF4)=4,SUM(AC4:AF4),"")</f>
        <v/>
      </c>
    </row>
    <row r="5" spans="1:33" x14ac:dyDescent="0.2">
      <c r="B5" s="9">
        <v>2</v>
      </c>
      <c r="C5" s="13" t="s">
        <v>37</v>
      </c>
      <c r="D5" s="11" t="str">
        <f>IF(D$3=0,"",SUMIFS(INDEX(Inputs!$D$4:$AG$100,0,MATCH(D$2,Inputs!$D$2:$AG$2,0)),Inputs!$B$4:$B$100,$B5)/1000)</f>
        <v/>
      </c>
      <c r="E5" s="11" t="str">
        <f>IF(E$3=0,"",SUMIFS(INDEX(Inputs!$D$4:$AG$100,0,MATCH(E$2,Inputs!$D$2:$AG$2,0)),Inputs!$B$4:$B$100,$B5)/1000)</f>
        <v/>
      </c>
      <c r="F5" s="11" t="str">
        <f>IF(F$3=0,"",SUMIFS(INDEX(Inputs!$D$4:$AG$100,0,MATCH(F$2,Inputs!$D$2:$AG$2,0)),Inputs!$B$4:$B$100,$B5)/1000)</f>
        <v/>
      </c>
      <c r="G5" s="11" t="str">
        <f>IF(G$3=0,"",SUMIFS(INDEX(Inputs!$D$4:$AG$100,0,MATCH(G$2,Inputs!$D$2:$AG$2,0)),Inputs!$B$4:$B$100,$B5)/1000)</f>
        <v/>
      </c>
      <c r="H5" s="12" t="str">
        <f t="shared" si="0"/>
        <v/>
      </c>
      <c r="I5" s="11" t="str">
        <f>IF(I$3=0,"",SUMIFS(INDEX(Inputs!$D$4:$AG$100,0,MATCH(I$2,Inputs!$D$2:$AG$2,0)),Inputs!$B$4:$B$100,$B5)/1000)</f>
        <v/>
      </c>
      <c r="J5" s="11" t="str">
        <f>IF(J$3=0,"",SUMIFS(INDEX(Inputs!$D$4:$AG$100,0,MATCH(J$2,Inputs!$D$2:$AG$2,0)),Inputs!$B$4:$B$100,$B5)/1000)</f>
        <v/>
      </c>
      <c r="K5" s="11" t="str">
        <f>IF(K$3=0,"",SUMIFS(INDEX(Inputs!$D$4:$AG$100,0,MATCH(K$2,Inputs!$D$2:$AG$2,0)),Inputs!$B$4:$B$100,$B5)/1000)</f>
        <v/>
      </c>
      <c r="L5" s="11" t="str">
        <f>IF(L$3=0,"",SUMIFS(INDEX(Inputs!$D$4:$AG$100,0,MATCH(L$2,Inputs!$D$2:$AG$2,0)),Inputs!$B$4:$B$100,$B5)/1000)</f>
        <v/>
      </c>
      <c r="M5" s="12" t="str">
        <f t="shared" si="1"/>
        <v/>
      </c>
      <c r="N5" s="11" t="str">
        <f>IF(N$3=0,"",SUMIFS(INDEX(Inputs!$D$4:$AG$100,0,MATCH(N$2,Inputs!$D$2:$AG$2,0)),Inputs!$B$4:$B$100,$B5)/1000)</f>
        <v/>
      </c>
      <c r="O5" s="11" t="str">
        <f>IF(O$3=0,"",SUMIFS(INDEX(Inputs!$D$4:$AG$100,0,MATCH(O$2,Inputs!$D$2:$AG$2,0)),Inputs!$B$4:$B$100,$B5)/1000)</f>
        <v/>
      </c>
      <c r="P5" s="11" t="str">
        <f>IF(P$3=0,"",SUMIFS(INDEX(Inputs!$D$4:$AG$100,0,MATCH(P$2,Inputs!$D$2:$AG$2,0)),Inputs!$B$4:$B$100,$B5)/1000)</f>
        <v/>
      </c>
      <c r="Q5" s="11" t="str">
        <f>IF(Q$3=0,"",SUMIFS(INDEX(Inputs!$D$4:$AG$100,0,MATCH(Q$2,Inputs!$D$2:$AG$2,0)),Inputs!$B$4:$B$100,$B5)/1000)</f>
        <v/>
      </c>
      <c r="R5" s="12" t="str">
        <f t="shared" si="2"/>
        <v/>
      </c>
      <c r="S5" s="11" t="str">
        <f>IF(S$3=0,"",SUMIFS(INDEX(Inputs!$D$4:$AG$100,0,MATCH(S$2,Inputs!$D$2:$AG$2,0)),Inputs!$B$4:$B$100,$B5)/1000)</f>
        <v/>
      </c>
      <c r="T5" s="11" t="str">
        <f>IF(T$3=0,"",SUMIFS(INDEX(Inputs!$D$4:$AG$100,0,MATCH(T$2,Inputs!$D$2:$AG$2,0)),Inputs!$B$4:$B$100,$B5)/1000)</f>
        <v/>
      </c>
      <c r="U5" s="11" t="str">
        <f>IF(U$3=0,"",SUMIFS(INDEX(Inputs!$D$4:$AG$100,0,MATCH(U$2,Inputs!$D$2:$AG$2,0)),Inputs!$B$4:$B$100,$B5)/1000)</f>
        <v/>
      </c>
      <c r="V5" s="11" t="str">
        <f>IF(V$3=0,"",SUMIFS(INDEX(Inputs!$D$4:$AG$100,0,MATCH(V$2,Inputs!$D$2:$AG$2,0)),Inputs!$B$4:$B$100,$B5)/1000)</f>
        <v/>
      </c>
      <c r="W5" s="12" t="str">
        <f t="shared" si="3"/>
        <v/>
      </c>
      <c r="X5" s="11" t="str">
        <f>IF(X$3=0,"",SUMIFS(INDEX(Inputs!$D$4:$AG$100,0,MATCH(X$2,Inputs!$D$2:$AG$2,0)),Inputs!$B$4:$B$100,$B5)/1000)</f>
        <v/>
      </c>
      <c r="Y5" s="11" t="str">
        <f>IF(Y$3=0,"",SUMIFS(INDEX(Inputs!$D$4:$AG$100,0,MATCH(Y$2,Inputs!$D$2:$AG$2,0)),Inputs!$B$4:$B$100,$B5)/1000)</f>
        <v/>
      </c>
      <c r="Z5" s="11" t="str">
        <f>IF(Z$3=0,"",SUMIFS(INDEX(Inputs!$D$4:$AG$100,0,MATCH(Z$2,Inputs!$D$2:$AG$2,0)),Inputs!$B$4:$B$100,$B5)/1000)</f>
        <v/>
      </c>
      <c r="AA5" s="11" t="str">
        <f>IF(AA$3=0,"",SUMIFS(INDEX(Inputs!$D$4:$AG$100,0,MATCH(AA$2,Inputs!$D$2:$AG$2,0)),Inputs!$B$4:$B$100,$B5)/1000)</f>
        <v/>
      </c>
      <c r="AB5" s="12" t="str">
        <f t="shared" si="4"/>
        <v/>
      </c>
      <c r="AC5" s="11" t="str">
        <f>IF(AC$3=0,"",SUMIFS(INDEX(Inputs!$D$4:$AG$100,0,MATCH(AC$2,Inputs!$D$2:$AG$2,0)),Inputs!$B$4:$B$100,$B5)/1000)</f>
        <v/>
      </c>
      <c r="AD5" s="11" t="str">
        <f>IF(AD$3=0,"",SUMIFS(INDEX(Inputs!$D$4:$AG$100,0,MATCH(AD$2,Inputs!$D$2:$AG$2,0)),Inputs!$B$4:$B$100,$B5)/1000)</f>
        <v/>
      </c>
      <c r="AE5" s="11" t="str">
        <f>IF(AE$3=0,"",SUMIFS(INDEX(Inputs!$D$4:$AG$100,0,MATCH(AE$2,Inputs!$D$2:$AG$2,0)),Inputs!$B$4:$B$100,$B5)/1000)</f>
        <v/>
      </c>
      <c r="AF5" s="11" t="str">
        <f>IF(AF$3=0,"",SUMIFS(INDEX(Inputs!$D$4:$AG$100,0,MATCH(AF$2,Inputs!$D$2:$AG$2,0)),Inputs!$B$4:$B$100,$B5)/1000)</f>
        <v/>
      </c>
      <c r="AG5" s="12" t="str">
        <f t="shared" si="5"/>
        <v/>
      </c>
    </row>
    <row r="6" spans="1:33" x14ac:dyDescent="0.2">
      <c r="B6" s="9">
        <v>3</v>
      </c>
      <c r="C6" s="13" t="s">
        <v>38</v>
      </c>
      <c r="D6" s="11" t="str">
        <f>IF(D$3=0,"",SUMIFS(INDEX(Inputs!$D$4:$AG$100,0,MATCH(D$2,Inputs!$D$2:$AG$2,0)),Inputs!$B$4:$B$100,$B6)/1000)</f>
        <v/>
      </c>
      <c r="E6" s="11" t="str">
        <f>IF(E$3=0,"",SUMIFS(INDEX(Inputs!$D$4:$AG$100,0,MATCH(E$2,Inputs!$D$2:$AG$2,0)),Inputs!$B$4:$B$100,$B6)/1000)</f>
        <v/>
      </c>
      <c r="F6" s="11" t="str">
        <f>IF(F$3=0,"",SUMIFS(INDEX(Inputs!$D$4:$AG$100,0,MATCH(F$2,Inputs!$D$2:$AG$2,0)),Inputs!$B$4:$B$100,$B6)/1000)</f>
        <v/>
      </c>
      <c r="G6" s="11" t="str">
        <f>IF(G$3=0,"",SUMIFS(INDEX(Inputs!$D$4:$AG$100,0,MATCH(G$2,Inputs!$D$2:$AG$2,0)),Inputs!$B$4:$B$100,$B6)/1000)</f>
        <v/>
      </c>
      <c r="H6" s="12" t="str">
        <f t="shared" si="0"/>
        <v/>
      </c>
      <c r="I6" s="11" t="str">
        <f>IF(I$3=0,"",SUMIFS(INDEX(Inputs!$D$4:$AG$100,0,MATCH(I$2,Inputs!$D$2:$AG$2,0)),Inputs!$B$4:$B$100,$B6)/1000)</f>
        <v/>
      </c>
      <c r="J6" s="11" t="str">
        <f>IF(J$3=0,"",SUMIFS(INDEX(Inputs!$D$4:$AG$100,0,MATCH(J$2,Inputs!$D$2:$AG$2,0)),Inputs!$B$4:$B$100,$B6)/1000)</f>
        <v/>
      </c>
      <c r="K6" s="11" t="str">
        <f>IF(K$3=0,"",SUMIFS(INDEX(Inputs!$D$4:$AG$100,0,MATCH(K$2,Inputs!$D$2:$AG$2,0)),Inputs!$B$4:$B$100,$B6)/1000)</f>
        <v/>
      </c>
      <c r="L6" s="11" t="str">
        <f>IF(L$3=0,"",SUMIFS(INDEX(Inputs!$D$4:$AG$100,0,MATCH(L$2,Inputs!$D$2:$AG$2,0)),Inputs!$B$4:$B$100,$B6)/1000)</f>
        <v/>
      </c>
      <c r="M6" s="12" t="str">
        <f t="shared" si="1"/>
        <v/>
      </c>
      <c r="N6" s="11" t="str">
        <f>IF(N$3=0,"",SUMIFS(INDEX(Inputs!$D$4:$AG$100,0,MATCH(N$2,Inputs!$D$2:$AG$2,0)),Inputs!$B$4:$B$100,$B6)/1000)</f>
        <v/>
      </c>
      <c r="O6" s="11" t="str">
        <f>IF(O$3=0,"",SUMIFS(INDEX(Inputs!$D$4:$AG$100,0,MATCH(O$2,Inputs!$D$2:$AG$2,0)),Inputs!$B$4:$B$100,$B6)/1000)</f>
        <v/>
      </c>
      <c r="P6" s="11" t="str">
        <f>IF(P$3=0,"",SUMIFS(INDEX(Inputs!$D$4:$AG$100,0,MATCH(P$2,Inputs!$D$2:$AG$2,0)),Inputs!$B$4:$B$100,$B6)/1000)</f>
        <v/>
      </c>
      <c r="Q6" s="11" t="str">
        <f>IF(Q$3=0,"",SUMIFS(INDEX(Inputs!$D$4:$AG$100,0,MATCH(Q$2,Inputs!$D$2:$AG$2,0)),Inputs!$B$4:$B$100,$B6)/1000)</f>
        <v/>
      </c>
      <c r="R6" s="12" t="str">
        <f t="shared" si="2"/>
        <v/>
      </c>
      <c r="S6" s="11" t="str">
        <f>IF(S$3=0,"",SUMIFS(INDEX(Inputs!$D$4:$AG$100,0,MATCH(S$2,Inputs!$D$2:$AG$2,0)),Inputs!$B$4:$B$100,$B6)/1000)</f>
        <v/>
      </c>
      <c r="T6" s="11" t="str">
        <f>IF(T$3=0,"",SUMIFS(INDEX(Inputs!$D$4:$AG$100,0,MATCH(T$2,Inputs!$D$2:$AG$2,0)),Inputs!$B$4:$B$100,$B6)/1000)</f>
        <v/>
      </c>
      <c r="U6" s="11" t="str">
        <f>IF(U$3=0,"",SUMIFS(INDEX(Inputs!$D$4:$AG$100,0,MATCH(U$2,Inputs!$D$2:$AG$2,0)),Inputs!$B$4:$B$100,$B6)/1000)</f>
        <v/>
      </c>
      <c r="V6" s="11" t="str">
        <f>IF(V$3=0,"",SUMIFS(INDEX(Inputs!$D$4:$AG$100,0,MATCH(V$2,Inputs!$D$2:$AG$2,0)),Inputs!$B$4:$B$100,$B6)/1000)</f>
        <v/>
      </c>
      <c r="W6" s="12" t="str">
        <f t="shared" si="3"/>
        <v/>
      </c>
      <c r="X6" s="11" t="str">
        <f>IF(X$3=0,"",SUMIFS(INDEX(Inputs!$D$4:$AG$100,0,MATCH(X$2,Inputs!$D$2:$AG$2,0)),Inputs!$B$4:$B$100,$B6)/1000)</f>
        <v/>
      </c>
      <c r="Y6" s="11" t="str">
        <f>IF(Y$3=0,"",SUMIFS(INDEX(Inputs!$D$4:$AG$100,0,MATCH(Y$2,Inputs!$D$2:$AG$2,0)),Inputs!$B$4:$B$100,$B6)/1000)</f>
        <v/>
      </c>
      <c r="Z6" s="11" t="str">
        <f>IF(Z$3=0,"",SUMIFS(INDEX(Inputs!$D$4:$AG$100,0,MATCH(Z$2,Inputs!$D$2:$AG$2,0)),Inputs!$B$4:$B$100,$B6)/1000)</f>
        <v/>
      </c>
      <c r="AA6" s="11" t="str">
        <f>IF(AA$3=0,"",SUMIFS(INDEX(Inputs!$D$4:$AG$100,0,MATCH(AA$2,Inputs!$D$2:$AG$2,0)),Inputs!$B$4:$B$100,$B6)/1000)</f>
        <v/>
      </c>
      <c r="AB6" s="12" t="str">
        <f t="shared" si="4"/>
        <v/>
      </c>
      <c r="AC6" s="11" t="str">
        <f>IF(AC$3=0,"",SUMIFS(INDEX(Inputs!$D$4:$AG$100,0,MATCH(AC$2,Inputs!$D$2:$AG$2,0)),Inputs!$B$4:$B$100,$B6)/1000)</f>
        <v/>
      </c>
      <c r="AD6" s="11" t="str">
        <f>IF(AD$3=0,"",SUMIFS(INDEX(Inputs!$D$4:$AG$100,0,MATCH(AD$2,Inputs!$D$2:$AG$2,0)),Inputs!$B$4:$B$100,$B6)/1000)</f>
        <v/>
      </c>
      <c r="AE6" s="11" t="str">
        <f>IF(AE$3=0,"",SUMIFS(INDEX(Inputs!$D$4:$AG$100,0,MATCH(AE$2,Inputs!$D$2:$AG$2,0)),Inputs!$B$4:$B$100,$B6)/1000)</f>
        <v/>
      </c>
      <c r="AF6" s="11" t="str">
        <f>IF(AF$3=0,"",SUMIFS(INDEX(Inputs!$D$4:$AG$100,0,MATCH(AF$2,Inputs!$D$2:$AG$2,0)),Inputs!$B$4:$B$100,$B6)/1000)</f>
        <v/>
      </c>
      <c r="AG6" s="12" t="str">
        <f t="shared" si="5"/>
        <v/>
      </c>
    </row>
    <row r="7" spans="1:33" x14ac:dyDescent="0.2">
      <c r="B7" s="9">
        <v>4</v>
      </c>
      <c r="C7" s="13" t="s">
        <v>39</v>
      </c>
      <c r="D7" s="11" t="str">
        <f>IF(D$3=0,"",SUMIFS(INDEX(Inputs!$D$4:$AG$100,0,MATCH(D$2,Inputs!$D$2:$AG$2,0)),Inputs!$B$4:$B$100,$B7)/1000)</f>
        <v/>
      </c>
      <c r="E7" s="11" t="str">
        <f>IF(E$3=0,"",SUMIFS(INDEX(Inputs!$D$4:$AG$100,0,MATCH(E$2,Inputs!$D$2:$AG$2,0)),Inputs!$B$4:$B$100,$B7)/1000)</f>
        <v/>
      </c>
      <c r="F7" s="11" t="str">
        <f>IF(F$3=0,"",SUMIFS(INDEX(Inputs!$D$4:$AG$100,0,MATCH(F$2,Inputs!$D$2:$AG$2,0)),Inputs!$B$4:$B$100,$B7)/1000)</f>
        <v/>
      </c>
      <c r="G7" s="11" t="str">
        <f>IF(G$3=0,"",SUMIFS(INDEX(Inputs!$D$4:$AG$100,0,MATCH(G$2,Inputs!$D$2:$AG$2,0)),Inputs!$B$4:$B$100,$B7)/1000)</f>
        <v/>
      </c>
      <c r="H7" s="12" t="str">
        <f t="shared" si="0"/>
        <v/>
      </c>
      <c r="I7" s="11" t="str">
        <f>IF(I$3=0,"",SUMIFS(INDEX(Inputs!$D$4:$AG$100,0,MATCH(I$2,Inputs!$D$2:$AG$2,0)),Inputs!$B$4:$B$100,$B7)/1000)</f>
        <v/>
      </c>
      <c r="J7" s="11" t="str">
        <f>IF(J$3=0,"",SUMIFS(INDEX(Inputs!$D$4:$AG$100,0,MATCH(J$2,Inputs!$D$2:$AG$2,0)),Inputs!$B$4:$B$100,$B7)/1000)</f>
        <v/>
      </c>
      <c r="K7" s="11" t="str">
        <f>IF(K$3=0,"",SUMIFS(INDEX(Inputs!$D$4:$AG$100,0,MATCH(K$2,Inputs!$D$2:$AG$2,0)),Inputs!$B$4:$B$100,$B7)/1000)</f>
        <v/>
      </c>
      <c r="L7" s="11" t="str">
        <f>IF(L$3=0,"",SUMIFS(INDEX(Inputs!$D$4:$AG$100,0,MATCH(L$2,Inputs!$D$2:$AG$2,0)),Inputs!$B$4:$B$100,$B7)/1000)</f>
        <v/>
      </c>
      <c r="M7" s="12" t="str">
        <f t="shared" si="1"/>
        <v/>
      </c>
      <c r="N7" s="11" t="str">
        <f>IF(N$3=0,"",SUMIFS(INDEX(Inputs!$D$4:$AG$100,0,MATCH(N$2,Inputs!$D$2:$AG$2,0)),Inputs!$B$4:$B$100,$B7)/1000)</f>
        <v/>
      </c>
      <c r="O7" s="11" t="str">
        <f>IF(O$3=0,"",SUMIFS(INDEX(Inputs!$D$4:$AG$100,0,MATCH(O$2,Inputs!$D$2:$AG$2,0)),Inputs!$B$4:$B$100,$B7)/1000)</f>
        <v/>
      </c>
      <c r="P7" s="11" t="str">
        <f>IF(P$3=0,"",SUMIFS(INDEX(Inputs!$D$4:$AG$100,0,MATCH(P$2,Inputs!$D$2:$AG$2,0)),Inputs!$B$4:$B$100,$B7)/1000)</f>
        <v/>
      </c>
      <c r="Q7" s="11" t="str">
        <f>IF(Q$3=0,"",SUMIFS(INDEX(Inputs!$D$4:$AG$100,0,MATCH(Q$2,Inputs!$D$2:$AG$2,0)),Inputs!$B$4:$B$100,$B7)/1000)</f>
        <v/>
      </c>
      <c r="R7" s="12" t="str">
        <f t="shared" si="2"/>
        <v/>
      </c>
      <c r="S7" s="11" t="str">
        <f>IF(S$3=0,"",SUMIFS(INDEX(Inputs!$D$4:$AG$100,0,MATCH(S$2,Inputs!$D$2:$AG$2,0)),Inputs!$B$4:$B$100,$B7)/1000)</f>
        <v/>
      </c>
      <c r="T7" s="11" t="str">
        <f>IF(T$3=0,"",SUMIFS(INDEX(Inputs!$D$4:$AG$100,0,MATCH(T$2,Inputs!$D$2:$AG$2,0)),Inputs!$B$4:$B$100,$B7)/1000)</f>
        <v/>
      </c>
      <c r="U7" s="11" t="str">
        <f>IF(U$3=0,"",SUMIFS(INDEX(Inputs!$D$4:$AG$100,0,MATCH(U$2,Inputs!$D$2:$AG$2,0)),Inputs!$B$4:$B$100,$B7)/1000)</f>
        <v/>
      </c>
      <c r="V7" s="11" t="str">
        <f>IF(V$3=0,"",SUMIFS(INDEX(Inputs!$D$4:$AG$100,0,MATCH(V$2,Inputs!$D$2:$AG$2,0)),Inputs!$B$4:$B$100,$B7)/1000)</f>
        <v/>
      </c>
      <c r="W7" s="12" t="str">
        <f t="shared" si="3"/>
        <v/>
      </c>
      <c r="X7" s="11" t="str">
        <f>IF(X$3=0,"",SUMIFS(INDEX(Inputs!$D$4:$AG$100,0,MATCH(X$2,Inputs!$D$2:$AG$2,0)),Inputs!$B$4:$B$100,$B7)/1000)</f>
        <v/>
      </c>
      <c r="Y7" s="11" t="str">
        <f>IF(Y$3=0,"",SUMIFS(INDEX(Inputs!$D$4:$AG$100,0,MATCH(Y$2,Inputs!$D$2:$AG$2,0)),Inputs!$B$4:$B$100,$B7)/1000)</f>
        <v/>
      </c>
      <c r="Z7" s="11" t="str">
        <f>IF(Z$3=0,"",SUMIFS(INDEX(Inputs!$D$4:$AG$100,0,MATCH(Z$2,Inputs!$D$2:$AG$2,0)),Inputs!$B$4:$B$100,$B7)/1000)</f>
        <v/>
      </c>
      <c r="AA7" s="11" t="str">
        <f>IF(AA$3=0,"",SUMIFS(INDEX(Inputs!$D$4:$AG$100,0,MATCH(AA$2,Inputs!$D$2:$AG$2,0)),Inputs!$B$4:$B$100,$B7)/1000)</f>
        <v/>
      </c>
      <c r="AB7" s="12" t="str">
        <f t="shared" si="4"/>
        <v/>
      </c>
      <c r="AC7" s="11" t="str">
        <f>IF(AC$3=0,"",SUMIFS(INDEX(Inputs!$D$4:$AG$100,0,MATCH(AC$2,Inputs!$D$2:$AG$2,0)),Inputs!$B$4:$B$100,$B7)/1000)</f>
        <v/>
      </c>
      <c r="AD7" s="11" t="str">
        <f>IF(AD$3=0,"",SUMIFS(INDEX(Inputs!$D$4:$AG$100,0,MATCH(AD$2,Inputs!$D$2:$AG$2,0)),Inputs!$B$4:$B$100,$B7)/1000)</f>
        <v/>
      </c>
      <c r="AE7" s="11" t="str">
        <f>IF(AE$3=0,"",SUMIFS(INDEX(Inputs!$D$4:$AG$100,0,MATCH(AE$2,Inputs!$D$2:$AG$2,0)),Inputs!$B$4:$B$100,$B7)/1000)</f>
        <v/>
      </c>
      <c r="AF7" s="11" t="str">
        <f>IF(AF$3=0,"",SUMIFS(INDEX(Inputs!$D$4:$AG$100,0,MATCH(AF$2,Inputs!$D$2:$AG$2,0)),Inputs!$B$4:$B$100,$B7)/1000)</f>
        <v/>
      </c>
      <c r="AG7" s="12" t="str">
        <f t="shared" si="5"/>
        <v/>
      </c>
    </row>
    <row r="8" spans="1:33" x14ac:dyDescent="0.2">
      <c r="B8" s="9">
        <v>5</v>
      </c>
      <c r="C8" s="14" t="s">
        <v>40</v>
      </c>
      <c r="D8" s="11" t="str">
        <f>IF(D$3=0,"",SUMIFS(INDEX(Inputs!$D$4:$AG$100,0,MATCH(D$2,Inputs!$D$2:$AG$2,0)),Inputs!$B$4:$B$100,$B8)/1000)</f>
        <v/>
      </c>
      <c r="E8" s="11" t="str">
        <f>IF(E$3=0,"",SUMIFS(INDEX(Inputs!$D$4:$AG$100,0,MATCH(E$2,Inputs!$D$2:$AG$2,0)),Inputs!$B$4:$B$100,$B8)/1000)</f>
        <v/>
      </c>
      <c r="F8" s="11" t="str">
        <f>IF(F$3=0,"",SUMIFS(INDEX(Inputs!$D$4:$AG$100,0,MATCH(F$2,Inputs!$D$2:$AG$2,0)),Inputs!$B$4:$B$100,$B8)/1000)</f>
        <v/>
      </c>
      <c r="G8" s="11" t="str">
        <f>IF(G$3=0,"",SUMIFS(INDEX(Inputs!$D$4:$AG$100,0,MATCH(G$2,Inputs!$D$2:$AG$2,0)),Inputs!$B$4:$B$100,$B8)/1000)</f>
        <v/>
      </c>
      <c r="H8" s="12" t="str">
        <f t="shared" si="0"/>
        <v/>
      </c>
      <c r="I8" s="11" t="str">
        <f>IF(I$3=0,"",SUMIFS(INDEX(Inputs!$D$4:$AG$100,0,MATCH(I$2,Inputs!$D$2:$AG$2,0)),Inputs!$B$4:$B$100,$B8)/1000)</f>
        <v/>
      </c>
      <c r="J8" s="11" t="str">
        <f>IF(J$3=0,"",SUMIFS(INDEX(Inputs!$D$4:$AG$100,0,MATCH(J$2,Inputs!$D$2:$AG$2,0)),Inputs!$B$4:$B$100,$B8)/1000)</f>
        <v/>
      </c>
      <c r="K8" s="11" t="str">
        <f>IF(K$3=0,"",SUMIFS(INDEX(Inputs!$D$4:$AG$100,0,MATCH(K$2,Inputs!$D$2:$AG$2,0)),Inputs!$B$4:$B$100,$B8)/1000)</f>
        <v/>
      </c>
      <c r="L8" s="11" t="str">
        <f>IF(L$3=0,"",SUMIFS(INDEX(Inputs!$D$4:$AG$100,0,MATCH(L$2,Inputs!$D$2:$AG$2,0)),Inputs!$B$4:$B$100,$B8)/1000)</f>
        <v/>
      </c>
      <c r="M8" s="12" t="str">
        <f t="shared" si="1"/>
        <v/>
      </c>
      <c r="N8" s="11" t="str">
        <f>IF(N$3=0,"",SUMIFS(INDEX(Inputs!$D$4:$AG$100,0,MATCH(N$2,Inputs!$D$2:$AG$2,0)),Inputs!$B$4:$B$100,$B8)/1000)</f>
        <v/>
      </c>
      <c r="O8" s="11" t="str">
        <f>IF(O$3=0,"",SUMIFS(INDEX(Inputs!$D$4:$AG$100,0,MATCH(O$2,Inputs!$D$2:$AG$2,0)),Inputs!$B$4:$B$100,$B8)/1000)</f>
        <v/>
      </c>
      <c r="P8" s="11" t="str">
        <f>IF(P$3=0,"",SUMIFS(INDEX(Inputs!$D$4:$AG$100,0,MATCH(P$2,Inputs!$D$2:$AG$2,0)),Inputs!$B$4:$B$100,$B8)/1000)</f>
        <v/>
      </c>
      <c r="Q8" s="11" t="str">
        <f>IF(Q$3=0,"",SUMIFS(INDEX(Inputs!$D$4:$AG$100,0,MATCH(Q$2,Inputs!$D$2:$AG$2,0)),Inputs!$B$4:$B$100,$B8)/1000)</f>
        <v/>
      </c>
      <c r="R8" s="12" t="str">
        <f t="shared" si="2"/>
        <v/>
      </c>
      <c r="S8" s="11" t="str">
        <f>IF(S$3=0,"",SUMIFS(INDEX(Inputs!$D$4:$AG$100,0,MATCH(S$2,Inputs!$D$2:$AG$2,0)),Inputs!$B$4:$B$100,$B8)/1000)</f>
        <v/>
      </c>
      <c r="T8" s="11" t="str">
        <f>IF(T$3=0,"",SUMIFS(INDEX(Inputs!$D$4:$AG$100,0,MATCH(T$2,Inputs!$D$2:$AG$2,0)),Inputs!$B$4:$B$100,$B8)/1000)</f>
        <v/>
      </c>
      <c r="U8" s="11" t="str">
        <f>IF(U$3=0,"",SUMIFS(INDEX(Inputs!$D$4:$AG$100,0,MATCH(U$2,Inputs!$D$2:$AG$2,0)),Inputs!$B$4:$B$100,$B8)/1000)</f>
        <v/>
      </c>
      <c r="V8" s="11" t="str">
        <f>IF(V$3=0,"",SUMIFS(INDEX(Inputs!$D$4:$AG$100,0,MATCH(V$2,Inputs!$D$2:$AG$2,0)),Inputs!$B$4:$B$100,$B8)/1000)</f>
        <v/>
      </c>
      <c r="W8" s="12" t="str">
        <f t="shared" si="3"/>
        <v/>
      </c>
      <c r="X8" s="11" t="str">
        <f>IF(X$3=0,"",SUMIFS(INDEX(Inputs!$D$4:$AG$100,0,MATCH(X$2,Inputs!$D$2:$AG$2,0)),Inputs!$B$4:$B$100,$B8)/1000)</f>
        <v/>
      </c>
      <c r="Y8" s="11" t="str">
        <f>IF(Y$3=0,"",SUMIFS(INDEX(Inputs!$D$4:$AG$100,0,MATCH(Y$2,Inputs!$D$2:$AG$2,0)),Inputs!$B$4:$B$100,$B8)/1000)</f>
        <v/>
      </c>
      <c r="Z8" s="11" t="str">
        <f>IF(Z$3=0,"",SUMIFS(INDEX(Inputs!$D$4:$AG$100,0,MATCH(Z$2,Inputs!$D$2:$AG$2,0)),Inputs!$B$4:$B$100,$B8)/1000)</f>
        <v/>
      </c>
      <c r="AA8" s="11" t="str">
        <f>IF(AA$3=0,"",SUMIFS(INDEX(Inputs!$D$4:$AG$100,0,MATCH(AA$2,Inputs!$D$2:$AG$2,0)),Inputs!$B$4:$B$100,$B8)/1000)</f>
        <v/>
      </c>
      <c r="AB8" s="12" t="str">
        <f t="shared" si="4"/>
        <v/>
      </c>
      <c r="AC8" s="11" t="str">
        <f>IF(AC$3=0,"",SUMIFS(INDEX(Inputs!$D$4:$AG$100,0,MATCH(AC$2,Inputs!$D$2:$AG$2,0)),Inputs!$B$4:$B$100,$B8)/1000)</f>
        <v/>
      </c>
      <c r="AD8" s="11" t="str">
        <f>IF(AD$3=0,"",SUMIFS(INDEX(Inputs!$D$4:$AG$100,0,MATCH(AD$2,Inputs!$D$2:$AG$2,0)),Inputs!$B$4:$B$100,$B8)/1000)</f>
        <v/>
      </c>
      <c r="AE8" s="11" t="str">
        <f>IF(AE$3=0,"",SUMIFS(INDEX(Inputs!$D$4:$AG$100,0,MATCH(AE$2,Inputs!$D$2:$AG$2,0)),Inputs!$B$4:$B$100,$B8)/1000)</f>
        <v/>
      </c>
      <c r="AF8" s="11" t="str">
        <f>IF(AF$3=0,"",SUMIFS(INDEX(Inputs!$D$4:$AG$100,0,MATCH(AF$2,Inputs!$D$2:$AG$2,0)),Inputs!$B$4:$B$100,$B8)/1000)</f>
        <v/>
      </c>
      <c r="AG8" s="12" t="str">
        <f t="shared" si="5"/>
        <v/>
      </c>
    </row>
    <row r="9" spans="1:33" x14ac:dyDescent="0.2">
      <c r="B9" s="9">
        <v>6</v>
      </c>
      <c r="C9" s="14" t="s">
        <v>41</v>
      </c>
      <c r="D9" s="11" t="str">
        <f>IF(D$3=0,"",SUMIFS(INDEX(Inputs!$D$4:$AG$100,0,MATCH(D$2,Inputs!$D$2:$AG$2,0)),Inputs!$B$4:$B$100,$B9)/1000)</f>
        <v/>
      </c>
      <c r="E9" s="11" t="str">
        <f>IF(E$3=0,"",SUMIFS(INDEX(Inputs!$D$4:$AG$100,0,MATCH(E$2,Inputs!$D$2:$AG$2,0)),Inputs!$B$4:$B$100,$B9)/1000)</f>
        <v/>
      </c>
      <c r="F9" s="11" t="str">
        <f>IF(F$3=0,"",SUMIFS(INDEX(Inputs!$D$4:$AG$100,0,MATCH(F$2,Inputs!$D$2:$AG$2,0)),Inputs!$B$4:$B$100,$B9)/1000)</f>
        <v/>
      </c>
      <c r="G9" s="11" t="str">
        <f>IF(G$3=0,"",SUMIFS(INDEX(Inputs!$D$4:$AG$100,0,MATCH(G$2,Inputs!$D$2:$AG$2,0)),Inputs!$B$4:$B$100,$B9)/1000)</f>
        <v/>
      </c>
      <c r="H9" s="12" t="str">
        <f t="shared" si="0"/>
        <v/>
      </c>
      <c r="I9" s="11" t="str">
        <f>IF(I$3=0,"",SUMIFS(INDEX(Inputs!$D$4:$AG$100,0,MATCH(I$2,Inputs!$D$2:$AG$2,0)),Inputs!$B$4:$B$100,$B9)/1000)</f>
        <v/>
      </c>
      <c r="J9" s="11" t="str">
        <f>IF(J$3=0,"",SUMIFS(INDEX(Inputs!$D$4:$AG$100,0,MATCH(J$2,Inputs!$D$2:$AG$2,0)),Inputs!$B$4:$B$100,$B9)/1000)</f>
        <v/>
      </c>
      <c r="K9" s="11" t="str">
        <f>IF(K$3=0,"",SUMIFS(INDEX(Inputs!$D$4:$AG$100,0,MATCH(K$2,Inputs!$D$2:$AG$2,0)),Inputs!$B$4:$B$100,$B9)/1000)</f>
        <v/>
      </c>
      <c r="L9" s="11" t="str">
        <f>IF(L$3=0,"",SUMIFS(INDEX(Inputs!$D$4:$AG$100,0,MATCH(L$2,Inputs!$D$2:$AG$2,0)),Inputs!$B$4:$B$100,$B9)/1000)</f>
        <v/>
      </c>
      <c r="M9" s="12" t="str">
        <f t="shared" si="1"/>
        <v/>
      </c>
      <c r="N9" s="11" t="str">
        <f>IF(N$3=0,"",SUMIFS(INDEX(Inputs!$D$4:$AG$100,0,MATCH(N$2,Inputs!$D$2:$AG$2,0)),Inputs!$B$4:$B$100,$B9)/1000)</f>
        <v/>
      </c>
      <c r="O9" s="11" t="str">
        <f>IF(O$3=0,"",SUMIFS(INDEX(Inputs!$D$4:$AG$100,0,MATCH(O$2,Inputs!$D$2:$AG$2,0)),Inputs!$B$4:$B$100,$B9)/1000)</f>
        <v/>
      </c>
      <c r="P9" s="11" t="str">
        <f>IF(P$3=0,"",SUMIFS(INDEX(Inputs!$D$4:$AG$100,0,MATCH(P$2,Inputs!$D$2:$AG$2,0)),Inputs!$B$4:$B$100,$B9)/1000)</f>
        <v/>
      </c>
      <c r="Q9" s="11" t="str">
        <f>IF(Q$3=0,"",SUMIFS(INDEX(Inputs!$D$4:$AG$100,0,MATCH(Q$2,Inputs!$D$2:$AG$2,0)),Inputs!$B$4:$B$100,$B9)/1000)</f>
        <v/>
      </c>
      <c r="R9" s="12" t="str">
        <f t="shared" si="2"/>
        <v/>
      </c>
      <c r="S9" s="11" t="str">
        <f>IF(S$3=0,"",SUMIFS(INDEX(Inputs!$D$4:$AG$100,0,MATCH(S$2,Inputs!$D$2:$AG$2,0)),Inputs!$B$4:$B$100,$B9)/1000)</f>
        <v/>
      </c>
      <c r="T9" s="11" t="str">
        <f>IF(T$3=0,"",SUMIFS(INDEX(Inputs!$D$4:$AG$100,0,MATCH(T$2,Inputs!$D$2:$AG$2,0)),Inputs!$B$4:$B$100,$B9)/1000)</f>
        <v/>
      </c>
      <c r="U9" s="11" t="str">
        <f>IF(U$3=0,"",SUMIFS(INDEX(Inputs!$D$4:$AG$100,0,MATCH(U$2,Inputs!$D$2:$AG$2,0)),Inputs!$B$4:$B$100,$B9)/1000)</f>
        <v/>
      </c>
      <c r="V9" s="11" t="str">
        <f>IF(V$3=0,"",SUMIFS(INDEX(Inputs!$D$4:$AG$100,0,MATCH(V$2,Inputs!$D$2:$AG$2,0)),Inputs!$B$4:$B$100,$B9)/1000)</f>
        <v/>
      </c>
      <c r="W9" s="12" t="str">
        <f t="shared" si="3"/>
        <v/>
      </c>
      <c r="X9" s="11" t="str">
        <f>IF(X$3=0,"",SUMIFS(INDEX(Inputs!$D$4:$AG$100,0,MATCH(X$2,Inputs!$D$2:$AG$2,0)),Inputs!$B$4:$B$100,$B9)/1000)</f>
        <v/>
      </c>
      <c r="Y9" s="11" t="str">
        <f>IF(Y$3=0,"",SUMIFS(INDEX(Inputs!$D$4:$AG$100,0,MATCH(Y$2,Inputs!$D$2:$AG$2,0)),Inputs!$B$4:$B$100,$B9)/1000)</f>
        <v/>
      </c>
      <c r="Z9" s="11" t="str">
        <f>IF(Z$3=0,"",SUMIFS(INDEX(Inputs!$D$4:$AG$100,0,MATCH(Z$2,Inputs!$D$2:$AG$2,0)),Inputs!$B$4:$B$100,$B9)/1000)</f>
        <v/>
      </c>
      <c r="AA9" s="11" t="str">
        <f>IF(AA$3=0,"",SUMIFS(INDEX(Inputs!$D$4:$AG$100,0,MATCH(AA$2,Inputs!$D$2:$AG$2,0)),Inputs!$B$4:$B$100,$B9)/1000)</f>
        <v/>
      </c>
      <c r="AB9" s="12" t="str">
        <f t="shared" si="4"/>
        <v/>
      </c>
      <c r="AC9" s="11" t="str">
        <f>IF(AC$3=0,"",SUMIFS(INDEX(Inputs!$D$4:$AG$100,0,MATCH(AC$2,Inputs!$D$2:$AG$2,0)),Inputs!$B$4:$B$100,$B9)/1000)</f>
        <v/>
      </c>
      <c r="AD9" s="11" t="str">
        <f>IF(AD$3=0,"",SUMIFS(INDEX(Inputs!$D$4:$AG$100,0,MATCH(AD$2,Inputs!$D$2:$AG$2,0)),Inputs!$B$4:$B$100,$B9)/1000)</f>
        <v/>
      </c>
      <c r="AE9" s="11" t="str">
        <f>IF(AE$3=0,"",SUMIFS(INDEX(Inputs!$D$4:$AG$100,0,MATCH(AE$2,Inputs!$D$2:$AG$2,0)),Inputs!$B$4:$B$100,$B9)/1000)</f>
        <v/>
      </c>
      <c r="AF9" s="11" t="str">
        <f>IF(AF$3=0,"",SUMIFS(INDEX(Inputs!$D$4:$AG$100,0,MATCH(AF$2,Inputs!$D$2:$AG$2,0)),Inputs!$B$4:$B$100,$B9)/1000)</f>
        <v/>
      </c>
      <c r="AG9" s="12" t="str">
        <f t="shared" si="5"/>
        <v/>
      </c>
    </row>
    <row r="10" spans="1:33" x14ac:dyDescent="0.2">
      <c r="B10" s="9">
        <v>7</v>
      </c>
      <c r="C10" s="14" t="s">
        <v>42</v>
      </c>
      <c r="D10" s="11" t="str">
        <f>IF(D$3=0,"",SUMIFS(INDEX(Inputs!$D$4:$AG$100,0,MATCH(D$2,Inputs!$D$2:$AG$2,0)),Inputs!$B$4:$B$100,$B10)/1000)</f>
        <v/>
      </c>
      <c r="E10" s="11" t="str">
        <f>IF(E$3=0,"",SUMIFS(INDEX(Inputs!$D$4:$AG$100,0,MATCH(E$2,Inputs!$D$2:$AG$2,0)),Inputs!$B$4:$B$100,$B10)/1000)</f>
        <v/>
      </c>
      <c r="F10" s="11" t="str">
        <f>IF(F$3=0,"",SUMIFS(INDEX(Inputs!$D$4:$AG$100,0,MATCH(F$2,Inputs!$D$2:$AG$2,0)),Inputs!$B$4:$B$100,$B10)/1000)</f>
        <v/>
      </c>
      <c r="G10" s="11" t="str">
        <f>IF(G$3=0,"",SUMIFS(INDEX(Inputs!$D$4:$AG$100,0,MATCH(G$2,Inputs!$D$2:$AG$2,0)),Inputs!$B$4:$B$100,$B10)/1000)</f>
        <v/>
      </c>
      <c r="H10" s="12" t="str">
        <f t="shared" si="0"/>
        <v/>
      </c>
      <c r="I10" s="11" t="str">
        <f>IF(I$3=0,"",SUMIFS(INDEX(Inputs!$D$4:$AG$100,0,MATCH(I$2,Inputs!$D$2:$AG$2,0)),Inputs!$B$4:$B$100,$B10)/1000)</f>
        <v/>
      </c>
      <c r="J10" s="11" t="str">
        <f>IF(J$3=0,"",SUMIFS(INDEX(Inputs!$D$4:$AG$100,0,MATCH(J$2,Inputs!$D$2:$AG$2,0)),Inputs!$B$4:$B$100,$B10)/1000)</f>
        <v/>
      </c>
      <c r="K10" s="11" t="str">
        <f>IF(K$3=0,"",SUMIFS(INDEX(Inputs!$D$4:$AG$100,0,MATCH(K$2,Inputs!$D$2:$AG$2,0)),Inputs!$B$4:$B$100,$B10)/1000)</f>
        <v/>
      </c>
      <c r="L10" s="11" t="str">
        <f>IF(L$3=0,"",SUMIFS(INDEX(Inputs!$D$4:$AG$100,0,MATCH(L$2,Inputs!$D$2:$AG$2,0)),Inputs!$B$4:$B$100,$B10)/1000)</f>
        <v/>
      </c>
      <c r="M10" s="12" t="str">
        <f t="shared" si="1"/>
        <v/>
      </c>
      <c r="N10" s="11" t="str">
        <f>IF(N$3=0,"",SUMIFS(INDEX(Inputs!$D$4:$AG$100,0,MATCH(N$2,Inputs!$D$2:$AG$2,0)),Inputs!$B$4:$B$100,$B10)/1000)</f>
        <v/>
      </c>
      <c r="O10" s="11" t="str">
        <f>IF(O$3=0,"",SUMIFS(INDEX(Inputs!$D$4:$AG$100,0,MATCH(O$2,Inputs!$D$2:$AG$2,0)),Inputs!$B$4:$B$100,$B10)/1000)</f>
        <v/>
      </c>
      <c r="P10" s="11" t="str">
        <f>IF(P$3=0,"",SUMIFS(INDEX(Inputs!$D$4:$AG$100,0,MATCH(P$2,Inputs!$D$2:$AG$2,0)),Inputs!$B$4:$B$100,$B10)/1000)</f>
        <v/>
      </c>
      <c r="Q10" s="11" t="str">
        <f>IF(Q$3=0,"",SUMIFS(INDEX(Inputs!$D$4:$AG$100,0,MATCH(Q$2,Inputs!$D$2:$AG$2,0)),Inputs!$B$4:$B$100,$B10)/1000)</f>
        <v/>
      </c>
      <c r="R10" s="12" t="str">
        <f t="shared" si="2"/>
        <v/>
      </c>
      <c r="S10" s="11" t="str">
        <f>IF(S$3=0,"",SUMIFS(INDEX(Inputs!$D$4:$AG$100,0,MATCH(S$2,Inputs!$D$2:$AG$2,0)),Inputs!$B$4:$B$100,$B10)/1000)</f>
        <v/>
      </c>
      <c r="T10" s="11" t="str">
        <f>IF(T$3=0,"",SUMIFS(INDEX(Inputs!$D$4:$AG$100,0,MATCH(T$2,Inputs!$D$2:$AG$2,0)),Inputs!$B$4:$B$100,$B10)/1000)</f>
        <v/>
      </c>
      <c r="U10" s="11" t="str">
        <f>IF(U$3=0,"",SUMIFS(INDEX(Inputs!$D$4:$AG$100,0,MATCH(U$2,Inputs!$D$2:$AG$2,0)),Inputs!$B$4:$B$100,$B10)/1000)</f>
        <v/>
      </c>
      <c r="V10" s="11" t="str">
        <f>IF(V$3=0,"",SUMIFS(INDEX(Inputs!$D$4:$AG$100,0,MATCH(V$2,Inputs!$D$2:$AG$2,0)),Inputs!$B$4:$B$100,$B10)/1000)</f>
        <v/>
      </c>
      <c r="W10" s="12" t="str">
        <f t="shared" si="3"/>
        <v/>
      </c>
      <c r="X10" s="11" t="str">
        <f>IF(X$3=0,"",SUMIFS(INDEX(Inputs!$D$4:$AG$100,0,MATCH(X$2,Inputs!$D$2:$AG$2,0)),Inputs!$B$4:$B$100,$B10)/1000)</f>
        <v/>
      </c>
      <c r="Y10" s="11" t="str">
        <f>IF(Y$3=0,"",SUMIFS(INDEX(Inputs!$D$4:$AG$100,0,MATCH(Y$2,Inputs!$D$2:$AG$2,0)),Inputs!$B$4:$B$100,$B10)/1000)</f>
        <v/>
      </c>
      <c r="Z10" s="11" t="str">
        <f>IF(Z$3=0,"",SUMIFS(INDEX(Inputs!$D$4:$AG$100,0,MATCH(Z$2,Inputs!$D$2:$AG$2,0)),Inputs!$B$4:$B$100,$B10)/1000)</f>
        <v/>
      </c>
      <c r="AA10" s="11" t="str">
        <f>IF(AA$3=0,"",SUMIFS(INDEX(Inputs!$D$4:$AG$100,0,MATCH(AA$2,Inputs!$D$2:$AG$2,0)),Inputs!$B$4:$B$100,$B10)/1000)</f>
        <v/>
      </c>
      <c r="AB10" s="12" t="str">
        <f t="shared" si="4"/>
        <v/>
      </c>
      <c r="AC10" s="11" t="str">
        <f>IF(AC$3=0,"",SUMIFS(INDEX(Inputs!$D$4:$AG$100,0,MATCH(AC$2,Inputs!$D$2:$AG$2,0)),Inputs!$B$4:$B$100,$B10)/1000)</f>
        <v/>
      </c>
      <c r="AD10" s="11" t="str">
        <f>IF(AD$3=0,"",SUMIFS(INDEX(Inputs!$D$4:$AG$100,0,MATCH(AD$2,Inputs!$D$2:$AG$2,0)),Inputs!$B$4:$B$100,$B10)/1000)</f>
        <v/>
      </c>
      <c r="AE10" s="11" t="str">
        <f>IF(AE$3=0,"",SUMIFS(INDEX(Inputs!$D$4:$AG$100,0,MATCH(AE$2,Inputs!$D$2:$AG$2,0)),Inputs!$B$4:$B$100,$B10)/1000)</f>
        <v/>
      </c>
      <c r="AF10" s="11" t="str">
        <f>IF(AF$3=0,"",SUMIFS(INDEX(Inputs!$D$4:$AG$100,0,MATCH(AF$2,Inputs!$D$2:$AG$2,0)),Inputs!$B$4:$B$100,$B10)/1000)</f>
        <v/>
      </c>
      <c r="AG10" s="12" t="str">
        <f t="shared" si="5"/>
        <v/>
      </c>
    </row>
    <row r="11" spans="1:33" x14ac:dyDescent="0.2">
      <c r="B11" s="9">
        <v>8</v>
      </c>
      <c r="C11" s="14" t="s">
        <v>43</v>
      </c>
      <c r="D11" s="11" t="str">
        <f>IF(D$3=0,"",SUMIFS(INDEX(Inputs!$D$4:$AG$100,0,MATCH(D$2,Inputs!$D$2:$AG$2,0)),Inputs!$B$4:$B$100,$B11)/1000)</f>
        <v/>
      </c>
      <c r="E11" s="11" t="str">
        <f>IF(E$3=0,"",SUMIFS(INDEX(Inputs!$D$4:$AG$100,0,MATCH(E$2,Inputs!$D$2:$AG$2,0)),Inputs!$B$4:$B$100,$B11)/1000)</f>
        <v/>
      </c>
      <c r="F11" s="11" t="str">
        <f>IF(F$3=0,"",SUMIFS(INDEX(Inputs!$D$4:$AG$100,0,MATCH(F$2,Inputs!$D$2:$AG$2,0)),Inputs!$B$4:$B$100,$B11)/1000)</f>
        <v/>
      </c>
      <c r="G11" s="11" t="str">
        <f>IF(G$3=0,"",SUMIFS(INDEX(Inputs!$D$4:$AG$100,0,MATCH(G$2,Inputs!$D$2:$AG$2,0)),Inputs!$B$4:$B$100,$B11)/1000)</f>
        <v/>
      </c>
      <c r="H11" s="12" t="str">
        <f t="shared" si="0"/>
        <v/>
      </c>
      <c r="I11" s="11" t="str">
        <f>IF(I$3=0,"",SUMIFS(INDEX(Inputs!$D$4:$AG$100,0,MATCH(I$2,Inputs!$D$2:$AG$2,0)),Inputs!$B$4:$B$100,$B11)/1000)</f>
        <v/>
      </c>
      <c r="J11" s="11" t="str">
        <f>IF(J$3=0,"",SUMIFS(INDEX(Inputs!$D$4:$AG$100,0,MATCH(J$2,Inputs!$D$2:$AG$2,0)),Inputs!$B$4:$B$100,$B11)/1000)</f>
        <v/>
      </c>
      <c r="K11" s="11" t="str">
        <f>IF(K$3=0,"",SUMIFS(INDEX(Inputs!$D$4:$AG$100,0,MATCH(K$2,Inputs!$D$2:$AG$2,0)),Inputs!$B$4:$B$100,$B11)/1000)</f>
        <v/>
      </c>
      <c r="L11" s="11" t="str">
        <f>IF(L$3=0,"",SUMIFS(INDEX(Inputs!$D$4:$AG$100,0,MATCH(L$2,Inputs!$D$2:$AG$2,0)),Inputs!$B$4:$B$100,$B11)/1000)</f>
        <v/>
      </c>
      <c r="M11" s="12" t="str">
        <f t="shared" si="1"/>
        <v/>
      </c>
      <c r="N11" s="11" t="str">
        <f>IF(N$3=0,"",SUMIFS(INDEX(Inputs!$D$4:$AG$100,0,MATCH(N$2,Inputs!$D$2:$AG$2,0)),Inputs!$B$4:$B$100,$B11)/1000)</f>
        <v/>
      </c>
      <c r="O11" s="11" t="str">
        <f>IF(O$3=0,"",SUMIFS(INDEX(Inputs!$D$4:$AG$100,0,MATCH(O$2,Inputs!$D$2:$AG$2,0)),Inputs!$B$4:$B$100,$B11)/1000)</f>
        <v/>
      </c>
      <c r="P11" s="11" t="str">
        <f>IF(P$3=0,"",SUMIFS(INDEX(Inputs!$D$4:$AG$100,0,MATCH(P$2,Inputs!$D$2:$AG$2,0)),Inputs!$B$4:$B$100,$B11)/1000)</f>
        <v/>
      </c>
      <c r="Q11" s="11" t="str">
        <f>IF(Q$3=0,"",SUMIFS(INDEX(Inputs!$D$4:$AG$100,0,MATCH(Q$2,Inputs!$D$2:$AG$2,0)),Inputs!$B$4:$B$100,$B11)/1000)</f>
        <v/>
      </c>
      <c r="R11" s="12" t="str">
        <f t="shared" si="2"/>
        <v/>
      </c>
      <c r="S11" s="11" t="str">
        <f>IF(S$3=0,"",SUMIFS(INDEX(Inputs!$D$4:$AG$100,0,MATCH(S$2,Inputs!$D$2:$AG$2,0)),Inputs!$B$4:$B$100,$B11)/1000)</f>
        <v/>
      </c>
      <c r="T11" s="11" t="str">
        <f>IF(T$3=0,"",SUMIFS(INDEX(Inputs!$D$4:$AG$100,0,MATCH(T$2,Inputs!$D$2:$AG$2,0)),Inputs!$B$4:$B$100,$B11)/1000)</f>
        <v/>
      </c>
      <c r="U11" s="11" t="str">
        <f>IF(U$3=0,"",SUMIFS(INDEX(Inputs!$D$4:$AG$100,0,MATCH(U$2,Inputs!$D$2:$AG$2,0)),Inputs!$B$4:$B$100,$B11)/1000)</f>
        <v/>
      </c>
      <c r="V11" s="11" t="str">
        <f>IF(V$3=0,"",SUMIFS(INDEX(Inputs!$D$4:$AG$100,0,MATCH(V$2,Inputs!$D$2:$AG$2,0)),Inputs!$B$4:$B$100,$B11)/1000)</f>
        <v/>
      </c>
      <c r="W11" s="12" t="str">
        <f t="shared" si="3"/>
        <v/>
      </c>
      <c r="X11" s="11" t="str">
        <f>IF(X$3=0,"",SUMIFS(INDEX(Inputs!$D$4:$AG$100,0,MATCH(X$2,Inputs!$D$2:$AG$2,0)),Inputs!$B$4:$B$100,$B11)/1000)</f>
        <v/>
      </c>
      <c r="Y11" s="11" t="str">
        <f>IF(Y$3=0,"",SUMIFS(INDEX(Inputs!$D$4:$AG$100,0,MATCH(Y$2,Inputs!$D$2:$AG$2,0)),Inputs!$B$4:$B$100,$B11)/1000)</f>
        <v/>
      </c>
      <c r="Z11" s="11" t="str">
        <f>IF(Z$3=0,"",SUMIFS(INDEX(Inputs!$D$4:$AG$100,0,MATCH(Z$2,Inputs!$D$2:$AG$2,0)),Inputs!$B$4:$B$100,$B11)/1000)</f>
        <v/>
      </c>
      <c r="AA11" s="11" t="str">
        <f>IF(AA$3=0,"",SUMIFS(INDEX(Inputs!$D$4:$AG$100,0,MATCH(AA$2,Inputs!$D$2:$AG$2,0)),Inputs!$B$4:$B$100,$B11)/1000)</f>
        <v/>
      </c>
      <c r="AB11" s="12" t="str">
        <f t="shared" si="4"/>
        <v/>
      </c>
      <c r="AC11" s="11" t="str">
        <f>IF(AC$3=0,"",SUMIFS(INDEX(Inputs!$D$4:$AG$100,0,MATCH(AC$2,Inputs!$D$2:$AG$2,0)),Inputs!$B$4:$B$100,$B11)/1000)</f>
        <v/>
      </c>
      <c r="AD11" s="11" t="str">
        <f>IF(AD$3=0,"",SUMIFS(INDEX(Inputs!$D$4:$AG$100,0,MATCH(AD$2,Inputs!$D$2:$AG$2,0)),Inputs!$B$4:$B$100,$B11)/1000)</f>
        <v/>
      </c>
      <c r="AE11" s="11" t="str">
        <f>IF(AE$3=0,"",SUMIFS(INDEX(Inputs!$D$4:$AG$100,0,MATCH(AE$2,Inputs!$D$2:$AG$2,0)),Inputs!$B$4:$B$100,$B11)/1000)</f>
        <v/>
      </c>
      <c r="AF11" s="11" t="str">
        <f>IF(AF$3=0,"",SUMIFS(INDEX(Inputs!$D$4:$AG$100,0,MATCH(AF$2,Inputs!$D$2:$AG$2,0)),Inputs!$B$4:$B$100,$B11)/1000)</f>
        <v/>
      </c>
      <c r="AG11" s="12" t="str">
        <f t="shared" si="5"/>
        <v/>
      </c>
    </row>
    <row r="12" spans="1:33" x14ac:dyDescent="0.2">
      <c r="B12" s="9">
        <v>9</v>
      </c>
      <c r="C12" s="14" t="s">
        <v>44</v>
      </c>
      <c r="D12" s="11" t="str">
        <f>IF(D$3=0,"",SUMIFS(INDEX(Inputs!$D$4:$AG$100,0,MATCH(D$2,Inputs!$D$2:$AG$2,0)),Inputs!$B$4:$B$100,$B12)/1000)</f>
        <v/>
      </c>
      <c r="E12" s="11" t="str">
        <f>IF(E$3=0,"",SUMIFS(INDEX(Inputs!$D$4:$AG$100,0,MATCH(E$2,Inputs!$D$2:$AG$2,0)),Inputs!$B$4:$B$100,$B12)/1000)</f>
        <v/>
      </c>
      <c r="F12" s="11" t="str">
        <f>IF(F$3=0,"",SUMIFS(INDEX(Inputs!$D$4:$AG$100,0,MATCH(F$2,Inputs!$D$2:$AG$2,0)),Inputs!$B$4:$B$100,$B12)/1000)</f>
        <v/>
      </c>
      <c r="G12" s="11" t="str">
        <f>IF(G$3=0,"",SUMIFS(INDEX(Inputs!$D$4:$AG$100,0,MATCH(G$2,Inputs!$D$2:$AG$2,0)),Inputs!$B$4:$B$100,$B12)/1000)</f>
        <v/>
      </c>
      <c r="H12" s="12" t="str">
        <f t="shared" si="0"/>
        <v/>
      </c>
      <c r="I12" s="11" t="str">
        <f>IF(I$3=0,"",SUMIFS(INDEX(Inputs!$D$4:$AG$100,0,MATCH(I$2,Inputs!$D$2:$AG$2,0)),Inputs!$B$4:$B$100,$B12)/1000)</f>
        <v/>
      </c>
      <c r="J12" s="11" t="str">
        <f>IF(J$3=0,"",SUMIFS(INDEX(Inputs!$D$4:$AG$100,0,MATCH(J$2,Inputs!$D$2:$AG$2,0)),Inputs!$B$4:$B$100,$B12)/1000)</f>
        <v/>
      </c>
      <c r="K12" s="11" t="str">
        <f>IF(K$3=0,"",SUMIFS(INDEX(Inputs!$D$4:$AG$100,0,MATCH(K$2,Inputs!$D$2:$AG$2,0)),Inputs!$B$4:$B$100,$B12)/1000)</f>
        <v/>
      </c>
      <c r="L12" s="11" t="str">
        <f>IF(L$3=0,"",SUMIFS(INDEX(Inputs!$D$4:$AG$100,0,MATCH(L$2,Inputs!$D$2:$AG$2,0)),Inputs!$B$4:$B$100,$B12)/1000)</f>
        <v/>
      </c>
      <c r="M12" s="12" t="str">
        <f t="shared" si="1"/>
        <v/>
      </c>
      <c r="N12" s="11" t="str">
        <f>IF(N$3=0,"",SUMIFS(INDEX(Inputs!$D$4:$AG$100,0,MATCH(N$2,Inputs!$D$2:$AG$2,0)),Inputs!$B$4:$B$100,$B12)/1000)</f>
        <v/>
      </c>
      <c r="O12" s="11" t="str">
        <f>IF(O$3=0,"",SUMIFS(INDEX(Inputs!$D$4:$AG$100,0,MATCH(O$2,Inputs!$D$2:$AG$2,0)),Inputs!$B$4:$B$100,$B12)/1000)</f>
        <v/>
      </c>
      <c r="P12" s="11" t="str">
        <f>IF(P$3=0,"",SUMIFS(INDEX(Inputs!$D$4:$AG$100,0,MATCH(P$2,Inputs!$D$2:$AG$2,0)),Inputs!$B$4:$B$100,$B12)/1000)</f>
        <v/>
      </c>
      <c r="Q12" s="11" t="str">
        <f>IF(Q$3=0,"",SUMIFS(INDEX(Inputs!$D$4:$AG$100,0,MATCH(Q$2,Inputs!$D$2:$AG$2,0)),Inputs!$B$4:$B$100,$B12)/1000)</f>
        <v/>
      </c>
      <c r="R12" s="12" t="str">
        <f t="shared" si="2"/>
        <v/>
      </c>
      <c r="S12" s="11" t="str">
        <f>IF(S$3=0,"",SUMIFS(INDEX(Inputs!$D$4:$AG$100,0,MATCH(S$2,Inputs!$D$2:$AG$2,0)),Inputs!$B$4:$B$100,$B12)/1000)</f>
        <v/>
      </c>
      <c r="T12" s="11" t="str">
        <f>IF(T$3=0,"",SUMIFS(INDEX(Inputs!$D$4:$AG$100,0,MATCH(T$2,Inputs!$D$2:$AG$2,0)),Inputs!$B$4:$B$100,$B12)/1000)</f>
        <v/>
      </c>
      <c r="U12" s="11" t="str">
        <f>IF(U$3=0,"",SUMIFS(INDEX(Inputs!$D$4:$AG$100,0,MATCH(U$2,Inputs!$D$2:$AG$2,0)),Inputs!$B$4:$B$100,$B12)/1000)</f>
        <v/>
      </c>
      <c r="V12" s="11" t="str">
        <f>IF(V$3=0,"",SUMIFS(INDEX(Inputs!$D$4:$AG$100,0,MATCH(V$2,Inputs!$D$2:$AG$2,0)),Inputs!$B$4:$B$100,$B12)/1000)</f>
        <v/>
      </c>
      <c r="W12" s="12" t="str">
        <f t="shared" si="3"/>
        <v/>
      </c>
      <c r="X12" s="11" t="str">
        <f>IF(X$3=0,"",SUMIFS(INDEX(Inputs!$D$4:$AG$100,0,MATCH(X$2,Inputs!$D$2:$AG$2,0)),Inputs!$B$4:$B$100,$B12)/1000)</f>
        <v/>
      </c>
      <c r="Y12" s="11" t="str">
        <f>IF(Y$3=0,"",SUMIFS(INDEX(Inputs!$D$4:$AG$100,0,MATCH(Y$2,Inputs!$D$2:$AG$2,0)),Inputs!$B$4:$B$100,$B12)/1000)</f>
        <v/>
      </c>
      <c r="Z12" s="11" t="str">
        <f>IF(Z$3=0,"",SUMIFS(INDEX(Inputs!$D$4:$AG$100,0,MATCH(Z$2,Inputs!$D$2:$AG$2,0)),Inputs!$B$4:$B$100,$B12)/1000)</f>
        <v/>
      </c>
      <c r="AA12" s="11" t="str">
        <f>IF(AA$3=0,"",SUMIFS(INDEX(Inputs!$D$4:$AG$100,0,MATCH(AA$2,Inputs!$D$2:$AG$2,0)),Inputs!$B$4:$B$100,$B12)/1000)</f>
        <v/>
      </c>
      <c r="AB12" s="12" t="str">
        <f t="shared" si="4"/>
        <v/>
      </c>
      <c r="AC12" s="11" t="str">
        <f>IF(AC$3=0,"",SUMIFS(INDEX(Inputs!$D$4:$AG$100,0,MATCH(AC$2,Inputs!$D$2:$AG$2,0)),Inputs!$B$4:$B$100,$B12)/1000)</f>
        <v/>
      </c>
      <c r="AD12" s="11" t="str">
        <f>IF(AD$3=0,"",SUMIFS(INDEX(Inputs!$D$4:$AG$100,0,MATCH(AD$2,Inputs!$D$2:$AG$2,0)),Inputs!$B$4:$B$100,$B12)/1000)</f>
        <v/>
      </c>
      <c r="AE12" s="11" t="str">
        <f>IF(AE$3=0,"",SUMIFS(INDEX(Inputs!$D$4:$AG$100,0,MATCH(AE$2,Inputs!$D$2:$AG$2,0)),Inputs!$B$4:$B$100,$B12)/1000)</f>
        <v/>
      </c>
      <c r="AF12" s="11" t="str">
        <f>IF(AF$3=0,"",SUMIFS(INDEX(Inputs!$D$4:$AG$100,0,MATCH(AF$2,Inputs!$D$2:$AG$2,0)),Inputs!$B$4:$B$100,$B12)/1000)</f>
        <v/>
      </c>
      <c r="AG12" s="12" t="str">
        <f t="shared" si="5"/>
        <v/>
      </c>
    </row>
    <row r="13" spans="1:33" x14ac:dyDescent="0.2">
      <c r="B13" s="9">
        <v>10</v>
      </c>
      <c r="C13" s="13" t="s">
        <v>45</v>
      </c>
      <c r="D13" s="11" t="str">
        <f>IF(D$3=0,"",SUMIFS(INDEX(Inputs!$D$4:$AG$100,0,MATCH(D$2,Inputs!$D$2:$AG$2,0)),Inputs!$B$4:$B$100,$B13)/1000)</f>
        <v/>
      </c>
      <c r="E13" s="11" t="str">
        <f>IF(E$3=0,"",SUMIFS(INDEX(Inputs!$D$4:$AG$100,0,MATCH(E$2,Inputs!$D$2:$AG$2,0)),Inputs!$B$4:$B$100,$B13)/1000)</f>
        <v/>
      </c>
      <c r="F13" s="11" t="str">
        <f>IF(F$3=0,"",SUMIFS(INDEX(Inputs!$D$4:$AG$100,0,MATCH(F$2,Inputs!$D$2:$AG$2,0)),Inputs!$B$4:$B$100,$B13)/1000)</f>
        <v/>
      </c>
      <c r="G13" s="11" t="str">
        <f>IF(G$3=0,"",SUMIFS(INDEX(Inputs!$D$4:$AG$100,0,MATCH(G$2,Inputs!$D$2:$AG$2,0)),Inputs!$B$4:$B$100,$B13)/1000)</f>
        <v/>
      </c>
      <c r="H13" s="12" t="str">
        <f t="shared" si="0"/>
        <v/>
      </c>
      <c r="I13" s="11" t="str">
        <f>IF(I$3=0,"",SUMIFS(INDEX(Inputs!$D$4:$AG$100,0,MATCH(I$2,Inputs!$D$2:$AG$2,0)),Inputs!$B$4:$B$100,$B13)/1000)</f>
        <v/>
      </c>
      <c r="J13" s="11" t="str">
        <f>IF(J$3=0,"",SUMIFS(INDEX(Inputs!$D$4:$AG$100,0,MATCH(J$2,Inputs!$D$2:$AG$2,0)),Inputs!$B$4:$B$100,$B13)/1000)</f>
        <v/>
      </c>
      <c r="K13" s="11" t="str">
        <f>IF(K$3=0,"",SUMIFS(INDEX(Inputs!$D$4:$AG$100,0,MATCH(K$2,Inputs!$D$2:$AG$2,0)),Inputs!$B$4:$B$100,$B13)/1000)</f>
        <v/>
      </c>
      <c r="L13" s="11" t="str">
        <f>IF(L$3=0,"",SUMIFS(INDEX(Inputs!$D$4:$AG$100,0,MATCH(L$2,Inputs!$D$2:$AG$2,0)),Inputs!$B$4:$B$100,$B13)/1000)</f>
        <v/>
      </c>
      <c r="M13" s="12" t="str">
        <f t="shared" si="1"/>
        <v/>
      </c>
      <c r="N13" s="11" t="str">
        <f>IF(N$3=0,"",SUMIFS(INDEX(Inputs!$D$4:$AG$100,0,MATCH(N$2,Inputs!$D$2:$AG$2,0)),Inputs!$B$4:$B$100,$B13)/1000)</f>
        <v/>
      </c>
      <c r="O13" s="11" t="str">
        <f>IF(O$3=0,"",SUMIFS(INDEX(Inputs!$D$4:$AG$100,0,MATCH(O$2,Inputs!$D$2:$AG$2,0)),Inputs!$B$4:$B$100,$B13)/1000)</f>
        <v/>
      </c>
      <c r="P13" s="11" t="str">
        <f>IF(P$3=0,"",SUMIFS(INDEX(Inputs!$D$4:$AG$100,0,MATCH(P$2,Inputs!$D$2:$AG$2,0)),Inputs!$B$4:$B$100,$B13)/1000)</f>
        <v/>
      </c>
      <c r="Q13" s="11" t="str">
        <f>IF(Q$3=0,"",SUMIFS(INDEX(Inputs!$D$4:$AG$100,0,MATCH(Q$2,Inputs!$D$2:$AG$2,0)),Inputs!$B$4:$B$100,$B13)/1000)</f>
        <v/>
      </c>
      <c r="R13" s="12" t="str">
        <f t="shared" si="2"/>
        <v/>
      </c>
      <c r="S13" s="11" t="str">
        <f>IF(S$3=0,"",SUMIFS(INDEX(Inputs!$D$4:$AG$100,0,MATCH(S$2,Inputs!$D$2:$AG$2,0)),Inputs!$B$4:$B$100,$B13)/1000)</f>
        <v/>
      </c>
      <c r="T13" s="11" t="str">
        <f>IF(T$3=0,"",SUMIFS(INDEX(Inputs!$D$4:$AG$100,0,MATCH(T$2,Inputs!$D$2:$AG$2,0)),Inputs!$B$4:$B$100,$B13)/1000)</f>
        <v/>
      </c>
      <c r="U13" s="11" t="str">
        <f>IF(U$3=0,"",SUMIFS(INDEX(Inputs!$D$4:$AG$100,0,MATCH(U$2,Inputs!$D$2:$AG$2,0)),Inputs!$B$4:$B$100,$B13)/1000)</f>
        <v/>
      </c>
      <c r="V13" s="11" t="str">
        <f>IF(V$3=0,"",SUMIFS(INDEX(Inputs!$D$4:$AG$100,0,MATCH(V$2,Inputs!$D$2:$AG$2,0)),Inputs!$B$4:$B$100,$B13)/1000)</f>
        <v/>
      </c>
      <c r="W13" s="12" t="str">
        <f t="shared" si="3"/>
        <v/>
      </c>
      <c r="X13" s="11" t="str">
        <f>IF(X$3=0,"",SUMIFS(INDEX(Inputs!$D$4:$AG$100,0,MATCH(X$2,Inputs!$D$2:$AG$2,0)),Inputs!$B$4:$B$100,$B13)/1000)</f>
        <v/>
      </c>
      <c r="Y13" s="11" t="str">
        <f>IF(Y$3=0,"",SUMIFS(INDEX(Inputs!$D$4:$AG$100,0,MATCH(Y$2,Inputs!$D$2:$AG$2,0)),Inputs!$B$4:$B$100,$B13)/1000)</f>
        <v/>
      </c>
      <c r="Z13" s="11" t="str">
        <f>IF(Z$3=0,"",SUMIFS(INDEX(Inputs!$D$4:$AG$100,0,MATCH(Z$2,Inputs!$D$2:$AG$2,0)),Inputs!$B$4:$B$100,$B13)/1000)</f>
        <v/>
      </c>
      <c r="AA13" s="11" t="str">
        <f>IF(AA$3=0,"",SUMIFS(INDEX(Inputs!$D$4:$AG$100,0,MATCH(AA$2,Inputs!$D$2:$AG$2,0)),Inputs!$B$4:$B$100,$B13)/1000)</f>
        <v/>
      </c>
      <c r="AB13" s="12" t="str">
        <f t="shared" si="4"/>
        <v/>
      </c>
      <c r="AC13" s="11" t="str">
        <f>IF(AC$3=0,"",SUMIFS(INDEX(Inputs!$D$4:$AG$100,0,MATCH(AC$2,Inputs!$D$2:$AG$2,0)),Inputs!$B$4:$B$100,$B13)/1000)</f>
        <v/>
      </c>
      <c r="AD13" s="11" t="str">
        <f>IF(AD$3=0,"",SUMIFS(INDEX(Inputs!$D$4:$AG$100,0,MATCH(AD$2,Inputs!$D$2:$AG$2,0)),Inputs!$B$4:$B$100,$B13)/1000)</f>
        <v/>
      </c>
      <c r="AE13" s="11" t="str">
        <f>IF(AE$3=0,"",SUMIFS(INDEX(Inputs!$D$4:$AG$100,0,MATCH(AE$2,Inputs!$D$2:$AG$2,0)),Inputs!$B$4:$B$100,$B13)/1000)</f>
        <v/>
      </c>
      <c r="AF13" s="11" t="str">
        <f>IF(AF$3=0,"",SUMIFS(INDEX(Inputs!$D$4:$AG$100,0,MATCH(AF$2,Inputs!$D$2:$AG$2,0)),Inputs!$B$4:$B$100,$B13)/1000)</f>
        <v/>
      </c>
      <c r="AG13" s="12" t="str">
        <f t="shared" si="5"/>
        <v/>
      </c>
    </row>
    <row r="14" spans="1:33" x14ac:dyDescent="0.2">
      <c r="D14" s="12"/>
    </row>
    <row r="15" spans="1:33" x14ac:dyDescent="0.2">
      <c r="B15" s="9">
        <v>11</v>
      </c>
      <c r="C15" s="13" t="s">
        <v>46</v>
      </c>
      <c r="D15" s="11" t="str">
        <f>IF(D$3=0,"",SUMIFS(INDEX(Inputs!$D$4:$AG$100,0,MATCH(D$2,Inputs!$D$2:$AG$2,0)),Inputs!$B$4:$B$100,$B15)/1000)</f>
        <v/>
      </c>
      <c r="E15" s="11" t="str">
        <f>IF(E$3=0,"",SUMIFS(INDEX(Inputs!$D$4:$AG$100,0,MATCH(E$2,Inputs!$D$2:$AG$2,0)),Inputs!$B$4:$B$100,$B15)/1000)</f>
        <v/>
      </c>
      <c r="F15" s="11" t="str">
        <f>IF(F$3=0,"",SUMIFS(INDEX(Inputs!$D$4:$AG$100,0,MATCH(F$2,Inputs!$D$2:$AG$2,0)),Inputs!$B$4:$B$100,$B15)/1000)</f>
        <v/>
      </c>
      <c r="G15" s="11" t="str">
        <f>IF(G$3=0,"",SUMIFS(INDEX(Inputs!$D$4:$AG$100,0,MATCH(G$2,Inputs!$D$2:$AG$2,0)),Inputs!$B$4:$B$100,$B15)/1000)</f>
        <v/>
      </c>
      <c r="H15" s="12" t="str">
        <f t="shared" ref="H15:H26" si="6">IF(G15="","",G15)</f>
        <v/>
      </c>
      <c r="I15" s="11" t="str">
        <f>IF(I$3=0,"",SUMIFS(INDEX(Inputs!$D$4:$AG$100,0,MATCH(I$2,Inputs!$D$2:$AG$2,0)),Inputs!$B$4:$B$100,$B15)/1000)</f>
        <v/>
      </c>
      <c r="J15" s="11" t="str">
        <f>IF(J$3=0,"",SUMIFS(INDEX(Inputs!$D$4:$AG$100,0,MATCH(J$2,Inputs!$D$2:$AG$2,0)),Inputs!$B$4:$B$100,$B15)/1000)</f>
        <v/>
      </c>
      <c r="K15" s="11" t="str">
        <f>IF(K$3=0,"",SUMIFS(INDEX(Inputs!$D$4:$AG$100,0,MATCH(K$2,Inputs!$D$2:$AG$2,0)),Inputs!$B$4:$B$100,$B15)/1000)</f>
        <v/>
      </c>
      <c r="L15" s="11" t="str">
        <f>IF(L$3=0,"",SUMIFS(INDEX(Inputs!$D$4:$AG$100,0,MATCH(L$2,Inputs!$D$2:$AG$2,0)),Inputs!$B$4:$B$100,$B15)/1000)</f>
        <v/>
      </c>
      <c r="M15" s="12" t="str">
        <f t="shared" ref="M15:M26" si="7">IF(L15="","",L15)</f>
        <v/>
      </c>
      <c r="N15" s="11" t="str">
        <f>IF(N$3=0,"",SUMIFS(INDEX(Inputs!$D$4:$AG$100,0,MATCH(N$2,Inputs!$D$2:$AG$2,0)),Inputs!$B$4:$B$100,$B15)/1000)</f>
        <v/>
      </c>
      <c r="O15" s="11" t="str">
        <f>IF(O$3=0,"",SUMIFS(INDEX(Inputs!$D$4:$AG$100,0,MATCH(O$2,Inputs!$D$2:$AG$2,0)),Inputs!$B$4:$B$100,$B15)/1000)</f>
        <v/>
      </c>
      <c r="P15" s="11" t="str">
        <f>IF(P$3=0,"",SUMIFS(INDEX(Inputs!$D$4:$AG$100,0,MATCH(P$2,Inputs!$D$2:$AG$2,0)),Inputs!$B$4:$B$100,$B15)/1000)</f>
        <v/>
      </c>
      <c r="Q15" s="11" t="str">
        <f>IF(Q$3=0,"",SUMIFS(INDEX(Inputs!$D$4:$AG$100,0,MATCH(Q$2,Inputs!$D$2:$AG$2,0)),Inputs!$B$4:$B$100,$B15)/1000)</f>
        <v/>
      </c>
      <c r="R15" s="12" t="str">
        <f t="shared" ref="R15:R26" si="8">IF(Q15="","",Q15)</f>
        <v/>
      </c>
      <c r="S15" s="11" t="str">
        <f>IF(S$3=0,"",SUMIFS(INDEX(Inputs!$D$4:$AG$100,0,MATCH(S$2,Inputs!$D$2:$AG$2,0)),Inputs!$B$4:$B$100,$B15)/1000)</f>
        <v/>
      </c>
      <c r="T15" s="11" t="str">
        <f>IF(T$3=0,"",SUMIFS(INDEX(Inputs!$D$4:$AG$100,0,MATCH(T$2,Inputs!$D$2:$AG$2,0)),Inputs!$B$4:$B$100,$B15)/1000)</f>
        <v/>
      </c>
      <c r="U15" s="11" t="str">
        <f>IF(U$3=0,"",SUMIFS(INDEX(Inputs!$D$4:$AG$100,0,MATCH(U$2,Inputs!$D$2:$AG$2,0)),Inputs!$B$4:$B$100,$B15)/1000)</f>
        <v/>
      </c>
      <c r="V15" s="11" t="str">
        <f>IF(V$3=0,"",SUMIFS(INDEX(Inputs!$D$4:$AG$100,0,MATCH(V$2,Inputs!$D$2:$AG$2,0)),Inputs!$B$4:$B$100,$B15)/1000)</f>
        <v/>
      </c>
      <c r="W15" s="12" t="str">
        <f t="shared" ref="W15:W26" si="9">IF(V15="","",V15)</f>
        <v/>
      </c>
      <c r="X15" s="11" t="str">
        <f>IF(X$3=0,"",SUMIFS(INDEX(Inputs!$D$4:$AG$100,0,MATCH(X$2,Inputs!$D$2:$AG$2,0)),Inputs!$B$4:$B$100,$B15)/1000)</f>
        <v/>
      </c>
      <c r="Y15" s="11" t="str">
        <f>IF(Y$3=0,"",SUMIFS(INDEX(Inputs!$D$4:$AG$100,0,MATCH(Y$2,Inputs!$D$2:$AG$2,0)),Inputs!$B$4:$B$100,$B15)/1000)</f>
        <v/>
      </c>
      <c r="Z15" s="11" t="str">
        <f>IF(Z$3=0,"",SUMIFS(INDEX(Inputs!$D$4:$AG$100,0,MATCH(Z$2,Inputs!$D$2:$AG$2,0)),Inputs!$B$4:$B$100,$B15)/1000)</f>
        <v/>
      </c>
      <c r="AA15" s="11" t="str">
        <f>IF(AA$3=0,"",SUMIFS(INDEX(Inputs!$D$4:$AG$100,0,MATCH(AA$2,Inputs!$D$2:$AG$2,0)),Inputs!$B$4:$B$100,$B15)/1000)</f>
        <v/>
      </c>
      <c r="AB15" s="12" t="str">
        <f t="shared" ref="AB15:AB26" si="10">IF(AA15="","",AA15)</f>
        <v/>
      </c>
      <c r="AC15" s="11" t="str">
        <f>IF(AC$3=0,"",SUMIFS(INDEX(Inputs!$D$4:$AG$100,0,MATCH(AC$2,Inputs!$D$2:$AG$2,0)),Inputs!$B$4:$B$100,$B15)/1000)</f>
        <v/>
      </c>
      <c r="AD15" s="11" t="str">
        <f>IF(AD$3=0,"",SUMIFS(INDEX(Inputs!$D$4:$AG$100,0,MATCH(AD$2,Inputs!$D$2:$AG$2,0)),Inputs!$B$4:$B$100,$B15)/1000)</f>
        <v/>
      </c>
      <c r="AE15" s="11" t="str">
        <f>IF(AE$3=0,"",SUMIFS(INDEX(Inputs!$D$4:$AG$100,0,MATCH(AE$2,Inputs!$D$2:$AG$2,0)),Inputs!$B$4:$B$100,$B15)/1000)</f>
        <v/>
      </c>
      <c r="AF15" s="11" t="str">
        <f>IF(AF$3=0,"",SUMIFS(INDEX(Inputs!$D$4:$AG$100,0,MATCH(AF$2,Inputs!$D$2:$AG$2,0)),Inputs!$B$4:$B$100,$B15)/1000)</f>
        <v/>
      </c>
      <c r="AG15" s="12" t="str">
        <f t="shared" ref="AG15:AG26" si="11">IF(AF15="","",AF15)</f>
        <v/>
      </c>
    </row>
    <row r="16" spans="1:33" x14ac:dyDescent="0.2">
      <c r="B16" s="9">
        <v>12</v>
      </c>
      <c r="C16" s="14" t="s">
        <v>47</v>
      </c>
      <c r="D16" s="11" t="str">
        <f>IF(D$3=0,"",SUMIFS(INDEX(Inputs!$D$4:$AG$100,0,MATCH(D$2,Inputs!$D$2:$AG$2,0)),Inputs!$B$4:$B$100,$B16)/1000)</f>
        <v/>
      </c>
      <c r="E16" s="11" t="str">
        <f>IF(E$3=0,"",SUMIFS(INDEX(Inputs!$D$4:$AG$100,0,MATCH(E$2,Inputs!$D$2:$AG$2,0)),Inputs!$B$4:$B$100,$B16)/1000)</f>
        <v/>
      </c>
      <c r="F16" s="11" t="str">
        <f>IF(F$3=0,"",SUMIFS(INDEX(Inputs!$D$4:$AG$100,0,MATCH(F$2,Inputs!$D$2:$AG$2,0)),Inputs!$B$4:$B$100,$B16)/1000)</f>
        <v/>
      </c>
      <c r="G16" s="11" t="str">
        <f>IF(G$3=0,"",SUMIFS(INDEX(Inputs!$D$4:$AG$100,0,MATCH(G$2,Inputs!$D$2:$AG$2,0)),Inputs!$B$4:$B$100,$B16)/1000)</f>
        <v/>
      </c>
      <c r="H16" s="12" t="str">
        <f t="shared" si="6"/>
        <v/>
      </c>
      <c r="I16" s="11" t="str">
        <f>IF(I$3=0,"",SUMIFS(INDEX(Inputs!$D$4:$AG$100,0,MATCH(I$2,Inputs!$D$2:$AG$2,0)),Inputs!$B$4:$B$100,$B16)/1000)</f>
        <v/>
      </c>
      <c r="J16" s="11" t="str">
        <f>IF(J$3=0,"",SUMIFS(INDEX(Inputs!$D$4:$AG$100,0,MATCH(J$2,Inputs!$D$2:$AG$2,0)),Inputs!$B$4:$B$100,$B16)/1000)</f>
        <v/>
      </c>
      <c r="K16" s="11" t="str">
        <f>IF(K$3=0,"",SUMIFS(INDEX(Inputs!$D$4:$AG$100,0,MATCH(K$2,Inputs!$D$2:$AG$2,0)),Inputs!$B$4:$B$100,$B16)/1000)</f>
        <v/>
      </c>
      <c r="L16" s="11" t="str">
        <f>IF(L$3=0,"",SUMIFS(INDEX(Inputs!$D$4:$AG$100,0,MATCH(L$2,Inputs!$D$2:$AG$2,0)),Inputs!$B$4:$B$100,$B16)/1000)</f>
        <v/>
      </c>
      <c r="M16" s="12" t="str">
        <f t="shared" si="7"/>
        <v/>
      </c>
      <c r="N16" s="11" t="str">
        <f>IF(N$3=0,"",SUMIFS(INDEX(Inputs!$D$4:$AG$100,0,MATCH(N$2,Inputs!$D$2:$AG$2,0)),Inputs!$B$4:$B$100,$B16)/1000)</f>
        <v/>
      </c>
      <c r="O16" s="11" t="str">
        <f>IF(O$3=0,"",SUMIFS(INDEX(Inputs!$D$4:$AG$100,0,MATCH(O$2,Inputs!$D$2:$AG$2,0)),Inputs!$B$4:$B$100,$B16)/1000)</f>
        <v/>
      </c>
      <c r="P16" s="11" t="str">
        <f>IF(P$3=0,"",SUMIFS(INDEX(Inputs!$D$4:$AG$100,0,MATCH(P$2,Inputs!$D$2:$AG$2,0)),Inputs!$B$4:$B$100,$B16)/1000)</f>
        <v/>
      </c>
      <c r="Q16" s="11" t="str">
        <f>IF(Q$3=0,"",SUMIFS(INDEX(Inputs!$D$4:$AG$100,0,MATCH(Q$2,Inputs!$D$2:$AG$2,0)),Inputs!$B$4:$B$100,$B16)/1000)</f>
        <v/>
      </c>
      <c r="R16" s="12" t="str">
        <f t="shared" si="8"/>
        <v/>
      </c>
      <c r="S16" s="11" t="str">
        <f>IF(S$3=0,"",SUMIFS(INDEX(Inputs!$D$4:$AG$100,0,MATCH(S$2,Inputs!$D$2:$AG$2,0)),Inputs!$B$4:$B$100,$B16)/1000)</f>
        <v/>
      </c>
      <c r="T16" s="11" t="str">
        <f>IF(T$3=0,"",SUMIFS(INDEX(Inputs!$D$4:$AG$100,0,MATCH(T$2,Inputs!$D$2:$AG$2,0)),Inputs!$B$4:$B$100,$B16)/1000)</f>
        <v/>
      </c>
      <c r="U16" s="11" t="str">
        <f>IF(U$3=0,"",SUMIFS(INDEX(Inputs!$D$4:$AG$100,0,MATCH(U$2,Inputs!$D$2:$AG$2,0)),Inputs!$B$4:$B$100,$B16)/1000)</f>
        <v/>
      </c>
      <c r="V16" s="11" t="str">
        <f>IF(V$3=0,"",SUMIFS(INDEX(Inputs!$D$4:$AG$100,0,MATCH(V$2,Inputs!$D$2:$AG$2,0)),Inputs!$B$4:$B$100,$B16)/1000)</f>
        <v/>
      </c>
      <c r="W16" s="12" t="str">
        <f t="shared" si="9"/>
        <v/>
      </c>
      <c r="X16" s="11" t="str">
        <f>IF(X$3=0,"",SUMIFS(INDEX(Inputs!$D$4:$AG$100,0,MATCH(X$2,Inputs!$D$2:$AG$2,0)),Inputs!$B$4:$B$100,$B16)/1000)</f>
        <v/>
      </c>
      <c r="Y16" s="11" t="str">
        <f>IF(Y$3=0,"",SUMIFS(INDEX(Inputs!$D$4:$AG$100,0,MATCH(Y$2,Inputs!$D$2:$AG$2,0)),Inputs!$B$4:$B$100,$B16)/1000)</f>
        <v/>
      </c>
      <c r="Z16" s="11" t="str">
        <f>IF(Z$3=0,"",SUMIFS(INDEX(Inputs!$D$4:$AG$100,0,MATCH(Z$2,Inputs!$D$2:$AG$2,0)),Inputs!$B$4:$B$100,$B16)/1000)</f>
        <v/>
      </c>
      <c r="AA16" s="11" t="str">
        <f>IF(AA$3=0,"",SUMIFS(INDEX(Inputs!$D$4:$AG$100,0,MATCH(AA$2,Inputs!$D$2:$AG$2,0)),Inputs!$B$4:$B$100,$B16)/1000)</f>
        <v/>
      </c>
      <c r="AB16" s="12" t="str">
        <f t="shared" si="10"/>
        <v/>
      </c>
      <c r="AC16" s="11" t="str">
        <f>IF(AC$3=0,"",SUMIFS(INDEX(Inputs!$D$4:$AG$100,0,MATCH(AC$2,Inputs!$D$2:$AG$2,0)),Inputs!$B$4:$B$100,$B16)/1000)</f>
        <v/>
      </c>
      <c r="AD16" s="11" t="str">
        <f>IF(AD$3=0,"",SUMIFS(INDEX(Inputs!$D$4:$AG$100,0,MATCH(AD$2,Inputs!$D$2:$AG$2,0)),Inputs!$B$4:$B$100,$B16)/1000)</f>
        <v/>
      </c>
      <c r="AE16" s="11" t="str">
        <f>IF(AE$3=0,"",SUMIFS(INDEX(Inputs!$D$4:$AG$100,0,MATCH(AE$2,Inputs!$D$2:$AG$2,0)),Inputs!$B$4:$B$100,$B16)/1000)</f>
        <v/>
      </c>
      <c r="AF16" s="11" t="str">
        <f>IF(AF$3=0,"",SUMIFS(INDEX(Inputs!$D$4:$AG$100,0,MATCH(AF$2,Inputs!$D$2:$AG$2,0)),Inputs!$B$4:$B$100,$B16)/1000)</f>
        <v/>
      </c>
      <c r="AG16" s="12" t="str">
        <f t="shared" si="11"/>
        <v/>
      </c>
    </row>
    <row r="17" spans="2:33" x14ac:dyDescent="0.2">
      <c r="B17" s="9">
        <v>13</v>
      </c>
      <c r="C17" s="14" t="s">
        <v>48</v>
      </c>
      <c r="D17" s="11" t="str">
        <f>IF(D$3=0,"",SUMIFS(INDEX(Inputs!$D$4:$AG$100,0,MATCH(D$2,Inputs!$D$2:$AG$2,0)),Inputs!$B$4:$B$100,$B17)/1000)</f>
        <v/>
      </c>
      <c r="E17" s="11" t="str">
        <f>IF(E$3=0,"",SUMIFS(INDEX(Inputs!$D$4:$AG$100,0,MATCH(E$2,Inputs!$D$2:$AG$2,0)),Inputs!$B$4:$B$100,$B17)/1000)</f>
        <v/>
      </c>
      <c r="F17" s="11" t="str">
        <f>IF(F$3=0,"",SUMIFS(INDEX(Inputs!$D$4:$AG$100,0,MATCH(F$2,Inputs!$D$2:$AG$2,0)),Inputs!$B$4:$B$100,$B17)/1000)</f>
        <v/>
      </c>
      <c r="G17" s="11" t="str">
        <f>IF(G$3=0,"",SUMIFS(INDEX(Inputs!$D$4:$AG$100,0,MATCH(G$2,Inputs!$D$2:$AG$2,0)),Inputs!$B$4:$B$100,$B17)/1000)</f>
        <v/>
      </c>
      <c r="H17" s="12" t="str">
        <f t="shared" si="6"/>
        <v/>
      </c>
      <c r="I17" s="11" t="str">
        <f>IF(I$3=0,"",SUMIFS(INDEX(Inputs!$D$4:$AG$100,0,MATCH(I$2,Inputs!$D$2:$AG$2,0)),Inputs!$B$4:$B$100,$B17)/1000)</f>
        <v/>
      </c>
      <c r="J17" s="11" t="str">
        <f>IF(J$3=0,"",SUMIFS(INDEX(Inputs!$D$4:$AG$100,0,MATCH(J$2,Inputs!$D$2:$AG$2,0)),Inputs!$B$4:$B$100,$B17)/1000)</f>
        <v/>
      </c>
      <c r="K17" s="11" t="str">
        <f>IF(K$3=0,"",SUMIFS(INDEX(Inputs!$D$4:$AG$100,0,MATCH(K$2,Inputs!$D$2:$AG$2,0)),Inputs!$B$4:$B$100,$B17)/1000)</f>
        <v/>
      </c>
      <c r="L17" s="11" t="str">
        <f>IF(L$3=0,"",SUMIFS(INDEX(Inputs!$D$4:$AG$100,0,MATCH(L$2,Inputs!$D$2:$AG$2,0)),Inputs!$B$4:$B$100,$B17)/1000)</f>
        <v/>
      </c>
      <c r="M17" s="12" t="str">
        <f t="shared" si="7"/>
        <v/>
      </c>
      <c r="N17" s="11" t="str">
        <f>IF(N$3=0,"",SUMIFS(INDEX(Inputs!$D$4:$AG$100,0,MATCH(N$2,Inputs!$D$2:$AG$2,0)),Inputs!$B$4:$B$100,$B17)/1000)</f>
        <v/>
      </c>
      <c r="O17" s="11" t="str">
        <f>IF(O$3=0,"",SUMIFS(INDEX(Inputs!$D$4:$AG$100,0,MATCH(O$2,Inputs!$D$2:$AG$2,0)),Inputs!$B$4:$B$100,$B17)/1000)</f>
        <v/>
      </c>
      <c r="P17" s="11" t="str">
        <f>IF(P$3=0,"",SUMIFS(INDEX(Inputs!$D$4:$AG$100,0,MATCH(P$2,Inputs!$D$2:$AG$2,0)),Inputs!$B$4:$B$100,$B17)/1000)</f>
        <v/>
      </c>
      <c r="Q17" s="11" t="str">
        <f>IF(Q$3=0,"",SUMIFS(INDEX(Inputs!$D$4:$AG$100,0,MATCH(Q$2,Inputs!$D$2:$AG$2,0)),Inputs!$B$4:$B$100,$B17)/1000)</f>
        <v/>
      </c>
      <c r="R17" s="12" t="str">
        <f t="shared" si="8"/>
        <v/>
      </c>
      <c r="S17" s="11" t="str">
        <f>IF(S$3=0,"",SUMIFS(INDEX(Inputs!$D$4:$AG$100,0,MATCH(S$2,Inputs!$D$2:$AG$2,0)),Inputs!$B$4:$B$100,$B17)/1000)</f>
        <v/>
      </c>
      <c r="T17" s="11" t="str">
        <f>IF(T$3=0,"",SUMIFS(INDEX(Inputs!$D$4:$AG$100,0,MATCH(T$2,Inputs!$D$2:$AG$2,0)),Inputs!$B$4:$B$100,$B17)/1000)</f>
        <v/>
      </c>
      <c r="U17" s="11" t="str">
        <f>IF(U$3=0,"",SUMIFS(INDEX(Inputs!$D$4:$AG$100,0,MATCH(U$2,Inputs!$D$2:$AG$2,0)),Inputs!$B$4:$B$100,$B17)/1000)</f>
        <v/>
      </c>
      <c r="V17" s="11" t="str">
        <f>IF(V$3=0,"",SUMIFS(INDEX(Inputs!$D$4:$AG$100,0,MATCH(V$2,Inputs!$D$2:$AG$2,0)),Inputs!$B$4:$B$100,$B17)/1000)</f>
        <v/>
      </c>
      <c r="W17" s="12" t="str">
        <f t="shared" si="9"/>
        <v/>
      </c>
      <c r="X17" s="11" t="str">
        <f>IF(X$3=0,"",SUMIFS(INDEX(Inputs!$D$4:$AG$100,0,MATCH(X$2,Inputs!$D$2:$AG$2,0)),Inputs!$B$4:$B$100,$B17)/1000)</f>
        <v/>
      </c>
      <c r="Y17" s="11" t="str">
        <f>IF(Y$3=0,"",SUMIFS(INDEX(Inputs!$D$4:$AG$100,0,MATCH(Y$2,Inputs!$D$2:$AG$2,0)),Inputs!$B$4:$B$100,$B17)/1000)</f>
        <v/>
      </c>
      <c r="Z17" s="11" t="str">
        <f>IF(Z$3=0,"",SUMIFS(INDEX(Inputs!$D$4:$AG$100,0,MATCH(Z$2,Inputs!$D$2:$AG$2,0)),Inputs!$B$4:$B$100,$B17)/1000)</f>
        <v/>
      </c>
      <c r="AA17" s="11" t="str">
        <f>IF(AA$3=0,"",SUMIFS(INDEX(Inputs!$D$4:$AG$100,0,MATCH(AA$2,Inputs!$D$2:$AG$2,0)),Inputs!$B$4:$B$100,$B17)/1000)</f>
        <v/>
      </c>
      <c r="AB17" s="12" t="str">
        <f t="shared" si="10"/>
        <v/>
      </c>
      <c r="AC17" s="11" t="str">
        <f>IF(AC$3=0,"",SUMIFS(INDEX(Inputs!$D$4:$AG$100,0,MATCH(AC$2,Inputs!$D$2:$AG$2,0)),Inputs!$B$4:$B$100,$B17)/1000)</f>
        <v/>
      </c>
      <c r="AD17" s="11" t="str">
        <f>IF(AD$3=0,"",SUMIFS(INDEX(Inputs!$D$4:$AG$100,0,MATCH(AD$2,Inputs!$D$2:$AG$2,0)),Inputs!$B$4:$B$100,$B17)/1000)</f>
        <v/>
      </c>
      <c r="AE17" s="11" t="str">
        <f>IF(AE$3=0,"",SUMIFS(INDEX(Inputs!$D$4:$AG$100,0,MATCH(AE$2,Inputs!$D$2:$AG$2,0)),Inputs!$B$4:$B$100,$B17)/1000)</f>
        <v/>
      </c>
      <c r="AF17" s="11" t="str">
        <f>IF(AF$3=0,"",SUMIFS(INDEX(Inputs!$D$4:$AG$100,0,MATCH(AF$2,Inputs!$D$2:$AG$2,0)),Inputs!$B$4:$B$100,$B17)/1000)</f>
        <v/>
      </c>
      <c r="AG17" s="12" t="str">
        <f t="shared" si="11"/>
        <v/>
      </c>
    </row>
    <row r="18" spans="2:33" x14ac:dyDescent="0.2">
      <c r="B18" s="9">
        <v>14</v>
      </c>
      <c r="C18" s="14" t="s">
        <v>49</v>
      </c>
      <c r="D18" s="11" t="str">
        <f>IF(D$3=0,"",SUMIFS(INDEX(Inputs!$D$4:$AG$100,0,MATCH(D$2,Inputs!$D$2:$AG$2,0)),Inputs!$B$4:$B$100,$B18)/1000)</f>
        <v/>
      </c>
      <c r="E18" s="11" t="str">
        <f>IF(E$3=0,"",SUMIFS(INDEX(Inputs!$D$4:$AG$100,0,MATCH(E$2,Inputs!$D$2:$AG$2,0)),Inputs!$B$4:$B$100,$B18)/1000)</f>
        <v/>
      </c>
      <c r="F18" s="11" t="str">
        <f>IF(F$3=0,"",SUMIFS(INDEX(Inputs!$D$4:$AG$100,0,MATCH(F$2,Inputs!$D$2:$AG$2,0)),Inputs!$B$4:$B$100,$B18)/1000)</f>
        <v/>
      </c>
      <c r="G18" s="11" t="str">
        <f>IF(G$3=0,"",SUMIFS(INDEX(Inputs!$D$4:$AG$100,0,MATCH(G$2,Inputs!$D$2:$AG$2,0)),Inputs!$B$4:$B$100,$B18)/1000)</f>
        <v/>
      </c>
      <c r="H18" s="12" t="str">
        <f t="shared" si="6"/>
        <v/>
      </c>
      <c r="I18" s="11" t="str">
        <f>IF(I$3=0,"",SUMIFS(INDEX(Inputs!$D$4:$AG$100,0,MATCH(I$2,Inputs!$D$2:$AG$2,0)),Inputs!$B$4:$B$100,$B18)/1000)</f>
        <v/>
      </c>
      <c r="J18" s="11" t="str">
        <f>IF(J$3=0,"",SUMIFS(INDEX(Inputs!$D$4:$AG$100,0,MATCH(J$2,Inputs!$D$2:$AG$2,0)),Inputs!$B$4:$B$100,$B18)/1000)</f>
        <v/>
      </c>
      <c r="K18" s="11" t="str">
        <f>IF(K$3=0,"",SUMIFS(INDEX(Inputs!$D$4:$AG$100,0,MATCH(K$2,Inputs!$D$2:$AG$2,0)),Inputs!$B$4:$B$100,$B18)/1000)</f>
        <v/>
      </c>
      <c r="L18" s="11" t="str">
        <f>IF(L$3=0,"",SUMIFS(INDEX(Inputs!$D$4:$AG$100,0,MATCH(L$2,Inputs!$D$2:$AG$2,0)),Inputs!$B$4:$B$100,$B18)/1000)</f>
        <v/>
      </c>
      <c r="M18" s="12" t="str">
        <f t="shared" si="7"/>
        <v/>
      </c>
      <c r="N18" s="11" t="str">
        <f>IF(N$3=0,"",SUMIFS(INDEX(Inputs!$D$4:$AG$100,0,MATCH(N$2,Inputs!$D$2:$AG$2,0)),Inputs!$B$4:$B$100,$B18)/1000)</f>
        <v/>
      </c>
      <c r="O18" s="11" t="str">
        <f>IF(O$3=0,"",SUMIFS(INDEX(Inputs!$D$4:$AG$100,0,MATCH(O$2,Inputs!$D$2:$AG$2,0)),Inputs!$B$4:$B$100,$B18)/1000)</f>
        <v/>
      </c>
      <c r="P18" s="11" t="str">
        <f>IF(P$3=0,"",SUMIFS(INDEX(Inputs!$D$4:$AG$100,0,MATCH(P$2,Inputs!$D$2:$AG$2,0)),Inputs!$B$4:$B$100,$B18)/1000)</f>
        <v/>
      </c>
      <c r="Q18" s="11" t="str">
        <f>IF(Q$3=0,"",SUMIFS(INDEX(Inputs!$D$4:$AG$100,0,MATCH(Q$2,Inputs!$D$2:$AG$2,0)),Inputs!$B$4:$B$100,$B18)/1000)</f>
        <v/>
      </c>
      <c r="R18" s="12" t="str">
        <f t="shared" si="8"/>
        <v/>
      </c>
      <c r="S18" s="11" t="str">
        <f>IF(S$3=0,"",SUMIFS(INDEX(Inputs!$D$4:$AG$100,0,MATCH(S$2,Inputs!$D$2:$AG$2,0)),Inputs!$B$4:$B$100,$B18)/1000)</f>
        <v/>
      </c>
      <c r="T18" s="11" t="str">
        <f>IF(T$3=0,"",SUMIFS(INDEX(Inputs!$D$4:$AG$100,0,MATCH(T$2,Inputs!$D$2:$AG$2,0)),Inputs!$B$4:$B$100,$B18)/1000)</f>
        <v/>
      </c>
      <c r="U18" s="11" t="str">
        <f>IF(U$3=0,"",SUMIFS(INDEX(Inputs!$D$4:$AG$100,0,MATCH(U$2,Inputs!$D$2:$AG$2,0)),Inputs!$B$4:$B$100,$B18)/1000)</f>
        <v/>
      </c>
      <c r="V18" s="11" t="str">
        <f>IF(V$3=0,"",SUMIFS(INDEX(Inputs!$D$4:$AG$100,0,MATCH(V$2,Inputs!$D$2:$AG$2,0)),Inputs!$B$4:$B$100,$B18)/1000)</f>
        <v/>
      </c>
      <c r="W18" s="12" t="str">
        <f t="shared" si="9"/>
        <v/>
      </c>
      <c r="X18" s="11" t="str">
        <f>IF(X$3=0,"",SUMIFS(INDEX(Inputs!$D$4:$AG$100,0,MATCH(X$2,Inputs!$D$2:$AG$2,0)),Inputs!$B$4:$B$100,$B18)/1000)</f>
        <v/>
      </c>
      <c r="Y18" s="11" t="str">
        <f>IF(Y$3=0,"",SUMIFS(INDEX(Inputs!$D$4:$AG$100,0,MATCH(Y$2,Inputs!$D$2:$AG$2,0)),Inputs!$B$4:$B$100,$B18)/1000)</f>
        <v/>
      </c>
      <c r="Z18" s="11" t="str">
        <f>IF(Z$3=0,"",SUMIFS(INDEX(Inputs!$D$4:$AG$100,0,MATCH(Z$2,Inputs!$D$2:$AG$2,0)),Inputs!$B$4:$B$100,$B18)/1000)</f>
        <v/>
      </c>
      <c r="AA18" s="11" t="str">
        <f>IF(AA$3=0,"",SUMIFS(INDEX(Inputs!$D$4:$AG$100,0,MATCH(AA$2,Inputs!$D$2:$AG$2,0)),Inputs!$B$4:$B$100,$B18)/1000)</f>
        <v/>
      </c>
      <c r="AB18" s="12" t="str">
        <f t="shared" si="10"/>
        <v/>
      </c>
      <c r="AC18" s="11" t="str">
        <f>IF(AC$3=0,"",SUMIFS(INDEX(Inputs!$D$4:$AG$100,0,MATCH(AC$2,Inputs!$D$2:$AG$2,0)),Inputs!$B$4:$B$100,$B18)/1000)</f>
        <v/>
      </c>
      <c r="AD18" s="11" t="str">
        <f>IF(AD$3=0,"",SUMIFS(INDEX(Inputs!$D$4:$AG$100,0,MATCH(AD$2,Inputs!$D$2:$AG$2,0)),Inputs!$B$4:$B$100,$B18)/1000)</f>
        <v/>
      </c>
      <c r="AE18" s="11" t="str">
        <f>IF(AE$3=0,"",SUMIFS(INDEX(Inputs!$D$4:$AG$100,0,MATCH(AE$2,Inputs!$D$2:$AG$2,0)),Inputs!$B$4:$B$100,$B18)/1000)</f>
        <v/>
      </c>
      <c r="AF18" s="11" t="str">
        <f>IF(AF$3=0,"",SUMIFS(INDEX(Inputs!$D$4:$AG$100,0,MATCH(AF$2,Inputs!$D$2:$AG$2,0)),Inputs!$B$4:$B$100,$B18)/1000)</f>
        <v/>
      </c>
      <c r="AG18" s="12" t="str">
        <f t="shared" si="11"/>
        <v/>
      </c>
    </row>
    <row r="19" spans="2:33" x14ac:dyDescent="0.2">
      <c r="B19" s="9">
        <v>15</v>
      </c>
      <c r="C19" s="14" t="s">
        <v>50</v>
      </c>
      <c r="D19" s="11" t="str">
        <f>IF(D$3=0,"",SUMIFS(INDEX(Inputs!$D$4:$AG$100,0,MATCH(D$2,Inputs!$D$2:$AG$2,0)),Inputs!$B$4:$B$100,$B19)/1000)</f>
        <v/>
      </c>
      <c r="E19" s="11" t="str">
        <f>IF(E$3=0,"",SUMIFS(INDEX(Inputs!$D$4:$AG$100,0,MATCH(E$2,Inputs!$D$2:$AG$2,0)),Inputs!$B$4:$B$100,$B19)/1000)</f>
        <v/>
      </c>
      <c r="F19" s="11" t="str">
        <f>IF(F$3=0,"",SUMIFS(INDEX(Inputs!$D$4:$AG$100,0,MATCH(F$2,Inputs!$D$2:$AG$2,0)),Inputs!$B$4:$B$100,$B19)/1000)</f>
        <v/>
      </c>
      <c r="G19" s="11" t="str">
        <f>IF(G$3=0,"",SUMIFS(INDEX(Inputs!$D$4:$AG$100,0,MATCH(G$2,Inputs!$D$2:$AG$2,0)),Inputs!$B$4:$B$100,$B19)/1000)</f>
        <v/>
      </c>
      <c r="H19" s="12" t="str">
        <f t="shared" si="6"/>
        <v/>
      </c>
      <c r="I19" s="11" t="str">
        <f>IF(I$3=0,"",SUMIFS(INDEX(Inputs!$D$4:$AG$100,0,MATCH(I$2,Inputs!$D$2:$AG$2,0)),Inputs!$B$4:$B$100,$B19)/1000)</f>
        <v/>
      </c>
      <c r="J19" s="11" t="str">
        <f>IF(J$3=0,"",SUMIFS(INDEX(Inputs!$D$4:$AG$100,0,MATCH(J$2,Inputs!$D$2:$AG$2,0)),Inputs!$B$4:$B$100,$B19)/1000)</f>
        <v/>
      </c>
      <c r="K19" s="11" t="str">
        <f>IF(K$3=0,"",SUMIFS(INDEX(Inputs!$D$4:$AG$100,0,MATCH(K$2,Inputs!$D$2:$AG$2,0)),Inputs!$B$4:$B$100,$B19)/1000)</f>
        <v/>
      </c>
      <c r="L19" s="11" t="str">
        <f>IF(L$3=0,"",SUMIFS(INDEX(Inputs!$D$4:$AG$100,0,MATCH(L$2,Inputs!$D$2:$AG$2,0)),Inputs!$B$4:$B$100,$B19)/1000)</f>
        <v/>
      </c>
      <c r="M19" s="12" t="str">
        <f t="shared" si="7"/>
        <v/>
      </c>
      <c r="N19" s="11" t="str">
        <f>IF(N$3=0,"",SUMIFS(INDEX(Inputs!$D$4:$AG$100,0,MATCH(N$2,Inputs!$D$2:$AG$2,0)),Inputs!$B$4:$B$100,$B19)/1000)</f>
        <v/>
      </c>
      <c r="O19" s="11" t="str">
        <f>IF(O$3=0,"",SUMIFS(INDEX(Inputs!$D$4:$AG$100,0,MATCH(O$2,Inputs!$D$2:$AG$2,0)),Inputs!$B$4:$B$100,$B19)/1000)</f>
        <v/>
      </c>
      <c r="P19" s="11" t="str">
        <f>IF(P$3=0,"",SUMIFS(INDEX(Inputs!$D$4:$AG$100,0,MATCH(P$2,Inputs!$D$2:$AG$2,0)),Inputs!$B$4:$B$100,$B19)/1000)</f>
        <v/>
      </c>
      <c r="Q19" s="11" t="str">
        <f>IF(Q$3=0,"",SUMIFS(INDEX(Inputs!$D$4:$AG$100,0,MATCH(Q$2,Inputs!$D$2:$AG$2,0)),Inputs!$B$4:$B$100,$B19)/1000)</f>
        <v/>
      </c>
      <c r="R19" s="12" t="str">
        <f t="shared" si="8"/>
        <v/>
      </c>
      <c r="S19" s="11" t="str">
        <f>IF(S$3=0,"",SUMIFS(INDEX(Inputs!$D$4:$AG$100,0,MATCH(S$2,Inputs!$D$2:$AG$2,0)),Inputs!$B$4:$B$100,$B19)/1000)</f>
        <v/>
      </c>
      <c r="T19" s="11" t="str">
        <f>IF(T$3=0,"",SUMIFS(INDEX(Inputs!$D$4:$AG$100,0,MATCH(T$2,Inputs!$D$2:$AG$2,0)),Inputs!$B$4:$B$100,$B19)/1000)</f>
        <v/>
      </c>
      <c r="U19" s="11" t="str">
        <f>IF(U$3=0,"",SUMIFS(INDEX(Inputs!$D$4:$AG$100,0,MATCH(U$2,Inputs!$D$2:$AG$2,0)),Inputs!$B$4:$B$100,$B19)/1000)</f>
        <v/>
      </c>
      <c r="V19" s="11" t="str">
        <f>IF(V$3=0,"",SUMIFS(INDEX(Inputs!$D$4:$AG$100,0,MATCH(V$2,Inputs!$D$2:$AG$2,0)),Inputs!$B$4:$B$100,$B19)/1000)</f>
        <v/>
      </c>
      <c r="W19" s="12" t="str">
        <f t="shared" si="9"/>
        <v/>
      </c>
      <c r="X19" s="11" t="str">
        <f>IF(X$3=0,"",SUMIFS(INDEX(Inputs!$D$4:$AG$100,0,MATCH(X$2,Inputs!$D$2:$AG$2,0)),Inputs!$B$4:$B$100,$B19)/1000)</f>
        <v/>
      </c>
      <c r="Y19" s="11" t="str">
        <f>IF(Y$3=0,"",SUMIFS(INDEX(Inputs!$D$4:$AG$100,0,MATCH(Y$2,Inputs!$D$2:$AG$2,0)),Inputs!$B$4:$B$100,$B19)/1000)</f>
        <v/>
      </c>
      <c r="Z19" s="11" t="str">
        <f>IF(Z$3=0,"",SUMIFS(INDEX(Inputs!$D$4:$AG$100,0,MATCH(Z$2,Inputs!$D$2:$AG$2,0)),Inputs!$B$4:$B$100,$B19)/1000)</f>
        <v/>
      </c>
      <c r="AA19" s="11" t="str">
        <f>IF(AA$3=0,"",SUMIFS(INDEX(Inputs!$D$4:$AG$100,0,MATCH(AA$2,Inputs!$D$2:$AG$2,0)),Inputs!$B$4:$B$100,$B19)/1000)</f>
        <v/>
      </c>
      <c r="AB19" s="12" t="str">
        <f t="shared" si="10"/>
        <v/>
      </c>
      <c r="AC19" s="11" t="str">
        <f>IF(AC$3=0,"",SUMIFS(INDEX(Inputs!$D$4:$AG$100,0,MATCH(AC$2,Inputs!$D$2:$AG$2,0)),Inputs!$B$4:$B$100,$B19)/1000)</f>
        <v/>
      </c>
      <c r="AD19" s="11" t="str">
        <f>IF(AD$3=0,"",SUMIFS(INDEX(Inputs!$D$4:$AG$100,0,MATCH(AD$2,Inputs!$D$2:$AG$2,0)),Inputs!$B$4:$B$100,$B19)/1000)</f>
        <v/>
      </c>
      <c r="AE19" s="11" t="str">
        <f>IF(AE$3=0,"",SUMIFS(INDEX(Inputs!$D$4:$AG$100,0,MATCH(AE$2,Inputs!$D$2:$AG$2,0)),Inputs!$B$4:$B$100,$B19)/1000)</f>
        <v/>
      </c>
      <c r="AF19" s="11" t="str">
        <f>IF(AF$3=0,"",SUMIFS(INDEX(Inputs!$D$4:$AG$100,0,MATCH(AF$2,Inputs!$D$2:$AG$2,0)),Inputs!$B$4:$B$100,$B19)/1000)</f>
        <v/>
      </c>
      <c r="AG19" s="12" t="str">
        <f t="shared" si="11"/>
        <v/>
      </c>
    </row>
    <row r="20" spans="2:33" x14ac:dyDescent="0.2">
      <c r="B20" s="9">
        <v>16</v>
      </c>
      <c r="C20" s="14" t="s">
        <v>51</v>
      </c>
      <c r="D20" s="11" t="str">
        <f>IF(D$3=0,"",SUMIFS(INDEX(Inputs!$D$4:$AG$100,0,MATCH(D$2,Inputs!$D$2:$AG$2,0)),Inputs!$B$4:$B$100,$B20)/1000)</f>
        <v/>
      </c>
      <c r="E20" s="11" t="str">
        <f>IF(E$3=0,"",SUMIFS(INDEX(Inputs!$D$4:$AG$100,0,MATCH(E$2,Inputs!$D$2:$AG$2,0)),Inputs!$B$4:$B$100,$B20)/1000)</f>
        <v/>
      </c>
      <c r="F20" s="11" t="str">
        <f>IF(F$3=0,"",SUMIFS(INDEX(Inputs!$D$4:$AG$100,0,MATCH(F$2,Inputs!$D$2:$AG$2,0)),Inputs!$B$4:$B$100,$B20)/1000)</f>
        <v/>
      </c>
      <c r="G20" s="11" t="str">
        <f>IF(G$3=0,"",SUMIFS(INDEX(Inputs!$D$4:$AG$100,0,MATCH(G$2,Inputs!$D$2:$AG$2,0)),Inputs!$B$4:$B$100,$B20)/1000)</f>
        <v/>
      </c>
      <c r="H20" s="12" t="str">
        <f t="shared" si="6"/>
        <v/>
      </c>
      <c r="I20" s="11" t="str">
        <f>IF(I$3=0,"",SUMIFS(INDEX(Inputs!$D$4:$AG$100,0,MATCH(I$2,Inputs!$D$2:$AG$2,0)),Inputs!$B$4:$B$100,$B20)/1000)</f>
        <v/>
      </c>
      <c r="J20" s="11" t="str">
        <f>IF(J$3=0,"",SUMIFS(INDEX(Inputs!$D$4:$AG$100,0,MATCH(J$2,Inputs!$D$2:$AG$2,0)),Inputs!$B$4:$B$100,$B20)/1000)</f>
        <v/>
      </c>
      <c r="K20" s="11" t="str">
        <f>IF(K$3=0,"",SUMIFS(INDEX(Inputs!$D$4:$AG$100,0,MATCH(K$2,Inputs!$D$2:$AG$2,0)),Inputs!$B$4:$B$100,$B20)/1000)</f>
        <v/>
      </c>
      <c r="L20" s="11" t="str">
        <f>IF(L$3=0,"",SUMIFS(INDEX(Inputs!$D$4:$AG$100,0,MATCH(L$2,Inputs!$D$2:$AG$2,0)),Inputs!$B$4:$B$100,$B20)/1000)</f>
        <v/>
      </c>
      <c r="M20" s="12" t="str">
        <f t="shared" si="7"/>
        <v/>
      </c>
      <c r="N20" s="11" t="str">
        <f>IF(N$3=0,"",SUMIFS(INDEX(Inputs!$D$4:$AG$100,0,MATCH(N$2,Inputs!$D$2:$AG$2,0)),Inputs!$B$4:$B$100,$B20)/1000)</f>
        <v/>
      </c>
      <c r="O20" s="11" t="str">
        <f>IF(O$3=0,"",SUMIFS(INDEX(Inputs!$D$4:$AG$100,0,MATCH(O$2,Inputs!$D$2:$AG$2,0)),Inputs!$B$4:$B$100,$B20)/1000)</f>
        <v/>
      </c>
      <c r="P20" s="11" t="str">
        <f>IF(P$3=0,"",SUMIFS(INDEX(Inputs!$D$4:$AG$100,0,MATCH(P$2,Inputs!$D$2:$AG$2,0)),Inputs!$B$4:$B$100,$B20)/1000)</f>
        <v/>
      </c>
      <c r="Q20" s="11" t="str">
        <f>IF(Q$3=0,"",SUMIFS(INDEX(Inputs!$D$4:$AG$100,0,MATCH(Q$2,Inputs!$D$2:$AG$2,0)),Inputs!$B$4:$B$100,$B20)/1000)</f>
        <v/>
      </c>
      <c r="R20" s="12" t="str">
        <f t="shared" si="8"/>
        <v/>
      </c>
      <c r="S20" s="11" t="str">
        <f>IF(S$3=0,"",SUMIFS(INDEX(Inputs!$D$4:$AG$100,0,MATCH(S$2,Inputs!$D$2:$AG$2,0)),Inputs!$B$4:$B$100,$B20)/1000)</f>
        <v/>
      </c>
      <c r="T20" s="11" t="str">
        <f>IF(T$3=0,"",SUMIFS(INDEX(Inputs!$D$4:$AG$100,0,MATCH(T$2,Inputs!$D$2:$AG$2,0)),Inputs!$B$4:$B$100,$B20)/1000)</f>
        <v/>
      </c>
      <c r="U20" s="11" t="str">
        <f>IF(U$3=0,"",SUMIFS(INDEX(Inputs!$D$4:$AG$100,0,MATCH(U$2,Inputs!$D$2:$AG$2,0)),Inputs!$B$4:$B$100,$B20)/1000)</f>
        <v/>
      </c>
      <c r="V20" s="11" t="str">
        <f>IF(V$3=0,"",SUMIFS(INDEX(Inputs!$D$4:$AG$100,0,MATCH(V$2,Inputs!$D$2:$AG$2,0)),Inputs!$B$4:$B$100,$B20)/1000)</f>
        <v/>
      </c>
      <c r="W20" s="12" t="str">
        <f t="shared" si="9"/>
        <v/>
      </c>
      <c r="X20" s="11" t="str">
        <f>IF(X$3=0,"",SUMIFS(INDEX(Inputs!$D$4:$AG$100,0,MATCH(X$2,Inputs!$D$2:$AG$2,0)),Inputs!$B$4:$B$100,$B20)/1000)</f>
        <v/>
      </c>
      <c r="Y20" s="11" t="str">
        <f>IF(Y$3=0,"",SUMIFS(INDEX(Inputs!$D$4:$AG$100,0,MATCH(Y$2,Inputs!$D$2:$AG$2,0)),Inputs!$B$4:$B$100,$B20)/1000)</f>
        <v/>
      </c>
      <c r="Z20" s="11" t="str">
        <f>IF(Z$3=0,"",SUMIFS(INDEX(Inputs!$D$4:$AG$100,0,MATCH(Z$2,Inputs!$D$2:$AG$2,0)),Inputs!$B$4:$B$100,$B20)/1000)</f>
        <v/>
      </c>
      <c r="AA20" s="11" t="str">
        <f>IF(AA$3=0,"",SUMIFS(INDEX(Inputs!$D$4:$AG$100,0,MATCH(AA$2,Inputs!$D$2:$AG$2,0)),Inputs!$B$4:$B$100,$B20)/1000)</f>
        <v/>
      </c>
      <c r="AB20" s="12" t="str">
        <f t="shared" si="10"/>
        <v/>
      </c>
      <c r="AC20" s="11" t="str">
        <f>IF(AC$3=0,"",SUMIFS(INDEX(Inputs!$D$4:$AG$100,0,MATCH(AC$2,Inputs!$D$2:$AG$2,0)),Inputs!$B$4:$B$100,$B20)/1000)</f>
        <v/>
      </c>
      <c r="AD20" s="11" t="str">
        <f>IF(AD$3=0,"",SUMIFS(INDEX(Inputs!$D$4:$AG$100,0,MATCH(AD$2,Inputs!$D$2:$AG$2,0)),Inputs!$B$4:$B$100,$B20)/1000)</f>
        <v/>
      </c>
      <c r="AE20" s="11" t="str">
        <f>IF(AE$3=0,"",SUMIFS(INDEX(Inputs!$D$4:$AG$100,0,MATCH(AE$2,Inputs!$D$2:$AG$2,0)),Inputs!$B$4:$B$100,$B20)/1000)</f>
        <v/>
      </c>
      <c r="AF20" s="11" t="str">
        <f>IF(AF$3=0,"",SUMIFS(INDEX(Inputs!$D$4:$AG$100,0,MATCH(AF$2,Inputs!$D$2:$AG$2,0)),Inputs!$B$4:$B$100,$B20)/1000)</f>
        <v/>
      </c>
      <c r="AG20" s="12" t="str">
        <f t="shared" si="11"/>
        <v/>
      </c>
    </row>
    <row r="21" spans="2:33" x14ac:dyDescent="0.2">
      <c r="B21" s="9">
        <v>17</v>
      </c>
      <c r="C21" s="14" t="s">
        <v>52</v>
      </c>
      <c r="D21" s="11" t="str">
        <f>IF(D$3=0,"",SUMIFS(INDEX(Inputs!$D$4:$AG$100,0,MATCH(D$2,Inputs!$D$2:$AG$2,0)),Inputs!$B$4:$B$100,$B21)/1000)</f>
        <v/>
      </c>
      <c r="E21" s="11" t="str">
        <f>IF(E$3=0,"",SUMIFS(INDEX(Inputs!$D$4:$AG$100,0,MATCH(E$2,Inputs!$D$2:$AG$2,0)),Inputs!$B$4:$B$100,$B21)/1000)</f>
        <v/>
      </c>
      <c r="F21" s="11" t="str">
        <f>IF(F$3=0,"",SUMIFS(INDEX(Inputs!$D$4:$AG$100,0,MATCH(F$2,Inputs!$D$2:$AG$2,0)),Inputs!$B$4:$B$100,$B21)/1000)</f>
        <v/>
      </c>
      <c r="G21" s="11" t="str">
        <f>IF(G$3=0,"",SUMIFS(INDEX(Inputs!$D$4:$AG$100,0,MATCH(G$2,Inputs!$D$2:$AG$2,0)),Inputs!$B$4:$B$100,$B21)/1000)</f>
        <v/>
      </c>
      <c r="H21" s="12" t="str">
        <f t="shared" si="6"/>
        <v/>
      </c>
      <c r="I21" s="11" t="str">
        <f>IF(I$3=0,"",SUMIFS(INDEX(Inputs!$D$4:$AG$100,0,MATCH(I$2,Inputs!$D$2:$AG$2,0)),Inputs!$B$4:$B$100,$B21)/1000)</f>
        <v/>
      </c>
      <c r="J21" s="11" t="str">
        <f>IF(J$3=0,"",SUMIFS(INDEX(Inputs!$D$4:$AG$100,0,MATCH(J$2,Inputs!$D$2:$AG$2,0)),Inputs!$B$4:$B$100,$B21)/1000)</f>
        <v/>
      </c>
      <c r="K21" s="11" t="str">
        <f>IF(K$3=0,"",SUMIFS(INDEX(Inputs!$D$4:$AG$100,0,MATCH(K$2,Inputs!$D$2:$AG$2,0)),Inputs!$B$4:$B$100,$B21)/1000)</f>
        <v/>
      </c>
      <c r="L21" s="11" t="str">
        <f>IF(L$3=0,"",SUMIFS(INDEX(Inputs!$D$4:$AG$100,0,MATCH(L$2,Inputs!$D$2:$AG$2,0)),Inputs!$B$4:$B$100,$B21)/1000)</f>
        <v/>
      </c>
      <c r="M21" s="12" t="str">
        <f t="shared" si="7"/>
        <v/>
      </c>
      <c r="N21" s="11" t="str">
        <f>IF(N$3=0,"",SUMIFS(INDEX(Inputs!$D$4:$AG$100,0,MATCH(N$2,Inputs!$D$2:$AG$2,0)),Inputs!$B$4:$B$100,$B21)/1000)</f>
        <v/>
      </c>
      <c r="O21" s="11" t="str">
        <f>IF(O$3=0,"",SUMIFS(INDEX(Inputs!$D$4:$AG$100,0,MATCH(O$2,Inputs!$D$2:$AG$2,0)),Inputs!$B$4:$B$100,$B21)/1000)</f>
        <v/>
      </c>
      <c r="P21" s="11" t="str">
        <f>IF(P$3=0,"",SUMIFS(INDEX(Inputs!$D$4:$AG$100,0,MATCH(P$2,Inputs!$D$2:$AG$2,0)),Inputs!$B$4:$B$100,$B21)/1000)</f>
        <v/>
      </c>
      <c r="Q21" s="11" t="str">
        <f>IF(Q$3=0,"",SUMIFS(INDEX(Inputs!$D$4:$AG$100,0,MATCH(Q$2,Inputs!$D$2:$AG$2,0)),Inputs!$B$4:$B$100,$B21)/1000)</f>
        <v/>
      </c>
      <c r="R21" s="12" t="str">
        <f t="shared" si="8"/>
        <v/>
      </c>
      <c r="S21" s="11" t="str">
        <f>IF(S$3=0,"",SUMIFS(INDEX(Inputs!$D$4:$AG$100,0,MATCH(S$2,Inputs!$D$2:$AG$2,0)),Inputs!$B$4:$B$100,$B21)/1000)</f>
        <v/>
      </c>
      <c r="T21" s="11" t="str">
        <f>IF(T$3=0,"",SUMIFS(INDEX(Inputs!$D$4:$AG$100,0,MATCH(T$2,Inputs!$D$2:$AG$2,0)),Inputs!$B$4:$B$100,$B21)/1000)</f>
        <v/>
      </c>
      <c r="U21" s="11" t="str">
        <f>IF(U$3=0,"",SUMIFS(INDEX(Inputs!$D$4:$AG$100,0,MATCH(U$2,Inputs!$D$2:$AG$2,0)),Inputs!$B$4:$B$100,$B21)/1000)</f>
        <v/>
      </c>
      <c r="V21" s="11" t="str">
        <f>IF(V$3=0,"",SUMIFS(INDEX(Inputs!$D$4:$AG$100,0,MATCH(V$2,Inputs!$D$2:$AG$2,0)),Inputs!$B$4:$B$100,$B21)/1000)</f>
        <v/>
      </c>
      <c r="W21" s="12" t="str">
        <f t="shared" si="9"/>
        <v/>
      </c>
      <c r="X21" s="11" t="str">
        <f>IF(X$3=0,"",SUMIFS(INDEX(Inputs!$D$4:$AG$100,0,MATCH(X$2,Inputs!$D$2:$AG$2,0)),Inputs!$B$4:$B$100,$B21)/1000)</f>
        <v/>
      </c>
      <c r="Y21" s="11" t="str">
        <f>IF(Y$3=0,"",SUMIFS(INDEX(Inputs!$D$4:$AG$100,0,MATCH(Y$2,Inputs!$D$2:$AG$2,0)),Inputs!$B$4:$B$100,$B21)/1000)</f>
        <v/>
      </c>
      <c r="Z21" s="11" t="str">
        <f>IF(Z$3=0,"",SUMIFS(INDEX(Inputs!$D$4:$AG$100,0,MATCH(Z$2,Inputs!$D$2:$AG$2,0)),Inputs!$B$4:$B$100,$B21)/1000)</f>
        <v/>
      </c>
      <c r="AA21" s="11" t="str">
        <f>IF(AA$3=0,"",SUMIFS(INDEX(Inputs!$D$4:$AG$100,0,MATCH(AA$2,Inputs!$D$2:$AG$2,0)),Inputs!$B$4:$B$100,$B21)/1000)</f>
        <v/>
      </c>
      <c r="AB21" s="12" t="str">
        <f t="shared" si="10"/>
        <v/>
      </c>
      <c r="AC21" s="11" t="str">
        <f>IF(AC$3=0,"",SUMIFS(INDEX(Inputs!$D$4:$AG$100,0,MATCH(AC$2,Inputs!$D$2:$AG$2,0)),Inputs!$B$4:$B$100,$B21)/1000)</f>
        <v/>
      </c>
      <c r="AD21" s="11" t="str">
        <f>IF(AD$3=0,"",SUMIFS(INDEX(Inputs!$D$4:$AG$100,0,MATCH(AD$2,Inputs!$D$2:$AG$2,0)),Inputs!$B$4:$B$100,$B21)/1000)</f>
        <v/>
      </c>
      <c r="AE21" s="11" t="str">
        <f>IF(AE$3=0,"",SUMIFS(INDEX(Inputs!$D$4:$AG$100,0,MATCH(AE$2,Inputs!$D$2:$AG$2,0)),Inputs!$B$4:$B$100,$B21)/1000)</f>
        <v/>
      </c>
      <c r="AF21" s="11" t="str">
        <f>IF(AF$3=0,"",SUMIFS(INDEX(Inputs!$D$4:$AG$100,0,MATCH(AF$2,Inputs!$D$2:$AG$2,0)),Inputs!$B$4:$B$100,$B21)/1000)</f>
        <v/>
      </c>
      <c r="AG21" s="12" t="str">
        <f t="shared" si="11"/>
        <v/>
      </c>
    </row>
    <row r="22" spans="2:33" x14ac:dyDescent="0.2">
      <c r="B22" s="9">
        <v>18</v>
      </c>
      <c r="C22" s="14" t="s">
        <v>53</v>
      </c>
      <c r="D22" s="11" t="str">
        <f>IF(D$3=0,"",SUMIFS(INDEX(Inputs!$D$4:$AG$100,0,MATCH(D$2,Inputs!$D$2:$AG$2,0)),Inputs!$B$4:$B$100,$B22)/1000)</f>
        <v/>
      </c>
      <c r="E22" s="11" t="str">
        <f>IF(E$3=0,"",SUMIFS(INDEX(Inputs!$D$4:$AG$100,0,MATCH(E$2,Inputs!$D$2:$AG$2,0)),Inputs!$B$4:$B$100,$B22)/1000)</f>
        <v/>
      </c>
      <c r="F22" s="11" t="str">
        <f>IF(F$3=0,"",SUMIFS(INDEX(Inputs!$D$4:$AG$100,0,MATCH(F$2,Inputs!$D$2:$AG$2,0)),Inputs!$B$4:$B$100,$B22)/1000)</f>
        <v/>
      </c>
      <c r="G22" s="11" t="str">
        <f>IF(G$3=0,"",SUMIFS(INDEX(Inputs!$D$4:$AG$100,0,MATCH(G$2,Inputs!$D$2:$AG$2,0)),Inputs!$B$4:$B$100,$B22)/1000)</f>
        <v/>
      </c>
      <c r="H22" s="12" t="str">
        <f t="shared" si="6"/>
        <v/>
      </c>
      <c r="I22" s="11" t="str">
        <f>IF(I$3=0,"",SUMIFS(INDEX(Inputs!$D$4:$AG$100,0,MATCH(I$2,Inputs!$D$2:$AG$2,0)),Inputs!$B$4:$B$100,$B22)/1000)</f>
        <v/>
      </c>
      <c r="J22" s="11" t="str">
        <f>IF(J$3=0,"",SUMIFS(INDEX(Inputs!$D$4:$AG$100,0,MATCH(J$2,Inputs!$D$2:$AG$2,0)),Inputs!$B$4:$B$100,$B22)/1000)</f>
        <v/>
      </c>
      <c r="K22" s="11" t="str">
        <f>IF(K$3=0,"",SUMIFS(INDEX(Inputs!$D$4:$AG$100,0,MATCH(K$2,Inputs!$D$2:$AG$2,0)),Inputs!$B$4:$B$100,$B22)/1000)</f>
        <v/>
      </c>
      <c r="L22" s="11" t="str">
        <f>IF(L$3=0,"",SUMIFS(INDEX(Inputs!$D$4:$AG$100,0,MATCH(L$2,Inputs!$D$2:$AG$2,0)),Inputs!$B$4:$B$100,$B22)/1000)</f>
        <v/>
      </c>
      <c r="M22" s="12" t="str">
        <f t="shared" si="7"/>
        <v/>
      </c>
      <c r="N22" s="11" t="str">
        <f>IF(N$3=0,"",SUMIFS(INDEX(Inputs!$D$4:$AG$100,0,MATCH(N$2,Inputs!$D$2:$AG$2,0)),Inputs!$B$4:$B$100,$B22)/1000)</f>
        <v/>
      </c>
      <c r="O22" s="11" t="str">
        <f>IF(O$3=0,"",SUMIFS(INDEX(Inputs!$D$4:$AG$100,0,MATCH(O$2,Inputs!$D$2:$AG$2,0)),Inputs!$B$4:$B$100,$B22)/1000)</f>
        <v/>
      </c>
      <c r="P22" s="11" t="str">
        <f>IF(P$3=0,"",SUMIFS(INDEX(Inputs!$D$4:$AG$100,0,MATCH(P$2,Inputs!$D$2:$AG$2,0)),Inputs!$B$4:$B$100,$B22)/1000)</f>
        <v/>
      </c>
      <c r="Q22" s="11" t="str">
        <f>IF(Q$3=0,"",SUMIFS(INDEX(Inputs!$D$4:$AG$100,0,MATCH(Q$2,Inputs!$D$2:$AG$2,0)),Inputs!$B$4:$B$100,$B22)/1000)</f>
        <v/>
      </c>
      <c r="R22" s="12" t="str">
        <f t="shared" si="8"/>
        <v/>
      </c>
      <c r="S22" s="11" t="str">
        <f>IF(S$3=0,"",SUMIFS(INDEX(Inputs!$D$4:$AG$100,0,MATCH(S$2,Inputs!$D$2:$AG$2,0)),Inputs!$B$4:$B$100,$B22)/1000)</f>
        <v/>
      </c>
      <c r="T22" s="11" t="str">
        <f>IF(T$3=0,"",SUMIFS(INDEX(Inputs!$D$4:$AG$100,0,MATCH(T$2,Inputs!$D$2:$AG$2,0)),Inputs!$B$4:$B$100,$B22)/1000)</f>
        <v/>
      </c>
      <c r="U22" s="11" t="str">
        <f>IF(U$3=0,"",SUMIFS(INDEX(Inputs!$D$4:$AG$100,0,MATCH(U$2,Inputs!$D$2:$AG$2,0)),Inputs!$B$4:$B$100,$B22)/1000)</f>
        <v/>
      </c>
      <c r="V22" s="11" t="str">
        <f>IF(V$3=0,"",SUMIFS(INDEX(Inputs!$D$4:$AG$100,0,MATCH(V$2,Inputs!$D$2:$AG$2,0)),Inputs!$B$4:$B$100,$B22)/1000)</f>
        <v/>
      </c>
      <c r="W22" s="12" t="str">
        <f t="shared" si="9"/>
        <v/>
      </c>
      <c r="X22" s="11" t="str">
        <f>IF(X$3=0,"",SUMIFS(INDEX(Inputs!$D$4:$AG$100,0,MATCH(X$2,Inputs!$D$2:$AG$2,0)),Inputs!$B$4:$B$100,$B22)/1000)</f>
        <v/>
      </c>
      <c r="Y22" s="11" t="str">
        <f>IF(Y$3=0,"",SUMIFS(INDEX(Inputs!$D$4:$AG$100,0,MATCH(Y$2,Inputs!$D$2:$AG$2,0)),Inputs!$B$4:$B$100,$B22)/1000)</f>
        <v/>
      </c>
      <c r="Z22" s="11" t="str">
        <f>IF(Z$3=0,"",SUMIFS(INDEX(Inputs!$D$4:$AG$100,0,MATCH(Z$2,Inputs!$D$2:$AG$2,0)),Inputs!$B$4:$B$100,$B22)/1000)</f>
        <v/>
      </c>
      <c r="AA22" s="11" t="str">
        <f>IF(AA$3=0,"",SUMIFS(INDEX(Inputs!$D$4:$AG$100,0,MATCH(AA$2,Inputs!$D$2:$AG$2,0)),Inputs!$B$4:$B$100,$B22)/1000)</f>
        <v/>
      </c>
      <c r="AB22" s="12" t="str">
        <f t="shared" si="10"/>
        <v/>
      </c>
      <c r="AC22" s="11" t="str">
        <f>IF(AC$3=0,"",SUMIFS(INDEX(Inputs!$D$4:$AG$100,0,MATCH(AC$2,Inputs!$D$2:$AG$2,0)),Inputs!$B$4:$B$100,$B22)/1000)</f>
        <v/>
      </c>
      <c r="AD22" s="11" t="str">
        <f>IF(AD$3=0,"",SUMIFS(INDEX(Inputs!$D$4:$AG$100,0,MATCH(AD$2,Inputs!$D$2:$AG$2,0)),Inputs!$B$4:$B$100,$B22)/1000)</f>
        <v/>
      </c>
      <c r="AE22" s="11" t="str">
        <f>IF(AE$3=0,"",SUMIFS(INDEX(Inputs!$D$4:$AG$100,0,MATCH(AE$2,Inputs!$D$2:$AG$2,0)),Inputs!$B$4:$B$100,$B22)/1000)</f>
        <v/>
      </c>
      <c r="AF22" s="11" t="str">
        <f>IF(AF$3=0,"",SUMIFS(INDEX(Inputs!$D$4:$AG$100,0,MATCH(AF$2,Inputs!$D$2:$AG$2,0)),Inputs!$B$4:$B$100,$B22)/1000)</f>
        <v/>
      </c>
      <c r="AG22" s="12" t="str">
        <f t="shared" si="11"/>
        <v/>
      </c>
    </row>
    <row r="23" spans="2:33" x14ac:dyDescent="0.2">
      <c r="B23" s="9">
        <v>19</v>
      </c>
      <c r="C23" s="14" t="s">
        <v>54</v>
      </c>
      <c r="D23" s="11" t="str">
        <f>IF(D$3=0,"",SUMIFS(INDEX(Inputs!$D$4:$AG$100,0,MATCH(D$2,Inputs!$D$2:$AG$2,0)),Inputs!$B$4:$B$100,$B23)/1000)</f>
        <v/>
      </c>
      <c r="E23" s="11" t="str">
        <f>IF(E$3=0,"",SUMIFS(INDEX(Inputs!$D$4:$AG$100,0,MATCH(E$2,Inputs!$D$2:$AG$2,0)),Inputs!$B$4:$B$100,$B23)/1000)</f>
        <v/>
      </c>
      <c r="F23" s="11" t="str">
        <f>IF(F$3=0,"",SUMIFS(INDEX(Inputs!$D$4:$AG$100,0,MATCH(F$2,Inputs!$D$2:$AG$2,0)),Inputs!$B$4:$B$100,$B23)/1000)</f>
        <v/>
      </c>
      <c r="G23" s="11" t="str">
        <f>IF(G$3=0,"",SUMIFS(INDEX(Inputs!$D$4:$AG$100,0,MATCH(G$2,Inputs!$D$2:$AG$2,0)),Inputs!$B$4:$B$100,$B23)/1000)</f>
        <v/>
      </c>
      <c r="H23" s="12" t="str">
        <f t="shared" si="6"/>
        <v/>
      </c>
      <c r="I23" s="11" t="str">
        <f>IF(I$3=0,"",SUMIFS(INDEX(Inputs!$D$4:$AG$100,0,MATCH(I$2,Inputs!$D$2:$AG$2,0)),Inputs!$B$4:$B$100,$B23)/1000)</f>
        <v/>
      </c>
      <c r="J23" s="11" t="str">
        <f>IF(J$3=0,"",SUMIFS(INDEX(Inputs!$D$4:$AG$100,0,MATCH(J$2,Inputs!$D$2:$AG$2,0)),Inputs!$B$4:$B$100,$B23)/1000)</f>
        <v/>
      </c>
      <c r="K23" s="11" t="str">
        <f>IF(K$3=0,"",SUMIFS(INDEX(Inputs!$D$4:$AG$100,0,MATCH(K$2,Inputs!$D$2:$AG$2,0)),Inputs!$B$4:$B$100,$B23)/1000)</f>
        <v/>
      </c>
      <c r="L23" s="11" t="str">
        <f>IF(L$3=0,"",SUMIFS(INDEX(Inputs!$D$4:$AG$100,0,MATCH(L$2,Inputs!$D$2:$AG$2,0)),Inputs!$B$4:$B$100,$B23)/1000)</f>
        <v/>
      </c>
      <c r="M23" s="12" t="str">
        <f t="shared" si="7"/>
        <v/>
      </c>
      <c r="N23" s="11" t="str">
        <f>IF(N$3=0,"",SUMIFS(INDEX(Inputs!$D$4:$AG$100,0,MATCH(N$2,Inputs!$D$2:$AG$2,0)),Inputs!$B$4:$B$100,$B23)/1000)</f>
        <v/>
      </c>
      <c r="O23" s="11" t="str">
        <f>IF(O$3=0,"",SUMIFS(INDEX(Inputs!$D$4:$AG$100,0,MATCH(O$2,Inputs!$D$2:$AG$2,0)),Inputs!$B$4:$B$100,$B23)/1000)</f>
        <v/>
      </c>
      <c r="P23" s="11" t="str">
        <f>IF(P$3=0,"",SUMIFS(INDEX(Inputs!$D$4:$AG$100,0,MATCH(P$2,Inputs!$D$2:$AG$2,0)),Inputs!$B$4:$B$100,$B23)/1000)</f>
        <v/>
      </c>
      <c r="Q23" s="11" t="str">
        <f>IF(Q$3=0,"",SUMIFS(INDEX(Inputs!$D$4:$AG$100,0,MATCH(Q$2,Inputs!$D$2:$AG$2,0)),Inputs!$B$4:$B$100,$B23)/1000)</f>
        <v/>
      </c>
      <c r="R23" s="12" t="str">
        <f t="shared" si="8"/>
        <v/>
      </c>
      <c r="S23" s="11" t="str">
        <f>IF(S$3=0,"",SUMIFS(INDEX(Inputs!$D$4:$AG$100,0,MATCH(S$2,Inputs!$D$2:$AG$2,0)),Inputs!$B$4:$B$100,$B23)/1000)</f>
        <v/>
      </c>
      <c r="T23" s="11" t="str">
        <f>IF(T$3=0,"",SUMIFS(INDEX(Inputs!$D$4:$AG$100,0,MATCH(T$2,Inputs!$D$2:$AG$2,0)),Inputs!$B$4:$B$100,$B23)/1000)</f>
        <v/>
      </c>
      <c r="U23" s="11" t="str">
        <f>IF(U$3=0,"",SUMIFS(INDEX(Inputs!$D$4:$AG$100,0,MATCH(U$2,Inputs!$D$2:$AG$2,0)),Inputs!$B$4:$B$100,$B23)/1000)</f>
        <v/>
      </c>
      <c r="V23" s="11" t="str">
        <f>IF(V$3=0,"",SUMIFS(INDEX(Inputs!$D$4:$AG$100,0,MATCH(V$2,Inputs!$D$2:$AG$2,0)),Inputs!$B$4:$B$100,$B23)/1000)</f>
        <v/>
      </c>
      <c r="W23" s="12" t="str">
        <f t="shared" si="9"/>
        <v/>
      </c>
      <c r="X23" s="11" t="str">
        <f>IF(X$3=0,"",SUMIFS(INDEX(Inputs!$D$4:$AG$100,0,MATCH(X$2,Inputs!$D$2:$AG$2,0)),Inputs!$B$4:$B$100,$B23)/1000)</f>
        <v/>
      </c>
      <c r="Y23" s="11" t="str">
        <f>IF(Y$3=0,"",SUMIFS(INDEX(Inputs!$D$4:$AG$100,0,MATCH(Y$2,Inputs!$D$2:$AG$2,0)),Inputs!$B$4:$B$100,$B23)/1000)</f>
        <v/>
      </c>
      <c r="Z23" s="11" t="str">
        <f>IF(Z$3=0,"",SUMIFS(INDEX(Inputs!$D$4:$AG$100,0,MATCH(Z$2,Inputs!$D$2:$AG$2,0)),Inputs!$B$4:$B$100,$B23)/1000)</f>
        <v/>
      </c>
      <c r="AA23" s="11" t="str">
        <f>IF(AA$3=0,"",SUMIFS(INDEX(Inputs!$D$4:$AG$100,0,MATCH(AA$2,Inputs!$D$2:$AG$2,0)),Inputs!$B$4:$B$100,$B23)/1000)</f>
        <v/>
      </c>
      <c r="AB23" s="12" t="str">
        <f t="shared" si="10"/>
        <v/>
      </c>
      <c r="AC23" s="11" t="str">
        <f>IF(AC$3=0,"",SUMIFS(INDEX(Inputs!$D$4:$AG$100,0,MATCH(AC$2,Inputs!$D$2:$AG$2,0)),Inputs!$B$4:$B$100,$B23)/1000)</f>
        <v/>
      </c>
      <c r="AD23" s="11" t="str">
        <f>IF(AD$3=0,"",SUMIFS(INDEX(Inputs!$D$4:$AG$100,0,MATCH(AD$2,Inputs!$D$2:$AG$2,0)),Inputs!$B$4:$B$100,$B23)/1000)</f>
        <v/>
      </c>
      <c r="AE23" s="11" t="str">
        <f>IF(AE$3=0,"",SUMIFS(INDEX(Inputs!$D$4:$AG$100,0,MATCH(AE$2,Inputs!$D$2:$AG$2,0)),Inputs!$B$4:$B$100,$B23)/1000)</f>
        <v/>
      </c>
      <c r="AF23" s="11" t="str">
        <f>IF(AF$3=0,"",SUMIFS(INDEX(Inputs!$D$4:$AG$100,0,MATCH(AF$2,Inputs!$D$2:$AG$2,0)),Inputs!$B$4:$B$100,$B23)/1000)</f>
        <v/>
      </c>
      <c r="AG23" s="12" t="str">
        <f t="shared" si="11"/>
        <v/>
      </c>
    </row>
    <row r="24" spans="2:33" x14ac:dyDescent="0.2">
      <c r="B24" s="9">
        <v>20</v>
      </c>
      <c r="C24" s="14" t="s">
        <v>55</v>
      </c>
      <c r="D24" s="11" t="str">
        <f>IF(D$3=0,"",SUMIFS(INDEX(Inputs!$D$4:$AG$100,0,MATCH(D$2,Inputs!$D$2:$AG$2,0)),Inputs!$B$4:$B$100,$B24)/1000)</f>
        <v/>
      </c>
      <c r="E24" s="11" t="str">
        <f>IF(E$3=0,"",SUMIFS(INDEX(Inputs!$D$4:$AG$100,0,MATCH(E$2,Inputs!$D$2:$AG$2,0)),Inputs!$B$4:$B$100,$B24)/1000)</f>
        <v/>
      </c>
      <c r="F24" s="11" t="str">
        <f>IF(F$3=0,"",SUMIFS(INDEX(Inputs!$D$4:$AG$100,0,MATCH(F$2,Inputs!$D$2:$AG$2,0)),Inputs!$B$4:$B$100,$B24)/1000)</f>
        <v/>
      </c>
      <c r="G24" s="11" t="str">
        <f>IF(G$3=0,"",SUMIFS(INDEX(Inputs!$D$4:$AG$100,0,MATCH(G$2,Inputs!$D$2:$AG$2,0)),Inputs!$B$4:$B$100,$B24)/1000)</f>
        <v/>
      </c>
      <c r="H24" s="12" t="str">
        <f t="shared" si="6"/>
        <v/>
      </c>
      <c r="I24" s="11" t="str">
        <f>IF(I$3=0,"",SUMIFS(INDEX(Inputs!$D$4:$AG$100,0,MATCH(I$2,Inputs!$D$2:$AG$2,0)),Inputs!$B$4:$B$100,$B24)/1000)</f>
        <v/>
      </c>
      <c r="J24" s="11" t="str">
        <f>IF(J$3=0,"",SUMIFS(INDEX(Inputs!$D$4:$AG$100,0,MATCH(J$2,Inputs!$D$2:$AG$2,0)),Inputs!$B$4:$B$100,$B24)/1000)</f>
        <v/>
      </c>
      <c r="K24" s="11" t="str">
        <f>IF(K$3=0,"",SUMIFS(INDEX(Inputs!$D$4:$AG$100,0,MATCH(K$2,Inputs!$D$2:$AG$2,0)),Inputs!$B$4:$B$100,$B24)/1000)</f>
        <v/>
      </c>
      <c r="L24" s="11" t="str">
        <f>IF(L$3=0,"",SUMIFS(INDEX(Inputs!$D$4:$AG$100,0,MATCH(L$2,Inputs!$D$2:$AG$2,0)),Inputs!$B$4:$B$100,$B24)/1000)</f>
        <v/>
      </c>
      <c r="M24" s="12" t="str">
        <f t="shared" si="7"/>
        <v/>
      </c>
      <c r="N24" s="11" t="str">
        <f>IF(N$3=0,"",SUMIFS(INDEX(Inputs!$D$4:$AG$100,0,MATCH(N$2,Inputs!$D$2:$AG$2,0)),Inputs!$B$4:$B$100,$B24)/1000)</f>
        <v/>
      </c>
      <c r="O24" s="11" t="str">
        <f>IF(O$3=0,"",SUMIFS(INDEX(Inputs!$D$4:$AG$100,0,MATCH(O$2,Inputs!$D$2:$AG$2,0)),Inputs!$B$4:$B$100,$B24)/1000)</f>
        <v/>
      </c>
      <c r="P24" s="11" t="str">
        <f>IF(P$3=0,"",SUMIFS(INDEX(Inputs!$D$4:$AG$100,0,MATCH(P$2,Inputs!$D$2:$AG$2,0)),Inputs!$B$4:$B$100,$B24)/1000)</f>
        <v/>
      </c>
      <c r="Q24" s="11" t="str">
        <f>IF(Q$3=0,"",SUMIFS(INDEX(Inputs!$D$4:$AG$100,0,MATCH(Q$2,Inputs!$D$2:$AG$2,0)),Inputs!$B$4:$B$100,$B24)/1000)</f>
        <v/>
      </c>
      <c r="R24" s="12" t="str">
        <f t="shared" si="8"/>
        <v/>
      </c>
      <c r="S24" s="11" t="str">
        <f>IF(S$3=0,"",SUMIFS(INDEX(Inputs!$D$4:$AG$100,0,MATCH(S$2,Inputs!$D$2:$AG$2,0)),Inputs!$B$4:$B$100,$B24)/1000)</f>
        <v/>
      </c>
      <c r="T24" s="11" t="str">
        <f>IF(T$3=0,"",SUMIFS(INDEX(Inputs!$D$4:$AG$100,0,MATCH(T$2,Inputs!$D$2:$AG$2,0)),Inputs!$B$4:$B$100,$B24)/1000)</f>
        <v/>
      </c>
      <c r="U24" s="11" t="str">
        <f>IF(U$3=0,"",SUMIFS(INDEX(Inputs!$D$4:$AG$100,0,MATCH(U$2,Inputs!$D$2:$AG$2,0)),Inputs!$B$4:$B$100,$B24)/1000)</f>
        <v/>
      </c>
      <c r="V24" s="11" t="str">
        <f>IF(V$3=0,"",SUMIFS(INDEX(Inputs!$D$4:$AG$100,0,MATCH(V$2,Inputs!$D$2:$AG$2,0)),Inputs!$B$4:$B$100,$B24)/1000)</f>
        <v/>
      </c>
      <c r="W24" s="12" t="str">
        <f t="shared" si="9"/>
        <v/>
      </c>
      <c r="X24" s="11" t="str">
        <f>IF(X$3=0,"",SUMIFS(INDEX(Inputs!$D$4:$AG$100,0,MATCH(X$2,Inputs!$D$2:$AG$2,0)),Inputs!$B$4:$B$100,$B24)/1000)</f>
        <v/>
      </c>
      <c r="Y24" s="11" t="str">
        <f>IF(Y$3=0,"",SUMIFS(INDEX(Inputs!$D$4:$AG$100,0,MATCH(Y$2,Inputs!$D$2:$AG$2,0)),Inputs!$B$4:$B$100,$B24)/1000)</f>
        <v/>
      </c>
      <c r="Z24" s="11" t="str">
        <f>IF(Z$3=0,"",SUMIFS(INDEX(Inputs!$D$4:$AG$100,0,MATCH(Z$2,Inputs!$D$2:$AG$2,0)),Inputs!$B$4:$B$100,$B24)/1000)</f>
        <v/>
      </c>
      <c r="AA24" s="11" t="str">
        <f>IF(AA$3=0,"",SUMIFS(INDEX(Inputs!$D$4:$AG$100,0,MATCH(AA$2,Inputs!$D$2:$AG$2,0)),Inputs!$B$4:$B$100,$B24)/1000)</f>
        <v/>
      </c>
      <c r="AB24" s="12" t="str">
        <f t="shared" si="10"/>
        <v/>
      </c>
      <c r="AC24" s="11" t="str">
        <f>IF(AC$3=0,"",SUMIFS(INDEX(Inputs!$D$4:$AG$100,0,MATCH(AC$2,Inputs!$D$2:$AG$2,0)),Inputs!$B$4:$B$100,$B24)/1000)</f>
        <v/>
      </c>
      <c r="AD24" s="11" t="str">
        <f>IF(AD$3=0,"",SUMIFS(INDEX(Inputs!$D$4:$AG$100,0,MATCH(AD$2,Inputs!$D$2:$AG$2,0)),Inputs!$B$4:$B$100,$B24)/1000)</f>
        <v/>
      </c>
      <c r="AE24" s="11" t="str">
        <f>IF(AE$3=0,"",SUMIFS(INDEX(Inputs!$D$4:$AG$100,0,MATCH(AE$2,Inputs!$D$2:$AG$2,0)),Inputs!$B$4:$B$100,$B24)/1000)</f>
        <v/>
      </c>
      <c r="AF24" s="11" t="str">
        <f>IF(AF$3=0,"",SUMIFS(INDEX(Inputs!$D$4:$AG$100,0,MATCH(AF$2,Inputs!$D$2:$AG$2,0)),Inputs!$B$4:$B$100,$B24)/1000)</f>
        <v/>
      </c>
      <c r="AG24" s="12" t="str">
        <f t="shared" si="11"/>
        <v/>
      </c>
    </row>
    <row r="25" spans="2:33" x14ac:dyDescent="0.2">
      <c r="B25" s="9">
        <v>21</v>
      </c>
      <c r="C25" s="14" t="s">
        <v>56</v>
      </c>
      <c r="D25" s="11" t="str">
        <f>IF(D$3=0,"",SUMIFS(INDEX(Inputs!$D$4:$AG$100,0,MATCH(D$2,Inputs!$D$2:$AG$2,0)),Inputs!$B$4:$B$100,$B25)/1000)</f>
        <v/>
      </c>
      <c r="E25" s="11" t="str">
        <f>IF(E$3=0,"",SUMIFS(INDEX(Inputs!$D$4:$AG$100,0,MATCH(E$2,Inputs!$D$2:$AG$2,0)),Inputs!$B$4:$B$100,$B25)/1000)</f>
        <v/>
      </c>
      <c r="F25" s="11" t="str">
        <f>IF(F$3=0,"",SUMIFS(INDEX(Inputs!$D$4:$AG$100,0,MATCH(F$2,Inputs!$D$2:$AG$2,0)),Inputs!$B$4:$B$100,$B25)/1000)</f>
        <v/>
      </c>
      <c r="G25" s="11" t="str">
        <f>IF(G$3=0,"",SUMIFS(INDEX(Inputs!$D$4:$AG$100,0,MATCH(G$2,Inputs!$D$2:$AG$2,0)),Inputs!$B$4:$B$100,$B25)/1000)</f>
        <v/>
      </c>
      <c r="H25" s="12" t="str">
        <f t="shared" si="6"/>
        <v/>
      </c>
      <c r="I25" s="11" t="str">
        <f>IF(I$3=0,"",SUMIFS(INDEX(Inputs!$D$4:$AG$100,0,MATCH(I$2,Inputs!$D$2:$AG$2,0)),Inputs!$B$4:$B$100,$B25)/1000)</f>
        <v/>
      </c>
      <c r="J25" s="11" t="str">
        <f>IF(J$3=0,"",SUMIFS(INDEX(Inputs!$D$4:$AG$100,0,MATCH(J$2,Inputs!$D$2:$AG$2,0)),Inputs!$B$4:$B$100,$B25)/1000)</f>
        <v/>
      </c>
      <c r="K25" s="11" t="str">
        <f>IF(K$3=0,"",SUMIFS(INDEX(Inputs!$D$4:$AG$100,0,MATCH(K$2,Inputs!$D$2:$AG$2,0)),Inputs!$B$4:$B$100,$B25)/1000)</f>
        <v/>
      </c>
      <c r="L25" s="11" t="str">
        <f>IF(L$3=0,"",SUMIFS(INDEX(Inputs!$D$4:$AG$100,0,MATCH(L$2,Inputs!$D$2:$AG$2,0)),Inputs!$B$4:$B$100,$B25)/1000)</f>
        <v/>
      </c>
      <c r="M25" s="12" t="str">
        <f t="shared" si="7"/>
        <v/>
      </c>
      <c r="N25" s="11" t="str">
        <f>IF(N$3=0,"",SUMIFS(INDEX(Inputs!$D$4:$AG$100,0,MATCH(N$2,Inputs!$D$2:$AG$2,0)),Inputs!$B$4:$B$100,$B25)/1000)</f>
        <v/>
      </c>
      <c r="O25" s="11" t="str">
        <f>IF(O$3=0,"",SUMIFS(INDEX(Inputs!$D$4:$AG$100,0,MATCH(O$2,Inputs!$D$2:$AG$2,0)),Inputs!$B$4:$B$100,$B25)/1000)</f>
        <v/>
      </c>
      <c r="P25" s="11" t="str">
        <f>IF(P$3=0,"",SUMIFS(INDEX(Inputs!$D$4:$AG$100,0,MATCH(P$2,Inputs!$D$2:$AG$2,0)),Inputs!$B$4:$B$100,$B25)/1000)</f>
        <v/>
      </c>
      <c r="Q25" s="11" t="str">
        <f>IF(Q$3=0,"",SUMIFS(INDEX(Inputs!$D$4:$AG$100,0,MATCH(Q$2,Inputs!$D$2:$AG$2,0)),Inputs!$B$4:$B$100,$B25)/1000)</f>
        <v/>
      </c>
      <c r="R25" s="12" t="str">
        <f t="shared" si="8"/>
        <v/>
      </c>
      <c r="S25" s="11" t="str">
        <f>IF(S$3=0,"",SUMIFS(INDEX(Inputs!$D$4:$AG$100,0,MATCH(S$2,Inputs!$D$2:$AG$2,0)),Inputs!$B$4:$B$100,$B25)/1000)</f>
        <v/>
      </c>
      <c r="T25" s="11" t="str">
        <f>IF(T$3=0,"",SUMIFS(INDEX(Inputs!$D$4:$AG$100,0,MATCH(T$2,Inputs!$D$2:$AG$2,0)),Inputs!$B$4:$B$100,$B25)/1000)</f>
        <v/>
      </c>
      <c r="U25" s="11" t="str">
        <f>IF(U$3=0,"",SUMIFS(INDEX(Inputs!$D$4:$AG$100,0,MATCH(U$2,Inputs!$D$2:$AG$2,0)),Inputs!$B$4:$B$100,$B25)/1000)</f>
        <v/>
      </c>
      <c r="V25" s="11" t="str">
        <f>IF(V$3=0,"",SUMIFS(INDEX(Inputs!$D$4:$AG$100,0,MATCH(V$2,Inputs!$D$2:$AG$2,0)),Inputs!$B$4:$B$100,$B25)/1000)</f>
        <v/>
      </c>
      <c r="W25" s="12" t="str">
        <f t="shared" si="9"/>
        <v/>
      </c>
      <c r="X25" s="11" t="str">
        <f>IF(X$3=0,"",SUMIFS(INDEX(Inputs!$D$4:$AG$100,0,MATCH(X$2,Inputs!$D$2:$AG$2,0)),Inputs!$B$4:$B$100,$B25)/1000)</f>
        <v/>
      </c>
      <c r="Y25" s="11" t="str">
        <f>IF(Y$3=0,"",SUMIFS(INDEX(Inputs!$D$4:$AG$100,0,MATCH(Y$2,Inputs!$D$2:$AG$2,0)),Inputs!$B$4:$B$100,$B25)/1000)</f>
        <v/>
      </c>
      <c r="Z25" s="11" t="str">
        <f>IF(Z$3=0,"",SUMIFS(INDEX(Inputs!$D$4:$AG$100,0,MATCH(Z$2,Inputs!$D$2:$AG$2,0)),Inputs!$B$4:$B$100,$B25)/1000)</f>
        <v/>
      </c>
      <c r="AA25" s="11" t="str">
        <f>IF(AA$3=0,"",SUMIFS(INDEX(Inputs!$D$4:$AG$100,0,MATCH(AA$2,Inputs!$D$2:$AG$2,0)),Inputs!$B$4:$B$100,$B25)/1000)</f>
        <v/>
      </c>
      <c r="AB25" s="12" t="str">
        <f t="shared" si="10"/>
        <v/>
      </c>
      <c r="AC25" s="11" t="str">
        <f>IF(AC$3=0,"",SUMIFS(INDEX(Inputs!$D$4:$AG$100,0,MATCH(AC$2,Inputs!$D$2:$AG$2,0)),Inputs!$B$4:$B$100,$B25)/1000)</f>
        <v/>
      </c>
      <c r="AD25" s="11" t="str">
        <f>IF(AD$3=0,"",SUMIFS(INDEX(Inputs!$D$4:$AG$100,0,MATCH(AD$2,Inputs!$D$2:$AG$2,0)),Inputs!$B$4:$B$100,$B25)/1000)</f>
        <v/>
      </c>
      <c r="AE25" s="11" t="str">
        <f>IF(AE$3=0,"",SUMIFS(INDEX(Inputs!$D$4:$AG$100,0,MATCH(AE$2,Inputs!$D$2:$AG$2,0)),Inputs!$B$4:$B$100,$B25)/1000)</f>
        <v/>
      </c>
      <c r="AF25" s="11" t="str">
        <f>IF(AF$3=0,"",SUMIFS(INDEX(Inputs!$D$4:$AG$100,0,MATCH(AF$2,Inputs!$D$2:$AG$2,0)),Inputs!$B$4:$B$100,$B25)/1000)</f>
        <v/>
      </c>
      <c r="AG25" s="12" t="str">
        <f t="shared" si="11"/>
        <v/>
      </c>
    </row>
    <row r="26" spans="2:33" x14ac:dyDescent="0.2">
      <c r="B26" s="9">
        <v>22</v>
      </c>
      <c r="C26" s="14" t="s">
        <v>57</v>
      </c>
      <c r="D26" s="11" t="str">
        <f>IF(D$3=0,"",SUMIFS(INDEX(Inputs!$D$4:$AG$100,0,MATCH(D$2,Inputs!$D$2:$AG$2,0)),Inputs!$B$4:$B$100,$B26)/1000)</f>
        <v/>
      </c>
      <c r="E26" s="11" t="str">
        <f>IF(E$3=0,"",SUMIFS(INDEX(Inputs!$D$4:$AG$100,0,MATCH(E$2,Inputs!$D$2:$AG$2,0)),Inputs!$B$4:$B$100,$B26)/1000)</f>
        <v/>
      </c>
      <c r="F26" s="11" t="str">
        <f>IF(F$3=0,"",SUMIFS(INDEX(Inputs!$D$4:$AG$100,0,MATCH(F$2,Inputs!$D$2:$AG$2,0)),Inputs!$B$4:$B$100,$B26)/1000)</f>
        <v/>
      </c>
      <c r="G26" s="11" t="str">
        <f>IF(G$3=0,"",SUMIFS(INDEX(Inputs!$D$4:$AG$100,0,MATCH(G$2,Inputs!$D$2:$AG$2,0)),Inputs!$B$4:$B$100,$B26)/1000)</f>
        <v/>
      </c>
      <c r="H26" s="12" t="str">
        <f t="shared" si="6"/>
        <v/>
      </c>
      <c r="I26" s="11" t="str">
        <f>IF(I$3=0,"",SUMIFS(INDEX(Inputs!$D$4:$AG$100,0,MATCH(I$2,Inputs!$D$2:$AG$2,0)),Inputs!$B$4:$B$100,$B26)/1000)</f>
        <v/>
      </c>
      <c r="J26" s="11" t="str">
        <f>IF(J$3=0,"",SUMIFS(INDEX(Inputs!$D$4:$AG$100,0,MATCH(J$2,Inputs!$D$2:$AG$2,0)),Inputs!$B$4:$B$100,$B26)/1000)</f>
        <v/>
      </c>
      <c r="K26" s="11" t="str">
        <f>IF(K$3=0,"",SUMIFS(INDEX(Inputs!$D$4:$AG$100,0,MATCH(K$2,Inputs!$D$2:$AG$2,0)),Inputs!$B$4:$B$100,$B26)/1000)</f>
        <v/>
      </c>
      <c r="L26" s="11" t="str">
        <f>IF(L$3=0,"",SUMIFS(INDEX(Inputs!$D$4:$AG$100,0,MATCH(L$2,Inputs!$D$2:$AG$2,0)),Inputs!$B$4:$B$100,$B26)/1000)</f>
        <v/>
      </c>
      <c r="M26" s="12" t="str">
        <f t="shared" si="7"/>
        <v/>
      </c>
      <c r="N26" s="11" t="str">
        <f>IF(N$3=0,"",SUMIFS(INDEX(Inputs!$D$4:$AG$100,0,MATCH(N$2,Inputs!$D$2:$AG$2,0)),Inputs!$B$4:$B$100,$B26)/1000)</f>
        <v/>
      </c>
      <c r="O26" s="11" t="str">
        <f>IF(O$3=0,"",SUMIFS(INDEX(Inputs!$D$4:$AG$100,0,MATCH(O$2,Inputs!$D$2:$AG$2,0)),Inputs!$B$4:$B$100,$B26)/1000)</f>
        <v/>
      </c>
      <c r="P26" s="11" t="str">
        <f>IF(P$3=0,"",SUMIFS(INDEX(Inputs!$D$4:$AG$100,0,MATCH(P$2,Inputs!$D$2:$AG$2,0)),Inputs!$B$4:$B$100,$B26)/1000)</f>
        <v/>
      </c>
      <c r="Q26" s="11" t="str">
        <f>IF(Q$3=0,"",SUMIFS(INDEX(Inputs!$D$4:$AG$100,0,MATCH(Q$2,Inputs!$D$2:$AG$2,0)),Inputs!$B$4:$B$100,$B26)/1000)</f>
        <v/>
      </c>
      <c r="R26" s="12" t="str">
        <f t="shared" si="8"/>
        <v/>
      </c>
      <c r="S26" s="11" t="str">
        <f>IF(S$3=0,"",SUMIFS(INDEX(Inputs!$D$4:$AG$100,0,MATCH(S$2,Inputs!$D$2:$AG$2,0)),Inputs!$B$4:$B$100,$B26)/1000)</f>
        <v/>
      </c>
      <c r="T26" s="11" t="str">
        <f>IF(T$3=0,"",SUMIFS(INDEX(Inputs!$D$4:$AG$100,0,MATCH(T$2,Inputs!$D$2:$AG$2,0)),Inputs!$B$4:$B$100,$B26)/1000)</f>
        <v/>
      </c>
      <c r="U26" s="11" t="str">
        <f>IF(U$3=0,"",SUMIFS(INDEX(Inputs!$D$4:$AG$100,0,MATCH(U$2,Inputs!$D$2:$AG$2,0)),Inputs!$B$4:$B$100,$B26)/1000)</f>
        <v/>
      </c>
      <c r="V26" s="11" t="str">
        <f>IF(V$3=0,"",SUMIFS(INDEX(Inputs!$D$4:$AG$100,0,MATCH(V$2,Inputs!$D$2:$AG$2,0)),Inputs!$B$4:$B$100,$B26)/1000)</f>
        <v/>
      </c>
      <c r="W26" s="12" t="str">
        <f t="shared" si="9"/>
        <v/>
      </c>
      <c r="X26" s="11" t="str">
        <f>IF(X$3=0,"",SUMIFS(INDEX(Inputs!$D$4:$AG$100,0,MATCH(X$2,Inputs!$D$2:$AG$2,0)),Inputs!$B$4:$B$100,$B26)/1000)</f>
        <v/>
      </c>
      <c r="Y26" s="11" t="str">
        <f>IF(Y$3=0,"",SUMIFS(INDEX(Inputs!$D$4:$AG$100,0,MATCH(Y$2,Inputs!$D$2:$AG$2,0)),Inputs!$B$4:$B$100,$B26)/1000)</f>
        <v/>
      </c>
      <c r="Z26" s="11" t="str">
        <f>IF(Z$3=0,"",SUMIFS(INDEX(Inputs!$D$4:$AG$100,0,MATCH(Z$2,Inputs!$D$2:$AG$2,0)),Inputs!$B$4:$B$100,$B26)/1000)</f>
        <v/>
      </c>
      <c r="AA26" s="11" t="str">
        <f>IF(AA$3=0,"",SUMIFS(INDEX(Inputs!$D$4:$AG$100,0,MATCH(AA$2,Inputs!$D$2:$AG$2,0)),Inputs!$B$4:$B$100,$B26)/1000)</f>
        <v/>
      </c>
      <c r="AB26" s="12" t="str">
        <f t="shared" si="10"/>
        <v/>
      </c>
      <c r="AC26" s="11" t="str">
        <f>IF(AC$3=0,"",SUMIFS(INDEX(Inputs!$D$4:$AG$100,0,MATCH(AC$2,Inputs!$D$2:$AG$2,0)),Inputs!$B$4:$B$100,$B26)/1000)</f>
        <v/>
      </c>
      <c r="AD26" s="11" t="str">
        <f>IF(AD$3=0,"",SUMIFS(INDEX(Inputs!$D$4:$AG$100,0,MATCH(AD$2,Inputs!$D$2:$AG$2,0)),Inputs!$B$4:$B$100,$B26)/1000)</f>
        <v/>
      </c>
      <c r="AE26" s="11" t="str">
        <f>IF(AE$3=0,"",SUMIFS(INDEX(Inputs!$D$4:$AG$100,0,MATCH(AE$2,Inputs!$D$2:$AG$2,0)),Inputs!$B$4:$B$100,$B26)/1000)</f>
        <v/>
      </c>
      <c r="AF26" s="11" t="str">
        <f>IF(AF$3=0,"",SUMIFS(INDEX(Inputs!$D$4:$AG$100,0,MATCH(AF$2,Inputs!$D$2:$AG$2,0)),Inputs!$B$4:$B$100,$B26)/1000)</f>
        <v/>
      </c>
      <c r="AG26" s="12" t="str">
        <f t="shared" si="11"/>
        <v/>
      </c>
    </row>
    <row r="27" spans="2:33" x14ac:dyDescent="0.2">
      <c r="C27" s="3"/>
    </row>
    <row r="28" spans="2:33" x14ac:dyDescent="0.2">
      <c r="B28" s="9">
        <v>23</v>
      </c>
      <c r="C28" s="14" t="s">
        <v>58</v>
      </c>
      <c r="D28" s="11" t="str">
        <f>IF(D$3=0,"",SUMIFS(INDEX(Inputs!$D$4:$AG$100,0,MATCH(D$2,Inputs!$D$2:$AG$2,0)),Inputs!$B$4:$B$100,$B28)/1000)</f>
        <v/>
      </c>
      <c r="E28" s="11" t="str">
        <f>IF(E$3=0,"",SUMIFS(INDEX(Inputs!$D$4:$AG$100,0,MATCH(E$2,Inputs!$D$2:$AG$2,0)),Inputs!$B$4:$B$100,$B28)/1000)</f>
        <v/>
      </c>
      <c r="F28" s="11" t="str">
        <f>IF(F$3=0,"",SUMIFS(INDEX(Inputs!$D$4:$AG$100,0,MATCH(F$2,Inputs!$D$2:$AG$2,0)),Inputs!$B$4:$B$100,$B28)/1000)</f>
        <v/>
      </c>
      <c r="G28" s="11" t="str">
        <f>IF(G$3=0,"",SUMIFS(INDEX(Inputs!$D$4:$AG$100,0,MATCH(G$2,Inputs!$D$2:$AG$2,0)),Inputs!$B$4:$B$100,$B28)/1000)</f>
        <v/>
      </c>
      <c r="H28" s="12" t="str">
        <f t="shared" ref="H28:H39" si="12">IF(G28="","",G28)</f>
        <v/>
      </c>
      <c r="I28" s="11" t="str">
        <f>IF(I$3=0,"",SUMIFS(INDEX(Inputs!$D$4:$AG$100,0,MATCH(I$2,Inputs!$D$2:$AG$2,0)),Inputs!$B$4:$B$100,$B28)/1000)</f>
        <v/>
      </c>
      <c r="J28" s="11" t="str">
        <f>IF(J$3=0,"",SUMIFS(INDEX(Inputs!$D$4:$AG$100,0,MATCH(J$2,Inputs!$D$2:$AG$2,0)),Inputs!$B$4:$B$100,$B28)/1000)</f>
        <v/>
      </c>
      <c r="K28" s="11" t="str">
        <f>IF(K$3=0,"",SUMIFS(INDEX(Inputs!$D$4:$AG$100,0,MATCH(K$2,Inputs!$D$2:$AG$2,0)),Inputs!$B$4:$B$100,$B28)/1000)</f>
        <v/>
      </c>
      <c r="L28" s="11" t="str">
        <f>IF(L$3=0,"",SUMIFS(INDEX(Inputs!$D$4:$AG$100,0,MATCH(L$2,Inputs!$D$2:$AG$2,0)),Inputs!$B$4:$B$100,$B28)/1000)</f>
        <v/>
      </c>
      <c r="M28" s="12" t="str">
        <f t="shared" ref="M28:M39" si="13">IF(L28="","",L28)</f>
        <v/>
      </c>
      <c r="N28" s="11" t="str">
        <f>IF(N$3=0,"",SUMIFS(INDEX(Inputs!$D$4:$AG$100,0,MATCH(N$2,Inputs!$D$2:$AG$2,0)),Inputs!$B$4:$B$100,$B28)/1000)</f>
        <v/>
      </c>
      <c r="O28" s="11" t="str">
        <f>IF(O$3=0,"",SUMIFS(INDEX(Inputs!$D$4:$AG$100,0,MATCH(O$2,Inputs!$D$2:$AG$2,0)),Inputs!$B$4:$B$100,$B28)/1000)</f>
        <v/>
      </c>
      <c r="P28" s="11" t="str">
        <f>IF(P$3=0,"",SUMIFS(INDEX(Inputs!$D$4:$AG$100,0,MATCH(P$2,Inputs!$D$2:$AG$2,0)),Inputs!$B$4:$B$100,$B28)/1000)</f>
        <v/>
      </c>
      <c r="Q28" s="11" t="str">
        <f>IF(Q$3=0,"",SUMIFS(INDEX(Inputs!$D$4:$AG$100,0,MATCH(Q$2,Inputs!$D$2:$AG$2,0)),Inputs!$B$4:$B$100,$B28)/1000)</f>
        <v/>
      </c>
      <c r="R28" s="12" t="str">
        <f t="shared" ref="R28:R39" si="14">IF(Q28="","",Q28)</f>
        <v/>
      </c>
      <c r="S28" s="11" t="str">
        <f>IF(S$3=0,"",SUMIFS(INDEX(Inputs!$D$4:$AG$100,0,MATCH(S$2,Inputs!$D$2:$AG$2,0)),Inputs!$B$4:$B$100,$B28)/1000)</f>
        <v/>
      </c>
      <c r="T28" s="11" t="str">
        <f>IF(T$3=0,"",SUMIFS(INDEX(Inputs!$D$4:$AG$100,0,MATCH(T$2,Inputs!$D$2:$AG$2,0)),Inputs!$B$4:$B$100,$B28)/1000)</f>
        <v/>
      </c>
      <c r="U28" s="11" t="str">
        <f>IF(U$3=0,"",SUMIFS(INDEX(Inputs!$D$4:$AG$100,0,MATCH(U$2,Inputs!$D$2:$AG$2,0)),Inputs!$B$4:$B$100,$B28)/1000)</f>
        <v/>
      </c>
      <c r="V28" s="11" t="str">
        <f>IF(V$3=0,"",SUMIFS(INDEX(Inputs!$D$4:$AG$100,0,MATCH(V$2,Inputs!$D$2:$AG$2,0)),Inputs!$B$4:$B$100,$B28)/1000)</f>
        <v/>
      </c>
      <c r="W28" s="12" t="str">
        <f t="shared" ref="W28:W39" si="15">IF(V28="","",V28)</f>
        <v/>
      </c>
      <c r="X28" s="11" t="str">
        <f>IF(X$3=0,"",SUMIFS(INDEX(Inputs!$D$4:$AG$100,0,MATCH(X$2,Inputs!$D$2:$AG$2,0)),Inputs!$B$4:$B$100,$B28)/1000)</f>
        <v/>
      </c>
      <c r="Y28" s="11" t="str">
        <f>IF(Y$3=0,"",SUMIFS(INDEX(Inputs!$D$4:$AG$100,0,MATCH(Y$2,Inputs!$D$2:$AG$2,0)),Inputs!$B$4:$B$100,$B28)/1000)</f>
        <v/>
      </c>
      <c r="Z28" s="11" t="str">
        <f>IF(Z$3=0,"",SUMIFS(INDEX(Inputs!$D$4:$AG$100,0,MATCH(Z$2,Inputs!$D$2:$AG$2,0)),Inputs!$B$4:$B$100,$B28)/1000)</f>
        <v/>
      </c>
      <c r="AA28" s="11" t="str">
        <f>IF(AA$3=0,"",SUMIFS(INDEX(Inputs!$D$4:$AG$100,0,MATCH(AA$2,Inputs!$D$2:$AG$2,0)),Inputs!$B$4:$B$100,$B28)/1000)</f>
        <v/>
      </c>
      <c r="AB28" s="12" t="str">
        <f t="shared" ref="AB28:AB39" si="16">IF(AA28="","",AA28)</f>
        <v/>
      </c>
      <c r="AC28" s="11" t="str">
        <f>IF(AC$3=0,"",SUMIFS(INDEX(Inputs!$D$4:$AG$100,0,MATCH(AC$2,Inputs!$D$2:$AG$2,0)),Inputs!$B$4:$B$100,$B28)/1000)</f>
        <v/>
      </c>
      <c r="AD28" s="11" t="str">
        <f>IF(AD$3=0,"",SUMIFS(INDEX(Inputs!$D$4:$AG$100,0,MATCH(AD$2,Inputs!$D$2:$AG$2,0)),Inputs!$B$4:$B$100,$B28)/1000)</f>
        <v/>
      </c>
      <c r="AE28" s="11" t="str">
        <f>IF(AE$3=0,"",SUMIFS(INDEX(Inputs!$D$4:$AG$100,0,MATCH(AE$2,Inputs!$D$2:$AG$2,0)),Inputs!$B$4:$B$100,$B28)/1000)</f>
        <v/>
      </c>
      <c r="AF28" s="11" t="str">
        <f>IF(AF$3=0,"",SUMIFS(INDEX(Inputs!$D$4:$AG$100,0,MATCH(AF$2,Inputs!$D$2:$AG$2,0)),Inputs!$B$4:$B$100,$B28)/1000)</f>
        <v/>
      </c>
      <c r="AG28" s="12" t="str">
        <f t="shared" ref="AG28:AG39" si="17">IF(AF28="","",AF28)</f>
        <v/>
      </c>
    </row>
    <row r="29" spans="2:33" x14ac:dyDescent="0.2">
      <c r="B29" s="9">
        <v>24</v>
      </c>
      <c r="C29" s="14" t="s">
        <v>59</v>
      </c>
      <c r="D29" s="11" t="str">
        <f>IF(D$3=0,"",SUMIFS(INDEX(Inputs!$D$4:$AG$100,0,MATCH(D$2,Inputs!$D$2:$AG$2,0)),Inputs!$B$4:$B$100,$B29)/1000)</f>
        <v/>
      </c>
      <c r="E29" s="11" t="str">
        <f>IF(E$3=0,"",SUMIFS(INDEX(Inputs!$D$4:$AG$100,0,MATCH(E$2,Inputs!$D$2:$AG$2,0)),Inputs!$B$4:$B$100,$B29)/1000)</f>
        <v/>
      </c>
      <c r="F29" s="11" t="str">
        <f>IF(F$3=0,"",SUMIFS(INDEX(Inputs!$D$4:$AG$100,0,MATCH(F$2,Inputs!$D$2:$AG$2,0)),Inputs!$B$4:$B$100,$B29)/1000)</f>
        <v/>
      </c>
      <c r="G29" s="11" t="str">
        <f>IF(G$3=0,"",SUMIFS(INDEX(Inputs!$D$4:$AG$100,0,MATCH(G$2,Inputs!$D$2:$AG$2,0)),Inputs!$B$4:$B$100,$B29)/1000)</f>
        <v/>
      </c>
      <c r="H29" s="12" t="str">
        <f t="shared" si="12"/>
        <v/>
      </c>
      <c r="I29" s="11" t="str">
        <f>IF(I$3=0,"",SUMIFS(INDEX(Inputs!$D$4:$AG$100,0,MATCH(I$2,Inputs!$D$2:$AG$2,0)),Inputs!$B$4:$B$100,$B29)/1000)</f>
        <v/>
      </c>
      <c r="J29" s="11" t="str">
        <f>IF(J$3=0,"",SUMIFS(INDEX(Inputs!$D$4:$AG$100,0,MATCH(J$2,Inputs!$D$2:$AG$2,0)),Inputs!$B$4:$B$100,$B29)/1000)</f>
        <v/>
      </c>
      <c r="K29" s="11" t="str">
        <f>IF(K$3=0,"",SUMIFS(INDEX(Inputs!$D$4:$AG$100,0,MATCH(K$2,Inputs!$D$2:$AG$2,0)),Inputs!$B$4:$B$100,$B29)/1000)</f>
        <v/>
      </c>
      <c r="L29" s="11" t="str">
        <f>IF(L$3=0,"",SUMIFS(INDEX(Inputs!$D$4:$AG$100,0,MATCH(L$2,Inputs!$D$2:$AG$2,0)),Inputs!$B$4:$B$100,$B29)/1000)</f>
        <v/>
      </c>
      <c r="M29" s="12" t="str">
        <f t="shared" si="13"/>
        <v/>
      </c>
      <c r="N29" s="11" t="str">
        <f>IF(N$3=0,"",SUMIFS(INDEX(Inputs!$D$4:$AG$100,0,MATCH(N$2,Inputs!$D$2:$AG$2,0)),Inputs!$B$4:$B$100,$B29)/1000)</f>
        <v/>
      </c>
      <c r="O29" s="11" t="str">
        <f>IF(O$3=0,"",SUMIFS(INDEX(Inputs!$D$4:$AG$100,0,MATCH(O$2,Inputs!$D$2:$AG$2,0)),Inputs!$B$4:$B$100,$B29)/1000)</f>
        <v/>
      </c>
      <c r="P29" s="11" t="str">
        <f>IF(P$3=0,"",SUMIFS(INDEX(Inputs!$D$4:$AG$100,0,MATCH(P$2,Inputs!$D$2:$AG$2,0)),Inputs!$B$4:$B$100,$B29)/1000)</f>
        <v/>
      </c>
      <c r="Q29" s="11" t="str">
        <f>IF(Q$3=0,"",SUMIFS(INDEX(Inputs!$D$4:$AG$100,0,MATCH(Q$2,Inputs!$D$2:$AG$2,0)),Inputs!$B$4:$B$100,$B29)/1000)</f>
        <v/>
      </c>
      <c r="R29" s="12" t="str">
        <f t="shared" si="14"/>
        <v/>
      </c>
      <c r="S29" s="11" t="str">
        <f>IF(S$3=0,"",SUMIFS(INDEX(Inputs!$D$4:$AG$100,0,MATCH(S$2,Inputs!$D$2:$AG$2,0)),Inputs!$B$4:$B$100,$B29)/1000)</f>
        <v/>
      </c>
      <c r="T29" s="11" t="str">
        <f>IF(T$3=0,"",SUMIFS(INDEX(Inputs!$D$4:$AG$100,0,MATCH(T$2,Inputs!$D$2:$AG$2,0)),Inputs!$B$4:$B$100,$B29)/1000)</f>
        <v/>
      </c>
      <c r="U29" s="11" t="str">
        <f>IF(U$3=0,"",SUMIFS(INDEX(Inputs!$D$4:$AG$100,0,MATCH(U$2,Inputs!$D$2:$AG$2,0)),Inputs!$B$4:$B$100,$B29)/1000)</f>
        <v/>
      </c>
      <c r="V29" s="11" t="str">
        <f>IF(V$3=0,"",SUMIFS(INDEX(Inputs!$D$4:$AG$100,0,MATCH(V$2,Inputs!$D$2:$AG$2,0)),Inputs!$B$4:$B$100,$B29)/1000)</f>
        <v/>
      </c>
      <c r="W29" s="12" t="str">
        <f t="shared" si="15"/>
        <v/>
      </c>
      <c r="X29" s="11" t="str">
        <f>IF(X$3=0,"",SUMIFS(INDEX(Inputs!$D$4:$AG$100,0,MATCH(X$2,Inputs!$D$2:$AG$2,0)),Inputs!$B$4:$B$100,$B29)/1000)</f>
        <v/>
      </c>
      <c r="Y29" s="11" t="str">
        <f>IF(Y$3=0,"",SUMIFS(INDEX(Inputs!$D$4:$AG$100,0,MATCH(Y$2,Inputs!$D$2:$AG$2,0)),Inputs!$B$4:$B$100,$B29)/1000)</f>
        <v/>
      </c>
      <c r="Z29" s="11" t="str">
        <f>IF(Z$3=0,"",SUMIFS(INDEX(Inputs!$D$4:$AG$100,0,MATCH(Z$2,Inputs!$D$2:$AG$2,0)),Inputs!$B$4:$B$100,$B29)/1000)</f>
        <v/>
      </c>
      <c r="AA29" s="11" t="str">
        <f>IF(AA$3=0,"",SUMIFS(INDEX(Inputs!$D$4:$AG$100,0,MATCH(AA$2,Inputs!$D$2:$AG$2,0)),Inputs!$B$4:$B$100,$B29)/1000)</f>
        <v/>
      </c>
      <c r="AB29" s="12" t="str">
        <f t="shared" si="16"/>
        <v/>
      </c>
      <c r="AC29" s="11" t="str">
        <f>IF(AC$3=0,"",SUMIFS(INDEX(Inputs!$D$4:$AG$100,0,MATCH(AC$2,Inputs!$D$2:$AG$2,0)),Inputs!$B$4:$B$100,$B29)/1000)</f>
        <v/>
      </c>
      <c r="AD29" s="11" t="str">
        <f>IF(AD$3=0,"",SUMIFS(INDEX(Inputs!$D$4:$AG$100,0,MATCH(AD$2,Inputs!$D$2:$AG$2,0)),Inputs!$B$4:$B$100,$B29)/1000)</f>
        <v/>
      </c>
      <c r="AE29" s="11" t="str">
        <f>IF(AE$3=0,"",SUMIFS(INDEX(Inputs!$D$4:$AG$100,0,MATCH(AE$2,Inputs!$D$2:$AG$2,0)),Inputs!$B$4:$B$100,$B29)/1000)</f>
        <v/>
      </c>
      <c r="AF29" s="11" t="str">
        <f>IF(AF$3=0,"",SUMIFS(INDEX(Inputs!$D$4:$AG$100,0,MATCH(AF$2,Inputs!$D$2:$AG$2,0)),Inputs!$B$4:$B$100,$B29)/1000)</f>
        <v/>
      </c>
      <c r="AG29" s="12" t="str">
        <f t="shared" si="17"/>
        <v/>
      </c>
    </row>
    <row r="30" spans="2:33" x14ac:dyDescent="0.2">
      <c r="B30" s="9">
        <v>25</v>
      </c>
      <c r="C30" s="14" t="s">
        <v>60</v>
      </c>
      <c r="D30" s="11" t="str">
        <f>IF(D$3=0,"",SUMIFS(INDEX(Inputs!$D$4:$AG$100,0,MATCH(D$2,Inputs!$D$2:$AG$2,0)),Inputs!$B$4:$B$100,$B30)/1000)</f>
        <v/>
      </c>
      <c r="E30" s="11" t="str">
        <f>IF(E$3=0,"",SUMIFS(INDEX(Inputs!$D$4:$AG$100,0,MATCH(E$2,Inputs!$D$2:$AG$2,0)),Inputs!$B$4:$B$100,$B30)/1000)</f>
        <v/>
      </c>
      <c r="F30" s="11" t="str">
        <f>IF(F$3=0,"",SUMIFS(INDEX(Inputs!$D$4:$AG$100,0,MATCH(F$2,Inputs!$D$2:$AG$2,0)),Inputs!$B$4:$B$100,$B30)/1000)</f>
        <v/>
      </c>
      <c r="G30" s="11" t="str">
        <f>IF(G$3=0,"",SUMIFS(INDEX(Inputs!$D$4:$AG$100,0,MATCH(G$2,Inputs!$D$2:$AG$2,0)),Inputs!$B$4:$B$100,$B30)/1000)</f>
        <v/>
      </c>
      <c r="H30" s="12" t="str">
        <f t="shared" si="12"/>
        <v/>
      </c>
      <c r="I30" s="11" t="str">
        <f>IF(I$3=0,"",SUMIFS(INDEX(Inputs!$D$4:$AG$100,0,MATCH(I$2,Inputs!$D$2:$AG$2,0)),Inputs!$B$4:$B$100,$B30)/1000)</f>
        <v/>
      </c>
      <c r="J30" s="11" t="str">
        <f>IF(J$3=0,"",SUMIFS(INDEX(Inputs!$D$4:$AG$100,0,MATCH(J$2,Inputs!$D$2:$AG$2,0)),Inputs!$B$4:$B$100,$B30)/1000)</f>
        <v/>
      </c>
      <c r="K30" s="11" t="str">
        <f>IF(K$3=0,"",SUMIFS(INDEX(Inputs!$D$4:$AG$100,0,MATCH(K$2,Inputs!$D$2:$AG$2,0)),Inputs!$B$4:$B$100,$B30)/1000)</f>
        <v/>
      </c>
      <c r="L30" s="11" t="str">
        <f>IF(L$3=0,"",SUMIFS(INDEX(Inputs!$D$4:$AG$100,0,MATCH(L$2,Inputs!$D$2:$AG$2,0)),Inputs!$B$4:$B$100,$B30)/1000)</f>
        <v/>
      </c>
      <c r="M30" s="12" t="str">
        <f t="shared" si="13"/>
        <v/>
      </c>
      <c r="N30" s="11" t="str">
        <f>IF(N$3=0,"",SUMIFS(INDEX(Inputs!$D$4:$AG$100,0,MATCH(N$2,Inputs!$D$2:$AG$2,0)),Inputs!$B$4:$B$100,$B30)/1000)</f>
        <v/>
      </c>
      <c r="O30" s="11" t="str">
        <f>IF(O$3=0,"",SUMIFS(INDEX(Inputs!$D$4:$AG$100,0,MATCH(O$2,Inputs!$D$2:$AG$2,0)),Inputs!$B$4:$B$100,$B30)/1000)</f>
        <v/>
      </c>
      <c r="P30" s="11" t="str">
        <f>IF(P$3=0,"",SUMIFS(INDEX(Inputs!$D$4:$AG$100,0,MATCH(P$2,Inputs!$D$2:$AG$2,0)),Inputs!$B$4:$B$100,$B30)/1000)</f>
        <v/>
      </c>
      <c r="Q30" s="11" t="str">
        <f>IF(Q$3=0,"",SUMIFS(INDEX(Inputs!$D$4:$AG$100,0,MATCH(Q$2,Inputs!$D$2:$AG$2,0)),Inputs!$B$4:$B$100,$B30)/1000)</f>
        <v/>
      </c>
      <c r="R30" s="12" t="str">
        <f t="shared" si="14"/>
        <v/>
      </c>
      <c r="S30" s="11" t="str">
        <f>IF(S$3=0,"",SUMIFS(INDEX(Inputs!$D$4:$AG$100,0,MATCH(S$2,Inputs!$D$2:$AG$2,0)),Inputs!$B$4:$B$100,$B30)/1000)</f>
        <v/>
      </c>
      <c r="T30" s="11" t="str">
        <f>IF(T$3=0,"",SUMIFS(INDEX(Inputs!$D$4:$AG$100,0,MATCH(T$2,Inputs!$D$2:$AG$2,0)),Inputs!$B$4:$B$100,$B30)/1000)</f>
        <v/>
      </c>
      <c r="U30" s="11" t="str">
        <f>IF(U$3=0,"",SUMIFS(INDEX(Inputs!$D$4:$AG$100,0,MATCH(U$2,Inputs!$D$2:$AG$2,0)),Inputs!$B$4:$B$100,$B30)/1000)</f>
        <v/>
      </c>
      <c r="V30" s="11" t="str">
        <f>IF(V$3=0,"",SUMIFS(INDEX(Inputs!$D$4:$AG$100,0,MATCH(V$2,Inputs!$D$2:$AG$2,0)),Inputs!$B$4:$B$100,$B30)/1000)</f>
        <v/>
      </c>
      <c r="W30" s="12" t="str">
        <f t="shared" si="15"/>
        <v/>
      </c>
      <c r="X30" s="11" t="str">
        <f>IF(X$3=0,"",SUMIFS(INDEX(Inputs!$D$4:$AG$100,0,MATCH(X$2,Inputs!$D$2:$AG$2,0)),Inputs!$B$4:$B$100,$B30)/1000)</f>
        <v/>
      </c>
      <c r="Y30" s="11" t="str">
        <f>IF(Y$3=0,"",SUMIFS(INDEX(Inputs!$D$4:$AG$100,0,MATCH(Y$2,Inputs!$D$2:$AG$2,0)),Inputs!$B$4:$B$100,$B30)/1000)</f>
        <v/>
      </c>
      <c r="Z30" s="11" t="str">
        <f>IF(Z$3=0,"",SUMIFS(INDEX(Inputs!$D$4:$AG$100,0,MATCH(Z$2,Inputs!$D$2:$AG$2,0)),Inputs!$B$4:$B$100,$B30)/1000)</f>
        <v/>
      </c>
      <c r="AA30" s="11" t="str">
        <f>IF(AA$3=0,"",SUMIFS(INDEX(Inputs!$D$4:$AG$100,0,MATCH(AA$2,Inputs!$D$2:$AG$2,0)),Inputs!$B$4:$B$100,$B30)/1000)</f>
        <v/>
      </c>
      <c r="AB30" s="12" t="str">
        <f t="shared" si="16"/>
        <v/>
      </c>
      <c r="AC30" s="11" t="str">
        <f>IF(AC$3=0,"",SUMIFS(INDEX(Inputs!$D$4:$AG$100,0,MATCH(AC$2,Inputs!$D$2:$AG$2,0)),Inputs!$B$4:$B$100,$B30)/1000)</f>
        <v/>
      </c>
      <c r="AD30" s="11" t="str">
        <f>IF(AD$3=0,"",SUMIFS(INDEX(Inputs!$D$4:$AG$100,0,MATCH(AD$2,Inputs!$D$2:$AG$2,0)),Inputs!$B$4:$B$100,$B30)/1000)</f>
        <v/>
      </c>
      <c r="AE30" s="11" t="str">
        <f>IF(AE$3=0,"",SUMIFS(INDEX(Inputs!$D$4:$AG$100,0,MATCH(AE$2,Inputs!$D$2:$AG$2,0)),Inputs!$B$4:$B$100,$B30)/1000)</f>
        <v/>
      </c>
      <c r="AF30" s="11" t="str">
        <f>IF(AF$3=0,"",SUMIFS(INDEX(Inputs!$D$4:$AG$100,0,MATCH(AF$2,Inputs!$D$2:$AG$2,0)),Inputs!$B$4:$B$100,$B30)/1000)</f>
        <v/>
      </c>
      <c r="AG30" s="12" t="str">
        <f t="shared" si="17"/>
        <v/>
      </c>
    </row>
    <row r="31" spans="2:33" x14ac:dyDescent="0.2">
      <c r="B31" s="9">
        <v>26</v>
      </c>
      <c r="C31" s="14" t="s">
        <v>61</v>
      </c>
      <c r="D31" s="11" t="str">
        <f>IF(D$3=0,"",SUMIFS(INDEX(Inputs!$D$4:$AG$100,0,MATCH(D$2,Inputs!$D$2:$AG$2,0)),Inputs!$B$4:$B$100,$B31)/1000)</f>
        <v/>
      </c>
      <c r="E31" s="11" t="str">
        <f>IF(E$3=0,"",SUMIFS(INDEX(Inputs!$D$4:$AG$100,0,MATCH(E$2,Inputs!$D$2:$AG$2,0)),Inputs!$B$4:$B$100,$B31)/1000)</f>
        <v/>
      </c>
      <c r="F31" s="11" t="str">
        <f>IF(F$3=0,"",SUMIFS(INDEX(Inputs!$D$4:$AG$100,0,MATCH(F$2,Inputs!$D$2:$AG$2,0)),Inputs!$B$4:$B$100,$B31)/1000)</f>
        <v/>
      </c>
      <c r="G31" s="11" t="str">
        <f>IF(G$3=0,"",SUMIFS(INDEX(Inputs!$D$4:$AG$100,0,MATCH(G$2,Inputs!$D$2:$AG$2,0)),Inputs!$B$4:$B$100,$B31)/1000)</f>
        <v/>
      </c>
      <c r="H31" s="12" t="str">
        <f t="shared" si="12"/>
        <v/>
      </c>
      <c r="I31" s="11" t="str">
        <f>IF(I$3=0,"",SUMIFS(INDEX(Inputs!$D$4:$AG$100,0,MATCH(I$2,Inputs!$D$2:$AG$2,0)),Inputs!$B$4:$B$100,$B31)/1000)</f>
        <v/>
      </c>
      <c r="J31" s="11" t="str">
        <f>IF(J$3=0,"",SUMIFS(INDEX(Inputs!$D$4:$AG$100,0,MATCH(J$2,Inputs!$D$2:$AG$2,0)),Inputs!$B$4:$B$100,$B31)/1000)</f>
        <v/>
      </c>
      <c r="K31" s="11" t="str">
        <f>IF(K$3=0,"",SUMIFS(INDEX(Inputs!$D$4:$AG$100,0,MATCH(K$2,Inputs!$D$2:$AG$2,0)),Inputs!$B$4:$B$100,$B31)/1000)</f>
        <v/>
      </c>
      <c r="L31" s="11" t="str">
        <f>IF(L$3=0,"",SUMIFS(INDEX(Inputs!$D$4:$AG$100,0,MATCH(L$2,Inputs!$D$2:$AG$2,0)),Inputs!$B$4:$B$100,$B31)/1000)</f>
        <v/>
      </c>
      <c r="M31" s="12" t="str">
        <f t="shared" si="13"/>
        <v/>
      </c>
      <c r="N31" s="11" t="str">
        <f>IF(N$3=0,"",SUMIFS(INDEX(Inputs!$D$4:$AG$100,0,MATCH(N$2,Inputs!$D$2:$AG$2,0)),Inputs!$B$4:$B$100,$B31)/1000)</f>
        <v/>
      </c>
      <c r="O31" s="11" t="str">
        <f>IF(O$3=0,"",SUMIFS(INDEX(Inputs!$D$4:$AG$100,0,MATCH(O$2,Inputs!$D$2:$AG$2,0)),Inputs!$B$4:$B$100,$B31)/1000)</f>
        <v/>
      </c>
      <c r="P31" s="11" t="str">
        <f>IF(P$3=0,"",SUMIFS(INDEX(Inputs!$D$4:$AG$100,0,MATCH(P$2,Inputs!$D$2:$AG$2,0)),Inputs!$B$4:$B$100,$B31)/1000)</f>
        <v/>
      </c>
      <c r="Q31" s="11" t="str">
        <f>IF(Q$3=0,"",SUMIFS(INDEX(Inputs!$D$4:$AG$100,0,MATCH(Q$2,Inputs!$D$2:$AG$2,0)),Inputs!$B$4:$B$100,$B31)/1000)</f>
        <v/>
      </c>
      <c r="R31" s="12" t="str">
        <f t="shared" si="14"/>
        <v/>
      </c>
      <c r="S31" s="11" t="str">
        <f>IF(S$3=0,"",SUMIFS(INDEX(Inputs!$D$4:$AG$100,0,MATCH(S$2,Inputs!$D$2:$AG$2,0)),Inputs!$B$4:$B$100,$B31)/1000)</f>
        <v/>
      </c>
      <c r="T31" s="11" t="str">
        <f>IF(T$3=0,"",SUMIFS(INDEX(Inputs!$D$4:$AG$100,0,MATCH(T$2,Inputs!$D$2:$AG$2,0)),Inputs!$B$4:$B$100,$B31)/1000)</f>
        <v/>
      </c>
      <c r="U31" s="11" t="str">
        <f>IF(U$3=0,"",SUMIFS(INDEX(Inputs!$D$4:$AG$100,0,MATCH(U$2,Inputs!$D$2:$AG$2,0)),Inputs!$B$4:$B$100,$B31)/1000)</f>
        <v/>
      </c>
      <c r="V31" s="11" t="str">
        <f>IF(V$3=0,"",SUMIFS(INDEX(Inputs!$D$4:$AG$100,0,MATCH(V$2,Inputs!$D$2:$AG$2,0)),Inputs!$B$4:$B$100,$B31)/1000)</f>
        <v/>
      </c>
      <c r="W31" s="12" t="str">
        <f t="shared" si="15"/>
        <v/>
      </c>
      <c r="X31" s="11" t="str">
        <f>IF(X$3=0,"",SUMIFS(INDEX(Inputs!$D$4:$AG$100,0,MATCH(X$2,Inputs!$D$2:$AG$2,0)),Inputs!$B$4:$B$100,$B31)/1000)</f>
        <v/>
      </c>
      <c r="Y31" s="11" t="str">
        <f>IF(Y$3=0,"",SUMIFS(INDEX(Inputs!$D$4:$AG$100,0,MATCH(Y$2,Inputs!$D$2:$AG$2,0)),Inputs!$B$4:$B$100,$B31)/1000)</f>
        <v/>
      </c>
      <c r="Z31" s="11" t="str">
        <f>IF(Z$3=0,"",SUMIFS(INDEX(Inputs!$D$4:$AG$100,0,MATCH(Z$2,Inputs!$D$2:$AG$2,0)),Inputs!$B$4:$B$100,$B31)/1000)</f>
        <v/>
      </c>
      <c r="AA31" s="11" t="str">
        <f>IF(AA$3=0,"",SUMIFS(INDEX(Inputs!$D$4:$AG$100,0,MATCH(AA$2,Inputs!$D$2:$AG$2,0)),Inputs!$B$4:$B$100,$B31)/1000)</f>
        <v/>
      </c>
      <c r="AB31" s="12" t="str">
        <f t="shared" si="16"/>
        <v/>
      </c>
      <c r="AC31" s="11" t="str">
        <f>IF(AC$3=0,"",SUMIFS(INDEX(Inputs!$D$4:$AG$100,0,MATCH(AC$2,Inputs!$D$2:$AG$2,0)),Inputs!$B$4:$B$100,$B31)/1000)</f>
        <v/>
      </c>
      <c r="AD31" s="11" t="str">
        <f>IF(AD$3=0,"",SUMIFS(INDEX(Inputs!$D$4:$AG$100,0,MATCH(AD$2,Inputs!$D$2:$AG$2,0)),Inputs!$B$4:$B$100,$B31)/1000)</f>
        <v/>
      </c>
      <c r="AE31" s="11" t="str">
        <f>IF(AE$3=0,"",SUMIFS(INDEX(Inputs!$D$4:$AG$100,0,MATCH(AE$2,Inputs!$D$2:$AG$2,0)),Inputs!$B$4:$B$100,$B31)/1000)</f>
        <v/>
      </c>
      <c r="AF31" s="11" t="str">
        <f>IF(AF$3=0,"",SUMIFS(INDEX(Inputs!$D$4:$AG$100,0,MATCH(AF$2,Inputs!$D$2:$AG$2,0)),Inputs!$B$4:$B$100,$B31)/1000)</f>
        <v/>
      </c>
      <c r="AG31" s="12" t="str">
        <f t="shared" si="17"/>
        <v/>
      </c>
    </row>
    <row r="32" spans="2:33" x14ac:dyDescent="0.2">
      <c r="B32" s="9">
        <v>27</v>
      </c>
      <c r="C32" s="14" t="s">
        <v>62</v>
      </c>
      <c r="D32" s="11" t="str">
        <f>IF(D$3=0,"",SUMIFS(INDEX(Inputs!$D$4:$AG$100,0,MATCH(D$2,Inputs!$D$2:$AG$2,0)),Inputs!$B$4:$B$100,$B32)/1000)</f>
        <v/>
      </c>
      <c r="E32" s="11" t="str">
        <f>IF(E$3=0,"",SUMIFS(INDEX(Inputs!$D$4:$AG$100,0,MATCH(E$2,Inputs!$D$2:$AG$2,0)),Inputs!$B$4:$B$100,$B32)/1000)</f>
        <v/>
      </c>
      <c r="F32" s="11" t="str">
        <f>IF(F$3=0,"",SUMIFS(INDEX(Inputs!$D$4:$AG$100,0,MATCH(F$2,Inputs!$D$2:$AG$2,0)),Inputs!$B$4:$B$100,$B32)/1000)</f>
        <v/>
      </c>
      <c r="G32" s="11" t="str">
        <f>IF(G$3=0,"",SUMIFS(INDEX(Inputs!$D$4:$AG$100,0,MATCH(G$2,Inputs!$D$2:$AG$2,0)),Inputs!$B$4:$B$100,$B32)/1000)</f>
        <v/>
      </c>
      <c r="H32" s="12" t="str">
        <f t="shared" si="12"/>
        <v/>
      </c>
      <c r="I32" s="11" t="str">
        <f>IF(I$3=0,"",SUMIFS(INDEX(Inputs!$D$4:$AG$100,0,MATCH(I$2,Inputs!$D$2:$AG$2,0)),Inputs!$B$4:$B$100,$B32)/1000)</f>
        <v/>
      </c>
      <c r="J32" s="11" t="str">
        <f>IF(J$3=0,"",SUMIFS(INDEX(Inputs!$D$4:$AG$100,0,MATCH(J$2,Inputs!$D$2:$AG$2,0)),Inputs!$B$4:$B$100,$B32)/1000)</f>
        <v/>
      </c>
      <c r="K32" s="11" t="str">
        <f>IF(K$3=0,"",SUMIFS(INDEX(Inputs!$D$4:$AG$100,0,MATCH(K$2,Inputs!$D$2:$AG$2,0)),Inputs!$B$4:$B$100,$B32)/1000)</f>
        <v/>
      </c>
      <c r="L32" s="11" t="str">
        <f>IF(L$3=0,"",SUMIFS(INDEX(Inputs!$D$4:$AG$100,0,MATCH(L$2,Inputs!$D$2:$AG$2,0)),Inputs!$B$4:$B$100,$B32)/1000)</f>
        <v/>
      </c>
      <c r="M32" s="12" t="str">
        <f t="shared" si="13"/>
        <v/>
      </c>
      <c r="N32" s="11" t="str">
        <f>IF(N$3=0,"",SUMIFS(INDEX(Inputs!$D$4:$AG$100,0,MATCH(N$2,Inputs!$D$2:$AG$2,0)),Inputs!$B$4:$B$100,$B32)/1000)</f>
        <v/>
      </c>
      <c r="O32" s="11" t="str">
        <f>IF(O$3=0,"",SUMIFS(INDEX(Inputs!$D$4:$AG$100,0,MATCH(O$2,Inputs!$D$2:$AG$2,0)),Inputs!$B$4:$B$100,$B32)/1000)</f>
        <v/>
      </c>
      <c r="P32" s="11" t="str">
        <f>IF(P$3=0,"",SUMIFS(INDEX(Inputs!$D$4:$AG$100,0,MATCH(P$2,Inputs!$D$2:$AG$2,0)),Inputs!$B$4:$B$100,$B32)/1000)</f>
        <v/>
      </c>
      <c r="Q32" s="11" t="str">
        <f>IF(Q$3=0,"",SUMIFS(INDEX(Inputs!$D$4:$AG$100,0,MATCH(Q$2,Inputs!$D$2:$AG$2,0)),Inputs!$B$4:$B$100,$B32)/1000)</f>
        <v/>
      </c>
      <c r="R32" s="12" t="str">
        <f t="shared" si="14"/>
        <v/>
      </c>
      <c r="S32" s="11" t="str">
        <f>IF(S$3=0,"",SUMIFS(INDEX(Inputs!$D$4:$AG$100,0,MATCH(S$2,Inputs!$D$2:$AG$2,0)),Inputs!$B$4:$B$100,$B32)/1000)</f>
        <v/>
      </c>
      <c r="T32" s="11" t="str">
        <f>IF(T$3=0,"",SUMIFS(INDEX(Inputs!$D$4:$AG$100,0,MATCH(T$2,Inputs!$D$2:$AG$2,0)),Inputs!$B$4:$B$100,$B32)/1000)</f>
        <v/>
      </c>
      <c r="U32" s="11" t="str">
        <f>IF(U$3=0,"",SUMIFS(INDEX(Inputs!$D$4:$AG$100,0,MATCH(U$2,Inputs!$D$2:$AG$2,0)),Inputs!$B$4:$B$100,$B32)/1000)</f>
        <v/>
      </c>
      <c r="V32" s="11" t="str">
        <f>IF(V$3=0,"",SUMIFS(INDEX(Inputs!$D$4:$AG$100,0,MATCH(V$2,Inputs!$D$2:$AG$2,0)),Inputs!$B$4:$B$100,$B32)/1000)</f>
        <v/>
      </c>
      <c r="W32" s="12" t="str">
        <f t="shared" si="15"/>
        <v/>
      </c>
      <c r="X32" s="11" t="str">
        <f>IF(X$3=0,"",SUMIFS(INDEX(Inputs!$D$4:$AG$100,0,MATCH(X$2,Inputs!$D$2:$AG$2,0)),Inputs!$B$4:$B$100,$B32)/1000)</f>
        <v/>
      </c>
      <c r="Y32" s="11" t="str">
        <f>IF(Y$3=0,"",SUMIFS(INDEX(Inputs!$D$4:$AG$100,0,MATCH(Y$2,Inputs!$D$2:$AG$2,0)),Inputs!$B$4:$B$100,$B32)/1000)</f>
        <v/>
      </c>
      <c r="Z32" s="11" t="str">
        <f>IF(Z$3=0,"",SUMIFS(INDEX(Inputs!$D$4:$AG$100,0,MATCH(Z$2,Inputs!$D$2:$AG$2,0)),Inputs!$B$4:$B$100,$B32)/1000)</f>
        <v/>
      </c>
      <c r="AA32" s="11" t="str">
        <f>IF(AA$3=0,"",SUMIFS(INDEX(Inputs!$D$4:$AG$100,0,MATCH(AA$2,Inputs!$D$2:$AG$2,0)),Inputs!$B$4:$B$100,$B32)/1000)</f>
        <v/>
      </c>
      <c r="AB32" s="12" t="str">
        <f t="shared" si="16"/>
        <v/>
      </c>
      <c r="AC32" s="11" t="str">
        <f>IF(AC$3=0,"",SUMIFS(INDEX(Inputs!$D$4:$AG$100,0,MATCH(AC$2,Inputs!$D$2:$AG$2,0)),Inputs!$B$4:$B$100,$B32)/1000)</f>
        <v/>
      </c>
      <c r="AD32" s="11" t="str">
        <f>IF(AD$3=0,"",SUMIFS(INDEX(Inputs!$D$4:$AG$100,0,MATCH(AD$2,Inputs!$D$2:$AG$2,0)),Inputs!$B$4:$B$100,$B32)/1000)</f>
        <v/>
      </c>
      <c r="AE32" s="11" t="str">
        <f>IF(AE$3=0,"",SUMIFS(INDEX(Inputs!$D$4:$AG$100,0,MATCH(AE$2,Inputs!$D$2:$AG$2,0)),Inputs!$B$4:$B$100,$B32)/1000)</f>
        <v/>
      </c>
      <c r="AF32" s="11" t="str">
        <f>IF(AF$3=0,"",SUMIFS(INDEX(Inputs!$D$4:$AG$100,0,MATCH(AF$2,Inputs!$D$2:$AG$2,0)),Inputs!$B$4:$B$100,$B32)/1000)</f>
        <v/>
      </c>
      <c r="AG32" s="12" t="str">
        <f t="shared" si="17"/>
        <v/>
      </c>
    </row>
    <row r="33" spans="2:33" x14ac:dyDescent="0.2">
      <c r="B33" s="9">
        <v>28</v>
      </c>
      <c r="C33" s="14" t="s">
        <v>63</v>
      </c>
      <c r="D33" s="11" t="str">
        <f>IF(D$3=0,"",SUMIFS(INDEX(Inputs!$D$4:$AG$100,0,MATCH(D$2,Inputs!$D$2:$AG$2,0)),Inputs!$B$4:$B$100,$B33)/1000)</f>
        <v/>
      </c>
      <c r="E33" s="11" t="str">
        <f>IF(E$3=0,"",SUMIFS(INDEX(Inputs!$D$4:$AG$100,0,MATCH(E$2,Inputs!$D$2:$AG$2,0)),Inputs!$B$4:$B$100,$B33)/1000)</f>
        <v/>
      </c>
      <c r="F33" s="11" t="str">
        <f>IF(F$3=0,"",SUMIFS(INDEX(Inputs!$D$4:$AG$100,0,MATCH(F$2,Inputs!$D$2:$AG$2,0)),Inputs!$B$4:$B$100,$B33)/1000)</f>
        <v/>
      </c>
      <c r="G33" s="11" t="str">
        <f>IF(G$3=0,"",SUMIFS(INDEX(Inputs!$D$4:$AG$100,0,MATCH(G$2,Inputs!$D$2:$AG$2,0)),Inputs!$B$4:$B$100,$B33)/1000)</f>
        <v/>
      </c>
      <c r="H33" s="12" t="str">
        <f t="shared" si="12"/>
        <v/>
      </c>
      <c r="I33" s="11" t="str">
        <f>IF(I$3=0,"",SUMIFS(INDEX(Inputs!$D$4:$AG$100,0,MATCH(I$2,Inputs!$D$2:$AG$2,0)),Inputs!$B$4:$B$100,$B33)/1000)</f>
        <v/>
      </c>
      <c r="J33" s="11" t="str">
        <f>IF(J$3=0,"",SUMIFS(INDEX(Inputs!$D$4:$AG$100,0,MATCH(J$2,Inputs!$D$2:$AG$2,0)),Inputs!$B$4:$B$100,$B33)/1000)</f>
        <v/>
      </c>
      <c r="K33" s="11" t="str">
        <f>IF(K$3=0,"",SUMIFS(INDEX(Inputs!$D$4:$AG$100,0,MATCH(K$2,Inputs!$D$2:$AG$2,0)),Inputs!$B$4:$B$100,$B33)/1000)</f>
        <v/>
      </c>
      <c r="L33" s="11" t="str">
        <f>IF(L$3=0,"",SUMIFS(INDEX(Inputs!$D$4:$AG$100,0,MATCH(L$2,Inputs!$D$2:$AG$2,0)),Inputs!$B$4:$B$100,$B33)/1000)</f>
        <v/>
      </c>
      <c r="M33" s="12" t="str">
        <f t="shared" si="13"/>
        <v/>
      </c>
      <c r="N33" s="11" t="str">
        <f>IF(N$3=0,"",SUMIFS(INDEX(Inputs!$D$4:$AG$100,0,MATCH(N$2,Inputs!$D$2:$AG$2,0)),Inputs!$B$4:$B$100,$B33)/1000)</f>
        <v/>
      </c>
      <c r="O33" s="11" t="str">
        <f>IF(O$3=0,"",SUMIFS(INDEX(Inputs!$D$4:$AG$100,0,MATCH(O$2,Inputs!$D$2:$AG$2,0)),Inputs!$B$4:$B$100,$B33)/1000)</f>
        <v/>
      </c>
      <c r="P33" s="11" t="str">
        <f>IF(P$3=0,"",SUMIFS(INDEX(Inputs!$D$4:$AG$100,0,MATCH(P$2,Inputs!$D$2:$AG$2,0)),Inputs!$B$4:$B$100,$B33)/1000)</f>
        <v/>
      </c>
      <c r="Q33" s="11" t="str">
        <f>IF(Q$3=0,"",SUMIFS(INDEX(Inputs!$D$4:$AG$100,0,MATCH(Q$2,Inputs!$D$2:$AG$2,0)),Inputs!$B$4:$B$100,$B33)/1000)</f>
        <v/>
      </c>
      <c r="R33" s="12" t="str">
        <f t="shared" si="14"/>
        <v/>
      </c>
      <c r="S33" s="11" t="str">
        <f>IF(S$3=0,"",SUMIFS(INDEX(Inputs!$D$4:$AG$100,0,MATCH(S$2,Inputs!$D$2:$AG$2,0)),Inputs!$B$4:$B$100,$B33)/1000)</f>
        <v/>
      </c>
      <c r="T33" s="11" t="str">
        <f>IF(T$3=0,"",SUMIFS(INDEX(Inputs!$D$4:$AG$100,0,MATCH(T$2,Inputs!$D$2:$AG$2,0)),Inputs!$B$4:$B$100,$B33)/1000)</f>
        <v/>
      </c>
      <c r="U33" s="11" t="str">
        <f>IF(U$3=0,"",SUMIFS(INDEX(Inputs!$D$4:$AG$100,0,MATCH(U$2,Inputs!$D$2:$AG$2,0)),Inputs!$B$4:$B$100,$B33)/1000)</f>
        <v/>
      </c>
      <c r="V33" s="11" t="str">
        <f>IF(V$3=0,"",SUMIFS(INDEX(Inputs!$D$4:$AG$100,0,MATCH(V$2,Inputs!$D$2:$AG$2,0)),Inputs!$B$4:$B$100,$B33)/1000)</f>
        <v/>
      </c>
      <c r="W33" s="12" t="str">
        <f t="shared" si="15"/>
        <v/>
      </c>
      <c r="X33" s="11" t="str">
        <f>IF(X$3=0,"",SUMIFS(INDEX(Inputs!$D$4:$AG$100,0,MATCH(X$2,Inputs!$D$2:$AG$2,0)),Inputs!$B$4:$B$100,$B33)/1000)</f>
        <v/>
      </c>
      <c r="Y33" s="11" t="str">
        <f>IF(Y$3=0,"",SUMIFS(INDEX(Inputs!$D$4:$AG$100,0,MATCH(Y$2,Inputs!$D$2:$AG$2,0)),Inputs!$B$4:$B$100,$B33)/1000)</f>
        <v/>
      </c>
      <c r="Z33" s="11" t="str">
        <f>IF(Z$3=0,"",SUMIFS(INDEX(Inputs!$D$4:$AG$100,0,MATCH(Z$2,Inputs!$D$2:$AG$2,0)),Inputs!$B$4:$B$100,$B33)/1000)</f>
        <v/>
      </c>
      <c r="AA33" s="11" t="str">
        <f>IF(AA$3=0,"",SUMIFS(INDEX(Inputs!$D$4:$AG$100,0,MATCH(AA$2,Inputs!$D$2:$AG$2,0)),Inputs!$B$4:$B$100,$B33)/1000)</f>
        <v/>
      </c>
      <c r="AB33" s="12" t="str">
        <f t="shared" si="16"/>
        <v/>
      </c>
      <c r="AC33" s="11" t="str">
        <f>IF(AC$3=0,"",SUMIFS(INDEX(Inputs!$D$4:$AG$100,0,MATCH(AC$2,Inputs!$D$2:$AG$2,0)),Inputs!$B$4:$B$100,$B33)/1000)</f>
        <v/>
      </c>
      <c r="AD33" s="11" t="str">
        <f>IF(AD$3=0,"",SUMIFS(INDEX(Inputs!$D$4:$AG$100,0,MATCH(AD$2,Inputs!$D$2:$AG$2,0)),Inputs!$B$4:$B$100,$B33)/1000)</f>
        <v/>
      </c>
      <c r="AE33" s="11" t="str">
        <f>IF(AE$3=0,"",SUMIFS(INDEX(Inputs!$D$4:$AG$100,0,MATCH(AE$2,Inputs!$D$2:$AG$2,0)),Inputs!$B$4:$B$100,$B33)/1000)</f>
        <v/>
      </c>
      <c r="AF33" s="11" t="str">
        <f>IF(AF$3=0,"",SUMIFS(INDEX(Inputs!$D$4:$AG$100,0,MATCH(AF$2,Inputs!$D$2:$AG$2,0)),Inputs!$B$4:$B$100,$B33)/1000)</f>
        <v/>
      </c>
      <c r="AG33" s="12" t="str">
        <f t="shared" si="17"/>
        <v/>
      </c>
    </row>
    <row r="34" spans="2:33" x14ac:dyDescent="0.2">
      <c r="B34" s="9">
        <v>29</v>
      </c>
      <c r="C34" s="14" t="s">
        <v>64</v>
      </c>
      <c r="D34" s="11" t="str">
        <f>IF(D$3=0,"",SUMIFS(INDEX(Inputs!$D$4:$AG$100,0,MATCH(D$2,Inputs!$D$2:$AG$2,0)),Inputs!$B$4:$B$100,$B34)/1000)</f>
        <v/>
      </c>
      <c r="E34" s="11" t="str">
        <f>IF(E$3=0,"",SUMIFS(INDEX(Inputs!$D$4:$AG$100,0,MATCH(E$2,Inputs!$D$2:$AG$2,0)),Inputs!$B$4:$B$100,$B34)/1000)</f>
        <v/>
      </c>
      <c r="F34" s="11" t="str">
        <f>IF(F$3=0,"",SUMIFS(INDEX(Inputs!$D$4:$AG$100,0,MATCH(F$2,Inputs!$D$2:$AG$2,0)),Inputs!$B$4:$B$100,$B34)/1000)</f>
        <v/>
      </c>
      <c r="G34" s="11" t="str">
        <f>IF(G$3=0,"",SUMIFS(INDEX(Inputs!$D$4:$AG$100,0,MATCH(G$2,Inputs!$D$2:$AG$2,0)),Inputs!$B$4:$B$100,$B34)/1000)</f>
        <v/>
      </c>
      <c r="H34" s="12" t="str">
        <f t="shared" si="12"/>
        <v/>
      </c>
      <c r="I34" s="11" t="str">
        <f>IF(I$3=0,"",SUMIFS(INDEX(Inputs!$D$4:$AG$100,0,MATCH(I$2,Inputs!$D$2:$AG$2,0)),Inputs!$B$4:$B$100,$B34)/1000)</f>
        <v/>
      </c>
      <c r="J34" s="11" t="str">
        <f>IF(J$3=0,"",SUMIFS(INDEX(Inputs!$D$4:$AG$100,0,MATCH(J$2,Inputs!$D$2:$AG$2,0)),Inputs!$B$4:$B$100,$B34)/1000)</f>
        <v/>
      </c>
      <c r="K34" s="11" t="str">
        <f>IF(K$3=0,"",SUMIFS(INDEX(Inputs!$D$4:$AG$100,0,MATCH(K$2,Inputs!$D$2:$AG$2,0)),Inputs!$B$4:$B$100,$B34)/1000)</f>
        <v/>
      </c>
      <c r="L34" s="11" t="str">
        <f>IF(L$3=0,"",SUMIFS(INDEX(Inputs!$D$4:$AG$100,0,MATCH(L$2,Inputs!$D$2:$AG$2,0)),Inputs!$B$4:$B$100,$B34)/1000)</f>
        <v/>
      </c>
      <c r="M34" s="12" t="str">
        <f t="shared" si="13"/>
        <v/>
      </c>
      <c r="N34" s="11" t="str">
        <f>IF(N$3=0,"",SUMIFS(INDEX(Inputs!$D$4:$AG$100,0,MATCH(N$2,Inputs!$D$2:$AG$2,0)),Inputs!$B$4:$B$100,$B34)/1000)</f>
        <v/>
      </c>
      <c r="O34" s="11" t="str">
        <f>IF(O$3=0,"",SUMIFS(INDEX(Inputs!$D$4:$AG$100,0,MATCH(O$2,Inputs!$D$2:$AG$2,0)),Inputs!$B$4:$B$100,$B34)/1000)</f>
        <v/>
      </c>
      <c r="P34" s="11" t="str">
        <f>IF(P$3=0,"",SUMIFS(INDEX(Inputs!$D$4:$AG$100,0,MATCH(P$2,Inputs!$D$2:$AG$2,0)),Inputs!$B$4:$B$100,$B34)/1000)</f>
        <v/>
      </c>
      <c r="Q34" s="11" t="str">
        <f>IF(Q$3=0,"",SUMIFS(INDEX(Inputs!$D$4:$AG$100,0,MATCH(Q$2,Inputs!$D$2:$AG$2,0)),Inputs!$B$4:$B$100,$B34)/1000)</f>
        <v/>
      </c>
      <c r="R34" s="12" t="str">
        <f t="shared" si="14"/>
        <v/>
      </c>
      <c r="S34" s="11" t="str">
        <f>IF(S$3=0,"",SUMIFS(INDEX(Inputs!$D$4:$AG$100,0,MATCH(S$2,Inputs!$D$2:$AG$2,0)),Inputs!$B$4:$B$100,$B34)/1000)</f>
        <v/>
      </c>
      <c r="T34" s="11" t="str">
        <f>IF(T$3=0,"",SUMIFS(INDEX(Inputs!$D$4:$AG$100,0,MATCH(T$2,Inputs!$D$2:$AG$2,0)),Inputs!$B$4:$B$100,$B34)/1000)</f>
        <v/>
      </c>
      <c r="U34" s="11" t="str">
        <f>IF(U$3=0,"",SUMIFS(INDEX(Inputs!$D$4:$AG$100,0,MATCH(U$2,Inputs!$D$2:$AG$2,0)),Inputs!$B$4:$B$100,$B34)/1000)</f>
        <v/>
      </c>
      <c r="V34" s="11" t="str">
        <f>IF(V$3=0,"",SUMIFS(INDEX(Inputs!$D$4:$AG$100,0,MATCH(V$2,Inputs!$D$2:$AG$2,0)),Inputs!$B$4:$B$100,$B34)/1000)</f>
        <v/>
      </c>
      <c r="W34" s="12" t="str">
        <f t="shared" si="15"/>
        <v/>
      </c>
      <c r="X34" s="11" t="str">
        <f>IF(X$3=0,"",SUMIFS(INDEX(Inputs!$D$4:$AG$100,0,MATCH(X$2,Inputs!$D$2:$AG$2,0)),Inputs!$B$4:$B$100,$B34)/1000)</f>
        <v/>
      </c>
      <c r="Y34" s="11" t="str">
        <f>IF(Y$3=0,"",SUMIFS(INDEX(Inputs!$D$4:$AG$100,0,MATCH(Y$2,Inputs!$D$2:$AG$2,0)),Inputs!$B$4:$B$100,$B34)/1000)</f>
        <v/>
      </c>
      <c r="Z34" s="11" t="str">
        <f>IF(Z$3=0,"",SUMIFS(INDEX(Inputs!$D$4:$AG$100,0,MATCH(Z$2,Inputs!$D$2:$AG$2,0)),Inputs!$B$4:$B$100,$B34)/1000)</f>
        <v/>
      </c>
      <c r="AA34" s="11" t="str">
        <f>IF(AA$3=0,"",SUMIFS(INDEX(Inputs!$D$4:$AG$100,0,MATCH(AA$2,Inputs!$D$2:$AG$2,0)),Inputs!$B$4:$B$100,$B34)/1000)</f>
        <v/>
      </c>
      <c r="AB34" s="12" t="str">
        <f t="shared" si="16"/>
        <v/>
      </c>
      <c r="AC34" s="11" t="str">
        <f>IF(AC$3=0,"",SUMIFS(INDEX(Inputs!$D$4:$AG$100,0,MATCH(AC$2,Inputs!$D$2:$AG$2,0)),Inputs!$B$4:$B$100,$B34)/1000)</f>
        <v/>
      </c>
      <c r="AD34" s="11" t="str">
        <f>IF(AD$3=0,"",SUMIFS(INDEX(Inputs!$D$4:$AG$100,0,MATCH(AD$2,Inputs!$D$2:$AG$2,0)),Inputs!$B$4:$B$100,$B34)/1000)</f>
        <v/>
      </c>
      <c r="AE34" s="11" t="str">
        <f>IF(AE$3=0,"",SUMIFS(INDEX(Inputs!$D$4:$AG$100,0,MATCH(AE$2,Inputs!$D$2:$AG$2,0)),Inputs!$B$4:$B$100,$B34)/1000)</f>
        <v/>
      </c>
      <c r="AF34" s="11" t="str">
        <f>IF(AF$3=0,"",SUMIFS(INDEX(Inputs!$D$4:$AG$100,0,MATCH(AF$2,Inputs!$D$2:$AG$2,0)),Inputs!$B$4:$B$100,$B34)/1000)</f>
        <v/>
      </c>
      <c r="AG34" s="12" t="str">
        <f t="shared" si="17"/>
        <v/>
      </c>
    </row>
    <row r="35" spans="2:33" x14ac:dyDescent="0.2">
      <c r="B35" s="9">
        <v>30</v>
      </c>
      <c r="C35" s="14" t="s">
        <v>65</v>
      </c>
      <c r="D35" s="11" t="str">
        <f>IF(D$3=0,"",SUMIFS(INDEX(Inputs!$D$4:$AG$100,0,MATCH(D$2,Inputs!$D$2:$AG$2,0)),Inputs!$B$4:$B$100,$B35)/1000)</f>
        <v/>
      </c>
      <c r="E35" s="11" t="str">
        <f>IF(E$3=0,"",SUMIFS(INDEX(Inputs!$D$4:$AG$100,0,MATCH(E$2,Inputs!$D$2:$AG$2,0)),Inputs!$B$4:$B$100,$B35)/1000)</f>
        <v/>
      </c>
      <c r="F35" s="11" t="str">
        <f>IF(F$3=0,"",SUMIFS(INDEX(Inputs!$D$4:$AG$100,0,MATCH(F$2,Inputs!$D$2:$AG$2,0)),Inputs!$B$4:$B$100,$B35)/1000)</f>
        <v/>
      </c>
      <c r="G35" s="11" t="str">
        <f>IF(G$3=0,"",SUMIFS(INDEX(Inputs!$D$4:$AG$100,0,MATCH(G$2,Inputs!$D$2:$AG$2,0)),Inputs!$B$4:$B$100,$B35)/1000)</f>
        <v/>
      </c>
      <c r="H35" s="12" t="str">
        <f t="shared" si="12"/>
        <v/>
      </c>
      <c r="I35" s="11" t="str">
        <f>IF(I$3=0,"",SUMIFS(INDEX(Inputs!$D$4:$AG$100,0,MATCH(I$2,Inputs!$D$2:$AG$2,0)),Inputs!$B$4:$B$100,$B35)/1000)</f>
        <v/>
      </c>
      <c r="J35" s="11" t="str">
        <f>IF(J$3=0,"",SUMIFS(INDEX(Inputs!$D$4:$AG$100,0,MATCH(J$2,Inputs!$D$2:$AG$2,0)),Inputs!$B$4:$B$100,$B35)/1000)</f>
        <v/>
      </c>
      <c r="K35" s="11" t="str">
        <f>IF(K$3=0,"",SUMIFS(INDEX(Inputs!$D$4:$AG$100,0,MATCH(K$2,Inputs!$D$2:$AG$2,0)),Inputs!$B$4:$B$100,$B35)/1000)</f>
        <v/>
      </c>
      <c r="L35" s="11" t="str">
        <f>IF(L$3=0,"",SUMIFS(INDEX(Inputs!$D$4:$AG$100,0,MATCH(L$2,Inputs!$D$2:$AG$2,0)),Inputs!$B$4:$B$100,$B35)/1000)</f>
        <v/>
      </c>
      <c r="M35" s="12" t="str">
        <f t="shared" si="13"/>
        <v/>
      </c>
      <c r="N35" s="11" t="str">
        <f>IF(N$3=0,"",SUMIFS(INDEX(Inputs!$D$4:$AG$100,0,MATCH(N$2,Inputs!$D$2:$AG$2,0)),Inputs!$B$4:$B$100,$B35)/1000)</f>
        <v/>
      </c>
      <c r="O35" s="11" t="str">
        <f>IF(O$3=0,"",SUMIFS(INDEX(Inputs!$D$4:$AG$100,0,MATCH(O$2,Inputs!$D$2:$AG$2,0)),Inputs!$B$4:$B$100,$B35)/1000)</f>
        <v/>
      </c>
      <c r="P35" s="11" t="str">
        <f>IF(P$3=0,"",SUMIFS(INDEX(Inputs!$D$4:$AG$100,0,MATCH(P$2,Inputs!$D$2:$AG$2,0)),Inputs!$B$4:$B$100,$B35)/1000)</f>
        <v/>
      </c>
      <c r="Q35" s="11" t="str">
        <f>IF(Q$3=0,"",SUMIFS(INDEX(Inputs!$D$4:$AG$100,0,MATCH(Q$2,Inputs!$D$2:$AG$2,0)),Inputs!$B$4:$B$100,$B35)/1000)</f>
        <v/>
      </c>
      <c r="R35" s="12" t="str">
        <f t="shared" si="14"/>
        <v/>
      </c>
      <c r="S35" s="11" t="str">
        <f>IF(S$3=0,"",SUMIFS(INDEX(Inputs!$D$4:$AG$100,0,MATCH(S$2,Inputs!$D$2:$AG$2,0)),Inputs!$B$4:$B$100,$B35)/1000)</f>
        <v/>
      </c>
      <c r="T35" s="11" t="str">
        <f>IF(T$3=0,"",SUMIFS(INDEX(Inputs!$D$4:$AG$100,0,MATCH(T$2,Inputs!$D$2:$AG$2,0)),Inputs!$B$4:$B$100,$B35)/1000)</f>
        <v/>
      </c>
      <c r="U35" s="11" t="str">
        <f>IF(U$3=0,"",SUMIFS(INDEX(Inputs!$D$4:$AG$100,0,MATCH(U$2,Inputs!$D$2:$AG$2,0)),Inputs!$B$4:$B$100,$B35)/1000)</f>
        <v/>
      </c>
      <c r="V35" s="11" t="str">
        <f>IF(V$3=0,"",SUMIFS(INDEX(Inputs!$D$4:$AG$100,0,MATCH(V$2,Inputs!$D$2:$AG$2,0)),Inputs!$B$4:$B$100,$B35)/1000)</f>
        <v/>
      </c>
      <c r="W35" s="12" t="str">
        <f t="shared" si="15"/>
        <v/>
      </c>
      <c r="X35" s="11" t="str">
        <f>IF(X$3=0,"",SUMIFS(INDEX(Inputs!$D$4:$AG$100,0,MATCH(X$2,Inputs!$D$2:$AG$2,0)),Inputs!$B$4:$B$100,$B35)/1000)</f>
        <v/>
      </c>
      <c r="Y35" s="11" t="str">
        <f>IF(Y$3=0,"",SUMIFS(INDEX(Inputs!$D$4:$AG$100,0,MATCH(Y$2,Inputs!$D$2:$AG$2,0)),Inputs!$B$4:$B$100,$B35)/1000)</f>
        <v/>
      </c>
      <c r="Z35" s="11" t="str">
        <f>IF(Z$3=0,"",SUMIFS(INDEX(Inputs!$D$4:$AG$100,0,MATCH(Z$2,Inputs!$D$2:$AG$2,0)),Inputs!$B$4:$B$100,$B35)/1000)</f>
        <v/>
      </c>
      <c r="AA35" s="11" t="str">
        <f>IF(AA$3=0,"",SUMIFS(INDEX(Inputs!$D$4:$AG$100,0,MATCH(AA$2,Inputs!$D$2:$AG$2,0)),Inputs!$B$4:$B$100,$B35)/1000)</f>
        <v/>
      </c>
      <c r="AB35" s="12" t="str">
        <f t="shared" si="16"/>
        <v/>
      </c>
      <c r="AC35" s="11" t="str">
        <f>IF(AC$3=0,"",SUMIFS(INDEX(Inputs!$D$4:$AG$100,0,MATCH(AC$2,Inputs!$D$2:$AG$2,0)),Inputs!$B$4:$B$100,$B35)/1000)</f>
        <v/>
      </c>
      <c r="AD35" s="11" t="str">
        <f>IF(AD$3=0,"",SUMIFS(INDEX(Inputs!$D$4:$AG$100,0,MATCH(AD$2,Inputs!$D$2:$AG$2,0)),Inputs!$B$4:$B$100,$B35)/1000)</f>
        <v/>
      </c>
      <c r="AE35" s="11" t="str">
        <f>IF(AE$3=0,"",SUMIFS(INDEX(Inputs!$D$4:$AG$100,0,MATCH(AE$2,Inputs!$D$2:$AG$2,0)),Inputs!$B$4:$B$100,$B35)/1000)</f>
        <v/>
      </c>
      <c r="AF35" s="11" t="str">
        <f>IF(AF$3=0,"",SUMIFS(INDEX(Inputs!$D$4:$AG$100,0,MATCH(AF$2,Inputs!$D$2:$AG$2,0)),Inputs!$B$4:$B$100,$B35)/1000)</f>
        <v/>
      </c>
      <c r="AG35" s="12" t="str">
        <f t="shared" si="17"/>
        <v/>
      </c>
    </row>
    <row r="36" spans="2:33" x14ac:dyDescent="0.2">
      <c r="B36" s="9">
        <v>31</v>
      </c>
      <c r="C36" s="14" t="s">
        <v>66</v>
      </c>
      <c r="D36" s="11" t="str">
        <f>IF(D$3=0,"",SUMIFS(INDEX(Inputs!$D$4:$AG$100,0,MATCH(D$2,Inputs!$D$2:$AG$2,0)),Inputs!$B$4:$B$100,$B36)/1000)</f>
        <v/>
      </c>
      <c r="E36" s="11" t="str">
        <f>IF(E$3=0,"",SUMIFS(INDEX(Inputs!$D$4:$AG$100,0,MATCH(E$2,Inputs!$D$2:$AG$2,0)),Inputs!$B$4:$B$100,$B36)/1000)</f>
        <v/>
      </c>
      <c r="F36" s="11" t="str">
        <f>IF(F$3=0,"",SUMIFS(INDEX(Inputs!$D$4:$AG$100,0,MATCH(F$2,Inputs!$D$2:$AG$2,0)),Inputs!$B$4:$B$100,$B36)/1000)</f>
        <v/>
      </c>
      <c r="G36" s="11" t="str">
        <f>IF(G$3=0,"",SUMIFS(INDEX(Inputs!$D$4:$AG$100,0,MATCH(G$2,Inputs!$D$2:$AG$2,0)),Inputs!$B$4:$B$100,$B36)/1000)</f>
        <v/>
      </c>
      <c r="H36" s="12" t="str">
        <f t="shared" si="12"/>
        <v/>
      </c>
      <c r="I36" s="11" t="str">
        <f>IF(I$3=0,"",SUMIFS(INDEX(Inputs!$D$4:$AG$100,0,MATCH(I$2,Inputs!$D$2:$AG$2,0)),Inputs!$B$4:$B$100,$B36)/1000)</f>
        <v/>
      </c>
      <c r="J36" s="11" t="str">
        <f>IF(J$3=0,"",SUMIFS(INDEX(Inputs!$D$4:$AG$100,0,MATCH(J$2,Inputs!$D$2:$AG$2,0)),Inputs!$B$4:$B$100,$B36)/1000)</f>
        <v/>
      </c>
      <c r="K36" s="11" t="str">
        <f>IF(K$3=0,"",SUMIFS(INDEX(Inputs!$D$4:$AG$100,0,MATCH(K$2,Inputs!$D$2:$AG$2,0)),Inputs!$B$4:$B$100,$B36)/1000)</f>
        <v/>
      </c>
      <c r="L36" s="11" t="str">
        <f>IF(L$3=0,"",SUMIFS(INDEX(Inputs!$D$4:$AG$100,0,MATCH(L$2,Inputs!$D$2:$AG$2,0)),Inputs!$B$4:$B$100,$B36)/1000)</f>
        <v/>
      </c>
      <c r="M36" s="12" t="str">
        <f t="shared" si="13"/>
        <v/>
      </c>
      <c r="N36" s="11" t="str">
        <f>IF(N$3=0,"",SUMIFS(INDEX(Inputs!$D$4:$AG$100,0,MATCH(N$2,Inputs!$D$2:$AG$2,0)),Inputs!$B$4:$B$100,$B36)/1000)</f>
        <v/>
      </c>
      <c r="O36" s="11" t="str">
        <f>IF(O$3=0,"",SUMIFS(INDEX(Inputs!$D$4:$AG$100,0,MATCH(O$2,Inputs!$D$2:$AG$2,0)),Inputs!$B$4:$B$100,$B36)/1000)</f>
        <v/>
      </c>
      <c r="P36" s="11" t="str">
        <f>IF(P$3=0,"",SUMIFS(INDEX(Inputs!$D$4:$AG$100,0,MATCH(P$2,Inputs!$D$2:$AG$2,0)),Inputs!$B$4:$B$100,$B36)/1000)</f>
        <v/>
      </c>
      <c r="Q36" s="11" t="str">
        <f>IF(Q$3=0,"",SUMIFS(INDEX(Inputs!$D$4:$AG$100,0,MATCH(Q$2,Inputs!$D$2:$AG$2,0)),Inputs!$B$4:$B$100,$B36)/1000)</f>
        <v/>
      </c>
      <c r="R36" s="12" t="str">
        <f t="shared" si="14"/>
        <v/>
      </c>
      <c r="S36" s="11" t="str">
        <f>IF(S$3=0,"",SUMIFS(INDEX(Inputs!$D$4:$AG$100,0,MATCH(S$2,Inputs!$D$2:$AG$2,0)),Inputs!$B$4:$B$100,$B36)/1000)</f>
        <v/>
      </c>
      <c r="T36" s="11" t="str">
        <f>IF(T$3=0,"",SUMIFS(INDEX(Inputs!$D$4:$AG$100,0,MATCH(T$2,Inputs!$D$2:$AG$2,0)),Inputs!$B$4:$B$100,$B36)/1000)</f>
        <v/>
      </c>
      <c r="U36" s="11" t="str">
        <f>IF(U$3=0,"",SUMIFS(INDEX(Inputs!$D$4:$AG$100,0,MATCH(U$2,Inputs!$D$2:$AG$2,0)),Inputs!$B$4:$B$100,$B36)/1000)</f>
        <v/>
      </c>
      <c r="V36" s="11" t="str">
        <f>IF(V$3=0,"",SUMIFS(INDEX(Inputs!$D$4:$AG$100,0,MATCH(V$2,Inputs!$D$2:$AG$2,0)),Inputs!$B$4:$B$100,$B36)/1000)</f>
        <v/>
      </c>
      <c r="W36" s="12" t="str">
        <f t="shared" si="15"/>
        <v/>
      </c>
      <c r="X36" s="11" t="str">
        <f>IF(X$3=0,"",SUMIFS(INDEX(Inputs!$D$4:$AG$100,0,MATCH(X$2,Inputs!$D$2:$AG$2,0)),Inputs!$B$4:$B$100,$B36)/1000)</f>
        <v/>
      </c>
      <c r="Y36" s="11" t="str">
        <f>IF(Y$3=0,"",SUMIFS(INDEX(Inputs!$D$4:$AG$100,0,MATCH(Y$2,Inputs!$D$2:$AG$2,0)),Inputs!$B$4:$B$100,$B36)/1000)</f>
        <v/>
      </c>
      <c r="Z36" s="11" t="str">
        <f>IF(Z$3=0,"",SUMIFS(INDEX(Inputs!$D$4:$AG$100,0,MATCH(Z$2,Inputs!$D$2:$AG$2,0)),Inputs!$B$4:$B$100,$B36)/1000)</f>
        <v/>
      </c>
      <c r="AA36" s="11" t="str">
        <f>IF(AA$3=0,"",SUMIFS(INDEX(Inputs!$D$4:$AG$100,0,MATCH(AA$2,Inputs!$D$2:$AG$2,0)),Inputs!$B$4:$B$100,$B36)/1000)</f>
        <v/>
      </c>
      <c r="AB36" s="12" t="str">
        <f t="shared" si="16"/>
        <v/>
      </c>
      <c r="AC36" s="11" t="str">
        <f>IF(AC$3=0,"",SUMIFS(INDEX(Inputs!$D$4:$AG$100,0,MATCH(AC$2,Inputs!$D$2:$AG$2,0)),Inputs!$B$4:$B$100,$B36)/1000)</f>
        <v/>
      </c>
      <c r="AD36" s="11" t="str">
        <f>IF(AD$3=0,"",SUMIFS(INDEX(Inputs!$D$4:$AG$100,0,MATCH(AD$2,Inputs!$D$2:$AG$2,0)),Inputs!$B$4:$B$100,$B36)/1000)</f>
        <v/>
      </c>
      <c r="AE36" s="11" t="str">
        <f>IF(AE$3=0,"",SUMIFS(INDEX(Inputs!$D$4:$AG$100,0,MATCH(AE$2,Inputs!$D$2:$AG$2,0)),Inputs!$B$4:$B$100,$B36)/1000)</f>
        <v/>
      </c>
      <c r="AF36" s="11" t="str">
        <f>IF(AF$3=0,"",SUMIFS(INDEX(Inputs!$D$4:$AG$100,0,MATCH(AF$2,Inputs!$D$2:$AG$2,0)),Inputs!$B$4:$B$100,$B36)/1000)</f>
        <v/>
      </c>
      <c r="AG36" s="12" t="str">
        <f t="shared" si="17"/>
        <v/>
      </c>
    </row>
    <row r="37" spans="2:33" x14ac:dyDescent="0.2">
      <c r="B37" s="9">
        <v>32</v>
      </c>
      <c r="C37" s="14" t="s">
        <v>67</v>
      </c>
      <c r="D37" s="11" t="str">
        <f>IF(D$3=0,"",SUMIFS(INDEX(Inputs!$D$4:$AG$100,0,MATCH(D$2,Inputs!$D$2:$AG$2,0)),Inputs!$B$4:$B$100,$B37)/1000)</f>
        <v/>
      </c>
      <c r="E37" s="11" t="str">
        <f>IF(E$3=0,"",SUMIFS(INDEX(Inputs!$D$4:$AG$100,0,MATCH(E$2,Inputs!$D$2:$AG$2,0)),Inputs!$B$4:$B$100,$B37)/1000)</f>
        <v/>
      </c>
      <c r="F37" s="11" t="str">
        <f>IF(F$3=0,"",SUMIFS(INDEX(Inputs!$D$4:$AG$100,0,MATCH(F$2,Inputs!$D$2:$AG$2,0)),Inputs!$B$4:$B$100,$B37)/1000)</f>
        <v/>
      </c>
      <c r="G37" s="11" t="str">
        <f>IF(G$3=0,"",SUMIFS(INDEX(Inputs!$D$4:$AG$100,0,MATCH(G$2,Inputs!$D$2:$AG$2,0)),Inputs!$B$4:$B$100,$B37)/1000)</f>
        <v/>
      </c>
      <c r="H37" s="12" t="str">
        <f t="shared" si="12"/>
        <v/>
      </c>
      <c r="I37" s="11" t="str">
        <f>IF(I$3=0,"",SUMIFS(INDEX(Inputs!$D$4:$AG$100,0,MATCH(I$2,Inputs!$D$2:$AG$2,0)),Inputs!$B$4:$B$100,$B37)/1000)</f>
        <v/>
      </c>
      <c r="J37" s="11" t="str">
        <f>IF(J$3=0,"",SUMIFS(INDEX(Inputs!$D$4:$AG$100,0,MATCH(J$2,Inputs!$D$2:$AG$2,0)),Inputs!$B$4:$B$100,$B37)/1000)</f>
        <v/>
      </c>
      <c r="K37" s="11" t="str">
        <f>IF(K$3=0,"",SUMIFS(INDEX(Inputs!$D$4:$AG$100,0,MATCH(K$2,Inputs!$D$2:$AG$2,0)),Inputs!$B$4:$B$100,$B37)/1000)</f>
        <v/>
      </c>
      <c r="L37" s="11" t="str">
        <f>IF(L$3=0,"",SUMIFS(INDEX(Inputs!$D$4:$AG$100,0,MATCH(L$2,Inputs!$D$2:$AG$2,0)),Inputs!$B$4:$B$100,$B37)/1000)</f>
        <v/>
      </c>
      <c r="M37" s="12" t="str">
        <f t="shared" si="13"/>
        <v/>
      </c>
      <c r="N37" s="11" t="str">
        <f>IF(N$3=0,"",SUMIFS(INDEX(Inputs!$D$4:$AG$100,0,MATCH(N$2,Inputs!$D$2:$AG$2,0)),Inputs!$B$4:$B$100,$B37)/1000)</f>
        <v/>
      </c>
      <c r="O37" s="11" t="str">
        <f>IF(O$3=0,"",SUMIFS(INDEX(Inputs!$D$4:$AG$100,0,MATCH(O$2,Inputs!$D$2:$AG$2,0)),Inputs!$B$4:$B$100,$B37)/1000)</f>
        <v/>
      </c>
      <c r="P37" s="11" t="str">
        <f>IF(P$3=0,"",SUMIFS(INDEX(Inputs!$D$4:$AG$100,0,MATCH(P$2,Inputs!$D$2:$AG$2,0)),Inputs!$B$4:$B$100,$B37)/1000)</f>
        <v/>
      </c>
      <c r="Q37" s="11" t="str">
        <f>IF(Q$3=0,"",SUMIFS(INDEX(Inputs!$D$4:$AG$100,0,MATCH(Q$2,Inputs!$D$2:$AG$2,0)),Inputs!$B$4:$B$100,$B37)/1000)</f>
        <v/>
      </c>
      <c r="R37" s="12" t="str">
        <f t="shared" si="14"/>
        <v/>
      </c>
      <c r="S37" s="11" t="str">
        <f>IF(S$3=0,"",SUMIFS(INDEX(Inputs!$D$4:$AG$100,0,MATCH(S$2,Inputs!$D$2:$AG$2,0)),Inputs!$B$4:$B$100,$B37)/1000)</f>
        <v/>
      </c>
      <c r="T37" s="11" t="str">
        <f>IF(T$3=0,"",SUMIFS(INDEX(Inputs!$D$4:$AG$100,0,MATCH(T$2,Inputs!$D$2:$AG$2,0)),Inputs!$B$4:$B$100,$B37)/1000)</f>
        <v/>
      </c>
      <c r="U37" s="11" t="str">
        <f>IF(U$3=0,"",SUMIFS(INDEX(Inputs!$D$4:$AG$100,0,MATCH(U$2,Inputs!$D$2:$AG$2,0)),Inputs!$B$4:$B$100,$B37)/1000)</f>
        <v/>
      </c>
      <c r="V37" s="11" t="str">
        <f>IF(V$3=0,"",SUMIFS(INDEX(Inputs!$D$4:$AG$100,0,MATCH(V$2,Inputs!$D$2:$AG$2,0)),Inputs!$B$4:$B$100,$B37)/1000)</f>
        <v/>
      </c>
      <c r="W37" s="12" t="str">
        <f t="shared" si="15"/>
        <v/>
      </c>
      <c r="X37" s="11" t="str">
        <f>IF(X$3=0,"",SUMIFS(INDEX(Inputs!$D$4:$AG$100,0,MATCH(X$2,Inputs!$D$2:$AG$2,0)),Inputs!$B$4:$B$100,$B37)/1000)</f>
        <v/>
      </c>
      <c r="Y37" s="11" t="str">
        <f>IF(Y$3=0,"",SUMIFS(INDEX(Inputs!$D$4:$AG$100,0,MATCH(Y$2,Inputs!$D$2:$AG$2,0)),Inputs!$B$4:$B$100,$B37)/1000)</f>
        <v/>
      </c>
      <c r="Z37" s="11" t="str">
        <f>IF(Z$3=0,"",SUMIFS(INDEX(Inputs!$D$4:$AG$100,0,MATCH(Z$2,Inputs!$D$2:$AG$2,0)),Inputs!$B$4:$B$100,$B37)/1000)</f>
        <v/>
      </c>
      <c r="AA37" s="11" t="str">
        <f>IF(AA$3=0,"",SUMIFS(INDEX(Inputs!$D$4:$AG$100,0,MATCH(AA$2,Inputs!$D$2:$AG$2,0)),Inputs!$B$4:$B$100,$B37)/1000)</f>
        <v/>
      </c>
      <c r="AB37" s="12" t="str">
        <f t="shared" si="16"/>
        <v/>
      </c>
      <c r="AC37" s="11" t="str">
        <f>IF(AC$3=0,"",SUMIFS(INDEX(Inputs!$D$4:$AG$100,0,MATCH(AC$2,Inputs!$D$2:$AG$2,0)),Inputs!$B$4:$B$100,$B37)/1000)</f>
        <v/>
      </c>
      <c r="AD37" s="11" t="str">
        <f>IF(AD$3=0,"",SUMIFS(INDEX(Inputs!$D$4:$AG$100,0,MATCH(AD$2,Inputs!$D$2:$AG$2,0)),Inputs!$B$4:$B$100,$B37)/1000)</f>
        <v/>
      </c>
      <c r="AE37" s="11" t="str">
        <f>IF(AE$3=0,"",SUMIFS(INDEX(Inputs!$D$4:$AG$100,0,MATCH(AE$2,Inputs!$D$2:$AG$2,0)),Inputs!$B$4:$B$100,$B37)/1000)</f>
        <v/>
      </c>
      <c r="AF37" s="11" t="str">
        <f>IF(AF$3=0,"",SUMIFS(INDEX(Inputs!$D$4:$AG$100,0,MATCH(AF$2,Inputs!$D$2:$AG$2,0)),Inputs!$B$4:$B$100,$B37)/1000)</f>
        <v/>
      </c>
      <c r="AG37" s="12" t="str">
        <f t="shared" si="17"/>
        <v/>
      </c>
    </row>
    <row r="38" spans="2:33" x14ac:dyDescent="0.2">
      <c r="B38" s="9">
        <v>33</v>
      </c>
      <c r="C38" s="14" t="s">
        <v>49</v>
      </c>
      <c r="D38" s="11" t="str">
        <f>IF(D$3=0,"",SUMIFS(INDEX(Inputs!$D$4:$AG$100,0,MATCH(D$2,Inputs!$D$2:$AG$2,0)),Inputs!$B$4:$B$100,$B38)/1000)</f>
        <v/>
      </c>
      <c r="E38" s="11" t="str">
        <f>IF(E$3=0,"",SUMIFS(INDEX(Inputs!$D$4:$AG$100,0,MATCH(E$2,Inputs!$D$2:$AG$2,0)),Inputs!$B$4:$B$100,$B38)/1000)</f>
        <v/>
      </c>
      <c r="F38" s="11" t="str">
        <f>IF(F$3=0,"",SUMIFS(INDEX(Inputs!$D$4:$AG$100,0,MATCH(F$2,Inputs!$D$2:$AG$2,0)),Inputs!$B$4:$B$100,$B38)/1000)</f>
        <v/>
      </c>
      <c r="G38" s="11" t="str">
        <f>IF(G$3=0,"",SUMIFS(INDEX(Inputs!$D$4:$AG$100,0,MATCH(G$2,Inputs!$D$2:$AG$2,0)),Inputs!$B$4:$B$100,$B38)/1000)</f>
        <v/>
      </c>
      <c r="H38" s="12" t="str">
        <f t="shared" si="12"/>
        <v/>
      </c>
      <c r="I38" s="11" t="str">
        <f>IF(I$3=0,"",SUMIFS(INDEX(Inputs!$D$4:$AG$100,0,MATCH(I$2,Inputs!$D$2:$AG$2,0)),Inputs!$B$4:$B$100,$B38)/1000)</f>
        <v/>
      </c>
      <c r="J38" s="11" t="str">
        <f>IF(J$3=0,"",SUMIFS(INDEX(Inputs!$D$4:$AG$100,0,MATCH(J$2,Inputs!$D$2:$AG$2,0)),Inputs!$B$4:$B$100,$B38)/1000)</f>
        <v/>
      </c>
      <c r="K38" s="11" t="str">
        <f>IF(K$3=0,"",SUMIFS(INDEX(Inputs!$D$4:$AG$100,0,MATCH(K$2,Inputs!$D$2:$AG$2,0)),Inputs!$B$4:$B$100,$B38)/1000)</f>
        <v/>
      </c>
      <c r="L38" s="11" t="str">
        <f>IF(L$3=0,"",SUMIFS(INDEX(Inputs!$D$4:$AG$100,0,MATCH(L$2,Inputs!$D$2:$AG$2,0)),Inputs!$B$4:$B$100,$B38)/1000)</f>
        <v/>
      </c>
      <c r="M38" s="12" t="str">
        <f t="shared" si="13"/>
        <v/>
      </c>
      <c r="N38" s="11" t="str">
        <f>IF(N$3=0,"",SUMIFS(INDEX(Inputs!$D$4:$AG$100,0,MATCH(N$2,Inputs!$D$2:$AG$2,0)),Inputs!$B$4:$B$100,$B38)/1000)</f>
        <v/>
      </c>
      <c r="O38" s="11" t="str">
        <f>IF(O$3=0,"",SUMIFS(INDEX(Inputs!$D$4:$AG$100,0,MATCH(O$2,Inputs!$D$2:$AG$2,0)),Inputs!$B$4:$B$100,$B38)/1000)</f>
        <v/>
      </c>
      <c r="P38" s="11" t="str">
        <f>IF(P$3=0,"",SUMIFS(INDEX(Inputs!$D$4:$AG$100,0,MATCH(P$2,Inputs!$D$2:$AG$2,0)),Inputs!$B$4:$B$100,$B38)/1000)</f>
        <v/>
      </c>
      <c r="Q38" s="11" t="str">
        <f>IF(Q$3=0,"",SUMIFS(INDEX(Inputs!$D$4:$AG$100,0,MATCH(Q$2,Inputs!$D$2:$AG$2,0)),Inputs!$B$4:$B$100,$B38)/1000)</f>
        <v/>
      </c>
      <c r="R38" s="12" t="str">
        <f t="shared" si="14"/>
        <v/>
      </c>
      <c r="S38" s="11" t="str">
        <f>IF(S$3=0,"",SUMIFS(INDEX(Inputs!$D$4:$AG$100,0,MATCH(S$2,Inputs!$D$2:$AG$2,0)),Inputs!$B$4:$B$100,$B38)/1000)</f>
        <v/>
      </c>
      <c r="T38" s="11" t="str">
        <f>IF(T$3=0,"",SUMIFS(INDEX(Inputs!$D$4:$AG$100,0,MATCH(T$2,Inputs!$D$2:$AG$2,0)),Inputs!$B$4:$B$100,$B38)/1000)</f>
        <v/>
      </c>
      <c r="U38" s="11" t="str">
        <f>IF(U$3=0,"",SUMIFS(INDEX(Inputs!$D$4:$AG$100,0,MATCH(U$2,Inputs!$D$2:$AG$2,0)),Inputs!$B$4:$B$100,$B38)/1000)</f>
        <v/>
      </c>
      <c r="V38" s="11" t="str">
        <f>IF(V$3=0,"",SUMIFS(INDEX(Inputs!$D$4:$AG$100,0,MATCH(V$2,Inputs!$D$2:$AG$2,0)),Inputs!$B$4:$B$100,$B38)/1000)</f>
        <v/>
      </c>
      <c r="W38" s="12" t="str">
        <f t="shared" si="15"/>
        <v/>
      </c>
      <c r="X38" s="11" t="str">
        <f>IF(X$3=0,"",SUMIFS(INDEX(Inputs!$D$4:$AG$100,0,MATCH(X$2,Inputs!$D$2:$AG$2,0)),Inputs!$B$4:$B$100,$B38)/1000)</f>
        <v/>
      </c>
      <c r="Y38" s="11" t="str">
        <f>IF(Y$3=0,"",SUMIFS(INDEX(Inputs!$D$4:$AG$100,0,MATCH(Y$2,Inputs!$D$2:$AG$2,0)),Inputs!$B$4:$B$100,$B38)/1000)</f>
        <v/>
      </c>
      <c r="Z38" s="11" t="str">
        <f>IF(Z$3=0,"",SUMIFS(INDEX(Inputs!$D$4:$AG$100,0,MATCH(Z$2,Inputs!$D$2:$AG$2,0)),Inputs!$B$4:$B$100,$B38)/1000)</f>
        <v/>
      </c>
      <c r="AA38" s="11" t="str">
        <f>IF(AA$3=0,"",SUMIFS(INDEX(Inputs!$D$4:$AG$100,0,MATCH(AA$2,Inputs!$D$2:$AG$2,0)),Inputs!$B$4:$B$100,$B38)/1000)</f>
        <v/>
      </c>
      <c r="AB38" s="12" t="str">
        <f t="shared" si="16"/>
        <v/>
      </c>
      <c r="AC38" s="11" t="str">
        <f>IF(AC$3=0,"",SUMIFS(INDEX(Inputs!$D$4:$AG$100,0,MATCH(AC$2,Inputs!$D$2:$AG$2,0)),Inputs!$B$4:$B$100,$B38)/1000)</f>
        <v/>
      </c>
      <c r="AD38" s="11" t="str">
        <f>IF(AD$3=0,"",SUMIFS(INDEX(Inputs!$D$4:$AG$100,0,MATCH(AD$2,Inputs!$D$2:$AG$2,0)),Inputs!$B$4:$B$100,$B38)/1000)</f>
        <v/>
      </c>
      <c r="AE38" s="11" t="str">
        <f>IF(AE$3=0,"",SUMIFS(INDEX(Inputs!$D$4:$AG$100,0,MATCH(AE$2,Inputs!$D$2:$AG$2,0)),Inputs!$B$4:$B$100,$B38)/1000)</f>
        <v/>
      </c>
      <c r="AF38" s="11" t="str">
        <f>IF(AF$3=0,"",SUMIFS(INDEX(Inputs!$D$4:$AG$100,0,MATCH(AF$2,Inputs!$D$2:$AG$2,0)),Inputs!$B$4:$B$100,$B38)/1000)</f>
        <v/>
      </c>
      <c r="AG38" s="12" t="str">
        <f t="shared" si="17"/>
        <v/>
      </c>
    </row>
    <row r="39" spans="2:33" x14ac:dyDescent="0.2">
      <c r="B39" s="9">
        <v>34</v>
      </c>
      <c r="C39" s="14" t="s">
        <v>68</v>
      </c>
      <c r="D39" s="11" t="str">
        <f>IF(D$3=0,"",SUMIFS(INDEX(Inputs!$D$4:$AG$100,0,MATCH(D$2,Inputs!$D$2:$AG$2,0)),Inputs!$B$4:$B$100,$B39)/1000)</f>
        <v/>
      </c>
      <c r="E39" s="11" t="str">
        <f>IF(E$3=0,"",SUMIFS(INDEX(Inputs!$D$4:$AG$100,0,MATCH(E$2,Inputs!$D$2:$AG$2,0)),Inputs!$B$4:$B$100,$B39)/1000)</f>
        <v/>
      </c>
      <c r="F39" s="11" t="str">
        <f>IF(F$3=0,"",SUMIFS(INDEX(Inputs!$D$4:$AG$100,0,MATCH(F$2,Inputs!$D$2:$AG$2,0)),Inputs!$B$4:$B$100,$B39)/1000)</f>
        <v/>
      </c>
      <c r="G39" s="11" t="str">
        <f>IF(G$3=0,"",SUMIFS(INDEX(Inputs!$D$4:$AG$100,0,MATCH(G$2,Inputs!$D$2:$AG$2,0)),Inputs!$B$4:$B$100,$B39)/1000)</f>
        <v/>
      </c>
      <c r="H39" s="12" t="str">
        <f t="shared" si="12"/>
        <v/>
      </c>
      <c r="I39" s="11" t="str">
        <f>IF(I$3=0,"",SUMIFS(INDEX(Inputs!$D$4:$AG$100,0,MATCH(I$2,Inputs!$D$2:$AG$2,0)),Inputs!$B$4:$B$100,$B39)/1000)</f>
        <v/>
      </c>
      <c r="J39" s="11" t="str">
        <f>IF(J$3=0,"",SUMIFS(INDEX(Inputs!$D$4:$AG$100,0,MATCH(J$2,Inputs!$D$2:$AG$2,0)),Inputs!$B$4:$B$100,$B39)/1000)</f>
        <v/>
      </c>
      <c r="K39" s="11" t="str">
        <f>IF(K$3=0,"",SUMIFS(INDEX(Inputs!$D$4:$AG$100,0,MATCH(K$2,Inputs!$D$2:$AG$2,0)),Inputs!$B$4:$B$100,$B39)/1000)</f>
        <v/>
      </c>
      <c r="L39" s="11" t="str">
        <f>IF(L$3=0,"",SUMIFS(INDEX(Inputs!$D$4:$AG$100,0,MATCH(L$2,Inputs!$D$2:$AG$2,0)),Inputs!$B$4:$B$100,$B39)/1000)</f>
        <v/>
      </c>
      <c r="M39" s="12" t="str">
        <f t="shared" si="13"/>
        <v/>
      </c>
      <c r="N39" s="11" t="str">
        <f>IF(N$3=0,"",SUMIFS(INDEX(Inputs!$D$4:$AG$100,0,MATCH(N$2,Inputs!$D$2:$AG$2,0)),Inputs!$B$4:$B$100,$B39)/1000)</f>
        <v/>
      </c>
      <c r="O39" s="11" t="str">
        <f>IF(O$3=0,"",SUMIFS(INDEX(Inputs!$D$4:$AG$100,0,MATCH(O$2,Inputs!$D$2:$AG$2,0)),Inputs!$B$4:$B$100,$B39)/1000)</f>
        <v/>
      </c>
      <c r="P39" s="11" t="str">
        <f>IF(P$3=0,"",SUMIFS(INDEX(Inputs!$D$4:$AG$100,0,MATCH(P$2,Inputs!$D$2:$AG$2,0)),Inputs!$B$4:$B$100,$B39)/1000)</f>
        <v/>
      </c>
      <c r="Q39" s="11" t="str">
        <f>IF(Q$3=0,"",SUMIFS(INDEX(Inputs!$D$4:$AG$100,0,MATCH(Q$2,Inputs!$D$2:$AG$2,0)),Inputs!$B$4:$B$100,$B39)/1000)</f>
        <v/>
      </c>
      <c r="R39" s="12" t="str">
        <f t="shared" si="14"/>
        <v/>
      </c>
      <c r="S39" s="11" t="str">
        <f>IF(S$3=0,"",SUMIFS(INDEX(Inputs!$D$4:$AG$100,0,MATCH(S$2,Inputs!$D$2:$AG$2,0)),Inputs!$B$4:$B$100,$B39)/1000)</f>
        <v/>
      </c>
      <c r="T39" s="11" t="str">
        <f>IF(T$3=0,"",SUMIFS(INDEX(Inputs!$D$4:$AG$100,0,MATCH(T$2,Inputs!$D$2:$AG$2,0)),Inputs!$B$4:$B$100,$B39)/1000)</f>
        <v/>
      </c>
      <c r="U39" s="11" t="str">
        <f>IF(U$3=0,"",SUMIFS(INDEX(Inputs!$D$4:$AG$100,0,MATCH(U$2,Inputs!$D$2:$AG$2,0)),Inputs!$B$4:$B$100,$B39)/1000)</f>
        <v/>
      </c>
      <c r="V39" s="11" t="str">
        <f>IF(V$3=0,"",SUMIFS(INDEX(Inputs!$D$4:$AG$100,0,MATCH(V$2,Inputs!$D$2:$AG$2,0)),Inputs!$B$4:$B$100,$B39)/1000)</f>
        <v/>
      </c>
      <c r="W39" s="12" t="str">
        <f t="shared" si="15"/>
        <v/>
      </c>
      <c r="X39" s="11" t="str">
        <f>IF(X$3=0,"",SUMIFS(INDEX(Inputs!$D$4:$AG$100,0,MATCH(X$2,Inputs!$D$2:$AG$2,0)),Inputs!$B$4:$B$100,$B39)/1000)</f>
        <v/>
      </c>
      <c r="Y39" s="11" t="str">
        <f>IF(Y$3=0,"",SUMIFS(INDEX(Inputs!$D$4:$AG$100,0,MATCH(Y$2,Inputs!$D$2:$AG$2,0)),Inputs!$B$4:$B$100,$B39)/1000)</f>
        <v/>
      </c>
      <c r="Z39" s="11" t="str">
        <f>IF(Z$3=0,"",SUMIFS(INDEX(Inputs!$D$4:$AG$100,0,MATCH(Z$2,Inputs!$D$2:$AG$2,0)),Inputs!$B$4:$B$100,$B39)/1000)</f>
        <v/>
      </c>
      <c r="AA39" s="11" t="str">
        <f>IF(AA$3=0,"",SUMIFS(INDEX(Inputs!$D$4:$AG$100,0,MATCH(AA$2,Inputs!$D$2:$AG$2,0)),Inputs!$B$4:$B$100,$B39)/1000)</f>
        <v/>
      </c>
      <c r="AB39" s="12" t="str">
        <f t="shared" si="16"/>
        <v/>
      </c>
      <c r="AC39" s="11" t="str">
        <f>IF(AC$3=0,"",SUMIFS(INDEX(Inputs!$D$4:$AG$100,0,MATCH(AC$2,Inputs!$D$2:$AG$2,0)),Inputs!$B$4:$B$100,$B39)/1000)</f>
        <v/>
      </c>
      <c r="AD39" s="11" t="str">
        <f>IF(AD$3=0,"",SUMIFS(INDEX(Inputs!$D$4:$AG$100,0,MATCH(AD$2,Inputs!$D$2:$AG$2,0)),Inputs!$B$4:$B$100,$B39)/1000)</f>
        <v/>
      </c>
      <c r="AE39" s="11" t="str">
        <f>IF(AE$3=0,"",SUMIFS(INDEX(Inputs!$D$4:$AG$100,0,MATCH(AE$2,Inputs!$D$2:$AG$2,0)),Inputs!$B$4:$B$100,$B39)/1000)</f>
        <v/>
      </c>
      <c r="AF39" s="11" t="str">
        <f>IF(AF$3=0,"",SUMIFS(INDEX(Inputs!$D$4:$AG$100,0,MATCH(AF$2,Inputs!$D$2:$AG$2,0)),Inputs!$B$4:$B$100,$B39)/1000)</f>
        <v/>
      </c>
      <c r="AG39" s="12" t="str">
        <f t="shared" si="17"/>
        <v/>
      </c>
    </row>
    <row r="40" spans="2:33" x14ac:dyDescent="0.2">
      <c r="C40" s="3"/>
    </row>
    <row r="41" spans="2:33" x14ac:dyDescent="0.2">
      <c r="B41" s="9">
        <v>35</v>
      </c>
      <c r="C41" s="14" t="s">
        <v>69</v>
      </c>
      <c r="D41" s="11" t="str">
        <f>IF(D$3=0,"",SUMIFS(INDEX(Inputs!$D$4:$AG$100,0,MATCH(D$2,Inputs!$D$2:$AG$2,0)),Inputs!$B$4:$B$100,$B41)/1000)</f>
        <v/>
      </c>
      <c r="E41" s="11" t="str">
        <f>IF(E$3=0,"",SUMIFS(INDEX(Inputs!$D$4:$AG$100,0,MATCH(E$2,Inputs!$D$2:$AG$2,0)),Inputs!$B$4:$B$100,$B41)/1000)</f>
        <v/>
      </c>
      <c r="F41" s="11" t="str">
        <f>IF(F$3=0,"",SUMIFS(INDEX(Inputs!$D$4:$AG$100,0,MATCH(F$2,Inputs!$D$2:$AG$2,0)),Inputs!$B$4:$B$100,$B41)/1000)</f>
        <v/>
      </c>
      <c r="G41" s="11" t="str">
        <f>IF(G$3=0,"",SUMIFS(INDEX(Inputs!$D$4:$AG$100,0,MATCH(G$2,Inputs!$D$2:$AG$2,0)),Inputs!$B$4:$B$100,$B41)/1000)</f>
        <v/>
      </c>
      <c r="H41" s="12" t="str">
        <f t="shared" ref="H41:H47" si="18">IF(G41="","",G41)</f>
        <v/>
      </c>
      <c r="I41" s="11" t="str">
        <f>IF(I$3=0,"",SUMIFS(INDEX(Inputs!$D$4:$AG$100,0,MATCH(I$2,Inputs!$D$2:$AG$2,0)),Inputs!$B$4:$B$100,$B41)/1000)</f>
        <v/>
      </c>
      <c r="J41" s="11" t="str">
        <f>IF(J$3=0,"",SUMIFS(INDEX(Inputs!$D$4:$AG$100,0,MATCH(J$2,Inputs!$D$2:$AG$2,0)),Inputs!$B$4:$B$100,$B41)/1000)</f>
        <v/>
      </c>
      <c r="K41" s="11" t="str">
        <f>IF(K$3=0,"",SUMIFS(INDEX(Inputs!$D$4:$AG$100,0,MATCH(K$2,Inputs!$D$2:$AG$2,0)),Inputs!$B$4:$B$100,$B41)/1000)</f>
        <v/>
      </c>
      <c r="L41" s="11" t="str">
        <f>IF(L$3=0,"",SUMIFS(INDEX(Inputs!$D$4:$AG$100,0,MATCH(L$2,Inputs!$D$2:$AG$2,0)),Inputs!$B$4:$B$100,$B41)/1000)</f>
        <v/>
      </c>
      <c r="M41" s="12" t="str">
        <f t="shared" ref="M41:M47" si="19">IF(L41="","",L41)</f>
        <v/>
      </c>
      <c r="N41" s="11" t="str">
        <f>IF(N$3=0,"",SUMIFS(INDEX(Inputs!$D$4:$AG$100,0,MATCH(N$2,Inputs!$D$2:$AG$2,0)),Inputs!$B$4:$B$100,$B41)/1000)</f>
        <v/>
      </c>
      <c r="O41" s="11" t="str">
        <f>IF(O$3=0,"",SUMIFS(INDEX(Inputs!$D$4:$AG$100,0,MATCH(O$2,Inputs!$D$2:$AG$2,0)),Inputs!$B$4:$B$100,$B41)/1000)</f>
        <v/>
      </c>
      <c r="P41" s="11" t="str">
        <f>IF(P$3=0,"",SUMIFS(INDEX(Inputs!$D$4:$AG$100,0,MATCH(P$2,Inputs!$D$2:$AG$2,0)),Inputs!$B$4:$B$100,$B41)/1000)</f>
        <v/>
      </c>
      <c r="Q41" s="11" t="str">
        <f>IF(Q$3=0,"",SUMIFS(INDEX(Inputs!$D$4:$AG$100,0,MATCH(Q$2,Inputs!$D$2:$AG$2,0)),Inputs!$B$4:$B$100,$B41)/1000)</f>
        <v/>
      </c>
      <c r="R41" s="12" t="str">
        <f t="shared" ref="R41:R47" si="20">IF(Q41="","",Q41)</f>
        <v/>
      </c>
      <c r="S41" s="11" t="str">
        <f>IF(S$3=0,"",SUMIFS(INDEX(Inputs!$D$4:$AG$100,0,MATCH(S$2,Inputs!$D$2:$AG$2,0)),Inputs!$B$4:$B$100,$B41)/1000)</f>
        <v/>
      </c>
      <c r="T41" s="11" t="str">
        <f>IF(T$3=0,"",SUMIFS(INDEX(Inputs!$D$4:$AG$100,0,MATCH(T$2,Inputs!$D$2:$AG$2,0)),Inputs!$B$4:$B$100,$B41)/1000)</f>
        <v/>
      </c>
      <c r="U41" s="11" t="str">
        <f>IF(U$3=0,"",SUMIFS(INDEX(Inputs!$D$4:$AG$100,0,MATCH(U$2,Inputs!$D$2:$AG$2,0)),Inputs!$B$4:$B$100,$B41)/1000)</f>
        <v/>
      </c>
      <c r="V41" s="11" t="str">
        <f>IF(V$3=0,"",SUMIFS(INDEX(Inputs!$D$4:$AG$100,0,MATCH(V$2,Inputs!$D$2:$AG$2,0)),Inputs!$B$4:$B$100,$B41)/1000)</f>
        <v/>
      </c>
      <c r="W41" s="12" t="str">
        <f t="shared" ref="W41:W47" si="21">IF(V41="","",V41)</f>
        <v/>
      </c>
      <c r="X41" s="11" t="str">
        <f>IF(X$3=0,"",SUMIFS(INDEX(Inputs!$D$4:$AG$100,0,MATCH(X$2,Inputs!$D$2:$AG$2,0)),Inputs!$B$4:$B$100,$B41)/1000)</f>
        <v/>
      </c>
      <c r="Y41" s="11" t="str">
        <f>IF(Y$3=0,"",SUMIFS(INDEX(Inputs!$D$4:$AG$100,0,MATCH(Y$2,Inputs!$D$2:$AG$2,0)),Inputs!$B$4:$B$100,$B41)/1000)</f>
        <v/>
      </c>
      <c r="Z41" s="11" t="str">
        <f>IF(Z$3=0,"",SUMIFS(INDEX(Inputs!$D$4:$AG$100,0,MATCH(Z$2,Inputs!$D$2:$AG$2,0)),Inputs!$B$4:$B$100,$B41)/1000)</f>
        <v/>
      </c>
      <c r="AA41" s="11" t="str">
        <f>IF(AA$3=0,"",SUMIFS(INDEX(Inputs!$D$4:$AG$100,0,MATCH(AA$2,Inputs!$D$2:$AG$2,0)),Inputs!$B$4:$B$100,$B41)/1000)</f>
        <v/>
      </c>
      <c r="AB41" s="12" t="str">
        <f t="shared" ref="AB41:AB47" si="22">IF(AA41="","",AA41)</f>
        <v/>
      </c>
      <c r="AC41" s="11" t="str">
        <f>IF(AC$3=0,"",SUMIFS(INDEX(Inputs!$D$4:$AG$100,0,MATCH(AC$2,Inputs!$D$2:$AG$2,0)),Inputs!$B$4:$B$100,$B41)/1000)</f>
        <v/>
      </c>
      <c r="AD41" s="11" t="str">
        <f>IF(AD$3=0,"",SUMIFS(INDEX(Inputs!$D$4:$AG$100,0,MATCH(AD$2,Inputs!$D$2:$AG$2,0)),Inputs!$B$4:$B$100,$B41)/1000)</f>
        <v/>
      </c>
      <c r="AE41" s="11" t="str">
        <f>IF(AE$3=0,"",SUMIFS(INDEX(Inputs!$D$4:$AG$100,0,MATCH(AE$2,Inputs!$D$2:$AG$2,0)),Inputs!$B$4:$B$100,$B41)/1000)</f>
        <v/>
      </c>
      <c r="AF41" s="11" t="str">
        <f>IF(AF$3=0,"",SUMIFS(INDEX(Inputs!$D$4:$AG$100,0,MATCH(AF$2,Inputs!$D$2:$AG$2,0)),Inputs!$B$4:$B$100,$B41)/1000)</f>
        <v/>
      </c>
      <c r="AG41" s="12" t="str">
        <f t="shared" ref="AG41:AG47" si="23">IF(AF41="","",AF41)</f>
        <v/>
      </c>
    </row>
    <row r="42" spans="2:33" x14ac:dyDescent="0.2">
      <c r="B42" s="9">
        <v>36</v>
      </c>
      <c r="C42" s="14" t="s">
        <v>70</v>
      </c>
      <c r="D42" s="11" t="str">
        <f>IF(D$3=0,"",SUMIFS(INDEX(Inputs!$D$4:$AG$100,0,MATCH(D$2,Inputs!$D$2:$AG$2,0)),Inputs!$B$4:$B$100,$B42)/1000)</f>
        <v/>
      </c>
      <c r="E42" s="11" t="str">
        <f>IF(E$3=0,"",SUMIFS(INDEX(Inputs!$D$4:$AG$100,0,MATCH(E$2,Inputs!$D$2:$AG$2,0)),Inputs!$B$4:$B$100,$B42)/1000)</f>
        <v/>
      </c>
      <c r="F42" s="11" t="str">
        <f>IF(F$3=0,"",SUMIFS(INDEX(Inputs!$D$4:$AG$100,0,MATCH(F$2,Inputs!$D$2:$AG$2,0)),Inputs!$B$4:$B$100,$B42)/1000)</f>
        <v/>
      </c>
      <c r="G42" s="11" t="str">
        <f>IF(G$3=0,"",SUMIFS(INDEX(Inputs!$D$4:$AG$100,0,MATCH(G$2,Inputs!$D$2:$AG$2,0)),Inputs!$B$4:$B$100,$B42)/1000)</f>
        <v/>
      </c>
      <c r="H42" s="12" t="str">
        <f t="shared" si="18"/>
        <v/>
      </c>
      <c r="I42" s="11" t="str">
        <f>IF(I$3=0,"",SUMIFS(INDEX(Inputs!$D$4:$AG$100,0,MATCH(I$2,Inputs!$D$2:$AG$2,0)),Inputs!$B$4:$B$100,$B42)/1000)</f>
        <v/>
      </c>
      <c r="J42" s="11" t="str">
        <f>IF(J$3=0,"",SUMIFS(INDEX(Inputs!$D$4:$AG$100,0,MATCH(J$2,Inputs!$D$2:$AG$2,0)),Inputs!$B$4:$B$100,$B42)/1000)</f>
        <v/>
      </c>
      <c r="K42" s="11" t="str">
        <f>IF(K$3=0,"",SUMIFS(INDEX(Inputs!$D$4:$AG$100,0,MATCH(K$2,Inputs!$D$2:$AG$2,0)),Inputs!$B$4:$B$100,$B42)/1000)</f>
        <v/>
      </c>
      <c r="L42" s="11" t="str">
        <f>IF(L$3=0,"",SUMIFS(INDEX(Inputs!$D$4:$AG$100,0,MATCH(L$2,Inputs!$D$2:$AG$2,0)),Inputs!$B$4:$B$100,$B42)/1000)</f>
        <v/>
      </c>
      <c r="M42" s="12" t="str">
        <f t="shared" si="19"/>
        <v/>
      </c>
      <c r="N42" s="11" t="str">
        <f>IF(N$3=0,"",SUMIFS(INDEX(Inputs!$D$4:$AG$100,0,MATCH(N$2,Inputs!$D$2:$AG$2,0)),Inputs!$B$4:$B$100,$B42)/1000)</f>
        <v/>
      </c>
      <c r="O42" s="11" t="str">
        <f>IF(O$3=0,"",SUMIFS(INDEX(Inputs!$D$4:$AG$100,0,MATCH(O$2,Inputs!$D$2:$AG$2,0)),Inputs!$B$4:$B$100,$B42)/1000)</f>
        <v/>
      </c>
      <c r="P42" s="11" t="str">
        <f>IF(P$3=0,"",SUMIFS(INDEX(Inputs!$D$4:$AG$100,0,MATCH(P$2,Inputs!$D$2:$AG$2,0)),Inputs!$B$4:$B$100,$B42)/1000)</f>
        <v/>
      </c>
      <c r="Q42" s="11" t="str">
        <f>IF(Q$3=0,"",SUMIFS(INDEX(Inputs!$D$4:$AG$100,0,MATCH(Q$2,Inputs!$D$2:$AG$2,0)),Inputs!$B$4:$B$100,$B42)/1000)</f>
        <v/>
      </c>
      <c r="R42" s="12" t="str">
        <f t="shared" si="20"/>
        <v/>
      </c>
      <c r="S42" s="11" t="str">
        <f>IF(S$3=0,"",SUMIFS(INDEX(Inputs!$D$4:$AG$100,0,MATCH(S$2,Inputs!$D$2:$AG$2,0)),Inputs!$B$4:$B$100,$B42)/1000)</f>
        <v/>
      </c>
      <c r="T42" s="11" t="str">
        <f>IF(T$3=0,"",SUMIFS(INDEX(Inputs!$D$4:$AG$100,0,MATCH(T$2,Inputs!$D$2:$AG$2,0)),Inputs!$B$4:$B$100,$B42)/1000)</f>
        <v/>
      </c>
      <c r="U42" s="11" t="str">
        <f>IF(U$3=0,"",SUMIFS(INDEX(Inputs!$D$4:$AG$100,0,MATCH(U$2,Inputs!$D$2:$AG$2,0)),Inputs!$B$4:$B$100,$B42)/1000)</f>
        <v/>
      </c>
      <c r="V42" s="11" t="str">
        <f>IF(V$3=0,"",SUMIFS(INDEX(Inputs!$D$4:$AG$100,0,MATCH(V$2,Inputs!$D$2:$AG$2,0)),Inputs!$B$4:$B$100,$B42)/1000)</f>
        <v/>
      </c>
      <c r="W42" s="12" t="str">
        <f t="shared" si="21"/>
        <v/>
      </c>
      <c r="X42" s="11" t="str">
        <f>IF(X$3=0,"",SUMIFS(INDEX(Inputs!$D$4:$AG$100,0,MATCH(X$2,Inputs!$D$2:$AG$2,0)),Inputs!$B$4:$B$100,$B42)/1000)</f>
        <v/>
      </c>
      <c r="Y42" s="11" t="str">
        <f>IF(Y$3=0,"",SUMIFS(INDEX(Inputs!$D$4:$AG$100,0,MATCH(Y$2,Inputs!$D$2:$AG$2,0)),Inputs!$B$4:$B$100,$B42)/1000)</f>
        <v/>
      </c>
      <c r="Z42" s="11" t="str">
        <f>IF(Z$3=0,"",SUMIFS(INDEX(Inputs!$D$4:$AG$100,0,MATCH(Z$2,Inputs!$D$2:$AG$2,0)),Inputs!$B$4:$B$100,$B42)/1000)</f>
        <v/>
      </c>
      <c r="AA42" s="11" t="str">
        <f>IF(AA$3=0,"",SUMIFS(INDEX(Inputs!$D$4:$AG$100,0,MATCH(AA$2,Inputs!$D$2:$AG$2,0)),Inputs!$B$4:$B$100,$B42)/1000)</f>
        <v/>
      </c>
      <c r="AB42" s="12" t="str">
        <f t="shared" si="22"/>
        <v/>
      </c>
      <c r="AC42" s="11" t="str">
        <f>IF(AC$3=0,"",SUMIFS(INDEX(Inputs!$D$4:$AG$100,0,MATCH(AC$2,Inputs!$D$2:$AG$2,0)),Inputs!$B$4:$B$100,$B42)/1000)</f>
        <v/>
      </c>
      <c r="AD42" s="11" t="str">
        <f>IF(AD$3=0,"",SUMIFS(INDEX(Inputs!$D$4:$AG$100,0,MATCH(AD$2,Inputs!$D$2:$AG$2,0)),Inputs!$B$4:$B$100,$B42)/1000)</f>
        <v/>
      </c>
      <c r="AE42" s="11" t="str">
        <f>IF(AE$3=0,"",SUMIFS(INDEX(Inputs!$D$4:$AG$100,0,MATCH(AE$2,Inputs!$D$2:$AG$2,0)),Inputs!$B$4:$B$100,$B42)/1000)</f>
        <v/>
      </c>
      <c r="AF42" s="11" t="str">
        <f>IF(AF$3=0,"",SUMIFS(INDEX(Inputs!$D$4:$AG$100,0,MATCH(AF$2,Inputs!$D$2:$AG$2,0)),Inputs!$B$4:$B$100,$B42)/1000)</f>
        <v/>
      </c>
      <c r="AG42" s="12" t="str">
        <f t="shared" si="23"/>
        <v/>
      </c>
    </row>
    <row r="43" spans="2:33" x14ac:dyDescent="0.2">
      <c r="B43" s="9">
        <v>37</v>
      </c>
      <c r="C43" s="13" t="s">
        <v>71</v>
      </c>
      <c r="D43" s="11" t="str">
        <f>IF(D$3=0,"",SUMIFS(INDEX(Inputs!$D$4:$AG$100,0,MATCH(D$2,Inputs!$D$2:$AG$2,0)),Inputs!$B$4:$B$100,$B43)/1000)</f>
        <v/>
      </c>
      <c r="E43" s="11" t="str">
        <f>IF(E$3=0,"",SUMIFS(INDEX(Inputs!$D$4:$AG$100,0,MATCH(E$2,Inputs!$D$2:$AG$2,0)),Inputs!$B$4:$B$100,$B43)/1000)</f>
        <v/>
      </c>
      <c r="F43" s="11" t="str">
        <f>IF(F$3=0,"",SUMIFS(INDEX(Inputs!$D$4:$AG$100,0,MATCH(F$2,Inputs!$D$2:$AG$2,0)),Inputs!$B$4:$B$100,$B43)/1000)</f>
        <v/>
      </c>
      <c r="G43" s="11" t="str">
        <f>IF(G$3=0,"",SUMIFS(INDEX(Inputs!$D$4:$AG$100,0,MATCH(G$2,Inputs!$D$2:$AG$2,0)),Inputs!$B$4:$B$100,$B43)/1000)</f>
        <v/>
      </c>
      <c r="H43" s="12" t="str">
        <f t="shared" si="18"/>
        <v/>
      </c>
      <c r="I43" s="11" t="str">
        <f>IF(I$3=0,"",SUMIFS(INDEX(Inputs!$D$4:$AG$100,0,MATCH(I$2,Inputs!$D$2:$AG$2,0)),Inputs!$B$4:$B$100,$B43)/1000)</f>
        <v/>
      </c>
      <c r="J43" s="11" t="str">
        <f>IF(J$3=0,"",SUMIFS(INDEX(Inputs!$D$4:$AG$100,0,MATCH(J$2,Inputs!$D$2:$AG$2,0)),Inputs!$B$4:$B$100,$B43)/1000)</f>
        <v/>
      </c>
      <c r="K43" s="11" t="str">
        <f>IF(K$3=0,"",SUMIFS(INDEX(Inputs!$D$4:$AG$100,0,MATCH(K$2,Inputs!$D$2:$AG$2,0)),Inputs!$B$4:$B$100,$B43)/1000)</f>
        <v/>
      </c>
      <c r="L43" s="11" t="str">
        <f>IF(L$3=0,"",SUMIFS(INDEX(Inputs!$D$4:$AG$100,0,MATCH(L$2,Inputs!$D$2:$AG$2,0)),Inputs!$B$4:$B$100,$B43)/1000)</f>
        <v/>
      </c>
      <c r="M43" s="12" t="str">
        <f t="shared" si="19"/>
        <v/>
      </c>
      <c r="N43" s="11" t="str">
        <f>IF(N$3=0,"",SUMIFS(INDEX(Inputs!$D$4:$AG$100,0,MATCH(N$2,Inputs!$D$2:$AG$2,0)),Inputs!$B$4:$B$100,$B43)/1000)</f>
        <v/>
      </c>
      <c r="O43" s="11" t="str">
        <f>IF(O$3=0,"",SUMIFS(INDEX(Inputs!$D$4:$AG$100,0,MATCH(O$2,Inputs!$D$2:$AG$2,0)),Inputs!$B$4:$B$100,$B43)/1000)</f>
        <v/>
      </c>
      <c r="P43" s="11" t="str">
        <f>IF(P$3=0,"",SUMIFS(INDEX(Inputs!$D$4:$AG$100,0,MATCH(P$2,Inputs!$D$2:$AG$2,0)),Inputs!$B$4:$B$100,$B43)/1000)</f>
        <v/>
      </c>
      <c r="Q43" s="11" t="str">
        <f>IF(Q$3=0,"",SUMIFS(INDEX(Inputs!$D$4:$AG$100,0,MATCH(Q$2,Inputs!$D$2:$AG$2,0)),Inputs!$B$4:$B$100,$B43)/1000)</f>
        <v/>
      </c>
      <c r="R43" s="12" t="str">
        <f t="shared" si="20"/>
        <v/>
      </c>
      <c r="S43" s="11" t="str">
        <f>IF(S$3=0,"",SUMIFS(INDEX(Inputs!$D$4:$AG$100,0,MATCH(S$2,Inputs!$D$2:$AG$2,0)),Inputs!$B$4:$B$100,$B43)/1000)</f>
        <v/>
      </c>
      <c r="T43" s="11" t="str">
        <f>IF(T$3=0,"",SUMIFS(INDEX(Inputs!$D$4:$AG$100,0,MATCH(T$2,Inputs!$D$2:$AG$2,0)),Inputs!$B$4:$B$100,$B43)/1000)</f>
        <v/>
      </c>
      <c r="U43" s="11" t="str">
        <f>IF(U$3=0,"",SUMIFS(INDEX(Inputs!$D$4:$AG$100,0,MATCH(U$2,Inputs!$D$2:$AG$2,0)),Inputs!$B$4:$B$100,$B43)/1000)</f>
        <v/>
      </c>
      <c r="V43" s="11" t="str">
        <f>IF(V$3=0,"",SUMIFS(INDEX(Inputs!$D$4:$AG$100,0,MATCH(V$2,Inputs!$D$2:$AG$2,0)),Inputs!$B$4:$B$100,$B43)/1000)</f>
        <v/>
      </c>
      <c r="W43" s="12" t="str">
        <f t="shared" si="21"/>
        <v/>
      </c>
      <c r="X43" s="11" t="str">
        <f>IF(X$3=0,"",SUMIFS(INDEX(Inputs!$D$4:$AG$100,0,MATCH(X$2,Inputs!$D$2:$AG$2,0)),Inputs!$B$4:$B$100,$B43)/1000)</f>
        <v/>
      </c>
      <c r="Y43" s="11" t="str">
        <f>IF(Y$3=0,"",SUMIFS(INDEX(Inputs!$D$4:$AG$100,0,MATCH(Y$2,Inputs!$D$2:$AG$2,0)),Inputs!$B$4:$B$100,$B43)/1000)</f>
        <v/>
      </c>
      <c r="Z43" s="11" t="str">
        <f>IF(Z$3=0,"",SUMIFS(INDEX(Inputs!$D$4:$AG$100,0,MATCH(Z$2,Inputs!$D$2:$AG$2,0)),Inputs!$B$4:$B$100,$B43)/1000)</f>
        <v/>
      </c>
      <c r="AA43" s="11" t="str">
        <f>IF(AA$3=0,"",SUMIFS(INDEX(Inputs!$D$4:$AG$100,0,MATCH(AA$2,Inputs!$D$2:$AG$2,0)),Inputs!$B$4:$B$100,$B43)/1000)</f>
        <v/>
      </c>
      <c r="AB43" s="12" t="str">
        <f t="shared" si="22"/>
        <v/>
      </c>
      <c r="AC43" s="11" t="str">
        <f>IF(AC$3=0,"",SUMIFS(INDEX(Inputs!$D$4:$AG$100,0,MATCH(AC$2,Inputs!$D$2:$AG$2,0)),Inputs!$B$4:$B$100,$B43)/1000)</f>
        <v/>
      </c>
      <c r="AD43" s="11" t="str">
        <f>IF(AD$3=0,"",SUMIFS(INDEX(Inputs!$D$4:$AG$100,0,MATCH(AD$2,Inputs!$D$2:$AG$2,0)),Inputs!$B$4:$B$100,$B43)/1000)</f>
        <v/>
      </c>
      <c r="AE43" s="11" t="str">
        <f>IF(AE$3=0,"",SUMIFS(INDEX(Inputs!$D$4:$AG$100,0,MATCH(AE$2,Inputs!$D$2:$AG$2,0)),Inputs!$B$4:$B$100,$B43)/1000)</f>
        <v/>
      </c>
      <c r="AF43" s="11" t="str">
        <f>IF(AF$3=0,"",SUMIFS(INDEX(Inputs!$D$4:$AG$100,0,MATCH(AF$2,Inputs!$D$2:$AG$2,0)),Inputs!$B$4:$B$100,$B43)/1000)</f>
        <v/>
      </c>
      <c r="AG43" s="12" t="str">
        <f t="shared" si="23"/>
        <v/>
      </c>
    </row>
    <row r="44" spans="2:33" x14ac:dyDescent="0.2">
      <c r="B44" s="9">
        <v>38</v>
      </c>
      <c r="C44" s="14" t="s">
        <v>72</v>
      </c>
      <c r="D44" s="11" t="str">
        <f>IF(D$3=0,"",SUMIFS(INDEX(Inputs!$D$4:$AG$100,0,MATCH(D$2,Inputs!$D$2:$AG$2,0)),Inputs!$B$4:$B$100,$B44)/1000)</f>
        <v/>
      </c>
      <c r="E44" s="11" t="str">
        <f>IF(E$3=0,"",SUMIFS(INDEX(Inputs!$D$4:$AG$100,0,MATCH(E$2,Inputs!$D$2:$AG$2,0)),Inputs!$B$4:$B$100,$B44)/1000)</f>
        <v/>
      </c>
      <c r="F44" s="11" t="str">
        <f>IF(F$3=0,"",SUMIFS(INDEX(Inputs!$D$4:$AG$100,0,MATCH(F$2,Inputs!$D$2:$AG$2,0)),Inputs!$B$4:$B$100,$B44)/1000)</f>
        <v/>
      </c>
      <c r="G44" s="11" t="str">
        <f>IF(G$3=0,"",SUMIFS(INDEX(Inputs!$D$4:$AG$100,0,MATCH(G$2,Inputs!$D$2:$AG$2,0)),Inputs!$B$4:$B$100,$B44)/1000)</f>
        <v/>
      </c>
      <c r="H44" s="12" t="str">
        <f t="shared" si="18"/>
        <v/>
      </c>
      <c r="I44" s="11" t="str">
        <f>IF(I$3=0,"",SUMIFS(INDEX(Inputs!$D$4:$AG$100,0,MATCH(I$2,Inputs!$D$2:$AG$2,0)),Inputs!$B$4:$B$100,$B44)/1000)</f>
        <v/>
      </c>
      <c r="J44" s="11" t="str">
        <f>IF(J$3=0,"",SUMIFS(INDEX(Inputs!$D$4:$AG$100,0,MATCH(J$2,Inputs!$D$2:$AG$2,0)),Inputs!$B$4:$B$100,$B44)/1000)</f>
        <v/>
      </c>
      <c r="K44" s="11" t="str">
        <f>IF(K$3=0,"",SUMIFS(INDEX(Inputs!$D$4:$AG$100,0,MATCH(K$2,Inputs!$D$2:$AG$2,0)),Inputs!$B$4:$B$100,$B44)/1000)</f>
        <v/>
      </c>
      <c r="L44" s="11" t="str">
        <f>IF(L$3=0,"",SUMIFS(INDEX(Inputs!$D$4:$AG$100,0,MATCH(L$2,Inputs!$D$2:$AG$2,0)),Inputs!$B$4:$B$100,$B44)/1000)</f>
        <v/>
      </c>
      <c r="M44" s="12" t="str">
        <f t="shared" si="19"/>
        <v/>
      </c>
      <c r="N44" s="11" t="str">
        <f>IF(N$3=0,"",SUMIFS(INDEX(Inputs!$D$4:$AG$100,0,MATCH(N$2,Inputs!$D$2:$AG$2,0)),Inputs!$B$4:$B$100,$B44)/1000)</f>
        <v/>
      </c>
      <c r="O44" s="11" t="str">
        <f>IF(O$3=0,"",SUMIFS(INDEX(Inputs!$D$4:$AG$100,0,MATCH(O$2,Inputs!$D$2:$AG$2,0)),Inputs!$B$4:$B$100,$B44)/1000)</f>
        <v/>
      </c>
      <c r="P44" s="11" t="str">
        <f>IF(P$3=0,"",SUMIFS(INDEX(Inputs!$D$4:$AG$100,0,MATCH(P$2,Inputs!$D$2:$AG$2,0)),Inputs!$B$4:$B$100,$B44)/1000)</f>
        <v/>
      </c>
      <c r="Q44" s="11" t="str">
        <f>IF(Q$3=0,"",SUMIFS(INDEX(Inputs!$D$4:$AG$100,0,MATCH(Q$2,Inputs!$D$2:$AG$2,0)),Inputs!$B$4:$B$100,$B44)/1000)</f>
        <v/>
      </c>
      <c r="R44" s="12" t="str">
        <f t="shared" si="20"/>
        <v/>
      </c>
      <c r="S44" s="11" t="str">
        <f>IF(S$3=0,"",SUMIFS(INDEX(Inputs!$D$4:$AG$100,0,MATCH(S$2,Inputs!$D$2:$AG$2,0)),Inputs!$B$4:$B$100,$B44)/1000)</f>
        <v/>
      </c>
      <c r="T44" s="11" t="str">
        <f>IF(T$3=0,"",SUMIFS(INDEX(Inputs!$D$4:$AG$100,0,MATCH(T$2,Inputs!$D$2:$AG$2,0)),Inputs!$B$4:$B$100,$B44)/1000)</f>
        <v/>
      </c>
      <c r="U44" s="11" t="str">
        <f>IF(U$3=0,"",SUMIFS(INDEX(Inputs!$D$4:$AG$100,0,MATCH(U$2,Inputs!$D$2:$AG$2,0)),Inputs!$B$4:$B$100,$B44)/1000)</f>
        <v/>
      </c>
      <c r="V44" s="11" t="str">
        <f>IF(V$3=0,"",SUMIFS(INDEX(Inputs!$D$4:$AG$100,0,MATCH(V$2,Inputs!$D$2:$AG$2,0)),Inputs!$B$4:$B$100,$B44)/1000)</f>
        <v/>
      </c>
      <c r="W44" s="12" t="str">
        <f t="shared" si="21"/>
        <v/>
      </c>
      <c r="X44" s="11" t="str">
        <f>IF(X$3=0,"",SUMIFS(INDEX(Inputs!$D$4:$AG$100,0,MATCH(X$2,Inputs!$D$2:$AG$2,0)),Inputs!$B$4:$B$100,$B44)/1000)</f>
        <v/>
      </c>
      <c r="Y44" s="11" t="str">
        <f>IF(Y$3=0,"",SUMIFS(INDEX(Inputs!$D$4:$AG$100,0,MATCH(Y$2,Inputs!$D$2:$AG$2,0)),Inputs!$B$4:$B$100,$B44)/1000)</f>
        <v/>
      </c>
      <c r="Z44" s="11" t="str">
        <f>IF(Z$3=0,"",SUMIFS(INDEX(Inputs!$D$4:$AG$100,0,MATCH(Z$2,Inputs!$D$2:$AG$2,0)),Inputs!$B$4:$B$100,$B44)/1000)</f>
        <v/>
      </c>
      <c r="AA44" s="11" t="str">
        <f>IF(AA$3=0,"",SUMIFS(INDEX(Inputs!$D$4:$AG$100,0,MATCH(AA$2,Inputs!$D$2:$AG$2,0)),Inputs!$B$4:$B$100,$B44)/1000)</f>
        <v/>
      </c>
      <c r="AB44" s="12" t="str">
        <f t="shared" si="22"/>
        <v/>
      </c>
      <c r="AC44" s="11" t="str">
        <f>IF(AC$3=0,"",SUMIFS(INDEX(Inputs!$D$4:$AG$100,0,MATCH(AC$2,Inputs!$D$2:$AG$2,0)),Inputs!$B$4:$B$100,$B44)/1000)</f>
        <v/>
      </c>
      <c r="AD44" s="11" t="str">
        <f>IF(AD$3=0,"",SUMIFS(INDEX(Inputs!$D$4:$AG$100,0,MATCH(AD$2,Inputs!$D$2:$AG$2,0)),Inputs!$B$4:$B$100,$B44)/1000)</f>
        <v/>
      </c>
      <c r="AE44" s="11" t="str">
        <f>IF(AE$3=0,"",SUMIFS(INDEX(Inputs!$D$4:$AG$100,0,MATCH(AE$2,Inputs!$D$2:$AG$2,0)),Inputs!$B$4:$B$100,$B44)/1000)</f>
        <v/>
      </c>
      <c r="AF44" s="11" t="str">
        <f>IF(AF$3=0,"",SUMIFS(INDEX(Inputs!$D$4:$AG$100,0,MATCH(AF$2,Inputs!$D$2:$AG$2,0)),Inputs!$B$4:$B$100,$B44)/1000)</f>
        <v/>
      </c>
      <c r="AG44" s="12" t="str">
        <f t="shared" si="23"/>
        <v/>
      </c>
    </row>
    <row r="45" spans="2:33" x14ac:dyDescent="0.2">
      <c r="B45" s="9">
        <v>39</v>
      </c>
      <c r="C45" s="14" t="s">
        <v>73</v>
      </c>
      <c r="D45" s="11" t="str">
        <f>IF(D$3=0,"",SUMIFS(INDEX(Inputs!$D$4:$AG$100,0,MATCH(D$2,Inputs!$D$2:$AG$2,0)),Inputs!$B$4:$B$100,$B45)/1000)</f>
        <v/>
      </c>
      <c r="E45" s="11" t="str">
        <f>IF(E$3=0,"",SUMIFS(INDEX(Inputs!$D$4:$AG$100,0,MATCH(E$2,Inputs!$D$2:$AG$2,0)),Inputs!$B$4:$B$100,$B45)/1000)</f>
        <v/>
      </c>
      <c r="F45" s="11" t="str">
        <f>IF(F$3=0,"",SUMIFS(INDEX(Inputs!$D$4:$AG$100,0,MATCH(F$2,Inputs!$D$2:$AG$2,0)),Inputs!$B$4:$B$100,$B45)/1000)</f>
        <v/>
      </c>
      <c r="G45" s="11" t="str">
        <f>IF(G$3=0,"",SUMIFS(INDEX(Inputs!$D$4:$AG$100,0,MATCH(G$2,Inputs!$D$2:$AG$2,0)),Inputs!$B$4:$B$100,$B45)/1000)</f>
        <v/>
      </c>
      <c r="H45" s="12" t="str">
        <f t="shared" si="18"/>
        <v/>
      </c>
      <c r="I45" s="11" t="str">
        <f>IF(I$3=0,"",SUMIFS(INDEX(Inputs!$D$4:$AG$100,0,MATCH(I$2,Inputs!$D$2:$AG$2,0)),Inputs!$B$4:$B$100,$B45)/1000)</f>
        <v/>
      </c>
      <c r="J45" s="11" t="str">
        <f>IF(J$3=0,"",SUMIFS(INDEX(Inputs!$D$4:$AG$100,0,MATCH(J$2,Inputs!$D$2:$AG$2,0)),Inputs!$B$4:$B$100,$B45)/1000)</f>
        <v/>
      </c>
      <c r="K45" s="11" t="str">
        <f>IF(K$3=0,"",SUMIFS(INDEX(Inputs!$D$4:$AG$100,0,MATCH(K$2,Inputs!$D$2:$AG$2,0)),Inputs!$B$4:$B$100,$B45)/1000)</f>
        <v/>
      </c>
      <c r="L45" s="11" t="str">
        <f>IF(L$3=0,"",SUMIFS(INDEX(Inputs!$D$4:$AG$100,0,MATCH(L$2,Inputs!$D$2:$AG$2,0)),Inputs!$B$4:$B$100,$B45)/1000)</f>
        <v/>
      </c>
      <c r="M45" s="12" t="str">
        <f t="shared" si="19"/>
        <v/>
      </c>
      <c r="N45" s="11" t="str">
        <f>IF(N$3=0,"",SUMIFS(INDEX(Inputs!$D$4:$AG$100,0,MATCH(N$2,Inputs!$D$2:$AG$2,0)),Inputs!$B$4:$B$100,$B45)/1000)</f>
        <v/>
      </c>
      <c r="O45" s="11" t="str">
        <f>IF(O$3=0,"",SUMIFS(INDEX(Inputs!$D$4:$AG$100,0,MATCH(O$2,Inputs!$D$2:$AG$2,0)),Inputs!$B$4:$B$100,$B45)/1000)</f>
        <v/>
      </c>
      <c r="P45" s="11" t="str">
        <f>IF(P$3=0,"",SUMIFS(INDEX(Inputs!$D$4:$AG$100,0,MATCH(P$2,Inputs!$D$2:$AG$2,0)),Inputs!$B$4:$B$100,$B45)/1000)</f>
        <v/>
      </c>
      <c r="Q45" s="11" t="str">
        <f>IF(Q$3=0,"",SUMIFS(INDEX(Inputs!$D$4:$AG$100,0,MATCH(Q$2,Inputs!$D$2:$AG$2,0)),Inputs!$B$4:$B$100,$B45)/1000)</f>
        <v/>
      </c>
      <c r="R45" s="12" t="str">
        <f t="shared" si="20"/>
        <v/>
      </c>
      <c r="S45" s="11" t="str">
        <f>IF(S$3=0,"",SUMIFS(INDEX(Inputs!$D$4:$AG$100,0,MATCH(S$2,Inputs!$D$2:$AG$2,0)),Inputs!$B$4:$B$100,$B45)/1000)</f>
        <v/>
      </c>
      <c r="T45" s="11" t="str">
        <f>IF(T$3=0,"",SUMIFS(INDEX(Inputs!$D$4:$AG$100,0,MATCH(T$2,Inputs!$D$2:$AG$2,0)),Inputs!$B$4:$B$100,$B45)/1000)</f>
        <v/>
      </c>
      <c r="U45" s="11" t="str">
        <f>IF(U$3=0,"",SUMIFS(INDEX(Inputs!$D$4:$AG$100,0,MATCH(U$2,Inputs!$D$2:$AG$2,0)),Inputs!$B$4:$B$100,$B45)/1000)</f>
        <v/>
      </c>
      <c r="V45" s="11" t="str">
        <f>IF(V$3=0,"",SUMIFS(INDEX(Inputs!$D$4:$AG$100,0,MATCH(V$2,Inputs!$D$2:$AG$2,0)),Inputs!$B$4:$B$100,$B45)/1000)</f>
        <v/>
      </c>
      <c r="W45" s="12" t="str">
        <f t="shared" si="21"/>
        <v/>
      </c>
      <c r="X45" s="11" t="str">
        <f>IF(X$3=0,"",SUMIFS(INDEX(Inputs!$D$4:$AG$100,0,MATCH(X$2,Inputs!$D$2:$AG$2,0)),Inputs!$B$4:$B$100,$B45)/1000)</f>
        <v/>
      </c>
      <c r="Y45" s="11" t="str">
        <f>IF(Y$3=0,"",SUMIFS(INDEX(Inputs!$D$4:$AG$100,0,MATCH(Y$2,Inputs!$D$2:$AG$2,0)),Inputs!$B$4:$B$100,$B45)/1000)</f>
        <v/>
      </c>
      <c r="Z45" s="11" t="str">
        <f>IF(Z$3=0,"",SUMIFS(INDEX(Inputs!$D$4:$AG$100,0,MATCH(Z$2,Inputs!$D$2:$AG$2,0)),Inputs!$B$4:$B$100,$B45)/1000)</f>
        <v/>
      </c>
      <c r="AA45" s="11" t="str">
        <f>IF(AA$3=0,"",SUMIFS(INDEX(Inputs!$D$4:$AG$100,0,MATCH(AA$2,Inputs!$D$2:$AG$2,0)),Inputs!$B$4:$B$100,$B45)/1000)</f>
        <v/>
      </c>
      <c r="AB45" s="12" t="str">
        <f t="shared" si="22"/>
        <v/>
      </c>
      <c r="AC45" s="11" t="str">
        <f>IF(AC$3=0,"",SUMIFS(INDEX(Inputs!$D$4:$AG$100,0,MATCH(AC$2,Inputs!$D$2:$AG$2,0)),Inputs!$B$4:$B$100,$B45)/1000)</f>
        <v/>
      </c>
      <c r="AD45" s="11" t="str">
        <f>IF(AD$3=0,"",SUMIFS(INDEX(Inputs!$D$4:$AG$100,0,MATCH(AD$2,Inputs!$D$2:$AG$2,0)),Inputs!$B$4:$B$100,$B45)/1000)</f>
        <v/>
      </c>
      <c r="AE45" s="11" t="str">
        <f>IF(AE$3=0,"",SUMIFS(INDEX(Inputs!$D$4:$AG$100,0,MATCH(AE$2,Inputs!$D$2:$AG$2,0)),Inputs!$B$4:$B$100,$B45)/1000)</f>
        <v/>
      </c>
      <c r="AF45" s="11" t="str">
        <f>IF(AF$3=0,"",SUMIFS(INDEX(Inputs!$D$4:$AG$100,0,MATCH(AF$2,Inputs!$D$2:$AG$2,0)),Inputs!$B$4:$B$100,$B45)/1000)</f>
        <v/>
      </c>
      <c r="AG45" s="12" t="str">
        <f t="shared" si="23"/>
        <v/>
      </c>
    </row>
    <row r="46" spans="2:33" x14ac:dyDescent="0.2">
      <c r="B46" s="9">
        <v>40</v>
      </c>
      <c r="C46" s="14" t="s">
        <v>74</v>
      </c>
      <c r="D46" s="11" t="str">
        <f>IF(D$3=0,"",SUMIFS(INDEX(Inputs!$D$4:$AG$100,0,MATCH(D$2,Inputs!$D$2:$AG$2,0)),Inputs!$B$4:$B$100,$B46)/1000)</f>
        <v/>
      </c>
      <c r="E46" s="11" t="str">
        <f>IF(E$3=0,"",SUMIFS(INDEX(Inputs!$D$4:$AG$100,0,MATCH(E$2,Inputs!$D$2:$AG$2,0)),Inputs!$B$4:$B$100,$B46)/1000)</f>
        <v/>
      </c>
      <c r="F46" s="11" t="str">
        <f>IF(F$3=0,"",SUMIFS(INDEX(Inputs!$D$4:$AG$100,0,MATCH(F$2,Inputs!$D$2:$AG$2,0)),Inputs!$B$4:$B$100,$B46)/1000)</f>
        <v/>
      </c>
      <c r="G46" s="11" t="str">
        <f>IF(G$3=0,"",SUMIFS(INDEX(Inputs!$D$4:$AG$100,0,MATCH(G$2,Inputs!$D$2:$AG$2,0)),Inputs!$B$4:$B$100,$B46)/1000)</f>
        <v/>
      </c>
      <c r="H46" s="12" t="str">
        <f t="shared" si="18"/>
        <v/>
      </c>
      <c r="I46" s="11" t="str">
        <f>IF(I$3=0,"",SUMIFS(INDEX(Inputs!$D$4:$AG$100,0,MATCH(I$2,Inputs!$D$2:$AG$2,0)),Inputs!$B$4:$B$100,$B46)/1000)</f>
        <v/>
      </c>
      <c r="J46" s="11" t="str">
        <f>IF(J$3=0,"",SUMIFS(INDEX(Inputs!$D$4:$AG$100,0,MATCH(J$2,Inputs!$D$2:$AG$2,0)),Inputs!$B$4:$B$100,$B46)/1000)</f>
        <v/>
      </c>
      <c r="K46" s="11" t="str">
        <f>IF(K$3=0,"",SUMIFS(INDEX(Inputs!$D$4:$AG$100,0,MATCH(K$2,Inputs!$D$2:$AG$2,0)),Inputs!$B$4:$B$100,$B46)/1000)</f>
        <v/>
      </c>
      <c r="L46" s="11" t="str">
        <f>IF(L$3=0,"",SUMIFS(INDEX(Inputs!$D$4:$AG$100,0,MATCH(L$2,Inputs!$D$2:$AG$2,0)),Inputs!$B$4:$B$100,$B46)/1000)</f>
        <v/>
      </c>
      <c r="M46" s="12" t="str">
        <f t="shared" si="19"/>
        <v/>
      </c>
      <c r="N46" s="11" t="str">
        <f>IF(N$3=0,"",SUMIFS(INDEX(Inputs!$D$4:$AG$100,0,MATCH(N$2,Inputs!$D$2:$AG$2,0)),Inputs!$B$4:$B$100,$B46)/1000)</f>
        <v/>
      </c>
      <c r="O46" s="11" t="str">
        <f>IF(O$3=0,"",SUMIFS(INDEX(Inputs!$D$4:$AG$100,0,MATCH(O$2,Inputs!$D$2:$AG$2,0)),Inputs!$B$4:$B$100,$B46)/1000)</f>
        <v/>
      </c>
      <c r="P46" s="11" t="str">
        <f>IF(P$3=0,"",SUMIFS(INDEX(Inputs!$D$4:$AG$100,0,MATCH(P$2,Inputs!$D$2:$AG$2,0)),Inputs!$B$4:$B$100,$B46)/1000)</f>
        <v/>
      </c>
      <c r="Q46" s="11" t="str">
        <f>IF(Q$3=0,"",SUMIFS(INDEX(Inputs!$D$4:$AG$100,0,MATCH(Q$2,Inputs!$D$2:$AG$2,0)),Inputs!$B$4:$B$100,$B46)/1000)</f>
        <v/>
      </c>
      <c r="R46" s="12" t="str">
        <f t="shared" si="20"/>
        <v/>
      </c>
      <c r="S46" s="11" t="str">
        <f>IF(S$3=0,"",SUMIFS(INDEX(Inputs!$D$4:$AG$100,0,MATCH(S$2,Inputs!$D$2:$AG$2,0)),Inputs!$B$4:$B$100,$B46)/1000)</f>
        <v/>
      </c>
      <c r="T46" s="11" t="str">
        <f>IF(T$3=0,"",SUMIFS(INDEX(Inputs!$D$4:$AG$100,0,MATCH(T$2,Inputs!$D$2:$AG$2,0)),Inputs!$B$4:$B$100,$B46)/1000)</f>
        <v/>
      </c>
      <c r="U46" s="11" t="str">
        <f>IF(U$3=0,"",SUMIFS(INDEX(Inputs!$D$4:$AG$100,0,MATCH(U$2,Inputs!$D$2:$AG$2,0)),Inputs!$B$4:$B$100,$B46)/1000)</f>
        <v/>
      </c>
      <c r="V46" s="11" t="str">
        <f>IF(V$3=0,"",SUMIFS(INDEX(Inputs!$D$4:$AG$100,0,MATCH(V$2,Inputs!$D$2:$AG$2,0)),Inputs!$B$4:$B$100,$B46)/1000)</f>
        <v/>
      </c>
      <c r="W46" s="12" t="str">
        <f t="shared" si="21"/>
        <v/>
      </c>
      <c r="X46" s="11" t="str">
        <f>IF(X$3=0,"",SUMIFS(INDEX(Inputs!$D$4:$AG$100,0,MATCH(X$2,Inputs!$D$2:$AG$2,0)),Inputs!$B$4:$B$100,$B46)/1000)</f>
        <v/>
      </c>
      <c r="Y46" s="11" t="str">
        <f>IF(Y$3=0,"",SUMIFS(INDEX(Inputs!$D$4:$AG$100,0,MATCH(Y$2,Inputs!$D$2:$AG$2,0)),Inputs!$B$4:$B$100,$B46)/1000)</f>
        <v/>
      </c>
      <c r="Z46" s="11" t="str">
        <f>IF(Z$3=0,"",SUMIFS(INDEX(Inputs!$D$4:$AG$100,0,MATCH(Z$2,Inputs!$D$2:$AG$2,0)),Inputs!$B$4:$B$100,$B46)/1000)</f>
        <v/>
      </c>
      <c r="AA46" s="11" t="str">
        <f>IF(AA$3=0,"",SUMIFS(INDEX(Inputs!$D$4:$AG$100,0,MATCH(AA$2,Inputs!$D$2:$AG$2,0)),Inputs!$B$4:$B$100,$B46)/1000)</f>
        <v/>
      </c>
      <c r="AB46" s="12" t="str">
        <f t="shared" si="22"/>
        <v/>
      </c>
      <c r="AC46" s="11" t="str">
        <f>IF(AC$3=0,"",SUMIFS(INDEX(Inputs!$D$4:$AG$100,0,MATCH(AC$2,Inputs!$D$2:$AG$2,0)),Inputs!$B$4:$B$100,$B46)/1000)</f>
        <v/>
      </c>
      <c r="AD46" s="11" t="str">
        <f>IF(AD$3=0,"",SUMIFS(INDEX(Inputs!$D$4:$AG$100,0,MATCH(AD$2,Inputs!$D$2:$AG$2,0)),Inputs!$B$4:$B$100,$B46)/1000)</f>
        <v/>
      </c>
      <c r="AE46" s="11" t="str">
        <f>IF(AE$3=0,"",SUMIFS(INDEX(Inputs!$D$4:$AG$100,0,MATCH(AE$2,Inputs!$D$2:$AG$2,0)),Inputs!$B$4:$B$100,$B46)/1000)</f>
        <v/>
      </c>
      <c r="AF46" s="11" t="str">
        <f>IF(AF$3=0,"",SUMIFS(INDEX(Inputs!$D$4:$AG$100,0,MATCH(AF$2,Inputs!$D$2:$AG$2,0)),Inputs!$B$4:$B$100,$B46)/1000)</f>
        <v/>
      </c>
      <c r="AG46" s="12" t="str">
        <f t="shared" si="23"/>
        <v/>
      </c>
    </row>
    <row r="47" spans="2:33" x14ac:dyDescent="0.2">
      <c r="B47" s="9">
        <v>41</v>
      </c>
      <c r="C47" s="15" t="s">
        <v>75</v>
      </c>
      <c r="D47" s="11" t="str">
        <f>IF(D$3=0,"",SUMIFS(INDEX(Inputs!$D$4:$AG$100,0,MATCH(D$2,Inputs!$D$2:$AG$2,0)),Inputs!$B$4:$B$100,$B47)/1000)</f>
        <v/>
      </c>
      <c r="E47" s="11" t="str">
        <f>IF(E$3=0,"",SUMIFS(INDEX(Inputs!$D$4:$AG$100,0,MATCH(E$2,Inputs!$D$2:$AG$2,0)),Inputs!$B$4:$B$100,$B47)/1000)</f>
        <v/>
      </c>
      <c r="F47" s="11" t="str">
        <f>IF(F$3=0,"",SUMIFS(INDEX(Inputs!$D$4:$AG$100,0,MATCH(F$2,Inputs!$D$2:$AG$2,0)),Inputs!$B$4:$B$100,$B47)/1000)</f>
        <v/>
      </c>
      <c r="G47" s="11" t="str">
        <f>IF(G$3=0,"",SUMIFS(INDEX(Inputs!$D$4:$AG$100,0,MATCH(G$2,Inputs!$D$2:$AG$2,0)),Inputs!$B$4:$B$100,$B47)/1000)</f>
        <v/>
      </c>
      <c r="H47" s="12" t="str">
        <f t="shared" si="18"/>
        <v/>
      </c>
      <c r="I47" s="11" t="str">
        <f>IF(I$3=0,"",SUMIFS(INDEX(Inputs!$D$4:$AG$100,0,MATCH(I$2,Inputs!$D$2:$AG$2,0)),Inputs!$B$4:$B$100,$B47)/1000)</f>
        <v/>
      </c>
      <c r="J47" s="11" t="str">
        <f>IF(J$3=0,"",SUMIFS(INDEX(Inputs!$D$4:$AG$100,0,MATCH(J$2,Inputs!$D$2:$AG$2,0)),Inputs!$B$4:$B$100,$B47)/1000)</f>
        <v/>
      </c>
      <c r="K47" s="11" t="str">
        <f>IF(K$3=0,"",SUMIFS(INDEX(Inputs!$D$4:$AG$100,0,MATCH(K$2,Inputs!$D$2:$AG$2,0)),Inputs!$B$4:$B$100,$B47)/1000)</f>
        <v/>
      </c>
      <c r="L47" s="11" t="str">
        <f>IF(L$3=0,"",SUMIFS(INDEX(Inputs!$D$4:$AG$100,0,MATCH(L$2,Inputs!$D$2:$AG$2,0)),Inputs!$B$4:$B$100,$B47)/1000)</f>
        <v/>
      </c>
      <c r="M47" s="12" t="str">
        <f t="shared" si="19"/>
        <v/>
      </c>
      <c r="N47" s="11" t="str">
        <f>IF(N$3=0,"",SUMIFS(INDEX(Inputs!$D$4:$AG$100,0,MATCH(N$2,Inputs!$D$2:$AG$2,0)),Inputs!$B$4:$B$100,$B47)/1000)</f>
        <v/>
      </c>
      <c r="O47" s="11" t="str">
        <f>IF(O$3=0,"",SUMIFS(INDEX(Inputs!$D$4:$AG$100,0,MATCH(O$2,Inputs!$D$2:$AG$2,0)),Inputs!$B$4:$B$100,$B47)/1000)</f>
        <v/>
      </c>
      <c r="P47" s="11" t="str">
        <f>IF(P$3=0,"",SUMIFS(INDEX(Inputs!$D$4:$AG$100,0,MATCH(P$2,Inputs!$D$2:$AG$2,0)),Inputs!$B$4:$B$100,$B47)/1000)</f>
        <v/>
      </c>
      <c r="Q47" s="11" t="str">
        <f>IF(Q$3=0,"",SUMIFS(INDEX(Inputs!$D$4:$AG$100,0,MATCH(Q$2,Inputs!$D$2:$AG$2,0)),Inputs!$B$4:$B$100,$B47)/1000)</f>
        <v/>
      </c>
      <c r="R47" s="12" t="str">
        <f t="shared" si="20"/>
        <v/>
      </c>
      <c r="S47" s="11" t="str">
        <f>IF(S$3=0,"",SUMIFS(INDEX(Inputs!$D$4:$AG$100,0,MATCH(S$2,Inputs!$D$2:$AG$2,0)),Inputs!$B$4:$B$100,$B47)/1000)</f>
        <v/>
      </c>
      <c r="T47" s="11" t="str">
        <f>IF(T$3=0,"",SUMIFS(INDEX(Inputs!$D$4:$AG$100,0,MATCH(T$2,Inputs!$D$2:$AG$2,0)),Inputs!$B$4:$B$100,$B47)/1000)</f>
        <v/>
      </c>
      <c r="U47" s="11" t="str">
        <f>IF(U$3=0,"",SUMIFS(INDEX(Inputs!$D$4:$AG$100,0,MATCH(U$2,Inputs!$D$2:$AG$2,0)),Inputs!$B$4:$B$100,$B47)/1000)</f>
        <v/>
      </c>
      <c r="V47" s="11" t="str">
        <f>IF(V$3=0,"",SUMIFS(INDEX(Inputs!$D$4:$AG$100,0,MATCH(V$2,Inputs!$D$2:$AG$2,0)),Inputs!$B$4:$B$100,$B47)/1000)</f>
        <v/>
      </c>
      <c r="W47" s="12" t="str">
        <f t="shared" si="21"/>
        <v/>
      </c>
      <c r="X47" s="11" t="str">
        <f>IF(X$3=0,"",SUMIFS(INDEX(Inputs!$D$4:$AG$100,0,MATCH(X$2,Inputs!$D$2:$AG$2,0)),Inputs!$B$4:$B$100,$B47)/1000)</f>
        <v/>
      </c>
      <c r="Y47" s="11" t="str">
        <f>IF(Y$3=0,"",SUMIFS(INDEX(Inputs!$D$4:$AG$100,0,MATCH(Y$2,Inputs!$D$2:$AG$2,0)),Inputs!$B$4:$B$100,$B47)/1000)</f>
        <v/>
      </c>
      <c r="Z47" s="11" t="str">
        <f>IF(Z$3=0,"",SUMIFS(INDEX(Inputs!$D$4:$AG$100,0,MATCH(Z$2,Inputs!$D$2:$AG$2,0)),Inputs!$B$4:$B$100,$B47)/1000)</f>
        <v/>
      </c>
      <c r="AA47" s="11" t="str">
        <f>IF(AA$3=0,"",SUMIFS(INDEX(Inputs!$D$4:$AG$100,0,MATCH(AA$2,Inputs!$D$2:$AG$2,0)),Inputs!$B$4:$B$100,$B47)/1000)</f>
        <v/>
      </c>
      <c r="AB47" s="12" t="str">
        <f t="shared" si="22"/>
        <v/>
      </c>
      <c r="AC47" s="11" t="str">
        <f>IF(AC$3=0,"",SUMIFS(INDEX(Inputs!$D$4:$AG$100,0,MATCH(AC$2,Inputs!$D$2:$AG$2,0)),Inputs!$B$4:$B$100,$B47)/1000)</f>
        <v/>
      </c>
      <c r="AD47" s="11" t="str">
        <f>IF(AD$3=0,"",SUMIFS(INDEX(Inputs!$D$4:$AG$100,0,MATCH(AD$2,Inputs!$D$2:$AG$2,0)),Inputs!$B$4:$B$100,$B47)/1000)</f>
        <v/>
      </c>
      <c r="AE47" s="11" t="str">
        <f>IF(AE$3=0,"",SUMIFS(INDEX(Inputs!$D$4:$AG$100,0,MATCH(AE$2,Inputs!$D$2:$AG$2,0)),Inputs!$B$4:$B$100,$B47)/1000)</f>
        <v/>
      </c>
      <c r="AF47" s="11" t="str">
        <f>IF(AF$3=0,"",SUMIFS(INDEX(Inputs!$D$4:$AG$100,0,MATCH(AF$2,Inputs!$D$2:$AG$2,0)),Inputs!$B$4:$B$100,$B47)/1000)</f>
        <v/>
      </c>
      <c r="AG47" s="12" t="str">
        <f t="shared" si="23"/>
        <v/>
      </c>
    </row>
    <row r="49" spans="3:32" s="3" customFormat="1" x14ac:dyDescent="0.2">
      <c r="C49" s="4"/>
      <c r="D49" s="16"/>
      <c r="E49" s="16"/>
      <c r="F49" s="16"/>
      <c r="G49" s="16"/>
      <c r="H49" s="12"/>
      <c r="I49" s="16"/>
      <c r="J49" s="16"/>
      <c r="K49" s="16"/>
      <c r="L49" s="16"/>
      <c r="M49" s="12"/>
      <c r="N49" s="16"/>
      <c r="O49" s="16"/>
      <c r="P49" s="16"/>
      <c r="Q49" s="16"/>
      <c r="R49" s="12"/>
      <c r="S49" s="16"/>
      <c r="T49" s="16"/>
      <c r="U49" s="16"/>
      <c r="V49" s="16"/>
      <c r="W49" s="12"/>
      <c r="X49" s="16"/>
      <c r="Y49" s="16"/>
      <c r="Z49" s="16"/>
      <c r="AA49" s="16"/>
      <c r="AC49" s="16"/>
      <c r="AD49" s="16"/>
      <c r="AE49" s="16"/>
      <c r="AF49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358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defaultColWidth="10.42578125" defaultRowHeight="12.75" outlineLevelRow="1" x14ac:dyDescent="0.2"/>
  <cols>
    <col min="1" max="1" width="2" style="3" customWidth="1"/>
    <col min="2" max="2" width="8.85546875" style="3" customWidth="1"/>
    <col min="3" max="3" width="96.140625" style="4" customWidth="1"/>
    <col min="4" max="24" width="13" style="4" customWidth="1"/>
    <col min="25" max="25" width="12.7109375" style="4" customWidth="1"/>
    <col min="26" max="27" width="13" style="4" customWidth="1"/>
    <col min="28" max="28" width="12.7109375" style="4" customWidth="1"/>
    <col min="29" max="29" width="14" style="4" customWidth="1"/>
    <col min="30" max="30" width="15.140625" style="4" customWidth="1"/>
    <col min="31" max="31" width="12.42578125" style="4" customWidth="1"/>
    <col min="32" max="32" width="11.5703125" style="4" customWidth="1"/>
    <col min="33" max="33" width="12.42578125" style="4" customWidth="1"/>
    <col min="34" max="34" width="11.5703125" style="4" customWidth="1"/>
    <col min="35" max="35" width="12.7109375" style="4" customWidth="1"/>
    <col min="36" max="37" width="11.5703125" style="4" customWidth="1"/>
    <col min="38" max="38" width="11.28515625" style="4" customWidth="1"/>
    <col min="39" max="39" width="11.5703125" style="4" customWidth="1"/>
    <col min="40" max="40" width="12.7109375" style="4" customWidth="1"/>
    <col min="41" max="42" width="11.5703125" style="4" customWidth="1"/>
    <col min="43" max="43" width="11.28515625" style="4" customWidth="1"/>
    <col min="44" max="44" width="11.5703125" style="4" customWidth="1"/>
    <col min="45" max="45" width="12.7109375" style="4" customWidth="1"/>
    <col min="46" max="47" width="11.5703125" style="4" customWidth="1"/>
    <col min="48" max="48" width="11.28515625" style="4" customWidth="1"/>
    <col min="49" max="49" width="11.5703125" style="4" customWidth="1"/>
    <col min="50" max="50" width="12.7109375" style="4" customWidth="1"/>
    <col min="51" max="52" width="11.5703125" style="4" customWidth="1"/>
    <col min="53" max="53" width="11.28515625" style="4" customWidth="1"/>
    <col min="54" max="54" width="11.5703125" style="4" customWidth="1"/>
    <col min="55" max="55" width="12.7109375" style="4" customWidth="1"/>
    <col min="56" max="57" width="11.5703125" style="4" customWidth="1"/>
    <col min="58" max="58" width="11.28515625" style="4" customWidth="1"/>
    <col min="59" max="59" width="11.5703125" style="4" customWidth="1"/>
    <col min="60" max="60" width="12.7109375" style="4" customWidth="1"/>
    <col min="61" max="62" width="11.5703125" style="4" customWidth="1"/>
    <col min="63" max="63" width="11.28515625" style="4" customWidth="1"/>
    <col min="64" max="64" width="11.5703125" style="4" customWidth="1"/>
    <col min="65" max="65" width="12.7109375" style="4" customWidth="1"/>
    <col min="66" max="67" width="11.5703125" style="4" customWidth="1"/>
    <col min="68" max="68" width="11.28515625" style="4" customWidth="1"/>
    <col min="69" max="69" width="11.5703125" style="4" customWidth="1"/>
    <col min="70" max="70" width="12.7109375" style="4" customWidth="1"/>
    <col min="71" max="72" width="11.5703125" style="4" customWidth="1"/>
    <col min="73" max="73" width="11.28515625" style="4" customWidth="1"/>
    <col min="74" max="74" width="11.5703125" style="4" customWidth="1"/>
    <col min="75" max="75" width="12.7109375" style="4" customWidth="1"/>
    <col min="76" max="77" width="11.5703125" style="4" customWidth="1"/>
    <col min="78" max="78" width="11.28515625" style="4" customWidth="1"/>
    <col min="79" max="79" width="11.5703125" style="4" customWidth="1"/>
    <col min="80" max="80" width="12.7109375" style="4" customWidth="1"/>
    <col min="81" max="82" width="11.5703125" style="4" customWidth="1"/>
    <col min="83" max="83" width="11.28515625" style="4" customWidth="1"/>
    <col min="84" max="84" width="11.5703125" style="4" customWidth="1"/>
    <col min="85" max="85" width="12.7109375" style="4" customWidth="1"/>
    <col min="86" max="87" width="11.5703125" style="4" customWidth="1"/>
    <col min="88" max="88" width="11.28515625" style="4" customWidth="1"/>
    <col min="89" max="89" width="11.5703125" style="4" customWidth="1"/>
    <col min="90" max="90" width="12.7109375" style="4" customWidth="1"/>
    <col min="91" max="92" width="11.5703125" style="4" customWidth="1"/>
    <col min="93" max="93" width="11.28515625" style="4" customWidth="1"/>
    <col min="94" max="94" width="11.5703125" style="4" customWidth="1"/>
    <col min="95" max="95" width="12.7109375" style="4" customWidth="1"/>
    <col min="96" max="97" width="11.5703125" style="4" customWidth="1"/>
    <col min="98" max="98" width="11.28515625" style="4" customWidth="1"/>
    <col min="99" max="99" width="11.5703125" style="4" customWidth="1"/>
    <col min="100" max="100" width="12.7109375" style="4" customWidth="1"/>
    <col min="101" max="102" width="11.5703125" style="4" customWidth="1"/>
    <col min="103" max="103" width="11.28515625" style="4" customWidth="1"/>
    <col min="104" max="106" width="10.42578125" style="4" customWidth="1"/>
    <col min="107" max="16384" width="10.42578125" style="4"/>
  </cols>
  <sheetData>
    <row r="1" spans="1:103" x14ac:dyDescent="0.2">
      <c r="C1" s="17" t="s">
        <v>80</v>
      </c>
      <c r="D1" s="12"/>
      <c r="E1" s="12"/>
      <c r="F1" s="12"/>
      <c r="G1" s="12"/>
      <c r="H1" s="12"/>
      <c r="I1" s="12" t="str">
        <f t="shared" ref="I1:AN1" si="0">IF(I2="","",SUM(I2,I3))</f>
        <v/>
      </c>
      <c r="J1" s="12" t="str">
        <f t="shared" si="0"/>
        <v/>
      </c>
      <c r="K1" s="12" t="str">
        <f t="shared" si="0"/>
        <v/>
      </c>
      <c r="L1" s="12" t="str">
        <f t="shared" si="0"/>
        <v/>
      </c>
      <c r="M1" s="12">
        <f t="shared" si="0"/>
        <v>0</v>
      </c>
      <c r="N1" s="12" t="str">
        <f t="shared" si="0"/>
        <v/>
      </c>
      <c r="O1" s="12" t="str">
        <f t="shared" si="0"/>
        <v/>
      </c>
      <c r="P1" s="12" t="str">
        <f t="shared" si="0"/>
        <v/>
      </c>
      <c r="Q1" s="12" t="str">
        <f t="shared" si="0"/>
        <v/>
      </c>
      <c r="R1" s="12">
        <f t="shared" si="0"/>
        <v>0</v>
      </c>
      <c r="S1" s="12" t="str">
        <f t="shared" si="0"/>
        <v/>
      </c>
      <c r="T1" s="12" t="str">
        <f t="shared" si="0"/>
        <v/>
      </c>
      <c r="U1" s="12" t="str">
        <f t="shared" si="0"/>
        <v/>
      </c>
      <c r="V1" s="12" t="str">
        <f t="shared" si="0"/>
        <v/>
      </c>
      <c r="W1" s="12">
        <f t="shared" si="0"/>
        <v>0</v>
      </c>
      <c r="X1" s="12" t="str">
        <f t="shared" si="0"/>
        <v/>
      </c>
      <c r="Y1" s="12" t="str">
        <f t="shared" si="0"/>
        <v/>
      </c>
      <c r="Z1" s="12" t="str">
        <f t="shared" si="0"/>
        <v/>
      </c>
      <c r="AA1" s="12" t="str">
        <f t="shared" si="0"/>
        <v/>
      </c>
      <c r="AB1" s="12">
        <f t="shared" si="0"/>
        <v>0</v>
      </c>
      <c r="AC1" s="12" t="str">
        <f t="shared" si="0"/>
        <v/>
      </c>
      <c r="AD1" s="12" t="str">
        <f t="shared" si="0"/>
        <v/>
      </c>
      <c r="AE1" s="12" t="str">
        <f t="shared" si="0"/>
        <v/>
      </c>
      <c r="AF1" s="12" t="str">
        <f t="shared" si="0"/>
        <v/>
      </c>
      <c r="AG1" s="12">
        <f t="shared" si="0"/>
        <v>0</v>
      </c>
      <c r="AH1" s="12" t="str">
        <f t="shared" si="0"/>
        <v/>
      </c>
      <c r="AI1" s="12" t="str">
        <f t="shared" si="0"/>
        <v/>
      </c>
      <c r="AJ1" s="12" t="str">
        <f t="shared" si="0"/>
        <v/>
      </c>
      <c r="AK1" s="12" t="str">
        <f t="shared" si="0"/>
        <v/>
      </c>
      <c r="AL1" s="12" t="str">
        <f t="shared" si="0"/>
        <v/>
      </c>
      <c r="AM1" s="12" t="str">
        <f t="shared" si="0"/>
        <v/>
      </c>
      <c r="AN1" s="12" t="str">
        <f t="shared" si="0"/>
        <v/>
      </c>
      <c r="AO1" s="12" t="str">
        <f t="shared" ref="AO1:BF1" si="1">IF(AO2="","",SUM(AO2,AO3))</f>
        <v/>
      </c>
      <c r="AP1" s="12" t="str">
        <f t="shared" si="1"/>
        <v/>
      </c>
      <c r="AQ1" s="12" t="str">
        <f t="shared" si="1"/>
        <v/>
      </c>
      <c r="AR1" s="12" t="str">
        <f t="shared" si="1"/>
        <v/>
      </c>
      <c r="AS1" s="12" t="str">
        <f t="shared" si="1"/>
        <v/>
      </c>
      <c r="AT1" s="12" t="str">
        <f t="shared" si="1"/>
        <v/>
      </c>
      <c r="AU1" s="12" t="str">
        <f t="shared" si="1"/>
        <v/>
      </c>
      <c r="AV1" s="12" t="str">
        <f t="shared" si="1"/>
        <v/>
      </c>
      <c r="AW1" s="12" t="str">
        <f t="shared" si="1"/>
        <v/>
      </c>
      <c r="AX1" s="12" t="str">
        <f t="shared" si="1"/>
        <v/>
      </c>
      <c r="AY1" s="12" t="str">
        <f t="shared" si="1"/>
        <v/>
      </c>
      <c r="AZ1" s="12" t="str">
        <f t="shared" si="1"/>
        <v/>
      </c>
      <c r="BA1" s="12" t="str">
        <f t="shared" si="1"/>
        <v/>
      </c>
      <c r="BB1" s="12" t="str">
        <f t="shared" si="1"/>
        <v/>
      </c>
      <c r="BC1" s="12" t="str">
        <f t="shared" si="1"/>
        <v/>
      </c>
      <c r="BD1" s="12" t="str">
        <f t="shared" si="1"/>
        <v/>
      </c>
      <c r="BE1" s="12" t="str">
        <f t="shared" si="1"/>
        <v/>
      </c>
      <c r="BF1" s="12" t="str">
        <f t="shared" si="1"/>
        <v/>
      </c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</row>
    <row r="2" spans="1:103" x14ac:dyDescent="0.2">
      <c r="C2" s="18" t="s">
        <v>81</v>
      </c>
      <c r="D2" s="12"/>
      <c r="E2" s="12"/>
      <c r="F2" s="12"/>
      <c r="G2" s="12"/>
      <c r="H2" s="12"/>
      <c r="I2" s="12" t="str">
        <f t="shared" ref="I2:AN2" si="2">IF(COUNT(I163,I239)&lt;2,"",ABS(I163-I239))</f>
        <v/>
      </c>
      <c r="J2" s="12" t="str">
        <f t="shared" si="2"/>
        <v/>
      </c>
      <c r="K2" s="12" t="str">
        <f t="shared" si="2"/>
        <v/>
      </c>
      <c r="L2" s="12" t="str">
        <f t="shared" si="2"/>
        <v/>
      </c>
      <c r="M2" s="12">
        <f t="shared" si="2"/>
        <v>0</v>
      </c>
      <c r="N2" s="12" t="str">
        <f t="shared" si="2"/>
        <v/>
      </c>
      <c r="O2" s="12" t="str">
        <f t="shared" si="2"/>
        <v/>
      </c>
      <c r="P2" s="12" t="str">
        <f t="shared" si="2"/>
        <v/>
      </c>
      <c r="Q2" s="12" t="str">
        <f t="shared" si="2"/>
        <v/>
      </c>
      <c r="R2" s="12">
        <f t="shared" si="2"/>
        <v>0</v>
      </c>
      <c r="S2" s="12" t="str">
        <f t="shared" si="2"/>
        <v/>
      </c>
      <c r="T2" s="12" t="str">
        <f t="shared" si="2"/>
        <v/>
      </c>
      <c r="U2" s="12" t="str">
        <f t="shared" si="2"/>
        <v/>
      </c>
      <c r="V2" s="12" t="str">
        <f t="shared" si="2"/>
        <v/>
      </c>
      <c r="W2" s="12">
        <f t="shared" si="2"/>
        <v>0</v>
      </c>
      <c r="X2" s="12" t="str">
        <f t="shared" si="2"/>
        <v/>
      </c>
      <c r="Y2" s="12" t="str">
        <f t="shared" si="2"/>
        <v/>
      </c>
      <c r="Z2" s="12" t="str">
        <f t="shared" si="2"/>
        <v/>
      </c>
      <c r="AA2" s="12" t="str">
        <f t="shared" si="2"/>
        <v/>
      </c>
      <c r="AB2" s="12">
        <f t="shared" si="2"/>
        <v>0</v>
      </c>
      <c r="AC2" s="12" t="str">
        <f t="shared" si="2"/>
        <v/>
      </c>
      <c r="AD2" s="12" t="str">
        <f t="shared" si="2"/>
        <v/>
      </c>
      <c r="AE2" s="12" t="str">
        <f t="shared" si="2"/>
        <v/>
      </c>
      <c r="AF2" s="12" t="str">
        <f t="shared" si="2"/>
        <v/>
      </c>
      <c r="AG2" s="12">
        <f t="shared" si="2"/>
        <v>0</v>
      </c>
      <c r="AH2" s="12" t="str">
        <f t="shared" si="2"/>
        <v/>
      </c>
      <c r="AI2" s="12" t="str">
        <f t="shared" si="2"/>
        <v/>
      </c>
      <c r="AJ2" s="12" t="str">
        <f t="shared" si="2"/>
        <v/>
      </c>
      <c r="AK2" s="12" t="str">
        <f t="shared" si="2"/>
        <v/>
      </c>
      <c r="AL2" s="12" t="str">
        <f t="shared" si="2"/>
        <v/>
      </c>
      <c r="AM2" s="12" t="str">
        <f t="shared" si="2"/>
        <v/>
      </c>
      <c r="AN2" s="12" t="str">
        <f t="shared" si="2"/>
        <v/>
      </c>
      <c r="AO2" s="12" t="str">
        <f t="shared" ref="AO2:BF2" si="3">IF(COUNT(AO163,AO239)&lt;2,"",ABS(AO163-AO239))</f>
        <v/>
      </c>
      <c r="AP2" s="12" t="str">
        <f t="shared" si="3"/>
        <v/>
      </c>
      <c r="AQ2" s="12" t="str">
        <f t="shared" si="3"/>
        <v/>
      </c>
      <c r="AR2" s="12" t="str">
        <f t="shared" si="3"/>
        <v/>
      </c>
      <c r="AS2" s="12" t="str">
        <f t="shared" si="3"/>
        <v/>
      </c>
      <c r="AT2" s="12" t="str">
        <f t="shared" si="3"/>
        <v/>
      </c>
      <c r="AU2" s="12" t="str">
        <f t="shared" si="3"/>
        <v/>
      </c>
      <c r="AV2" s="12" t="str">
        <f t="shared" si="3"/>
        <v/>
      </c>
      <c r="AW2" s="12" t="str">
        <f t="shared" si="3"/>
        <v/>
      </c>
      <c r="AX2" s="12" t="str">
        <f t="shared" si="3"/>
        <v/>
      </c>
      <c r="AY2" s="12" t="str">
        <f t="shared" si="3"/>
        <v/>
      </c>
      <c r="AZ2" s="12" t="str">
        <f t="shared" si="3"/>
        <v/>
      </c>
      <c r="BA2" s="12" t="str">
        <f t="shared" si="3"/>
        <v/>
      </c>
      <c r="BB2" s="12" t="str">
        <f t="shared" si="3"/>
        <v/>
      </c>
      <c r="BC2" s="12" t="str">
        <f t="shared" si="3"/>
        <v/>
      </c>
      <c r="BD2" s="12" t="str">
        <f t="shared" si="3"/>
        <v/>
      </c>
      <c r="BE2" s="12" t="str">
        <f t="shared" si="3"/>
        <v/>
      </c>
      <c r="BF2" s="12" t="str">
        <f t="shared" si="3"/>
        <v/>
      </c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</row>
    <row r="3" spans="1:103" x14ac:dyDescent="0.2">
      <c r="C3" s="18" t="s">
        <v>82</v>
      </c>
      <c r="D3" s="12"/>
      <c r="E3" s="12"/>
      <c r="F3" s="12"/>
      <c r="G3" s="12"/>
      <c r="H3" s="12"/>
      <c r="I3" s="12"/>
      <c r="J3" s="12"/>
      <c r="K3" s="12"/>
      <c r="L3" s="12"/>
      <c r="M3" s="12">
        <f>ABS(M103-M4)</f>
        <v>0</v>
      </c>
      <c r="N3" s="12"/>
      <c r="O3" s="12"/>
      <c r="P3" s="12"/>
      <c r="Q3" s="12"/>
      <c r="R3" s="12">
        <f>ABS(R103-R4)</f>
        <v>0</v>
      </c>
      <c r="S3" s="12"/>
      <c r="T3" s="12"/>
      <c r="U3" s="12"/>
      <c r="V3" s="12"/>
      <c r="W3" s="12">
        <f>ABS(W103-W4)</f>
        <v>0</v>
      </c>
      <c r="X3" s="12"/>
      <c r="Y3" s="12"/>
      <c r="Z3" s="12"/>
      <c r="AA3" s="12"/>
      <c r="AB3" s="12">
        <f>ABS(AB103-AB4)</f>
        <v>0</v>
      </c>
      <c r="AC3" s="12"/>
      <c r="AD3" s="12"/>
      <c r="AE3" s="12"/>
      <c r="AF3" s="12"/>
      <c r="AG3" s="12">
        <f t="shared" ref="AG3:BF3" si="4">ABS(AG103-AG4)</f>
        <v>0</v>
      </c>
      <c r="AH3" s="12">
        <f t="shared" si="4"/>
        <v>0</v>
      </c>
      <c r="AI3" s="12">
        <f t="shared" si="4"/>
        <v>0</v>
      </c>
      <c r="AJ3" s="12" t="e">
        <f t="shared" si="4"/>
        <v>#VALUE!</v>
      </c>
      <c r="AK3" s="12" t="e">
        <f t="shared" si="4"/>
        <v>#VALUE!</v>
      </c>
      <c r="AL3" s="12" t="e">
        <f t="shared" si="4"/>
        <v>#VALUE!</v>
      </c>
      <c r="AM3" s="12" t="e">
        <f t="shared" si="4"/>
        <v>#VALUE!</v>
      </c>
      <c r="AN3" s="12" t="e">
        <f t="shared" si="4"/>
        <v>#VALUE!</v>
      </c>
      <c r="AO3" s="12" t="e">
        <f t="shared" si="4"/>
        <v>#VALUE!</v>
      </c>
      <c r="AP3" s="12" t="e">
        <f t="shared" si="4"/>
        <v>#VALUE!</v>
      </c>
      <c r="AQ3" s="12" t="e">
        <f t="shared" si="4"/>
        <v>#VALUE!</v>
      </c>
      <c r="AR3" s="12" t="e">
        <f t="shared" si="4"/>
        <v>#VALUE!</v>
      </c>
      <c r="AS3" s="12" t="e">
        <f t="shared" si="4"/>
        <v>#VALUE!</v>
      </c>
      <c r="AT3" s="12" t="e">
        <f t="shared" si="4"/>
        <v>#VALUE!</v>
      </c>
      <c r="AU3" s="12" t="e">
        <f t="shared" si="4"/>
        <v>#VALUE!</v>
      </c>
      <c r="AV3" s="12" t="e">
        <f t="shared" si="4"/>
        <v>#VALUE!</v>
      </c>
      <c r="AW3" s="12" t="e">
        <f t="shared" si="4"/>
        <v>#VALUE!</v>
      </c>
      <c r="AX3" s="12" t="e">
        <f t="shared" si="4"/>
        <v>#VALUE!</v>
      </c>
      <c r="AY3" s="12" t="e">
        <f t="shared" si="4"/>
        <v>#VALUE!</v>
      </c>
      <c r="AZ3" s="12" t="e">
        <f t="shared" si="4"/>
        <v>#VALUE!</v>
      </c>
      <c r="BA3" s="12" t="e">
        <f t="shared" si="4"/>
        <v>#VALUE!</v>
      </c>
      <c r="BB3" s="12" t="e">
        <f t="shared" si="4"/>
        <v>#VALUE!</v>
      </c>
      <c r="BC3" s="12" t="e">
        <f t="shared" si="4"/>
        <v>#VALUE!</v>
      </c>
      <c r="BD3" s="12" t="e">
        <f t="shared" si="4"/>
        <v>#VALUE!</v>
      </c>
      <c r="BE3" s="12" t="e">
        <f t="shared" si="4"/>
        <v>#VALUE!</v>
      </c>
      <c r="BF3" s="12" t="e">
        <f t="shared" si="4"/>
        <v>#VALUE!</v>
      </c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</row>
    <row r="4" spans="1:103" x14ac:dyDescent="0.2">
      <c r="C4" s="17"/>
      <c r="H4" s="11"/>
      <c r="M4" s="11"/>
      <c r="R4" s="11"/>
      <c r="W4" s="11"/>
      <c r="AB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</row>
    <row r="5" spans="1:103" x14ac:dyDescent="0.2">
      <c r="B5" s="19">
        <v>45930</v>
      </c>
      <c r="D5" s="20"/>
      <c r="E5" s="21"/>
      <c r="F5" s="21"/>
      <c r="G5" s="21"/>
      <c r="H5" s="22"/>
      <c r="I5" s="20">
        <v>44286</v>
      </c>
      <c r="J5" s="21">
        <f>DATE(YEAR(I5),MONTH(I5)+3,DAY(I5)-1)</f>
        <v>44377</v>
      </c>
      <c r="K5" s="21">
        <f>DATE(YEAR(J5),MONTH(J5)+3,DAY(J5))</f>
        <v>44469</v>
      </c>
      <c r="L5" s="21">
        <f>DATE(YEAR(K5),MONTH(K5)+3,DAY(K5)+1)</f>
        <v>44561</v>
      </c>
      <c r="M5" s="22">
        <f>L5</f>
        <v>44561</v>
      </c>
      <c r="N5" s="21">
        <f>DATE(YEAR(M5),MONTH(M5)+3,DAY(M5))</f>
        <v>44651</v>
      </c>
      <c r="O5" s="21">
        <f>DATE(YEAR(N5),MONTH(N5)+3,DAY(N5)-1)</f>
        <v>44742</v>
      </c>
      <c r="P5" s="21">
        <f>DATE(YEAR(O5),MONTH(O5)+3,DAY(O5))</f>
        <v>44834</v>
      </c>
      <c r="Q5" s="21">
        <f>DATE(YEAR(P5),MONTH(P5)+3,DAY(P5)+1)</f>
        <v>44926</v>
      </c>
      <c r="R5" s="22">
        <f>Q5</f>
        <v>44926</v>
      </c>
      <c r="S5" s="21">
        <f>DATE(YEAR(R5),MONTH(R5)+3,DAY(R5))</f>
        <v>45016</v>
      </c>
      <c r="T5" s="21">
        <f>DATE(YEAR(S5),MONTH(S5)+3,DAY(S5))-1</f>
        <v>45107</v>
      </c>
      <c r="U5" s="21">
        <f>DATE(YEAR(T5),MONTH(T5)+3,DAY(T5))</f>
        <v>45199</v>
      </c>
      <c r="V5" s="21">
        <f>DATE(YEAR(U5),MONTH(U5)+3,DAY(U5))+1</f>
        <v>45291</v>
      </c>
      <c r="W5" s="22">
        <f>V5</f>
        <v>45291</v>
      </c>
      <c r="X5" s="21">
        <f>DATE(YEAR(W5),MONTH(W5)+3,DAY(W5))</f>
        <v>45382</v>
      </c>
      <c r="Y5" s="21">
        <f>DATE(YEAR(X5),MONTH(X5)+3,DAY(X5))-1</f>
        <v>45473</v>
      </c>
      <c r="Z5" s="21">
        <f>DATE(YEAR(Y5),MONTH(Y5)+3,DAY(Y5))</f>
        <v>45565</v>
      </c>
      <c r="AA5" s="21">
        <f>DATE(YEAR(Z5),MONTH(Z5)+3,DAY(Z5))+1</f>
        <v>45657</v>
      </c>
      <c r="AB5" s="22">
        <f>AA5</f>
        <v>45657</v>
      </c>
      <c r="AC5" s="21">
        <f>DATE(YEAR(AB5),MONTH(AB5)+3,DAY(AB5))</f>
        <v>45747</v>
      </c>
      <c r="AD5" s="21">
        <f>DATE(YEAR(AC5),MONTH(AC5)+3,DAY(AC5))-1</f>
        <v>45838</v>
      </c>
      <c r="AE5" s="21">
        <f>DATE(YEAR(AD5),MONTH(AD5)+3,DAY(AD5))</f>
        <v>45930</v>
      </c>
      <c r="AF5" s="21">
        <f>DATE(YEAR(AE5),MONTH(AE5)+3,DAY(AE5))+1</f>
        <v>46022</v>
      </c>
      <c r="AG5" s="22">
        <f>AF5</f>
        <v>46022</v>
      </c>
      <c r="AH5" s="21">
        <f>DATE(YEAR(AG5),MONTH(AG5)+3,DAY(AG5))</f>
        <v>46112</v>
      </c>
      <c r="AI5" s="21">
        <f>DATE(YEAR(AH5),MONTH(AH5)+3,DAY(AH5))-1</f>
        <v>46203</v>
      </c>
      <c r="AJ5" s="21">
        <f>DATE(YEAR(AI5),MONTH(AI5)+3,DAY(AI5))</f>
        <v>46295</v>
      </c>
      <c r="AK5" s="21">
        <f>DATE(YEAR(AJ5),MONTH(AJ5)+3,DAY(AJ5))+1</f>
        <v>46387</v>
      </c>
      <c r="AL5" s="22">
        <f>AK5</f>
        <v>46387</v>
      </c>
      <c r="AM5" s="21">
        <f>DATE(YEAR(AL5),MONTH(AL5)+3,DAY(AL5))</f>
        <v>46477</v>
      </c>
      <c r="AN5" s="21">
        <f>DATE(YEAR(AM5),MONTH(AM5)+3,DAY(AM5))-1</f>
        <v>46568</v>
      </c>
      <c r="AO5" s="21">
        <f>DATE(YEAR(AN5),MONTH(AN5)+3,DAY(AN5))</f>
        <v>46660</v>
      </c>
      <c r="AP5" s="21">
        <f>DATE(YEAR(AO5),MONTH(AO5)+3,DAY(AO5))+1</f>
        <v>46752</v>
      </c>
      <c r="AQ5" s="22">
        <f>AP5</f>
        <v>46752</v>
      </c>
      <c r="AR5" s="21">
        <f>DATE(YEAR(AQ5),MONTH(AQ5)+3,DAY(AQ5))</f>
        <v>46843</v>
      </c>
      <c r="AS5" s="21">
        <f>DATE(YEAR(AR5),MONTH(AR5)+3,DAY(AR5))-1</f>
        <v>46934</v>
      </c>
      <c r="AT5" s="21">
        <f>DATE(YEAR(AS5),MONTH(AS5)+3,DAY(AS5))</f>
        <v>47026</v>
      </c>
      <c r="AU5" s="21">
        <f>DATE(YEAR(AT5),MONTH(AT5)+3,DAY(AT5))+1</f>
        <v>47118</v>
      </c>
      <c r="AV5" s="22">
        <f>AU5</f>
        <v>47118</v>
      </c>
      <c r="AW5" s="21">
        <f>DATE(YEAR(AV5),MONTH(AV5)+3,DAY(AV5))</f>
        <v>47208</v>
      </c>
      <c r="AX5" s="21">
        <f>DATE(YEAR(AW5),MONTH(AW5)+3,DAY(AW5))-1</f>
        <v>47299</v>
      </c>
      <c r="AY5" s="21">
        <f>DATE(YEAR(AX5),MONTH(AX5)+3,DAY(AX5))</f>
        <v>47391</v>
      </c>
      <c r="AZ5" s="21">
        <f>DATE(YEAR(AY5),MONTH(AY5)+3,DAY(AY5))+1</f>
        <v>47483</v>
      </c>
      <c r="BA5" s="22">
        <f>AZ5</f>
        <v>47483</v>
      </c>
      <c r="BB5" s="21">
        <f>DATE(YEAR(BA5),MONTH(BA5)+3,DAY(BA5))</f>
        <v>47573</v>
      </c>
      <c r="BC5" s="21">
        <f>DATE(YEAR(BB5),MONTH(BB5)+3,DAY(BB5))-1</f>
        <v>47664</v>
      </c>
      <c r="BD5" s="21">
        <f>DATE(YEAR(BC5),MONTH(BC5)+3,DAY(BC5))</f>
        <v>47756</v>
      </c>
      <c r="BE5" s="21">
        <f>DATE(YEAR(BD5),MONTH(BD5)+3,DAY(BD5))+1</f>
        <v>47848</v>
      </c>
      <c r="BF5" s="22">
        <f>BE5</f>
        <v>47848</v>
      </c>
      <c r="BG5" s="21"/>
      <c r="BH5" s="21"/>
      <c r="BI5" s="21"/>
      <c r="BJ5" s="21"/>
      <c r="BK5" s="22"/>
      <c r="BL5" s="21"/>
      <c r="BM5" s="21"/>
      <c r="BN5" s="21"/>
      <c r="BO5" s="21"/>
      <c r="BP5" s="22"/>
      <c r="BQ5" s="21"/>
      <c r="BR5" s="21"/>
      <c r="BS5" s="21"/>
      <c r="BT5" s="21"/>
      <c r="BU5" s="22"/>
      <c r="BV5" s="21"/>
      <c r="BW5" s="21"/>
      <c r="BX5" s="21"/>
      <c r="BY5" s="21"/>
      <c r="BZ5" s="22"/>
      <c r="CA5" s="21"/>
      <c r="CB5" s="21"/>
      <c r="CC5" s="21"/>
      <c r="CD5" s="21"/>
      <c r="CE5" s="22"/>
      <c r="CF5" s="21"/>
      <c r="CG5" s="21"/>
      <c r="CH5" s="21"/>
      <c r="CI5" s="21"/>
      <c r="CJ5" s="22"/>
      <c r="CK5" s="21"/>
      <c r="CL5" s="21"/>
      <c r="CM5" s="21"/>
      <c r="CN5" s="21"/>
      <c r="CO5" s="22"/>
      <c r="CP5" s="21"/>
      <c r="CQ5" s="21"/>
      <c r="CR5" s="21"/>
      <c r="CS5" s="21"/>
      <c r="CT5" s="22"/>
      <c r="CU5" s="21"/>
      <c r="CV5" s="21"/>
      <c r="CW5" s="21"/>
      <c r="CX5" s="21"/>
      <c r="CY5" s="22"/>
    </row>
    <row r="6" spans="1:103" x14ac:dyDescent="0.2">
      <c r="B6" s="23"/>
      <c r="D6" s="24"/>
      <c r="E6" s="24"/>
      <c r="F6" s="24"/>
      <c r="G6" s="24"/>
      <c r="H6" s="24"/>
      <c r="I6" s="24">
        <f t="shared" ref="I6:AN6" si="5">YEAR(I5)</f>
        <v>2021</v>
      </c>
      <c r="J6" s="24">
        <f t="shared" si="5"/>
        <v>2021</v>
      </c>
      <c r="K6" s="24">
        <f t="shared" si="5"/>
        <v>2021</v>
      </c>
      <c r="L6" s="24">
        <f t="shared" si="5"/>
        <v>2021</v>
      </c>
      <c r="M6" s="24">
        <f t="shared" si="5"/>
        <v>2021</v>
      </c>
      <c r="N6" s="24">
        <f t="shared" si="5"/>
        <v>2022</v>
      </c>
      <c r="O6" s="24">
        <f t="shared" si="5"/>
        <v>2022</v>
      </c>
      <c r="P6" s="24">
        <f t="shared" si="5"/>
        <v>2022</v>
      </c>
      <c r="Q6" s="24">
        <f t="shared" si="5"/>
        <v>2022</v>
      </c>
      <c r="R6" s="24">
        <f t="shared" si="5"/>
        <v>2022</v>
      </c>
      <c r="S6" s="24">
        <f t="shared" si="5"/>
        <v>2023</v>
      </c>
      <c r="T6" s="24">
        <f t="shared" si="5"/>
        <v>2023</v>
      </c>
      <c r="U6" s="24">
        <f t="shared" si="5"/>
        <v>2023</v>
      </c>
      <c r="V6" s="24">
        <f t="shared" si="5"/>
        <v>2023</v>
      </c>
      <c r="W6" s="24">
        <f t="shared" si="5"/>
        <v>2023</v>
      </c>
      <c r="X6" s="24">
        <f t="shared" si="5"/>
        <v>2024</v>
      </c>
      <c r="Y6" s="24">
        <f t="shared" si="5"/>
        <v>2024</v>
      </c>
      <c r="Z6" s="24">
        <f t="shared" si="5"/>
        <v>2024</v>
      </c>
      <c r="AA6" s="24">
        <f t="shared" si="5"/>
        <v>2024</v>
      </c>
      <c r="AB6" s="24">
        <f t="shared" si="5"/>
        <v>2024</v>
      </c>
      <c r="AC6" s="24">
        <f t="shared" si="5"/>
        <v>2025</v>
      </c>
      <c r="AD6" s="24">
        <f t="shared" si="5"/>
        <v>2025</v>
      </c>
      <c r="AE6" s="24">
        <f t="shared" si="5"/>
        <v>2025</v>
      </c>
      <c r="AF6" s="24">
        <f t="shared" si="5"/>
        <v>2025</v>
      </c>
      <c r="AG6" s="24">
        <f t="shared" si="5"/>
        <v>2025</v>
      </c>
      <c r="AH6" s="24">
        <f t="shared" si="5"/>
        <v>2026</v>
      </c>
      <c r="AI6" s="24">
        <f t="shared" si="5"/>
        <v>2026</v>
      </c>
      <c r="AJ6" s="24">
        <f t="shared" si="5"/>
        <v>2026</v>
      </c>
      <c r="AK6" s="24">
        <f t="shared" si="5"/>
        <v>2026</v>
      </c>
      <c r="AL6" s="24">
        <f t="shared" si="5"/>
        <v>2026</v>
      </c>
      <c r="AM6" s="24">
        <f t="shared" si="5"/>
        <v>2027</v>
      </c>
      <c r="AN6" s="24">
        <f t="shared" si="5"/>
        <v>2027</v>
      </c>
      <c r="AO6" s="24">
        <f t="shared" ref="AO6:BF6" si="6">YEAR(AO5)</f>
        <v>2027</v>
      </c>
      <c r="AP6" s="24">
        <f t="shared" si="6"/>
        <v>2027</v>
      </c>
      <c r="AQ6" s="24">
        <f t="shared" si="6"/>
        <v>2027</v>
      </c>
      <c r="AR6" s="24">
        <f t="shared" si="6"/>
        <v>2028</v>
      </c>
      <c r="AS6" s="24">
        <f t="shared" si="6"/>
        <v>2028</v>
      </c>
      <c r="AT6" s="24">
        <f t="shared" si="6"/>
        <v>2028</v>
      </c>
      <c r="AU6" s="24">
        <f t="shared" si="6"/>
        <v>2028</v>
      </c>
      <c r="AV6" s="24">
        <f t="shared" si="6"/>
        <v>2028</v>
      </c>
      <c r="AW6" s="24">
        <f t="shared" si="6"/>
        <v>2029</v>
      </c>
      <c r="AX6" s="24">
        <f t="shared" si="6"/>
        <v>2029</v>
      </c>
      <c r="AY6" s="24">
        <f t="shared" si="6"/>
        <v>2029</v>
      </c>
      <c r="AZ6" s="24">
        <f t="shared" si="6"/>
        <v>2029</v>
      </c>
      <c r="BA6" s="24">
        <f t="shared" si="6"/>
        <v>2029</v>
      </c>
      <c r="BB6" s="24">
        <f t="shared" si="6"/>
        <v>2030</v>
      </c>
      <c r="BC6" s="24">
        <f t="shared" si="6"/>
        <v>2030</v>
      </c>
      <c r="BD6" s="24">
        <f t="shared" si="6"/>
        <v>2030</v>
      </c>
      <c r="BE6" s="24">
        <f t="shared" si="6"/>
        <v>2030</v>
      </c>
      <c r="BF6" s="24">
        <f t="shared" si="6"/>
        <v>2030</v>
      </c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</row>
    <row r="7" spans="1:103" x14ac:dyDescent="0.2">
      <c r="B7" s="4"/>
      <c r="D7" s="25"/>
      <c r="E7" s="25"/>
      <c r="F7" s="25"/>
      <c r="G7" s="25"/>
      <c r="H7" s="26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/>
      <c r="BH7" s="25"/>
      <c r="BI7" s="25"/>
      <c r="BJ7" s="25"/>
      <c r="BK7" s="26"/>
      <c r="BL7" s="25"/>
      <c r="BM7" s="25"/>
      <c r="BN7" s="25"/>
      <c r="BO7" s="25"/>
      <c r="BP7" s="26"/>
      <c r="BQ7" s="25"/>
      <c r="BR7" s="25"/>
      <c r="BS7" s="25"/>
      <c r="BT7" s="25"/>
      <c r="BU7" s="26"/>
      <c r="BV7" s="25"/>
      <c r="BW7" s="25"/>
      <c r="BX7" s="25"/>
      <c r="BY7" s="25"/>
      <c r="BZ7" s="26"/>
      <c r="CA7" s="25"/>
      <c r="CB7" s="25"/>
      <c r="CC7" s="25"/>
      <c r="CD7" s="25"/>
      <c r="CE7" s="26"/>
      <c r="CF7" s="25"/>
      <c r="CG7" s="25"/>
      <c r="CH7" s="25"/>
      <c r="CI7" s="25"/>
      <c r="CJ7" s="26"/>
      <c r="CK7" s="25"/>
      <c r="CL7" s="25"/>
      <c r="CM7" s="25"/>
      <c r="CN7" s="25"/>
      <c r="CO7" s="26"/>
      <c r="CP7" s="25"/>
      <c r="CQ7" s="25"/>
      <c r="CR7" s="25"/>
      <c r="CS7" s="25"/>
      <c r="CT7" s="26"/>
      <c r="CU7" s="25"/>
      <c r="CV7" s="25"/>
      <c r="CW7" s="25"/>
      <c r="CX7" s="25"/>
      <c r="CY7" s="26"/>
    </row>
    <row r="8" spans="1:103" x14ac:dyDescent="0.2">
      <c r="B8" s="4"/>
      <c r="C8" s="4" t="s">
        <v>83</v>
      </c>
      <c r="D8" s="25"/>
      <c r="E8" s="25"/>
      <c r="F8" s="25"/>
      <c r="G8" s="25"/>
      <c r="H8" s="27"/>
      <c r="I8" s="25"/>
      <c r="J8" s="25"/>
      <c r="K8" s="25"/>
      <c r="L8" s="25"/>
      <c r="M8" s="27">
        <v>0.10059999999999999</v>
      </c>
      <c r="N8" s="25"/>
      <c r="O8" s="25"/>
      <c r="P8" s="25"/>
      <c r="Q8" s="25"/>
      <c r="R8" s="27">
        <v>5.79E-2</v>
      </c>
      <c r="S8" s="25"/>
      <c r="T8" s="25"/>
      <c r="U8" s="25"/>
      <c r="V8" s="25"/>
      <c r="W8" s="27">
        <v>4.6800000000000001E-2</v>
      </c>
      <c r="X8" s="25"/>
      <c r="Y8" s="25"/>
      <c r="Z8" s="25"/>
      <c r="AA8" s="25"/>
      <c r="AB8" s="27">
        <v>4.8300000000000003E-2</v>
      </c>
      <c r="AC8" s="25"/>
      <c r="AD8" s="25"/>
      <c r="AE8" s="25"/>
      <c r="AF8" s="25"/>
      <c r="AG8" s="27">
        <v>4.6800000000000001E-2</v>
      </c>
      <c r="AH8" s="25"/>
      <c r="AI8" s="25"/>
      <c r="AJ8" s="25"/>
      <c r="AK8" s="25"/>
      <c r="AL8" s="28"/>
      <c r="AM8" s="25"/>
      <c r="AN8" s="25"/>
      <c r="AO8" s="25"/>
      <c r="AP8" s="25"/>
      <c r="AQ8" s="28"/>
      <c r="AR8" s="25"/>
      <c r="AS8" s="25"/>
      <c r="AT8" s="25"/>
      <c r="AU8" s="25"/>
      <c r="AV8" s="28"/>
      <c r="AW8" s="25"/>
      <c r="AX8" s="25"/>
      <c r="AY8" s="25"/>
      <c r="AZ8" s="25"/>
      <c r="BA8" s="28"/>
      <c r="BB8" s="25"/>
      <c r="BC8" s="25"/>
      <c r="BD8" s="25"/>
      <c r="BE8" s="25"/>
      <c r="BF8" s="28"/>
      <c r="BG8" s="25"/>
      <c r="BH8" s="25"/>
      <c r="BI8" s="25"/>
      <c r="BJ8" s="25"/>
      <c r="BK8" s="28"/>
      <c r="BL8" s="25"/>
      <c r="BM8" s="25"/>
      <c r="BN8" s="25"/>
      <c r="BO8" s="25"/>
      <c r="BP8" s="28"/>
      <c r="BQ8" s="25"/>
      <c r="BR8" s="25"/>
      <c r="BS8" s="25"/>
      <c r="BT8" s="25"/>
      <c r="BU8" s="28"/>
      <c r="BV8" s="25"/>
      <c r="BW8" s="25"/>
      <c r="BX8" s="25"/>
      <c r="BY8" s="25"/>
      <c r="BZ8" s="28"/>
      <c r="CA8" s="25"/>
      <c r="CB8" s="25"/>
      <c r="CC8" s="25"/>
      <c r="CD8" s="25"/>
      <c r="CE8" s="28"/>
      <c r="CF8" s="25"/>
      <c r="CG8" s="25"/>
      <c r="CH8" s="25"/>
      <c r="CI8" s="25"/>
      <c r="CJ8" s="28"/>
      <c r="CK8" s="25"/>
      <c r="CL8" s="25"/>
      <c r="CM8" s="25"/>
      <c r="CN8" s="25"/>
      <c r="CO8" s="28"/>
      <c r="CP8" s="25"/>
      <c r="CQ8" s="25"/>
      <c r="CR8" s="25"/>
      <c r="CS8" s="25"/>
      <c r="CT8" s="28"/>
      <c r="CU8" s="25"/>
      <c r="CV8" s="25"/>
      <c r="CW8" s="25"/>
      <c r="CX8" s="25"/>
      <c r="CY8" s="28"/>
    </row>
    <row r="9" spans="1:103" x14ac:dyDescent="0.2">
      <c r="B9" s="4"/>
      <c r="C9" s="4" t="s">
        <v>84</v>
      </c>
      <c r="D9" s="25"/>
      <c r="E9" s="25"/>
      <c r="F9" s="25"/>
      <c r="G9" s="25"/>
      <c r="H9" s="29"/>
      <c r="I9" s="25"/>
      <c r="J9" s="25"/>
      <c r="K9" s="25"/>
      <c r="L9" s="25"/>
      <c r="M9" s="29">
        <v>4.5999999999999999E-2</v>
      </c>
      <c r="N9" s="25"/>
      <c r="O9" s="25"/>
      <c r="P9" s="25"/>
      <c r="Q9" s="25"/>
      <c r="R9" s="29"/>
      <c r="S9" s="25"/>
      <c r="T9" s="25"/>
      <c r="U9" s="25"/>
      <c r="V9" s="25"/>
      <c r="W9" s="29"/>
      <c r="X9" s="25"/>
      <c r="Y9" s="25"/>
      <c r="Z9" s="25"/>
      <c r="AA9" s="25"/>
      <c r="AB9" s="29"/>
      <c r="AC9" s="25"/>
      <c r="AD9" s="25"/>
      <c r="AE9" s="25"/>
      <c r="AF9" s="25"/>
      <c r="AG9" s="29"/>
      <c r="AH9" s="25"/>
      <c r="AI9" s="25"/>
      <c r="AJ9" s="25"/>
      <c r="AK9" s="25"/>
      <c r="AL9" s="28"/>
      <c r="AM9" s="25"/>
      <c r="AN9" s="25"/>
      <c r="AO9" s="25"/>
      <c r="AP9" s="25"/>
      <c r="AQ9" s="28"/>
      <c r="AR9" s="25"/>
      <c r="AS9" s="25"/>
      <c r="AT9" s="25"/>
      <c r="AU9" s="25"/>
      <c r="AV9" s="28"/>
      <c r="AW9" s="25"/>
      <c r="AX9" s="25"/>
      <c r="AY9" s="25"/>
      <c r="AZ9" s="25"/>
      <c r="BA9" s="28"/>
      <c r="BB9" s="25"/>
      <c r="BC9" s="25"/>
      <c r="BD9" s="25"/>
      <c r="BE9" s="25"/>
      <c r="BF9" s="28"/>
      <c r="BG9" s="25"/>
      <c r="BH9" s="25"/>
      <c r="BI9" s="25"/>
      <c r="BJ9" s="25"/>
      <c r="BK9" s="28"/>
      <c r="BL9" s="25"/>
      <c r="BM9" s="25"/>
      <c r="BN9" s="25"/>
      <c r="BO9" s="25"/>
      <c r="BP9" s="28"/>
      <c r="BQ9" s="25"/>
      <c r="BR9" s="25"/>
      <c r="BS9" s="25"/>
      <c r="BT9" s="25"/>
      <c r="BU9" s="28"/>
      <c r="BV9" s="25"/>
      <c r="BW9" s="25"/>
      <c r="BX9" s="25"/>
      <c r="BY9" s="25"/>
      <c r="BZ9" s="28"/>
      <c r="CA9" s="25"/>
      <c r="CB9" s="25"/>
      <c r="CC9" s="25"/>
      <c r="CD9" s="25"/>
      <c r="CE9" s="28"/>
      <c r="CF9" s="25"/>
      <c r="CG9" s="25"/>
      <c r="CH9" s="25"/>
      <c r="CI9" s="25"/>
      <c r="CJ9" s="28"/>
      <c r="CK9" s="25"/>
      <c r="CL9" s="25"/>
      <c r="CM9" s="25"/>
      <c r="CN9" s="25"/>
      <c r="CO9" s="28"/>
      <c r="CP9" s="25"/>
      <c r="CQ9" s="25"/>
      <c r="CR9" s="25"/>
      <c r="CS9" s="25"/>
      <c r="CT9" s="28"/>
      <c r="CU9" s="25"/>
      <c r="CV9" s="25"/>
      <c r="CW9" s="25"/>
      <c r="CX9" s="25"/>
      <c r="CY9" s="28"/>
    </row>
    <row r="10" spans="1:103" x14ac:dyDescent="0.2">
      <c r="C10" s="4" t="s">
        <v>85</v>
      </c>
      <c r="H10" s="29"/>
      <c r="M10" s="29">
        <v>4.4200000000000003E-2</v>
      </c>
      <c r="R10" s="29">
        <v>0.1239</v>
      </c>
      <c r="W10" s="29">
        <v>0.13039999999999999</v>
      </c>
      <c r="AB10" s="29">
        <v>0.10639999999999999</v>
      </c>
      <c r="AG10" s="29">
        <v>0.1464</v>
      </c>
    </row>
    <row r="13" spans="1:103" s="32" customFormat="1" x14ac:dyDescent="0.2">
      <c r="A13" s="30"/>
      <c r="B13" s="30"/>
      <c r="C13" s="31" t="s">
        <v>86</v>
      </c>
      <c r="D13" s="31"/>
      <c r="E13" s="31"/>
      <c r="F13" s="31"/>
      <c r="G13" s="31"/>
      <c r="H13" s="31"/>
      <c r="I13" s="31" t="str">
        <f t="shared" ref="I13:AN13" si="7">I7</f>
        <v>1Q21</v>
      </c>
      <c r="J13" s="31" t="str">
        <f t="shared" si="7"/>
        <v>2Q21</v>
      </c>
      <c r="K13" s="31" t="str">
        <f t="shared" si="7"/>
        <v>3Q21</v>
      </c>
      <c r="L13" s="31" t="str">
        <f t="shared" si="7"/>
        <v>4Q21</v>
      </c>
      <c r="M13" s="31">
        <f t="shared" si="7"/>
        <v>2021</v>
      </c>
      <c r="N13" s="31" t="str">
        <f t="shared" si="7"/>
        <v>1Q22</v>
      </c>
      <c r="O13" s="31" t="str">
        <f t="shared" si="7"/>
        <v>2Q22</v>
      </c>
      <c r="P13" s="31" t="str">
        <f t="shared" si="7"/>
        <v>3Q22</v>
      </c>
      <c r="Q13" s="31" t="str">
        <f t="shared" si="7"/>
        <v>4Q22</v>
      </c>
      <c r="R13" s="31">
        <f t="shared" si="7"/>
        <v>2022</v>
      </c>
      <c r="S13" s="31" t="str">
        <f t="shared" si="7"/>
        <v>1Q23</v>
      </c>
      <c r="T13" s="31" t="str">
        <f t="shared" si="7"/>
        <v>2Q23</v>
      </c>
      <c r="U13" s="31" t="str">
        <f t="shared" si="7"/>
        <v>3Q23</v>
      </c>
      <c r="V13" s="31" t="str">
        <f t="shared" si="7"/>
        <v>4Q23</v>
      </c>
      <c r="W13" s="31">
        <f t="shared" si="7"/>
        <v>2023</v>
      </c>
      <c r="X13" s="31" t="str">
        <f t="shared" si="7"/>
        <v>1Q24</v>
      </c>
      <c r="Y13" s="31" t="str">
        <f t="shared" si="7"/>
        <v>2Q24</v>
      </c>
      <c r="Z13" s="31" t="str">
        <f t="shared" si="7"/>
        <v>3Q24</v>
      </c>
      <c r="AA13" s="31" t="str">
        <f t="shared" si="7"/>
        <v>4Q24</v>
      </c>
      <c r="AB13" s="31">
        <f t="shared" si="7"/>
        <v>2024</v>
      </c>
      <c r="AC13" s="31" t="str">
        <f t="shared" si="7"/>
        <v>1Q25</v>
      </c>
      <c r="AD13" s="31" t="str">
        <f t="shared" si="7"/>
        <v>2Q25</v>
      </c>
      <c r="AE13" s="31" t="str">
        <f t="shared" si="7"/>
        <v>3Q25</v>
      </c>
      <c r="AF13" s="31" t="str">
        <f t="shared" si="7"/>
        <v>4Q25</v>
      </c>
      <c r="AG13" s="31">
        <f t="shared" si="7"/>
        <v>2025</v>
      </c>
      <c r="AH13" s="31" t="str">
        <f t="shared" si="7"/>
        <v>1Q26</v>
      </c>
      <c r="AI13" s="31" t="str">
        <f t="shared" si="7"/>
        <v>2Q26</v>
      </c>
      <c r="AJ13" s="31" t="str">
        <f t="shared" si="7"/>
        <v>3Q26</v>
      </c>
      <c r="AK13" s="31" t="str">
        <f t="shared" si="7"/>
        <v>4Q26</v>
      </c>
      <c r="AL13" s="31">
        <f t="shared" si="7"/>
        <v>2026</v>
      </c>
      <c r="AM13" s="31" t="str">
        <f t="shared" si="7"/>
        <v>1Q27</v>
      </c>
      <c r="AN13" s="31" t="str">
        <f t="shared" si="7"/>
        <v>2Q27</v>
      </c>
      <c r="AO13" s="31" t="str">
        <f t="shared" ref="AO13:BF13" si="8">AO7</f>
        <v>3Q27</v>
      </c>
      <c r="AP13" s="31" t="str">
        <f t="shared" si="8"/>
        <v>4Q27</v>
      </c>
      <c r="AQ13" s="31">
        <f t="shared" si="8"/>
        <v>2027</v>
      </c>
      <c r="AR13" s="31" t="str">
        <f t="shared" si="8"/>
        <v>1Q28</v>
      </c>
      <c r="AS13" s="31" t="str">
        <f t="shared" si="8"/>
        <v>2Q28</v>
      </c>
      <c r="AT13" s="31" t="str">
        <f t="shared" si="8"/>
        <v>3Q28</v>
      </c>
      <c r="AU13" s="31" t="str">
        <f t="shared" si="8"/>
        <v>4Q28</v>
      </c>
      <c r="AV13" s="31">
        <f t="shared" si="8"/>
        <v>2028</v>
      </c>
      <c r="AW13" s="31" t="str">
        <f t="shared" si="8"/>
        <v>1Q29</v>
      </c>
      <c r="AX13" s="31" t="str">
        <f t="shared" si="8"/>
        <v>2Q29</v>
      </c>
      <c r="AY13" s="31" t="str">
        <f t="shared" si="8"/>
        <v>3Q29</v>
      </c>
      <c r="AZ13" s="31" t="str">
        <f t="shared" si="8"/>
        <v>4Q29</v>
      </c>
      <c r="BA13" s="31">
        <f t="shared" si="8"/>
        <v>2029</v>
      </c>
      <c r="BB13" s="31" t="str">
        <f t="shared" si="8"/>
        <v>1Q30</v>
      </c>
      <c r="BC13" s="31" t="str">
        <f t="shared" si="8"/>
        <v>2Q30</v>
      </c>
      <c r="BD13" s="31" t="str">
        <f t="shared" si="8"/>
        <v>3Q30</v>
      </c>
      <c r="BE13" s="31" t="str">
        <f t="shared" si="8"/>
        <v>4Q30</v>
      </c>
      <c r="BF13" s="31">
        <f t="shared" si="8"/>
        <v>2030</v>
      </c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</row>
    <row r="14" spans="1:103" x14ac:dyDescent="0.2">
      <c r="C14" s="17"/>
    </row>
    <row r="15" spans="1:103" s="32" customFormat="1" x14ac:dyDescent="0.2">
      <c r="A15" s="30"/>
      <c r="B15" s="3"/>
      <c r="C15" s="33" t="s">
        <v>36</v>
      </c>
      <c r="D15" s="34"/>
      <c r="E15" s="34"/>
      <c r="F15" s="34"/>
      <c r="G15" s="34"/>
      <c r="H15" s="35"/>
      <c r="I15" s="34" t="str">
        <f>'Inputs (2)'!D4</f>
        <v/>
      </c>
      <c r="J15" s="34" t="str">
        <f>'Inputs (2)'!E4</f>
        <v/>
      </c>
      <c r="K15" s="34" t="str">
        <f>'Inputs (2)'!F4</f>
        <v/>
      </c>
      <c r="L15" s="34" t="str">
        <f>'Inputs (2)'!G4</f>
        <v/>
      </c>
      <c r="M15" s="35" t="str">
        <f>'Inputs (2)'!H4</f>
        <v/>
      </c>
      <c r="N15" s="34" t="str">
        <f>'Inputs (2)'!I4</f>
        <v/>
      </c>
      <c r="O15" s="34" t="str">
        <f>'Inputs (2)'!J4</f>
        <v/>
      </c>
      <c r="P15" s="34" t="str">
        <f>'Inputs (2)'!K4</f>
        <v/>
      </c>
      <c r="Q15" s="34" t="str">
        <f>'Inputs (2)'!L4</f>
        <v/>
      </c>
      <c r="R15" s="35" t="str">
        <f>'Inputs (2)'!M4</f>
        <v/>
      </c>
      <c r="S15" s="34" t="str">
        <f>'Inputs (2)'!N4</f>
        <v/>
      </c>
      <c r="T15" s="34" t="str">
        <f>'Inputs (2)'!O4</f>
        <v/>
      </c>
      <c r="U15" s="34" t="str">
        <f>'Inputs (2)'!P4</f>
        <v/>
      </c>
      <c r="V15" s="34" t="str">
        <f>'Inputs (2)'!Q4</f>
        <v/>
      </c>
      <c r="W15" s="35" t="str">
        <f>'Inputs (2)'!R4</f>
        <v/>
      </c>
      <c r="X15" s="34" t="str">
        <f>'Inputs (2)'!S4</f>
        <v/>
      </c>
      <c r="Y15" s="34" t="str">
        <f>'Inputs (2)'!T4</f>
        <v/>
      </c>
      <c r="Z15" s="34" t="str">
        <f>'Inputs (2)'!U4</f>
        <v/>
      </c>
      <c r="AA15" s="34" t="str">
        <f>'Inputs (2)'!V4</f>
        <v/>
      </c>
      <c r="AB15" s="35" t="str">
        <f>'Inputs (2)'!W4</f>
        <v/>
      </c>
      <c r="AC15" s="34" t="str">
        <f>'Inputs (2)'!X4</f>
        <v/>
      </c>
      <c r="AD15" s="34" t="str">
        <f>'Inputs (2)'!Y4</f>
        <v/>
      </c>
      <c r="AE15" s="34" t="str">
        <f>'Inputs (2)'!Z4</f>
        <v/>
      </c>
      <c r="AF15" s="34" t="str">
        <f>'Inputs (2)'!AA4</f>
        <v/>
      </c>
      <c r="AG15" s="35" t="str">
        <f>'Inputs (2)'!AB4</f>
        <v/>
      </c>
      <c r="AH15" s="35" t="str">
        <f>'Inputs (2)'!AC4</f>
        <v/>
      </c>
      <c r="AI15" s="35" t="str">
        <f>'Inputs (2)'!AD4</f>
        <v/>
      </c>
      <c r="AJ15" s="35" t="e">
        <f>AE15*(1+AJ16)</f>
        <v>#VALUE!</v>
      </c>
      <c r="AK15" s="35" t="e">
        <f>AF15*(1+AK16)</f>
        <v>#VALUE!</v>
      </c>
      <c r="AL15" s="35" t="e">
        <f>SUM(AH15:AK15)</f>
        <v>#VALUE!</v>
      </c>
      <c r="AM15" s="35" t="e">
        <f>AH15*(1+AM16)</f>
        <v>#VALUE!</v>
      </c>
      <c r="AN15" s="35" t="e">
        <f>AI15*(1+AN16)</f>
        <v>#VALUE!</v>
      </c>
      <c r="AO15" s="35" t="e">
        <f>AJ15*(1+AO16)</f>
        <v>#VALUE!</v>
      </c>
      <c r="AP15" s="35" t="e">
        <f>AK15*(1+AP16)</f>
        <v>#VALUE!</v>
      </c>
      <c r="AQ15" s="35" t="e">
        <f>SUM(AM15:AP15)</f>
        <v>#VALUE!</v>
      </c>
      <c r="AR15" s="35" t="e">
        <f>AM15*(1+AR16)</f>
        <v>#VALUE!</v>
      </c>
      <c r="AS15" s="35" t="e">
        <f>AN15*(1+AS16)</f>
        <v>#VALUE!</v>
      </c>
      <c r="AT15" s="35" t="e">
        <f>AO15*(1+AT16)</f>
        <v>#VALUE!</v>
      </c>
      <c r="AU15" s="35" t="e">
        <f>AP15*(1+AU16)</f>
        <v>#VALUE!</v>
      </c>
      <c r="AV15" s="35" t="e">
        <f>SUM(AR15:AU15)</f>
        <v>#VALUE!</v>
      </c>
      <c r="AW15" s="35" t="e">
        <f>AR15*(1+AW16)</f>
        <v>#VALUE!</v>
      </c>
      <c r="AX15" s="35" t="e">
        <f>AS15*(1+AX16)</f>
        <v>#VALUE!</v>
      </c>
      <c r="AY15" s="35" t="e">
        <f>AT15*(1+AY16)</f>
        <v>#VALUE!</v>
      </c>
      <c r="AZ15" s="35" t="e">
        <f>AU15*(1+AZ16)</f>
        <v>#VALUE!</v>
      </c>
      <c r="BA15" s="35" t="e">
        <f>SUM(AW15:AZ15)</f>
        <v>#VALUE!</v>
      </c>
      <c r="BB15" s="35" t="e">
        <f>AW15*(1+BB16)</f>
        <v>#VALUE!</v>
      </c>
      <c r="BC15" s="35" t="e">
        <f>AX15*(1+BC16)</f>
        <v>#VALUE!</v>
      </c>
      <c r="BD15" s="35" t="e">
        <f>AY15*(1+BD16)</f>
        <v>#VALUE!</v>
      </c>
      <c r="BE15" s="35" t="e">
        <f>AZ15*(1+BE16)</f>
        <v>#VALUE!</v>
      </c>
      <c r="BF15" s="35" t="e">
        <f>SUM(BB15:BE15)</f>
        <v>#VALUE!</v>
      </c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</row>
    <row r="16" spans="1:103" s="43" customFormat="1" hidden="1" outlineLevel="1" x14ac:dyDescent="0.2">
      <c r="A16" s="36"/>
      <c r="B16" s="37"/>
      <c r="C16" s="38" t="s">
        <v>87</v>
      </c>
      <c r="D16" s="39"/>
      <c r="E16" s="40"/>
      <c r="F16" s="40"/>
      <c r="G16" s="40"/>
      <c r="H16" s="39"/>
      <c r="I16" s="39"/>
      <c r="J16" s="40"/>
      <c r="K16" s="40"/>
      <c r="L16" s="40"/>
      <c r="M16" s="39"/>
      <c r="N16" s="40" t="str">
        <f t="shared" ref="N16:AE16" si="9">IFERROR(N15/I15-1,"")</f>
        <v/>
      </c>
      <c r="O16" s="40" t="str">
        <f t="shared" si="9"/>
        <v/>
      </c>
      <c r="P16" s="40" t="str">
        <f t="shared" si="9"/>
        <v/>
      </c>
      <c r="Q16" s="40" t="str">
        <f t="shared" si="9"/>
        <v/>
      </c>
      <c r="R16" s="40" t="str">
        <f t="shared" si="9"/>
        <v/>
      </c>
      <c r="S16" s="40" t="str">
        <f t="shared" si="9"/>
        <v/>
      </c>
      <c r="T16" s="40" t="str">
        <f t="shared" si="9"/>
        <v/>
      </c>
      <c r="U16" s="40" t="str">
        <f t="shared" si="9"/>
        <v/>
      </c>
      <c r="V16" s="40" t="str">
        <f t="shared" si="9"/>
        <v/>
      </c>
      <c r="W16" s="40" t="str">
        <f t="shared" si="9"/>
        <v/>
      </c>
      <c r="X16" s="40" t="str">
        <f t="shared" si="9"/>
        <v/>
      </c>
      <c r="Y16" s="40" t="str">
        <f t="shared" si="9"/>
        <v/>
      </c>
      <c r="Z16" s="40" t="str">
        <f t="shared" si="9"/>
        <v/>
      </c>
      <c r="AA16" s="40" t="str">
        <f t="shared" si="9"/>
        <v/>
      </c>
      <c r="AB16" s="40" t="str">
        <f t="shared" si="9"/>
        <v/>
      </c>
      <c r="AC16" s="40" t="str">
        <f t="shared" si="9"/>
        <v/>
      </c>
      <c r="AD16" s="40" t="str">
        <f t="shared" si="9"/>
        <v/>
      </c>
      <c r="AE16" s="40" t="str">
        <f t="shared" si="9"/>
        <v/>
      </c>
      <c r="AF16" s="41"/>
      <c r="AG16" s="40" t="str">
        <f>IFERROR(AG15/AB15-1,"")</f>
        <v/>
      </c>
      <c r="AH16" s="41"/>
      <c r="AI16" s="41"/>
      <c r="AJ16" s="41" t="str">
        <f>Control!$B$18</f>
        <v/>
      </c>
      <c r="AK16" s="41" t="str">
        <f>Control!$B$18</f>
        <v/>
      </c>
      <c r="AL16" s="42" t="str">
        <f>IFERROR(AL15/AG15-1,"")</f>
        <v/>
      </c>
      <c r="AM16" s="41" t="str">
        <f>Control!$C$18</f>
        <v/>
      </c>
      <c r="AN16" s="41" t="str">
        <f>Control!$C$18</f>
        <v/>
      </c>
      <c r="AO16" s="41" t="str">
        <f>Control!$C$18</f>
        <v/>
      </c>
      <c r="AP16" s="41" t="str">
        <f>Control!$C$18</f>
        <v/>
      </c>
      <c r="AQ16" s="42" t="str">
        <f>IFERROR(AQ15/AL15-1,"")</f>
        <v/>
      </c>
      <c r="AR16" s="41" t="str">
        <f>Control!$D$18</f>
        <v/>
      </c>
      <c r="AS16" s="41" t="str">
        <f>Control!$D$18</f>
        <v/>
      </c>
      <c r="AT16" s="41" t="str">
        <f>Control!$D$18</f>
        <v/>
      </c>
      <c r="AU16" s="41" t="str">
        <f>Control!$D$18</f>
        <v/>
      </c>
      <c r="AV16" s="42" t="str">
        <f>IFERROR(AV15/AQ15-1,"")</f>
        <v/>
      </c>
      <c r="AW16" s="41" t="str">
        <f>Control!$E$18</f>
        <v/>
      </c>
      <c r="AX16" s="41" t="str">
        <f>Control!$E$18</f>
        <v/>
      </c>
      <c r="AY16" s="41" t="str">
        <f>Control!$E$18</f>
        <v/>
      </c>
      <c r="AZ16" s="41" t="str">
        <f>Control!$E$18</f>
        <v/>
      </c>
      <c r="BA16" s="42" t="str">
        <f>IFERROR(BA15/AV15-1,"")</f>
        <v/>
      </c>
      <c r="BB16" s="41" t="str">
        <f>Control!$F$18</f>
        <v/>
      </c>
      <c r="BC16" s="41" t="str">
        <f>Control!$F$18</f>
        <v/>
      </c>
      <c r="BD16" s="41" t="str">
        <f>Control!$F$18</f>
        <v/>
      </c>
      <c r="BE16" s="41" t="str">
        <f>Control!$F$18</f>
        <v/>
      </c>
      <c r="BF16" s="42" t="str">
        <f>IFERROR(BF15/BA15-1,"")</f>
        <v/>
      </c>
      <c r="BG16" s="41"/>
      <c r="BH16" s="41"/>
      <c r="BI16" s="41"/>
      <c r="BJ16" s="41"/>
      <c r="BK16" s="42"/>
      <c r="BL16" s="41"/>
      <c r="BM16" s="41"/>
      <c r="BN16" s="41"/>
      <c r="BO16" s="41"/>
      <c r="BP16" s="42"/>
      <c r="BQ16" s="41"/>
      <c r="BR16" s="41"/>
      <c r="BS16" s="41"/>
      <c r="BT16" s="41"/>
      <c r="BU16" s="42"/>
      <c r="BV16" s="41"/>
      <c r="BW16" s="41"/>
      <c r="BX16" s="41"/>
      <c r="BY16" s="41"/>
      <c r="BZ16" s="42"/>
      <c r="CA16" s="41"/>
      <c r="CB16" s="41"/>
      <c r="CC16" s="41"/>
      <c r="CD16" s="41"/>
      <c r="CE16" s="42"/>
      <c r="CF16" s="41"/>
      <c r="CG16" s="41"/>
      <c r="CH16" s="41"/>
      <c r="CI16" s="41"/>
      <c r="CJ16" s="42"/>
      <c r="CK16" s="41"/>
      <c r="CL16" s="41"/>
      <c r="CM16" s="41"/>
      <c r="CN16" s="41"/>
      <c r="CO16" s="42"/>
      <c r="CP16" s="41"/>
      <c r="CQ16" s="41"/>
      <c r="CR16" s="41"/>
      <c r="CS16" s="41"/>
      <c r="CT16" s="42"/>
      <c r="CU16" s="41"/>
      <c r="CV16" s="41"/>
      <c r="CW16" s="41"/>
      <c r="CX16" s="41"/>
      <c r="CY16" s="42"/>
    </row>
    <row r="17" spans="1:103" s="43" customFormat="1" hidden="1" outlineLevel="1" x14ac:dyDescent="0.2">
      <c r="A17" s="36"/>
      <c r="B17" s="37"/>
      <c r="C17" s="44" t="s">
        <v>88</v>
      </c>
      <c r="D17" s="39"/>
      <c r="E17" s="40"/>
      <c r="F17" s="40"/>
      <c r="G17" s="40"/>
      <c r="H17" s="39"/>
      <c r="I17" s="39"/>
      <c r="J17" s="40"/>
      <c r="K17" s="40"/>
      <c r="L17" s="40"/>
      <c r="M17" s="39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1"/>
      <c r="AI17" s="41"/>
      <c r="AJ17" s="41"/>
      <c r="AK17" s="41"/>
      <c r="AL17" s="42"/>
      <c r="AM17" s="41"/>
      <c r="AN17" s="41"/>
      <c r="AO17" s="41"/>
      <c r="AP17" s="41"/>
      <c r="AQ17" s="42"/>
      <c r="AR17" s="41"/>
      <c r="AS17" s="41"/>
      <c r="AT17" s="41"/>
      <c r="AU17" s="41"/>
      <c r="AV17" s="42"/>
      <c r="AW17" s="41"/>
      <c r="AX17" s="41"/>
      <c r="AY17" s="41"/>
      <c r="AZ17" s="41"/>
      <c r="BA17" s="42"/>
      <c r="BB17" s="41"/>
      <c r="BC17" s="41"/>
      <c r="BD17" s="41"/>
      <c r="BE17" s="41"/>
      <c r="BF17" s="42"/>
      <c r="BG17" s="41"/>
      <c r="BH17" s="41"/>
      <c r="BI17" s="41"/>
      <c r="BJ17" s="41"/>
      <c r="BK17" s="42"/>
      <c r="BL17" s="41"/>
      <c r="BM17" s="41"/>
      <c r="BN17" s="41"/>
      <c r="BO17" s="41"/>
      <c r="BP17" s="42"/>
      <c r="BQ17" s="41"/>
      <c r="BR17" s="41"/>
      <c r="BS17" s="41"/>
      <c r="BT17" s="41"/>
      <c r="BU17" s="42"/>
      <c r="BV17" s="41"/>
      <c r="BW17" s="41"/>
      <c r="BX17" s="41"/>
      <c r="BY17" s="41"/>
      <c r="BZ17" s="42"/>
      <c r="CA17" s="41"/>
      <c r="CB17" s="41"/>
      <c r="CC17" s="41"/>
      <c r="CD17" s="41"/>
      <c r="CE17" s="42"/>
      <c r="CF17" s="41"/>
      <c r="CG17" s="41"/>
      <c r="CH17" s="41"/>
      <c r="CI17" s="41"/>
      <c r="CJ17" s="42"/>
      <c r="CK17" s="41"/>
      <c r="CL17" s="41"/>
      <c r="CM17" s="41"/>
      <c r="CN17" s="41"/>
      <c r="CO17" s="42"/>
      <c r="CP17" s="41"/>
      <c r="CQ17" s="41"/>
      <c r="CR17" s="41"/>
      <c r="CS17" s="41"/>
      <c r="CT17" s="42"/>
      <c r="CU17" s="41"/>
      <c r="CV17" s="41"/>
      <c r="CW17" s="41"/>
      <c r="CX17" s="41"/>
      <c r="CY17" s="42"/>
    </row>
    <row r="18" spans="1:103" s="43" customFormat="1" hidden="1" outlineLevel="1" x14ac:dyDescent="0.2">
      <c r="A18" s="36"/>
      <c r="B18" s="37"/>
      <c r="C18" s="45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</row>
    <row r="19" spans="1:103" s="43" customFormat="1" hidden="1" outlineLevel="1" x14ac:dyDescent="0.2">
      <c r="A19" s="36"/>
      <c r="B19" s="37"/>
      <c r="C19" s="45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</row>
    <row r="20" spans="1:103" collapsed="1" x14ac:dyDescent="0.2">
      <c r="C20" s="13" t="s">
        <v>37</v>
      </c>
      <c r="D20" s="46"/>
      <c r="E20" s="46"/>
      <c r="F20" s="46"/>
      <c r="G20" s="46"/>
      <c r="H20" s="12"/>
      <c r="I20" s="46" t="str">
        <f>'Inputs (2)'!D5</f>
        <v/>
      </c>
      <c r="J20" s="46" t="str">
        <f>'Inputs (2)'!E5</f>
        <v/>
      </c>
      <c r="K20" s="46" t="str">
        <f>'Inputs (2)'!F5</f>
        <v/>
      </c>
      <c r="L20" s="46" t="str">
        <f>'Inputs (2)'!G5</f>
        <v/>
      </c>
      <c r="M20" s="12" t="str">
        <f>'Inputs (2)'!H5</f>
        <v/>
      </c>
      <c r="N20" s="46" t="str">
        <f>'Inputs (2)'!I5</f>
        <v/>
      </c>
      <c r="O20" s="46" t="str">
        <f>'Inputs (2)'!J5</f>
        <v/>
      </c>
      <c r="P20" s="46" t="str">
        <f>'Inputs (2)'!K5</f>
        <v/>
      </c>
      <c r="Q20" s="46" t="str">
        <f>'Inputs (2)'!L5</f>
        <v/>
      </c>
      <c r="R20" s="12" t="str">
        <f>'Inputs (2)'!M5</f>
        <v/>
      </c>
      <c r="S20" s="46" t="str">
        <f>'Inputs (2)'!N5</f>
        <v/>
      </c>
      <c r="T20" s="46" t="str">
        <f>'Inputs (2)'!O5</f>
        <v/>
      </c>
      <c r="U20" s="46" t="str">
        <f>'Inputs (2)'!P5</f>
        <v/>
      </c>
      <c r="V20" s="46" t="str">
        <f>'Inputs (2)'!Q5</f>
        <v/>
      </c>
      <c r="W20" s="12" t="str">
        <f>'Inputs (2)'!R5</f>
        <v/>
      </c>
      <c r="X20" s="46" t="str">
        <f>'Inputs (2)'!S5</f>
        <v/>
      </c>
      <c r="Y20" s="46" t="str">
        <f>'Inputs (2)'!T5</f>
        <v/>
      </c>
      <c r="Z20" s="46" t="str">
        <f>'Inputs (2)'!U5</f>
        <v/>
      </c>
      <c r="AA20" s="46" t="str">
        <f>'Inputs (2)'!V5</f>
        <v/>
      </c>
      <c r="AB20" s="12" t="str">
        <f>'Inputs (2)'!W5</f>
        <v/>
      </c>
      <c r="AC20" s="46" t="str">
        <f>'Inputs (2)'!X5</f>
        <v/>
      </c>
      <c r="AD20" s="46" t="str">
        <f>'Inputs (2)'!Y5</f>
        <v/>
      </c>
      <c r="AE20" s="46" t="str">
        <f>'Inputs (2)'!Z5</f>
        <v/>
      </c>
      <c r="AF20" s="46" t="str">
        <f>'Inputs (2)'!AA5</f>
        <v/>
      </c>
      <c r="AG20" s="12" t="str">
        <f>'Inputs (2)'!AB5</f>
        <v/>
      </c>
      <c r="AH20" s="12" t="str">
        <f>'Inputs (2)'!AC5</f>
        <v/>
      </c>
      <c r="AI20" s="12" t="str">
        <f>'Inputs (2)'!AD5</f>
        <v/>
      </c>
      <c r="AJ20" s="12" t="e">
        <f>-(1-AJ21)*AJ15</f>
        <v>#VALUE!</v>
      </c>
      <c r="AK20" s="12" t="e">
        <f>-(1-AK21)*AK15</f>
        <v>#VALUE!</v>
      </c>
      <c r="AL20" s="12" t="e">
        <f>SUM(AH20:AK20)</f>
        <v>#VALUE!</v>
      </c>
      <c r="AM20" s="12" t="e">
        <f>-(1-AM21)*AM15</f>
        <v>#VALUE!</v>
      </c>
      <c r="AN20" s="12" t="e">
        <f>-(1-AN21)*AN15</f>
        <v>#VALUE!</v>
      </c>
      <c r="AO20" s="12" t="e">
        <f>-(1-AO21)*AO15</f>
        <v>#VALUE!</v>
      </c>
      <c r="AP20" s="12" t="e">
        <f>-(1-AP21)*AP15</f>
        <v>#VALUE!</v>
      </c>
      <c r="AQ20" s="12" t="e">
        <f>SUM(AM20:AP20)</f>
        <v>#VALUE!</v>
      </c>
      <c r="AR20" s="12" t="e">
        <f>-(1-AR21)*AR15</f>
        <v>#VALUE!</v>
      </c>
      <c r="AS20" s="12" t="e">
        <f>-(1-AS21)*AS15</f>
        <v>#VALUE!</v>
      </c>
      <c r="AT20" s="12" t="e">
        <f>-(1-AT21)*AT15</f>
        <v>#VALUE!</v>
      </c>
      <c r="AU20" s="12" t="e">
        <f>-(1-AU21)*AU15</f>
        <v>#VALUE!</v>
      </c>
      <c r="AV20" s="12" t="e">
        <f>SUM(AR20:AU20)</f>
        <v>#VALUE!</v>
      </c>
      <c r="AW20" s="12" t="e">
        <f>-(1-AW21)*AW15</f>
        <v>#VALUE!</v>
      </c>
      <c r="AX20" s="12" t="e">
        <f>-(1-AX21)*AX15</f>
        <v>#VALUE!</v>
      </c>
      <c r="AY20" s="12" t="e">
        <f>-(1-AY21)*AY15</f>
        <v>#VALUE!</v>
      </c>
      <c r="AZ20" s="12" t="e">
        <f>-(1-AZ21)*AZ15</f>
        <v>#VALUE!</v>
      </c>
      <c r="BA20" s="12" t="e">
        <f>SUM(AW20:AZ20)</f>
        <v>#VALUE!</v>
      </c>
      <c r="BB20" s="12" t="e">
        <f>-(1-BB21)*BB15</f>
        <v>#VALUE!</v>
      </c>
      <c r="BC20" s="12" t="e">
        <f>-(1-BC21)*BC15</f>
        <v>#VALUE!</v>
      </c>
      <c r="BD20" s="12" t="e">
        <f>-(1-BD21)*BD15</f>
        <v>#VALUE!</v>
      </c>
      <c r="BE20" s="12" t="e">
        <f>-(1-BE21)*BE15</f>
        <v>#VALUE!</v>
      </c>
      <c r="BF20" s="12" t="e">
        <f>SUM(BB20:BE20)</f>
        <v>#VALUE!</v>
      </c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</row>
    <row r="21" spans="1:103" s="3" customFormat="1" hidden="1" outlineLevel="1" x14ac:dyDescent="0.2">
      <c r="C21" s="47" t="s">
        <v>89</v>
      </c>
      <c r="D21" s="48"/>
      <c r="E21" s="48"/>
      <c r="F21" s="48"/>
      <c r="G21" s="48"/>
      <c r="H21" s="48"/>
      <c r="I21" s="48" t="str">
        <f t="shared" ref="I21:AE21" si="10">IFERROR((I15+I20)/I$15,"")</f>
        <v/>
      </c>
      <c r="J21" s="48" t="str">
        <f t="shared" si="10"/>
        <v/>
      </c>
      <c r="K21" s="48" t="str">
        <f t="shared" si="10"/>
        <v/>
      </c>
      <c r="L21" s="48" t="str">
        <f t="shared" si="10"/>
        <v/>
      </c>
      <c r="M21" s="48" t="str">
        <f t="shared" si="10"/>
        <v/>
      </c>
      <c r="N21" s="48" t="str">
        <f t="shared" si="10"/>
        <v/>
      </c>
      <c r="O21" s="48" t="str">
        <f t="shared" si="10"/>
        <v/>
      </c>
      <c r="P21" s="48" t="str">
        <f t="shared" si="10"/>
        <v/>
      </c>
      <c r="Q21" s="48" t="str">
        <f t="shared" si="10"/>
        <v/>
      </c>
      <c r="R21" s="48" t="str">
        <f t="shared" si="10"/>
        <v/>
      </c>
      <c r="S21" s="48" t="str">
        <f t="shared" si="10"/>
        <v/>
      </c>
      <c r="T21" s="48" t="str">
        <f t="shared" si="10"/>
        <v/>
      </c>
      <c r="U21" s="48" t="str">
        <f t="shared" si="10"/>
        <v/>
      </c>
      <c r="V21" s="48" t="str">
        <f t="shared" si="10"/>
        <v/>
      </c>
      <c r="W21" s="48" t="str">
        <f t="shared" si="10"/>
        <v/>
      </c>
      <c r="X21" s="48" t="str">
        <f t="shared" si="10"/>
        <v/>
      </c>
      <c r="Y21" s="48" t="str">
        <f t="shared" si="10"/>
        <v/>
      </c>
      <c r="Z21" s="48" t="str">
        <f t="shared" si="10"/>
        <v/>
      </c>
      <c r="AA21" s="48" t="str">
        <f t="shared" si="10"/>
        <v/>
      </c>
      <c r="AB21" s="48" t="str">
        <f t="shared" si="10"/>
        <v/>
      </c>
      <c r="AC21" s="48" t="str">
        <f t="shared" si="10"/>
        <v/>
      </c>
      <c r="AD21" s="48" t="str">
        <f t="shared" si="10"/>
        <v/>
      </c>
      <c r="AE21" s="48" t="str">
        <f t="shared" si="10"/>
        <v/>
      </c>
      <c r="AF21" s="41"/>
      <c r="AG21" s="48" t="str">
        <f>IFERROR((AG15+AG20)/AG$15,"")</f>
        <v/>
      </c>
      <c r="AH21" s="49"/>
      <c r="AI21" s="49"/>
      <c r="AJ21" s="49" t="str">
        <f>Control!$B$19</f>
        <v/>
      </c>
      <c r="AK21" s="49" t="str">
        <f>Control!$B$19</f>
        <v/>
      </c>
      <c r="AL21" s="48" t="str">
        <f>IFERROR((AL15+AL20)/AL$15,"")</f>
        <v/>
      </c>
      <c r="AM21" s="49" t="str">
        <f>Control!$C$19</f>
        <v/>
      </c>
      <c r="AN21" s="49" t="str">
        <f>Control!$C$19</f>
        <v/>
      </c>
      <c r="AO21" s="49" t="str">
        <f>Control!$C$19</f>
        <v/>
      </c>
      <c r="AP21" s="49" t="str">
        <f>Control!$C$19</f>
        <v/>
      </c>
      <c r="AQ21" s="48" t="str">
        <f>IFERROR((AQ15+AQ20)/AQ$15,"")</f>
        <v/>
      </c>
      <c r="AR21" s="49" t="str">
        <f>Control!$D$19</f>
        <v/>
      </c>
      <c r="AS21" s="49" t="str">
        <f>Control!$D$19</f>
        <v/>
      </c>
      <c r="AT21" s="49" t="str">
        <f>Control!$D$19</f>
        <v/>
      </c>
      <c r="AU21" s="49" t="str">
        <f>Control!$D$19</f>
        <v/>
      </c>
      <c r="AV21" s="48" t="str">
        <f>IFERROR((AV15+AV20)/AV$15,"")</f>
        <v/>
      </c>
      <c r="AW21" s="49" t="str">
        <f>Control!$E$19</f>
        <v/>
      </c>
      <c r="AX21" s="49" t="str">
        <f>Control!$E$19</f>
        <v/>
      </c>
      <c r="AY21" s="49" t="str">
        <f>Control!$E$19</f>
        <v/>
      </c>
      <c r="AZ21" s="49" t="str">
        <f>Control!$E$19</f>
        <v/>
      </c>
      <c r="BA21" s="48" t="str">
        <f>IFERROR((BA15+BA20)/BA$15,"")</f>
        <v/>
      </c>
      <c r="BB21" s="49" t="str">
        <f>Control!$F$19</f>
        <v/>
      </c>
      <c r="BC21" s="49" t="str">
        <f>Control!$F$19</f>
        <v/>
      </c>
      <c r="BD21" s="49" t="str">
        <f>Control!$F$19</f>
        <v/>
      </c>
      <c r="BE21" s="49" t="str">
        <f>Control!$F$19</f>
        <v/>
      </c>
      <c r="BF21" s="48" t="str">
        <f>IFERROR((BF15+BF20)/BF$15,"")</f>
        <v/>
      </c>
      <c r="BG21" s="49"/>
      <c r="BH21" s="49"/>
      <c r="BI21" s="49"/>
      <c r="BJ21" s="49"/>
      <c r="BK21" s="48"/>
      <c r="BL21" s="49"/>
      <c r="BM21" s="49"/>
      <c r="BN21" s="49"/>
      <c r="BO21" s="49"/>
      <c r="BP21" s="48"/>
      <c r="BQ21" s="49"/>
      <c r="BR21" s="49"/>
      <c r="BS21" s="49"/>
      <c r="BT21" s="49"/>
      <c r="BU21" s="48"/>
      <c r="BV21" s="49"/>
      <c r="BW21" s="49"/>
      <c r="BX21" s="49"/>
      <c r="BY21" s="49"/>
      <c r="BZ21" s="48"/>
      <c r="CA21" s="49"/>
      <c r="CB21" s="49"/>
      <c r="CC21" s="49"/>
      <c r="CD21" s="49"/>
      <c r="CE21" s="48"/>
      <c r="CF21" s="49"/>
      <c r="CG21" s="49"/>
      <c r="CH21" s="49"/>
      <c r="CI21" s="49"/>
      <c r="CJ21" s="48"/>
      <c r="CK21" s="49"/>
      <c r="CL21" s="49"/>
      <c r="CM21" s="49"/>
      <c r="CN21" s="49"/>
      <c r="CO21" s="48"/>
      <c r="CP21" s="49"/>
      <c r="CQ21" s="49"/>
      <c r="CR21" s="49"/>
      <c r="CS21" s="49"/>
      <c r="CT21" s="48"/>
      <c r="CU21" s="49"/>
      <c r="CV21" s="49"/>
      <c r="CW21" s="49"/>
      <c r="CX21" s="49"/>
      <c r="CY21" s="48"/>
    </row>
    <row r="22" spans="1:103" hidden="1" outlineLevel="1" x14ac:dyDescent="0.2"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</row>
    <row r="23" spans="1:103" hidden="1" outlineLevel="1" x14ac:dyDescent="0.2"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</row>
    <row r="24" spans="1:103" collapsed="1" x14ac:dyDescent="0.2">
      <c r="C24" s="13" t="s">
        <v>38</v>
      </c>
      <c r="D24" s="46"/>
      <c r="E24" s="46"/>
      <c r="F24" s="46"/>
      <c r="G24" s="46"/>
      <c r="H24" s="12"/>
      <c r="I24" s="46" t="str">
        <f>'Inputs (2)'!D6</f>
        <v/>
      </c>
      <c r="J24" s="46" t="str">
        <f>'Inputs (2)'!E6</f>
        <v/>
      </c>
      <c r="K24" s="46" t="str">
        <f>'Inputs (2)'!F6</f>
        <v/>
      </c>
      <c r="L24" s="46" t="str">
        <f>'Inputs (2)'!G6</f>
        <v/>
      </c>
      <c r="M24" s="12" t="str">
        <f>'Inputs (2)'!H6</f>
        <v/>
      </c>
      <c r="N24" s="46" t="str">
        <f>'Inputs (2)'!I6</f>
        <v/>
      </c>
      <c r="O24" s="46" t="str">
        <f>'Inputs (2)'!J6</f>
        <v/>
      </c>
      <c r="P24" s="46" t="str">
        <f>'Inputs (2)'!K6</f>
        <v/>
      </c>
      <c r="Q24" s="46" t="str">
        <f>'Inputs (2)'!L6</f>
        <v/>
      </c>
      <c r="R24" s="12" t="str">
        <f>'Inputs (2)'!M6</f>
        <v/>
      </c>
      <c r="S24" s="46" t="str">
        <f>'Inputs (2)'!N6</f>
        <v/>
      </c>
      <c r="T24" s="46" t="str">
        <f>'Inputs (2)'!O6</f>
        <v/>
      </c>
      <c r="U24" s="46" t="str">
        <f>'Inputs (2)'!P6</f>
        <v/>
      </c>
      <c r="V24" s="46" t="str">
        <f>'Inputs (2)'!Q6</f>
        <v/>
      </c>
      <c r="W24" s="12" t="str">
        <f>'Inputs (2)'!R6</f>
        <v/>
      </c>
      <c r="X24" s="46" t="str">
        <f>'Inputs (2)'!S6</f>
        <v/>
      </c>
      <c r="Y24" s="46" t="str">
        <f>'Inputs (2)'!T6</f>
        <v/>
      </c>
      <c r="Z24" s="46" t="str">
        <f>'Inputs (2)'!U6</f>
        <v/>
      </c>
      <c r="AA24" s="46" t="str">
        <f>'Inputs (2)'!V6</f>
        <v/>
      </c>
      <c r="AB24" s="12" t="str">
        <f>'Inputs (2)'!W6</f>
        <v/>
      </c>
      <c r="AC24" s="46" t="str">
        <f>'Inputs (2)'!X6</f>
        <v/>
      </c>
      <c r="AD24" s="46" t="str">
        <f>'Inputs (2)'!Y6</f>
        <v/>
      </c>
      <c r="AE24" s="46" t="str">
        <f>'Inputs (2)'!Z6</f>
        <v/>
      </c>
      <c r="AF24" s="46" t="str">
        <f>'Inputs (2)'!AA6</f>
        <v/>
      </c>
      <c r="AG24" s="12" t="str">
        <f>'Inputs (2)'!AB6</f>
        <v/>
      </c>
      <c r="AH24" s="12" t="str">
        <f>'Inputs (2)'!AC6</f>
        <v/>
      </c>
      <c r="AI24" s="12" t="str">
        <f>'Inputs (2)'!AD6</f>
        <v/>
      </c>
      <c r="AJ24" s="12" t="e">
        <f>-AJ15*AJ25</f>
        <v>#VALUE!</v>
      </c>
      <c r="AK24" s="12" t="e">
        <f>-AK15*AK25</f>
        <v>#VALUE!</v>
      </c>
      <c r="AL24" s="12" t="e">
        <f>SUM(AH24:AK24)</f>
        <v>#VALUE!</v>
      </c>
      <c r="AM24" s="12" t="e">
        <f>-AM15*AM25</f>
        <v>#VALUE!</v>
      </c>
      <c r="AN24" s="12" t="e">
        <f>-AN15*AN25</f>
        <v>#VALUE!</v>
      </c>
      <c r="AO24" s="12" t="e">
        <f>-AO15*AO25</f>
        <v>#VALUE!</v>
      </c>
      <c r="AP24" s="12" t="e">
        <f>-AP15*AP25</f>
        <v>#VALUE!</v>
      </c>
      <c r="AQ24" s="12" t="e">
        <f>SUM(AM24:AP24)</f>
        <v>#VALUE!</v>
      </c>
      <c r="AR24" s="12" t="e">
        <f>-AR15*AR25</f>
        <v>#VALUE!</v>
      </c>
      <c r="AS24" s="12" t="e">
        <f>-AS15*AS25</f>
        <v>#VALUE!</v>
      </c>
      <c r="AT24" s="12" t="e">
        <f>-AT15*AT25</f>
        <v>#VALUE!</v>
      </c>
      <c r="AU24" s="12" t="e">
        <f>-AU15*AU25</f>
        <v>#VALUE!</v>
      </c>
      <c r="AV24" s="12" t="e">
        <f>SUM(AR24:AU24)</f>
        <v>#VALUE!</v>
      </c>
      <c r="AW24" s="12" t="e">
        <f>-AW15*AW25</f>
        <v>#VALUE!</v>
      </c>
      <c r="AX24" s="12" t="e">
        <f>-AX15*AX25</f>
        <v>#VALUE!</v>
      </c>
      <c r="AY24" s="12" t="e">
        <f>-AY15*AY25</f>
        <v>#VALUE!</v>
      </c>
      <c r="AZ24" s="12" t="e">
        <f>-AZ15*AZ25</f>
        <v>#VALUE!</v>
      </c>
      <c r="BA24" s="12" t="e">
        <f>SUM(AW24:AZ24)</f>
        <v>#VALUE!</v>
      </c>
      <c r="BB24" s="12" t="e">
        <f>-BB15*BB25</f>
        <v>#VALUE!</v>
      </c>
      <c r="BC24" s="12" t="e">
        <f>-BC15*BC25</f>
        <v>#VALUE!</v>
      </c>
      <c r="BD24" s="12" t="e">
        <f>-BD15*BD25</f>
        <v>#VALUE!</v>
      </c>
      <c r="BE24" s="12" t="e">
        <f>-BE15*BE25</f>
        <v>#VALUE!</v>
      </c>
      <c r="BF24" s="12" t="e">
        <f>SUM(BB24:BE24)</f>
        <v>#VALUE!</v>
      </c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</row>
    <row r="25" spans="1:103" hidden="1" outlineLevel="1" x14ac:dyDescent="0.2">
      <c r="C25" s="38" t="s">
        <v>90</v>
      </c>
      <c r="D25" s="51"/>
      <c r="E25" s="51"/>
      <c r="F25" s="51"/>
      <c r="G25" s="51"/>
      <c r="H25" s="51"/>
      <c r="I25" s="51" t="str">
        <f t="shared" ref="I25:AE25" si="11">IFERROR(-(I24/I$15),"")</f>
        <v/>
      </c>
      <c r="J25" s="51" t="str">
        <f t="shared" si="11"/>
        <v/>
      </c>
      <c r="K25" s="51" t="str">
        <f t="shared" si="11"/>
        <v/>
      </c>
      <c r="L25" s="51" t="str">
        <f t="shared" si="11"/>
        <v/>
      </c>
      <c r="M25" s="51" t="str">
        <f t="shared" si="11"/>
        <v/>
      </c>
      <c r="N25" s="51" t="str">
        <f t="shared" si="11"/>
        <v/>
      </c>
      <c r="O25" s="51" t="str">
        <f t="shared" si="11"/>
        <v/>
      </c>
      <c r="P25" s="51" t="str">
        <f t="shared" si="11"/>
        <v/>
      </c>
      <c r="Q25" s="51" t="str">
        <f t="shared" si="11"/>
        <v/>
      </c>
      <c r="R25" s="51" t="str">
        <f t="shared" si="11"/>
        <v/>
      </c>
      <c r="S25" s="51" t="str">
        <f t="shared" si="11"/>
        <v/>
      </c>
      <c r="T25" s="51" t="str">
        <f t="shared" si="11"/>
        <v/>
      </c>
      <c r="U25" s="51" t="str">
        <f t="shared" si="11"/>
        <v/>
      </c>
      <c r="V25" s="51" t="str">
        <f t="shared" si="11"/>
        <v/>
      </c>
      <c r="W25" s="51" t="str">
        <f t="shared" si="11"/>
        <v/>
      </c>
      <c r="X25" s="51" t="str">
        <f t="shared" si="11"/>
        <v/>
      </c>
      <c r="Y25" s="51" t="str">
        <f t="shared" si="11"/>
        <v/>
      </c>
      <c r="Z25" s="51" t="str">
        <f t="shared" si="11"/>
        <v/>
      </c>
      <c r="AA25" s="51" t="str">
        <f t="shared" si="11"/>
        <v/>
      </c>
      <c r="AB25" s="51" t="str">
        <f t="shared" si="11"/>
        <v/>
      </c>
      <c r="AC25" s="51" t="str">
        <f t="shared" si="11"/>
        <v/>
      </c>
      <c r="AD25" s="51" t="str">
        <f t="shared" si="11"/>
        <v/>
      </c>
      <c r="AE25" s="51" t="str">
        <f t="shared" si="11"/>
        <v/>
      </c>
      <c r="AF25" s="41"/>
      <c r="AG25" s="51" t="str">
        <f>IFERROR(-(AG24/AG$15),"")</f>
        <v/>
      </c>
      <c r="AH25" s="52"/>
      <c r="AI25" s="52"/>
      <c r="AJ25" s="52" t="str">
        <f>Control!$B$20</f>
        <v/>
      </c>
      <c r="AK25" s="52" t="str">
        <f>Control!$B$20</f>
        <v/>
      </c>
      <c r="AL25" s="51" t="str">
        <f>IFERROR(-(AL24/AL$15),"")</f>
        <v/>
      </c>
      <c r="AM25" s="52" t="str">
        <f>Control!$C$20</f>
        <v/>
      </c>
      <c r="AN25" s="52" t="str">
        <f>Control!$C$20</f>
        <v/>
      </c>
      <c r="AO25" s="52" t="str">
        <f>Control!$C$20</f>
        <v/>
      </c>
      <c r="AP25" s="52" t="str">
        <f>Control!$C$20</f>
        <v/>
      </c>
      <c r="AQ25" s="51" t="str">
        <f>IFERROR(-(AQ24/AQ$15),"")</f>
        <v/>
      </c>
      <c r="AR25" s="52" t="str">
        <f>Control!$D$20</f>
        <v/>
      </c>
      <c r="AS25" s="52" t="str">
        <f>Control!$D$20</f>
        <v/>
      </c>
      <c r="AT25" s="52" t="str">
        <f>Control!$D$20</f>
        <v/>
      </c>
      <c r="AU25" s="52" t="str">
        <f>Control!$D$20</f>
        <v/>
      </c>
      <c r="AV25" s="51" t="str">
        <f>IFERROR(-(AV24/AV$15),"")</f>
        <v/>
      </c>
      <c r="AW25" s="52" t="str">
        <f>Control!$E$20</f>
        <v/>
      </c>
      <c r="AX25" s="52" t="str">
        <f>Control!$E$20</f>
        <v/>
      </c>
      <c r="AY25" s="52" t="str">
        <f>Control!$E$20</f>
        <v/>
      </c>
      <c r="AZ25" s="52" t="str">
        <f>Control!$E$20</f>
        <v/>
      </c>
      <c r="BA25" s="51" t="str">
        <f>IFERROR(-(BA24/BA$15),"")</f>
        <v/>
      </c>
      <c r="BB25" s="52" t="str">
        <f>Control!$F$20</f>
        <v/>
      </c>
      <c r="BC25" s="52" t="str">
        <f>Control!$F$20</f>
        <v/>
      </c>
      <c r="BD25" s="52" t="str">
        <f>Control!$F$20</f>
        <v/>
      </c>
      <c r="BE25" s="52" t="str">
        <f>Control!$F$20</f>
        <v/>
      </c>
      <c r="BF25" s="51" t="str">
        <f>IFERROR(-(BF24/BF$15),"")</f>
        <v/>
      </c>
      <c r="BG25" s="52"/>
      <c r="BH25" s="52"/>
      <c r="BI25" s="52"/>
      <c r="BJ25" s="52"/>
      <c r="BK25" s="51"/>
      <c r="BL25" s="52"/>
      <c r="BM25" s="52"/>
      <c r="BN25" s="52"/>
      <c r="BO25" s="52"/>
      <c r="BP25" s="51"/>
      <c r="BQ25" s="52"/>
      <c r="BR25" s="52"/>
      <c r="BS25" s="52"/>
      <c r="BT25" s="52"/>
      <c r="BU25" s="51"/>
      <c r="BV25" s="52"/>
      <c r="BW25" s="52"/>
      <c r="BX25" s="52"/>
      <c r="BY25" s="52"/>
      <c r="BZ25" s="51"/>
      <c r="CA25" s="52"/>
      <c r="CB25" s="52"/>
      <c r="CC25" s="52"/>
      <c r="CD25" s="52"/>
      <c r="CE25" s="51"/>
      <c r="CF25" s="52"/>
      <c r="CG25" s="52"/>
      <c r="CH25" s="52"/>
      <c r="CI25" s="52"/>
      <c r="CJ25" s="51"/>
      <c r="CK25" s="52"/>
      <c r="CL25" s="52"/>
      <c r="CM25" s="52"/>
      <c r="CN25" s="52"/>
      <c r="CO25" s="51"/>
      <c r="CP25" s="52"/>
      <c r="CQ25" s="52"/>
      <c r="CR25" s="52"/>
      <c r="CS25" s="52"/>
      <c r="CT25" s="51"/>
      <c r="CU25" s="52"/>
      <c r="CV25" s="52"/>
      <c r="CW25" s="52"/>
      <c r="CX25" s="52"/>
      <c r="CY25" s="51"/>
    </row>
    <row r="26" spans="1:103" hidden="1" outlineLevel="1" x14ac:dyDescent="0.2"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</row>
    <row r="27" spans="1:103" hidden="1" outlineLevel="1" x14ac:dyDescent="0.2">
      <c r="C27" s="50" t="s">
        <v>91</v>
      </c>
      <c r="D27" s="11"/>
      <c r="E27" s="11"/>
      <c r="F27" s="11"/>
      <c r="G27" s="11"/>
      <c r="H27" s="50"/>
      <c r="I27" s="11"/>
      <c r="J27" s="11"/>
      <c r="K27" s="11"/>
      <c r="L27" s="11"/>
      <c r="M27" s="50"/>
      <c r="N27" s="11"/>
      <c r="O27" s="11"/>
      <c r="P27" s="11"/>
      <c r="Q27" s="11"/>
      <c r="R27" s="50"/>
      <c r="S27" s="11"/>
      <c r="T27" s="11"/>
      <c r="U27" s="11"/>
      <c r="V27" s="11"/>
      <c r="W27" s="50"/>
      <c r="X27" s="11"/>
      <c r="Y27" s="11"/>
      <c r="Z27" s="11"/>
      <c r="AA27" s="11"/>
      <c r="AB27" s="50"/>
      <c r="AC27" s="11"/>
      <c r="AD27" s="11"/>
      <c r="AE27" s="11"/>
      <c r="AF27" s="11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</row>
    <row r="28" spans="1:103" hidden="1" outlineLevel="1" x14ac:dyDescent="0.2">
      <c r="C28" s="50" t="s">
        <v>92</v>
      </c>
      <c r="D28" s="11"/>
      <c r="E28" s="11"/>
      <c r="F28" s="11"/>
      <c r="G28" s="11"/>
      <c r="H28" s="50"/>
      <c r="I28" s="11"/>
      <c r="J28" s="11"/>
      <c r="K28" s="11"/>
      <c r="L28" s="11"/>
      <c r="M28" s="50"/>
      <c r="N28" s="11"/>
      <c r="O28" s="11"/>
      <c r="P28" s="11"/>
      <c r="Q28" s="11"/>
      <c r="R28" s="50"/>
      <c r="S28" s="11"/>
      <c r="T28" s="11"/>
      <c r="U28" s="11"/>
      <c r="V28" s="11"/>
      <c r="W28" s="50"/>
      <c r="X28" s="11"/>
      <c r="Y28" s="11"/>
      <c r="Z28" s="11"/>
      <c r="AA28" s="11"/>
      <c r="AB28" s="50"/>
      <c r="AC28" s="11"/>
      <c r="AD28" s="11"/>
      <c r="AE28" s="11"/>
      <c r="AF28" s="11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</row>
    <row r="29" spans="1:103" hidden="1" outlineLevel="1" x14ac:dyDescent="0.2">
      <c r="C29" s="50" t="s">
        <v>93</v>
      </c>
      <c r="D29" s="11"/>
      <c r="E29" s="11"/>
      <c r="F29" s="11"/>
      <c r="G29" s="11"/>
      <c r="H29" s="50"/>
      <c r="I29" s="11"/>
      <c r="J29" s="11"/>
      <c r="K29" s="11"/>
      <c r="L29" s="11"/>
      <c r="M29" s="50"/>
      <c r="N29" s="11"/>
      <c r="O29" s="11"/>
      <c r="P29" s="11"/>
      <c r="Q29" s="11"/>
      <c r="R29" s="50"/>
      <c r="S29" s="11"/>
      <c r="T29" s="11"/>
      <c r="U29" s="11"/>
      <c r="V29" s="11"/>
      <c r="W29" s="50"/>
      <c r="X29" s="11"/>
      <c r="Y29" s="11"/>
      <c r="Z29" s="11"/>
      <c r="AA29" s="11"/>
      <c r="AB29" s="50"/>
      <c r="AC29" s="11"/>
      <c r="AD29" s="11"/>
      <c r="AE29" s="11"/>
      <c r="AF29" s="11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</row>
    <row r="30" spans="1:103" hidden="1" outlineLevel="1" x14ac:dyDescent="0.2"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</row>
    <row r="31" spans="1:103" hidden="1" outlineLevel="1" x14ac:dyDescent="0.2">
      <c r="C31" s="50" t="s">
        <v>94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</row>
    <row r="32" spans="1:103" hidden="1" outlineLevel="1" x14ac:dyDescent="0.2">
      <c r="C32" s="50" t="s">
        <v>95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</row>
    <row r="33" spans="1:103" hidden="1" outlineLevel="1" x14ac:dyDescent="0.2">
      <c r="C33" s="50" t="s">
        <v>96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</row>
    <row r="34" spans="1:103" hidden="1" outlineLevel="1" x14ac:dyDescent="0.2"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</row>
    <row r="35" spans="1:103" s="32" customFormat="1" collapsed="1" x14ac:dyDescent="0.2">
      <c r="A35" s="30"/>
      <c r="B35" s="3"/>
      <c r="C35" s="33" t="s">
        <v>97</v>
      </c>
      <c r="D35" s="35"/>
      <c r="E35" s="35"/>
      <c r="F35" s="35"/>
      <c r="G35" s="35"/>
      <c r="H35" s="35"/>
      <c r="I35" s="35">
        <f>SUM(I15,I20,I24)</f>
        <v>0</v>
      </c>
      <c r="J35" s="35">
        <f>SUM(J15,J20,J24)</f>
        <v>0</v>
      </c>
      <c r="K35" s="35">
        <f>SUM(K15,K20,K24)</f>
        <v>0</v>
      </c>
      <c r="L35" s="35">
        <f>SUM(L15,L20,L24)</f>
        <v>0</v>
      </c>
      <c r="M35" s="35">
        <f>SUM(I35:L35)</f>
        <v>0</v>
      </c>
      <c r="N35" s="35">
        <f>SUM(N15,N20,N24)</f>
        <v>0</v>
      </c>
      <c r="O35" s="35">
        <f>SUM(O15,O20,O24)</f>
        <v>0</v>
      </c>
      <c r="P35" s="35">
        <f>SUM(P15,P20,P24)</f>
        <v>0</v>
      </c>
      <c r="Q35" s="35">
        <f>SUM(Q15,Q20,Q24)</f>
        <v>0</v>
      </c>
      <c r="R35" s="35">
        <f>SUM(N35:Q35)</f>
        <v>0</v>
      </c>
      <c r="S35" s="35">
        <f>SUM(S15,S20,S24)</f>
        <v>0</v>
      </c>
      <c r="T35" s="35">
        <f>SUM(T15,T20,T24)</f>
        <v>0</v>
      </c>
      <c r="U35" s="35">
        <f>SUM(U15,U20,U24)</f>
        <v>0</v>
      </c>
      <c r="V35" s="35">
        <f>SUM(V15,V20,V24)</f>
        <v>0</v>
      </c>
      <c r="W35" s="35">
        <f>SUM(S35:V35)</f>
        <v>0</v>
      </c>
      <c r="X35" s="35">
        <f>SUM(X15,X20,X24)</f>
        <v>0</v>
      </c>
      <c r="Y35" s="35">
        <f>SUM(Y15,Y20,Y24)</f>
        <v>0</v>
      </c>
      <c r="Z35" s="35">
        <f>SUM(Z15,Z20,Z24)</f>
        <v>0</v>
      </c>
      <c r="AA35" s="35">
        <f>SUM(AA15,AA20,AA24)</f>
        <v>0</v>
      </c>
      <c r="AB35" s="35">
        <f>SUM(X35:AA35)</f>
        <v>0</v>
      </c>
      <c r="AC35" s="35">
        <f>SUM(AC15,AC20,AC24)</f>
        <v>0</v>
      </c>
      <c r="AD35" s="35">
        <f>SUM(AD15,AD20,AD24)</f>
        <v>0</v>
      </c>
      <c r="AE35" s="35">
        <f>SUM(AE15,AE20,AE24)</f>
        <v>0</v>
      </c>
      <c r="AF35" s="35">
        <f>SUM(AF15,AF20,AF24)</f>
        <v>0</v>
      </c>
      <c r="AG35" s="35">
        <f>SUM(AC35:AF35)</f>
        <v>0</v>
      </c>
      <c r="AH35" s="35">
        <f>SUM(AH15,AH20,AH24)</f>
        <v>0</v>
      </c>
      <c r="AI35" s="35">
        <f>SUM(AI15,AI20,AI24)</f>
        <v>0</v>
      </c>
      <c r="AJ35" s="35" t="e">
        <f>SUM(AJ15,AJ20,AJ24)</f>
        <v>#VALUE!</v>
      </c>
      <c r="AK35" s="35" t="e">
        <f>SUM(AK15,AK20,AK24)</f>
        <v>#VALUE!</v>
      </c>
      <c r="AL35" s="35" t="e">
        <f>SUM(AH35:AK35)</f>
        <v>#VALUE!</v>
      </c>
      <c r="AM35" s="35" t="e">
        <f>SUM(AM15,AM20,AM24)</f>
        <v>#VALUE!</v>
      </c>
      <c r="AN35" s="35" t="e">
        <f>SUM(AN15,AN20,AN24)</f>
        <v>#VALUE!</v>
      </c>
      <c r="AO35" s="35" t="e">
        <f>SUM(AO15,AO20,AO24)</f>
        <v>#VALUE!</v>
      </c>
      <c r="AP35" s="35" t="e">
        <f>SUM(AP15,AP20,AP24)</f>
        <v>#VALUE!</v>
      </c>
      <c r="AQ35" s="35" t="e">
        <f>SUM(AM35:AP35)</f>
        <v>#VALUE!</v>
      </c>
      <c r="AR35" s="35" t="e">
        <f>SUM(AR15,AR20,AR24)</f>
        <v>#VALUE!</v>
      </c>
      <c r="AS35" s="35" t="e">
        <f>SUM(AS15,AS20,AS24)</f>
        <v>#VALUE!</v>
      </c>
      <c r="AT35" s="35" t="e">
        <f>SUM(AT15,AT20,AT24)</f>
        <v>#VALUE!</v>
      </c>
      <c r="AU35" s="35" t="e">
        <f>SUM(AU15,AU20,AU24)</f>
        <v>#VALUE!</v>
      </c>
      <c r="AV35" s="35" t="e">
        <f>SUM(AR35:AU35)</f>
        <v>#VALUE!</v>
      </c>
      <c r="AW35" s="35" t="e">
        <f>SUM(AW15,AW20,AW24)</f>
        <v>#VALUE!</v>
      </c>
      <c r="AX35" s="35" t="e">
        <f>SUM(AX15,AX20,AX24)</f>
        <v>#VALUE!</v>
      </c>
      <c r="AY35" s="35" t="e">
        <f>SUM(AY15,AY20,AY24)</f>
        <v>#VALUE!</v>
      </c>
      <c r="AZ35" s="35" t="e">
        <f>SUM(AZ15,AZ20,AZ24)</f>
        <v>#VALUE!</v>
      </c>
      <c r="BA35" s="35" t="e">
        <f>SUM(AW35:AZ35)</f>
        <v>#VALUE!</v>
      </c>
      <c r="BB35" s="35" t="e">
        <f>SUM(BB15,BB20,BB24)</f>
        <v>#VALUE!</v>
      </c>
      <c r="BC35" s="35" t="e">
        <f>SUM(BC15,BC20,BC24)</f>
        <v>#VALUE!</v>
      </c>
      <c r="BD35" s="35" t="e">
        <f>SUM(BD15,BD20,BD24)</f>
        <v>#VALUE!</v>
      </c>
      <c r="BE35" s="35" t="e">
        <f>SUM(BE15,BE20,BE24)</f>
        <v>#VALUE!</v>
      </c>
      <c r="BF35" s="35" t="e">
        <f>SUM(BB35:BE35)</f>
        <v>#VALUE!</v>
      </c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</row>
    <row r="36" spans="1:103" ht="13.5" customHeight="1" x14ac:dyDescent="0.2">
      <c r="C36" s="13" t="s">
        <v>39</v>
      </c>
      <c r="D36" s="46"/>
      <c r="E36" s="46"/>
      <c r="F36" s="46"/>
      <c r="G36" s="46"/>
      <c r="H36" s="12"/>
      <c r="I36" s="46" t="str">
        <f>'Inputs (2)'!D7</f>
        <v/>
      </c>
      <c r="J36" s="46" t="str">
        <f>'Inputs (2)'!E7</f>
        <v/>
      </c>
      <c r="K36" s="46" t="str">
        <f>'Inputs (2)'!F7</f>
        <v/>
      </c>
      <c r="L36" s="46" t="str">
        <f>'Inputs (2)'!G7</f>
        <v/>
      </c>
      <c r="M36" s="12" t="str">
        <f>'Inputs (2)'!H7</f>
        <v/>
      </c>
      <c r="N36" s="46" t="str">
        <f>'Inputs (2)'!I7</f>
        <v/>
      </c>
      <c r="O36" s="46" t="str">
        <f>'Inputs (2)'!J7</f>
        <v/>
      </c>
      <c r="P36" s="46" t="str">
        <f>'Inputs (2)'!K7</f>
        <v/>
      </c>
      <c r="Q36" s="46" t="str">
        <f>'Inputs (2)'!L7</f>
        <v/>
      </c>
      <c r="R36" s="12" t="str">
        <f>'Inputs (2)'!M7</f>
        <v/>
      </c>
      <c r="S36" s="46" t="str">
        <f>'Inputs (2)'!N7</f>
        <v/>
      </c>
      <c r="T36" s="46" t="str">
        <f>'Inputs (2)'!O7</f>
        <v/>
      </c>
      <c r="U36" s="46" t="str">
        <f>'Inputs (2)'!P7</f>
        <v/>
      </c>
      <c r="V36" s="46" t="str">
        <f>'Inputs (2)'!Q7</f>
        <v/>
      </c>
      <c r="W36" s="12" t="str">
        <f>'Inputs (2)'!R7</f>
        <v/>
      </c>
      <c r="X36" s="46" t="str">
        <f>'Inputs (2)'!S7</f>
        <v/>
      </c>
      <c r="Y36" s="46" t="str">
        <f>'Inputs (2)'!T7</f>
        <v/>
      </c>
      <c r="Z36" s="46" t="str">
        <f>'Inputs (2)'!U7</f>
        <v/>
      </c>
      <c r="AA36" s="46" t="str">
        <f>'Inputs (2)'!V7</f>
        <v/>
      </c>
      <c r="AB36" s="12" t="str">
        <f>'Inputs (2)'!W7</f>
        <v/>
      </c>
      <c r="AC36" s="46" t="str">
        <f>'Inputs (2)'!X7</f>
        <v/>
      </c>
      <c r="AD36" s="46" t="str">
        <f>'Inputs (2)'!Y7</f>
        <v/>
      </c>
      <c r="AE36" s="46" t="str">
        <f>'Inputs (2)'!Z7</f>
        <v/>
      </c>
      <c r="AF36" s="46" t="str">
        <f>'Inputs (2)'!AA7</f>
        <v/>
      </c>
      <c r="AG36" s="12" t="str">
        <f>'Inputs (2)'!AB7</f>
        <v/>
      </c>
      <c r="AH36" s="12" t="str">
        <f>'Inputs (2)'!AC7</f>
        <v/>
      </c>
      <c r="AI36" s="12" t="str">
        <f>'Inputs (2)'!AD7</f>
        <v/>
      </c>
      <c r="AJ36" s="12" t="e">
        <f>-AJ37*AJ15</f>
        <v>#VALUE!</v>
      </c>
      <c r="AK36" s="12" t="e">
        <f>-AK37*AK15</f>
        <v>#VALUE!</v>
      </c>
      <c r="AL36" s="12" t="e">
        <f>SUM(AH36:AK36)</f>
        <v>#VALUE!</v>
      </c>
      <c r="AM36" s="12" t="e">
        <f>-AM37*AM15</f>
        <v>#VALUE!</v>
      </c>
      <c r="AN36" s="12" t="e">
        <f>-AN37*AN15</f>
        <v>#VALUE!</v>
      </c>
      <c r="AO36" s="12" t="e">
        <f>-AO37*AO15</f>
        <v>#VALUE!</v>
      </c>
      <c r="AP36" s="12" t="e">
        <f>-AP37*AP15</f>
        <v>#VALUE!</v>
      </c>
      <c r="AQ36" s="12" t="e">
        <f>SUM(AM36:AP36)</f>
        <v>#VALUE!</v>
      </c>
      <c r="AR36" s="12" t="e">
        <f>-AR37*AR15</f>
        <v>#VALUE!</v>
      </c>
      <c r="AS36" s="12" t="e">
        <f>-AS37*AS15</f>
        <v>#VALUE!</v>
      </c>
      <c r="AT36" s="12" t="e">
        <f>-AT37*AT15</f>
        <v>#VALUE!</v>
      </c>
      <c r="AU36" s="12" t="e">
        <f>-AU37*AU15</f>
        <v>#VALUE!</v>
      </c>
      <c r="AV36" s="12" t="e">
        <f>SUM(AR36:AU36)</f>
        <v>#VALUE!</v>
      </c>
      <c r="AW36" s="12" t="e">
        <f>-AW37*AW15</f>
        <v>#VALUE!</v>
      </c>
      <c r="AX36" s="12" t="e">
        <f>-AX37*AX15</f>
        <v>#VALUE!</v>
      </c>
      <c r="AY36" s="12" t="e">
        <f>-AY37*AY15</f>
        <v>#VALUE!</v>
      </c>
      <c r="AZ36" s="12" t="e">
        <f>-AZ37*AZ15</f>
        <v>#VALUE!</v>
      </c>
      <c r="BA36" s="12" t="e">
        <f>SUM(AW36:AZ36)</f>
        <v>#VALUE!</v>
      </c>
      <c r="BB36" s="12" t="e">
        <f>-BB37*BB15</f>
        <v>#VALUE!</v>
      </c>
      <c r="BC36" s="12" t="e">
        <f>-BC37*BC15</f>
        <v>#VALUE!</v>
      </c>
      <c r="BD36" s="12" t="e">
        <f>-BD37*BD15</f>
        <v>#VALUE!</v>
      </c>
      <c r="BE36" s="12" t="e">
        <f>-BE37*BE15</f>
        <v>#VALUE!</v>
      </c>
      <c r="BF36" s="12" t="e">
        <f>SUM(BB36:BE36)</f>
        <v>#VALUE!</v>
      </c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</row>
    <row r="37" spans="1:103" s="56" customFormat="1" hidden="1" outlineLevel="1" x14ac:dyDescent="0.2">
      <c r="A37" s="53"/>
      <c r="B37" s="53"/>
      <c r="C37" s="54" t="s">
        <v>98</v>
      </c>
      <c r="D37" s="53"/>
      <c r="E37" s="53"/>
      <c r="F37" s="53"/>
      <c r="G37" s="53"/>
      <c r="H37" s="53"/>
      <c r="I37" s="53" t="str">
        <f>IFERROR(-I36/I15,"")</f>
        <v/>
      </c>
      <c r="J37" s="53" t="str">
        <f>IFERROR(-J36/J15,"")</f>
        <v/>
      </c>
      <c r="K37" s="53" t="str">
        <f>IFERROR(-K36/K15,"")</f>
        <v/>
      </c>
      <c r="L37" s="53" t="str">
        <f>IFERROR(-L36/L15,"")</f>
        <v/>
      </c>
      <c r="M37" s="53"/>
      <c r="N37" s="53" t="str">
        <f>IFERROR(-N36/N15,"")</f>
        <v/>
      </c>
      <c r="O37" s="53" t="str">
        <f>IFERROR(-O36/O15,"")</f>
        <v/>
      </c>
      <c r="P37" s="53" t="str">
        <f>IFERROR(-P36/P15,"")</f>
        <v/>
      </c>
      <c r="Q37" s="53" t="str">
        <f>IFERROR(-Q36/Q15,"")</f>
        <v/>
      </c>
      <c r="R37" s="53"/>
      <c r="S37" s="53" t="str">
        <f>IFERROR(-S36/S15,"")</f>
        <v/>
      </c>
      <c r="T37" s="53" t="str">
        <f>IFERROR(-T36/T15,"")</f>
        <v/>
      </c>
      <c r="U37" s="53" t="str">
        <f>IFERROR(-U36/U15,"")</f>
        <v/>
      </c>
      <c r="V37" s="53" t="str">
        <f>IFERROR(-V36/V15,"")</f>
        <v/>
      </c>
      <c r="W37" s="53"/>
      <c r="X37" s="53" t="str">
        <f>IFERROR(-X36/X15,"")</f>
        <v/>
      </c>
      <c r="Y37" s="53" t="str">
        <f>IFERROR(-Y36/Y15,"")</f>
        <v/>
      </c>
      <c r="Z37" s="53" t="str">
        <f>IFERROR(-Z36/Z15,"")</f>
        <v/>
      </c>
      <c r="AA37" s="53" t="str">
        <f>IFERROR(-AA36/AA15,"")</f>
        <v/>
      </c>
      <c r="AB37" s="53"/>
      <c r="AC37" s="53" t="str">
        <f>IFERROR(-AC36/AC15,"")</f>
        <v/>
      </c>
      <c r="AD37" s="53" t="str">
        <f>IFERROR(-AD36/AD15,"")</f>
        <v/>
      </c>
      <c r="AE37" s="53" t="str">
        <f>IFERROR(-AE36/AE15,"")</f>
        <v/>
      </c>
      <c r="AF37" s="55"/>
      <c r="AG37" s="53"/>
      <c r="AH37" s="55"/>
      <c r="AI37" s="55"/>
      <c r="AJ37" s="55" t="str">
        <f>Control!$B$21</f>
        <v/>
      </c>
      <c r="AK37" s="55" t="str">
        <f>Control!$B$21</f>
        <v/>
      </c>
      <c r="AL37" s="53"/>
      <c r="AM37" s="55" t="str">
        <f>Control!$C$21</f>
        <v/>
      </c>
      <c r="AN37" s="55" t="str">
        <f>Control!$C$21</f>
        <v/>
      </c>
      <c r="AO37" s="55" t="str">
        <f>Control!$C$21</f>
        <v/>
      </c>
      <c r="AP37" s="55" t="str">
        <f>Control!$C$21</f>
        <v/>
      </c>
      <c r="AQ37" s="53"/>
      <c r="AR37" s="55" t="str">
        <f>Control!$D$21</f>
        <v/>
      </c>
      <c r="AS37" s="55" t="str">
        <f>Control!$D$21</f>
        <v/>
      </c>
      <c r="AT37" s="55" t="str">
        <f>Control!$D$21</f>
        <v/>
      </c>
      <c r="AU37" s="55" t="str">
        <f>Control!$D$21</f>
        <v/>
      </c>
      <c r="AV37" s="53"/>
      <c r="AW37" s="55" t="str">
        <f>Control!$E$21</f>
        <v/>
      </c>
      <c r="AX37" s="55" t="str">
        <f>Control!$E$21</f>
        <v/>
      </c>
      <c r="AY37" s="55" t="str">
        <f>Control!$E$21</f>
        <v/>
      </c>
      <c r="AZ37" s="55" t="str">
        <f>Control!$E$21</f>
        <v/>
      </c>
      <c r="BA37" s="53"/>
      <c r="BB37" s="55" t="str">
        <f>Control!$F$21</f>
        <v/>
      </c>
      <c r="BC37" s="55" t="str">
        <f>Control!$F$21</f>
        <v/>
      </c>
      <c r="BD37" s="55" t="str">
        <f>Control!$F$21</f>
        <v/>
      </c>
      <c r="BE37" s="55" t="str">
        <f>Control!$F$21</f>
        <v/>
      </c>
      <c r="BF37" s="53"/>
      <c r="BG37" s="55"/>
      <c r="BH37" s="55"/>
      <c r="BI37" s="55"/>
      <c r="BJ37" s="55"/>
      <c r="BK37" s="53"/>
      <c r="BL37" s="55"/>
      <c r="BM37" s="55"/>
      <c r="BN37" s="55"/>
      <c r="BO37" s="55"/>
      <c r="BP37" s="53"/>
      <c r="BQ37" s="55"/>
      <c r="BR37" s="55"/>
      <c r="BS37" s="55"/>
      <c r="BT37" s="55"/>
      <c r="BU37" s="53"/>
      <c r="BV37" s="55"/>
      <c r="BW37" s="55"/>
      <c r="BX37" s="55"/>
      <c r="BY37" s="55"/>
      <c r="BZ37" s="53"/>
      <c r="CA37" s="55"/>
      <c r="CB37" s="55"/>
      <c r="CC37" s="55"/>
      <c r="CD37" s="55"/>
      <c r="CE37" s="53"/>
      <c r="CF37" s="55"/>
      <c r="CG37" s="55"/>
      <c r="CH37" s="55"/>
      <c r="CI37" s="55"/>
      <c r="CJ37" s="53"/>
      <c r="CK37" s="55"/>
      <c r="CL37" s="55"/>
      <c r="CM37" s="55"/>
      <c r="CN37" s="55"/>
      <c r="CO37" s="53"/>
      <c r="CP37" s="55"/>
      <c r="CQ37" s="55"/>
      <c r="CR37" s="55"/>
      <c r="CS37" s="55"/>
      <c r="CT37" s="53"/>
      <c r="CU37" s="55"/>
      <c r="CV37" s="55"/>
      <c r="CW37" s="55"/>
      <c r="CX37" s="55"/>
      <c r="CY37" s="53"/>
    </row>
    <row r="38" spans="1:103" hidden="1" outlineLevel="1" x14ac:dyDescent="0.2">
      <c r="C38" s="50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</row>
    <row r="39" spans="1:103" s="32" customFormat="1" collapsed="1" x14ac:dyDescent="0.2">
      <c r="A39" s="30"/>
      <c r="B39" s="3"/>
      <c r="C39" s="33" t="s">
        <v>99</v>
      </c>
      <c r="D39" s="35"/>
      <c r="E39" s="35"/>
      <c r="F39" s="35"/>
      <c r="G39" s="35"/>
      <c r="H39" s="35"/>
      <c r="I39" s="35">
        <f>SUM(I35,I36)</f>
        <v>0</v>
      </c>
      <c r="J39" s="35">
        <f>SUM(J35,J36)</f>
        <v>0</v>
      </c>
      <c r="K39" s="35">
        <f>SUM(K35,K36)</f>
        <v>0</v>
      </c>
      <c r="L39" s="35">
        <f>SUM(L35,L36)</f>
        <v>0</v>
      </c>
      <c r="M39" s="35">
        <f>SUM(I39:L39)</f>
        <v>0</v>
      </c>
      <c r="N39" s="35">
        <f>SUM(N35,N36)</f>
        <v>0</v>
      </c>
      <c r="O39" s="35">
        <f>SUM(O35,O36)</f>
        <v>0</v>
      </c>
      <c r="P39" s="35">
        <f>SUM(P35,P36)</f>
        <v>0</v>
      </c>
      <c r="Q39" s="35">
        <f>SUM(Q35,Q36)</f>
        <v>0</v>
      </c>
      <c r="R39" s="35">
        <f>SUM(N39:Q39)</f>
        <v>0</v>
      </c>
      <c r="S39" s="35">
        <f>SUM(S35,S36)</f>
        <v>0</v>
      </c>
      <c r="T39" s="35">
        <f>SUM(T35,T36)</f>
        <v>0</v>
      </c>
      <c r="U39" s="35">
        <f>SUM(U35,U36)</f>
        <v>0</v>
      </c>
      <c r="V39" s="35">
        <f>SUM(V35,V36)</f>
        <v>0</v>
      </c>
      <c r="W39" s="35">
        <f>SUM(S39:V39)</f>
        <v>0</v>
      </c>
      <c r="X39" s="35">
        <f>SUM(X35,X36)</f>
        <v>0</v>
      </c>
      <c r="Y39" s="35">
        <f>SUM(Y35,Y36)</f>
        <v>0</v>
      </c>
      <c r="Z39" s="35">
        <f>SUM(Z35,Z36)</f>
        <v>0</v>
      </c>
      <c r="AA39" s="35">
        <f>SUM(AA35,AA36)</f>
        <v>0</v>
      </c>
      <c r="AB39" s="35">
        <f>SUM(X39:AA39)</f>
        <v>0</v>
      </c>
      <c r="AC39" s="35">
        <f>SUM(AC35,AC36)</f>
        <v>0</v>
      </c>
      <c r="AD39" s="35">
        <f>SUM(AD35,AD36)</f>
        <v>0</v>
      </c>
      <c r="AE39" s="35">
        <f>SUM(AE35,AE36)</f>
        <v>0</v>
      </c>
      <c r="AF39" s="35">
        <f>SUM(AF35,AF36)</f>
        <v>0</v>
      </c>
      <c r="AG39" s="35">
        <f>SUM(AC39:AF39)</f>
        <v>0</v>
      </c>
      <c r="AH39" s="35">
        <f t="shared" ref="AH39:BF39" si="12">SUM(AH35,AH36)</f>
        <v>0</v>
      </c>
      <c r="AI39" s="35">
        <f t="shared" si="12"/>
        <v>0</v>
      </c>
      <c r="AJ39" s="35" t="e">
        <f t="shared" si="12"/>
        <v>#VALUE!</v>
      </c>
      <c r="AK39" s="35" t="e">
        <f t="shared" si="12"/>
        <v>#VALUE!</v>
      </c>
      <c r="AL39" s="35" t="e">
        <f t="shared" si="12"/>
        <v>#VALUE!</v>
      </c>
      <c r="AM39" s="35" t="e">
        <f t="shared" si="12"/>
        <v>#VALUE!</v>
      </c>
      <c r="AN39" s="35" t="e">
        <f t="shared" si="12"/>
        <v>#VALUE!</v>
      </c>
      <c r="AO39" s="35" t="e">
        <f t="shared" si="12"/>
        <v>#VALUE!</v>
      </c>
      <c r="AP39" s="35" t="e">
        <f t="shared" si="12"/>
        <v>#VALUE!</v>
      </c>
      <c r="AQ39" s="35" t="e">
        <f t="shared" si="12"/>
        <v>#VALUE!</v>
      </c>
      <c r="AR39" s="35" t="e">
        <f t="shared" si="12"/>
        <v>#VALUE!</v>
      </c>
      <c r="AS39" s="35" t="e">
        <f t="shared" si="12"/>
        <v>#VALUE!</v>
      </c>
      <c r="AT39" s="35" t="e">
        <f t="shared" si="12"/>
        <v>#VALUE!</v>
      </c>
      <c r="AU39" s="35" t="e">
        <f t="shared" si="12"/>
        <v>#VALUE!</v>
      </c>
      <c r="AV39" s="35" t="e">
        <f t="shared" si="12"/>
        <v>#VALUE!</v>
      </c>
      <c r="AW39" s="35" t="e">
        <f t="shared" si="12"/>
        <v>#VALUE!</v>
      </c>
      <c r="AX39" s="35" t="e">
        <f t="shared" si="12"/>
        <v>#VALUE!</v>
      </c>
      <c r="AY39" s="35" t="e">
        <f t="shared" si="12"/>
        <v>#VALUE!</v>
      </c>
      <c r="AZ39" s="35" t="e">
        <f t="shared" si="12"/>
        <v>#VALUE!</v>
      </c>
      <c r="BA39" s="35" t="e">
        <f t="shared" si="12"/>
        <v>#VALUE!</v>
      </c>
      <c r="BB39" s="35" t="e">
        <f t="shared" si="12"/>
        <v>#VALUE!</v>
      </c>
      <c r="BC39" s="35" t="e">
        <f t="shared" si="12"/>
        <v>#VALUE!</v>
      </c>
      <c r="BD39" s="35" t="e">
        <f t="shared" si="12"/>
        <v>#VALUE!</v>
      </c>
      <c r="BE39" s="35" t="e">
        <f t="shared" si="12"/>
        <v>#VALUE!</v>
      </c>
      <c r="BF39" s="35" t="e">
        <f t="shared" si="12"/>
        <v>#VALUE!</v>
      </c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</row>
    <row r="40" spans="1:103" x14ac:dyDescent="0.2">
      <c r="C40" s="14" t="s">
        <v>40</v>
      </c>
      <c r="D40" s="46"/>
      <c r="E40" s="46"/>
      <c r="F40" s="46"/>
      <c r="G40" s="46"/>
      <c r="H40" s="12"/>
      <c r="I40" s="46" t="str">
        <f>'Inputs (2)'!D8</f>
        <v/>
      </c>
      <c r="J40" s="46" t="str">
        <f>'Inputs (2)'!E8</f>
        <v/>
      </c>
      <c r="K40" s="46" t="str">
        <f>'Inputs (2)'!F8</f>
        <v/>
      </c>
      <c r="L40" s="46" t="str">
        <f>'Inputs (2)'!G8</f>
        <v/>
      </c>
      <c r="M40" s="12" t="str">
        <f>'Inputs (2)'!H8</f>
        <v/>
      </c>
      <c r="N40" s="46" t="str">
        <f>'Inputs (2)'!I8</f>
        <v/>
      </c>
      <c r="O40" s="46" t="str">
        <f>'Inputs (2)'!J8</f>
        <v/>
      </c>
      <c r="P40" s="46" t="str">
        <f>'Inputs (2)'!K8</f>
        <v/>
      </c>
      <c r="Q40" s="46" t="str">
        <f>'Inputs (2)'!L8</f>
        <v/>
      </c>
      <c r="R40" s="12" t="str">
        <f>'Inputs (2)'!M8</f>
        <v/>
      </c>
      <c r="S40" s="46" t="str">
        <f>'Inputs (2)'!N8</f>
        <v/>
      </c>
      <c r="T40" s="46" t="str">
        <f>'Inputs (2)'!O8</f>
        <v/>
      </c>
      <c r="U40" s="46" t="str">
        <f>'Inputs (2)'!P8</f>
        <v/>
      </c>
      <c r="V40" s="46" t="str">
        <f>'Inputs (2)'!Q8</f>
        <v/>
      </c>
      <c r="W40" s="12" t="str">
        <f>'Inputs (2)'!R8</f>
        <v/>
      </c>
      <c r="X40" s="46" t="str">
        <f>'Inputs (2)'!S8</f>
        <v/>
      </c>
      <c r="Y40" s="46" t="str">
        <f>'Inputs (2)'!T8</f>
        <v/>
      </c>
      <c r="Z40" s="46" t="str">
        <f>'Inputs (2)'!U8</f>
        <v/>
      </c>
      <c r="AA40" s="46" t="str">
        <f>'Inputs (2)'!V8</f>
        <v/>
      </c>
      <c r="AB40" s="12" t="str">
        <f>'Inputs (2)'!W8</f>
        <v/>
      </c>
      <c r="AC40" s="46" t="str">
        <f>'Inputs (2)'!X8</f>
        <v/>
      </c>
      <c r="AD40" s="46" t="str">
        <f>'Inputs (2)'!Y8</f>
        <v/>
      </c>
      <c r="AE40" s="46" t="str">
        <f>'Inputs (2)'!Z8</f>
        <v/>
      </c>
      <c r="AF40" s="46" t="str">
        <f>'Inputs (2)'!AA8</f>
        <v/>
      </c>
      <c r="AG40" s="12" t="str">
        <f>'Inputs (2)'!AB8</f>
        <v/>
      </c>
      <c r="AH40" s="12" t="str">
        <f>'Inputs (2)'!AC8</f>
        <v/>
      </c>
      <c r="AI40" s="12" t="str">
        <f>'Inputs (2)'!AD8</f>
        <v/>
      </c>
      <c r="AJ40" s="12" t="str">
        <f>IF(Control!$E$9="","",-AI58*Control!$E$9/4)</f>
        <v/>
      </c>
      <c r="AK40" s="12" t="str">
        <f>IF(Control!$E$9="","",-AJ58*Control!$E$9/4)</f>
        <v/>
      </c>
      <c r="AL40" s="12">
        <f>SUM(AH40:AK40)</f>
        <v>0</v>
      </c>
      <c r="AM40" s="12" t="str">
        <f>IF(Control!$E$9="","",-AL58*Control!$E$9/4)</f>
        <v/>
      </c>
      <c r="AN40" s="12" t="str">
        <f>IF(Control!$E$9="","",-AM58*Control!$E$9/4)</f>
        <v/>
      </c>
      <c r="AO40" s="12" t="str">
        <f>IF(Control!$E$9="","",-AN58*Control!$E$9/4)</f>
        <v/>
      </c>
      <c r="AP40" s="12" t="str">
        <f>IF(Control!$E$9="","",-AO58*Control!$E$9/4)</f>
        <v/>
      </c>
      <c r="AQ40" s="12">
        <f>SUM(AM40:AP40)</f>
        <v>0</v>
      </c>
      <c r="AR40" s="12" t="str">
        <f>IF(Control!$E$9="","",-AQ58*Control!$E$9/4)</f>
        <v/>
      </c>
      <c r="AS40" s="12" t="str">
        <f>IF(Control!$E$9="","",-AR58*Control!$E$9/4)</f>
        <v/>
      </c>
      <c r="AT40" s="12" t="str">
        <f>IF(Control!$E$9="","",-AS58*Control!$E$9/4)</f>
        <v/>
      </c>
      <c r="AU40" s="12" t="str">
        <f>IF(Control!$E$9="","",-AT58*Control!$E$9/4)</f>
        <v/>
      </c>
      <c r="AV40" s="12">
        <f>SUM(AR40:AU40)</f>
        <v>0</v>
      </c>
      <c r="AW40" s="12" t="str">
        <f>IF(Control!$E$9="","",-AV58*Control!$E$9/4)</f>
        <v/>
      </c>
      <c r="AX40" s="12" t="str">
        <f>IF(Control!$E$9="","",-AW58*Control!$E$9/4)</f>
        <v/>
      </c>
      <c r="AY40" s="12" t="str">
        <f>IF(Control!$E$9="","",-AX58*Control!$E$9/4)</f>
        <v/>
      </c>
      <c r="AZ40" s="12" t="str">
        <f>IF(Control!$E$9="","",-AY58*Control!$E$9/4)</f>
        <v/>
      </c>
      <c r="BA40" s="12">
        <f>SUM(AW40:AZ40)</f>
        <v>0</v>
      </c>
      <c r="BB40" s="12" t="str">
        <f>IF(Control!$E$9="","",-BA58*Control!$E$9/4)</f>
        <v/>
      </c>
      <c r="BC40" s="12" t="str">
        <f>IF(Control!$E$9="","",-BB58*Control!$E$9/4)</f>
        <v/>
      </c>
      <c r="BD40" s="12" t="str">
        <f>IF(Control!$E$9="","",-BC58*Control!$E$9/4)</f>
        <v/>
      </c>
      <c r="BE40" s="12" t="str">
        <f>IF(Control!$E$9="","",-BD58*Control!$E$9/4)</f>
        <v/>
      </c>
      <c r="BF40" s="12">
        <f>SUM(BB40:BE40)</f>
        <v>0</v>
      </c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</row>
    <row r="41" spans="1:103" hidden="1" outlineLevel="1" x14ac:dyDescent="0.2">
      <c r="C41" s="50" t="s">
        <v>100</v>
      </c>
      <c r="D41" s="53"/>
      <c r="E41" s="53"/>
      <c r="F41" s="53"/>
      <c r="G41" s="53"/>
      <c r="H41" s="12"/>
      <c r="I41" s="53" t="str">
        <f>IFERROR(-I40/SUM(I178+I183),"")</f>
        <v/>
      </c>
      <c r="J41" s="53" t="str">
        <f>IFERROR(-J40/SUM(J178+J183),"")</f>
        <v/>
      </c>
      <c r="K41" s="53" t="str">
        <f>IFERROR(-K40/SUM(K178+K183),"")</f>
        <v/>
      </c>
      <c r="L41" s="53" t="str">
        <f>IFERROR(-L40/SUM(L178+L183),"")</f>
        <v/>
      </c>
      <c r="M41" s="12"/>
      <c r="N41" s="53" t="str">
        <f>IFERROR(-N40/SUM(N178+N183),"")</f>
        <v/>
      </c>
      <c r="O41" s="53" t="str">
        <f>IFERROR(-O40/SUM(O178+O183),"")</f>
        <v/>
      </c>
      <c r="P41" s="53" t="str">
        <f>IFERROR(-P40/SUM(P178+P183),"")</f>
        <v/>
      </c>
      <c r="Q41" s="53" t="str">
        <f>IFERROR(-Q40/SUM(Q178+Q183),"")</f>
        <v/>
      </c>
      <c r="R41" s="12"/>
      <c r="S41" s="53" t="str">
        <f>IFERROR(-S40/SUM(S178+S183),"")</f>
        <v/>
      </c>
      <c r="T41" s="53" t="str">
        <f>IFERROR(-T40/SUM(T178+T183),"")</f>
        <v/>
      </c>
      <c r="U41" s="53" t="str">
        <f>IFERROR(-U40/SUM(U178+U183),"")</f>
        <v/>
      </c>
      <c r="V41" s="53" t="str">
        <f>IFERROR(-V40/SUM(V178+V183),"")</f>
        <v/>
      </c>
      <c r="W41" s="12"/>
      <c r="X41" s="53" t="str">
        <f>IFERROR(-X40/SUM(X178+X183),"")</f>
        <v/>
      </c>
      <c r="Y41" s="53" t="str">
        <f>IFERROR(-Y40/SUM(Y178+Y183),"")</f>
        <v/>
      </c>
      <c r="Z41" s="53" t="str">
        <f>IFERROR(-Z40/SUM(Z178+Z183),"")</f>
        <v/>
      </c>
      <c r="AA41" s="53" t="str">
        <f>IFERROR(-AA40/SUM(AA178+AA183),"")</f>
        <v/>
      </c>
      <c r="AB41" s="12"/>
      <c r="AC41" s="53" t="str">
        <f>IFERROR(-AC40/SUM(AC178+AC183),"")</f>
        <v/>
      </c>
      <c r="AD41" s="53" t="str">
        <f>IFERROR(-AD40/SUM(AD178+AD183),"")</f>
        <v/>
      </c>
      <c r="AE41" s="53" t="str">
        <f>IFERROR(-AE40/SUM(AE178+AE183),"")</f>
        <v/>
      </c>
      <c r="AF41" s="55"/>
      <c r="AG41" s="12"/>
      <c r="AH41" s="11"/>
      <c r="AI41" s="11"/>
      <c r="AJ41" s="11" t="str">
        <f>IFERROR(Control!$E$9,0)</f>
        <v/>
      </c>
      <c r="AK41" s="11" t="str">
        <f>IFERROR(Control!$E$9,0)</f>
        <v/>
      </c>
      <c r="AL41" s="12"/>
      <c r="AM41" s="11" t="str">
        <f>IFERROR(Control!$E$9,0)</f>
        <v/>
      </c>
      <c r="AN41" s="11" t="str">
        <f>IFERROR(Control!$E$9,0)</f>
        <v/>
      </c>
      <c r="AO41" s="11" t="str">
        <f>IFERROR(Control!$E$9,0)</f>
        <v/>
      </c>
      <c r="AP41" s="11" t="str">
        <f>IFERROR(Control!$E$9,0)</f>
        <v/>
      </c>
      <c r="AQ41" s="12"/>
      <c r="AR41" s="11" t="str">
        <f>IFERROR(Control!$E$9,0)</f>
        <v/>
      </c>
      <c r="AS41" s="11" t="str">
        <f>IFERROR(Control!$E$9,0)</f>
        <v/>
      </c>
      <c r="AT41" s="11" t="str">
        <f>IFERROR(Control!$E$9,0)</f>
        <v/>
      </c>
      <c r="AU41" s="11" t="str">
        <f>IFERROR(Control!$E$9,0)</f>
        <v/>
      </c>
      <c r="AV41" s="12"/>
      <c r="AW41" s="11" t="str">
        <f>IFERROR(Control!$E$9,0)</f>
        <v/>
      </c>
      <c r="AX41" s="11" t="str">
        <f>IFERROR(Control!$E$9,0)</f>
        <v/>
      </c>
      <c r="AY41" s="11" t="str">
        <f>IFERROR(Control!$E$9,0)</f>
        <v/>
      </c>
      <c r="AZ41" s="11" t="str">
        <f>IFERROR(Control!$E$9,0)</f>
        <v/>
      </c>
      <c r="BA41" s="12"/>
      <c r="BB41" s="11" t="str">
        <f>IFERROR(Control!$E$9,0)</f>
        <v/>
      </c>
      <c r="BC41" s="11" t="str">
        <f>IFERROR(Control!$E$9,0)</f>
        <v/>
      </c>
      <c r="BD41" s="11" t="str">
        <f>IFERROR(Control!$E$9,0)</f>
        <v/>
      </c>
      <c r="BE41" s="11" t="str">
        <f>IFERROR(Control!$E$9,0)</f>
        <v/>
      </c>
      <c r="BF41" s="12"/>
      <c r="BG41" s="11"/>
      <c r="BH41" s="11"/>
      <c r="BI41" s="11"/>
      <c r="BJ41" s="11"/>
      <c r="BK41" s="12"/>
      <c r="BL41" s="11"/>
      <c r="BM41" s="11"/>
      <c r="BN41" s="11"/>
      <c r="BO41" s="11"/>
      <c r="BP41" s="12"/>
      <c r="BQ41" s="11"/>
      <c r="BR41" s="11"/>
      <c r="BS41" s="11"/>
      <c r="BT41" s="11"/>
      <c r="BU41" s="12"/>
      <c r="BV41" s="11"/>
      <c r="BW41" s="11"/>
      <c r="BX41" s="11"/>
      <c r="BY41" s="11"/>
      <c r="BZ41" s="12"/>
      <c r="CA41" s="11"/>
      <c r="CB41" s="11"/>
      <c r="CC41" s="11"/>
      <c r="CD41" s="11"/>
      <c r="CE41" s="12"/>
      <c r="CF41" s="11"/>
      <c r="CG41" s="11"/>
      <c r="CH41" s="11"/>
      <c r="CI41" s="11"/>
      <c r="CJ41" s="12"/>
      <c r="CK41" s="11"/>
      <c r="CL41" s="11"/>
      <c r="CM41" s="11"/>
      <c r="CN41" s="11"/>
      <c r="CO41" s="12"/>
      <c r="CP41" s="11"/>
      <c r="CQ41" s="11"/>
      <c r="CR41" s="11"/>
      <c r="CS41" s="11"/>
      <c r="CT41" s="12"/>
      <c r="CU41" s="11"/>
      <c r="CV41" s="11"/>
      <c r="CW41" s="11"/>
      <c r="CX41" s="11"/>
      <c r="CY41" s="12"/>
    </row>
    <row r="42" spans="1:103" hidden="1" outlineLevel="1" x14ac:dyDescent="0.2">
      <c r="C42" s="50" t="s">
        <v>101</v>
      </c>
      <c r="D42" s="11"/>
      <c r="E42" s="11"/>
      <c r="F42" s="11"/>
      <c r="G42" s="11"/>
      <c r="H42" s="12"/>
      <c r="I42" s="11"/>
      <c r="J42" s="11"/>
      <c r="K42" s="11"/>
      <c r="L42" s="11"/>
      <c r="M42" s="12"/>
      <c r="N42" s="11"/>
      <c r="O42" s="11"/>
      <c r="P42" s="11"/>
      <c r="Q42" s="11"/>
      <c r="R42" s="12"/>
      <c r="S42" s="11"/>
      <c r="T42" s="11"/>
      <c r="U42" s="11"/>
      <c r="V42" s="11"/>
      <c r="W42" s="12"/>
      <c r="X42" s="11"/>
      <c r="Y42" s="11"/>
      <c r="Z42" s="11"/>
      <c r="AA42" s="11"/>
      <c r="AB42" s="12"/>
      <c r="AC42" s="11"/>
      <c r="AD42" s="11"/>
      <c r="AE42" s="11"/>
      <c r="AF42" s="11"/>
      <c r="AG42" s="12"/>
      <c r="AH42" s="11"/>
      <c r="AI42" s="11"/>
      <c r="AJ42" s="11"/>
      <c r="AK42" s="11"/>
      <c r="AL42" s="12"/>
      <c r="AM42" s="11"/>
      <c r="AN42" s="11"/>
      <c r="AO42" s="11"/>
      <c r="AP42" s="11"/>
      <c r="AQ42" s="12"/>
      <c r="AR42" s="11"/>
      <c r="AS42" s="11"/>
      <c r="AT42" s="11"/>
      <c r="AU42" s="11"/>
      <c r="AV42" s="12"/>
      <c r="AW42" s="11"/>
      <c r="AX42" s="11"/>
      <c r="AY42" s="11"/>
      <c r="AZ42" s="11"/>
      <c r="BA42" s="12"/>
      <c r="BB42" s="11"/>
      <c r="BC42" s="11"/>
      <c r="BD42" s="11"/>
      <c r="BE42" s="11"/>
      <c r="BF42" s="12"/>
      <c r="BG42" s="11"/>
      <c r="BH42" s="11"/>
      <c r="BI42" s="11"/>
      <c r="BJ42" s="11"/>
      <c r="BK42" s="12"/>
      <c r="BL42" s="11"/>
      <c r="BM42" s="11"/>
      <c r="BN42" s="11"/>
      <c r="BO42" s="11"/>
      <c r="BP42" s="12"/>
      <c r="BQ42" s="11"/>
      <c r="BR42" s="11"/>
      <c r="BS42" s="11"/>
      <c r="BT42" s="11"/>
      <c r="BU42" s="12"/>
      <c r="BV42" s="11"/>
      <c r="BW42" s="11"/>
      <c r="BX42" s="11"/>
      <c r="BY42" s="11"/>
      <c r="BZ42" s="12"/>
      <c r="CA42" s="11"/>
      <c r="CB42" s="11"/>
      <c r="CC42" s="11"/>
      <c r="CD42" s="11"/>
      <c r="CE42" s="12"/>
      <c r="CF42" s="11"/>
      <c r="CG42" s="11"/>
      <c r="CH42" s="11"/>
      <c r="CI42" s="11"/>
      <c r="CJ42" s="12"/>
      <c r="CK42" s="11"/>
      <c r="CL42" s="11"/>
      <c r="CM42" s="11"/>
      <c r="CN42" s="11"/>
      <c r="CO42" s="12"/>
      <c r="CP42" s="11"/>
      <c r="CQ42" s="11"/>
      <c r="CR42" s="11"/>
      <c r="CS42" s="11"/>
      <c r="CT42" s="12"/>
      <c r="CU42" s="11"/>
      <c r="CV42" s="11"/>
      <c r="CW42" s="11"/>
      <c r="CX42" s="11"/>
      <c r="CY42" s="12"/>
    </row>
    <row r="43" spans="1:103" hidden="1" outlineLevel="1" x14ac:dyDescent="0.2">
      <c r="C43" s="57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</row>
    <row r="44" spans="1:103" hidden="1" outlineLevel="1" x14ac:dyDescent="0.2">
      <c r="C44" s="57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</row>
    <row r="45" spans="1:103" hidden="1" outlineLevel="1" x14ac:dyDescent="0.2">
      <c r="C45" s="57" t="s">
        <v>102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</row>
    <row r="46" spans="1:103" hidden="1" outlineLevel="1" x14ac:dyDescent="0.2">
      <c r="C46" s="57" t="s">
        <v>103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</row>
    <row r="47" spans="1:103" hidden="1" outlineLevel="1" x14ac:dyDescent="0.2">
      <c r="C47" s="57" t="s">
        <v>104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</row>
    <row r="48" spans="1:103" hidden="1" outlineLevel="1" x14ac:dyDescent="0.2">
      <c r="C48" s="57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</row>
    <row r="49" spans="3:103" hidden="1" outlineLevel="1" x14ac:dyDescent="0.2">
      <c r="C49" s="57" t="s">
        <v>46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</row>
    <row r="50" spans="3:103" hidden="1" outlineLevel="1" x14ac:dyDescent="0.2">
      <c r="C50" s="57" t="s">
        <v>105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</row>
    <row r="51" spans="3:103" hidden="1" outlineLevel="1" x14ac:dyDescent="0.2">
      <c r="C51" s="57" t="s">
        <v>106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</row>
    <row r="52" spans="3:103" hidden="1" outlineLevel="1" x14ac:dyDescent="0.2">
      <c r="C52" s="57" t="s">
        <v>107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</row>
    <row r="53" spans="3:103" hidden="1" outlineLevel="1" x14ac:dyDescent="0.2">
      <c r="C53" s="57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</row>
    <row r="54" spans="3:103" hidden="1" outlineLevel="1" x14ac:dyDescent="0.2">
      <c r="C54" s="57" t="s">
        <v>62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</row>
    <row r="55" spans="3:103" hidden="1" outlineLevel="1" x14ac:dyDescent="0.2">
      <c r="C55" s="57" t="s">
        <v>63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</row>
    <row r="56" spans="3:103" hidden="1" outlineLevel="1" x14ac:dyDescent="0.2">
      <c r="C56" s="57" t="s">
        <v>65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</row>
    <row r="57" spans="3:103" hidden="1" outlineLevel="1" x14ac:dyDescent="0.2">
      <c r="C57" s="57" t="s">
        <v>67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</row>
    <row r="58" spans="3:103" hidden="1" outlineLevel="1" x14ac:dyDescent="0.2">
      <c r="C58" s="57" t="s">
        <v>108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</row>
    <row r="59" spans="3:103" hidden="1" outlineLevel="1" x14ac:dyDescent="0.2">
      <c r="C59" s="57" t="s">
        <v>109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</row>
    <row r="60" spans="3:103" hidden="1" outlineLevel="1" x14ac:dyDescent="0.2">
      <c r="C60" s="57" t="s">
        <v>106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</row>
    <row r="61" spans="3:103" hidden="1" outlineLevel="1" x14ac:dyDescent="0.2">
      <c r="C61" s="57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</row>
    <row r="62" spans="3:103" hidden="1" outlineLevel="1" x14ac:dyDescent="0.2">
      <c r="C62" s="57" t="s">
        <v>110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</row>
    <row r="63" spans="3:103" hidden="1" outlineLevel="1" x14ac:dyDescent="0.2">
      <c r="C63" s="57" t="s">
        <v>111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</row>
    <row r="64" spans="3:103" hidden="1" outlineLevel="1" x14ac:dyDescent="0.2">
      <c r="C64" s="57" t="s">
        <v>112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</row>
    <row r="65" spans="3:103" hidden="1" outlineLevel="1" x14ac:dyDescent="0.2">
      <c r="C65" s="57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</row>
    <row r="66" spans="3:103" hidden="1" outlineLevel="1" x14ac:dyDescent="0.2">
      <c r="C66" s="57" t="s">
        <v>113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</row>
    <row r="67" spans="3:103" hidden="1" outlineLevel="1" x14ac:dyDescent="0.2">
      <c r="C67" s="57" t="s">
        <v>111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</row>
    <row r="68" spans="3:103" hidden="1" outlineLevel="1" x14ac:dyDescent="0.2">
      <c r="C68" s="57" t="s">
        <v>112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</row>
    <row r="69" spans="3:103" hidden="1" outlineLevel="1" x14ac:dyDescent="0.2">
      <c r="C69" s="57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</row>
    <row r="70" spans="3:103" hidden="1" outlineLevel="1" x14ac:dyDescent="0.2">
      <c r="C70" s="57" t="s">
        <v>114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</row>
    <row r="71" spans="3:103" hidden="1" outlineLevel="1" x14ac:dyDescent="0.2">
      <c r="C71" s="57" t="s">
        <v>115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</row>
    <row r="72" spans="3:103" hidden="1" outlineLevel="1" x14ac:dyDescent="0.2">
      <c r="C72" s="57" t="s">
        <v>116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</row>
    <row r="73" spans="3:103" hidden="1" outlineLevel="1" x14ac:dyDescent="0.2">
      <c r="C73" s="57" t="s">
        <v>117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</row>
    <row r="74" spans="3:103" hidden="1" outlineLevel="1" x14ac:dyDescent="0.2">
      <c r="C74" s="57" t="s">
        <v>118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</row>
    <row r="75" spans="3:103" hidden="1" outlineLevel="1" x14ac:dyDescent="0.2">
      <c r="C75" s="57" t="s">
        <v>119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</row>
    <row r="76" spans="3:103" hidden="1" outlineLevel="1" x14ac:dyDescent="0.2">
      <c r="C76" s="57" t="s">
        <v>120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</row>
    <row r="77" spans="3:103" hidden="1" outlineLevel="1" x14ac:dyDescent="0.2">
      <c r="C77" s="57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</row>
    <row r="78" spans="3:103" hidden="1" outlineLevel="1" x14ac:dyDescent="0.2">
      <c r="C78" s="57" t="s">
        <v>121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</row>
    <row r="79" spans="3:103" hidden="1" outlineLevel="1" x14ac:dyDescent="0.2">
      <c r="C79" s="57" t="s">
        <v>122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</row>
    <row r="80" spans="3:103" hidden="1" outlineLevel="1" x14ac:dyDescent="0.2">
      <c r="C80" s="57" t="s">
        <v>123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</row>
    <row r="81" spans="1:103" hidden="1" outlineLevel="1" x14ac:dyDescent="0.2">
      <c r="C81" s="57" t="s">
        <v>124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</row>
    <row r="82" spans="1:103" hidden="1" outlineLevel="1" x14ac:dyDescent="0.2">
      <c r="C82" s="57" t="s">
        <v>125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</row>
    <row r="83" spans="1:103" hidden="1" outlineLevel="1" x14ac:dyDescent="0.2">
      <c r="C83" s="57" t="s">
        <v>126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</row>
    <row r="84" spans="1:103" hidden="1" outlineLevel="1" x14ac:dyDescent="0.2">
      <c r="C84" s="57" t="s">
        <v>127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</row>
    <row r="85" spans="1:103" hidden="1" outlineLevel="1" x14ac:dyDescent="0.2">
      <c r="C85" s="57" t="s">
        <v>128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</row>
    <row r="86" spans="1:103" hidden="1" outlineLevel="1" x14ac:dyDescent="0.2">
      <c r="C86" s="57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</row>
    <row r="87" spans="1:103" hidden="1" outlineLevel="1" x14ac:dyDescent="0.2">
      <c r="C87" s="57" t="s">
        <v>129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</row>
    <row r="88" spans="1:103" hidden="1" outlineLevel="1" x14ac:dyDescent="0.2">
      <c r="C88" s="57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</row>
    <row r="89" spans="1:103" collapsed="1" x14ac:dyDescent="0.2">
      <c r="C89" s="14" t="s">
        <v>41</v>
      </c>
      <c r="D89" s="46"/>
      <c r="E89" s="46"/>
      <c r="F89" s="46"/>
      <c r="G89" s="46"/>
      <c r="H89" s="12"/>
      <c r="I89" s="46" t="str">
        <f>'Inputs (2)'!D9</f>
        <v/>
      </c>
      <c r="J89" s="46" t="str">
        <f>'Inputs (2)'!E9</f>
        <v/>
      </c>
      <c r="K89" s="46" t="str">
        <f>'Inputs (2)'!F9</f>
        <v/>
      </c>
      <c r="L89" s="46" t="str">
        <f>'Inputs (2)'!G9</f>
        <v/>
      </c>
      <c r="M89" s="12" t="str">
        <f>'Inputs (2)'!H9</f>
        <v/>
      </c>
      <c r="N89" s="46" t="str">
        <f>'Inputs (2)'!I9</f>
        <v/>
      </c>
      <c r="O89" s="46" t="str">
        <f>'Inputs (2)'!J9</f>
        <v/>
      </c>
      <c r="P89" s="46" t="str">
        <f>'Inputs (2)'!K9</f>
        <v/>
      </c>
      <c r="Q89" s="46" t="str">
        <f>'Inputs (2)'!L9</f>
        <v/>
      </c>
      <c r="R89" s="12" t="str">
        <f>'Inputs (2)'!M9</f>
        <v/>
      </c>
      <c r="S89" s="46" t="str">
        <f>'Inputs (2)'!N9</f>
        <v/>
      </c>
      <c r="T89" s="46" t="str">
        <f>'Inputs (2)'!O9</f>
        <v/>
      </c>
      <c r="U89" s="46" t="str">
        <f>'Inputs (2)'!P9</f>
        <v/>
      </c>
      <c r="V89" s="46" t="str">
        <f>'Inputs (2)'!Q9</f>
        <v/>
      </c>
      <c r="W89" s="12" t="str">
        <f>'Inputs (2)'!R9</f>
        <v/>
      </c>
      <c r="X89" s="46" t="str">
        <f>'Inputs (2)'!S9</f>
        <v/>
      </c>
      <c r="Y89" s="46" t="str">
        <f>'Inputs (2)'!T9</f>
        <v/>
      </c>
      <c r="Z89" s="46" t="str">
        <f>'Inputs (2)'!U9</f>
        <v/>
      </c>
      <c r="AA89" s="46" t="str">
        <f>'Inputs (2)'!V9</f>
        <v/>
      </c>
      <c r="AB89" s="12" t="str">
        <f>'Inputs (2)'!W9</f>
        <v/>
      </c>
      <c r="AC89" s="46" t="str">
        <f>'Inputs (2)'!X9</f>
        <v/>
      </c>
      <c r="AD89" s="46" t="str">
        <f>'Inputs (2)'!Y9</f>
        <v/>
      </c>
      <c r="AE89" s="46" t="str">
        <f>'Inputs (2)'!Z9</f>
        <v/>
      </c>
      <c r="AF89" s="46" t="str">
        <f>'Inputs (2)'!AA9</f>
        <v/>
      </c>
      <c r="AG89" s="12" t="str">
        <f>'Inputs (2)'!AB9</f>
        <v/>
      </c>
      <c r="AH89" s="12" t="str">
        <f>'Inputs (2)'!AC9</f>
        <v/>
      </c>
      <c r="AI89" s="12" t="str">
        <f>'Inputs (2)'!AD9</f>
        <v/>
      </c>
      <c r="AJ89" s="12" t="e">
        <f>AJ15*Control!$B$23</f>
        <v>#VALUE!</v>
      </c>
      <c r="AK89" s="12" t="e">
        <f>AK15*Control!$B$23</f>
        <v>#VALUE!</v>
      </c>
      <c r="AL89" s="12" t="e">
        <f>SUM(AH89:AK89)</f>
        <v>#VALUE!</v>
      </c>
      <c r="AM89" s="12" t="e">
        <f>AM15*Control!$C$23</f>
        <v>#VALUE!</v>
      </c>
      <c r="AN89" s="12" t="e">
        <f>AN15*Control!$C$23</f>
        <v>#VALUE!</v>
      </c>
      <c r="AO89" s="12" t="e">
        <f>AO15*Control!$C$23</f>
        <v>#VALUE!</v>
      </c>
      <c r="AP89" s="12" t="e">
        <f>AP15*Control!$C$23</f>
        <v>#VALUE!</v>
      </c>
      <c r="AQ89" s="12" t="e">
        <f>SUM(AM89:AP89)</f>
        <v>#VALUE!</v>
      </c>
      <c r="AR89" s="12" t="e">
        <f>AR15*Control!$D$23</f>
        <v>#VALUE!</v>
      </c>
      <c r="AS89" s="12" t="e">
        <f>AS15*Control!$D$23</f>
        <v>#VALUE!</v>
      </c>
      <c r="AT89" s="12" t="e">
        <f>AT15*Control!$D$23</f>
        <v>#VALUE!</v>
      </c>
      <c r="AU89" s="12" t="e">
        <f>AU15*Control!$D$23</f>
        <v>#VALUE!</v>
      </c>
      <c r="AV89" s="12" t="e">
        <f>SUM(AR89:AU89)</f>
        <v>#VALUE!</v>
      </c>
      <c r="AW89" s="12" t="e">
        <f>AW15*Control!$E$23</f>
        <v>#VALUE!</v>
      </c>
      <c r="AX89" s="12" t="e">
        <f>AX15*Control!$E$23</f>
        <v>#VALUE!</v>
      </c>
      <c r="AY89" s="12" t="e">
        <f>AY15*Control!$E$23</f>
        <v>#VALUE!</v>
      </c>
      <c r="AZ89" s="12" t="e">
        <f>AZ15*Control!$E$23</f>
        <v>#VALUE!</v>
      </c>
      <c r="BA89" s="12" t="e">
        <f>SUM(AW89:AZ89)</f>
        <v>#VALUE!</v>
      </c>
      <c r="BB89" s="12" t="e">
        <f>BB15*Control!$F$23</f>
        <v>#VALUE!</v>
      </c>
      <c r="BC89" s="12" t="e">
        <f>BC15*Control!$F$23</f>
        <v>#VALUE!</v>
      </c>
      <c r="BD89" s="12" t="e">
        <f>BD15*Control!$F$23</f>
        <v>#VALUE!</v>
      </c>
      <c r="BE89" s="12" t="e">
        <f>BE15*Control!$F$23</f>
        <v>#VALUE!</v>
      </c>
      <c r="BF89" s="12" t="e">
        <f>SUM(BB89:BE89)</f>
        <v>#VALUE!</v>
      </c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</row>
    <row r="90" spans="1:103" hidden="1" outlineLevel="1" x14ac:dyDescent="0.2">
      <c r="C90" s="57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</row>
    <row r="91" spans="1:103" hidden="1" outlineLevel="1" x14ac:dyDescent="0.2">
      <c r="C91" s="50" t="s">
        <v>130</v>
      </c>
      <c r="D91" s="11"/>
      <c r="E91" s="11"/>
      <c r="F91" s="11"/>
      <c r="G91" s="11"/>
      <c r="H91" s="12"/>
      <c r="I91" s="11"/>
      <c r="J91" s="11"/>
      <c r="K91" s="11"/>
      <c r="L91" s="11"/>
      <c r="M91" s="12"/>
      <c r="N91" s="11"/>
      <c r="O91" s="11"/>
      <c r="P91" s="11"/>
      <c r="Q91" s="11"/>
      <c r="R91" s="12"/>
      <c r="S91" s="11"/>
      <c r="T91" s="11"/>
      <c r="U91" s="11"/>
      <c r="V91" s="11"/>
      <c r="W91" s="12"/>
      <c r="X91" s="11"/>
      <c r="Y91" s="11"/>
      <c r="Z91" s="11"/>
      <c r="AA91" s="11"/>
      <c r="AB91" s="12"/>
      <c r="AC91" s="11"/>
      <c r="AD91" s="11"/>
      <c r="AE91" s="11"/>
      <c r="AF91" s="11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</row>
    <row r="92" spans="1:103" hidden="1" outlineLevel="1" x14ac:dyDescent="0.2">
      <c r="C92" s="50" t="s">
        <v>131</v>
      </c>
      <c r="D92" s="11"/>
      <c r="E92" s="11"/>
      <c r="F92" s="11"/>
      <c r="G92" s="11"/>
      <c r="H92" s="12"/>
      <c r="I92" s="11"/>
      <c r="J92" s="11"/>
      <c r="K92" s="11"/>
      <c r="L92" s="11"/>
      <c r="M92" s="12"/>
      <c r="N92" s="11"/>
      <c r="O92" s="11"/>
      <c r="P92" s="11"/>
      <c r="Q92" s="11"/>
      <c r="R92" s="12"/>
      <c r="S92" s="11"/>
      <c r="T92" s="11"/>
      <c r="U92" s="11"/>
      <c r="V92" s="11"/>
      <c r="W92" s="12"/>
      <c r="X92" s="11"/>
      <c r="Y92" s="11"/>
      <c r="Z92" s="11"/>
      <c r="AA92" s="11"/>
      <c r="AB92" s="12"/>
      <c r="AC92" s="11"/>
      <c r="AD92" s="11"/>
      <c r="AE92" s="11"/>
      <c r="AF92" s="11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</row>
    <row r="93" spans="1:103" hidden="1" outlineLevel="1" x14ac:dyDescent="0.2">
      <c r="C93" s="50" t="s">
        <v>132</v>
      </c>
      <c r="D93" s="11"/>
      <c r="E93" s="11"/>
      <c r="F93" s="11"/>
      <c r="G93" s="11"/>
      <c r="H93" s="12"/>
      <c r="I93" s="11"/>
      <c r="J93" s="11"/>
      <c r="K93" s="11"/>
      <c r="L93" s="11"/>
      <c r="M93" s="12"/>
      <c r="N93" s="11"/>
      <c r="O93" s="11"/>
      <c r="P93" s="11"/>
      <c r="Q93" s="11"/>
      <c r="R93" s="12"/>
      <c r="S93" s="11"/>
      <c r="T93" s="11"/>
      <c r="U93" s="11"/>
      <c r="V93" s="11"/>
      <c r="W93" s="12"/>
      <c r="X93" s="11"/>
      <c r="Y93" s="11"/>
      <c r="Z93" s="11"/>
      <c r="AA93" s="11"/>
      <c r="AB93" s="12"/>
      <c r="AC93" s="11"/>
      <c r="AD93" s="11"/>
      <c r="AE93" s="11"/>
      <c r="AF93" s="11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</row>
    <row r="94" spans="1:103" hidden="1" outlineLevel="1" x14ac:dyDescent="0.2">
      <c r="C94" s="57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</row>
    <row r="95" spans="1:103" hidden="1" outlineLevel="1" x14ac:dyDescent="0.2">
      <c r="C95" s="57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</row>
    <row r="96" spans="1:103" s="32" customFormat="1" collapsed="1" x14ac:dyDescent="0.2">
      <c r="A96" s="30"/>
      <c r="B96" s="3"/>
      <c r="C96" s="33" t="s">
        <v>133</v>
      </c>
      <c r="D96" s="35"/>
      <c r="E96" s="35"/>
      <c r="F96" s="35"/>
      <c r="G96" s="35"/>
      <c r="H96" s="35"/>
      <c r="I96" s="35">
        <f>SUM(I39,I40,I89)</f>
        <v>0</v>
      </c>
      <c r="J96" s="35">
        <f>SUM(J39,J40,J89)</f>
        <v>0</v>
      </c>
      <c r="K96" s="35">
        <f>SUM(K39,K40,K89)</f>
        <v>0</v>
      </c>
      <c r="L96" s="35">
        <f>SUM(L39,L40,L89)</f>
        <v>0</v>
      </c>
      <c r="M96" s="35">
        <f>SUM(I96:L96)</f>
        <v>0</v>
      </c>
      <c r="N96" s="35">
        <f>SUM(N39,N40,N89)</f>
        <v>0</v>
      </c>
      <c r="O96" s="35">
        <f>SUM(O39,O40,O89)</f>
        <v>0</v>
      </c>
      <c r="P96" s="35">
        <f>SUM(P39,P40,P89)</f>
        <v>0</v>
      </c>
      <c r="Q96" s="35">
        <f>SUM(Q39,Q40,Q89)</f>
        <v>0</v>
      </c>
      <c r="R96" s="35">
        <f>SUM(N96:Q96)</f>
        <v>0</v>
      </c>
      <c r="S96" s="35">
        <f>SUM(S39,S40,S89)</f>
        <v>0</v>
      </c>
      <c r="T96" s="35">
        <f>SUM(T39,T40,T89)</f>
        <v>0</v>
      </c>
      <c r="U96" s="35">
        <f>SUM(U39,U40,U89)</f>
        <v>0</v>
      </c>
      <c r="V96" s="35">
        <f>SUM(V39,V40,V89)</f>
        <v>0</v>
      </c>
      <c r="W96" s="35">
        <f>SUM(S96:V96)</f>
        <v>0</v>
      </c>
      <c r="X96" s="35">
        <f>SUM(X39,X40,X89)</f>
        <v>0</v>
      </c>
      <c r="Y96" s="35">
        <f>SUM(Y39,Y40,Y89)</f>
        <v>0</v>
      </c>
      <c r="Z96" s="35">
        <f>SUM(Z39,Z40,Z89)</f>
        <v>0</v>
      </c>
      <c r="AA96" s="35">
        <f>SUM(AA39,AA40,AA89)</f>
        <v>0</v>
      </c>
      <c r="AB96" s="35">
        <f>SUM(X96:AA96)</f>
        <v>0</v>
      </c>
      <c r="AC96" s="35">
        <f>SUM(AC39,AC40,AC89)</f>
        <v>0</v>
      </c>
      <c r="AD96" s="35">
        <f>SUM(AD39,AD40,AD89)</f>
        <v>0</v>
      </c>
      <c r="AE96" s="35">
        <f>SUM(AE39,AE40,AE89)</f>
        <v>0</v>
      </c>
      <c r="AF96" s="35">
        <f>SUM(AF39,AF40,AF89)</f>
        <v>0</v>
      </c>
      <c r="AG96" s="35">
        <f>SUM(AC96:AF96)</f>
        <v>0</v>
      </c>
      <c r="AH96" s="35">
        <f>SUM(AH39,AH40,AH89)</f>
        <v>0</v>
      </c>
      <c r="AI96" s="35">
        <f>SUM(AI39,AI40,AI89)</f>
        <v>0</v>
      </c>
      <c r="AJ96" s="35" t="e">
        <f>SUM(AJ39,AJ40,AJ89:AJ94)</f>
        <v>#VALUE!</v>
      </c>
      <c r="AK96" s="35" t="e">
        <f>SUM(AK39,AK40,AK89:AK94)</f>
        <v>#VALUE!</v>
      </c>
      <c r="AL96" s="35" t="e">
        <f>SUM(AH96:AK96)</f>
        <v>#VALUE!</v>
      </c>
      <c r="AM96" s="35" t="e">
        <f>SUM(AM39,AM40,AM89:AM94)</f>
        <v>#VALUE!</v>
      </c>
      <c r="AN96" s="35" t="e">
        <f>SUM(AN39,AN40,AN89:AN94)</f>
        <v>#VALUE!</v>
      </c>
      <c r="AO96" s="35" t="e">
        <f>SUM(AO39,AO40,AO89:AO94)</f>
        <v>#VALUE!</v>
      </c>
      <c r="AP96" s="35" t="e">
        <f>SUM(AP39,AP40,AP89:AP94)</f>
        <v>#VALUE!</v>
      </c>
      <c r="AQ96" s="35" t="e">
        <f>SUM(AM96:AP96)</f>
        <v>#VALUE!</v>
      </c>
      <c r="AR96" s="35" t="e">
        <f>SUM(AR39,AR40,AR89:AR94)</f>
        <v>#VALUE!</v>
      </c>
      <c r="AS96" s="35" t="e">
        <f>SUM(AS39,AS40,AS89:AS94)</f>
        <v>#VALUE!</v>
      </c>
      <c r="AT96" s="35" t="e">
        <f>SUM(AT39,AT40,AT89:AT94)</f>
        <v>#VALUE!</v>
      </c>
      <c r="AU96" s="35" t="e">
        <f>SUM(AU39,AU40,AU89:AU94)</f>
        <v>#VALUE!</v>
      </c>
      <c r="AV96" s="35" t="e">
        <f>SUM(AR96:AU96)</f>
        <v>#VALUE!</v>
      </c>
      <c r="AW96" s="35" t="e">
        <f>SUM(AW39,AW40,AW89:AW94)</f>
        <v>#VALUE!</v>
      </c>
      <c r="AX96" s="35" t="e">
        <f>SUM(AX39,AX40,AX89:AX94)</f>
        <v>#VALUE!</v>
      </c>
      <c r="AY96" s="35" t="e">
        <f>SUM(AY39,AY40,AY89:AY94)</f>
        <v>#VALUE!</v>
      </c>
      <c r="AZ96" s="35" t="e">
        <f>SUM(AZ39,AZ40,AZ89:AZ94)</f>
        <v>#VALUE!</v>
      </c>
      <c r="BA96" s="35" t="e">
        <f>SUM(AW96:AZ96)</f>
        <v>#VALUE!</v>
      </c>
      <c r="BB96" s="35" t="e">
        <f>SUM(BB39,BB40,BB89:BB94)</f>
        <v>#VALUE!</v>
      </c>
      <c r="BC96" s="35" t="e">
        <f>SUM(BC39,BC40,BC89:BC94)</f>
        <v>#VALUE!</v>
      </c>
      <c r="BD96" s="35" t="e">
        <f>SUM(BD39,BD40,BD89:BD94)</f>
        <v>#VALUE!</v>
      </c>
      <c r="BE96" s="35" t="e">
        <f>SUM(BE39,BE40,BE89:BE94)</f>
        <v>#VALUE!</v>
      </c>
      <c r="BF96" s="35" t="e">
        <f>SUM(BB96:BE96)</f>
        <v>#VALUE!</v>
      </c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</row>
    <row r="97" spans="1:103" x14ac:dyDescent="0.2">
      <c r="C97" s="14" t="s">
        <v>42</v>
      </c>
      <c r="D97" s="46"/>
      <c r="E97" s="46"/>
      <c r="F97" s="46"/>
      <c r="G97" s="46"/>
      <c r="H97" s="12"/>
      <c r="I97" s="46" t="str">
        <f>'Inputs (2)'!D10</f>
        <v/>
      </c>
      <c r="J97" s="46" t="str">
        <f>'Inputs (2)'!E10</f>
        <v/>
      </c>
      <c r="K97" s="46" t="str">
        <f>'Inputs (2)'!F10</f>
        <v/>
      </c>
      <c r="L97" s="46" t="str">
        <f>'Inputs (2)'!G10</f>
        <v/>
      </c>
      <c r="M97" s="12" t="str">
        <f>'Inputs (2)'!H10</f>
        <v/>
      </c>
      <c r="N97" s="46" t="str">
        <f>'Inputs (2)'!I10</f>
        <v/>
      </c>
      <c r="O97" s="46" t="str">
        <f>'Inputs (2)'!J10</f>
        <v/>
      </c>
      <c r="P97" s="46" t="str">
        <f>'Inputs (2)'!K10</f>
        <v/>
      </c>
      <c r="Q97" s="46" t="str">
        <f>'Inputs (2)'!L10</f>
        <v/>
      </c>
      <c r="R97" s="12" t="str">
        <f>'Inputs (2)'!M10</f>
        <v/>
      </c>
      <c r="S97" s="46" t="str">
        <f>'Inputs (2)'!N10</f>
        <v/>
      </c>
      <c r="T97" s="46" t="str">
        <f>'Inputs (2)'!O10</f>
        <v/>
      </c>
      <c r="U97" s="46" t="str">
        <f>'Inputs (2)'!P10</f>
        <v/>
      </c>
      <c r="V97" s="46" t="str">
        <f>'Inputs (2)'!Q10</f>
        <v/>
      </c>
      <c r="W97" s="12" t="str">
        <f>'Inputs (2)'!R10</f>
        <v/>
      </c>
      <c r="X97" s="46" t="str">
        <f>'Inputs (2)'!S10</f>
        <v/>
      </c>
      <c r="Y97" s="46" t="str">
        <f>'Inputs (2)'!T10</f>
        <v/>
      </c>
      <c r="Z97" s="46" t="str">
        <f>'Inputs (2)'!U10</f>
        <v/>
      </c>
      <c r="AA97" s="46" t="str">
        <f>'Inputs (2)'!V10</f>
        <v/>
      </c>
      <c r="AB97" s="12" t="str">
        <f>'Inputs (2)'!W10</f>
        <v/>
      </c>
      <c r="AC97" s="46" t="str">
        <f>'Inputs (2)'!X10</f>
        <v/>
      </c>
      <c r="AD97" s="46" t="str">
        <f>'Inputs (2)'!Y10</f>
        <v/>
      </c>
      <c r="AE97" s="46" t="str">
        <f>'Inputs (2)'!Z10</f>
        <v/>
      </c>
      <c r="AF97" s="46" t="str">
        <f>'Inputs (2)'!AA10</f>
        <v/>
      </c>
      <c r="AG97" s="12" t="str">
        <f>'Inputs (2)'!AB10</f>
        <v/>
      </c>
      <c r="AH97" s="12" t="str">
        <f>'Inputs (2)'!AC10</f>
        <v/>
      </c>
      <c r="AI97" s="12" t="str">
        <f>'Inputs (2)'!AD10</f>
        <v/>
      </c>
      <c r="AJ97" s="12" t="e">
        <f>-AJ96*AJ98</f>
        <v>#VALUE!</v>
      </c>
      <c r="AK97" s="12" t="e">
        <f>-AK96*AK98</f>
        <v>#VALUE!</v>
      </c>
      <c r="AL97" s="12" t="e">
        <f>SUM(AH97:AK97)</f>
        <v>#VALUE!</v>
      </c>
      <c r="AM97" s="12" t="e">
        <f>-AM96*AM98</f>
        <v>#VALUE!</v>
      </c>
      <c r="AN97" s="12" t="e">
        <f>-AN96*AN98</f>
        <v>#VALUE!</v>
      </c>
      <c r="AO97" s="12" t="e">
        <f>-AO96*AO98</f>
        <v>#VALUE!</v>
      </c>
      <c r="AP97" s="12" t="e">
        <f>-AP96*AP98</f>
        <v>#VALUE!</v>
      </c>
      <c r="AQ97" s="12" t="e">
        <f>SUM(AM97:AP97)</f>
        <v>#VALUE!</v>
      </c>
      <c r="AR97" s="12" t="e">
        <f>-AR96*AR98</f>
        <v>#VALUE!</v>
      </c>
      <c r="AS97" s="12" t="e">
        <f>-AS96*AS98</f>
        <v>#VALUE!</v>
      </c>
      <c r="AT97" s="12" t="e">
        <f>-AT96*AT98</f>
        <v>#VALUE!</v>
      </c>
      <c r="AU97" s="12" t="e">
        <f>-AU96*AU98</f>
        <v>#VALUE!</v>
      </c>
      <c r="AV97" s="12" t="e">
        <f>SUM(AR97:AU97)</f>
        <v>#VALUE!</v>
      </c>
      <c r="AW97" s="12" t="e">
        <f>-AW96*AW98</f>
        <v>#VALUE!</v>
      </c>
      <c r="AX97" s="12" t="e">
        <f>-AX96*AX98</f>
        <v>#VALUE!</v>
      </c>
      <c r="AY97" s="12" t="e">
        <f>-AY96*AY98</f>
        <v>#VALUE!</v>
      </c>
      <c r="AZ97" s="12" t="e">
        <f>-AZ96*AZ98</f>
        <v>#VALUE!</v>
      </c>
      <c r="BA97" s="12" t="e">
        <f>SUM(AW97:AZ97)</f>
        <v>#VALUE!</v>
      </c>
      <c r="BB97" s="12" t="e">
        <f>-BB96*BB98</f>
        <v>#VALUE!</v>
      </c>
      <c r="BC97" s="12" t="e">
        <f>-BC96*BC98</f>
        <v>#VALUE!</v>
      </c>
      <c r="BD97" s="12" t="e">
        <f>-BD96*BD98</f>
        <v>#VALUE!</v>
      </c>
      <c r="BE97" s="12" t="e">
        <f>-BE96*BE98</f>
        <v>#VALUE!</v>
      </c>
      <c r="BF97" s="12" t="e">
        <f>SUM(BB97:BE97)</f>
        <v>#VALUE!</v>
      </c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</row>
    <row r="98" spans="1:103" hidden="1" outlineLevel="1" x14ac:dyDescent="0.2">
      <c r="C98" s="57" t="s">
        <v>134</v>
      </c>
      <c r="D98" s="53"/>
      <c r="E98" s="53"/>
      <c r="F98" s="53"/>
      <c r="G98" s="53"/>
      <c r="H98" s="53"/>
      <c r="I98" s="53" t="str">
        <f t="shared" ref="I98:AE98" si="13">IFERROR(-I97/I96,"")</f>
        <v/>
      </c>
      <c r="J98" s="53" t="str">
        <f t="shared" si="13"/>
        <v/>
      </c>
      <c r="K98" s="53" t="str">
        <f t="shared" si="13"/>
        <v/>
      </c>
      <c r="L98" s="53" t="str">
        <f t="shared" si="13"/>
        <v/>
      </c>
      <c r="M98" s="53" t="str">
        <f t="shared" si="13"/>
        <v/>
      </c>
      <c r="N98" s="53" t="str">
        <f t="shared" si="13"/>
        <v/>
      </c>
      <c r="O98" s="53" t="str">
        <f t="shared" si="13"/>
        <v/>
      </c>
      <c r="P98" s="53" t="str">
        <f t="shared" si="13"/>
        <v/>
      </c>
      <c r="Q98" s="53" t="str">
        <f t="shared" si="13"/>
        <v/>
      </c>
      <c r="R98" s="53" t="str">
        <f t="shared" si="13"/>
        <v/>
      </c>
      <c r="S98" s="53" t="str">
        <f t="shared" si="13"/>
        <v/>
      </c>
      <c r="T98" s="53" t="str">
        <f t="shared" si="13"/>
        <v/>
      </c>
      <c r="U98" s="53" t="str">
        <f t="shared" si="13"/>
        <v/>
      </c>
      <c r="V98" s="53" t="str">
        <f t="shared" si="13"/>
        <v/>
      </c>
      <c r="W98" s="53" t="str">
        <f t="shared" si="13"/>
        <v/>
      </c>
      <c r="X98" s="53" t="str">
        <f t="shared" si="13"/>
        <v/>
      </c>
      <c r="Y98" s="53" t="str">
        <f t="shared" si="13"/>
        <v/>
      </c>
      <c r="Z98" s="53" t="str">
        <f t="shared" si="13"/>
        <v/>
      </c>
      <c r="AA98" s="53" t="str">
        <f t="shared" si="13"/>
        <v/>
      </c>
      <c r="AB98" s="53" t="str">
        <f t="shared" si="13"/>
        <v/>
      </c>
      <c r="AC98" s="53" t="str">
        <f t="shared" si="13"/>
        <v/>
      </c>
      <c r="AD98" s="53" t="str">
        <f t="shared" si="13"/>
        <v/>
      </c>
      <c r="AE98" s="53" t="str">
        <f t="shared" si="13"/>
        <v/>
      </c>
      <c r="AF98" s="41"/>
      <c r="AG98" s="53" t="str">
        <f>IFERROR(-AG97/AG96,"")</f>
        <v/>
      </c>
      <c r="AH98" s="41"/>
      <c r="AI98" s="41"/>
      <c r="AJ98" s="41" t="str">
        <f>Control!$B$22</f>
        <v/>
      </c>
      <c r="AK98" s="41" t="str">
        <f>Control!$B$22</f>
        <v/>
      </c>
      <c r="AL98" s="53" t="str">
        <f>IFERROR(-AL97/AL96,"")</f>
        <v/>
      </c>
      <c r="AM98" s="41" t="str">
        <f>Control!$C$22</f>
        <v/>
      </c>
      <c r="AN98" s="41" t="str">
        <f>Control!$C$22</f>
        <v/>
      </c>
      <c r="AO98" s="41" t="str">
        <f>Control!$C$22</f>
        <v/>
      </c>
      <c r="AP98" s="41" t="str">
        <f>Control!$C$22</f>
        <v/>
      </c>
      <c r="AQ98" s="53" t="str">
        <f>IFERROR(-AQ97/AQ96,"")</f>
        <v/>
      </c>
      <c r="AR98" s="41" t="str">
        <f>Control!$D$22</f>
        <v/>
      </c>
      <c r="AS98" s="41" t="str">
        <f>Control!$D$22</f>
        <v/>
      </c>
      <c r="AT98" s="41" t="str">
        <f>Control!$D$22</f>
        <v/>
      </c>
      <c r="AU98" s="41" t="str">
        <f>Control!$D$22</f>
        <v/>
      </c>
      <c r="AV98" s="53" t="str">
        <f>IFERROR(-AV97/AV96,"")</f>
        <v/>
      </c>
      <c r="AW98" s="41" t="str">
        <f>Control!$E$22</f>
        <v/>
      </c>
      <c r="AX98" s="41" t="str">
        <f>Control!$E$22</f>
        <v/>
      </c>
      <c r="AY98" s="41" t="str">
        <f>Control!$E$22</f>
        <v/>
      </c>
      <c r="AZ98" s="41" t="str">
        <f>Control!$E$22</f>
        <v/>
      </c>
      <c r="BA98" s="53" t="str">
        <f>IFERROR(-BA97/BA96,"")</f>
        <v/>
      </c>
      <c r="BB98" s="41" t="str">
        <f>Control!$F$22</f>
        <v/>
      </c>
      <c r="BC98" s="41" t="str">
        <f>Control!$F$22</f>
        <v/>
      </c>
      <c r="BD98" s="41" t="str">
        <f>Control!$F$22</f>
        <v/>
      </c>
      <c r="BE98" s="41" t="str">
        <f>Control!$F$22</f>
        <v/>
      </c>
      <c r="BF98" s="53" t="str">
        <f>IFERROR(-BF97/BF96,"")</f>
        <v/>
      </c>
      <c r="BG98" s="41"/>
      <c r="BH98" s="41"/>
      <c r="BI98" s="41"/>
      <c r="BJ98" s="41"/>
      <c r="BK98" s="53"/>
      <c r="BL98" s="41"/>
      <c r="BM98" s="41"/>
      <c r="BN98" s="41"/>
      <c r="BO98" s="41"/>
      <c r="BP98" s="53"/>
      <c r="BQ98" s="41"/>
      <c r="BR98" s="41"/>
      <c r="BS98" s="41"/>
      <c r="BT98" s="41"/>
      <c r="BU98" s="53"/>
      <c r="BV98" s="41"/>
      <c r="BW98" s="41"/>
      <c r="BX98" s="41"/>
      <c r="BY98" s="41"/>
      <c r="BZ98" s="53"/>
      <c r="CA98" s="41"/>
      <c r="CB98" s="41"/>
      <c r="CC98" s="41"/>
      <c r="CD98" s="41"/>
      <c r="CE98" s="53"/>
      <c r="CF98" s="41"/>
      <c r="CG98" s="41"/>
      <c r="CH98" s="41"/>
      <c r="CI98" s="41"/>
      <c r="CJ98" s="53"/>
      <c r="CK98" s="41"/>
      <c r="CL98" s="41"/>
      <c r="CM98" s="41"/>
      <c r="CN98" s="41"/>
      <c r="CO98" s="53"/>
      <c r="CP98" s="41"/>
      <c r="CQ98" s="41"/>
      <c r="CR98" s="41"/>
      <c r="CS98" s="41"/>
      <c r="CT98" s="53"/>
      <c r="CU98" s="41"/>
      <c r="CV98" s="41"/>
      <c r="CW98" s="41"/>
      <c r="CX98" s="41"/>
      <c r="CY98" s="53"/>
    </row>
    <row r="99" spans="1:103" hidden="1" outlineLevel="1" x14ac:dyDescent="0.2">
      <c r="C99" s="57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</row>
    <row r="100" spans="1:103" hidden="1" outlineLevel="1" x14ac:dyDescent="0.2">
      <c r="C100" s="57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</row>
    <row r="101" spans="1:103" collapsed="1" x14ac:dyDescent="0.2">
      <c r="C101" s="14" t="s">
        <v>43</v>
      </c>
      <c r="D101" s="46"/>
      <c r="E101" s="46"/>
      <c r="F101" s="46"/>
      <c r="G101" s="46"/>
      <c r="H101" s="12"/>
      <c r="I101" s="46" t="str">
        <f>'Inputs (2)'!D11</f>
        <v/>
      </c>
      <c r="J101" s="46" t="str">
        <f>'Inputs (2)'!E11</f>
        <v/>
      </c>
      <c r="K101" s="46" t="str">
        <f>'Inputs (2)'!F11</f>
        <v/>
      </c>
      <c r="L101" s="46" t="str">
        <f>'Inputs (2)'!G11</f>
        <v/>
      </c>
      <c r="M101" s="12" t="str">
        <f>'Inputs (2)'!H11</f>
        <v/>
      </c>
      <c r="N101" s="46" t="str">
        <f>'Inputs (2)'!I11</f>
        <v/>
      </c>
      <c r="O101" s="46" t="str">
        <f>'Inputs (2)'!J11</f>
        <v/>
      </c>
      <c r="P101" s="46" t="str">
        <f>'Inputs (2)'!K11</f>
        <v/>
      </c>
      <c r="Q101" s="46" t="str">
        <f>'Inputs (2)'!L11</f>
        <v/>
      </c>
      <c r="R101" s="12" t="str">
        <f>'Inputs (2)'!M11</f>
        <v/>
      </c>
      <c r="S101" s="46" t="str">
        <f>'Inputs (2)'!N11</f>
        <v/>
      </c>
      <c r="T101" s="46" t="str">
        <f>'Inputs (2)'!O11</f>
        <v/>
      </c>
      <c r="U101" s="46" t="str">
        <f>'Inputs (2)'!P11</f>
        <v/>
      </c>
      <c r="V101" s="46" t="str">
        <f>'Inputs (2)'!Q11</f>
        <v/>
      </c>
      <c r="W101" s="12" t="str">
        <f>'Inputs (2)'!R11</f>
        <v/>
      </c>
      <c r="X101" s="46" t="str">
        <f>'Inputs (2)'!S11</f>
        <v/>
      </c>
      <c r="Y101" s="46" t="str">
        <f>'Inputs (2)'!T11</f>
        <v/>
      </c>
      <c r="Z101" s="46" t="str">
        <f>'Inputs (2)'!U11</f>
        <v/>
      </c>
      <c r="AA101" s="46" t="str">
        <f>'Inputs (2)'!V11</f>
        <v/>
      </c>
      <c r="AB101" s="12" t="str">
        <f>'Inputs (2)'!W11</f>
        <v/>
      </c>
      <c r="AC101" s="46" t="str">
        <f>'Inputs (2)'!X11</f>
        <v/>
      </c>
      <c r="AD101" s="46" t="str">
        <f>'Inputs (2)'!Y11</f>
        <v/>
      </c>
      <c r="AE101" s="46" t="str">
        <f>'Inputs (2)'!Z11</f>
        <v/>
      </c>
      <c r="AF101" s="46" t="str">
        <f>'Inputs (2)'!AA11</f>
        <v/>
      </c>
      <c r="AG101" s="12" t="str">
        <f>'Inputs (2)'!AB11</f>
        <v/>
      </c>
      <c r="AH101" s="12" t="str">
        <f>'Inputs (2)'!AC11</f>
        <v/>
      </c>
      <c r="AI101" s="12" t="str">
        <f>'Inputs (2)'!AD11</f>
        <v/>
      </c>
      <c r="AJ101" s="12">
        <f>0</f>
        <v>0</v>
      </c>
      <c r="AK101" s="12">
        <f>0</f>
        <v>0</v>
      </c>
      <c r="AL101" s="12">
        <f>SUM(AH101:AK101)</f>
        <v>0</v>
      </c>
      <c r="AM101" s="12">
        <f>0</f>
        <v>0</v>
      </c>
      <c r="AN101" s="12">
        <f>0</f>
        <v>0</v>
      </c>
      <c r="AO101" s="12">
        <f>0</f>
        <v>0</v>
      </c>
      <c r="AP101" s="12">
        <f>0</f>
        <v>0</v>
      </c>
      <c r="AQ101" s="12">
        <f>SUM(AM101:AP101)</f>
        <v>0</v>
      </c>
      <c r="AR101" s="12">
        <f>0</f>
        <v>0</v>
      </c>
      <c r="AS101" s="12">
        <f>0</f>
        <v>0</v>
      </c>
      <c r="AT101" s="12">
        <f>0</f>
        <v>0</v>
      </c>
      <c r="AU101" s="12">
        <f>0</f>
        <v>0</v>
      </c>
      <c r="AV101" s="12">
        <f>SUM(AR101:AU101)</f>
        <v>0</v>
      </c>
      <c r="AW101" s="12">
        <f>0</f>
        <v>0</v>
      </c>
      <c r="AX101" s="12">
        <f>0</f>
        <v>0</v>
      </c>
      <c r="AY101" s="12">
        <f>0</f>
        <v>0</v>
      </c>
      <c r="AZ101" s="12">
        <f>0</f>
        <v>0</v>
      </c>
      <c r="BA101" s="12">
        <f>SUM(AW101:AZ101)</f>
        <v>0</v>
      </c>
      <c r="BB101" s="12">
        <f>0</f>
        <v>0</v>
      </c>
      <c r="BC101" s="12">
        <f>0</f>
        <v>0</v>
      </c>
      <c r="BD101" s="12">
        <f>0</f>
        <v>0</v>
      </c>
      <c r="BE101" s="12">
        <f>0</f>
        <v>0</v>
      </c>
      <c r="BF101" s="12">
        <f>SUM(BB101:BE101)</f>
        <v>0</v>
      </c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</row>
    <row r="102" spans="1:103" x14ac:dyDescent="0.2">
      <c r="C102" s="14" t="s">
        <v>44</v>
      </c>
      <c r="D102" s="46"/>
      <c r="E102" s="46"/>
      <c r="F102" s="46"/>
      <c r="G102" s="46"/>
      <c r="H102" s="12"/>
      <c r="I102" s="46" t="str">
        <f>'Inputs (2)'!D12</f>
        <v/>
      </c>
      <c r="J102" s="46" t="str">
        <f>'Inputs (2)'!E12</f>
        <v/>
      </c>
      <c r="K102" s="46" t="str">
        <f>'Inputs (2)'!F12</f>
        <v/>
      </c>
      <c r="L102" s="46" t="str">
        <f>'Inputs (2)'!G12</f>
        <v/>
      </c>
      <c r="M102" s="12" t="str">
        <f>'Inputs (2)'!H12</f>
        <v/>
      </c>
      <c r="N102" s="46" t="str">
        <f>'Inputs (2)'!I12</f>
        <v/>
      </c>
      <c r="O102" s="46" t="str">
        <f>'Inputs (2)'!J12</f>
        <v/>
      </c>
      <c r="P102" s="46" t="str">
        <f>'Inputs (2)'!K12</f>
        <v/>
      </c>
      <c r="Q102" s="46" t="str">
        <f>'Inputs (2)'!L12</f>
        <v/>
      </c>
      <c r="R102" s="12" t="str">
        <f>'Inputs (2)'!M12</f>
        <v/>
      </c>
      <c r="S102" s="46" t="str">
        <f>'Inputs (2)'!N12</f>
        <v/>
      </c>
      <c r="T102" s="46" t="str">
        <f>'Inputs (2)'!O12</f>
        <v/>
      </c>
      <c r="U102" s="46" t="str">
        <f>'Inputs (2)'!P12</f>
        <v/>
      </c>
      <c r="V102" s="46" t="str">
        <f>'Inputs (2)'!Q12</f>
        <v/>
      </c>
      <c r="W102" s="12" t="str">
        <f>'Inputs (2)'!R12</f>
        <v/>
      </c>
      <c r="X102" s="46" t="str">
        <f>'Inputs (2)'!S12</f>
        <v/>
      </c>
      <c r="Y102" s="46" t="str">
        <f>'Inputs (2)'!T12</f>
        <v/>
      </c>
      <c r="Z102" s="46" t="str">
        <f>'Inputs (2)'!U12</f>
        <v/>
      </c>
      <c r="AA102" s="46" t="str">
        <f>'Inputs (2)'!V12</f>
        <v/>
      </c>
      <c r="AB102" s="12" t="str">
        <f>'Inputs (2)'!W12</f>
        <v/>
      </c>
      <c r="AC102" s="46" t="str">
        <f>'Inputs (2)'!X12</f>
        <v/>
      </c>
      <c r="AD102" s="46" t="str">
        <f>'Inputs (2)'!Y12</f>
        <v/>
      </c>
      <c r="AE102" s="46" t="str">
        <f>'Inputs (2)'!Z12</f>
        <v/>
      </c>
      <c r="AF102" s="46" t="str">
        <f>'Inputs (2)'!AA12</f>
        <v/>
      </c>
      <c r="AG102" s="12" t="str">
        <f>'Inputs (2)'!AB12</f>
        <v/>
      </c>
      <c r="AH102" s="12" t="str">
        <f>'Inputs (2)'!AC12</f>
        <v/>
      </c>
      <c r="AI102" s="12" t="str">
        <f>'Inputs (2)'!AD12</f>
        <v/>
      </c>
      <c r="AJ102" s="12">
        <f>0</f>
        <v>0</v>
      </c>
      <c r="AK102" s="12">
        <f>0</f>
        <v>0</v>
      </c>
      <c r="AL102" s="12">
        <f>SUM(AH102:AK102)</f>
        <v>0</v>
      </c>
      <c r="AM102" s="12">
        <f>0</f>
        <v>0</v>
      </c>
      <c r="AN102" s="12">
        <f>0</f>
        <v>0</v>
      </c>
      <c r="AO102" s="12">
        <f>0</f>
        <v>0</v>
      </c>
      <c r="AP102" s="12">
        <f>0</f>
        <v>0</v>
      </c>
      <c r="AQ102" s="12">
        <f>SUM(AM102:AP102)</f>
        <v>0</v>
      </c>
      <c r="AR102" s="12">
        <f>0</f>
        <v>0</v>
      </c>
      <c r="AS102" s="12">
        <f>0</f>
        <v>0</v>
      </c>
      <c r="AT102" s="12">
        <f>0</f>
        <v>0</v>
      </c>
      <c r="AU102" s="12">
        <f>0</f>
        <v>0</v>
      </c>
      <c r="AV102" s="12">
        <f>SUM(AR102:AU102)</f>
        <v>0</v>
      </c>
      <c r="AW102" s="12">
        <f>0</f>
        <v>0</v>
      </c>
      <c r="AX102" s="12">
        <f>0</f>
        <v>0</v>
      </c>
      <c r="AY102" s="12">
        <f>0</f>
        <v>0</v>
      </c>
      <c r="AZ102" s="12">
        <f>0</f>
        <v>0</v>
      </c>
      <c r="BA102" s="12">
        <f>SUM(AW102:AZ102)</f>
        <v>0</v>
      </c>
      <c r="BB102" s="12">
        <f>0</f>
        <v>0</v>
      </c>
      <c r="BC102" s="12">
        <f>0</f>
        <v>0</v>
      </c>
      <c r="BD102" s="12">
        <f>0</f>
        <v>0</v>
      </c>
      <c r="BE102" s="12">
        <f>0</f>
        <v>0</v>
      </c>
      <c r="BF102" s="12">
        <f>SUM(BB102:BE102)</f>
        <v>0</v>
      </c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</row>
    <row r="103" spans="1:103" s="32" customFormat="1" x14ac:dyDescent="0.2">
      <c r="A103" s="30"/>
      <c r="B103" s="3"/>
      <c r="C103" s="33" t="s">
        <v>135</v>
      </c>
      <c r="D103" s="35"/>
      <c r="E103" s="35"/>
      <c r="F103" s="35"/>
      <c r="G103" s="35"/>
      <c r="H103" s="35"/>
      <c r="I103" s="35">
        <f>SUM(I96,I97,I101,I102)</f>
        <v>0</v>
      </c>
      <c r="J103" s="35">
        <f>SUM(J96,J97,J101,J102)</f>
        <v>0</v>
      </c>
      <c r="K103" s="35">
        <f>SUM(K96,K97,K101,K102)</f>
        <v>0</v>
      </c>
      <c r="L103" s="35">
        <f>SUM(L96,L97,L101,L102)</f>
        <v>0</v>
      </c>
      <c r="M103" s="35">
        <f>SUM(I103:L103)</f>
        <v>0</v>
      </c>
      <c r="N103" s="35">
        <f>SUM(N96,N97,N101,N102)</f>
        <v>0</v>
      </c>
      <c r="O103" s="35">
        <f>SUM(O96,O97,O101,O102)</f>
        <v>0</v>
      </c>
      <c r="P103" s="35">
        <f>SUM(P96,P97,P101,P102)</f>
        <v>0</v>
      </c>
      <c r="Q103" s="35">
        <f>SUM(Q96,Q97,Q101,Q102)</f>
        <v>0</v>
      </c>
      <c r="R103" s="35">
        <f>SUM(N103:Q103)</f>
        <v>0</v>
      </c>
      <c r="S103" s="35">
        <f>SUM(S96,S97,S101,S102)</f>
        <v>0</v>
      </c>
      <c r="T103" s="35">
        <f>SUM(T96,T97,T101,T102)</f>
        <v>0</v>
      </c>
      <c r="U103" s="35">
        <f>SUM(U96,U97,U101,U102)</f>
        <v>0</v>
      </c>
      <c r="V103" s="35">
        <f>SUM(V96,V97,V101,V102)</f>
        <v>0</v>
      </c>
      <c r="W103" s="35">
        <f>SUM(S103:V103)</f>
        <v>0</v>
      </c>
      <c r="X103" s="35">
        <f>SUM(X96,X97,X101,X102)</f>
        <v>0</v>
      </c>
      <c r="Y103" s="35">
        <f>SUM(Y96,Y97,Y101,Y102)</f>
        <v>0</v>
      </c>
      <c r="Z103" s="35">
        <f>SUM(Z96,Z97,Z101,Z102)</f>
        <v>0</v>
      </c>
      <c r="AA103" s="35">
        <f>SUM(AA96,AA97,AA101,AA102)</f>
        <v>0</v>
      </c>
      <c r="AB103" s="35">
        <f>SUM(X103:AA103)</f>
        <v>0</v>
      </c>
      <c r="AC103" s="35">
        <f>SUM(AC96,AC97,AC101,AC102)</f>
        <v>0</v>
      </c>
      <c r="AD103" s="35">
        <f>SUM(AD96,AD97,AD101,AD102)</f>
        <v>0</v>
      </c>
      <c r="AE103" s="35">
        <f>SUM(AE96,AE97,AE101,AE102)</f>
        <v>0</v>
      </c>
      <c r="AF103" s="35">
        <f>SUM(AF96,AF97,AF101,AF102)</f>
        <v>0</v>
      </c>
      <c r="AG103" s="35">
        <f>SUM(AC103:AF103)</f>
        <v>0</v>
      </c>
      <c r="AH103" s="35">
        <f>SUM(AH96,AH97,AH101,AH102)</f>
        <v>0</v>
      </c>
      <c r="AI103" s="35">
        <f>SUM(AI96,AI97,AI101,AI102)</f>
        <v>0</v>
      </c>
      <c r="AJ103" s="35" t="e">
        <f>SUM(AJ96,AJ97,AJ101,AJ102)</f>
        <v>#VALUE!</v>
      </c>
      <c r="AK103" s="35" t="e">
        <f>SUM(AK96,AK97,AK101,AK102)</f>
        <v>#VALUE!</v>
      </c>
      <c r="AL103" s="35" t="e">
        <f>SUM(AH103:AK103)</f>
        <v>#VALUE!</v>
      </c>
      <c r="AM103" s="35" t="e">
        <f>SUM(AM96,AM97,AM101,AM102)</f>
        <v>#VALUE!</v>
      </c>
      <c r="AN103" s="35" t="e">
        <f>SUM(AN96,AN97,AN101,AN102)</f>
        <v>#VALUE!</v>
      </c>
      <c r="AO103" s="35" t="e">
        <f>SUM(AO96,AO97,AO101,AO102)</f>
        <v>#VALUE!</v>
      </c>
      <c r="AP103" s="35" t="e">
        <f>SUM(AP96,AP97,AP101,AP102)</f>
        <v>#VALUE!</v>
      </c>
      <c r="AQ103" s="35" t="e">
        <f>SUM(AM103:AP103)</f>
        <v>#VALUE!</v>
      </c>
      <c r="AR103" s="35" t="e">
        <f>SUM(AR96,AR97,AR101,AR102)</f>
        <v>#VALUE!</v>
      </c>
      <c r="AS103" s="35" t="e">
        <f>SUM(AS96,AS97,AS101,AS102)</f>
        <v>#VALUE!</v>
      </c>
      <c r="AT103" s="35" t="e">
        <f>SUM(AT96,AT97,AT101,AT102)</f>
        <v>#VALUE!</v>
      </c>
      <c r="AU103" s="35" t="e">
        <f>SUM(AU96,AU97,AU101,AU102)</f>
        <v>#VALUE!</v>
      </c>
      <c r="AV103" s="35" t="e">
        <f>SUM(AR103:AU103)</f>
        <v>#VALUE!</v>
      </c>
      <c r="AW103" s="35" t="e">
        <f>SUM(AW96,AW97,AW101,AW102)</f>
        <v>#VALUE!</v>
      </c>
      <c r="AX103" s="35" t="e">
        <f>SUM(AX96,AX97,AX101,AX102)</f>
        <v>#VALUE!</v>
      </c>
      <c r="AY103" s="35" t="e">
        <f>SUM(AY96,AY97,AY101,AY102)</f>
        <v>#VALUE!</v>
      </c>
      <c r="AZ103" s="35" t="e">
        <f>SUM(AZ96,AZ97,AZ101,AZ102)</f>
        <v>#VALUE!</v>
      </c>
      <c r="BA103" s="35" t="e">
        <f>SUM(AW103:AZ103)</f>
        <v>#VALUE!</v>
      </c>
      <c r="BB103" s="35" t="e">
        <f>SUM(BB96,BB97,BB101,BB102)</f>
        <v>#VALUE!</v>
      </c>
      <c r="BC103" s="35" t="e">
        <f>SUM(BC96,BC97,BC101,BC102)</f>
        <v>#VALUE!</v>
      </c>
      <c r="BD103" s="35" t="e">
        <f>SUM(BD96,BD97,BD101,BD102)</f>
        <v>#VALUE!</v>
      </c>
      <c r="BE103" s="35" t="e">
        <f>SUM(BE96,BE97,BE101,BE102)</f>
        <v>#VALUE!</v>
      </c>
      <c r="BF103" s="35" t="e">
        <f>SUM(BB103:BE103)</f>
        <v>#VALUE!</v>
      </c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</row>
    <row r="104" spans="1:103" x14ac:dyDescent="0.2">
      <c r="C104" s="13" t="s">
        <v>45</v>
      </c>
      <c r="D104" s="46"/>
      <c r="E104" s="46"/>
      <c r="F104" s="46"/>
      <c r="G104" s="46"/>
      <c r="H104" s="12"/>
      <c r="I104" s="46" t="str">
        <f>'Inputs (2)'!D13</f>
        <v/>
      </c>
      <c r="J104" s="46" t="str">
        <f>'Inputs (2)'!E13</f>
        <v/>
      </c>
      <c r="K104" s="46" t="str">
        <f>'Inputs (2)'!F13</f>
        <v/>
      </c>
      <c r="L104" s="46" t="str">
        <f>'Inputs (2)'!G13</f>
        <v/>
      </c>
      <c r="M104" s="12" t="str">
        <f>'Inputs (2)'!H13</f>
        <v/>
      </c>
      <c r="N104" s="46" t="str">
        <f>'Inputs (2)'!I13</f>
        <v/>
      </c>
      <c r="O104" s="46" t="str">
        <f>'Inputs (2)'!J13</f>
        <v/>
      </c>
      <c r="P104" s="46" t="str">
        <f>'Inputs (2)'!K13</f>
        <v/>
      </c>
      <c r="Q104" s="46" t="str">
        <f>'Inputs (2)'!L13</f>
        <v/>
      </c>
      <c r="R104" s="12" t="str">
        <f>'Inputs (2)'!M13</f>
        <v/>
      </c>
      <c r="S104" s="46" t="str">
        <f>'Inputs (2)'!N13</f>
        <v/>
      </c>
      <c r="T104" s="46" t="str">
        <f>'Inputs (2)'!O13</f>
        <v/>
      </c>
      <c r="U104" s="46" t="str">
        <f>'Inputs (2)'!P13</f>
        <v/>
      </c>
      <c r="V104" s="46" t="str">
        <f>'Inputs (2)'!Q13</f>
        <v/>
      </c>
      <c r="W104" s="12" t="str">
        <f>'Inputs (2)'!R13</f>
        <v/>
      </c>
      <c r="X104" s="46" t="str">
        <f>'Inputs (2)'!S13</f>
        <v/>
      </c>
      <c r="Y104" s="46" t="str">
        <f>'Inputs (2)'!T13</f>
        <v/>
      </c>
      <c r="Z104" s="46" t="str">
        <f>'Inputs (2)'!U13</f>
        <v/>
      </c>
      <c r="AA104" s="46" t="str">
        <f>'Inputs (2)'!V13</f>
        <v/>
      </c>
      <c r="AB104" s="12" t="str">
        <f>'Inputs (2)'!W13</f>
        <v/>
      </c>
      <c r="AC104" s="46" t="str">
        <f>'Inputs (2)'!X13</f>
        <v/>
      </c>
      <c r="AD104" s="46" t="str">
        <f>'Inputs (2)'!Y13</f>
        <v/>
      </c>
      <c r="AE104" s="46" t="str">
        <f>'Inputs (2)'!Z13</f>
        <v/>
      </c>
      <c r="AF104" s="46" t="str">
        <f>'Inputs (2)'!AA13</f>
        <v/>
      </c>
      <c r="AG104" s="12" t="str">
        <f>'Inputs (2)'!AB13</f>
        <v/>
      </c>
      <c r="AH104" s="12" t="str">
        <f>'Inputs (2)'!AC13</f>
        <v/>
      </c>
      <c r="AI104" s="12" t="str">
        <f>'Inputs (2)'!AD13</f>
        <v/>
      </c>
      <c r="AJ104" s="12" t="e">
        <f>-MAX(0,AJ103)*Control!$E$15</f>
        <v>#VALUE!</v>
      </c>
      <c r="AK104" s="12" t="e">
        <f>-MAX(0,AK103)*Control!$E$15</f>
        <v>#VALUE!</v>
      </c>
      <c r="AL104" s="12" t="e">
        <f>SUM(AH104:AK104)</f>
        <v>#VALUE!</v>
      </c>
      <c r="AM104" s="12" t="e">
        <f>-MAX(0,AM103)*Control!$E$15</f>
        <v>#VALUE!</v>
      </c>
      <c r="AN104" s="12" t="e">
        <f>-MAX(0,AN103)*Control!$E$15</f>
        <v>#VALUE!</v>
      </c>
      <c r="AO104" s="12" t="e">
        <f>-MAX(0,AO103)*Control!$E$15</f>
        <v>#VALUE!</v>
      </c>
      <c r="AP104" s="12" t="e">
        <f>-MAX(0,AP103)*Control!$E$15</f>
        <v>#VALUE!</v>
      </c>
      <c r="AQ104" s="12" t="e">
        <f>SUM(AM104:AP104)</f>
        <v>#VALUE!</v>
      </c>
      <c r="AR104" s="12" t="e">
        <f>-MAX(0,AR103)*Control!$E$15</f>
        <v>#VALUE!</v>
      </c>
      <c r="AS104" s="12" t="e">
        <f>-MAX(0,AS103)*Control!$E$15</f>
        <v>#VALUE!</v>
      </c>
      <c r="AT104" s="12" t="e">
        <f>-MAX(0,AT103)*Control!$E$15</f>
        <v>#VALUE!</v>
      </c>
      <c r="AU104" s="12" t="e">
        <f>-MAX(0,AU103)*Control!$E$15</f>
        <v>#VALUE!</v>
      </c>
      <c r="AV104" s="12" t="e">
        <f>SUM(AR104:AU104)</f>
        <v>#VALUE!</v>
      </c>
      <c r="AW104" s="12" t="e">
        <f>-MAX(0,AW103)*Control!$E$15</f>
        <v>#VALUE!</v>
      </c>
      <c r="AX104" s="12" t="e">
        <f>-MAX(0,AX103)*Control!$E$15</f>
        <v>#VALUE!</v>
      </c>
      <c r="AY104" s="12" t="e">
        <f>-MAX(0,AY103)*Control!$E$15</f>
        <v>#VALUE!</v>
      </c>
      <c r="AZ104" s="12" t="e">
        <f>-MAX(0,AZ103)*Control!$E$15</f>
        <v>#VALUE!</v>
      </c>
      <c r="BA104" s="12" t="e">
        <f>SUM(AW104:AZ104)</f>
        <v>#VALUE!</v>
      </c>
      <c r="BB104" s="12" t="e">
        <f>-MAX(0,BB103)*Control!$E$15</f>
        <v>#VALUE!</v>
      </c>
      <c r="BC104" s="12" t="e">
        <f>-MAX(0,BC103)*Control!$E$15</f>
        <v>#VALUE!</v>
      </c>
      <c r="BD104" s="12" t="e">
        <f>-MAX(0,BD103)*Control!$E$15</f>
        <v>#VALUE!</v>
      </c>
      <c r="BE104" s="12" t="e">
        <f>-MAX(0,BE103)*Control!$E$15</f>
        <v>#VALUE!</v>
      </c>
      <c r="BF104" s="12" t="e">
        <f>SUM(BB104:BE104)</f>
        <v>#VALUE!</v>
      </c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</row>
    <row r="105" spans="1:103" hidden="1" outlineLevel="1" x14ac:dyDescent="0.2">
      <c r="C105" s="50" t="s">
        <v>136</v>
      </c>
      <c r="D105" s="58"/>
      <c r="E105" s="58"/>
      <c r="F105" s="58"/>
      <c r="G105" s="58"/>
      <c r="H105" s="58"/>
      <c r="I105" s="58" t="str">
        <f t="shared" ref="I105:AN105" si="14">IF(I103=0,"",-I104/I103)</f>
        <v/>
      </c>
      <c r="J105" s="58" t="str">
        <f t="shared" si="14"/>
        <v/>
      </c>
      <c r="K105" s="58" t="str">
        <f t="shared" si="14"/>
        <v/>
      </c>
      <c r="L105" s="58" t="str">
        <f t="shared" si="14"/>
        <v/>
      </c>
      <c r="M105" s="58" t="str">
        <f t="shared" si="14"/>
        <v/>
      </c>
      <c r="N105" s="58" t="str">
        <f t="shared" si="14"/>
        <v/>
      </c>
      <c r="O105" s="58" t="str">
        <f t="shared" si="14"/>
        <v/>
      </c>
      <c r="P105" s="58" t="str">
        <f t="shared" si="14"/>
        <v/>
      </c>
      <c r="Q105" s="58" t="str">
        <f t="shared" si="14"/>
        <v/>
      </c>
      <c r="R105" s="58" t="str">
        <f t="shared" si="14"/>
        <v/>
      </c>
      <c r="S105" s="58" t="str">
        <f t="shared" si="14"/>
        <v/>
      </c>
      <c r="T105" s="58" t="str">
        <f t="shared" si="14"/>
        <v/>
      </c>
      <c r="U105" s="58" t="str">
        <f t="shared" si="14"/>
        <v/>
      </c>
      <c r="V105" s="58" t="str">
        <f t="shared" si="14"/>
        <v/>
      </c>
      <c r="W105" s="58" t="str">
        <f t="shared" si="14"/>
        <v/>
      </c>
      <c r="X105" s="58" t="str">
        <f t="shared" si="14"/>
        <v/>
      </c>
      <c r="Y105" s="58" t="str">
        <f t="shared" si="14"/>
        <v/>
      </c>
      <c r="Z105" s="58" t="str">
        <f t="shared" si="14"/>
        <v/>
      </c>
      <c r="AA105" s="58" t="str">
        <f t="shared" si="14"/>
        <v/>
      </c>
      <c r="AB105" s="58" t="str">
        <f t="shared" si="14"/>
        <v/>
      </c>
      <c r="AC105" s="58" t="str">
        <f t="shared" si="14"/>
        <v/>
      </c>
      <c r="AD105" s="58" t="str">
        <f t="shared" si="14"/>
        <v/>
      </c>
      <c r="AE105" s="58" t="str">
        <f t="shared" si="14"/>
        <v/>
      </c>
      <c r="AF105" s="41" t="str">
        <f t="shared" si="14"/>
        <v/>
      </c>
      <c r="AG105" s="12" t="str">
        <f t="shared" si="14"/>
        <v/>
      </c>
      <c r="AH105" s="41" t="str">
        <f t="shared" si="14"/>
        <v/>
      </c>
      <c r="AI105" s="41" t="str">
        <f t="shared" si="14"/>
        <v/>
      </c>
      <c r="AJ105" s="41" t="e">
        <f t="shared" si="14"/>
        <v>#VALUE!</v>
      </c>
      <c r="AK105" s="41" t="e">
        <f t="shared" si="14"/>
        <v>#VALUE!</v>
      </c>
      <c r="AL105" s="12" t="e">
        <f t="shared" si="14"/>
        <v>#VALUE!</v>
      </c>
      <c r="AM105" s="41" t="e">
        <f t="shared" si="14"/>
        <v>#VALUE!</v>
      </c>
      <c r="AN105" s="41" t="e">
        <f t="shared" si="14"/>
        <v>#VALUE!</v>
      </c>
      <c r="AO105" s="41" t="e">
        <f t="shared" ref="AO105:BF105" si="15">IF(AO103=0,"",-AO104/AO103)</f>
        <v>#VALUE!</v>
      </c>
      <c r="AP105" s="41" t="e">
        <f t="shared" si="15"/>
        <v>#VALUE!</v>
      </c>
      <c r="AQ105" s="12" t="e">
        <f t="shared" si="15"/>
        <v>#VALUE!</v>
      </c>
      <c r="AR105" s="41" t="e">
        <f t="shared" si="15"/>
        <v>#VALUE!</v>
      </c>
      <c r="AS105" s="41" t="e">
        <f t="shared" si="15"/>
        <v>#VALUE!</v>
      </c>
      <c r="AT105" s="41" t="e">
        <f t="shared" si="15"/>
        <v>#VALUE!</v>
      </c>
      <c r="AU105" s="41" t="e">
        <f t="shared" si="15"/>
        <v>#VALUE!</v>
      </c>
      <c r="AV105" s="12" t="e">
        <f t="shared" si="15"/>
        <v>#VALUE!</v>
      </c>
      <c r="AW105" s="41" t="e">
        <f t="shared" si="15"/>
        <v>#VALUE!</v>
      </c>
      <c r="AX105" s="41" t="e">
        <f t="shared" si="15"/>
        <v>#VALUE!</v>
      </c>
      <c r="AY105" s="41" t="e">
        <f t="shared" si="15"/>
        <v>#VALUE!</v>
      </c>
      <c r="AZ105" s="41" t="e">
        <f t="shared" si="15"/>
        <v>#VALUE!</v>
      </c>
      <c r="BA105" s="12" t="e">
        <f t="shared" si="15"/>
        <v>#VALUE!</v>
      </c>
      <c r="BB105" s="41" t="e">
        <f t="shared" si="15"/>
        <v>#VALUE!</v>
      </c>
      <c r="BC105" s="41" t="e">
        <f t="shared" si="15"/>
        <v>#VALUE!</v>
      </c>
      <c r="BD105" s="41" t="e">
        <f t="shared" si="15"/>
        <v>#VALUE!</v>
      </c>
      <c r="BE105" s="41" t="e">
        <f t="shared" si="15"/>
        <v>#VALUE!</v>
      </c>
      <c r="BF105" s="12" t="e">
        <f t="shared" si="15"/>
        <v>#VALUE!</v>
      </c>
      <c r="BG105" s="41"/>
      <c r="BH105" s="41"/>
      <c r="BI105" s="41"/>
      <c r="BJ105" s="41"/>
      <c r="BK105" s="12"/>
      <c r="BL105" s="41"/>
      <c r="BM105" s="41"/>
      <c r="BN105" s="41"/>
      <c r="BO105" s="41"/>
      <c r="BP105" s="12"/>
      <c r="BQ105" s="41"/>
      <c r="BR105" s="41"/>
      <c r="BS105" s="41"/>
      <c r="BT105" s="41"/>
      <c r="BU105" s="12"/>
      <c r="BV105" s="41"/>
      <c r="BW105" s="41"/>
      <c r="BX105" s="41"/>
      <c r="BY105" s="41"/>
      <c r="BZ105" s="12"/>
      <c r="CA105" s="41"/>
      <c r="CB105" s="41"/>
      <c r="CC105" s="41"/>
      <c r="CD105" s="41"/>
      <c r="CE105" s="12"/>
      <c r="CF105" s="41"/>
      <c r="CG105" s="41"/>
      <c r="CH105" s="41"/>
      <c r="CI105" s="41"/>
      <c r="CJ105" s="12"/>
      <c r="CK105" s="41"/>
      <c r="CL105" s="41"/>
      <c r="CM105" s="41"/>
      <c r="CN105" s="41"/>
      <c r="CO105" s="12"/>
      <c r="CP105" s="41"/>
      <c r="CQ105" s="41"/>
      <c r="CR105" s="41"/>
      <c r="CS105" s="41"/>
      <c r="CT105" s="12"/>
      <c r="CU105" s="41"/>
      <c r="CV105" s="41"/>
      <c r="CW105" s="41"/>
      <c r="CX105" s="41"/>
      <c r="CY105" s="12"/>
    </row>
    <row r="106" spans="1:103" hidden="1" outlineLevel="1" x14ac:dyDescent="0.2">
      <c r="C106" s="1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spans="1:103" hidden="1" outlineLevel="1" x14ac:dyDescent="0.2">
      <c r="C107" s="1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spans="1:103" ht="11.25" customHeight="1" collapsed="1" x14ac:dyDescent="0.2">
      <c r="C108" s="31" t="s">
        <v>137</v>
      </c>
      <c r="D108" s="31"/>
      <c r="E108" s="31"/>
      <c r="F108" s="31"/>
      <c r="G108" s="31"/>
      <c r="H108" s="31"/>
      <c r="I108" s="31" t="str">
        <f t="shared" ref="I108:AN108" si="16">I13</f>
        <v>1Q21</v>
      </c>
      <c r="J108" s="31" t="str">
        <f t="shared" si="16"/>
        <v>2Q21</v>
      </c>
      <c r="K108" s="31" t="str">
        <f t="shared" si="16"/>
        <v>3Q21</v>
      </c>
      <c r="L108" s="31" t="str">
        <f t="shared" si="16"/>
        <v>4Q21</v>
      </c>
      <c r="M108" s="31">
        <f t="shared" si="16"/>
        <v>2021</v>
      </c>
      <c r="N108" s="31" t="str">
        <f t="shared" si="16"/>
        <v>1Q22</v>
      </c>
      <c r="O108" s="31" t="str">
        <f t="shared" si="16"/>
        <v>2Q22</v>
      </c>
      <c r="P108" s="31" t="str">
        <f t="shared" si="16"/>
        <v>3Q22</v>
      </c>
      <c r="Q108" s="31" t="str">
        <f t="shared" si="16"/>
        <v>4Q22</v>
      </c>
      <c r="R108" s="31">
        <f t="shared" si="16"/>
        <v>2022</v>
      </c>
      <c r="S108" s="31" t="str">
        <f t="shared" si="16"/>
        <v>1Q23</v>
      </c>
      <c r="T108" s="31" t="str">
        <f t="shared" si="16"/>
        <v>2Q23</v>
      </c>
      <c r="U108" s="31" t="str">
        <f t="shared" si="16"/>
        <v>3Q23</v>
      </c>
      <c r="V108" s="31" t="str">
        <f t="shared" si="16"/>
        <v>4Q23</v>
      </c>
      <c r="W108" s="31">
        <f t="shared" si="16"/>
        <v>2023</v>
      </c>
      <c r="X108" s="31" t="str">
        <f t="shared" si="16"/>
        <v>1Q24</v>
      </c>
      <c r="Y108" s="31" t="str">
        <f t="shared" si="16"/>
        <v>2Q24</v>
      </c>
      <c r="Z108" s="31" t="str">
        <f t="shared" si="16"/>
        <v>3Q24</v>
      </c>
      <c r="AA108" s="31" t="str">
        <f t="shared" si="16"/>
        <v>4Q24</v>
      </c>
      <c r="AB108" s="31">
        <f t="shared" si="16"/>
        <v>2024</v>
      </c>
      <c r="AC108" s="31" t="str">
        <f t="shared" si="16"/>
        <v>1Q25</v>
      </c>
      <c r="AD108" s="31" t="str">
        <f t="shared" si="16"/>
        <v>2Q25</v>
      </c>
      <c r="AE108" s="31" t="str">
        <f t="shared" si="16"/>
        <v>3Q25</v>
      </c>
      <c r="AF108" s="31" t="str">
        <f t="shared" si="16"/>
        <v>4Q25</v>
      </c>
      <c r="AG108" s="31">
        <f t="shared" si="16"/>
        <v>2025</v>
      </c>
      <c r="AH108" s="31" t="str">
        <f t="shared" si="16"/>
        <v>1Q26</v>
      </c>
      <c r="AI108" s="31" t="str">
        <f t="shared" si="16"/>
        <v>2Q26</v>
      </c>
      <c r="AJ108" s="31" t="str">
        <f t="shared" si="16"/>
        <v>3Q26</v>
      </c>
      <c r="AK108" s="31" t="str">
        <f t="shared" si="16"/>
        <v>4Q26</v>
      </c>
      <c r="AL108" s="31">
        <f t="shared" si="16"/>
        <v>2026</v>
      </c>
      <c r="AM108" s="31" t="str">
        <f t="shared" si="16"/>
        <v>1Q27</v>
      </c>
      <c r="AN108" s="31" t="str">
        <f t="shared" si="16"/>
        <v>2Q27</v>
      </c>
      <c r="AO108" s="31" t="str">
        <f t="shared" ref="AO108:BF108" si="17">AO13</f>
        <v>3Q27</v>
      </c>
      <c r="AP108" s="31" t="str">
        <f t="shared" si="17"/>
        <v>4Q27</v>
      </c>
      <c r="AQ108" s="31">
        <f t="shared" si="17"/>
        <v>2027</v>
      </c>
      <c r="AR108" s="31" t="str">
        <f t="shared" si="17"/>
        <v>1Q28</v>
      </c>
      <c r="AS108" s="31" t="str">
        <f t="shared" si="17"/>
        <v>2Q28</v>
      </c>
      <c r="AT108" s="31" t="str">
        <f t="shared" si="17"/>
        <v>3Q28</v>
      </c>
      <c r="AU108" s="31" t="str">
        <f t="shared" si="17"/>
        <v>4Q28</v>
      </c>
      <c r="AV108" s="31">
        <f t="shared" si="17"/>
        <v>2028</v>
      </c>
      <c r="AW108" s="31" t="str">
        <f t="shared" si="17"/>
        <v>1Q29</v>
      </c>
      <c r="AX108" s="31" t="str">
        <f t="shared" si="17"/>
        <v>2Q29</v>
      </c>
      <c r="AY108" s="31" t="str">
        <f t="shared" si="17"/>
        <v>3Q29</v>
      </c>
      <c r="AZ108" s="31" t="str">
        <f t="shared" si="17"/>
        <v>4Q29</v>
      </c>
      <c r="BA108" s="31">
        <f t="shared" si="17"/>
        <v>2029</v>
      </c>
      <c r="BB108" s="31" t="str">
        <f t="shared" si="17"/>
        <v>1Q30</v>
      </c>
      <c r="BC108" s="31" t="str">
        <f t="shared" si="17"/>
        <v>2Q30</v>
      </c>
      <c r="BD108" s="31" t="str">
        <f t="shared" si="17"/>
        <v>3Q30</v>
      </c>
      <c r="BE108" s="31" t="str">
        <f t="shared" si="17"/>
        <v>4Q30</v>
      </c>
      <c r="BF108" s="31">
        <f t="shared" si="17"/>
        <v>2030</v>
      </c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</row>
    <row r="109" spans="1:103" x14ac:dyDescent="0.2"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spans="1:103" x14ac:dyDescent="0.2">
      <c r="C110" s="13" t="s">
        <v>46</v>
      </c>
      <c r="D110" s="46"/>
      <c r="E110" s="46"/>
      <c r="F110" s="46"/>
      <c r="G110" s="46"/>
      <c r="H110" s="12"/>
      <c r="I110" s="46" t="str">
        <f>'Inputs (2)'!D15</f>
        <v/>
      </c>
      <c r="J110" s="46" t="str">
        <f>'Inputs (2)'!E15</f>
        <v/>
      </c>
      <c r="K110" s="46" t="str">
        <f>'Inputs (2)'!F15</f>
        <v/>
      </c>
      <c r="L110" s="46" t="str">
        <f>'Inputs (2)'!G15</f>
        <v/>
      </c>
      <c r="M110" s="12" t="str">
        <f>'Inputs (2)'!H15</f>
        <v/>
      </c>
      <c r="N110" s="46" t="str">
        <f>'Inputs (2)'!I15</f>
        <v/>
      </c>
      <c r="O110" s="46" t="str">
        <f>'Inputs (2)'!J15</f>
        <v/>
      </c>
      <c r="P110" s="46" t="str">
        <f>'Inputs (2)'!K15</f>
        <v/>
      </c>
      <c r="Q110" s="46" t="str">
        <f>'Inputs (2)'!L15</f>
        <v/>
      </c>
      <c r="R110" s="12" t="str">
        <f>'Inputs (2)'!M15</f>
        <v/>
      </c>
      <c r="S110" s="46" t="str">
        <f>'Inputs (2)'!N15</f>
        <v/>
      </c>
      <c r="T110" s="46" t="str">
        <f>'Inputs (2)'!O15</f>
        <v/>
      </c>
      <c r="U110" s="46" t="str">
        <f>'Inputs (2)'!P15</f>
        <v/>
      </c>
      <c r="V110" s="46" t="str">
        <f>'Inputs (2)'!Q15</f>
        <v/>
      </c>
      <c r="W110" s="12" t="str">
        <f>'Inputs (2)'!R15</f>
        <v/>
      </c>
      <c r="X110" s="46" t="str">
        <f>'Inputs (2)'!S15</f>
        <v/>
      </c>
      <c r="Y110" s="46" t="str">
        <f>'Inputs (2)'!T15</f>
        <v/>
      </c>
      <c r="Z110" s="46" t="str">
        <f>'Inputs (2)'!U15</f>
        <v/>
      </c>
      <c r="AA110" s="46" t="str">
        <f>'Inputs (2)'!V15</f>
        <v/>
      </c>
      <c r="AB110" s="12" t="str">
        <f>'Inputs (2)'!W15</f>
        <v/>
      </c>
      <c r="AC110" s="46" t="str">
        <f>'Inputs (2)'!X15</f>
        <v/>
      </c>
      <c r="AD110" s="46" t="str">
        <f>'Inputs (2)'!Y15</f>
        <v/>
      </c>
      <c r="AE110" s="46" t="str">
        <f>'Inputs (2)'!Z15</f>
        <v/>
      </c>
      <c r="AF110" s="46" t="str">
        <f>'Inputs (2)'!AA15</f>
        <v/>
      </c>
      <c r="AG110" s="12" t="str">
        <f>'Inputs (2)'!AB15</f>
        <v/>
      </c>
      <c r="AH110" s="12" t="str">
        <f>'Inputs (2)'!AC15</f>
        <v/>
      </c>
      <c r="AI110" s="12" t="str">
        <f>'Inputs (2)'!AD15</f>
        <v/>
      </c>
      <c r="AJ110" s="12" t="e">
        <f>AJ239-SUM(AJ111,AJ115,AJ119,AJ120,AJ121,AJ127,AJ132,AJ142,AJ145,AJ146,AJ155)</f>
        <v>#VALUE!</v>
      </c>
      <c r="AK110" s="12" t="e">
        <f>AK239-SUM(AK111,AK115,AK119,AK120,AK121,AK127,AK132,AK142,AK145,AK146,AK155)</f>
        <v>#VALUE!</v>
      </c>
      <c r="AL110" s="12" t="e">
        <f>AK110</f>
        <v>#VALUE!</v>
      </c>
      <c r="AM110" s="12" t="e">
        <f>AM239-SUM(AM111,AM115,AM119,AM120,AM121,AM127,AM132,AM142,AM145,AM146,AM155)</f>
        <v>#VALUE!</v>
      </c>
      <c r="AN110" s="12" t="e">
        <f>AN239-SUM(AN111,AN115,AN119,AN120,AN121,AN127,AN132,AN142,AN145,AN146,AN155)</f>
        <v>#VALUE!</v>
      </c>
      <c r="AO110" s="12" t="e">
        <f>AO239-SUM(AO111,AO115,AO119,AO120,AO121,AO127,AO132,AO142,AO145,AO146,AO155)</f>
        <v>#VALUE!</v>
      </c>
      <c r="AP110" s="12" t="e">
        <f>AP239-SUM(AP111,AP115,AP119,AP120,AP121,AP127,AP132,AP142,AP145,AP146,AP155)</f>
        <v>#VALUE!</v>
      </c>
      <c r="AQ110" s="12" t="e">
        <f>AP110</f>
        <v>#VALUE!</v>
      </c>
      <c r="AR110" s="12" t="e">
        <f>AR239-SUM(AR111,AR115,AR119,AR120,AR121,AR127,AR132,AR142,AR145,AR146,AR155)</f>
        <v>#VALUE!</v>
      </c>
      <c r="AS110" s="12" t="e">
        <f>AS239-SUM(AS111,AS115,AS119,AS120,AS121,AS127,AS132,AS142,AS145,AS146,AS155)</f>
        <v>#VALUE!</v>
      </c>
      <c r="AT110" s="12" t="e">
        <f>AT239-SUM(AT111,AT115,AT119,AT120,AT121,AT127,AT132,AT142,AT145,AT146,AT155)</f>
        <v>#VALUE!</v>
      </c>
      <c r="AU110" s="12" t="e">
        <f>AU239-SUM(AU111,AU115,AU119,AU120,AU121,AU127,AU132,AU142,AU145,AU146,AU155)</f>
        <v>#VALUE!</v>
      </c>
      <c r="AV110" s="12" t="e">
        <f>AU110</f>
        <v>#VALUE!</v>
      </c>
      <c r="AW110" s="12" t="e">
        <f>AW239-SUM(AW111,AW115,AW119,AW120,AW121,AW127,AW132,AW142,AW145,AW146,AW155)</f>
        <v>#VALUE!</v>
      </c>
      <c r="AX110" s="12" t="e">
        <f>AX239-SUM(AX111,AX115,AX119,AX120,AX121,AX127,AX132,AX142,AX145,AX146,AX155)</f>
        <v>#VALUE!</v>
      </c>
      <c r="AY110" s="12" t="e">
        <f>AY239-SUM(AY111,AY115,AY119,AY120,AY121,AY127,AY132,AY142,AY145,AY146,AY155)</f>
        <v>#VALUE!</v>
      </c>
      <c r="AZ110" s="12" t="e">
        <f>AZ239-SUM(AZ111,AZ115,AZ119,AZ120,AZ121,AZ127,AZ132,AZ142,AZ145,AZ146,AZ155)</f>
        <v>#VALUE!</v>
      </c>
      <c r="BA110" s="12" t="e">
        <f>AZ110</f>
        <v>#VALUE!</v>
      </c>
      <c r="BB110" s="12" t="e">
        <f>BB239-SUM(BB111,BB115,BB119,BB120,BB121,BB127,BB132,BB142,BB145,BB146,BB155)</f>
        <v>#VALUE!</v>
      </c>
      <c r="BC110" s="12" t="e">
        <f>BC239-SUM(BC111,BC115,BC119,BC120,BC121,BC127,BC132,BC142,BC145,BC146,BC155)</f>
        <v>#VALUE!</v>
      </c>
      <c r="BD110" s="12" t="e">
        <f>BD239-SUM(BD111,BD115,BD119,BD120,BD121,BD127,BD132,BD142,BD145,BD146,BD155)</f>
        <v>#VALUE!</v>
      </c>
      <c r="BE110" s="12" t="e">
        <f>BE239-SUM(BE111,BE115,BE119,BE120,BE121,BE127,BE132,BE142,BE145,BE146,BE155)</f>
        <v>#VALUE!</v>
      </c>
      <c r="BF110" s="12" t="e">
        <f>BE110</f>
        <v>#VALUE!</v>
      </c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</row>
    <row r="111" spans="1:103" x14ac:dyDescent="0.2">
      <c r="C111" s="14" t="s">
        <v>47</v>
      </c>
      <c r="D111" s="46"/>
      <c r="E111" s="46"/>
      <c r="F111" s="46"/>
      <c r="G111" s="46"/>
      <c r="H111" s="12"/>
      <c r="I111" s="46" t="str">
        <f>'Inputs (2)'!D16</f>
        <v/>
      </c>
      <c r="J111" s="46" t="str">
        <f>'Inputs (2)'!E16</f>
        <v/>
      </c>
      <c r="K111" s="46" t="str">
        <f>'Inputs (2)'!F16</f>
        <v/>
      </c>
      <c r="L111" s="46" t="str">
        <f>'Inputs (2)'!G16</f>
        <v/>
      </c>
      <c r="M111" s="12" t="str">
        <f>'Inputs (2)'!H16</f>
        <v/>
      </c>
      <c r="N111" s="46" t="str">
        <f>'Inputs (2)'!I16</f>
        <v/>
      </c>
      <c r="O111" s="46" t="str">
        <f>'Inputs (2)'!J16</f>
        <v/>
      </c>
      <c r="P111" s="46" t="str">
        <f>'Inputs (2)'!K16</f>
        <v/>
      </c>
      <c r="Q111" s="46" t="str">
        <f>'Inputs (2)'!L16</f>
        <v/>
      </c>
      <c r="R111" s="12" t="str">
        <f>'Inputs (2)'!M16</f>
        <v/>
      </c>
      <c r="S111" s="46" t="str">
        <f>'Inputs (2)'!N16</f>
        <v/>
      </c>
      <c r="T111" s="46" t="str">
        <f>'Inputs (2)'!O16</f>
        <v/>
      </c>
      <c r="U111" s="46" t="str">
        <f>'Inputs (2)'!P16</f>
        <v/>
      </c>
      <c r="V111" s="46" t="str">
        <f>'Inputs (2)'!Q16</f>
        <v/>
      </c>
      <c r="W111" s="12" t="str">
        <f>'Inputs (2)'!R16</f>
        <v/>
      </c>
      <c r="X111" s="46" t="str">
        <f>'Inputs (2)'!S16</f>
        <v/>
      </c>
      <c r="Y111" s="46" t="str">
        <f>'Inputs (2)'!T16</f>
        <v/>
      </c>
      <c r="Z111" s="46" t="str">
        <f>'Inputs (2)'!U16</f>
        <v/>
      </c>
      <c r="AA111" s="46" t="str">
        <f>'Inputs (2)'!V16</f>
        <v/>
      </c>
      <c r="AB111" s="12" t="str">
        <f>'Inputs (2)'!W16</f>
        <v/>
      </c>
      <c r="AC111" s="46" t="str">
        <f>'Inputs (2)'!X16</f>
        <v/>
      </c>
      <c r="AD111" s="46" t="str">
        <f>'Inputs (2)'!Y16</f>
        <v/>
      </c>
      <c r="AE111" s="46" t="str">
        <f>'Inputs (2)'!Z16</f>
        <v/>
      </c>
      <c r="AF111" s="46" t="str">
        <f>'Inputs (2)'!AA16</f>
        <v/>
      </c>
      <c r="AG111" s="12" t="str">
        <f>'Inputs (2)'!AB16</f>
        <v/>
      </c>
      <c r="AH111" s="12" t="str">
        <f>'Inputs (2)'!AC16</f>
        <v/>
      </c>
      <c r="AI111" s="12" t="str">
        <f>'Inputs (2)'!AD16</f>
        <v/>
      </c>
      <c r="AJ111" s="12" t="e">
        <f>(AJ112/(AJ$5-AI$5))*AJ$15</f>
        <v>#VALUE!</v>
      </c>
      <c r="AK111" s="12" t="e">
        <f>(AK112/(AK$5-AJ$5))*AK$15</f>
        <v>#VALUE!</v>
      </c>
      <c r="AL111" s="12" t="e">
        <f>AK111</f>
        <v>#VALUE!</v>
      </c>
      <c r="AM111" s="12" t="e">
        <f>(AM112/(AM$5-AL$5))*AM$15</f>
        <v>#VALUE!</v>
      </c>
      <c r="AN111" s="12" t="e">
        <f>(AN112/(AN$5-AM$5))*AN$15</f>
        <v>#VALUE!</v>
      </c>
      <c r="AO111" s="12" t="e">
        <f>(AO112/(AO$5-AN$5))*AO$15</f>
        <v>#VALUE!</v>
      </c>
      <c r="AP111" s="12" t="e">
        <f>(AP112/(AP$5-AO$5))*AP$15</f>
        <v>#VALUE!</v>
      </c>
      <c r="AQ111" s="12" t="e">
        <f>AP111</f>
        <v>#VALUE!</v>
      </c>
      <c r="AR111" s="12" t="e">
        <f>(AR112/(AR$5-AQ$5))*AR$15</f>
        <v>#VALUE!</v>
      </c>
      <c r="AS111" s="12" t="e">
        <f>(AS112/(AS$5-AR$5))*AS$15</f>
        <v>#VALUE!</v>
      </c>
      <c r="AT111" s="12" t="e">
        <f>(AT112/(AT$5-AS$5))*AT$15</f>
        <v>#VALUE!</v>
      </c>
      <c r="AU111" s="12" t="e">
        <f>(AU112/(AU$5-AT$5))*AU$15</f>
        <v>#VALUE!</v>
      </c>
      <c r="AV111" s="12" t="e">
        <f>AU111</f>
        <v>#VALUE!</v>
      </c>
      <c r="AW111" s="12" t="e">
        <f>(AW112/(AW$5-AV$5))*AW$15</f>
        <v>#VALUE!</v>
      </c>
      <c r="AX111" s="12" t="e">
        <f>(AX112/(AX$5-AW$5))*AX$15</f>
        <v>#VALUE!</v>
      </c>
      <c r="AY111" s="12" t="e">
        <f>(AY112/(AY$5-AX$5))*AY$15</f>
        <v>#VALUE!</v>
      </c>
      <c r="AZ111" s="12" t="e">
        <f>(AZ112/(AZ$5-AY$5))*AZ$15</f>
        <v>#VALUE!</v>
      </c>
      <c r="BA111" s="12" t="e">
        <f>AZ111</f>
        <v>#VALUE!</v>
      </c>
      <c r="BB111" s="12" t="e">
        <f>(BB112/(BB$5-BA$5))*BB$15</f>
        <v>#VALUE!</v>
      </c>
      <c r="BC111" s="12" t="e">
        <f>(BC112/(BC$5-BB$5))*BC$15</f>
        <v>#VALUE!</v>
      </c>
      <c r="BD111" s="12" t="e">
        <f>(BD112/(BD$5-BC$5))*BD$15</f>
        <v>#VALUE!</v>
      </c>
      <c r="BE111" s="12" t="e">
        <f>(BE112/(BE$5-BD$5))*BE$15</f>
        <v>#VALUE!</v>
      </c>
      <c r="BF111" s="12" t="e">
        <f>BE111</f>
        <v>#VALUE!</v>
      </c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</row>
    <row r="112" spans="1:103" hidden="1" outlineLevel="1" x14ac:dyDescent="0.2">
      <c r="C112" s="57" t="s">
        <v>138</v>
      </c>
      <c r="D112" s="12"/>
      <c r="E112" s="12"/>
      <c r="F112" s="12"/>
      <c r="G112" s="12"/>
      <c r="H112" s="12"/>
      <c r="I112" s="12" t="str">
        <f>IFERROR((I111/I$15)*(I$5-H$5),"")</f>
        <v/>
      </c>
      <c r="J112" s="12" t="str">
        <f>IFERROR((J111/J$15)*(J$5-I$5),"")</f>
        <v/>
      </c>
      <c r="K112" s="12" t="str">
        <f>IFERROR((K111/K$15)*(K$5-J$5),"")</f>
        <v/>
      </c>
      <c r="L112" s="12" t="str">
        <f>IFERROR((L111/L$15)*(L$5-K$5),"")</f>
        <v/>
      </c>
      <c r="M112" s="12"/>
      <c r="N112" s="12" t="str">
        <f>IFERROR((N111/N$15)*(N$5-M$5),"")</f>
        <v/>
      </c>
      <c r="O112" s="12" t="str">
        <f>IFERROR((O111/O$15)*(O$5-N$5),"")</f>
        <v/>
      </c>
      <c r="P112" s="12" t="str">
        <f>IFERROR((P111/P$15)*(P$5-O$5),"")</f>
        <v/>
      </c>
      <c r="Q112" s="12" t="str">
        <f>IFERROR((Q111/Q$15)*(Q$5-P$5),"")</f>
        <v/>
      </c>
      <c r="R112" s="12"/>
      <c r="S112" s="12" t="str">
        <f>IFERROR((S111/S$15)*(S$5-R$5),"")</f>
        <v/>
      </c>
      <c r="T112" s="12" t="str">
        <f>IFERROR((T111/T$15)*(T$5-S$5),"")</f>
        <v/>
      </c>
      <c r="U112" s="12" t="str">
        <f>IFERROR((U111/U$15)*(U$5-T$5),"")</f>
        <v/>
      </c>
      <c r="V112" s="12" t="str">
        <f>IFERROR((V111/V$15)*(V$5-U$5),"")</f>
        <v/>
      </c>
      <c r="W112" s="12"/>
      <c r="X112" s="12" t="str">
        <f>IFERROR((X111/X$15)*(X$5-W$5),"")</f>
        <v/>
      </c>
      <c r="Y112" s="12" t="str">
        <f>IFERROR((Y111/Y$15)*(Y$5-X$5),"")</f>
        <v/>
      </c>
      <c r="Z112" s="12" t="str">
        <f>IFERROR((Z111/Z$15)*(Z$5-Y$5),"")</f>
        <v/>
      </c>
      <c r="AA112" s="12" t="str">
        <f>IFERROR((AA111/AA$15)*(AA$5-Z$5),"")</f>
        <v/>
      </c>
      <c r="AB112" s="12"/>
      <c r="AC112" s="12" t="str">
        <f>IFERROR((AC111/AC$15)*(AC$5-AB$5),"")</f>
        <v/>
      </c>
      <c r="AD112" s="12" t="str">
        <f>IFERROR((AD111/AD$15)*(AD$5-AC$5),"")</f>
        <v/>
      </c>
      <c r="AE112" s="12" t="str">
        <f>IFERROR((AE111/AE$15)*(AE$5-AD$5),"")</f>
        <v/>
      </c>
      <c r="AF112" s="11"/>
      <c r="AG112" s="12"/>
      <c r="AH112" s="11"/>
      <c r="AI112" s="11"/>
      <c r="AJ112" s="11" t="str">
        <f>Control!$B$25</f>
        <v/>
      </c>
      <c r="AK112" s="11" t="str">
        <f>Control!$B$25</f>
        <v/>
      </c>
      <c r="AL112" s="12"/>
      <c r="AM112" s="11" t="str">
        <f>Control!$C$25</f>
        <v/>
      </c>
      <c r="AN112" s="11" t="str">
        <f>Control!$C$25</f>
        <v/>
      </c>
      <c r="AO112" s="11" t="str">
        <f>Control!$C$25</f>
        <v/>
      </c>
      <c r="AP112" s="11" t="str">
        <f>Control!$C$25</f>
        <v/>
      </c>
      <c r="AQ112" s="12"/>
      <c r="AR112" s="11" t="str">
        <f>Control!$D$25</f>
        <v/>
      </c>
      <c r="AS112" s="11" t="str">
        <f>Control!$D$25</f>
        <v/>
      </c>
      <c r="AT112" s="11" t="str">
        <f>Control!$D$25</f>
        <v/>
      </c>
      <c r="AU112" s="11" t="str">
        <f>Control!$D$25</f>
        <v/>
      </c>
      <c r="AV112" s="12"/>
      <c r="AW112" s="11" t="str">
        <f>Control!$E$25</f>
        <v/>
      </c>
      <c r="AX112" s="11" t="str">
        <f>Control!$E$25</f>
        <v/>
      </c>
      <c r="AY112" s="11" t="str">
        <f>Control!$E$25</f>
        <v/>
      </c>
      <c r="AZ112" s="11" t="str">
        <f>Control!$E$25</f>
        <v/>
      </c>
      <c r="BA112" s="12"/>
      <c r="BB112" s="11" t="str">
        <f>Control!$F$25</f>
        <v/>
      </c>
      <c r="BC112" s="11" t="str">
        <f>Control!$F$25</f>
        <v/>
      </c>
      <c r="BD112" s="11" t="str">
        <f>Control!$F$25</f>
        <v/>
      </c>
      <c r="BE112" s="11" t="str">
        <f>Control!$F$25</f>
        <v/>
      </c>
      <c r="BF112" s="12"/>
      <c r="BG112" s="11"/>
      <c r="BH112" s="11"/>
      <c r="BI112" s="11"/>
      <c r="BJ112" s="11"/>
      <c r="BK112" s="12"/>
      <c r="BL112" s="11"/>
      <c r="BM112" s="11"/>
      <c r="BN112" s="11"/>
      <c r="BO112" s="11"/>
      <c r="BP112" s="12"/>
      <c r="BQ112" s="11"/>
      <c r="BR112" s="11"/>
      <c r="BS112" s="11"/>
      <c r="BT112" s="11"/>
      <c r="BU112" s="12"/>
      <c r="BV112" s="11"/>
      <c r="BW112" s="11"/>
      <c r="BX112" s="11"/>
      <c r="BY112" s="11"/>
      <c r="BZ112" s="12"/>
      <c r="CA112" s="11"/>
      <c r="CB112" s="11"/>
      <c r="CC112" s="11"/>
      <c r="CD112" s="11"/>
      <c r="CE112" s="12"/>
      <c r="CF112" s="11"/>
      <c r="CG112" s="11"/>
      <c r="CH112" s="11"/>
      <c r="CI112" s="11"/>
      <c r="CJ112" s="12"/>
      <c r="CK112" s="11"/>
      <c r="CL112" s="11"/>
      <c r="CM112" s="11"/>
      <c r="CN112" s="11"/>
      <c r="CO112" s="12"/>
      <c r="CP112" s="11"/>
      <c r="CQ112" s="11"/>
      <c r="CR112" s="11"/>
      <c r="CS112" s="11"/>
      <c r="CT112" s="12"/>
      <c r="CU112" s="11"/>
      <c r="CV112" s="11"/>
      <c r="CW112" s="11"/>
      <c r="CX112" s="11"/>
      <c r="CY112" s="12"/>
    </row>
    <row r="113" spans="3:103" hidden="1" outlineLevel="1" x14ac:dyDescent="0.2">
      <c r="C113" s="57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</row>
    <row r="114" spans="3:103" hidden="1" outlineLevel="1" x14ac:dyDescent="0.2">
      <c r="C114" s="57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</row>
    <row r="115" spans="3:103" collapsed="1" x14ac:dyDescent="0.2">
      <c r="C115" s="14" t="s">
        <v>48</v>
      </c>
      <c r="D115" s="46"/>
      <c r="E115" s="46"/>
      <c r="F115" s="46"/>
      <c r="G115" s="46"/>
      <c r="H115" s="12"/>
      <c r="I115" s="46" t="str">
        <f>'Inputs (2)'!D17</f>
        <v/>
      </c>
      <c r="J115" s="46" t="str">
        <f>'Inputs (2)'!E17</f>
        <v/>
      </c>
      <c r="K115" s="46" t="str">
        <f>'Inputs (2)'!F17</f>
        <v/>
      </c>
      <c r="L115" s="46" t="str">
        <f>'Inputs (2)'!G17</f>
        <v/>
      </c>
      <c r="M115" s="12" t="str">
        <f>'Inputs (2)'!H17</f>
        <v/>
      </c>
      <c r="N115" s="46" t="str">
        <f>'Inputs (2)'!I17</f>
        <v/>
      </c>
      <c r="O115" s="46" t="str">
        <f>'Inputs (2)'!J17</f>
        <v/>
      </c>
      <c r="P115" s="46" t="str">
        <f>'Inputs (2)'!K17</f>
        <v/>
      </c>
      <c r="Q115" s="46" t="str">
        <f>'Inputs (2)'!L17</f>
        <v/>
      </c>
      <c r="R115" s="12" t="str">
        <f>'Inputs (2)'!M17</f>
        <v/>
      </c>
      <c r="S115" s="46" t="str">
        <f>'Inputs (2)'!N17</f>
        <v/>
      </c>
      <c r="T115" s="46" t="str">
        <f>'Inputs (2)'!O17</f>
        <v/>
      </c>
      <c r="U115" s="46" t="str">
        <f>'Inputs (2)'!P17</f>
        <v/>
      </c>
      <c r="V115" s="46" t="str">
        <f>'Inputs (2)'!Q17</f>
        <v/>
      </c>
      <c r="W115" s="12" t="str">
        <f>'Inputs (2)'!R17</f>
        <v/>
      </c>
      <c r="X115" s="46" t="str">
        <f>'Inputs (2)'!S17</f>
        <v/>
      </c>
      <c r="Y115" s="46" t="str">
        <f>'Inputs (2)'!T17</f>
        <v/>
      </c>
      <c r="Z115" s="46" t="str">
        <f>'Inputs (2)'!U17</f>
        <v/>
      </c>
      <c r="AA115" s="46" t="str">
        <f>'Inputs (2)'!V17</f>
        <v/>
      </c>
      <c r="AB115" s="12" t="str">
        <f>'Inputs (2)'!W17</f>
        <v/>
      </c>
      <c r="AC115" s="46" t="str">
        <f>'Inputs (2)'!X17</f>
        <v/>
      </c>
      <c r="AD115" s="46" t="str">
        <f>'Inputs (2)'!Y17</f>
        <v/>
      </c>
      <c r="AE115" s="46" t="str">
        <f>'Inputs (2)'!Z17</f>
        <v/>
      </c>
      <c r="AF115" s="46" t="str">
        <f>'Inputs (2)'!AA17</f>
        <v/>
      </c>
      <c r="AG115" s="12" t="str">
        <f>'Inputs (2)'!AB17</f>
        <v/>
      </c>
      <c r="AH115" s="12" t="str">
        <f>'Inputs (2)'!AC17</f>
        <v/>
      </c>
      <c r="AI115" s="12" t="str">
        <f>'Inputs (2)'!AD17</f>
        <v/>
      </c>
      <c r="AJ115" s="12" t="e">
        <f>(AJ116/(AJ$5-AI$5))*-AJ$20</f>
        <v>#VALUE!</v>
      </c>
      <c r="AK115" s="12" t="e">
        <f>(AK116/(AK$5-AJ$5))*-AK$20</f>
        <v>#VALUE!</v>
      </c>
      <c r="AL115" s="12" t="e">
        <f>AK115</f>
        <v>#VALUE!</v>
      </c>
      <c r="AM115" s="12" t="e">
        <f>(AM116/(AM$5-AL$5))*-AM$20</f>
        <v>#VALUE!</v>
      </c>
      <c r="AN115" s="12" t="e">
        <f>(AN116/(AN$5-AM$5))*-AN$20</f>
        <v>#VALUE!</v>
      </c>
      <c r="AO115" s="12" t="e">
        <f>(AO116/(AO$5-AN$5))*-AO$20</f>
        <v>#VALUE!</v>
      </c>
      <c r="AP115" s="12" t="e">
        <f>(AP116/(AP$5-AO$5))*-AP$20</f>
        <v>#VALUE!</v>
      </c>
      <c r="AQ115" s="12" t="e">
        <f>AP115</f>
        <v>#VALUE!</v>
      </c>
      <c r="AR115" s="12" t="e">
        <f>(AR116/(AR$5-AQ$5))*-AR$20</f>
        <v>#VALUE!</v>
      </c>
      <c r="AS115" s="12" t="e">
        <f>(AS116/(AS$5-AR$5))*-AS$20</f>
        <v>#VALUE!</v>
      </c>
      <c r="AT115" s="12" t="e">
        <f>(AT116/(AT$5-AS$5))*-AT$20</f>
        <v>#VALUE!</v>
      </c>
      <c r="AU115" s="12" t="e">
        <f>(AU116/(AU$5-AT$5))*-AU$20</f>
        <v>#VALUE!</v>
      </c>
      <c r="AV115" s="12" t="e">
        <f>AU115</f>
        <v>#VALUE!</v>
      </c>
      <c r="AW115" s="12" t="e">
        <f>(AW116/(AW$5-AV$5))*-AW$20</f>
        <v>#VALUE!</v>
      </c>
      <c r="AX115" s="12" t="e">
        <f>(AX116/(AX$5-AW$5))*-AX$20</f>
        <v>#VALUE!</v>
      </c>
      <c r="AY115" s="12" t="e">
        <f>(AY116/(AY$5-AX$5))*-AY$20</f>
        <v>#VALUE!</v>
      </c>
      <c r="AZ115" s="12" t="e">
        <f>(AZ116/(AZ$5-AY$5))*-AZ$20</f>
        <v>#VALUE!</v>
      </c>
      <c r="BA115" s="12" t="e">
        <f>AZ115</f>
        <v>#VALUE!</v>
      </c>
      <c r="BB115" s="12" t="e">
        <f>(BB116/(BB$5-BA$5))*-BB$20</f>
        <v>#VALUE!</v>
      </c>
      <c r="BC115" s="12" t="e">
        <f>(BC116/(BC$5-BB$5))*-BC$20</f>
        <v>#VALUE!</v>
      </c>
      <c r="BD115" s="12" t="e">
        <f>(BD116/(BD$5-BC$5))*-BD$20</f>
        <v>#VALUE!</v>
      </c>
      <c r="BE115" s="12" t="e">
        <f>(BE116/(BE$5-BD$5))*-BE$20</f>
        <v>#VALUE!</v>
      </c>
      <c r="BF115" s="12" t="e">
        <f>BE115</f>
        <v>#VALUE!</v>
      </c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</row>
    <row r="116" spans="3:103" hidden="1" outlineLevel="1" x14ac:dyDescent="0.2">
      <c r="C116" s="57" t="s">
        <v>139</v>
      </c>
      <c r="D116" s="12"/>
      <c r="E116" s="12"/>
      <c r="F116" s="12"/>
      <c r="G116" s="12"/>
      <c r="H116" s="12"/>
      <c r="I116" s="12" t="str">
        <f>IFERROR(((I115/I$20)*(I$5-H$5))*-1,"")</f>
        <v/>
      </c>
      <c r="J116" s="12" t="str">
        <f>IFERROR(((J115/J$20)*(J$5-I$5))*-1,"")</f>
        <v/>
      </c>
      <c r="K116" s="12" t="str">
        <f>IFERROR(((K115/K$20)*(K$5-J$5))*-1,"")</f>
        <v/>
      </c>
      <c r="L116" s="12" t="str">
        <f>IFERROR(((L115/L$20)*(L$5-K$5))*-1,"")</f>
        <v/>
      </c>
      <c r="M116" s="12"/>
      <c r="N116" s="12" t="str">
        <f>IFERROR(((N115/N$20)*(N$5-M$5))*-1,"")</f>
        <v/>
      </c>
      <c r="O116" s="12" t="str">
        <f>IFERROR(((O115/O$20)*(O$5-N$5))*-1,"")</f>
        <v/>
      </c>
      <c r="P116" s="12" t="str">
        <f>IFERROR(((P115/P$20)*(P$5-O$5))*-1,"")</f>
        <v/>
      </c>
      <c r="Q116" s="12" t="str">
        <f>IFERROR(((Q115/Q$20)*(Q$5-P$5))*-1,"")</f>
        <v/>
      </c>
      <c r="R116" s="12"/>
      <c r="S116" s="12" t="str">
        <f>IFERROR(((S115/S$20)*(S$5-R$5))*-1,"")</f>
        <v/>
      </c>
      <c r="T116" s="12" t="str">
        <f>IFERROR(((T115/T$20)*(T$5-S$5))*-1,"")</f>
        <v/>
      </c>
      <c r="U116" s="12" t="str">
        <f>IFERROR(((U115/U$20)*(U$5-T$5))*-1,"")</f>
        <v/>
      </c>
      <c r="V116" s="12" t="str">
        <f>IFERROR(((V115/V$20)*(V$5-U$5))*-1,"")</f>
        <v/>
      </c>
      <c r="W116" s="12"/>
      <c r="X116" s="12" t="str">
        <f>IFERROR(((X115/X$20)*(X$5-W$5))*-1,"")</f>
        <v/>
      </c>
      <c r="Y116" s="12" t="str">
        <f>IFERROR(((Y115/Y$20)*(Y$5-X$5))*-1,"")</f>
        <v/>
      </c>
      <c r="Z116" s="12" t="str">
        <f>IFERROR(((Z115/Z$20)*(Z$5-Y$5))*-1,"")</f>
        <v/>
      </c>
      <c r="AA116" s="12" t="str">
        <f>IFERROR(((AA115/AA$20)*(AA$5-Z$5))*-1,"")</f>
        <v/>
      </c>
      <c r="AB116" s="12"/>
      <c r="AC116" s="12" t="str">
        <f>IFERROR(((AC115/AC$20)*(AC$5-AB$5))*-1,"")</f>
        <v/>
      </c>
      <c r="AD116" s="12" t="str">
        <f>IFERROR(((AD115/AD$20)*(AD$5-AC$5))*-1,"")</f>
        <v/>
      </c>
      <c r="AE116" s="12" t="str">
        <f>IFERROR(((AE115/AE$20)*(AE$5-AD$5))*-1,"")</f>
        <v/>
      </c>
      <c r="AF116" s="11"/>
      <c r="AG116" s="12"/>
      <c r="AH116" s="11"/>
      <c r="AI116" s="11"/>
      <c r="AJ116" s="11" t="str">
        <f>Control!$B$26</f>
        <v/>
      </c>
      <c r="AK116" s="11" t="str">
        <f>Control!$B$26</f>
        <v/>
      </c>
      <c r="AL116" s="12"/>
      <c r="AM116" s="11" t="str">
        <f>Control!$C$26</f>
        <v/>
      </c>
      <c r="AN116" s="11" t="str">
        <f>Control!$C$26</f>
        <v/>
      </c>
      <c r="AO116" s="11" t="str">
        <f>Control!$C$26</f>
        <v/>
      </c>
      <c r="AP116" s="11" t="str">
        <f>Control!$C$26</f>
        <v/>
      </c>
      <c r="AQ116" s="12"/>
      <c r="AR116" s="11" t="str">
        <f>Control!$D$26</f>
        <v/>
      </c>
      <c r="AS116" s="11" t="str">
        <f>Control!$D$26</f>
        <v/>
      </c>
      <c r="AT116" s="11" t="str">
        <f>Control!$D$26</f>
        <v/>
      </c>
      <c r="AU116" s="11" t="str">
        <f>Control!$D$26</f>
        <v/>
      </c>
      <c r="AV116" s="12"/>
      <c r="AW116" s="11" t="str">
        <f>Control!$E$26</f>
        <v/>
      </c>
      <c r="AX116" s="11" t="str">
        <f>Control!$E$26</f>
        <v/>
      </c>
      <c r="AY116" s="11" t="str">
        <f>Control!$E$26</f>
        <v/>
      </c>
      <c r="AZ116" s="11" t="str">
        <f>Control!$E$26</f>
        <v/>
      </c>
      <c r="BA116" s="12"/>
      <c r="BB116" s="11" t="str">
        <f>Control!$F$26</f>
        <v/>
      </c>
      <c r="BC116" s="11" t="str">
        <f>Control!$F$26</f>
        <v/>
      </c>
      <c r="BD116" s="11" t="str">
        <f>Control!$F$26</f>
        <v/>
      </c>
      <c r="BE116" s="11" t="str">
        <f>Control!$F$26</f>
        <v/>
      </c>
      <c r="BF116" s="12"/>
      <c r="BG116" s="11"/>
      <c r="BH116" s="11"/>
      <c r="BI116" s="11"/>
      <c r="BJ116" s="11"/>
      <c r="BK116" s="12"/>
      <c r="BL116" s="11"/>
      <c r="BM116" s="11"/>
      <c r="BN116" s="11"/>
      <c r="BO116" s="11"/>
      <c r="BP116" s="12"/>
      <c r="BQ116" s="11"/>
      <c r="BR116" s="11"/>
      <c r="BS116" s="11"/>
      <c r="BT116" s="11"/>
      <c r="BU116" s="12"/>
      <c r="BV116" s="11"/>
      <c r="BW116" s="11"/>
      <c r="BX116" s="11"/>
      <c r="BY116" s="11"/>
      <c r="BZ116" s="12"/>
      <c r="CA116" s="11"/>
      <c r="CB116" s="11"/>
      <c r="CC116" s="11"/>
      <c r="CD116" s="11"/>
      <c r="CE116" s="12"/>
      <c r="CF116" s="11"/>
      <c r="CG116" s="11"/>
      <c r="CH116" s="11"/>
      <c r="CI116" s="11"/>
      <c r="CJ116" s="12"/>
      <c r="CK116" s="11"/>
      <c r="CL116" s="11"/>
      <c r="CM116" s="11"/>
      <c r="CN116" s="11"/>
      <c r="CO116" s="12"/>
      <c r="CP116" s="11"/>
      <c r="CQ116" s="11"/>
      <c r="CR116" s="11"/>
      <c r="CS116" s="11"/>
      <c r="CT116" s="12"/>
      <c r="CU116" s="11"/>
      <c r="CV116" s="11"/>
      <c r="CW116" s="11"/>
      <c r="CX116" s="11"/>
      <c r="CY116" s="12"/>
    </row>
    <row r="117" spans="3:103" hidden="1" outlineLevel="1" x14ac:dyDescent="0.2">
      <c r="C117" s="57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</row>
    <row r="118" spans="3:103" hidden="1" outlineLevel="1" x14ac:dyDescent="0.2">
      <c r="C118" s="57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</row>
    <row r="119" spans="3:103" collapsed="1" x14ac:dyDescent="0.2">
      <c r="C119" s="14" t="s">
        <v>49</v>
      </c>
      <c r="D119" s="46"/>
      <c r="E119" s="46"/>
      <c r="F119" s="46"/>
      <c r="G119" s="46"/>
      <c r="H119" s="12"/>
      <c r="I119" s="46" t="str">
        <f>'Inputs (2)'!D18</f>
        <v/>
      </c>
      <c r="J119" s="46" t="str">
        <f>'Inputs (2)'!E18</f>
        <v/>
      </c>
      <c r="K119" s="46" t="str">
        <f>'Inputs (2)'!F18</f>
        <v/>
      </c>
      <c r="L119" s="46" t="str">
        <f>'Inputs (2)'!G18</f>
        <v/>
      </c>
      <c r="M119" s="12" t="str">
        <f>'Inputs (2)'!H18</f>
        <v/>
      </c>
      <c r="N119" s="46" t="str">
        <f>'Inputs (2)'!I18</f>
        <v/>
      </c>
      <c r="O119" s="46" t="str">
        <f>'Inputs (2)'!J18</f>
        <v/>
      </c>
      <c r="P119" s="46" t="str">
        <f>'Inputs (2)'!K18</f>
        <v/>
      </c>
      <c r="Q119" s="46" t="str">
        <f>'Inputs (2)'!L18</f>
        <v/>
      </c>
      <c r="R119" s="12" t="str">
        <f>'Inputs (2)'!M18</f>
        <v/>
      </c>
      <c r="S119" s="46" t="str">
        <f>'Inputs (2)'!N18</f>
        <v/>
      </c>
      <c r="T119" s="46" t="str">
        <f>'Inputs (2)'!O18</f>
        <v/>
      </c>
      <c r="U119" s="46" t="str">
        <f>'Inputs (2)'!P18</f>
        <v/>
      </c>
      <c r="V119" s="46" t="str">
        <f>'Inputs (2)'!Q18</f>
        <v/>
      </c>
      <c r="W119" s="12" t="str">
        <f>'Inputs (2)'!R18</f>
        <v/>
      </c>
      <c r="X119" s="46" t="str">
        <f>'Inputs (2)'!S18</f>
        <v/>
      </c>
      <c r="Y119" s="46" t="str">
        <f>'Inputs (2)'!T18</f>
        <v/>
      </c>
      <c r="Z119" s="46" t="str">
        <f>'Inputs (2)'!U18</f>
        <v/>
      </c>
      <c r="AA119" s="46" t="str">
        <f>'Inputs (2)'!V18</f>
        <v/>
      </c>
      <c r="AB119" s="12" t="str">
        <f>'Inputs (2)'!W18</f>
        <v/>
      </c>
      <c r="AC119" s="46" t="str">
        <f>'Inputs (2)'!X18</f>
        <v/>
      </c>
      <c r="AD119" s="46" t="str">
        <f>'Inputs (2)'!Y18</f>
        <v/>
      </c>
      <c r="AE119" s="46" t="str">
        <f>'Inputs (2)'!Z18</f>
        <v/>
      </c>
      <c r="AF119" s="46" t="str">
        <f>'Inputs (2)'!AA18</f>
        <v/>
      </c>
      <c r="AG119" s="12" t="str">
        <f>'Inputs (2)'!AB18</f>
        <v/>
      </c>
      <c r="AH119" s="12" t="str">
        <f>'Inputs (2)'!AC18</f>
        <v/>
      </c>
      <c r="AI119" s="12" t="str">
        <f>'Inputs (2)'!AD18</f>
        <v/>
      </c>
      <c r="AJ119" s="12" t="str">
        <f t="shared" ref="AJ119:BF119" si="18">AI119</f>
        <v/>
      </c>
      <c r="AK119" s="12" t="str">
        <f t="shared" si="18"/>
        <v/>
      </c>
      <c r="AL119" s="12" t="str">
        <f t="shared" si="18"/>
        <v/>
      </c>
      <c r="AM119" s="12" t="str">
        <f t="shared" si="18"/>
        <v/>
      </c>
      <c r="AN119" s="12" t="str">
        <f t="shared" si="18"/>
        <v/>
      </c>
      <c r="AO119" s="12" t="str">
        <f t="shared" si="18"/>
        <v/>
      </c>
      <c r="AP119" s="12" t="str">
        <f t="shared" si="18"/>
        <v/>
      </c>
      <c r="AQ119" s="12" t="str">
        <f t="shared" si="18"/>
        <v/>
      </c>
      <c r="AR119" s="12" t="str">
        <f t="shared" si="18"/>
        <v/>
      </c>
      <c r="AS119" s="12" t="str">
        <f t="shared" si="18"/>
        <v/>
      </c>
      <c r="AT119" s="12" t="str">
        <f t="shared" si="18"/>
        <v/>
      </c>
      <c r="AU119" s="12" t="str">
        <f t="shared" si="18"/>
        <v/>
      </c>
      <c r="AV119" s="12" t="str">
        <f t="shared" si="18"/>
        <v/>
      </c>
      <c r="AW119" s="12" t="str">
        <f t="shared" si="18"/>
        <v/>
      </c>
      <c r="AX119" s="12" t="str">
        <f t="shared" si="18"/>
        <v/>
      </c>
      <c r="AY119" s="12" t="str">
        <f t="shared" si="18"/>
        <v/>
      </c>
      <c r="AZ119" s="12" t="str">
        <f t="shared" si="18"/>
        <v/>
      </c>
      <c r="BA119" s="12" t="str">
        <f t="shared" si="18"/>
        <v/>
      </c>
      <c r="BB119" s="12" t="str">
        <f t="shared" si="18"/>
        <v/>
      </c>
      <c r="BC119" s="12" t="str">
        <f t="shared" si="18"/>
        <v/>
      </c>
      <c r="BD119" s="12" t="str">
        <f t="shared" si="18"/>
        <v/>
      </c>
      <c r="BE119" s="12" t="str">
        <f t="shared" si="18"/>
        <v/>
      </c>
      <c r="BF119" s="12" t="str">
        <f t="shared" si="18"/>
        <v/>
      </c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</row>
    <row r="120" spans="3:103" x14ac:dyDescent="0.2">
      <c r="C120" s="14" t="s">
        <v>50</v>
      </c>
      <c r="D120" s="46"/>
      <c r="E120" s="46"/>
      <c r="F120" s="46"/>
      <c r="G120" s="46"/>
      <c r="H120" s="12"/>
      <c r="I120" s="46" t="str">
        <f>'Inputs (2)'!D19</f>
        <v/>
      </c>
      <c r="J120" s="46" t="str">
        <f>'Inputs (2)'!E19</f>
        <v/>
      </c>
      <c r="K120" s="46" t="str">
        <f>'Inputs (2)'!F19</f>
        <v/>
      </c>
      <c r="L120" s="46" t="str">
        <f>'Inputs (2)'!G19</f>
        <v/>
      </c>
      <c r="M120" s="12" t="str">
        <f>'Inputs (2)'!H19</f>
        <v/>
      </c>
      <c r="N120" s="46" t="str">
        <f>'Inputs (2)'!I19</f>
        <v/>
      </c>
      <c r="O120" s="46" t="str">
        <f>'Inputs (2)'!J19</f>
        <v/>
      </c>
      <c r="P120" s="46" t="str">
        <f>'Inputs (2)'!K19</f>
        <v/>
      </c>
      <c r="Q120" s="46" t="str">
        <f>'Inputs (2)'!L19</f>
        <v/>
      </c>
      <c r="R120" s="12" t="str">
        <f>'Inputs (2)'!M19</f>
        <v/>
      </c>
      <c r="S120" s="46" t="str">
        <f>'Inputs (2)'!N19</f>
        <v/>
      </c>
      <c r="T120" s="46" t="str">
        <f>'Inputs (2)'!O19</f>
        <v/>
      </c>
      <c r="U120" s="46" t="str">
        <f>'Inputs (2)'!P19</f>
        <v/>
      </c>
      <c r="V120" s="46" t="str">
        <f>'Inputs (2)'!Q19</f>
        <v/>
      </c>
      <c r="W120" s="12" t="str">
        <f>'Inputs (2)'!R19</f>
        <v/>
      </c>
      <c r="X120" s="46" t="str">
        <f>'Inputs (2)'!S19</f>
        <v/>
      </c>
      <c r="Y120" s="46" t="str">
        <f>'Inputs (2)'!T19</f>
        <v/>
      </c>
      <c r="Z120" s="46" t="str">
        <f>'Inputs (2)'!U19</f>
        <v/>
      </c>
      <c r="AA120" s="46" t="str">
        <f>'Inputs (2)'!V19</f>
        <v/>
      </c>
      <c r="AB120" s="12" t="str">
        <f>'Inputs (2)'!W19</f>
        <v/>
      </c>
      <c r="AC120" s="46" t="str">
        <f>'Inputs (2)'!X19</f>
        <v/>
      </c>
      <c r="AD120" s="46" t="str">
        <f>'Inputs (2)'!Y19</f>
        <v/>
      </c>
      <c r="AE120" s="46" t="str">
        <f>'Inputs (2)'!Z19</f>
        <v/>
      </c>
      <c r="AF120" s="46" t="str">
        <f>'Inputs (2)'!AA19</f>
        <v/>
      </c>
      <c r="AG120" s="12" t="str">
        <f>'Inputs (2)'!AB19</f>
        <v/>
      </c>
      <c r="AH120" s="12" t="str">
        <f>'Inputs (2)'!AC19</f>
        <v/>
      </c>
      <c r="AI120" s="12" t="str">
        <f>'Inputs (2)'!AD19</f>
        <v/>
      </c>
      <c r="AJ120" s="12" t="str">
        <f t="shared" ref="AJ120:BF120" si="19">AI120</f>
        <v/>
      </c>
      <c r="AK120" s="12" t="str">
        <f t="shared" si="19"/>
        <v/>
      </c>
      <c r="AL120" s="12" t="str">
        <f t="shared" si="19"/>
        <v/>
      </c>
      <c r="AM120" s="12" t="str">
        <f t="shared" si="19"/>
        <v/>
      </c>
      <c r="AN120" s="12" t="str">
        <f t="shared" si="19"/>
        <v/>
      </c>
      <c r="AO120" s="12" t="str">
        <f t="shared" si="19"/>
        <v/>
      </c>
      <c r="AP120" s="12" t="str">
        <f t="shared" si="19"/>
        <v/>
      </c>
      <c r="AQ120" s="12" t="str">
        <f t="shared" si="19"/>
        <v/>
      </c>
      <c r="AR120" s="12" t="str">
        <f t="shared" si="19"/>
        <v/>
      </c>
      <c r="AS120" s="12" t="str">
        <f t="shared" si="19"/>
        <v/>
      </c>
      <c r="AT120" s="12" t="str">
        <f t="shared" si="19"/>
        <v/>
      </c>
      <c r="AU120" s="12" t="str">
        <f t="shared" si="19"/>
        <v/>
      </c>
      <c r="AV120" s="12" t="str">
        <f t="shared" si="19"/>
        <v/>
      </c>
      <c r="AW120" s="12" t="str">
        <f t="shared" si="19"/>
        <v/>
      </c>
      <c r="AX120" s="12" t="str">
        <f t="shared" si="19"/>
        <v/>
      </c>
      <c r="AY120" s="12" t="str">
        <f t="shared" si="19"/>
        <v/>
      </c>
      <c r="AZ120" s="12" t="str">
        <f t="shared" si="19"/>
        <v/>
      </c>
      <c r="BA120" s="12" t="str">
        <f t="shared" si="19"/>
        <v/>
      </c>
      <c r="BB120" s="12" t="str">
        <f t="shared" si="19"/>
        <v/>
      </c>
      <c r="BC120" s="12" t="str">
        <f t="shared" si="19"/>
        <v/>
      </c>
      <c r="BD120" s="12" t="str">
        <f t="shared" si="19"/>
        <v/>
      </c>
      <c r="BE120" s="12" t="str">
        <f t="shared" si="19"/>
        <v/>
      </c>
      <c r="BF120" s="12" t="str">
        <f t="shared" si="19"/>
        <v/>
      </c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</row>
    <row r="121" spans="3:103" x14ac:dyDescent="0.2">
      <c r="C121" s="14" t="s">
        <v>51</v>
      </c>
      <c r="D121" s="46"/>
      <c r="E121" s="46"/>
      <c r="F121" s="46"/>
      <c r="G121" s="46"/>
      <c r="H121" s="12"/>
      <c r="I121" s="46" t="str">
        <f>'Inputs (2)'!D20</f>
        <v/>
      </c>
      <c r="J121" s="46" t="str">
        <f>'Inputs (2)'!E20</f>
        <v/>
      </c>
      <c r="K121" s="46" t="str">
        <f>'Inputs (2)'!F20</f>
        <v/>
      </c>
      <c r="L121" s="46" t="str">
        <f>'Inputs (2)'!G20</f>
        <v/>
      </c>
      <c r="M121" s="12" t="str">
        <f>'Inputs (2)'!H20</f>
        <v/>
      </c>
      <c r="N121" s="46" t="str">
        <f>'Inputs (2)'!I20</f>
        <v/>
      </c>
      <c r="O121" s="46" t="str">
        <f>'Inputs (2)'!J20</f>
        <v/>
      </c>
      <c r="P121" s="46" t="str">
        <f>'Inputs (2)'!K20</f>
        <v/>
      </c>
      <c r="Q121" s="46" t="str">
        <f>'Inputs (2)'!L20</f>
        <v/>
      </c>
      <c r="R121" s="12" t="str">
        <f>'Inputs (2)'!M20</f>
        <v/>
      </c>
      <c r="S121" s="46" t="str">
        <f>'Inputs (2)'!N20</f>
        <v/>
      </c>
      <c r="T121" s="46" t="str">
        <f>'Inputs (2)'!O20</f>
        <v/>
      </c>
      <c r="U121" s="46" t="str">
        <f>'Inputs (2)'!P20</f>
        <v/>
      </c>
      <c r="V121" s="46" t="str">
        <f>'Inputs (2)'!Q20</f>
        <v/>
      </c>
      <c r="W121" s="12" t="str">
        <f>'Inputs (2)'!R20</f>
        <v/>
      </c>
      <c r="X121" s="46" t="str">
        <f>'Inputs (2)'!S20</f>
        <v/>
      </c>
      <c r="Y121" s="46" t="str">
        <f>'Inputs (2)'!T20</f>
        <v/>
      </c>
      <c r="Z121" s="46" t="str">
        <f>'Inputs (2)'!U20</f>
        <v/>
      </c>
      <c r="AA121" s="46" t="str">
        <f>'Inputs (2)'!V20</f>
        <v/>
      </c>
      <c r="AB121" s="12" t="str">
        <f>'Inputs (2)'!W20</f>
        <v/>
      </c>
      <c r="AC121" s="46" t="str">
        <f>'Inputs (2)'!X20</f>
        <v/>
      </c>
      <c r="AD121" s="46" t="str">
        <f>'Inputs (2)'!Y20</f>
        <v/>
      </c>
      <c r="AE121" s="46" t="str">
        <f>'Inputs (2)'!Z20</f>
        <v/>
      </c>
      <c r="AF121" s="46" t="str">
        <f>'Inputs (2)'!AA20</f>
        <v/>
      </c>
      <c r="AG121" s="12" t="str">
        <f>'Inputs (2)'!AB20</f>
        <v/>
      </c>
      <c r="AH121" s="12" t="str">
        <f>'Inputs (2)'!AC20</f>
        <v/>
      </c>
      <c r="AI121" s="12" t="str">
        <f>'Inputs (2)'!AD20</f>
        <v/>
      </c>
      <c r="AJ121" s="12" t="str">
        <f t="shared" ref="AJ121:BF121" si="20">AI121</f>
        <v/>
      </c>
      <c r="AK121" s="12" t="str">
        <f t="shared" si="20"/>
        <v/>
      </c>
      <c r="AL121" s="12" t="str">
        <f t="shared" si="20"/>
        <v/>
      </c>
      <c r="AM121" s="12" t="str">
        <f t="shared" si="20"/>
        <v/>
      </c>
      <c r="AN121" s="12" t="str">
        <f t="shared" si="20"/>
        <v/>
      </c>
      <c r="AO121" s="12" t="str">
        <f t="shared" si="20"/>
        <v/>
      </c>
      <c r="AP121" s="12" t="str">
        <f t="shared" si="20"/>
        <v/>
      </c>
      <c r="AQ121" s="12" t="str">
        <f t="shared" si="20"/>
        <v/>
      </c>
      <c r="AR121" s="12" t="str">
        <f t="shared" si="20"/>
        <v/>
      </c>
      <c r="AS121" s="12" t="str">
        <f t="shared" si="20"/>
        <v/>
      </c>
      <c r="AT121" s="12" t="str">
        <f t="shared" si="20"/>
        <v/>
      </c>
      <c r="AU121" s="12" t="str">
        <f t="shared" si="20"/>
        <v/>
      </c>
      <c r="AV121" s="12" t="str">
        <f t="shared" si="20"/>
        <v/>
      </c>
      <c r="AW121" s="12" t="str">
        <f t="shared" si="20"/>
        <v/>
      </c>
      <c r="AX121" s="12" t="str">
        <f t="shared" si="20"/>
        <v/>
      </c>
      <c r="AY121" s="12" t="str">
        <f t="shared" si="20"/>
        <v/>
      </c>
      <c r="AZ121" s="12" t="str">
        <f t="shared" si="20"/>
        <v/>
      </c>
      <c r="BA121" s="12" t="str">
        <f t="shared" si="20"/>
        <v/>
      </c>
      <c r="BB121" s="12" t="str">
        <f t="shared" si="20"/>
        <v/>
      </c>
      <c r="BC121" s="12" t="str">
        <f t="shared" si="20"/>
        <v/>
      </c>
      <c r="BD121" s="12" t="str">
        <f t="shared" si="20"/>
        <v/>
      </c>
      <c r="BE121" s="12" t="str">
        <f t="shared" si="20"/>
        <v/>
      </c>
      <c r="BF121" s="12" t="str">
        <f t="shared" si="20"/>
        <v/>
      </c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</row>
    <row r="122" spans="3:103" hidden="1" outlineLevel="1" x14ac:dyDescent="0.2">
      <c r="C122" s="59" t="s">
        <v>140</v>
      </c>
      <c r="D122" s="12"/>
      <c r="E122" s="40"/>
      <c r="F122" s="40"/>
      <c r="G122" s="40"/>
      <c r="H122" s="12"/>
      <c r="I122" s="40" t="str">
        <f>""</f>
        <v/>
      </c>
      <c r="J122" s="40" t="str">
        <f t="shared" ref="J122:AO122" si="21">IFERROR(IF(I121=0,"",J121/I121-1),"")</f>
        <v/>
      </c>
      <c r="K122" s="40" t="str">
        <f t="shared" si="21"/>
        <v/>
      </c>
      <c r="L122" s="40" t="str">
        <f t="shared" si="21"/>
        <v/>
      </c>
      <c r="M122" s="12" t="str">
        <f t="shared" si="21"/>
        <v/>
      </c>
      <c r="N122" s="40" t="str">
        <f t="shared" si="21"/>
        <v/>
      </c>
      <c r="O122" s="40" t="str">
        <f t="shared" si="21"/>
        <v/>
      </c>
      <c r="P122" s="40" t="str">
        <f t="shared" si="21"/>
        <v/>
      </c>
      <c r="Q122" s="40" t="str">
        <f t="shared" si="21"/>
        <v/>
      </c>
      <c r="R122" s="12" t="str">
        <f t="shared" si="21"/>
        <v/>
      </c>
      <c r="S122" s="40" t="str">
        <f t="shared" si="21"/>
        <v/>
      </c>
      <c r="T122" s="40" t="str">
        <f t="shared" si="21"/>
        <v/>
      </c>
      <c r="U122" s="40" t="str">
        <f t="shared" si="21"/>
        <v/>
      </c>
      <c r="V122" s="40" t="str">
        <f t="shared" si="21"/>
        <v/>
      </c>
      <c r="W122" s="12" t="str">
        <f t="shared" si="21"/>
        <v/>
      </c>
      <c r="X122" s="40" t="str">
        <f t="shared" si="21"/>
        <v/>
      </c>
      <c r="Y122" s="40" t="str">
        <f t="shared" si="21"/>
        <v/>
      </c>
      <c r="Z122" s="40" t="str">
        <f t="shared" si="21"/>
        <v/>
      </c>
      <c r="AA122" s="40" t="str">
        <f t="shared" si="21"/>
        <v/>
      </c>
      <c r="AB122" s="12" t="str">
        <f t="shared" si="21"/>
        <v/>
      </c>
      <c r="AC122" s="40" t="str">
        <f t="shared" si="21"/>
        <v/>
      </c>
      <c r="AD122" s="40" t="str">
        <f t="shared" si="21"/>
        <v/>
      </c>
      <c r="AE122" s="40" t="str">
        <f t="shared" si="21"/>
        <v/>
      </c>
      <c r="AF122" s="55" t="str">
        <f t="shared" si="21"/>
        <v/>
      </c>
      <c r="AG122" s="12" t="str">
        <f t="shared" si="21"/>
        <v/>
      </c>
      <c r="AH122" s="12" t="str">
        <f t="shared" si="21"/>
        <v/>
      </c>
      <c r="AI122" s="12" t="str">
        <f t="shared" si="21"/>
        <v/>
      </c>
      <c r="AJ122" s="12" t="str">
        <f t="shared" si="21"/>
        <v/>
      </c>
      <c r="AK122" s="12" t="str">
        <f t="shared" si="21"/>
        <v/>
      </c>
      <c r="AL122" s="12" t="str">
        <f t="shared" si="21"/>
        <v/>
      </c>
      <c r="AM122" s="12" t="str">
        <f t="shared" si="21"/>
        <v/>
      </c>
      <c r="AN122" s="12" t="str">
        <f t="shared" si="21"/>
        <v/>
      </c>
      <c r="AO122" s="12" t="str">
        <f t="shared" si="21"/>
        <v/>
      </c>
      <c r="AP122" s="12" t="str">
        <f t="shared" ref="AP122:BF122" si="22">IFERROR(IF(AO121=0,"",AP121/AO121-1),"")</f>
        <v/>
      </c>
      <c r="AQ122" s="12" t="str">
        <f t="shared" si="22"/>
        <v/>
      </c>
      <c r="AR122" s="12" t="str">
        <f t="shared" si="22"/>
        <v/>
      </c>
      <c r="AS122" s="12" t="str">
        <f t="shared" si="22"/>
        <v/>
      </c>
      <c r="AT122" s="12" t="str">
        <f t="shared" si="22"/>
        <v/>
      </c>
      <c r="AU122" s="12" t="str">
        <f t="shared" si="22"/>
        <v/>
      </c>
      <c r="AV122" s="12" t="str">
        <f t="shared" si="22"/>
        <v/>
      </c>
      <c r="AW122" s="12" t="str">
        <f t="shared" si="22"/>
        <v/>
      </c>
      <c r="AX122" s="12" t="str">
        <f t="shared" si="22"/>
        <v/>
      </c>
      <c r="AY122" s="12" t="str">
        <f t="shared" si="22"/>
        <v/>
      </c>
      <c r="AZ122" s="12" t="str">
        <f t="shared" si="22"/>
        <v/>
      </c>
      <c r="BA122" s="12" t="str">
        <f t="shared" si="22"/>
        <v/>
      </c>
      <c r="BB122" s="12" t="str">
        <f t="shared" si="22"/>
        <v/>
      </c>
      <c r="BC122" s="12" t="str">
        <f t="shared" si="22"/>
        <v/>
      </c>
      <c r="BD122" s="12" t="str">
        <f t="shared" si="22"/>
        <v/>
      </c>
      <c r="BE122" s="12" t="str">
        <f t="shared" si="22"/>
        <v/>
      </c>
      <c r="BF122" s="12" t="str">
        <f t="shared" si="22"/>
        <v/>
      </c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</row>
    <row r="123" spans="3:103" hidden="1" outlineLevel="1" x14ac:dyDescent="0.2">
      <c r="C123" s="57"/>
      <c r="D123" s="12"/>
      <c r="E123" s="40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</row>
    <row r="124" spans="3:103" hidden="1" outlineLevel="1" x14ac:dyDescent="0.2">
      <c r="C124" s="60" t="s">
        <v>141</v>
      </c>
      <c r="D124" s="11"/>
      <c r="E124" s="11"/>
      <c r="F124" s="11"/>
      <c r="G124" s="11"/>
      <c r="H124" s="12"/>
      <c r="I124" s="11"/>
      <c r="J124" s="11"/>
      <c r="K124" s="11"/>
      <c r="L124" s="11"/>
      <c r="M124" s="12"/>
      <c r="N124" s="11"/>
      <c r="O124" s="11"/>
      <c r="P124" s="11"/>
      <c r="Q124" s="11"/>
      <c r="R124" s="12"/>
      <c r="S124" s="11"/>
      <c r="T124" s="11"/>
      <c r="U124" s="11"/>
      <c r="V124" s="11"/>
      <c r="W124" s="12"/>
      <c r="X124" s="11"/>
      <c r="Y124" s="11"/>
      <c r="Z124" s="11"/>
      <c r="AA124" s="11"/>
      <c r="AB124" s="12"/>
      <c r="AC124" s="11"/>
      <c r="AD124" s="11"/>
      <c r="AE124" s="11"/>
      <c r="AF124" s="11"/>
      <c r="AG124" s="12">
        <f>AF124</f>
        <v>0</v>
      </c>
      <c r="AH124" s="61" t="str">
        <f>IFERROR(AG124*AH15/AG15,"")</f>
        <v/>
      </c>
      <c r="AI124" s="61" t="str">
        <f>IFERROR(AH124*AI15/AH15,"")</f>
        <v/>
      </c>
      <c r="AJ124" s="61" t="str">
        <f>IFERROR(AI124*AJ15/AI15,"")</f>
        <v/>
      </c>
      <c r="AK124" s="61" t="str">
        <f>IFERROR(AJ124*AK15/AJ15,"")</f>
        <v/>
      </c>
      <c r="AL124" s="12" t="str">
        <f>IFERROR(AK124,"")</f>
        <v/>
      </c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</row>
    <row r="125" spans="3:103" hidden="1" outlineLevel="1" x14ac:dyDescent="0.2">
      <c r="C125" s="60" t="s">
        <v>142</v>
      </c>
      <c r="D125" s="11"/>
      <c r="E125" s="11"/>
      <c r="F125" s="11"/>
      <c r="G125" s="11"/>
      <c r="H125" s="12"/>
      <c r="I125" s="11"/>
      <c r="J125" s="11"/>
      <c r="K125" s="11"/>
      <c r="L125" s="11"/>
      <c r="M125" s="12"/>
      <c r="N125" s="11"/>
      <c r="O125" s="11"/>
      <c r="P125" s="11"/>
      <c r="Q125" s="11"/>
      <c r="R125" s="12"/>
      <c r="S125" s="11"/>
      <c r="T125" s="11"/>
      <c r="U125" s="11"/>
      <c r="V125" s="11"/>
      <c r="W125" s="12"/>
      <c r="X125" s="11"/>
      <c r="Y125" s="11"/>
      <c r="Z125" s="11"/>
      <c r="AA125" s="11"/>
      <c r="AB125" s="12"/>
      <c r="AC125" s="11"/>
      <c r="AD125" s="11"/>
      <c r="AE125" s="11"/>
      <c r="AF125" s="11"/>
      <c r="AG125" s="12">
        <f>AF125</f>
        <v>0</v>
      </c>
      <c r="AH125" s="12">
        <f>AG125</f>
        <v>0</v>
      </c>
      <c r="AI125" s="12">
        <f>AH125</f>
        <v>0</v>
      </c>
      <c r="AJ125" s="12">
        <f>AI125</f>
        <v>0</v>
      </c>
      <c r="AK125" s="12">
        <f>AJ125</f>
        <v>0</v>
      </c>
      <c r="AL125" s="12">
        <f>AK125</f>
        <v>0</v>
      </c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</row>
    <row r="126" spans="3:103" hidden="1" outlineLevel="1" x14ac:dyDescent="0.2">
      <c r="C126" s="57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</row>
    <row r="127" spans="3:103" collapsed="1" x14ac:dyDescent="0.2">
      <c r="C127" s="14" t="s">
        <v>52</v>
      </c>
      <c r="D127" s="46"/>
      <c r="E127" s="46"/>
      <c r="F127" s="46"/>
      <c r="G127" s="46"/>
      <c r="H127" s="12"/>
      <c r="I127" s="46" t="str">
        <f>'Inputs (2)'!D21</f>
        <v/>
      </c>
      <c r="J127" s="46" t="str">
        <f>'Inputs (2)'!E21</f>
        <v/>
      </c>
      <c r="K127" s="46" t="str">
        <f>'Inputs (2)'!F21</f>
        <v/>
      </c>
      <c r="L127" s="46" t="str">
        <f>'Inputs (2)'!G21</f>
        <v/>
      </c>
      <c r="M127" s="12" t="str">
        <f>'Inputs (2)'!H21</f>
        <v/>
      </c>
      <c r="N127" s="46" t="str">
        <f>'Inputs (2)'!I21</f>
        <v/>
      </c>
      <c r="O127" s="46" t="str">
        <f>'Inputs (2)'!J21</f>
        <v/>
      </c>
      <c r="P127" s="46" t="str">
        <f>'Inputs (2)'!K21</f>
        <v/>
      </c>
      <c r="Q127" s="46" t="str">
        <f>'Inputs (2)'!L21</f>
        <v/>
      </c>
      <c r="R127" s="12" t="str">
        <f>'Inputs (2)'!M21</f>
        <v/>
      </c>
      <c r="S127" s="46" t="str">
        <f>'Inputs (2)'!N21</f>
        <v/>
      </c>
      <c r="T127" s="46" t="str">
        <f>'Inputs (2)'!O21</f>
        <v/>
      </c>
      <c r="U127" s="46" t="str">
        <f>'Inputs (2)'!P21</f>
        <v/>
      </c>
      <c r="V127" s="46" t="str">
        <f>'Inputs (2)'!Q21</f>
        <v/>
      </c>
      <c r="W127" s="12" t="str">
        <f>'Inputs (2)'!R21</f>
        <v/>
      </c>
      <c r="X127" s="46" t="str">
        <f>'Inputs (2)'!S21</f>
        <v/>
      </c>
      <c r="Y127" s="46" t="str">
        <f>'Inputs (2)'!T21</f>
        <v/>
      </c>
      <c r="Z127" s="46" t="str">
        <f>'Inputs (2)'!U21</f>
        <v/>
      </c>
      <c r="AA127" s="46" t="str">
        <f>'Inputs (2)'!V21</f>
        <v/>
      </c>
      <c r="AB127" s="12" t="str">
        <f>'Inputs (2)'!W21</f>
        <v/>
      </c>
      <c r="AC127" s="46" t="str">
        <f>'Inputs (2)'!X21</f>
        <v/>
      </c>
      <c r="AD127" s="46" t="str">
        <f>'Inputs (2)'!Y21</f>
        <v/>
      </c>
      <c r="AE127" s="46" t="str">
        <f>'Inputs (2)'!Z21</f>
        <v/>
      </c>
      <c r="AF127" s="46" t="str">
        <f>'Inputs (2)'!AA21</f>
        <v/>
      </c>
      <c r="AG127" s="12" t="str">
        <f>'Inputs (2)'!AB21</f>
        <v/>
      </c>
      <c r="AH127" s="12" t="str">
        <f>'Inputs (2)'!AC21</f>
        <v/>
      </c>
      <c r="AI127" s="12" t="str">
        <f>'Inputs (2)'!AD21</f>
        <v/>
      </c>
      <c r="AJ127" s="12" t="e">
        <f>AI127+AJ101</f>
        <v>#VALUE!</v>
      </c>
      <c r="AK127" s="12" t="e">
        <f>AJ127+AK101</f>
        <v>#VALUE!</v>
      </c>
      <c r="AL127" s="12" t="e">
        <f>AK127</f>
        <v>#VALUE!</v>
      </c>
      <c r="AM127" s="12" t="e">
        <f>AL127+AM101</f>
        <v>#VALUE!</v>
      </c>
      <c r="AN127" s="12" t="e">
        <f>AM127+AN101</f>
        <v>#VALUE!</v>
      </c>
      <c r="AO127" s="12" t="e">
        <f>AN127+AO101</f>
        <v>#VALUE!</v>
      </c>
      <c r="AP127" s="12" t="e">
        <f>AO127+AP101</f>
        <v>#VALUE!</v>
      </c>
      <c r="AQ127" s="12" t="e">
        <f>AP127</f>
        <v>#VALUE!</v>
      </c>
      <c r="AR127" s="12" t="e">
        <f>AQ127+AR101</f>
        <v>#VALUE!</v>
      </c>
      <c r="AS127" s="12" t="e">
        <f>AR127+AS101</f>
        <v>#VALUE!</v>
      </c>
      <c r="AT127" s="12" t="e">
        <f>AS127+AT101</f>
        <v>#VALUE!</v>
      </c>
      <c r="AU127" s="12" t="e">
        <f>AT127+AU101</f>
        <v>#VALUE!</v>
      </c>
      <c r="AV127" s="12" t="e">
        <f>AU127</f>
        <v>#VALUE!</v>
      </c>
      <c r="AW127" s="12" t="e">
        <f>AV127+AW101</f>
        <v>#VALUE!</v>
      </c>
      <c r="AX127" s="12" t="e">
        <f>AW127+AX101</f>
        <v>#VALUE!</v>
      </c>
      <c r="AY127" s="12" t="e">
        <f>AX127+AY101</f>
        <v>#VALUE!</v>
      </c>
      <c r="AZ127" s="12" t="e">
        <f>AY127+AZ101</f>
        <v>#VALUE!</v>
      </c>
      <c r="BA127" s="12" t="e">
        <f>AZ127</f>
        <v>#VALUE!</v>
      </c>
      <c r="BB127" s="12" t="e">
        <f>BA127+BB101</f>
        <v>#VALUE!</v>
      </c>
      <c r="BC127" s="12" t="e">
        <f>BB127+BC101</f>
        <v>#VALUE!</v>
      </c>
      <c r="BD127" s="12" t="e">
        <f>BC127+BD101</f>
        <v>#VALUE!</v>
      </c>
      <c r="BE127" s="12" t="e">
        <f>BD127+BE101</f>
        <v>#VALUE!</v>
      </c>
      <c r="BF127" s="12" t="e">
        <f>BE127</f>
        <v>#VALUE!</v>
      </c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</row>
    <row r="128" spans="3:103" hidden="1" outlineLevel="1" x14ac:dyDescent="0.2">
      <c r="C128" s="57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</row>
    <row r="129" spans="3:103" hidden="1" outlineLevel="1" x14ac:dyDescent="0.2">
      <c r="C129" s="57" t="s">
        <v>143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 t="e">
        <f>IF(I101=0,0,N101/I101-1)</f>
        <v>#VALUE!</v>
      </c>
      <c r="O129" s="12" t="e">
        <f>IF(J101=0,0,O101/J101-1)</f>
        <v>#VALUE!</v>
      </c>
      <c r="P129" s="12" t="e">
        <f>IF(K101=0,0,P101/K101-1)</f>
        <v>#VALUE!</v>
      </c>
      <c r="Q129" s="12" t="e">
        <f>IF(L101=0,0,Q101/L101-1)</f>
        <v>#VALUE!</v>
      </c>
      <c r="R129" s="12"/>
      <c r="S129" s="12" t="e">
        <f>IF(N101=0,0,S101/N101-1)</f>
        <v>#VALUE!</v>
      </c>
      <c r="T129" s="12" t="e">
        <f>IF(O101=0,0,T101/O101-1)</f>
        <v>#VALUE!</v>
      </c>
      <c r="U129" s="12" t="e">
        <f>IF(P101=0,0,U101/P101-1)</f>
        <v>#VALUE!</v>
      </c>
      <c r="V129" s="12" t="e">
        <f>IF(Q101=0,0,V101/Q101-1)</f>
        <v>#VALUE!</v>
      </c>
      <c r="W129" s="12"/>
      <c r="X129" s="12" t="e">
        <f>IF(S101=0,0,X101/S101-1)</f>
        <v>#VALUE!</v>
      </c>
      <c r="Y129" s="12" t="e">
        <f>IF(T101=0,0,Y101/T101-1)</f>
        <v>#VALUE!</v>
      </c>
      <c r="Z129" s="12" t="e">
        <f>IF(U101=0,0,Z101/U101-1)</f>
        <v>#VALUE!</v>
      </c>
      <c r="AA129" s="12" t="e">
        <f>IF(V101=0,0,AA101/V101-1)</f>
        <v>#VALUE!</v>
      </c>
      <c r="AB129" s="12"/>
      <c r="AC129" s="12" t="e">
        <f>IF(X101=0,0,AC101/X101-1)</f>
        <v>#VALUE!</v>
      </c>
      <c r="AD129" s="12" t="e">
        <f>IF(Y101=0,0,AD101/Y101-1)</f>
        <v>#VALUE!</v>
      </c>
      <c r="AE129" s="12" t="e">
        <f>IF(Z101=0,0,AE101/Z101-1)</f>
        <v>#VALUE!</v>
      </c>
      <c r="AF129" s="12" t="e">
        <f>IF(AA101=0,0,AF101/AA101-1)</f>
        <v>#VALUE!</v>
      </c>
      <c r="AG129" s="12"/>
      <c r="AH129" s="11"/>
      <c r="AI129" s="11"/>
      <c r="AJ129" s="11"/>
      <c r="AK129" s="11"/>
      <c r="AL129" s="12"/>
      <c r="AM129" s="11"/>
      <c r="AN129" s="11"/>
      <c r="AO129" s="11"/>
      <c r="AP129" s="11"/>
      <c r="AQ129" s="12"/>
      <c r="AR129" s="11"/>
      <c r="AS129" s="11"/>
      <c r="AT129" s="11"/>
      <c r="AU129" s="11"/>
      <c r="AV129" s="12"/>
      <c r="AW129" s="11"/>
      <c r="AX129" s="11"/>
      <c r="AY129" s="11"/>
      <c r="AZ129" s="11"/>
      <c r="BA129" s="12"/>
      <c r="BB129" s="11"/>
      <c r="BC129" s="11"/>
      <c r="BD129" s="11"/>
      <c r="BE129" s="11"/>
      <c r="BF129" s="12"/>
      <c r="BG129" s="11"/>
      <c r="BH129" s="11"/>
      <c r="BI129" s="11"/>
      <c r="BJ129" s="11"/>
      <c r="BK129" s="12"/>
      <c r="BL129" s="11"/>
      <c r="BM129" s="11"/>
      <c r="BN129" s="11"/>
      <c r="BO129" s="11"/>
      <c r="BP129" s="12"/>
      <c r="BQ129" s="11"/>
      <c r="BR129" s="11"/>
      <c r="BS129" s="11"/>
      <c r="BT129" s="11"/>
      <c r="BU129" s="12"/>
      <c r="BV129" s="11"/>
      <c r="BW129" s="11"/>
      <c r="BX129" s="11"/>
      <c r="BY129" s="11"/>
      <c r="BZ129" s="12"/>
      <c r="CA129" s="11"/>
      <c r="CB129" s="11"/>
      <c r="CC129" s="11"/>
      <c r="CD129" s="11"/>
      <c r="CE129" s="12"/>
      <c r="CF129" s="11"/>
      <c r="CG129" s="11"/>
      <c r="CH129" s="11"/>
      <c r="CI129" s="11"/>
      <c r="CJ129" s="12"/>
      <c r="CK129" s="11"/>
      <c r="CL129" s="11"/>
      <c r="CM129" s="11"/>
      <c r="CN129" s="11"/>
      <c r="CO129" s="12"/>
      <c r="CP129" s="11"/>
      <c r="CQ129" s="11"/>
      <c r="CR129" s="11"/>
      <c r="CS129" s="11"/>
      <c r="CT129" s="12"/>
      <c r="CU129" s="11"/>
      <c r="CV129" s="11"/>
      <c r="CW129" s="11"/>
      <c r="CX129" s="11"/>
      <c r="CY129" s="12"/>
    </row>
    <row r="130" spans="3:103" hidden="1" outlineLevel="1" x14ac:dyDescent="0.2">
      <c r="C130" s="57" t="s">
        <v>144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1"/>
      <c r="AI130" s="11"/>
      <c r="AJ130" s="11"/>
      <c r="AK130" s="11"/>
      <c r="AL130" s="12"/>
      <c r="AM130" s="11"/>
      <c r="AN130" s="11"/>
      <c r="AO130" s="11"/>
      <c r="AP130" s="11"/>
      <c r="AQ130" s="12"/>
      <c r="AR130" s="11"/>
      <c r="AS130" s="11"/>
      <c r="AT130" s="11"/>
      <c r="AU130" s="11"/>
      <c r="AV130" s="12"/>
      <c r="AW130" s="11"/>
      <c r="AX130" s="11"/>
      <c r="AY130" s="11"/>
      <c r="AZ130" s="11"/>
      <c r="BA130" s="12"/>
      <c r="BB130" s="11"/>
      <c r="BC130" s="11"/>
      <c r="BD130" s="11"/>
      <c r="BE130" s="11"/>
      <c r="BF130" s="12"/>
      <c r="BG130" s="11"/>
      <c r="BH130" s="11"/>
      <c r="BI130" s="11"/>
      <c r="BJ130" s="11"/>
      <c r="BK130" s="12"/>
      <c r="BL130" s="11"/>
      <c r="BM130" s="11"/>
      <c r="BN130" s="11"/>
      <c r="BO130" s="11"/>
      <c r="BP130" s="12"/>
      <c r="BQ130" s="11"/>
      <c r="BR130" s="11"/>
      <c r="BS130" s="11"/>
      <c r="BT130" s="11"/>
      <c r="BU130" s="12"/>
      <c r="BV130" s="11"/>
      <c r="BW130" s="11"/>
      <c r="BX130" s="11"/>
      <c r="BY130" s="11"/>
      <c r="BZ130" s="12"/>
      <c r="CA130" s="11"/>
      <c r="CB130" s="11"/>
      <c r="CC130" s="11"/>
      <c r="CD130" s="11"/>
      <c r="CE130" s="12"/>
      <c r="CF130" s="11"/>
      <c r="CG130" s="11"/>
      <c r="CH130" s="11"/>
      <c r="CI130" s="11"/>
      <c r="CJ130" s="12"/>
      <c r="CK130" s="11"/>
      <c r="CL130" s="11"/>
      <c r="CM130" s="11"/>
      <c r="CN130" s="11"/>
      <c r="CO130" s="12"/>
      <c r="CP130" s="11"/>
      <c r="CQ130" s="11"/>
      <c r="CR130" s="11"/>
      <c r="CS130" s="11"/>
      <c r="CT130" s="12"/>
      <c r="CU130" s="11"/>
      <c r="CV130" s="11"/>
      <c r="CW130" s="11"/>
      <c r="CX130" s="11"/>
      <c r="CY130" s="12"/>
    </row>
    <row r="131" spans="3:103" hidden="1" outlineLevel="1" x14ac:dyDescent="0.2">
      <c r="C131" s="57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</row>
    <row r="132" spans="3:103" collapsed="1" x14ac:dyDescent="0.2">
      <c r="C132" s="14" t="s">
        <v>53</v>
      </c>
      <c r="D132" s="46"/>
      <c r="E132" s="46"/>
      <c r="F132" s="46"/>
      <c r="G132" s="46"/>
      <c r="H132" s="12"/>
      <c r="I132" s="46" t="str">
        <f>'Inputs (2)'!D22</f>
        <v/>
      </c>
      <c r="J132" s="46" t="str">
        <f>'Inputs (2)'!E22</f>
        <v/>
      </c>
      <c r="K132" s="46" t="str">
        <f>'Inputs (2)'!F22</f>
        <v/>
      </c>
      <c r="L132" s="46" t="str">
        <f>'Inputs (2)'!G22</f>
        <v/>
      </c>
      <c r="M132" s="12" t="str">
        <f>'Inputs (2)'!H22</f>
        <v/>
      </c>
      <c r="N132" s="46" t="str">
        <f>'Inputs (2)'!I22</f>
        <v/>
      </c>
      <c r="O132" s="46" t="str">
        <f>'Inputs (2)'!J22</f>
        <v/>
      </c>
      <c r="P132" s="46" t="str">
        <f>'Inputs (2)'!K22</f>
        <v/>
      </c>
      <c r="Q132" s="46" t="str">
        <f>'Inputs (2)'!L22</f>
        <v/>
      </c>
      <c r="R132" s="12" t="str">
        <f>'Inputs (2)'!M22</f>
        <v/>
      </c>
      <c r="S132" s="46" t="str">
        <f>'Inputs (2)'!N22</f>
        <v/>
      </c>
      <c r="T132" s="46" t="str">
        <f>'Inputs (2)'!O22</f>
        <v/>
      </c>
      <c r="U132" s="46" t="str">
        <f>'Inputs (2)'!P22</f>
        <v/>
      </c>
      <c r="V132" s="46" t="str">
        <f>'Inputs (2)'!Q22</f>
        <v/>
      </c>
      <c r="W132" s="12" t="str">
        <f>'Inputs (2)'!R22</f>
        <v/>
      </c>
      <c r="X132" s="46" t="str">
        <f>'Inputs (2)'!S22</f>
        <v/>
      </c>
      <c r="Y132" s="46" t="str">
        <f>'Inputs (2)'!T22</f>
        <v/>
      </c>
      <c r="Z132" s="46" t="str">
        <f>'Inputs (2)'!U22</f>
        <v/>
      </c>
      <c r="AA132" s="46" t="str">
        <f>'Inputs (2)'!V22</f>
        <v/>
      </c>
      <c r="AB132" s="12" t="str">
        <f>'Inputs (2)'!W22</f>
        <v/>
      </c>
      <c r="AC132" s="46" t="str">
        <f>'Inputs (2)'!X22</f>
        <v/>
      </c>
      <c r="AD132" s="46" t="str">
        <f>'Inputs (2)'!Y22</f>
        <v/>
      </c>
      <c r="AE132" s="46" t="str">
        <f>'Inputs (2)'!Z22</f>
        <v/>
      </c>
      <c r="AF132" s="46" t="str">
        <f>'Inputs (2)'!AA22</f>
        <v/>
      </c>
      <c r="AG132" s="12" t="str">
        <f>'Inputs (2)'!AB22</f>
        <v/>
      </c>
      <c r="AH132" s="12" t="str">
        <f>'Inputs (2)'!AC22</f>
        <v/>
      </c>
      <c r="AI132" s="12" t="str">
        <f>'Inputs (2)'!AD22</f>
        <v/>
      </c>
      <c r="AJ132" s="12" t="e">
        <f>AJ137</f>
        <v>#VALUE!</v>
      </c>
      <c r="AK132" s="12" t="e">
        <f>AK137</f>
        <v>#VALUE!</v>
      </c>
      <c r="AL132" s="12" t="e">
        <f>AK132</f>
        <v>#VALUE!</v>
      </c>
      <c r="AM132" s="12" t="e">
        <f>AM137</f>
        <v>#VALUE!</v>
      </c>
      <c r="AN132" s="12" t="e">
        <f>AN137</f>
        <v>#VALUE!</v>
      </c>
      <c r="AO132" s="12" t="e">
        <f>AO137</f>
        <v>#VALUE!</v>
      </c>
      <c r="AP132" s="12" t="e">
        <f>AP137</f>
        <v>#VALUE!</v>
      </c>
      <c r="AQ132" s="12" t="e">
        <f>AP132</f>
        <v>#VALUE!</v>
      </c>
      <c r="AR132" s="12" t="e">
        <f>AR137</f>
        <v>#VALUE!</v>
      </c>
      <c r="AS132" s="12" t="e">
        <f>AS137</f>
        <v>#VALUE!</v>
      </c>
      <c r="AT132" s="12" t="e">
        <f>AT137</f>
        <v>#VALUE!</v>
      </c>
      <c r="AU132" s="12" t="e">
        <f>AU137</f>
        <v>#VALUE!</v>
      </c>
      <c r="AV132" s="12" t="e">
        <f>AU132</f>
        <v>#VALUE!</v>
      </c>
      <c r="AW132" s="12" t="e">
        <f>AW137</f>
        <v>#VALUE!</v>
      </c>
      <c r="AX132" s="12" t="e">
        <f>AX137</f>
        <v>#VALUE!</v>
      </c>
      <c r="AY132" s="12" t="e">
        <f>AY137</f>
        <v>#VALUE!</v>
      </c>
      <c r="AZ132" s="12" t="e">
        <f>AZ137</f>
        <v>#VALUE!</v>
      </c>
      <c r="BA132" s="12" t="e">
        <f>AZ132</f>
        <v>#VALUE!</v>
      </c>
      <c r="BB132" s="12" t="e">
        <f>BB137</f>
        <v>#VALUE!</v>
      </c>
      <c r="BC132" s="12" t="e">
        <f>BC137</f>
        <v>#VALUE!</v>
      </c>
      <c r="BD132" s="12" t="e">
        <f>BD137</f>
        <v>#VALUE!</v>
      </c>
      <c r="BE132" s="12" t="e">
        <f>BE137</f>
        <v>#VALUE!</v>
      </c>
      <c r="BF132" s="12" t="e">
        <f>BE132</f>
        <v>#VALUE!</v>
      </c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</row>
    <row r="133" spans="3:103" hidden="1" outlineLevel="1" x14ac:dyDescent="0.2">
      <c r="C133" s="57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</row>
    <row r="134" spans="3:103" hidden="1" outlineLevel="1" x14ac:dyDescent="0.2">
      <c r="C134" s="57" t="s">
        <v>145</v>
      </c>
      <c r="D134" s="12"/>
      <c r="E134" s="12"/>
      <c r="F134" s="12"/>
      <c r="G134" s="12"/>
      <c r="H134" s="12"/>
      <c r="I134" s="12"/>
      <c r="J134" s="12" t="e">
        <f>J132-I132-J36</f>
        <v>#VALUE!</v>
      </c>
      <c r="K134" s="12" t="e">
        <f>K132-J132-K36</f>
        <v>#VALUE!</v>
      </c>
      <c r="L134" s="12" t="e">
        <f>L132-K132-L36</f>
        <v>#VALUE!</v>
      </c>
      <c r="M134" s="12"/>
      <c r="N134" s="12" t="e">
        <f>N132-M132-N36</f>
        <v>#VALUE!</v>
      </c>
      <c r="O134" s="12" t="e">
        <f>O132-N132-O36</f>
        <v>#VALUE!</v>
      </c>
      <c r="P134" s="12" t="e">
        <f>P132-O132-P36</f>
        <v>#VALUE!</v>
      </c>
      <c r="Q134" s="12" t="e">
        <f>Q132-P132-Q36</f>
        <v>#VALUE!</v>
      </c>
      <c r="R134" s="12"/>
      <c r="S134" s="12" t="e">
        <f>S132-R132-S36</f>
        <v>#VALUE!</v>
      </c>
      <c r="T134" s="12" t="e">
        <f>T132-S132-T36</f>
        <v>#VALUE!</v>
      </c>
      <c r="U134" s="12" t="e">
        <f>U132-T132-U36</f>
        <v>#VALUE!</v>
      </c>
      <c r="V134" s="12" t="e">
        <f>V132-U132-V36</f>
        <v>#VALUE!</v>
      </c>
      <c r="W134" s="12"/>
      <c r="X134" s="12" t="e">
        <f>X132-W132-X36</f>
        <v>#VALUE!</v>
      </c>
      <c r="Y134" s="12" t="e">
        <f>Y132-X132-Y36</f>
        <v>#VALUE!</v>
      </c>
      <c r="Z134" s="12" t="e">
        <f>Z132-Y132-Z36</f>
        <v>#VALUE!</v>
      </c>
      <c r="AA134" s="12" t="e">
        <f>AA132-Z132-AA36</f>
        <v>#VALUE!</v>
      </c>
      <c r="AB134" s="12"/>
      <c r="AC134" s="12" t="e">
        <f>AC132-AB132-AC36</f>
        <v>#VALUE!</v>
      </c>
      <c r="AD134" s="12" t="e">
        <f>AD132-AC132-AD36</f>
        <v>#VALUE!</v>
      </c>
      <c r="AE134" s="12" t="e">
        <f>AE132-AD132-AE36</f>
        <v>#VALUE!</v>
      </c>
      <c r="AF134" s="11"/>
      <c r="AG134" s="12" t="e">
        <f>SUM(AC134:AF134)</f>
        <v>#VALUE!</v>
      </c>
      <c r="AH134" s="11"/>
      <c r="AI134" s="11"/>
      <c r="AJ134" s="11" t="e">
        <f>AJ15*Control!$B$24</f>
        <v>#VALUE!</v>
      </c>
      <c r="AK134" s="11" t="e">
        <f>AK15*Control!$B$24</f>
        <v>#VALUE!</v>
      </c>
      <c r="AL134" s="12"/>
      <c r="AM134" s="11" t="e">
        <f>AM15*Control!$C$24</f>
        <v>#VALUE!</v>
      </c>
      <c r="AN134" s="11" t="e">
        <f>AN15*Control!$C$24</f>
        <v>#VALUE!</v>
      </c>
      <c r="AO134" s="11" t="e">
        <f>AO15*Control!$C$24</f>
        <v>#VALUE!</v>
      </c>
      <c r="AP134" s="11" t="e">
        <f>AP15*Control!$C$24</f>
        <v>#VALUE!</v>
      </c>
      <c r="AQ134" s="12"/>
      <c r="AR134" s="11" t="e">
        <f>AR15*Control!$D$24</f>
        <v>#VALUE!</v>
      </c>
      <c r="AS134" s="11" t="e">
        <f>AS15*Control!$D$24</f>
        <v>#VALUE!</v>
      </c>
      <c r="AT134" s="11" t="e">
        <f>AT15*Control!$D$24</f>
        <v>#VALUE!</v>
      </c>
      <c r="AU134" s="11" t="e">
        <f>AU15*Control!$D$24</f>
        <v>#VALUE!</v>
      </c>
      <c r="AV134" s="12"/>
      <c r="AW134" s="11" t="e">
        <f>AW15*Control!$E$24</f>
        <v>#VALUE!</v>
      </c>
      <c r="AX134" s="11" t="e">
        <f>AX15*Control!$E$24</f>
        <v>#VALUE!</v>
      </c>
      <c r="AY134" s="11" t="e">
        <f>AY15*Control!$E$24</f>
        <v>#VALUE!</v>
      </c>
      <c r="AZ134" s="11" t="e">
        <f>AZ15*Control!$E$24</f>
        <v>#VALUE!</v>
      </c>
      <c r="BA134" s="12"/>
      <c r="BB134" s="11" t="e">
        <f>BB15*Control!$F$24</f>
        <v>#VALUE!</v>
      </c>
      <c r="BC134" s="11" t="e">
        <f>BC15*Control!$F$24</f>
        <v>#VALUE!</v>
      </c>
      <c r="BD134" s="11" t="e">
        <f>BD15*Control!$F$24</f>
        <v>#VALUE!</v>
      </c>
      <c r="BE134" s="11" t="e">
        <f>BE15*Control!$F$24</f>
        <v>#VALUE!</v>
      </c>
      <c r="BF134" s="12"/>
      <c r="BG134" s="11"/>
      <c r="BH134" s="11"/>
      <c r="BI134" s="11"/>
      <c r="BJ134" s="11"/>
      <c r="BK134" s="12"/>
      <c r="BL134" s="11"/>
      <c r="BM134" s="11"/>
      <c r="BN134" s="11"/>
      <c r="BO134" s="11"/>
      <c r="BP134" s="12"/>
      <c r="BQ134" s="11"/>
      <c r="BR134" s="11"/>
      <c r="BS134" s="11"/>
      <c r="BT134" s="11"/>
      <c r="BU134" s="12"/>
      <c r="BV134" s="11"/>
      <c r="BW134" s="11"/>
      <c r="BX134" s="11"/>
      <c r="BY134" s="11"/>
      <c r="BZ134" s="12"/>
      <c r="CA134" s="11"/>
      <c r="CB134" s="11"/>
      <c r="CC134" s="11"/>
      <c r="CD134" s="11"/>
      <c r="CE134" s="12"/>
      <c r="CF134" s="11"/>
      <c r="CG134" s="11"/>
      <c r="CH134" s="11"/>
      <c r="CI134" s="11"/>
      <c r="CJ134" s="12"/>
      <c r="CK134" s="11"/>
      <c r="CL134" s="11"/>
      <c r="CM134" s="11"/>
      <c r="CN134" s="11"/>
      <c r="CO134" s="12"/>
      <c r="CP134" s="11"/>
      <c r="CQ134" s="11"/>
      <c r="CR134" s="11"/>
      <c r="CS134" s="11"/>
      <c r="CT134" s="12"/>
      <c r="CU134" s="11"/>
      <c r="CV134" s="11"/>
      <c r="CW134" s="11"/>
      <c r="CX134" s="11"/>
      <c r="CY134" s="12"/>
    </row>
    <row r="135" spans="3:103" hidden="1" outlineLevel="1" x14ac:dyDescent="0.2">
      <c r="C135" s="57" t="s">
        <v>146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>
        <f>SUM(I135:L135)</f>
        <v>0</v>
      </c>
      <c r="N135" s="12"/>
      <c r="O135" s="12"/>
      <c r="P135" s="12"/>
      <c r="Q135" s="12"/>
      <c r="R135" s="12">
        <f>SUM(N135:Q135)</f>
        <v>0</v>
      </c>
      <c r="S135" s="12"/>
      <c r="T135" s="12"/>
      <c r="U135" s="12"/>
      <c r="V135" s="12"/>
      <c r="W135" s="12">
        <f>SUM(S135:V135)</f>
        <v>0</v>
      </c>
      <c r="X135" s="12"/>
      <c r="Y135" s="12"/>
      <c r="Z135" s="12"/>
      <c r="AA135" s="12"/>
      <c r="AB135" s="12">
        <f>SUM(X135:AA135)</f>
        <v>0</v>
      </c>
      <c r="AC135" s="12"/>
      <c r="AD135" s="12"/>
      <c r="AE135" s="12"/>
      <c r="AF135" s="11"/>
      <c r="AG135" s="12"/>
      <c r="AH135" s="11"/>
      <c r="AI135" s="11"/>
      <c r="AJ135" s="11">
        <f>0</f>
        <v>0</v>
      </c>
      <c r="AK135" s="11">
        <f>0</f>
        <v>0</v>
      </c>
      <c r="AL135" s="12"/>
      <c r="AM135" s="11">
        <f>0</f>
        <v>0</v>
      </c>
      <c r="AN135" s="11">
        <f>0</f>
        <v>0</v>
      </c>
      <c r="AO135" s="11">
        <f>0</f>
        <v>0</v>
      </c>
      <c r="AP135" s="11">
        <f>0</f>
        <v>0</v>
      </c>
      <c r="AQ135" s="12"/>
      <c r="AR135" s="11">
        <f>0</f>
        <v>0</v>
      </c>
      <c r="AS135" s="11">
        <f>0</f>
        <v>0</v>
      </c>
      <c r="AT135" s="11">
        <f>0</f>
        <v>0</v>
      </c>
      <c r="AU135" s="11">
        <f>0</f>
        <v>0</v>
      </c>
      <c r="AV135" s="12"/>
      <c r="AW135" s="11">
        <f>0</f>
        <v>0</v>
      </c>
      <c r="AX135" s="11">
        <f>0</f>
        <v>0</v>
      </c>
      <c r="AY135" s="11">
        <f>0</f>
        <v>0</v>
      </c>
      <c r="AZ135" s="11">
        <f>0</f>
        <v>0</v>
      </c>
      <c r="BA135" s="12"/>
      <c r="BB135" s="11">
        <f>0</f>
        <v>0</v>
      </c>
      <c r="BC135" s="11">
        <f>0</f>
        <v>0</v>
      </c>
      <c r="BD135" s="11">
        <f>0</f>
        <v>0</v>
      </c>
      <c r="BE135" s="11">
        <f>0</f>
        <v>0</v>
      </c>
      <c r="BF135" s="12"/>
      <c r="BG135" s="11"/>
      <c r="BH135" s="11"/>
      <c r="BI135" s="11"/>
      <c r="BJ135" s="11"/>
      <c r="BK135" s="12"/>
      <c r="BL135" s="11"/>
      <c r="BM135" s="11"/>
      <c r="BN135" s="11"/>
      <c r="BO135" s="11"/>
      <c r="BP135" s="12"/>
      <c r="BQ135" s="11"/>
      <c r="BR135" s="11"/>
      <c r="BS135" s="11"/>
      <c r="BT135" s="11"/>
      <c r="BU135" s="12"/>
      <c r="BV135" s="11"/>
      <c r="BW135" s="11"/>
      <c r="BX135" s="11"/>
      <c r="BY135" s="11"/>
      <c r="BZ135" s="12"/>
      <c r="CA135" s="11"/>
      <c r="CB135" s="11"/>
      <c r="CC135" s="11"/>
      <c r="CD135" s="11"/>
      <c r="CE135" s="12"/>
      <c r="CF135" s="11"/>
      <c r="CG135" s="11"/>
      <c r="CH135" s="11"/>
      <c r="CI135" s="11"/>
      <c r="CJ135" s="12"/>
      <c r="CK135" s="11"/>
      <c r="CL135" s="11"/>
      <c r="CM135" s="11"/>
      <c r="CN135" s="11"/>
      <c r="CO135" s="12"/>
      <c r="CP135" s="11"/>
      <c r="CQ135" s="11"/>
      <c r="CR135" s="11"/>
      <c r="CS135" s="11"/>
      <c r="CT135" s="12"/>
      <c r="CU135" s="11"/>
      <c r="CV135" s="11"/>
      <c r="CW135" s="11"/>
      <c r="CX135" s="11"/>
      <c r="CY135" s="12"/>
    </row>
    <row r="136" spans="3:103" hidden="1" outlineLevel="1" x14ac:dyDescent="0.2">
      <c r="C136" s="57" t="s">
        <v>147</v>
      </c>
      <c r="D136" s="12"/>
      <c r="E136" s="12"/>
      <c r="F136" s="12"/>
      <c r="G136" s="12"/>
      <c r="H136" s="12"/>
      <c r="I136" s="12" t="str">
        <f>I36</f>
        <v/>
      </c>
      <c r="J136" s="12" t="str">
        <f>J36</f>
        <v/>
      </c>
      <c r="K136" s="12" t="str">
        <f>K36</f>
        <v/>
      </c>
      <c r="L136" s="12" t="str">
        <f>L36</f>
        <v/>
      </c>
      <c r="M136" s="12"/>
      <c r="N136" s="12" t="str">
        <f>N36</f>
        <v/>
      </c>
      <c r="O136" s="12" t="str">
        <f>O36</f>
        <v/>
      </c>
      <c r="P136" s="12" t="str">
        <f>P36</f>
        <v/>
      </c>
      <c r="Q136" s="12" t="str">
        <f>Q36</f>
        <v/>
      </c>
      <c r="R136" s="12"/>
      <c r="S136" s="12" t="str">
        <f>S36</f>
        <v/>
      </c>
      <c r="T136" s="12" t="str">
        <f>T36</f>
        <v/>
      </c>
      <c r="U136" s="12" t="str">
        <f>U36</f>
        <v/>
      </c>
      <c r="V136" s="12" t="str">
        <f>V36</f>
        <v/>
      </c>
      <c r="W136" s="12"/>
      <c r="X136" s="12" t="str">
        <f>X36</f>
        <v/>
      </c>
      <c r="Y136" s="12" t="str">
        <f>Y36</f>
        <v/>
      </c>
      <c r="Z136" s="12" t="str">
        <f>Z36</f>
        <v/>
      </c>
      <c r="AA136" s="12" t="str">
        <f>AA36</f>
        <v/>
      </c>
      <c r="AB136" s="12"/>
      <c r="AC136" s="12" t="str">
        <f>AC36</f>
        <v/>
      </c>
      <c r="AD136" s="12" t="str">
        <f>AD36</f>
        <v/>
      </c>
      <c r="AE136" s="12" t="str">
        <f>AE36</f>
        <v/>
      </c>
      <c r="AF136" s="12" t="str">
        <f>AF36</f>
        <v/>
      </c>
      <c r="AG136" s="12"/>
      <c r="AH136" s="12" t="str">
        <f>AH36</f>
        <v/>
      </c>
      <c r="AI136" s="12" t="str">
        <f>AI36</f>
        <v/>
      </c>
      <c r="AJ136" s="12" t="e">
        <f>AJ36</f>
        <v>#VALUE!</v>
      </c>
      <c r="AK136" s="12" t="e">
        <f>AK36</f>
        <v>#VALUE!</v>
      </c>
      <c r="AL136" s="12"/>
      <c r="AM136" s="12" t="e">
        <f>AM36</f>
        <v>#VALUE!</v>
      </c>
      <c r="AN136" s="12" t="e">
        <f>AN36</f>
        <v>#VALUE!</v>
      </c>
      <c r="AO136" s="12" t="e">
        <f>AO36</f>
        <v>#VALUE!</v>
      </c>
      <c r="AP136" s="12" t="e">
        <f>AP36</f>
        <v>#VALUE!</v>
      </c>
      <c r="AQ136" s="12"/>
      <c r="AR136" s="12" t="e">
        <f>AR36</f>
        <v>#VALUE!</v>
      </c>
      <c r="AS136" s="12" t="e">
        <f>AS36</f>
        <v>#VALUE!</v>
      </c>
      <c r="AT136" s="12" t="e">
        <f>AT36</f>
        <v>#VALUE!</v>
      </c>
      <c r="AU136" s="12" t="e">
        <f>AU36</f>
        <v>#VALUE!</v>
      </c>
      <c r="AV136" s="12"/>
      <c r="AW136" s="12" t="e">
        <f>AW36</f>
        <v>#VALUE!</v>
      </c>
      <c r="AX136" s="12" t="e">
        <f>AX36</f>
        <v>#VALUE!</v>
      </c>
      <c r="AY136" s="12" t="e">
        <f>AY36</f>
        <v>#VALUE!</v>
      </c>
      <c r="AZ136" s="12" t="e">
        <f>AZ36</f>
        <v>#VALUE!</v>
      </c>
      <c r="BA136" s="12"/>
      <c r="BB136" s="12" t="e">
        <f>BB36</f>
        <v>#VALUE!</v>
      </c>
      <c r="BC136" s="12" t="e">
        <f>BC36</f>
        <v>#VALUE!</v>
      </c>
      <c r="BD136" s="12" t="e">
        <f>BD36</f>
        <v>#VALUE!</v>
      </c>
      <c r="BE136" s="12" t="e">
        <f>BE36</f>
        <v>#VALUE!</v>
      </c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</row>
    <row r="137" spans="3:103" hidden="1" outlineLevel="1" x14ac:dyDescent="0.2">
      <c r="C137" s="57" t="s">
        <v>53</v>
      </c>
      <c r="D137" s="12"/>
      <c r="E137" s="12"/>
      <c r="F137" s="12"/>
      <c r="G137" s="12"/>
      <c r="H137" s="12"/>
      <c r="I137" s="12" t="str">
        <f>I132</f>
        <v/>
      </c>
      <c r="J137" s="12" t="str">
        <f>J132</f>
        <v/>
      </c>
      <c r="K137" s="12" t="str">
        <f>K132</f>
        <v/>
      </c>
      <c r="L137" s="12" t="str">
        <f>L132</f>
        <v/>
      </c>
      <c r="M137" s="12"/>
      <c r="N137" s="12" t="str">
        <f>N132</f>
        <v/>
      </c>
      <c r="O137" s="12" t="str">
        <f>O132</f>
        <v/>
      </c>
      <c r="P137" s="12" t="str">
        <f>P132</f>
        <v/>
      </c>
      <c r="Q137" s="12" t="str">
        <f>Q132</f>
        <v/>
      </c>
      <c r="R137" s="12"/>
      <c r="S137" s="12" t="str">
        <f>S132</f>
        <v/>
      </c>
      <c r="T137" s="12" t="str">
        <f>T132</f>
        <v/>
      </c>
      <c r="U137" s="12" t="str">
        <f>U132</f>
        <v/>
      </c>
      <c r="V137" s="12" t="str">
        <f>V132</f>
        <v/>
      </c>
      <c r="W137" s="12"/>
      <c r="X137" s="12" t="str">
        <f>X132</f>
        <v/>
      </c>
      <c r="Y137" s="12" t="str">
        <f>Y132</f>
        <v/>
      </c>
      <c r="Z137" s="12" t="str">
        <f>Z132</f>
        <v/>
      </c>
      <c r="AA137" s="12" t="e">
        <f>Y137+SUM(AA134:AA136)</f>
        <v>#VALUE!</v>
      </c>
      <c r="AB137" s="12"/>
      <c r="AC137" s="12" t="str">
        <f>AC132</f>
        <v/>
      </c>
      <c r="AD137" s="12" t="str">
        <f>AD132</f>
        <v/>
      </c>
      <c r="AE137" s="12" t="str">
        <f>AE132</f>
        <v/>
      </c>
      <c r="AF137" s="12" t="e">
        <f>AE137+SUM(AF134:AF136)</f>
        <v>#VALUE!</v>
      </c>
      <c r="AG137" s="12"/>
      <c r="AH137" s="12" t="e">
        <f>AF137+SUM(AH134:AH136)</f>
        <v>#VALUE!</v>
      </c>
      <c r="AI137" s="12" t="e">
        <f>AH137+SUM(AI134:AI136)</f>
        <v>#VALUE!</v>
      </c>
      <c r="AJ137" s="12" t="e">
        <f>AI137+SUM(AJ134:AJ136)</f>
        <v>#VALUE!</v>
      </c>
      <c r="AK137" s="12" t="e">
        <f>AJ137+SUM(AK134:AK136)</f>
        <v>#VALUE!</v>
      </c>
      <c r="AL137" s="12"/>
      <c r="AM137" s="12" t="e">
        <f>AK137+SUM(AM134:AM136)</f>
        <v>#VALUE!</v>
      </c>
      <c r="AN137" s="12" t="e">
        <f>AM137+SUM(AN134:AN136)</f>
        <v>#VALUE!</v>
      </c>
      <c r="AO137" s="12" t="e">
        <f>AN137+SUM(AO134:AO136)</f>
        <v>#VALUE!</v>
      </c>
      <c r="AP137" s="12" t="e">
        <f>AO137+SUM(AP134:AP136)</f>
        <v>#VALUE!</v>
      </c>
      <c r="AQ137" s="12"/>
      <c r="AR137" s="12" t="e">
        <f>AP137+SUM(AR134:AR136)</f>
        <v>#VALUE!</v>
      </c>
      <c r="AS137" s="12" t="e">
        <f>AR137+SUM(AS134:AS136)</f>
        <v>#VALUE!</v>
      </c>
      <c r="AT137" s="12" t="e">
        <f>AS137+SUM(AT134:AT136)</f>
        <v>#VALUE!</v>
      </c>
      <c r="AU137" s="12" t="e">
        <f>AT137+SUM(AU134:AU136)</f>
        <v>#VALUE!</v>
      </c>
      <c r="AV137" s="12"/>
      <c r="AW137" s="12" t="e">
        <f>AU137+SUM(AW134:AW136)</f>
        <v>#VALUE!</v>
      </c>
      <c r="AX137" s="12" t="e">
        <f>AW137+SUM(AX134:AX136)</f>
        <v>#VALUE!</v>
      </c>
      <c r="AY137" s="12" t="e">
        <f>AX137+SUM(AY134:AY136)</f>
        <v>#VALUE!</v>
      </c>
      <c r="AZ137" s="12" t="e">
        <f>AY137+SUM(AZ134:AZ136)</f>
        <v>#VALUE!</v>
      </c>
      <c r="BA137" s="12"/>
      <c r="BB137" s="12" t="e">
        <f>AZ137+SUM(BB134:BB136)</f>
        <v>#VALUE!</v>
      </c>
      <c r="BC137" s="12" t="e">
        <f>BB137+SUM(BC134:BC136)</f>
        <v>#VALUE!</v>
      </c>
      <c r="BD137" s="12" t="e">
        <f>BC137+SUM(BD134:BD136)</f>
        <v>#VALUE!</v>
      </c>
      <c r="BE137" s="12" t="e">
        <f>BD137+SUM(BE134:BE136)</f>
        <v>#VALUE!</v>
      </c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</row>
    <row r="138" spans="3:103" hidden="1" outlineLevel="1" x14ac:dyDescent="0.2">
      <c r="C138" s="57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 t="e">
        <f>IF(AJ15=0,"",AJ134/AJ15)</f>
        <v>#VALUE!</v>
      </c>
      <c r="AK138" s="12" t="e">
        <f>IF(AK15=0,"",AK134/AK15)</f>
        <v>#VALUE!</v>
      </c>
      <c r="AL138" s="12"/>
      <c r="AM138" s="12" t="e">
        <f>IF(AM15=0,"",AM134/AM15)</f>
        <v>#VALUE!</v>
      </c>
      <c r="AN138" s="12" t="e">
        <f>IF(AN15=0,"",AN134/AN15)</f>
        <v>#VALUE!</v>
      </c>
      <c r="AO138" s="12" t="e">
        <f>IF(AO15=0,"",AO134/AO15)</f>
        <v>#VALUE!</v>
      </c>
      <c r="AP138" s="12" t="e">
        <f>IF(AP15=0,"",AP134/AP15)</f>
        <v>#VALUE!</v>
      </c>
      <c r="AQ138" s="12"/>
      <c r="AR138" s="12" t="e">
        <f>IF(AR15=0,"",AR134/AR15)</f>
        <v>#VALUE!</v>
      </c>
      <c r="AS138" s="12" t="e">
        <f>IF(AS15=0,"",AS134/AS15)</f>
        <v>#VALUE!</v>
      </c>
      <c r="AT138" s="12" t="e">
        <f>IF(AT15=0,"",AT134/AT15)</f>
        <v>#VALUE!</v>
      </c>
      <c r="AU138" s="12" t="e">
        <f>IF(AU15=0,"",AU134/AU15)</f>
        <v>#VALUE!</v>
      </c>
      <c r="AV138" s="12"/>
      <c r="AW138" s="12" t="e">
        <f>IF(AW15=0,"",AW134/AW15)</f>
        <v>#VALUE!</v>
      </c>
      <c r="AX138" s="12" t="e">
        <f>IF(AX15=0,"",AX134/AX15)</f>
        <v>#VALUE!</v>
      </c>
      <c r="AY138" s="12" t="e">
        <f>IF(AY15=0,"",AY134/AY15)</f>
        <v>#VALUE!</v>
      </c>
      <c r="AZ138" s="12" t="e">
        <f>IF(AZ15=0,"",AZ134/AZ15)</f>
        <v>#VALUE!</v>
      </c>
      <c r="BA138" s="12"/>
      <c r="BB138" s="12" t="e">
        <f>IF(BB15=0,"",BB134/BB15)</f>
        <v>#VALUE!</v>
      </c>
      <c r="BC138" s="12" t="e">
        <f>IF(BC15=0,"",BC134/BC15)</f>
        <v>#VALUE!</v>
      </c>
      <c r="BD138" s="12" t="e">
        <f>IF(BD15=0,"",BD134/BD15)</f>
        <v>#VALUE!</v>
      </c>
      <c r="BE138" s="12" t="e">
        <f>IF(BE15=0,"",BE134/BE15)</f>
        <v>#VALUE!</v>
      </c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</row>
    <row r="139" spans="3:103" hidden="1" outlineLevel="1" x14ac:dyDescent="0.2">
      <c r="C139" s="57" t="s">
        <v>148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58" t="str">
        <f t="shared" ref="AF139:BF139" si="23">IFERROR(AF134/AF15,"")</f>
        <v/>
      </c>
      <c r="AG139" s="58" t="str">
        <f t="shared" si="23"/>
        <v/>
      </c>
      <c r="AH139" s="58" t="str">
        <f t="shared" si="23"/>
        <v/>
      </c>
      <c r="AI139" s="58" t="str">
        <f t="shared" si="23"/>
        <v/>
      </c>
      <c r="AJ139" s="58" t="str">
        <f t="shared" si="23"/>
        <v/>
      </c>
      <c r="AK139" s="58" t="str">
        <f t="shared" si="23"/>
        <v/>
      </c>
      <c r="AL139" s="58" t="str">
        <f t="shared" si="23"/>
        <v/>
      </c>
      <c r="AM139" s="58" t="str">
        <f t="shared" si="23"/>
        <v/>
      </c>
      <c r="AN139" s="58" t="str">
        <f t="shared" si="23"/>
        <v/>
      </c>
      <c r="AO139" s="58" t="str">
        <f t="shared" si="23"/>
        <v/>
      </c>
      <c r="AP139" s="58" t="str">
        <f t="shared" si="23"/>
        <v/>
      </c>
      <c r="AQ139" s="58" t="str">
        <f t="shared" si="23"/>
        <v/>
      </c>
      <c r="AR139" s="58" t="str">
        <f t="shared" si="23"/>
        <v/>
      </c>
      <c r="AS139" s="58" t="str">
        <f t="shared" si="23"/>
        <v/>
      </c>
      <c r="AT139" s="58" t="str">
        <f t="shared" si="23"/>
        <v/>
      </c>
      <c r="AU139" s="58" t="str">
        <f t="shared" si="23"/>
        <v/>
      </c>
      <c r="AV139" s="58" t="str">
        <f t="shared" si="23"/>
        <v/>
      </c>
      <c r="AW139" s="58" t="str">
        <f t="shared" si="23"/>
        <v/>
      </c>
      <c r="AX139" s="58" t="str">
        <f t="shared" si="23"/>
        <v/>
      </c>
      <c r="AY139" s="58" t="str">
        <f t="shared" si="23"/>
        <v/>
      </c>
      <c r="AZ139" s="58" t="str">
        <f t="shared" si="23"/>
        <v/>
      </c>
      <c r="BA139" s="58" t="str">
        <f t="shared" si="23"/>
        <v/>
      </c>
      <c r="BB139" s="58" t="str">
        <f t="shared" si="23"/>
        <v/>
      </c>
      <c r="BC139" s="58" t="str">
        <f t="shared" si="23"/>
        <v/>
      </c>
      <c r="BD139" s="58" t="str">
        <f t="shared" si="23"/>
        <v/>
      </c>
      <c r="BE139" s="58" t="str">
        <f t="shared" si="23"/>
        <v/>
      </c>
      <c r="BF139" s="58" t="str">
        <f t="shared" si="23"/>
        <v/>
      </c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</row>
    <row r="140" spans="3:103" hidden="1" outlineLevel="1" x14ac:dyDescent="0.2">
      <c r="C140" s="57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</row>
    <row r="141" spans="3:103" hidden="1" outlineLevel="1" x14ac:dyDescent="0.2">
      <c r="C141" s="57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</row>
    <row r="142" spans="3:103" collapsed="1" x14ac:dyDescent="0.2">
      <c r="C142" s="14" t="s">
        <v>54</v>
      </c>
      <c r="D142" s="46"/>
      <c r="E142" s="46"/>
      <c r="F142" s="46"/>
      <c r="G142" s="46"/>
      <c r="H142" s="12"/>
      <c r="I142" s="46" t="str">
        <f>'Inputs (2)'!D23</f>
        <v/>
      </c>
      <c r="J142" s="46" t="str">
        <f>'Inputs (2)'!E23</f>
        <v/>
      </c>
      <c r="K142" s="46" t="str">
        <f>'Inputs (2)'!F23</f>
        <v/>
      </c>
      <c r="L142" s="46" t="str">
        <f>'Inputs (2)'!G23</f>
        <v/>
      </c>
      <c r="M142" s="12" t="str">
        <f>'Inputs (2)'!H23</f>
        <v/>
      </c>
      <c r="N142" s="46" t="str">
        <f>'Inputs (2)'!I23</f>
        <v/>
      </c>
      <c r="O142" s="46" t="str">
        <f>'Inputs (2)'!J23</f>
        <v/>
      </c>
      <c r="P142" s="46" t="str">
        <f>'Inputs (2)'!K23</f>
        <v/>
      </c>
      <c r="Q142" s="46" t="str">
        <f>'Inputs (2)'!L23</f>
        <v/>
      </c>
      <c r="R142" s="12" t="str">
        <f>'Inputs (2)'!M23</f>
        <v/>
      </c>
      <c r="S142" s="46" t="str">
        <f>'Inputs (2)'!N23</f>
        <v/>
      </c>
      <c r="T142" s="46" t="str">
        <f>'Inputs (2)'!O23</f>
        <v/>
      </c>
      <c r="U142" s="46" t="str">
        <f>'Inputs (2)'!P23</f>
        <v/>
      </c>
      <c r="V142" s="46" t="str">
        <f>'Inputs (2)'!Q23</f>
        <v/>
      </c>
      <c r="W142" s="12" t="str">
        <f>'Inputs (2)'!R23</f>
        <v/>
      </c>
      <c r="X142" s="46" t="str">
        <f>'Inputs (2)'!S23</f>
        <v/>
      </c>
      <c r="Y142" s="46" t="str">
        <f>'Inputs (2)'!T23</f>
        <v/>
      </c>
      <c r="Z142" s="46" t="str">
        <f>'Inputs (2)'!U23</f>
        <v/>
      </c>
      <c r="AA142" s="46" t="str">
        <f>'Inputs (2)'!V23</f>
        <v/>
      </c>
      <c r="AB142" s="12" t="str">
        <f>'Inputs (2)'!W23</f>
        <v/>
      </c>
      <c r="AC142" s="46" t="str">
        <f>'Inputs (2)'!X23</f>
        <v/>
      </c>
      <c r="AD142" s="46" t="str">
        <f>'Inputs (2)'!Y23</f>
        <v/>
      </c>
      <c r="AE142" s="46" t="str">
        <f>'Inputs (2)'!Z23</f>
        <v/>
      </c>
      <c r="AF142" s="46" t="str">
        <f>'Inputs (2)'!AA23</f>
        <v/>
      </c>
      <c r="AG142" s="12" t="str">
        <f>'Inputs (2)'!AB23</f>
        <v/>
      </c>
      <c r="AH142" s="12" t="str">
        <f>'Inputs (2)'!AC23</f>
        <v/>
      </c>
      <c r="AI142" s="12" t="str">
        <f>'Inputs (2)'!AD23</f>
        <v/>
      </c>
      <c r="AJ142" s="12" t="str">
        <f t="shared" ref="AJ142:BF142" si="24">AI142</f>
        <v/>
      </c>
      <c r="AK142" s="12" t="str">
        <f t="shared" si="24"/>
        <v/>
      </c>
      <c r="AL142" s="12" t="str">
        <f t="shared" si="24"/>
        <v/>
      </c>
      <c r="AM142" s="12" t="str">
        <f t="shared" si="24"/>
        <v/>
      </c>
      <c r="AN142" s="12" t="str">
        <f t="shared" si="24"/>
        <v/>
      </c>
      <c r="AO142" s="12" t="str">
        <f t="shared" si="24"/>
        <v/>
      </c>
      <c r="AP142" s="12" t="str">
        <f t="shared" si="24"/>
        <v/>
      </c>
      <c r="AQ142" s="12" t="str">
        <f t="shared" si="24"/>
        <v/>
      </c>
      <c r="AR142" s="12" t="str">
        <f t="shared" si="24"/>
        <v/>
      </c>
      <c r="AS142" s="12" t="str">
        <f t="shared" si="24"/>
        <v/>
      </c>
      <c r="AT142" s="12" t="str">
        <f t="shared" si="24"/>
        <v/>
      </c>
      <c r="AU142" s="12" t="str">
        <f t="shared" si="24"/>
        <v/>
      </c>
      <c r="AV142" s="12" t="str">
        <f t="shared" si="24"/>
        <v/>
      </c>
      <c r="AW142" s="12" t="str">
        <f t="shared" si="24"/>
        <v/>
      </c>
      <c r="AX142" s="12" t="str">
        <f t="shared" si="24"/>
        <v/>
      </c>
      <c r="AY142" s="12" t="str">
        <f t="shared" si="24"/>
        <v/>
      </c>
      <c r="AZ142" s="12" t="str">
        <f t="shared" si="24"/>
        <v/>
      </c>
      <c r="BA142" s="12" t="str">
        <f t="shared" si="24"/>
        <v/>
      </c>
      <c r="BB142" s="12" t="str">
        <f t="shared" si="24"/>
        <v/>
      </c>
      <c r="BC142" s="12" t="str">
        <f t="shared" si="24"/>
        <v/>
      </c>
      <c r="BD142" s="12" t="str">
        <f t="shared" si="24"/>
        <v/>
      </c>
      <c r="BE142" s="12" t="str">
        <f t="shared" si="24"/>
        <v/>
      </c>
      <c r="BF142" s="12" t="str">
        <f t="shared" si="24"/>
        <v/>
      </c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</row>
    <row r="143" spans="3:103" hidden="1" outlineLevel="1" x14ac:dyDescent="0.2">
      <c r="C143" s="59" t="s">
        <v>140</v>
      </c>
      <c r="D143" s="12"/>
      <c r="E143" s="40"/>
      <c r="F143" s="40"/>
      <c r="G143" s="40"/>
      <c r="H143" s="12"/>
      <c r="I143" s="40" t="str">
        <f>""</f>
        <v/>
      </c>
      <c r="J143" s="40" t="str">
        <f t="shared" ref="J143:AO143" si="25">IFERROR(IF(I142=0,"",J142/I142-1),"")</f>
        <v/>
      </c>
      <c r="K143" s="40" t="str">
        <f t="shared" si="25"/>
        <v/>
      </c>
      <c r="L143" s="40" t="str">
        <f t="shared" si="25"/>
        <v/>
      </c>
      <c r="M143" s="12" t="str">
        <f t="shared" si="25"/>
        <v/>
      </c>
      <c r="N143" s="40" t="str">
        <f t="shared" si="25"/>
        <v/>
      </c>
      <c r="O143" s="40" t="str">
        <f t="shared" si="25"/>
        <v/>
      </c>
      <c r="P143" s="40" t="str">
        <f t="shared" si="25"/>
        <v/>
      </c>
      <c r="Q143" s="40" t="str">
        <f t="shared" si="25"/>
        <v/>
      </c>
      <c r="R143" s="12" t="str">
        <f t="shared" si="25"/>
        <v/>
      </c>
      <c r="S143" s="40" t="str">
        <f t="shared" si="25"/>
        <v/>
      </c>
      <c r="T143" s="40" t="str">
        <f t="shared" si="25"/>
        <v/>
      </c>
      <c r="U143" s="40" t="str">
        <f t="shared" si="25"/>
        <v/>
      </c>
      <c r="V143" s="40" t="str">
        <f t="shared" si="25"/>
        <v/>
      </c>
      <c r="W143" s="12" t="str">
        <f t="shared" si="25"/>
        <v/>
      </c>
      <c r="X143" s="40" t="str">
        <f t="shared" si="25"/>
        <v/>
      </c>
      <c r="Y143" s="40" t="str">
        <f t="shared" si="25"/>
        <v/>
      </c>
      <c r="Z143" s="40" t="str">
        <f t="shared" si="25"/>
        <v/>
      </c>
      <c r="AA143" s="40" t="str">
        <f t="shared" si="25"/>
        <v/>
      </c>
      <c r="AB143" s="12" t="str">
        <f t="shared" si="25"/>
        <v/>
      </c>
      <c r="AC143" s="40" t="str">
        <f t="shared" si="25"/>
        <v/>
      </c>
      <c r="AD143" s="40" t="str">
        <f t="shared" si="25"/>
        <v/>
      </c>
      <c r="AE143" s="40" t="str">
        <f t="shared" si="25"/>
        <v/>
      </c>
      <c r="AF143" s="55" t="str">
        <f t="shared" si="25"/>
        <v/>
      </c>
      <c r="AG143" s="12" t="str">
        <f t="shared" si="25"/>
        <v/>
      </c>
      <c r="AH143" s="55" t="str">
        <f t="shared" si="25"/>
        <v/>
      </c>
      <c r="AI143" s="55" t="str">
        <f t="shared" si="25"/>
        <v/>
      </c>
      <c r="AJ143" s="55" t="str">
        <f t="shared" si="25"/>
        <v/>
      </c>
      <c r="AK143" s="55" t="str">
        <f t="shared" si="25"/>
        <v/>
      </c>
      <c r="AL143" s="12" t="str">
        <f t="shared" si="25"/>
        <v/>
      </c>
      <c r="AM143" s="55" t="str">
        <f t="shared" si="25"/>
        <v/>
      </c>
      <c r="AN143" s="55" t="str">
        <f t="shared" si="25"/>
        <v/>
      </c>
      <c r="AO143" s="55" t="str">
        <f t="shared" si="25"/>
        <v/>
      </c>
      <c r="AP143" s="55" t="str">
        <f t="shared" ref="AP143:BF143" si="26">IFERROR(IF(AO142=0,"",AP142/AO142-1),"")</f>
        <v/>
      </c>
      <c r="AQ143" s="12" t="str">
        <f t="shared" si="26"/>
        <v/>
      </c>
      <c r="AR143" s="55" t="str">
        <f t="shared" si="26"/>
        <v/>
      </c>
      <c r="AS143" s="55" t="str">
        <f t="shared" si="26"/>
        <v/>
      </c>
      <c r="AT143" s="55" t="str">
        <f t="shared" si="26"/>
        <v/>
      </c>
      <c r="AU143" s="55" t="str">
        <f t="shared" si="26"/>
        <v/>
      </c>
      <c r="AV143" s="12" t="str">
        <f t="shared" si="26"/>
        <v/>
      </c>
      <c r="AW143" s="55" t="str">
        <f t="shared" si="26"/>
        <v/>
      </c>
      <c r="AX143" s="55" t="str">
        <f t="shared" si="26"/>
        <v/>
      </c>
      <c r="AY143" s="55" t="str">
        <f t="shared" si="26"/>
        <v/>
      </c>
      <c r="AZ143" s="55" t="str">
        <f t="shared" si="26"/>
        <v/>
      </c>
      <c r="BA143" s="12" t="str">
        <f t="shared" si="26"/>
        <v/>
      </c>
      <c r="BB143" s="55" t="str">
        <f t="shared" si="26"/>
        <v/>
      </c>
      <c r="BC143" s="55" t="str">
        <f t="shared" si="26"/>
        <v/>
      </c>
      <c r="BD143" s="55" t="str">
        <f t="shared" si="26"/>
        <v/>
      </c>
      <c r="BE143" s="55" t="str">
        <f t="shared" si="26"/>
        <v/>
      </c>
      <c r="BF143" s="12" t="str">
        <f t="shared" si="26"/>
        <v/>
      </c>
      <c r="BG143" s="55"/>
      <c r="BH143" s="55"/>
      <c r="BI143" s="55"/>
      <c r="BJ143" s="55"/>
      <c r="BK143" s="12"/>
      <c r="BL143" s="55"/>
      <c r="BM143" s="55"/>
      <c r="BN143" s="55"/>
      <c r="BO143" s="55"/>
      <c r="BP143" s="12"/>
      <c r="BQ143" s="55"/>
      <c r="BR143" s="55"/>
      <c r="BS143" s="55"/>
      <c r="BT143" s="55"/>
      <c r="BU143" s="12"/>
      <c r="BV143" s="55"/>
      <c r="BW143" s="55"/>
      <c r="BX143" s="55"/>
      <c r="BY143" s="55"/>
      <c r="BZ143" s="12"/>
      <c r="CA143" s="55"/>
      <c r="CB143" s="55"/>
      <c r="CC143" s="55"/>
      <c r="CD143" s="55"/>
      <c r="CE143" s="12"/>
      <c r="CF143" s="55"/>
      <c r="CG143" s="55"/>
      <c r="CH143" s="55"/>
      <c r="CI143" s="55"/>
      <c r="CJ143" s="12"/>
      <c r="CK143" s="55"/>
      <c r="CL143" s="55"/>
      <c r="CM143" s="55"/>
      <c r="CN143" s="55"/>
      <c r="CO143" s="12"/>
      <c r="CP143" s="55"/>
      <c r="CQ143" s="55"/>
      <c r="CR143" s="55"/>
      <c r="CS143" s="55"/>
      <c r="CT143" s="12"/>
      <c r="CU143" s="55"/>
      <c r="CV143" s="55"/>
      <c r="CW143" s="55"/>
      <c r="CX143" s="55"/>
      <c r="CY143" s="12"/>
    </row>
    <row r="144" spans="3:103" hidden="1" outlineLevel="1" x14ac:dyDescent="0.2">
      <c r="C144" s="57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</row>
    <row r="145" spans="3:103" collapsed="1" x14ac:dyDescent="0.2">
      <c r="C145" s="14" t="s">
        <v>55</v>
      </c>
      <c r="D145" s="46"/>
      <c r="E145" s="46"/>
      <c r="F145" s="46"/>
      <c r="G145" s="46"/>
      <c r="H145" s="12"/>
      <c r="I145" s="46" t="str">
        <f>'Inputs (2)'!D24</f>
        <v/>
      </c>
      <c r="J145" s="46" t="str">
        <f>'Inputs (2)'!E24</f>
        <v/>
      </c>
      <c r="K145" s="46" t="str">
        <f>'Inputs (2)'!F24</f>
        <v/>
      </c>
      <c r="L145" s="46" t="str">
        <f>'Inputs (2)'!G24</f>
        <v/>
      </c>
      <c r="M145" s="12" t="str">
        <f>'Inputs (2)'!H24</f>
        <v/>
      </c>
      <c r="N145" s="46" t="str">
        <f>'Inputs (2)'!I24</f>
        <v/>
      </c>
      <c r="O145" s="46" t="str">
        <f>'Inputs (2)'!J24</f>
        <v/>
      </c>
      <c r="P145" s="46" t="str">
        <f>'Inputs (2)'!K24</f>
        <v/>
      </c>
      <c r="Q145" s="46" t="str">
        <f>'Inputs (2)'!L24</f>
        <v/>
      </c>
      <c r="R145" s="12" t="str">
        <f>'Inputs (2)'!M24</f>
        <v/>
      </c>
      <c r="S145" s="46" t="str">
        <f>'Inputs (2)'!N24</f>
        <v/>
      </c>
      <c r="T145" s="46" t="str">
        <f>'Inputs (2)'!O24</f>
        <v/>
      </c>
      <c r="U145" s="46" t="str">
        <f>'Inputs (2)'!P24</f>
        <v/>
      </c>
      <c r="V145" s="46" t="str">
        <f>'Inputs (2)'!Q24</f>
        <v/>
      </c>
      <c r="W145" s="12" t="str">
        <f>'Inputs (2)'!R24</f>
        <v/>
      </c>
      <c r="X145" s="46" t="str">
        <f>'Inputs (2)'!S24</f>
        <v/>
      </c>
      <c r="Y145" s="46" t="str">
        <f>'Inputs (2)'!T24</f>
        <v/>
      </c>
      <c r="Z145" s="46" t="str">
        <f>'Inputs (2)'!U24</f>
        <v/>
      </c>
      <c r="AA145" s="46" t="str">
        <f>'Inputs (2)'!V24</f>
        <v/>
      </c>
      <c r="AB145" s="12" t="str">
        <f>'Inputs (2)'!W24</f>
        <v/>
      </c>
      <c r="AC145" s="46" t="str">
        <f>'Inputs (2)'!X24</f>
        <v/>
      </c>
      <c r="AD145" s="46" t="str">
        <f>'Inputs (2)'!Y24</f>
        <v/>
      </c>
      <c r="AE145" s="46" t="str">
        <f>'Inputs (2)'!Z24</f>
        <v/>
      </c>
      <c r="AF145" s="46" t="str">
        <f>'Inputs (2)'!AA24</f>
        <v/>
      </c>
      <c r="AG145" s="12" t="str">
        <f>'Inputs (2)'!AB24</f>
        <v/>
      </c>
      <c r="AH145" s="12" t="str">
        <f>'Inputs (2)'!AC24</f>
        <v/>
      </c>
      <c r="AI145" s="12" t="str">
        <f>'Inputs (2)'!AD24</f>
        <v/>
      </c>
      <c r="AJ145" s="12" t="str">
        <f t="shared" ref="AJ145:BF145" si="27">AI145</f>
        <v/>
      </c>
      <c r="AK145" s="12" t="str">
        <f t="shared" si="27"/>
        <v/>
      </c>
      <c r="AL145" s="12" t="str">
        <f t="shared" si="27"/>
        <v/>
      </c>
      <c r="AM145" s="12" t="str">
        <f t="shared" si="27"/>
        <v/>
      </c>
      <c r="AN145" s="12" t="str">
        <f t="shared" si="27"/>
        <v/>
      </c>
      <c r="AO145" s="12" t="str">
        <f t="shared" si="27"/>
        <v/>
      </c>
      <c r="AP145" s="12" t="str">
        <f t="shared" si="27"/>
        <v/>
      </c>
      <c r="AQ145" s="12" t="str">
        <f t="shared" si="27"/>
        <v/>
      </c>
      <c r="AR145" s="12" t="str">
        <f t="shared" si="27"/>
        <v/>
      </c>
      <c r="AS145" s="12" t="str">
        <f t="shared" si="27"/>
        <v/>
      </c>
      <c r="AT145" s="12" t="str">
        <f t="shared" si="27"/>
        <v/>
      </c>
      <c r="AU145" s="12" t="str">
        <f t="shared" si="27"/>
        <v/>
      </c>
      <c r="AV145" s="12" t="str">
        <f t="shared" si="27"/>
        <v/>
      </c>
      <c r="AW145" s="12" t="str">
        <f t="shared" si="27"/>
        <v/>
      </c>
      <c r="AX145" s="12" t="str">
        <f t="shared" si="27"/>
        <v/>
      </c>
      <c r="AY145" s="12" t="str">
        <f t="shared" si="27"/>
        <v/>
      </c>
      <c r="AZ145" s="12" t="str">
        <f t="shared" si="27"/>
        <v/>
      </c>
      <c r="BA145" s="12" t="str">
        <f t="shared" si="27"/>
        <v/>
      </c>
      <c r="BB145" s="12" t="str">
        <f t="shared" si="27"/>
        <v/>
      </c>
      <c r="BC145" s="12" t="str">
        <f t="shared" si="27"/>
        <v/>
      </c>
      <c r="BD145" s="12" t="str">
        <f t="shared" si="27"/>
        <v/>
      </c>
      <c r="BE145" s="12" t="str">
        <f t="shared" si="27"/>
        <v/>
      </c>
      <c r="BF145" s="12" t="str">
        <f t="shared" si="27"/>
        <v/>
      </c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</row>
    <row r="146" spans="3:103" x14ac:dyDescent="0.2">
      <c r="C146" s="14" t="s">
        <v>56</v>
      </c>
      <c r="D146" s="46"/>
      <c r="E146" s="46"/>
      <c r="F146" s="46"/>
      <c r="G146" s="46"/>
      <c r="H146" s="12"/>
      <c r="I146" s="46" t="str">
        <f>'Inputs (2)'!D25</f>
        <v/>
      </c>
      <c r="J146" s="46" t="str">
        <f>'Inputs (2)'!E25</f>
        <v/>
      </c>
      <c r="K146" s="46" t="str">
        <f>'Inputs (2)'!F25</f>
        <v/>
      </c>
      <c r="L146" s="46" t="str">
        <f>'Inputs (2)'!G25</f>
        <v/>
      </c>
      <c r="M146" s="12" t="str">
        <f>'Inputs (2)'!H25</f>
        <v/>
      </c>
      <c r="N146" s="46" t="str">
        <f>'Inputs (2)'!I25</f>
        <v/>
      </c>
      <c r="O146" s="46" t="str">
        <f>'Inputs (2)'!J25</f>
        <v/>
      </c>
      <c r="P146" s="46" t="str">
        <f>'Inputs (2)'!K25</f>
        <v/>
      </c>
      <c r="Q146" s="46" t="str">
        <f>'Inputs (2)'!L25</f>
        <v/>
      </c>
      <c r="R146" s="12" t="str">
        <f>'Inputs (2)'!M25</f>
        <v/>
      </c>
      <c r="S146" s="46" t="str">
        <f>'Inputs (2)'!N25</f>
        <v/>
      </c>
      <c r="T146" s="46" t="str">
        <f>'Inputs (2)'!O25</f>
        <v/>
      </c>
      <c r="U146" s="46" t="str">
        <f>'Inputs (2)'!P25</f>
        <v/>
      </c>
      <c r="V146" s="46" t="str">
        <f>'Inputs (2)'!Q25</f>
        <v/>
      </c>
      <c r="W146" s="12" t="str">
        <f>'Inputs (2)'!R25</f>
        <v/>
      </c>
      <c r="X146" s="46" t="str">
        <f>'Inputs (2)'!S25</f>
        <v/>
      </c>
      <c r="Y146" s="46" t="str">
        <f>'Inputs (2)'!T25</f>
        <v/>
      </c>
      <c r="Z146" s="46" t="str">
        <f>'Inputs (2)'!U25</f>
        <v/>
      </c>
      <c r="AA146" s="46" t="str">
        <f>'Inputs (2)'!V25</f>
        <v/>
      </c>
      <c r="AB146" s="12" t="str">
        <f>'Inputs (2)'!W25</f>
        <v/>
      </c>
      <c r="AC146" s="46" t="str">
        <f>'Inputs (2)'!X25</f>
        <v/>
      </c>
      <c r="AD146" s="46" t="str">
        <f>'Inputs (2)'!Y25</f>
        <v/>
      </c>
      <c r="AE146" s="46" t="str">
        <f>'Inputs (2)'!Z25</f>
        <v/>
      </c>
      <c r="AF146" s="46" t="str">
        <f>'Inputs (2)'!AA25</f>
        <v/>
      </c>
      <c r="AG146" s="12" t="str">
        <f>'Inputs (2)'!AB25</f>
        <v/>
      </c>
      <c r="AH146" s="12" t="str">
        <f>'Inputs (2)'!AC25</f>
        <v/>
      </c>
      <c r="AI146" s="12" t="str">
        <f>'Inputs (2)'!AD25</f>
        <v/>
      </c>
      <c r="AJ146" s="12" t="str">
        <f t="shared" ref="AJ146:BF146" si="28">AI146</f>
        <v/>
      </c>
      <c r="AK146" s="12" t="str">
        <f t="shared" si="28"/>
        <v/>
      </c>
      <c r="AL146" s="12" t="str">
        <f t="shared" si="28"/>
        <v/>
      </c>
      <c r="AM146" s="16" t="str">
        <f t="shared" si="28"/>
        <v/>
      </c>
      <c r="AN146" s="12" t="str">
        <f t="shared" si="28"/>
        <v/>
      </c>
      <c r="AO146" s="12" t="str">
        <f t="shared" si="28"/>
        <v/>
      </c>
      <c r="AP146" s="12" t="str">
        <f t="shared" si="28"/>
        <v/>
      </c>
      <c r="AQ146" s="12" t="str">
        <f t="shared" si="28"/>
        <v/>
      </c>
      <c r="AR146" s="16" t="str">
        <f t="shared" si="28"/>
        <v/>
      </c>
      <c r="AS146" s="12" t="str">
        <f t="shared" si="28"/>
        <v/>
      </c>
      <c r="AT146" s="12" t="str">
        <f t="shared" si="28"/>
        <v/>
      </c>
      <c r="AU146" s="12" t="str">
        <f t="shared" si="28"/>
        <v/>
      </c>
      <c r="AV146" s="12" t="str">
        <f t="shared" si="28"/>
        <v/>
      </c>
      <c r="AW146" s="16" t="str">
        <f t="shared" si="28"/>
        <v/>
      </c>
      <c r="AX146" s="12" t="str">
        <f t="shared" si="28"/>
        <v/>
      </c>
      <c r="AY146" s="12" t="str">
        <f t="shared" si="28"/>
        <v/>
      </c>
      <c r="AZ146" s="12" t="str">
        <f t="shared" si="28"/>
        <v/>
      </c>
      <c r="BA146" s="12" t="str">
        <f t="shared" si="28"/>
        <v/>
      </c>
      <c r="BB146" s="16" t="str">
        <f t="shared" si="28"/>
        <v/>
      </c>
      <c r="BC146" s="12" t="str">
        <f t="shared" si="28"/>
        <v/>
      </c>
      <c r="BD146" s="12" t="str">
        <f t="shared" si="28"/>
        <v/>
      </c>
      <c r="BE146" s="12" t="str">
        <f t="shared" si="28"/>
        <v/>
      </c>
      <c r="BF146" s="12" t="str">
        <f t="shared" si="28"/>
        <v/>
      </c>
      <c r="BH146" s="12"/>
      <c r="BI146" s="12"/>
      <c r="BJ146" s="12"/>
      <c r="BK146" s="12"/>
      <c r="BM146" s="12"/>
      <c r="BN146" s="12"/>
      <c r="BO146" s="12"/>
      <c r="BP146" s="12"/>
      <c r="BR146" s="12"/>
      <c r="BS146" s="12"/>
      <c r="BT146" s="12"/>
      <c r="BU146" s="12"/>
      <c r="BW146" s="12"/>
      <c r="BX146" s="12"/>
      <c r="BY146" s="12"/>
      <c r="BZ146" s="12"/>
      <c r="CB146" s="12"/>
      <c r="CC146" s="12"/>
      <c r="CD146" s="12"/>
      <c r="CE146" s="12"/>
      <c r="CG146" s="12"/>
      <c r="CH146" s="12"/>
      <c r="CI146" s="12"/>
      <c r="CJ146" s="12"/>
      <c r="CL146" s="12"/>
      <c r="CM146" s="12"/>
      <c r="CN146" s="12"/>
      <c r="CO146" s="12"/>
      <c r="CQ146" s="12"/>
      <c r="CR146" s="12"/>
      <c r="CS146" s="12"/>
      <c r="CT146" s="12"/>
      <c r="CV146" s="12"/>
      <c r="CW146" s="12"/>
      <c r="CX146" s="12"/>
      <c r="CY146" s="12"/>
    </row>
    <row r="147" spans="3:103" hidden="1" outlineLevel="1" x14ac:dyDescent="0.2">
      <c r="C147" s="57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</row>
    <row r="148" spans="3:103" hidden="1" outlineLevel="1" x14ac:dyDescent="0.2">
      <c r="C148" s="57" t="s">
        <v>149</v>
      </c>
      <c r="D148" s="12"/>
      <c r="E148" s="12"/>
      <c r="F148" s="12"/>
      <c r="G148" s="12"/>
      <c r="H148" s="12"/>
      <c r="I148" s="12" t="e">
        <f>I146-H146-I50</f>
        <v>#VALUE!</v>
      </c>
      <c r="J148" s="12" t="e">
        <f>J146-I146-J50</f>
        <v>#VALUE!</v>
      </c>
      <c r="K148" s="12" t="e">
        <f>K146-J146-K50</f>
        <v>#VALUE!</v>
      </c>
      <c r="L148" s="12" t="e">
        <f>L146-K146-L50</f>
        <v>#VALUE!</v>
      </c>
      <c r="M148" s="12"/>
      <c r="N148" s="12" t="e">
        <f>N146-M146-N50</f>
        <v>#VALUE!</v>
      </c>
      <c r="O148" s="12" t="e">
        <f>O146-N146-O50</f>
        <v>#VALUE!</v>
      </c>
      <c r="P148" s="12" t="e">
        <f>P146-O146-P50</f>
        <v>#VALUE!</v>
      </c>
      <c r="Q148" s="12" t="e">
        <f>Q146-P146-Q50</f>
        <v>#VALUE!</v>
      </c>
      <c r="R148" s="12"/>
      <c r="S148" s="12" t="e">
        <f>S146-R146-S50</f>
        <v>#VALUE!</v>
      </c>
      <c r="T148" s="12" t="e">
        <f>T146-S146-T50</f>
        <v>#VALUE!</v>
      </c>
      <c r="U148" s="12" t="e">
        <f>U146-T146-U50</f>
        <v>#VALUE!</v>
      </c>
      <c r="V148" s="12" t="e">
        <f>V146-U146-V50</f>
        <v>#VALUE!</v>
      </c>
      <c r="W148" s="12"/>
      <c r="X148" s="12" t="e">
        <f>X146-W146-X50</f>
        <v>#VALUE!</v>
      </c>
      <c r="Y148" s="12" t="e">
        <f>Y146-X146-Y50</f>
        <v>#VALUE!</v>
      </c>
      <c r="Z148" s="12" t="e">
        <f>Z146-Y146-Z50</f>
        <v>#VALUE!</v>
      </c>
      <c r="AA148" s="12" t="e">
        <f>AA146-Z146-AA50</f>
        <v>#VALUE!</v>
      </c>
      <c r="AB148" s="12"/>
      <c r="AC148" s="12" t="e">
        <f>AC146-AB146-AC50</f>
        <v>#VALUE!</v>
      </c>
      <c r="AD148" s="12" t="e">
        <f>AD146-AC146-AD50</f>
        <v>#VALUE!</v>
      </c>
      <c r="AE148" s="12" t="e">
        <f>AE146-AD146-AE50</f>
        <v>#VALUE!</v>
      </c>
      <c r="AF148" s="12"/>
      <c r="AG148" s="12"/>
      <c r="AH148" s="11"/>
      <c r="AI148" s="11"/>
      <c r="AJ148" s="11"/>
      <c r="AK148" s="11"/>
      <c r="AL148" s="12"/>
      <c r="AM148" s="11"/>
      <c r="AN148" s="11"/>
      <c r="AO148" s="11"/>
      <c r="AP148" s="11"/>
      <c r="AQ148" s="12"/>
      <c r="AR148" s="11"/>
      <c r="AS148" s="11"/>
      <c r="AT148" s="11"/>
      <c r="AU148" s="11"/>
      <c r="AV148" s="12"/>
      <c r="AW148" s="11"/>
      <c r="AX148" s="11"/>
      <c r="AY148" s="11"/>
      <c r="AZ148" s="11"/>
      <c r="BA148" s="12"/>
      <c r="BB148" s="11"/>
      <c r="BC148" s="11"/>
      <c r="BD148" s="11"/>
      <c r="BE148" s="11"/>
      <c r="BF148" s="12"/>
      <c r="BG148" s="11"/>
      <c r="BH148" s="11"/>
      <c r="BI148" s="11"/>
      <c r="BJ148" s="11"/>
      <c r="BK148" s="12"/>
      <c r="BL148" s="11"/>
      <c r="BM148" s="11"/>
      <c r="BN148" s="11"/>
      <c r="BO148" s="11"/>
      <c r="BP148" s="12"/>
      <c r="BQ148" s="11"/>
      <c r="BR148" s="11"/>
      <c r="BS148" s="11"/>
      <c r="BT148" s="11"/>
      <c r="BU148" s="12"/>
      <c r="BV148" s="11"/>
      <c r="BW148" s="11"/>
      <c r="BX148" s="11"/>
      <c r="BY148" s="11"/>
      <c r="BZ148" s="12"/>
      <c r="CA148" s="11"/>
      <c r="CB148" s="11"/>
      <c r="CC148" s="11"/>
      <c r="CD148" s="11"/>
      <c r="CE148" s="12"/>
      <c r="CF148" s="11"/>
      <c r="CG148" s="11"/>
      <c r="CH148" s="11"/>
      <c r="CI148" s="11"/>
      <c r="CJ148" s="12"/>
      <c r="CK148" s="11"/>
      <c r="CL148" s="11"/>
      <c r="CM148" s="11"/>
      <c r="CN148" s="11"/>
      <c r="CO148" s="12"/>
      <c r="CP148" s="11"/>
      <c r="CQ148" s="11"/>
      <c r="CR148" s="11"/>
      <c r="CS148" s="11"/>
      <c r="CT148" s="12"/>
      <c r="CU148" s="11"/>
      <c r="CV148" s="11"/>
      <c r="CW148" s="11"/>
      <c r="CX148" s="11"/>
      <c r="CY148" s="12"/>
    </row>
    <row r="149" spans="3:103" hidden="1" outlineLevel="1" x14ac:dyDescent="0.2">
      <c r="C149" s="57" t="s">
        <v>150</v>
      </c>
      <c r="D149" s="12"/>
      <c r="E149" s="12"/>
      <c r="F149" s="12"/>
      <c r="G149" s="12"/>
      <c r="H149" s="12"/>
      <c r="I149" s="12">
        <f>I49</f>
        <v>0</v>
      </c>
      <c r="J149" s="12">
        <f>J49</f>
        <v>0</v>
      </c>
      <c r="K149" s="12">
        <f>K49</f>
        <v>0</v>
      </c>
      <c r="L149" s="12">
        <f>L49</f>
        <v>0</v>
      </c>
      <c r="M149" s="12"/>
      <c r="N149" s="12">
        <f>N49</f>
        <v>0</v>
      </c>
      <c r="O149" s="12">
        <f>O49</f>
        <v>0</v>
      </c>
      <c r="P149" s="12">
        <f>P49</f>
        <v>0</v>
      </c>
      <c r="Q149" s="12">
        <f>Q49</f>
        <v>0</v>
      </c>
      <c r="R149" s="12"/>
      <c r="S149" s="12">
        <f>S49</f>
        <v>0</v>
      </c>
      <c r="T149" s="12">
        <f>T49</f>
        <v>0</v>
      </c>
      <c r="U149" s="12">
        <f>U49</f>
        <v>0</v>
      </c>
      <c r="V149" s="12">
        <f>V49</f>
        <v>0</v>
      </c>
      <c r="W149" s="12"/>
      <c r="X149" s="12">
        <f>X49</f>
        <v>0</v>
      </c>
      <c r="Y149" s="12">
        <f>Y49</f>
        <v>0</v>
      </c>
      <c r="Z149" s="12">
        <f>Z49</f>
        <v>0</v>
      </c>
      <c r="AA149" s="12">
        <f>AA49</f>
        <v>0</v>
      </c>
      <c r="AB149" s="12"/>
      <c r="AC149" s="12">
        <f>AC49</f>
        <v>0</v>
      </c>
      <c r="AD149" s="12">
        <f>AD49</f>
        <v>0</v>
      </c>
      <c r="AE149" s="12">
        <f>AE49</f>
        <v>0</v>
      </c>
      <c r="AF149" s="12"/>
      <c r="AG149" s="12"/>
      <c r="AH149" s="12">
        <f>AH49</f>
        <v>0</v>
      </c>
      <c r="AI149" s="11"/>
      <c r="AJ149" s="11"/>
      <c r="AK149" s="11"/>
      <c r="AL149" s="12"/>
      <c r="AM149" s="11"/>
      <c r="AN149" s="11"/>
      <c r="AO149" s="11"/>
      <c r="AP149" s="11"/>
      <c r="AQ149" s="12"/>
      <c r="AR149" s="11"/>
      <c r="AS149" s="11"/>
      <c r="AT149" s="11"/>
      <c r="AU149" s="11"/>
      <c r="AV149" s="12"/>
      <c r="AW149" s="11"/>
      <c r="AX149" s="11"/>
      <c r="AY149" s="11"/>
      <c r="AZ149" s="11"/>
      <c r="BA149" s="12"/>
      <c r="BB149" s="11"/>
      <c r="BC149" s="11"/>
      <c r="BD149" s="11"/>
      <c r="BE149" s="11"/>
      <c r="BF149" s="12"/>
      <c r="BG149" s="11"/>
      <c r="BH149" s="11"/>
      <c r="BI149" s="11"/>
      <c r="BJ149" s="11"/>
      <c r="BK149" s="12"/>
      <c r="BL149" s="11"/>
      <c r="BM149" s="11"/>
      <c r="BN149" s="11"/>
      <c r="BO149" s="11"/>
      <c r="BP149" s="12"/>
      <c r="BQ149" s="11"/>
      <c r="BR149" s="11"/>
      <c r="BS149" s="11"/>
      <c r="BT149" s="11"/>
      <c r="BU149" s="12"/>
      <c r="BV149" s="11"/>
      <c r="BW149" s="11"/>
      <c r="BX149" s="11"/>
      <c r="BY149" s="11"/>
      <c r="BZ149" s="12"/>
      <c r="CA149" s="11"/>
      <c r="CB149" s="11"/>
      <c r="CC149" s="11"/>
      <c r="CD149" s="11"/>
      <c r="CE149" s="12"/>
      <c r="CF149" s="11"/>
      <c r="CG149" s="11"/>
      <c r="CH149" s="11"/>
      <c r="CI149" s="11"/>
      <c r="CJ149" s="12"/>
      <c r="CK149" s="11"/>
      <c r="CL149" s="11"/>
      <c r="CM149" s="11"/>
      <c r="CN149" s="11"/>
      <c r="CO149" s="12"/>
      <c r="CP149" s="11"/>
      <c r="CQ149" s="11"/>
      <c r="CR149" s="11"/>
      <c r="CS149" s="11"/>
      <c r="CT149" s="12"/>
      <c r="CU149" s="11"/>
      <c r="CV149" s="11"/>
      <c r="CW149" s="11"/>
      <c r="CX149" s="11"/>
      <c r="CY149" s="12"/>
    </row>
    <row r="150" spans="3:103" hidden="1" outlineLevel="1" x14ac:dyDescent="0.2">
      <c r="C150" s="57" t="s">
        <v>56</v>
      </c>
      <c r="D150" s="12"/>
      <c r="E150" s="12"/>
      <c r="F150" s="12"/>
      <c r="G150" s="12"/>
      <c r="H150" s="12"/>
      <c r="I150" s="12" t="str">
        <f>I145</f>
        <v/>
      </c>
      <c r="J150" s="12" t="str">
        <f>J145</f>
        <v/>
      </c>
      <c r="K150" s="12" t="str">
        <f>K145</f>
        <v/>
      </c>
      <c r="L150" s="12" t="str">
        <f>L145</f>
        <v/>
      </c>
      <c r="M150" s="12"/>
      <c r="N150" s="12" t="str">
        <f>N145</f>
        <v/>
      </c>
      <c r="O150" s="12" t="str">
        <f>O145</f>
        <v/>
      </c>
      <c r="P150" s="12" t="str">
        <f>P145</f>
        <v/>
      </c>
      <c r="Q150" s="12" t="str">
        <f>Q145</f>
        <v/>
      </c>
      <c r="R150" s="12"/>
      <c r="S150" s="12" t="str">
        <f>S145</f>
        <v/>
      </c>
      <c r="T150" s="12" t="str">
        <f>T145</f>
        <v/>
      </c>
      <c r="U150" s="12" t="str">
        <f>U145</f>
        <v/>
      </c>
      <c r="V150" s="12" t="str">
        <f>V145</f>
        <v/>
      </c>
      <c r="W150" s="12"/>
      <c r="X150" s="12" t="str">
        <f>X145</f>
        <v/>
      </c>
      <c r="Y150" s="12" t="str">
        <f>Y145</f>
        <v/>
      </c>
      <c r="Z150" s="12" t="str">
        <f>Z145</f>
        <v/>
      </c>
      <c r="AA150" s="12" t="str">
        <f>AA145</f>
        <v/>
      </c>
      <c r="AB150" s="12"/>
      <c r="AC150" s="12" t="str">
        <f>AC145</f>
        <v/>
      </c>
      <c r="AD150" s="12" t="str">
        <f>AD145</f>
        <v/>
      </c>
      <c r="AE150" s="12" t="str">
        <f>AE145</f>
        <v/>
      </c>
      <c r="AF150" s="12"/>
      <c r="AG150" s="12"/>
      <c r="AH150" s="12">
        <f>AG150+SUM(AH147:AH149)</f>
        <v>0</v>
      </c>
      <c r="AI150" s="12">
        <f>AG150+SUM(AI148:AI149)</f>
        <v>0</v>
      </c>
      <c r="AJ150" s="12" t="str">
        <f>AJ146</f>
        <v/>
      </c>
      <c r="AK150" s="12" t="str">
        <f>AK146</f>
        <v/>
      </c>
      <c r="AL150" s="12"/>
      <c r="AM150" s="12" t="str">
        <f>AM146</f>
        <v/>
      </c>
      <c r="AN150" s="12" t="str">
        <f>AN146</f>
        <v/>
      </c>
      <c r="AO150" s="12" t="str">
        <f>AO146</f>
        <v/>
      </c>
      <c r="AP150" s="12" t="str">
        <f>AP146</f>
        <v/>
      </c>
      <c r="AQ150" s="12"/>
      <c r="AR150" s="12" t="str">
        <f>AR146</f>
        <v/>
      </c>
      <c r="AS150" s="12" t="str">
        <f>AS146</f>
        <v/>
      </c>
      <c r="AT150" s="12" t="str">
        <f>AT146</f>
        <v/>
      </c>
      <c r="AU150" s="12" t="str">
        <f>AU146</f>
        <v/>
      </c>
      <c r="AV150" s="12"/>
      <c r="AW150" s="12" t="str">
        <f>AW146</f>
        <v/>
      </c>
      <c r="AX150" s="12" t="str">
        <f>AX146</f>
        <v/>
      </c>
      <c r="AY150" s="12" t="str">
        <f>AY146</f>
        <v/>
      </c>
      <c r="AZ150" s="12" t="str">
        <f>AZ146</f>
        <v/>
      </c>
      <c r="BA150" s="12"/>
      <c r="BB150" s="12" t="str">
        <f>BB146</f>
        <v/>
      </c>
      <c r="BC150" s="12" t="str">
        <f>BC146</f>
        <v/>
      </c>
      <c r="BD150" s="12" t="str">
        <f>BD146</f>
        <v/>
      </c>
      <c r="BE150" s="12" t="str">
        <f>BE146</f>
        <v/>
      </c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</row>
    <row r="151" spans="3:103" hidden="1" outlineLevel="1" x14ac:dyDescent="0.2">
      <c r="C151" s="57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</row>
    <row r="152" spans="3:103" hidden="1" outlineLevel="1" x14ac:dyDescent="0.2">
      <c r="C152" s="57" t="s">
        <v>151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</row>
    <row r="153" spans="3:103" hidden="1" outlineLevel="1" x14ac:dyDescent="0.2">
      <c r="C153" s="57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</row>
    <row r="154" spans="3:103" hidden="1" outlineLevel="1" x14ac:dyDescent="0.2">
      <c r="C154" s="57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</row>
    <row r="155" spans="3:103" collapsed="1" x14ac:dyDescent="0.2">
      <c r="C155" s="14" t="s">
        <v>57</v>
      </c>
      <c r="D155" s="46"/>
      <c r="E155" s="46"/>
      <c r="F155" s="46"/>
      <c r="G155" s="46"/>
      <c r="H155" s="12"/>
      <c r="I155" s="46" t="str">
        <f>'Inputs (2)'!D26</f>
        <v/>
      </c>
      <c r="J155" s="46" t="str">
        <f>'Inputs (2)'!E26</f>
        <v/>
      </c>
      <c r="K155" s="46" t="str">
        <f>'Inputs (2)'!F26</f>
        <v/>
      </c>
      <c r="L155" s="46" t="str">
        <f>'Inputs (2)'!G26</f>
        <v/>
      </c>
      <c r="M155" s="12" t="str">
        <f>'Inputs (2)'!H26</f>
        <v/>
      </c>
      <c r="N155" s="46" t="str">
        <f>'Inputs (2)'!I26</f>
        <v/>
      </c>
      <c r="O155" s="46" t="str">
        <f>'Inputs (2)'!J26</f>
        <v/>
      </c>
      <c r="P155" s="46" t="str">
        <f>'Inputs (2)'!K26</f>
        <v/>
      </c>
      <c r="Q155" s="46" t="str">
        <f>'Inputs (2)'!L26</f>
        <v/>
      </c>
      <c r="R155" s="12" t="str">
        <f>'Inputs (2)'!M26</f>
        <v/>
      </c>
      <c r="S155" s="46" t="str">
        <f>'Inputs (2)'!N26</f>
        <v/>
      </c>
      <c r="T155" s="46" t="str">
        <f>'Inputs (2)'!O26</f>
        <v/>
      </c>
      <c r="U155" s="46" t="str">
        <f>'Inputs (2)'!P26</f>
        <v/>
      </c>
      <c r="V155" s="46" t="str">
        <f>'Inputs (2)'!Q26</f>
        <v/>
      </c>
      <c r="W155" s="12" t="str">
        <f>'Inputs (2)'!R26</f>
        <v/>
      </c>
      <c r="X155" s="46" t="str">
        <f>'Inputs (2)'!S26</f>
        <v/>
      </c>
      <c r="Y155" s="46" t="str">
        <f>'Inputs (2)'!T26</f>
        <v/>
      </c>
      <c r="Z155" s="46" t="str">
        <f>'Inputs (2)'!U26</f>
        <v/>
      </c>
      <c r="AA155" s="46" t="str">
        <f>'Inputs (2)'!V26</f>
        <v/>
      </c>
      <c r="AB155" s="12" t="str">
        <f>'Inputs (2)'!W26</f>
        <v/>
      </c>
      <c r="AC155" s="46" t="str">
        <f>'Inputs (2)'!X26</f>
        <v/>
      </c>
      <c r="AD155" s="46" t="str">
        <f>'Inputs (2)'!Y26</f>
        <v/>
      </c>
      <c r="AE155" s="46" t="str">
        <f>'Inputs (2)'!Z26</f>
        <v/>
      </c>
      <c r="AF155" s="46" t="str">
        <f>'Inputs (2)'!AA26</f>
        <v/>
      </c>
      <c r="AG155" s="12" t="str">
        <f>'Inputs (2)'!AB26</f>
        <v/>
      </c>
      <c r="AH155" s="12" t="str">
        <f>'Inputs (2)'!AC26</f>
        <v/>
      </c>
      <c r="AI155" s="12" t="str">
        <f>'Inputs (2)'!AD26</f>
        <v/>
      </c>
      <c r="AJ155" s="12" t="str">
        <f t="shared" ref="AJ155:BF155" si="29">AI155</f>
        <v/>
      </c>
      <c r="AK155" s="12" t="str">
        <f t="shared" si="29"/>
        <v/>
      </c>
      <c r="AL155" s="12" t="str">
        <f t="shared" si="29"/>
        <v/>
      </c>
      <c r="AM155" s="12" t="str">
        <f t="shared" si="29"/>
        <v/>
      </c>
      <c r="AN155" s="12" t="str">
        <f t="shared" si="29"/>
        <v/>
      </c>
      <c r="AO155" s="12" t="str">
        <f t="shared" si="29"/>
        <v/>
      </c>
      <c r="AP155" s="12" t="str">
        <f t="shared" si="29"/>
        <v/>
      </c>
      <c r="AQ155" s="12" t="str">
        <f t="shared" si="29"/>
        <v/>
      </c>
      <c r="AR155" s="12" t="str">
        <f t="shared" si="29"/>
        <v/>
      </c>
      <c r="AS155" s="12" t="str">
        <f t="shared" si="29"/>
        <v/>
      </c>
      <c r="AT155" s="12" t="str">
        <f t="shared" si="29"/>
        <v/>
      </c>
      <c r="AU155" s="12" t="str">
        <f t="shared" si="29"/>
        <v/>
      </c>
      <c r="AV155" s="12" t="str">
        <f t="shared" si="29"/>
        <v/>
      </c>
      <c r="AW155" s="12" t="str">
        <f t="shared" si="29"/>
        <v/>
      </c>
      <c r="AX155" s="12" t="str">
        <f t="shared" si="29"/>
        <v/>
      </c>
      <c r="AY155" s="12" t="str">
        <f t="shared" si="29"/>
        <v/>
      </c>
      <c r="AZ155" s="12" t="str">
        <f t="shared" si="29"/>
        <v/>
      </c>
      <c r="BA155" s="12" t="str">
        <f t="shared" si="29"/>
        <v/>
      </c>
      <c r="BB155" s="12" t="str">
        <f t="shared" si="29"/>
        <v/>
      </c>
      <c r="BC155" s="12" t="str">
        <f t="shared" si="29"/>
        <v/>
      </c>
      <c r="BD155" s="12" t="str">
        <f t="shared" si="29"/>
        <v/>
      </c>
      <c r="BE155" s="12" t="str">
        <f t="shared" si="29"/>
        <v/>
      </c>
      <c r="BF155" s="12" t="str">
        <f t="shared" si="29"/>
        <v/>
      </c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</row>
    <row r="156" spans="3:103" hidden="1" outlineLevel="1" x14ac:dyDescent="0.2">
      <c r="C156" s="59" t="s">
        <v>140</v>
      </c>
      <c r="D156" s="12"/>
      <c r="E156" s="40"/>
      <c r="F156" s="40"/>
      <c r="G156" s="40"/>
      <c r="H156" s="12"/>
      <c r="I156" s="40" t="str">
        <f>""</f>
        <v/>
      </c>
      <c r="J156" s="40" t="e">
        <f t="shared" ref="J156:AO156" si="30">IF(I155=0,"",J155/I155-1)</f>
        <v>#VALUE!</v>
      </c>
      <c r="K156" s="40" t="e">
        <f t="shared" si="30"/>
        <v>#VALUE!</v>
      </c>
      <c r="L156" s="40" t="e">
        <f t="shared" si="30"/>
        <v>#VALUE!</v>
      </c>
      <c r="M156" s="12" t="e">
        <f t="shared" si="30"/>
        <v>#VALUE!</v>
      </c>
      <c r="N156" s="40" t="e">
        <f t="shared" si="30"/>
        <v>#VALUE!</v>
      </c>
      <c r="O156" s="40" t="e">
        <f t="shared" si="30"/>
        <v>#VALUE!</v>
      </c>
      <c r="P156" s="40" t="e">
        <f t="shared" si="30"/>
        <v>#VALUE!</v>
      </c>
      <c r="Q156" s="40" t="e">
        <f t="shared" si="30"/>
        <v>#VALUE!</v>
      </c>
      <c r="R156" s="12" t="e">
        <f t="shared" si="30"/>
        <v>#VALUE!</v>
      </c>
      <c r="S156" s="40" t="e">
        <f t="shared" si="30"/>
        <v>#VALUE!</v>
      </c>
      <c r="T156" s="40" t="e">
        <f t="shared" si="30"/>
        <v>#VALUE!</v>
      </c>
      <c r="U156" s="40" t="e">
        <f t="shared" si="30"/>
        <v>#VALUE!</v>
      </c>
      <c r="V156" s="40" t="e">
        <f t="shared" si="30"/>
        <v>#VALUE!</v>
      </c>
      <c r="W156" s="12" t="e">
        <f t="shared" si="30"/>
        <v>#VALUE!</v>
      </c>
      <c r="X156" s="40" t="e">
        <f t="shared" si="30"/>
        <v>#VALUE!</v>
      </c>
      <c r="Y156" s="40" t="e">
        <f t="shared" si="30"/>
        <v>#VALUE!</v>
      </c>
      <c r="Z156" s="40" t="e">
        <f t="shared" si="30"/>
        <v>#VALUE!</v>
      </c>
      <c r="AA156" s="40" t="e">
        <f t="shared" si="30"/>
        <v>#VALUE!</v>
      </c>
      <c r="AB156" s="12" t="e">
        <f t="shared" si="30"/>
        <v>#VALUE!</v>
      </c>
      <c r="AC156" s="40" t="e">
        <f t="shared" si="30"/>
        <v>#VALUE!</v>
      </c>
      <c r="AD156" s="40" t="e">
        <f t="shared" si="30"/>
        <v>#VALUE!</v>
      </c>
      <c r="AE156" s="40" t="e">
        <f t="shared" si="30"/>
        <v>#VALUE!</v>
      </c>
      <c r="AF156" s="55" t="e">
        <f t="shared" si="30"/>
        <v>#VALUE!</v>
      </c>
      <c r="AG156" s="12" t="e">
        <f t="shared" si="30"/>
        <v>#VALUE!</v>
      </c>
      <c r="AH156" s="55" t="e">
        <f t="shared" si="30"/>
        <v>#VALUE!</v>
      </c>
      <c r="AI156" s="55" t="e">
        <f t="shared" si="30"/>
        <v>#VALUE!</v>
      </c>
      <c r="AJ156" s="55" t="e">
        <f t="shared" si="30"/>
        <v>#VALUE!</v>
      </c>
      <c r="AK156" s="55" t="e">
        <f t="shared" si="30"/>
        <v>#VALUE!</v>
      </c>
      <c r="AL156" s="12" t="e">
        <f t="shared" si="30"/>
        <v>#VALUE!</v>
      </c>
      <c r="AM156" s="55" t="e">
        <f t="shared" si="30"/>
        <v>#VALUE!</v>
      </c>
      <c r="AN156" s="55" t="e">
        <f t="shared" si="30"/>
        <v>#VALUE!</v>
      </c>
      <c r="AO156" s="55" t="e">
        <f t="shared" si="30"/>
        <v>#VALUE!</v>
      </c>
      <c r="AP156" s="55" t="e">
        <f t="shared" ref="AP156:BF156" si="31">IF(AO155=0,"",AP155/AO155-1)</f>
        <v>#VALUE!</v>
      </c>
      <c r="AQ156" s="12" t="e">
        <f t="shared" si="31"/>
        <v>#VALUE!</v>
      </c>
      <c r="AR156" s="55" t="e">
        <f t="shared" si="31"/>
        <v>#VALUE!</v>
      </c>
      <c r="AS156" s="55" t="e">
        <f t="shared" si="31"/>
        <v>#VALUE!</v>
      </c>
      <c r="AT156" s="55" t="e">
        <f t="shared" si="31"/>
        <v>#VALUE!</v>
      </c>
      <c r="AU156" s="55" t="e">
        <f t="shared" si="31"/>
        <v>#VALUE!</v>
      </c>
      <c r="AV156" s="12" t="e">
        <f t="shared" si="31"/>
        <v>#VALUE!</v>
      </c>
      <c r="AW156" s="55" t="e">
        <f t="shared" si="31"/>
        <v>#VALUE!</v>
      </c>
      <c r="AX156" s="55" t="e">
        <f t="shared" si="31"/>
        <v>#VALUE!</v>
      </c>
      <c r="AY156" s="55" t="e">
        <f t="shared" si="31"/>
        <v>#VALUE!</v>
      </c>
      <c r="AZ156" s="55" t="e">
        <f t="shared" si="31"/>
        <v>#VALUE!</v>
      </c>
      <c r="BA156" s="12" t="e">
        <f t="shared" si="31"/>
        <v>#VALUE!</v>
      </c>
      <c r="BB156" s="55" t="e">
        <f t="shared" si="31"/>
        <v>#VALUE!</v>
      </c>
      <c r="BC156" s="55" t="e">
        <f t="shared" si="31"/>
        <v>#VALUE!</v>
      </c>
      <c r="BD156" s="55" t="e">
        <f t="shared" si="31"/>
        <v>#VALUE!</v>
      </c>
      <c r="BE156" s="55" t="e">
        <f t="shared" si="31"/>
        <v>#VALUE!</v>
      </c>
      <c r="BF156" s="12" t="e">
        <f t="shared" si="31"/>
        <v>#VALUE!</v>
      </c>
      <c r="BG156" s="55"/>
      <c r="BH156" s="55"/>
      <c r="BI156" s="55"/>
      <c r="BJ156" s="55"/>
      <c r="BK156" s="12"/>
      <c r="BL156" s="55"/>
      <c r="BM156" s="55"/>
      <c r="BN156" s="55"/>
      <c r="BO156" s="55"/>
      <c r="BP156" s="12"/>
      <c r="BQ156" s="55"/>
      <c r="BR156" s="55"/>
      <c r="BS156" s="55"/>
      <c r="BT156" s="55"/>
      <c r="BU156" s="12"/>
      <c r="BV156" s="55"/>
      <c r="BW156" s="55"/>
      <c r="BX156" s="55"/>
      <c r="BY156" s="55"/>
      <c r="BZ156" s="12"/>
      <c r="CA156" s="55"/>
      <c r="CB156" s="55"/>
      <c r="CC156" s="55"/>
      <c r="CD156" s="55"/>
      <c r="CE156" s="12"/>
      <c r="CF156" s="55"/>
      <c r="CG156" s="55"/>
      <c r="CH156" s="55"/>
      <c r="CI156" s="55"/>
      <c r="CJ156" s="12"/>
      <c r="CK156" s="55"/>
      <c r="CL156" s="55"/>
      <c r="CM156" s="55"/>
      <c r="CN156" s="55"/>
      <c r="CO156" s="12"/>
      <c r="CP156" s="55"/>
      <c r="CQ156" s="55"/>
      <c r="CR156" s="55"/>
      <c r="CS156" s="55"/>
      <c r="CT156" s="12"/>
      <c r="CU156" s="55"/>
      <c r="CV156" s="55"/>
      <c r="CW156" s="55"/>
      <c r="CX156" s="55"/>
      <c r="CY156" s="12"/>
    </row>
    <row r="157" spans="3:103" hidden="1" outlineLevel="1" x14ac:dyDescent="0.2">
      <c r="C157" s="57"/>
      <c r="D157" s="12"/>
      <c r="E157" s="40"/>
      <c r="F157" s="40"/>
      <c r="G157" s="40"/>
      <c r="H157" s="12"/>
      <c r="I157" s="40"/>
      <c r="J157" s="40"/>
      <c r="K157" s="40"/>
      <c r="L157" s="40"/>
      <c r="M157" s="12"/>
      <c r="N157" s="40"/>
      <c r="O157" s="40"/>
      <c r="P157" s="40"/>
      <c r="Q157" s="40"/>
      <c r="R157" s="12"/>
      <c r="S157" s="40"/>
      <c r="T157" s="40"/>
      <c r="U157" s="40"/>
      <c r="V157" s="40"/>
      <c r="W157" s="12"/>
      <c r="X157" s="40"/>
      <c r="Y157" s="40"/>
      <c r="Z157" s="40"/>
      <c r="AA157" s="40"/>
      <c r="AB157" s="12"/>
      <c r="AC157" s="40"/>
      <c r="AD157" s="40"/>
      <c r="AE157" s="40"/>
      <c r="AF157" s="55"/>
      <c r="AG157" s="12"/>
      <c r="AH157" s="55"/>
      <c r="AI157" s="55"/>
      <c r="AJ157" s="55"/>
      <c r="AK157" s="55"/>
      <c r="AL157" s="12"/>
      <c r="AM157" s="55"/>
      <c r="AN157" s="55"/>
      <c r="AO157" s="55"/>
      <c r="AP157" s="55"/>
      <c r="AQ157" s="12"/>
      <c r="AR157" s="55"/>
      <c r="AS157" s="55"/>
      <c r="AT157" s="55"/>
      <c r="AU157" s="55"/>
      <c r="AV157" s="12"/>
      <c r="AW157" s="55"/>
      <c r="AX157" s="55"/>
      <c r="AY157" s="55"/>
      <c r="AZ157" s="55"/>
      <c r="BA157" s="12"/>
      <c r="BB157" s="55"/>
      <c r="BC157" s="55"/>
      <c r="BD157" s="55"/>
      <c r="BE157" s="55"/>
      <c r="BF157" s="12"/>
      <c r="BG157" s="55"/>
      <c r="BH157" s="55"/>
      <c r="BI157" s="55"/>
      <c r="BJ157" s="55"/>
      <c r="BK157" s="12"/>
      <c r="BL157" s="55"/>
      <c r="BM157" s="55"/>
      <c r="BN157" s="55"/>
      <c r="BO157" s="55"/>
      <c r="BP157" s="12"/>
      <c r="BQ157" s="55"/>
      <c r="BR157" s="55"/>
      <c r="BS157" s="55"/>
      <c r="BT157" s="55"/>
      <c r="BU157" s="12"/>
      <c r="BV157" s="55"/>
      <c r="BW157" s="55"/>
      <c r="BX157" s="55"/>
      <c r="BY157" s="55"/>
      <c r="BZ157" s="12"/>
      <c r="CA157" s="55"/>
      <c r="CB157" s="55"/>
      <c r="CC157" s="55"/>
      <c r="CD157" s="55"/>
      <c r="CE157" s="12"/>
      <c r="CF157" s="55"/>
      <c r="CG157" s="55"/>
      <c r="CH157" s="55"/>
      <c r="CI157" s="55"/>
      <c r="CJ157" s="12"/>
      <c r="CK157" s="55"/>
      <c r="CL157" s="55"/>
      <c r="CM157" s="55"/>
      <c r="CN157" s="55"/>
      <c r="CO157" s="12"/>
      <c r="CP157" s="55"/>
      <c r="CQ157" s="55"/>
      <c r="CR157" s="55"/>
      <c r="CS157" s="55"/>
      <c r="CT157" s="12"/>
      <c r="CU157" s="55"/>
      <c r="CV157" s="55"/>
      <c r="CW157" s="55"/>
      <c r="CX157" s="55"/>
      <c r="CY157" s="12"/>
    </row>
    <row r="158" spans="3:103" hidden="1" outlineLevel="1" x14ac:dyDescent="0.2">
      <c r="C158" s="60" t="s">
        <v>152</v>
      </c>
      <c r="D158" s="11"/>
      <c r="E158" s="11"/>
      <c r="F158" s="11"/>
      <c r="G158" s="11"/>
      <c r="H158" s="12"/>
      <c r="I158" s="11"/>
      <c r="J158" s="11"/>
      <c r="K158" s="11"/>
      <c r="L158" s="11"/>
      <c r="M158" s="12"/>
      <c r="N158" s="11"/>
      <c r="O158" s="11"/>
      <c r="P158" s="11"/>
      <c r="Q158" s="11"/>
      <c r="R158" s="12"/>
      <c r="S158" s="11"/>
      <c r="T158" s="11"/>
      <c r="U158" s="11"/>
      <c r="V158" s="11"/>
      <c r="W158" s="12"/>
      <c r="X158" s="11"/>
      <c r="Y158" s="11"/>
      <c r="Z158" s="11"/>
      <c r="AA158" s="11"/>
      <c r="AB158" s="12"/>
      <c r="AC158" s="11"/>
      <c r="AD158" s="11"/>
      <c r="AE158" s="11"/>
      <c r="AF158" s="11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</row>
    <row r="159" spans="3:103" hidden="1" outlineLevel="1" x14ac:dyDescent="0.2">
      <c r="C159" s="60" t="s">
        <v>141</v>
      </c>
      <c r="D159" s="11"/>
      <c r="E159" s="11"/>
      <c r="F159" s="11"/>
      <c r="G159" s="11"/>
      <c r="H159" s="12"/>
      <c r="I159" s="11"/>
      <c r="J159" s="11"/>
      <c r="K159" s="11"/>
      <c r="L159" s="11"/>
      <c r="M159" s="12"/>
      <c r="N159" s="11"/>
      <c r="O159" s="11"/>
      <c r="P159" s="11"/>
      <c r="Q159" s="11"/>
      <c r="R159" s="12"/>
      <c r="S159" s="11"/>
      <c r="T159" s="11"/>
      <c r="U159" s="11"/>
      <c r="V159" s="11"/>
      <c r="W159" s="12"/>
      <c r="X159" s="11"/>
      <c r="Y159" s="11"/>
      <c r="Z159" s="11"/>
      <c r="AA159" s="11"/>
      <c r="AB159" s="12"/>
      <c r="AC159" s="11"/>
      <c r="AD159" s="11"/>
      <c r="AE159" s="11"/>
      <c r="AF159" s="11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</row>
    <row r="160" spans="3:103" hidden="1" outlineLevel="1" x14ac:dyDescent="0.2">
      <c r="C160" s="60" t="s">
        <v>153</v>
      </c>
      <c r="D160" s="11"/>
      <c r="E160" s="11"/>
      <c r="F160" s="11"/>
      <c r="G160" s="11"/>
      <c r="H160" s="12"/>
      <c r="I160" s="11"/>
      <c r="J160" s="11"/>
      <c r="K160" s="11"/>
      <c r="L160" s="11"/>
      <c r="M160" s="12"/>
      <c r="N160" s="11"/>
      <c r="O160" s="11"/>
      <c r="P160" s="11"/>
      <c r="Q160" s="11"/>
      <c r="R160" s="12"/>
      <c r="S160" s="11"/>
      <c r="T160" s="11"/>
      <c r="U160" s="11"/>
      <c r="V160" s="11"/>
      <c r="W160" s="12"/>
      <c r="X160" s="11"/>
      <c r="Y160" s="11"/>
      <c r="Z160" s="11"/>
      <c r="AA160" s="11"/>
      <c r="AB160" s="12"/>
      <c r="AC160" s="11"/>
      <c r="AD160" s="11"/>
      <c r="AE160" s="11"/>
      <c r="AF160" s="11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</row>
    <row r="161" spans="1:103" hidden="1" outlineLevel="1" x14ac:dyDescent="0.2">
      <c r="C161" s="60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</row>
    <row r="162" spans="1:103" hidden="1" outlineLevel="1" x14ac:dyDescent="0.2">
      <c r="C162" s="57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</row>
    <row r="163" spans="1:103" s="32" customFormat="1" collapsed="1" x14ac:dyDescent="0.2">
      <c r="A163" s="30"/>
      <c r="B163" s="3"/>
      <c r="C163" s="33" t="s">
        <v>154</v>
      </c>
      <c r="D163" s="35"/>
      <c r="E163" s="35"/>
      <c r="F163" s="35"/>
      <c r="G163" s="35"/>
      <c r="H163" s="35"/>
      <c r="I163" s="35">
        <f t="shared" ref="I163:AN163" si="32">SUM(I110,I111,I115,I119,I120,I121,I127,I132,I142,I145,I146,I155)</f>
        <v>0</v>
      </c>
      <c r="J163" s="35">
        <f t="shared" si="32"/>
        <v>0</v>
      </c>
      <c r="K163" s="35">
        <f t="shared" si="32"/>
        <v>0</v>
      </c>
      <c r="L163" s="35">
        <f t="shared" si="32"/>
        <v>0</v>
      </c>
      <c r="M163" s="35">
        <f t="shared" si="32"/>
        <v>0</v>
      </c>
      <c r="N163" s="35">
        <f t="shared" si="32"/>
        <v>0</v>
      </c>
      <c r="O163" s="35">
        <f t="shared" si="32"/>
        <v>0</v>
      </c>
      <c r="P163" s="35">
        <f t="shared" si="32"/>
        <v>0</v>
      </c>
      <c r="Q163" s="35">
        <f t="shared" si="32"/>
        <v>0</v>
      </c>
      <c r="R163" s="35">
        <f t="shared" si="32"/>
        <v>0</v>
      </c>
      <c r="S163" s="35">
        <f t="shared" si="32"/>
        <v>0</v>
      </c>
      <c r="T163" s="35">
        <f t="shared" si="32"/>
        <v>0</v>
      </c>
      <c r="U163" s="35">
        <f t="shared" si="32"/>
        <v>0</v>
      </c>
      <c r="V163" s="35">
        <f t="shared" si="32"/>
        <v>0</v>
      </c>
      <c r="W163" s="35">
        <f t="shared" si="32"/>
        <v>0</v>
      </c>
      <c r="X163" s="35">
        <f t="shared" si="32"/>
        <v>0</v>
      </c>
      <c r="Y163" s="35">
        <f t="shared" si="32"/>
        <v>0</v>
      </c>
      <c r="Z163" s="35">
        <f t="shared" si="32"/>
        <v>0</v>
      </c>
      <c r="AA163" s="35">
        <f t="shared" si="32"/>
        <v>0</v>
      </c>
      <c r="AB163" s="35">
        <f t="shared" si="32"/>
        <v>0</v>
      </c>
      <c r="AC163" s="35">
        <f t="shared" si="32"/>
        <v>0</v>
      </c>
      <c r="AD163" s="35">
        <f t="shared" si="32"/>
        <v>0</v>
      </c>
      <c r="AE163" s="35">
        <f t="shared" si="32"/>
        <v>0</v>
      </c>
      <c r="AF163" s="35">
        <f t="shared" si="32"/>
        <v>0</v>
      </c>
      <c r="AG163" s="35">
        <f t="shared" si="32"/>
        <v>0</v>
      </c>
      <c r="AH163" s="35">
        <f t="shared" si="32"/>
        <v>0</v>
      </c>
      <c r="AI163" s="35">
        <f t="shared" si="32"/>
        <v>0</v>
      </c>
      <c r="AJ163" s="35" t="e">
        <f t="shared" si="32"/>
        <v>#VALUE!</v>
      </c>
      <c r="AK163" s="35" t="e">
        <f t="shared" si="32"/>
        <v>#VALUE!</v>
      </c>
      <c r="AL163" s="35" t="e">
        <f t="shared" si="32"/>
        <v>#VALUE!</v>
      </c>
      <c r="AM163" s="35" t="e">
        <f t="shared" si="32"/>
        <v>#VALUE!</v>
      </c>
      <c r="AN163" s="35" t="e">
        <f t="shared" si="32"/>
        <v>#VALUE!</v>
      </c>
      <c r="AO163" s="35" t="e">
        <f t="shared" ref="AO163:BF163" si="33">SUM(AO110,AO111,AO115,AO119,AO120,AO121,AO127,AO132,AO142,AO145,AO146,AO155)</f>
        <v>#VALUE!</v>
      </c>
      <c r="AP163" s="35" t="e">
        <f t="shared" si="33"/>
        <v>#VALUE!</v>
      </c>
      <c r="AQ163" s="35" t="e">
        <f t="shared" si="33"/>
        <v>#VALUE!</v>
      </c>
      <c r="AR163" s="35" t="e">
        <f t="shared" si="33"/>
        <v>#VALUE!</v>
      </c>
      <c r="AS163" s="35" t="e">
        <f t="shared" si="33"/>
        <v>#VALUE!</v>
      </c>
      <c r="AT163" s="35" t="e">
        <f t="shared" si="33"/>
        <v>#VALUE!</v>
      </c>
      <c r="AU163" s="35" t="e">
        <f t="shared" si="33"/>
        <v>#VALUE!</v>
      </c>
      <c r="AV163" s="35" t="e">
        <f t="shared" si="33"/>
        <v>#VALUE!</v>
      </c>
      <c r="AW163" s="35" t="e">
        <f t="shared" si="33"/>
        <v>#VALUE!</v>
      </c>
      <c r="AX163" s="35" t="e">
        <f t="shared" si="33"/>
        <v>#VALUE!</v>
      </c>
      <c r="AY163" s="35" t="e">
        <f t="shared" si="33"/>
        <v>#VALUE!</v>
      </c>
      <c r="AZ163" s="35" t="e">
        <f t="shared" si="33"/>
        <v>#VALUE!</v>
      </c>
      <c r="BA163" s="35" t="e">
        <f t="shared" si="33"/>
        <v>#VALUE!</v>
      </c>
      <c r="BB163" s="35" t="e">
        <f t="shared" si="33"/>
        <v>#VALUE!</v>
      </c>
      <c r="BC163" s="35" t="e">
        <f t="shared" si="33"/>
        <v>#VALUE!</v>
      </c>
      <c r="BD163" s="35" t="e">
        <f t="shared" si="33"/>
        <v>#VALUE!</v>
      </c>
      <c r="BE163" s="35" t="e">
        <f t="shared" si="33"/>
        <v>#VALUE!</v>
      </c>
      <c r="BF163" s="35" t="e">
        <f t="shared" si="33"/>
        <v>#VALUE!</v>
      </c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</row>
    <row r="164" spans="1:103" x14ac:dyDescent="0.2">
      <c r="C164" s="14" t="s">
        <v>58</v>
      </c>
      <c r="D164" s="46"/>
      <c r="E164" s="46"/>
      <c r="F164" s="46"/>
      <c r="G164" s="46"/>
      <c r="H164" s="12"/>
      <c r="I164" s="46" t="str">
        <f>'Inputs (2)'!D28</f>
        <v/>
      </c>
      <c r="J164" s="46" t="str">
        <f>'Inputs (2)'!E28</f>
        <v/>
      </c>
      <c r="K164" s="46" t="str">
        <f>'Inputs (2)'!F28</f>
        <v/>
      </c>
      <c r="L164" s="46" t="str">
        <f>'Inputs (2)'!G28</f>
        <v/>
      </c>
      <c r="M164" s="12" t="str">
        <f>'Inputs (2)'!H28</f>
        <v/>
      </c>
      <c r="N164" s="46" t="str">
        <f>'Inputs (2)'!I28</f>
        <v/>
      </c>
      <c r="O164" s="46" t="str">
        <f>'Inputs (2)'!J28</f>
        <v/>
      </c>
      <c r="P164" s="46" t="str">
        <f>'Inputs (2)'!K28</f>
        <v/>
      </c>
      <c r="Q164" s="46" t="str">
        <f>'Inputs (2)'!L28</f>
        <v/>
      </c>
      <c r="R164" s="12" t="str">
        <f>'Inputs (2)'!M28</f>
        <v/>
      </c>
      <c r="S164" s="46" t="str">
        <f>'Inputs (2)'!N28</f>
        <v/>
      </c>
      <c r="T164" s="46" t="str">
        <f>'Inputs (2)'!O28</f>
        <v/>
      </c>
      <c r="U164" s="46" t="str">
        <f>'Inputs (2)'!P28</f>
        <v/>
      </c>
      <c r="V164" s="46" t="str">
        <f>'Inputs (2)'!Q28</f>
        <v/>
      </c>
      <c r="W164" s="12" t="str">
        <f>'Inputs (2)'!R28</f>
        <v/>
      </c>
      <c r="X164" s="46" t="str">
        <f>'Inputs (2)'!S28</f>
        <v/>
      </c>
      <c r="Y164" s="46" t="str">
        <f>'Inputs (2)'!T28</f>
        <v/>
      </c>
      <c r="Z164" s="46" t="str">
        <f>'Inputs (2)'!U28</f>
        <v/>
      </c>
      <c r="AA164" s="46" t="str">
        <f>'Inputs (2)'!V28</f>
        <v/>
      </c>
      <c r="AB164" s="12" t="str">
        <f>'Inputs (2)'!W28</f>
        <v/>
      </c>
      <c r="AC164" s="46" t="str">
        <f>'Inputs (2)'!X28</f>
        <v/>
      </c>
      <c r="AD164" s="46" t="str">
        <f>'Inputs (2)'!Y28</f>
        <v/>
      </c>
      <c r="AE164" s="46" t="str">
        <f>'Inputs (2)'!Z28</f>
        <v/>
      </c>
      <c r="AF164" s="46" t="str">
        <f>'Inputs (2)'!AA28</f>
        <v/>
      </c>
      <c r="AG164" s="12" t="str">
        <f>'Inputs (2)'!AB28</f>
        <v/>
      </c>
      <c r="AH164" s="12" t="str">
        <f>'Inputs (2)'!AC28</f>
        <v/>
      </c>
      <c r="AI164" s="12" t="str">
        <f>'Inputs (2)'!AD28</f>
        <v/>
      </c>
      <c r="AJ164" s="12" t="e">
        <f>(AJ165/(AJ$5-AI$5))*-AJ$20</f>
        <v>#VALUE!</v>
      </c>
      <c r="AK164" s="12" t="e">
        <f>(AK165/(AK$5-AJ$5))*-AK$20</f>
        <v>#VALUE!</v>
      </c>
      <c r="AL164" s="12" t="e">
        <f>AK164</f>
        <v>#VALUE!</v>
      </c>
      <c r="AM164" s="12" t="e">
        <f>(AM165/(AM$5-AL$5))*-AM$20</f>
        <v>#VALUE!</v>
      </c>
      <c r="AN164" s="12" t="e">
        <f>(AN165/(AN$5-AM$5))*-AN$20</f>
        <v>#VALUE!</v>
      </c>
      <c r="AO164" s="12" t="e">
        <f>(AO165/(AO$5-AN$5))*-AO$20</f>
        <v>#VALUE!</v>
      </c>
      <c r="AP164" s="12" t="e">
        <f>(AP165/(AP$5-AO$5))*-AP$20</f>
        <v>#VALUE!</v>
      </c>
      <c r="AQ164" s="12" t="e">
        <f>AP164</f>
        <v>#VALUE!</v>
      </c>
      <c r="AR164" s="12" t="e">
        <f>(AR165/(AR$5-AQ$5))*-AR$20</f>
        <v>#VALUE!</v>
      </c>
      <c r="AS164" s="12" t="e">
        <f>(AS165/(AS$5-AR$5))*-AS$20</f>
        <v>#VALUE!</v>
      </c>
      <c r="AT164" s="12" t="e">
        <f>(AT165/(AT$5-AS$5))*-AT$20</f>
        <v>#VALUE!</v>
      </c>
      <c r="AU164" s="12" t="e">
        <f>(AU165/(AU$5-AT$5))*-AU$20</f>
        <v>#VALUE!</v>
      </c>
      <c r="AV164" s="12" t="e">
        <f>AU164</f>
        <v>#VALUE!</v>
      </c>
      <c r="AW164" s="12" t="e">
        <f>(AW165/(AW$5-AV$5))*-AW$20</f>
        <v>#VALUE!</v>
      </c>
      <c r="AX164" s="12" t="e">
        <f>(AX165/(AX$5-AW$5))*-AX$20</f>
        <v>#VALUE!</v>
      </c>
      <c r="AY164" s="12" t="e">
        <f>(AY165/(AY$5-AX$5))*-AY$20</f>
        <v>#VALUE!</v>
      </c>
      <c r="AZ164" s="12" t="e">
        <f>(AZ165/(AZ$5-AY$5))*-AZ$20</f>
        <v>#VALUE!</v>
      </c>
      <c r="BA164" s="12" t="e">
        <f>AZ164</f>
        <v>#VALUE!</v>
      </c>
      <c r="BB164" s="12" t="e">
        <f>(BB165/(BB$5-BA$5))*-BB$20</f>
        <v>#VALUE!</v>
      </c>
      <c r="BC164" s="12" t="e">
        <f>(BC165/(BC$5-BB$5))*-BC$20</f>
        <v>#VALUE!</v>
      </c>
      <c r="BD164" s="12" t="e">
        <f>(BD165/(BD$5-BC$5))*-BD$20</f>
        <v>#VALUE!</v>
      </c>
      <c r="BE164" s="12" t="e">
        <f>(BE165/(BE$5-BD$5))*-BE$20</f>
        <v>#VALUE!</v>
      </c>
      <c r="BF164" s="12" t="e">
        <f>BE164</f>
        <v>#VALUE!</v>
      </c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</row>
    <row r="165" spans="1:103" hidden="1" outlineLevel="1" x14ac:dyDescent="0.2">
      <c r="C165" s="57" t="s">
        <v>155</v>
      </c>
      <c r="D165" s="12"/>
      <c r="E165" s="12"/>
      <c r="F165" s="12"/>
      <c r="G165" s="12"/>
      <c r="H165" s="12"/>
      <c r="I165" s="12" t="str">
        <f>IFERROR(-(I164/I$20)*(I$5-H$5),"")</f>
        <v/>
      </c>
      <c r="J165" s="12" t="str">
        <f>IFERROR(-(J164/J$20)*(J$5-I$5),"")</f>
        <v/>
      </c>
      <c r="K165" s="12" t="str">
        <f>IFERROR(-(K164/K$20)*(K$5-J$5),"")</f>
        <v/>
      </c>
      <c r="L165" s="12" t="str">
        <f>IFERROR(-(L164/L$20)*(L$5-K$5),"")</f>
        <v/>
      </c>
      <c r="M165" s="12"/>
      <c r="N165" s="12" t="str">
        <f>IFERROR(-(N164/N$20)*(N$5-M$5),"")</f>
        <v/>
      </c>
      <c r="O165" s="12" t="str">
        <f>IFERROR(-(O164/O$20)*(O$5-N$5),"")</f>
        <v/>
      </c>
      <c r="P165" s="12" t="str">
        <f>IFERROR(-(P164/P$20)*(P$5-O$5),"")</f>
        <v/>
      </c>
      <c r="Q165" s="12" t="str">
        <f>IFERROR(-(Q164/Q$20)*(Q$5-P$5),"")</f>
        <v/>
      </c>
      <c r="R165" s="12"/>
      <c r="S165" s="12" t="str">
        <f>IFERROR(-(S164/S$20)*(S$5-R$5),"")</f>
        <v/>
      </c>
      <c r="T165" s="12" t="str">
        <f>IFERROR(-(T164/T$20)*(T$5-S$5),"")</f>
        <v/>
      </c>
      <c r="U165" s="12" t="str">
        <f>IFERROR(-(U164/U$20)*(U$5-T$5),"")</f>
        <v/>
      </c>
      <c r="V165" s="12" t="str">
        <f>IFERROR(-(V164/V$20)*(V$5-U$5),"")</f>
        <v/>
      </c>
      <c r="W165" s="12"/>
      <c r="X165" s="12" t="str">
        <f>IFERROR(-(X164/X$20)*(X$5-W$5),"")</f>
        <v/>
      </c>
      <c r="Y165" s="12" t="str">
        <f>IFERROR(-(Y164/Y$20)*(Y$5-X$5),"")</f>
        <v/>
      </c>
      <c r="Z165" s="12" t="str">
        <f>IFERROR(-(Z164/Z$20)*(Z$5-Y$5),"")</f>
        <v/>
      </c>
      <c r="AA165" s="12" t="str">
        <f>IFERROR(-(AA164/AA$20)*(AA$5-Z$5),"")</f>
        <v/>
      </c>
      <c r="AB165" s="12"/>
      <c r="AC165" s="12" t="str">
        <f>IFERROR(-(AC164/AC$20)*(AC$5-AB$5),"")</f>
        <v/>
      </c>
      <c r="AD165" s="12" t="str">
        <f>IFERROR(-(AD164/AD$20)*(AD$5-AC$5),"")</f>
        <v/>
      </c>
      <c r="AE165" s="12" t="str">
        <f>IFERROR(-(AE164/AE$20)*(AE$5-AD$5),"")</f>
        <v/>
      </c>
      <c r="AF165" s="11"/>
      <c r="AG165" s="12"/>
      <c r="AH165" s="11"/>
      <c r="AI165" s="11"/>
      <c r="AJ165" s="11" t="str">
        <f>Control!$B$27</f>
        <v/>
      </c>
      <c r="AK165" s="11" t="str">
        <f>Control!$B$27</f>
        <v/>
      </c>
      <c r="AL165" s="12"/>
      <c r="AM165" s="11" t="str">
        <f>Control!$C$27</f>
        <v/>
      </c>
      <c r="AN165" s="11" t="str">
        <f>Control!$C$27</f>
        <v/>
      </c>
      <c r="AO165" s="11" t="str">
        <f>Control!$C$27</f>
        <v/>
      </c>
      <c r="AP165" s="11" t="str">
        <f>Control!$C$27</f>
        <v/>
      </c>
      <c r="AQ165" s="12"/>
      <c r="AR165" s="11" t="str">
        <f>Control!$D$27</f>
        <v/>
      </c>
      <c r="AS165" s="11" t="str">
        <f>Control!$D$27</f>
        <v/>
      </c>
      <c r="AT165" s="11" t="str">
        <f>Control!$D$27</f>
        <v/>
      </c>
      <c r="AU165" s="11" t="str">
        <f>Control!$D$27</f>
        <v/>
      </c>
      <c r="AV165" s="12"/>
      <c r="AW165" s="11" t="str">
        <f>Control!$E$27</f>
        <v/>
      </c>
      <c r="AX165" s="11" t="str">
        <f>Control!$E$27</f>
        <v/>
      </c>
      <c r="AY165" s="11" t="str">
        <f>Control!$E$27</f>
        <v/>
      </c>
      <c r="AZ165" s="11" t="str">
        <f>Control!$E$27</f>
        <v/>
      </c>
      <c r="BA165" s="12"/>
      <c r="BB165" s="11" t="str">
        <f>Control!$F$27</f>
        <v/>
      </c>
      <c r="BC165" s="11" t="str">
        <f>Control!$F$27</f>
        <v/>
      </c>
      <c r="BD165" s="11" t="str">
        <f>Control!$F$27</f>
        <v/>
      </c>
      <c r="BE165" s="11" t="str">
        <f>Control!$F$27</f>
        <v/>
      </c>
      <c r="BF165" s="12"/>
      <c r="BG165" s="11"/>
      <c r="BH165" s="11"/>
      <c r="BI165" s="11"/>
      <c r="BJ165" s="11"/>
      <c r="BK165" s="12"/>
      <c r="BL165" s="11"/>
      <c r="BM165" s="11"/>
      <c r="BN165" s="11"/>
      <c r="BO165" s="11"/>
      <c r="BP165" s="12"/>
      <c r="BQ165" s="11"/>
      <c r="BR165" s="11"/>
      <c r="BS165" s="11"/>
      <c r="BT165" s="11"/>
      <c r="BU165" s="12"/>
      <c r="BV165" s="11"/>
      <c r="BW165" s="11"/>
      <c r="BX165" s="11"/>
      <c r="BY165" s="11"/>
      <c r="BZ165" s="12"/>
      <c r="CA165" s="11"/>
      <c r="CB165" s="11"/>
      <c r="CC165" s="11"/>
      <c r="CD165" s="11"/>
      <c r="CE165" s="12"/>
      <c r="CF165" s="11"/>
      <c r="CG165" s="11"/>
      <c r="CH165" s="11"/>
      <c r="CI165" s="11"/>
      <c r="CJ165" s="12"/>
      <c r="CK165" s="11"/>
      <c r="CL165" s="11"/>
      <c r="CM165" s="11"/>
      <c r="CN165" s="11"/>
      <c r="CO165" s="12"/>
      <c r="CP165" s="11"/>
      <c r="CQ165" s="11"/>
      <c r="CR165" s="11"/>
      <c r="CS165" s="11"/>
      <c r="CT165" s="12"/>
      <c r="CU165" s="11"/>
      <c r="CV165" s="11"/>
      <c r="CW165" s="11"/>
      <c r="CX165" s="11"/>
      <c r="CY165" s="12"/>
    </row>
    <row r="166" spans="1:103" hidden="1" outlineLevel="1" x14ac:dyDescent="0.2">
      <c r="C166" s="57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</row>
    <row r="167" spans="1:103" hidden="1" outlineLevel="1" x14ac:dyDescent="0.2">
      <c r="C167" s="57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</row>
    <row r="168" spans="1:103" collapsed="1" x14ac:dyDescent="0.2">
      <c r="C168" s="14" t="s">
        <v>59</v>
      </c>
      <c r="D168" s="46"/>
      <c r="E168" s="46"/>
      <c r="F168" s="46"/>
      <c r="G168" s="46"/>
      <c r="H168" s="12"/>
      <c r="I168" s="46" t="str">
        <f>'Inputs (2)'!D29</f>
        <v/>
      </c>
      <c r="J168" s="46" t="str">
        <f>'Inputs (2)'!E29</f>
        <v/>
      </c>
      <c r="K168" s="46" t="str">
        <f>'Inputs (2)'!F29</f>
        <v/>
      </c>
      <c r="L168" s="46" t="str">
        <f>'Inputs (2)'!G29</f>
        <v/>
      </c>
      <c r="M168" s="12" t="str">
        <f>'Inputs (2)'!H29</f>
        <v/>
      </c>
      <c r="N168" s="46" t="str">
        <f>'Inputs (2)'!I29</f>
        <v/>
      </c>
      <c r="O168" s="46" t="str">
        <f>'Inputs (2)'!J29</f>
        <v/>
      </c>
      <c r="P168" s="46" t="str">
        <f>'Inputs (2)'!K29</f>
        <v/>
      </c>
      <c r="Q168" s="46" t="str">
        <f>'Inputs (2)'!L29</f>
        <v/>
      </c>
      <c r="R168" s="12" t="str">
        <f>'Inputs (2)'!M29</f>
        <v/>
      </c>
      <c r="S168" s="46" t="str">
        <f>'Inputs (2)'!N29</f>
        <v/>
      </c>
      <c r="T168" s="46" t="str">
        <f>'Inputs (2)'!O29</f>
        <v/>
      </c>
      <c r="U168" s="46" t="str">
        <f>'Inputs (2)'!P29</f>
        <v/>
      </c>
      <c r="V168" s="46" t="str">
        <f>'Inputs (2)'!Q29</f>
        <v/>
      </c>
      <c r="W168" s="12" t="str">
        <f>'Inputs (2)'!R29</f>
        <v/>
      </c>
      <c r="X168" s="46" t="str">
        <f>'Inputs (2)'!S29</f>
        <v/>
      </c>
      <c r="Y168" s="46" t="str">
        <f>'Inputs (2)'!T29</f>
        <v/>
      </c>
      <c r="Z168" s="46" t="str">
        <f>'Inputs (2)'!U29</f>
        <v/>
      </c>
      <c r="AA168" s="46" t="str">
        <f>'Inputs (2)'!V29</f>
        <v/>
      </c>
      <c r="AB168" s="12" t="str">
        <f>'Inputs (2)'!W29</f>
        <v/>
      </c>
      <c r="AC168" s="46" t="str">
        <f>'Inputs (2)'!X29</f>
        <v/>
      </c>
      <c r="AD168" s="46" t="str">
        <f>'Inputs (2)'!Y29</f>
        <v/>
      </c>
      <c r="AE168" s="46" t="str">
        <f>'Inputs (2)'!Z29</f>
        <v/>
      </c>
      <c r="AF168" s="46" t="str">
        <f>'Inputs (2)'!AA29</f>
        <v/>
      </c>
      <c r="AG168" s="12" t="str">
        <f>'Inputs (2)'!AB29</f>
        <v/>
      </c>
      <c r="AH168" s="12" t="str">
        <f>'Inputs (2)'!AC29</f>
        <v/>
      </c>
      <c r="AI168" s="12" t="str">
        <f>'Inputs (2)'!AD29</f>
        <v/>
      </c>
      <c r="AJ168" s="12" t="e">
        <f>AI168*(1+AJ16)</f>
        <v>#VALUE!</v>
      </c>
      <c r="AK168" s="12" t="e">
        <f>AJ168*(1+AK16)</f>
        <v>#VALUE!</v>
      </c>
      <c r="AL168" s="12" t="e">
        <f>AK168</f>
        <v>#VALUE!</v>
      </c>
      <c r="AM168" s="12" t="e">
        <f>AL168*(1+AM16)</f>
        <v>#VALUE!</v>
      </c>
      <c r="AN168" s="12" t="e">
        <f>AM168*(1+AN16)</f>
        <v>#VALUE!</v>
      </c>
      <c r="AO168" s="12" t="e">
        <f>AN168*(1+AO16)</f>
        <v>#VALUE!</v>
      </c>
      <c r="AP168" s="12" t="e">
        <f>AO168*(1+AP16)</f>
        <v>#VALUE!</v>
      </c>
      <c r="AQ168" s="12" t="e">
        <f>AP168</f>
        <v>#VALUE!</v>
      </c>
      <c r="AR168" s="12" t="e">
        <f>AQ168*(1+AR16)</f>
        <v>#VALUE!</v>
      </c>
      <c r="AS168" s="12" t="e">
        <f>AR168*(1+AS16)</f>
        <v>#VALUE!</v>
      </c>
      <c r="AT168" s="12" t="e">
        <f>AS168*(1+AT16)</f>
        <v>#VALUE!</v>
      </c>
      <c r="AU168" s="12" t="e">
        <f>AT168*(1+AU16)</f>
        <v>#VALUE!</v>
      </c>
      <c r="AV168" s="12" t="e">
        <f>AU168</f>
        <v>#VALUE!</v>
      </c>
      <c r="AW168" s="12" t="e">
        <f>AV168*(1+AW16)</f>
        <v>#VALUE!</v>
      </c>
      <c r="AX168" s="12" t="e">
        <f>AW168*(1+AX16)</f>
        <v>#VALUE!</v>
      </c>
      <c r="AY168" s="12" t="e">
        <f>AX168*(1+AY16)</f>
        <v>#VALUE!</v>
      </c>
      <c r="AZ168" s="12" t="e">
        <f>AY168*(1+AZ16)</f>
        <v>#VALUE!</v>
      </c>
      <c r="BA168" s="12" t="e">
        <f>AZ168</f>
        <v>#VALUE!</v>
      </c>
      <c r="BB168" s="12" t="e">
        <f>BA168*(1+BB16)</f>
        <v>#VALUE!</v>
      </c>
      <c r="BC168" s="12" t="e">
        <f>BB168*(1+BC16)</f>
        <v>#VALUE!</v>
      </c>
      <c r="BD168" s="12" t="e">
        <f>BC168*(1+BD16)</f>
        <v>#VALUE!</v>
      </c>
      <c r="BE168" s="12" t="e">
        <f>BD168*(1+BE16)</f>
        <v>#VALUE!</v>
      </c>
      <c r="BF168" s="12" t="e">
        <f>BE168</f>
        <v>#VALUE!</v>
      </c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</row>
    <row r="169" spans="1:103" hidden="1" outlineLevel="1" x14ac:dyDescent="0.2">
      <c r="C169" s="59" t="s">
        <v>140</v>
      </c>
      <c r="D169" s="12"/>
      <c r="E169" s="40"/>
      <c r="F169" s="40"/>
      <c r="G169" s="40"/>
      <c r="H169" s="12"/>
      <c r="I169" s="40" t="str">
        <f>""</f>
        <v/>
      </c>
      <c r="J169" s="40" t="str">
        <f>IFERROR(IF(I168=0,"",J168/I168-1),"")</f>
        <v/>
      </c>
      <c r="K169" s="40" t="str">
        <f>IFERROR(IF(J168=0,"",K168/J168-1),"")</f>
        <v/>
      </c>
      <c r="L169" s="40" t="str">
        <f>IFERROR(IF(K168=0,"",L168/K168-1),"")</f>
        <v/>
      </c>
      <c r="M169" s="12" t="e">
        <f>IF(L168=0,"",M168/L168-1)</f>
        <v>#VALUE!</v>
      </c>
      <c r="N169" s="40" t="str">
        <f>IFERROR(IF(M168=0,"",N168/M168-1),"")</f>
        <v/>
      </c>
      <c r="O169" s="40" t="str">
        <f>IFERROR(IF(N168=0,"",O168/N168-1),"")</f>
        <v/>
      </c>
      <c r="P169" s="40" t="str">
        <f>IFERROR(IF(O168=0,"",P168/O168-1),"")</f>
        <v/>
      </c>
      <c r="Q169" s="40" t="str">
        <f>IFERROR(IF(P168=0,"",Q168/P168-1),"")</f>
        <v/>
      </c>
      <c r="R169" s="12" t="e">
        <f>IF(Q168=0,"",R168/Q168-1)</f>
        <v>#VALUE!</v>
      </c>
      <c r="S169" s="40" t="str">
        <f>IFERROR(IF(R168=0,"",S168/R168-1),"")</f>
        <v/>
      </c>
      <c r="T169" s="40" t="str">
        <f>IFERROR(IF(S168=0,"",T168/S168-1),"")</f>
        <v/>
      </c>
      <c r="U169" s="40" t="str">
        <f>IFERROR(IF(T168=0,"",U168/T168-1),"")</f>
        <v/>
      </c>
      <c r="V169" s="40" t="str">
        <f>IFERROR(IF(U168=0,"",V168/U168-1),"")</f>
        <v/>
      </c>
      <c r="W169" s="12" t="e">
        <f>IF(V168=0,"",W168/V168-1)</f>
        <v>#VALUE!</v>
      </c>
      <c r="X169" s="40" t="str">
        <f>IFERROR(IF(W168=0,"",X168/W168-1),"")</f>
        <v/>
      </c>
      <c r="Y169" s="40" t="str">
        <f>IFERROR(IF(X168=0,"",Y168/X168-1),"")</f>
        <v/>
      </c>
      <c r="Z169" s="40" t="str">
        <f>IFERROR(IF(Y168=0,"",Z168/Y168-1),"")</f>
        <v/>
      </c>
      <c r="AA169" s="40" t="str">
        <f>IFERROR(IF(Z168=0,"",AA168/Z168-1),"")</f>
        <v/>
      </c>
      <c r="AB169" s="12" t="e">
        <f>IF(AA168=0,"",AB168/AA168-1)</f>
        <v>#VALUE!</v>
      </c>
      <c r="AC169" s="40" t="str">
        <f>IFERROR(IF(AB168=0,"",AC168/AB168-1),"")</f>
        <v/>
      </c>
      <c r="AD169" s="40" t="str">
        <f>IFERROR(IF(AC168=0,"",AD168/AC168-1),"")</f>
        <v/>
      </c>
      <c r="AE169" s="40" t="str">
        <f>IFERROR(IF(AD168=0,"",AE168/AD168-1),"")</f>
        <v/>
      </c>
      <c r="AF169" s="55" t="str">
        <f>IFERROR(IF(AE168=0,"",AF168/AE168-1),"")</f>
        <v/>
      </c>
      <c r="AG169" s="12" t="e">
        <f>IF(AF168=0,"",AG168/AF168-1)</f>
        <v>#VALUE!</v>
      </c>
      <c r="AH169" s="55" t="str">
        <f>IFERROR(IF(AG168=0,"",AH168/AG168-1),"")</f>
        <v/>
      </c>
      <c r="AI169" s="55" t="str">
        <f>IFERROR(IF(AH168=0,"",AI168/AH168-1),"")</f>
        <v/>
      </c>
      <c r="AJ169" s="55" t="str">
        <f>IFERROR(IF(AI168=0,"",AJ168/AI168-1),"")</f>
        <v/>
      </c>
      <c r="AK169" s="55" t="e">
        <f t="shared" ref="AK169:BF169" si="34">IF(AJ168=0,"",AK168/AJ168-1)</f>
        <v>#VALUE!</v>
      </c>
      <c r="AL169" s="12" t="e">
        <f t="shared" si="34"/>
        <v>#VALUE!</v>
      </c>
      <c r="AM169" s="55" t="e">
        <f t="shared" si="34"/>
        <v>#VALUE!</v>
      </c>
      <c r="AN169" s="55" t="e">
        <f t="shared" si="34"/>
        <v>#VALUE!</v>
      </c>
      <c r="AO169" s="55" t="e">
        <f t="shared" si="34"/>
        <v>#VALUE!</v>
      </c>
      <c r="AP169" s="55" t="e">
        <f t="shared" si="34"/>
        <v>#VALUE!</v>
      </c>
      <c r="AQ169" s="12" t="e">
        <f t="shared" si="34"/>
        <v>#VALUE!</v>
      </c>
      <c r="AR169" s="55" t="e">
        <f t="shared" si="34"/>
        <v>#VALUE!</v>
      </c>
      <c r="AS169" s="55" t="e">
        <f t="shared" si="34"/>
        <v>#VALUE!</v>
      </c>
      <c r="AT169" s="55" t="e">
        <f t="shared" si="34"/>
        <v>#VALUE!</v>
      </c>
      <c r="AU169" s="55" t="e">
        <f t="shared" si="34"/>
        <v>#VALUE!</v>
      </c>
      <c r="AV169" s="12" t="e">
        <f t="shared" si="34"/>
        <v>#VALUE!</v>
      </c>
      <c r="AW169" s="55" t="e">
        <f t="shared" si="34"/>
        <v>#VALUE!</v>
      </c>
      <c r="AX169" s="55" t="e">
        <f t="shared" si="34"/>
        <v>#VALUE!</v>
      </c>
      <c r="AY169" s="55" t="e">
        <f t="shared" si="34"/>
        <v>#VALUE!</v>
      </c>
      <c r="AZ169" s="55" t="e">
        <f t="shared" si="34"/>
        <v>#VALUE!</v>
      </c>
      <c r="BA169" s="12" t="e">
        <f t="shared" si="34"/>
        <v>#VALUE!</v>
      </c>
      <c r="BB169" s="55" t="e">
        <f t="shared" si="34"/>
        <v>#VALUE!</v>
      </c>
      <c r="BC169" s="55" t="e">
        <f t="shared" si="34"/>
        <v>#VALUE!</v>
      </c>
      <c r="BD169" s="55" t="e">
        <f t="shared" si="34"/>
        <v>#VALUE!</v>
      </c>
      <c r="BE169" s="55" t="e">
        <f t="shared" si="34"/>
        <v>#VALUE!</v>
      </c>
      <c r="BF169" s="12" t="e">
        <f t="shared" si="34"/>
        <v>#VALUE!</v>
      </c>
      <c r="BG169" s="55"/>
      <c r="BH169" s="55"/>
      <c r="BI169" s="55"/>
      <c r="BJ169" s="55"/>
      <c r="BK169" s="12"/>
      <c r="BL169" s="55"/>
      <c r="BM169" s="55"/>
      <c r="BN169" s="55"/>
      <c r="BO169" s="55"/>
      <c r="BP169" s="12"/>
      <c r="BQ169" s="55"/>
      <c r="BR169" s="55"/>
      <c r="BS169" s="55"/>
      <c r="BT169" s="55"/>
      <c r="BU169" s="12"/>
      <c r="BV169" s="55"/>
      <c r="BW169" s="55"/>
      <c r="BX169" s="55"/>
      <c r="BY169" s="55"/>
      <c r="BZ169" s="12"/>
      <c r="CA169" s="55"/>
      <c r="CB169" s="55"/>
      <c r="CC169" s="55"/>
      <c r="CD169" s="55"/>
      <c r="CE169" s="12"/>
      <c r="CF169" s="55"/>
      <c r="CG169" s="55"/>
      <c r="CH169" s="55"/>
      <c r="CI169" s="55"/>
      <c r="CJ169" s="12"/>
      <c r="CK169" s="55"/>
      <c r="CL169" s="55"/>
      <c r="CM169" s="55"/>
      <c r="CN169" s="55"/>
      <c r="CO169" s="12"/>
      <c r="CP169" s="55"/>
      <c r="CQ169" s="55"/>
      <c r="CR169" s="55"/>
      <c r="CS169" s="55"/>
      <c r="CT169" s="12"/>
      <c r="CU169" s="55"/>
      <c r="CV169" s="55"/>
      <c r="CW169" s="55"/>
      <c r="CX169" s="55"/>
      <c r="CY169" s="12"/>
    </row>
    <row r="170" spans="1:103" collapsed="1" x14ac:dyDescent="0.2">
      <c r="C170" s="14" t="s">
        <v>60</v>
      </c>
      <c r="D170" s="46"/>
      <c r="E170" s="46"/>
      <c r="F170" s="46"/>
      <c r="G170" s="46"/>
      <c r="H170" s="12"/>
      <c r="I170" s="46" t="str">
        <f>'Inputs (2)'!D30</f>
        <v/>
      </c>
      <c r="J170" s="46" t="str">
        <f>'Inputs (2)'!E30</f>
        <v/>
      </c>
      <c r="K170" s="46" t="str">
        <f>'Inputs (2)'!F30</f>
        <v/>
      </c>
      <c r="L170" s="46" t="str">
        <f>'Inputs (2)'!G30</f>
        <v/>
      </c>
      <c r="M170" s="12" t="str">
        <f>'Inputs (2)'!H30</f>
        <v/>
      </c>
      <c r="N170" s="46" t="str">
        <f>'Inputs (2)'!I30</f>
        <v/>
      </c>
      <c r="O170" s="46" t="str">
        <f>'Inputs (2)'!J30</f>
        <v/>
      </c>
      <c r="P170" s="46" t="str">
        <f>'Inputs (2)'!K30</f>
        <v/>
      </c>
      <c r="Q170" s="46" t="str">
        <f>'Inputs (2)'!L30</f>
        <v/>
      </c>
      <c r="R170" s="12" t="str">
        <f>'Inputs (2)'!M30</f>
        <v/>
      </c>
      <c r="S170" s="46" t="str">
        <f>'Inputs (2)'!N30</f>
        <v/>
      </c>
      <c r="T170" s="46" t="str">
        <f>'Inputs (2)'!O30</f>
        <v/>
      </c>
      <c r="U170" s="46" t="str">
        <f>'Inputs (2)'!P30</f>
        <v/>
      </c>
      <c r="V170" s="46" t="str">
        <f>'Inputs (2)'!Q30</f>
        <v/>
      </c>
      <c r="W170" s="12" t="str">
        <f>'Inputs (2)'!R30</f>
        <v/>
      </c>
      <c r="X170" s="46" t="str">
        <f>'Inputs (2)'!S30</f>
        <v/>
      </c>
      <c r="Y170" s="46" t="str">
        <f>'Inputs (2)'!T30</f>
        <v/>
      </c>
      <c r="Z170" s="46" t="str">
        <f>'Inputs (2)'!U30</f>
        <v/>
      </c>
      <c r="AA170" s="46" t="str">
        <f>'Inputs (2)'!V30</f>
        <v/>
      </c>
      <c r="AB170" s="12" t="str">
        <f>'Inputs (2)'!W30</f>
        <v/>
      </c>
      <c r="AC170" s="46" t="str">
        <f>'Inputs (2)'!X30</f>
        <v/>
      </c>
      <c r="AD170" s="46" t="str">
        <f>'Inputs (2)'!Y30</f>
        <v/>
      </c>
      <c r="AE170" s="46" t="str">
        <f>'Inputs (2)'!Z30</f>
        <v/>
      </c>
      <c r="AF170" s="46" t="str">
        <f>'Inputs (2)'!AA30</f>
        <v/>
      </c>
      <c r="AG170" s="12" t="str">
        <f>'Inputs (2)'!AB30</f>
        <v/>
      </c>
      <c r="AH170" s="12" t="str">
        <f>'Inputs (2)'!AC30</f>
        <v/>
      </c>
      <c r="AI170" s="12" t="str">
        <f>'Inputs (2)'!AD30</f>
        <v/>
      </c>
      <c r="AJ170" s="12" t="e">
        <f>AI170*(1+AJ16)</f>
        <v>#VALUE!</v>
      </c>
      <c r="AK170" s="12" t="e">
        <f>AJ170*(1+AK16)</f>
        <v>#VALUE!</v>
      </c>
      <c r="AL170" s="12" t="e">
        <f>AK170</f>
        <v>#VALUE!</v>
      </c>
      <c r="AM170" s="12" t="e">
        <f>AL170*(1+AM16)</f>
        <v>#VALUE!</v>
      </c>
      <c r="AN170" s="12" t="e">
        <f>AM170*(1+AN16)</f>
        <v>#VALUE!</v>
      </c>
      <c r="AO170" s="12" t="e">
        <f>AN170*(1+AO16)</f>
        <v>#VALUE!</v>
      </c>
      <c r="AP170" s="12" t="e">
        <f>AO170*(1+AP16)</f>
        <v>#VALUE!</v>
      </c>
      <c r="AQ170" s="12" t="e">
        <f>AP170</f>
        <v>#VALUE!</v>
      </c>
      <c r="AR170" s="12" t="e">
        <f>AQ170*(1+AR16)</f>
        <v>#VALUE!</v>
      </c>
      <c r="AS170" s="12" t="e">
        <f>AR170*(1+AS16)</f>
        <v>#VALUE!</v>
      </c>
      <c r="AT170" s="12" t="e">
        <f>AS170*(1+AT16)</f>
        <v>#VALUE!</v>
      </c>
      <c r="AU170" s="12" t="e">
        <f>AT170*(1+AU16)</f>
        <v>#VALUE!</v>
      </c>
      <c r="AV170" s="12" t="e">
        <f>AU170</f>
        <v>#VALUE!</v>
      </c>
      <c r="AW170" s="12" t="e">
        <f>AV170*(1+AW16)</f>
        <v>#VALUE!</v>
      </c>
      <c r="AX170" s="12" t="e">
        <f>AW170*(1+AX16)</f>
        <v>#VALUE!</v>
      </c>
      <c r="AY170" s="12" t="e">
        <f>AX170*(1+AY16)</f>
        <v>#VALUE!</v>
      </c>
      <c r="AZ170" s="12" t="e">
        <f>AY170*(1+AZ16)</f>
        <v>#VALUE!</v>
      </c>
      <c r="BA170" s="12" t="e">
        <f>AZ170</f>
        <v>#VALUE!</v>
      </c>
      <c r="BB170" s="12" t="e">
        <f>BA170*(1+BB16)</f>
        <v>#VALUE!</v>
      </c>
      <c r="BC170" s="12" t="e">
        <f>BB170*(1+BC16)</f>
        <v>#VALUE!</v>
      </c>
      <c r="BD170" s="12" t="e">
        <f>BC170*(1+BD16)</f>
        <v>#VALUE!</v>
      </c>
      <c r="BE170" s="12" t="e">
        <f>BD170*(1+BE16)</f>
        <v>#VALUE!</v>
      </c>
      <c r="BF170" s="12" t="e">
        <f>BE170</f>
        <v>#VALUE!</v>
      </c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</row>
    <row r="171" spans="1:103" x14ac:dyDescent="0.2">
      <c r="C171" s="14" t="s">
        <v>61</v>
      </c>
      <c r="D171" s="46"/>
      <c r="E171" s="46"/>
      <c r="F171" s="46"/>
      <c r="G171" s="46"/>
      <c r="H171" s="12"/>
      <c r="I171" s="46" t="str">
        <f>'Inputs (2)'!D31</f>
        <v/>
      </c>
      <c r="J171" s="46" t="str">
        <f>'Inputs (2)'!E31</f>
        <v/>
      </c>
      <c r="K171" s="46" t="str">
        <f>'Inputs (2)'!F31</f>
        <v/>
      </c>
      <c r="L171" s="46" t="str">
        <f>'Inputs (2)'!G31</f>
        <v/>
      </c>
      <c r="M171" s="12" t="str">
        <f>'Inputs (2)'!H31</f>
        <v/>
      </c>
      <c r="N171" s="46" t="str">
        <f>'Inputs (2)'!I31</f>
        <v/>
      </c>
      <c r="O171" s="46" t="str">
        <f>'Inputs (2)'!J31</f>
        <v/>
      </c>
      <c r="P171" s="46" t="str">
        <f>'Inputs (2)'!K31</f>
        <v/>
      </c>
      <c r="Q171" s="46" t="str">
        <f>'Inputs (2)'!L31</f>
        <v/>
      </c>
      <c r="R171" s="12" t="str">
        <f>'Inputs (2)'!M31</f>
        <v/>
      </c>
      <c r="S171" s="46" t="str">
        <f>'Inputs (2)'!N31</f>
        <v/>
      </c>
      <c r="T171" s="46" t="str">
        <f>'Inputs (2)'!O31</f>
        <v/>
      </c>
      <c r="U171" s="46" t="str">
        <f>'Inputs (2)'!P31</f>
        <v/>
      </c>
      <c r="V171" s="46" t="str">
        <f>'Inputs (2)'!Q31</f>
        <v/>
      </c>
      <c r="W171" s="12" t="str">
        <f>'Inputs (2)'!R31</f>
        <v/>
      </c>
      <c r="X171" s="46" t="str">
        <f>'Inputs (2)'!S31</f>
        <v/>
      </c>
      <c r="Y171" s="46" t="str">
        <f>'Inputs (2)'!T31</f>
        <v/>
      </c>
      <c r="Z171" s="46" t="str">
        <f>'Inputs (2)'!U31</f>
        <v/>
      </c>
      <c r="AA171" s="46" t="str">
        <f>'Inputs (2)'!V31</f>
        <v/>
      </c>
      <c r="AB171" s="12" t="str">
        <f>'Inputs (2)'!W31</f>
        <v/>
      </c>
      <c r="AC171" s="46" t="str">
        <f>'Inputs (2)'!X31</f>
        <v/>
      </c>
      <c r="AD171" s="46" t="str">
        <f>'Inputs (2)'!Y31</f>
        <v/>
      </c>
      <c r="AE171" s="46" t="str">
        <f>'Inputs (2)'!Z31</f>
        <v/>
      </c>
      <c r="AF171" s="46" t="str">
        <f>'Inputs (2)'!AA31</f>
        <v/>
      </c>
      <c r="AG171" s="12" t="str">
        <f>'Inputs (2)'!AB31</f>
        <v/>
      </c>
      <c r="AH171" s="12" t="str">
        <f>'Inputs (2)'!AC31</f>
        <v/>
      </c>
      <c r="AI171" s="12" t="str">
        <f>'Inputs (2)'!AD31</f>
        <v/>
      </c>
      <c r="AJ171" s="12" t="str">
        <f>AI171</f>
        <v/>
      </c>
      <c r="AK171" s="12" t="str">
        <f>AJ171</f>
        <v/>
      </c>
      <c r="AL171" s="12" t="str">
        <f>AK171</f>
        <v/>
      </c>
      <c r="AM171" s="12" t="str">
        <f>AL171</f>
        <v/>
      </c>
      <c r="AN171" s="12" t="str">
        <f>AM171</f>
        <v/>
      </c>
      <c r="AO171" s="12" t="str">
        <f>AN171</f>
        <v/>
      </c>
      <c r="AP171" s="12" t="str">
        <f>AO171</f>
        <v/>
      </c>
      <c r="AQ171" s="12" t="str">
        <f>AP171</f>
        <v/>
      </c>
      <c r="AR171" s="12" t="str">
        <f>AQ171</f>
        <v/>
      </c>
      <c r="AS171" s="12" t="str">
        <f>AR171</f>
        <v/>
      </c>
      <c r="AT171" s="12" t="str">
        <f>AS171</f>
        <v/>
      </c>
      <c r="AU171" s="12" t="str">
        <f>AT171</f>
        <v/>
      </c>
      <c r="AV171" s="12" t="str">
        <f>AU171</f>
        <v/>
      </c>
      <c r="AW171" s="12" t="str">
        <f>AV171</f>
        <v/>
      </c>
      <c r="AX171" s="12" t="str">
        <f>AW171</f>
        <v/>
      </c>
      <c r="AY171" s="12" t="str">
        <f>AX171</f>
        <v/>
      </c>
      <c r="AZ171" s="12" t="str">
        <f>AY171</f>
        <v/>
      </c>
      <c r="BA171" s="12" t="str">
        <f>AZ171</f>
        <v/>
      </c>
      <c r="BB171" s="12" t="str">
        <f>BA171</f>
        <v/>
      </c>
      <c r="BC171" s="12" t="str">
        <f>BB171</f>
        <v/>
      </c>
      <c r="BD171" s="12" t="str">
        <f>BC171</f>
        <v/>
      </c>
      <c r="BE171" s="12" t="str">
        <f>BD171</f>
        <v/>
      </c>
      <c r="BF171" s="12" t="str">
        <f>BE171</f>
        <v/>
      </c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</row>
    <row r="172" spans="1:103" hidden="1" outlineLevel="1" x14ac:dyDescent="0.2">
      <c r="C172" s="59" t="s">
        <v>140</v>
      </c>
      <c r="D172" s="12"/>
      <c r="E172" s="40"/>
      <c r="F172" s="40"/>
      <c r="G172" s="40"/>
      <c r="H172" s="12"/>
      <c r="I172" s="40" t="str">
        <f>""</f>
        <v/>
      </c>
      <c r="J172" s="40" t="str">
        <f>IFERROR(IF(I171=0,"",J171/I171-1),"")</f>
        <v/>
      </c>
      <c r="K172" s="40" t="str">
        <f>IFERROR(IF(J171=0,"",K171/J171-1),"")</f>
        <v/>
      </c>
      <c r="L172" s="40" t="str">
        <f>IFERROR(IF(K171=0,"",L171/K171-1),"")</f>
        <v/>
      </c>
      <c r="M172" s="12" t="e">
        <f>IF(L171=0,"",M171/L171-1)</f>
        <v>#VALUE!</v>
      </c>
      <c r="N172" s="40" t="str">
        <f>IFERROR(IF(M171=0,"",N171/M171-1),"")</f>
        <v/>
      </c>
      <c r="O172" s="40" t="str">
        <f>IFERROR(IF(N171=0,"",O171/N171-1),"")</f>
        <v/>
      </c>
      <c r="P172" s="40" t="str">
        <f>IFERROR(IF(O171=0,"",P171/O171-1),"")</f>
        <v/>
      </c>
      <c r="Q172" s="40" t="str">
        <f>IFERROR(IF(P171=0,"",Q171/P171-1),"")</f>
        <v/>
      </c>
      <c r="R172" s="12" t="e">
        <f>IF(Q171=0,"",R171/Q171-1)</f>
        <v>#VALUE!</v>
      </c>
      <c r="S172" s="40" t="str">
        <f>IFERROR(IF(R171=0,"",S171/R171-1),"")</f>
        <v/>
      </c>
      <c r="T172" s="40" t="str">
        <f>IFERROR(IF(S171=0,"",T171/S171-1),"")</f>
        <v/>
      </c>
      <c r="U172" s="40" t="str">
        <f>IFERROR(IF(T171=0,"",U171/T171-1),"")</f>
        <v/>
      </c>
      <c r="V172" s="40" t="str">
        <f>IFERROR(IF(U171=0,"",V171/U171-1),"")</f>
        <v/>
      </c>
      <c r="W172" s="12" t="e">
        <f>IF(V171=0,"",W171/V171-1)</f>
        <v>#VALUE!</v>
      </c>
      <c r="X172" s="40" t="str">
        <f>IFERROR(IF(W171=0,"",X171/W171-1),"")</f>
        <v/>
      </c>
      <c r="Y172" s="40" t="str">
        <f>IFERROR(IF(X171=0,"",Y171/X171-1),"")</f>
        <v/>
      </c>
      <c r="Z172" s="40" t="str">
        <f>IFERROR(IF(Y171=0,"",Z171/Y171-1),"")</f>
        <v/>
      </c>
      <c r="AA172" s="40" t="str">
        <f>IFERROR(IF(Z171=0,"",AA171/Z171-1),"")</f>
        <v/>
      </c>
      <c r="AB172" s="12" t="e">
        <f>IF(AA171=0,"",AB171/AA171-1)</f>
        <v>#VALUE!</v>
      </c>
      <c r="AC172" s="40" t="str">
        <f>IFERROR(IF(AB171=0,"",AC171/AB171-1),"")</f>
        <v/>
      </c>
      <c r="AD172" s="40" t="str">
        <f>IFERROR(IF(AC171=0,"",AD171/AC171-1),"")</f>
        <v/>
      </c>
      <c r="AE172" s="40" t="str">
        <f>IFERROR(IF(AD171=0,"",AE171/AD171-1),"")</f>
        <v/>
      </c>
      <c r="AF172" s="55" t="str">
        <f>IFERROR(IF(AE171=0,"",AF171/AE171-1),"")</f>
        <v/>
      </c>
      <c r="AG172" s="12" t="e">
        <f>IF(AF171=0,"",AG171/AF171-1)</f>
        <v>#VALUE!</v>
      </c>
      <c r="AH172" s="55" t="str">
        <f t="shared" ref="AH172:BF172" si="35">IFERROR(IF(AG171=0,"",AH171/AG171-1),"")</f>
        <v/>
      </c>
      <c r="AI172" s="55" t="str">
        <f t="shared" si="35"/>
        <v/>
      </c>
      <c r="AJ172" s="55" t="str">
        <f t="shared" si="35"/>
        <v/>
      </c>
      <c r="AK172" s="55" t="str">
        <f t="shared" si="35"/>
        <v/>
      </c>
      <c r="AL172" s="12" t="str">
        <f t="shared" si="35"/>
        <v/>
      </c>
      <c r="AM172" s="55" t="str">
        <f t="shared" si="35"/>
        <v/>
      </c>
      <c r="AN172" s="55" t="str">
        <f t="shared" si="35"/>
        <v/>
      </c>
      <c r="AO172" s="55" t="str">
        <f t="shared" si="35"/>
        <v/>
      </c>
      <c r="AP172" s="55" t="str">
        <f t="shared" si="35"/>
        <v/>
      </c>
      <c r="AQ172" s="12" t="str">
        <f t="shared" si="35"/>
        <v/>
      </c>
      <c r="AR172" s="55" t="str">
        <f t="shared" si="35"/>
        <v/>
      </c>
      <c r="AS172" s="55" t="str">
        <f t="shared" si="35"/>
        <v/>
      </c>
      <c r="AT172" s="55" t="str">
        <f t="shared" si="35"/>
        <v/>
      </c>
      <c r="AU172" s="55" t="str">
        <f t="shared" si="35"/>
        <v/>
      </c>
      <c r="AV172" s="12" t="str">
        <f t="shared" si="35"/>
        <v/>
      </c>
      <c r="AW172" s="55" t="str">
        <f t="shared" si="35"/>
        <v/>
      </c>
      <c r="AX172" s="55" t="str">
        <f t="shared" si="35"/>
        <v/>
      </c>
      <c r="AY172" s="55" t="str">
        <f t="shared" si="35"/>
        <v/>
      </c>
      <c r="AZ172" s="55" t="str">
        <f t="shared" si="35"/>
        <v/>
      </c>
      <c r="BA172" s="12" t="str">
        <f t="shared" si="35"/>
        <v/>
      </c>
      <c r="BB172" s="55" t="str">
        <f t="shared" si="35"/>
        <v/>
      </c>
      <c r="BC172" s="55" t="str">
        <f t="shared" si="35"/>
        <v/>
      </c>
      <c r="BD172" s="55" t="str">
        <f t="shared" si="35"/>
        <v/>
      </c>
      <c r="BE172" s="55" t="str">
        <f t="shared" si="35"/>
        <v/>
      </c>
      <c r="BF172" s="12" t="str">
        <f t="shared" si="35"/>
        <v/>
      </c>
      <c r="BG172" s="55"/>
      <c r="BH172" s="55"/>
      <c r="BI172" s="55"/>
      <c r="BJ172" s="55"/>
      <c r="BK172" s="12"/>
      <c r="BL172" s="55"/>
      <c r="BM172" s="55"/>
      <c r="BN172" s="55"/>
      <c r="BO172" s="55"/>
      <c r="BP172" s="12"/>
      <c r="BQ172" s="55"/>
      <c r="BR172" s="55"/>
      <c r="BS172" s="55"/>
      <c r="BT172" s="55"/>
      <c r="BU172" s="12"/>
      <c r="BV172" s="55"/>
      <c r="BW172" s="55"/>
      <c r="BX172" s="55"/>
      <c r="BY172" s="55"/>
      <c r="BZ172" s="12"/>
      <c r="CA172" s="55"/>
      <c r="CB172" s="55"/>
      <c r="CC172" s="55"/>
      <c r="CD172" s="55"/>
      <c r="CE172" s="12"/>
      <c r="CF172" s="55"/>
      <c r="CG172" s="55"/>
      <c r="CH172" s="55"/>
      <c r="CI172" s="55"/>
      <c r="CJ172" s="12"/>
      <c r="CK172" s="55"/>
      <c r="CL172" s="55"/>
      <c r="CM172" s="55"/>
      <c r="CN172" s="55"/>
      <c r="CO172" s="12"/>
      <c r="CP172" s="55"/>
      <c r="CQ172" s="55"/>
      <c r="CR172" s="55"/>
      <c r="CS172" s="55"/>
      <c r="CT172" s="12"/>
      <c r="CU172" s="55"/>
      <c r="CV172" s="55"/>
      <c r="CW172" s="55"/>
      <c r="CX172" s="55"/>
      <c r="CY172" s="12"/>
    </row>
    <row r="173" spans="1:103" hidden="1" outlineLevel="1" x14ac:dyDescent="0.2">
      <c r="C173" s="57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</row>
    <row r="174" spans="1:103" hidden="1" outlineLevel="1" x14ac:dyDescent="0.2">
      <c r="C174" s="57" t="s">
        <v>156</v>
      </c>
      <c r="D174" s="11"/>
      <c r="E174" s="11"/>
      <c r="F174" s="11"/>
      <c r="G174" s="11"/>
      <c r="H174" s="12"/>
      <c r="I174" s="11"/>
      <c r="J174" s="11"/>
      <c r="K174" s="11"/>
      <c r="L174" s="11"/>
      <c r="M174" s="12"/>
      <c r="N174" s="11"/>
      <c r="O174" s="11"/>
      <c r="P174" s="11"/>
      <c r="Q174" s="11"/>
      <c r="R174" s="12"/>
      <c r="S174" s="11"/>
      <c r="T174" s="11"/>
      <c r="U174" s="11"/>
      <c r="V174" s="11"/>
      <c r="W174" s="12"/>
      <c r="X174" s="11"/>
      <c r="Y174" s="11"/>
      <c r="Z174" s="11"/>
      <c r="AA174" s="11"/>
      <c r="AB174" s="12"/>
      <c r="AC174" s="11"/>
      <c r="AD174" s="11"/>
      <c r="AE174" s="11"/>
      <c r="AF174" s="11"/>
      <c r="AG174" s="12"/>
      <c r="AH174" s="11"/>
      <c r="AI174" s="11"/>
      <c r="AJ174" s="11"/>
      <c r="AK174" s="11"/>
      <c r="AL174" s="12"/>
      <c r="AM174" s="11"/>
      <c r="AN174" s="11"/>
      <c r="AO174" s="11"/>
      <c r="AP174" s="11"/>
      <c r="AQ174" s="12"/>
      <c r="AR174" s="11"/>
      <c r="AS174" s="11"/>
      <c r="AT174" s="11"/>
      <c r="AU174" s="11"/>
      <c r="AV174" s="12"/>
      <c r="AW174" s="11"/>
      <c r="AX174" s="11"/>
      <c r="AY174" s="11"/>
      <c r="AZ174" s="11"/>
      <c r="BA174" s="12"/>
      <c r="BB174" s="11"/>
      <c r="BC174" s="11"/>
      <c r="BD174" s="11"/>
      <c r="BE174" s="11"/>
      <c r="BF174" s="12"/>
      <c r="BG174" s="11"/>
      <c r="BH174" s="11"/>
      <c r="BI174" s="11"/>
      <c r="BJ174" s="11"/>
      <c r="BK174" s="12"/>
      <c r="BL174" s="11"/>
      <c r="BM174" s="11"/>
      <c r="BN174" s="11"/>
      <c r="BO174" s="11"/>
      <c r="BP174" s="12"/>
      <c r="BQ174" s="11"/>
      <c r="BR174" s="11"/>
      <c r="BS174" s="11"/>
      <c r="BT174" s="11"/>
      <c r="BU174" s="12"/>
      <c r="BV174" s="11"/>
      <c r="BW174" s="11"/>
      <c r="BX174" s="11"/>
      <c r="BY174" s="11"/>
      <c r="BZ174" s="12"/>
      <c r="CA174" s="11"/>
      <c r="CB174" s="11"/>
      <c r="CC174" s="11"/>
      <c r="CD174" s="11"/>
      <c r="CE174" s="12"/>
      <c r="CF174" s="11"/>
      <c r="CG174" s="11"/>
      <c r="CH174" s="11"/>
      <c r="CI174" s="11"/>
      <c r="CJ174" s="12"/>
      <c r="CK174" s="11"/>
      <c r="CL174" s="11"/>
      <c r="CM174" s="11"/>
      <c r="CN174" s="11"/>
      <c r="CO174" s="12"/>
      <c r="CP174" s="11"/>
      <c r="CQ174" s="11"/>
      <c r="CR174" s="11"/>
      <c r="CS174" s="11"/>
      <c r="CT174" s="12"/>
      <c r="CU174" s="11"/>
      <c r="CV174" s="11"/>
      <c r="CW174" s="11"/>
      <c r="CX174" s="11"/>
      <c r="CY174" s="12"/>
    </row>
    <row r="175" spans="1:103" hidden="1" outlineLevel="1" x14ac:dyDescent="0.2">
      <c r="C175" s="57" t="s">
        <v>157</v>
      </c>
      <c r="D175" s="11"/>
      <c r="E175" s="11"/>
      <c r="F175" s="11"/>
      <c r="G175" s="11"/>
      <c r="H175" s="12"/>
      <c r="I175" s="11"/>
      <c r="J175" s="11"/>
      <c r="K175" s="11"/>
      <c r="L175" s="11"/>
      <c r="M175" s="12"/>
      <c r="N175" s="11"/>
      <c r="O175" s="11"/>
      <c r="P175" s="11"/>
      <c r="Q175" s="11"/>
      <c r="R175" s="12"/>
      <c r="S175" s="11"/>
      <c r="T175" s="11"/>
      <c r="U175" s="11"/>
      <c r="V175" s="11"/>
      <c r="W175" s="12"/>
      <c r="X175" s="11"/>
      <c r="Y175" s="11"/>
      <c r="Z175" s="11"/>
      <c r="AA175" s="11"/>
      <c r="AB175" s="12"/>
      <c r="AC175" s="11"/>
      <c r="AD175" s="11"/>
      <c r="AE175" s="11"/>
      <c r="AF175" s="11"/>
      <c r="AG175" s="12"/>
      <c r="AH175" s="11"/>
      <c r="AI175" s="11"/>
      <c r="AJ175" s="11"/>
      <c r="AK175" s="11"/>
      <c r="AL175" s="12"/>
      <c r="AM175" s="11"/>
      <c r="AN175" s="11"/>
      <c r="AO175" s="11"/>
      <c r="AP175" s="11"/>
      <c r="AQ175" s="12"/>
      <c r="AR175" s="11"/>
      <c r="AS175" s="11"/>
      <c r="AT175" s="11"/>
      <c r="AU175" s="11"/>
      <c r="AV175" s="12"/>
      <c r="AW175" s="11"/>
      <c r="AX175" s="11"/>
      <c r="AY175" s="11"/>
      <c r="AZ175" s="11"/>
      <c r="BA175" s="12"/>
      <c r="BB175" s="11"/>
      <c r="BC175" s="11"/>
      <c r="BD175" s="11"/>
      <c r="BE175" s="11"/>
      <c r="BF175" s="12"/>
      <c r="BG175" s="11"/>
      <c r="BH175" s="11"/>
      <c r="BI175" s="11"/>
      <c r="BJ175" s="11"/>
      <c r="BK175" s="12"/>
      <c r="BL175" s="11"/>
      <c r="BM175" s="11"/>
      <c r="BN175" s="11"/>
      <c r="BO175" s="11"/>
      <c r="BP175" s="12"/>
      <c r="BQ175" s="11"/>
      <c r="BR175" s="11"/>
      <c r="BS175" s="11"/>
      <c r="BT175" s="11"/>
      <c r="BU175" s="12"/>
      <c r="BV175" s="11"/>
      <c r="BW175" s="11"/>
      <c r="BX175" s="11"/>
      <c r="BY175" s="11"/>
      <c r="BZ175" s="12"/>
      <c r="CA175" s="11"/>
      <c r="CB175" s="11"/>
      <c r="CC175" s="11"/>
      <c r="CD175" s="11"/>
      <c r="CE175" s="12"/>
      <c r="CF175" s="11"/>
      <c r="CG175" s="11"/>
      <c r="CH175" s="11"/>
      <c r="CI175" s="11"/>
      <c r="CJ175" s="12"/>
      <c r="CK175" s="11"/>
      <c r="CL175" s="11"/>
      <c r="CM175" s="11"/>
      <c r="CN175" s="11"/>
      <c r="CO175" s="12"/>
      <c r="CP175" s="11"/>
      <c r="CQ175" s="11"/>
      <c r="CR175" s="11"/>
      <c r="CS175" s="11"/>
      <c r="CT175" s="12"/>
      <c r="CU175" s="11"/>
      <c r="CV175" s="11"/>
      <c r="CW175" s="11"/>
      <c r="CX175" s="11"/>
      <c r="CY175" s="12"/>
    </row>
    <row r="176" spans="1:103" hidden="1" outlineLevel="1" x14ac:dyDescent="0.2">
      <c r="C176" s="57" t="s">
        <v>158</v>
      </c>
      <c r="D176" s="11"/>
      <c r="E176" s="11"/>
      <c r="F176" s="11"/>
      <c r="G176" s="11"/>
      <c r="H176" s="12"/>
      <c r="I176" s="11"/>
      <c r="J176" s="11"/>
      <c r="K176" s="11"/>
      <c r="L176" s="11"/>
      <c r="M176" s="12"/>
      <c r="N176" s="11"/>
      <c r="O176" s="11"/>
      <c r="P176" s="11"/>
      <c r="Q176" s="11"/>
      <c r="R176" s="12"/>
      <c r="S176" s="11"/>
      <c r="T176" s="11"/>
      <c r="U176" s="11"/>
      <c r="V176" s="11"/>
      <c r="W176" s="12"/>
      <c r="X176" s="11"/>
      <c r="Y176" s="11"/>
      <c r="Z176" s="11"/>
      <c r="AA176" s="11"/>
      <c r="AB176" s="12"/>
      <c r="AC176" s="11"/>
      <c r="AD176" s="11"/>
      <c r="AE176" s="11"/>
      <c r="AF176" s="11"/>
      <c r="AG176" s="12"/>
      <c r="AH176" s="11"/>
      <c r="AI176" s="11"/>
      <c r="AJ176" s="11"/>
      <c r="AK176" s="11"/>
      <c r="AL176" s="12"/>
      <c r="AM176" s="11"/>
      <c r="AN176" s="11"/>
      <c r="AO176" s="11"/>
      <c r="AP176" s="11"/>
      <c r="AQ176" s="12"/>
      <c r="AR176" s="11"/>
      <c r="AS176" s="11"/>
      <c r="AT176" s="11"/>
      <c r="AU176" s="11"/>
      <c r="AV176" s="12"/>
      <c r="AW176" s="11"/>
      <c r="AX176" s="11"/>
      <c r="AY176" s="11"/>
      <c r="AZ176" s="11"/>
      <c r="BA176" s="12"/>
      <c r="BB176" s="11"/>
      <c r="BC176" s="11"/>
      <c r="BD176" s="11"/>
      <c r="BE176" s="11"/>
      <c r="BF176" s="12"/>
      <c r="BG176" s="11"/>
      <c r="BH176" s="11"/>
      <c r="BI176" s="11"/>
      <c r="BJ176" s="11"/>
      <c r="BK176" s="12"/>
      <c r="BL176" s="11"/>
      <c r="BM176" s="11"/>
      <c r="BN176" s="11"/>
      <c r="BO176" s="11"/>
      <c r="BP176" s="12"/>
      <c r="BQ176" s="11"/>
      <c r="BR176" s="11"/>
      <c r="BS176" s="11"/>
      <c r="BT176" s="11"/>
      <c r="BU176" s="12"/>
      <c r="BV176" s="11"/>
      <c r="BW176" s="11"/>
      <c r="BX176" s="11"/>
      <c r="BY176" s="11"/>
      <c r="BZ176" s="12"/>
      <c r="CA176" s="11"/>
      <c r="CB176" s="11"/>
      <c r="CC176" s="11"/>
      <c r="CD176" s="11"/>
      <c r="CE176" s="12"/>
      <c r="CF176" s="11"/>
      <c r="CG176" s="11"/>
      <c r="CH176" s="11"/>
      <c r="CI176" s="11"/>
      <c r="CJ176" s="12"/>
      <c r="CK176" s="11"/>
      <c r="CL176" s="11"/>
      <c r="CM176" s="11"/>
      <c r="CN176" s="11"/>
      <c r="CO176" s="12"/>
      <c r="CP176" s="11"/>
      <c r="CQ176" s="11"/>
      <c r="CR176" s="11"/>
      <c r="CS176" s="11"/>
      <c r="CT176" s="12"/>
      <c r="CU176" s="11"/>
      <c r="CV176" s="11"/>
      <c r="CW176" s="11"/>
      <c r="CX176" s="11"/>
      <c r="CY176" s="12"/>
    </row>
    <row r="177" spans="3:103" hidden="1" outlineLevel="1" x14ac:dyDescent="0.2">
      <c r="C177" s="57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</row>
    <row r="178" spans="3:103" collapsed="1" x14ac:dyDescent="0.2">
      <c r="C178" s="14" t="s">
        <v>62</v>
      </c>
      <c r="D178" s="46"/>
      <c r="E178" s="46"/>
      <c r="F178" s="46"/>
      <c r="G178" s="46"/>
      <c r="H178" s="12"/>
      <c r="I178" s="46" t="str">
        <f>'Inputs (2)'!D32</f>
        <v/>
      </c>
      <c r="J178" s="46" t="str">
        <f>'Inputs (2)'!E32</f>
        <v/>
      </c>
      <c r="K178" s="46" t="str">
        <f>'Inputs (2)'!F32</f>
        <v/>
      </c>
      <c r="L178" s="46" t="str">
        <f>'Inputs (2)'!G32</f>
        <v/>
      </c>
      <c r="M178" s="12" t="str">
        <f>'Inputs (2)'!H32</f>
        <v/>
      </c>
      <c r="N178" s="46" t="str">
        <f>'Inputs (2)'!I32</f>
        <v/>
      </c>
      <c r="O178" s="46" t="str">
        <f>'Inputs (2)'!J32</f>
        <v/>
      </c>
      <c r="P178" s="46" t="str">
        <f>'Inputs (2)'!K32</f>
        <v/>
      </c>
      <c r="Q178" s="46" t="str">
        <f>'Inputs (2)'!L32</f>
        <v/>
      </c>
      <c r="R178" s="12" t="str">
        <f>'Inputs (2)'!M32</f>
        <v/>
      </c>
      <c r="S178" s="46" t="str">
        <f>'Inputs (2)'!N32</f>
        <v/>
      </c>
      <c r="T178" s="46" t="str">
        <f>'Inputs (2)'!O32</f>
        <v/>
      </c>
      <c r="U178" s="46" t="str">
        <f>'Inputs (2)'!P32</f>
        <v/>
      </c>
      <c r="V178" s="46" t="str">
        <f>'Inputs (2)'!Q32</f>
        <v/>
      </c>
      <c r="W178" s="12" t="str">
        <f>'Inputs (2)'!R32</f>
        <v/>
      </c>
      <c r="X178" s="46" t="str">
        <f>'Inputs (2)'!S32</f>
        <v/>
      </c>
      <c r="Y178" s="46" t="str">
        <f>'Inputs (2)'!T32</f>
        <v/>
      </c>
      <c r="Z178" s="46" t="str">
        <f>'Inputs (2)'!U32</f>
        <v/>
      </c>
      <c r="AA178" s="46" t="str">
        <f>'Inputs (2)'!V32</f>
        <v/>
      </c>
      <c r="AB178" s="12" t="str">
        <f>'Inputs (2)'!W32</f>
        <v/>
      </c>
      <c r="AC178" s="46" t="str">
        <f>'Inputs (2)'!X32</f>
        <v/>
      </c>
      <c r="AD178" s="46" t="str">
        <f>'Inputs (2)'!Y32</f>
        <v/>
      </c>
      <c r="AE178" s="46" t="str">
        <f>'Inputs (2)'!Z32</f>
        <v/>
      </c>
      <c r="AF178" s="46" t="str">
        <f>'Inputs (2)'!AA32</f>
        <v/>
      </c>
      <c r="AG178" s="12" t="str">
        <f>'Inputs (2)'!AB32</f>
        <v/>
      </c>
      <c r="AH178" s="12" t="str">
        <f>'Inputs (2)'!AC32</f>
        <v/>
      </c>
      <c r="AI178" s="12" t="str">
        <f>'Inputs (2)'!AD32</f>
        <v/>
      </c>
      <c r="AJ178" s="12" t="str">
        <f t="shared" ref="AJ178:BF178" si="36">AI178</f>
        <v/>
      </c>
      <c r="AK178" s="12" t="str">
        <f t="shared" si="36"/>
        <v/>
      </c>
      <c r="AL178" s="12" t="str">
        <f t="shared" si="36"/>
        <v/>
      </c>
      <c r="AM178" s="12" t="str">
        <f t="shared" si="36"/>
        <v/>
      </c>
      <c r="AN178" s="12" t="str">
        <f t="shared" si="36"/>
        <v/>
      </c>
      <c r="AO178" s="12" t="str">
        <f t="shared" si="36"/>
        <v/>
      </c>
      <c r="AP178" s="12" t="str">
        <f t="shared" si="36"/>
        <v/>
      </c>
      <c r="AQ178" s="12" t="str">
        <f t="shared" si="36"/>
        <v/>
      </c>
      <c r="AR178" s="12" t="str">
        <f t="shared" si="36"/>
        <v/>
      </c>
      <c r="AS178" s="12" t="str">
        <f t="shared" si="36"/>
        <v/>
      </c>
      <c r="AT178" s="12" t="str">
        <f t="shared" si="36"/>
        <v/>
      </c>
      <c r="AU178" s="12" t="str">
        <f t="shared" si="36"/>
        <v/>
      </c>
      <c r="AV178" s="12" t="str">
        <f t="shared" si="36"/>
        <v/>
      </c>
      <c r="AW178" s="12" t="str">
        <f t="shared" si="36"/>
        <v/>
      </c>
      <c r="AX178" s="12" t="str">
        <f t="shared" si="36"/>
        <v/>
      </c>
      <c r="AY178" s="12" t="str">
        <f t="shared" si="36"/>
        <v/>
      </c>
      <c r="AZ178" s="12" t="str">
        <f t="shared" si="36"/>
        <v/>
      </c>
      <c r="BA178" s="12" t="str">
        <f t="shared" si="36"/>
        <v/>
      </c>
      <c r="BB178" s="12" t="str">
        <f t="shared" si="36"/>
        <v/>
      </c>
      <c r="BC178" s="12" t="str">
        <f t="shared" si="36"/>
        <v/>
      </c>
      <c r="BD178" s="12" t="str">
        <f t="shared" si="36"/>
        <v/>
      </c>
      <c r="BE178" s="12" t="str">
        <f t="shared" si="36"/>
        <v/>
      </c>
      <c r="BF178" s="12" t="str">
        <f t="shared" si="36"/>
        <v/>
      </c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</row>
    <row r="179" spans="3:103" x14ac:dyDescent="0.2">
      <c r="C179" s="14" t="s">
        <v>63</v>
      </c>
      <c r="D179" s="46"/>
      <c r="E179" s="46"/>
      <c r="F179" s="46"/>
      <c r="G179" s="46"/>
      <c r="H179" s="12"/>
      <c r="I179" s="46" t="str">
        <f>'Inputs (2)'!D33</f>
        <v/>
      </c>
      <c r="J179" s="46" t="str">
        <f>'Inputs (2)'!E33</f>
        <v/>
      </c>
      <c r="K179" s="46" t="str">
        <f>'Inputs (2)'!F33</f>
        <v/>
      </c>
      <c r="L179" s="46" t="str">
        <f>'Inputs (2)'!G33</f>
        <v/>
      </c>
      <c r="M179" s="12" t="str">
        <f>'Inputs (2)'!H33</f>
        <v/>
      </c>
      <c r="N179" s="46" t="str">
        <f>'Inputs (2)'!I33</f>
        <v/>
      </c>
      <c r="O179" s="46" t="str">
        <f>'Inputs (2)'!J33</f>
        <v/>
      </c>
      <c r="P179" s="46" t="str">
        <f>'Inputs (2)'!K33</f>
        <v/>
      </c>
      <c r="Q179" s="46" t="str">
        <f>'Inputs (2)'!L33</f>
        <v/>
      </c>
      <c r="R179" s="12" t="str">
        <f>'Inputs (2)'!M33</f>
        <v/>
      </c>
      <c r="S179" s="46" t="str">
        <f>'Inputs (2)'!N33</f>
        <v/>
      </c>
      <c r="T179" s="46" t="str">
        <f>'Inputs (2)'!O33</f>
        <v/>
      </c>
      <c r="U179" s="46" t="str">
        <f>'Inputs (2)'!P33</f>
        <v/>
      </c>
      <c r="V179" s="46" t="str">
        <f>'Inputs (2)'!Q33</f>
        <v/>
      </c>
      <c r="W179" s="12" t="str">
        <f>'Inputs (2)'!R33</f>
        <v/>
      </c>
      <c r="X179" s="46" t="str">
        <f>'Inputs (2)'!S33</f>
        <v/>
      </c>
      <c r="Y179" s="46" t="str">
        <f>'Inputs (2)'!T33</f>
        <v/>
      </c>
      <c r="Z179" s="46" t="str">
        <f>'Inputs (2)'!U33</f>
        <v/>
      </c>
      <c r="AA179" s="46" t="str">
        <f>'Inputs (2)'!V33</f>
        <v/>
      </c>
      <c r="AB179" s="12" t="str">
        <f>'Inputs (2)'!W33</f>
        <v/>
      </c>
      <c r="AC179" s="46" t="str">
        <f>'Inputs (2)'!X33</f>
        <v/>
      </c>
      <c r="AD179" s="46" t="str">
        <f>'Inputs (2)'!Y33</f>
        <v/>
      </c>
      <c r="AE179" s="46" t="str">
        <f>'Inputs (2)'!Z33</f>
        <v/>
      </c>
      <c r="AF179" s="46" t="str">
        <f>'Inputs (2)'!AA33</f>
        <v/>
      </c>
      <c r="AG179" s="12" t="str">
        <f>'Inputs (2)'!AB33</f>
        <v/>
      </c>
      <c r="AH179" s="12" t="str">
        <f>'Inputs (2)'!AC33</f>
        <v/>
      </c>
      <c r="AI179" s="12" t="str">
        <f>'Inputs (2)'!AD33</f>
        <v/>
      </c>
      <c r="AJ179" s="12" t="str">
        <f t="shared" ref="AJ179:BF179" si="37">AI179</f>
        <v/>
      </c>
      <c r="AK179" s="12" t="str">
        <f t="shared" si="37"/>
        <v/>
      </c>
      <c r="AL179" s="12" t="str">
        <f t="shared" si="37"/>
        <v/>
      </c>
      <c r="AM179" s="12" t="str">
        <f t="shared" si="37"/>
        <v/>
      </c>
      <c r="AN179" s="12" t="str">
        <f t="shared" si="37"/>
        <v/>
      </c>
      <c r="AO179" s="12" t="str">
        <f t="shared" si="37"/>
        <v/>
      </c>
      <c r="AP179" s="12" t="str">
        <f t="shared" si="37"/>
        <v/>
      </c>
      <c r="AQ179" s="12" t="str">
        <f t="shared" si="37"/>
        <v/>
      </c>
      <c r="AR179" s="12" t="str">
        <f t="shared" si="37"/>
        <v/>
      </c>
      <c r="AS179" s="12" t="str">
        <f t="shared" si="37"/>
        <v/>
      </c>
      <c r="AT179" s="12" t="str">
        <f t="shared" si="37"/>
        <v/>
      </c>
      <c r="AU179" s="12" t="str">
        <f t="shared" si="37"/>
        <v/>
      </c>
      <c r="AV179" s="12" t="str">
        <f t="shared" si="37"/>
        <v/>
      </c>
      <c r="AW179" s="12" t="str">
        <f t="shared" si="37"/>
        <v/>
      </c>
      <c r="AX179" s="12" t="str">
        <f t="shared" si="37"/>
        <v/>
      </c>
      <c r="AY179" s="12" t="str">
        <f t="shared" si="37"/>
        <v/>
      </c>
      <c r="AZ179" s="12" t="str">
        <f t="shared" si="37"/>
        <v/>
      </c>
      <c r="BA179" s="12" t="str">
        <f t="shared" si="37"/>
        <v/>
      </c>
      <c r="BB179" s="12" t="str">
        <f t="shared" si="37"/>
        <v/>
      </c>
      <c r="BC179" s="12" t="str">
        <f t="shared" si="37"/>
        <v/>
      </c>
      <c r="BD179" s="12" t="str">
        <f t="shared" si="37"/>
        <v/>
      </c>
      <c r="BE179" s="12" t="str">
        <f t="shared" si="37"/>
        <v/>
      </c>
      <c r="BF179" s="12" t="str">
        <f t="shared" si="37"/>
        <v/>
      </c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</row>
    <row r="180" spans="3:103" x14ac:dyDescent="0.2">
      <c r="C180" s="14" t="s">
        <v>64</v>
      </c>
      <c r="D180" s="46"/>
      <c r="E180" s="46"/>
      <c r="F180" s="46"/>
      <c r="G180" s="46"/>
      <c r="H180" s="12"/>
      <c r="I180" s="46" t="str">
        <f>'Inputs (2)'!D34</f>
        <v/>
      </c>
      <c r="J180" s="46" t="str">
        <f>'Inputs (2)'!E34</f>
        <v/>
      </c>
      <c r="K180" s="46" t="str">
        <f>'Inputs (2)'!F34</f>
        <v/>
      </c>
      <c r="L180" s="46" t="str">
        <f>'Inputs (2)'!G34</f>
        <v/>
      </c>
      <c r="M180" s="12" t="str">
        <f>'Inputs (2)'!H34</f>
        <v/>
      </c>
      <c r="N180" s="46" t="str">
        <f>'Inputs (2)'!I34</f>
        <v/>
      </c>
      <c r="O180" s="46" t="str">
        <f>'Inputs (2)'!J34</f>
        <v/>
      </c>
      <c r="P180" s="46" t="str">
        <f>'Inputs (2)'!K34</f>
        <v/>
      </c>
      <c r="Q180" s="46" t="str">
        <f>'Inputs (2)'!L34</f>
        <v/>
      </c>
      <c r="R180" s="12" t="str">
        <f>'Inputs (2)'!M34</f>
        <v/>
      </c>
      <c r="S180" s="46" t="str">
        <f>'Inputs (2)'!N34</f>
        <v/>
      </c>
      <c r="T180" s="46" t="str">
        <f>'Inputs (2)'!O34</f>
        <v/>
      </c>
      <c r="U180" s="46" t="str">
        <f>'Inputs (2)'!P34</f>
        <v/>
      </c>
      <c r="V180" s="46" t="str">
        <f>'Inputs (2)'!Q34</f>
        <v/>
      </c>
      <c r="W180" s="12" t="str">
        <f>'Inputs (2)'!R34</f>
        <v/>
      </c>
      <c r="X180" s="46" t="str">
        <f>'Inputs (2)'!S34</f>
        <v/>
      </c>
      <c r="Y180" s="46" t="str">
        <f>'Inputs (2)'!T34</f>
        <v/>
      </c>
      <c r="Z180" s="46" t="str">
        <f>'Inputs (2)'!U34</f>
        <v/>
      </c>
      <c r="AA180" s="46" t="str">
        <f>'Inputs (2)'!V34</f>
        <v/>
      </c>
      <c r="AB180" s="12" t="str">
        <f>'Inputs (2)'!W34</f>
        <v/>
      </c>
      <c r="AC180" s="46" t="str">
        <f>'Inputs (2)'!X34</f>
        <v/>
      </c>
      <c r="AD180" s="46" t="str">
        <f>'Inputs (2)'!Y34</f>
        <v/>
      </c>
      <c r="AE180" s="46" t="str">
        <f>'Inputs (2)'!Z34</f>
        <v/>
      </c>
      <c r="AF180" s="46" t="str">
        <f>'Inputs (2)'!AA34</f>
        <v/>
      </c>
      <c r="AG180" s="12" t="str">
        <f>'Inputs (2)'!AB34</f>
        <v/>
      </c>
      <c r="AH180" s="12" t="str">
        <f>'Inputs (2)'!AC34</f>
        <v/>
      </c>
      <c r="AI180" s="12" t="str">
        <f>'Inputs (2)'!AD34</f>
        <v/>
      </c>
      <c r="AJ180" s="12" t="str">
        <f t="shared" ref="AJ180:BF180" si="38">AI180</f>
        <v/>
      </c>
      <c r="AK180" s="12" t="str">
        <f t="shared" si="38"/>
        <v/>
      </c>
      <c r="AL180" s="12" t="str">
        <f t="shared" si="38"/>
        <v/>
      </c>
      <c r="AM180" s="12" t="str">
        <f t="shared" si="38"/>
        <v/>
      </c>
      <c r="AN180" s="12" t="str">
        <f t="shared" si="38"/>
        <v/>
      </c>
      <c r="AO180" s="12" t="str">
        <f t="shared" si="38"/>
        <v/>
      </c>
      <c r="AP180" s="12" t="str">
        <f t="shared" si="38"/>
        <v/>
      </c>
      <c r="AQ180" s="12" t="str">
        <f t="shared" si="38"/>
        <v/>
      </c>
      <c r="AR180" s="12" t="str">
        <f t="shared" si="38"/>
        <v/>
      </c>
      <c r="AS180" s="12" t="str">
        <f t="shared" si="38"/>
        <v/>
      </c>
      <c r="AT180" s="12" t="str">
        <f t="shared" si="38"/>
        <v/>
      </c>
      <c r="AU180" s="12" t="str">
        <f t="shared" si="38"/>
        <v/>
      </c>
      <c r="AV180" s="12" t="str">
        <f t="shared" si="38"/>
        <v/>
      </c>
      <c r="AW180" s="12" t="str">
        <f t="shared" si="38"/>
        <v/>
      </c>
      <c r="AX180" s="12" t="str">
        <f t="shared" si="38"/>
        <v/>
      </c>
      <c r="AY180" s="12" t="str">
        <f t="shared" si="38"/>
        <v/>
      </c>
      <c r="AZ180" s="12" t="str">
        <f t="shared" si="38"/>
        <v/>
      </c>
      <c r="BA180" s="12" t="str">
        <f t="shared" si="38"/>
        <v/>
      </c>
      <c r="BB180" s="12" t="str">
        <f t="shared" si="38"/>
        <v/>
      </c>
      <c r="BC180" s="12" t="str">
        <f t="shared" si="38"/>
        <v/>
      </c>
      <c r="BD180" s="12" t="str">
        <f t="shared" si="38"/>
        <v/>
      </c>
      <c r="BE180" s="12" t="str">
        <f t="shared" si="38"/>
        <v/>
      </c>
      <c r="BF180" s="12" t="str">
        <f t="shared" si="38"/>
        <v/>
      </c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</row>
    <row r="181" spans="3:103" hidden="1" outlineLevel="1" x14ac:dyDescent="0.2">
      <c r="C181" s="59" t="s">
        <v>140</v>
      </c>
      <c r="D181" s="12"/>
      <c r="E181" s="40"/>
      <c r="F181" s="40"/>
      <c r="G181" s="40"/>
      <c r="H181" s="12"/>
      <c r="I181" s="40" t="str">
        <f>""</f>
        <v/>
      </c>
      <c r="J181" s="40" t="str">
        <f>IFERROR(IF(I180=0,"",J180/I180-1),"")</f>
        <v/>
      </c>
      <c r="K181" s="40" t="str">
        <f>IFERROR(IF(J180=0,"",K180/J180-1),"")</f>
        <v/>
      </c>
      <c r="L181" s="40" t="str">
        <f>IFERROR(IF(K180=0,"",L180/K180-1),"")</f>
        <v/>
      </c>
      <c r="M181" s="12" t="e">
        <f>IF(L180=0,"",M180/L180-1)</f>
        <v>#VALUE!</v>
      </c>
      <c r="N181" s="40" t="str">
        <f>IFERROR(IF(M180=0,"",N180/M180-1),"")</f>
        <v/>
      </c>
      <c r="O181" s="40" t="str">
        <f>IFERROR(IF(N180=0,"",O180/N180-1),"")</f>
        <v/>
      </c>
      <c r="P181" s="40" t="str">
        <f>IFERROR(IF(O180=0,"",P180/O180-1),"")</f>
        <v/>
      </c>
      <c r="Q181" s="40" t="str">
        <f>IFERROR(IF(P180=0,"",Q180/P180-1),"")</f>
        <v/>
      </c>
      <c r="R181" s="12" t="e">
        <f>IF(Q180=0,"",R180/Q180-1)</f>
        <v>#VALUE!</v>
      </c>
      <c r="S181" s="40" t="str">
        <f>IFERROR(IF(R180=0,"",S180/R180-1),"")</f>
        <v/>
      </c>
      <c r="T181" s="40" t="str">
        <f>IFERROR(IF(S180=0,"",T180/S180-1),"")</f>
        <v/>
      </c>
      <c r="U181" s="40" t="str">
        <f>IFERROR(IF(T180=0,"",U180/T180-1),"")</f>
        <v/>
      </c>
      <c r="V181" s="40" t="str">
        <f>IFERROR(IF(U180=0,"",V180/U180-1),"")</f>
        <v/>
      </c>
      <c r="W181" s="12" t="e">
        <f>IF(V180=0,"",W180/V180-1)</f>
        <v>#VALUE!</v>
      </c>
      <c r="X181" s="40" t="str">
        <f>IFERROR(IF(W180=0,"",X180/W180-1),"")</f>
        <v/>
      </c>
      <c r="Y181" s="40" t="str">
        <f>IFERROR(IF(X180=0,"",Y180/X180-1),"")</f>
        <v/>
      </c>
      <c r="Z181" s="40" t="str">
        <f>IFERROR(IF(Y180=0,"",Z180/Y180-1),"")</f>
        <v/>
      </c>
      <c r="AA181" s="40" t="str">
        <f>IFERROR(IF(Z180=0,"",AA180/Z180-1),"")</f>
        <v/>
      </c>
      <c r="AB181" s="12" t="e">
        <f>IF(AA180=0,"",AB180/AA180-1)</f>
        <v>#VALUE!</v>
      </c>
      <c r="AC181" s="40" t="str">
        <f>IFERROR(IF(AB180=0,"",AC180/AB180-1),"")</f>
        <v/>
      </c>
      <c r="AD181" s="40" t="str">
        <f>IFERROR(IF(AC180=0,"",AD180/AC180-1),"")</f>
        <v/>
      </c>
      <c r="AE181" s="40" t="str">
        <f>IFERROR(IF(AD180=0,"",AE180/AD180-1),"")</f>
        <v/>
      </c>
      <c r="AF181" s="11" t="str">
        <f>IFERROR(IF(AE180=0,"",AF180/AE180-1),"")</f>
        <v/>
      </c>
      <c r="AG181" s="12" t="e">
        <f>IF(AF180=0,"",AG180/AF180-1)</f>
        <v>#VALUE!</v>
      </c>
      <c r="AH181" s="11" t="str">
        <f t="shared" ref="AH181:BF181" si="39">IFERROR(IF(AG180=0,"",AH180/AG180-1),"")</f>
        <v/>
      </c>
      <c r="AI181" s="11" t="str">
        <f t="shared" si="39"/>
        <v/>
      </c>
      <c r="AJ181" s="11" t="str">
        <f t="shared" si="39"/>
        <v/>
      </c>
      <c r="AK181" s="11" t="str">
        <f t="shared" si="39"/>
        <v/>
      </c>
      <c r="AL181" s="12" t="str">
        <f t="shared" si="39"/>
        <v/>
      </c>
      <c r="AM181" s="11" t="str">
        <f t="shared" si="39"/>
        <v/>
      </c>
      <c r="AN181" s="11" t="str">
        <f t="shared" si="39"/>
        <v/>
      </c>
      <c r="AO181" s="11" t="str">
        <f t="shared" si="39"/>
        <v/>
      </c>
      <c r="AP181" s="11" t="str">
        <f t="shared" si="39"/>
        <v/>
      </c>
      <c r="AQ181" s="12" t="str">
        <f t="shared" si="39"/>
        <v/>
      </c>
      <c r="AR181" s="11" t="str">
        <f t="shared" si="39"/>
        <v/>
      </c>
      <c r="AS181" s="11" t="str">
        <f t="shared" si="39"/>
        <v/>
      </c>
      <c r="AT181" s="11" t="str">
        <f t="shared" si="39"/>
        <v/>
      </c>
      <c r="AU181" s="11" t="str">
        <f t="shared" si="39"/>
        <v/>
      </c>
      <c r="AV181" s="12" t="str">
        <f t="shared" si="39"/>
        <v/>
      </c>
      <c r="AW181" s="11" t="str">
        <f t="shared" si="39"/>
        <v/>
      </c>
      <c r="AX181" s="11" t="str">
        <f t="shared" si="39"/>
        <v/>
      </c>
      <c r="AY181" s="11" t="str">
        <f t="shared" si="39"/>
        <v/>
      </c>
      <c r="AZ181" s="11" t="str">
        <f t="shared" si="39"/>
        <v/>
      </c>
      <c r="BA181" s="12" t="str">
        <f t="shared" si="39"/>
        <v/>
      </c>
      <c r="BB181" s="11" t="str">
        <f t="shared" si="39"/>
        <v/>
      </c>
      <c r="BC181" s="11" t="str">
        <f t="shared" si="39"/>
        <v/>
      </c>
      <c r="BD181" s="11" t="str">
        <f t="shared" si="39"/>
        <v/>
      </c>
      <c r="BE181" s="11" t="str">
        <f t="shared" si="39"/>
        <v/>
      </c>
      <c r="BF181" s="12" t="str">
        <f t="shared" si="39"/>
        <v/>
      </c>
      <c r="BG181" s="11"/>
      <c r="BH181" s="11"/>
      <c r="BI181" s="11"/>
      <c r="BJ181" s="11"/>
      <c r="BK181" s="12"/>
      <c r="BL181" s="11"/>
      <c r="BM181" s="11"/>
      <c r="BN181" s="11"/>
      <c r="BO181" s="11"/>
      <c r="BP181" s="12"/>
      <c r="BQ181" s="11"/>
      <c r="BR181" s="11"/>
      <c r="BS181" s="11"/>
      <c r="BT181" s="11"/>
      <c r="BU181" s="12"/>
      <c r="BV181" s="11"/>
      <c r="BW181" s="11"/>
      <c r="BX181" s="11"/>
      <c r="BY181" s="11"/>
      <c r="BZ181" s="12"/>
      <c r="CA181" s="11"/>
      <c r="CB181" s="11"/>
      <c r="CC181" s="11"/>
      <c r="CD181" s="11"/>
      <c r="CE181" s="12"/>
      <c r="CF181" s="11"/>
      <c r="CG181" s="11"/>
      <c r="CH181" s="11"/>
      <c r="CI181" s="11"/>
      <c r="CJ181" s="12"/>
      <c r="CK181" s="11"/>
      <c r="CL181" s="11"/>
      <c r="CM181" s="11"/>
      <c r="CN181" s="11"/>
      <c r="CO181" s="12"/>
      <c r="CP181" s="11"/>
      <c r="CQ181" s="11"/>
      <c r="CR181" s="11"/>
      <c r="CS181" s="11"/>
      <c r="CT181" s="12"/>
      <c r="CU181" s="11"/>
      <c r="CV181" s="11"/>
      <c r="CW181" s="11"/>
      <c r="CX181" s="11"/>
      <c r="CY181" s="12"/>
    </row>
    <row r="182" spans="3:103" hidden="1" outlineLevel="1" x14ac:dyDescent="0.2">
      <c r="C182" s="57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</row>
    <row r="183" spans="3:103" collapsed="1" x14ac:dyDescent="0.2">
      <c r="C183" s="14" t="s">
        <v>65</v>
      </c>
      <c r="D183" s="46"/>
      <c r="E183" s="46"/>
      <c r="F183" s="46"/>
      <c r="G183" s="46"/>
      <c r="H183" s="12"/>
      <c r="I183" s="46" t="str">
        <f>'Inputs (2)'!D35</f>
        <v/>
      </c>
      <c r="J183" s="46" t="str">
        <f>'Inputs (2)'!E35</f>
        <v/>
      </c>
      <c r="K183" s="46" t="str">
        <f>'Inputs (2)'!F35</f>
        <v/>
      </c>
      <c r="L183" s="46" t="str">
        <f>'Inputs (2)'!G35</f>
        <v/>
      </c>
      <c r="M183" s="12" t="str">
        <f>'Inputs (2)'!H35</f>
        <v/>
      </c>
      <c r="N183" s="46" t="str">
        <f>'Inputs (2)'!I35</f>
        <v/>
      </c>
      <c r="O183" s="46" t="str">
        <f>'Inputs (2)'!J35</f>
        <v/>
      </c>
      <c r="P183" s="46" t="str">
        <f>'Inputs (2)'!K35</f>
        <v/>
      </c>
      <c r="Q183" s="46" t="str">
        <f>'Inputs (2)'!L35</f>
        <v/>
      </c>
      <c r="R183" s="12" t="str">
        <f>'Inputs (2)'!M35</f>
        <v/>
      </c>
      <c r="S183" s="46" t="str">
        <f>'Inputs (2)'!N35</f>
        <v/>
      </c>
      <c r="T183" s="46" t="str">
        <f>'Inputs (2)'!O35</f>
        <v/>
      </c>
      <c r="U183" s="46" t="str">
        <f>'Inputs (2)'!P35</f>
        <v/>
      </c>
      <c r="V183" s="46" t="str">
        <f>'Inputs (2)'!Q35</f>
        <v/>
      </c>
      <c r="W183" s="12" t="str">
        <f>'Inputs (2)'!R35</f>
        <v/>
      </c>
      <c r="X183" s="46" t="str">
        <f>'Inputs (2)'!S35</f>
        <v/>
      </c>
      <c r="Y183" s="46" t="str">
        <f>'Inputs (2)'!T35</f>
        <v/>
      </c>
      <c r="Z183" s="46" t="str">
        <f>'Inputs (2)'!U35</f>
        <v/>
      </c>
      <c r="AA183" s="46" t="str">
        <f>'Inputs (2)'!V35</f>
        <v/>
      </c>
      <c r="AB183" s="12" t="str">
        <f>'Inputs (2)'!W35</f>
        <v/>
      </c>
      <c r="AC183" s="46" t="str">
        <f>'Inputs (2)'!X35</f>
        <v/>
      </c>
      <c r="AD183" s="46" t="str">
        <f>'Inputs (2)'!Y35</f>
        <v/>
      </c>
      <c r="AE183" s="46" t="str">
        <f>'Inputs (2)'!Z35</f>
        <v/>
      </c>
      <c r="AF183" s="46" t="str">
        <f>'Inputs (2)'!AA35</f>
        <v/>
      </c>
      <c r="AG183" s="12" t="str">
        <f>'Inputs (2)'!AB35</f>
        <v/>
      </c>
      <c r="AH183" s="12">
        <f>AH189</f>
        <v>0</v>
      </c>
      <c r="AI183" s="12">
        <f>AI189</f>
        <v>0</v>
      </c>
      <c r="AJ183" s="12">
        <f>AJ189</f>
        <v>0</v>
      </c>
      <c r="AK183" s="12">
        <f>AK189</f>
        <v>0</v>
      </c>
      <c r="AL183" s="12">
        <f>AK183</f>
        <v>0</v>
      </c>
      <c r="AM183" s="12">
        <f>AM189</f>
        <v>0</v>
      </c>
      <c r="AN183" s="12">
        <f>AN189</f>
        <v>0</v>
      </c>
      <c r="AO183" s="12">
        <f>AO189</f>
        <v>0</v>
      </c>
      <c r="AP183" s="12">
        <f>AP189</f>
        <v>0</v>
      </c>
      <c r="AQ183" s="12">
        <f>AP183</f>
        <v>0</v>
      </c>
      <c r="AR183" s="12">
        <f>AR189</f>
        <v>0</v>
      </c>
      <c r="AS183" s="12">
        <f>AS189</f>
        <v>0</v>
      </c>
      <c r="AT183" s="12">
        <f>AT189</f>
        <v>0</v>
      </c>
      <c r="AU183" s="12">
        <f>AU189</f>
        <v>0</v>
      </c>
      <c r="AV183" s="12">
        <f>AU183</f>
        <v>0</v>
      </c>
      <c r="AW183" s="12">
        <f>AW189</f>
        <v>0</v>
      </c>
      <c r="AX183" s="12">
        <f>AX189</f>
        <v>0</v>
      </c>
      <c r="AY183" s="12">
        <f>AY189</f>
        <v>0</v>
      </c>
      <c r="AZ183" s="12">
        <f>AZ189</f>
        <v>0</v>
      </c>
      <c r="BA183" s="12">
        <f>AZ183</f>
        <v>0</v>
      </c>
      <c r="BB183" s="12">
        <f>BB189</f>
        <v>0</v>
      </c>
      <c r="BC183" s="12">
        <f>BC189</f>
        <v>0</v>
      </c>
      <c r="BD183" s="12">
        <f>BD189</f>
        <v>0</v>
      </c>
      <c r="BE183" s="12">
        <f>BE189</f>
        <v>0</v>
      </c>
      <c r="BF183" s="12">
        <f>BE183</f>
        <v>0</v>
      </c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</row>
    <row r="184" spans="3:103" hidden="1" outlineLevel="1" x14ac:dyDescent="0.2">
      <c r="C184" s="57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</row>
    <row r="185" spans="3:103" hidden="1" outlineLevel="1" x14ac:dyDescent="0.2">
      <c r="C185" s="57" t="s">
        <v>159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 t="str">
        <f>AF178</f>
        <v/>
      </c>
      <c r="AI185" s="62"/>
      <c r="AJ185" s="62"/>
      <c r="AK185" s="62"/>
      <c r="AL185" s="12"/>
      <c r="AM185" s="12" t="str">
        <f>AK178</f>
        <v/>
      </c>
      <c r="AN185" s="62"/>
      <c r="AO185" s="62"/>
      <c r="AP185" s="62"/>
      <c r="AQ185" s="12"/>
      <c r="AR185" s="12" t="str">
        <f>AP178</f>
        <v/>
      </c>
      <c r="AS185" s="62"/>
      <c r="AT185" s="62"/>
      <c r="AU185" s="62"/>
      <c r="AV185" s="12"/>
      <c r="AW185" s="12" t="str">
        <f>AU178</f>
        <v/>
      </c>
      <c r="AX185" s="62"/>
      <c r="AY185" s="62"/>
      <c r="AZ185" s="62"/>
      <c r="BA185" s="12"/>
      <c r="BB185" s="12" t="str">
        <f>AZ178</f>
        <v/>
      </c>
      <c r="BC185" s="62"/>
      <c r="BD185" s="62"/>
      <c r="BE185" s="62"/>
      <c r="BF185" s="12"/>
      <c r="BG185" s="12"/>
      <c r="BH185" s="62"/>
      <c r="BI185" s="62"/>
      <c r="BJ185" s="62"/>
      <c r="BK185" s="12"/>
      <c r="BL185" s="12"/>
      <c r="BM185" s="62"/>
      <c r="BN185" s="62"/>
      <c r="BO185" s="62"/>
      <c r="BP185" s="12"/>
      <c r="BQ185" s="12"/>
      <c r="BR185" s="62"/>
      <c r="BS185" s="62"/>
      <c r="BT185" s="62"/>
      <c r="BU185" s="12"/>
      <c r="BV185" s="12"/>
      <c r="BW185" s="62"/>
      <c r="BX185" s="62"/>
      <c r="BY185" s="62"/>
      <c r="BZ185" s="12"/>
      <c r="CA185" s="12"/>
      <c r="CB185" s="62"/>
      <c r="CC185" s="62"/>
      <c r="CD185" s="62"/>
      <c r="CE185" s="12"/>
      <c r="CF185" s="12"/>
      <c r="CG185" s="62"/>
      <c r="CH185" s="62"/>
      <c r="CI185" s="62"/>
      <c r="CJ185" s="12"/>
      <c r="CK185" s="12"/>
      <c r="CL185" s="62"/>
      <c r="CM185" s="62"/>
      <c r="CN185" s="62"/>
      <c r="CO185" s="12"/>
      <c r="CP185" s="12"/>
      <c r="CQ185" s="62"/>
      <c r="CR185" s="62"/>
      <c r="CS185" s="62"/>
      <c r="CT185" s="12"/>
      <c r="CU185" s="12"/>
      <c r="CV185" s="62"/>
      <c r="CW185" s="62"/>
      <c r="CX185" s="62"/>
      <c r="CY185" s="12"/>
    </row>
    <row r="186" spans="3:103" hidden="1" outlineLevel="1" x14ac:dyDescent="0.2">
      <c r="C186" s="57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</row>
    <row r="187" spans="3:103" hidden="1" outlineLevel="1" x14ac:dyDescent="0.2">
      <c r="C187" s="57" t="s">
        <v>160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>
        <f>-AI185</f>
        <v>0</v>
      </c>
      <c r="AJ187" s="12">
        <f>-AJ185</f>
        <v>0</v>
      </c>
      <c r="AK187" s="12">
        <f>-AK185</f>
        <v>0</v>
      </c>
      <c r="AL187" s="12"/>
      <c r="AM187" s="12"/>
      <c r="AN187" s="12">
        <f>-AN185</f>
        <v>0</v>
      </c>
      <c r="AO187" s="12">
        <f>-AO185</f>
        <v>0</v>
      </c>
      <c r="AP187" s="12">
        <f>-AP185</f>
        <v>0</v>
      </c>
      <c r="AQ187" s="12"/>
      <c r="AR187" s="12"/>
      <c r="AS187" s="12">
        <f>-AS185</f>
        <v>0</v>
      </c>
      <c r="AT187" s="12">
        <f>-AT185</f>
        <v>0</v>
      </c>
      <c r="AU187" s="12">
        <f>-AU185</f>
        <v>0</v>
      </c>
      <c r="AV187" s="12"/>
      <c r="AW187" s="12"/>
      <c r="AX187" s="12">
        <f>-AX185</f>
        <v>0</v>
      </c>
      <c r="AY187" s="12">
        <f>-AY185</f>
        <v>0</v>
      </c>
      <c r="AZ187" s="12">
        <f>-AZ185</f>
        <v>0</v>
      </c>
      <c r="BA187" s="12"/>
      <c r="BB187" s="12"/>
      <c r="BC187" s="12">
        <f>-BC185</f>
        <v>0</v>
      </c>
      <c r="BD187" s="12">
        <f>-BD185</f>
        <v>0</v>
      </c>
      <c r="BE187" s="12">
        <f>-BE185</f>
        <v>0</v>
      </c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</row>
    <row r="188" spans="3:103" hidden="1" outlineLevel="1" x14ac:dyDescent="0.2">
      <c r="C188" s="57" t="s">
        <v>161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62"/>
      <c r="AI188" s="62"/>
      <c r="AJ188" s="62"/>
      <c r="AK188" s="62"/>
      <c r="AL188" s="12"/>
      <c r="AM188" s="62"/>
      <c r="AN188" s="62"/>
      <c r="AO188" s="62"/>
      <c r="AP188" s="62"/>
      <c r="AQ188" s="12"/>
      <c r="AR188" s="62"/>
      <c r="AS188" s="62"/>
      <c r="AT188" s="62"/>
      <c r="AU188" s="62"/>
      <c r="AV188" s="12"/>
      <c r="AW188" s="62"/>
      <c r="AX188" s="62"/>
      <c r="AY188" s="62"/>
      <c r="AZ188" s="62"/>
      <c r="BA188" s="12"/>
      <c r="BB188" s="62"/>
      <c r="BC188" s="62"/>
      <c r="BD188" s="62"/>
      <c r="BE188" s="62"/>
      <c r="BF188" s="12"/>
      <c r="BG188" s="62"/>
      <c r="BH188" s="62"/>
      <c r="BI188" s="62"/>
      <c r="BJ188" s="62"/>
      <c r="BK188" s="12"/>
      <c r="BL188" s="62"/>
      <c r="BM188" s="62"/>
      <c r="BN188" s="62"/>
      <c r="BO188" s="62"/>
      <c r="BP188" s="12"/>
      <c r="BQ188" s="62"/>
      <c r="BR188" s="62"/>
      <c r="BS188" s="62"/>
      <c r="BT188" s="62"/>
      <c r="BU188" s="12"/>
      <c r="BV188" s="62"/>
      <c r="BW188" s="62"/>
      <c r="BX188" s="62"/>
      <c r="BY188" s="62"/>
      <c r="BZ188" s="12"/>
      <c r="CA188" s="62"/>
      <c r="CB188" s="62"/>
      <c r="CC188" s="62"/>
      <c r="CD188" s="62"/>
      <c r="CE188" s="12"/>
      <c r="CF188" s="62"/>
      <c r="CG188" s="62"/>
      <c r="CH188" s="62"/>
      <c r="CI188" s="62"/>
      <c r="CJ188" s="12"/>
      <c r="CK188" s="62"/>
      <c r="CL188" s="62"/>
      <c r="CM188" s="62"/>
      <c r="CN188" s="62"/>
      <c r="CO188" s="12"/>
      <c r="CP188" s="62"/>
      <c r="CQ188" s="62"/>
      <c r="CR188" s="62"/>
      <c r="CS188" s="62"/>
      <c r="CT188" s="12"/>
      <c r="CU188" s="62"/>
      <c r="CV188" s="62"/>
      <c r="CW188" s="62"/>
      <c r="CX188" s="62"/>
      <c r="CY188" s="12"/>
    </row>
    <row r="189" spans="3:103" hidden="1" outlineLevel="1" x14ac:dyDescent="0.2">
      <c r="C189" s="57" t="s">
        <v>65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>
        <f>AG189+SUM(AH187:AH188)</f>
        <v>0</v>
      </c>
      <c r="AI189" s="12">
        <v>0</v>
      </c>
      <c r="AJ189" s="12">
        <v>0</v>
      </c>
      <c r="AK189" s="12">
        <v>0</v>
      </c>
      <c r="AL189" s="12"/>
      <c r="AM189" s="12">
        <f>AK189+SUM(AM187:AM188)</f>
        <v>0</v>
      </c>
      <c r="AN189" s="12">
        <v>0</v>
      </c>
      <c r="AO189" s="12">
        <v>0</v>
      </c>
      <c r="AP189" s="12">
        <v>0</v>
      </c>
      <c r="AQ189" s="12"/>
      <c r="AR189" s="12">
        <f>AP189+SUM(AR187:AR188)</f>
        <v>0</v>
      </c>
      <c r="AS189" s="12">
        <v>0</v>
      </c>
      <c r="AT189" s="12">
        <v>0</v>
      </c>
      <c r="AU189" s="12">
        <v>0</v>
      </c>
      <c r="AV189" s="12"/>
      <c r="AW189" s="12">
        <f>AU189+SUM(AW187:AW188)</f>
        <v>0</v>
      </c>
      <c r="AX189" s="12">
        <v>0</v>
      </c>
      <c r="AY189" s="12">
        <v>0</v>
      </c>
      <c r="AZ189" s="12">
        <v>0</v>
      </c>
      <c r="BA189" s="12"/>
      <c r="BB189" s="12">
        <f>AZ189+SUM(BB187:BB188)</f>
        <v>0</v>
      </c>
      <c r="BC189" s="12">
        <v>0</v>
      </c>
      <c r="BD189" s="12">
        <v>0</v>
      </c>
      <c r="BE189" s="12">
        <v>0</v>
      </c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</row>
    <row r="190" spans="3:103" hidden="1" outlineLevel="1" x14ac:dyDescent="0.2">
      <c r="C190" s="57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</row>
    <row r="191" spans="3:103" hidden="1" outlineLevel="1" x14ac:dyDescent="0.2">
      <c r="C191" s="57" t="s">
        <v>162</v>
      </c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62"/>
      <c r="AI191" s="62"/>
      <c r="AJ191" s="62"/>
      <c r="AK191" s="62"/>
      <c r="AL191" s="12"/>
      <c r="AM191" s="62"/>
      <c r="AN191" s="62"/>
      <c r="AO191" s="62"/>
      <c r="AP191" s="62"/>
      <c r="AQ191" s="12"/>
      <c r="AR191" s="62"/>
      <c r="AS191" s="62"/>
      <c r="AT191" s="62"/>
      <c r="AU191" s="62"/>
      <c r="AV191" s="12"/>
      <c r="AW191" s="62"/>
      <c r="AX191" s="62"/>
      <c r="AY191" s="62"/>
      <c r="AZ191" s="62"/>
      <c r="BA191" s="12"/>
      <c r="BB191" s="62"/>
      <c r="BC191" s="62"/>
      <c r="BD191" s="62"/>
      <c r="BE191" s="62"/>
      <c r="BF191" s="12"/>
      <c r="BG191" s="62"/>
      <c r="BH191" s="62"/>
      <c r="BI191" s="62"/>
      <c r="BJ191" s="62"/>
      <c r="BK191" s="12"/>
      <c r="BL191" s="62"/>
      <c r="BM191" s="62"/>
      <c r="BN191" s="62"/>
      <c r="BO191" s="62"/>
      <c r="BP191" s="12"/>
      <c r="BQ191" s="62"/>
      <c r="BR191" s="62"/>
      <c r="BS191" s="62"/>
      <c r="BT191" s="62"/>
      <c r="BU191" s="12"/>
      <c r="BV191" s="62"/>
      <c r="BW191" s="62"/>
      <c r="BX191" s="62"/>
      <c r="BY191" s="62"/>
      <c r="BZ191" s="12"/>
      <c r="CA191" s="62"/>
      <c r="CB191" s="62"/>
      <c r="CC191" s="62"/>
      <c r="CD191" s="62"/>
      <c r="CE191" s="12"/>
      <c r="CF191" s="62"/>
      <c r="CG191" s="62"/>
      <c r="CH191" s="62"/>
      <c r="CI191" s="62"/>
      <c r="CJ191" s="12"/>
      <c r="CK191" s="62"/>
      <c r="CL191" s="62"/>
      <c r="CM191" s="62"/>
      <c r="CN191" s="62"/>
      <c r="CO191" s="12"/>
      <c r="CP191" s="62"/>
      <c r="CQ191" s="62"/>
      <c r="CR191" s="62"/>
      <c r="CS191" s="62"/>
      <c r="CT191" s="12"/>
      <c r="CU191" s="62"/>
      <c r="CV191" s="62"/>
      <c r="CW191" s="62"/>
      <c r="CX191" s="62"/>
      <c r="CY191" s="12"/>
    </row>
    <row r="192" spans="3:103" hidden="1" outlineLevel="1" x14ac:dyDescent="0.2">
      <c r="C192" s="57" t="s">
        <v>67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 t="str">
        <f>AH204</f>
        <v/>
      </c>
      <c r="AI192" s="12" t="e">
        <f>AH192+SUM(AI191)</f>
        <v>#VALUE!</v>
      </c>
      <c r="AJ192" s="12" t="e">
        <f>AI192+SUM(AJ191)</f>
        <v>#VALUE!</v>
      </c>
      <c r="AK192" s="12" t="e">
        <f>AJ192+SUM(AK191)</f>
        <v>#VALUE!</v>
      </c>
      <c r="AL192" s="12"/>
      <c r="AM192" s="12" t="str">
        <f>AM204</f>
        <v/>
      </c>
      <c r="AN192" s="12" t="e">
        <f>AM192+SUM(AN191)</f>
        <v>#VALUE!</v>
      </c>
      <c r="AO192" s="12" t="e">
        <f>AN192+SUM(AO191)</f>
        <v>#VALUE!</v>
      </c>
      <c r="AP192" s="12" t="e">
        <f>AO192+SUM(AP191)</f>
        <v>#VALUE!</v>
      </c>
      <c r="AQ192" s="12"/>
      <c r="AR192" s="12" t="str">
        <f>AR204</f>
        <v/>
      </c>
      <c r="AS192" s="12" t="e">
        <f>AR192+SUM(AS191)</f>
        <v>#VALUE!</v>
      </c>
      <c r="AT192" s="12" t="e">
        <f>AS192+SUM(AT191)</f>
        <v>#VALUE!</v>
      </c>
      <c r="AU192" s="12" t="e">
        <f>AT192+SUM(AU191)</f>
        <v>#VALUE!</v>
      </c>
      <c r="AV192" s="12"/>
      <c r="AW192" s="12" t="str">
        <f>AW204</f>
        <v/>
      </c>
      <c r="AX192" s="12" t="e">
        <f>AW192+SUM(AX191)</f>
        <v>#VALUE!</v>
      </c>
      <c r="AY192" s="12" t="e">
        <f>AX192+SUM(AY191)</f>
        <v>#VALUE!</v>
      </c>
      <c r="AZ192" s="12" t="e">
        <f>AY192+SUM(AZ191)</f>
        <v>#VALUE!</v>
      </c>
      <c r="BA192" s="12"/>
      <c r="BB192" s="12" t="str">
        <f>BB204</f>
        <v/>
      </c>
      <c r="BC192" s="12" t="e">
        <f>BB192+SUM(BC191)</f>
        <v>#VALUE!</v>
      </c>
      <c r="BD192" s="12" t="e">
        <f>BC192+SUM(BD191)</f>
        <v>#VALUE!</v>
      </c>
      <c r="BE192" s="12" t="e">
        <f>BD192+SUM(BE191)</f>
        <v>#VALUE!</v>
      </c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</row>
    <row r="193" spans="3:103" hidden="1" outlineLevel="1" x14ac:dyDescent="0.2">
      <c r="C193" s="57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I193" s="12"/>
      <c r="AJ193" s="12"/>
      <c r="AK193" s="12"/>
      <c r="AL193" s="12"/>
      <c r="AN193" s="12"/>
      <c r="AO193" s="12"/>
      <c r="AP193" s="12"/>
      <c r="AQ193" s="12"/>
      <c r="AS193" s="12"/>
      <c r="AT193" s="12"/>
      <c r="AU193" s="12"/>
      <c r="AV193" s="12"/>
      <c r="AX193" s="12"/>
      <c r="AY193" s="12"/>
      <c r="AZ193" s="12"/>
      <c r="BA193" s="12"/>
      <c r="BC193" s="12"/>
      <c r="BD193" s="12"/>
      <c r="BE193" s="12"/>
      <c r="BF193" s="12"/>
      <c r="BH193" s="12"/>
      <c r="BI193" s="12"/>
      <c r="BJ193" s="12"/>
      <c r="BK193" s="12"/>
      <c r="BM193" s="12"/>
      <c r="BN193" s="12"/>
      <c r="BO193" s="12"/>
      <c r="BP193" s="12"/>
      <c r="BR193" s="12"/>
      <c r="BS193" s="12"/>
      <c r="BT193" s="12"/>
      <c r="BU193" s="12"/>
      <c r="BW193" s="12"/>
      <c r="BX193" s="12"/>
      <c r="BY193" s="12"/>
      <c r="BZ193" s="12"/>
      <c r="CB193" s="12"/>
      <c r="CC193" s="12"/>
      <c r="CD193" s="12"/>
      <c r="CE193" s="12"/>
      <c r="CG193" s="12"/>
      <c r="CH193" s="12"/>
      <c r="CI193" s="12"/>
      <c r="CJ193" s="12"/>
      <c r="CL193" s="12"/>
      <c r="CM193" s="12"/>
      <c r="CN193" s="12"/>
      <c r="CO193" s="12"/>
      <c r="CQ193" s="12"/>
      <c r="CR193" s="12"/>
      <c r="CS193" s="12"/>
      <c r="CT193" s="12"/>
      <c r="CV193" s="12"/>
      <c r="CW193" s="12"/>
      <c r="CX193" s="12"/>
      <c r="CY193" s="12"/>
    </row>
    <row r="194" spans="3:103" hidden="1" outlineLevel="1" x14ac:dyDescent="0.2">
      <c r="C194" s="57" t="s">
        <v>163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</row>
    <row r="195" spans="3:103" hidden="1" outlineLevel="1" x14ac:dyDescent="0.2">
      <c r="C195" s="57" t="s">
        <v>164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63" t="str">
        <f>AG110</f>
        <v/>
      </c>
      <c r="AI195" s="12"/>
      <c r="AJ195" s="12"/>
      <c r="AK195" s="12"/>
      <c r="AL195" s="12"/>
      <c r="AM195" s="63" t="e">
        <f>AL110</f>
        <v>#VALUE!</v>
      </c>
      <c r="AN195" s="12"/>
      <c r="AO195" s="12"/>
      <c r="AP195" s="12"/>
      <c r="AQ195" s="12"/>
      <c r="AR195" s="63" t="e">
        <f>AQ110</f>
        <v>#VALUE!</v>
      </c>
      <c r="AS195" s="12"/>
      <c r="AT195" s="12"/>
      <c r="AU195" s="12"/>
      <c r="AV195" s="12"/>
      <c r="AW195" s="63" t="e">
        <f>AV110</f>
        <v>#VALUE!</v>
      </c>
      <c r="AX195" s="12"/>
      <c r="AY195" s="12"/>
      <c r="AZ195" s="12"/>
      <c r="BA195" s="12"/>
      <c r="BB195" s="63" t="e">
        <f>BA110</f>
        <v>#VALUE!</v>
      </c>
      <c r="BC195" s="12"/>
      <c r="BD195" s="12"/>
      <c r="BE195" s="12"/>
      <c r="BF195" s="12"/>
      <c r="BG195" s="63"/>
      <c r="BH195" s="12"/>
      <c r="BI195" s="12"/>
      <c r="BJ195" s="12"/>
      <c r="BK195" s="12"/>
      <c r="BL195" s="63"/>
      <c r="BM195" s="12"/>
      <c r="BN195" s="12"/>
      <c r="BO195" s="12"/>
      <c r="BP195" s="12"/>
      <c r="BQ195" s="63"/>
      <c r="BR195" s="12"/>
      <c r="BS195" s="12"/>
      <c r="BT195" s="12"/>
      <c r="BU195" s="12"/>
      <c r="BV195" s="63"/>
      <c r="BW195" s="12"/>
      <c r="BX195" s="12"/>
      <c r="BY195" s="12"/>
      <c r="BZ195" s="12"/>
      <c r="CA195" s="63"/>
      <c r="CB195" s="12"/>
      <c r="CC195" s="12"/>
      <c r="CD195" s="12"/>
      <c r="CE195" s="12"/>
      <c r="CF195" s="63"/>
      <c r="CG195" s="12"/>
      <c r="CH195" s="12"/>
      <c r="CI195" s="12"/>
      <c r="CJ195" s="12"/>
      <c r="CK195" s="63"/>
      <c r="CL195" s="12"/>
      <c r="CM195" s="12"/>
      <c r="CN195" s="12"/>
      <c r="CO195" s="12"/>
      <c r="CP195" s="63"/>
      <c r="CQ195" s="12"/>
      <c r="CR195" s="12"/>
      <c r="CS195" s="12"/>
      <c r="CT195" s="12"/>
      <c r="CU195" s="63"/>
      <c r="CV195" s="12"/>
      <c r="CW195" s="12"/>
      <c r="CX195" s="12"/>
      <c r="CY195" s="12"/>
    </row>
    <row r="196" spans="3:103" hidden="1" outlineLevel="1" x14ac:dyDescent="0.2">
      <c r="C196" s="57" t="s">
        <v>165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 t="s">
        <v>166</v>
      </c>
      <c r="AH196" s="64" t="e">
        <f>(AH258,AH265)+SUM(AH268:AH274)</f>
        <v>#VALUE!</v>
      </c>
      <c r="AI196" s="64" t="e">
        <f>(AI258,AI265)+SUM(AI268:AI274)</f>
        <v>#VALUE!</v>
      </c>
      <c r="AJ196" s="64" t="e">
        <f>(AJ258,AJ265)+SUM(AJ268:AJ274)</f>
        <v>#VALUE!</v>
      </c>
      <c r="AK196" s="64" t="e">
        <f>(AK258,AK265)+SUM(AK268:AK274)</f>
        <v>#VALUE!</v>
      </c>
      <c r="AL196" s="12"/>
      <c r="AM196" s="64" t="e">
        <f>(AM258,AM265)+SUM(AM268:AM274)</f>
        <v>#VALUE!</v>
      </c>
      <c r="AN196" s="64" t="e">
        <f>(AN258,AN265)+SUM(AN268:AN274)</f>
        <v>#VALUE!</v>
      </c>
      <c r="AO196" s="64" t="e">
        <f>(AO258,AO265)+SUM(AO268:AO274)</f>
        <v>#VALUE!</v>
      </c>
      <c r="AP196" s="64" t="e">
        <f>(AP258,AP265)+SUM(AP268:AP274)</f>
        <v>#VALUE!</v>
      </c>
      <c r="AQ196" s="12"/>
      <c r="AR196" s="64" t="e">
        <f>(AR258,AR265)+SUM(AR268:AR274)</f>
        <v>#VALUE!</v>
      </c>
      <c r="AS196" s="64" t="e">
        <f>(AS258,AS265)+SUM(AS268:AS274)</f>
        <v>#VALUE!</v>
      </c>
      <c r="AT196" s="64" t="e">
        <f>(AT258,AT265)+SUM(AT268:AT274)</f>
        <v>#VALUE!</v>
      </c>
      <c r="AU196" s="64" t="e">
        <f>(AU258,AU265)+SUM(AU268:AU274)</f>
        <v>#VALUE!</v>
      </c>
      <c r="AV196" s="12"/>
      <c r="AW196" s="64" t="e">
        <f>(AW258,AW265)+SUM(AW268:AW274)</f>
        <v>#VALUE!</v>
      </c>
      <c r="AX196" s="64" t="e">
        <f>(AX258,AX265)+SUM(AX268:AX274)</f>
        <v>#VALUE!</v>
      </c>
      <c r="AY196" s="64" t="e">
        <f>(AY258,AY265)+SUM(AY268:AY274)</f>
        <v>#VALUE!</v>
      </c>
      <c r="AZ196" s="64" t="e">
        <f>(AZ258,AZ265)+SUM(AZ268:AZ274)</f>
        <v>#VALUE!</v>
      </c>
      <c r="BA196" s="12"/>
      <c r="BB196" s="64" t="e">
        <f>(BB258,BB265)+SUM(BB268:BB274)</f>
        <v>#VALUE!</v>
      </c>
      <c r="BC196" s="64" t="e">
        <f>(BC258,BC265)+SUM(BC268:BC274)</f>
        <v>#VALUE!</v>
      </c>
      <c r="BD196" s="64" t="e">
        <f>(BD258,BD265)+SUM(BD268:BD274)</f>
        <v>#VALUE!</v>
      </c>
      <c r="BE196" s="64" t="e">
        <f>(BE258,BE265)+SUM(BE268:BE274)</f>
        <v>#VALUE!</v>
      </c>
      <c r="BF196" s="12"/>
      <c r="BG196" s="64"/>
      <c r="BH196" s="64"/>
      <c r="BI196" s="64"/>
      <c r="BJ196" s="64"/>
      <c r="BK196" s="12"/>
      <c r="BL196" s="64"/>
      <c r="BM196" s="64"/>
      <c r="BN196" s="64"/>
      <c r="BO196" s="64"/>
      <c r="BP196" s="12"/>
      <c r="BQ196" s="64"/>
      <c r="BR196" s="64"/>
      <c r="BS196" s="64"/>
      <c r="BT196" s="64"/>
      <c r="BU196" s="12"/>
      <c r="BV196" s="64"/>
      <c r="BW196" s="64"/>
      <c r="BX196" s="64"/>
      <c r="BY196" s="64"/>
      <c r="BZ196" s="12"/>
      <c r="CA196" s="64"/>
      <c r="CB196" s="64"/>
      <c r="CC196" s="64"/>
      <c r="CD196" s="64"/>
      <c r="CE196" s="12"/>
      <c r="CF196" s="64"/>
      <c r="CG196" s="64"/>
      <c r="CH196" s="64"/>
      <c r="CI196" s="64"/>
      <c r="CJ196" s="12"/>
      <c r="CK196" s="64"/>
      <c r="CL196" s="64"/>
      <c r="CM196" s="64"/>
      <c r="CN196" s="64"/>
      <c r="CO196" s="12"/>
      <c r="CP196" s="64"/>
      <c r="CQ196" s="64"/>
      <c r="CR196" s="64"/>
      <c r="CS196" s="64"/>
      <c r="CT196" s="12"/>
      <c r="CU196" s="64"/>
      <c r="CV196" s="64"/>
      <c r="CW196" s="64"/>
      <c r="CX196" s="64"/>
      <c r="CY196" s="12"/>
    </row>
    <row r="197" spans="3:103" hidden="1" outlineLevel="1" x14ac:dyDescent="0.2">
      <c r="C197" s="57" t="s">
        <v>167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52"/>
      <c r="AH197" s="12" t="e">
        <f>($AG$197*AH15)</f>
        <v>#VALUE!</v>
      </c>
      <c r="AI197" s="12" t="e">
        <f>($AG$197*AI15)</f>
        <v>#VALUE!</v>
      </c>
      <c r="AJ197" s="12" t="e">
        <f>($AG$197*AJ15)</f>
        <v>#VALUE!</v>
      </c>
      <c r="AK197" s="12" t="e">
        <f>($AG$197*AK15)</f>
        <v>#VALUE!</v>
      </c>
      <c r="AL197" s="12"/>
      <c r="AM197" s="12" t="e">
        <f>($AG$197*AM15)</f>
        <v>#VALUE!</v>
      </c>
      <c r="AN197" s="12" t="e">
        <f>($AG$197*AN15)</f>
        <v>#VALUE!</v>
      </c>
      <c r="AO197" s="12" t="e">
        <f>($AG$197*AO15)</f>
        <v>#VALUE!</v>
      </c>
      <c r="AP197" s="12" t="e">
        <f>($AG$197*AP15)</f>
        <v>#VALUE!</v>
      </c>
      <c r="AQ197" s="12"/>
      <c r="AR197" s="12" t="e">
        <f>($AG$197*AR15)</f>
        <v>#VALUE!</v>
      </c>
      <c r="AS197" s="12" t="e">
        <f>($AG$197*AS15)</f>
        <v>#VALUE!</v>
      </c>
      <c r="AT197" s="12" t="e">
        <f>($AG$197*AT15)</f>
        <v>#VALUE!</v>
      </c>
      <c r="AU197" s="12" t="e">
        <f>($AG$197*AU15)</f>
        <v>#VALUE!</v>
      </c>
      <c r="AV197" s="12"/>
      <c r="AW197" s="12" t="e">
        <f>($AG$197*AW15)</f>
        <v>#VALUE!</v>
      </c>
      <c r="AX197" s="12" t="e">
        <f>($AG$197*AX15)</f>
        <v>#VALUE!</v>
      </c>
      <c r="AY197" s="12" t="e">
        <f>($AG$197*AY15)</f>
        <v>#VALUE!</v>
      </c>
      <c r="AZ197" s="12" t="e">
        <f>($AG$197*AZ15)</f>
        <v>#VALUE!</v>
      </c>
      <c r="BA197" s="12"/>
      <c r="BB197" s="12" t="e">
        <f>($AG$197*BB15)</f>
        <v>#VALUE!</v>
      </c>
      <c r="BC197" s="12" t="e">
        <f>($AG$197*BC15)</f>
        <v>#VALUE!</v>
      </c>
      <c r="BD197" s="12" t="e">
        <f>($AG$197*BD15)</f>
        <v>#VALUE!</v>
      </c>
      <c r="BE197" s="12" t="e">
        <f>($AG$197*BE15)</f>
        <v>#VALUE!</v>
      </c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</row>
    <row r="198" spans="3:103" hidden="1" outlineLevel="1" x14ac:dyDescent="0.2">
      <c r="C198" s="57" t="s">
        <v>168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3" t="e">
        <f>AH195+AH196-AH197-AF185+AH187+AH191</f>
        <v>#VALUE!</v>
      </c>
      <c r="AI198" s="3" t="e">
        <f>AI195+AI196-AI197-AG185+AI187+AI191</f>
        <v>#VALUE!</v>
      </c>
      <c r="AJ198" s="3" t="e">
        <f>AJ195+AJ196-AJ197-AH185+AJ187+AJ191</f>
        <v>#VALUE!</v>
      </c>
      <c r="AK198" s="3" t="e">
        <f>AK195+AK196-AK197-AI185+AK187+AK191</f>
        <v>#VALUE!</v>
      </c>
      <c r="AL198" s="12"/>
      <c r="AM198" s="3" t="e">
        <f>AM195+AM196-AM197-AK185+AM187+AM191</f>
        <v>#VALUE!</v>
      </c>
      <c r="AN198" s="3" t="e">
        <f>AN195+AN196-AN197-AL185+AN187+AN191</f>
        <v>#VALUE!</v>
      </c>
      <c r="AO198" s="3" t="e">
        <f>AO195+AO196-AO197-AM185+AO187+AO191</f>
        <v>#VALUE!</v>
      </c>
      <c r="AP198" s="3" t="e">
        <f>AP195+AP196-AP197-AN185+AP187+AP191</f>
        <v>#VALUE!</v>
      </c>
      <c r="AQ198" s="12"/>
      <c r="AR198" s="3" t="e">
        <f>AR195+AR196-AR197-AP185+AR187+AR191</f>
        <v>#VALUE!</v>
      </c>
      <c r="AS198" s="3" t="e">
        <f>AS195+AS196-AS197-AQ185+AS187+AS191</f>
        <v>#VALUE!</v>
      </c>
      <c r="AT198" s="3" t="e">
        <f>AT195+AT196-AT197-AR185+AT187+AT191</f>
        <v>#VALUE!</v>
      </c>
      <c r="AU198" s="3" t="e">
        <f>AU195+AU196-AU197-AS185+AU187+AU191</f>
        <v>#VALUE!</v>
      </c>
      <c r="AV198" s="12"/>
      <c r="AW198" s="3" t="e">
        <f>AW195+AW196-AW197-AU185+AW187+AW191</f>
        <v>#VALUE!</v>
      </c>
      <c r="AX198" s="3" t="e">
        <f>AX195+AX196-AX197-AV185+AX187+AX191</f>
        <v>#VALUE!</v>
      </c>
      <c r="AY198" s="3" t="e">
        <f>AY195+AY196-AY197-AW185+AY187+AY191</f>
        <v>#VALUE!</v>
      </c>
      <c r="AZ198" s="3" t="e">
        <f>AZ195+AZ196-AZ197-AX185+AZ187+AZ191</f>
        <v>#VALUE!</v>
      </c>
      <c r="BA198" s="12"/>
      <c r="BB198" s="3" t="e">
        <f>BB195+BB196-BB197-AZ185+BB187+BB191</f>
        <v>#VALUE!</v>
      </c>
      <c r="BC198" s="3" t="e">
        <f>BC195+BC196-BC197-BA185+BC187+BC191</f>
        <v>#VALUE!</v>
      </c>
      <c r="BD198" s="3" t="e">
        <f>BD195+BD196-BD197-BB185+BD187+BD191</f>
        <v>#VALUE!</v>
      </c>
      <c r="BE198" s="3" t="e">
        <f>BE195+BE196-BE197-BC185+BE187+BE191</f>
        <v>#VALUE!</v>
      </c>
      <c r="BF198" s="12"/>
      <c r="BG198" s="3"/>
      <c r="BH198" s="3"/>
      <c r="BI198" s="3"/>
      <c r="BJ198" s="3"/>
      <c r="BK198" s="12"/>
      <c r="BL198" s="3"/>
      <c r="BM198" s="3"/>
      <c r="BN198" s="3"/>
      <c r="BO198" s="3"/>
      <c r="BP198" s="12"/>
      <c r="BQ198" s="3"/>
      <c r="BR198" s="3"/>
      <c r="BS198" s="3"/>
      <c r="BT198" s="3"/>
      <c r="BU198" s="12"/>
      <c r="BV198" s="3"/>
      <c r="BW198" s="3"/>
      <c r="BX198" s="3"/>
      <c r="BY198" s="3"/>
      <c r="BZ198" s="12"/>
      <c r="CA198" s="3"/>
      <c r="CB198" s="3"/>
      <c r="CC198" s="3"/>
      <c r="CD198" s="3"/>
      <c r="CE198" s="12"/>
      <c r="CF198" s="3"/>
      <c r="CG198" s="3"/>
      <c r="CH198" s="3"/>
      <c r="CI198" s="3"/>
      <c r="CJ198" s="12"/>
      <c r="CK198" s="3"/>
      <c r="CL198" s="3"/>
      <c r="CM198" s="3"/>
      <c r="CN198" s="3"/>
      <c r="CO198" s="12"/>
      <c r="CP198" s="3"/>
      <c r="CQ198" s="3"/>
      <c r="CR198" s="3"/>
      <c r="CS198" s="3"/>
      <c r="CT198" s="12"/>
      <c r="CU198" s="3"/>
      <c r="CV198" s="3"/>
      <c r="CW198" s="3"/>
      <c r="CX198" s="3"/>
      <c r="CY198" s="12"/>
    </row>
    <row r="199" spans="3:103" hidden="1" outlineLevel="1" x14ac:dyDescent="0.2">
      <c r="C199" s="57" t="s">
        <v>169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 t="str">
        <f>AH179</f>
        <v/>
      </c>
      <c r="AI199" s="12" t="e">
        <f>MAX(0,AH199-AI198)</f>
        <v>#VALUE!</v>
      </c>
      <c r="AJ199" s="12" t="e">
        <f>MAX(0,AI199-AJ198)</f>
        <v>#VALUE!</v>
      </c>
      <c r="AK199" s="12" t="e">
        <f>MAX(0,AJ199-AK198)</f>
        <v>#VALUE!</v>
      </c>
      <c r="AL199" s="12"/>
      <c r="AM199" s="12" t="str">
        <f>AM179</f>
        <v/>
      </c>
      <c r="AN199" s="12" t="e">
        <f>MAX(0,AM199-AN198)</f>
        <v>#VALUE!</v>
      </c>
      <c r="AO199" s="12" t="e">
        <f>MAX(0,AN199-AO198)</f>
        <v>#VALUE!</v>
      </c>
      <c r="AP199" s="12" t="e">
        <f>MAX(0,AO199-AP198)</f>
        <v>#VALUE!</v>
      </c>
      <c r="AQ199" s="12"/>
      <c r="AR199" s="12" t="str">
        <f>AR179</f>
        <v/>
      </c>
      <c r="AS199" s="12" t="e">
        <f>MAX(0,AR199-AS198)</f>
        <v>#VALUE!</v>
      </c>
      <c r="AT199" s="12" t="e">
        <f>MAX(0,AS199-AT198)</f>
        <v>#VALUE!</v>
      </c>
      <c r="AU199" s="12" t="e">
        <f>MAX(0,AT199-AU198)</f>
        <v>#VALUE!</v>
      </c>
      <c r="AV199" s="12"/>
      <c r="AW199" s="12" t="str">
        <f>AW179</f>
        <v/>
      </c>
      <c r="AX199" s="12" t="e">
        <f>MAX(0,AW199-AX198)</f>
        <v>#VALUE!</v>
      </c>
      <c r="AY199" s="12" t="e">
        <f>MAX(0,AX199-AY198)</f>
        <v>#VALUE!</v>
      </c>
      <c r="AZ199" s="12" t="e">
        <f>MAX(0,AY199-AZ198)</f>
        <v>#VALUE!</v>
      </c>
      <c r="BA199" s="12"/>
      <c r="BB199" s="12" t="str">
        <f>BB179</f>
        <v/>
      </c>
      <c r="BC199" s="12" t="e">
        <f>MAX(0,BB199-BC198)</f>
        <v>#VALUE!</v>
      </c>
      <c r="BD199" s="12" t="e">
        <f>MAX(0,BC199-BD198)</f>
        <v>#VALUE!</v>
      </c>
      <c r="BE199" s="12" t="e">
        <f>MAX(0,BD199-BE198)</f>
        <v>#VALUE!</v>
      </c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</row>
    <row r="200" spans="3:103" hidden="1" outlineLevel="1" x14ac:dyDescent="0.2">
      <c r="C200" s="57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</row>
    <row r="201" spans="3:103" collapsed="1" x14ac:dyDescent="0.2">
      <c r="C201" s="14" t="s">
        <v>66</v>
      </c>
      <c r="D201" s="46"/>
      <c r="E201" s="46"/>
      <c r="F201" s="46"/>
      <c r="G201" s="46"/>
      <c r="H201" s="12"/>
      <c r="I201" s="46" t="str">
        <f>'Inputs (2)'!D36</f>
        <v/>
      </c>
      <c r="J201" s="46" t="str">
        <f>'Inputs (2)'!E36</f>
        <v/>
      </c>
      <c r="K201" s="46" t="str">
        <f>'Inputs (2)'!F36</f>
        <v/>
      </c>
      <c r="L201" s="46" t="str">
        <f>'Inputs (2)'!G36</f>
        <v/>
      </c>
      <c r="M201" s="12" t="str">
        <f>'Inputs (2)'!H36</f>
        <v/>
      </c>
      <c r="N201" s="46" t="str">
        <f>'Inputs (2)'!I36</f>
        <v/>
      </c>
      <c r="O201" s="46" t="str">
        <f>'Inputs (2)'!J36</f>
        <v/>
      </c>
      <c r="P201" s="46" t="str">
        <f>'Inputs (2)'!K36</f>
        <v/>
      </c>
      <c r="Q201" s="46" t="str">
        <f>'Inputs (2)'!L36</f>
        <v/>
      </c>
      <c r="R201" s="12" t="str">
        <f>'Inputs (2)'!M36</f>
        <v/>
      </c>
      <c r="S201" s="46" t="str">
        <f>'Inputs (2)'!N36</f>
        <v/>
      </c>
      <c r="T201" s="46" t="str">
        <f>'Inputs (2)'!O36</f>
        <v/>
      </c>
      <c r="U201" s="46" t="str">
        <f>'Inputs (2)'!P36</f>
        <v/>
      </c>
      <c r="V201" s="46" t="str">
        <f>'Inputs (2)'!Q36</f>
        <v/>
      </c>
      <c r="W201" s="12" t="str">
        <f>'Inputs (2)'!R36</f>
        <v/>
      </c>
      <c r="X201" s="46" t="str">
        <f>'Inputs (2)'!S36</f>
        <v/>
      </c>
      <c r="Y201" s="46" t="str">
        <f>'Inputs (2)'!T36</f>
        <v/>
      </c>
      <c r="Z201" s="46" t="str">
        <f>'Inputs (2)'!U36</f>
        <v/>
      </c>
      <c r="AA201" s="46" t="str">
        <f>'Inputs (2)'!V36</f>
        <v/>
      </c>
      <c r="AB201" s="12" t="str">
        <f>'Inputs (2)'!W36</f>
        <v/>
      </c>
      <c r="AC201" s="46" t="str">
        <f>'Inputs (2)'!X36</f>
        <v/>
      </c>
      <c r="AD201" s="46" t="str">
        <f>'Inputs (2)'!Y36</f>
        <v/>
      </c>
      <c r="AE201" s="46" t="str">
        <f>'Inputs (2)'!Z36</f>
        <v/>
      </c>
      <c r="AF201" s="46" t="str">
        <f>'Inputs (2)'!AA36</f>
        <v/>
      </c>
      <c r="AG201" s="12" t="str">
        <f>'Inputs (2)'!AB36</f>
        <v/>
      </c>
      <c r="AH201" s="12" t="str">
        <f>'Inputs (2)'!AC36</f>
        <v/>
      </c>
      <c r="AI201" s="12" t="str">
        <f>'Inputs (2)'!AD36</f>
        <v/>
      </c>
      <c r="AJ201" s="12" t="str">
        <f t="shared" ref="AJ201:BF201" si="40">AI201</f>
        <v/>
      </c>
      <c r="AK201" s="12" t="str">
        <f t="shared" si="40"/>
        <v/>
      </c>
      <c r="AL201" s="12" t="str">
        <f t="shared" si="40"/>
        <v/>
      </c>
      <c r="AM201" s="12" t="str">
        <f t="shared" si="40"/>
        <v/>
      </c>
      <c r="AN201" s="12" t="str">
        <f t="shared" si="40"/>
        <v/>
      </c>
      <c r="AO201" s="12" t="str">
        <f t="shared" si="40"/>
        <v/>
      </c>
      <c r="AP201" s="12" t="str">
        <f t="shared" si="40"/>
        <v/>
      </c>
      <c r="AQ201" s="12" t="str">
        <f t="shared" si="40"/>
        <v/>
      </c>
      <c r="AR201" s="12" t="str">
        <f t="shared" si="40"/>
        <v/>
      </c>
      <c r="AS201" s="12" t="str">
        <f t="shared" si="40"/>
        <v/>
      </c>
      <c r="AT201" s="12" t="str">
        <f t="shared" si="40"/>
        <v/>
      </c>
      <c r="AU201" s="12" t="str">
        <f t="shared" si="40"/>
        <v/>
      </c>
      <c r="AV201" s="12" t="str">
        <f t="shared" si="40"/>
        <v/>
      </c>
      <c r="AW201" s="12" t="str">
        <f t="shared" si="40"/>
        <v/>
      </c>
      <c r="AX201" s="12" t="str">
        <f t="shared" si="40"/>
        <v/>
      </c>
      <c r="AY201" s="12" t="str">
        <f t="shared" si="40"/>
        <v/>
      </c>
      <c r="AZ201" s="12" t="str">
        <f t="shared" si="40"/>
        <v/>
      </c>
      <c r="BA201" s="12" t="str">
        <f t="shared" si="40"/>
        <v/>
      </c>
      <c r="BB201" s="12" t="str">
        <f t="shared" si="40"/>
        <v/>
      </c>
      <c r="BC201" s="12" t="str">
        <f t="shared" si="40"/>
        <v/>
      </c>
      <c r="BD201" s="12" t="str">
        <f t="shared" si="40"/>
        <v/>
      </c>
      <c r="BE201" s="12" t="str">
        <f t="shared" si="40"/>
        <v/>
      </c>
      <c r="BF201" s="12" t="str">
        <f t="shared" si="40"/>
        <v/>
      </c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</row>
    <row r="202" spans="3:103" hidden="1" outlineLevel="1" x14ac:dyDescent="0.2">
      <c r="C202" s="59" t="s">
        <v>140</v>
      </c>
      <c r="D202" s="12"/>
      <c r="E202" s="40"/>
      <c r="F202" s="40"/>
      <c r="G202" s="40"/>
      <c r="H202" s="12"/>
      <c r="I202" s="40" t="str">
        <f>""</f>
        <v/>
      </c>
      <c r="J202" s="40" t="str">
        <f>IFERROR(IF(I201=0,"",J201/I201-1),"")</f>
        <v/>
      </c>
      <c r="K202" s="40" t="str">
        <f>IFERROR(IF(J201=0,"",K201/J201-1),"")</f>
        <v/>
      </c>
      <c r="L202" s="40" t="str">
        <f>IFERROR(IF(K201=0,"",L201/K201-1),"")</f>
        <v/>
      </c>
      <c r="M202" s="12" t="e">
        <f>IF(L201=0,"",M201/L201-1)</f>
        <v>#VALUE!</v>
      </c>
      <c r="N202" s="40" t="str">
        <f>IFERROR(IF(M201=0,"",N201/M201-1),"")</f>
        <v/>
      </c>
      <c r="O202" s="40" t="str">
        <f>IFERROR(IF(N201=0,"",O201/N201-1),"")</f>
        <v/>
      </c>
      <c r="P202" s="40" t="str">
        <f>IFERROR(IF(O201=0,"",P201/O201-1),"")</f>
        <v/>
      </c>
      <c r="Q202" s="40" t="str">
        <f>IFERROR(IF(P201=0,"",Q201/P201-1),"")</f>
        <v/>
      </c>
      <c r="R202" s="12" t="e">
        <f>IF(Q201=0,"",R201/Q201-1)</f>
        <v>#VALUE!</v>
      </c>
      <c r="S202" s="40" t="str">
        <f>IFERROR(IF(R201=0,"",S201/R201-1),"")</f>
        <v/>
      </c>
      <c r="T202" s="40" t="str">
        <f>IFERROR(IF(S201=0,"",T201/S201-1),"")</f>
        <v/>
      </c>
      <c r="U202" s="40" t="str">
        <f>IFERROR(IF(T201=0,"",U201/T201-1),"")</f>
        <v/>
      </c>
      <c r="V202" s="40" t="str">
        <f>IFERROR(IF(U201=0,"",V201/U201-1),"")</f>
        <v/>
      </c>
      <c r="W202" s="12" t="e">
        <f>IF(V201=0,"",W201/V201-1)</f>
        <v>#VALUE!</v>
      </c>
      <c r="X202" s="40" t="str">
        <f>IFERROR(IF(W201=0,"",X201/W201-1),"")</f>
        <v/>
      </c>
      <c r="Y202" s="40" t="str">
        <f>IFERROR(IF(X201=0,"",Y201/X201-1),"")</f>
        <v/>
      </c>
      <c r="Z202" s="40" t="str">
        <f>IFERROR(IF(Y201=0,"",Z201/Y201-1),"")</f>
        <v/>
      </c>
      <c r="AA202" s="40" t="str">
        <f>IFERROR(IF(Z201=0,"",AA201/Z201-1),"")</f>
        <v/>
      </c>
      <c r="AB202" s="12" t="e">
        <f>IF(AA201=0,"",AB201/AA201-1)</f>
        <v>#VALUE!</v>
      </c>
      <c r="AC202" s="40" t="str">
        <f>IFERROR(IF(AB201=0,"",AC201/AB201-1),"")</f>
        <v/>
      </c>
      <c r="AD202" s="40" t="str">
        <f>IFERROR(IF(AC201=0,"",AD201/AC201-1),"")</f>
        <v/>
      </c>
      <c r="AE202" s="40" t="str">
        <f>IFERROR(IF(AD201=0,"",AE201/AD201-1),"")</f>
        <v/>
      </c>
      <c r="AF202" s="41" t="str">
        <f>IFERROR(IF(AE201=0,"",AF201/AE201-1),"")</f>
        <v/>
      </c>
      <c r="AG202" s="12" t="e">
        <f>IF(AF201=0,"",AG201/AF201-1)</f>
        <v>#VALUE!</v>
      </c>
      <c r="AH202" s="11" t="str">
        <f t="shared" ref="AH202:BF202" si="41">IFERROR(IF(AG201=0,"",AH201/AG201-1),"")</f>
        <v/>
      </c>
      <c r="AI202" s="11" t="str">
        <f t="shared" si="41"/>
        <v/>
      </c>
      <c r="AJ202" s="11" t="str">
        <f t="shared" si="41"/>
        <v/>
      </c>
      <c r="AK202" s="11" t="str">
        <f t="shared" si="41"/>
        <v/>
      </c>
      <c r="AL202" s="12" t="str">
        <f t="shared" si="41"/>
        <v/>
      </c>
      <c r="AM202" s="11" t="str">
        <f t="shared" si="41"/>
        <v/>
      </c>
      <c r="AN202" s="11" t="str">
        <f t="shared" si="41"/>
        <v/>
      </c>
      <c r="AO202" s="11" t="str">
        <f t="shared" si="41"/>
        <v/>
      </c>
      <c r="AP202" s="11" t="str">
        <f t="shared" si="41"/>
        <v/>
      </c>
      <c r="AQ202" s="12" t="str">
        <f t="shared" si="41"/>
        <v/>
      </c>
      <c r="AR202" s="11" t="str">
        <f t="shared" si="41"/>
        <v/>
      </c>
      <c r="AS202" s="11" t="str">
        <f t="shared" si="41"/>
        <v/>
      </c>
      <c r="AT202" s="11" t="str">
        <f t="shared" si="41"/>
        <v/>
      </c>
      <c r="AU202" s="11" t="str">
        <f t="shared" si="41"/>
        <v/>
      </c>
      <c r="AV202" s="12" t="str">
        <f t="shared" si="41"/>
        <v/>
      </c>
      <c r="AW202" s="11" t="str">
        <f t="shared" si="41"/>
        <v/>
      </c>
      <c r="AX202" s="11" t="str">
        <f t="shared" si="41"/>
        <v/>
      </c>
      <c r="AY202" s="11" t="str">
        <f t="shared" si="41"/>
        <v/>
      </c>
      <c r="AZ202" s="11" t="str">
        <f t="shared" si="41"/>
        <v/>
      </c>
      <c r="BA202" s="12" t="str">
        <f t="shared" si="41"/>
        <v/>
      </c>
      <c r="BB202" s="11" t="str">
        <f t="shared" si="41"/>
        <v/>
      </c>
      <c r="BC202" s="11" t="str">
        <f t="shared" si="41"/>
        <v/>
      </c>
      <c r="BD202" s="11" t="str">
        <f t="shared" si="41"/>
        <v/>
      </c>
      <c r="BE202" s="11" t="str">
        <f t="shared" si="41"/>
        <v/>
      </c>
      <c r="BF202" s="12" t="str">
        <f t="shared" si="41"/>
        <v/>
      </c>
      <c r="BG202" s="11"/>
      <c r="BH202" s="11"/>
      <c r="BI202" s="11"/>
      <c r="BJ202" s="11"/>
      <c r="BK202" s="12"/>
      <c r="BL202" s="11"/>
      <c r="BM202" s="11"/>
      <c r="BN202" s="11"/>
      <c r="BO202" s="11"/>
      <c r="BP202" s="12"/>
      <c r="BQ202" s="11"/>
      <c r="BR202" s="11"/>
      <c r="BS202" s="11"/>
      <c r="BT202" s="11"/>
      <c r="BU202" s="12"/>
      <c r="BV202" s="11"/>
      <c r="BW202" s="11"/>
      <c r="BX202" s="11"/>
      <c r="BY202" s="11"/>
      <c r="BZ202" s="12"/>
      <c r="CA202" s="11"/>
      <c r="CB202" s="11"/>
      <c r="CC202" s="11"/>
      <c r="CD202" s="11"/>
      <c r="CE202" s="12"/>
      <c r="CF202" s="11"/>
      <c r="CG202" s="11"/>
      <c r="CH202" s="11"/>
      <c r="CI202" s="11"/>
      <c r="CJ202" s="12"/>
      <c r="CK202" s="11"/>
      <c r="CL202" s="11"/>
      <c r="CM202" s="11"/>
      <c r="CN202" s="11"/>
      <c r="CO202" s="12"/>
      <c r="CP202" s="11"/>
      <c r="CQ202" s="11"/>
      <c r="CR202" s="11"/>
      <c r="CS202" s="11"/>
      <c r="CT202" s="12"/>
      <c r="CU202" s="11"/>
      <c r="CV202" s="11"/>
      <c r="CW202" s="11"/>
      <c r="CX202" s="11"/>
      <c r="CY202" s="12"/>
    </row>
    <row r="203" spans="3:103" hidden="1" outlineLevel="1" x14ac:dyDescent="0.2">
      <c r="C203" s="57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</row>
    <row r="204" spans="3:103" collapsed="1" x14ac:dyDescent="0.2">
      <c r="C204" s="14" t="s">
        <v>67</v>
      </c>
      <c r="D204" s="46"/>
      <c r="E204" s="46"/>
      <c r="F204" s="46"/>
      <c r="G204" s="46"/>
      <c r="H204" s="12"/>
      <c r="I204" s="46" t="str">
        <f>'Inputs (2)'!D37</f>
        <v/>
      </c>
      <c r="J204" s="46" t="str">
        <f>'Inputs (2)'!E37</f>
        <v/>
      </c>
      <c r="K204" s="46" t="str">
        <f>'Inputs (2)'!F37</f>
        <v/>
      </c>
      <c r="L204" s="46" t="str">
        <f>'Inputs (2)'!G37</f>
        <v/>
      </c>
      <c r="M204" s="12" t="str">
        <f>'Inputs (2)'!H37</f>
        <v/>
      </c>
      <c r="N204" s="46" t="str">
        <f>'Inputs (2)'!I37</f>
        <v/>
      </c>
      <c r="O204" s="46" t="str">
        <f>'Inputs (2)'!J37</f>
        <v/>
      </c>
      <c r="P204" s="46" t="str">
        <f>'Inputs (2)'!K37</f>
        <v/>
      </c>
      <c r="Q204" s="46" t="str">
        <f>'Inputs (2)'!L37</f>
        <v/>
      </c>
      <c r="R204" s="12" t="str">
        <f>'Inputs (2)'!M37</f>
        <v/>
      </c>
      <c r="S204" s="46" t="str">
        <f>'Inputs (2)'!N37</f>
        <v/>
      </c>
      <c r="T204" s="46" t="str">
        <f>'Inputs (2)'!O37</f>
        <v/>
      </c>
      <c r="U204" s="46" t="str">
        <f>'Inputs (2)'!P37</f>
        <v/>
      </c>
      <c r="V204" s="46" t="str">
        <f>'Inputs (2)'!Q37</f>
        <v/>
      </c>
      <c r="W204" s="12" t="str">
        <f>'Inputs (2)'!R37</f>
        <v/>
      </c>
      <c r="X204" s="46" t="str">
        <f>'Inputs (2)'!S37</f>
        <v/>
      </c>
      <c r="Y204" s="46" t="str">
        <f>'Inputs (2)'!T37</f>
        <v/>
      </c>
      <c r="Z204" s="46" t="str">
        <f>'Inputs (2)'!U37</f>
        <v/>
      </c>
      <c r="AA204" s="46" t="str">
        <f>'Inputs (2)'!V37</f>
        <v/>
      </c>
      <c r="AB204" s="12" t="str">
        <f>'Inputs (2)'!W37</f>
        <v/>
      </c>
      <c r="AC204" s="46" t="str">
        <f>'Inputs (2)'!X37</f>
        <v/>
      </c>
      <c r="AD204" s="46" t="str">
        <f>'Inputs (2)'!Y37</f>
        <v/>
      </c>
      <c r="AE204" s="46" t="str">
        <f>'Inputs (2)'!Z37</f>
        <v/>
      </c>
      <c r="AF204" s="46" t="str">
        <f>'Inputs (2)'!AA37</f>
        <v/>
      </c>
      <c r="AG204" s="12" t="str">
        <f>'Inputs (2)'!AB37</f>
        <v/>
      </c>
      <c r="AH204" s="12" t="str">
        <f>'Inputs (2)'!AC37</f>
        <v/>
      </c>
      <c r="AI204" s="12" t="str">
        <f>'Inputs (2)'!AD37</f>
        <v/>
      </c>
      <c r="AJ204" s="12" t="str">
        <f t="shared" ref="AJ204:BF204" si="42">AI204</f>
        <v/>
      </c>
      <c r="AK204" s="12" t="str">
        <f t="shared" si="42"/>
        <v/>
      </c>
      <c r="AL204" s="12" t="str">
        <f t="shared" si="42"/>
        <v/>
      </c>
      <c r="AM204" s="12" t="str">
        <f t="shared" si="42"/>
        <v/>
      </c>
      <c r="AN204" s="12" t="str">
        <f t="shared" si="42"/>
        <v/>
      </c>
      <c r="AO204" s="12" t="str">
        <f t="shared" si="42"/>
        <v/>
      </c>
      <c r="AP204" s="12" t="str">
        <f t="shared" si="42"/>
        <v/>
      </c>
      <c r="AQ204" s="12" t="str">
        <f t="shared" si="42"/>
        <v/>
      </c>
      <c r="AR204" s="12" t="str">
        <f t="shared" si="42"/>
        <v/>
      </c>
      <c r="AS204" s="12" t="str">
        <f t="shared" si="42"/>
        <v/>
      </c>
      <c r="AT204" s="12" t="str">
        <f t="shared" si="42"/>
        <v/>
      </c>
      <c r="AU204" s="12" t="str">
        <f t="shared" si="42"/>
        <v/>
      </c>
      <c r="AV204" s="12" t="str">
        <f t="shared" si="42"/>
        <v/>
      </c>
      <c r="AW204" s="12" t="str">
        <f t="shared" si="42"/>
        <v/>
      </c>
      <c r="AX204" s="12" t="str">
        <f t="shared" si="42"/>
        <v/>
      </c>
      <c r="AY204" s="12" t="str">
        <f t="shared" si="42"/>
        <v/>
      </c>
      <c r="AZ204" s="12" t="str">
        <f t="shared" si="42"/>
        <v/>
      </c>
      <c r="BA204" s="12" t="str">
        <f t="shared" si="42"/>
        <v/>
      </c>
      <c r="BB204" s="12" t="str">
        <f t="shared" si="42"/>
        <v/>
      </c>
      <c r="BC204" s="12" t="str">
        <f t="shared" si="42"/>
        <v/>
      </c>
      <c r="BD204" s="12" t="str">
        <f t="shared" si="42"/>
        <v/>
      </c>
      <c r="BE204" s="12" t="str">
        <f t="shared" si="42"/>
        <v/>
      </c>
      <c r="BF204" s="12" t="str">
        <f t="shared" si="42"/>
        <v/>
      </c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</row>
    <row r="205" spans="3:103" x14ac:dyDescent="0.2">
      <c r="C205" s="14" t="s">
        <v>49</v>
      </c>
      <c r="D205" s="46"/>
      <c r="E205" s="46"/>
      <c r="F205" s="46"/>
      <c r="G205" s="46"/>
      <c r="H205" s="12"/>
      <c r="I205" s="46" t="str">
        <f>'Inputs (2)'!D38</f>
        <v/>
      </c>
      <c r="J205" s="46" t="str">
        <f>'Inputs (2)'!E38</f>
        <v/>
      </c>
      <c r="K205" s="46" t="str">
        <f>'Inputs (2)'!F38</f>
        <v/>
      </c>
      <c r="L205" s="46" t="str">
        <f>'Inputs (2)'!G38</f>
        <v/>
      </c>
      <c r="M205" s="12" t="str">
        <f>'Inputs (2)'!H38</f>
        <v/>
      </c>
      <c r="N205" s="46" t="str">
        <f>'Inputs (2)'!I38</f>
        <v/>
      </c>
      <c r="O205" s="46" t="str">
        <f>'Inputs (2)'!J38</f>
        <v/>
      </c>
      <c r="P205" s="46" t="str">
        <f>'Inputs (2)'!K38</f>
        <v/>
      </c>
      <c r="Q205" s="46" t="str">
        <f>'Inputs (2)'!L38</f>
        <v/>
      </c>
      <c r="R205" s="12" t="str">
        <f>'Inputs (2)'!M38</f>
        <v/>
      </c>
      <c r="S205" s="46" t="str">
        <f>'Inputs (2)'!N38</f>
        <v/>
      </c>
      <c r="T205" s="46" t="str">
        <f>'Inputs (2)'!O38</f>
        <v/>
      </c>
      <c r="U205" s="46" t="str">
        <f>'Inputs (2)'!P38</f>
        <v/>
      </c>
      <c r="V205" s="46" t="str">
        <f>'Inputs (2)'!Q38</f>
        <v/>
      </c>
      <c r="W205" s="12" t="str">
        <f>'Inputs (2)'!R38</f>
        <v/>
      </c>
      <c r="X205" s="46" t="str">
        <f>'Inputs (2)'!S38</f>
        <v/>
      </c>
      <c r="Y205" s="46" t="str">
        <f>'Inputs (2)'!T38</f>
        <v/>
      </c>
      <c r="Z205" s="46" t="str">
        <f>'Inputs (2)'!U38</f>
        <v/>
      </c>
      <c r="AA205" s="46" t="str">
        <f>'Inputs (2)'!V38</f>
        <v/>
      </c>
      <c r="AB205" s="12" t="str">
        <f>'Inputs (2)'!W38</f>
        <v/>
      </c>
      <c r="AC205" s="46" t="str">
        <f>'Inputs (2)'!X38</f>
        <v/>
      </c>
      <c r="AD205" s="46" t="str">
        <f>'Inputs (2)'!Y38</f>
        <v/>
      </c>
      <c r="AE205" s="46" t="str">
        <f>'Inputs (2)'!Z38</f>
        <v/>
      </c>
      <c r="AF205" s="46" t="str">
        <f>'Inputs (2)'!AA38</f>
        <v/>
      </c>
      <c r="AG205" s="12" t="str">
        <f>'Inputs (2)'!AB38</f>
        <v/>
      </c>
      <c r="AH205" s="12" t="str">
        <f>'Inputs (2)'!AC38</f>
        <v/>
      </c>
      <c r="AI205" s="12" t="str">
        <f>'Inputs (2)'!AD38</f>
        <v/>
      </c>
      <c r="AJ205" s="12" t="str">
        <f t="shared" ref="AJ205:BF205" si="43">AI205</f>
        <v/>
      </c>
      <c r="AK205" s="12" t="str">
        <f t="shared" si="43"/>
        <v/>
      </c>
      <c r="AL205" s="12" t="str">
        <f t="shared" si="43"/>
        <v/>
      </c>
      <c r="AM205" s="12" t="str">
        <f t="shared" si="43"/>
        <v/>
      </c>
      <c r="AN205" s="12" t="str">
        <f t="shared" si="43"/>
        <v/>
      </c>
      <c r="AO205" s="12" t="str">
        <f t="shared" si="43"/>
        <v/>
      </c>
      <c r="AP205" s="12" t="str">
        <f t="shared" si="43"/>
        <v/>
      </c>
      <c r="AQ205" s="12" t="str">
        <f t="shared" si="43"/>
        <v/>
      </c>
      <c r="AR205" s="12" t="str">
        <f t="shared" si="43"/>
        <v/>
      </c>
      <c r="AS205" s="12" t="str">
        <f t="shared" si="43"/>
        <v/>
      </c>
      <c r="AT205" s="12" t="str">
        <f t="shared" si="43"/>
        <v/>
      </c>
      <c r="AU205" s="12" t="str">
        <f t="shared" si="43"/>
        <v/>
      </c>
      <c r="AV205" s="12" t="str">
        <f t="shared" si="43"/>
        <v/>
      </c>
      <c r="AW205" s="12" t="str">
        <f t="shared" si="43"/>
        <v/>
      </c>
      <c r="AX205" s="12" t="str">
        <f t="shared" si="43"/>
        <v/>
      </c>
      <c r="AY205" s="12" t="str">
        <f t="shared" si="43"/>
        <v/>
      </c>
      <c r="AZ205" s="12" t="str">
        <f t="shared" si="43"/>
        <v/>
      </c>
      <c r="BA205" s="12" t="str">
        <f t="shared" si="43"/>
        <v/>
      </c>
      <c r="BB205" s="12" t="str">
        <f t="shared" si="43"/>
        <v/>
      </c>
      <c r="BC205" s="12" t="str">
        <f t="shared" si="43"/>
        <v/>
      </c>
      <c r="BD205" s="12" t="str">
        <f t="shared" si="43"/>
        <v/>
      </c>
      <c r="BE205" s="12" t="str">
        <f t="shared" si="43"/>
        <v/>
      </c>
      <c r="BF205" s="12" t="str">
        <f t="shared" si="43"/>
        <v/>
      </c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</row>
    <row r="206" spans="3:103" x14ac:dyDescent="0.2">
      <c r="C206" s="14" t="s">
        <v>68</v>
      </c>
      <c r="D206" s="46"/>
      <c r="E206" s="46"/>
      <c r="F206" s="46"/>
      <c r="G206" s="46"/>
      <c r="H206" s="12"/>
      <c r="I206" s="46" t="str">
        <f>'Inputs (2)'!D39</f>
        <v/>
      </c>
      <c r="J206" s="46" t="str">
        <f>'Inputs (2)'!E39</f>
        <v/>
      </c>
      <c r="K206" s="46" t="str">
        <f>'Inputs (2)'!F39</f>
        <v/>
      </c>
      <c r="L206" s="46" t="str">
        <f>'Inputs (2)'!G39</f>
        <v/>
      </c>
      <c r="M206" s="12" t="str">
        <f>'Inputs (2)'!H39</f>
        <v/>
      </c>
      <c r="N206" s="46" t="str">
        <f>'Inputs (2)'!I39</f>
        <v/>
      </c>
      <c r="O206" s="46" t="str">
        <f>'Inputs (2)'!J39</f>
        <v/>
      </c>
      <c r="P206" s="46" t="str">
        <f>'Inputs (2)'!K39</f>
        <v/>
      </c>
      <c r="Q206" s="46" t="str">
        <f>'Inputs (2)'!L39</f>
        <v/>
      </c>
      <c r="R206" s="12" t="str">
        <f>'Inputs (2)'!M39</f>
        <v/>
      </c>
      <c r="S206" s="46" t="str">
        <f>'Inputs (2)'!N39</f>
        <v/>
      </c>
      <c r="T206" s="46" t="str">
        <f>'Inputs (2)'!O39</f>
        <v/>
      </c>
      <c r="U206" s="46" t="str">
        <f>'Inputs (2)'!P39</f>
        <v/>
      </c>
      <c r="V206" s="46" t="str">
        <f>'Inputs (2)'!Q39</f>
        <v/>
      </c>
      <c r="W206" s="12" t="str">
        <f>'Inputs (2)'!R39</f>
        <v/>
      </c>
      <c r="X206" s="46" t="str">
        <f>'Inputs (2)'!S39</f>
        <v/>
      </c>
      <c r="Y206" s="46" t="str">
        <f>'Inputs (2)'!T39</f>
        <v/>
      </c>
      <c r="Z206" s="46" t="str">
        <f>'Inputs (2)'!U39</f>
        <v/>
      </c>
      <c r="AA206" s="46" t="str">
        <f>'Inputs (2)'!V39</f>
        <v/>
      </c>
      <c r="AB206" s="12" t="str">
        <f>'Inputs (2)'!W39</f>
        <v/>
      </c>
      <c r="AC206" s="46" t="str">
        <f>'Inputs (2)'!X39</f>
        <v/>
      </c>
      <c r="AD206" s="46" t="str">
        <f>'Inputs (2)'!Y39</f>
        <v/>
      </c>
      <c r="AE206" s="46" t="str">
        <f>'Inputs (2)'!Z39</f>
        <v/>
      </c>
      <c r="AF206" s="46" t="str">
        <f>'Inputs (2)'!AA39</f>
        <v/>
      </c>
      <c r="AG206" s="12" t="str">
        <f>'Inputs (2)'!AB39</f>
        <v/>
      </c>
      <c r="AH206" s="12" t="str">
        <f>'Inputs (2)'!AC39</f>
        <v/>
      </c>
      <c r="AI206" s="12" t="str">
        <f>'Inputs (2)'!AD39</f>
        <v/>
      </c>
      <c r="AJ206" s="12" t="str">
        <f t="shared" ref="AJ206:BF206" si="44">AI206</f>
        <v/>
      </c>
      <c r="AK206" s="12" t="str">
        <f t="shared" si="44"/>
        <v/>
      </c>
      <c r="AL206" s="12" t="str">
        <f t="shared" si="44"/>
        <v/>
      </c>
      <c r="AM206" s="12" t="str">
        <f t="shared" si="44"/>
        <v/>
      </c>
      <c r="AN206" s="12" t="str">
        <f t="shared" si="44"/>
        <v/>
      </c>
      <c r="AO206" s="12" t="str">
        <f t="shared" si="44"/>
        <v/>
      </c>
      <c r="AP206" s="12" t="str">
        <f t="shared" si="44"/>
        <v/>
      </c>
      <c r="AQ206" s="12" t="str">
        <f t="shared" si="44"/>
        <v/>
      </c>
      <c r="AR206" s="12" t="str">
        <f t="shared" si="44"/>
        <v/>
      </c>
      <c r="AS206" s="12" t="str">
        <f t="shared" si="44"/>
        <v/>
      </c>
      <c r="AT206" s="12" t="str">
        <f t="shared" si="44"/>
        <v/>
      </c>
      <c r="AU206" s="12" t="str">
        <f t="shared" si="44"/>
        <v/>
      </c>
      <c r="AV206" s="12" t="str">
        <f t="shared" si="44"/>
        <v/>
      </c>
      <c r="AW206" s="12" t="str">
        <f t="shared" si="44"/>
        <v/>
      </c>
      <c r="AX206" s="12" t="str">
        <f t="shared" si="44"/>
        <v/>
      </c>
      <c r="AY206" s="12" t="str">
        <f t="shared" si="44"/>
        <v/>
      </c>
      <c r="AZ206" s="12" t="str">
        <f t="shared" si="44"/>
        <v/>
      </c>
      <c r="BA206" s="12" t="str">
        <f t="shared" si="44"/>
        <v/>
      </c>
      <c r="BB206" s="12" t="str">
        <f t="shared" si="44"/>
        <v/>
      </c>
      <c r="BC206" s="12" t="str">
        <f t="shared" si="44"/>
        <v/>
      </c>
      <c r="BD206" s="12" t="str">
        <f t="shared" si="44"/>
        <v/>
      </c>
      <c r="BE206" s="12" t="str">
        <f t="shared" si="44"/>
        <v/>
      </c>
      <c r="BF206" s="12" t="str">
        <f t="shared" si="44"/>
        <v/>
      </c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</row>
    <row r="207" spans="3:103" ht="12" hidden="1" customHeight="1" outlineLevel="1" x14ac:dyDescent="0.2">
      <c r="C207" s="59" t="s">
        <v>140</v>
      </c>
      <c r="D207" s="12"/>
      <c r="E207" s="40"/>
      <c r="F207" s="40"/>
      <c r="G207" s="40"/>
      <c r="H207" s="12"/>
      <c r="I207" s="40" t="str">
        <f>""</f>
        <v/>
      </c>
      <c r="J207" s="40" t="e">
        <f t="shared" ref="J207:AO207" si="45">IF(I206=0,"",J206/I206-1)</f>
        <v>#VALUE!</v>
      </c>
      <c r="K207" s="40" t="e">
        <f t="shared" si="45"/>
        <v>#VALUE!</v>
      </c>
      <c r="L207" s="40" t="e">
        <f t="shared" si="45"/>
        <v>#VALUE!</v>
      </c>
      <c r="M207" s="12" t="e">
        <f t="shared" si="45"/>
        <v>#VALUE!</v>
      </c>
      <c r="N207" s="40" t="e">
        <f t="shared" si="45"/>
        <v>#VALUE!</v>
      </c>
      <c r="O207" s="40" t="e">
        <f t="shared" si="45"/>
        <v>#VALUE!</v>
      </c>
      <c r="P207" s="40" t="e">
        <f t="shared" si="45"/>
        <v>#VALUE!</v>
      </c>
      <c r="Q207" s="40" t="e">
        <f t="shared" si="45"/>
        <v>#VALUE!</v>
      </c>
      <c r="R207" s="12" t="e">
        <f t="shared" si="45"/>
        <v>#VALUE!</v>
      </c>
      <c r="S207" s="40" t="e">
        <f t="shared" si="45"/>
        <v>#VALUE!</v>
      </c>
      <c r="T207" s="40" t="e">
        <f t="shared" si="45"/>
        <v>#VALUE!</v>
      </c>
      <c r="U207" s="40" t="e">
        <f t="shared" si="45"/>
        <v>#VALUE!</v>
      </c>
      <c r="V207" s="40" t="e">
        <f t="shared" si="45"/>
        <v>#VALUE!</v>
      </c>
      <c r="W207" s="12" t="e">
        <f t="shared" si="45"/>
        <v>#VALUE!</v>
      </c>
      <c r="X207" s="40" t="e">
        <f t="shared" si="45"/>
        <v>#VALUE!</v>
      </c>
      <c r="Y207" s="40" t="e">
        <f t="shared" si="45"/>
        <v>#VALUE!</v>
      </c>
      <c r="Z207" s="40" t="e">
        <f t="shared" si="45"/>
        <v>#VALUE!</v>
      </c>
      <c r="AA207" s="40" t="e">
        <f t="shared" si="45"/>
        <v>#VALUE!</v>
      </c>
      <c r="AB207" s="12" t="e">
        <f t="shared" si="45"/>
        <v>#VALUE!</v>
      </c>
      <c r="AC207" s="40" t="e">
        <f t="shared" si="45"/>
        <v>#VALUE!</v>
      </c>
      <c r="AD207" s="40" t="e">
        <f t="shared" si="45"/>
        <v>#VALUE!</v>
      </c>
      <c r="AE207" s="40" t="e">
        <f t="shared" si="45"/>
        <v>#VALUE!</v>
      </c>
      <c r="AF207" s="41" t="e">
        <f t="shared" si="45"/>
        <v>#VALUE!</v>
      </c>
      <c r="AG207" s="12" t="e">
        <f t="shared" si="45"/>
        <v>#VALUE!</v>
      </c>
      <c r="AH207" s="41" t="e">
        <f t="shared" si="45"/>
        <v>#VALUE!</v>
      </c>
      <c r="AI207" s="41" t="e">
        <f t="shared" si="45"/>
        <v>#VALUE!</v>
      </c>
      <c r="AJ207" s="41" t="e">
        <f t="shared" si="45"/>
        <v>#VALUE!</v>
      </c>
      <c r="AK207" s="41" t="e">
        <f t="shared" si="45"/>
        <v>#VALUE!</v>
      </c>
      <c r="AL207" s="12" t="e">
        <f t="shared" si="45"/>
        <v>#VALUE!</v>
      </c>
      <c r="AM207" s="41" t="e">
        <f t="shared" si="45"/>
        <v>#VALUE!</v>
      </c>
      <c r="AN207" s="41" t="e">
        <f t="shared" si="45"/>
        <v>#VALUE!</v>
      </c>
      <c r="AO207" s="41" t="e">
        <f t="shared" si="45"/>
        <v>#VALUE!</v>
      </c>
      <c r="AP207" s="41" t="e">
        <f t="shared" ref="AP207:BF207" si="46">IF(AO206=0,"",AP206/AO206-1)</f>
        <v>#VALUE!</v>
      </c>
      <c r="AQ207" s="12" t="e">
        <f t="shared" si="46"/>
        <v>#VALUE!</v>
      </c>
      <c r="AR207" s="41" t="e">
        <f t="shared" si="46"/>
        <v>#VALUE!</v>
      </c>
      <c r="AS207" s="41" t="e">
        <f t="shared" si="46"/>
        <v>#VALUE!</v>
      </c>
      <c r="AT207" s="41" t="e">
        <f t="shared" si="46"/>
        <v>#VALUE!</v>
      </c>
      <c r="AU207" s="41" t="e">
        <f t="shared" si="46"/>
        <v>#VALUE!</v>
      </c>
      <c r="AV207" s="12" t="e">
        <f t="shared" si="46"/>
        <v>#VALUE!</v>
      </c>
      <c r="AW207" s="41" t="e">
        <f t="shared" si="46"/>
        <v>#VALUE!</v>
      </c>
      <c r="AX207" s="41" t="e">
        <f t="shared" si="46"/>
        <v>#VALUE!</v>
      </c>
      <c r="AY207" s="41" t="e">
        <f t="shared" si="46"/>
        <v>#VALUE!</v>
      </c>
      <c r="AZ207" s="41" t="e">
        <f t="shared" si="46"/>
        <v>#VALUE!</v>
      </c>
      <c r="BA207" s="12" t="e">
        <f t="shared" si="46"/>
        <v>#VALUE!</v>
      </c>
      <c r="BB207" s="41" t="e">
        <f t="shared" si="46"/>
        <v>#VALUE!</v>
      </c>
      <c r="BC207" s="41" t="e">
        <f t="shared" si="46"/>
        <v>#VALUE!</v>
      </c>
      <c r="BD207" s="41" t="e">
        <f t="shared" si="46"/>
        <v>#VALUE!</v>
      </c>
      <c r="BE207" s="41" t="e">
        <f t="shared" si="46"/>
        <v>#VALUE!</v>
      </c>
      <c r="BF207" s="12" t="e">
        <f t="shared" si="46"/>
        <v>#VALUE!</v>
      </c>
      <c r="BG207" s="41"/>
      <c r="BH207" s="41"/>
      <c r="BI207" s="41"/>
      <c r="BJ207" s="41"/>
      <c r="BK207" s="12"/>
      <c r="BL207" s="41"/>
      <c r="BM207" s="41"/>
      <c r="BN207" s="41"/>
      <c r="BO207" s="41"/>
      <c r="BP207" s="12"/>
      <c r="BQ207" s="41"/>
      <c r="BR207" s="41"/>
      <c r="BS207" s="41"/>
      <c r="BT207" s="41"/>
      <c r="BU207" s="12"/>
      <c r="BV207" s="41"/>
      <c r="BW207" s="41"/>
      <c r="BX207" s="41"/>
      <c r="BY207" s="41"/>
      <c r="BZ207" s="12"/>
      <c r="CA207" s="41"/>
      <c r="CB207" s="41"/>
      <c r="CC207" s="41"/>
      <c r="CD207" s="41"/>
      <c r="CE207" s="12"/>
      <c r="CF207" s="41"/>
      <c r="CG207" s="41"/>
      <c r="CH207" s="41"/>
      <c r="CI207" s="41"/>
      <c r="CJ207" s="12"/>
      <c r="CK207" s="41"/>
      <c r="CL207" s="41"/>
      <c r="CM207" s="41"/>
      <c r="CN207" s="41"/>
      <c r="CO207" s="12"/>
      <c r="CP207" s="41"/>
      <c r="CQ207" s="41"/>
      <c r="CR207" s="41"/>
      <c r="CS207" s="41"/>
      <c r="CT207" s="12"/>
      <c r="CU207" s="41"/>
      <c r="CV207" s="41"/>
      <c r="CW207" s="41"/>
      <c r="CX207" s="41"/>
      <c r="CY207" s="12"/>
    </row>
    <row r="208" spans="3:103" ht="12" hidden="1" customHeight="1" outlineLevel="1" x14ac:dyDescent="0.2">
      <c r="C208" s="59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</row>
    <row r="209" spans="1:103" hidden="1" outlineLevel="1" x14ac:dyDescent="0.2">
      <c r="C209" s="57" t="s">
        <v>157</v>
      </c>
      <c r="D209" s="11"/>
      <c r="E209" s="11"/>
      <c r="F209" s="11"/>
      <c r="G209" s="11"/>
      <c r="H209" s="12"/>
      <c r="I209" s="11"/>
      <c r="J209" s="11"/>
      <c r="K209" s="11"/>
      <c r="L209" s="11"/>
      <c r="M209" s="12"/>
      <c r="N209" s="11"/>
      <c r="O209" s="11"/>
      <c r="P209" s="11"/>
      <c r="Q209" s="11"/>
      <c r="R209" s="12"/>
      <c r="S209" s="11"/>
      <c r="T209" s="11"/>
      <c r="U209" s="11"/>
      <c r="V209" s="11"/>
      <c r="W209" s="12"/>
      <c r="X209" s="11"/>
      <c r="Y209" s="11"/>
      <c r="Z209" s="11"/>
      <c r="AA209" s="11"/>
      <c r="AB209" s="12"/>
      <c r="AC209" s="11"/>
      <c r="AD209" s="11"/>
      <c r="AE209" s="11"/>
      <c r="AF209" s="11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</row>
    <row r="210" spans="1:103" hidden="1" outlineLevel="1" x14ac:dyDescent="0.2">
      <c r="C210" s="57" t="s">
        <v>170</v>
      </c>
      <c r="D210" s="11"/>
      <c r="E210" s="11"/>
      <c r="F210" s="11"/>
      <c r="G210" s="11"/>
      <c r="H210" s="12"/>
      <c r="I210" s="11"/>
      <c r="J210" s="11"/>
      <c r="K210" s="11"/>
      <c r="L210" s="11"/>
      <c r="M210" s="12"/>
      <c r="N210" s="11"/>
      <c r="O210" s="11"/>
      <c r="P210" s="11"/>
      <c r="Q210" s="11"/>
      <c r="R210" s="12"/>
      <c r="S210" s="11"/>
      <c r="T210" s="11"/>
      <c r="U210" s="11"/>
      <c r="V210" s="11"/>
      <c r="W210" s="12"/>
      <c r="X210" s="11"/>
      <c r="Y210" s="11"/>
      <c r="Z210" s="11"/>
      <c r="AA210" s="11"/>
      <c r="AB210" s="12"/>
      <c r="AC210" s="11"/>
      <c r="AD210" s="11"/>
      <c r="AE210" s="11"/>
      <c r="AF210" s="11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</row>
    <row r="211" spans="1:103" hidden="1" outlineLevel="1" x14ac:dyDescent="0.2">
      <c r="C211" s="57" t="s">
        <v>171</v>
      </c>
      <c r="D211" s="11"/>
      <c r="E211" s="11"/>
      <c r="F211" s="11"/>
      <c r="G211" s="11"/>
      <c r="H211" s="12"/>
      <c r="I211" s="11"/>
      <c r="J211" s="11"/>
      <c r="K211" s="11"/>
      <c r="L211" s="11"/>
      <c r="M211" s="12"/>
      <c r="N211" s="11"/>
      <c r="O211" s="11"/>
      <c r="P211" s="11"/>
      <c r="Q211" s="11"/>
      <c r="R211" s="12"/>
      <c r="S211" s="11"/>
      <c r="T211" s="11"/>
      <c r="U211" s="11"/>
      <c r="V211" s="11"/>
      <c r="W211" s="12"/>
      <c r="X211" s="11"/>
      <c r="Y211" s="11"/>
      <c r="Z211" s="11"/>
      <c r="AA211" s="11"/>
      <c r="AB211" s="12"/>
      <c r="AC211" s="11"/>
      <c r="AD211" s="11"/>
      <c r="AE211" s="11"/>
      <c r="AF211" s="11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</row>
    <row r="212" spans="1:103" hidden="1" outlineLevel="1" x14ac:dyDescent="0.2">
      <c r="C212" s="57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</row>
    <row r="213" spans="1:103" s="32" customFormat="1" collapsed="1" x14ac:dyDescent="0.2">
      <c r="A213" s="30"/>
      <c r="B213" s="30"/>
      <c r="C213" s="65" t="s">
        <v>172</v>
      </c>
      <c r="D213" s="35"/>
      <c r="E213" s="35"/>
      <c r="F213" s="35"/>
      <c r="G213" s="35"/>
      <c r="H213" s="35"/>
      <c r="I213" s="35" t="e">
        <f>SUM(I164+I168+I170+I171+I178+I179+I180+I183+I201+I204+I205+I206)</f>
        <v>#VALUE!</v>
      </c>
      <c r="J213" s="35" t="e">
        <f>SUM(J164+J168+J170+J171+J178+J179+J180+J183+J201+J204+J205+J206)</f>
        <v>#VALUE!</v>
      </c>
      <c r="K213" s="35" t="e">
        <f>SUM(K164+K168+K170+K171+K178+K179+K180+K183+K201+K204+K205+K206)</f>
        <v>#VALUE!</v>
      </c>
      <c r="L213" s="35" t="e">
        <f>SUM(L164+L168+L170+L171+L178+L179+L180+L183+L201+L204+L205+L206)</f>
        <v>#VALUE!</v>
      </c>
      <c r="M213" s="35">
        <f>SUM(M164,M168,M170,M171,M178,M179,M183,M180,M201,M204,M205,M206)</f>
        <v>0</v>
      </c>
      <c r="N213" s="35" t="e">
        <f>SUM(N164+N168+N170+N171+N178+N179+N180+N183+N201+N204+N205+N206)</f>
        <v>#VALUE!</v>
      </c>
      <c r="O213" s="35" t="e">
        <f>SUM(O164+O168+O170+O171+O178+O179+O180+O183+O201+O204+O205+O206)</f>
        <v>#VALUE!</v>
      </c>
      <c r="P213" s="35" t="e">
        <f>SUM(P164+P168+P170+P171+P178+P179+P180+P183+P201+P204+P205+P206)</f>
        <v>#VALUE!</v>
      </c>
      <c r="Q213" s="35" t="e">
        <f>SUM(Q164+Q168+Q170+Q171+Q178+Q179+Q180+Q183+Q201+Q204+Q205+Q206)</f>
        <v>#VALUE!</v>
      </c>
      <c r="R213" s="35">
        <f>SUM(R164,R168,R170,R171,R178,R179,R183,R180,R201,R204,R205,R206)</f>
        <v>0</v>
      </c>
      <c r="S213" s="35" t="e">
        <f>SUM(S164+S168+S170+S171+S178+S179+S180+S183+S201+S204+S205+S206)</f>
        <v>#VALUE!</v>
      </c>
      <c r="T213" s="35" t="e">
        <f>SUM(T164+T168+T170+T171+T178+T179+T180+T183+T201+T204+T205+T206)</f>
        <v>#VALUE!</v>
      </c>
      <c r="U213" s="35" t="e">
        <f>SUM(U164+U168+U170+U171+U178+U179+U180+U183+U201+U204+U205+U206)</f>
        <v>#VALUE!</v>
      </c>
      <c r="V213" s="35" t="e">
        <f>SUM(V164+V168+V170+V171+V178+V179+V180+V183+V201+V204+V205+V206)</f>
        <v>#VALUE!</v>
      </c>
      <c r="W213" s="35">
        <f>SUM(W164,W168,W170,W171,W178,W179,W183,W180,W201,W204,W205,W206)</f>
        <v>0</v>
      </c>
      <c r="X213" s="35" t="e">
        <f>SUM(X164+X168+X170+X171+X178+X179+X180+X183+X201+X204+X205+X206)</f>
        <v>#VALUE!</v>
      </c>
      <c r="Y213" s="35" t="e">
        <f>SUM(Y164+Y168+Y170+Y171+Y178+Y179+Y180+Y183+Y201+Y204+Y205+Y206)</f>
        <v>#VALUE!</v>
      </c>
      <c r="Z213" s="35" t="e">
        <f>SUM(Z164+Z168+Z170+Z171+Z178+Z179+Z180+Z183+Z201+Z204+Z205+Z206)</f>
        <v>#VALUE!</v>
      </c>
      <c r="AA213" s="35" t="e">
        <f>SUM(AA164+AA168+AA170+AA171+AA178+AA179+AA180+AA183+AA201+AA204+AA205+AA206)</f>
        <v>#VALUE!</v>
      </c>
      <c r="AB213" s="35">
        <f>SUM(AB164,AB168,AB170,AB171,AB178,AB179,AB183,AB180,AB201,AB204,AB205,AB206)</f>
        <v>0</v>
      </c>
      <c r="AC213" s="35" t="e">
        <f>SUM(AC164+AC168+AC170+AC171+AC178+AC179+AC180+AC183+AC201+AC204+AC205+AC206)</f>
        <v>#VALUE!</v>
      </c>
      <c r="AD213" s="35" t="e">
        <f>SUM(AD164+AD168+AD170+AD171+AD178+AD179+AD180+AD183+AD201+AD204+AD205+AD206)</f>
        <v>#VALUE!</v>
      </c>
      <c r="AE213" s="35" t="e">
        <f>SUM(AE164+AE168+AE170+AE171+AE178+AE179+AE180+AE183+AE201+AE204+AE205+AE206)</f>
        <v>#VALUE!</v>
      </c>
      <c r="AF213" s="35" t="e">
        <f>SUM(AF164+AF168+AF170+AF171+AF178+AF179+AF180+AF183+AF201+AF204+AF205+AF206)</f>
        <v>#VALUE!</v>
      </c>
      <c r="AG213" s="35">
        <f>SUM(AG164,AG168,AG170,AG171,AG178,AG179,AG183,AG180,AG201,AG204,AG205,AG206)</f>
        <v>0</v>
      </c>
      <c r="AH213" s="35" t="e">
        <f>SUM(AH164+AH168+AH170+AH171+AH178+AH179+AH180+AH183+AH201+AH204+AH205+AH206)</f>
        <v>#VALUE!</v>
      </c>
      <c r="AI213" s="35" t="e">
        <f>SUM(AI164+AI168+AI170+AI171+AI178+AI179+AI180+AI183+AI201+AI204+AI205+AI206)</f>
        <v>#VALUE!</v>
      </c>
      <c r="AJ213" s="35" t="e">
        <f>SUM(AJ164+AJ168+AJ170+AJ171+AJ178+AJ179+AJ180+AJ183+AJ201+AJ204+AJ205+AJ206)</f>
        <v>#VALUE!</v>
      </c>
      <c r="AK213" s="35" t="e">
        <f>SUM(AK164+AK168+AK170+AK171+AK178+AK179+AK180+AK183+AK201+AK204+AK205+AK206)</f>
        <v>#VALUE!</v>
      </c>
      <c r="AL213" s="35" t="e">
        <f>SUM(AL164,AL168,AL170,AL171,AL178,AL179,AL183,AL180,AL201,AL204,AL205,AL206)</f>
        <v>#VALUE!</v>
      </c>
      <c r="AM213" s="35" t="e">
        <f>SUM(AM164+AM168+AM170+AM171+AM178+AM179+AM180+AM183+AM201+AM204+AM205+AM206)</f>
        <v>#VALUE!</v>
      </c>
      <c r="AN213" s="35" t="e">
        <f>SUM(AN164+AN168+AN170+AN171+AN178+AN179+AN180+AN183+AN201+AN204+AN205+AN206)</f>
        <v>#VALUE!</v>
      </c>
      <c r="AO213" s="35" t="e">
        <f>SUM(AO164+AO168+AO170+AO171+AO178+AO179+AO180+AO183+AO201+AO204+AO205+AO206)</f>
        <v>#VALUE!</v>
      </c>
      <c r="AP213" s="35" t="e">
        <f>SUM(AP164+AP168+AP170+AP171+AP178+AP179+AP180+AP183+AP201+AP204+AP205+AP206)</f>
        <v>#VALUE!</v>
      </c>
      <c r="AQ213" s="35" t="e">
        <f>SUM(AQ164,AQ168,AQ170,AQ171,AQ178,AQ179,AQ183,AQ180,AQ201,AQ204,AQ205,AQ206)</f>
        <v>#VALUE!</v>
      </c>
      <c r="AR213" s="35" t="e">
        <f>SUM(AR164+AR168+AR170+AR171+AR178+AR179+AR180+AR183+AR201+AR204+AR205+AR206)</f>
        <v>#VALUE!</v>
      </c>
      <c r="AS213" s="35" t="e">
        <f>SUM(AS164+AS168+AS170+AS171+AS178+AS179+AS180+AS183+AS201+AS204+AS205+AS206)</f>
        <v>#VALUE!</v>
      </c>
      <c r="AT213" s="35" t="e">
        <f>SUM(AT164+AT168+AT170+AT171+AT178+AT179+AT180+AT183+AT201+AT204+AT205+AT206)</f>
        <v>#VALUE!</v>
      </c>
      <c r="AU213" s="35" t="e">
        <f>SUM(AU164+AU168+AU170+AU171+AU178+AU179+AU180+AU183+AU201+AU204+AU205+AU206)</f>
        <v>#VALUE!</v>
      </c>
      <c r="AV213" s="35" t="e">
        <f>SUM(AV164,AV168,AV170,AV171,AV178,AV179,AV183,AV180,AV201,AV204,AV205,AV206)</f>
        <v>#VALUE!</v>
      </c>
      <c r="AW213" s="35" t="e">
        <f>SUM(AW164+AW168+AW170+AW171+AW178+AW179+AW180+AW183+AW201+AW204+AW205+AW206)</f>
        <v>#VALUE!</v>
      </c>
      <c r="AX213" s="35" t="e">
        <f>SUM(AX164+AX168+AX170+AX171+AX178+AX179+AX180+AX183+AX201+AX204+AX205+AX206)</f>
        <v>#VALUE!</v>
      </c>
      <c r="AY213" s="35" t="e">
        <f>SUM(AY164+AY168+AY170+AY171+AY178+AY179+AY180+AY183+AY201+AY204+AY205+AY206)</f>
        <v>#VALUE!</v>
      </c>
      <c r="AZ213" s="35" t="e">
        <f>SUM(AZ164+AZ168+AZ170+AZ171+AZ178+AZ179+AZ180+AZ183+AZ201+AZ204+AZ205+AZ206)</f>
        <v>#VALUE!</v>
      </c>
      <c r="BA213" s="35" t="e">
        <f>SUM(BA164,BA168,BA170,BA171,BA178,BA179,BA183,BA180,BA201,BA204,BA205,BA206)</f>
        <v>#VALUE!</v>
      </c>
      <c r="BB213" s="35" t="e">
        <f>SUM(BB164+BB168+BB170+BB171+BB178+BB179+BB180+BB183+BB201+BB204+BB205+BB206)</f>
        <v>#VALUE!</v>
      </c>
      <c r="BC213" s="35" t="e">
        <f>SUM(BC164+BC168+BC170+BC171+BC178+BC179+BC180+BC183+BC201+BC204+BC205+BC206)</f>
        <v>#VALUE!</v>
      </c>
      <c r="BD213" s="35" t="e">
        <f>SUM(BD164+BD168+BD170+BD171+BD178+BD179+BD180+BD183+BD201+BD204+BD205+BD206)</f>
        <v>#VALUE!</v>
      </c>
      <c r="BE213" s="35" t="e">
        <f>SUM(BE164+BE168+BE170+BE171+BE178+BE179+BE180+BE183+BE201+BE204+BE205+BE206)</f>
        <v>#VALUE!</v>
      </c>
      <c r="BF213" s="35" t="e">
        <f>SUM(BF164,BF168,BF170,BF171,BF178,BF179,BF183,BF180,BF201,BF204,BF205,BF206)</f>
        <v>#VALUE!</v>
      </c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</row>
    <row r="214" spans="1:103" x14ac:dyDescent="0.2">
      <c r="C214" s="14" t="s">
        <v>69</v>
      </c>
      <c r="D214" s="46"/>
      <c r="E214" s="46"/>
      <c r="F214" s="46"/>
      <c r="G214" s="46"/>
      <c r="H214" s="12"/>
      <c r="I214" s="46" t="str">
        <f>'Inputs (2)'!D41</f>
        <v/>
      </c>
      <c r="J214" s="46" t="str">
        <f>'Inputs (2)'!E41</f>
        <v/>
      </c>
      <c r="K214" s="46" t="str">
        <f>'Inputs (2)'!F41</f>
        <v/>
      </c>
      <c r="L214" s="46" t="str">
        <f>'Inputs (2)'!G41</f>
        <v/>
      </c>
      <c r="M214" s="12" t="str">
        <f>'Inputs (2)'!H41</f>
        <v/>
      </c>
      <c r="N214" s="46" t="str">
        <f>'Inputs (2)'!I41</f>
        <v/>
      </c>
      <c r="O214" s="46" t="str">
        <f>'Inputs (2)'!J41</f>
        <v/>
      </c>
      <c r="P214" s="46" t="str">
        <f>'Inputs (2)'!K41</f>
        <v/>
      </c>
      <c r="Q214" s="46" t="str">
        <f>'Inputs (2)'!L41</f>
        <v/>
      </c>
      <c r="R214" s="12" t="str">
        <f>'Inputs (2)'!M41</f>
        <v/>
      </c>
      <c r="S214" s="46" t="str">
        <f>'Inputs (2)'!N41</f>
        <v/>
      </c>
      <c r="T214" s="46" t="str">
        <f>'Inputs (2)'!O41</f>
        <v/>
      </c>
      <c r="U214" s="46" t="str">
        <f>'Inputs (2)'!P41</f>
        <v/>
      </c>
      <c r="V214" s="46" t="str">
        <f>'Inputs (2)'!Q41</f>
        <v/>
      </c>
      <c r="W214" s="12" t="str">
        <f>'Inputs (2)'!R41</f>
        <v/>
      </c>
      <c r="X214" s="46" t="str">
        <f>'Inputs (2)'!S41</f>
        <v/>
      </c>
      <c r="Y214" s="46" t="str">
        <f>'Inputs (2)'!T41</f>
        <v/>
      </c>
      <c r="Z214" s="46" t="str">
        <f>'Inputs (2)'!U41</f>
        <v/>
      </c>
      <c r="AA214" s="46" t="str">
        <f>'Inputs (2)'!V41</f>
        <v/>
      </c>
      <c r="AB214" s="12" t="str">
        <f>'Inputs (2)'!W41</f>
        <v/>
      </c>
      <c r="AC214" s="46" t="str">
        <f>'Inputs (2)'!X41</f>
        <v/>
      </c>
      <c r="AD214" s="46" t="str">
        <f>'Inputs (2)'!Y41</f>
        <v/>
      </c>
      <c r="AE214" s="46" t="str">
        <f>'Inputs (2)'!Z41</f>
        <v/>
      </c>
      <c r="AF214" s="46" t="str">
        <f>'Inputs (2)'!AA41</f>
        <v/>
      </c>
      <c r="AG214" s="12" t="str">
        <f>'Inputs (2)'!AB41</f>
        <v/>
      </c>
      <c r="AH214" s="12" t="str">
        <f>'Inputs (2)'!AC41</f>
        <v/>
      </c>
      <c r="AI214" s="12" t="str">
        <f>'Inputs (2)'!AD41</f>
        <v/>
      </c>
      <c r="AJ214" s="12" t="str">
        <f t="shared" ref="AJ214:BF214" si="47">AI214</f>
        <v/>
      </c>
      <c r="AK214" s="12" t="str">
        <f t="shared" si="47"/>
        <v/>
      </c>
      <c r="AL214" s="12" t="str">
        <f t="shared" si="47"/>
        <v/>
      </c>
      <c r="AM214" s="12" t="str">
        <f t="shared" si="47"/>
        <v/>
      </c>
      <c r="AN214" s="12" t="str">
        <f t="shared" si="47"/>
        <v/>
      </c>
      <c r="AO214" s="12" t="str">
        <f t="shared" si="47"/>
        <v/>
      </c>
      <c r="AP214" s="12" t="str">
        <f t="shared" si="47"/>
        <v/>
      </c>
      <c r="AQ214" s="12" t="str">
        <f t="shared" si="47"/>
        <v/>
      </c>
      <c r="AR214" s="12" t="str">
        <f t="shared" si="47"/>
        <v/>
      </c>
      <c r="AS214" s="12" t="str">
        <f t="shared" si="47"/>
        <v/>
      </c>
      <c r="AT214" s="12" t="str">
        <f t="shared" si="47"/>
        <v/>
      </c>
      <c r="AU214" s="12" t="str">
        <f t="shared" si="47"/>
        <v/>
      </c>
      <c r="AV214" s="12" t="str">
        <f t="shared" si="47"/>
        <v/>
      </c>
      <c r="AW214" s="12" t="str">
        <f t="shared" si="47"/>
        <v/>
      </c>
      <c r="AX214" s="12" t="str">
        <f t="shared" si="47"/>
        <v/>
      </c>
      <c r="AY214" s="12" t="str">
        <f t="shared" si="47"/>
        <v/>
      </c>
      <c r="AZ214" s="12" t="str">
        <f t="shared" si="47"/>
        <v/>
      </c>
      <c r="BA214" s="12" t="str">
        <f t="shared" si="47"/>
        <v/>
      </c>
      <c r="BB214" s="12" t="str">
        <f t="shared" si="47"/>
        <v/>
      </c>
      <c r="BC214" s="12" t="str">
        <f t="shared" si="47"/>
        <v/>
      </c>
      <c r="BD214" s="12" t="str">
        <f t="shared" si="47"/>
        <v/>
      </c>
      <c r="BE214" s="12" t="str">
        <f t="shared" si="47"/>
        <v/>
      </c>
      <c r="BF214" s="12" t="str">
        <f t="shared" si="47"/>
        <v/>
      </c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</row>
    <row r="215" spans="1:103" s="66" customFormat="1" hidden="1" outlineLevel="1" x14ac:dyDescent="0.2">
      <c r="A215" s="37"/>
      <c r="B215" s="37"/>
      <c r="C215" s="59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2"/>
      <c r="BP215" s="42"/>
      <c r="BQ215" s="42"/>
      <c r="BR215" s="42"/>
      <c r="BS215" s="42"/>
      <c r="BT215" s="42"/>
      <c r="BU215" s="42"/>
      <c r="BV215" s="42"/>
      <c r="BW215" s="42"/>
      <c r="BX215" s="42"/>
      <c r="BY215" s="42"/>
      <c r="BZ215" s="42"/>
      <c r="CA215" s="42"/>
      <c r="CB215" s="42"/>
      <c r="CC215" s="42"/>
      <c r="CD215" s="42"/>
      <c r="CE215" s="42"/>
      <c r="CF215" s="42"/>
      <c r="CG215" s="42"/>
      <c r="CH215" s="42"/>
      <c r="CI215" s="42"/>
      <c r="CJ215" s="42"/>
      <c r="CK215" s="42"/>
      <c r="CL215" s="42"/>
      <c r="CM215" s="42"/>
      <c r="CN215" s="42"/>
      <c r="CO215" s="42"/>
      <c r="CP215" s="42"/>
      <c r="CQ215" s="42"/>
      <c r="CR215" s="42"/>
      <c r="CS215" s="42"/>
      <c r="CT215" s="42"/>
      <c r="CU215" s="42"/>
      <c r="CV215" s="42"/>
      <c r="CW215" s="42"/>
      <c r="CX215" s="42"/>
      <c r="CY215" s="42"/>
    </row>
    <row r="216" spans="1:103" s="66" customFormat="1" hidden="1" outlineLevel="1" x14ac:dyDescent="0.2">
      <c r="A216" s="37"/>
      <c r="B216" s="37"/>
      <c r="C216" s="57" t="s">
        <v>173</v>
      </c>
      <c r="D216" s="42"/>
      <c r="E216" s="58"/>
      <c r="F216" s="42"/>
      <c r="G216" s="42"/>
      <c r="H216" s="58"/>
      <c r="I216" s="42"/>
      <c r="J216" s="58" t="e">
        <f>IF(I101=0,0,J101/I101-1)</f>
        <v>#VALUE!</v>
      </c>
      <c r="K216" s="42"/>
      <c r="L216" s="42"/>
      <c r="M216" s="58"/>
      <c r="N216" s="58" t="e">
        <f>IF(I101=0,0,N101/I101-1)</f>
        <v>#VALUE!</v>
      </c>
      <c r="O216" s="58" t="e">
        <f>IF(J101=0,0,O101/J101-1)</f>
        <v>#VALUE!</v>
      </c>
      <c r="P216" s="58" t="e">
        <f>IF(K101=0,0,P101/K101-1)</f>
        <v>#VALUE!</v>
      </c>
      <c r="Q216" s="58" t="e">
        <f>IF(L101=0,0,Q101/L101-1)</f>
        <v>#VALUE!</v>
      </c>
      <c r="R216" s="58"/>
      <c r="S216" s="58" t="e">
        <f>IF(N101=0,0,S101/N101-1)</f>
        <v>#VALUE!</v>
      </c>
      <c r="T216" s="58" t="e">
        <f>IF(O101=0,0,T101/O101-1)</f>
        <v>#VALUE!</v>
      </c>
      <c r="U216" s="58" t="e">
        <f>IF(P101=0,0,U101/P101-1)</f>
        <v>#VALUE!</v>
      </c>
      <c r="V216" s="58" t="e">
        <f>IF(Q101=0,0,V101/Q101-1)</f>
        <v>#VALUE!</v>
      </c>
      <c r="W216" s="58" t="e">
        <f>IF(R102=0,0,W102/R102-1)</f>
        <v>#VALUE!</v>
      </c>
      <c r="X216" s="58" t="e">
        <f>IF(S101=0,0,X101/S101-1)</f>
        <v>#VALUE!</v>
      </c>
      <c r="Y216" s="58" t="e">
        <f>IF(T101=0,0,Y101/T101-1)</f>
        <v>#VALUE!</v>
      </c>
      <c r="Z216" s="58" t="e">
        <f>IF(U101=0,0,Z101/U101-1)</f>
        <v>#VALUE!</v>
      </c>
      <c r="AA216" s="58" t="e">
        <f>IF(V101=0,0,AA101/V101-1)</f>
        <v>#VALUE!</v>
      </c>
      <c r="AB216" s="58" t="e">
        <f>IF(W102=0,0,AB102/W102-1)</f>
        <v>#VALUE!</v>
      </c>
      <c r="AC216" s="58" t="e">
        <f>IF(X101=0,0,AC101/X101-1)</f>
        <v>#VALUE!</v>
      </c>
      <c r="AD216" s="58" t="e">
        <f>IF(Y101=0,0,AD101/Y101-1)</f>
        <v>#VALUE!</v>
      </c>
      <c r="AE216" s="58" t="e">
        <f>IF(Z101=0,0,AE101/Z101-1)</f>
        <v>#VALUE!</v>
      </c>
      <c r="AF216" s="58" t="e">
        <f>IF(AA101=0,0,AF101/AA101-1)</f>
        <v>#VALUE!</v>
      </c>
      <c r="AG216" s="58" t="e">
        <f>IF(AB102=0,0,AG102/AB102-1)</f>
        <v>#VALUE!</v>
      </c>
      <c r="AH216" s="62"/>
      <c r="AI216" s="62"/>
      <c r="AJ216" s="62"/>
      <c r="AK216" s="62"/>
      <c r="AL216" s="58" t="e">
        <f>IF(AG102=0,0,AL102/AG102-1)</f>
        <v>#VALUE!</v>
      </c>
      <c r="AM216" s="62"/>
      <c r="AN216" s="62"/>
      <c r="AO216" s="62"/>
      <c r="AP216" s="62"/>
      <c r="AQ216" s="58">
        <f>IF(AL102=0,0,AQ102/AL102-1)</f>
        <v>0</v>
      </c>
      <c r="AR216" s="62"/>
      <c r="AS216" s="62"/>
      <c r="AT216" s="62"/>
      <c r="AU216" s="62"/>
      <c r="AV216" s="58">
        <f>IF(AQ102=0,0,AV102/AQ102-1)</f>
        <v>0</v>
      </c>
      <c r="AW216" s="62"/>
      <c r="AX216" s="62"/>
      <c r="AY216" s="62"/>
      <c r="AZ216" s="62"/>
      <c r="BA216" s="58">
        <f>IF(AV102=0,0,BA102/AV102-1)</f>
        <v>0</v>
      </c>
      <c r="BB216" s="62"/>
      <c r="BC216" s="62"/>
      <c r="BD216" s="62"/>
      <c r="BE216" s="62"/>
      <c r="BF216" s="58">
        <f>IF(BA102=0,0,BF102/BA102-1)</f>
        <v>0</v>
      </c>
      <c r="BG216" s="62"/>
      <c r="BH216" s="62"/>
      <c r="BI216" s="62"/>
      <c r="BJ216" s="62"/>
      <c r="BK216" s="58"/>
      <c r="BL216" s="62"/>
      <c r="BM216" s="62"/>
      <c r="BN216" s="62"/>
      <c r="BO216" s="62"/>
      <c r="BP216" s="58"/>
      <c r="BQ216" s="62"/>
      <c r="BR216" s="62"/>
      <c r="BS216" s="62"/>
      <c r="BT216" s="62"/>
      <c r="BU216" s="58"/>
      <c r="BV216" s="62"/>
      <c r="BW216" s="62"/>
      <c r="BX216" s="62"/>
      <c r="BY216" s="62"/>
      <c r="BZ216" s="58"/>
      <c r="CA216" s="62"/>
      <c r="CB216" s="62"/>
      <c r="CC216" s="62"/>
      <c r="CD216" s="62"/>
      <c r="CE216" s="58"/>
      <c r="CF216" s="62"/>
      <c r="CG216" s="62"/>
      <c r="CH216" s="62"/>
      <c r="CI216" s="62"/>
      <c r="CJ216" s="58"/>
      <c r="CK216" s="62"/>
      <c r="CL216" s="62"/>
      <c r="CM216" s="62"/>
      <c r="CN216" s="62"/>
      <c r="CO216" s="58"/>
      <c r="CP216" s="62"/>
      <c r="CQ216" s="62"/>
      <c r="CR216" s="62"/>
      <c r="CS216" s="62"/>
      <c r="CT216" s="58"/>
      <c r="CU216" s="62"/>
      <c r="CV216" s="62"/>
      <c r="CW216" s="62"/>
      <c r="CX216" s="62"/>
      <c r="CY216" s="58"/>
    </row>
    <row r="217" spans="1:103" s="66" customFormat="1" hidden="1" outlineLevel="1" x14ac:dyDescent="0.2">
      <c r="A217" s="37"/>
      <c r="B217" s="37"/>
      <c r="C217" s="57" t="s">
        <v>144</v>
      </c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62"/>
      <c r="AI217" s="62"/>
      <c r="AJ217" s="62"/>
      <c r="AK217" s="62"/>
      <c r="AL217" s="42"/>
      <c r="AM217" s="62"/>
      <c r="AN217" s="62"/>
      <c r="AO217" s="62"/>
      <c r="AP217" s="62"/>
      <c r="AQ217" s="42"/>
      <c r="AR217" s="62"/>
      <c r="AS217" s="62"/>
      <c r="AT217" s="62"/>
      <c r="AU217" s="62"/>
      <c r="AV217" s="42"/>
      <c r="AW217" s="62"/>
      <c r="AX217" s="62"/>
      <c r="AY217" s="62"/>
      <c r="AZ217" s="62"/>
      <c r="BA217" s="42"/>
      <c r="BB217" s="62"/>
      <c r="BC217" s="62"/>
      <c r="BD217" s="62"/>
      <c r="BE217" s="62"/>
      <c r="BF217" s="42"/>
      <c r="BG217" s="62"/>
      <c r="BH217" s="62"/>
      <c r="BI217" s="62"/>
      <c r="BJ217" s="62"/>
      <c r="BK217" s="42"/>
      <c r="BL217" s="62"/>
      <c r="BM217" s="62"/>
      <c r="BN217" s="62"/>
      <c r="BO217" s="62"/>
      <c r="BP217" s="42"/>
      <c r="BQ217" s="62"/>
      <c r="BR217" s="62"/>
      <c r="BS217" s="62"/>
      <c r="BT217" s="62"/>
      <c r="BU217" s="42"/>
      <c r="BV217" s="62"/>
      <c r="BW217" s="62"/>
      <c r="BX217" s="62"/>
      <c r="BY217" s="62"/>
      <c r="BZ217" s="42"/>
      <c r="CA217" s="62"/>
      <c r="CB217" s="62"/>
      <c r="CC217" s="62"/>
      <c r="CD217" s="62"/>
      <c r="CE217" s="42"/>
      <c r="CF217" s="62"/>
      <c r="CG217" s="62"/>
      <c r="CH217" s="62"/>
      <c r="CI217" s="62"/>
      <c r="CJ217" s="42"/>
      <c r="CK217" s="62"/>
      <c r="CL217" s="62"/>
      <c r="CM217" s="62"/>
      <c r="CN217" s="62"/>
      <c r="CO217" s="42"/>
      <c r="CP217" s="62"/>
      <c r="CQ217" s="62"/>
      <c r="CR217" s="62"/>
      <c r="CS217" s="62"/>
      <c r="CT217" s="42"/>
      <c r="CU217" s="62"/>
      <c r="CV217" s="62"/>
      <c r="CW217" s="62"/>
      <c r="CX217" s="62"/>
      <c r="CY217" s="42"/>
    </row>
    <row r="218" spans="1:103" s="66" customFormat="1" hidden="1" outlineLevel="1" x14ac:dyDescent="0.2">
      <c r="A218" s="37"/>
      <c r="B218" s="37"/>
      <c r="C218" s="59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/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2"/>
      <c r="CA218" s="42"/>
      <c r="CB218" s="42"/>
      <c r="CC218" s="42"/>
      <c r="CD218" s="42"/>
      <c r="CE218" s="42"/>
      <c r="CF218" s="42"/>
      <c r="CG218" s="42"/>
      <c r="CH218" s="42"/>
      <c r="CI218" s="42"/>
      <c r="CJ218" s="42"/>
      <c r="CK218" s="42"/>
      <c r="CL218" s="42"/>
      <c r="CM218" s="42"/>
      <c r="CN218" s="42"/>
      <c r="CO218" s="42"/>
      <c r="CP218" s="42"/>
      <c r="CQ218" s="42"/>
      <c r="CR218" s="42"/>
      <c r="CS218" s="42"/>
      <c r="CT218" s="42"/>
      <c r="CU218" s="42"/>
      <c r="CV218" s="42"/>
      <c r="CW218" s="42"/>
      <c r="CX218" s="42"/>
      <c r="CY218" s="42"/>
    </row>
    <row r="219" spans="1:103" collapsed="1" x14ac:dyDescent="0.2">
      <c r="C219" s="14" t="s">
        <v>70</v>
      </c>
      <c r="D219" s="46"/>
      <c r="E219" s="46"/>
      <c r="F219" s="46"/>
      <c r="G219" s="46"/>
      <c r="H219" s="12"/>
      <c r="I219" s="46" t="str">
        <f>'Inputs (2)'!D42</f>
        <v/>
      </c>
      <c r="J219" s="46" t="str">
        <f>'Inputs (2)'!E42</f>
        <v/>
      </c>
      <c r="K219" s="46" t="str">
        <f>'Inputs (2)'!F42</f>
        <v/>
      </c>
      <c r="L219" s="46" t="str">
        <f>'Inputs (2)'!G42</f>
        <v/>
      </c>
      <c r="M219" s="12" t="str">
        <f>'Inputs (2)'!H42</f>
        <v/>
      </c>
      <c r="N219" s="46" t="str">
        <f>'Inputs (2)'!I42</f>
        <v/>
      </c>
      <c r="O219" s="46" t="str">
        <f>'Inputs (2)'!J42</f>
        <v/>
      </c>
      <c r="P219" s="46" t="str">
        <f>'Inputs (2)'!K42</f>
        <v/>
      </c>
      <c r="Q219" s="46" t="str">
        <f>'Inputs (2)'!L42</f>
        <v/>
      </c>
      <c r="R219" s="12" t="str">
        <f>'Inputs (2)'!M42</f>
        <v/>
      </c>
      <c r="S219" s="46" t="str">
        <f>'Inputs (2)'!N42</f>
        <v/>
      </c>
      <c r="T219" s="46" t="str">
        <f>'Inputs (2)'!O42</f>
        <v/>
      </c>
      <c r="U219" s="46" t="str">
        <f>'Inputs (2)'!P42</f>
        <v/>
      </c>
      <c r="V219" s="46" t="str">
        <f>'Inputs (2)'!Q42</f>
        <v/>
      </c>
      <c r="W219" s="12" t="str">
        <f>'Inputs (2)'!R42</f>
        <v/>
      </c>
      <c r="X219" s="46" t="str">
        <f>'Inputs (2)'!S42</f>
        <v/>
      </c>
      <c r="Y219" s="46" t="str">
        <f>'Inputs (2)'!T42</f>
        <v/>
      </c>
      <c r="Z219" s="46" t="str">
        <f>'Inputs (2)'!U42</f>
        <v/>
      </c>
      <c r="AA219" s="46" t="str">
        <f>'Inputs (2)'!V42</f>
        <v/>
      </c>
      <c r="AB219" s="12" t="str">
        <f>'Inputs (2)'!W42</f>
        <v/>
      </c>
      <c r="AC219" s="46" t="str">
        <f>'Inputs (2)'!X42</f>
        <v/>
      </c>
      <c r="AD219" s="46" t="str">
        <f>'Inputs (2)'!Y42</f>
        <v/>
      </c>
      <c r="AE219" s="46" t="str">
        <f>'Inputs (2)'!Z42</f>
        <v/>
      </c>
      <c r="AF219" s="46" t="str">
        <f>'Inputs (2)'!AA42</f>
        <v/>
      </c>
      <c r="AG219" s="12" t="str">
        <f>'Inputs (2)'!AB42</f>
        <v/>
      </c>
      <c r="AH219" s="12" t="str">
        <f>'Inputs (2)'!AC42</f>
        <v/>
      </c>
      <c r="AI219" s="12" t="str">
        <f>'Inputs (2)'!AD42</f>
        <v/>
      </c>
      <c r="AJ219" s="12" t="str">
        <f t="shared" ref="AJ219:BF219" si="48">AI219</f>
        <v/>
      </c>
      <c r="AK219" s="12" t="str">
        <f t="shared" si="48"/>
        <v/>
      </c>
      <c r="AL219" s="12" t="str">
        <f t="shared" si="48"/>
        <v/>
      </c>
      <c r="AM219" s="12" t="str">
        <f t="shared" si="48"/>
        <v/>
      </c>
      <c r="AN219" s="12" t="str">
        <f t="shared" si="48"/>
        <v/>
      </c>
      <c r="AO219" s="12" t="str">
        <f t="shared" si="48"/>
        <v/>
      </c>
      <c r="AP219" s="12" t="str">
        <f t="shared" si="48"/>
        <v/>
      </c>
      <c r="AQ219" s="12" t="str">
        <f t="shared" si="48"/>
        <v/>
      </c>
      <c r="AR219" s="12" t="str">
        <f t="shared" si="48"/>
        <v/>
      </c>
      <c r="AS219" s="12" t="str">
        <f t="shared" si="48"/>
        <v/>
      </c>
      <c r="AT219" s="12" t="str">
        <f t="shared" si="48"/>
        <v/>
      </c>
      <c r="AU219" s="12" t="str">
        <f t="shared" si="48"/>
        <v/>
      </c>
      <c r="AV219" s="12" t="str">
        <f t="shared" si="48"/>
        <v/>
      </c>
      <c r="AW219" s="12" t="str">
        <f t="shared" si="48"/>
        <v/>
      </c>
      <c r="AX219" s="12" t="str">
        <f t="shared" si="48"/>
        <v/>
      </c>
      <c r="AY219" s="12" t="str">
        <f t="shared" si="48"/>
        <v/>
      </c>
      <c r="AZ219" s="12" t="str">
        <f t="shared" si="48"/>
        <v/>
      </c>
      <c r="BA219" s="12" t="str">
        <f t="shared" si="48"/>
        <v/>
      </c>
      <c r="BB219" s="12" t="str">
        <f t="shared" si="48"/>
        <v/>
      </c>
      <c r="BC219" s="12" t="str">
        <f t="shared" si="48"/>
        <v/>
      </c>
      <c r="BD219" s="12" t="str">
        <f t="shared" si="48"/>
        <v/>
      </c>
      <c r="BE219" s="12" t="str">
        <f t="shared" si="48"/>
        <v/>
      </c>
      <c r="BF219" s="12" t="str">
        <f t="shared" si="48"/>
        <v/>
      </c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</row>
    <row r="220" spans="1:103" x14ac:dyDescent="0.2">
      <c r="C220" s="13" t="s">
        <v>71</v>
      </c>
      <c r="D220" s="46"/>
      <c r="E220" s="46"/>
      <c r="F220" s="46"/>
      <c r="G220" s="46"/>
      <c r="H220" s="12"/>
      <c r="I220" s="46" t="str">
        <f>'Inputs (2)'!D43</f>
        <v/>
      </c>
      <c r="J220" s="46" t="str">
        <f>'Inputs (2)'!E43</f>
        <v/>
      </c>
      <c r="K220" s="46" t="str">
        <f>'Inputs (2)'!F43</f>
        <v/>
      </c>
      <c r="L220" s="46" t="str">
        <f>'Inputs (2)'!G43</f>
        <v/>
      </c>
      <c r="M220" s="12" t="str">
        <f>'Inputs (2)'!H43</f>
        <v/>
      </c>
      <c r="N220" s="46" t="str">
        <f>'Inputs (2)'!I43</f>
        <v/>
      </c>
      <c r="O220" s="46" t="str">
        <f>'Inputs (2)'!J43</f>
        <v/>
      </c>
      <c r="P220" s="46" t="str">
        <f>'Inputs (2)'!K43</f>
        <v/>
      </c>
      <c r="Q220" s="46" t="str">
        <f>'Inputs (2)'!L43</f>
        <v/>
      </c>
      <c r="R220" s="12" t="str">
        <f>'Inputs (2)'!M43</f>
        <v/>
      </c>
      <c r="S220" s="46" t="str">
        <f>'Inputs (2)'!N43</f>
        <v/>
      </c>
      <c r="T220" s="46" t="str">
        <f>'Inputs (2)'!O43</f>
        <v/>
      </c>
      <c r="U220" s="46" t="str">
        <f>'Inputs (2)'!P43</f>
        <v/>
      </c>
      <c r="V220" s="46" t="str">
        <f>'Inputs (2)'!Q43</f>
        <v/>
      </c>
      <c r="W220" s="12" t="str">
        <f>'Inputs (2)'!R43</f>
        <v/>
      </c>
      <c r="X220" s="46" t="str">
        <f>'Inputs (2)'!S43</f>
        <v/>
      </c>
      <c r="Y220" s="46" t="str">
        <f>'Inputs (2)'!T43</f>
        <v/>
      </c>
      <c r="Z220" s="46" t="str">
        <f>'Inputs (2)'!U43</f>
        <v/>
      </c>
      <c r="AA220" s="46" t="str">
        <f>'Inputs (2)'!V43</f>
        <v/>
      </c>
      <c r="AB220" s="12" t="str">
        <f>'Inputs (2)'!W43</f>
        <v/>
      </c>
      <c r="AC220" s="46" t="str">
        <f>'Inputs (2)'!X43</f>
        <v/>
      </c>
      <c r="AD220" s="46" t="str">
        <f>'Inputs (2)'!Y43</f>
        <v/>
      </c>
      <c r="AE220" s="46" t="str">
        <f>'Inputs (2)'!Z43</f>
        <v/>
      </c>
      <c r="AF220" s="46" t="str">
        <f>'Inputs (2)'!AA43</f>
        <v/>
      </c>
      <c r="AG220" s="12" t="str">
        <f>'Inputs (2)'!AB43</f>
        <v/>
      </c>
      <c r="AH220" s="12" t="e">
        <f>AG220+AH224</f>
        <v>#VALUE!</v>
      </c>
      <c r="AI220" s="12" t="e">
        <f>AH220+AI224</f>
        <v>#VALUE!</v>
      </c>
      <c r="AJ220" s="12" t="e">
        <f>AI220+AJ224</f>
        <v>#VALUE!</v>
      </c>
      <c r="AK220" s="12" t="e">
        <f>AJ220+AK224</f>
        <v>#VALUE!</v>
      </c>
      <c r="AL220" s="12" t="e">
        <f>AK220</f>
        <v>#VALUE!</v>
      </c>
      <c r="AM220" s="12" t="e">
        <f>AL220+AM224</f>
        <v>#VALUE!</v>
      </c>
      <c r="AN220" s="12" t="e">
        <f>AM220+AN224</f>
        <v>#VALUE!</v>
      </c>
      <c r="AO220" s="12" t="e">
        <f>AN220+AO224</f>
        <v>#VALUE!</v>
      </c>
      <c r="AP220" s="12" t="e">
        <f>AO220+AP224</f>
        <v>#VALUE!</v>
      </c>
      <c r="AQ220" s="12" t="e">
        <f>AP220</f>
        <v>#VALUE!</v>
      </c>
      <c r="AR220" s="12" t="e">
        <f>AQ220+AR224</f>
        <v>#VALUE!</v>
      </c>
      <c r="AS220" s="12" t="e">
        <f>AR220+AS224</f>
        <v>#VALUE!</v>
      </c>
      <c r="AT220" s="12" t="e">
        <f>AS220+AT224</f>
        <v>#VALUE!</v>
      </c>
      <c r="AU220" s="12" t="e">
        <f>AT220+AU224</f>
        <v>#VALUE!</v>
      </c>
      <c r="AV220" s="12" t="e">
        <f>AU220</f>
        <v>#VALUE!</v>
      </c>
      <c r="AW220" s="12" t="e">
        <f>AV220+AW224</f>
        <v>#VALUE!</v>
      </c>
      <c r="AX220" s="12" t="e">
        <f>AW220+AX224</f>
        <v>#VALUE!</v>
      </c>
      <c r="AY220" s="12" t="e">
        <f>AX220+AY224</f>
        <v>#VALUE!</v>
      </c>
      <c r="AZ220" s="12" t="e">
        <f>AY220+AZ224</f>
        <v>#VALUE!</v>
      </c>
      <c r="BA220" s="12" t="e">
        <f>AZ220</f>
        <v>#VALUE!</v>
      </c>
      <c r="BB220" s="12" t="e">
        <f>BA220+BB224</f>
        <v>#VALUE!</v>
      </c>
      <c r="BC220" s="12" t="e">
        <f>BB220+BC224</f>
        <v>#VALUE!</v>
      </c>
      <c r="BD220" s="12" t="e">
        <f>BC220+BD224</f>
        <v>#VALUE!</v>
      </c>
      <c r="BE220" s="12" t="e">
        <f>BD220+BE224</f>
        <v>#VALUE!</v>
      </c>
      <c r="BF220" s="12" t="e">
        <f>BE220</f>
        <v>#VALUE!</v>
      </c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</row>
    <row r="221" spans="1:103" s="66" customFormat="1" hidden="1" outlineLevel="1" x14ac:dyDescent="0.2">
      <c r="A221" s="37"/>
      <c r="B221" s="37"/>
      <c r="C221" s="67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/>
      <c r="BP221" s="42"/>
      <c r="BQ221" s="42"/>
      <c r="BR221" s="42"/>
      <c r="BS221" s="42"/>
      <c r="BT221" s="42"/>
      <c r="BU221" s="42"/>
      <c r="BV221" s="42"/>
      <c r="BW221" s="42"/>
      <c r="BX221" s="42"/>
      <c r="BY221" s="42"/>
      <c r="BZ221" s="42"/>
      <c r="CA221" s="42"/>
      <c r="CB221" s="42"/>
      <c r="CC221" s="42"/>
      <c r="CD221" s="42"/>
      <c r="CE221" s="42"/>
      <c r="CF221" s="42"/>
      <c r="CG221" s="42"/>
      <c r="CH221" s="42"/>
      <c r="CI221" s="42"/>
      <c r="CJ221" s="42"/>
      <c r="CK221" s="42"/>
      <c r="CL221" s="42"/>
      <c r="CM221" s="42"/>
      <c r="CN221" s="42"/>
      <c r="CO221" s="42"/>
      <c r="CP221" s="42"/>
      <c r="CQ221" s="42"/>
      <c r="CR221" s="42"/>
      <c r="CS221" s="42"/>
      <c r="CT221" s="42"/>
      <c r="CU221" s="42"/>
      <c r="CV221" s="42"/>
      <c r="CW221" s="42"/>
      <c r="CX221" s="42"/>
      <c r="CY221" s="42"/>
    </row>
    <row r="222" spans="1:103" s="66" customFormat="1" hidden="1" outlineLevel="1" x14ac:dyDescent="0.2">
      <c r="A222" s="37"/>
      <c r="B222" s="37"/>
      <c r="C222" s="67" t="s">
        <v>174</v>
      </c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  <c r="BO222" s="42"/>
      <c r="BP222" s="42"/>
      <c r="BQ222" s="42"/>
      <c r="BR222" s="42"/>
      <c r="BS222" s="42"/>
      <c r="BT222" s="42"/>
      <c r="BU222" s="42"/>
      <c r="BV222" s="42"/>
      <c r="BW222" s="42"/>
      <c r="BX222" s="42"/>
      <c r="BY222" s="42"/>
      <c r="BZ222" s="42"/>
      <c r="CA222" s="42"/>
      <c r="CB222" s="42"/>
      <c r="CC222" s="42"/>
      <c r="CD222" s="42"/>
      <c r="CE222" s="42"/>
      <c r="CF222" s="42"/>
      <c r="CG222" s="42"/>
      <c r="CH222" s="42"/>
      <c r="CI222" s="42"/>
      <c r="CJ222" s="42"/>
      <c r="CK222" s="42"/>
      <c r="CL222" s="42"/>
      <c r="CM222" s="42"/>
      <c r="CN222" s="42"/>
      <c r="CO222" s="42"/>
      <c r="CP222" s="42"/>
      <c r="CQ222" s="42"/>
      <c r="CR222" s="42"/>
      <c r="CS222" s="42"/>
      <c r="CT222" s="42"/>
      <c r="CU222" s="42"/>
      <c r="CV222" s="42"/>
      <c r="CW222" s="42"/>
      <c r="CX222" s="42"/>
      <c r="CY222" s="42"/>
    </row>
    <row r="223" spans="1:103" s="66" customFormat="1" hidden="1" outlineLevel="1" x14ac:dyDescent="0.2">
      <c r="A223" s="37"/>
      <c r="B223" s="37"/>
      <c r="C223" s="67" t="s">
        <v>175</v>
      </c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11"/>
      <c r="AI223" s="11"/>
      <c r="AJ223" s="11"/>
      <c r="AK223" s="11"/>
      <c r="AL223" s="42"/>
      <c r="AM223" s="11"/>
      <c r="AN223" s="11"/>
      <c r="AO223" s="11"/>
      <c r="AP223" s="11"/>
      <c r="AQ223" s="42"/>
      <c r="AR223" s="11"/>
      <c r="AS223" s="11"/>
      <c r="AT223" s="11"/>
      <c r="AU223" s="11"/>
      <c r="AV223" s="42"/>
      <c r="AW223" s="11"/>
      <c r="AX223" s="11"/>
      <c r="AY223" s="11"/>
      <c r="AZ223" s="11"/>
      <c r="BA223" s="42"/>
      <c r="BB223" s="11"/>
      <c r="BC223" s="11"/>
      <c r="BD223" s="11"/>
      <c r="BE223" s="11"/>
      <c r="BF223" s="42"/>
      <c r="BG223" s="11"/>
      <c r="BH223" s="11"/>
      <c r="BI223" s="11"/>
      <c r="BJ223" s="11"/>
      <c r="BK223" s="42"/>
      <c r="BL223" s="11"/>
      <c r="BM223" s="11"/>
      <c r="BN223" s="11"/>
      <c r="BO223" s="11"/>
      <c r="BP223" s="42"/>
      <c r="BQ223" s="11"/>
      <c r="BR223" s="11"/>
      <c r="BS223" s="11"/>
      <c r="BT223" s="11"/>
      <c r="BU223" s="42"/>
      <c r="BV223" s="11"/>
      <c r="BW223" s="11"/>
      <c r="BX223" s="11"/>
      <c r="BY223" s="11"/>
      <c r="BZ223" s="42"/>
      <c r="CA223" s="11"/>
      <c r="CB223" s="11"/>
      <c r="CC223" s="11"/>
      <c r="CD223" s="11"/>
      <c r="CE223" s="42"/>
      <c r="CF223" s="11"/>
      <c r="CG223" s="11"/>
      <c r="CH223" s="11"/>
      <c r="CI223" s="11"/>
      <c r="CJ223" s="42"/>
      <c r="CK223" s="11"/>
      <c r="CL223" s="11"/>
      <c r="CM223" s="11"/>
      <c r="CN223" s="11"/>
      <c r="CO223" s="42"/>
      <c r="CP223" s="11"/>
      <c r="CQ223" s="11"/>
      <c r="CR223" s="11"/>
      <c r="CS223" s="11"/>
      <c r="CT223" s="42"/>
      <c r="CU223" s="11"/>
      <c r="CV223" s="11"/>
      <c r="CW223" s="11"/>
      <c r="CX223" s="11"/>
      <c r="CY223" s="42"/>
    </row>
    <row r="224" spans="1:103" s="66" customFormat="1" hidden="1" outlineLevel="1" x14ac:dyDescent="0.2">
      <c r="A224" s="37"/>
      <c r="B224" s="37"/>
      <c r="C224" s="67" t="s">
        <v>176</v>
      </c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11"/>
      <c r="AI224" s="11"/>
      <c r="AJ224" s="11"/>
      <c r="AK224" s="11"/>
      <c r="AL224" s="42"/>
      <c r="AM224" s="11"/>
      <c r="AN224" s="11"/>
      <c r="AO224" s="11"/>
      <c r="AP224" s="11"/>
      <c r="AQ224" s="42"/>
      <c r="AR224" s="11"/>
      <c r="AS224" s="11"/>
      <c r="AT224" s="11"/>
      <c r="AU224" s="11"/>
      <c r="AV224" s="42"/>
      <c r="AW224" s="11"/>
      <c r="AX224" s="11"/>
      <c r="AY224" s="11"/>
      <c r="AZ224" s="11"/>
      <c r="BA224" s="42"/>
      <c r="BB224" s="11"/>
      <c r="BC224" s="11"/>
      <c r="BD224" s="11"/>
      <c r="BE224" s="11"/>
      <c r="BF224" s="42"/>
      <c r="BG224" s="11"/>
      <c r="BH224" s="11"/>
      <c r="BI224" s="11"/>
      <c r="BJ224" s="11"/>
      <c r="BK224" s="42"/>
      <c r="BL224" s="11"/>
      <c r="BM224" s="11"/>
      <c r="BN224" s="11"/>
      <c r="BO224" s="11"/>
      <c r="BP224" s="42"/>
      <c r="BQ224" s="11"/>
      <c r="BR224" s="11"/>
      <c r="BS224" s="11"/>
      <c r="BT224" s="11"/>
      <c r="BU224" s="42"/>
      <c r="BV224" s="11"/>
      <c r="BW224" s="11"/>
      <c r="BX224" s="11"/>
      <c r="BY224" s="11"/>
      <c r="BZ224" s="42"/>
      <c r="CA224" s="11"/>
      <c r="CB224" s="11"/>
      <c r="CC224" s="11"/>
      <c r="CD224" s="11"/>
      <c r="CE224" s="42"/>
      <c r="CF224" s="11"/>
      <c r="CG224" s="11"/>
      <c r="CH224" s="11"/>
      <c r="CI224" s="11"/>
      <c r="CJ224" s="42"/>
      <c r="CK224" s="11"/>
      <c r="CL224" s="11"/>
      <c r="CM224" s="11"/>
      <c r="CN224" s="11"/>
      <c r="CO224" s="42"/>
      <c r="CP224" s="11"/>
      <c r="CQ224" s="11"/>
      <c r="CR224" s="11"/>
      <c r="CS224" s="11"/>
      <c r="CT224" s="42"/>
      <c r="CU224" s="11"/>
      <c r="CV224" s="11"/>
      <c r="CW224" s="11"/>
      <c r="CX224" s="11"/>
      <c r="CY224" s="42"/>
    </row>
    <row r="225" spans="1:103" s="66" customFormat="1" hidden="1" outlineLevel="1" x14ac:dyDescent="0.2">
      <c r="A225" s="37"/>
      <c r="B225" s="37"/>
      <c r="C225" s="67" t="s">
        <v>177</v>
      </c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68">
        <f>AF225*(1+AH226)</f>
        <v>0</v>
      </c>
      <c r="AI225" s="68">
        <f>AH225*(1+AI226)</f>
        <v>0</v>
      </c>
      <c r="AJ225" s="68">
        <f>AH225*(1+AJ226)</f>
        <v>0</v>
      </c>
      <c r="AK225" s="68">
        <f>AJ225*(1+AK226)</f>
        <v>0</v>
      </c>
      <c r="AL225" s="42"/>
      <c r="AM225" s="68">
        <f>AK225*(1+AM226)</f>
        <v>0</v>
      </c>
      <c r="AN225" s="68">
        <f>AM225*(1+AN226)</f>
        <v>0</v>
      </c>
      <c r="AO225" s="68">
        <f>AM225*(1+AO226)</f>
        <v>0</v>
      </c>
      <c r="AP225" s="68">
        <f>AO225*(1+AP226)</f>
        <v>0</v>
      </c>
      <c r="AQ225" s="42"/>
      <c r="AR225" s="68">
        <f>AP225*(1+AR226)</f>
        <v>0</v>
      </c>
      <c r="AS225" s="68">
        <f>AR225*(1+AS226)</f>
        <v>0</v>
      </c>
      <c r="AT225" s="68">
        <f>AR225*(1+AT226)</f>
        <v>0</v>
      </c>
      <c r="AU225" s="68">
        <f>AT225*(1+AU226)</f>
        <v>0</v>
      </c>
      <c r="AV225" s="42"/>
      <c r="AW225" s="68">
        <f>AU225*(1+AW226)</f>
        <v>0</v>
      </c>
      <c r="AX225" s="68">
        <f>AW225*(1+AX226)</f>
        <v>0</v>
      </c>
      <c r="AY225" s="68">
        <f>AW225*(1+AY226)</f>
        <v>0</v>
      </c>
      <c r="AZ225" s="68">
        <f>AY225*(1+AZ226)</f>
        <v>0</v>
      </c>
      <c r="BA225" s="42"/>
      <c r="BB225" s="68">
        <f>AZ225*(1+BB226)</f>
        <v>0</v>
      </c>
      <c r="BC225" s="68">
        <f>BB225*(1+BC226)</f>
        <v>0</v>
      </c>
      <c r="BD225" s="68">
        <f>BB225*(1+BD226)</f>
        <v>0</v>
      </c>
      <c r="BE225" s="68">
        <f>BD225*(1+BE226)</f>
        <v>0</v>
      </c>
      <c r="BF225" s="42"/>
      <c r="BG225" s="68"/>
      <c r="BH225" s="68"/>
      <c r="BI225" s="68"/>
      <c r="BJ225" s="68"/>
      <c r="BK225" s="42"/>
      <c r="BL225" s="68"/>
      <c r="BM225" s="68"/>
      <c r="BN225" s="68"/>
      <c r="BO225" s="68"/>
      <c r="BP225" s="42"/>
      <c r="BQ225" s="68"/>
      <c r="BR225" s="68"/>
      <c r="BS225" s="68"/>
      <c r="BT225" s="68"/>
      <c r="BU225" s="42"/>
      <c r="BV225" s="68"/>
      <c r="BW225" s="68"/>
      <c r="BX225" s="68"/>
      <c r="BY225" s="68"/>
      <c r="BZ225" s="42"/>
      <c r="CA225" s="68"/>
      <c r="CB225" s="68"/>
      <c r="CC225" s="68"/>
      <c r="CD225" s="68"/>
      <c r="CE225" s="42"/>
      <c r="CF225" s="68"/>
      <c r="CG225" s="68"/>
      <c r="CH225" s="68"/>
      <c r="CI225" s="68"/>
      <c r="CJ225" s="42"/>
      <c r="CK225" s="68"/>
      <c r="CL225" s="68"/>
      <c r="CM225" s="68"/>
      <c r="CN225" s="68"/>
      <c r="CO225" s="42"/>
      <c r="CP225" s="68"/>
      <c r="CQ225" s="68"/>
      <c r="CR225" s="68"/>
      <c r="CS225" s="68"/>
      <c r="CT225" s="42"/>
      <c r="CU225" s="68"/>
      <c r="CV225" s="68"/>
      <c r="CW225" s="68"/>
      <c r="CX225" s="68"/>
      <c r="CY225" s="42"/>
    </row>
    <row r="226" spans="1:103" s="66" customFormat="1" hidden="1" outlineLevel="1" x14ac:dyDescent="0.2">
      <c r="A226" s="37"/>
      <c r="B226" s="37"/>
      <c r="C226" s="67" t="s">
        <v>178</v>
      </c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58">
        <f>$AL$231</f>
        <v>0</v>
      </c>
      <c r="AI226" s="58">
        <f>$AL$231</f>
        <v>0</v>
      </c>
      <c r="AJ226" s="58">
        <f>$AL$231</f>
        <v>0</v>
      </c>
      <c r="AK226" s="58">
        <f>$AL$231</f>
        <v>0</v>
      </c>
      <c r="AL226" s="42"/>
      <c r="AM226" s="58">
        <f>$AL$231</f>
        <v>0</v>
      </c>
      <c r="AN226" s="58">
        <f>$AL$231</f>
        <v>0</v>
      </c>
      <c r="AO226" s="58">
        <f>$AL$231</f>
        <v>0</v>
      </c>
      <c r="AP226" s="58">
        <f>$AL$231</f>
        <v>0</v>
      </c>
      <c r="AQ226" s="42"/>
      <c r="AR226" s="58">
        <f>$AL$231</f>
        <v>0</v>
      </c>
      <c r="AS226" s="58">
        <f>$AL$231</f>
        <v>0</v>
      </c>
      <c r="AT226" s="58">
        <f>$AL$231</f>
        <v>0</v>
      </c>
      <c r="AU226" s="58">
        <f>$AL$231</f>
        <v>0</v>
      </c>
      <c r="AV226" s="42"/>
      <c r="AW226" s="58">
        <f>$AL$231</f>
        <v>0</v>
      </c>
      <c r="AX226" s="58">
        <f>$AL$231</f>
        <v>0</v>
      </c>
      <c r="AY226" s="58">
        <f>$AL$231</f>
        <v>0</v>
      </c>
      <c r="AZ226" s="58">
        <f>$AL$231</f>
        <v>0</v>
      </c>
      <c r="BA226" s="42"/>
      <c r="BB226" s="58">
        <f>$AL$231</f>
        <v>0</v>
      </c>
      <c r="BC226" s="58">
        <f>$AL$231</f>
        <v>0</v>
      </c>
      <c r="BD226" s="58">
        <f>$AL$231</f>
        <v>0</v>
      </c>
      <c r="BE226" s="58">
        <f>$AL$231</f>
        <v>0</v>
      </c>
      <c r="BF226" s="42"/>
      <c r="BG226" s="58"/>
      <c r="BH226" s="58"/>
      <c r="BI226" s="58"/>
      <c r="BJ226" s="58"/>
      <c r="BK226" s="42"/>
      <c r="BL226" s="58"/>
      <c r="BM226" s="58"/>
      <c r="BN226" s="58"/>
      <c r="BO226" s="58"/>
      <c r="BP226" s="42"/>
      <c r="BQ226" s="58"/>
      <c r="BR226" s="58"/>
      <c r="BS226" s="58"/>
      <c r="BT226" s="58"/>
      <c r="BU226" s="42"/>
      <c r="BV226" s="58"/>
      <c r="BW226" s="58"/>
      <c r="BX226" s="58"/>
      <c r="BY226" s="58"/>
      <c r="BZ226" s="42"/>
      <c r="CA226" s="58"/>
      <c r="CB226" s="58"/>
      <c r="CC226" s="58"/>
      <c r="CD226" s="58"/>
      <c r="CE226" s="42"/>
      <c r="CF226" s="58"/>
      <c r="CG226" s="58"/>
      <c r="CH226" s="58"/>
      <c r="CI226" s="58"/>
      <c r="CJ226" s="42"/>
      <c r="CK226" s="58"/>
      <c r="CL226" s="58"/>
      <c r="CM226" s="58"/>
      <c r="CN226" s="58"/>
      <c r="CO226" s="42"/>
      <c r="CP226" s="58"/>
      <c r="CQ226" s="58"/>
      <c r="CR226" s="58"/>
      <c r="CS226" s="58"/>
      <c r="CT226" s="42"/>
      <c r="CU226" s="58"/>
      <c r="CV226" s="58"/>
      <c r="CW226" s="58"/>
      <c r="CX226" s="58"/>
      <c r="CY226" s="42"/>
    </row>
    <row r="227" spans="1:103" s="66" customFormat="1" hidden="1" outlineLevel="1" x14ac:dyDescent="0.2">
      <c r="A227" s="37"/>
      <c r="B227" s="37"/>
      <c r="C227" s="67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12"/>
      <c r="AI227" s="12"/>
      <c r="AJ227" s="12"/>
      <c r="AK227" s="12"/>
      <c r="AL227" s="42"/>
      <c r="AM227" s="12"/>
      <c r="AN227" s="12"/>
      <c r="AO227" s="12"/>
      <c r="AP227" s="12"/>
      <c r="AQ227" s="42"/>
      <c r="AR227" s="12"/>
      <c r="AS227" s="12"/>
      <c r="AT227" s="12"/>
      <c r="AU227" s="12"/>
      <c r="AV227" s="42"/>
      <c r="AW227" s="12"/>
      <c r="AX227" s="12"/>
      <c r="AY227" s="12"/>
      <c r="AZ227" s="12"/>
      <c r="BA227" s="42"/>
      <c r="BB227" s="12"/>
      <c r="BC227" s="12"/>
      <c r="BD227" s="12"/>
      <c r="BE227" s="12"/>
      <c r="BF227" s="42"/>
      <c r="BG227" s="12"/>
      <c r="BH227" s="12"/>
      <c r="BI227" s="12"/>
      <c r="BJ227" s="12"/>
      <c r="BK227" s="42"/>
      <c r="BL227" s="12"/>
      <c r="BM227" s="12"/>
      <c r="BN227" s="12"/>
      <c r="BO227" s="12"/>
      <c r="BP227" s="42"/>
      <c r="BQ227" s="12"/>
      <c r="BR227" s="12"/>
      <c r="BS227" s="12"/>
      <c r="BT227" s="12"/>
      <c r="BU227" s="42"/>
      <c r="BV227" s="12"/>
      <c r="BW227" s="12"/>
      <c r="BX227" s="12"/>
      <c r="BY227" s="12"/>
      <c r="BZ227" s="42"/>
      <c r="CA227" s="12"/>
      <c r="CB227" s="12"/>
      <c r="CC227" s="12"/>
      <c r="CD227" s="12"/>
      <c r="CE227" s="42"/>
      <c r="CF227" s="12"/>
      <c r="CG227" s="12"/>
      <c r="CH227" s="12"/>
      <c r="CI227" s="12"/>
      <c r="CJ227" s="42"/>
      <c r="CK227" s="12"/>
      <c r="CL227" s="12"/>
      <c r="CM227" s="12"/>
      <c r="CN227" s="12"/>
      <c r="CO227" s="42"/>
      <c r="CP227" s="12"/>
      <c r="CQ227" s="12"/>
      <c r="CR227" s="12"/>
      <c r="CS227" s="12"/>
      <c r="CT227" s="42"/>
      <c r="CU227" s="12"/>
      <c r="CV227" s="12"/>
      <c r="CW227" s="12"/>
      <c r="CX227" s="12"/>
      <c r="CY227" s="42"/>
    </row>
    <row r="228" spans="1:103" s="66" customFormat="1" hidden="1" outlineLevel="1" x14ac:dyDescent="0.2">
      <c r="A228" s="37"/>
      <c r="B228" s="37"/>
      <c r="C228" s="67" t="s">
        <v>179</v>
      </c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69" t="e">
        <f>-AH223/AH225</f>
        <v>#DIV/0!</v>
      </c>
      <c r="AI228" s="69" t="e">
        <f>-AI223/AI225</f>
        <v>#DIV/0!</v>
      </c>
      <c r="AJ228" s="69" t="e">
        <f>-AJ223/AJ225</f>
        <v>#DIV/0!</v>
      </c>
      <c r="AK228" s="69" t="e">
        <f>-AK223/AK225</f>
        <v>#DIV/0!</v>
      </c>
      <c r="AL228" s="42"/>
      <c r="AM228" s="69" t="e">
        <f>-AM223/AM225</f>
        <v>#DIV/0!</v>
      </c>
      <c r="AN228" s="69" t="e">
        <f>-AN223/AN225</f>
        <v>#DIV/0!</v>
      </c>
      <c r="AO228" s="69" t="e">
        <f>-AO223/AO225</f>
        <v>#DIV/0!</v>
      </c>
      <c r="AP228" s="69" t="e">
        <f>-AP223/AP225</f>
        <v>#DIV/0!</v>
      </c>
      <c r="AQ228" s="42"/>
      <c r="AR228" s="69" t="e">
        <f>-AR223/AR225</f>
        <v>#DIV/0!</v>
      </c>
      <c r="AS228" s="69" t="e">
        <f>-AS223/AS225</f>
        <v>#DIV/0!</v>
      </c>
      <c r="AT228" s="69" t="e">
        <f>-AT223/AT225</f>
        <v>#DIV/0!</v>
      </c>
      <c r="AU228" s="69" t="e">
        <f>-AU223/AU225</f>
        <v>#DIV/0!</v>
      </c>
      <c r="AV228" s="42"/>
      <c r="AW228" s="69" t="e">
        <f>-AW223/AW225</f>
        <v>#DIV/0!</v>
      </c>
      <c r="AX228" s="69" t="e">
        <f>-AX223/AX225</f>
        <v>#DIV/0!</v>
      </c>
      <c r="AY228" s="69" t="e">
        <f>-AY223/AY225</f>
        <v>#DIV/0!</v>
      </c>
      <c r="AZ228" s="69" t="e">
        <f>-AZ223/AZ225</f>
        <v>#DIV/0!</v>
      </c>
      <c r="BA228" s="42"/>
      <c r="BB228" s="69" t="e">
        <f>-BB223/BB225</f>
        <v>#DIV/0!</v>
      </c>
      <c r="BC228" s="69" t="e">
        <f>-BC223/BC225</f>
        <v>#DIV/0!</v>
      </c>
      <c r="BD228" s="69" t="e">
        <f>-BD223/BD225</f>
        <v>#DIV/0!</v>
      </c>
      <c r="BE228" s="69" t="e">
        <f>-BE223/BE225</f>
        <v>#DIV/0!</v>
      </c>
      <c r="BF228" s="42"/>
      <c r="BG228" s="69"/>
      <c r="BH228" s="69"/>
      <c r="BI228" s="69"/>
      <c r="BJ228" s="69"/>
      <c r="BK228" s="42"/>
      <c r="BL228" s="69"/>
      <c r="BM228" s="69"/>
      <c r="BN228" s="69"/>
      <c r="BO228" s="69"/>
      <c r="BP228" s="42"/>
      <c r="BQ228" s="69"/>
      <c r="BR228" s="69"/>
      <c r="BS228" s="69"/>
      <c r="BT228" s="69"/>
      <c r="BU228" s="42"/>
      <c r="BV228" s="69"/>
      <c r="BW228" s="69"/>
      <c r="BX228" s="69"/>
      <c r="BY228" s="69"/>
      <c r="BZ228" s="42"/>
      <c r="CA228" s="69"/>
      <c r="CB228" s="69"/>
      <c r="CC228" s="69"/>
      <c r="CD228" s="69"/>
      <c r="CE228" s="42"/>
      <c r="CF228" s="69"/>
      <c r="CG228" s="69"/>
      <c r="CH228" s="69"/>
      <c r="CI228" s="69"/>
      <c r="CJ228" s="42"/>
      <c r="CK228" s="69"/>
      <c r="CL228" s="69"/>
      <c r="CM228" s="69"/>
      <c r="CN228" s="69"/>
      <c r="CO228" s="42"/>
      <c r="CP228" s="69"/>
      <c r="CQ228" s="69"/>
      <c r="CR228" s="69"/>
      <c r="CS228" s="69"/>
      <c r="CT228" s="42"/>
      <c r="CU228" s="69"/>
      <c r="CV228" s="69"/>
      <c r="CW228" s="69"/>
      <c r="CX228" s="69"/>
      <c r="CY228" s="42"/>
    </row>
    <row r="229" spans="1:103" s="66" customFormat="1" hidden="1" outlineLevel="1" x14ac:dyDescent="0.2">
      <c r="A229" s="37"/>
      <c r="B229" s="37"/>
      <c r="C229" s="67" t="s">
        <v>180</v>
      </c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9"/>
      <c r="AG229" s="42"/>
      <c r="AH229" s="69" t="e">
        <f>AH224/AH225</f>
        <v>#DIV/0!</v>
      </c>
      <c r="AI229" s="69" t="e">
        <f>AI224/AI225</f>
        <v>#DIV/0!</v>
      </c>
      <c r="AJ229" s="69" t="e">
        <f>AJ224/AJ225</f>
        <v>#DIV/0!</v>
      </c>
      <c r="AK229" s="69" t="e">
        <f>AK224/AK225</f>
        <v>#DIV/0!</v>
      </c>
      <c r="AL229" s="42"/>
      <c r="AM229" s="69" t="e">
        <f>AM224/AM225</f>
        <v>#DIV/0!</v>
      </c>
      <c r="AN229" s="69" t="e">
        <f>AN224/AN225</f>
        <v>#DIV/0!</v>
      </c>
      <c r="AO229" s="69" t="e">
        <f>AO224/AO225</f>
        <v>#DIV/0!</v>
      </c>
      <c r="AP229" s="69" t="e">
        <f>AP224/AP225</f>
        <v>#DIV/0!</v>
      </c>
      <c r="AQ229" s="42"/>
      <c r="AR229" s="69" t="e">
        <f>AR224/AR225</f>
        <v>#DIV/0!</v>
      </c>
      <c r="AS229" s="69" t="e">
        <f>AS224/AS225</f>
        <v>#DIV/0!</v>
      </c>
      <c r="AT229" s="69" t="e">
        <f>AT224/AT225</f>
        <v>#DIV/0!</v>
      </c>
      <c r="AU229" s="69" t="e">
        <f>AU224/AU225</f>
        <v>#DIV/0!</v>
      </c>
      <c r="AV229" s="42"/>
      <c r="AW229" s="69" t="e">
        <f>AW224/AW225</f>
        <v>#DIV/0!</v>
      </c>
      <c r="AX229" s="69" t="e">
        <f>AX224/AX225</f>
        <v>#DIV/0!</v>
      </c>
      <c r="AY229" s="69" t="e">
        <f>AY224/AY225</f>
        <v>#DIV/0!</v>
      </c>
      <c r="AZ229" s="69" t="e">
        <f>AZ224/AZ225</f>
        <v>#DIV/0!</v>
      </c>
      <c r="BA229" s="42"/>
      <c r="BB229" s="69" t="e">
        <f>BB224/BB225</f>
        <v>#DIV/0!</v>
      </c>
      <c r="BC229" s="69" t="e">
        <f>BC224/BC225</f>
        <v>#DIV/0!</v>
      </c>
      <c r="BD229" s="69" t="e">
        <f>BD224/BD225</f>
        <v>#DIV/0!</v>
      </c>
      <c r="BE229" s="69" t="e">
        <f>BE224/BE225</f>
        <v>#DIV/0!</v>
      </c>
      <c r="BF229" s="42"/>
      <c r="BG229" s="69"/>
      <c r="BH229" s="69"/>
      <c r="BI229" s="69"/>
      <c r="BJ229" s="69"/>
      <c r="BK229" s="42"/>
      <c r="BL229" s="69"/>
      <c r="BM229" s="69"/>
      <c r="BN229" s="69"/>
      <c r="BO229" s="69"/>
      <c r="BP229" s="42"/>
      <c r="BQ229" s="69"/>
      <c r="BR229" s="69"/>
      <c r="BS229" s="69"/>
      <c r="BT229" s="69"/>
      <c r="BU229" s="42"/>
      <c r="BV229" s="69"/>
      <c r="BW229" s="69"/>
      <c r="BX229" s="69"/>
      <c r="BY229" s="69"/>
      <c r="BZ229" s="42"/>
      <c r="CA229" s="69"/>
      <c r="CB229" s="69"/>
      <c r="CC229" s="69"/>
      <c r="CD229" s="69"/>
      <c r="CE229" s="42"/>
      <c r="CF229" s="69"/>
      <c r="CG229" s="69"/>
      <c r="CH229" s="69"/>
      <c r="CI229" s="69"/>
      <c r="CJ229" s="42"/>
      <c r="CK229" s="69"/>
      <c r="CL229" s="69"/>
      <c r="CM229" s="69"/>
      <c r="CN229" s="69"/>
      <c r="CO229" s="42"/>
      <c r="CP229" s="69"/>
      <c r="CQ229" s="69"/>
      <c r="CR229" s="69"/>
      <c r="CS229" s="69"/>
      <c r="CT229" s="42"/>
      <c r="CU229" s="69"/>
      <c r="CV229" s="69"/>
      <c r="CW229" s="69"/>
      <c r="CX229" s="69"/>
      <c r="CY229" s="42"/>
    </row>
    <row r="230" spans="1:103" s="66" customFormat="1" hidden="1" outlineLevel="1" x14ac:dyDescent="0.2">
      <c r="A230" s="37"/>
      <c r="B230" s="37"/>
      <c r="C230" s="67" t="s">
        <v>181</v>
      </c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3" t="e">
        <f>AG230+AH229-AH228</f>
        <v>#DIV/0!</v>
      </c>
      <c r="AI230" s="3" t="e">
        <f>AH230+AI229-AI228</f>
        <v>#DIV/0!</v>
      </c>
      <c r="AJ230" s="69" t="e">
        <f>AH230+AJ229-AJ228</f>
        <v>#DIV/0!</v>
      </c>
      <c r="AK230" s="69" t="e">
        <f>AJ230+AK229-AK228</f>
        <v>#DIV/0!</v>
      </c>
      <c r="AL230" s="42"/>
      <c r="AM230" s="3" t="e">
        <f>AK230+AM229-AM228</f>
        <v>#DIV/0!</v>
      </c>
      <c r="AN230" s="3" t="e">
        <f>AM230+AN229-AN228</f>
        <v>#DIV/0!</v>
      </c>
      <c r="AO230" s="69" t="e">
        <f>AM230+AO229-AO228</f>
        <v>#DIV/0!</v>
      </c>
      <c r="AP230" s="69" t="e">
        <f>AO230+AP229-AP228</f>
        <v>#DIV/0!</v>
      </c>
      <c r="AQ230" s="42"/>
      <c r="AR230" s="3" t="e">
        <f>AP230+AR229-AR228</f>
        <v>#DIV/0!</v>
      </c>
      <c r="AS230" s="3" t="e">
        <f>AR230+AS229-AS228</f>
        <v>#DIV/0!</v>
      </c>
      <c r="AT230" s="69" t="e">
        <f>AR230+AT229-AT228</f>
        <v>#DIV/0!</v>
      </c>
      <c r="AU230" s="69" t="e">
        <f>AT230+AU229-AU228</f>
        <v>#DIV/0!</v>
      </c>
      <c r="AV230" s="42"/>
      <c r="AW230" s="3" t="e">
        <f>AU230+AW229-AW228</f>
        <v>#DIV/0!</v>
      </c>
      <c r="AX230" s="3" t="e">
        <f>AW230+AX229-AX228</f>
        <v>#DIV/0!</v>
      </c>
      <c r="AY230" s="69" t="e">
        <f>AW230+AY229-AY228</f>
        <v>#DIV/0!</v>
      </c>
      <c r="AZ230" s="69" t="e">
        <f>AY230+AZ229-AZ228</f>
        <v>#DIV/0!</v>
      </c>
      <c r="BA230" s="42"/>
      <c r="BB230" s="3" t="e">
        <f>AZ230+BB229-BB228</f>
        <v>#DIV/0!</v>
      </c>
      <c r="BC230" s="3" t="e">
        <f>BB230+BC229-BC228</f>
        <v>#DIV/0!</v>
      </c>
      <c r="BD230" s="69" t="e">
        <f>BB230+BD229-BD228</f>
        <v>#DIV/0!</v>
      </c>
      <c r="BE230" s="69" t="e">
        <f>BD230+BE229-BE228</f>
        <v>#DIV/0!</v>
      </c>
      <c r="BF230" s="42"/>
      <c r="BG230" s="3"/>
      <c r="BH230" s="3"/>
      <c r="BI230" s="69"/>
      <c r="BJ230" s="69"/>
      <c r="BK230" s="42"/>
      <c r="BL230" s="3"/>
      <c r="BM230" s="3"/>
      <c r="BN230" s="69"/>
      <c r="BO230" s="69"/>
      <c r="BP230" s="42"/>
      <c r="BQ230" s="3"/>
      <c r="BR230" s="3"/>
      <c r="BS230" s="69"/>
      <c r="BT230" s="69"/>
      <c r="BU230" s="42"/>
      <c r="BV230" s="3"/>
      <c r="BW230" s="3"/>
      <c r="BX230" s="69"/>
      <c r="BY230" s="69"/>
      <c r="BZ230" s="42"/>
      <c r="CA230" s="3"/>
      <c r="CB230" s="3"/>
      <c r="CC230" s="69"/>
      <c r="CD230" s="69"/>
      <c r="CE230" s="42"/>
      <c r="CF230" s="3"/>
      <c r="CG230" s="3"/>
      <c r="CH230" s="69"/>
      <c r="CI230" s="69"/>
      <c r="CJ230" s="42"/>
      <c r="CK230" s="3"/>
      <c r="CL230" s="3"/>
      <c r="CM230" s="69"/>
      <c r="CN230" s="69"/>
      <c r="CO230" s="42"/>
      <c r="CP230" s="3"/>
      <c r="CQ230" s="3"/>
      <c r="CR230" s="69"/>
      <c r="CS230" s="69"/>
      <c r="CT230" s="42"/>
      <c r="CU230" s="3"/>
      <c r="CV230" s="3"/>
      <c r="CW230" s="69"/>
      <c r="CX230" s="69"/>
      <c r="CY230" s="42"/>
    </row>
    <row r="231" spans="1:103" s="66" customFormat="1" hidden="1" outlineLevel="1" x14ac:dyDescent="0.2">
      <c r="A231" s="37"/>
      <c r="B231" s="37"/>
      <c r="C231" s="67" t="s">
        <v>182</v>
      </c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69" t="e">
        <f>AVERAGE(AG230,AH230)</f>
        <v>#DIV/0!</v>
      </c>
      <c r="AI231" s="69" t="e">
        <f>AVERAGE(AH230,AI230)</f>
        <v>#DIV/0!</v>
      </c>
      <c r="AJ231" s="69" t="e">
        <f>AVERAGE(AH230,AJ230)</f>
        <v>#DIV/0!</v>
      </c>
      <c r="AK231" s="69" t="e">
        <f>AVERAGE(AJ230,AK230)</f>
        <v>#DIV/0!</v>
      </c>
      <c r="AL231" s="42"/>
      <c r="AM231" s="69" t="e">
        <f>AVERAGE(AL230,AM230)</f>
        <v>#DIV/0!</v>
      </c>
      <c r="AN231" s="69" t="e">
        <f>AVERAGE(AM230,AN230)</f>
        <v>#DIV/0!</v>
      </c>
      <c r="AO231" s="69" t="e">
        <f>AVERAGE(AM230,AO230)</f>
        <v>#DIV/0!</v>
      </c>
      <c r="AP231" s="69" t="e">
        <f>AVERAGE(AO230,AP230)</f>
        <v>#DIV/0!</v>
      </c>
      <c r="AQ231" s="42"/>
      <c r="AR231" s="69" t="e">
        <f>AVERAGE(AQ230,AR230)</f>
        <v>#DIV/0!</v>
      </c>
      <c r="AS231" s="69" t="e">
        <f>AVERAGE(AR230,AS230)</f>
        <v>#DIV/0!</v>
      </c>
      <c r="AT231" s="69" t="e">
        <f>AVERAGE(AR230,AT230)</f>
        <v>#DIV/0!</v>
      </c>
      <c r="AU231" s="69" t="e">
        <f>AVERAGE(AT230,AU230)</f>
        <v>#DIV/0!</v>
      </c>
      <c r="AV231" s="42"/>
      <c r="AW231" s="69" t="e">
        <f>AVERAGE(AV230,AW230)</f>
        <v>#DIV/0!</v>
      </c>
      <c r="AX231" s="69" t="e">
        <f>AVERAGE(AW230,AX230)</f>
        <v>#DIV/0!</v>
      </c>
      <c r="AY231" s="69" t="e">
        <f>AVERAGE(AW230,AY230)</f>
        <v>#DIV/0!</v>
      </c>
      <c r="AZ231" s="69" t="e">
        <f>AVERAGE(AY230,AZ230)</f>
        <v>#DIV/0!</v>
      </c>
      <c r="BA231" s="42"/>
      <c r="BB231" s="69" t="e">
        <f>AVERAGE(BA230,BB230)</f>
        <v>#DIV/0!</v>
      </c>
      <c r="BC231" s="69" t="e">
        <f>AVERAGE(BB230,BC230)</f>
        <v>#DIV/0!</v>
      </c>
      <c r="BD231" s="69" t="e">
        <f>AVERAGE(BB230,BD230)</f>
        <v>#DIV/0!</v>
      </c>
      <c r="BE231" s="69" t="e">
        <f>AVERAGE(BD230,BE230)</f>
        <v>#DIV/0!</v>
      </c>
      <c r="BF231" s="42"/>
      <c r="BG231" s="69"/>
      <c r="BH231" s="69"/>
      <c r="BI231" s="69"/>
      <c r="BJ231" s="69"/>
      <c r="BK231" s="42"/>
      <c r="BL231" s="69"/>
      <c r="BM231" s="69"/>
      <c r="BN231" s="69"/>
      <c r="BO231" s="69"/>
      <c r="BP231" s="42"/>
      <c r="BQ231" s="69"/>
      <c r="BR231" s="69"/>
      <c r="BS231" s="69"/>
      <c r="BT231" s="69"/>
      <c r="BU231" s="42"/>
      <c r="BV231" s="69"/>
      <c r="BW231" s="69"/>
      <c r="BX231" s="69"/>
      <c r="BY231" s="69"/>
      <c r="BZ231" s="42"/>
      <c r="CA231" s="69"/>
      <c r="CB231" s="69"/>
      <c r="CC231" s="69"/>
      <c r="CD231" s="69"/>
      <c r="CE231" s="42"/>
      <c r="CF231" s="69"/>
      <c r="CG231" s="69"/>
      <c r="CH231" s="69"/>
      <c r="CI231" s="69"/>
      <c r="CJ231" s="42"/>
      <c r="CK231" s="69"/>
      <c r="CL231" s="69"/>
      <c r="CM231" s="69"/>
      <c r="CN231" s="69"/>
      <c r="CO231" s="42"/>
      <c r="CP231" s="69"/>
      <c r="CQ231" s="69"/>
      <c r="CR231" s="69"/>
      <c r="CS231" s="69"/>
      <c r="CT231" s="42"/>
      <c r="CU231" s="69"/>
      <c r="CV231" s="69"/>
      <c r="CW231" s="69"/>
      <c r="CX231" s="69"/>
      <c r="CY231" s="42"/>
    </row>
    <row r="232" spans="1:103" s="66" customFormat="1" hidden="1" outlineLevel="1" x14ac:dyDescent="0.2">
      <c r="A232" s="37"/>
      <c r="B232" s="37"/>
      <c r="C232" s="67"/>
      <c r="D232" s="42"/>
      <c r="E232" s="42"/>
      <c r="F232" s="42"/>
      <c r="G232" s="42"/>
      <c r="H232" s="12"/>
      <c r="I232" s="42"/>
      <c r="J232" s="42"/>
      <c r="K232" s="42"/>
      <c r="L232" s="42"/>
      <c r="M232" s="12"/>
      <c r="N232" s="42"/>
      <c r="O232" s="42"/>
      <c r="P232" s="42"/>
      <c r="Q232" s="42"/>
      <c r="R232" s="12"/>
      <c r="S232" s="42"/>
      <c r="T232" s="42"/>
      <c r="U232" s="42"/>
      <c r="V232" s="42"/>
      <c r="W232" s="12"/>
      <c r="X232" s="42"/>
      <c r="Y232" s="42"/>
      <c r="Z232" s="42"/>
      <c r="AA232" s="42"/>
      <c r="AB232" s="12"/>
      <c r="AC232" s="42"/>
      <c r="AD232" s="42"/>
      <c r="AE232" s="42"/>
      <c r="AF232" s="42"/>
      <c r="AG232" s="12"/>
      <c r="AH232" s="42"/>
      <c r="AI232" s="42"/>
      <c r="AJ232" s="42"/>
      <c r="AK232" s="42"/>
      <c r="AL232" s="12"/>
      <c r="AM232" s="42"/>
      <c r="AN232" s="42"/>
      <c r="AO232" s="42"/>
      <c r="AP232" s="42"/>
      <c r="AQ232" s="12"/>
      <c r="AR232" s="42"/>
      <c r="AS232" s="42"/>
      <c r="AT232" s="42"/>
      <c r="AU232" s="42"/>
      <c r="AV232" s="12"/>
      <c r="AW232" s="42"/>
      <c r="AX232" s="42"/>
      <c r="AY232" s="42"/>
      <c r="AZ232" s="42"/>
      <c r="BA232" s="12"/>
      <c r="BB232" s="42"/>
      <c r="BC232" s="42"/>
      <c r="BD232" s="42"/>
      <c r="BE232" s="42"/>
      <c r="BF232" s="12"/>
      <c r="BG232" s="42"/>
      <c r="BH232" s="42"/>
      <c r="BI232" s="42"/>
      <c r="BJ232" s="42"/>
      <c r="BK232" s="12"/>
      <c r="BL232" s="42"/>
      <c r="BM232" s="42"/>
      <c r="BN232" s="42"/>
      <c r="BO232" s="42"/>
      <c r="BP232" s="12"/>
      <c r="BQ232" s="42"/>
      <c r="BR232" s="42"/>
      <c r="BS232" s="42"/>
      <c r="BT232" s="42"/>
      <c r="BU232" s="12"/>
      <c r="BV232" s="42"/>
      <c r="BW232" s="42"/>
      <c r="BX232" s="42"/>
      <c r="BY232" s="42"/>
      <c r="BZ232" s="12"/>
      <c r="CA232" s="42"/>
      <c r="CB232" s="42"/>
      <c r="CC232" s="42"/>
      <c r="CD232" s="42"/>
      <c r="CE232" s="12"/>
      <c r="CF232" s="42"/>
      <c r="CG232" s="42"/>
      <c r="CH232" s="42"/>
      <c r="CI232" s="42"/>
      <c r="CJ232" s="12"/>
      <c r="CK232" s="42"/>
      <c r="CL232" s="42"/>
      <c r="CM232" s="42"/>
      <c r="CN232" s="42"/>
      <c r="CO232" s="12"/>
      <c r="CP232" s="42"/>
      <c r="CQ232" s="42"/>
      <c r="CR232" s="42"/>
      <c r="CS232" s="42"/>
      <c r="CT232" s="12"/>
      <c r="CU232" s="42"/>
      <c r="CV232" s="42"/>
      <c r="CW232" s="42"/>
      <c r="CX232" s="42"/>
      <c r="CY232" s="12"/>
    </row>
    <row r="233" spans="1:103" collapsed="1" x14ac:dyDescent="0.2">
      <c r="C233" s="14" t="s">
        <v>72</v>
      </c>
      <c r="D233" s="46"/>
      <c r="E233" s="46"/>
      <c r="F233" s="46"/>
      <c r="G233" s="46"/>
      <c r="H233" s="12"/>
      <c r="I233" s="46" t="str">
        <f>'Inputs (2)'!D44</f>
        <v/>
      </c>
      <c r="J233" s="46" t="str">
        <f>'Inputs (2)'!E44</f>
        <v/>
      </c>
      <c r="K233" s="46" t="str">
        <f>'Inputs (2)'!F44</f>
        <v/>
      </c>
      <c r="L233" s="46" t="str">
        <f>'Inputs (2)'!G44</f>
        <v/>
      </c>
      <c r="M233" s="12" t="str">
        <f>'Inputs (2)'!H44</f>
        <v/>
      </c>
      <c r="N233" s="46" t="str">
        <f>'Inputs (2)'!I44</f>
        <v/>
      </c>
      <c r="O233" s="46" t="str">
        <f>'Inputs (2)'!J44</f>
        <v/>
      </c>
      <c r="P233" s="46" t="str">
        <f>'Inputs (2)'!K44</f>
        <v/>
      </c>
      <c r="Q233" s="46" t="str">
        <f>'Inputs (2)'!L44</f>
        <v/>
      </c>
      <c r="R233" s="12" t="str">
        <f>'Inputs (2)'!M44</f>
        <v/>
      </c>
      <c r="S233" s="46" t="str">
        <f>'Inputs (2)'!N44</f>
        <v/>
      </c>
      <c r="T233" s="46" t="str">
        <f>'Inputs (2)'!O44</f>
        <v/>
      </c>
      <c r="U233" s="46" t="str">
        <f>'Inputs (2)'!P44</f>
        <v/>
      </c>
      <c r="V233" s="46" t="str">
        <f>'Inputs (2)'!Q44</f>
        <v/>
      </c>
      <c r="W233" s="12" t="str">
        <f>'Inputs (2)'!R44</f>
        <v/>
      </c>
      <c r="X233" s="46" t="str">
        <f>'Inputs (2)'!S44</f>
        <v/>
      </c>
      <c r="Y233" s="46" t="str">
        <f>'Inputs (2)'!T44</f>
        <v/>
      </c>
      <c r="Z233" s="46" t="str">
        <f>'Inputs (2)'!U44</f>
        <v/>
      </c>
      <c r="AA233" s="46" t="str">
        <f>'Inputs (2)'!V44</f>
        <v/>
      </c>
      <c r="AB233" s="12" t="str">
        <f>'Inputs (2)'!W44</f>
        <v/>
      </c>
      <c r="AC233" s="46" t="str">
        <f>'Inputs (2)'!X44</f>
        <v/>
      </c>
      <c r="AD233" s="46" t="str">
        <f>'Inputs (2)'!Y44</f>
        <v/>
      </c>
      <c r="AE233" s="46" t="str">
        <f>'Inputs (2)'!Z44</f>
        <v/>
      </c>
      <c r="AF233" s="46" t="str">
        <f>'Inputs (2)'!AA44</f>
        <v/>
      </c>
      <c r="AG233" s="12" t="str">
        <f>'Inputs (2)'!AB44</f>
        <v/>
      </c>
      <c r="AH233" s="12" t="str">
        <f>'Inputs (2)'!AC44</f>
        <v/>
      </c>
      <c r="AI233" s="12" t="str">
        <f>'Inputs (2)'!AD44</f>
        <v/>
      </c>
      <c r="AJ233" s="12" t="str">
        <f t="shared" ref="AJ233:BF233" si="49">AI233</f>
        <v/>
      </c>
      <c r="AK233" s="12" t="str">
        <f t="shared" si="49"/>
        <v/>
      </c>
      <c r="AL233" s="12" t="str">
        <f t="shared" si="49"/>
        <v/>
      </c>
      <c r="AM233" s="12" t="str">
        <f t="shared" si="49"/>
        <v/>
      </c>
      <c r="AN233" s="12" t="str">
        <f t="shared" si="49"/>
        <v/>
      </c>
      <c r="AO233" s="12" t="str">
        <f t="shared" si="49"/>
        <v/>
      </c>
      <c r="AP233" s="12" t="str">
        <f t="shared" si="49"/>
        <v/>
      </c>
      <c r="AQ233" s="12" t="str">
        <f t="shared" si="49"/>
        <v/>
      </c>
      <c r="AR233" s="12" t="str">
        <f t="shared" si="49"/>
        <v/>
      </c>
      <c r="AS233" s="12" t="str">
        <f t="shared" si="49"/>
        <v/>
      </c>
      <c r="AT233" s="12" t="str">
        <f t="shared" si="49"/>
        <v/>
      </c>
      <c r="AU233" s="12" t="str">
        <f t="shared" si="49"/>
        <v/>
      </c>
      <c r="AV233" s="12" t="str">
        <f t="shared" si="49"/>
        <v/>
      </c>
      <c r="AW233" s="12" t="str">
        <f t="shared" si="49"/>
        <v/>
      </c>
      <c r="AX233" s="12" t="str">
        <f t="shared" si="49"/>
        <v/>
      </c>
      <c r="AY233" s="12" t="str">
        <f t="shared" si="49"/>
        <v/>
      </c>
      <c r="AZ233" s="12" t="str">
        <f t="shared" si="49"/>
        <v/>
      </c>
      <c r="BA233" s="12" t="str">
        <f t="shared" si="49"/>
        <v/>
      </c>
      <c r="BB233" s="12" t="str">
        <f t="shared" si="49"/>
        <v/>
      </c>
      <c r="BC233" s="12" t="str">
        <f t="shared" si="49"/>
        <v/>
      </c>
      <c r="BD233" s="12" t="str">
        <f t="shared" si="49"/>
        <v/>
      </c>
      <c r="BE233" s="12" t="str">
        <f t="shared" si="49"/>
        <v/>
      </c>
      <c r="BF233" s="12" t="str">
        <f t="shared" si="49"/>
        <v/>
      </c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</row>
    <row r="234" spans="1:103" x14ac:dyDescent="0.2">
      <c r="C234" s="14" t="s">
        <v>73</v>
      </c>
      <c r="D234" s="46"/>
      <c r="E234" s="46"/>
      <c r="F234" s="46"/>
      <c r="G234" s="46"/>
      <c r="H234" s="12"/>
      <c r="I234" s="46" t="str">
        <f>'Inputs (2)'!D45</f>
        <v/>
      </c>
      <c r="J234" s="46" t="str">
        <f>'Inputs (2)'!E45</f>
        <v/>
      </c>
      <c r="K234" s="46" t="str">
        <f>'Inputs (2)'!F45</f>
        <v/>
      </c>
      <c r="L234" s="46" t="str">
        <f>'Inputs (2)'!G45</f>
        <v/>
      </c>
      <c r="M234" s="12" t="str">
        <f>'Inputs (2)'!H45</f>
        <v/>
      </c>
      <c r="N234" s="46" t="str">
        <f>'Inputs (2)'!I45</f>
        <v/>
      </c>
      <c r="O234" s="46" t="str">
        <f>'Inputs (2)'!J45</f>
        <v/>
      </c>
      <c r="P234" s="46" t="str">
        <f>'Inputs (2)'!K45</f>
        <v/>
      </c>
      <c r="Q234" s="46" t="str">
        <f>'Inputs (2)'!L45</f>
        <v/>
      </c>
      <c r="R234" s="12" t="str">
        <f>'Inputs (2)'!M45</f>
        <v/>
      </c>
      <c r="S234" s="46" t="str">
        <f>'Inputs (2)'!N45</f>
        <v/>
      </c>
      <c r="T234" s="46" t="str">
        <f>'Inputs (2)'!O45</f>
        <v/>
      </c>
      <c r="U234" s="46" t="str">
        <f>'Inputs (2)'!P45</f>
        <v/>
      </c>
      <c r="V234" s="46" t="str">
        <f>'Inputs (2)'!Q45</f>
        <v/>
      </c>
      <c r="W234" s="12" t="str">
        <f>'Inputs (2)'!R45</f>
        <v/>
      </c>
      <c r="X234" s="46" t="str">
        <f>'Inputs (2)'!S45</f>
        <v/>
      </c>
      <c r="Y234" s="46" t="str">
        <f>'Inputs (2)'!T45</f>
        <v/>
      </c>
      <c r="Z234" s="46" t="str">
        <f>'Inputs (2)'!U45</f>
        <v/>
      </c>
      <c r="AA234" s="46" t="str">
        <f>'Inputs (2)'!V45</f>
        <v/>
      </c>
      <c r="AB234" s="12" t="str">
        <f>'Inputs (2)'!W45</f>
        <v/>
      </c>
      <c r="AC234" s="46" t="str">
        <f>'Inputs (2)'!X45</f>
        <v/>
      </c>
      <c r="AD234" s="46" t="str">
        <f>'Inputs (2)'!Y45</f>
        <v/>
      </c>
      <c r="AE234" s="46" t="str">
        <f>'Inputs (2)'!Z45</f>
        <v/>
      </c>
      <c r="AF234" s="46" t="str">
        <f>'Inputs (2)'!AA45</f>
        <v/>
      </c>
      <c r="AG234" s="12" t="str">
        <f>'Inputs (2)'!AB45</f>
        <v/>
      </c>
      <c r="AH234" s="12" t="str">
        <f>'Inputs (2)'!AC45</f>
        <v/>
      </c>
      <c r="AI234" s="12" t="str">
        <f>'Inputs (2)'!AD45</f>
        <v/>
      </c>
      <c r="AJ234" s="12" t="str">
        <f t="shared" ref="AJ234:BF234" si="50">AI234</f>
        <v/>
      </c>
      <c r="AK234" s="12" t="str">
        <f t="shared" si="50"/>
        <v/>
      </c>
      <c r="AL234" s="12" t="str">
        <f t="shared" si="50"/>
        <v/>
      </c>
      <c r="AM234" s="12" t="str">
        <f t="shared" si="50"/>
        <v/>
      </c>
      <c r="AN234" s="12" t="str">
        <f t="shared" si="50"/>
        <v/>
      </c>
      <c r="AO234" s="12" t="str">
        <f t="shared" si="50"/>
        <v/>
      </c>
      <c r="AP234" s="12" t="str">
        <f t="shared" si="50"/>
        <v/>
      </c>
      <c r="AQ234" s="12" t="str">
        <f t="shared" si="50"/>
        <v/>
      </c>
      <c r="AR234" s="12" t="str">
        <f t="shared" si="50"/>
        <v/>
      </c>
      <c r="AS234" s="12" t="str">
        <f t="shared" si="50"/>
        <v/>
      </c>
      <c r="AT234" s="12" t="str">
        <f t="shared" si="50"/>
        <v/>
      </c>
      <c r="AU234" s="12" t="str">
        <f t="shared" si="50"/>
        <v/>
      </c>
      <c r="AV234" s="12" t="str">
        <f t="shared" si="50"/>
        <v/>
      </c>
      <c r="AW234" s="12" t="str">
        <f t="shared" si="50"/>
        <v/>
      </c>
      <c r="AX234" s="12" t="str">
        <f t="shared" si="50"/>
        <v/>
      </c>
      <c r="AY234" s="12" t="str">
        <f t="shared" si="50"/>
        <v/>
      </c>
      <c r="AZ234" s="12" t="str">
        <f t="shared" si="50"/>
        <v/>
      </c>
      <c r="BA234" s="12" t="str">
        <f t="shared" si="50"/>
        <v/>
      </c>
      <c r="BB234" s="12" t="str">
        <f t="shared" si="50"/>
        <v/>
      </c>
      <c r="BC234" s="12" t="str">
        <f t="shared" si="50"/>
        <v/>
      </c>
      <c r="BD234" s="12" t="str">
        <f t="shared" si="50"/>
        <v/>
      </c>
      <c r="BE234" s="12" t="str">
        <f t="shared" si="50"/>
        <v/>
      </c>
      <c r="BF234" s="12" t="str">
        <f t="shared" si="50"/>
        <v/>
      </c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</row>
    <row r="235" spans="1:103" x14ac:dyDescent="0.2">
      <c r="C235" s="14" t="s">
        <v>74</v>
      </c>
      <c r="D235" s="46"/>
      <c r="E235" s="46"/>
      <c r="F235" s="46"/>
      <c r="G235" s="46"/>
      <c r="H235" s="12"/>
      <c r="I235" s="46" t="str">
        <f>'Inputs (2)'!D46</f>
        <v/>
      </c>
      <c r="J235" s="46" t="str">
        <f>'Inputs (2)'!E46</f>
        <v/>
      </c>
      <c r="K235" s="46" t="str">
        <f>'Inputs (2)'!F46</f>
        <v/>
      </c>
      <c r="L235" s="46" t="str">
        <f>'Inputs (2)'!G46</f>
        <v/>
      </c>
      <c r="M235" s="12" t="str">
        <f>'Inputs (2)'!H46</f>
        <v/>
      </c>
      <c r="N235" s="46" t="str">
        <f>'Inputs (2)'!I46</f>
        <v/>
      </c>
      <c r="O235" s="46" t="str">
        <f>'Inputs (2)'!J46</f>
        <v/>
      </c>
      <c r="P235" s="46" t="str">
        <f>'Inputs (2)'!K46</f>
        <v/>
      </c>
      <c r="Q235" s="46" t="str">
        <f>'Inputs (2)'!L46</f>
        <v/>
      </c>
      <c r="R235" s="12" t="str">
        <f>'Inputs (2)'!M46</f>
        <v/>
      </c>
      <c r="S235" s="46" t="str">
        <f>'Inputs (2)'!N46</f>
        <v/>
      </c>
      <c r="T235" s="46" t="str">
        <f>'Inputs (2)'!O46</f>
        <v/>
      </c>
      <c r="U235" s="46" t="str">
        <f>'Inputs (2)'!P46</f>
        <v/>
      </c>
      <c r="V235" s="46" t="str">
        <f>'Inputs (2)'!Q46</f>
        <v/>
      </c>
      <c r="W235" s="12" t="str">
        <f>'Inputs (2)'!R46</f>
        <v/>
      </c>
      <c r="X235" s="46" t="str">
        <f>'Inputs (2)'!S46</f>
        <v/>
      </c>
      <c r="Y235" s="46" t="str">
        <f>'Inputs (2)'!T46</f>
        <v/>
      </c>
      <c r="Z235" s="46" t="str">
        <f>'Inputs (2)'!U46</f>
        <v/>
      </c>
      <c r="AA235" s="46" t="str">
        <f>'Inputs (2)'!V46</f>
        <v/>
      </c>
      <c r="AB235" s="12" t="str">
        <f>'Inputs (2)'!W46</f>
        <v/>
      </c>
      <c r="AC235" s="46" t="str">
        <f>'Inputs (2)'!X46</f>
        <v/>
      </c>
      <c r="AD235" s="46" t="str">
        <f>'Inputs (2)'!Y46</f>
        <v/>
      </c>
      <c r="AE235" s="46" t="str">
        <f>'Inputs (2)'!Z46</f>
        <v/>
      </c>
      <c r="AF235" s="46" t="str">
        <f>'Inputs (2)'!AA46</f>
        <v/>
      </c>
      <c r="AG235" s="12" t="str">
        <f>'Inputs (2)'!AB46</f>
        <v/>
      </c>
      <c r="AH235" s="12" t="str">
        <f>'Inputs (2)'!AC46</f>
        <v/>
      </c>
      <c r="AI235" s="12" t="str">
        <f>'Inputs (2)'!AD46</f>
        <v/>
      </c>
      <c r="AJ235" s="12" t="str">
        <f t="shared" ref="AJ235:BF235" si="51">AI235</f>
        <v/>
      </c>
      <c r="AK235" s="12" t="str">
        <f t="shared" si="51"/>
        <v/>
      </c>
      <c r="AL235" s="12" t="str">
        <f t="shared" si="51"/>
        <v/>
      </c>
      <c r="AM235" s="12" t="str">
        <f t="shared" si="51"/>
        <v/>
      </c>
      <c r="AN235" s="12" t="str">
        <f t="shared" si="51"/>
        <v/>
      </c>
      <c r="AO235" s="12" t="str">
        <f t="shared" si="51"/>
        <v/>
      </c>
      <c r="AP235" s="12" t="str">
        <f t="shared" si="51"/>
        <v/>
      </c>
      <c r="AQ235" s="12" t="str">
        <f t="shared" si="51"/>
        <v/>
      </c>
      <c r="AR235" s="12" t="str">
        <f t="shared" si="51"/>
        <v/>
      </c>
      <c r="AS235" s="12" t="str">
        <f t="shared" si="51"/>
        <v/>
      </c>
      <c r="AT235" s="12" t="str">
        <f t="shared" si="51"/>
        <v/>
      </c>
      <c r="AU235" s="12" t="str">
        <f t="shared" si="51"/>
        <v/>
      </c>
      <c r="AV235" s="12" t="str">
        <f t="shared" si="51"/>
        <v/>
      </c>
      <c r="AW235" s="12" t="str">
        <f t="shared" si="51"/>
        <v/>
      </c>
      <c r="AX235" s="12" t="str">
        <f t="shared" si="51"/>
        <v/>
      </c>
      <c r="AY235" s="12" t="str">
        <f t="shared" si="51"/>
        <v/>
      </c>
      <c r="AZ235" s="12" t="str">
        <f t="shared" si="51"/>
        <v/>
      </c>
      <c r="BA235" s="12" t="str">
        <f t="shared" si="51"/>
        <v/>
      </c>
      <c r="BB235" s="12" t="str">
        <f t="shared" si="51"/>
        <v/>
      </c>
      <c r="BC235" s="12" t="str">
        <f t="shared" si="51"/>
        <v/>
      </c>
      <c r="BD235" s="12" t="str">
        <f t="shared" si="51"/>
        <v/>
      </c>
      <c r="BE235" s="12" t="str">
        <f t="shared" si="51"/>
        <v/>
      </c>
      <c r="BF235" s="12" t="str">
        <f t="shared" si="51"/>
        <v/>
      </c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</row>
    <row r="236" spans="1:103" x14ac:dyDescent="0.2">
      <c r="C236" s="15" t="s">
        <v>75</v>
      </c>
      <c r="D236" s="46"/>
      <c r="E236" s="46"/>
      <c r="F236" s="46"/>
      <c r="G236" s="46"/>
      <c r="H236" s="12"/>
      <c r="I236" s="46" t="str">
        <f>'Inputs (2)'!D47</f>
        <v/>
      </c>
      <c r="J236" s="46" t="str">
        <f>'Inputs (2)'!E47</f>
        <v/>
      </c>
      <c r="K236" s="46" t="str">
        <f>'Inputs (2)'!F47</f>
        <v/>
      </c>
      <c r="L236" s="46" t="str">
        <f>'Inputs (2)'!G47</f>
        <v/>
      </c>
      <c r="M236" s="12" t="str">
        <f>'Inputs (2)'!H47</f>
        <v/>
      </c>
      <c r="N236" s="46" t="str">
        <f>'Inputs (2)'!I47</f>
        <v/>
      </c>
      <c r="O236" s="46" t="str">
        <f>'Inputs (2)'!J47</f>
        <v/>
      </c>
      <c r="P236" s="46" t="str">
        <f>'Inputs (2)'!K47</f>
        <v/>
      </c>
      <c r="Q236" s="46" t="str">
        <f>'Inputs (2)'!L47</f>
        <v/>
      </c>
      <c r="R236" s="12" t="str">
        <f>'Inputs (2)'!M47</f>
        <v/>
      </c>
      <c r="S236" s="46" t="str">
        <f>'Inputs (2)'!N47</f>
        <v/>
      </c>
      <c r="T236" s="46" t="str">
        <f>'Inputs (2)'!O47</f>
        <v/>
      </c>
      <c r="U236" s="46" t="str">
        <f>'Inputs (2)'!P47</f>
        <v/>
      </c>
      <c r="V236" s="46" t="str">
        <f>'Inputs (2)'!Q47</f>
        <v/>
      </c>
      <c r="W236" s="12" t="str">
        <f>'Inputs (2)'!R47</f>
        <v/>
      </c>
      <c r="X236" s="46" t="str">
        <f>'Inputs (2)'!S47</f>
        <v/>
      </c>
      <c r="Y236" s="46" t="str">
        <f>'Inputs (2)'!T47</f>
        <v/>
      </c>
      <c r="Z236" s="46" t="str">
        <f>'Inputs (2)'!U47</f>
        <v/>
      </c>
      <c r="AA236" s="46" t="str">
        <f>'Inputs (2)'!V47</f>
        <v/>
      </c>
      <c r="AB236" s="12" t="str">
        <f>'Inputs (2)'!W47</f>
        <v/>
      </c>
      <c r="AC236" s="46" t="str">
        <f>'Inputs (2)'!X47</f>
        <v/>
      </c>
      <c r="AD236" s="46" t="str">
        <f>'Inputs (2)'!Y47</f>
        <v/>
      </c>
      <c r="AE236" s="46" t="str">
        <f>'Inputs (2)'!Z47</f>
        <v/>
      </c>
      <c r="AF236" s="46" t="str">
        <f>'Inputs (2)'!AA47</f>
        <v/>
      </c>
      <c r="AG236" s="12" t="str">
        <f>'Inputs (2)'!AB47</f>
        <v/>
      </c>
      <c r="AH236" s="12" t="str">
        <f>'Inputs (2)'!AC47</f>
        <v/>
      </c>
      <c r="AI236" s="12" t="str">
        <f>'Inputs (2)'!AD47</f>
        <v/>
      </c>
      <c r="AJ236" s="12" t="e">
        <f>AI236+AJ103+AJ104</f>
        <v>#VALUE!</v>
      </c>
      <c r="AK236" s="12" t="e">
        <f>AJ236+AK103+AK104</f>
        <v>#VALUE!</v>
      </c>
      <c r="AL236" s="12" t="e">
        <f>AK236</f>
        <v>#VALUE!</v>
      </c>
      <c r="AM236" s="12" t="e">
        <f>AL236+AM103+AM104</f>
        <v>#VALUE!</v>
      </c>
      <c r="AN236" s="12" t="e">
        <f>AM236+AN103+AN104</f>
        <v>#VALUE!</v>
      </c>
      <c r="AO236" s="12" t="e">
        <f>AN236+AO103+AO104</f>
        <v>#VALUE!</v>
      </c>
      <c r="AP236" s="12" t="e">
        <f>AO236+AP103+AP104</f>
        <v>#VALUE!</v>
      </c>
      <c r="AQ236" s="12" t="e">
        <f>AP236</f>
        <v>#VALUE!</v>
      </c>
      <c r="AR236" s="12" t="e">
        <f>AQ236+AR103+AR104</f>
        <v>#VALUE!</v>
      </c>
      <c r="AS236" s="12" t="e">
        <f>AR236+AS103+AS104</f>
        <v>#VALUE!</v>
      </c>
      <c r="AT236" s="12" t="e">
        <f>AS236+AT103+AT104</f>
        <v>#VALUE!</v>
      </c>
      <c r="AU236" s="12" t="e">
        <f>AT236+AU103+AU104</f>
        <v>#VALUE!</v>
      </c>
      <c r="AV236" s="12" t="e">
        <f>AU236</f>
        <v>#VALUE!</v>
      </c>
      <c r="AW236" s="12" t="e">
        <f>AV236+AW103+AW104</f>
        <v>#VALUE!</v>
      </c>
      <c r="AX236" s="12" t="e">
        <f>AW236+AX103+AX104</f>
        <v>#VALUE!</v>
      </c>
      <c r="AY236" s="12" t="e">
        <f>AX236+AY103+AY104</f>
        <v>#VALUE!</v>
      </c>
      <c r="AZ236" s="12" t="e">
        <f>AY236+AZ103+AZ104</f>
        <v>#VALUE!</v>
      </c>
      <c r="BA236" s="12" t="e">
        <f>AZ236</f>
        <v>#VALUE!</v>
      </c>
      <c r="BB236" s="12" t="e">
        <f>BA236+BB103+BB104</f>
        <v>#VALUE!</v>
      </c>
      <c r="BC236" s="12" t="e">
        <f>BB236+BC103+BC104</f>
        <v>#VALUE!</v>
      </c>
      <c r="BD236" s="12" t="e">
        <f>BC236+BD103+BD104</f>
        <v>#VALUE!</v>
      </c>
      <c r="BE236" s="12" t="e">
        <f>BD236+BE103+BE104</f>
        <v>#VALUE!</v>
      </c>
      <c r="BF236" s="12" t="e">
        <f>BE236</f>
        <v>#VALUE!</v>
      </c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</row>
    <row r="237" spans="1:103" s="32" customFormat="1" x14ac:dyDescent="0.2">
      <c r="A237" s="30" t="s">
        <v>183</v>
      </c>
      <c r="B237" s="30"/>
      <c r="C237" s="65" t="s">
        <v>184</v>
      </c>
      <c r="D237" s="35"/>
      <c r="E237" s="35"/>
      <c r="F237" s="35"/>
      <c r="G237" s="35"/>
      <c r="H237" s="35"/>
      <c r="I237" s="35" t="e">
        <f>SUM(I214+I219+I220+I233+I234+I235+I236)</f>
        <v>#VALUE!</v>
      </c>
      <c r="J237" s="35" t="e">
        <f>SUM(J214+J219+J220+J233+J234+J235+J236)</f>
        <v>#VALUE!</v>
      </c>
      <c r="K237" s="35" t="e">
        <f>SUM(K214+K219+K220+K233+K234+K235+K236)</f>
        <v>#VALUE!</v>
      </c>
      <c r="L237" s="35" t="e">
        <f>SUM(L214+L219+L220+L233+L234+L235+L236)</f>
        <v>#VALUE!</v>
      </c>
      <c r="M237" s="35">
        <f>SUM(M214,M219,M220,M233,M234,M235,M236)</f>
        <v>0</v>
      </c>
      <c r="N237" s="35" t="e">
        <f>SUM(N214+N219+N220+N233+N234+N235+N236)</f>
        <v>#VALUE!</v>
      </c>
      <c r="O237" s="35" t="e">
        <f>SUM(O214+O219+O220+O233+O234+O235+O236)</f>
        <v>#VALUE!</v>
      </c>
      <c r="P237" s="35" t="e">
        <f>SUM(P214+P219+P220+P233+P234+P235+P236)</f>
        <v>#VALUE!</v>
      </c>
      <c r="Q237" s="35" t="e">
        <f>SUM(Q214+Q219+Q220+Q233+Q234+Q235+Q236)</f>
        <v>#VALUE!</v>
      </c>
      <c r="R237" s="35">
        <f>SUM(R214,R219,R220,R233,R234,R235,R236)</f>
        <v>0</v>
      </c>
      <c r="S237" s="35" t="e">
        <f>SUM(S214+S219+S220+S233+S234+S235+S236)</f>
        <v>#VALUE!</v>
      </c>
      <c r="T237" s="35" t="e">
        <f>SUM(T214+T219+T220+T233+T234+T235+T236)</f>
        <v>#VALUE!</v>
      </c>
      <c r="U237" s="35" t="e">
        <f>SUM(U214+U219+U220+U233+U234+U235+U236)</f>
        <v>#VALUE!</v>
      </c>
      <c r="V237" s="35" t="e">
        <f>SUM(V214+V219+V220+V233+V234+V235+V236)</f>
        <v>#VALUE!</v>
      </c>
      <c r="W237" s="35">
        <f>SUM(W214,W219,W220,W233,W234,W235,W236)</f>
        <v>0</v>
      </c>
      <c r="X237" s="35" t="e">
        <f>SUM(X214+X219+X220+X233+X234+X235+X236)</f>
        <v>#VALUE!</v>
      </c>
      <c r="Y237" s="35" t="e">
        <f>SUM(Y214+Y219+Y220+Y233+Y234+Y235+Y236)</f>
        <v>#VALUE!</v>
      </c>
      <c r="Z237" s="35" t="e">
        <f>SUM(Z214+Z219+Z220+Z233+Z234+Z235+Z236)</f>
        <v>#VALUE!</v>
      </c>
      <c r="AA237" s="35" t="e">
        <f>SUM(AA214+AA219+AA220+AA233+AA234+AA235+AA236)</f>
        <v>#VALUE!</v>
      </c>
      <c r="AB237" s="35">
        <f>SUM(AB214,AB219,AB220,AB233,AB234,AB235,AB236)</f>
        <v>0</v>
      </c>
      <c r="AC237" s="35" t="e">
        <f>SUM(AC214+AC219+AC220+AC233+AC234+AC235+AC236)</f>
        <v>#VALUE!</v>
      </c>
      <c r="AD237" s="35" t="e">
        <f>SUM(AD214+AD219+AD220+AD233+AD234+AD235+AD236)</f>
        <v>#VALUE!</v>
      </c>
      <c r="AE237" s="35" t="e">
        <f>SUM(AE214+AE219+AE220+AE233+AE234+AE235+AE236)</f>
        <v>#VALUE!</v>
      </c>
      <c r="AF237" s="35" t="e">
        <f>SUM(AF214+AF219+AF220+AF233+AF234+AF235+AF236)</f>
        <v>#VALUE!</v>
      </c>
      <c r="AG237" s="35">
        <f>SUM(AG214,AG219,AG220,AG233,AG234,AG235,AG236)</f>
        <v>0</v>
      </c>
      <c r="AH237" s="35" t="e">
        <f>SUM(AH214+AH219+AH220+AH233+AH234+AH235+AH236)</f>
        <v>#VALUE!</v>
      </c>
      <c r="AI237" s="35" t="e">
        <f>SUM(AI214+AI219+AI220+AI233+AI234+AI235+AI236)</f>
        <v>#VALUE!</v>
      </c>
      <c r="AJ237" s="35" t="e">
        <f>SUM(AJ214+AJ219+AJ220+AJ233+AJ234+AJ235+AJ236)</f>
        <v>#VALUE!</v>
      </c>
      <c r="AK237" s="35" t="e">
        <f>SUM(AK214+AK219+AK220+AK233+AK234+AK235+AK236)</f>
        <v>#VALUE!</v>
      </c>
      <c r="AL237" s="35" t="e">
        <f>SUM(AL214,AL219,AL220,AL233,AL234,AL235,AL236)</f>
        <v>#VALUE!</v>
      </c>
      <c r="AM237" s="35" t="e">
        <f>SUM(AM214+AM219+AM220+AM233+AM234+AM235+AM236)</f>
        <v>#VALUE!</v>
      </c>
      <c r="AN237" s="35" t="e">
        <f>SUM(AN214+AN219+AN220+AN233+AN234+AN235+AN236)</f>
        <v>#VALUE!</v>
      </c>
      <c r="AO237" s="35" t="e">
        <f>SUM(AO214+AO219+AO220+AO233+AO234+AO235+AO236)</f>
        <v>#VALUE!</v>
      </c>
      <c r="AP237" s="35" t="e">
        <f>SUM(AP214+AP219+AP220+AP233+AP234+AP235+AP236)</f>
        <v>#VALUE!</v>
      </c>
      <c r="AQ237" s="35" t="e">
        <f>SUM(AQ214,AQ219,AQ220,AQ233,AQ234,AQ235,AQ236)</f>
        <v>#VALUE!</v>
      </c>
      <c r="AR237" s="35" t="e">
        <f>SUM(AR214+AR219+AR220+AR233+AR234+AR235+AR236)</f>
        <v>#VALUE!</v>
      </c>
      <c r="AS237" s="35" t="e">
        <f>SUM(AS214+AS219+AS220+AS233+AS234+AS235+AS236)</f>
        <v>#VALUE!</v>
      </c>
      <c r="AT237" s="35" t="e">
        <f>SUM(AT214+AT219+AT220+AT233+AT234+AT235+AT236)</f>
        <v>#VALUE!</v>
      </c>
      <c r="AU237" s="35" t="e">
        <f>SUM(AU214+AU219+AU220+AU233+AU234+AU235+AU236)</f>
        <v>#VALUE!</v>
      </c>
      <c r="AV237" s="35" t="e">
        <f>SUM(AV214,AV219,AV220,AV233,AV234,AV235,AV236)</f>
        <v>#VALUE!</v>
      </c>
      <c r="AW237" s="35" t="e">
        <f>SUM(AW214+AW219+AW220+AW233+AW234+AW235+AW236)</f>
        <v>#VALUE!</v>
      </c>
      <c r="AX237" s="35" t="e">
        <f>SUM(AX214+AX219+AX220+AX233+AX234+AX235+AX236)</f>
        <v>#VALUE!</v>
      </c>
      <c r="AY237" s="35" t="e">
        <f>SUM(AY214+AY219+AY220+AY233+AY234+AY235+AY236)</f>
        <v>#VALUE!</v>
      </c>
      <c r="AZ237" s="35" t="e">
        <f>SUM(AZ214+AZ219+AZ220+AZ233+AZ234+AZ235+AZ236)</f>
        <v>#VALUE!</v>
      </c>
      <c r="BA237" s="35" t="e">
        <f>SUM(BA214,BA219,BA220,BA233,BA234,BA235,BA236)</f>
        <v>#VALUE!</v>
      </c>
      <c r="BB237" s="35" t="e">
        <f>SUM(BB214+BB219+BB220+BB233+BB234+BB235+BB236)</f>
        <v>#VALUE!</v>
      </c>
      <c r="BC237" s="35" t="e">
        <f>SUM(BC214+BC219+BC220+BC233+BC234+BC235+BC236)</f>
        <v>#VALUE!</v>
      </c>
      <c r="BD237" s="35" t="e">
        <f>SUM(BD214+BD219+BD220+BD233+BD234+BD235+BD236)</f>
        <v>#VALUE!</v>
      </c>
      <c r="BE237" s="35" t="e">
        <f>SUM(BE214+BE219+BE220+BE233+BE234+BE235+BE236)</f>
        <v>#VALUE!</v>
      </c>
      <c r="BF237" s="35" t="e">
        <f>SUM(BF214,BF219,BF220,BF233,BF234,BF235,BF236)</f>
        <v>#VALUE!</v>
      </c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</row>
    <row r="238" spans="1:103" x14ac:dyDescent="0.2">
      <c r="C238" s="10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</row>
    <row r="239" spans="1:103" s="32" customFormat="1" x14ac:dyDescent="0.2">
      <c r="A239" s="30"/>
      <c r="B239" s="3"/>
      <c r="C239" s="33" t="s">
        <v>185</v>
      </c>
      <c r="D239" s="35"/>
      <c r="E239" s="35"/>
      <c r="F239" s="35"/>
      <c r="G239" s="35"/>
      <c r="H239" s="35"/>
      <c r="I239" s="35" t="e">
        <f t="shared" ref="I239:AN239" si="52">I237+I213</f>
        <v>#VALUE!</v>
      </c>
      <c r="J239" s="35" t="e">
        <f t="shared" si="52"/>
        <v>#VALUE!</v>
      </c>
      <c r="K239" s="35" t="e">
        <f t="shared" si="52"/>
        <v>#VALUE!</v>
      </c>
      <c r="L239" s="35" t="e">
        <f t="shared" si="52"/>
        <v>#VALUE!</v>
      </c>
      <c r="M239" s="35">
        <f t="shared" si="52"/>
        <v>0</v>
      </c>
      <c r="N239" s="35" t="e">
        <f t="shared" si="52"/>
        <v>#VALUE!</v>
      </c>
      <c r="O239" s="35" t="e">
        <f t="shared" si="52"/>
        <v>#VALUE!</v>
      </c>
      <c r="P239" s="35" t="e">
        <f t="shared" si="52"/>
        <v>#VALUE!</v>
      </c>
      <c r="Q239" s="35" t="e">
        <f t="shared" si="52"/>
        <v>#VALUE!</v>
      </c>
      <c r="R239" s="35">
        <f t="shared" si="52"/>
        <v>0</v>
      </c>
      <c r="S239" s="35" t="e">
        <f t="shared" si="52"/>
        <v>#VALUE!</v>
      </c>
      <c r="T239" s="35" t="e">
        <f t="shared" si="52"/>
        <v>#VALUE!</v>
      </c>
      <c r="U239" s="35" t="e">
        <f t="shared" si="52"/>
        <v>#VALUE!</v>
      </c>
      <c r="V239" s="35" t="e">
        <f t="shared" si="52"/>
        <v>#VALUE!</v>
      </c>
      <c r="W239" s="35">
        <f t="shared" si="52"/>
        <v>0</v>
      </c>
      <c r="X239" s="35" t="e">
        <f t="shared" si="52"/>
        <v>#VALUE!</v>
      </c>
      <c r="Y239" s="35" t="e">
        <f t="shared" si="52"/>
        <v>#VALUE!</v>
      </c>
      <c r="Z239" s="35" t="e">
        <f t="shared" si="52"/>
        <v>#VALUE!</v>
      </c>
      <c r="AA239" s="35" t="e">
        <f t="shared" si="52"/>
        <v>#VALUE!</v>
      </c>
      <c r="AB239" s="35">
        <f t="shared" si="52"/>
        <v>0</v>
      </c>
      <c r="AC239" s="35" t="e">
        <f t="shared" si="52"/>
        <v>#VALUE!</v>
      </c>
      <c r="AD239" s="35" t="e">
        <f t="shared" si="52"/>
        <v>#VALUE!</v>
      </c>
      <c r="AE239" s="35" t="e">
        <f t="shared" si="52"/>
        <v>#VALUE!</v>
      </c>
      <c r="AF239" s="35" t="e">
        <f t="shared" si="52"/>
        <v>#VALUE!</v>
      </c>
      <c r="AG239" s="35">
        <f t="shared" si="52"/>
        <v>0</v>
      </c>
      <c r="AH239" s="35" t="e">
        <f t="shared" si="52"/>
        <v>#VALUE!</v>
      </c>
      <c r="AI239" s="35" t="e">
        <f t="shared" si="52"/>
        <v>#VALUE!</v>
      </c>
      <c r="AJ239" s="35" t="e">
        <f t="shared" si="52"/>
        <v>#VALUE!</v>
      </c>
      <c r="AK239" s="35" t="e">
        <f t="shared" si="52"/>
        <v>#VALUE!</v>
      </c>
      <c r="AL239" s="35" t="e">
        <f t="shared" si="52"/>
        <v>#VALUE!</v>
      </c>
      <c r="AM239" s="35" t="e">
        <f t="shared" si="52"/>
        <v>#VALUE!</v>
      </c>
      <c r="AN239" s="35" t="e">
        <f t="shared" si="52"/>
        <v>#VALUE!</v>
      </c>
      <c r="AO239" s="35" t="e">
        <f t="shared" ref="AO239:BF239" si="53">AO237+AO213</f>
        <v>#VALUE!</v>
      </c>
      <c r="AP239" s="35" t="e">
        <f t="shared" si="53"/>
        <v>#VALUE!</v>
      </c>
      <c r="AQ239" s="35" t="e">
        <f t="shared" si="53"/>
        <v>#VALUE!</v>
      </c>
      <c r="AR239" s="35" t="e">
        <f t="shared" si="53"/>
        <v>#VALUE!</v>
      </c>
      <c r="AS239" s="35" t="e">
        <f t="shared" si="53"/>
        <v>#VALUE!</v>
      </c>
      <c r="AT239" s="35" t="e">
        <f t="shared" si="53"/>
        <v>#VALUE!</v>
      </c>
      <c r="AU239" s="35" t="e">
        <f t="shared" si="53"/>
        <v>#VALUE!</v>
      </c>
      <c r="AV239" s="35" t="e">
        <f t="shared" si="53"/>
        <v>#VALUE!</v>
      </c>
      <c r="AW239" s="35" t="e">
        <f t="shared" si="53"/>
        <v>#VALUE!</v>
      </c>
      <c r="AX239" s="35" t="e">
        <f t="shared" si="53"/>
        <v>#VALUE!</v>
      </c>
      <c r="AY239" s="35" t="e">
        <f t="shared" si="53"/>
        <v>#VALUE!</v>
      </c>
      <c r="AZ239" s="35" t="e">
        <f t="shared" si="53"/>
        <v>#VALUE!</v>
      </c>
      <c r="BA239" s="35" t="e">
        <f t="shared" si="53"/>
        <v>#VALUE!</v>
      </c>
      <c r="BB239" s="35" t="e">
        <f t="shared" si="53"/>
        <v>#VALUE!</v>
      </c>
      <c r="BC239" s="35" t="e">
        <f t="shared" si="53"/>
        <v>#VALUE!</v>
      </c>
      <c r="BD239" s="35" t="e">
        <f t="shared" si="53"/>
        <v>#VALUE!</v>
      </c>
      <c r="BE239" s="35" t="e">
        <f t="shared" si="53"/>
        <v>#VALUE!</v>
      </c>
      <c r="BF239" s="35" t="e">
        <f t="shared" si="53"/>
        <v>#VALUE!</v>
      </c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</row>
    <row r="240" spans="1:103" x14ac:dyDescent="0.2">
      <c r="C240" s="1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spans="1:103" s="32" customFormat="1" x14ac:dyDescent="0.2">
      <c r="A241" s="30"/>
      <c r="B241" s="30"/>
      <c r="C241" s="31" t="s">
        <v>186</v>
      </c>
      <c r="D241" s="70"/>
      <c r="E241" s="70"/>
      <c r="F241" s="70"/>
      <c r="G241" s="70"/>
      <c r="H241" s="70"/>
      <c r="I241" s="70" t="str">
        <f t="shared" ref="I241:AN241" si="54">I108</f>
        <v>1Q21</v>
      </c>
      <c r="J241" s="70" t="str">
        <f t="shared" si="54"/>
        <v>2Q21</v>
      </c>
      <c r="K241" s="70" t="str">
        <f t="shared" si="54"/>
        <v>3Q21</v>
      </c>
      <c r="L241" s="70" t="str">
        <f t="shared" si="54"/>
        <v>4Q21</v>
      </c>
      <c r="M241" s="70">
        <f t="shared" si="54"/>
        <v>2021</v>
      </c>
      <c r="N241" s="70" t="str">
        <f t="shared" si="54"/>
        <v>1Q22</v>
      </c>
      <c r="O241" s="70" t="str">
        <f t="shared" si="54"/>
        <v>2Q22</v>
      </c>
      <c r="P241" s="70" t="str">
        <f t="shared" si="54"/>
        <v>3Q22</v>
      </c>
      <c r="Q241" s="70" t="str">
        <f t="shared" si="54"/>
        <v>4Q22</v>
      </c>
      <c r="R241" s="70">
        <f t="shared" si="54"/>
        <v>2022</v>
      </c>
      <c r="S241" s="70" t="str">
        <f t="shared" si="54"/>
        <v>1Q23</v>
      </c>
      <c r="T241" s="70" t="str">
        <f t="shared" si="54"/>
        <v>2Q23</v>
      </c>
      <c r="U241" s="70" t="str">
        <f t="shared" si="54"/>
        <v>3Q23</v>
      </c>
      <c r="V241" s="70" t="str">
        <f t="shared" si="54"/>
        <v>4Q23</v>
      </c>
      <c r="W241" s="70">
        <f t="shared" si="54"/>
        <v>2023</v>
      </c>
      <c r="X241" s="70" t="str">
        <f t="shared" si="54"/>
        <v>1Q24</v>
      </c>
      <c r="Y241" s="70" t="str">
        <f t="shared" si="54"/>
        <v>2Q24</v>
      </c>
      <c r="Z241" s="70" t="str">
        <f t="shared" si="54"/>
        <v>3Q24</v>
      </c>
      <c r="AA241" s="70" t="str">
        <f t="shared" si="54"/>
        <v>4Q24</v>
      </c>
      <c r="AB241" s="70">
        <f t="shared" si="54"/>
        <v>2024</v>
      </c>
      <c r="AC241" s="70" t="str">
        <f t="shared" si="54"/>
        <v>1Q25</v>
      </c>
      <c r="AD241" s="70" t="str">
        <f t="shared" si="54"/>
        <v>2Q25</v>
      </c>
      <c r="AE241" s="70" t="str">
        <f t="shared" si="54"/>
        <v>3Q25</v>
      </c>
      <c r="AF241" s="70" t="str">
        <f t="shared" si="54"/>
        <v>4Q25</v>
      </c>
      <c r="AG241" s="70">
        <f t="shared" si="54"/>
        <v>2025</v>
      </c>
      <c r="AH241" s="70" t="str">
        <f t="shared" si="54"/>
        <v>1Q26</v>
      </c>
      <c r="AI241" s="70" t="str">
        <f t="shared" si="54"/>
        <v>2Q26</v>
      </c>
      <c r="AJ241" s="70" t="str">
        <f t="shared" si="54"/>
        <v>3Q26</v>
      </c>
      <c r="AK241" s="70" t="str">
        <f t="shared" si="54"/>
        <v>4Q26</v>
      </c>
      <c r="AL241" s="70">
        <f t="shared" si="54"/>
        <v>2026</v>
      </c>
      <c r="AM241" s="70" t="str">
        <f t="shared" si="54"/>
        <v>1Q27</v>
      </c>
      <c r="AN241" s="70" t="str">
        <f t="shared" si="54"/>
        <v>2Q27</v>
      </c>
      <c r="AO241" s="70" t="str">
        <f t="shared" ref="AO241:BF241" si="55">AO108</f>
        <v>3Q27</v>
      </c>
      <c r="AP241" s="70" t="str">
        <f t="shared" si="55"/>
        <v>4Q27</v>
      </c>
      <c r="AQ241" s="70">
        <f t="shared" si="55"/>
        <v>2027</v>
      </c>
      <c r="AR241" s="70" t="str">
        <f t="shared" si="55"/>
        <v>1Q28</v>
      </c>
      <c r="AS241" s="70" t="str">
        <f t="shared" si="55"/>
        <v>2Q28</v>
      </c>
      <c r="AT241" s="70" t="str">
        <f t="shared" si="55"/>
        <v>3Q28</v>
      </c>
      <c r="AU241" s="70" t="str">
        <f t="shared" si="55"/>
        <v>4Q28</v>
      </c>
      <c r="AV241" s="70">
        <f t="shared" si="55"/>
        <v>2028</v>
      </c>
      <c r="AW241" s="70" t="str">
        <f t="shared" si="55"/>
        <v>1Q29</v>
      </c>
      <c r="AX241" s="70" t="str">
        <f t="shared" si="55"/>
        <v>2Q29</v>
      </c>
      <c r="AY241" s="70" t="str">
        <f t="shared" si="55"/>
        <v>3Q29</v>
      </c>
      <c r="AZ241" s="70" t="str">
        <f t="shared" si="55"/>
        <v>4Q29</v>
      </c>
      <c r="BA241" s="70">
        <f t="shared" si="55"/>
        <v>2029</v>
      </c>
      <c r="BB241" s="70" t="str">
        <f t="shared" si="55"/>
        <v>1Q30</v>
      </c>
      <c r="BC241" s="70" t="str">
        <f t="shared" si="55"/>
        <v>2Q30</v>
      </c>
      <c r="BD241" s="70" t="str">
        <f t="shared" si="55"/>
        <v>3Q30</v>
      </c>
      <c r="BE241" s="70" t="str">
        <f t="shared" si="55"/>
        <v>4Q30</v>
      </c>
      <c r="BF241" s="70">
        <f t="shared" si="55"/>
        <v>2030</v>
      </c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T241" s="70"/>
      <c r="CU241" s="70"/>
      <c r="CV241" s="70"/>
      <c r="CW241" s="70"/>
      <c r="CX241" s="70"/>
      <c r="CY241" s="70"/>
    </row>
    <row r="242" spans="1:103" x14ac:dyDescent="0.2">
      <c r="C242" s="1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spans="1:103" x14ac:dyDescent="0.2">
      <c r="C243" s="10" t="s">
        <v>135</v>
      </c>
      <c r="D243" s="12"/>
      <c r="E243" s="12"/>
      <c r="F243" s="12"/>
      <c r="G243" s="12"/>
      <c r="H243" s="12"/>
      <c r="I243" s="12">
        <f>I103</f>
        <v>0</v>
      </c>
      <c r="J243" s="12">
        <f>J103</f>
        <v>0</v>
      </c>
      <c r="K243" s="12">
        <f>K103</f>
        <v>0</v>
      </c>
      <c r="L243" s="12">
        <f>L103</f>
        <v>0</v>
      </c>
      <c r="M243" s="12">
        <f t="shared" ref="M243:M258" si="56">SUM(I243:L243)</f>
        <v>0</v>
      </c>
      <c r="N243" s="12">
        <f>N103</f>
        <v>0</v>
      </c>
      <c r="O243" s="12">
        <f>O103</f>
        <v>0</v>
      </c>
      <c r="P243" s="12">
        <f>P103</f>
        <v>0</v>
      </c>
      <c r="Q243" s="12">
        <f>Q103</f>
        <v>0</v>
      </c>
      <c r="R243" s="12">
        <f t="shared" ref="R243:R258" si="57">SUM(N243:Q243)</f>
        <v>0</v>
      </c>
      <c r="S243" s="12">
        <f>S103</f>
        <v>0</v>
      </c>
      <c r="T243" s="12">
        <f>T103</f>
        <v>0</v>
      </c>
      <c r="U243" s="12">
        <f>U103</f>
        <v>0</v>
      </c>
      <c r="V243" s="12">
        <f>V103</f>
        <v>0</v>
      </c>
      <c r="W243" s="12">
        <f t="shared" ref="W243:W258" si="58">SUM(S243:V243)</f>
        <v>0</v>
      </c>
      <c r="X243" s="12">
        <f>X103</f>
        <v>0</v>
      </c>
      <c r="Y243" s="12">
        <f>Y103</f>
        <v>0</v>
      </c>
      <c r="Z243" s="12">
        <f>Z103</f>
        <v>0</v>
      </c>
      <c r="AA243" s="12">
        <f>AA103</f>
        <v>0</v>
      </c>
      <c r="AB243" s="12">
        <f t="shared" ref="AB243:AB258" si="59">SUM(X243:AA243)</f>
        <v>0</v>
      </c>
      <c r="AC243" s="12">
        <f>AC103</f>
        <v>0</v>
      </c>
      <c r="AD243" s="12">
        <f>AD103</f>
        <v>0</v>
      </c>
      <c r="AE243" s="12">
        <f>AE103</f>
        <v>0</v>
      </c>
      <c r="AF243" s="12">
        <f>AF103</f>
        <v>0</v>
      </c>
      <c r="AG243" s="12">
        <f t="shared" ref="AG243:AG258" si="60">SUM(AC243:AF243)</f>
        <v>0</v>
      </c>
      <c r="AH243" s="12">
        <f>AH103</f>
        <v>0</v>
      </c>
      <c r="AI243" s="12">
        <f>AI103</f>
        <v>0</v>
      </c>
      <c r="AJ243" s="12" t="e">
        <f>AJ103</f>
        <v>#VALUE!</v>
      </c>
      <c r="AK243" s="12" t="e">
        <f>AK103</f>
        <v>#VALUE!</v>
      </c>
      <c r="AL243" s="12" t="e">
        <f t="shared" ref="AL243:AL258" si="61">SUM(AH243:AK243)</f>
        <v>#VALUE!</v>
      </c>
      <c r="AM243" s="12" t="e">
        <f>AM103</f>
        <v>#VALUE!</v>
      </c>
      <c r="AN243" s="12" t="e">
        <f>AN103</f>
        <v>#VALUE!</v>
      </c>
      <c r="AO243" s="12" t="e">
        <f>AO103</f>
        <v>#VALUE!</v>
      </c>
      <c r="AP243" s="12" t="e">
        <f>AP103</f>
        <v>#VALUE!</v>
      </c>
      <c r="AQ243" s="12" t="e">
        <f t="shared" ref="AQ243:AQ258" si="62">SUM(AM243:AP243)</f>
        <v>#VALUE!</v>
      </c>
      <c r="AR243" s="12" t="e">
        <f>AR103</f>
        <v>#VALUE!</v>
      </c>
      <c r="AS243" s="12" t="e">
        <f>AS103</f>
        <v>#VALUE!</v>
      </c>
      <c r="AT243" s="12" t="e">
        <f>AT103</f>
        <v>#VALUE!</v>
      </c>
      <c r="AU243" s="12" t="e">
        <f>AU103</f>
        <v>#VALUE!</v>
      </c>
      <c r="AV243" s="12" t="e">
        <f t="shared" ref="AV243:AV258" si="63">SUM(AR243:AU243)</f>
        <v>#VALUE!</v>
      </c>
      <c r="AW243" s="12" t="e">
        <f>AW103</f>
        <v>#VALUE!</v>
      </c>
      <c r="AX243" s="12" t="e">
        <f>AX103</f>
        <v>#VALUE!</v>
      </c>
      <c r="AY243" s="12" t="e">
        <f>AY103</f>
        <v>#VALUE!</v>
      </c>
      <c r="AZ243" s="12" t="e">
        <f>AZ103</f>
        <v>#VALUE!</v>
      </c>
      <c r="BA243" s="12" t="e">
        <f t="shared" ref="BA243:BA258" si="64">SUM(AW243:AZ243)</f>
        <v>#VALUE!</v>
      </c>
      <c r="BB243" s="12" t="e">
        <f>BB103</f>
        <v>#VALUE!</v>
      </c>
      <c r="BC243" s="12" t="e">
        <f>BC103</f>
        <v>#VALUE!</v>
      </c>
      <c r="BD243" s="12" t="e">
        <f>BD103</f>
        <v>#VALUE!</v>
      </c>
      <c r="BE243" s="12" t="e">
        <f>BE103</f>
        <v>#VALUE!</v>
      </c>
      <c r="BF243" s="12" t="e">
        <f t="shared" ref="BF243:BF258" si="65">SUM(BB243:BE243)</f>
        <v>#VALUE!</v>
      </c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</row>
    <row r="244" spans="1:103" x14ac:dyDescent="0.2">
      <c r="C244" s="10" t="s">
        <v>187</v>
      </c>
      <c r="D244" s="12"/>
      <c r="E244" s="12"/>
      <c r="F244" s="12"/>
      <c r="G244" s="12"/>
      <c r="H244" s="12"/>
      <c r="I244" s="12" t="e">
        <f>-I36</f>
        <v>#VALUE!</v>
      </c>
      <c r="J244" s="12" t="e">
        <f>-J36</f>
        <v>#VALUE!</v>
      </c>
      <c r="K244" s="12" t="e">
        <f>-K36</f>
        <v>#VALUE!</v>
      </c>
      <c r="L244" s="12" t="e">
        <f>-L36</f>
        <v>#VALUE!</v>
      </c>
      <c r="M244" s="12" t="e">
        <f t="shared" si="56"/>
        <v>#VALUE!</v>
      </c>
      <c r="N244" s="12" t="e">
        <f>-N36</f>
        <v>#VALUE!</v>
      </c>
      <c r="O244" s="12" t="e">
        <f>-O36</f>
        <v>#VALUE!</v>
      </c>
      <c r="P244" s="12" t="e">
        <f>-P36</f>
        <v>#VALUE!</v>
      </c>
      <c r="Q244" s="12" t="e">
        <f>-Q36</f>
        <v>#VALUE!</v>
      </c>
      <c r="R244" s="12" t="e">
        <f t="shared" si="57"/>
        <v>#VALUE!</v>
      </c>
      <c r="S244" s="12" t="e">
        <f>-S36</f>
        <v>#VALUE!</v>
      </c>
      <c r="T244" s="12" t="e">
        <f>-T36</f>
        <v>#VALUE!</v>
      </c>
      <c r="U244" s="12" t="e">
        <f>-U36</f>
        <v>#VALUE!</v>
      </c>
      <c r="V244" s="12" t="e">
        <f>-V36</f>
        <v>#VALUE!</v>
      </c>
      <c r="W244" s="12" t="e">
        <f t="shared" si="58"/>
        <v>#VALUE!</v>
      </c>
      <c r="X244" s="12" t="e">
        <f>-X36</f>
        <v>#VALUE!</v>
      </c>
      <c r="Y244" s="12" t="e">
        <f>-Y36</f>
        <v>#VALUE!</v>
      </c>
      <c r="Z244" s="12" t="e">
        <f>-Z36</f>
        <v>#VALUE!</v>
      </c>
      <c r="AA244" s="12" t="e">
        <f>-AA36</f>
        <v>#VALUE!</v>
      </c>
      <c r="AB244" s="12" t="e">
        <f t="shared" si="59"/>
        <v>#VALUE!</v>
      </c>
      <c r="AC244" s="12" t="e">
        <f>-AC36</f>
        <v>#VALUE!</v>
      </c>
      <c r="AD244" s="12" t="e">
        <f>-AD36</f>
        <v>#VALUE!</v>
      </c>
      <c r="AE244" s="12" t="e">
        <f>-AE36</f>
        <v>#VALUE!</v>
      </c>
      <c r="AF244" s="12" t="e">
        <f>-AF36</f>
        <v>#VALUE!</v>
      </c>
      <c r="AG244" s="12" t="e">
        <f t="shared" si="60"/>
        <v>#VALUE!</v>
      </c>
      <c r="AH244" s="12" t="e">
        <f>-AH36</f>
        <v>#VALUE!</v>
      </c>
      <c r="AI244" s="12" t="e">
        <f>-AI36</f>
        <v>#VALUE!</v>
      </c>
      <c r="AJ244" s="12" t="e">
        <f>-AJ36</f>
        <v>#VALUE!</v>
      </c>
      <c r="AK244" s="12" t="e">
        <f>-AK36</f>
        <v>#VALUE!</v>
      </c>
      <c r="AL244" s="12" t="e">
        <f t="shared" si="61"/>
        <v>#VALUE!</v>
      </c>
      <c r="AM244" s="12" t="e">
        <f>-AM36</f>
        <v>#VALUE!</v>
      </c>
      <c r="AN244" s="12" t="e">
        <f>-AN36</f>
        <v>#VALUE!</v>
      </c>
      <c r="AO244" s="12" t="e">
        <f>-AO36</f>
        <v>#VALUE!</v>
      </c>
      <c r="AP244" s="12" t="e">
        <f>-AP36</f>
        <v>#VALUE!</v>
      </c>
      <c r="AQ244" s="12" t="e">
        <f t="shared" si="62"/>
        <v>#VALUE!</v>
      </c>
      <c r="AR244" s="12" t="e">
        <f>-AR36</f>
        <v>#VALUE!</v>
      </c>
      <c r="AS244" s="12" t="e">
        <f>-AS36</f>
        <v>#VALUE!</v>
      </c>
      <c r="AT244" s="12" t="e">
        <f>-AT36</f>
        <v>#VALUE!</v>
      </c>
      <c r="AU244" s="12" t="e">
        <f>-AU36</f>
        <v>#VALUE!</v>
      </c>
      <c r="AV244" s="12" t="e">
        <f t="shared" si="63"/>
        <v>#VALUE!</v>
      </c>
      <c r="AW244" s="12" t="e">
        <f>-AW36</f>
        <v>#VALUE!</v>
      </c>
      <c r="AX244" s="12" t="e">
        <f>-AX36</f>
        <v>#VALUE!</v>
      </c>
      <c r="AY244" s="12" t="e">
        <f>-AY36</f>
        <v>#VALUE!</v>
      </c>
      <c r="AZ244" s="12" t="e">
        <f>-AZ36</f>
        <v>#VALUE!</v>
      </c>
      <c r="BA244" s="12" t="e">
        <f t="shared" si="64"/>
        <v>#VALUE!</v>
      </c>
      <c r="BB244" s="12" t="e">
        <f>-BB36</f>
        <v>#VALUE!</v>
      </c>
      <c r="BC244" s="12" t="e">
        <f>-BC36</f>
        <v>#VALUE!</v>
      </c>
      <c r="BD244" s="12" t="e">
        <f>-BD36</f>
        <v>#VALUE!</v>
      </c>
      <c r="BE244" s="12" t="e">
        <f>-BE36</f>
        <v>#VALUE!</v>
      </c>
      <c r="BF244" s="12" t="e">
        <f t="shared" si="65"/>
        <v>#VALUE!</v>
      </c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</row>
    <row r="245" spans="1:103" x14ac:dyDescent="0.2">
      <c r="C245" s="10" t="s">
        <v>188</v>
      </c>
      <c r="D245" s="12"/>
      <c r="E245" s="12"/>
      <c r="F245" s="12"/>
      <c r="G245" s="12"/>
      <c r="H245" s="12"/>
      <c r="I245" s="12" t="e">
        <f>SUM(I246:I255)</f>
        <v>#VALUE!</v>
      </c>
      <c r="J245" s="12" t="e">
        <f>SUM(J246:J255)</f>
        <v>#VALUE!</v>
      </c>
      <c r="K245" s="12" t="e">
        <f>SUM(K246:K255)</f>
        <v>#VALUE!</v>
      </c>
      <c r="L245" s="12" t="e">
        <f>SUM(L246:L255)</f>
        <v>#VALUE!</v>
      </c>
      <c r="M245" s="12" t="e">
        <f t="shared" si="56"/>
        <v>#VALUE!</v>
      </c>
      <c r="N245" s="12" t="e">
        <f>SUM(N246:N255)</f>
        <v>#VALUE!</v>
      </c>
      <c r="O245" s="12" t="e">
        <f>SUM(O246:O255)</f>
        <v>#VALUE!</v>
      </c>
      <c r="P245" s="12" t="e">
        <f>SUM(P246:P255)</f>
        <v>#VALUE!</v>
      </c>
      <c r="Q245" s="12" t="e">
        <f>SUM(Q246:Q255)</f>
        <v>#VALUE!</v>
      </c>
      <c r="R245" s="12" t="e">
        <f t="shared" si="57"/>
        <v>#VALUE!</v>
      </c>
      <c r="S245" s="12" t="e">
        <f>SUM(S246:S255)</f>
        <v>#VALUE!</v>
      </c>
      <c r="T245" s="12" t="e">
        <f>SUM(T246:T255)</f>
        <v>#VALUE!</v>
      </c>
      <c r="U245" s="12" t="e">
        <f>SUM(U246:U255)</f>
        <v>#VALUE!</v>
      </c>
      <c r="V245" s="12" t="e">
        <f>SUM(V246:V255)</f>
        <v>#VALUE!</v>
      </c>
      <c r="W245" s="12" t="e">
        <f t="shared" si="58"/>
        <v>#VALUE!</v>
      </c>
      <c r="X245" s="12" t="e">
        <f>SUM(X246:X255)</f>
        <v>#VALUE!</v>
      </c>
      <c r="Y245" s="12" t="e">
        <f>SUM(Y246:Y255)</f>
        <v>#VALUE!</v>
      </c>
      <c r="Z245" s="12" t="e">
        <f>SUM(Z246:Z255)</f>
        <v>#VALUE!</v>
      </c>
      <c r="AA245" s="12" t="e">
        <f>SUM(AA246:AA255)</f>
        <v>#VALUE!</v>
      </c>
      <c r="AB245" s="12" t="e">
        <f t="shared" si="59"/>
        <v>#VALUE!</v>
      </c>
      <c r="AC245" s="12" t="e">
        <f>SUM(AC246:AC255)</f>
        <v>#VALUE!</v>
      </c>
      <c r="AD245" s="12" t="e">
        <f>SUM(AD246:AD255)</f>
        <v>#VALUE!</v>
      </c>
      <c r="AE245" s="12" t="e">
        <f>SUM(AE246:AE255)</f>
        <v>#VALUE!</v>
      </c>
      <c r="AF245" s="12" t="e">
        <f>SUM(AF246:AF255)</f>
        <v>#VALUE!</v>
      </c>
      <c r="AG245" s="12" t="e">
        <f t="shared" si="60"/>
        <v>#VALUE!</v>
      </c>
      <c r="AH245" s="12" t="e">
        <f>SUM(AH246:AH255)</f>
        <v>#VALUE!</v>
      </c>
      <c r="AI245" s="12" t="e">
        <f>SUM(AI246:AI255)</f>
        <v>#VALUE!</v>
      </c>
      <c r="AJ245" s="12" t="e">
        <f>SUM(AJ246:AJ255)</f>
        <v>#VALUE!</v>
      </c>
      <c r="AK245" s="12" t="e">
        <f>SUM(AK246:AK255)</f>
        <v>#VALUE!</v>
      </c>
      <c r="AL245" s="12" t="e">
        <f t="shared" si="61"/>
        <v>#VALUE!</v>
      </c>
      <c r="AM245" s="12" t="e">
        <f>SUM(AM246:AM255)</f>
        <v>#VALUE!</v>
      </c>
      <c r="AN245" s="12" t="e">
        <f>SUM(AN246:AN255)</f>
        <v>#VALUE!</v>
      </c>
      <c r="AO245" s="12" t="e">
        <f>SUM(AO246:AO255)</f>
        <v>#VALUE!</v>
      </c>
      <c r="AP245" s="12" t="e">
        <f>SUM(AP246:AP255)</f>
        <v>#VALUE!</v>
      </c>
      <c r="AQ245" s="12" t="e">
        <f t="shared" si="62"/>
        <v>#VALUE!</v>
      </c>
      <c r="AR245" s="12" t="e">
        <f>SUM(AR246:AR255)</f>
        <v>#VALUE!</v>
      </c>
      <c r="AS245" s="12" t="e">
        <f>SUM(AS246:AS255)</f>
        <v>#VALUE!</v>
      </c>
      <c r="AT245" s="12" t="e">
        <f>SUM(AT246:AT255)</f>
        <v>#VALUE!</v>
      </c>
      <c r="AU245" s="12" t="e">
        <f>SUM(AU246:AU255)</f>
        <v>#VALUE!</v>
      </c>
      <c r="AV245" s="12" t="e">
        <f t="shared" si="63"/>
        <v>#VALUE!</v>
      </c>
      <c r="AW245" s="12" t="e">
        <f>SUM(AW246:AW255)</f>
        <v>#VALUE!</v>
      </c>
      <c r="AX245" s="12" t="e">
        <f>SUM(AX246:AX255)</f>
        <v>#VALUE!</v>
      </c>
      <c r="AY245" s="12" t="e">
        <f>SUM(AY246:AY255)</f>
        <v>#VALUE!</v>
      </c>
      <c r="AZ245" s="12" t="e">
        <f>SUM(AZ246:AZ255)</f>
        <v>#VALUE!</v>
      </c>
      <c r="BA245" s="12" t="e">
        <f t="shared" si="64"/>
        <v>#VALUE!</v>
      </c>
      <c r="BB245" s="12" t="e">
        <f>SUM(BB246:BB255)</f>
        <v>#VALUE!</v>
      </c>
      <c r="BC245" s="12" t="e">
        <f>SUM(BC246:BC255)</f>
        <v>#VALUE!</v>
      </c>
      <c r="BD245" s="12" t="e">
        <f>SUM(BD246:BD255)</f>
        <v>#VALUE!</v>
      </c>
      <c r="BE245" s="12" t="e">
        <f>SUM(BE246:BE255)</f>
        <v>#VALUE!</v>
      </c>
      <c r="BF245" s="12" t="e">
        <f t="shared" si="65"/>
        <v>#VALUE!</v>
      </c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</row>
    <row r="246" spans="1:103" hidden="1" outlineLevel="1" x14ac:dyDescent="0.2">
      <c r="C246" s="10" t="s">
        <v>47</v>
      </c>
      <c r="D246" s="12"/>
      <c r="E246" s="12"/>
      <c r="F246" s="12"/>
      <c r="G246" s="12"/>
      <c r="H246" s="12"/>
      <c r="I246" s="12" t="e">
        <f>(I111-H111)*-1</f>
        <v>#VALUE!</v>
      </c>
      <c r="J246" s="12" t="e">
        <f>(J111-I111)*-1</f>
        <v>#VALUE!</v>
      </c>
      <c r="K246" s="12" t="e">
        <f>(K111-J111)*-1</f>
        <v>#VALUE!</v>
      </c>
      <c r="L246" s="12" t="e">
        <f>(L111-K111)*-1</f>
        <v>#VALUE!</v>
      </c>
      <c r="M246" s="12" t="e">
        <f t="shared" si="56"/>
        <v>#VALUE!</v>
      </c>
      <c r="N246" s="12" t="e">
        <f>(N111-M111)*-1</f>
        <v>#VALUE!</v>
      </c>
      <c r="O246" s="12" t="e">
        <f>(O111-N111)*-1</f>
        <v>#VALUE!</v>
      </c>
      <c r="P246" s="12" t="e">
        <f>(P111-O111)*-1</f>
        <v>#VALUE!</v>
      </c>
      <c r="Q246" s="12" t="e">
        <f>(Q111-P111)*-1</f>
        <v>#VALUE!</v>
      </c>
      <c r="R246" s="12" t="e">
        <f t="shared" si="57"/>
        <v>#VALUE!</v>
      </c>
      <c r="S246" s="12" t="e">
        <f>(S111-R111)*-1</f>
        <v>#VALUE!</v>
      </c>
      <c r="T246" s="12" t="e">
        <f>(T111-S111)*-1</f>
        <v>#VALUE!</v>
      </c>
      <c r="U246" s="12" t="e">
        <f>(U111-T111)*-1</f>
        <v>#VALUE!</v>
      </c>
      <c r="V246" s="12" t="e">
        <f>(V111-U111)*-1</f>
        <v>#VALUE!</v>
      </c>
      <c r="W246" s="12" t="e">
        <f t="shared" si="58"/>
        <v>#VALUE!</v>
      </c>
      <c r="X246" s="12" t="e">
        <f>(X111-W111)*-1</f>
        <v>#VALUE!</v>
      </c>
      <c r="Y246" s="12" t="e">
        <f>(Y111-X111)*-1</f>
        <v>#VALUE!</v>
      </c>
      <c r="Z246" s="12" t="e">
        <f>(Z111-Y111)*-1</f>
        <v>#VALUE!</v>
      </c>
      <c r="AA246" s="12" t="e">
        <f>(AA111-Z111)*-1</f>
        <v>#VALUE!</v>
      </c>
      <c r="AB246" s="12" t="e">
        <f t="shared" si="59"/>
        <v>#VALUE!</v>
      </c>
      <c r="AC246" s="12" t="e">
        <f>(AC111-AB111)*-1</f>
        <v>#VALUE!</v>
      </c>
      <c r="AD246" s="12" t="e">
        <f>(AD111-AC111)*-1</f>
        <v>#VALUE!</v>
      </c>
      <c r="AE246" s="12" t="e">
        <f>(AE111-AD111)*-1</f>
        <v>#VALUE!</v>
      </c>
      <c r="AF246" s="12" t="e">
        <f>(AF111-AE111)*-1</f>
        <v>#VALUE!</v>
      </c>
      <c r="AG246" s="12" t="e">
        <f t="shared" si="60"/>
        <v>#VALUE!</v>
      </c>
      <c r="AH246" s="12" t="e">
        <f>(AH111-AG111)*-1</f>
        <v>#VALUE!</v>
      </c>
      <c r="AI246" s="12" t="e">
        <f>(AI111-AH111)*-1</f>
        <v>#VALUE!</v>
      </c>
      <c r="AJ246" s="12" t="e">
        <f>(AJ111-AI111)*-1</f>
        <v>#VALUE!</v>
      </c>
      <c r="AK246" s="12" t="e">
        <f>(AK111-AJ111)*-1</f>
        <v>#VALUE!</v>
      </c>
      <c r="AL246" s="12" t="e">
        <f t="shared" si="61"/>
        <v>#VALUE!</v>
      </c>
      <c r="AM246" s="12" t="e">
        <f>(AM111-AL111)*-1</f>
        <v>#VALUE!</v>
      </c>
      <c r="AN246" s="12" t="e">
        <f>(AN111-AM111)*-1</f>
        <v>#VALUE!</v>
      </c>
      <c r="AO246" s="12" t="e">
        <f>(AO111-AN111)*-1</f>
        <v>#VALUE!</v>
      </c>
      <c r="AP246" s="12" t="e">
        <f>(AP111-AO111)*-1</f>
        <v>#VALUE!</v>
      </c>
      <c r="AQ246" s="12" t="e">
        <f t="shared" si="62"/>
        <v>#VALUE!</v>
      </c>
      <c r="AR246" s="12" t="e">
        <f>(AR111-AQ111)*-1</f>
        <v>#VALUE!</v>
      </c>
      <c r="AS246" s="12" t="e">
        <f>(AS111-AR111)*-1</f>
        <v>#VALUE!</v>
      </c>
      <c r="AT246" s="12" t="e">
        <f>(AT111-AS111)*-1</f>
        <v>#VALUE!</v>
      </c>
      <c r="AU246" s="12" t="e">
        <f>(AU111-AT111)*-1</f>
        <v>#VALUE!</v>
      </c>
      <c r="AV246" s="12" t="e">
        <f t="shared" si="63"/>
        <v>#VALUE!</v>
      </c>
      <c r="AW246" s="12" t="e">
        <f>(AW111-AV111)*-1</f>
        <v>#VALUE!</v>
      </c>
      <c r="AX246" s="12" t="e">
        <f>(AX111-AW111)*-1</f>
        <v>#VALUE!</v>
      </c>
      <c r="AY246" s="12" t="e">
        <f>(AY111-AX111)*-1</f>
        <v>#VALUE!</v>
      </c>
      <c r="AZ246" s="12" t="e">
        <f>(AZ111-AY111)*-1</f>
        <v>#VALUE!</v>
      </c>
      <c r="BA246" s="12" t="e">
        <f t="shared" si="64"/>
        <v>#VALUE!</v>
      </c>
      <c r="BB246" s="12" t="e">
        <f>(BB111-BA111)*-1</f>
        <v>#VALUE!</v>
      </c>
      <c r="BC246" s="12" t="e">
        <f>(BC111-BB111)*-1</f>
        <v>#VALUE!</v>
      </c>
      <c r="BD246" s="12" t="e">
        <f>(BD111-BC111)*-1</f>
        <v>#VALUE!</v>
      </c>
      <c r="BE246" s="12" t="e">
        <f>(BE111-BD111)*-1</f>
        <v>#VALUE!</v>
      </c>
      <c r="BF246" s="12" t="e">
        <f t="shared" si="65"/>
        <v>#VALUE!</v>
      </c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</row>
    <row r="247" spans="1:103" hidden="1" outlineLevel="1" x14ac:dyDescent="0.2">
      <c r="C247" s="10" t="s">
        <v>48</v>
      </c>
      <c r="D247" s="12"/>
      <c r="E247" s="12"/>
      <c r="F247" s="12"/>
      <c r="G247" s="12"/>
      <c r="H247" s="12"/>
      <c r="I247" s="12" t="e">
        <f>(I115-H115)*-1</f>
        <v>#VALUE!</v>
      </c>
      <c r="J247" s="12" t="e">
        <f>(J115-I115)*-1</f>
        <v>#VALUE!</v>
      </c>
      <c r="K247" s="12" t="e">
        <f>(K115-J115)*-1</f>
        <v>#VALUE!</v>
      </c>
      <c r="L247" s="12" t="e">
        <f>(L115-K115)*-1</f>
        <v>#VALUE!</v>
      </c>
      <c r="M247" s="12" t="e">
        <f t="shared" si="56"/>
        <v>#VALUE!</v>
      </c>
      <c r="N247" s="12" t="e">
        <f>(N115-M115)*-1</f>
        <v>#VALUE!</v>
      </c>
      <c r="O247" s="12" t="e">
        <f>(O115-N115)*-1</f>
        <v>#VALUE!</v>
      </c>
      <c r="P247" s="12" t="e">
        <f>(P115-O115)*-1</f>
        <v>#VALUE!</v>
      </c>
      <c r="Q247" s="12" t="e">
        <f>(Q115-P115)*-1</f>
        <v>#VALUE!</v>
      </c>
      <c r="R247" s="12" t="e">
        <f t="shared" si="57"/>
        <v>#VALUE!</v>
      </c>
      <c r="S247" s="12" t="e">
        <f>(S115-R115)*-1</f>
        <v>#VALUE!</v>
      </c>
      <c r="T247" s="12" t="e">
        <f>(T115-S115)*-1</f>
        <v>#VALUE!</v>
      </c>
      <c r="U247" s="12" t="e">
        <f>(U115-T115)*-1</f>
        <v>#VALUE!</v>
      </c>
      <c r="V247" s="12" t="e">
        <f>(V115-U115)*-1</f>
        <v>#VALUE!</v>
      </c>
      <c r="W247" s="12" t="e">
        <f t="shared" si="58"/>
        <v>#VALUE!</v>
      </c>
      <c r="X247" s="12" t="e">
        <f>(X115-W115)*-1</f>
        <v>#VALUE!</v>
      </c>
      <c r="Y247" s="12" t="e">
        <f>(Y115-X115)*-1</f>
        <v>#VALUE!</v>
      </c>
      <c r="Z247" s="12" t="e">
        <f>(Z115-Y115)*-1</f>
        <v>#VALUE!</v>
      </c>
      <c r="AA247" s="12" t="e">
        <f>(AA115-Z115)*-1</f>
        <v>#VALUE!</v>
      </c>
      <c r="AB247" s="12" t="e">
        <f t="shared" si="59"/>
        <v>#VALUE!</v>
      </c>
      <c r="AC247" s="12" t="e">
        <f>(AC115-AB115)*-1</f>
        <v>#VALUE!</v>
      </c>
      <c r="AD247" s="12" t="e">
        <f>(AD115-AC115)*-1</f>
        <v>#VALUE!</v>
      </c>
      <c r="AE247" s="12" t="e">
        <f>(AE115-AD115)*-1</f>
        <v>#VALUE!</v>
      </c>
      <c r="AF247" s="12" t="e">
        <f>(AF115-AE115)*-1</f>
        <v>#VALUE!</v>
      </c>
      <c r="AG247" s="12" t="e">
        <f t="shared" si="60"/>
        <v>#VALUE!</v>
      </c>
      <c r="AH247" s="12" t="e">
        <f>(AH115-AG115)*-1</f>
        <v>#VALUE!</v>
      </c>
      <c r="AI247" s="12" t="e">
        <f>(AI115-AH115)*-1</f>
        <v>#VALUE!</v>
      </c>
      <c r="AJ247" s="12" t="e">
        <f>(AJ115-AI115)*-1</f>
        <v>#VALUE!</v>
      </c>
      <c r="AK247" s="12" t="e">
        <f>(AK115-AJ115)*-1</f>
        <v>#VALUE!</v>
      </c>
      <c r="AL247" s="12" t="e">
        <f t="shared" si="61"/>
        <v>#VALUE!</v>
      </c>
      <c r="AM247" s="12" t="e">
        <f>(AM115-AL115)*-1</f>
        <v>#VALUE!</v>
      </c>
      <c r="AN247" s="12" t="e">
        <f>(AN115-AM115)*-1</f>
        <v>#VALUE!</v>
      </c>
      <c r="AO247" s="12" t="e">
        <f>(AO115-AN115)*-1</f>
        <v>#VALUE!</v>
      </c>
      <c r="AP247" s="12" t="e">
        <f>(AP115-AO115)*-1</f>
        <v>#VALUE!</v>
      </c>
      <c r="AQ247" s="12" t="e">
        <f t="shared" si="62"/>
        <v>#VALUE!</v>
      </c>
      <c r="AR247" s="12" t="e">
        <f>(AR115-AQ115)*-1</f>
        <v>#VALUE!</v>
      </c>
      <c r="AS247" s="12" t="e">
        <f>(AS115-AR115)*-1</f>
        <v>#VALUE!</v>
      </c>
      <c r="AT247" s="12" t="e">
        <f>(AT115-AS115)*-1</f>
        <v>#VALUE!</v>
      </c>
      <c r="AU247" s="12" t="e">
        <f>(AU115-AT115)*-1</f>
        <v>#VALUE!</v>
      </c>
      <c r="AV247" s="12" t="e">
        <f t="shared" si="63"/>
        <v>#VALUE!</v>
      </c>
      <c r="AW247" s="12" t="e">
        <f>(AW115-AV115)*-1</f>
        <v>#VALUE!</v>
      </c>
      <c r="AX247" s="12" t="e">
        <f>(AX115-AW115)*-1</f>
        <v>#VALUE!</v>
      </c>
      <c r="AY247" s="12" t="e">
        <f>(AY115-AX115)*-1</f>
        <v>#VALUE!</v>
      </c>
      <c r="AZ247" s="12" t="e">
        <f>(AZ115-AY115)*-1</f>
        <v>#VALUE!</v>
      </c>
      <c r="BA247" s="12" t="e">
        <f t="shared" si="64"/>
        <v>#VALUE!</v>
      </c>
      <c r="BB247" s="12" t="e">
        <f>(BB115-BA115)*-1</f>
        <v>#VALUE!</v>
      </c>
      <c r="BC247" s="12" t="e">
        <f>(BC115-BB115)*-1</f>
        <v>#VALUE!</v>
      </c>
      <c r="BD247" s="12" t="e">
        <f>(BD115-BC115)*-1</f>
        <v>#VALUE!</v>
      </c>
      <c r="BE247" s="12" t="e">
        <f>(BE115-BD115)*-1</f>
        <v>#VALUE!</v>
      </c>
      <c r="BF247" s="12" t="e">
        <f t="shared" si="65"/>
        <v>#VALUE!</v>
      </c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</row>
    <row r="248" spans="1:103" hidden="1" outlineLevel="1" x14ac:dyDescent="0.2">
      <c r="C248" s="10" t="s">
        <v>49</v>
      </c>
      <c r="D248" s="12"/>
      <c r="E248" s="12"/>
      <c r="F248" s="12"/>
      <c r="G248" s="12"/>
      <c r="H248" s="12"/>
      <c r="I248" s="12" t="e">
        <f t="shared" ref="I248:L250" si="66">(I119-H119)*-1</f>
        <v>#VALUE!</v>
      </c>
      <c r="J248" s="12" t="e">
        <f t="shared" si="66"/>
        <v>#VALUE!</v>
      </c>
      <c r="K248" s="12" t="e">
        <f t="shared" si="66"/>
        <v>#VALUE!</v>
      </c>
      <c r="L248" s="12" t="e">
        <f t="shared" si="66"/>
        <v>#VALUE!</v>
      </c>
      <c r="M248" s="12" t="e">
        <f t="shared" si="56"/>
        <v>#VALUE!</v>
      </c>
      <c r="N248" s="12" t="e">
        <f t="shared" ref="N248:Q250" si="67">(N119-M119)*-1</f>
        <v>#VALUE!</v>
      </c>
      <c r="O248" s="12" t="e">
        <f t="shared" si="67"/>
        <v>#VALUE!</v>
      </c>
      <c r="P248" s="12" t="e">
        <f t="shared" si="67"/>
        <v>#VALUE!</v>
      </c>
      <c r="Q248" s="12" t="e">
        <f t="shared" si="67"/>
        <v>#VALUE!</v>
      </c>
      <c r="R248" s="12" t="e">
        <f t="shared" si="57"/>
        <v>#VALUE!</v>
      </c>
      <c r="S248" s="12" t="e">
        <f t="shared" ref="S248:V250" si="68">(S119-R119)*-1</f>
        <v>#VALUE!</v>
      </c>
      <c r="T248" s="12" t="e">
        <f t="shared" si="68"/>
        <v>#VALUE!</v>
      </c>
      <c r="U248" s="12" t="e">
        <f t="shared" si="68"/>
        <v>#VALUE!</v>
      </c>
      <c r="V248" s="12" t="e">
        <f t="shared" si="68"/>
        <v>#VALUE!</v>
      </c>
      <c r="W248" s="12" t="e">
        <f t="shared" si="58"/>
        <v>#VALUE!</v>
      </c>
      <c r="X248" s="12" t="e">
        <f t="shared" ref="X248:AA250" si="69">(X119-W119)*-1</f>
        <v>#VALUE!</v>
      </c>
      <c r="Y248" s="12" t="e">
        <f t="shared" si="69"/>
        <v>#VALUE!</v>
      </c>
      <c r="Z248" s="12" t="e">
        <f t="shared" si="69"/>
        <v>#VALUE!</v>
      </c>
      <c r="AA248" s="12" t="e">
        <f t="shared" si="69"/>
        <v>#VALUE!</v>
      </c>
      <c r="AB248" s="12" t="e">
        <f t="shared" si="59"/>
        <v>#VALUE!</v>
      </c>
      <c r="AC248" s="12" t="e">
        <f t="shared" ref="AC248:AF250" si="70">(AC119-AB119)*-1</f>
        <v>#VALUE!</v>
      </c>
      <c r="AD248" s="12" t="e">
        <f t="shared" si="70"/>
        <v>#VALUE!</v>
      </c>
      <c r="AE248" s="12" t="e">
        <f t="shared" si="70"/>
        <v>#VALUE!</v>
      </c>
      <c r="AF248" s="12" t="e">
        <f t="shared" si="70"/>
        <v>#VALUE!</v>
      </c>
      <c r="AG248" s="12" t="e">
        <f t="shared" si="60"/>
        <v>#VALUE!</v>
      </c>
      <c r="AH248" s="12" t="e">
        <f t="shared" ref="AH248:AK250" si="71">(AH119-AG119)*-1</f>
        <v>#VALUE!</v>
      </c>
      <c r="AI248" s="12" t="e">
        <f t="shared" si="71"/>
        <v>#VALUE!</v>
      </c>
      <c r="AJ248" s="12" t="e">
        <f t="shared" si="71"/>
        <v>#VALUE!</v>
      </c>
      <c r="AK248" s="12" t="e">
        <f t="shared" si="71"/>
        <v>#VALUE!</v>
      </c>
      <c r="AL248" s="12" t="e">
        <f t="shared" si="61"/>
        <v>#VALUE!</v>
      </c>
      <c r="AM248" s="12" t="e">
        <f t="shared" ref="AM248:AP250" si="72">(AM119-AL119)*-1</f>
        <v>#VALUE!</v>
      </c>
      <c r="AN248" s="12" t="e">
        <f t="shared" si="72"/>
        <v>#VALUE!</v>
      </c>
      <c r="AO248" s="12" t="e">
        <f t="shared" si="72"/>
        <v>#VALUE!</v>
      </c>
      <c r="AP248" s="12" t="e">
        <f t="shared" si="72"/>
        <v>#VALUE!</v>
      </c>
      <c r="AQ248" s="12" t="e">
        <f t="shared" si="62"/>
        <v>#VALUE!</v>
      </c>
      <c r="AR248" s="12" t="e">
        <f t="shared" ref="AR248:AU250" si="73">(AR119-AQ119)*-1</f>
        <v>#VALUE!</v>
      </c>
      <c r="AS248" s="12" t="e">
        <f t="shared" si="73"/>
        <v>#VALUE!</v>
      </c>
      <c r="AT248" s="12" t="e">
        <f t="shared" si="73"/>
        <v>#VALUE!</v>
      </c>
      <c r="AU248" s="12" t="e">
        <f t="shared" si="73"/>
        <v>#VALUE!</v>
      </c>
      <c r="AV248" s="12" t="e">
        <f t="shared" si="63"/>
        <v>#VALUE!</v>
      </c>
      <c r="AW248" s="12" t="e">
        <f t="shared" ref="AW248:AZ250" si="74">(AW119-AV119)*-1</f>
        <v>#VALUE!</v>
      </c>
      <c r="AX248" s="12" t="e">
        <f t="shared" si="74"/>
        <v>#VALUE!</v>
      </c>
      <c r="AY248" s="12" t="e">
        <f t="shared" si="74"/>
        <v>#VALUE!</v>
      </c>
      <c r="AZ248" s="12" t="e">
        <f t="shared" si="74"/>
        <v>#VALUE!</v>
      </c>
      <c r="BA248" s="12" t="e">
        <f t="shared" si="64"/>
        <v>#VALUE!</v>
      </c>
      <c r="BB248" s="12" t="e">
        <f t="shared" ref="BB248:BE250" si="75">(BB119-BA119)*-1</f>
        <v>#VALUE!</v>
      </c>
      <c r="BC248" s="12" t="e">
        <f t="shared" si="75"/>
        <v>#VALUE!</v>
      </c>
      <c r="BD248" s="12" t="e">
        <f t="shared" si="75"/>
        <v>#VALUE!</v>
      </c>
      <c r="BE248" s="12" t="e">
        <f t="shared" si="75"/>
        <v>#VALUE!</v>
      </c>
      <c r="BF248" s="12" t="e">
        <f t="shared" si="65"/>
        <v>#VALUE!</v>
      </c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</row>
    <row r="249" spans="1:103" hidden="1" outlineLevel="1" x14ac:dyDescent="0.2">
      <c r="C249" s="10" t="s">
        <v>50</v>
      </c>
      <c r="D249" s="12"/>
      <c r="E249" s="12"/>
      <c r="F249" s="12"/>
      <c r="G249" s="12"/>
      <c r="H249" s="12"/>
      <c r="I249" s="12" t="e">
        <f t="shared" si="66"/>
        <v>#VALUE!</v>
      </c>
      <c r="J249" s="12" t="e">
        <f t="shared" si="66"/>
        <v>#VALUE!</v>
      </c>
      <c r="K249" s="12" t="e">
        <f t="shared" si="66"/>
        <v>#VALUE!</v>
      </c>
      <c r="L249" s="12" t="e">
        <f t="shared" si="66"/>
        <v>#VALUE!</v>
      </c>
      <c r="M249" s="12" t="e">
        <f t="shared" si="56"/>
        <v>#VALUE!</v>
      </c>
      <c r="N249" s="12" t="e">
        <f t="shared" si="67"/>
        <v>#VALUE!</v>
      </c>
      <c r="O249" s="12" t="e">
        <f t="shared" si="67"/>
        <v>#VALUE!</v>
      </c>
      <c r="P249" s="12" t="e">
        <f t="shared" si="67"/>
        <v>#VALUE!</v>
      </c>
      <c r="Q249" s="12" t="e">
        <f t="shared" si="67"/>
        <v>#VALUE!</v>
      </c>
      <c r="R249" s="12" t="e">
        <f t="shared" si="57"/>
        <v>#VALUE!</v>
      </c>
      <c r="S249" s="12" t="e">
        <f t="shared" si="68"/>
        <v>#VALUE!</v>
      </c>
      <c r="T249" s="12" t="e">
        <f t="shared" si="68"/>
        <v>#VALUE!</v>
      </c>
      <c r="U249" s="12" t="e">
        <f t="shared" si="68"/>
        <v>#VALUE!</v>
      </c>
      <c r="V249" s="12" t="e">
        <f t="shared" si="68"/>
        <v>#VALUE!</v>
      </c>
      <c r="W249" s="12" t="e">
        <f t="shared" si="58"/>
        <v>#VALUE!</v>
      </c>
      <c r="X249" s="12" t="e">
        <f t="shared" si="69"/>
        <v>#VALUE!</v>
      </c>
      <c r="Y249" s="12" t="e">
        <f t="shared" si="69"/>
        <v>#VALUE!</v>
      </c>
      <c r="Z249" s="12" t="e">
        <f t="shared" si="69"/>
        <v>#VALUE!</v>
      </c>
      <c r="AA249" s="12" t="e">
        <f t="shared" si="69"/>
        <v>#VALUE!</v>
      </c>
      <c r="AB249" s="12" t="e">
        <f t="shared" si="59"/>
        <v>#VALUE!</v>
      </c>
      <c r="AC249" s="12" t="e">
        <f t="shared" si="70"/>
        <v>#VALUE!</v>
      </c>
      <c r="AD249" s="12" t="e">
        <f t="shared" si="70"/>
        <v>#VALUE!</v>
      </c>
      <c r="AE249" s="12" t="e">
        <f t="shared" si="70"/>
        <v>#VALUE!</v>
      </c>
      <c r="AF249" s="12" t="e">
        <f t="shared" si="70"/>
        <v>#VALUE!</v>
      </c>
      <c r="AG249" s="12" t="e">
        <f t="shared" si="60"/>
        <v>#VALUE!</v>
      </c>
      <c r="AH249" s="12" t="e">
        <f t="shared" si="71"/>
        <v>#VALUE!</v>
      </c>
      <c r="AI249" s="12" t="e">
        <f t="shared" si="71"/>
        <v>#VALUE!</v>
      </c>
      <c r="AJ249" s="12" t="e">
        <f t="shared" si="71"/>
        <v>#VALUE!</v>
      </c>
      <c r="AK249" s="12" t="e">
        <f t="shared" si="71"/>
        <v>#VALUE!</v>
      </c>
      <c r="AL249" s="12" t="e">
        <f t="shared" si="61"/>
        <v>#VALUE!</v>
      </c>
      <c r="AM249" s="12" t="e">
        <f t="shared" si="72"/>
        <v>#VALUE!</v>
      </c>
      <c r="AN249" s="12" t="e">
        <f t="shared" si="72"/>
        <v>#VALUE!</v>
      </c>
      <c r="AO249" s="12" t="e">
        <f t="shared" si="72"/>
        <v>#VALUE!</v>
      </c>
      <c r="AP249" s="12" t="e">
        <f t="shared" si="72"/>
        <v>#VALUE!</v>
      </c>
      <c r="AQ249" s="12" t="e">
        <f t="shared" si="62"/>
        <v>#VALUE!</v>
      </c>
      <c r="AR249" s="12" t="e">
        <f t="shared" si="73"/>
        <v>#VALUE!</v>
      </c>
      <c r="AS249" s="12" t="e">
        <f t="shared" si="73"/>
        <v>#VALUE!</v>
      </c>
      <c r="AT249" s="12" t="e">
        <f t="shared" si="73"/>
        <v>#VALUE!</v>
      </c>
      <c r="AU249" s="12" t="e">
        <f t="shared" si="73"/>
        <v>#VALUE!</v>
      </c>
      <c r="AV249" s="12" t="e">
        <f t="shared" si="63"/>
        <v>#VALUE!</v>
      </c>
      <c r="AW249" s="12" t="e">
        <f t="shared" si="74"/>
        <v>#VALUE!</v>
      </c>
      <c r="AX249" s="12" t="e">
        <f t="shared" si="74"/>
        <v>#VALUE!</v>
      </c>
      <c r="AY249" s="12" t="e">
        <f t="shared" si="74"/>
        <v>#VALUE!</v>
      </c>
      <c r="AZ249" s="12" t="e">
        <f t="shared" si="74"/>
        <v>#VALUE!</v>
      </c>
      <c r="BA249" s="12" t="e">
        <f t="shared" si="64"/>
        <v>#VALUE!</v>
      </c>
      <c r="BB249" s="12" t="e">
        <f t="shared" si="75"/>
        <v>#VALUE!</v>
      </c>
      <c r="BC249" s="12" t="e">
        <f t="shared" si="75"/>
        <v>#VALUE!</v>
      </c>
      <c r="BD249" s="12" t="e">
        <f t="shared" si="75"/>
        <v>#VALUE!</v>
      </c>
      <c r="BE249" s="12" t="e">
        <f t="shared" si="75"/>
        <v>#VALUE!</v>
      </c>
      <c r="BF249" s="12" t="e">
        <f t="shared" si="65"/>
        <v>#VALUE!</v>
      </c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</row>
    <row r="250" spans="1:103" hidden="1" outlineLevel="1" x14ac:dyDescent="0.2">
      <c r="C250" s="10" t="s">
        <v>51</v>
      </c>
      <c r="D250" s="12"/>
      <c r="E250" s="12"/>
      <c r="F250" s="12"/>
      <c r="G250" s="12"/>
      <c r="H250" s="12"/>
      <c r="I250" s="12" t="e">
        <f t="shared" si="66"/>
        <v>#VALUE!</v>
      </c>
      <c r="J250" s="12" t="e">
        <f t="shared" si="66"/>
        <v>#VALUE!</v>
      </c>
      <c r="K250" s="12" t="e">
        <f t="shared" si="66"/>
        <v>#VALUE!</v>
      </c>
      <c r="L250" s="12" t="e">
        <f t="shared" si="66"/>
        <v>#VALUE!</v>
      </c>
      <c r="M250" s="12" t="e">
        <f t="shared" si="56"/>
        <v>#VALUE!</v>
      </c>
      <c r="N250" s="12" t="e">
        <f t="shared" si="67"/>
        <v>#VALUE!</v>
      </c>
      <c r="O250" s="12" t="e">
        <f t="shared" si="67"/>
        <v>#VALUE!</v>
      </c>
      <c r="P250" s="12" t="e">
        <f t="shared" si="67"/>
        <v>#VALUE!</v>
      </c>
      <c r="Q250" s="12" t="e">
        <f t="shared" si="67"/>
        <v>#VALUE!</v>
      </c>
      <c r="R250" s="12" t="e">
        <f t="shared" si="57"/>
        <v>#VALUE!</v>
      </c>
      <c r="S250" s="12" t="e">
        <f t="shared" si="68"/>
        <v>#VALUE!</v>
      </c>
      <c r="T250" s="12" t="e">
        <f t="shared" si="68"/>
        <v>#VALUE!</v>
      </c>
      <c r="U250" s="12" t="e">
        <f t="shared" si="68"/>
        <v>#VALUE!</v>
      </c>
      <c r="V250" s="12" t="e">
        <f t="shared" si="68"/>
        <v>#VALUE!</v>
      </c>
      <c r="W250" s="12" t="e">
        <f t="shared" si="58"/>
        <v>#VALUE!</v>
      </c>
      <c r="X250" s="12" t="e">
        <f t="shared" si="69"/>
        <v>#VALUE!</v>
      </c>
      <c r="Y250" s="12" t="e">
        <f t="shared" si="69"/>
        <v>#VALUE!</v>
      </c>
      <c r="Z250" s="12" t="e">
        <f t="shared" si="69"/>
        <v>#VALUE!</v>
      </c>
      <c r="AA250" s="12" t="e">
        <f t="shared" si="69"/>
        <v>#VALUE!</v>
      </c>
      <c r="AB250" s="12" t="e">
        <f t="shared" si="59"/>
        <v>#VALUE!</v>
      </c>
      <c r="AC250" s="12" t="e">
        <f t="shared" si="70"/>
        <v>#VALUE!</v>
      </c>
      <c r="AD250" s="12" t="e">
        <f t="shared" si="70"/>
        <v>#VALUE!</v>
      </c>
      <c r="AE250" s="12" t="e">
        <f t="shared" si="70"/>
        <v>#VALUE!</v>
      </c>
      <c r="AF250" s="12" t="e">
        <f t="shared" si="70"/>
        <v>#VALUE!</v>
      </c>
      <c r="AG250" s="12" t="e">
        <f t="shared" si="60"/>
        <v>#VALUE!</v>
      </c>
      <c r="AH250" s="12" t="e">
        <f t="shared" si="71"/>
        <v>#VALUE!</v>
      </c>
      <c r="AI250" s="12" t="e">
        <f t="shared" si="71"/>
        <v>#VALUE!</v>
      </c>
      <c r="AJ250" s="12" t="e">
        <f t="shared" si="71"/>
        <v>#VALUE!</v>
      </c>
      <c r="AK250" s="12" t="e">
        <f t="shared" si="71"/>
        <v>#VALUE!</v>
      </c>
      <c r="AL250" s="12" t="e">
        <f t="shared" si="61"/>
        <v>#VALUE!</v>
      </c>
      <c r="AM250" s="12" t="e">
        <f t="shared" si="72"/>
        <v>#VALUE!</v>
      </c>
      <c r="AN250" s="12" t="e">
        <f t="shared" si="72"/>
        <v>#VALUE!</v>
      </c>
      <c r="AO250" s="12" t="e">
        <f t="shared" si="72"/>
        <v>#VALUE!</v>
      </c>
      <c r="AP250" s="12" t="e">
        <f t="shared" si="72"/>
        <v>#VALUE!</v>
      </c>
      <c r="AQ250" s="12" t="e">
        <f t="shared" si="62"/>
        <v>#VALUE!</v>
      </c>
      <c r="AR250" s="12" t="e">
        <f t="shared" si="73"/>
        <v>#VALUE!</v>
      </c>
      <c r="AS250" s="12" t="e">
        <f t="shared" si="73"/>
        <v>#VALUE!</v>
      </c>
      <c r="AT250" s="12" t="e">
        <f t="shared" si="73"/>
        <v>#VALUE!</v>
      </c>
      <c r="AU250" s="12" t="e">
        <f t="shared" si="73"/>
        <v>#VALUE!</v>
      </c>
      <c r="AV250" s="12" t="e">
        <f t="shared" si="63"/>
        <v>#VALUE!</v>
      </c>
      <c r="AW250" s="12" t="e">
        <f t="shared" si="74"/>
        <v>#VALUE!</v>
      </c>
      <c r="AX250" s="12" t="e">
        <f t="shared" si="74"/>
        <v>#VALUE!</v>
      </c>
      <c r="AY250" s="12" t="e">
        <f t="shared" si="74"/>
        <v>#VALUE!</v>
      </c>
      <c r="AZ250" s="12" t="e">
        <f t="shared" si="74"/>
        <v>#VALUE!</v>
      </c>
      <c r="BA250" s="12" t="e">
        <f t="shared" si="64"/>
        <v>#VALUE!</v>
      </c>
      <c r="BB250" s="12" t="e">
        <f t="shared" si="75"/>
        <v>#VALUE!</v>
      </c>
      <c r="BC250" s="12" t="e">
        <f t="shared" si="75"/>
        <v>#VALUE!</v>
      </c>
      <c r="BD250" s="12" t="e">
        <f t="shared" si="75"/>
        <v>#VALUE!</v>
      </c>
      <c r="BE250" s="12" t="e">
        <f t="shared" si="75"/>
        <v>#VALUE!</v>
      </c>
      <c r="BF250" s="12" t="e">
        <f t="shared" si="65"/>
        <v>#VALUE!</v>
      </c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</row>
    <row r="251" spans="1:103" hidden="1" outlineLevel="1" x14ac:dyDescent="0.2">
      <c r="C251" s="10" t="s">
        <v>58</v>
      </c>
      <c r="D251" s="12"/>
      <c r="E251" s="12"/>
      <c r="F251" s="12"/>
      <c r="G251" s="12"/>
      <c r="H251" s="12"/>
      <c r="I251" s="12" t="e">
        <f>I164-H164</f>
        <v>#VALUE!</v>
      </c>
      <c r="J251" s="12" t="e">
        <f>J164-I164</f>
        <v>#VALUE!</v>
      </c>
      <c r="K251" s="12" t="e">
        <f>K164-J164</f>
        <v>#VALUE!</v>
      </c>
      <c r="L251" s="12" t="e">
        <f>L164-K164</f>
        <v>#VALUE!</v>
      </c>
      <c r="M251" s="12" t="e">
        <f t="shared" si="56"/>
        <v>#VALUE!</v>
      </c>
      <c r="N251" s="12" t="e">
        <f>N164-M164</f>
        <v>#VALUE!</v>
      </c>
      <c r="O251" s="12" t="e">
        <f>O164-N164</f>
        <v>#VALUE!</v>
      </c>
      <c r="P251" s="12" t="e">
        <f>P164-O164</f>
        <v>#VALUE!</v>
      </c>
      <c r="Q251" s="12" t="e">
        <f>Q164-P164</f>
        <v>#VALUE!</v>
      </c>
      <c r="R251" s="12" t="e">
        <f t="shared" si="57"/>
        <v>#VALUE!</v>
      </c>
      <c r="S251" s="12" t="e">
        <f>S164-R164</f>
        <v>#VALUE!</v>
      </c>
      <c r="T251" s="12" t="e">
        <f>T164-S164</f>
        <v>#VALUE!</v>
      </c>
      <c r="U251" s="12" t="e">
        <f>U164-T164</f>
        <v>#VALUE!</v>
      </c>
      <c r="V251" s="12" t="e">
        <f>V164-U164</f>
        <v>#VALUE!</v>
      </c>
      <c r="W251" s="12" t="e">
        <f t="shared" si="58"/>
        <v>#VALUE!</v>
      </c>
      <c r="X251" s="12" t="e">
        <f>X164-W164</f>
        <v>#VALUE!</v>
      </c>
      <c r="Y251" s="12" t="e">
        <f>Y164-X164</f>
        <v>#VALUE!</v>
      </c>
      <c r="Z251" s="12" t="e">
        <f>Z164-Y164</f>
        <v>#VALUE!</v>
      </c>
      <c r="AA251" s="12" t="e">
        <f>AA164-Z164</f>
        <v>#VALUE!</v>
      </c>
      <c r="AB251" s="12" t="e">
        <f t="shared" si="59"/>
        <v>#VALUE!</v>
      </c>
      <c r="AC251" s="12" t="e">
        <f>AC164-AB164</f>
        <v>#VALUE!</v>
      </c>
      <c r="AD251" s="12" t="e">
        <f>AD164-AC164</f>
        <v>#VALUE!</v>
      </c>
      <c r="AE251" s="12" t="e">
        <f>AE164-AD164</f>
        <v>#VALUE!</v>
      </c>
      <c r="AF251" s="12" t="e">
        <f>AF164-AE164</f>
        <v>#VALUE!</v>
      </c>
      <c r="AG251" s="12" t="e">
        <f t="shared" si="60"/>
        <v>#VALUE!</v>
      </c>
      <c r="AH251" s="12" t="e">
        <f>AH164-AG164</f>
        <v>#VALUE!</v>
      </c>
      <c r="AI251" s="12" t="e">
        <f>AI164-AH164</f>
        <v>#VALUE!</v>
      </c>
      <c r="AJ251" s="12" t="e">
        <f>AJ164-AI164</f>
        <v>#VALUE!</v>
      </c>
      <c r="AK251" s="12" t="e">
        <f>AK164-AJ164</f>
        <v>#VALUE!</v>
      </c>
      <c r="AL251" s="12" t="e">
        <f t="shared" si="61"/>
        <v>#VALUE!</v>
      </c>
      <c r="AM251" s="12" t="e">
        <f>AM164-AL164</f>
        <v>#VALUE!</v>
      </c>
      <c r="AN251" s="12" t="e">
        <f>AN164-AM164</f>
        <v>#VALUE!</v>
      </c>
      <c r="AO251" s="12" t="e">
        <f>AO164-AN164</f>
        <v>#VALUE!</v>
      </c>
      <c r="AP251" s="12" t="e">
        <f>AP164-AO164</f>
        <v>#VALUE!</v>
      </c>
      <c r="AQ251" s="12" t="e">
        <f t="shared" si="62"/>
        <v>#VALUE!</v>
      </c>
      <c r="AR251" s="12" t="e">
        <f>AR164-AQ164</f>
        <v>#VALUE!</v>
      </c>
      <c r="AS251" s="12" t="e">
        <f>AS164-AR164</f>
        <v>#VALUE!</v>
      </c>
      <c r="AT251" s="12" t="e">
        <f>AT164-AS164</f>
        <v>#VALUE!</v>
      </c>
      <c r="AU251" s="12" t="e">
        <f>AU164-AT164</f>
        <v>#VALUE!</v>
      </c>
      <c r="AV251" s="12" t="e">
        <f t="shared" si="63"/>
        <v>#VALUE!</v>
      </c>
      <c r="AW251" s="12" t="e">
        <f>AW164-AV164</f>
        <v>#VALUE!</v>
      </c>
      <c r="AX251" s="12" t="e">
        <f>AX164-AW164</f>
        <v>#VALUE!</v>
      </c>
      <c r="AY251" s="12" t="e">
        <f>AY164-AX164</f>
        <v>#VALUE!</v>
      </c>
      <c r="AZ251" s="12" t="e">
        <f>AZ164-AY164</f>
        <v>#VALUE!</v>
      </c>
      <c r="BA251" s="12" t="e">
        <f t="shared" si="64"/>
        <v>#VALUE!</v>
      </c>
      <c r="BB251" s="12" t="e">
        <f>BB164-BA164</f>
        <v>#VALUE!</v>
      </c>
      <c r="BC251" s="12" t="e">
        <f>BC164-BB164</f>
        <v>#VALUE!</v>
      </c>
      <c r="BD251" s="12" t="e">
        <f>BD164-BC164</f>
        <v>#VALUE!</v>
      </c>
      <c r="BE251" s="12" t="e">
        <f>BE164-BD164</f>
        <v>#VALUE!</v>
      </c>
      <c r="BF251" s="12" t="e">
        <f t="shared" si="65"/>
        <v>#VALUE!</v>
      </c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</row>
    <row r="252" spans="1:103" hidden="1" outlineLevel="1" x14ac:dyDescent="0.2">
      <c r="C252" s="10" t="s">
        <v>59</v>
      </c>
      <c r="D252" s="12"/>
      <c r="E252" s="12"/>
      <c r="F252" s="12"/>
      <c r="G252" s="12"/>
      <c r="H252" s="12"/>
      <c r="I252" s="12" t="e">
        <f>I168-H168</f>
        <v>#VALUE!</v>
      </c>
      <c r="J252" s="12" t="e">
        <f>J168-I168</f>
        <v>#VALUE!</v>
      </c>
      <c r="K252" s="12" t="e">
        <f>K168-J168</f>
        <v>#VALUE!</v>
      </c>
      <c r="L252" s="12" t="e">
        <f>L168-K168</f>
        <v>#VALUE!</v>
      </c>
      <c r="M252" s="12" t="e">
        <f t="shared" si="56"/>
        <v>#VALUE!</v>
      </c>
      <c r="N252" s="12" t="e">
        <f>N168-M168</f>
        <v>#VALUE!</v>
      </c>
      <c r="O252" s="12" t="e">
        <f>O168-N168</f>
        <v>#VALUE!</v>
      </c>
      <c r="P252" s="12" t="e">
        <f>P168-O168</f>
        <v>#VALUE!</v>
      </c>
      <c r="Q252" s="12" t="e">
        <f>Q168-P168</f>
        <v>#VALUE!</v>
      </c>
      <c r="R252" s="12" t="e">
        <f t="shared" si="57"/>
        <v>#VALUE!</v>
      </c>
      <c r="S252" s="12" t="e">
        <f>S168-R168</f>
        <v>#VALUE!</v>
      </c>
      <c r="T252" s="12" t="e">
        <f>T168-S168</f>
        <v>#VALUE!</v>
      </c>
      <c r="U252" s="12" t="e">
        <f>U168-T168</f>
        <v>#VALUE!</v>
      </c>
      <c r="V252" s="12" t="e">
        <f>V168-U168</f>
        <v>#VALUE!</v>
      </c>
      <c r="W252" s="12" t="e">
        <f t="shared" si="58"/>
        <v>#VALUE!</v>
      </c>
      <c r="X252" s="12" t="e">
        <f>X168-W168</f>
        <v>#VALUE!</v>
      </c>
      <c r="Y252" s="12" t="e">
        <f>Y168-X168</f>
        <v>#VALUE!</v>
      </c>
      <c r="Z252" s="12" t="e">
        <f>Z168-Y168</f>
        <v>#VALUE!</v>
      </c>
      <c r="AA252" s="12" t="e">
        <f>AA168-Z168</f>
        <v>#VALUE!</v>
      </c>
      <c r="AB252" s="12" t="e">
        <f t="shared" si="59"/>
        <v>#VALUE!</v>
      </c>
      <c r="AC252" s="12" t="e">
        <f>AC168-AB168</f>
        <v>#VALUE!</v>
      </c>
      <c r="AD252" s="12" t="e">
        <f>AD168-AC168</f>
        <v>#VALUE!</v>
      </c>
      <c r="AE252" s="12" t="e">
        <f>AE168-AD168</f>
        <v>#VALUE!</v>
      </c>
      <c r="AF252" s="12" t="e">
        <f>AF168-AE168</f>
        <v>#VALUE!</v>
      </c>
      <c r="AG252" s="12" t="e">
        <f t="shared" si="60"/>
        <v>#VALUE!</v>
      </c>
      <c r="AH252" s="12" t="e">
        <f>AH168-AG168</f>
        <v>#VALUE!</v>
      </c>
      <c r="AI252" s="12" t="e">
        <f>AI168-AH168</f>
        <v>#VALUE!</v>
      </c>
      <c r="AJ252" s="12" t="e">
        <f>AJ168-AI168</f>
        <v>#VALUE!</v>
      </c>
      <c r="AK252" s="12" t="e">
        <f>AK168-AJ168</f>
        <v>#VALUE!</v>
      </c>
      <c r="AL252" s="12" t="e">
        <f t="shared" si="61"/>
        <v>#VALUE!</v>
      </c>
      <c r="AM252" s="12" t="e">
        <f>AM168-AL168</f>
        <v>#VALUE!</v>
      </c>
      <c r="AN252" s="12" t="e">
        <f>AN168-AM168</f>
        <v>#VALUE!</v>
      </c>
      <c r="AO252" s="12" t="e">
        <f>AO168-AN168</f>
        <v>#VALUE!</v>
      </c>
      <c r="AP252" s="12" t="e">
        <f>AP168-AO168</f>
        <v>#VALUE!</v>
      </c>
      <c r="AQ252" s="12" t="e">
        <f t="shared" si="62"/>
        <v>#VALUE!</v>
      </c>
      <c r="AR252" s="12" t="e">
        <f>AR168-AQ168</f>
        <v>#VALUE!</v>
      </c>
      <c r="AS252" s="12" t="e">
        <f>AS168-AR168</f>
        <v>#VALUE!</v>
      </c>
      <c r="AT252" s="12" t="e">
        <f>AT168-AS168</f>
        <v>#VALUE!</v>
      </c>
      <c r="AU252" s="12" t="e">
        <f>AU168-AT168</f>
        <v>#VALUE!</v>
      </c>
      <c r="AV252" s="12" t="e">
        <f t="shared" si="63"/>
        <v>#VALUE!</v>
      </c>
      <c r="AW252" s="12" t="e">
        <f>AW168-AV168</f>
        <v>#VALUE!</v>
      </c>
      <c r="AX252" s="12" t="e">
        <f>AX168-AW168</f>
        <v>#VALUE!</v>
      </c>
      <c r="AY252" s="12" t="e">
        <f>AY168-AX168</f>
        <v>#VALUE!</v>
      </c>
      <c r="AZ252" s="12" t="e">
        <f>AZ168-AY168</f>
        <v>#VALUE!</v>
      </c>
      <c r="BA252" s="12" t="e">
        <f t="shared" si="64"/>
        <v>#VALUE!</v>
      </c>
      <c r="BB252" s="12" t="e">
        <f>BB168-BA168</f>
        <v>#VALUE!</v>
      </c>
      <c r="BC252" s="12" t="e">
        <f>BC168-BB168</f>
        <v>#VALUE!</v>
      </c>
      <c r="BD252" s="12" t="e">
        <f>BD168-BC168</f>
        <v>#VALUE!</v>
      </c>
      <c r="BE252" s="12" t="e">
        <f>BE168-BD168</f>
        <v>#VALUE!</v>
      </c>
      <c r="BF252" s="12" t="e">
        <f t="shared" si="65"/>
        <v>#VALUE!</v>
      </c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</row>
    <row r="253" spans="1:103" hidden="1" outlineLevel="1" x14ac:dyDescent="0.2">
      <c r="C253" s="10" t="s">
        <v>60</v>
      </c>
      <c r="D253" s="12"/>
      <c r="E253" s="12"/>
      <c r="F253" s="12"/>
      <c r="G253" s="12"/>
      <c r="H253" s="12"/>
      <c r="I253" s="12" t="e">
        <f t="shared" ref="I253:L254" si="76">I170-H170</f>
        <v>#VALUE!</v>
      </c>
      <c r="J253" s="12" t="e">
        <f t="shared" si="76"/>
        <v>#VALUE!</v>
      </c>
      <c r="K253" s="12" t="e">
        <f t="shared" si="76"/>
        <v>#VALUE!</v>
      </c>
      <c r="L253" s="12" t="e">
        <f t="shared" si="76"/>
        <v>#VALUE!</v>
      </c>
      <c r="M253" s="12" t="e">
        <f t="shared" si="56"/>
        <v>#VALUE!</v>
      </c>
      <c r="N253" s="12" t="e">
        <f t="shared" ref="N253:Q254" si="77">N170-M170</f>
        <v>#VALUE!</v>
      </c>
      <c r="O253" s="12" t="e">
        <f t="shared" si="77"/>
        <v>#VALUE!</v>
      </c>
      <c r="P253" s="12" t="e">
        <f t="shared" si="77"/>
        <v>#VALUE!</v>
      </c>
      <c r="Q253" s="12" t="e">
        <f t="shared" si="77"/>
        <v>#VALUE!</v>
      </c>
      <c r="R253" s="12" t="e">
        <f t="shared" si="57"/>
        <v>#VALUE!</v>
      </c>
      <c r="S253" s="12" t="e">
        <f t="shared" ref="S253:V254" si="78">S170-R170</f>
        <v>#VALUE!</v>
      </c>
      <c r="T253" s="12" t="e">
        <f t="shared" si="78"/>
        <v>#VALUE!</v>
      </c>
      <c r="U253" s="12" t="e">
        <f t="shared" si="78"/>
        <v>#VALUE!</v>
      </c>
      <c r="V253" s="12" t="e">
        <f t="shared" si="78"/>
        <v>#VALUE!</v>
      </c>
      <c r="W253" s="12" t="e">
        <f t="shared" si="58"/>
        <v>#VALUE!</v>
      </c>
      <c r="X253" s="12" t="e">
        <f t="shared" ref="X253:AA254" si="79">X170-W170</f>
        <v>#VALUE!</v>
      </c>
      <c r="Y253" s="12" t="e">
        <f t="shared" si="79"/>
        <v>#VALUE!</v>
      </c>
      <c r="Z253" s="12" t="e">
        <f t="shared" si="79"/>
        <v>#VALUE!</v>
      </c>
      <c r="AA253" s="12" t="e">
        <f t="shared" si="79"/>
        <v>#VALUE!</v>
      </c>
      <c r="AB253" s="12" t="e">
        <f t="shared" si="59"/>
        <v>#VALUE!</v>
      </c>
      <c r="AC253" s="12" t="e">
        <f t="shared" ref="AC253:AF254" si="80">AC170-AB170</f>
        <v>#VALUE!</v>
      </c>
      <c r="AD253" s="12" t="e">
        <f t="shared" si="80"/>
        <v>#VALUE!</v>
      </c>
      <c r="AE253" s="12" t="e">
        <f t="shared" si="80"/>
        <v>#VALUE!</v>
      </c>
      <c r="AF253" s="12" t="e">
        <f t="shared" si="80"/>
        <v>#VALUE!</v>
      </c>
      <c r="AG253" s="12" t="e">
        <f t="shared" si="60"/>
        <v>#VALUE!</v>
      </c>
      <c r="AH253" s="12" t="e">
        <f t="shared" ref="AH253:AK254" si="81">AH170-AG170</f>
        <v>#VALUE!</v>
      </c>
      <c r="AI253" s="12" t="e">
        <f t="shared" si="81"/>
        <v>#VALUE!</v>
      </c>
      <c r="AJ253" s="12" t="e">
        <f t="shared" si="81"/>
        <v>#VALUE!</v>
      </c>
      <c r="AK253" s="12" t="e">
        <f t="shared" si="81"/>
        <v>#VALUE!</v>
      </c>
      <c r="AL253" s="12" t="e">
        <f t="shared" si="61"/>
        <v>#VALUE!</v>
      </c>
      <c r="AM253" s="12" t="e">
        <f t="shared" ref="AM253:AP254" si="82">AM170-AL170</f>
        <v>#VALUE!</v>
      </c>
      <c r="AN253" s="12" t="e">
        <f t="shared" si="82"/>
        <v>#VALUE!</v>
      </c>
      <c r="AO253" s="12" t="e">
        <f t="shared" si="82"/>
        <v>#VALUE!</v>
      </c>
      <c r="AP253" s="12" t="e">
        <f t="shared" si="82"/>
        <v>#VALUE!</v>
      </c>
      <c r="AQ253" s="12" t="e">
        <f t="shared" si="62"/>
        <v>#VALUE!</v>
      </c>
      <c r="AR253" s="12" t="e">
        <f t="shared" ref="AR253:AU254" si="83">AR170-AQ170</f>
        <v>#VALUE!</v>
      </c>
      <c r="AS253" s="12" t="e">
        <f t="shared" si="83"/>
        <v>#VALUE!</v>
      </c>
      <c r="AT253" s="12" t="e">
        <f t="shared" si="83"/>
        <v>#VALUE!</v>
      </c>
      <c r="AU253" s="12" t="e">
        <f t="shared" si="83"/>
        <v>#VALUE!</v>
      </c>
      <c r="AV253" s="12" t="e">
        <f t="shared" si="63"/>
        <v>#VALUE!</v>
      </c>
      <c r="AW253" s="12" t="e">
        <f t="shared" ref="AW253:AZ254" si="84">AW170-AV170</f>
        <v>#VALUE!</v>
      </c>
      <c r="AX253" s="12" t="e">
        <f t="shared" si="84"/>
        <v>#VALUE!</v>
      </c>
      <c r="AY253" s="12" t="e">
        <f t="shared" si="84"/>
        <v>#VALUE!</v>
      </c>
      <c r="AZ253" s="12" t="e">
        <f t="shared" si="84"/>
        <v>#VALUE!</v>
      </c>
      <c r="BA253" s="12" t="e">
        <f t="shared" si="64"/>
        <v>#VALUE!</v>
      </c>
      <c r="BB253" s="12" t="e">
        <f t="shared" ref="BB253:BE254" si="85">BB170-BA170</f>
        <v>#VALUE!</v>
      </c>
      <c r="BC253" s="12" t="e">
        <f t="shared" si="85"/>
        <v>#VALUE!</v>
      </c>
      <c r="BD253" s="12" t="e">
        <f t="shared" si="85"/>
        <v>#VALUE!</v>
      </c>
      <c r="BE253" s="12" t="e">
        <f t="shared" si="85"/>
        <v>#VALUE!</v>
      </c>
      <c r="BF253" s="12" t="e">
        <f t="shared" si="65"/>
        <v>#VALUE!</v>
      </c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</row>
    <row r="254" spans="1:103" hidden="1" outlineLevel="1" x14ac:dyDescent="0.2">
      <c r="C254" s="10" t="s">
        <v>61</v>
      </c>
      <c r="D254" s="12"/>
      <c r="E254" s="12"/>
      <c r="F254" s="12"/>
      <c r="G254" s="12"/>
      <c r="H254" s="12"/>
      <c r="I254" s="12" t="e">
        <f t="shared" si="76"/>
        <v>#VALUE!</v>
      </c>
      <c r="J254" s="12" t="e">
        <f t="shared" si="76"/>
        <v>#VALUE!</v>
      </c>
      <c r="K254" s="12" t="e">
        <f t="shared" si="76"/>
        <v>#VALUE!</v>
      </c>
      <c r="L254" s="12" t="e">
        <f t="shared" si="76"/>
        <v>#VALUE!</v>
      </c>
      <c r="M254" s="12" t="e">
        <f t="shared" si="56"/>
        <v>#VALUE!</v>
      </c>
      <c r="N254" s="12" t="e">
        <f t="shared" si="77"/>
        <v>#VALUE!</v>
      </c>
      <c r="O254" s="12" t="e">
        <f t="shared" si="77"/>
        <v>#VALUE!</v>
      </c>
      <c r="P254" s="12" t="e">
        <f t="shared" si="77"/>
        <v>#VALUE!</v>
      </c>
      <c r="Q254" s="12" t="e">
        <f t="shared" si="77"/>
        <v>#VALUE!</v>
      </c>
      <c r="R254" s="12" t="e">
        <f t="shared" si="57"/>
        <v>#VALUE!</v>
      </c>
      <c r="S254" s="12" t="e">
        <f t="shared" si="78"/>
        <v>#VALUE!</v>
      </c>
      <c r="T254" s="12" t="e">
        <f t="shared" si="78"/>
        <v>#VALUE!</v>
      </c>
      <c r="U254" s="12" t="e">
        <f t="shared" si="78"/>
        <v>#VALUE!</v>
      </c>
      <c r="V254" s="12" t="e">
        <f t="shared" si="78"/>
        <v>#VALUE!</v>
      </c>
      <c r="W254" s="12" t="e">
        <f t="shared" si="58"/>
        <v>#VALUE!</v>
      </c>
      <c r="X254" s="12" t="e">
        <f t="shared" si="79"/>
        <v>#VALUE!</v>
      </c>
      <c r="Y254" s="12" t="e">
        <f t="shared" si="79"/>
        <v>#VALUE!</v>
      </c>
      <c r="Z254" s="12" t="e">
        <f t="shared" si="79"/>
        <v>#VALUE!</v>
      </c>
      <c r="AA254" s="12" t="e">
        <f t="shared" si="79"/>
        <v>#VALUE!</v>
      </c>
      <c r="AB254" s="12" t="e">
        <f t="shared" si="59"/>
        <v>#VALUE!</v>
      </c>
      <c r="AC254" s="12" t="e">
        <f t="shared" si="80"/>
        <v>#VALUE!</v>
      </c>
      <c r="AD254" s="12" t="e">
        <f t="shared" si="80"/>
        <v>#VALUE!</v>
      </c>
      <c r="AE254" s="12" t="e">
        <f t="shared" si="80"/>
        <v>#VALUE!</v>
      </c>
      <c r="AF254" s="12" t="e">
        <f t="shared" si="80"/>
        <v>#VALUE!</v>
      </c>
      <c r="AG254" s="12" t="e">
        <f t="shared" si="60"/>
        <v>#VALUE!</v>
      </c>
      <c r="AH254" s="12" t="e">
        <f t="shared" si="81"/>
        <v>#VALUE!</v>
      </c>
      <c r="AI254" s="12" t="e">
        <f t="shared" si="81"/>
        <v>#VALUE!</v>
      </c>
      <c r="AJ254" s="12" t="e">
        <f t="shared" si="81"/>
        <v>#VALUE!</v>
      </c>
      <c r="AK254" s="12" t="e">
        <f t="shared" si="81"/>
        <v>#VALUE!</v>
      </c>
      <c r="AL254" s="12" t="e">
        <f t="shared" si="61"/>
        <v>#VALUE!</v>
      </c>
      <c r="AM254" s="12" t="e">
        <f t="shared" si="82"/>
        <v>#VALUE!</v>
      </c>
      <c r="AN254" s="12" t="e">
        <f t="shared" si="82"/>
        <v>#VALUE!</v>
      </c>
      <c r="AO254" s="12" t="e">
        <f t="shared" si="82"/>
        <v>#VALUE!</v>
      </c>
      <c r="AP254" s="12" t="e">
        <f t="shared" si="82"/>
        <v>#VALUE!</v>
      </c>
      <c r="AQ254" s="12" t="e">
        <f t="shared" si="62"/>
        <v>#VALUE!</v>
      </c>
      <c r="AR254" s="12" t="e">
        <f t="shared" si="83"/>
        <v>#VALUE!</v>
      </c>
      <c r="AS254" s="12" t="e">
        <f t="shared" si="83"/>
        <v>#VALUE!</v>
      </c>
      <c r="AT254" s="12" t="e">
        <f t="shared" si="83"/>
        <v>#VALUE!</v>
      </c>
      <c r="AU254" s="12" t="e">
        <f t="shared" si="83"/>
        <v>#VALUE!</v>
      </c>
      <c r="AV254" s="12" t="e">
        <f t="shared" si="63"/>
        <v>#VALUE!</v>
      </c>
      <c r="AW254" s="12" t="e">
        <f t="shared" si="84"/>
        <v>#VALUE!</v>
      </c>
      <c r="AX254" s="12" t="e">
        <f t="shared" si="84"/>
        <v>#VALUE!</v>
      </c>
      <c r="AY254" s="12" t="e">
        <f t="shared" si="84"/>
        <v>#VALUE!</v>
      </c>
      <c r="AZ254" s="12" t="e">
        <f t="shared" si="84"/>
        <v>#VALUE!</v>
      </c>
      <c r="BA254" s="12" t="e">
        <f t="shared" si="64"/>
        <v>#VALUE!</v>
      </c>
      <c r="BB254" s="12" t="e">
        <f t="shared" si="85"/>
        <v>#VALUE!</v>
      </c>
      <c r="BC254" s="12" t="e">
        <f t="shared" si="85"/>
        <v>#VALUE!</v>
      </c>
      <c r="BD254" s="12" t="e">
        <f t="shared" si="85"/>
        <v>#VALUE!</v>
      </c>
      <c r="BE254" s="12" t="e">
        <f t="shared" si="85"/>
        <v>#VALUE!</v>
      </c>
      <c r="BF254" s="12" t="e">
        <f t="shared" si="65"/>
        <v>#VALUE!</v>
      </c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</row>
    <row r="255" spans="1:103" hidden="1" outlineLevel="1" x14ac:dyDescent="0.2">
      <c r="C255" s="10" t="s">
        <v>49</v>
      </c>
      <c r="D255" s="12"/>
      <c r="E255" s="12"/>
      <c r="F255" s="12"/>
      <c r="G255" s="12"/>
      <c r="H255" s="12"/>
      <c r="I255" s="12" t="e">
        <f>I205-H205</f>
        <v>#VALUE!</v>
      </c>
      <c r="J255" s="12" t="e">
        <f>J205-I205</f>
        <v>#VALUE!</v>
      </c>
      <c r="K255" s="12" t="e">
        <f>K205-J205</f>
        <v>#VALUE!</v>
      </c>
      <c r="L255" s="12" t="e">
        <f>L205-K205</f>
        <v>#VALUE!</v>
      </c>
      <c r="M255" s="12" t="e">
        <f t="shared" si="56"/>
        <v>#VALUE!</v>
      </c>
      <c r="N255" s="12" t="e">
        <f>N205-M205</f>
        <v>#VALUE!</v>
      </c>
      <c r="O255" s="12" t="e">
        <f>O205-N205</f>
        <v>#VALUE!</v>
      </c>
      <c r="P255" s="12" t="e">
        <f>P205-O205</f>
        <v>#VALUE!</v>
      </c>
      <c r="Q255" s="12" t="e">
        <f>Q205-P205</f>
        <v>#VALUE!</v>
      </c>
      <c r="R255" s="12" t="e">
        <f t="shared" si="57"/>
        <v>#VALUE!</v>
      </c>
      <c r="S255" s="12" t="e">
        <f>S205-R205</f>
        <v>#VALUE!</v>
      </c>
      <c r="T255" s="12" t="e">
        <f>T205-S205</f>
        <v>#VALUE!</v>
      </c>
      <c r="U255" s="12" t="e">
        <f>U205-T205</f>
        <v>#VALUE!</v>
      </c>
      <c r="V255" s="12" t="e">
        <f>V205-U205</f>
        <v>#VALUE!</v>
      </c>
      <c r="W255" s="12" t="e">
        <f t="shared" si="58"/>
        <v>#VALUE!</v>
      </c>
      <c r="X255" s="12" t="e">
        <f>X205-W205</f>
        <v>#VALUE!</v>
      </c>
      <c r="Y255" s="12" t="e">
        <f>Y205-X205</f>
        <v>#VALUE!</v>
      </c>
      <c r="Z255" s="12" t="e">
        <f>Z205-Y205</f>
        <v>#VALUE!</v>
      </c>
      <c r="AA255" s="12" t="e">
        <f>AA205-Z205</f>
        <v>#VALUE!</v>
      </c>
      <c r="AB255" s="12" t="e">
        <f t="shared" si="59"/>
        <v>#VALUE!</v>
      </c>
      <c r="AC255" s="12" t="e">
        <f>AC205-AB205</f>
        <v>#VALUE!</v>
      </c>
      <c r="AD255" s="12" t="e">
        <f>AD205-AC205</f>
        <v>#VALUE!</v>
      </c>
      <c r="AE255" s="12" t="e">
        <f>AE205-AD205</f>
        <v>#VALUE!</v>
      </c>
      <c r="AF255" s="12" t="e">
        <f>AF205-AE205</f>
        <v>#VALUE!</v>
      </c>
      <c r="AG255" s="12" t="e">
        <f t="shared" si="60"/>
        <v>#VALUE!</v>
      </c>
      <c r="AH255" s="12" t="e">
        <f>AH205-AG205</f>
        <v>#VALUE!</v>
      </c>
      <c r="AI255" s="12" t="e">
        <f>AI205-AH205</f>
        <v>#VALUE!</v>
      </c>
      <c r="AJ255" s="12" t="e">
        <f>AJ205-AI205</f>
        <v>#VALUE!</v>
      </c>
      <c r="AK255" s="12" t="e">
        <f>AK205-AJ205</f>
        <v>#VALUE!</v>
      </c>
      <c r="AL255" s="12" t="e">
        <f t="shared" si="61"/>
        <v>#VALUE!</v>
      </c>
      <c r="AM255" s="12" t="e">
        <f>AM205-AL205</f>
        <v>#VALUE!</v>
      </c>
      <c r="AN255" s="12" t="e">
        <f>AN205-AM205</f>
        <v>#VALUE!</v>
      </c>
      <c r="AO255" s="12" t="e">
        <f>AO205-AN205</f>
        <v>#VALUE!</v>
      </c>
      <c r="AP255" s="12" t="e">
        <f>AP205-AO205</f>
        <v>#VALUE!</v>
      </c>
      <c r="AQ255" s="12" t="e">
        <f t="shared" si="62"/>
        <v>#VALUE!</v>
      </c>
      <c r="AR255" s="12" t="e">
        <f>AR205-AQ205</f>
        <v>#VALUE!</v>
      </c>
      <c r="AS255" s="12" t="e">
        <f>AS205-AR205</f>
        <v>#VALUE!</v>
      </c>
      <c r="AT255" s="12" t="e">
        <f>AT205-AS205</f>
        <v>#VALUE!</v>
      </c>
      <c r="AU255" s="12" t="e">
        <f>AU205-AT205</f>
        <v>#VALUE!</v>
      </c>
      <c r="AV255" s="12" t="e">
        <f t="shared" si="63"/>
        <v>#VALUE!</v>
      </c>
      <c r="AW255" s="12" t="e">
        <f>AW205-AV205</f>
        <v>#VALUE!</v>
      </c>
      <c r="AX255" s="12" t="e">
        <f>AX205-AW205</f>
        <v>#VALUE!</v>
      </c>
      <c r="AY255" s="12" t="e">
        <f>AY205-AX205</f>
        <v>#VALUE!</v>
      </c>
      <c r="AZ255" s="12" t="e">
        <f>AZ205-AY205</f>
        <v>#VALUE!</v>
      </c>
      <c r="BA255" s="12" t="e">
        <f t="shared" si="64"/>
        <v>#VALUE!</v>
      </c>
      <c r="BB255" s="12" t="e">
        <f>BB205-BA205</f>
        <v>#VALUE!</v>
      </c>
      <c r="BC255" s="12" t="e">
        <f>BC205-BB205</f>
        <v>#VALUE!</v>
      </c>
      <c r="BD255" s="12" t="e">
        <f>BD205-BC205</f>
        <v>#VALUE!</v>
      </c>
      <c r="BE255" s="12" t="e">
        <f>BE205-BD205</f>
        <v>#VALUE!</v>
      </c>
      <c r="BF255" s="12" t="e">
        <f t="shared" si="65"/>
        <v>#VALUE!</v>
      </c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</row>
    <row r="256" spans="1:103" collapsed="1" x14ac:dyDescent="0.2">
      <c r="C256" s="10" t="s">
        <v>189</v>
      </c>
      <c r="D256" s="12"/>
      <c r="E256" s="12"/>
      <c r="F256" s="12"/>
      <c r="G256" s="12"/>
      <c r="H256" s="12"/>
      <c r="I256" s="12" t="e">
        <f>(I127-H127)*-1</f>
        <v>#VALUE!</v>
      </c>
      <c r="J256" s="12" t="e">
        <f>(J127-I127)*-1</f>
        <v>#VALUE!</v>
      </c>
      <c r="K256" s="12" t="e">
        <f>(K127-J127)*-1</f>
        <v>#VALUE!</v>
      </c>
      <c r="L256" s="12" t="e">
        <f>(L127-K127)*-1</f>
        <v>#VALUE!</v>
      </c>
      <c r="M256" s="12" t="e">
        <f t="shared" si="56"/>
        <v>#VALUE!</v>
      </c>
      <c r="N256" s="12" t="e">
        <f>(N127-M127)*-1</f>
        <v>#VALUE!</v>
      </c>
      <c r="O256" s="12" t="e">
        <f>(O127-N127)*-1</f>
        <v>#VALUE!</v>
      </c>
      <c r="P256" s="12" t="e">
        <f>(P127-O127)*-1</f>
        <v>#VALUE!</v>
      </c>
      <c r="Q256" s="12" t="e">
        <f>(Q127-P127)*-1</f>
        <v>#VALUE!</v>
      </c>
      <c r="R256" s="12" t="e">
        <f t="shared" si="57"/>
        <v>#VALUE!</v>
      </c>
      <c r="S256" s="12" t="e">
        <f>(S127-R127)*-1</f>
        <v>#VALUE!</v>
      </c>
      <c r="T256" s="12" t="e">
        <f>(T127-S127)*-1</f>
        <v>#VALUE!</v>
      </c>
      <c r="U256" s="12" t="e">
        <f>(U127-T127)*-1</f>
        <v>#VALUE!</v>
      </c>
      <c r="V256" s="12" t="e">
        <f>(V127-U127)*-1</f>
        <v>#VALUE!</v>
      </c>
      <c r="W256" s="12" t="e">
        <f t="shared" si="58"/>
        <v>#VALUE!</v>
      </c>
      <c r="X256" s="12" t="e">
        <f>(X127-W127)*-1</f>
        <v>#VALUE!</v>
      </c>
      <c r="Y256" s="12" t="e">
        <f>(Y127-X127)*-1</f>
        <v>#VALUE!</v>
      </c>
      <c r="Z256" s="12" t="e">
        <f>(Z127-Y127)*-1</f>
        <v>#VALUE!</v>
      </c>
      <c r="AA256" s="12" t="e">
        <f>(AA127-Z127)*-1</f>
        <v>#VALUE!</v>
      </c>
      <c r="AB256" s="12" t="e">
        <f t="shared" si="59"/>
        <v>#VALUE!</v>
      </c>
      <c r="AC256" s="12" t="e">
        <f>(AC127-AB127)*-1</f>
        <v>#VALUE!</v>
      </c>
      <c r="AD256" s="12" t="e">
        <f>(AD127-AC127)*-1</f>
        <v>#VALUE!</v>
      </c>
      <c r="AE256" s="12" t="e">
        <f>(AE127-AD127)*-1</f>
        <v>#VALUE!</v>
      </c>
      <c r="AF256" s="12" t="e">
        <f>(AF127-AE127)*-1</f>
        <v>#VALUE!</v>
      </c>
      <c r="AG256" s="12" t="e">
        <f t="shared" si="60"/>
        <v>#VALUE!</v>
      </c>
      <c r="AH256" s="12" t="e">
        <f>(AH127-AG127)*-1</f>
        <v>#VALUE!</v>
      </c>
      <c r="AI256" s="12" t="e">
        <f>(AI127-AH127)*-1</f>
        <v>#VALUE!</v>
      </c>
      <c r="AJ256" s="12" t="e">
        <f>(AJ127-AI127)*-1</f>
        <v>#VALUE!</v>
      </c>
      <c r="AK256" s="12" t="e">
        <f>(AK127-AJ127)*-1</f>
        <v>#VALUE!</v>
      </c>
      <c r="AL256" s="12" t="e">
        <f t="shared" si="61"/>
        <v>#VALUE!</v>
      </c>
      <c r="AM256" s="12" t="e">
        <f>(AM127-AL127)*-1</f>
        <v>#VALUE!</v>
      </c>
      <c r="AN256" s="12" t="e">
        <f>(AN127-AM127)*-1</f>
        <v>#VALUE!</v>
      </c>
      <c r="AO256" s="12" t="e">
        <f>(AO127-AN127)*-1</f>
        <v>#VALUE!</v>
      </c>
      <c r="AP256" s="12" t="e">
        <f>(AP127-AO127)*-1</f>
        <v>#VALUE!</v>
      </c>
      <c r="AQ256" s="12" t="e">
        <f t="shared" si="62"/>
        <v>#VALUE!</v>
      </c>
      <c r="AR256" s="12" t="e">
        <f>(AR127-AQ127)*-1</f>
        <v>#VALUE!</v>
      </c>
      <c r="AS256" s="12" t="e">
        <f>(AS127-AR127)*-1</f>
        <v>#VALUE!</v>
      </c>
      <c r="AT256" s="12" t="e">
        <f>(AT127-AS127)*-1</f>
        <v>#VALUE!</v>
      </c>
      <c r="AU256" s="12" t="e">
        <f>(AU127-AT127)*-1</f>
        <v>#VALUE!</v>
      </c>
      <c r="AV256" s="12" t="e">
        <f t="shared" si="63"/>
        <v>#VALUE!</v>
      </c>
      <c r="AW256" s="12" t="e">
        <f>(AW127-AV127)*-1</f>
        <v>#VALUE!</v>
      </c>
      <c r="AX256" s="12" t="e">
        <f>(AX127-AW127)*-1</f>
        <v>#VALUE!</v>
      </c>
      <c r="AY256" s="12" t="e">
        <f>(AY127-AX127)*-1</f>
        <v>#VALUE!</v>
      </c>
      <c r="AZ256" s="12" t="e">
        <f>(AZ127-AY127)*-1</f>
        <v>#VALUE!</v>
      </c>
      <c r="BA256" s="12" t="e">
        <f t="shared" si="64"/>
        <v>#VALUE!</v>
      </c>
      <c r="BB256" s="12" t="e">
        <f>(BB127-BA127)*-1</f>
        <v>#VALUE!</v>
      </c>
      <c r="BC256" s="12" t="e">
        <f>(BC127-BB127)*-1</f>
        <v>#VALUE!</v>
      </c>
      <c r="BD256" s="12" t="e">
        <f>(BD127-BC127)*-1</f>
        <v>#VALUE!</v>
      </c>
      <c r="BE256" s="12" t="e">
        <f>(BE127-BD127)*-1</f>
        <v>#VALUE!</v>
      </c>
      <c r="BF256" s="12" t="e">
        <f t="shared" si="65"/>
        <v>#VALUE!</v>
      </c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</row>
    <row r="257" spans="3:107" x14ac:dyDescent="0.2">
      <c r="C257" s="10" t="s">
        <v>190</v>
      </c>
      <c r="D257" s="12"/>
      <c r="E257" s="12"/>
      <c r="F257" s="12"/>
      <c r="G257" s="12"/>
      <c r="H257" s="12"/>
      <c r="I257" s="12">
        <f>-I130</f>
        <v>0</v>
      </c>
      <c r="J257" s="12">
        <f>-J130</f>
        <v>0</v>
      </c>
      <c r="K257" s="12">
        <f>-K130</f>
        <v>0</v>
      </c>
      <c r="L257" s="12">
        <f>-L130</f>
        <v>0</v>
      </c>
      <c r="M257" s="12">
        <f t="shared" si="56"/>
        <v>0</v>
      </c>
      <c r="N257" s="12">
        <f>-N130</f>
        <v>0</v>
      </c>
      <c r="O257" s="12">
        <f>-O130</f>
        <v>0</v>
      </c>
      <c r="P257" s="12">
        <f>-P130</f>
        <v>0</v>
      </c>
      <c r="Q257" s="12">
        <f>-Q130</f>
        <v>0</v>
      </c>
      <c r="R257" s="12">
        <f t="shared" si="57"/>
        <v>0</v>
      </c>
      <c r="S257" s="12">
        <f>-S130</f>
        <v>0</v>
      </c>
      <c r="T257" s="12">
        <f>-T130</f>
        <v>0</v>
      </c>
      <c r="U257" s="12">
        <f>-U130</f>
        <v>0</v>
      </c>
      <c r="V257" s="12">
        <f>-V130</f>
        <v>0</v>
      </c>
      <c r="W257" s="12">
        <f t="shared" si="58"/>
        <v>0</v>
      </c>
      <c r="X257" s="12">
        <f>-X130</f>
        <v>0</v>
      </c>
      <c r="Y257" s="12">
        <f>-Y130</f>
        <v>0</v>
      </c>
      <c r="Z257" s="12">
        <f>-Z130</f>
        <v>0</v>
      </c>
      <c r="AA257" s="12">
        <f>-AA130</f>
        <v>0</v>
      </c>
      <c r="AB257" s="12">
        <f t="shared" si="59"/>
        <v>0</v>
      </c>
      <c r="AC257" s="12">
        <f>-AC130</f>
        <v>0</v>
      </c>
      <c r="AD257" s="12">
        <f>-AD130</f>
        <v>0</v>
      </c>
      <c r="AE257" s="12">
        <f>-AE130</f>
        <v>0</v>
      </c>
      <c r="AF257" s="12">
        <f>-AF130</f>
        <v>0</v>
      </c>
      <c r="AG257" s="12">
        <f t="shared" si="60"/>
        <v>0</v>
      </c>
      <c r="AH257" s="12">
        <f>-AH130</f>
        <v>0</v>
      </c>
      <c r="AI257" s="12">
        <f>-AI130</f>
        <v>0</v>
      </c>
      <c r="AJ257" s="12">
        <f>-AJ130</f>
        <v>0</v>
      </c>
      <c r="AK257" s="12">
        <f>-AK130</f>
        <v>0</v>
      </c>
      <c r="AL257" s="12">
        <f t="shared" si="61"/>
        <v>0</v>
      </c>
      <c r="AM257" s="12">
        <f>-AM130</f>
        <v>0</v>
      </c>
      <c r="AN257" s="12">
        <f>-AN130</f>
        <v>0</v>
      </c>
      <c r="AO257" s="12">
        <f>-AO130</f>
        <v>0</v>
      </c>
      <c r="AP257" s="12">
        <f>-AP130</f>
        <v>0</v>
      </c>
      <c r="AQ257" s="12">
        <f t="shared" si="62"/>
        <v>0</v>
      </c>
      <c r="AR257" s="12">
        <f>-AR130</f>
        <v>0</v>
      </c>
      <c r="AS257" s="12">
        <f>-AS130</f>
        <v>0</v>
      </c>
      <c r="AT257" s="12">
        <f>-AT130</f>
        <v>0</v>
      </c>
      <c r="AU257" s="12">
        <f>-AU130</f>
        <v>0</v>
      </c>
      <c r="AV257" s="12">
        <f t="shared" si="63"/>
        <v>0</v>
      </c>
      <c r="AW257" s="12">
        <f>-AW130</f>
        <v>0</v>
      </c>
      <c r="AX257" s="12">
        <f>-AX130</f>
        <v>0</v>
      </c>
      <c r="AY257" s="12">
        <f>-AY130</f>
        <v>0</v>
      </c>
      <c r="AZ257" s="12">
        <f>-AZ130</f>
        <v>0</v>
      </c>
      <c r="BA257" s="12">
        <f t="shared" si="64"/>
        <v>0</v>
      </c>
      <c r="BB257" s="12">
        <f>-BB130</f>
        <v>0</v>
      </c>
      <c r="BC257" s="12">
        <f>-BC130</f>
        <v>0</v>
      </c>
      <c r="BD257" s="12">
        <f>-BD130</f>
        <v>0</v>
      </c>
      <c r="BE257" s="12">
        <f>-BE130</f>
        <v>0</v>
      </c>
      <c r="BF257" s="12">
        <f t="shared" si="65"/>
        <v>0</v>
      </c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</row>
    <row r="258" spans="3:107" x14ac:dyDescent="0.2">
      <c r="C258" s="71" t="s">
        <v>191</v>
      </c>
      <c r="D258" s="12"/>
      <c r="E258" s="12"/>
      <c r="F258" s="12"/>
      <c r="G258" s="12"/>
      <c r="H258" s="12"/>
      <c r="I258" s="12" t="e">
        <f>-I102</f>
        <v>#VALUE!</v>
      </c>
      <c r="J258" s="12" t="e">
        <f>-J102</f>
        <v>#VALUE!</v>
      </c>
      <c r="K258" s="12" t="e">
        <f>-K102</f>
        <v>#VALUE!</v>
      </c>
      <c r="L258" s="12" t="e">
        <f>-L102</f>
        <v>#VALUE!</v>
      </c>
      <c r="M258" s="12" t="e">
        <f t="shared" si="56"/>
        <v>#VALUE!</v>
      </c>
      <c r="N258" s="12" t="e">
        <f>-N102</f>
        <v>#VALUE!</v>
      </c>
      <c r="O258" s="12" t="e">
        <f>-O102</f>
        <v>#VALUE!</v>
      </c>
      <c r="P258" s="12" t="e">
        <f>-P102</f>
        <v>#VALUE!</v>
      </c>
      <c r="Q258" s="12" t="e">
        <f>-Q102</f>
        <v>#VALUE!</v>
      </c>
      <c r="R258" s="12" t="e">
        <f t="shared" si="57"/>
        <v>#VALUE!</v>
      </c>
      <c r="S258" s="12" t="e">
        <f>-S102</f>
        <v>#VALUE!</v>
      </c>
      <c r="T258" s="12" t="e">
        <f>-T102</f>
        <v>#VALUE!</v>
      </c>
      <c r="U258" s="12" t="e">
        <f>-U102</f>
        <v>#VALUE!</v>
      </c>
      <c r="V258" s="12" t="e">
        <f>-V102</f>
        <v>#VALUE!</v>
      </c>
      <c r="W258" s="12" t="e">
        <f t="shared" si="58"/>
        <v>#VALUE!</v>
      </c>
      <c r="X258" s="12" t="e">
        <f>-X102</f>
        <v>#VALUE!</v>
      </c>
      <c r="Y258" s="12" t="e">
        <f>-Y102</f>
        <v>#VALUE!</v>
      </c>
      <c r="Z258" s="12" t="e">
        <f>-Z102</f>
        <v>#VALUE!</v>
      </c>
      <c r="AA258" s="12" t="e">
        <f>-AA102</f>
        <v>#VALUE!</v>
      </c>
      <c r="AB258" s="12" t="e">
        <f t="shared" si="59"/>
        <v>#VALUE!</v>
      </c>
      <c r="AC258" s="12" t="e">
        <f>-AC102</f>
        <v>#VALUE!</v>
      </c>
      <c r="AD258" s="12" t="e">
        <f>-AD102</f>
        <v>#VALUE!</v>
      </c>
      <c r="AE258" s="12" t="e">
        <f>-AE102</f>
        <v>#VALUE!</v>
      </c>
      <c r="AF258" s="12" t="e">
        <f>-AF102</f>
        <v>#VALUE!</v>
      </c>
      <c r="AG258" s="12" t="e">
        <f t="shared" si="60"/>
        <v>#VALUE!</v>
      </c>
      <c r="AH258" s="12" t="e">
        <f>-AH102</f>
        <v>#VALUE!</v>
      </c>
      <c r="AI258" s="12" t="e">
        <f>-AI102</f>
        <v>#VALUE!</v>
      </c>
      <c r="AJ258" s="12">
        <f>-AJ102</f>
        <v>0</v>
      </c>
      <c r="AK258" s="12">
        <f>-AK102</f>
        <v>0</v>
      </c>
      <c r="AL258" s="12" t="e">
        <f t="shared" si="61"/>
        <v>#VALUE!</v>
      </c>
      <c r="AM258" s="12">
        <f>-AM102</f>
        <v>0</v>
      </c>
      <c r="AN258" s="12">
        <f>-AN102</f>
        <v>0</v>
      </c>
      <c r="AO258" s="12">
        <f>-AO102</f>
        <v>0</v>
      </c>
      <c r="AP258" s="12">
        <f>-AP102</f>
        <v>0</v>
      </c>
      <c r="AQ258" s="12">
        <f t="shared" si="62"/>
        <v>0</v>
      </c>
      <c r="AR258" s="12">
        <f>-AR102</f>
        <v>0</v>
      </c>
      <c r="AS258" s="12">
        <f>-AS102</f>
        <v>0</v>
      </c>
      <c r="AT258" s="12">
        <f>-AT102</f>
        <v>0</v>
      </c>
      <c r="AU258" s="12">
        <f>-AU102</f>
        <v>0</v>
      </c>
      <c r="AV258" s="12">
        <f t="shared" si="63"/>
        <v>0</v>
      </c>
      <c r="AW258" s="12">
        <f>-AW102</f>
        <v>0</v>
      </c>
      <c r="AX258" s="12">
        <f>-AX102</f>
        <v>0</v>
      </c>
      <c r="AY258" s="12">
        <f>-AY102</f>
        <v>0</v>
      </c>
      <c r="AZ258" s="12">
        <f>-AZ102</f>
        <v>0</v>
      </c>
      <c r="BA258" s="12">
        <f t="shared" si="64"/>
        <v>0</v>
      </c>
      <c r="BB258" s="12">
        <f>-BB102</f>
        <v>0</v>
      </c>
      <c r="BC258" s="12">
        <f>-BC102</f>
        <v>0</v>
      </c>
      <c r="BD258" s="12">
        <f>-BD102</f>
        <v>0</v>
      </c>
      <c r="BE258" s="12">
        <f>-BE102</f>
        <v>0</v>
      </c>
      <c r="BF258" s="12">
        <f t="shared" si="65"/>
        <v>0</v>
      </c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</row>
    <row r="259" spans="3:107" x14ac:dyDescent="0.2">
      <c r="C259" s="14" t="s">
        <v>192</v>
      </c>
      <c r="D259" s="12"/>
      <c r="E259" s="12"/>
      <c r="F259" s="12"/>
      <c r="G259" s="12"/>
      <c r="H259" s="12"/>
      <c r="I259" s="12" t="e">
        <f t="shared" ref="I259:AN259" si="86">SUM(I243,I244,I245,I256,I257,I258)</f>
        <v>#VALUE!</v>
      </c>
      <c r="J259" s="12" t="e">
        <f t="shared" si="86"/>
        <v>#VALUE!</v>
      </c>
      <c r="K259" s="12" t="e">
        <f t="shared" si="86"/>
        <v>#VALUE!</v>
      </c>
      <c r="L259" s="12" t="e">
        <f t="shared" si="86"/>
        <v>#VALUE!</v>
      </c>
      <c r="M259" s="12" t="e">
        <f t="shared" si="86"/>
        <v>#VALUE!</v>
      </c>
      <c r="N259" s="12" t="e">
        <f t="shared" si="86"/>
        <v>#VALUE!</v>
      </c>
      <c r="O259" s="12" t="e">
        <f t="shared" si="86"/>
        <v>#VALUE!</v>
      </c>
      <c r="P259" s="12" t="e">
        <f t="shared" si="86"/>
        <v>#VALUE!</v>
      </c>
      <c r="Q259" s="12" t="e">
        <f t="shared" si="86"/>
        <v>#VALUE!</v>
      </c>
      <c r="R259" s="12" t="e">
        <f t="shared" si="86"/>
        <v>#VALUE!</v>
      </c>
      <c r="S259" s="12" t="e">
        <f t="shared" si="86"/>
        <v>#VALUE!</v>
      </c>
      <c r="T259" s="12" t="e">
        <f t="shared" si="86"/>
        <v>#VALUE!</v>
      </c>
      <c r="U259" s="12" t="e">
        <f t="shared" si="86"/>
        <v>#VALUE!</v>
      </c>
      <c r="V259" s="12" t="e">
        <f t="shared" si="86"/>
        <v>#VALUE!</v>
      </c>
      <c r="W259" s="12" t="e">
        <f t="shared" si="86"/>
        <v>#VALUE!</v>
      </c>
      <c r="X259" s="12" t="e">
        <f t="shared" si="86"/>
        <v>#VALUE!</v>
      </c>
      <c r="Y259" s="12" t="e">
        <f t="shared" si="86"/>
        <v>#VALUE!</v>
      </c>
      <c r="Z259" s="12" t="e">
        <f t="shared" si="86"/>
        <v>#VALUE!</v>
      </c>
      <c r="AA259" s="12" t="e">
        <f t="shared" si="86"/>
        <v>#VALUE!</v>
      </c>
      <c r="AB259" s="12" t="e">
        <f t="shared" si="86"/>
        <v>#VALUE!</v>
      </c>
      <c r="AC259" s="12" t="e">
        <f t="shared" si="86"/>
        <v>#VALUE!</v>
      </c>
      <c r="AD259" s="12" t="e">
        <f t="shared" si="86"/>
        <v>#VALUE!</v>
      </c>
      <c r="AE259" s="12" t="e">
        <f t="shared" si="86"/>
        <v>#VALUE!</v>
      </c>
      <c r="AF259" s="12" t="e">
        <f t="shared" si="86"/>
        <v>#VALUE!</v>
      </c>
      <c r="AG259" s="12" t="e">
        <f t="shared" si="86"/>
        <v>#VALUE!</v>
      </c>
      <c r="AH259" s="12" t="e">
        <f t="shared" si="86"/>
        <v>#VALUE!</v>
      </c>
      <c r="AI259" s="12" t="e">
        <f t="shared" si="86"/>
        <v>#VALUE!</v>
      </c>
      <c r="AJ259" s="12" t="e">
        <f t="shared" si="86"/>
        <v>#VALUE!</v>
      </c>
      <c r="AK259" s="12" t="e">
        <f t="shared" si="86"/>
        <v>#VALUE!</v>
      </c>
      <c r="AL259" s="12" t="e">
        <f t="shared" si="86"/>
        <v>#VALUE!</v>
      </c>
      <c r="AM259" s="12" t="e">
        <f t="shared" si="86"/>
        <v>#VALUE!</v>
      </c>
      <c r="AN259" s="12" t="e">
        <f t="shared" si="86"/>
        <v>#VALUE!</v>
      </c>
      <c r="AO259" s="12" t="e">
        <f t="shared" ref="AO259:BF259" si="87">SUM(AO243,AO244,AO245,AO256,AO257,AO258)</f>
        <v>#VALUE!</v>
      </c>
      <c r="AP259" s="12" t="e">
        <f t="shared" si="87"/>
        <v>#VALUE!</v>
      </c>
      <c r="AQ259" s="12" t="e">
        <f t="shared" si="87"/>
        <v>#VALUE!</v>
      </c>
      <c r="AR259" s="12" t="e">
        <f t="shared" si="87"/>
        <v>#VALUE!</v>
      </c>
      <c r="AS259" s="12" t="e">
        <f t="shared" si="87"/>
        <v>#VALUE!</v>
      </c>
      <c r="AT259" s="12" t="e">
        <f t="shared" si="87"/>
        <v>#VALUE!</v>
      </c>
      <c r="AU259" s="12" t="e">
        <f t="shared" si="87"/>
        <v>#VALUE!</v>
      </c>
      <c r="AV259" s="12" t="e">
        <f t="shared" si="87"/>
        <v>#VALUE!</v>
      </c>
      <c r="AW259" s="12" t="e">
        <f t="shared" si="87"/>
        <v>#VALUE!</v>
      </c>
      <c r="AX259" s="12" t="e">
        <f t="shared" si="87"/>
        <v>#VALUE!</v>
      </c>
      <c r="AY259" s="12" t="e">
        <f t="shared" si="87"/>
        <v>#VALUE!</v>
      </c>
      <c r="AZ259" s="12" t="e">
        <f t="shared" si="87"/>
        <v>#VALUE!</v>
      </c>
      <c r="BA259" s="12" t="e">
        <f t="shared" si="87"/>
        <v>#VALUE!</v>
      </c>
      <c r="BB259" s="12" t="e">
        <f t="shared" si="87"/>
        <v>#VALUE!</v>
      </c>
      <c r="BC259" s="12" t="e">
        <f t="shared" si="87"/>
        <v>#VALUE!</v>
      </c>
      <c r="BD259" s="12" t="e">
        <f t="shared" si="87"/>
        <v>#VALUE!</v>
      </c>
      <c r="BE259" s="12" t="e">
        <f t="shared" si="87"/>
        <v>#VALUE!</v>
      </c>
      <c r="BF259" s="12" t="e">
        <f t="shared" si="87"/>
        <v>#VALUE!</v>
      </c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</row>
    <row r="260" spans="3:107" x14ac:dyDescent="0.2">
      <c r="C260" s="14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</row>
    <row r="261" spans="3:107" x14ac:dyDescent="0.2">
      <c r="C261" s="10" t="s">
        <v>193</v>
      </c>
      <c r="D261" s="12"/>
      <c r="E261" s="12"/>
      <c r="F261" s="12"/>
      <c r="G261" s="12"/>
      <c r="H261" s="12"/>
      <c r="I261" s="12">
        <f t="shared" ref="I261:L262" si="88">-I134</f>
        <v>0</v>
      </c>
      <c r="J261" s="12" t="e">
        <f t="shared" si="88"/>
        <v>#VALUE!</v>
      </c>
      <c r="K261" s="12" t="e">
        <f t="shared" si="88"/>
        <v>#VALUE!</v>
      </c>
      <c r="L261" s="12" t="e">
        <f t="shared" si="88"/>
        <v>#VALUE!</v>
      </c>
      <c r="M261" s="12" t="e">
        <f>SUM(I261:L261)</f>
        <v>#VALUE!</v>
      </c>
      <c r="N261" s="12" t="e">
        <f t="shared" ref="N261:Q262" si="89">-N134</f>
        <v>#VALUE!</v>
      </c>
      <c r="O261" s="12" t="e">
        <f t="shared" si="89"/>
        <v>#VALUE!</v>
      </c>
      <c r="P261" s="12" t="e">
        <f t="shared" si="89"/>
        <v>#VALUE!</v>
      </c>
      <c r="Q261" s="12" t="e">
        <f t="shared" si="89"/>
        <v>#VALUE!</v>
      </c>
      <c r="R261" s="12" t="e">
        <f>SUM(N261:Q261)</f>
        <v>#VALUE!</v>
      </c>
      <c r="S261" s="12" t="e">
        <f t="shared" ref="S261:V262" si="90">-S134</f>
        <v>#VALUE!</v>
      </c>
      <c r="T261" s="12" t="e">
        <f t="shared" si="90"/>
        <v>#VALUE!</v>
      </c>
      <c r="U261" s="12" t="e">
        <f t="shared" si="90"/>
        <v>#VALUE!</v>
      </c>
      <c r="V261" s="12" t="e">
        <f t="shared" si="90"/>
        <v>#VALUE!</v>
      </c>
      <c r="W261" s="12" t="e">
        <f>SUM(S261:V261)</f>
        <v>#VALUE!</v>
      </c>
      <c r="X261" s="12" t="e">
        <f t="shared" ref="X261:AA262" si="91">-X134</f>
        <v>#VALUE!</v>
      </c>
      <c r="Y261" s="12" t="e">
        <f t="shared" si="91"/>
        <v>#VALUE!</v>
      </c>
      <c r="Z261" s="12" t="e">
        <f t="shared" si="91"/>
        <v>#VALUE!</v>
      </c>
      <c r="AA261" s="12" t="e">
        <f t="shared" si="91"/>
        <v>#VALUE!</v>
      </c>
      <c r="AB261" s="12" t="e">
        <f>SUM(X261:AA261)</f>
        <v>#VALUE!</v>
      </c>
      <c r="AC261" s="12" t="e">
        <f t="shared" ref="AC261:AF262" si="92">-AC134</f>
        <v>#VALUE!</v>
      </c>
      <c r="AD261" s="12" t="e">
        <f t="shared" si="92"/>
        <v>#VALUE!</v>
      </c>
      <c r="AE261" s="12" t="e">
        <f t="shared" si="92"/>
        <v>#VALUE!</v>
      </c>
      <c r="AF261" s="12">
        <f t="shared" si="92"/>
        <v>0</v>
      </c>
      <c r="AG261" s="12" t="e">
        <f>SUM(AC261:AF261)</f>
        <v>#VALUE!</v>
      </c>
      <c r="AH261" s="12">
        <f t="shared" ref="AH261:AK262" si="93">-AH134</f>
        <v>0</v>
      </c>
      <c r="AI261" s="12">
        <f t="shared" si="93"/>
        <v>0</v>
      </c>
      <c r="AJ261" s="12" t="e">
        <f t="shared" si="93"/>
        <v>#VALUE!</v>
      </c>
      <c r="AK261" s="12" t="e">
        <f t="shared" si="93"/>
        <v>#VALUE!</v>
      </c>
      <c r="AL261" s="12" t="e">
        <f>SUM(AH261:AK261)</f>
        <v>#VALUE!</v>
      </c>
      <c r="AM261" s="12" t="e">
        <f t="shared" ref="AM261:AP262" si="94">-AM134</f>
        <v>#VALUE!</v>
      </c>
      <c r="AN261" s="12" t="e">
        <f t="shared" si="94"/>
        <v>#VALUE!</v>
      </c>
      <c r="AO261" s="12" t="e">
        <f t="shared" si="94"/>
        <v>#VALUE!</v>
      </c>
      <c r="AP261" s="12" t="e">
        <f t="shared" si="94"/>
        <v>#VALUE!</v>
      </c>
      <c r="AQ261" s="12" t="e">
        <f>SUM(AM261:AP261)</f>
        <v>#VALUE!</v>
      </c>
      <c r="AR261" s="12" t="e">
        <f t="shared" ref="AR261:AU262" si="95">-AR134</f>
        <v>#VALUE!</v>
      </c>
      <c r="AS261" s="12" t="e">
        <f t="shared" si="95"/>
        <v>#VALUE!</v>
      </c>
      <c r="AT261" s="12" t="e">
        <f t="shared" si="95"/>
        <v>#VALUE!</v>
      </c>
      <c r="AU261" s="12" t="e">
        <f t="shared" si="95"/>
        <v>#VALUE!</v>
      </c>
      <c r="AV261" s="12" t="e">
        <f>SUM(AR261:AU261)</f>
        <v>#VALUE!</v>
      </c>
      <c r="AW261" s="12" t="e">
        <f t="shared" ref="AW261:AZ262" si="96">-AW134</f>
        <v>#VALUE!</v>
      </c>
      <c r="AX261" s="12" t="e">
        <f t="shared" si="96"/>
        <v>#VALUE!</v>
      </c>
      <c r="AY261" s="12" t="e">
        <f t="shared" si="96"/>
        <v>#VALUE!</v>
      </c>
      <c r="AZ261" s="12" t="e">
        <f t="shared" si="96"/>
        <v>#VALUE!</v>
      </c>
      <c r="BA261" s="12" t="e">
        <f>SUM(AW261:AZ261)</f>
        <v>#VALUE!</v>
      </c>
      <c r="BB261" s="12" t="e">
        <f t="shared" ref="BB261:BE262" si="97">-BB134</f>
        <v>#VALUE!</v>
      </c>
      <c r="BC261" s="12" t="e">
        <f t="shared" si="97"/>
        <v>#VALUE!</v>
      </c>
      <c r="BD261" s="12" t="e">
        <f t="shared" si="97"/>
        <v>#VALUE!</v>
      </c>
      <c r="BE261" s="12" t="e">
        <f t="shared" si="97"/>
        <v>#VALUE!</v>
      </c>
      <c r="BF261" s="12" t="e">
        <f>SUM(BB261:BE261)</f>
        <v>#VALUE!</v>
      </c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</row>
    <row r="262" spans="3:107" x14ac:dyDescent="0.2">
      <c r="C262" s="10" t="s">
        <v>194</v>
      </c>
      <c r="D262" s="12"/>
      <c r="E262" s="12"/>
      <c r="F262" s="12"/>
      <c r="G262" s="12"/>
      <c r="H262" s="12"/>
      <c r="I262" s="12">
        <f t="shared" si="88"/>
        <v>0</v>
      </c>
      <c r="J262" s="12">
        <f t="shared" si="88"/>
        <v>0</v>
      </c>
      <c r="K262" s="12">
        <f t="shared" si="88"/>
        <v>0</v>
      </c>
      <c r="L262" s="12">
        <f t="shared" si="88"/>
        <v>0</v>
      </c>
      <c r="M262" s="12">
        <f>SUM(I262:L262)</f>
        <v>0</v>
      </c>
      <c r="N262" s="12">
        <f t="shared" si="89"/>
        <v>0</v>
      </c>
      <c r="O262" s="12">
        <f t="shared" si="89"/>
        <v>0</v>
      </c>
      <c r="P262" s="12">
        <f t="shared" si="89"/>
        <v>0</v>
      </c>
      <c r="Q262" s="12">
        <f t="shared" si="89"/>
        <v>0</v>
      </c>
      <c r="R262" s="12">
        <f>SUM(N262:Q262)</f>
        <v>0</v>
      </c>
      <c r="S262" s="12">
        <f t="shared" si="90"/>
        <v>0</v>
      </c>
      <c r="T262" s="12">
        <f t="shared" si="90"/>
        <v>0</v>
      </c>
      <c r="U262" s="12">
        <f t="shared" si="90"/>
        <v>0</v>
      </c>
      <c r="V262" s="12">
        <f t="shared" si="90"/>
        <v>0</v>
      </c>
      <c r="W262" s="12">
        <f>SUM(S262:V262)</f>
        <v>0</v>
      </c>
      <c r="X262" s="12">
        <f t="shared" si="91"/>
        <v>0</v>
      </c>
      <c r="Y262" s="12">
        <f t="shared" si="91"/>
        <v>0</v>
      </c>
      <c r="Z262" s="12">
        <f t="shared" si="91"/>
        <v>0</v>
      </c>
      <c r="AA262" s="12">
        <f t="shared" si="91"/>
        <v>0</v>
      </c>
      <c r="AB262" s="12">
        <f>SUM(X262:AA262)</f>
        <v>0</v>
      </c>
      <c r="AC262" s="12">
        <f t="shared" si="92"/>
        <v>0</v>
      </c>
      <c r="AD262" s="12">
        <f t="shared" si="92"/>
        <v>0</v>
      </c>
      <c r="AE262" s="12">
        <f t="shared" si="92"/>
        <v>0</v>
      </c>
      <c r="AF262" s="12">
        <f t="shared" si="92"/>
        <v>0</v>
      </c>
      <c r="AG262" s="12">
        <f>SUM(AC262:AF262)</f>
        <v>0</v>
      </c>
      <c r="AH262" s="12">
        <f t="shared" si="93"/>
        <v>0</v>
      </c>
      <c r="AI262" s="12">
        <f t="shared" si="93"/>
        <v>0</v>
      </c>
      <c r="AJ262" s="12">
        <f t="shared" si="93"/>
        <v>0</v>
      </c>
      <c r="AK262" s="12">
        <f t="shared" si="93"/>
        <v>0</v>
      </c>
      <c r="AL262" s="12">
        <f>SUM(AH262:AK262)</f>
        <v>0</v>
      </c>
      <c r="AM262" s="12">
        <f t="shared" si="94"/>
        <v>0</v>
      </c>
      <c r="AN262" s="12">
        <f t="shared" si="94"/>
        <v>0</v>
      </c>
      <c r="AO262" s="12">
        <f t="shared" si="94"/>
        <v>0</v>
      </c>
      <c r="AP262" s="12">
        <f t="shared" si="94"/>
        <v>0</v>
      </c>
      <c r="AQ262" s="12">
        <f>SUM(AM262:AP262)</f>
        <v>0</v>
      </c>
      <c r="AR262" s="12">
        <f t="shared" si="95"/>
        <v>0</v>
      </c>
      <c r="AS262" s="12">
        <f t="shared" si="95"/>
        <v>0</v>
      </c>
      <c r="AT262" s="12">
        <f t="shared" si="95"/>
        <v>0</v>
      </c>
      <c r="AU262" s="12">
        <f t="shared" si="95"/>
        <v>0</v>
      </c>
      <c r="AV262" s="12">
        <f>SUM(AR262:AU262)</f>
        <v>0</v>
      </c>
      <c r="AW262" s="12">
        <f t="shared" si="96"/>
        <v>0</v>
      </c>
      <c r="AX262" s="12">
        <f t="shared" si="96"/>
        <v>0</v>
      </c>
      <c r="AY262" s="12">
        <f t="shared" si="96"/>
        <v>0</v>
      </c>
      <c r="AZ262" s="12">
        <f t="shared" si="96"/>
        <v>0</v>
      </c>
      <c r="BA262" s="12">
        <f>SUM(AW262:AZ262)</f>
        <v>0</v>
      </c>
      <c r="BB262" s="12">
        <f t="shared" si="97"/>
        <v>0</v>
      </c>
      <c r="BC262" s="12">
        <f t="shared" si="97"/>
        <v>0</v>
      </c>
      <c r="BD262" s="12">
        <f t="shared" si="97"/>
        <v>0</v>
      </c>
      <c r="BE262" s="12">
        <f t="shared" si="97"/>
        <v>0</v>
      </c>
      <c r="BF262" s="12">
        <f>SUM(BB262:BE262)</f>
        <v>0</v>
      </c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</row>
    <row r="263" spans="3:107" x14ac:dyDescent="0.2">
      <c r="C263" s="10" t="s">
        <v>195</v>
      </c>
      <c r="D263" s="12"/>
      <c r="E263" s="12"/>
      <c r="F263" s="12"/>
      <c r="G263" s="12"/>
      <c r="H263" s="12"/>
      <c r="I263" s="12" t="e">
        <f>(I142-H142)*-1</f>
        <v>#VALUE!</v>
      </c>
      <c r="J263" s="12" t="e">
        <f>(J142-I142)*-1</f>
        <v>#VALUE!</v>
      </c>
      <c r="K263" s="12" t="e">
        <f>(K142-J142)*-1</f>
        <v>#VALUE!</v>
      </c>
      <c r="L263" s="12" t="e">
        <f>(L142-K142)*-1</f>
        <v>#VALUE!</v>
      </c>
      <c r="M263" s="12" t="e">
        <f>SUM(I263:L263)</f>
        <v>#VALUE!</v>
      </c>
      <c r="N263" s="12" t="e">
        <f>(N142-M142)*-1</f>
        <v>#VALUE!</v>
      </c>
      <c r="O263" s="12" t="e">
        <f>(O142-N142)*-1</f>
        <v>#VALUE!</v>
      </c>
      <c r="P263" s="12" t="e">
        <f>(P142-O142)*-1</f>
        <v>#VALUE!</v>
      </c>
      <c r="Q263" s="12" t="e">
        <f>(Q142-P142)*-1</f>
        <v>#VALUE!</v>
      </c>
      <c r="R263" s="12" t="e">
        <f>SUM(N263:Q263)</f>
        <v>#VALUE!</v>
      </c>
      <c r="S263" s="12" t="e">
        <f>(S142-R142)*-1</f>
        <v>#VALUE!</v>
      </c>
      <c r="T263" s="12" t="e">
        <f>(T142-S142)*-1</f>
        <v>#VALUE!</v>
      </c>
      <c r="U263" s="12" t="e">
        <f>(U142-T142)*-1</f>
        <v>#VALUE!</v>
      </c>
      <c r="V263" s="12" t="e">
        <f>(V142-U142)*-1</f>
        <v>#VALUE!</v>
      </c>
      <c r="W263" s="12" t="e">
        <f>SUM(S263:V263)</f>
        <v>#VALUE!</v>
      </c>
      <c r="X263" s="12" t="e">
        <f>(X142-W142)*-1</f>
        <v>#VALUE!</v>
      </c>
      <c r="Y263" s="12" t="e">
        <f>(Y142-X142)*-1</f>
        <v>#VALUE!</v>
      </c>
      <c r="Z263" s="12" t="e">
        <f>(Z142-Y142)*-1</f>
        <v>#VALUE!</v>
      </c>
      <c r="AA263" s="12" t="e">
        <f>(AA142-Z142)*-1</f>
        <v>#VALUE!</v>
      </c>
      <c r="AB263" s="12" t="e">
        <f>SUM(X263:AA263)</f>
        <v>#VALUE!</v>
      </c>
      <c r="AC263" s="12" t="e">
        <f>(AC142-AB142)*-1</f>
        <v>#VALUE!</v>
      </c>
      <c r="AD263" s="12" t="e">
        <f>(AD142-AC142)*-1</f>
        <v>#VALUE!</v>
      </c>
      <c r="AE263" s="12" t="e">
        <f>(AE142-AD142)*-1</f>
        <v>#VALUE!</v>
      </c>
      <c r="AF263" s="12" t="e">
        <f>(AF142-AE142)*-1</f>
        <v>#VALUE!</v>
      </c>
      <c r="AG263" s="12" t="e">
        <f>SUM(AC263:AF263)</f>
        <v>#VALUE!</v>
      </c>
      <c r="AH263" s="12" t="e">
        <f>(AH142-AG142)*-1</f>
        <v>#VALUE!</v>
      </c>
      <c r="AI263" s="12" t="e">
        <f>(AI142-AH142)*-1</f>
        <v>#VALUE!</v>
      </c>
      <c r="AJ263" s="12" t="e">
        <f>(AJ142-AI142)*-1</f>
        <v>#VALUE!</v>
      </c>
      <c r="AK263" s="12" t="e">
        <f>(AK142-AJ142)*-1</f>
        <v>#VALUE!</v>
      </c>
      <c r="AL263" s="12" t="e">
        <f>SUM(AH263:AK263)</f>
        <v>#VALUE!</v>
      </c>
      <c r="AM263" s="12" t="e">
        <f>(AM142-AL142)*-1</f>
        <v>#VALUE!</v>
      </c>
      <c r="AN263" s="12" t="e">
        <f>(AN142-AM142)*-1</f>
        <v>#VALUE!</v>
      </c>
      <c r="AO263" s="12" t="e">
        <f>(AO142-AN142)*-1</f>
        <v>#VALUE!</v>
      </c>
      <c r="AP263" s="12" t="e">
        <f>(AP142-AO142)*-1</f>
        <v>#VALUE!</v>
      </c>
      <c r="AQ263" s="12" t="e">
        <f>SUM(AM263:AP263)</f>
        <v>#VALUE!</v>
      </c>
      <c r="AR263" s="12" t="e">
        <f>(AR142-AQ142)*-1</f>
        <v>#VALUE!</v>
      </c>
      <c r="AS263" s="12" t="e">
        <f>(AS142-AR142)*-1</f>
        <v>#VALUE!</v>
      </c>
      <c r="AT263" s="12" t="e">
        <f>(AT142-AS142)*-1</f>
        <v>#VALUE!</v>
      </c>
      <c r="AU263" s="12" t="e">
        <f>(AU142-AT142)*-1</f>
        <v>#VALUE!</v>
      </c>
      <c r="AV263" s="12" t="e">
        <f>SUM(AR263:AU263)</f>
        <v>#VALUE!</v>
      </c>
      <c r="AW263" s="12" t="e">
        <f>(AW142-AV142)*-1</f>
        <v>#VALUE!</v>
      </c>
      <c r="AX263" s="12" t="e">
        <f>(AX142-AW142)*-1</f>
        <v>#VALUE!</v>
      </c>
      <c r="AY263" s="12" t="e">
        <f>(AY142-AX142)*-1</f>
        <v>#VALUE!</v>
      </c>
      <c r="AZ263" s="12" t="e">
        <f>(AZ142-AY142)*-1</f>
        <v>#VALUE!</v>
      </c>
      <c r="BA263" s="12" t="e">
        <f>SUM(AW263:AZ263)</f>
        <v>#VALUE!</v>
      </c>
      <c r="BB263" s="12" t="e">
        <f>(BB142-BA142)*-1</f>
        <v>#VALUE!</v>
      </c>
      <c r="BC263" s="12" t="e">
        <f>(BC142-BB142)*-1</f>
        <v>#VALUE!</v>
      </c>
      <c r="BD263" s="12" t="e">
        <f>(BD142-BC142)*-1</f>
        <v>#VALUE!</v>
      </c>
      <c r="BE263" s="12" t="e">
        <f>(BE142-BD142)*-1</f>
        <v>#VALUE!</v>
      </c>
      <c r="BF263" s="12" t="e">
        <f>SUM(BB263:BE263)</f>
        <v>#VALUE!</v>
      </c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</row>
    <row r="264" spans="3:107" x14ac:dyDescent="0.2">
      <c r="C264" s="10" t="s">
        <v>196</v>
      </c>
      <c r="D264" s="12"/>
      <c r="E264" s="12"/>
      <c r="F264" s="12"/>
      <c r="G264" s="12"/>
      <c r="H264" s="12"/>
      <c r="I264" s="12" t="e">
        <f>((I146-H146)*-1)+((I145-H145)*-1)</f>
        <v>#VALUE!</v>
      </c>
      <c r="J264" s="12" t="e">
        <f>((J146-I146)*-1)+((J145-I145)*-1)</f>
        <v>#VALUE!</v>
      </c>
      <c r="K264" s="12" t="e">
        <f>((K146-J146)*-1)+((K145-J145)*-1)</f>
        <v>#VALUE!</v>
      </c>
      <c r="L264" s="12" t="e">
        <f>((L146-K146)*-1)+((L145-K145)*-1)</f>
        <v>#VALUE!</v>
      </c>
      <c r="M264" s="12" t="e">
        <f>SUM(I264:L264)</f>
        <v>#VALUE!</v>
      </c>
      <c r="N264" s="12" t="e">
        <f>((N146-M146)*-1)+((N145-M145)*-1)</f>
        <v>#VALUE!</v>
      </c>
      <c r="O264" s="12" t="e">
        <f>((O146-N146)*-1)+((O145-N145)*-1)</f>
        <v>#VALUE!</v>
      </c>
      <c r="P264" s="12" t="e">
        <f>((P146-O146)*-1)+((P145-O145)*-1)</f>
        <v>#VALUE!</v>
      </c>
      <c r="Q264" s="12" t="e">
        <f>((Q146-P146)*-1)+((Q145-P145)*-1)</f>
        <v>#VALUE!</v>
      </c>
      <c r="R264" s="12" t="e">
        <f>SUM(N264:Q264)</f>
        <v>#VALUE!</v>
      </c>
      <c r="S264" s="12" t="e">
        <f>((S146-R146)*-1)+((S145-R145)*-1)</f>
        <v>#VALUE!</v>
      </c>
      <c r="T264" s="12" t="e">
        <f>((T146-S146)*-1)+((T145-S145)*-1)</f>
        <v>#VALUE!</v>
      </c>
      <c r="U264" s="12" t="e">
        <f>((U146-T146)*-1)+((U145-T145)*-1)</f>
        <v>#VALUE!</v>
      </c>
      <c r="V264" s="12" t="e">
        <f>((V146-U146)*-1)+((V145-U145)*-1)</f>
        <v>#VALUE!</v>
      </c>
      <c r="W264" s="12" t="e">
        <f>SUM(S264:V264)</f>
        <v>#VALUE!</v>
      </c>
      <c r="X264" s="12" t="e">
        <f>((X146-W146)*-1)+((X145-W145)*-1)</f>
        <v>#VALUE!</v>
      </c>
      <c r="Y264" s="12" t="e">
        <f>((Y146-X146)*-1)+((Y145-X145)*-1)</f>
        <v>#VALUE!</v>
      </c>
      <c r="Z264" s="12" t="e">
        <f>((Z146-Y146)*-1)+((Z145-Y145)*-1)</f>
        <v>#VALUE!</v>
      </c>
      <c r="AA264" s="12" t="e">
        <f>((AA146-Z146)*-1)+((AA145-Z145)*-1)</f>
        <v>#VALUE!</v>
      </c>
      <c r="AB264" s="12" t="e">
        <f>SUM(X264:AA264)</f>
        <v>#VALUE!</v>
      </c>
      <c r="AC264" s="12" t="e">
        <f>((AC146-AB146)*-1)+((AC145-AB145)*-1)</f>
        <v>#VALUE!</v>
      </c>
      <c r="AD264" s="12" t="e">
        <f>((AD146-AC146)*-1)+((AD145-AC145)*-1)</f>
        <v>#VALUE!</v>
      </c>
      <c r="AE264" s="12" t="e">
        <f>((AE146-AD146)*-1)+((AE145-AD145)*-1)</f>
        <v>#VALUE!</v>
      </c>
      <c r="AF264" s="12" t="e">
        <f>((AF146-AE146)*-1)+((AF145-AE145)*-1)</f>
        <v>#VALUE!</v>
      </c>
      <c r="AG264" s="12" t="e">
        <f>SUM(AC264:AF264)</f>
        <v>#VALUE!</v>
      </c>
      <c r="AH264" s="12" t="e">
        <f>((AH146-AG146)*-1)+((AH145-AG145)*-1)</f>
        <v>#VALUE!</v>
      </c>
      <c r="AI264" s="12" t="e">
        <f>((AI146-AH146)*-1)+((AI145-AH145)*-1)</f>
        <v>#VALUE!</v>
      </c>
      <c r="AJ264" s="12" t="e">
        <f>((AJ146-AI146)*-1)+((AJ145-AI145)*-1)</f>
        <v>#VALUE!</v>
      </c>
      <c r="AK264" s="12" t="e">
        <f>((AK146-AJ146)*-1)+((AK145-AJ145)*-1)</f>
        <v>#VALUE!</v>
      </c>
      <c r="AL264" s="12" t="e">
        <f>SUM(AH264:AK264)</f>
        <v>#VALUE!</v>
      </c>
      <c r="AM264" s="12" t="e">
        <f>((AM146-AL146)*-1)+((AM145-AL145)*-1)</f>
        <v>#VALUE!</v>
      </c>
      <c r="AN264" s="12" t="e">
        <f>((AN146-AM146)*-1)+((AN145-AM145)*-1)</f>
        <v>#VALUE!</v>
      </c>
      <c r="AO264" s="12" t="e">
        <f>((AO146-AN146)*-1)+((AO145-AN145)*-1)</f>
        <v>#VALUE!</v>
      </c>
      <c r="AP264" s="12" t="e">
        <f>((AP146-AO146)*-1)+((AP145-AO145)*-1)</f>
        <v>#VALUE!</v>
      </c>
      <c r="AQ264" s="12" t="e">
        <f>SUM(AM264:AP264)</f>
        <v>#VALUE!</v>
      </c>
      <c r="AR264" s="12" t="e">
        <f>((AR146-AQ146)*-1)+((AR145-AQ145)*-1)</f>
        <v>#VALUE!</v>
      </c>
      <c r="AS264" s="12" t="e">
        <f>((AS146-AR146)*-1)+((AS145-AR145)*-1)</f>
        <v>#VALUE!</v>
      </c>
      <c r="AT264" s="12" t="e">
        <f>((AT146-AS146)*-1)+((AT145-AS145)*-1)</f>
        <v>#VALUE!</v>
      </c>
      <c r="AU264" s="12" t="e">
        <f>((AU146-AT146)*-1)+((AU145-AT145)*-1)</f>
        <v>#VALUE!</v>
      </c>
      <c r="AV264" s="12" t="e">
        <f>SUM(AR264:AU264)</f>
        <v>#VALUE!</v>
      </c>
      <c r="AW264" s="12" t="e">
        <f>((AW146-AV146)*-1)+((AW145-AV145)*-1)</f>
        <v>#VALUE!</v>
      </c>
      <c r="AX264" s="12" t="e">
        <f>((AX146-AW146)*-1)+((AX145-AW145)*-1)</f>
        <v>#VALUE!</v>
      </c>
      <c r="AY264" s="12" t="e">
        <f>((AY146-AX146)*-1)+((AY145-AX145)*-1)</f>
        <v>#VALUE!</v>
      </c>
      <c r="AZ264" s="12" t="e">
        <f>((AZ146-AY146)*-1)+((AZ145-AY145)*-1)</f>
        <v>#VALUE!</v>
      </c>
      <c r="BA264" s="12" t="e">
        <f>SUM(AW264:AZ264)</f>
        <v>#VALUE!</v>
      </c>
      <c r="BB264" s="12" t="e">
        <f>((BB146-BA146)*-1)+((BB145-BA145)*-1)</f>
        <v>#VALUE!</v>
      </c>
      <c r="BC264" s="12" t="e">
        <f>((BC146-BB146)*-1)+((BC145-BB145)*-1)</f>
        <v>#VALUE!</v>
      </c>
      <c r="BD264" s="12" t="e">
        <f>((BD146-BC146)*-1)+((BD145-BC145)*-1)</f>
        <v>#VALUE!</v>
      </c>
      <c r="BE264" s="12" t="e">
        <f>((BE146-BD146)*-1)+((BE145-BD145)*-1)</f>
        <v>#VALUE!</v>
      </c>
      <c r="BF264" s="12" t="e">
        <f>SUM(BB264:BE264)</f>
        <v>#VALUE!</v>
      </c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</row>
    <row r="265" spans="3:107" x14ac:dyDescent="0.2">
      <c r="C265" s="71" t="s">
        <v>197</v>
      </c>
      <c r="D265" s="12"/>
      <c r="E265" s="12"/>
      <c r="F265" s="12"/>
      <c r="G265" s="12"/>
      <c r="H265" s="12"/>
      <c r="I265" s="12" t="e">
        <f>((I155-H155)*-1)+(I206-H206)</f>
        <v>#VALUE!</v>
      </c>
      <c r="J265" s="12" t="e">
        <f>((J155-I155)*-1)+(J206-I206)</f>
        <v>#VALUE!</v>
      </c>
      <c r="K265" s="12" t="e">
        <f>((K155-J155)*-1)+(K206-J206)</f>
        <v>#VALUE!</v>
      </c>
      <c r="L265" s="12" t="e">
        <f>((L155-K155)*-1)+(L206-K206)</f>
        <v>#VALUE!</v>
      </c>
      <c r="M265" s="12" t="e">
        <f>SUM(I265:L265)</f>
        <v>#VALUE!</v>
      </c>
      <c r="N265" s="12" t="e">
        <f>((N155-M155)*-1)+(N206-M206)</f>
        <v>#VALUE!</v>
      </c>
      <c r="O265" s="12" t="e">
        <f>((O155-N155)*-1)+(O206-N206)</f>
        <v>#VALUE!</v>
      </c>
      <c r="P265" s="12" t="e">
        <f>((P155-O155)*-1)+(P206-O206)</f>
        <v>#VALUE!</v>
      </c>
      <c r="Q265" s="12" t="e">
        <f>((Q155-P155)*-1)+(Q206-P206)</f>
        <v>#VALUE!</v>
      </c>
      <c r="R265" s="12" t="e">
        <f>SUM(N265:Q265)</f>
        <v>#VALUE!</v>
      </c>
      <c r="S265" s="12" t="e">
        <f>((S155-R155)*-1)+(S206-R206)</f>
        <v>#VALUE!</v>
      </c>
      <c r="T265" s="12" t="e">
        <f>((T155-S155)*-1)+(T206-S206)</f>
        <v>#VALUE!</v>
      </c>
      <c r="U265" s="12" t="e">
        <f>((U155-T155)*-1)+(U206-T206)</f>
        <v>#VALUE!</v>
      </c>
      <c r="V265" s="12" t="e">
        <f>((V155-U155)*-1)+(V206-U206)</f>
        <v>#VALUE!</v>
      </c>
      <c r="W265" s="12" t="e">
        <f>SUM(S265:V265)</f>
        <v>#VALUE!</v>
      </c>
      <c r="X265" s="12" t="e">
        <f>((X155-W155)*-1)+(X206-W206)</f>
        <v>#VALUE!</v>
      </c>
      <c r="Y265" s="12" t="e">
        <f>((Y155-X155)*-1)+(Y206-X206)</f>
        <v>#VALUE!</v>
      </c>
      <c r="Z265" s="12" t="e">
        <f>((Z155-Y155)*-1)+(Z206-Y206)</f>
        <v>#VALUE!</v>
      </c>
      <c r="AA265" s="12" t="e">
        <f>((AA155-Z155)*-1)+(AA206-Z206)</f>
        <v>#VALUE!</v>
      </c>
      <c r="AB265" s="12" t="e">
        <f>SUM(X265:AA265)</f>
        <v>#VALUE!</v>
      </c>
      <c r="AC265" s="12" t="e">
        <f>((AC155-AB155)*-1)+(AC206-AB206)</f>
        <v>#VALUE!</v>
      </c>
      <c r="AD265" s="12" t="e">
        <f>((AD155-AC155)*-1)+(AD206-AC206)</f>
        <v>#VALUE!</v>
      </c>
      <c r="AE265" s="12" t="e">
        <f>((AE155-AD155)*-1)+(AE206-AD206)</f>
        <v>#VALUE!</v>
      </c>
      <c r="AF265" s="12" t="e">
        <f>((AF155-AE155)*-1)+(AF206-AE206)</f>
        <v>#VALUE!</v>
      </c>
      <c r="AG265" s="12" t="e">
        <f>SUM(AC265:AF265)</f>
        <v>#VALUE!</v>
      </c>
      <c r="AH265" s="12" t="e">
        <f>((AH155-AG155)*-1)+(AH206-AG206)</f>
        <v>#VALUE!</v>
      </c>
      <c r="AI265" s="12" t="e">
        <f>((AI155-AH155)*-1)+(AI206-AH206)</f>
        <v>#VALUE!</v>
      </c>
      <c r="AJ265" s="12" t="e">
        <f>((AJ155-AI155)*-1)+(AJ206-AI206)</f>
        <v>#VALUE!</v>
      </c>
      <c r="AK265" s="12" t="e">
        <f>((AK155-AJ155)*-1)+(AK206-AJ206)</f>
        <v>#VALUE!</v>
      </c>
      <c r="AL265" s="12" t="e">
        <f>SUM(AH265:AK265)</f>
        <v>#VALUE!</v>
      </c>
      <c r="AM265" s="12" t="e">
        <f>((AM155-AL155)*-1)+(AM206-AL206)</f>
        <v>#VALUE!</v>
      </c>
      <c r="AN265" s="12" t="e">
        <f>((AN155-AM155)*-1)+(AN206-AM206)</f>
        <v>#VALUE!</v>
      </c>
      <c r="AO265" s="12" t="e">
        <f>((AO155-AN155)*-1)+(AO206-AN206)</f>
        <v>#VALUE!</v>
      </c>
      <c r="AP265" s="12" t="e">
        <f>((AP155-AO155)*-1)+(AP206-AO206)</f>
        <v>#VALUE!</v>
      </c>
      <c r="AQ265" s="12" t="e">
        <f>SUM(AM265:AP265)</f>
        <v>#VALUE!</v>
      </c>
      <c r="AR265" s="12" t="e">
        <f>((AR155-AQ155)*-1)+(AR206-AQ206)</f>
        <v>#VALUE!</v>
      </c>
      <c r="AS265" s="12" t="e">
        <f>((AS155-AR155)*-1)+(AS206-AR206)</f>
        <v>#VALUE!</v>
      </c>
      <c r="AT265" s="12" t="e">
        <f>((AT155-AS155)*-1)+(AT206-AS206)</f>
        <v>#VALUE!</v>
      </c>
      <c r="AU265" s="12" t="e">
        <f>((AU155-AT155)*-1)+(AU206-AT206)</f>
        <v>#VALUE!</v>
      </c>
      <c r="AV265" s="12" t="e">
        <f>SUM(AR265:AU265)</f>
        <v>#VALUE!</v>
      </c>
      <c r="AW265" s="12" t="e">
        <f>((AW155-AV155)*-1)+(AW206-AV206)</f>
        <v>#VALUE!</v>
      </c>
      <c r="AX265" s="12" t="e">
        <f>((AX155-AW155)*-1)+(AX206-AW206)</f>
        <v>#VALUE!</v>
      </c>
      <c r="AY265" s="12" t="e">
        <f>((AY155-AX155)*-1)+(AY206-AX206)</f>
        <v>#VALUE!</v>
      </c>
      <c r="AZ265" s="12" t="e">
        <f>((AZ155-AY155)*-1)+(AZ206-AY206)</f>
        <v>#VALUE!</v>
      </c>
      <c r="BA265" s="12" t="e">
        <f>SUM(AW265:AZ265)</f>
        <v>#VALUE!</v>
      </c>
      <c r="BB265" s="12" t="e">
        <f>((BB155-BA155)*-1)+(BB206-BA206)</f>
        <v>#VALUE!</v>
      </c>
      <c r="BC265" s="12" t="e">
        <f>((BC155-BB155)*-1)+(BC206-BB206)</f>
        <v>#VALUE!</v>
      </c>
      <c r="BD265" s="12" t="e">
        <f>((BD155-BC155)*-1)+(BD206-BC206)</f>
        <v>#VALUE!</v>
      </c>
      <c r="BE265" s="12" t="e">
        <f>((BE155-BD155)*-1)+(BE206-BD206)</f>
        <v>#VALUE!</v>
      </c>
      <c r="BF265" s="12" t="e">
        <f>SUM(BB265:BE265)</f>
        <v>#VALUE!</v>
      </c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</row>
    <row r="266" spans="3:107" x14ac:dyDescent="0.2">
      <c r="C266" s="14" t="s">
        <v>198</v>
      </c>
      <c r="D266" s="12"/>
      <c r="E266" s="12"/>
      <c r="F266" s="12"/>
      <c r="G266" s="12"/>
      <c r="H266" s="12"/>
      <c r="I266" s="12" t="e">
        <f>SUM(I261,I262,I264,I265,I263)</f>
        <v>#VALUE!</v>
      </c>
      <c r="J266" s="12" t="e">
        <f>SUM(J261,J262,J264,J265,J263)</f>
        <v>#VALUE!</v>
      </c>
      <c r="K266" s="12" t="e">
        <f>SUM(K261,K262,K264,K265,K263)</f>
        <v>#VALUE!</v>
      </c>
      <c r="L266" s="12" t="e">
        <f>SUM(L261,L262,L264,L265,L263)</f>
        <v>#VALUE!</v>
      </c>
      <c r="M266" s="12" t="e">
        <f>SUM(M261,M262,M264,M265)</f>
        <v>#VALUE!</v>
      </c>
      <c r="N266" s="12" t="e">
        <f>SUM(N261,N262,N264,N265,N263)</f>
        <v>#VALUE!</v>
      </c>
      <c r="O266" s="12" t="e">
        <f>SUM(O261,O262,O264,O265,O263)</f>
        <v>#VALUE!</v>
      </c>
      <c r="P266" s="12" t="e">
        <f>SUM(P261,P262,P264,P265,P263)</f>
        <v>#VALUE!</v>
      </c>
      <c r="Q266" s="12" t="e">
        <f>SUM(Q261,Q262,Q264,Q265,Q263)</f>
        <v>#VALUE!</v>
      </c>
      <c r="R266" s="12" t="e">
        <f>SUM(R261,R262,R264,R265)</f>
        <v>#VALUE!</v>
      </c>
      <c r="S266" s="12" t="e">
        <f>SUM(S261,S262,S264,S265,S263)</f>
        <v>#VALUE!</v>
      </c>
      <c r="T266" s="12" t="e">
        <f>SUM(T261,T262,T264,T265,T263)</f>
        <v>#VALUE!</v>
      </c>
      <c r="U266" s="12" t="e">
        <f>SUM(U261,U262,U264,U265,U263)</f>
        <v>#VALUE!</v>
      </c>
      <c r="V266" s="12" t="e">
        <f>SUM(V261,V262,V264,V265,V263)</f>
        <v>#VALUE!</v>
      </c>
      <c r="W266" s="12" t="e">
        <f>SUM(W261,W262,W264,W265)</f>
        <v>#VALUE!</v>
      </c>
      <c r="X266" s="12" t="e">
        <f>SUM(X261,X262,X264,X265,X263)</f>
        <v>#VALUE!</v>
      </c>
      <c r="Y266" s="12" t="e">
        <f>SUM(Y261,Y262,Y264,Y265,Y263)</f>
        <v>#VALUE!</v>
      </c>
      <c r="Z266" s="12" t="e">
        <f>SUM(Z261,Z262,Z264,Z265,Z263)</f>
        <v>#VALUE!</v>
      </c>
      <c r="AA266" s="12" t="e">
        <f>SUM(AA261,AA262,AA264,AA265,AA263)</f>
        <v>#VALUE!</v>
      </c>
      <c r="AB266" s="12" t="e">
        <f>SUM(AB261,AB262,AB264,AB265)</f>
        <v>#VALUE!</v>
      </c>
      <c r="AC266" s="12" t="e">
        <f>SUM(AC261,AC262,AC264,AC265,AC263)</f>
        <v>#VALUE!</v>
      </c>
      <c r="AD266" s="12" t="e">
        <f>SUM(AD261,AD262,AD264,AD265,AD263)</f>
        <v>#VALUE!</v>
      </c>
      <c r="AE266" s="12" t="e">
        <f>SUM(AE261,AE262,AE264,AE265,AE263)</f>
        <v>#VALUE!</v>
      </c>
      <c r="AF266" s="12" t="e">
        <f>SUM(AF261,AF262,AF264,AF265,AF263)</f>
        <v>#VALUE!</v>
      </c>
      <c r="AG266" s="12" t="e">
        <f>SUM(AG261,AG262,AG264,AG265)</f>
        <v>#VALUE!</v>
      </c>
      <c r="AH266" s="12" t="e">
        <f>SUM(AH261,AH262,AH264,AH265,AH263)</f>
        <v>#VALUE!</v>
      </c>
      <c r="AI266" s="12" t="e">
        <f>SUM(AI261,AI262,AI264,AI265,AI263)</f>
        <v>#VALUE!</v>
      </c>
      <c r="AJ266" s="12" t="e">
        <f>SUM(AJ261,AJ262,AJ264,AJ265,AJ263)</f>
        <v>#VALUE!</v>
      </c>
      <c r="AK266" s="12" t="e">
        <f>SUM(AK261,AK262,AK264,AK265,AK263)</f>
        <v>#VALUE!</v>
      </c>
      <c r="AL266" s="12" t="e">
        <f>SUM(AL261,AL262,AL264,AL265)</f>
        <v>#VALUE!</v>
      </c>
      <c r="AM266" s="12" t="e">
        <f>SUM(AM261,AM262,AM264,AM265,AM263)</f>
        <v>#VALUE!</v>
      </c>
      <c r="AN266" s="12" t="e">
        <f>SUM(AN261,AN262,AN264,AN265,AN263)</f>
        <v>#VALUE!</v>
      </c>
      <c r="AO266" s="12" t="e">
        <f>SUM(AO261,AO262,AO264,AO265,AO263)</f>
        <v>#VALUE!</v>
      </c>
      <c r="AP266" s="12" t="e">
        <f>SUM(AP261,AP262,AP264,AP265,AP263)</f>
        <v>#VALUE!</v>
      </c>
      <c r="AQ266" s="12" t="e">
        <f>SUM(AQ261,AQ262,AQ264,AQ265)</f>
        <v>#VALUE!</v>
      </c>
      <c r="AR266" s="12" t="e">
        <f>SUM(AR261,AR262,AR264,AR265,AR263)</f>
        <v>#VALUE!</v>
      </c>
      <c r="AS266" s="12" t="e">
        <f>SUM(AS261,AS262,AS264,AS265,AS263)</f>
        <v>#VALUE!</v>
      </c>
      <c r="AT266" s="12" t="e">
        <f>SUM(AT261,AT262,AT264,AT265,AT263)</f>
        <v>#VALUE!</v>
      </c>
      <c r="AU266" s="12" t="e">
        <f>SUM(AU261,AU262,AU264,AU265,AU263)</f>
        <v>#VALUE!</v>
      </c>
      <c r="AV266" s="12" t="e">
        <f>SUM(AV261,AV262,AV264,AV265)</f>
        <v>#VALUE!</v>
      </c>
      <c r="AW266" s="12" t="e">
        <f>SUM(AW261,AW262,AW264,AW265,AW263)</f>
        <v>#VALUE!</v>
      </c>
      <c r="AX266" s="12" t="e">
        <f>SUM(AX261,AX262,AX264,AX265,AX263)</f>
        <v>#VALUE!</v>
      </c>
      <c r="AY266" s="12" t="e">
        <f>SUM(AY261,AY262,AY264,AY265,AY263)</f>
        <v>#VALUE!</v>
      </c>
      <c r="AZ266" s="12" t="e">
        <f>SUM(AZ261,AZ262,AZ264,AZ265,AZ263)</f>
        <v>#VALUE!</v>
      </c>
      <c r="BA266" s="12" t="e">
        <f>SUM(BA261,BA262,BA264,BA265)</f>
        <v>#VALUE!</v>
      </c>
      <c r="BB266" s="12" t="e">
        <f>SUM(BB261,BB262,BB264,BB265,BB263)</f>
        <v>#VALUE!</v>
      </c>
      <c r="BC266" s="12" t="e">
        <f>SUM(BC261,BC262,BC264,BC265,BC263)</f>
        <v>#VALUE!</v>
      </c>
      <c r="BD266" s="12" t="e">
        <f>SUM(BD261,BD262,BD264,BD265,BD263)</f>
        <v>#VALUE!</v>
      </c>
      <c r="BE266" s="12" t="e">
        <f>SUM(BE261,BE262,BE264,BE265,BE263)</f>
        <v>#VALUE!</v>
      </c>
      <c r="BF266" s="12" t="e">
        <f>SUM(BF261,BF262,BF264,BF265)</f>
        <v>#VALUE!</v>
      </c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</row>
    <row r="267" spans="3:107" x14ac:dyDescent="0.2">
      <c r="C267" s="14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</row>
    <row r="268" spans="3:107" x14ac:dyDescent="0.2">
      <c r="C268" s="14" t="s">
        <v>199</v>
      </c>
      <c r="D268" s="12"/>
      <c r="E268" s="12"/>
      <c r="F268" s="12"/>
      <c r="G268" s="12"/>
      <c r="H268" s="12"/>
      <c r="I268" s="12" t="e">
        <f t="shared" ref="I268:L269" si="98">I219-H219</f>
        <v>#VALUE!</v>
      </c>
      <c r="J268" s="12" t="e">
        <f t="shared" si="98"/>
        <v>#VALUE!</v>
      </c>
      <c r="K268" s="12" t="e">
        <f t="shared" si="98"/>
        <v>#VALUE!</v>
      </c>
      <c r="L268" s="12" t="e">
        <f t="shared" si="98"/>
        <v>#VALUE!</v>
      </c>
      <c r="M268" s="12" t="e">
        <f t="shared" ref="M268:M275" si="99">SUM(I268:L268)</f>
        <v>#VALUE!</v>
      </c>
      <c r="N268" s="12" t="e">
        <f t="shared" ref="N268:Q269" si="100">N219-M219</f>
        <v>#VALUE!</v>
      </c>
      <c r="O268" s="12" t="e">
        <f t="shared" si="100"/>
        <v>#VALUE!</v>
      </c>
      <c r="P268" s="12" t="e">
        <f t="shared" si="100"/>
        <v>#VALUE!</v>
      </c>
      <c r="Q268" s="12" t="e">
        <f t="shared" si="100"/>
        <v>#VALUE!</v>
      </c>
      <c r="R268" s="12" t="e">
        <f t="shared" ref="R268:R275" si="101">SUM(N268:Q268)</f>
        <v>#VALUE!</v>
      </c>
      <c r="S268" s="12" t="e">
        <f t="shared" ref="S268:V269" si="102">S219-R219</f>
        <v>#VALUE!</v>
      </c>
      <c r="T268" s="12" t="e">
        <f t="shared" si="102"/>
        <v>#VALUE!</v>
      </c>
      <c r="U268" s="12" t="e">
        <f t="shared" si="102"/>
        <v>#VALUE!</v>
      </c>
      <c r="V268" s="12" t="e">
        <f t="shared" si="102"/>
        <v>#VALUE!</v>
      </c>
      <c r="W268" s="12" t="e">
        <f t="shared" ref="W268:W275" si="103">SUM(S268:V268)</f>
        <v>#VALUE!</v>
      </c>
      <c r="X268" s="12" t="e">
        <f t="shared" ref="X268:AA269" si="104">X219-W219</f>
        <v>#VALUE!</v>
      </c>
      <c r="Y268" s="12" t="e">
        <f t="shared" si="104"/>
        <v>#VALUE!</v>
      </c>
      <c r="Z268" s="12" t="e">
        <f t="shared" si="104"/>
        <v>#VALUE!</v>
      </c>
      <c r="AA268" s="12" t="e">
        <f t="shared" si="104"/>
        <v>#VALUE!</v>
      </c>
      <c r="AB268" s="12" t="e">
        <f t="shared" ref="AB268:AB275" si="105">SUM(X268:AA268)</f>
        <v>#VALUE!</v>
      </c>
      <c r="AC268" s="12" t="e">
        <f t="shared" ref="AC268:AF269" si="106">AC219-AB219</f>
        <v>#VALUE!</v>
      </c>
      <c r="AD268" s="12" t="e">
        <f t="shared" si="106"/>
        <v>#VALUE!</v>
      </c>
      <c r="AE268" s="12" t="e">
        <f t="shared" si="106"/>
        <v>#VALUE!</v>
      </c>
      <c r="AF268" s="12" t="e">
        <f t="shared" si="106"/>
        <v>#VALUE!</v>
      </c>
      <c r="AG268" s="12" t="e">
        <f t="shared" ref="AG268:AG275" si="107">SUM(AC268:AF268)</f>
        <v>#VALUE!</v>
      </c>
      <c r="AH268" s="12" t="e">
        <f t="shared" ref="AH268:AK269" si="108">AH219-AG219</f>
        <v>#VALUE!</v>
      </c>
      <c r="AI268" s="12" t="e">
        <f t="shared" si="108"/>
        <v>#VALUE!</v>
      </c>
      <c r="AJ268" s="12" t="e">
        <f t="shared" si="108"/>
        <v>#VALUE!</v>
      </c>
      <c r="AK268" s="12" t="e">
        <f t="shared" si="108"/>
        <v>#VALUE!</v>
      </c>
      <c r="AL268" s="12" t="e">
        <f t="shared" ref="AL268:AL275" si="109">SUM(AH268:AK268)</f>
        <v>#VALUE!</v>
      </c>
      <c r="AM268" s="12" t="e">
        <f t="shared" ref="AM268:AP269" si="110">AM219-AL219</f>
        <v>#VALUE!</v>
      </c>
      <c r="AN268" s="12" t="e">
        <f t="shared" si="110"/>
        <v>#VALUE!</v>
      </c>
      <c r="AO268" s="12" t="e">
        <f t="shared" si="110"/>
        <v>#VALUE!</v>
      </c>
      <c r="AP268" s="12" t="e">
        <f t="shared" si="110"/>
        <v>#VALUE!</v>
      </c>
      <c r="AQ268" s="12" t="e">
        <f t="shared" ref="AQ268:AQ275" si="111">SUM(AM268:AP268)</f>
        <v>#VALUE!</v>
      </c>
      <c r="AR268" s="12" t="e">
        <f t="shared" ref="AR268:AU269" si="112">AR219-AQ219</f>
        <v>#VALUE!</v>
      </c>
      <c r="AS268" s="12" t="e">
        <f t="shared" si="112"/>
        <v>#VALUE!</v>
      </c>
      <c r="AT268" s="12" t="e">
        <f t="shared" si="112"/>
        <v>#VALUE!</v>
      </c>
      <c r="AU268" s="12" t="e">
        <f t="shared" si="112"/>
        <v>#VALUE!</v>
      </c>
      <c r="AV268" s="12" t="e">
        <f t="shared" ref="AV268:AV275" si="113">SUM(AR268:AU268)</f>
        <v>#VALUE!</v>
      </c>
      <c r="AW268" s="12" t="e">
        <f t="shared" ref="AW268:AZ269" si="114">AW219-AV219</f>
        <v>#VALUE!</v>
      </c>
      <c r="AX268" s="12" t="e">
        <f t="shared" si="114"/>
        <v>#VALUE!</v>
      </c>
      <c r="AY268" s="12" t="e">
        <f t="shared" si="114"/>
        <v>#VALUE!</v>
      </c>
      <c r="AZ268" s="12" t="e">
        <f t="shared" si="114"/>
        <v>#VALUE!</v>
      </c>
      <c r="BA268" s="12" t="e">
        <f t="shared" ref="BA268:BA275" si="115">SUM(AW268:AZ268)</f>
        <v>#VALUE!</v>
      </c>
      <c r="BB268" s="12" t="e">
        <f t="shared" ref="BB268:BE269" si="116">BB219-BA219</f>
        <v>#VALUE!</v>
      </c>
      <c r="BC268" s="12" t="e">
        <f t="shared" si="116"/>
        <v>#VALUE!</v>
      </c>
      <c r="BD268" s="12" t="e">
        <f t="shared" si="116"/>
        <v>#VALUE!</v>
      </c>
      <c r="BE268" s="12" t="e">
        <f t="shared" si="116"/>
        <v>#VALUE!</v>
      </c>
      <c r="BF268" s="12" t="e">
        <f t="shared" ref="BF268:BF275" si="117">SUM(BB268:BE268)</f>
        <v>#VALUE!</v>
      </c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</row>
    <row r="269" spans="3:107" x14ac:dyDescent="0.2">
      <c r="C269" s="14" t="s">
        <v>200</v>
      </c>
      <c r="D269" s="12"/>
      <c r="E269" s="12"/>
      <c r="F269" s="12"/>
      <c r="G269" s="12"/>
      <c r="H269" s="12"/>
      <c r="I269" s="12" t="e">
        <f t="shared" si="98"/>
        <v>#VALUE!</v>
      </c>
      <c r="J269" s="12" t="e">
        <f t="shared" si="98"/>
        <v>#VALUE!</v>
      </c>
      <c r="K269" s="12" t="e">
        <f t="shared" si="98"/>
        <v>#VALUE!</v>
      </c>
      <c r="L269" s="12" t="e">
        <f t="shared" si="98"/>
        <v>#VALUE!</v>
      </c>
      <c r="M269" s="12" t="e">
        <f t="shared" si="99"/>
        <v>#VALUE!</v>
      </c>
      <c r="N269" s="12" t="e">
        <f t="shared" si="100"/>
        <v>#VALUE!</v>
      </c>
      <c r="O269" s="12" t="e">
        <f t="shared" si="100"/>
        <v>#VALUE!</v>
      </c>
      <c r="P269" s="12" t="e">
        <f t="shared" si="100"/>
        <v>#VALUE!</v>
      </c>
      <c r="Q269" s="12" t="e">
        <f t="shared" si="100"/>
        <v>#VALUE!</v>
      </c>
      <c r="R269" s="12" t="e">
        <f t="shared" si="101"/>
        <v>#VALUE!</v>
      </c>
      <c r="S269" s="12" t="e">
        <f t="shared" si="102"/>
        <v>#VALUE!</v>
      </c>
      <c r="T269" s="12" t="e">
        <f t="shared" si="102"/>
        <v>#VALUE!</v>
      </c>
      <c r="U269" s="12" t="e">
        <f t="shared" si="102"/>
        <v>#VALUE!</v>
      </c>
      <c r="V269" s="12" t="e">
        <f t="shared" si="102"/>
        <v>#VALUE!</v>
      </c>
      <c r="W269" s="12" t="e">
        <f t="shared" si="103"/>
        <v>#VALUE!</v>
      </c>
      <c r="X269" s="12" t="e">
        <f t="shared" si="104"/>
        <v>#VALUE!</v>
      </c>
      <c r="Y269" s="12" t="e">
        <f t="shared" si="104"/>
        <v>#VALUE!</v>
      </c>
      <c r="Z269" s="12" t="e">
        <f t="shared" si="104"/>
        <v>#VALUE!</v>
      </c>
      <c r="AA269" s="12" t="e">
        <f t="shared" si="104"/>
        <v>#VALUE!</v>
      </c>
      <c r="AB269" s="12" t="e">
        <f t="shared" si="105"/>
        <v>#VALUE!</v>
      </c>
      <c r="AC269" s="12" t="e">
        <f t="shared" si="106"/>
        <v>#VALUE!</v>
      </c>
      <c r="AD269" s="12" t="e">
        <f t="shared" si="106"/>
        <v>#VALUE!</v>
      </c>
      <c r="AE269" s="12" t="e">
        <f t="shared" si="106"/>
        <v>#VALUE!</v>
      </c>
      <c r="AF269" s="12" t="e">
        <f t="shared" si="106"/>
        <v>#VALUE!</v>
      </c>
      <c r="AG269" s="12" t="e">
        <f t="shared" si="107"/>
        <v>#VALUE!</v>
      </c>
      <c r="AH269" s="12" t="e">
        <f t="shared" si="108"/>
        <v>#VALUE!</v>
      </c>
      <c r="AI269" s="12" t="e">
        <f t="shared" si="108"/>
        <v>#VALUE!</v>
      </c>
      <c r="AJ269" s="12" t="e">
        <f t="shared" si="108"/>
        <v>#VALUE!</v>
      </c>
      <c r="AK269" s="12" t="e">
        <f t="shared" si="108"/>
        <v>#VALUE!</v>
      </c>
      <c r="AL269" s="12" t="e">
        <f t="shared" si="109"/>
        <v>#VALUE!</v>
      </c>
      <c r="AM269" s="12" t="e">
        <f t="shared" si="110"/>
        <v>#VALUE!</v>
      </c>
      <c r="AN269" s="12" t="e">
        <f t="shared" si="110"/>
        <v>#VALUE!</v>
      </c>
      <c r="AO269" s="12" t="e">
        <f t="shared" si="110"/>
        <v>#VALUE!</v>
      </c>
      <c r="AP269" s="12" t="e">
        <f t="shared" si="110"/>
        <v>#VALUE!</v>
      </c>
      <c r="AQ269" s="12" t="e">
        <f t="shared" si="111"/>
        <v>#VALUE!</v>
      </c>
      <c r="AR269" s="12" t="e">
        <f t="shared" si="112"/>
        <v>#VALUE!</v>
      </c>
      <c r="AS269" s="12" t="e">
        <f t="shared" si="112"/>
        <v>#VALUE!</v>
      </c>
      <c r="AT269" s="12" t="e">
        <f t="shared" si="112"/>
        <v>#VALUE!</v>
      </c>
      <c r="AU269" s="12" t="e">
        <f t="shared" si="112"/>
        <v>#VALUE!</v>
      </c>
      <c r="AV269" s="12" t="e">
        <f t="shared" si="113"/>
        <v>#VALUE!</v>
      </c>
      <c r="AW269" s="12" t="e">
        <f t="shared" si="114"/>
        <v>#VALUE!</v>
      </c>
      <c r="AX269" s="12" t="e">
        <f t="shared" si="114"/>
        <v>#VALUE!</v>
      </c>
      <c r="AY269" s="12" t="e">
        <f t="shared" si="114"/>
        <v>#VALUE!</v>
      </c>
      <c r="AZ269" s="12" t="e">
        <f t="shared" si="114"/>
        <v>#VALUE!</v>
      </c>
      <c r="BA269" s="12" t="e">
        <f t="shared" si="115"/>
        <v>#VALUE!</v>
      </c>
      <c r="BB269" s="12" t="e">
        <f t="shared" si="116"/>
        <v>#VALUE!</v>
      </c>
      <c r="BC269" s="12" t="e">
        <f t="shared" si="116"/>
        <v>#VALUE!</v>
      </c>
      <c r="BD269" s="12" t="e">
        <f t="shared" si="116"/>
        <v>#VALUE!</v>
      </c>
      <c r="BE269" s="12" t="e">
        <f t="shared" si="116"/>
        <v>#VALUE!</v>
      </c>
      <c r="BF269" s="12" t="e">
        <f t="shared" si="117"/>
        <v>#VALUE!</v>
      </c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</row>
    <row r="270" spans="3:107" x14ac:dyDescent="0.2">
      <c r="C270" s="14" t="s">
        <v>201</v>
      </c>
      <c r="D270" s="12"/>
      <c r="E270" s="12"/>
      <c r="F270" s="12"/>
      <c r="G270" s="12"/>
      <c r="H270" s="12"/>
      <c r="I270" s="12" t="e">
        <f t="shared" ref="I270:L272" si="118">I233-H233</f>
        <v>#VALUE!</v>
      </c>
      <c r="J270" s="12" t="e">
        <f t="shared" si="118"/>
        <v>#VALUE!</v>
      </c>
      <c r="K270" s="12" t="e">
        <f t="shared" si="118"/>
        <v>#VALUE!</v>
      </c>
      <c r="L270" s="12" t="e">
        <f t="shared" si="118"/>
        <v>#VALUE!</v>
      </c>
      <c r="M270" s="12" t="e">
        <f t="shared" si="99"/>
        <v>#VALUE!</v>
      </c>
      <c r="N270" s="12" t="e">
        <f t="shared" ref="N270:Q272" si="119">N233-M233</f>
        <v>#VALUE!</v>
      </c>
      <c r="O270" s="12" t="e">
        <f t="shared" si="119"/>
        <v>#VALUE!</v>
      </c>
      <c r="P270" s="12" t="e">
        <f t="shared" si="119"/>
        <v>#VALUE!</v>
      </c>
      <c r="Q270" s="12" t="e">
        <f t="shared" si="119"/>
        <v>#VALUE!</v>
      </c>
      <c r="R270" s="12" t="e">
        <f t="shared" si="101"/>
        <v>#VALUE!</v>
      </c>
      <c r="S270" s="12" t="e">
        <f t="shared" ref="S270:V272" si="120">S233-R233</f>
        <v>#VALUE!</v>
      </c>
      <c r="T270" s="12" t="e">
        <f t="shared" si="120"/>
        <v>#VALUE!</v>
      </c>
      <c r="U270" s="12" t="e">
        <f t="shared" si="120"/>
        <v>#VALUE!</v>
      </c>
      <c r="V270" s="12" t="e">
        <f t="shared" si="120"/>
        <v>#VALUE!</v>
      </c>
      <c r="W270" s="12" t="e">
        <f t="shared" si="103"/>
        <v>#VALUE!</v>
      </c>
      <c r="X270" s="12" t="e">
        <f t="shared" ref="X270:AA272" si="121">X233-W233</f>
        <v>#VALUE!</v>
      </c>
      <c r="Y270" s="12" t="e">
        <f t="shared" si="121"/>
        <v>#VALUE!</v>
      </c>
      <c r="Z270" s="12" t="e">
        <f t="shared" si="121"/>
        <v>#VALUE!</v>
      </c>
      <c r="AA270" s="12" t="e">
        <f t="shared" si="121"/>
        <v>#VALUE!</v>
      </c>
      <c r="AB270" s="12" t="e">
        <f t="shared" si="105"/>
        <v>#VALUE!</v>
      </c>
      <c r="AC270" s="12" t="e">
        <f t="shared" ref="AC270:AF272" si="122">AC233-AB233</f>
        <v>#VALUE!</v>
      </c>
      <c r="AD270" s="12" t="e">
        <f t="shared" si="122"/>
        <v>#VALUE!</v>
      </c>
      <c r="AE270" s="12" t="e">
        <f t="shared" si="122"/>
        <v>#VALUE!</v>
      </c>
      <c r="AF270" s="12" t="e">
        <f t="shared" si="122"/>
        <v>#VALUE!</v>
      </c>
      <c r="AG270" s="12" t="e">
        <f t="shared" si="107"/>
        <v>#VALUE!</v>
      </c>
      <c r="AH270" s="12" t="e">
        <f t="shared" ref="AH270:AK272" si="123">AH233-AG233</f>
        <v>#VALUE!</v>
      </c>
      <c r="AI270" s="12" t="e">
        <f t="shared" si="123"/>
        <v>#VALUE!</v>
      </c>
      <c r="AJ270" s="12" t="e">
        <f t="shared" si="123"/>
        <v>#VALUE!</v>
      </c>
      <c r="AK270" s="12" t="e">
        <f t="shared" si="123"/>
        <v>#VALUE!</v>
      </c>
      <c r="AL270" s="12" t="e">
        <f t="shared" si="109"/>
        <v>#VALUE!</v>
      </c>
      <c r="AM270" s="12" t="e">
        <f t="shared" ref="AM270:AP272" si="124">AM233-AL233</f>
        <v>#VALUE!</v>
      </c>
      <c r="AN270" s="12" t="e">
        <f t="shared" si="124"/>
        <v>#VALUE!</v>
      </c>
      <c r="AO270" s="12" t="e">
        <f t="shared" si="124"/>
        <v>#VALUE!</v>
      </c>
      <c r="AP270" s="12" t="e">
        <f t="shared" si="124"/>
        <v>#VALUE!</v>
      </c>
      <c r="AQ270" s="12" t="e">
        <f t="shared" si="111"/>
        <v>#VALUE!</v>
      </c>
      <c r="AR270" s="12" t="e">
        <f t="shared" ref="AR270:AU272" si="125">AR233-AQ233</f>
        <v>#VALUE!</v>
      </c>
      <c r="AS270" s="12" t="e">
        <f t="shared" si="125"/>
        <v>#VALUE!</v>
      </c>
      <c r="AT270" s="12" t="e">
        <f t="shared" si="125"/>
        <v>#VALUE!</v>
      </c>
      <c r="AU270" s="12" t="e">
        <f t="shared" si="125"/>
        <v>#VALUE!</v>
      </c>
      <c r="AV270" s="12" t="e">
        <f t="shared" si="113"/>
        <v>#VALUE!</v>
      </c>
      <c r="AW270" s="12" t="e">
        <f t="shared" ref="AW270:AZ272" si="126">AW233-AV233</f>
        <v>#VALUE!</v>
      </c>
      <c r="AX270" s="12" t="e">
        <f t="shared" si="126"/>
        <v>#VALUE!</v>
      </c>
      <c r="AY270" s="12" t="e">
        <f t="shared" si="126"/>
        <v>#VALUE!</v>
      </c>
      <c r="AZ270" s="12" t="e">
        <f t="shared" si="126"/>
        <v>#VALUE!</v>
      </c>
      <c r="BA270" s="12" t="e">
        <f t="shared" si="115"/>
        <v>#VALUE!</v>
      </c>
      <c r="BB270" s="12" t="e">
        <f t="shared" ref="BB270:BE272" si="127">BB233-BA233</f>
        <v>#VALUE!</v>
      </c>
      <c r="BC270" s="12" t="e">
        <f t="shared" si="127"/>
        <v>#VALUE!</v>
      </c>
      <c r="BD270" s="12" t="e">
        <f t="shared" si="127"/>
        <v>#VALUE!</v>
      </c>
      <c r="BE270" s="12" t="e">
        <f t="shared" si="127"/>
        <v>#VALUE!</v>
      </c>
      <c r="BF270" s="12" t="e">
        <f t="shared" si="117"/>
        <v>#VALUE!</v>
      </c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</row>
    <row r="271" spans="3:107" x14ac:dyDescent="0.2">
      <c r="C271" s="14" t="s">
        <v>202</v>
      </c>
      <c r="D271" s="12"/>
      <c r="E271" s="12"/>
      <c r="F271" s="12"/>
      <c r="G271" s="12"/>
      <c r="H271" s="12"/>
      <c r="I271" s="12" t="e">
        <f t="shared" si="118"/>
        <v>#VALUE!</v>
      </c>
      <c r="J271" s="12" t="e">
        <f t="shared" si="118"/>
        <v>#VALUE!</v>
      </c>
      <c r="K271" s="12" t="e">
        <f t="shared" si="118"/>
        <v>#VALUE!</v>
      </c>
      <c r="L271" s="12" t="e">
        <f t="shared" si="118"/>
        <v>#VALUE!</v>
      </c>
      <c r="M271" s="12" t="e">
        <f t="shared" si="99"/>
        <v>#VALUE!</v>
      </c>
      <c r="N271" s="12" t="e">
        <f t="shared" si="119"/>
        <v>#VALUE!</v>
      </c>
      <c r="O271" s="12" t="e">
        <f t="shared" si="119"/>
        <v>#VALUE!</v>
      </c>
      <c r="P271" s="12" t="e">
        <f t="shared" si="119"/>
        <v>#VALUE!</v>
      </c>
      <c r="Q271" s="12" t="e">
        <f t="shared" si="119"/>
        <v>#VALUE!</v>
      </c>
      <c r="R271" s="12" t="e">
        <f t="shared" si="101"/>
        <v>#VALUE!</v>
      </c>
      <c r="S271" s="12" t="e">
        <f t="shared" si="120"/>
        <v>#VALUE!</v>
      </c>
      <c r="T271" s="12" t="e">
        <f t="shared" si="120"/>
        <v>#VALUE!</v>
      </c>
      <c r="U271" s="12" t="e">
        <f t="shared" si="120"/>
        <v>#VALUE!</v>
      </c>
      <c r="V271" s="12" t="e">
        <f t="shared" si="120"/>
        <v>#VALUE!</v>
      </c>
      <c r="W271" s="12" t="e">
        <f t="shared" si="103"/>
        <v>#VALUE!</v>
      </c>
      <c r="X271" s="12" t="e">
        <f t="shared" si="121"/>
        <v>#VALUE!</v>
      </c>
      <c r="Y271" s="12" t="e">
        <f t="shared" si="121"/>
        <v>#VALUE!</v>
      </c>
      <c r="Z271" s="12" t="e">
        <f t="shared" si="121"/>
        <v>#VALUE!</v>
      </c>
      <c r="AA271" s="12" t="e">
        <f t="shared" si="121"/>
        <v>#VALUE!</v>
      </c>
      <c r="AB271" s="12" t="e">
        <f t="shared" si="105"/>
        <v>#VALUE!</v>
      </c>
      <c r="AC271" s="12" t="e">
        <f t="shared" si="122"/>
        <v>#VALUE!</v>
      </c>
      <c r="AD271" s="12" t="e">
        <f t="shared" si="122"/>
        <v>#VALUE!</v>
      </c>
      <c r="AE271" s="12" t="e">
        <f t="shared" si="122"/>
        <v>#VALUE!</v>
      </c>
      <c r="AF271" s="12" t="e">
        <f t="shared" si="122"/>
        <v>#VALUE!</v>
      </c>
      <c r="AG271" s="12" t="e">
        <f t="shared" si="107"/>
        <v>#VALUE!</v>
      </c>
      <c r="AH271" s="12" t="e">
        <f t="shared" si="123"/>
        <v>#VALUE!</v>
      </c>
      <c r="AI271" s="12" t="e">
        <f t="shared" si="123"/>
        <v>#VALUE!</v>
      </c>
      <c r="AJ271" s="12" t="e">
        <f t="shared" si="123"/>
        <v>#VALUE!</v>
      </c>
      <c r="AK271" s="12" t="e">
        <f t="shared" si="123"/>
        <v>#VALUE!</v>
      </c>
      <c r="AL271" s="12" t="e">
        <f t="shared" si="109"/>
        <v>#VALUE!</v>
      </c>
      <c r="AM271" s="12" t="e">
        <f t="shared" si="124"/>
        <v>#VALUE!</v>
      </c>
      <c r="AN271" s="12" t="e">
        <f t="shared" si="124"/>
        <v>#VALUE!</v>
      </c>
      <c r="AO271" s="12" t="e">
        <f t="shared" si="124"/>
        <v>#VALUE!</v>
      </c>
      <c r="AP271" s="12" t="e">
        <f t="shared" si="124"/>
        <v>#VALUE!</v>
      </c>
      <c r="AQ271" s="12" t="e">
        <f t="shared" si="111"/>
        <v>#VALUE!</v>
      </c>
      <c r="AR271" s="12" t="e">
        <f t="shared" si="125"/>
        <v>#VALUE!</v>
      </c>
      <c r="AS271" s="12" t="e">
        <f t="shared" si="125"/>
        <v>#VALUE!</v>
      </c>
      <c r="AT271" s="12" t="e">
        <f t="shared" si="125"/>
        <v>#VALUE!</v>
      </c>
      <c r="AU271" s="12" t="e">
        <f t="shared" si="125"/>
        <v>#VALUE!</v>
      </c>
      <c r="AV271" s="12" t="e">
        <f t="shared" si="113"/>
        <v>#VALUE!</v>
      </c>
      <c r="AW271" s="12" t="e">
        <f t="shared" si="126"/>
        <v>#VALUE!</v>
      </c>
      <c r="AX271" s="12" t="e">
        <f t="shared" si="126"/>
        <v>#VALUE!</v>
      </c>
      <c r="AY271" s="12" t="e">
        <f t="shared" si="126"/>
        <v>#VALUE!</v>
      </c>
      <c r="AZ271" s="12" t="e">
        <f t="shared" si="126"/>
        <v>#VALUE!</v>
      </c>
      <c r="BA271" s="12" t="e">
        <f t="shared" si="115"/>
        <v>#VALUE!</v>
      </c>
      <c r="BB271" s="12" t="e">
        <f t="shared" si="127"/>
        <v>#VALUE!</v>
      </c>
      <c r="BC271" s="12" t="e">
        <f t="shared" si="127"/>
        <v>#VALUE!</v>
      </c>
      <c r="BD271" s="12" t="e">
        <f t="shared" si="127"/>
        <v>#VALUE!</v>
      </c>
      <c r="BE271" s="12" t="e">
        <f t="shared" si="127"/>
        <v>#VALUE!</v>
      </c>
      <c r="BF271" s="12" t="e">
        <f t="shared" si="117"/>
        <v>#VALUE!</v>
      </c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</row>
    <row r="272" spans="3:107" x14ac:dyDescent="0.2">
      <c r="C272" s="14" t="s">
        <v>74</v>
      </c>
      <c r="D272" s="12"/>
      <c r="E272" s="12"/>
      <c r="F272" s="12"/>
      <c r="G272" s="12"/>
      <c r="H272" s="12"/>
      <c r="I272" s="12" t="e">
        <f t="shared" si="118"/>
        <v>#VALUE!</v>
      </c>
      <c r="J272" s="12" t="e">
        <f t="shared" si="118"/>
        <v>#VALUE!</v>
      </c>
      <c r="K272" s="12" t="e">
        <f t="shared" si="118"/>
        <v>#VALUE!</v>
      </c>
      <c r="L272" s="12" t="e">
        <f t="shared" si="118"/>
        <v>#VALUE!</v>
      </c>
      <c r="M272" s="12" t="e">
        <f t="shared" si="99"/>
        <v>#VALUE!</v>
      </c>
      <c r="N272" s="12" t="e">
        <f t="shared" si="119"/>
        <v>#VALUE!</v>
      </c>
      <c r="O272" s="12" t="e">
        <f t="shared" si="119"/>
        <v>#VALUE!</v>
      </c>
      <c r="P272" s="12" t="e">
        <f t="shared" si="119"/>
        <v>#VALUE!</v>
      </c>
      <c r="Q272" s="12" t="e">
        <f t="shared" si="119"/>
        <v>#VALUE!</v>
      </c>
      <c r="R272" s="12" t="e">
        <f t="shared" si="101"/>
        <v>#VALUE!</v>
      </c>
      <c r="S272" s="12" t="e">
        <f t="shared" si="120"/>
        <v>#VALUE!</v>
      </c>
      <c r="T272" s="12" t="e">
        <f t="shared" si="120"/>
        <v>#VALUE!</v>
      </c>
      <c r="U272" s="12" t="e">
        <f t="shared" si="120"/>
        <v>#VALUE!</v>
      </c>
      <c r="V272" s="12" t="e">
        <f t="shared" si="120"/>
        <v>#VALUE!</v>
      </c>
      <c r="W272" s="12" t="e">
        <f t="shared" si="103"/>
        <v>#VALUE!</v>
      </c>
      <c r="X272" s="12" t="e">
        <f t="shared" si="121"/>
        <v>#VALUE!</v>
      </c>
      <c r="Y272" s="12" t="e">
        <f t="shared" si="121"/>
        <v>#VALUE!</v>
      </c>
      <c r="Z272" s="12" t="e">
        <f t="shared" si="121"/>
        <v>#VALUE!</v>
      </c>
      <c r="AA272" s="12" t="e">
        <f t="shared" si="121"/>
        <v>#VALUE!</v>
      </c>
      <c r="AB272" s="12" t="e">
        <f t="shared" si="105"/>
        <v>#VALUE!</v>
      </c>
      <c r="AC272" s="12" t="e">
        <f t="shared" si="122"/>
        <v>#VALUE!</v>
      </c>
      <c r="AD272" s="12" t="e">
        <f t="shared" si="122"/>
        <v>#VALUE!</v>
      </c>
      <c r="AE272" s="12" t="e">
        <f t="shared" si="122"/>
        <v>#VALUE!</v>
      </c>
      <c r="AF272" s="12" t="e">
        <f t="shared" si="122"/>
        <v>#VALUE!</v>
      </c>
      <c r="AG272" s="12" t="e">
        <f t="shared" si="107"/>
        <v>#VALUE!</v>
      </c>
      <c r="AH272" s="12" t="e">
        <f t="shared" si="123"/>
        <v>#VALUE!</v>
      </c>
      <c r="AI272" s="12" t="e">
        <f t="shared" si="123"/>
        <v>#VALUE!</v>
      </c>
      <c r="AJ272" s="12" t="e">
        <f t="shared" si="123"/>
        <v>#VALUE!</v>
      </c>
      <c r="AK272" s="12" t="e">
        <f t="shared" si="123"/>
        <v>#VALUE!</v>
      </c>
      <c r="AL272" s="12" t="e">
        <f t="shared" si="109"/>
        <v>#VALUE!</v>
      </c>
      <c r="AM272" s="12" t="e">
        <f t="shared" si="124"/>
        <v>#VALUE!</v>
      </c>
      <c r="AN272" s="12" t="e">
        <f t="shared" si="124"/>
        <v>#VALUE!</v>
      </c>
      <c r="AO272" s="12" t="e">
        <f t="shared" si="124"/>
        <v>#VALUE!</v>
      </c>
      <c r="AP272" s="12" t="e">
        <f t="shared" si="124"/>
        <v>#VALUE!</v>
      </c>
      <c r="AQ272" s="12" t="e">
        <f t="shared" si="111"/>
        <v>#VALUE!</v>
      </c>
      <c r="AR272" s="12" t="e">
        <f t="shared" si="125"/>
        <v>#VALUE!</v>
      </c>
      <c r="AS272" s="12" t="e">
        <f t="shared" si="125"/>
        <v>#VALUE!</v>
      </c>
      <c r="AT272" s="12" t="e">
        <f t="shared" si="125"/>
        <v>#VALUE!</v>
      </c>
      <c r="AU272" s="12" t="e">
        <f t="shared" si="125"/>
        <v>#VALUE!</v>
      </c>
      <c r="AV272" s="12" t="e">
        <f t="shared" si="113"/>
        <v>#VALUE!</v>
      </c>
      <c r="AW272" s="12" t="e">
        <f t="shared" si="126"/>
        <v>#VALUE!</v>
      </c>
      <c r="AX272" s="12" t="e">
        <f t="shared" si="126"/>
        <v>#VALUE!</v>
      </c>
      <c r="AY272" s="12" t="e">
        <f t="shared" si="126"/>
        <v>#VALUE!</v>
      </c>
      <c r="AZ272" s="12" t="e">
        <f t="shared" si="126"/>
        <v>#VALUE!</v>
      </c>
      <c r="BA272" s="12" t="e">
        <f t="shared" si="115"/>
        <v>#VALUE!</v>
      </c>
      <c r="BB272" s="12" t="e">
        <f t="shared" si="127"/>
        <v>#VALUE!</v>
      </c>
      <c r="BC272" s="12" t="e">
        <f t="shared" si="127"/>
        <v>#VALUE!</v>
      </c>
      <c r="BD272" s="12" t="e">
        <f t="shared" si="127"/>
        <v>#VALUE!</v>
      </c>
      <c r="BE272" s="12" t="e">
        <f t="shared" si="127"/>
        <v>#VALUE!</v>
      </c>
      <c r="BF272" s="12" t="e">
        <f t="shared" si="117"/>
        <v>#VALUE!</v>
      </c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</row>
    <row r="273" spans="1:107" x14ac:dyDescent="0.2">
      <c r="C273" s="10" t="s">
        <v>203</v>
      </c>
      <c r="D273" s="12"/>
      <c r="E273" s="12"/>
      <c r="F273" s="12"/>
      <c r="G273" s="12"/>
      <c r="H273" s="12"/>
      <c r="I273" s="12" t="e">
        <f>(I236-H236)-I243</f>
        <v>#VALUE!</v>
      </c>
      <c r="J273" s="12" t="e">
        <f>(J236-I236)-J243</f>
        <v>#VALUE!</v>
      </c>
      <c r="K273" s="12" t="e">
        <f>(K236-J236)-K243</f>
        <v>#VALUE!</v>
      </c>
      <c r="L273" s="12" t="e">
        <f>(L236-K236)-L243</f>
        <v>#VALUE!</v>
      </c>
      <c r="M273" s="12" t="e">
        <f t="shared" si="99"/>
        <v>#VALUE!</v>
      </c>
      <c r="N273" s="12" t="e">
        <f>(N236-M236)-N243</f>
        <v>#VALUE!</v>
      </c>
      <c r="O273" s="12" t="e">
        <f>(O236-N236)-O243</f>
        <v>#VALUE!</v>
      </c>
      <c r="P273" s="12" t="e">
        <f>(P236-O236)-P243</f>
        <v>#VALUE!</v>
      </c>
      <c r="Q273" s="12" t="e">
        <f>(Q236-P236)-Q243</f>
        <v>#VALUE!</v>
      </c>
      <c r="R273" s="12" t="e">
        <f t="shared" si="101"/>
        <v>#VALUE!</v>
      </c>
      <c r="S273" s="12" t="e">
        <f>(S236-R236)-S243</f>
        <v>#VALUE!</v>
      </c>
      <c r="T273" s="12" t="e">
        <f>(T236-S236)-T243</f>
        <v>#VALUE!</v>
      </c>
      <c r="U273" s="12" t="e">
        <f>(U236-T236)-U243</f>
        <v>#VALUE!</v>
      </c>
      <c r="V273" s="12" t="e">
        <f>(V236-U236)-V243</f>
        <v>#VALUE!</v>
      </c>
      <c r="W273" s="12" t="e">
        <f t="shared" si="103"/>
        <v>#VALUE!</v>
      </c>
      <c r="X273" s="12" t="e">
        <f>(X236-W236)-X243</f>
        <v>#VALUE!</v>
      </c>
      <c r="Y273" s="12" t="e">
        <f>(Y236-X236)-Y243</f>
        <v>#VALUE!</v>
      </c>
      <c r="Z273" s="12" t="e">
        <f>(Z236-Y236)-Z243</f>
        <v>#VALUE!</v>
      </c>
      <c r="AA273" s="12" t="e">
        <f>(AA236-Z236)-AA243</f>
        <v>#VALUE!</v>
      </c>
      <c r="AB273" s="12" t="e">
        <f t="shared" si="105"/>
        <v>#VALUE!</v>
      </c>
      <c r="AC273" s="12" t="e">
        <f>(AC236-AB236)-AC243</f>
        <v>#VALUE!</v>
      </c>
      <c r="AD273" s="12" t="e">
        <f>(AD236-AC236)-AD243</f>
        <v>#VALUE!</v>
      </c>
      <c r="AE273" s="12" t="e">
        <f>(AE236-AD236)-AE243</f>
        <v>#VALUE!</v>
      </c>
      <c r="AF273" s="12" t="e">
        <f>(AF236-AE236)-AF243</f>
        <v>#VALUE!</v>
      </c>
      <c r="AG273" s="12" t="e">
        <f t="shared" si="107"/>
        <v>#VALUE!</v>
      </c>
      <c r="AH273" s="12" t="e">
        <f>(AH236-AG236)-AH243</f>
        <v>#VALUE!</v>
      </c>
      <c r="AI273" s="12" t="e">
        <f>(AI236-AH236)-AI243</f>
        <v>#VALUE!</v>
      </c>
      <c r="AJ273" s="12" t="e">
        <f>(AJ236-AI236)-AJ243</f>
        <v>#VALUE!</v>
      </c>
      <c r="AK273" s="12" t="e">
        <f>(AK236-AJ236)-AK243</f>
        <v>#VALUE!</v>
      </c>
      <c r="AL273" s="12" t="e">
        <f t="shared" si="109"/>
        <v>#VALUE!</v>
      </c>
      <c r="AM273" s="12" t="e">
        <f>(AM236-AL236)-AM243</f>
        <v>#VALUE!</v>
      </c>
      <c r="AN273" s="12" t="e">
        <f>(AN236-AM236)-AN243</f>
        <v>#VALUE!</v>
      </c>
      <c r="AO273" s="12" t="e">
        <f>(AO236-AN236)-AO243</f>
        <v>#VALUE!</v>
      </c>
      <c r="AP273" s="12" t="e">
        <f>(AP236-AO236)-AP243</f>
        <v>#VALUE!</v>
      </c>
      <c r="AQ273" s="12" t="e">
        <f t="shared" si="111"/>
        <v>#VALUE!</v>
      </c>
      <c r="AR273" s="12" t="e">
        <f>(AR236-AQ236)-AR243</f>
        <v>#VALUE!</v>
      </c>
      <c r="AS273" s="12" t="e">
        <f>(AS236-AR236)-AS243</f>
        <v>#VALUE!</v>
      </c>
      <c r="AT273" s="12" t="e">
        <f>(AT236-AS236)-AT243</f>
        <v>#VALUE!</v>
      </c>
      <c r="AU273" s="12" t="e">
        <f>(AU236-AT236)-AU243</f>
        <v>#VALUE!</v>
      </c>
      <c r="AV273" s="12" t="e">
        <f t="shared" si="113"/>
        <v>#VALUE!</v>
      </c>
      <c r="AW273" s="12" t="e">
        <f>(AW236-AV236)-AW243</f>
        <v>#VALUE!</v>
      </c>
      <c r="AX273" s="12" t="e">
        <f>(AX236-AW236)-AX243</f>
        <v>#VALUE!</v>
      </c>
      <c r="AY273" s="12" t="e">
        <f>(AY236-AX236)-AY243</f>
        <v>#VALUE!</v>
      </c>
      <c r="AZ273" s="12" t="e">
        <f>(AZ236-AY236)-AZ243</f>
        <v>#VALUE!</v>
      </c>
      <c r="BA273" s="12" t="e">
        <f t="shared" si="115"/>
        <v>#VALUE!</v>
      </c>
      <c r="BB273" s="12" t="e">
        <f>(BB236-BA236)-BB243</f>
        <v>#VALUE!</v>
      </c>
      <c r="BC273" s="12" t="e">
        <f>(BC236-BB236)-BC243</f>
        <v>#VALUE!</v>
      </c>
      <c r="BD273" s="12" t="e">
        <f>(BD236-BC236)-BD243</f>
        <v>#VALUE!</v>
      </c>
      <c r="BE273" s="12" t="e">
        <f>(BE236-BD236)-BE243</f>
        <v>#VALUE!</v>
      </c>
      <c r="BF273" s="12" t="e">
        <f t="shared" si="117"/>
        <v>#VALUE!</v>
      </c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</row>
    <row r="274" spans="1:107" x14ac:dyDescent="0.2">
      <c r="C274" s="14" t="s">
        <v>204</v>
      </c>
      <c r="D274" s="12"/>
      <c r="E274" s="12"/>
      <c r="F274" s="12"/>
      <c r="G274" s="12"/>
      <c r="H274" s="12"/>
      <c r="I274" s="12" t="e">
        <f>(I214-H214)+I102</f>
        <v>#VALUE!</v>
      </c>
      <c r="J274" s="12" t="e">
        <f>(J214-I214)+J102</f>
        <v>#VALUE!</v>
      </c>
      <c r="K274" s="12" t="e">
        <f>(K214-J214)+K102</f>
        <v>#VALUE!</v>
      </c>
      <c r="L274" s="12" t="e">
        <f>(L214-K214)+L102</f>
        <v>#VALUE!</v>
      </c>
      <c r="M274" s="12" t="e">
        <f t="shared" si="99"/>
        <v>#VALUE!</v>
      </c>
      <c r="N274" s="12" t="e">
        <f>(N214-M214)+N102</f>
        <v>#VALUE!</v>
      </c>
      <c r="O274" s="12" t="e">
        <f>(O214-N214)+O102</f>
        <v>#VALUE!</v>
      </c>
      <c r="P274" s="12" t="e">
        <f>(P214-O214)+P102</f>
        <v>#VALUE!</v>
      </c>
      <c r="Q274" s="12" t="e">
        <f>(Q214-P214)+Q102</f>
        <v>#VALUE!</v>
      </c>
      <c r="R274" s="12" t="e">
        <f t="shared" si="101"/>
        <v>#VALUE!</v>
      </c>
      <c r="S274" s="12" t="e">
        <f>(S214-R214)+S102</f>
        <v>#VALUE!</v>
      </c>
      <c r="T274" s="12" t="e">
        <f>(T214-S214)+T102</f>
        <v>#VALUE!</v>
      </c>
      <c r="U274" s="12" t="e">
        <f>(U214-T214)+U102</f>
        <v>#VALUE!</v>
      </c>
      <c r="V274" s="12" t="e">
        <f>(V214-U214)+V102</f>
        <v>#VALUE!</v>
      </c>
      <c r="W274" s="12" t="e">
        <f t="shared" si="103"/>
        <v>#VALUE!</v>
      </c>
      <c r="X274" s="12" t="e">
        <f>(X214-W214)+X102</f>
        <v>#VALUE!</v>
      </c>
      <c r="Y274" s="12" t="e">
        <f>(Y214-X214)+Y102</f>
        <v>#VALUE!</v>
      </c>
      <c r="Z274" s="12" t="e">
        <f>(Z214-Y214)+Z102</f>
        <v>#VALUE!</v>
      </c>
      <c r="AA274" s="12" t="e">
        <f>(AA214-Z214)+AA102</f>
        <v>#VALUE!</v>
      </c>
      <c r="AB274" s="12" t="e">
        <f t="shared" si="105"/>
        <v>#VALUE!</v>
      </c>
      <c r="AC274" s="12" t="e">
        <f>(AC214-AB214)+AC102</f>
        <v>#VALUE!</v>
      </c>
      <c r="AD274" s="12" t="e">
        <f>(AD214-AC214)+AD102</f>
        <v>#VALUE!</v>
      </c>
      <c r="AE274" s="12" t="e">
        <f>(AE214-AD214)+AE102</f>
        <v>#VALUE!</v>
      </c>
      <c r="AF274" s="12" t="e">
        <f>(AF214-AE214)+AF102</f>
        <v>#VALUE!</v>
      </c>
      <c r="AG274" s="12" t="e">
        <f t="shared" si="107"/>
        <v>#VALUE!</v>
      </c>
      <c r="AH274" s="12" t="e">
        <f>(AH214-AG214)+AH102</f>
        <v>#VALUE!</v>
      </c>
      <c r="AI274" s="12" t="e">
        <f>(AI214-AH214)+AI102</f>
        <v>#VALUE!</v>
      </c>
      <c r="AJ274" s="12" t="e">
        <f>(AJ214-AI214)+AJ102</f>
        <v>#VALUE!</v>
      </c>
      <c r="AK274" s="12" t="e">
        <f>(AK214-AJ214)+AK102</f>
        <v>#VALUE!</v>
      </c>
      <c r="AL274" s="12" t="e">
        <f t="shared" si="109"/>
        <v>#VALUE!</v>
      </c>
      <c r="AM274" s="12" t="e">
        <f>(AM214-AL214)+AM102</f>
        <v>#VALUE!</v>
      </c>
      <c r="AN274" s="12" t="e">
        <f>(AN214-AM214)+AN102</f>
        <v>#VALUE!</v>
      </c>
      <c r="AO274" s="12" t="e">
        <f>(AO214-AN214)+AO102</f>
        <v>#VALUE!</v>
      </c>
      <c r="AP274" s="12" t="e">
        <f>(AP214-AO214)+AP102</f>
        <v>#VALUE!</v>
      </c>
      <c r="AQ274" s="12" t="e">
        <f t="shared" si="111"/>
        <v>#VALUE!</v>
      </c>
      <c r="AR274" s="12" t="e">
        <f>(AR214-AQ214)+AR102</f>
        <v>#VALUE!</v>
      </c>
      <c r="AS274" s="12" t="e">
        <f>(AS214-AR214)+AS102</f>
        <v>#VALUE!</v>
      </c>
      <c r="AT274" s="12" t="e">
        <f>(AT214-AS214)+AT102</f>
        <v>#VALUE!</v>
      </c>
      <c r="AU274" s="12" t="e">
        <f>(AU214-AT214)+AU102</f>
        <v>#VALUE!</v>
      </c>
      <c r="AV274" s="12" t="e">
        <f t="shared" si="113"/>
        <v>#VALUE!</v>
      </c>
      <c r="AW274" s="12" t="e">
        <f>(AW214-AV214)+AW102</f>
        <v>#VALUE!</v>
      </c>
      <c r="AX274" s="12" t="e">
        <f>(AX214-AW214)+AX102</f>
        <v>#VALUE!</v>
      </c>
      <c r="AY274" s="12" t="e">
        <f>(AY214-AX214)+AY102</f>
        <v>#VALUE!</v>
      </c>
      <c r="AZ274" s="12" t="e">
        <f>(AZ214-AY214)+AZ102</f>
        <v>#VALUE!</v>
      </c>
      <c r="BA274" s="12" t="e">
        <f t="shared" si="115"/>
        <v>#VALUE!</v>
      </c>
      <c r="BB274" s="12" t="e">
        <f>(BB214-BA214)+BB102</f>
        <v>#VALUE!</v>
      </c>
      <c r="BC274" s="12" t="e">
        <f>(BC214-BB214)+BC102</f>
        <v>#VALUE!</v>
      </c>
      <c r="BD274" s="12" t="e">
        <f>(BD214-BC214)+BD102</f>
        <v>#VALUE!</v>
      </c>
      <c r="BE274" s="12" t="e">
        <f>(BE214-BD214)+BE102</f>
        <v>#VALUE!</v>
      </c>
      <c r="BF274" s="12" t="e">
        <f t="shared" si="117"/>
        <v>#VALUE!</v>
      </c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</row>
    <row r="275" spans="1:107" x14ac:dyDescent="0.2">
      <c r="C275" s="15" t="s">
        <v>205</v>
      </c>
      <c r="D275" s="12"/>
      <c r="E275" s="12"/>
      <c r="F275" s="12"/>
      <c r="G275" s="12"/>
      <c r="H275" s="12"/>
      <c r="I275" s="12">
        <f>SUM(I178:I180,I183,I204,I201)-SUM(H178:H180,H183,H204,H201)</f>
        <v>0</v>
      </c>
      <c r="J275" s="12">
        <f>SUM(J178:J180,J183,J204,J201)-SUM(I178:I180,I183,I204,I201)</f>
        <v>0</v>
      </c>
      <c r="K275" s="12">
        <f>SUM(K178:K180,K183,K204,K201)-SUM(J178:J180,J183,J204,J201)</f>
        <v>0</v>
      </c>
      <c r="L275" s="12">
        <f>SUM(L178:L180,L183,L204,L201)-SUM(K178:K180,K183,K204,K201)</f>
        <v>0</v>
      </c>
      <c r="M275" s="12">
        <f t="shared" si="99"/>
        <v>0</v>
      </c>
      <c r="N275" s="12">
        <f>SUM(N178:N180,N183,N204,N201)-SUM(M178:M180,M183,M204,M201)</f>
        <v>0</v>
      </c>
      <c r="O275" s="12">
        <f>SUM(O178:O180,O183,O204,O201)-SUM(N178:N180,N183,N204,N201)</f>
        <v>0</v>
      </c>
      <c r="P275" s="12">
        <f>SUM(P178:P180,P183,P204,P201)-SUM(O178:O180,O183,O204,O201)</f>
        <v>0</v>
      </c>
      <c r="Q275" s="12">
        <f>SUM(Q178:Q180,Q183,Q204,Q201)-SUM(P178:P180,P183,P204,P201)</f>
        <v>0</v>
      </c>
      <c r="R275" s="12">
        <f t="shared" si="101"/>
        <v>0</v>
      </c>
      <c r="S275" s="12">
        <f>SUM(S178:S180,S183,S204,S201)-SUM(R178:R180,R183,R204,R201)</f>
        <v>0</v>
      </c>
      <c r="T275" s="12">
        <f>SUM(T178:T180,T183,T204,T201)-SUM(S178:S180,S183,S204,S201)</f>
        <v>0</v>
      </c>
      <c r="U275" s="12">
        <f>SUM(U178:U180,U183,U204,U201)-SUM(T178:T180,T183,T204,T201)</f>
        <v>0</v>
      </c>
      <c r="V275" s="12">
        <f>SUM(V178:V180,V183,V204,V201)-SUM(U178:U180,U183,U204,U201)</f>
        <v>0</v>
      </c>
      <c r="W275" s="12">
        <f t="shared" si="103"/>
        <v>0</v>
      </c>
      <c r="X275" s="12">
        <f>SUM(X178:X180,X183,X204,X201)-SUM(W178:W180,W183,W204,W201)</f>
        <v>0</v>
      </c>
      <c r="Y275" s="12">
        <f>SUM(Y178:Y180,Y183,Y204,Y201)-SUM(X178:X180,X183,X204,X201)</f>
        <v>0</v>
      </c>
      <c r="Z275" s="12">
        <f>SUM(Z178:Z180,Z183,Z204,Z201)-SUM(Y178:Y180,Y183,Y204,Y201)</f>
        <v>0</v>
      </c>
      <c r="AA275" s="12">
        <f>SUM(AA178:AA180,AA183,AA204,AA201)-SUM(Z178:Z180,Z183,Z204,Z201)</f>
        <v>0</v>
      </c>
      <c r="AB275" s="12">
        <f t="shared" si="105"/>
        <v>0</v>
      </c>
      <c r="AC275" s="12">
        <f>SUM(AC178:AC180,AC183,AC204,AC201)-SUM(AB178:AB180,AB183,AB204,AB201)</f>
        <v>0</v>
      </c>
      <c r="AD275" s="12">
        <f>SUM(AD178:AD180,AD183,AD204,AD201)-SUM(AC178:AC180,AC183,AC204,AC201)</f>
        <v>0</v>
      </c>
      <c r="AE275" s="12">
        <f>SUM(AE178:AE180,AE183,AE204,AE201)-SUM(AD178:AD180,AD183,AD204,AD201)</f>
        <v>0</v>
      </c>
      <c r="AF275" s="12">
        <f>SUM(AF178:AF180,AF183,AF204,AF201)-SUM(AE178:AE180,AE183,AE204,AE201)</f>
        <v>0</v>
      </c>
      <c r="AG275" s="12">
        <f t="shared" si="107"/>
        <v>0</v>
      </c>
      <c r="AH275" s="12">
        <f>SUM(AH178:AH180,AH183,AH204,AH201)-SUM(AG178:AG180,AG183,AG204,AG201)</f>
        <v>0</v>
      </c>
      <c r="AI275" s="12">
        <f>SUM(AI178:AI180,AI183,AI204,AI201)-SUM(AH178:AH180,AH183,AH204,AH201)</f>
        <v>0</v>
      </c>
      <c r="AJ275" s="12">
        <f>SUM(AJ178:AJ180,AJ183,AJ204,AJ201)-SUM(AI178:AI180,AI183,AI204,AI201)</f>
        <v>0</v>
      </c>
      <c r="AK275" s="12">
        <f>SUM(AK178:AK180,AK183,AK204,AK201)-SUM(AJ178:AJ180,AJ183,AJ204,AJ201)</f>
        <v>0</v>
      </c>
      <c r="AL275" s="12">
        <f t="shared" si="109"/>
        <v>0</v>
      </c>
      <c r="AM275" s="12">
        <f>SUM(AM178:AM180,AM183,AM204,AM201)-SUM(AL178:AL180,AL183,AL204,AL201)</f>
        <v>0</v>
      </c>
      <c r="AN275" s="12">
        <f>SUM(AN178:AN180,AN183,AN204,AN201)-SUM(AM178:AM180,AM183,AM204,AM201)</f>
        <v>0</v>
      </c>
      <c r="AO275" s="12">
        <f>SUM(AO178:AO180,AO183,AO204,AO201)-SUM(AN178:AN180,AN183,AN204,AN201)</f>
        <v>0</v>
      </c>
      <c r="AP275" s="12">
        <f>SUM(AP178:AP180,AP183,AP204,AP201)-SUM(AO178:AO180,AO183,AO204,AO201)</f>
        <v>0</v>
      </c>
      <c r="AQ275" s="12">
        <f t="shared" si="111"/>
        <v>0</v>
      </c>
      <c r="AR275" s="12">
        <f>SUM(AR178:AR180,AR183,AR204,AR201)-SUM(AQ178:AQ180,AQ183,AQ204,AQ201)</f>
        <v>0</v>
      </c>
      <c r="AS275" s="12">
        <f>SUM(AS178:AS180,AS183,AS204,AS201)-SUM(AR178:AR180,AR183,AR204,AR201)</f>
        <v>0</v>
      </c>
      <c r="AT275" s="12">
        <f>SUM(AT178:AT180,AT183,AT204,AT201)-SUM(AS178:AS180,AS183,AS204,AS201)</f>
        <v>0</v>
      </c>
      <c r="AU275" s="12">
        <f>SUM(AU178:AU180,AU183,AU204,AU201)-SUM(AT178:AT180,AT183,AT204,AT201)</f>
        <v>0</v>
      </c>
      <c r="AV275" s="12">
        <f t="shared" si="113"/>
        <v>0</v>
      </c>
      <c r="AW275" s="12">
        <f>SUM(AW178:AW180,AW183,AW204,AW201)-SUM(AV178:AV180,AV183,AV204,AV201)</f>
        <v>0</v>
      </c>
      <c r="AX275" s="12">
        <f>SUM(AX178:AX180,AX183,AX204,AX201)-SUM(AW178:AW180,AW183,AW204,AW201)</f>
        <v>0</v>
      </c>
      <c r="AY275" s="12">
        <f>SUM(AY178:AY180,AY183,AY204,AY201)-SUM(AX178:AX180,AX183,AX204,AX201)</f>
        <v>0</v>
      </c>
      <c r="AZ275" s="12">
        <f>SUM(AZ178:AZ180,AZ183,AZ204,AZ201)-SUM(AY178:AY180,AY183,AY204,AY201)</f>
        <v>0</v>
      </c>
      <c r="BA275" s="12">
        <f t="shared" si="115"/>
        <v>0</v>
      </c>
      <c r="BB275" s="12">
        <f>SUM(BB178:BB180,BB183,BB204,BB201)-SUM(BA178:BA180,BA183,BA204,BA201)</f>
        <v>0</v>
      </c>
      <c r="BC275" s="12">
        <f>SUM(BC178:BC180,BC183,BC204,BC201)-SUM(BB178:BB180,BB183,BB204,BB201)</f>
        <v>0</v>
      </c>
      <c r="BD275" s="12">
        <f>SUM(BD178:BD180,BD183,BD204,BD201)-SUM(BC178:BC180,BC183,BC204,BC201)</f>
        <v>0</v>
      </c>
      <c r="BE275" s="12">
        <f>SUM(BE178:BE180,BE183,BE204,BE201)-SUM(BD178:BD180,BD183,BD204,BD201)</f>
        <v>0</v>
      </c>
      <c r="BF275" s="12">
        <f t="shared" si="117"/>
        <v>0</v>
      </c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</row>
    <row r="276" spans="1:107" x14ac:dyDescent="0.2">
      <c r="C276" s="14" t="s">
        <v>206</v>
      </c>
      <c r="D276" s="12"/>
      <c r="E276" s="12"/>
      <c r="F276" s="12"/>
      <c r="G276" s="12"/>
      <c r="H276" s="12"/>
      <c r="I276" s="12" t="e">
        <f t="shared" ref="I276:AN276" si="128">SUM(I268,I269,I270,I271,I272,I273,I274,I275)</f>
        <v>#VALUE!</v>
      </c>
      <c r="J276" s="12" t="e">
        <f t="shared" si="128"/>
        <v>#VALUE!</v>
      </c>
      <c r="K276" s="12" t="e">
        <f t="shared" si="128"/>
        <v>#VALUE!</v>
      </c>
      <c r="L276" s="12" t="e">
        <f t="shared" si="128"/>
        <v>#VALUE!</v>
      </c>
      <c r="M276" s="12" t="e">
        <f t="shared" si="128"/>
        <v>#VALUE!</v>
      </c>
      <c r="N276" s="12" t="e">
        <f t="shared" si="128"/>
        <v>#VALUE!</v>
      </c>
      <c r="O276" s="12" t="e">
        <f t="shared" si="128"/>
        <v>#VALUE!</v>
      </c>
      <c r="P276" s="12" t="e">
        <f t="shared" si="128"/>
        <v>#VALUE!</v>
      </c>
      <c r="Q276" s="12" t="e">
        <f t="shared" si="128"/>
        <v>#VALUE!</v>
      </c>
      <c r="R276" s="12" t="e">
        <f t="shared" si="128"/>
        <v>#VALUE!</v>
      </c>
      <c r="S276" s="12" t="e">
        <f t="shared" si="128"/>
        <v>#VALUE!</v>
      </c>
      <c r="T276" s="12" t="e">
        <f t="shared" si="128"/>
        <v>#VALUE!</v>
      </c>
      <c r="U276" s="12" t="e">
        <f t="shared" si="128"/>
        <v>#VALUE!</v>
      </c>
      <c r="V276" s="12" t="e">
        <f t="shared" si="128"/>
        <v>#VALUE!</v>
      </c>
      <c r="W276" s="12" t="e">
        <f t="shared" si="128"/>
        <v>#VALUE!</v>
      </c>
      <c r="X276" s="12" t="e">
        <f t="shared" si="128"/>
        <v>#VALUE!</v>
      </c>
      <c r="Y276" s="12" t="e">
        <f t="shared" si="128"/>
        <v>#VALUE!</v>
      </c>
      <c r="Z276" s="12" t="e">
        <f t="shared" si="128"/>
        <v>#VALUE!</v>
      </c>
      <c r="AA276" s="12" t="e">
        <f t="shared" si="128"/>
        <v>#VALUE!</v>
      </c>
      <c r="AB276" s="12" t="e">
        <f t="shared" si="128"/>
        <v>#VALUE!</v>
      </c>
      <c r="AC276" s="12" t="e">
        <f t="shared" si="128"/>
        <v>#VALUE!</v>
      </c>
      <c r="AD276" s="12" t="e">
        <f t="shared" si="128"/>
        <v>#VALUE!</v>
      </c>
      <c r="AE276" s="12" t="e">
        <f t="shared" si="128"/>
        <v>#VALUE!</v>
      </c>
      <c r="AF276" s="12" t="e">
        <f t="shared" si="128"/>
        <v>#VALUE!</v>
      </c>
      <c r="AG276" s="12" t="e">
        <f t="shared" si="128"/>
        <v>#VALUE!</v>
      </c>
      <c r="AH276" s="12" t="e">
        <f t="shared" si="128"/>
        <v>#VALUE!</v>
      </c>
      <c r="AI276" s="12" t="e">
        <f t="shared" si="128"/>
        <v>#VALUE!</v>
      </c>
      <c r="AJ276" s="12" t="e">
        <f t="shared" si="128"/>
        <v>#VALUE!</v>
      </c>
      <c r="AK276" s="12" t="e">
        <f t="shared" si="128"/>
        <v>#VALUE!</v>
      </c>
      <c r="AL276" s="12" t="e">
        <f t="shared" si="128"/>
        <v>#VALUE!</v>
      </c>
      <c r="AM276" s="12" t="e">
        <f t="shared" si="128"/>
        <v>#VALUE!</v>
      </c>
      <c r="AN276" s="12" t="e">
        <f t="shared" si="128"/>
        <v>#VALUE!</v>
      </c>
      <c r="AO276" s="12" t="e">
        <f t="shared" ref="AO276:BF276" si="129">SUM(AO268,AO269,AO270,AO271,AO272,AO273,AO274,AO275)</f>
        <v>#VALUE!</v>
      </c>
      <c r="AP276" s="12" t="e">
        <f t="shared" si="129"/>
        <v>#VALUE!</v>
      </c>
      <c r="AQ276" s="12" t="e">
        <f t="shared" si="129"/>
        <v>#VALUE!</v>
      </c>
      <c r="AR276" s="12" t="e">
        <f t="shared" si="129"/>
        <v>#VALUE!</v>
      </c>
      <c r="AS276" s="12" t="e">
        <f t="shared" si="129"/>
        <v>#VALUE!</v>
      </c>
      <c r="AT276" s="12" t="e">
        <f t="shared" si="129"/>
        <v>#VALUE!</v>
      </c>
      <c r="AU276" s="12" t="e">
        <f t="shared" si="129"/>
        <v>#VALUE!</v>
      </c>
      <c r="AV276" s="12" t="e">
        <f t="shared" si="129"/>
        <v>#VALUE!</v>
      </c>
      <c r="AW276" s="12" t="e">
        <f t="shared" si="129"/>
        <v>#VALUE!</v>
      </c>
      <c r="AX276" s="12" t="e">
        <f t="shared" si="129"/>
        <v>#VALUE!</v>
      </c>
      <c r="AY276" s="12" t="e">
        <f t="shared" si="129"/>
        <v>#VALUE!</v>
      </c>
      <c r="AZ276" s="12" t="e">
        <f t="shared" si="129"/>
        <v>#VALUE!</v>
      </c>
      <c r="BA276" s="12" t="e">
        <f t="shared" si="129"/>
        <v>#VALUE!</v>
      </c>
      <c r="BB276" s="12" t="e">
        <f t="shared" si="129"/>
        <v>#VALUE!</v>
      </c>
      <c r="BC276" s="12" t="e">
        <f t="shared" si="129"/>
        <v>#VALUE!</v>
      </c>
      <c r="BD276" s="12" t="e">
        <f t="shared" si="129"/>
        <v>#VALUE!</v>
      </c>
      <c r="BE276" s="12" t="e">
        <f t="shared" si="129"/>
        <v>#VALUE!</v>
      </c>
      <c r="BF276" s="12" t="e">
        <f t="shared" si="129"/>
        <v>#VALUE!</v>
      </c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</row>
    <row r="277" spans="1:107" x14ac:dyDescent="0.2">
      <c r="C277" s="14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</row>
    <row r="278" spans="1:107" x14ac:dyDescent="0.2">
      <c r="C278" s="14" t="s">
        <v>207</v>
      </c>
      <c r="D278" s="12"/>
      <c r="E278" s="12"/>
      <c r="F278" s="12"/>
      <c r="G278" s="12"/>
      <c r="H278" s="12"/>
      <c r="I278" s="12">
        <f>0</f>
        <v>0</v>
      </c>
      <c r="J278" s="12" t="e">
        <f>J110-I110-SUM(J259,J266,J276)</f>
        <v>#VALUE!</v>
      </c>
      <c r="K278" s="12" t="e">
        <f>K110-J110-SUM(K259,K266,K276)</f>
        <v>#VALUE!</v>
      </c>
      <c r="L278" s="12" t="e">
        <f>L110-K110-SUM(L259,L266,L276)</f>
        <v>#VALUE!</v>
      </c>
      <c r="M278" s="12" t="e">
        <f>SUM(I278:L278)</f>
        <v>#VALUE!</v>
      </c>
      <c r="N278" s="12" t="e">
        <f>N110-M110-SUM(N259,N266,N276)</f>
        <v>#VALUE!</v>
      </c>
      <c r="O278" s="12" t="e">
        <f>O110-N110-SUM(O259,O266,O276)</f>
        <v>#VALUE!</v>
      </c>
      <c r="P278" s="12" t="e">
        <f>P110-O110-SUM(P259,P266,P276)</f>
        <v>#VALUE!</v>
      </c>
      <c r="Q278" s="12" t="e">
        <f>Q110-P110-SUM(Q259,Q266,Q276)</f>
        <v>#VALUE!</v>
      </c>
      <c r="R278" s="12" t="e">
        <f>SUM(N278:Q278)</f>
        <v>#VALUE!</v>
      </c>
      <c r="S278" s="12" t="e">
        <f>S110-R110-SUM(S259,S266,S276)</f>
        <v>#VALUE!</v>
      </c>
      <c r="T278" s="12" t="e">
        <f>T110-S110-SUM(T259,T266,T276)</f>
        <v>#VALUE!</v>
      </c>
      <c r="U278" s="12" t="e">
        <f>U110-T110-SUM(U259,U266,U276)</f>
        <v>#VALUE!</v>
      </c>
      <c r="V278" s="12" t="e">
        <f>V110-U110-SUM(V259,V266,V276)</f>
        <v>#VALUE!</v>
      </c>
      <c r="W278" s="12" t="e">
        <f>SUM(S278:V278)</f>
        <v>#VALUE!</v>
      </c>
      <c r="X278" s="12" t="e">
        <f>X110-W110-SUM(X259,X266,X276)</f>
        <v>#VALUE!</v>
      </c>
      <c r="Y278" s="12" t="e">
        <f>Y110-X110-SUM(Y259,Y266,Y276)</f>
        <v>#VALUE!</v>
      </c>
      <c r="Z278" s="12" t="e">
        <f>Z110-Y110-SUM(Z259,Z266,Z276)</f>
        <v>#VALUE!</v>
      </c>
      <c r="AA278" s="12" t="e">
        <f>AA110-Z110-SUM(AA259,AA266,AA276)</f>
        <v>#VALUE!</v>
      </c>
      <c r="AB278" s="12" t="e">
        <f>SUM(X278:AA278)</f>
        <v>#VALUE!</v>
      </c>
      <c r="AC278" s="12" t="e">
        <f>AC110-AB110-SUM(AC259,AC266,AC276)</f>
        <v>#VALUE!</v>
      </c>
      <c r="AD278" s="12" t="e">
        <f>AD110-AC110-SUM(AD259,AD266,AD276)</f>
        <v>#VALUE!</v>
      </c>
      <c r="AE278" s="12" t="e">
        <f>AE110-AD110-SUM(AE259,AE266,AE276)</f>
        <v>#VALUE!</v>
      </c>
      <c r="AF278" s="12" t="e">
        <f>AF110-AE110-SUM(AF259,AF266,AF276)</f>
        <v>#VALUE!</v>
      </c>
      <c r="AG278" s="12" t="e">
        <f>SUM(AC278:AF278)</f>
        <v>#VALUE!</v>
      </c>
      <c r="AH278" s="12" t="e">
        <f>AH110-AG110-SUM(AH259,AH266,AH276)</f>
        <v>#VALUE!</v>
      </c>
      <c r="AI278" s="12" t="e">
        <f>AI110-AH110-SUM(AI259,AI266,AI276)</f>
        <v>#VALUE!</v>
      </c>
      <c r="AJ278" s="12" t="e">
        <f>AJ110-AI110-SUM(AJ259,AJ266,AJ276)</f>
        <v>#VALUE!</v>
      </c>
      <c r="AK278" s="12" t="e">
        <f>AK110-AJ110-SUM(AK259,AK266,AK276)</f>
        <v>#VALUE!</v>
      </c>
      <c r="AL278" s="12" t="e">
        <f>SUM(AH278:AK278)</f>
        <v>#VALUE!</v>
      </c>
      <c r="AM278" s="12" t="e">
        <f>AM110-AL110-SUM(AM259,AM266,AM276)</f>
        <v>#VALUE!</v>
      </c>
      <c r="AN278" s="12" t="e">
        <f>AN110-AM110-SUM(AN259,AN266,AN276)</f>
        <v>#VALUE!</v>
      </c>
      <c r="AO278" s="12" t="e">
        <f>AO110-AN110-SUM(AO259,AO266,AO276)</f>
        <v>#VALUE!</v>
      </c>
      <c r="AP278" s="12" t="e">
        <f>AP110-AO110-SUM(AP259,AP266,AP276)</f>
        <v>#VALUE!</v>
      </c>
      <c r="AQ278" s="12" t="e">
        <f>SUM(AM278:AP278)</f>
        <v>#VALUE!</v>
      </c>
      <c r="AR278" s="12" t="e">
        <f>AR110-AQ110-SUM(AR259,AR266,AR276)</f>
        <v>#VALUE!</v>
      </c>
      <c r="AS278" s="12" t="e">
        <f>AS110-AR110-SUM(AS259,AS266,AS276)</f>
        <v>#VALUE!</v>
      </c>
      <c r="AT278" s="12" t="e">
        <f>AT110-AS110-SUM(AT259,AT266,AT276)</f>
        <v>#VALUE!</v>
      </c>
      <c r="AU278" s="12" t="e">
        <f>AU110-AT110-SUM(AU259,AU266,AU276)</f>
        <v>#VALUE!</v>
      </c>
      <c r="AV278" s="12" t="e">
        <f>SUM(AR278:AU278)</f>
        <v>#VALUE!</v>
      </c>
      <c r="AW278" s="12" t="e">
        <f>AW110-AV110-SUM(AW259,AW266,AW276)</f>
        <v>#VALUE!</v>
      </c>
      <c r="AX278" s="12" t="e">
        <f>AX110-AW110-SUM(AX259,AX266,AX276)</f>
        <v>#VALUE!</v>
      </c>
      <c r="AY278" s="12" t="e">
        <f>AY110-AX110-SUM(AY259,AY266,AY276)</f>
        <v>#VALUE!</v>
      </c>
      <c r="AZ278" s="12" t="e">
        <f>AZ110-AY110-SUM(AZ259,AZ266,AZ276)</f>
        <v>#VALUE!</v>
      </c>
      <c r="BA278" s="12" t="e">
        <f>SUM(AW278:AZ278)</f>
        <v>#VALUE!</v>
      </c>
      <c r="BB278" s="12" t="e">
        <f>BB110-BA110-SUM(BB259,BB266,BB276)</f>
        <v>#VALUE!</v>
      </c>
      <c r="BC278" s="12" t="e">
        <f>BC110-BB110-SUM(BC259,BC266,BC276)</f>
        <v>#VALUE!</v>
      </c>
      <c r="BD278" s="12" t="e">
        <f>BD110-BC110-SUM(BD259,BD266,BD276)</f>
        <v>#VALUE!</v>
      </c>
      <c r="BE278" s="12" t="e">
        <f>BE110-BD110-SUM(BE259,BE266,BE276)</f>
        <v>#VALUE!</v>
      </c>
      <c r="BF278" s="12" t="e">
        <f>SUM(BB278:BE278)</f>
        <v>#VALUE!</v>
      </c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</row>
    <row r="279" spans="1:107" x14ac:dyDescent="0.2">
      <c r="C279" s="14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</row>
    <row r="280" spans="1:107" x14ac:dyDescent="0.2">
      <c r="C280" s="14" t="s">
        <v>208</v>
      </c>
      <c r="D280" s="12"/>
      <c r="E280" s="12"/>
      <c r="F280" s="12"/>
      <c r="G280" s="12"/>
      <c r="H280" s="12"/>
      <c r="I280" s="12" t="e">
        <f>SUM(I259,I266,I276,I278)</f>
        <v>#VALUE!</v>
      </c>
      <c r="J280" s="12" t="e">
        <f>SUM(J259,J266,J276,J278)</f>
        <v>#VALUE!</v>
      </c>
      <c r="K280" s="12" t="e">
        <f>SUM(K259,K266,K276,K278)</f>
        <v>#VALUE!</v>
      </c>
      <c r="L280" s="12" t="e">
        <f>SUM(L259,L266,L276,L278)</f>
        <v>#VALUE!</v>
      </c>
      <c r="M280" s="12" t="e">
        <f>SUM(I280:L280)</f>
        <v>#VALUE!</v>
      </c>
      <c r="N280" s="12" t="e">
        <f>SUM(N259,N266,N276,N278)</f>
        <v>#VALUE!</v>
      </c>
      <c r="O280" s="12" t="e">
        <f>SUM(O259,O266,O276,O278)</f>
        <v>#VALUE!</v>
      </c>
      <c r="P280" s="12" t="e">
        <f>SUM(P259,P266,P276,P278)</f>
        <v>#VALUE!</v>
      </c>
      <c r="Q280" s="12" t="e">
        <f>SUM(Q259,Q266,Q276,Q278)</f>
        <v>#VALUE!</v>
      </c>
      <c r="R280" s="12" t="e">
        <f>SUM(N280:Q280)</f>
        <v>#VALUE!</v>
      </c>
      <c r="S280" s="12" t="e">
        <f>SUM(S259,S266,S276,S278)</f>
        <v>#VALUE!</v>
      </c>
      <c r="T280" s="12" t="e">
        <f>SUM(T259,T266,T276,T278)</f>
        <v>#VALUE!</v>
      </c>
      <c r="U280" s="12" t="e">
        <f>SUM(U259,U266,U276,U278)</f>
        <v>#VALUE!</v>
      </c>
      <c r="V280" s="12" t="e">
        <f>SUM(V259,V266,V276,V278)</f>
        <v>#VALUE!</v>
      </c>
      <c r="W280" s="12" t="e">
        <f>SUM(S280:V280)</f>
        <v>#VALUE!</v>
      </c>
      <c r="X280" s="12" t="e">
        <f>SUM(X259,X266,X276,X278)</f>
        <v>#VALUE!</v>
      </c>
      <c r="Y280" s="12" t="e">
        <f>SUM(Y259,Y266,Y276,Y278)</f>
        <v>#VALUE!</v>
      </c>
      <c r="Z280" s="12" t="e">
        <f>SUM(Z259,Z266,Z276,Z278)</f>
        <v>#VALUE!</v>
      </c>
      <c r="AA280" s="12" t="e">
        <f>SUM(AA259,AA266,AA276,AA278)</f>
        <v>#VALUE!</v>
      </c>
      <c r="AB280" s="12" t="e">
        <f>SUM(X280:AA280)</f>
        <v>#VALUE!</v>
      </c>
      <c r="AC280" s="12" t="e">
        <f>SUM(AC259,AC266,AC276,AC278)</f>
        <v>#VALUE!</v>
      </c>
      <c r="AD280" s="12" t="e">
        <f>SUM(AD259,AD266,AD276,AD278)</f>
        <v>#VALUE!</v>
      </c>
      <c r="AE280" s="12" t="e">
        <f>SUM(AE259,AE266,AE276,AE278)</f>
        <v>#VALUE!</v>
      </c>
      <c r="AF280" s="12" t="e">
        <f>SUM(AF259,AF266,AF276,AF278)</f>
        <v>#VALUE!</v>
      </c>
      <c r="AG280" s="12" t="e">
        <f>SUM(AC280:AF280)</f>
        <v>#VALUE!</v>
      </c>
      <c r="AH280" s="12" t="e">
        <f>SUM(AH259,AH266,AH276,AH278)</f>
        <v>#VALUE!</v>
      </c>
      <c r="AI280" s="12" t="e">
        <f>SUM(AI259,AI266,AI276,AI278)</f>
        <v>#VALUE!</v>
      </c>
      <c r="AJ280" s="12" t="e">
        <f>SUM(AJ259,AJ266,AJ276,AJ278)</f>
        <v>#VALUE!</v>
      </c>
      <c r="AK280" s="12" t="e">
        <f>SUM(AK259,AK266,AK276,AK278)</f>
        <v>#VALUE!</v>
      </c>
      <c r="AL280" s="12" t="e">
        <f>SUM(AH280:AK280)</f>
        <v>#VALUE!</v>
      </c>
      <c r="AM280" s="12" t="e">
        <f>SUM(AM259,AM266,AM276,AM278)</f>
        <v>#VALUE!</v>
      </c>
      <c r="AN280" s="12" t="e">
        <f>SUM(AN259,AN266,AN276,AN278)</f>
        <v>#VALUE!</v>
      </c>
      <c r="AO280" s="12" t="e">
        <f>SUM(AO259,AO266,AO276,AO278)</f>
        <v>#VALUE!</v>
      </c>
      <c r="AP280" s="12" t="e">
        <f>SUM(AP259,AP266,AP276,AP278)</f>
        <v>#VALUE!</v>
      </c>
      <c r="AQ280" s="12" t="e">
        <f>SUM(AM280:AP280)</f>
        <v>#VALUE!</v>
      </c>
      <c r="AR280" s="12" t="e">
        <f>SUM(AR259,AR266,AR276,AR278)</f>
        <v>#VALUE!</v>
      </c>
      <c r="AS280" s="12" t="e">
        <f>SUM(AS259,AS266,AS276,AS278)</f>
        <v>#VALUE!</v>
      </c>
      <c r="AT280" s="12" t="e">
        <f>SUM(AT259,AT266,AT276,AT278)</f>
        <v>#VALUE!</v>
      </c>
      <c r="AU280" s="12" t="e">
        <f>SUM(AU259,AU266,AU276,AU278)</f>
        <v>#VALUE!</v>
      </c>
      <c r="AV280" s="12" t="e">
        <f>SUM(AR280:AU280)</f>
        <v>#VALUE!</v>
      </c>
      <c r="AW280" s="12" t="e">
        <f>SUM(AW259,AW266,AW276,AW278)</f>
        <v>#VALUE!</v>
      </c>
      <c r="AX280" s="12" t="e">
        <f>SUM(AX259,AX266,AX276,AX278)</f>
        <v>#VALUE!</v>
      </c>
      <c r="AY280" s="12" t="e">
        <f>SUM(AY259,AY266,AY276,AY278)</f>
        <v>#VALUE!</v>
      </c>
      <c r="AZ280" s="12" t="e">
        <f>SUM(AZ259,AZ266,AZ276,AZ278)</f>
        <v>#VALUE!</v>
      </c>
      <c r="BA280" s="12" t="e">
        <f>SUM(AW280:AZ280)</f>
        <v>#VALUE!</v>
      </c>
      <c r="BB280" s="12" t="e">
        <f>SUM(BB259,BB266,BB276,BB278)</f>
        <v>#VALUE!</v>
      </c>
      <c r="BC280" s="12" t="e">
        <f>SUM(BC259,BC266,BC276,BC278)</f>
        <v>#VALUE!</v>
      </c>
      <c r="BD280" s="12" t="e">
        <f>SUM(BD259,BD266,BD276,BD278)</f>
        <v>#VALUE!</v>
      </c>
      <c r="BE280" s="12" t="e">
        <f>SUM(BE259,BE266,BE276,BE278)</f>
        <v>#VALUE!</v>
      </c>
      <c r="BF280" s="12" t="e">
        <f>SUM(BB280:BE280)</f>
        <v>#VALUE!</v>
      </c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</row>
    <row r="281" spans="1:107" x14ac:dyDescent="0.2">
      <c r="C281" s="4" t="s">
        <v>209</v>
      </c>
      <c r="E281" s="72"/>
      <c r="F281" s="72"/>
      <c r="G281" s="72"/>
      <c r="I281" s="72" t="str">
        <f>""</f>
        <v/>
      </c>
      <c r="J281" s="72" t="e">
        <f>J110-I110-J280</f>
        <v>#VALUE!</v>
      </c>
      <c r="K281" s="72" t="e">
        <f>K110-J110-K280</f>
        <v>#VALUE!</v>
      </c>
      <c r="L281" s="72" t="e">
        <f>L110-K110-L280</f>
        <v>#VALUE!</v>
      </c>
      <c r="M281" s="4" t="str">
        <f>""</f>
        <v/>
      </c>
      <c r="N281" s="72" t="e">
        <f>N110-M110-N280</f>
        <v>#VALUE!</v>
      </c>
      <c r="O281" s="72" t="e">
        <f>O110-N110-O280</f>
        <v>#VALUE!</v>
      </c>
      <c r="P281" s="72" t="e">
        <f>P110-O110-P280</f>
        <v>#VALUE!</v>
      </c>
      <c r="Q281" s="72" t="e">
        <f>Q110-P110-Q280</f>
        <v>#VALUE!</v>
      </c>
      <c r="R281" s="4" t="e">
        <f>R110-M110-R280</f>
        <v>#VALUE!</v>
      </c>
      <c r="S281" s="72" t="e">
        <f>S110-R110-S280</f>
        <v>#VALUE!</v>
      </c>
      <c r="T281" s="72" t="e">
        <f>T110-S110-T280</f>
        <v>#VALUE!</v>
      </c>
      <c r="U281" s="72" t="e">
        <f>U110-T110-U280</f>
        <v>#VALUE!</v>
      </c>
      <c r="V281" s="72" t="e">
        <f>V110-U110-V280</f>
        <v>#VALUE!</v>
      </c>
      <c r="W281" s="4" t="e">
        <f>W110-R110-W280</f>
        <v>#VALUE!</v>
      </c>
      <c r="X281" s="72" t="e">
        <f>X110-W110-X280</f>
        <v>#VALUE!</v>
      </c>
      <c r="Y281" s="72" t="e">
        <f>Y110-X110-Y280</f>
        <v>#VALUE!</v>
      </c>
      <c r="Z281" s="72" t="e">
        <f>Z110-Y110-Z280</f>
        <v>#VALUE!</v>
      </c>
      <c r="AA281" s="72" t="e">
        <f>AA110-Z110-AA280</f>
        <v>#VALUE!</v>
      </c>
      <c r="AB281" s="4" t="e">
        <f>AB110-W110-AB280</f>
        <v>#VALUE!</v>
      </c>
      <c r="AC281" s="72" t="e">
        <f>AC110-AB110-AC280</f>
        <v>#VALUE!</v>
      </c>
      <c r="AD281" s="72" t="e">
        <f>AD110-AC110-AD280</f>
        <v>#VALUE!</v>
      </c>
      <c r="AE281" s="72" t="e">
        <f>AE110-AD110-AE280</f>
        <v>#VALUE!</v>
      </c>
      <c r="AF281" s="72" t="e">
        <f>AF110-AE110-AF280</f>
        <v>#VALUE!</v>
      </c>
      <c r="AG281" s="4" t="e">
        <f>AG110-AB110-AG280</f>
        <v>#VALUE!</v>
      </c>
      <c r="AH281" s="72" t="e">
        <f>AH110-AG110-AH280</f>
        <v>#VALUE!</v>
      </c>
      <c r="AI281" s="72" t="e">
        <f>AI110-AH110-AI280</f>
        <v>#VALUE!</v>
      </c>
      <c r="AJ281" s="72" t="e">
        <f>AJ110-AI110-AJ280</f>
        <v>#VALUE!</v>
      </c>
      <c r="AK281" s="72" t="e">
        <f>AK110-AJ110-AK280</f>
        <v>#VALUE!</v>
      </c>
      <c r="AL281" s="4" t="e">
        <f>AL110-AG110-AL280</f>
        <v>#VALUE!</v>
      </c>
      <c r="AM281" s="72" t="e">
        <f>AM110-AL110-AM280</f>
        <v>#VALUE!</v>
      </c>
      <c r="AN281" s="72" t="e">
        <f>AN110-AM110-AN280</f>
        <v>#VALUE!</v>
      </c>
      <c r="AO281" s="72" t="e">
        <f>AO110-AN110-AO280</f>
        <v>#VALUE!</v>
      </c>
      <c r="AP281" s="72" t="e">
        <f>AP110-AO110-AP280</f>
        <v>#VALUE!</v>
      </c>
      <c r="AQ281" s="4" t="e">
        <f>AQ110-AL110-AQ280</f>
        <v>#VALUE!</v>
      </c>
      <c r="AR281" s="72" t="e">
        <f>AR110-AQ110-AR280</f>
        <v>#VALUE!</v>
      </c>
      <c r="AS281" s="72" t="e">
        <f>AS110-AR110-AS280</f>
        <v>#VALUE!</v>
      </c>
      <c r="AT281" s="72" t="e">
        <f>AT110-AS110-AT280</f>
        <v>#VALUE!</v>
      </c>
      <c r="AU281" s="72" t="e">
        <f>AU110-AT110-AU280</f>
        <v>#VALUE!</v>
      </c>
      <c r="AV281" s="4" t="e">
        <f>AV110-AQ110-AV280</f>
        <v>#VALUE!</v>
      </c>
      <c r="AW281" s="72" t="e">
        <f>AW110-AV110-AW280</f>
        <v>#VALUE!</v>
      </c>
      <c r="AX281" s="72" t="e">
        <f>AX110-AW110-AX280</f>
        <v>#VALUE!</v>
      </c>
      <c r="AY281" s="72" t="e">
        <f>AY110-AX110-AY280</f>
        <v>#VALUE!</v>
      </c>
      <c r="AZ281" s="72" t="e">
        <f>AZ110-AY110-AZ280</f>
        <v>#VALUE!</v>
      </c>
      <c r="BA281" s="4" t="e">
        <f>BA110-AV110-BA280</f>
        <v>#VALUE!</v>
      </c>
      <c r="BB281" s="72" t="e">
        <f>BB110-BA110-BB280</f>
        <v>#VALUE!</v>
      </c>
      <c r="BC281" s="72" t="e">
        <f>BC110-BB110-BC280</f>
        <v>#VALUE!</v>
      </c>
      <c r="BD281" s="72" t="e">
        <f>BD110-BC110-BD280</f>
        <v>#VALUE!</v>
      </c>
      <c r="BE281" s="72" t="e">
        <f>BE110-BD110-BE280</f>
        <v>#VALUE!</v>
      </c>
      <c r="BF281" s="4" t="e">
        <f>BF110-BA110-BF280</f>
        <v>#VALUE!</v>
      </c>
      <c r="BG281" s="72"/>
      <c r="BH281" s="72"/>
      <c r="BI281" s="72"/>
      <c r="BJ281" s="72"/>
      <c r="BL281" s="72"/>
      <c r="BM281" s="72"/>
      <c r="BN281" s="72"/>
      <c r="BO281" s="72"/>
      <c r="BQ281" s="72"/>
      <c r="BR281" s="72"/>
      <c r="BS281" s="72"/>
      <c r="BT281" s="72"/>
      <c r="BV281" s="72"/>
      <c r="BW281" s="72"/>
      <c r="BX281" s="72"/>
      <c r="BY281" s="72"/>
      <c r="CA281" s="72"/>
      <c r="CB281" s="72"/>
      <c r="CC281" s="72"/>
      <c r="CD281" s="72"/>
      <c r="CF281" s="72"/>
      <c r="CG281" s="72"/>
      <c r="CH281" s="72"/>
      <c r="CI281" s="72"/>
      <c r="CK281" s="72"/>
      <c r="CL281" s="72"/>
      <c r="CM281" s="72"/>
      <c r="CN281" s="72"/>
      <c r="CP281" s="72"/>
      <c r="CQ281" s="72"/>
      <c r="CR281" s="72"/>
      <c r="CS281" s="72"/>
      <c r="CU281" s="72"/>
      <c r="CV281" s="72"/>
      <c r="CW281" s="72"/>
      <c r="CX281" s="72"/>
    </row>
    <row r="283" spans="1:107" x14ac:dyDescent="0.2">
      <c r="C283" s="73" t="s">
        <v>210</v>
      </c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</row>
    <row r="285" spans="1:107" s="74" customFormat="1" x14ac:dyDescent="0.2">
      <c r="C285" s="74" t="s">
        <v>211</v>
      </c>
      <c r="D285">
        <f t="shared" ref="D285:AI285" si="130">IFERROR(D241,"")</f>
        <v>0</v>
      </c>
      <c r="E285" s="75">
        <f t="shared" si="130"/>
        <v>0</v>
      </c>
      <c r="F285" s="75">
        <f t="shared" si="130"/>
        <v>0</v>
      </c>
      <c r="G285" s="75">
        <f t="shared" si="130"/>
        <v>0</v>
      </c>
      <c r="H285" s="75">
        <f t="shared" si="130"/>
        <v>0</v>
      </c>
      <c r="I285" s="75" t="str">
        <f t="shared" si="130"/>
        <v>1Q21</v>
      </c>
      <c r="J285" s="75" t="str">
        <f t="shared" si="130"/>
        <v>2Q21</v>
      </c>
      <c r="K285" s="75" t="str">
        <f t="shared" si="130"/>
        <v>3Q21</v>
      </c>
      <c r="L285" s="75" t="str">
        <f t="shared" si="130"/>
        <v>4Q21</v>
      </c>
      <c r="M285" s="75">
        <f t="shared" si="130"/>
        <v>2021</v>
      </c>
      <c r="N285" s="75" t="str">
        <f t="shared" si="130"/>
        <v>1Q22</v>
      </c>
      <c r="O285" s="75" t="str">
        <f t="shared" si="130"/>
        <v>2Q22</v>
      </c>
      <c r="P285" s="75" t="str">
        <f t="shared" si="130"/>
        <v>3Q22</v>
      </c>
      <c r="Q285" s="75" t="str">
        <f t="shared" si="130"/>
        <v>4Q22</v>
      </c>
      <c r="R285" s="75">
        <f t="shared" si="130"/>
        <v>2022</v>
      </c>
      <c r="S285" s="75" t="str">
        <f t="shared" si="130"/>
        <v>1Q23</v>
      </c>
      <c r="T285" s="75" t="str">
        <f t="shared" si="130"/>
        <v>2Q23</v>
      </c>
      <c r="U285" s="75" t="str">
        <f t="shared" si="130"/>
        <v>3Q23</v>
      </c>
      <c r="V285" s="75" t="str">
        <f t="shared" si="130"/>
        <v>4Q23</v>
      </c>
      <c r="W285" s="75">
        <f t="shared" si="130"/>
        <v>2023</v>
      </c>
      <c r="X285" s="75" t="str">
        <f t="shared" si="130"/>
        <v>1Q24</v>
      </c>
      <c r="Y285" s="75" t="str">
        <f t="shared" si="130"/>
        <v>2Q24</v>
      </c>
      <c r="Z285" s="75" t="str">
        <f t="shared" si="130"/>
        <v>3Q24</v>
      </c>
      <c r="AA285" s="75" t="str">
        <f t="shared" si="130"/>
        <v>4Q24</v>
      </c>
      <c r="AB285" s="75">
        <f t="shared" si="130"/>
        <v>2024</v>
      </c>
      <c r="AC285" s="75" t="str">
        <f t="shared" si="130"/>
        <v>1Q25</v>
      </c>
      <c r="AD285" s="75" t="str">
        <f t="shared" si="130"/>
        <v>2Q25</v>
      </c>
      <c r="AE285" s="75" t="str">
        <f t="shared" si="130"/>
        <v>3Q25</v>
      </c>
      <c r="AF285" s="75" t="str">
        <f t="shared" si="130"/>
        <v>4Q25</v>
      </c>
      <c r="AG285" s="75">
        <f t="shared" si="130"/>
        <v>2025</v>
      </c>
      <c r="AH285" s="75" t="str">
        <f t="shared" si="130"/>
        <v>1Q26</v>
      </c>
      <c r="AI285" s="75" t="str">
        <f t="shared" si="130"/>
        <v>2Q26</v>
      </c>
      <c r="AJ285" s="75" t="str">
        <f t="shared" ref="AJ285:BF285" si="131">IFERROR(AJ241,"")</f>
        <v>3Q26</v>
      </c>
      <c r="AK285" s="75" t="str">
        <f t="shared" si="131"/>
        <v>4Q26</v>
      </c>
      <c r="AL285" s="75">
        <f t="shared" si="131"/>
        <v>2026</v>
      </c>
      <c r="AM285" s="75" t="str">
        <f t="shared" si="131"/>
        <v>1Q27</v>
      </c>
      <c r="AN285" s="75" t="str">
        <f t="shared" si="131"/>
        <v>2Q27</v>
      </c>
      <c r="AO285" s="75" t="str">
        <f t="shared" si="131"/>
        <v>3Q27</v>
      </c>
      <c r="AP285" s="75" t="str">
        <f t="shared" si="131"/>
        <v>4Q27</v>
      </c>
      <c r="AQ285" s="75">
        <f t="shared" si="131"/>
        <v>2027</v>
      </c>
      <c r="AR285" s="75" t="str">
        <f t="shared" si="131"/>
        <v>1Q28</v>
      </c>
      <c r="AS285" s="75" t="str">
        <f t="shared" si="131"/>
        <v>2Q28</v>
      </c>
      <c r="AT285" s="75" t="str">
        <f t="shared" si="131"/>
        <v>3Q28</v>
      </c>
      <c r="AU285" s="75" t="str">
        <f t="shared" si="131"/>
        <v>4Q28</v>
      </c>
      <c r="AV285" s="75">
        <f t="shared" si="131"/>
        <v>2028</v>
      </c>
      <c r="AW285" s="75" t="str">
        <f t="shared" si="131"/>
        <v>1Q29</v>
      </c>
      <c r="AX285" s="75" t="str">
        <f t="shared" si="131"/>
        <v>2Q29</v>
      </c>
      <c r="AY285" s="75" t="str">
        <f t="shared" si="131"/>
        <v>3Q29</v>
      </c>
      <c r="AZ285" s="75" t="str">
        <f t="shared" si="131"/>
        <v>4Q29</v>
      </c>
      <c r="BA285" s="75">
        <f t="shared" si="131"/>
        <v>2029</v>
      </c>
      <c r="BB285" s="75" t="str">
        <f t="shared" si="131"/>
        <v>1Q30</v>
      </c>
      <c r="BC285" s="75" t="str">
        <f t="shared" si="131"/>
        <v>2Q30</v>
      </c>
      <c r="BD285" s="75" t="str">
        <f t="shared" si="131"/>
        <v>3Q30</v>
      </c>
      <c r="BE285" s="75" t="str">
        <f t="shared" si="131"/>
        <v>4Q30</v>
      </c>
      <c r="BF285" s="75">
        <f t="shared" si="131"/>
        <v>2030</v>
      </c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75"/>
      <c r="CG285" s="75"/>
      <c r="CH285" s="75"/>
      <c r="CI285" s="75"/>
      <c r="CJ285" s="75"/>
      <c r="CK285" s="75"/>
      <c r="CL285" s="75"/>
      <c r="CM285" s="75"/>
      <c r="CN285" s="75"/>
      <c r="CO285" s="75"/>
      <c r="CP285" s="75"/>
      <c r="CQ285" s="75"/>
      <c r="CR285" s="75"/>
      <c r="CS285" s="75"/>
      <c r="CT285" s="75"/>
      <c r="CU285" s="75"/>
      <c r="CV285" s="75"/>
      <c r="CW285" s="75"/>
      <c r="CX285" s="75"/>
      <c r="CY285" s="75"/>
    </row>
    <row r="286" spans="1:107" s="77" customFormat="1" x14ac:dyDescent="0.2">
      <c r="A286" s="76"/>
      <c r="B286" s="76"/>
      <c r="C286" s="74" t="s">
        <v>212</v>
      </c>
    </row>
    <row r="287" spans="1:107" s="77" customFormat="1" x14ac:dyDescent="0.2">
      <c r="A287" s="76"/>
      <c r="B287" s="76"/>
      <c r="C287" s="77" t="s">
        <v>379</v>
      </c>
      <c r="E287" s="78" t="str">
        <f>IFERROR(E15/D15-1,"")</f>
        <v/>
      </c>
      <c r="F287" s="78" t="str">
        <f>IFERROR(F15/E15-1,"")</f>
        <v/>
      </c>
      <c r="G287" s="78" t="str">
        <f>IFERROR(G15/F15-1,"")</f>
        <v/>
      </c>
      <c r="H287" s="257" t="str">
        <f>""</f>
        <v/>
      </c>
      <c r="I287" s="257" t="str">
        <f>""</f>
        <v/>
      </c>
      <c r="J287" s="257" t="str">
        <f>""</f>
        <v/>
      </c>
      <c r="K287" s="257" t="str">
        <f>""</f>
        <v/>
      </c>
      <c r="L287" s="257" t="str">
        <f>""</f>
        <v/>
      </c>
      <c r="M287" s="257" t="str">
        <f>IFERROR(IF(AND(ISNUMBER(M15),ISNUMBER(H15),H15&lt;&gt;0),M15/H15-1,""),"")</f>
        <v/>
      </c>
      <c r="N287" s="257" t="str">
        <f>IFERROR(IF(AND(ISNUMBER(N15),ISNUMBER(I15),I15&lt;&gt;0),N15/I15-1,""),"")</f>
        <v/>
      </c>
      <c r="O287" s="257" t="str">
        <f>IFERROR(IF(AND(ISNUMBER(O15),ISNUMBER(J15),J15&lt;&gt;0),O15/J15-1,""),"")</f>
        <v/>
      </c>
      <c r="P287" s="257" t="str">
        <f>IFERROR(IF(AND(ISNUMBER(P15),ISNUMBER(K15),K15&lt;&gt;0),P15/K15-1,""),"")</f>
        <v/>
      </c>
      <c r="Q287" s="257" t="str">
        <f>IFERROR(IF(AND(ISNUMBER(Q15),ISNUMBER(L15),L15&lt;&gt;0),Q15/L15-1,""),"")</f>
        <v/>
      </c>
      <c r="R287" s="257" t="str">
        <f>IFERROR(IF(AND(ISNUMBER(R15),ISNUMBER(M15),M15&lt;&gt;0),R15/M15-1,""),"")</f>
        <v/>
      </c>
      <c r="S287" s="257" t="str">
        <f>IFERROR(IF(AND(ISNUMBER(S15),ISNUMBER(N15),N15&lt;&gt;0),S15/N15-1,""),"")</f>
        <v/>
      </c>
      <c r="T287" s="257" t="str">
        <f>IFERROR(IF(AND(ISNUMBER(T15),ISNUMBER(O15),O15&lt;&gt;0),T15/O15-1,""),"")</f>
        <v/>
      </c>
      <c r="U287" s="257" t="str">
        <f>IFERROR(IF(AND(ISNUMBER(U15),ISNUMBER(P15),P15&lt;&gt;0),U15/P15-1,""),"")</f>
        <v/>
      </c>
      <c r="V287" s="257" t="str">
        <f>IFERROR(IF(AND(ISNUMBER(V15),ISNUMBER(Q15),Q15&lt;&gt;0),V15/Q15-1,""),"")</f>
        <v/>
      </c>
      <c r="W287" s="257" t="str">
        <f>IFERROR(IF(AND(ISNUMBER(W15),ISNUMBER(R15),R15&lt;&gt;0),W15/R15-1,""),"")</f>
        <v/>
      </c>
      <c r="X287" s="257" t="str">
        <f>IFERROR(IF(AND(ISNUMBER(X15),ISNUMBER(S15),S15&lt;&gt;0),X15/S15-1,""),"")</f>
        <v/>
      </c>
      <c r="Y287" s="257" t="str">
        <f>IFERROR(IF(AND(ISNUMBER(Y15),ISNUMBER(T15),T15&lt;&gt;0),Y15/T15-1,""),"")</f>
        <v/>
      </c>
      <c r="Z287" s="257" t="str">
        <f>IFERROR(IF(AND(ISNUMBER(Z15),ISNUMBER(U15),U15&lt;&gt;0),Z15/U15-1,""),"")</f>
        <v/>
      </c>
      <c r="AA287" s="257" t="str">
        <f>IFERROR(IF(AND(ISNUMBER(AA15),ISNUMBER(V15),V15&lt;&gt;0),AA15/V15-1,""),"")</f>
        <v/>
      </c>
      <c r="AB287" s="257" t="str">
        <f>IFERROR(IF(AND(ISNUMBER(AB15),ISNUMBER(W15),W15&lt;&gt;0),AB15/W15-1,""),"")</f>
        <v/>
      </c>
      <c r="AC287" s="257" t="str">
        <f>IFERROR(IF(AND(ISNUMBER(AC15),ISNUMBER(X15),X15&lt;&gt;0),AC15/X15-1,""),"")</f>
        <v/>
      </c>
      <c r="AD287" s="257" t="str">
        <f>IFERROR(IF(AND(ISNUMBER(AD15),ISNUMBER(Y15),Y15&lt;&gt;0),AD15/Y15-1,""),"")</f>
        <v/>
      </c>
      <c r="AE287" s="257" t="str">
        <f>IFERROR(IF(AND(ISNUMBER(AE15),ISNUMBER(Z15),Z15&lt;&gt;0),AE15/Z15-1,""),"")</f>
        <v/>
      </c>
      <c r="AF287" s="257" t="str">
        <f>IFERROR(IF(AND(ISNUMBER(AF15),ISNUMBER(AA15),AA15&lt;&gt;0),AF15/AA15-1,""),"")</f>
        <v/>
      </c>
      <c r="AG287" s="257" t="str">
        <f>IFERROR(IF(AND(ISNUMBER(AG15),ISNUMBER(AB15),AB15&lt;&gt;0),AG15/AB15-1,""),"")</f>
        <v/>
      </c>
      <c r="AH287" s="257" t="str">
        <f>IFERROR(IF(AND(ISNUMBER(AH15),ISNUMBER(AC15),AC15&lt;&gt;0),AH15/AC15-1,""),"")</f>
        <v/>
      </c>
      <c r="AI287" s="257" t="str">
        <f>IFERROR(IF(AND(ISNUMBER(AI15),ISNUMBER(AD15),AD15&lt;&gt;0),AI15/AD15-1,""),"")</f>
        <v/>
      </c>
      <c r="AJ287" s="257" t="str">
        <f>IFERROR(IF(AND(ISNUMBER(AJ15),ISNUMBER(AE15),AE15&lt;&gt;0),AJ15/AE15-1,""),"")</f>
        <v/>
      </c>
      <c r="AK287" s="257" t="str">
        <f>IFERROR(IF(AND(ISNUMBER(AK15),ISNUMBER(AF15),AF15&lt;&gt;0),AK15/AF15-1,""),"")</f>
        <v/>
      </c>
      <c r="AL287" s="257" t="str">
        <f>IFERROR(IF(AND(ISNUMBER(AL15),ISNUMBER(AG15),AG15&lt;&gt;0),AL15/AG15-1,""),"")</f>
        <v/>
      </c>
      <c r="AM287" s="257" t="str">
        <f>IFERROR(IF(AND(ISNUMBER(AM15),ISNUMBER(AH15),AH15&lt;&gt;0),AM15/AH15-1,""),"")</f>
        <v/>
      </c>
      <c r="AN287" s="257" t="str">
        <f>IFERROR(IF(AND(ISNUMBER(AN15),ISNUMBER(AI15),AI15&lt;&gt;0),AN15/AI15-1,""),"")</f>
        <v/>
      </c>
      <c r="AO287" s="257" t="str">
        <f>IFERROR(IF(AND(ISNUMBER(AO15),ISNUMBER(AJ15),AJ15&lt;&gt;0),AO15/AJ15-1,""),"")</f>
        <v/>
      </c>
      <c r="AP287" s="257" t="str">
        <f>IFERROR(IF(AND(ISNUMBER(AP15),ISNUMBER(AK15),AK15&lt;&gt;0),AP15/AK15-1,""),"")</f>
        <v/>
      </c>
      <c r="AQ287" s="257" t="str">
        <f>IFERROR(IF(AND(ISNUMBER(AQ15),ISNUMBER(AL15),AL15&lt;&gt;0),AQ15/AL15-1,""),"")</f>
        <v/>
      </c>
      <c r="AR287" s="257" t="str">
        <f>IFERROR(IF(AND(ISNUMBER(AR15),ISNUMBER(AM15),AM15&lt;&gt;0),AR15/AM15-1,""),"")</f>
        <v/>
      </c>
      <c r="AS287" s="257" t="str">
        <f>IFERROR(IF(AND(ISNUMBER(AS15),ISNUMBER(AN15),AN15&lt;&gt;0),AS15/AN15-1,""),"")</f>
        <v/>
      </c>
      <c r="AT287" s="257" t="str">
        <f>IFERROR(IF(AND(ISNUMBER(AT15),ISNUMBER(AO15),AO15&lt;&gt;0),AT15/AO15-1,""),"")</f>
        <v/>
      </c>
      <c r="AU287" s="257" t="str">
        <f>IFERROR(IF(AND(ISNUMBER(AU15),ISNUMBER(AP15),AP15&lt;&gt;0),AU15/AP15-1,""),"")</f>
        <v/>
      </c>
      <c r="AV287" s="257" t="str">
        <f>IFERROR(IF(AND(ISNUMBER(AV15),ISNUMBER(AQ15),AQ15&lt;&gt;0),AV15/AQ15-1,""),"")</f>
        <v/>
      </c>
      <c r="AW287" s="257" t="str">
        <f>IFERROR(IF(AND(ISNUMBER(AW15),ISNUMBER(AR15),AR15&lt;&gt;0),AW15/AR15-1,""),"")</f>
        <v/>
      </c>
      <c r="AX287" s="257" t="str">
        <f>IFERROR(IF(AND(ISNUMBER(AX15),ISNUMBER(AS15),AS15&lt;&gt;0),AX15/AS15-1,""),"")</f>
        <v/>
      </c>
      <c r="AY287" s="257" t="str">
        <f>IFERROR(IF(AND(ISNUMBER(AY15),ISNUMBER(AT15),AT15&lt;&gt;0),AY15/AT15-1,""),"")</f>
        <v/>
      </c>
      <c r="AZ287" s="257" t="str">
        <f>IFERROR(IF(AND(ISNUMBER(AZ15),ISNUMBER(AU15),AU15&lt;&gt;0),AZ15/AU15-1,""),"")</f>
        <v/>
      </c>
      <c r="BA287" s="257" t="str">
        <f>IFERROR(IF(AND(ISNUMBER(BA15),ISNUMBER(AV15),AV15&lt;&gt;0),BA15/AV15-1,""),"")</f>
        <v/>
      </c>
      <c r="BB287" s="257" t="str">
        <f>IFERROR(IF(AND(ISNUMBER(BB15),ISNUMBER(AW15),AW15&lt;&gt;0),BB15/AW15-1,""),"")</f>
        <v/>
      </c>
      <c r="BC287" s="257" t="str">
        <f>IFERROR(IF(AND(ISNUMBER(BC15),ISNUMBER(AX15),AX15&lt;&gt;0),BC15/AX15-1,""),"")</f>
        <v/>
      </c>
      <c r="BD287" s="257" t="str">
        <f>IFERROR(IF(AND(ISNUMBER(BD15),ISNUMBER(AY15),AY15&lt;&gt;0),BD15/AY15-1,""),"")</f>
        <v/>
      </c>
      <c r="BE287" s="257" t="str">
        <f>IFERROR(IF(AND(ISNUMBER(BE15),ISNUMBER(AZ15),AZ15&lt;&gt;0),BE15/AZ15-1,""),"")</f>
        <v/>
      </c>
      <c r="BF287" s="257" t="str">
        <f>IFERROR(IF(AND(ISNUMBER(BF15),ISNUMBER(BA15),BA15&lt;&gt;0),BF15/BA15-1,""),"")</f>
        <v/>
      </c>
      <c r="BG287" s="79"/>
      <c r="BH287" s="79"/>
      <c r="BI287" s="79"/>
      <c r="BJ287" s="79"/>
      <c r="BK287" s="78"/>
      <c r="BL287" s="79"/>
      <c r="BM287" s="79"/>
      <c r="BN287" s="79"/>
      <c r="BO287" s="79"/>
      <c r="BP287" s="78"/>
      <c r="BQ287" s="79"/>
      <c r="BR287" s="79"/>
      <c r="BS287" s="79"/>
      <c r="BT287" s="79"/>
      <c r="BU287" s="78"/>
      <c r="BV287" s="79"/>
      <c r="BW287" s="79"/>
      <c r="BX287" s="79"/>
      <c r="BY287" s="79"/>
      <c r="BZ287" s="78"/>
      <c r="CA287" s="79"/>
      <c r="CB287" s="79"/>
      <c r="CC287" s="79"/>
      <c r="CD287" s="79"/>
      <c r="CE287" s="78"/>
      <c r="CF287" s="79"/>
      <c r="CG287" s="79"/>
      <c r="CH287" s="79"/>
      <c r="CI287" s="79"/>
      <c r="CJ287" s="78"/>
      <c r="CK287" s="79"/>
      <c r="CL287" s="79"/>
      <c r="CM287" s="79"/>
      <c r="CN287" s="79"/>
      <c r="CO287" s="78"/>
      <c r="CP287" s="79"/>
      <c r="CQ287" s="79"/>
      <c r="CR287" s="79"/>
      <c r="CS287" s="79"/>
      <c r="CT287" s="78"/>
      <c r="CU287" s="79"/>
      <c r="CV287" s="79"/>
      <c r="CW287" s="79"/>
      <c r="CX287" s="79"/>
      <c r="CY287" s="78"/>
    </row>
    <row r="288" spans="1:107" s="77" customFormat="1" x14ac:dyDescent="0.2">
      <c r="A288" s="76"/>
      <c r="B288" s="76"/>
      <c r="C288" s="77" t="s">
        <v>213</v>
      </c>
      <c r="D288" s="79" t="str">
        <f>IFERROR(SUM(D15,D20)/D15,"")</f>
        <v/>
      </c>
      <c r="E288" s="79" t="str">
        <f>IFERROR(SUM(E15,E20)/E15,"")</f>
        <v/>
      </c>
      <c r="F288" s="79" t="str">
        <f>IFERROR(SUM(F15,F20)/F15,"")</f>
        <v/>
      </c>
      <c r="G288" s="79" t="str">
        <f>IFERROR(SUM(G15,G20)/G15,"")</f>
        <v/>
      </c>
      <c r="H288" s="258" t="str">
        <f>IFERROR(IF(N(H15)&lt;&gt;0,(H15+H20)/H15,""),"")</f>
        <v/>
      </c>
      <c r="I288" s="258" t="str">
        <f>IFERROR(IF(N(I15)&lt;&gt;0,(I15+I20)/I15,""),"")</f>
        <v/>
      </c>
      <c r="J288" s="258" t="str">
        <f>IFERROR(IF(N(J15)&lt;&gt;0,(J15+J20)/J15,""),"")</f>
        <v/>
      </c>
      <c r="K288" s="258" t="str">
        <f>IFERROR(IF(N(K15)&lt;&gt;0,(K15+K20)/K15,""),"")</f>
        <v/>
      </c>
      <c r="L288" s="258" t="str">
        <f>IFERROR(IF(N(L15)&lt;&gt;0,(L15+L20)/L15,""),"")</f>
        <v/>
      </c>
      <c r="M288" s="258" t="str">
        <f>IFERROR(IF(N(M15)&lt;&gt;0,(M15+M20)/M15,""),"")</f>
        <v/>
      </c>
      <c r="N288" s="258" t="str">
        <f>IFERROR(IF(N(N15)&lt;&gt;0,(N15+N20)/N15,""),"")</f>
        <v/>
      </c>
      <c r="O288" s="258" t="str">
        <f>IFERROR(IF(N(O15)&lt;&gt;0,(O15+O20)/O15,""),"")</f>
        <v/>
      </c>
      <c r="P288" s="258" t="str">
        <f>IFERROR(IF(N(P15)&lt;&gt;0,(P15+P20)/P15,""),"")</f>
        <v/>
      </c>
      <c r="Q288" s="258" t="str">
        <f>IFERROR(IF(N(Q15)&lt;&gt;0,(Q15+Q20)/Q15,""),"")</f>
        <v/>
      </c>
      <c r="R288" s="258" t="str">
        <f>IFERROR(IF(N(R15)&lt;&gt;0,(R15+R20)/R15,""),"")</f>
        <v/>
      </c>
      <c r="S288" s="258" t="str">
        <f>IFERROR(IF(N(S15)&lt;&gt;0,(S15+S20)/S15,""),"")</f>
        <v/>
      </c>
      <c r="T288" s="258" t="str">
        <f>IFERROR(IF(N(T15)&lt;&gt;0,(T15+T20)/T15,""),"")</f>
        <v/>
      </c>
      <c r="U288" s="258" t="str">
        <f>IFERROR(IF(N(U15)&lt;&gt;0,(U15+U20)/U15,""),"")</f>
        <v/>
      </c>
      <c r="V288" s="258" t="str">
        <f>IFERROR(IF(N(V15)&lt;&gt;0,(V15+V20)/V15,""),"")</f>
        <v/>
      </c>
      <c r="W288" s="258" t="str">
        <f>IFERROR(IF(N(W15)&lt;&gt;0,(W15+W20)/W15,""),"")</f>
        <v/>
      </c>
      <c r="X288" s="258" t="str">
        <f>IFERROR(IF(N(X15)&lt;&gt;0,(X15+X20)/X15,""),"")</f>
        <v/>
      </c>
      <c r="Y288" s="258" t="str">
        <f>IFERROR(IF(N(Y15)&lt;&gt;0,(Y15+Y20)/Y15,""),"")</f>
        <v/>
      </c>
      <c r="Z288" s="258" t="str">
        <f>IFERROR(IF(N(Z15)&lt;&gt;0,(Z15+Z20)/Z15,""),"")</f>
        <v/>
      </c>
      <c r="AA288" s="258" t="str">
        <f>IFERROR(IF(N(AA15)&lt;&gt;0,(AA15+AA20)/AA15,""),"")</f>
        <v/>
      </c>
      <c r="AB288" s="258" t="str">
        <f>IFERROR(IF(N(AB15)&lt;&gt;0,(AB15+AB20)/AB15,""),"")</f>
        <v/>
      </c>
      <c r="AC288" s="258" t="str">
        <f>IFERROR(IF(N(AC15)&lt;&gt;0,(AC15+AC20)/AC15,""),"")</f>
        <v/>
      </c>
      <c r="AD288" s="258" t="str">
        <f>IFERROR(IF(N(AD15)&lt;&gt;0,(AD15+AD20)/AD15,""),"")</f>
        <v/>
      </c>
      <c r="AE288" s="258" t="str">
        <f>IFERROR(IF(N(AE15)&lt;&gt;0,(AE15+AE20)/AE15,""),"")</f>
        <v/>
      </c>
      <c r="AF288" s="258" t="str">
        <f>IFERROR(IF(N(AF15)&lt;&gt;0,(AF15+AF20)/AF15,""),"")</f>
        <v/>
      </c>
      <c r="AG288" s="258" t="str">
        <f>IFERROR(IF(N(AG15)&lt;&gt;0,(AG15+AG20)/AG15,""),"")</f>
        <v/>
      </c>
      <c r="AH288" s="258" t="str">
        <f>IFERROR(IF(N(AH15)&lt;&gt;0,(AH15+AH20)/AH15,""),"")</f>
        <v/>
      </c>
      <c r="AI288" s="258" t="str">
        <f>IFERROR(IF(N(AI15)&lt;&gt;0,(AI15+AI20)/AI15,""),"")</f>
        <v/>
      </c>
      <c r="AJ288" s="258" t="str">
        <f>IFERROR(IF(N(AJ15)&lt;&gt;0,(AJ15+AJ20)/AJ15,""),"")</f>
        <v/>
      </c>
      <c r="AK288" s="258" t="str">
        <f>IFERROR(IF(N(AK15)&lt;&gt;0,(AK15+AK20)/AK15,""),"")</f>
        <v/>
      </c>
      <c r="AL288" s="258" t="str">
        <f>IFERROR(IF(N(AL15)&lt;&gt;0,(AL15+AL20)/AL15,""),"")</f>
        <v/>
      </c>
      <c r="AM288" s="258" t="str">
        <f>IFERROR(IF(N(AM15)&lt;&gt;0,(AM15+AM20)/AM15,""),"")</f>
        <v/>
      </c>
      <c r="AN288" s="258" t="str">
        <f>IFERROR(IF(N(AN15)&lt;&gt;0,(AN15+AN20)/AN15,""),"")</f>
        <v/>
      </c>
      <c r="AO288" s="258" t="str">
        <f>IFERROR(IF(N(AO15)&lt;&gt;0,(AO15+AO20)/AO15,""),"")</f>
        <v/>
      </c>
      <c r="AP288" s="258" t="str">
        <f>IFERROR(IF(N(AP15)&lt;&gt;0,(AP15+AP20)/AP15,""),"")</f>
        <v/>
      </c>
      <c r="AQ288" s="258" t="str">
        <f>IFERROR(IF(N(AQ15)&lt;&gt;0,(AQ15+AQ20)/AQ15,""),"")</f>
        <v/>
      </c>
      <c r="AR288" s="258" t="str">
        <f>IFERROR(IF(N(AR15)&lt;&gt;0,(AR15+AR20)/AR15,""),"")</f>
        <v/>
      </c>
      <c r="AS288" s="258" t="str">
        <f>IFERROR(IF(N(AS15)&lt;&gt;0,(AS15+AS20)/AS15,""),"")</f>
        <v/>
      </c>
      <c r="AT288" s="258" t="str">
        <f>IFERROR(IF(N(AT15)&lt;&gt;0,(AT15+AT20)/AT15,""),"")</f>
        <v/>
      </c>
      <c r="AU288" s="258" t="str">
        <f>IFERROR(IF(N(AU15)&lt;&gt;0,(AU15+AU20)/AU15,""),"")</f>
        <v/>
      </c>
      <c r="AV288" s="258" t="str">
        <f>IFERROR(IF(N(AV15)&lt;&gt;0,(AV15+AV20)/AV15,""),"")</f>
        <v/>
      </c>
      <c r="AW288" s="258" t="str">
        <f>IFERROR(IF(N(AW15)&lt;&gt;0,(AW15+AW20)/AW15,""),"")</f>
        <v/>
      </c>
      <c r="AX288" s="258" t="str">
        <f>IFERROR(IF(N(AX15)&lt;&gt;0,(AX15+AX20)/AX15,""),"")</f>
        <v/>
      </c>
      <c r="AY288" s="258" t="str">
        <f>IFERROR(IF(N(AY15)&lt;&gt;0,(AY15+AY20)/AY15,""),"")</f>
        <v/>
      </c>
      <c r="AZ288" s="258" t="str">
        <f>IFERROR(IF(N(AZ15)&lt;&gt;0,(AZ15+AZ20)/AZ15,""),"")</f>
        <v/>
      </c>
      <c r="BA288" s="258" t="str">
        <f>IFERROR(IF(N(BA15)&lt;&gt;0,(BA15+BA20)/BA15,""),"")</f>
        <v/>
      </c>
      <c r="BB288" s="258" t="str">
        <f>IFERROR(IF(N(BB15)&lt;&gt;0,(BB15+BB20)/BB15,""),"")</f>
        <v/>
      </c>
      <c r="BC288" s="258" t="str">
        <f>IFERROR(IF(N(BC15)&lt;&gt;0,(BC15+BC20)/BC15,""),"")</f>
        <v/>
      </c>
      <c r="BD288" s="258" t="str">
        <f>IFERROR(IF(N(BD15)&lt;&gt;0,(BD15+BD20)/BD15,""),"")</f>
        <v/>
      </c>
      <c r="BE288" s="258" t="str">
        <f>IFERROR(IF(N(BE15)&lt;&gt;0,(BE15+BE20)/BE15,""),"")</f>
        <v/>
      </c>
      <c r="BF288" s="258" t="str">
        <f>IFERROR(IF(N(BF15)&lt;&gt;0,(BF15+BF20)/BF15,""),"")</f>
        <v/>
      </c>
      <c r="BG288" s="80"/>
      <c r="BH288" s="80"/>
      <c r="BI288" s="80"/>
      <c r="BJ288" s="80"/>
      <c r="BL288" s="80"/>
      <c r="BM288" s="80"/>
      <c r="BN288" s="80"/>
      <c r="BO288" s="80"/>
      <c r="BQ288" s="80"/>
      <c r="BR288" s="80"/>
      <c r="BS288" s="80"/>
      <c r="BT288" s="80"/>
      <c r="BV288" s="80"/>
      <c r="BW288" s="80"/>
      <c r="BX288" s="80"/>
      <c r="BY288" s="80"/>
      <c r="CA288" s="80"/>
      <c r="CB288" s="80"/>
      <c r="CC288" s="80"/>
      <c r="CD288" s="80"/>
      <c r="CF288" s="80"/>
      <c r="CG288" s="80"/>
      <c r="CH288" s="80"/>
      <c r="CI288" s="80"/>
      <c r="CK288" s="80"/>
      <c r="CL288" s="80"/>
      <c r="CM288" s="80"/>
      <c r="CN288" s="80"/>
      <c r="CP288" s="80"/>
      <c r="CQ288" s="80"/>
      <c r="CR288" s="80"/>
      <c r="CS288" s="80"/>
      <c r="CU288" s="80"/>
      <c r="CV288" s="80"/>
      <c r="CW288" s="80"/>
      <c r="CX288" s="80"/>
    </row>
    <row r="289" spans="1:102" s="77" customFormat="1" x14ac:dyDescent="0.2">
      <c r="A289" s="76"/>
      <c r="B289" s="76"/>
      <c r="C289" s="77" t="s">
        <v>214</v>
      </c>
      <c r="D289" s="78" t="str">
        <f>IFERROR((D39/D15),"")</f>
        <v/>
      </c>
      <c r="E289" s="78" t="str">
        <f>IFERROR((E39/E15),"")</f>
        <v/>
      </c>
      <c r="F289" s="78" t="str">
        <f>IFERROR((F39/F15),"")</f>
        <v/>
      </c>
      <c r="G289" s="78" t="str">
        <f>IFERROR((G39/G15),"")</f>
        <v/>
      </c>
      <c r="H289" s="258" t="str">
        <f>IFERROR(IF(N(H15)&lt;&gt;0,H39/H15,""),"")</f>
        <v/>
      </c>
      <c r="I289" s="257" t="str">
        <f>IFERROR(IF(N(I15)&lt;&gt;0,I39/I15,""),"")</f>
        <v/>
      </c>
      <c r="J289" s="257" t="str">
        <f>IFERROR(IF(N(J15)&lt;&gt;0,J39/J15,""),"")</f>
        <v/>
      </c>
      <c r="K289" s="257" t="str">
        <f>IFERROR(IF(N(K15)&lt;&gt;0,K39/K15,""),"")</f>
        <v/>
      </c>
      <c r="L289" s="257" t="str">
        <f>IFERROR(IF(N(L15)&lt;&gt;0,L39/L15,""),"")</f>
        <v/>
      </c>
      <c r="M289" s="258" t="str">
        <f>IFERROR(IF(N(M15)&lt;&gt;0,M39/M15,""),"")</f>
        <v/>
      </c>
      <c r="N289" s="257" t="str">
        <f>IFERROR(IF(N(N15)&lt;&gt;0,N39/N15,""),"")</f>
        <v/>
      </c>
      <c r="O289" s="257" t="str">
        <f>IFERROR(IF(N(O15)&lt;&gt;0,O39/O15,""),"")</f>
        <v/>
      </c>
      <c r="P289" s="257" t="str">
        <f>IFERROR(IF(N(P15)&lt;&gt;0,P39/P15,""),"")</f>
        <v/>
      </c>
      <c r="Q289" s="257" t="str">
        <f>IFERROR(IF(N(Q15)&lt;&gt;0,Q39/Q15,""),"")</f>
        <v/>
      </c>
      <c r="R289" s="258" t="str">
        <f>IFERROR(IF(N(R15)&lt;&gt;0,R39/R15,""),"")</f>
        <v/>
      </c>
      <c r="S289" s="257" t="str">
        <f>IFERROR(IF(N(S15)&lt;&gt;0,S39/S15,""),"")</f>
        <v/>
      </c>
      <c r="T289" s="257" t="str">
        <f>IFERROR(IF(N(T15)&lt;&gt;0,T39/T15,""),"")</f>
        <v/>
      </c>
      <c r="U289" s="257" t="str">
        <f>IFERROR(IF(N(U15)&lt;&gt;0,U39/U15,""),"")</f>
        <v/>
      </c>
      <c r="V289" s="257" t="str">
        <f>IFERROR(IF(N(V15)&lt;&gt;0,V39/V15,""),"")</f>
        <v/>
      </c>
      <c r="W289" s="258" t="str">
        <f>IFERROR(IF(N(W15)&lt;&gt;0,W39/W15,""),"")</f>
        <v/>
      </c>
      <c r="X289" s="257" t="str">
        <f>IFERROR(IF(N(X15)&lt;&gt;0,X39/X15,""),"")</f>
        <v/>
      </c>
      <c r="Y289" s="257" t="str">
        <f>IFERROR(IF(N(Y15)&lt;&gt;0,Y39/Y15,""),"")</f>
        <v/>
      </c>
      <c r="Z289" s="257" t="str">
        <f>IFERROR(IF(N(Z15)&lt;&gt;0,Z39/Z15,""),"")</f>
        <v/>
      </c>
      <c r="AA289" s="257" t="str">
        <f>IFERROR(IF(N(AA15)&lt;&gt;0,AA39/AA15,""),"")</f>
        <v/>
      </c>
      <c r="AB289" s="258" t="str">
        <f>IFERROR(IF(N(AB15)&lt;&gt;0,AB39/AB15,""),"")</f>
        <v/>
      </c>
      <c r="AC289" s="257" t="str">
        <f>IFERROR(IF(N(AC15)&lt;&gt;0,AC39/AC15,""),"")</f>
        <v/>
      </c>
      <c r="AD289" s="257" t="str">
        <f>IFERROR(IF(N(AD15)&lt;&gt;0,AD39/AD15,""),"")</f>
        <v/>
      </c>
      <c r="AE289" s="257" t="str">
        <f>IFERROR(IF(N(AE15)&lt;&gt;0,AE39/AE15,""),"")</f>
        <v/>
      </c>
      <c r="AF289" s="257" t="str">
        <f>IFERROR(IF(N(AF15)&lt;&gt;0,AF39/AF15,""),"")</f>
        <v/>
      </c>
      <c r="AG289" s="258" t="str">
        <f>IFERROR(IF(N(AG15)&lt;&gt;0,AG39/AG15,""),"")</f>
        <v/>
      </c>
      <c r="AH289" s="257" t="str">
        <f>IFERROR(IF(N(AH15)&lt;&gt;0,AH39/AH15,""),"")</f>
        <v/>
      </c>
      <c r="AI289" s="257" t="str">
        <f>IFERROR(IF(N(AI15)&lt;&gt;0,AI39/AI15,""),"")</f>
        <v/>
      </c>
      <c r="AJ289" s="257" t="str">
        <f>IFERROR(IF(N(AJ15)&lt;&gt;0,AJ39/AJ15,""),"")</f>
        <v/>
      </c>
      <c r="AK289" s="257" t="str">
        <f>IFERROR(IF(N(AK15)&lt;&gt;0,AK39/AK15,""),"")</f>
        <v/>
      </c>
      <c r="AL289" s="258" t="str">
        <f>IFERROR(IF(N(AL15)&lt;&gt;0,AL39/AL15,""),"")</f>
        <v/>
      </c>
      <c r="AM289" s="257" t="str">
        <f>IFERROR(IF(N(AM15)&lt;&gt;0,AM39/AM15,""),"")</f>
        <v/>
      </c>
      <c r="AN289" s="257" t="str">
        <f>IFERROR(IF(N(AN15)&lt;&gt;0,AN39/AN15,""),"")</f>
        <v/>
      </c>
      <c r="AO289" s="257" t="str">
        <f>IFERROR(IF(N(AO15)&lt;&gt;0,AO39/AO15,""),"")</f>
        <v/>
      </c>
      <c r="AP289" s="257" t="str">
        <f>IFERROR(IF(N(AP15)&lt;&gt;0,AP39/AP15,""),"")</f>
        <v/>
      </c>
      <c r="AQ289" s="258" t="str">
        <f>IFERROR(IF(N(AQ15)&lt;&gt;0,AQ39/AQ15,""),"")</f>
        <v/>
      </c>
      <c r="AR289" s="257" t="str">
        <f>IFERROR(IF(N(AR15)&lt;&gt;0,AR39/AR15,""),"")</f>
        <v/>
      </c>
      <c r="AS289" s="257" t="str">
        <f>IFERROR(IF(N(AS15)&lt;&gt;0,AS39/AS15,""),"")</f>
        <v/>
      </c>
      <c r="AT289" s="257" t="str">
        <f>IFERROR(IF(N(AT15)&lt;&gt;0,AT39/AT15,""),"")</f>
        <v/>
      </c>
      <c r="AU289" s="257" t="str">
        <f>IFERROR(IF(N(AU15)&lt;&gt;0,AU39/AU15,""),"")</f>
        <v/>
      </c>
      <c r="AV289" s="258" t="str">
        <f>IFERROR(IF(N(AV15)&lt;&gt;0,AV39/AV15,""),"")</f>
        <v/>
      </c>
      <c r="AW289" s="257" t="str">
        <f>IFERROR(IF(N(AW15)&lt;&gt;0,AW39/AW15,""),"")</f>
        <v/>
      </c>
      <c r="AX289" s="257" t="str">
        <f>IFERROR(IF(N(AX15)&lt;&gt;0,AX39/AX15,""),"")</f>
        <v/>
      </c>
      <c r="AY289" s="257" t="str">
        <f>IFERROR(IF(N(AY15)&lt;&gt;0,AY39/AY15,""),"")</f>
        <v/>
      </c>
      <c r="AZ289" s="257" t="str">
        <f>IFERROR(IF(N(AZ15)&lt;&gt;0,AZ39/AZ15,""),"")</f>
        <v/>
      </c>
      <c r="BA289" s="258" t="str">
        <f>IFERROR(IF(N(BA15)&lt;&gt;0,BA39/BA15,""),"")</f>
        <v/>
      </c>
      <c r="BB289" s="257" t="str">
        <f>IFERROR(IF(N(BB15)&lt;&gt;0,BB39/BB15,""),"")</f>
        <v/>
      </c>
      <c r="BC289" s="257" t="str">
        <f>IFERROR(IF(N(BC15)&lt;&gt;0,BC39/BC15,""),"")</f>
        <v/>
      </c>
      <c r="BD289" s="257" t="str">
        <f>IFERROR(IF(N(BD15)&lt;&gt;0,BD39/BD15,""),"")</f>
        <v/>
      </c>
      <c r="BE289" s="257" t="str">
        <f>IFERROR(IF(N(BE15)&lt;&gt;0,BE39/BE15,""),"")</f>
        <v/>
      </c>
      <c r="BF289" s="258" t="str">
        <f>IFERROR(IF(N(BF15)&lt;&gt;0,BF39/BF15,""),"")</f>
        <v/>
      </c>
      <c r="BG289" s="81"/>
      <c r="BH289" s="81"/>
      <c r="BI289" s="81"/>
      <c r="BJ289" s="81"/>
      <c r="BL289" s="81"/>
      <c r="BM289" s="81"/>
      <c r="BN289" s="81"/>
      <c r="BO289" s="81"/>
      <c r="BQ289" s="81"/>
      <c r="BR289" s="81"/>
      <c r="BS289" s="81"/>
      <c r="BT289" s="81"/>
      <c r="BV289" s="81"/>
      <c r="BW289" s="81"/>
      <c r="BX289" s="81"/>
      <c r="BY289" s="81"/>
      <c r="CA289" s="81"/>
      <c r="CB289" s="81"/>
      <c r="CC289" s="81"/>
      <c r="CD289" s="81"/>
      <c r="CF289" s="81"/>
      <c r="CG289" s="81"/>
      <c r="CH289" s="81"/>
      <c r="CI289" s="81"/>
      <c r="CK289" s="81"/>
      <c r="CL289" s="81"/>
      <c r="CM289" s="81"/>
      <c r="CN289" s="81"/>
      <c r="CP289" s="81"/>
      <c r="CQ289" s="81"/>
      <c r="CR289" s="81"/>
      <c r="CS289" s="81"/>
      <c r="CU289" s="81"/>
      <c r="CV289" s="81"/>
      <c r="CW289" s="81"/>
      <c r="CX289" s="81"/>
    </row>
    <row r="290" spans="1:102" s="77" customFormat="1" x14ac:dyDescent="0.2">
      <c r="A290" s="76"/>
      <c r="B290" s="76"/>
      <c r="C290" s="77" t="s">
        <v>380</v>
      </c>
      <c r="D290" s="78" t="str">
        <f>IFERROR(D35/D15,"")</f>
        <v/>
      </c>
      <c r="E290" s="78" t="str">
        <f>IFERROR(E35/E15,"")</f>
        <v/>
      </c>
      <c r="F290" s="78" t="str">
        <f>IFERROR(F35/F15,"")</f>
        <v/>
      </c>
      <c r="G290" s="78" t="str">
        <f>IFERROR(G35/G15,"")</f>
        <v/>
      </c>
      <c r="H290" s="258" t="str">
        <f>IFERROR(IF(N(H15)&lt;&gt;0,H35/H15,""),"")</f>
        <v/>
      </c>
      <c r="I290" s="257" t="str">
        <f>IFERROR(IF(N(I15)&lt;&gt;0,I35/I15,""),"")</f>
        <v/>
      </c>
      <c r="J290" s="257" t="str">
        <f>IFERROR(IF(N(J15)&lt;&gt;0,J35/J15,""),"")</f>
        <v/>
      </c>
      <c r="K290" s="257" t="str">
        <f>IFERROR(IF(N(K15)&lt;&gt;0,K35/K15,""),"")</f>
        <v/>
      </c>
      <c r="L290" s="257" t="str">
        <f>IFERROR(IF(N(L15)&lt;&gt;0,L35/L15,""),"")</f>
        <v/>
      </c>
      <c r="M290" s="258" t="str">
        <f>IFERROR(IF(N(M15)&lt;&gt;0,M35/M15,""),"")</f>
        <v/>
      </c>
      <c r="N290" s="257" t="str">
        <f>IFERROR(IF(N(N15)&lt;&gt;0,N35/N15,""),"")</f>
        <v/>
      </c>
      <c r="O290" s="257" t="str">
        <f>IFERROR(IF(N(O15)&lt;&gt;0,O35/O15,""),"")</f>
        <v/>
      </c>
      <c r="P290" s="257" t="str">
        <f>IFERROR(IF(N(P15)&lt;&gt;0,P35/P15,""),"")</f>
        <v/>
      </c>
      <c r="Q290" s="257" t="str">
        <f>IFERROR(IF(N(Q15)&lt;&gt;0,Q35/Q15,""),"")</f>
        <v/>
      </c>
      <c r="R290" s="258" t="str">
        <f>IFERROR(IF(N(R15)&lt;&gt;0,R35/R15,""),"")</f>
        <v/>
      </c>
      <c r="S290" s="257" t="str">
        <f>IFERROR(IF(N(S15)&lt;&gt;0,S35/S15,""),"")</f>
        <v/>
      </c>
      <c r="T290" s="257" t="str">
        <f>IFERROR(IF(N(T15)&lt;&gt;0,T35/T15,""),"")</f>
        <v/>
      </c>
      <c r="U290" s="257" t="str">
        <f>IFERROR(IF(N(U15)&lt;&gt;0,U35/U15,""),"")</f>
        <v/>
      </c>
      <c r="V290" s="257" t="str">
        <f>IFERROR(IF(N(V15)&lt;&gt;0,V35/V15,""),"")</f>
        <v/>
      </c>
      <c r="W290" s="258" t="str">
        <f>IFERROR(IF(N(W15)&lt;&gt;0,W35/W15,""),"")</f>
        <v/>
      </c>
      <c r="X290" s="257" t="str">
        <f>IFERROR(IF(N(X15)&lt;&gt;0,X35/X15,""),"")</f>
        <v/>
      </c>
      <c r="Y290" s="257" t="str">
        <f>IFERROR(IF(N(Y15)&lt;&gt;0,Y35/Y15,""),"")</f>
        <v/>
      </c>
      <c r="Z290" s="257" t="str">
        <f>IFERROR(IF(N(Z15)&lt;&gt;0,Z35/Z15,""),"")</f>
        <v/>
      </c>
      <c r="AA290" s="257" t="str">
        <f>IFERROR(IF(N(AA15)&lt;&gt;0,AA35/AA15,""),"")</f>
        <v/>
      </c>
      <c r="AB290" s="258" t="str">
        <f>IFERROR(IF(N(AB15)&lt;&gt;0,AB35/AB15,""),"")</f>
        <v/>
      </c>
      <c r="AC290" s="257" t="str">
        <f>IFERROR(IF(N(AC15)&lt;&gt;0,AC35/AC15,""),"")</f>
        <v/>
      </c>
      <c r="AD290" s="257" t="str">
        <f>IFERROR(IF(N(AD15)&lt;&gt;0,AD35/AD15,""),"")</f>
        <v/>
      </c>
      <c r="AE290" s="257" t="str">
        <f>IFERROR(IF(N(AE15)&lt;&gt;0,AE35/AE15,""),"")</f>
        <v/>
      </c>
      <c r="AF290" s="257" t="str">
        <f>IFERROR(IF(N(AF15)&lt;&gt;0,AF35/AF15,""),"")</f>
        <v/>
      </c>
      <c r="AG290" s="258" t="str">
        <f>IFERROR(IF(N(AG15)&lt;&gt;0,AG35/AG15,""),"")</f>
        <v/>
      </c>
      <c r="AH290" s="257" t="str">
        <f>IFERROR(IF(N(AH15)&lt;&gt;0,AH35/AH15,""),"")</f>
        <v/>
      </c>
      <c r="AI290" s="257" t="str">
        <f>IFERROR(IF(N(AI15)&lt;&gt;0,AI35/AI15,""),"")</f>
        <v/>
      </c>
      <c r="AJ290" s="257" t="str">
        <f>IFERROR(IF(N(AJ15)&lt;&gt;0,AJ35/AJ15,""),"")</f>
        <v/>
      </c>
      <c r="AK290" s="257" t="str">
        <f>IFERROR(IF(N(AK15)&lt;&gt;0,AK35/AK15,""),"")</f>
        <v/>
      </c>
      <c r="AL290" s="258" t="str">
        <f>IFERROR(IF(N(AL15)&lt;&gt;0,AL35/AL15,""),"")</f>
        <v/>
      </c>
      <c r="AM290" s="257" t="str">
        <f>IFERROR(IF(N(AM15)&lt;&gt;0,AM35/AM15,""),"")</f>
        <v/>
      </c>
      <c r="AN290" s="257" t="str">
        <f>IFERROR(IF(N(AN15)&lt;&gt;0,AN35/AN15,""),"")</f>
        <v/>
      </c>
      <c r="AO290" s="257" t="str">
        <f>IFERROR(IF(N(AO15)&lt;&gt;0,AO35/AO15,""),"")</f>
        <v/>
      </c>
      <c r="AP290" s="257" t="str">
        <f>IFERROR(IF(N(AP15)&lt;&gt;0,AP35/AP15,""),"")</f>
        <v/>
      </c>
      <c r="AQ290" s="258" t="str">
        <f>IFERROR(IF(N(AQ15)&lt;&gt;0,AQ35/AQ15,""),"")</f>
        <v/>
      </c>
      <c r="AR290" s="257" t="str">
        <f>IFERROR(IF(N(AR15)&lt;&gt;0,AR35/AR15,""),"")</f>
        <v/>
      </c>
      <c r="AS290" s="257" t="str">
        <f>IFERROR(IF(N(AS15)&lt;&gt;0,AS35/AS15,""),"")</f>
        <v/>
      </c>
      <c r="AT290" s="257" t="str">
        <f>IFERROR(IF(N(AT15)&lt;&gt;0,AT35/AT15,""),"")</f>
        <v/>
      </c>
      <c r="AU290" s="257" t="str">
        <f>IFERROR(IF(N(AU15)&lt;&gt;0,AU35/AU15,""),"")</f>
        <v/>
      </c>
      <c r="AV290" s="258" t="str">
        <f>IFERROR(IF(N(AV15)&lt;&gt;0,AV35/AV15,""),"")</f>
        <v/>
      </c>
      <c r="AW290" s="257" t="str">
        <f>IFERROR(IF(N(AW15)&lt;&gt;0,AW35/AW15,""),"")</f>
        <v/>
      </c>
      <c r="AX290" s="257" t="str">
        <f>IFERROR(IF(N(AX15)&lt;&gt;0,AX35/AX15,""),"")</f>
        <v/>
      </c>
      <c r="AY290" s="257" t="str">
        <f>IFERROR(IF(N(AY15)&lt;&gt;0,AY35/AY15,""),"")</f>
        <v/>
      </c>
      <c r="AZ290" s="257" t="str">
        <f>IFERROR(IF(N(AZ15)&lt;&gt;0,AZ35/AZ15,""),"")</f>
        <v/>
      </c>
      <c r="BA290" s="258" t="str">
        <f>IFERROR(IF(N(BA15)&lt;&gt;0,BA35/BA15,""),"")</f>
        <v/>
      </c>
      <c r="BB290" s="257" t="str">
        <f>IFERROR(IF(N(BB15)&lt;&gt;0,BB35/BB15,""),"")</f>
        <v/>
      </c>
      <c r="BC290" s="257" t="str">
        <f>IFERROR(IF(N(BC15)&lt;&gt;0,BC35/BC15,""),"")</f>
        <v/>
      </c>
      <c r="BD290" s="257" t="str">
        <f>IFERROR(IF(N(BD15)&lt;&gt;0,BD35/BD15,""),"")</f>
        <v/>
      </c>
      <c r="BE290" s="257" t="str">
        <f>IFERROR(IF(N(BE15)&lt;&gt;0,BE35/BE15,""),"")</f>
        <v/>
      </c>
      <c r="BF290" s="258" t="str">
        <f>IFERROR(IF(N(BF15)&lt;&gt;0,BF35/BF15,""),"")</f>
        <v/>
      </c>
      <c r="BG290" s="81"/>
      <c r="BH290" s="81"/>
      <c r="BI290" s="81"/>
      <c r="BJ290" s="81"/>
      <c r="BL290" s="81"/>
      <c r="BM290" s="81"/>
      <c r="BN290" s="81"/>
      <c r="BO290" s="81"/>
      <c r="BQ290" s="81"/>
      <c r="BR290" s="81"/>
      <c r="BS290" s="81"/>
      <c r="BT290" s="81"/>
      <c r="BV290" s="81"/>
      <c r="BW290" s="81"/>
      <c r="BX290" s="81"/>
      <c r="BY290" s="81"/>
      <c r="CA290" s="81"/>
      <c r="CB290" s="81"/>
      <c r="CC290" s="81"/>
      <c r="CD290" s="81"/>
      <c r="CF290" s="81"/>
      <c r="CG290" s="81"/>
      <c r="CH290" s="81"/>
      <c r="CI290" s="81"/>
      <c r="CK290" s="81"/>
      <c r="CL290" s="81"/>
      <c r="CM290" s="81"/>
      <c r="CN290" s="81"/>
      <c r="CP290" s="81"/>
      <c r="CQ290" s="81"/>
      <c r="CR290" s="81"/>
      <c r="CS290" s="81"/>
      <c r="CU290" s="81"/>
      <c r="CV290" s="81"/>
      <c r="CW290" s="81"/>
      <c r="CX290" s="81"/>
    </row>
    <row r="291" spans="1:102" s="77" customFormat="1" x14ac:dyDescent="0.2">
      <c r="A291" s="76"/>
      <c r="B291" s="76"/>
      <c r="C291" s="77" t="s">
        <v>215</v>
      </c>
      <c r="D291" s="78" t="str">
        <f>IFERROR(-D97/D96,"")</f>
        <v/>
      </c>
      <c r="E291" s="78" t="str">
        <f>IFERROR(-E97/E96,"")</f>
        <v/>
      </c>
      <c r="F291" s="78" t="str">
        <f>IFERROR(-F97/F96,"")</f>
        <v/>
      </c>
      <c r="G291" s="78" t="str">
        <f>IFERROR(-G97/G96,"")</f>
        <v/>
      </c>
      <c r="H291" s="258" t="str">
        <f>IFERROR(IF(N(H96)&lt;&gt;0,-H97/H96,""),"")</f>
        <v/>
      </c>
      <c r="I291" s="257" t="str">
        <f>IFERROR(IF(N(I96)&lt;&gt;0,-I97/I96,""),"")</f>
        <v/>
      </c>
      <c r="J291" s="257" t="str">
        <f>IFERROR(IF(N(J96)&lt;&gt;0,-J97/J96,""),"")</f>
        <v/>
      </c>
      <c r="K291" s="257" t="str">
        <f>IFERROR(IF(N(K96)&lt;&gt;0,-K97/K96,""),"")</f>
        <v/>
      </c>
      <c r="L291" s="257" t="str">
        <f>IFERROR(IF(N(L96)&lt;&gt;0,-L97/L96,""),"")</f>
        <v/>
      </c>
      <c r="M291" s="258" t="str">
        <f>IFERROR(IF(N(M96)&lt;&gt;0,-M97/M96,""),"")</f>
        <v/>
      </c>
      <c r="N291" s="257" t="str">
        <f>IFERROR(IF(N(N96)&lt;&gt;0,-N97/N96,""),"")</f>
        <v/>
      </c>
      <c r="O291" s="257" t="str">
        <f>IFERROR(IF(N(O96)&lt;&gt;0,-O97/O96,""),"")</f>
        <v/>
      </c>
      <c r="P291" s="257" t="str">
        <f>IFERROR(IF(N(P96)&lt;&gt;0,-P97/P96,""),"")</f>
        <v/>
      </c>
      <c r="Q291" s="257" t="str">
        <f>IFERROR(IF(N(Q96)&lt;&gt;0,-Q97/Q96,""),"")</f>
        <v/>
      </c>
      <c r="R291" s="258" t="str">
        <f>IFERROR(IF(N(R96)&lt;&gt;0,-R97/R96,""),"")</f>
        <v/>
      </c>
      <c r="S291" s="257" t="str">
        <f>IFERROR(IF(N(S96)&lt;&gt;0,-S97/S96,""),"")</f>
        <v/>
      </c>
      <c r="T291" s="257" t="str">
        <f>IFERROR(IF(N(T96)&lt;&gt;0,-T97/T96,""),"")</f>
        <v/>
      </c>
      <c r="U291" s="257" t="str">
        <f>IFERROR(IF(N(U96)&lt;&gt;0,-U97/U96,""),"")</f>
        <v/>
      </c>
      <c r="V291" s="257" t="str">
        <f>IFERROR(IF(N(V96)&lt;&gt;0,-V97/V96,""),"")</f>
        <v/>
      </c>
      <c r="W291" s="258" t="str">
        <f>IFERROR(IF(N(W96)&lt;&gt;0,-W97/W96,""),"")</f>
        <v/>
      </c>
      <c r="X291" s="257" t="str">
        <f>IFERROR(IF(N(X96)&lt;&gt;0,-X97/X96,""),"")</f>
        <v/>
      </c>
      <c r="Y291" s="257" t="str">
        <f>IFERROR(IF(N(Y96)&lt;&gt;0,-Y97/Y96,""),"")</f>
        <v/>
      </c>
      <c r="Z291" s="257" t="str">
        <f>IFERROR(IF(N(Z96)&lt;&gt;0,-Z97/Z96,""),"")</f>
        <v/>
      </c>
      <c r="AA291" s="257" t="str">
        <f>IFERROR(IF(N(AA96)&lt;&gt;0,-AA97/AA96,""),"")</f>
        <v/>
      </c>
      <c r="AB291" s="258" t="str">
        <f>IFERROR(IF(N(AB96)&lt;&gt;0,-AB97/AB96,""),"")</f>
        <v/>
      </c>
      <c r="AC291" s="257" t="str">
        <f>IFERROR(IF(N(AC96)&lt;&gt;0,-AC97/AC96,""),"")</f>
        <v/>
      </c>
      <c r="AD291" s="257" t="str">
        <f>IFERROR(IF(N(AD96)&lt;&gt;0,-AD97/AD96,""),"")</f>
        <v/>
      </c>
      <c r="AE291" s="257" t="str">
        <f>IFERROR(IF(N(AE96)&lt;&gt;0,-AE97/AE96,""),"")</f>
        <v/>
      </c>
      <c r="AF291" s="257" t="str">
        <f>IFERROR(IF(N(AF96)&lt;&gt;0,-AF97/AF96,""),"")</f>
        <v/>
      </c>
      <c r="AG291" s="258" t="str">
        <f>IFERROR(IF(N(AG96)&lt;&gt;0,-AG97/AG96,""),"")</f>
        <v/>
      </c>
      <c r="AH291" s="257" t="str">
        <f>IFERROR(IF(N(AH96)&lt;&gt;0,-AH97/AH96,""),"")</f>
        <v/>
      </c>
      <c r="AI291" s="257" t="str">
        <f>IFERROR(IF(N(AI96)&lt;&gt;0,-AI97/AI96,""),"")</f>
        <v/>
      </c>
      <c r="AJ291" s="257" t="str">
        <f>IFERROR(IF(N(AJ96)&lt;&gt;0,-AJ97/AJ96,""),"")</f>
        <v/>
      </c>
      <c r="AK291" s="257" t="str">
        <f>IFERROR(IF(N(AK96)&lt;&gt;0,-AK97/AK96,""),"")</f>
        <v/>
      </c>
      <c r="AL291" s="258" t="str">
        <f>IFERROR(IF(N(AL96)&lt;&gt;0,-AL97/AL96,""),"")</f>
        <v/>
      </c>
      <c r="AM291" s="257" t="str">
        <f>IFERROR(IF(N(AM96)&lt;&gt;0,-AM97/AM96,""),"")</f>
        <v/>
      </c>
      <c r="AN291" s="257" t="str">
        <f>IFERROR(IF(N(AN96)&lt;&gt;0,-AN97/AN96,""),"")</f>
        <v/>
      </c>
      <c r="AO291" s="257" t="str">
        <f>IFERROR(IF(N(AO96)&lt;&gt;0,-AO97/AO96,""),"")</f>
        <v/>
      </c>
      <c r="AP291" s="257" t="str">
        <f>IFERROR(IF(N(AP96)&lt;&gt;0,-AP97/AP96,""),"")</f>
        <v/>
      </c>
      <c r="AQ291" s="258" t="str">
        <f>IFERROR(IF(N(AQ96)&lt;&gt;0,-AQ97/AQ96,""),"")</f>
        <v/>
      </c>
      <c r="AR291" s="257" t="str">
        <f>IFERROR(IF(N(AR96)&lt;&gt;0,-AR97/AR96,""),"")</f>
        <v/>
      </c>
      <c r="AS291" s="257" t="str">
        <f>IFERROR(IF(N(AS96)&lt;&gt;0,-AS97/AS96,""),"")</f>
        <v/>
      </c>
      <c r="AT291" s="257" t="str">
        <f>IFERROR(IF(N(AT96)&lt;&gt;0,-AT97/AT96,""),"")</f>
        <v/>
      </c>
      <c r="AU291" s="257" t="str">
        <f>IFERROR(IF(N(AU96)&lt;&gt;0,-AU97/AU96,""),"")</f>
        <v/>
      </c>
      <c r="AV291" s="258" t="str">
        <f>IFERROR(IF(N(AV96)&lt;&gt;0,-AV97/AV96,""),"")</f>
        <v/>
      </c>
      <c r="AW291" s="257" t="str">
        <f>IFERROR(IF(N(AW96)&lt;&gt;0,-AW97/AW96,""),"")</f>
        <v/>
      </c>
      <c r="AX291" s="257" t="str">
        <f>IFERROR(IF(N(AX96)&lt;&gt;0,-AX97/AX96,""),"")</f>
        <v/>
      </c>
      <c r="AY291" s="257" t="str">
        <f>IFERROR(IF(N(AY96)&lt;&gt;0,-AY97/AY96,""),"")</f>
        <v/>
      </c>
      <c r="AZ291" s="257" t="str">
        <f>IFERROR(IF(N(AZ96)&lt;&gt;0,-AZ97/AZ96,""),"")</f>
        <v/>
      </c>
      <c r="BA291" s="258" t="str">
        <f>IFERROR(IF(N(BA96)&lt;&gt;0,-BA97/BA96,""),"")</f>
        <v/>
      </c>
      <c r="BB291" s="257" t="str">
        <f>IFERROR(IF(N(BB96)&lt;&gt;0,-BB97/BB96,""),"")</f>
        <v/>
      </c>
      <c r="BC291" s="257" t="str">
        <f>IFERROR(IF(N(BC96)&lt;&gt;0,-BC97/BC96,""),"")</f>
        <v/>
      </c>
      <c r="BD291" s="257" t="str">
        <f>IFERROR(IF(N(BD96)&lt;&gt;0,-BD97/BD96,""),"")</f>
        <v/>
      </c>
      <c r="BE291" s="257" t="str">
        <f>IFERROR(IF(N(BE96)&lt;&gt;0,-BE97/BE96,""),"")</f>
        <v/>
      </c>
      <c r="BF291" s="258" t="str">
        <f>IFERROR(IF(N(BF96)&lt;&gt;0,-BF97/BF96,""),"")</f>
        <v/>
      </c>
      <c r="BG291" s="81"/>
      <c r="BH291" s="81"/>
      <c r="BI291" s="81"/>
      <c r="BJ291" s="81"/>
      <c r="BL291" s="81"/>
      <c r="BM291" s="81"/>
      <c r="BN291" s="81"/>
      <c r="BO291" s="81"/>
      <c r="BQ291" s="81"/>
      <c r="BR291" s="81"/>
      <c r="BS291" s="81"/>
      <c r="BT291" s="81"/>
      <c r="BV291" s="81"/>
      <c r="BW291" s="81"/>
      <c r="BX291" s="81"/>
      <c r="BY291" s="81"/>
      <c r="CA291" s="81"/>
      <c r="CB291" s="81"/>
      <c r="CC291" s="81"/>
      <c r="CD291" s="81"/>
      <c r="CF291" s="81"/>
      <c r="CG291" s="81"/>
      <c r="CH291" s="81"/>
      <c r="CI291" s="81"/>
      <c r="CK291" s="81"/>
      <c r="CL291" s="81"/>
      <c r="CM291" s="81"/>
      <c r="CN291" s="81"/>
      <c r="CP291" s="81"/>
      <c r="CQ291" s="81"/>
      <c r="CR291" s="81"/>
      <c r="CS291" s="81"/>
      <c r="CU291" s="81"/>
      <c r="CV291" s="81"/>
      <c r="CW291" s="81"/>
      <c r="CX291" s="81"/>
    </row>
    <row r="292" spans="1:102" s="77" customFormat="1" x14ac:dyDescent="0.2">
      <c r="A292" s="76"/>
      <c r="B292" s="76"/>
    </row>
    <row r="293" spans="1:102" s="77" customFormat="1" x14ac:dyDescent="0.2">
      <c r="A293" s="76"/>
      <c r="B293" s="76"/>
      <c r="C293" s="74" t="s">
        <v>216</v>
      </c>
    </row>
    <row r="294" spans="1:102" s="77" customFormat="1" x14ac:dyDescent="0.2">
      <c r="A294" s="76"/>
      <c r="B294" s="76"/>
      <c r="C294" s="77" t="s">
        <v>381</v>
      </c>
      <c r="H294" s="259" t="str">
        <f>IFERROR(IF(N(H237)&lt;&gt;0,(N(H178)+N(H179)+N(H180)+N(H183)+N(H201)+N(H204))/H237,""),"")</f>
        <v/>
      </c>
      <c r="I294" s="259" t="str">
        <f>IFERROR(IF(N(I237)&lt;&gt;0,(N(I178)+N(I179)+N(I180)+N(I183)+N(I201)+N(I204))/I237,""),"")</f>
        <v/>
      </c>
      <c r="J294" s="259" t="str">
        <f>IFERROR(IF(N(J237)&lt;&gt;0,(N(J178)+N(J179)+N(J180)+N(J183)+N(J201)+N(J204))/J237,""),"")</f>
        <v/>
      </c>
      <c r="K294" s="259" t="str">
        <f>IFERROR(IF(N(K237)&lt;&gt;0,(N(K178)+N(K179)+N(K180)+N(K183)+N(K201)+N(K204))/K237,""),"")</f>
        <v/>
      </c>
      <c r="L294" s="259" t="str">
        <f>IFERROR(IF(N(L237)&lt;&gt;0,(N(L178)+N(L179)+N(L180)+N(L183)+N(L201)+N(L204))/L237,""),"")</f>
        <v/>
      </c>
      <c r="M294" s="259" t="str">
        <f>IFERROR(IF(N(M237)&lt;&gt;0,(N(M178)+N(M179)+N(M180)+N(M183)+N(M201)+N(M204))/M237,""),"")</f>
        <v/>
      </c>
      <c r="N294" s="259" t="str">
        <f>IFERROR(IF(N(N237)&lt;&gt;0,(N(N178)+N(N179)+N(N180)+N(N183)+N(N201)+N(N204))/N237,""),"")</f>
        <v/>
      </c>
      <c r="O294" s="259" t="str">
        <f>IFERROR(IF(N(O237)&lt;&gt;0,(N(O178)+N(O179)+N(O180)+N(O183)+N(O201)+N(O204))/O237,""),"")</f>
        <v/>
      </c>
      <c r="P294" s="259" t="str">
        <f>IFERROR(IF(N(P237)&lt;&gt;0,(N(P178)+N(P179)+N(P180)+N(P183)+N(P201)+N(P204))/P237,""),"")</f>
        <v/>
      </c>
      <c r="Q294" s="259" t="str">
        <f>IFERROR(IF(N(Q237)&lt;&gt;0,(N(Q178)+N(Q179)+N(Q180)+N(Q183)+N(Q201)+N(Q204))/Q237,""),"")</f>
        <v/>
      </c>
      <c r="R294" s="259" t="str">
        <f>IFERROR(IF(N(R237)&lt;&gt;0,(N(R178)+N(R179)+N(R180)+N(R183)+N(R201)+N(R204))/R237,""),"")</f>
        <v/>
      </c>
      <c r="S294" s="259" t="str">
        <f>IFERROR(IF(N(S237)&lt;&gt;0,(N(S178)+N(S179)+N(S180)+N(S183)+N(S201)+N(S204))/S237,""),"")</f>
        <v/>
      </c>
      <c r="T294" s="259" t="str">
        <f>IFERROR(IF(N(T237)&lt;&gt;0,(N(T178)+N(T179)+N(T180)+N(T183)+N(T201)+N(T204))/T237,""),"")</f>
        <v/>
      </c>
      <c r="U294" s="259" t="str">
        <f>IFERROR(IF(N(U237)&lt;&gt;0,(N(U178)+N(U179)+N(U180)+N(U183)+N(U201)+N(U204))/U237,""),"")</f>
        <v/>
      </c>
      <c r="V294" s="259" t="str">
        <f>IFERROR(IF(N(V237)&lt;&gt;0,(N(V178)+N(V179)+N(V180)+N(V183)+N(V201)+N(V204))/V237,""),"")</f>
        <v/>
      </c>
      <c r="W294" s="259" t="str">
        <f>IFERROR(IF(N(W237)&lt;&gt;0,(N(W178)+N(W179)+N(W180)+N(W183)+N(W201)+N(W204))/W237,""),"")</f>
        <v/>
      </c>
      <c r="X294" s="259" t="str">
        <f>IFERROR(IF(N(X237)&lt;&gt;0,(N(X178)+N(X179)+N(X180)+N(X183)+N(X201)+N(X204))/X237,""),"")</f>
        <v/>
      </c>
      <c r="Y294" s="259" t="str">
        <f>IFERROR(IF(N(Y237)&lt;&gt;0,(N(Y178)+N(Y179)+N(Y180)+N(Y183)+N(Y201)+N(Y204))/Y237,""),"")</f>
        <v/>
      </c>
      <c r="Z294" s="259" t="str">
        <f>IFERROR(IF(N(Z237)&lt;&gt;0,(N(Z178)+N(Z179)+N(Z180)+N(Z183)+N(Z201)+N(Z204))/Z237,""),"")</f>
        <v/>
      </c>
      <c r="AA294" s="259" t="str">
        <f>IFERROR(IF(N(AA237)&lt;&gt;0,(N(AA178)+N(AA179)+N(AA180)+N(AA183)+N(AA201)+N(AA204))/AA237,""),"")</f>
        <v/>
      </c>
      <c r="AB294" s="259" t="str">
        <f>IFERROR(IF(N(AB237)&lt;&gt;0,(N(AB178)+N(AB179)+N(AB180)+N(AB183)+N(AB201)+N(AB204))/AB237,""),"")</f>
        <v/>
      </c>
      <c r="AC294" s="259" t="str">
        <f>IFERROR(IF(N(AC237)&lt;&gt;0,(N(AC178)+N(AC179)+N(AC180)+N(AC183)+N(AC201)+N(AC204))/AC237,""),"")</f>
        <v/>
      </c>
      <c r="AD294" s="259" t="str">
        <f>IFERROR(IF(N(AD237)&lt;&gt;0,(N(AD178)+N(AD179)+N(AD180)+N(AD183)+N(AD201)+N(AD204))/AD237,""),"")</f>
        <v/>
      </c>
      <c r="AE294" s="259" t="str">
        <f>IFERROR(IF(N(AE237)&lt;&gt;0,(N(AE178)+N(AE179)+N(AE180)+N(AE183)+N(AE201)+N(AE204))/AE237,""),"")</f>
        <v/>
      </c>
      <c r="AF294" s="259" t="str">
        <f>IFERROR(IF(N(AF237)&lt;&gt;0,(N(AF178)+N(AF179)+N(AF180)+N(AF183)+N(AF201)+N(AF204))/AF237,""),"")</f>
        <v/>
      </c>
      <c r="AG294" s="259" t="str">
        <f>IFERROR(IF(N(AG237)&lt;&gt;0,(N(AG178)+N(AG179)+N(AG180)+N(AG183)+N(AG201)+N(AG204))/AG237,""),"")</f>
        <v/>
      </c>
      <c r="AH294" s="259" t="str">
        <f>IFERROR(IF(N(AH237)&lt;&gt;0,(N(AH178)+N(AH179)+N(AH180)+N(AH183)+N(AH201)+N(AH204))/AH237,""),"")</f>
        <v/>
      </c>
      <c r="AI294" s="259" t="str">
        <f>IFERROR(IF(N(AI237)&lt;&gt;0,(N(AI178)+N(AI179)+N(AI180)+N(AI183)+N(AI201)+N(AI204))/AI237,""),"")</f>
        <v/>
      </c>
      <c r="AJ294" s="259" t="str">
        <f>IFERROR(IF(N(AJ237)&lt;&gt;0,(N(AJ178)+N(AJ179)+N(AJ180)+N(AJ183)+N(AJ201)+N(AJ204))/AJ237,""),"")</f>
        <v/>
      </c>
      <c r="AK294" s="259" t="str">
        <f>IFERROR(IF(N(AK237)&lt;&gt;0,(N(AK178)+N(AK179)+N(AK180)+N(AK183)+N(AK201)+N(AK204))/AK237,""),"")</f>
        <v/>
      </c>
      <c r="AL294" s="259" t="str">
        <f>IFERROR(IF(N(AL237)&lt;&gt;0,(N(AL178)+N(AL179)+N(AL180)+N(AL183)+N(AL201)+N(AL204))/AL237,""),"")</f>
        <v/>
      </c>
      <c r="AM294" s="259" t="str">
        <f>IFERROR(IF(N(AM237)&lt;&gt;0,(N(AM178)+N(AM179)+N(AM180)+N(AM183)+N(AM201)+N(AM204))/AM237,""),"")</f>
        <v/>
      </c>
      <c r="AN294" s="259" t="str">
        <f>IFERROR(IF(N(AN237)&lt;&gt;0,(N(AN178)+N(AN179)+N(AN180)+N(AN183)+N(AN201)+N(AN204))/AN237,""),"")</f>
        <v/>
      </c>
      <c r="AO294" s="259" t="str">
        <f>IFERROR(IF(N(AO237)&lt;&gt;0,(N(AO178)+N(AO179)+N(AO180)+N(AO183)+N(AO201)+N(AO204))/AO237,""),"")</f>
        <v/>
      </c>
      <c r="AP294" s="259" t="str">
        <f>IFERROR(IF(N(AP237)&lt;&gt;0,(N(AP178)+N(AP179)+N(AP180)+N(AP183)+N(AP201)+N(AP204))/AP237,""),"")</f>
        <v/>
      </c>
      <c r="AQ294" s="259" t="str">
        <f>IFERROR(IF(N(AQ237)&lt;&gt;0,(N(AQ178)+N(AQ179)+N(AQ180)+N(AQ183)+N(AQ201)+N(AQ204))/AQ237,""),"")</f>
        <v/>
      </c>
      <c r="AR294" s="259" t="str">
        <f>IFERROR(IF(N(AR237)&lt;&gt;0,(N(AR178)+N(AR179)+N(AR180)+N(AR183)+N(AR201)+N(AR204))/AR237,""),"")</f>
        <v/>
      </c>
      <c r="AS294" s="259" t="str">
        <f>IFERROR(IF(N(AS237)&lt;&gt;0,(N(AS178)+N(AS179)+N(AS180)+N(AS183)+N(AS201)+N(AS204))/AS237,""),"")</f>
        <v/>
      </c>
      <c r="AT294" s="259" t="str">
        <f>IFERROR(IF(N(AT237)&lt;&gt;0,(N(AT178)+N(AT179)+N(AT180)+N(AT183)+N(AT201)+N(AT204))/AT237,""),"")</f>
        <v/>
      </c>
      <c r="AU294" s="259" t="str">
        <f>IFERROR(IF(N(AU237)&lt;&gt;0,(N(AU178)+N(AU179)+N(AU180)+N(AU183)+N(AU201)+N(AU204))/AU237,""),"")</f>
        <v/>
      </c>
      <c r="AV294" s="259" t="str">
        <f>IFERROR(IF(N(AV237)&lt;&gt;0,(N(AV178)+N(AV179)+N(AV180)+N(AV183)+N(AV201)+N(AV204))/AV237,""),"")</f>
        <v/>
      </c>
      <c r="AW294" s="259" t="str">
        <f>IFERROR(IF(N(AW237)&lt;&gt;0,(N(AW178)+N(AW179)+N(AW180)+N(AW183)+N(AW201)+N(AW204))/AW237,""),"")</f>
        <v/>
      </c>
      <c r="AX294" s="259" t="str">
        <f>IFERROR(IF(N(AX237)&lt;&gt;0,(N(AX178)+N(AX179)+N(AX180)+N(AX183)+N(AX201)+N(AX204))/AX237,""),"")</f>
        <v/>
      </c>
      <c r="AY294" s="259" t="str">
        <f>IFERROR(IF(N(AY237)&lt;&gt;0,(N(AY178)+N(AY179)+N(AY180)+N(AY183)+N(AY201)+N(AY204))/AY237,""),"")</f>
        <v/>
      </c>
      <c r="AZ294" s="259" t="str">
        <f>IFERROR(IF(N(AZ237)&lt;&gt;0,(N(AZ178)+N(AZ179)+N(AZ180)+N(AZ183)+N(AZ201)+N(AZ204))/AZ237,""),"")</f>
        <v/>
      </c>
      <c r="BA294" s="259" t="str">
        <f>IFERROR(IF(N(BA237)&lt;&gt;0,(N(BA178)+N(BA179)+N(BA180)+N(BA183)+N(BA201)+N(BA204))/BA237,""),"")</f>
        <v/>
      </c>
      <c r="BB294" s="259" t="str">
        <f>IFERROR(IF(N(BB237)&lt;&gt;0,(N(BB178)+N(BB179)+N(BB180)+N(BB183)+N(BB201)+N(BB204))/BB237,""),"")</f>
        <v/>
      </c>
      <c r="BC294" s="259" t="str">
        <f>IFERROR(IF(N(BC237)&lt;&gt;0,(N(BC178)+N(BC179)+N(BC180)+N(BC183)+N(BC201)+N(BC204))/BC237,""),"")</f>
        <v/>
      </c>
      <c r="BD294" s="259" t="str">
        <f>IFERROR(IF(N(BD237)&lt;&gt;0,(N(BD178)+N(BD179)+N(BD180)+N(BD183)+N(BD201)+N(BD204))/BD237,""),"")</f>
        <v/>
      </c>
      <c r="BE294" s="259" t="str">
        <f>IFERROR(IF(N(BE237)&lt;&gt;0,(N(BE178)+N(BE179)+N(BE180)+N(BE183)+N(BE201)+N(BE204))/BE237,""),"")</f>
        <v/>
      </c>
      <c r="BF294" s="259" t="str">
        <f>IFERROR(IF(N(BF237)&lt;&gt;0,(N(BF178)+N(BF179)+N(BF180)+N(BF183)+N(BF201)+N(BF204))/BF237,""),"")</f>
        <v/>
      </c>
    </row>
    <row r="295" spans="1:102" s="77" customFormat="1" x14ac:dyDescent="0.2">
      <c r="A295" s="76"/>
      <c r="B295" s="76"/>
      <c r="C295" s="77" t="s">
        <v>382</v>
      </c>
      <c r="H295" s="258" t="str">
        <f>IFERROR(IF(((N(H178)+N(H179)+N(H180)+N(H183)+N(H201)+N(H204))-N(H110)+N(H237))&lt;&gt;0,((N(H178)+N(H179)+N(H180)+N(H183)+N(H201)+N(H204))-N(H110))/((N(H178)+N(H179)+N(H180)+N(H183)+N(H201)+N(H204))-N(H110)+H237),""),"")</f>
        <v/>
      </c>
      <c r="I295" s="258" t="str">
        <f>IFERROR(IF(((N(I178)+N(I179)+N(I180)+N(I183)+N(I201)+N(I204))-N(I110)+N(I237))&lt;&gt;0,((N(I178)+N(I179)+N(I180)+N(I183)+N(I201)+N(I204))-N(I110))/((N(I178)+N(I179)+N(I180)+N(I183)+N(I201)+N(I204))-N(I110)+I237),""),"")</f>
        <v/>
      </c>
      <c r="J295" s="258" t="str">
        <f>IFERROR(IF(((N(J178)+N(J179)+N(J180)+N(J183)+N(J201)+N(J204))-N(J110)+N(J237))&lt;&gt;0,((N(J178)+N(J179)+N(J180)+N(J183)+N(J201)+N(J204))-N(J110))/((N(J178)+N(J179)+N(J180)+N(J183)+N(J201)+N(J204))-N(J110)+J237),""),"")</f>
        <v/>
      </c>
      <c r="K295" s="258" t="str">
        <f>IFERROR(IF(((N(K178)+N(K179)+N(K180)+N(K183)+N(K201)+N(K204))-N(K110)+N(K237))&lt;&gt;0,((N(K178)+N(K179)+N(K180)+N(K183)+N(K201)+N(K204))-N(K110))/((N(K178)+N(K179)+N(K180)+N(K183)+N(K201)+N(K204))-N(K110)+K237),""),"")</f>
        <v/>
      </c>
      <c r="L295" s="258" t="str">
        <f>IFERROR(IF(((N(L178)+N(L179)+N(L180)+N(L183)+N(L201)+N(L204))-N(L110)+N(L237))&lt;&gt;0,((N(L178)+N(L179)+N(L180)+N(L183)+N(L201)+N(L204))-N(L110))/((N(L178)+N(L179)+N(L180)+N(L183)+N(L201)+N(L204))-N(L110)+L237),""),"")</f>
        <v/>
      </c>
      <c r="M295" s="258" t="str">
        <f>IFERROR(IF(((N(M178)+N(M179)+N(M180)+N(M183)+N(M201)+N(M204))-N(M110)+N(M237))&lt;&gt;0,((N(M178)+N(M179)+N(M180)+N(M183)+N(M201)+N(M204))-N(M110))/((N(M178)+N(M179)+N(M180)+N(M183)+N(M201)+N(M204))-N(M110)+M237),""),"")</f>
        <v/>
      </c>
      <c r="N295" s="258" t="str">
        <f>IFERROR(IF(((N(N178)+N(N179)+N(N180)+N(N183)+N(N201)+N(N204))-N(N110)+N(N237))&lt;&gt;0,((N(N178)+N(N179)+N(N180)+N(N183)+N(N201)+N(N204))-N(N110))/((N(N178)+N(N179)+N(N180)+N(N183)+N(N201)+N(N204))-N(N110)+N237),""),"")</f>
        <v/>
      </c>
      <c r="O295" s="258" t="str">
        <f>IFERROR(IF(((N(O178)+N(O179)+N(O180)+N(O183)+N(O201)+N(O204))-N(O110)+N(O237))&lt;&gt;0,((N(O178)+N(O179)+N(O180)+N(O183)+N(O201)+N(O204))-N(O110))/((N(O178)+N(O179)+N(O180)+N(O183)+N(O201)+N(O204))-N(O110)+O237),""),"")</f>
        <v/>
      </c>
      <c r="P295" s="258" t="str">
        <f>IFERROR(IF(((N(P178)+N(P179)+N(P180)+N(P183)+N(P201)+N(P204))-N(P110)+N(P237))&lt;&gt;0,((N(P178)+N(P179)+N(P180)+N(P183)+N(P201)+N(P204))-N(P110))/((N(P178)+N(P179)+N(P180)+N(P183)+N(P201)+N(P204))-N(P110)+P237),""),"")</f>
        <v/>
      </c>
      <c r="Q295" s="258" t="str">
        <f>IFERROR(IF(((N(Q178)+N(Q179)+N(Q180)+N(Q183)+N(Q201)+N(Q204))-N(Q110)+N(Q237))&lt;&gt;0,((N(Q178)+N(Q179)+N(Q180)+N(Q183)+N(Q201)+N(Q204))-N(Q110))/((N(Q178)+N(Q179)+N(Q180)+N(Q183)+N(Q201)+N(Q204))-N(Q110)+Q237),""),"")</f>
        <v/>
      </c>
      <c r="R295" s="258" t="str">
        <f>IFERROR(IF(((N(R178)+N(R179)+N(R180)+N(R183)+N(R201)+N(R204))-N(R110)+N(R237))&lt;&gt;0,((N(R178)+N(R179)+N(R180)+N(R183)+N(R201)+N(R204))-N(R110))/((N(R178)+N(R179)+N(R180)+N(R183)+N(R201)+N(R204))-N(R110)+R237),""),"")</f>
        <v/>
      </c>
      <c r="S295" s="258" t="str">
        <f>IFERROR(IF(((N(S178)+N(S179)+N(S180)+N(S183)+N(S201)+N(S204))-N(S110)+N(S237))&lt;&gt;0,((N(S178)+N(S179)+N(S180)+N(S183)+N(S201)+N(S204))-N(S110))/((N(S178)+N(S179)+N(S180)+N(S183)+N(S201)+N(S204))-N(S110)+S237),""),"")</f>
        <v/>
      </c>
      <c r="T295" s="258" t="str">
        <f>IFERROR(IF(((N(T178)+N(T179)+N(T180)+N(T183)+N(T201)+N(T204))-N(T110)+N(T237))&lt;&gt;0,((N(T178)+N(T179)+N(T180)+N(T183)+N(T201)+N(T204))-N(T110))/((N(T178)+N(T179)+N(T180)+N(T183)+N(T201)+N(T204))-N(T110)+T237),""),"")</f>
        <v/>
      </c>
      <c r="U295" s="258" t="str">
        <f>IFERROR(IF(((N(U178)+N(U179)+N(U180)+N(U183)+N(U201)+N(U204))-N(U110)+N(U237))&lt;&gt;0,((N(U178)+N(U179)+N(U180)+N(U183)+N(U201)+N(U204))-N(U110))/((N(U178)+N(U179)+N(U180)+N(U183)+N(U201)+N(U204))-N(U110)+U237),""),"")</f>
        <v/>
      </c>
      <c r="V295" s="258" t="str">
        <f>IFERROR(IF(((N(V178)+N(V179)+N(V180)+N(V183)+N(V201)+N(V204))-N(V110)+N(V237))&lt;&gt;0,((N(V178)+N(V179)+N(V180)+N(V183)+N(V201)+N(V204))-N(V110))/((N(V178)+N(V179)+N(V180)+N(V183)+N(V201)+N(V204))-N(V110)+V237),""),"")</f>
        <v/>
      </c>
      <c r="W295" s="258" t="str">
        <f>IFERROR(IF(((N(W178)+N(W179)+N(W180)+N(W183)+N(W201)+N(W204))-N(W110)+N(W237))&lt;&gt;0,((N(W178)+N(W179)+N(W180)+N(W183)+N(W201)+N(W204))-N(W110))/((N(W178)+N(W179)+N(W180)+N(W183)+N(W201)+N(W204))-N(W110)+W237),""),"")</f>
        <v/>
      </c>
      <c r="X295" s="258" t="str">
        <f>IFERROR(IF(((N(X178)+N(X179)+N(X180)+N(X183)+N(X201)+N(X204))-N(X110)+N(X237))&lt;&gt;0,((N(X178)+N(X179)+N(X180)+N(X183)+N(X201)+N(X204))-N(X110))/((N(X178)+N(X179)+N(X180)+N(X183)+N(X201)+N(X204))-N(X110)+X237),""),"")</f>
        <v/>
      </c>
      <c r="Y295" s="258" t="str">
        <f>IFERROR(IF(((N(Y178)+N(Y179)+N(Y180)+N(Y183)+N(Y201)+N(Y204))-N(Y110)+N(Y237))&lt;&gt;0,((N(Y178)+N(Y179)+N(Y180)+N(Y183)+N(Y201)+N(Y204))-N(Y110))/((N(Y178)+N(Y179)+N(Y180)+N(Y183)+N(Y201)+N(Y204))-N(Y110)+Y237),""),"")</f>
        <v/>
      </c>
      <c r="Z295" s="258" t="str">
        <f>IFERROR(IF(((N(Z178)+N(Z179)+N(Z180)+N(Z183)+N(Z201)+N(Z204))-N(Z110)+N(Z237))&lt;&gt;0,((N(Z178)+N(Z179)+N(Z180)+N(Z183)+N(Z201)+N(Z204))-N(Z110))/((N(Z178)+N(Z179)+N(Z180)+N(Z183)+N(Z201)+N(Z204))-N(Z110)+Z237),""),"")</f>
        <v/>
      </c>
      <c r="AA295" s="258" t="str">
        <f>IFERROR(IF(((N(AA178)+N(AA179)+N(AA180)+N(AA183)+N(AA201)+N(AA204))-N(AA110)+N(AA237))&lt;&gt;0,((N(AA178)+N(AA179)+N(AA180)+N(AA183)+N(AA201)+N(AA204))-N(AA110))/((N(AA178)+N(AA179)+N(AA180)+N(AA183)+N(AA201)+N(AA204))-N(AA110)+AA237),""),"")</f>
        <v/>
      </c>
      <c r="AB295" s="258" t="str">
        <f>IFERROR(IF(((N(AB178)+N(AB179)+N(AB180)+N(AB183)+N(AB201)+N(AB204))-N(AB110)+N(AB237))&lt;&gt;0,((N(AB178)+N(AB179)+N(AB180)+N(AB183)+N(AB201)+N(AB204))-N(AB110))/((N(AB178)+N(AB179)+N(AB180)+N(AB183)+N(AB201)+N(AB204))-N(AB110)+AB237),""),"")</f>
        <v/>
      </c>
      <c r="AC295" s="258" t="str">
        <f>IFERROR(IF(((N(AC178)+N(AC179)+N(AC180)+N(AC183)+N(AC201)+N(AC204))-N(AC110)+N(AC237))&lt;&gt;0,((N(AC178)+N(AC179)+N(AC180)+N(AC183)+N(AC201)+N(AC204))-N(AC110))/((N(AC178)+N(AC179)+N(AC180)+N(AC183)+N(AC201)+N(AC204))-N(AC110)+AC237),""),"")</f>
        <v/>
      </c>
      <c r="AD295" s="258" t="str">
        <f>IFERROR(IF(((N(AD178)+N(AD179)+N(AD180)+N(AD183)+N(AD201)+N(AD204))-N(AD110)+N(AD237))&lt;&gt;0,((N(AD178)+N(AD179)+N(AD180)+N(AD183)+N(AD201)+N(AD204))-N(AD110))/((N(AD178)+N(AD179)+N(AD180)+N(AD183)+N(AD201)+N(AD204))-N(AD110)+AD237),""),"")</f>
        <v/>
      </c>
      <c r="AE295" s="258" t="str">
        <f>IFERROR(IF(((N(AE178)+N(AE179)+N(AE180)+N(AE183)+N(AE201)+N(AE204))-N(AE110)+N(AE237))&lt;&gt;0,((N(AE178)+N(AE179)+N(AE180)+N(AE183)+N(AE201)+N(AE204))-N(AE110))/((N(AE178)+N(AE179)+N(AE180)+N(AE183)+N(AE201)+N(AE204))-N(AE110)+AE237),""),"")</f>
        <v/>
      </c>
      <c r="AF295" s="258" t="str">
        <f>IFERROR(IF(((N(AF178)+N(AF179)+N(AF180)+N(AF183)+N(AF201)+N(AF204))-N(AF110)+N(AF237))&lt;&gt;0,((N(AF178)+N(AF179)+N(AF180)+N(AF183)+N(AF201)+N(AF204))-N(AF110))/((N(AF178)+N(AF179)+N(AF180)+N(AF183)+N(AF201)+N(AF204))-N(AF110)+AF237),""),"")</f>
        <v/>
      </c>
      <c r="AG295" s="258" t="str">
        <f>IFERROR(IF(((N(AG178)+N(AG179)+N(AG180)+N(AG183)+N(AG201)+N(AG204))-N(AG110)+N(AG237))&lt;&gt;0,((N(AG178)+N(AG179)+N(AG180)+N(AG183)+N(AG201)+N(AG204))-N(AG110))/((N(AG178)+N(AG179)+N(AG180)+N(AG183)+N(AG201)+N(AG204))-N(AG110)+AG237),""),"")</f>
        <v/>
      </c>
      <c r="AH295" s="258" t="str">
        <f>IFERROR(IF(((N(AH178)+N(AH179)+N(AH180)+N(AH183)+N(AH201)+N(AH204))-N(AH110)+N(AH237))&lt;&gt;0,((N(AH178)+N(AH179)+N(AH180)+N(AH183)+N(AH201)+N(AH204))-N(AH110))/((N(AH178)+N(AH179)+N(AH180)+N(AH183)+N(AH201)+N(AH204))-N(AH110)+AH237),""),"")</f>
        <v/>
      </c>
      <c r="AI295" s="258" t="str">
        <f>IFERROR(IF(((N(AI178)+N(AI179)+N(AI180)+N(AI183)+N(AI201)+N(AI204))-N(AI110)+N(AI237))&lt;&gt;0,((N(AI178)+N(AI179)+N(AI180)+N(AI183)+N(AI201)+N(AI204))-N(AI110))/((N(AI178)+N(AI179)+N(AI180)+N(AI183)+N(AI201)+N(AI204))-N(AI110)+AI237),""),"")</f>
        <v/>
      </c>
      <c r="AJ295" s="258" t="str">
        <f>IFERROR(IF(((N(AJ178)+N(AJ179)+N(AJ180)+N(AJ183)+N(AJ201)+N(AJ204))-N(AJ110)+N(AJ237))&lt;&gt;0,((N(AJ178)+N(AJ179)+N(AJ180)+N(AJ183)+N(AJ201)+N(AJ204))-N(AJ110))/((N(AJ178)+N(AJ179)+N(AJ180)+N(AJ183)+N(AJ201)+N(AJ204))-N(AJ110)+AJ237),""),"")</f>
        <v/>
      </c>
      <c r="AK295" s="258" t="str">
        <f>IFERROR(IF(((N(AK178)+N(AK179)+N(AK180)+N(AK183)+N(AK201)+N(AK204))-N(AK110)+N(AK237))&lt;&gt;0,((N(AK178)+N(AK179)+N(AK180)+N(AK183)+N(AK201)+N(AK204))-N(AK110))/((N(AK178)+N(AK179)+N(AK180)+N(AK183)+N(AK201)+N(AK204))-N(AK110)+AK237),""),"")</f>
        <v/>
      </c>
      <c r="AL295" s="258" t="str">
        <f>IFERROR(IF(((N(AL178)+N(AL179)+N(AL180)+N(AL183)+N(AL201)+N(AL204))-N(AL110)+N(AL237))&lt;&gt;0,((N(AL178)+N(AL179)+N(AL180)+N(AL183)+N(AL201)+N(AL204))-N(AL110))/((N(AL178)+N(AL179)+N(AL180)+N(AL183)+N(AL201)+N(AL204))-N(AL110)+AL237),""),"")</f>
        <v/>
      </c>
      <c r="AM295" s="258" t="str">
        <f>IFERROR(IF(((N(AM178)+N(AM179)+N(AM180)+N(AM183)+N(AM201)+N(AM204))-N(AM110)+N(AM237))&lt;&gt;0,((N(AM178)+N(AM179)+N(AM180)+N(AM183)+N(AM201)+N(AM204))-N(AM110))/((N(AM178)+N(AM179)+N(AM180)+N(AM183)+N(AM201)+N(AM204))-N(AM110)+AM237),""),"")</f>
        <v/>
      </c>
      <c r="AN295" s="258" t="str">
        <f>IFERROR(IF(((N(AN178)+N(AN179)+N(AN180)+N(AN183)+N(AN201)+N(AN204))-N(AN110)+N(AN237))&lt;&gt;0,((N(AN178)+N(AN179)+N(AN180)+N(AN183)+N(AN201)+N(AN204))-N(AN110))/((N(AN178)+N(AN179)+N(AN180)+N(AN183)+N(AN201)+N(AN204))-N(AN110)+AN237),""),"")</f>
        <v/>
      </c>
      <c r="AO295" s="258" t="str">
        <f>IFERROR(IF(((N(AO178)+N(AO179)+N(AO180)+N(AO183)+N(AO201)+N(AO204))-N(AO110)+N(AO237))&lt;&gt;0,((N(AO178)+N(AO179)+N(AO180)+N(AO183)+N(AO201)+N(AO204))-N(AO110))/((N(AO178)+N(AO179)+N(AO180)+N(AO183)+N(AO201)+N(AO204))-N(AO110)+AO237),""),"")</f>
        <v/>
      </c>
      <c r="AP295" s="258" t="str">
        <f>IFERROR(IF(((N(AP178)+N(AP179)+N(AP180)+N(AP183)+N(AP201)+N(AP204))-N(AP110)+N(AP237))&lt;&gt;0,((N(AP178)+N(AP179)+N(AP180)+N(AP183)+N(AP201)+N(AP204))-N(AP110))/((N(AP178)+N(AP179)+N(AP180)+N(AP183)+N(AP201)+N(AP204))-N(AP110)+AP237),""),"")</f>
        <v/>
      </c>
      <c r="AQ295" s="258" t="str">
        <f>IFERROR(IF(((N(AQ178)+N(AQ179)+N(AQ180)+N(AQ183)+N(AQ201)+N(AQ204))-N(AQ110)+N(AQ237))&lt;&gt;0,((N(AQ178)+N(AQ179)+N(AQ180)+N(AQ183)+N(AQ201)+N(AQ204))-N(AQ110))/((N(AQ178)+N(AQ179)+N(AQ180)+N(AQ183)+N(AQ201)+N(AQ204))-N(AQ110)+AQ237),""),"")</f>
        <v/>
      </c>
      <c r="AR295" s="258" t="str">
        <f>IFERROR(IF(((N(AR178)+N(AR179)+N(AR180)+N(AR183)+N(AR201)+N(AR204))-N(AR110)+N(AR237))&lt;&gt;0,((N(AR178)+N(AR179)+N(AR180)+N(AR183)+N(AR201)+N(AR204))-N(AR110))/((N(AR178)+N(AR179)+N(AR180)+N(AR183)+N(AR201)+N(AR204))-N(AR110)+AR237),""),"")</f>
        <v/>
      </c>
      <c r="AS295" s="258" t="str">
        <f>IFERROR(IF(((N(AS178)+N(AS179)+N(AS180)+N(AS183)+N(AS201)+N(AS204))-N(AS110)+N(AS237))&lt;&gt;0,((N(AS178)+N(AS179)+N(AS180)+N(AS183)+N(AS201)+N(AS204))-N(AS110))/((N(AS178)+N(AS179)+N(AS180)+N(AS183)+N(AS201)+N(AS204))-N(AS110)+AS237),""),"")</f>
        <v/>
      </c>
      <c r="AT295" s="258" t="str">
        <f>IFERROR(IF(((N(AT178)+N(AT179)+N(AT180)+N(AT183)+N(AT201)+N(AT204))-N(AT110)+N(AT237))&lt;&gt;0,((N(AT178)+N(AT179)+N(AT180)+N(AT183)+N(AT201)+N(AT204))-N(AT110))/((N(AT178)+N(AT179)+N(AT180)+N(AT183)+N(AT201)+N(AT204))-N(AT110)+AT237),""),"")</f>
        <v/>
      </c>
      <c r="AU295" s="258" t="str">
        <f>IFERROR(IF(((N(AU178)+N(AU179)+N(AU180)+N(AU183)+N(AU201)+N(AU204))-N(AU110)+N(AU237))&lt;&gt;0,((N(AU178)+N(AU179)+N(AU180)+N(AU183)+N(AU201)+N(AU204))-N(AU110))/((N(AU178)+N(AU179)+N(AU180)+N(AU183)+N(AU201)+N(AU204))-N(AU110)+AU237),""),"")</f>
        <v/>
      </c>
      <c r="AV295" s="258" t="str">
        <f>IFERROR(IF(((N(AV178)+N(AV179)+N(AV180)+N(AV183)+N(AV201)+N(AV204))-N(AV110)+N(AV237))&lt;&gt;0,((N(AV178)+N(AV179)+N(AV180)+N(AV183)+N(AV201)+N(AV204))-N(AV110))/((N(AV178)+N(AV179)+N(AV180)+N(AV183)+N(AV201)+N(AV204))-N(AV110)+AV237),""),"")</f>
        <v/>
      </c>
      <c r="AW295" s="258" t="str">
        <f>IFERROR(IF(((N(AW178)+N(AW179)+N(AW180)+N(AW183)+N(AW201)+N(AW204))-N(AW110)+N(AW237))&lt;&gt;0,((N(AW178)+N(AW179)+N(AW180)+N(AW183)+N(AW201)+N(AW204))-N(AW110))/((N(AW178)+N(AW179)+N(AW180)+N(AW183)+N(AW201)+N(AW204))-N(AW110)+AW237),""),"")</f>
        <v/>
      </c>
      <c r="AX295" s="258" t="str">
        <f>IFERROR(IF(((N(AX178)+N(AX179)+N(AX180)+N(AX183)+N(AX201)+N(AX204))-N(AX110)+N(AX237))&lt;&gt;0,((N(AX178)+N(AX179)+N(AX180)+N(AX183)+N(AX201)+N(AX204))-N(AX110))/((N(AX178)+N(AX179)+N(AX180)+N(AX183)+N(AX201)+N(AX204))-N(AX110)+AX237),""),"")</f>
        <v/>
      </c>
      <c r="AY295" s="258" t="str">
        <f>IFERROR(IF(((N(AY178)+N(AY179)+N(AY180)+N(AY183)+N(AY201)+N(AY204))-N(AY110)+N(AY237))&lt;&gt;0,((N(AY178)+N(AY179)+N(AY180)+N(AY183)+N(AY201)+N(AY204))-N(AY110))/((N(AY178)+N(AY179)+N(AY180)+N(AY183)+N(AY201)+N(AY204))-N(AY110)+AY237),""),"")</f>
        <v/>
      </c>
      <c r="AZ295" s="258" t="str">
        <f>IFERROR(IF(((N(AZ178)+N(AZ179)+N(AZ180)+N(AZ183)+N(AZ201)+N(AZ204))-N(AZ110)+N(AZ237))&lt;&gt;0,((N(AZ178)+N(AZ179)+N(AZ180)+N(AZ183)+N(AZ201)+N(AZ204))-N(AZ110))/((N(AZ178)+N(AZ179)+N(AZ180)+N(AZ183)+N(AZ201)+N(AZ204))-N(AZ110)+AZ237),""),"")</f>
        <v/>
      </c>
      <c r="BA295" s="258" t="str">
        <f>IFERROR(IF(((N(BA178)+N(BA179)+N(BA180)+N(BA183)+N(BA201)+N(BA204))-N(BA110)+N(BA237))&lt;&gt;0,((N(BA178)+N(BA179)+N(BA180)+N(BA183)+N(BA201)+N(BA204))-N(BA110))/((N(BA178)+N(BA179)+N(BA180)+N(BA183)+N(BA201)+N(BA204))-N(BA110)+BA237),""),"")</f>
        <v/>
      </c>
      <c r="BB295" s="258" t="str">
        <f>IFERROR(IF(((N(BB178)+N(BB179)+N(BB180)+N(BB183)+N(BB201)+N(BB204))-N(BB110)+N(BB237))&lt;&gt;0,((N(BB178)+N(BB179)+N(BB180)+N(BB183)+N(BB201)+N(BB204))-N(BB110))/((N(BB178)+N(BB179)+N(BB180)+N(BB183)+N(BB201)+N(BB204))-N(BB110)+BB237),""),"")</f>
        <v/>
      </c>
      <c r="BC295" s="258" t="str">
        <f>IFERROR(IF(((N(BC178)+N(BC179)+N(BC180)+N(BC183)+N(BC201)+N(BC204))-N(BC110)+N(BC237))&lt;&gt;0,((N(BC178)+N(BC179)+N(BC180)+N(BC183)+N(BC201)+N(BC204))-N(BC110))/((N(BC178)+N(BC179)+N(BC180)+N(BC183)+N(BC201)+N(BC204))-N(BC110)+BC237),""),"")</f>
        <v/>
      </c>
      <c r="BD295" s="258" t="str">
        <f>IFERROR(IF(((N(BD178)+N(BD179)+N(BD180)+N(BD183)+N(BD201)+N(BD204))-N(BD110)+N(BD237))&lt;&gt;0,((N(BD178)+N(BD179)+N(BD180)+N(BD183)+N(BD201)+N(BD204))-N(BD110))/((N(BD178)+N(BD179)+N(BD180)+N(BD183)+N(BD201)+N(BD204))-N(BD110)+BD237),""),"")</f>
        <v/>
      </c>
      <c r="BE295" s="258" t="str">
        <f>IFERROR(IF(((N(BE178)+N(BE179)+N(BE180)+N(BE183)+N(BE201)+N(BE204))-N(BE110)+N(BE237))&lt;&gt;0,((N(BE178)+N(BE179)+N(BE180)+N(BE183)+N(BE201)+N(BE204))-N(BE110))/((N(BE178)+N(BE179)+N(BE180)+N(BE183)+N(BE201)+N(BE204))-N(BE110)+BE237),""),"")</f>
        <v/>
      </c>
      <c r="BF295" s="258" t="str">
        <f>IFERROR(IF(((N(BF178)+N(BF179)+N(BF180)+N(BF183)+N(BF201)+N(BF204))-N(BF110)+N(BF237))&lt;&gt;0,((N(BF178)+N(BF179)+N(BF180)+N(BF183)+N(BF201)+N(BF204))-N(BF110))/((N(BF178)+N(BF179)+N(BF180)+N(BF183)+N(BF201)+N(BF204))-N(BF110)+BF237),""),"")</f>
        <v/>
      </c>
    </row>
    <row r="296" spans="1:102" s="77" customFormat="1" x14ac:dyDescent="0.2">
      <c r="A296" s="76"/>
      <c r="B296" s="76"/>
    </row>
    <row r="297" spans="1:102" s="77" customFormat="1" x14ac:dyDescent="0.2">
      <c r="A297" s="76"/>
      <c r="B297" s="76"/>
      <c r="C297" s="74" t="s">
        <v>217</v>
      </c>
    </row>
    <row r="298" spans="1:102" s="77" customFormat="1" x14ac:dyDescent="0.2">
      <c r="A298" s="76"/>
      <c r="B298" s="76"/>
      <c r="C298" s="77" t="s">
        <v>383</v>
      </c>
      <c r="D298" s="82" t="str">
        <f>IFERROR(D35/-D40,"")</f>
        <v/>
      </c>
      <c r="E298" s="82" t="str">
        <f>IFERROR(E35/-E40,"")</f>
        <v/>
      </c>
      <c r="F298" s="82" t="str">
        <f>IFERROR(F35/-F40,"")</f>
        <v/>
      </c>
      <c r="G298" s="82" t="str">
        <f>IFERROR(G35/-G40,"")</f>
        <v/>
      </c>
      <c r="H298" s="259" t="str">
        <f>IFERROR(IF(AND(COUNT(H35)=1,(H40)&lt;&gt;0),(H35)/-(H40),""),"")</f>
        <v/>
      </c>
      <c r="I298" s="259" t="str">
        <f>""</f>
        <v/>
      </c>
      <c r="J298" s="259" t="str">
        <f>""</f>
        <v/>
      </c>
      <c r="K298" s="259" t="str">
        <f>""</f>
        <v/>
      </c>
      <c r="L298" s="259" t="str">
        <f>IFERROR(IF(AND(COUNT(I35,J35,K35,L35)=4,(I40+J40+K40+L40)&lt;&gt;0),(I35+J35+K35+L35)/-(I40+J40+K40+L40),""),"")</f>
        <v/>
      </c>
      <c r="M298" s="259" t="str">
        <f>IFERROR(IF(AND(COUNT(I35,J35,K35,L35)=4,(I40+J40+K40+L40)&lt;&gt;0),(I35+J35+K35+L35)/-(I40+J40+K40+L40),""),"")</f>
        <v/>
      </c>
      <c r="N298" s="259" t="str">
        <f>IFERROR(IF(AND(COUNT(J35,K35,L35,N35)=4,(J40+K40+L40+N40)&lt;&gt;0),(J35+K35+L35+N35)/-(J40+K40+L40+N40),""),"")</f>
        <v/>
      </c>
      <c r="O298" s="259" t="str">
        <f>IFERROR(IF(AND(COUNT(K35,L35,N35,O35)=4,(K40+L40+N40+O40)&lt;&gt;0),(K35+L35+N35+O35)/-(K40+L40+N40+O40),""),"")</f>
        <v/>
      </c>
      <c r="P298" s="259" t="str">
        <f>IFERROR(IF(AND(COUNT(L35,N35,O35,P35)=4,(L40+N40+O40+P40)&lt;&gt;0),(L35+N35+O35+P35)/-(L40+N40+O40+P40),""),"")</f>
        <v/>
      </c>
      <c r="Q298" s="259" t="str">
        <f>IFERROR(IF(AND(COUNT(N35,O35,P35,Q35)=4,(N40+O40+P40+Q40)&lt;&gt;0),(N35+O35+P35+Q35)/-(N40+O40+P40+Q40),""),"")</f>
        <v/>
      </c>
      <c r="R298" s="259" t="str">
        <f>IFERROR(IF(AND(COUNT(N35,O35,P35,Q35)=4,(N40+O40+P40+Q40)&lt;&gt;0),(N35+O35+P35+Q35)/-(N40+O40+P40+Q40),""),"")</f>
        <v/>
      </c>
      <c r="S298" s="259" t="str">
        <f>IFERROR(IF(AND(COUNT(O35,P35,Q35,S35)=4,(O40+P40+Q40+S40)&lt;&gt;0),(O35+P35+Q35+S35)/-(O40+P40+Q40+S40),""),"")</f>
        <v/>
      </c>
      <c r="T298" s="259" t="str">
        <f>IFERROR(IF(AND(COUNT(P35,Q35,S35,T35)=4,(P40+Q40+S40+T40)&lt;&gt;0),(P35+Q35+S35+T35)/-(P40+Q40+S40+T40),""),"")</f>
        <v/>
      </c>
      <c r="U298" s="259" t="str">
        <f>IFERROR(IF(AND(COUNT(Q35,S35,T35,U35)=4,(Q40+S40+T40+U40)&lt;&gt;0),(Q35+S35+T35+U35)/-(Q40+S40+T40+U40),""),"")</f>
        <v/>
      </c>
      <c r="V298" s="259" t="str">
        <f>IFERROR(IF(AND(COUNT(S35,T35,U35,V35)=4,(S40+T40+U40+V40)&lt;&gt;0),(S35+T35+U35+V35)/-(S40+T40+U40+V40),""),"")</f>
        <v/>
      </c>
      <c r="W298" s="259" t="str">
        <f>IFERROR(IF(AND(COUNT(S35,T35,U35,V35)=4,(S40+T40+U40+V40)&lt;&gt;0),(S35+T35+U35+V35)/-(S40+T40+U40+V40),""),"")</f>
        <v/>
      </c>
      <c r="X298" s="259" t="str">
        <f>IFERROR(IF(AND(COUNT(T35,U35,V35,X35)=4,(T40+U40+V40+X40)&lt;&gt;0),(T35+U35+V35+X35)/-(T40+U40+V40+X40),""),"")</f>
        <v/>
      </c>
      <c r="Y298" s="259" t="str">
        <f>IFERROR(IF(AND(COUNT(U35,V35,X35,Y35)=4,(U40+V40+X40+Y40)&lt;&gt;0),(U35+V35+X35+Y35)/-(U40+V40+X40+Y40),""),"")</f>
        <v/>
      </c>
      <c r="Z298" s="259" t="str">
        <f>IFERROR(IF(AND(COUNT(V35,X35,Y35,Z35)=4,(V40+X40+Y40+Z40)&lt;&gt;0),(V35+X35+Y35+Z35)/-(V40+X40+Y40+Z40),""),"")</f>
        <v/>
      </c>
      <c r="AA298" s="259" t="str">
        <f>IFERROR(IF(AND(COUNT(X35,Y35,Z35,AA35)=4,(X40+Y40+Z40+AA40)&lt;&gt;0),(X35+Y35+Z35+AA35)/-(X40+Y40+Z40+AA40),""),"")</f>
        <v/>
      </c>
      <c r="AB298" s="259" t="str">
        <f>IFERROR(IF(AND(COUNT(X35,Y35,Z35,AA35)=4,(X40+Y40+Z40+AA40)&lt;&gt;0),(X35+Y35+Z35+AA35)/-(X40+Y40+Z40+AA40),""),"")</f>
        <v/>
      </c>
      <c r="AC298" s="259" t="str">
        <f>IFERROR(IF(AND(COUNT(Y35,Z35,AA35,AC35)=4,(Y40+Z40+AA40+AC40)&lt;&gt;0),(Y35+Z35+AA35+AC35)/-(Y40+Z40+AA40+AC40),""),"")</f>
        <v/>
      </c>
      <c r="AD298" s="259" t="str">
        <f>IFERROR(IF(AND(COUNT(Z35,AA35,AC35,AD35)=4,(Z40+AA40+AC40+AD40)&lt;&gt;0),(Z35+AA35+AC35+AD35)/-(Z40+AA40+AC40+AD40),""),"")</f>
        <v/>
      </c>
      <c r="AE298" s="259" t="str">
        <f>IFERROR(IF(AND(COUNT(AA35,AC35,AD35,AE35)=4,(AA40+AC40+AD40+AE40)&lt;&gt;0),(AA35+AC35+AD35+AE35)/-(AA40+AC40+AD40+AE40),""),"")</f>
        <v/>
      </c>
      <c r="AF298" s="259" t="str">
        <f>IFERROR(IF(AND(COUNT(AC35,AD35,AE35,AF35)=4,(AC40+AD40+AE40+AF40)&lt;&gt;0),(AC35+AD35+AE35+AF35)/-(AC40+AD40+AE40+AF40),""),"")</f>
        <v/>
      </c>
      <c r="AG298" s="259" t="str">
        <f>IFERROR(IF(AND(COUNT(AC35,AD35,AE35,AF35)=4,(AC40+AD40+AE40+AF40)&lt;&gt;0),(AC35+AD35+AE35+AF35)/-(AC40+AD40+AE40+AF40),""),"")</f>
        <v/>
      </c>
      <c r="AH298" s="259" t="str">
        <f>IFERROR(IF(AND(COUNT(AD35,AE35,AF35,AH35)=4,(AD40+AE40+AF40+AH40)&lt;&gt;0),(AD35+AE35+AF35+AH35)/-(AD40+AE40+AF40+AH40),""),"")</f>
        <v/>
      </c>
      <c r="AI298" s="259" t="str">
        <f>IFERROR(IF(AND(COUNT(AE35,AF35,AH35,AI35)=4,(AE40+AF40+AH40+AI40)&lt;&gt;0),(AE35+AF35+AH35+AI35)/-(AE40+AF40+AH40+AI40),""),"")</f>
        <v/>
      </c>
      <c r="AJ298" s="259" t="str">
        <f>IFERROR(IF(AND(COUNT(AF35,AH35,AI35,AJ35)=4,(AF40+AH40+AI40+AJ40)&lt;&gt;0),(AF35+AH35+AI35+AJ35)/-(AF40+AH40+AI40+AJ40),""),"")</f>
        <v/>
      </c>
      <c r="AK298" s="259" t="str">
        <f>IFERROR(IF(AND(COUNT(AH35,AI35,AJ35,AK35)=4,(AH40+AI40+AJ40+AK40)&lt;&gt;0),(AH35+AI35+AJ35+AK35)/-(AH40+AI40+AJ40+AK40),""),"")</f>
        <v/>
      </c>
      <c r="AL298" s="259" t="str">
        <f>IFERROR(IF(AND(COUNT(AH35,AI35,AJ35,AK35)=4,(AH40+AI40+AJ40+AK40)&lt;&gt;0),(AH35+AI35+AJ35+AK35)/-(AH40+AI40+AJ40+AK40),""),"")</f>
        <v/>
      </c>
      <c r="AM298" s="259" t="str">
        <f>IFERROR(IF(AND(COUNT(AI35,AJ35,AK35,AM35)=4,(AI40+AJ40+AK40+AM40)&lt;&gt;0),(AI35+AJ35+AK35+AM35)/-(AI40+AJ40+AK40+AM40),""),"")</f>
        <v/>
      </c>
      <c r="AN298" s="259" t="str">
        <f>IFERROR(IF(AND(COUNT(AJ35,AK35,AM35,AN35)=4,(AJ40+AK40+AM40+AN40)&lt;&gt;0),(AJ35+AK35+AM35+AN35)/-(AJ40+AK40+AM40+AN40),""),"")</f>
        <v/>
      </c>
      <c r="AO298" s="259" t="str">
        <f>IFERROR(IF(AND(COUNT(AK35,AM35,AN35,AO35)=4,(AK40+AM40+AN40+AO40)&lt;&gt;0),(AK35+AM35+AN35+AO35)/-(AK40+AM40+AN40+AO40),""),"")</f>
        <v/>
      </c>
      <c r="AP298" s="259" t="str">
        <f>IFERROR(IF(AND(COUNT(AM35,AN35,AO35,AP35)=4,(AM40+AN40+AO40+AP40)&lt;&gt;0),(AM35+AN35+AO35+AP35)/-(AM40+AN40+AO40+AP40),""),"")</f>
        <v/>
      </c>
      <c r="AQ298" s="259" t="str">
        <f>IFERROR(IF(AND(COUNT(AM35,AN35,AO35,AP35)=4,(AM40+AN40+AO40+AP40)&lt;&gt;0),(AM35+AN35+AO35+AP35)/-(AM40+AN40+AO40+AP40),""),"")</f>
        <v/>
      </c>
      <c r="AR298" s="259" t="str">
        <f>IFERROR(IF(AND(COUNT(AN35,AO35,AP35,AR35)=4,(AN40+AO40+AP40+AR40)&lt;&gt;0),(AN35+AO35+AP35+AR35)/-(AN40+AO40+AP40+AR40),""),"")</f>
        <v/>
      </c>
      <c r="AS298" s="259" t="str">
        <f>IFERROR(IF(AND(COUNT(AO35,AP35,AR35,AS35)=4,(AO40+AP40+AR40+AS40)&lt;&gt;0),(AO35+AP35+AR35+AS35)/-(AO40+AP40+AR40+AS40),""),"")</f>
        <v/>
      </c>
      <c r="AT298" s="259" t="str">
        <f>IFERROR(IF(AND(COUNT(AP35,AR35,AS35,AT35)=4,(AP40+AR40+AS40+AT40)&lt;&gt;0),(AP35+AR35+AS35+AT35)/-(AP40+AR40+AS40+AT40),""),"")</f>
        <v/>
      </c>
      <c r="AU298" s="259" t="str">
        <f>IFERROR(IF(AND(COUNT(AR35,AS35,AT35,AU35)=4,(AR40+AS40+AT40+AU40)&lt;&gt;0),(AR35+AS35+AT35+AU35)/-(AR40+AS40+AT40+AU40),""),"")</f>
        <v/>
      </c>
      <c r="AV298" s="259" t="str">
        <f>IFERROR(IF(AND(COUNT(AR35,AS35,AT35,AU35)=4,(AR40+AS40+AT40+AU40)&lt;&gt;0),(AR35+AS35+AT35+AU35)/-(AR40+AS40+AT40+AU40),""),"")</f>
        <v/>
      </c>
      <c r="AW298" s="259" t="str">
        <f>IFERROR(IF(AND(COUNT(AS35,AT35,AU35,AW35)=4,(AS40+AT40+AU40+AW40)&lt;&gt;0),(AS35+AT35+AU35+AW35)/-(AS40+AT40+AU40+AW40),""),"")</f>
        <v/>
      </c>
      <c r="AX298" s="259" t="str">
        <f>IFERROR(IF(AND(COUNT(AT35,AU35,AW35,AX35)=4,(AT40+AU40+AW40+AX40)&lt;&gt;0),(AT35+AU35+AW35+AX35)/-(AT40+AU40+AW40+AX40),""),"")</f>
        <v/>
      </c>
      <c r="AY298" s="259" t="str">
        <f>IFERROR(IF(AND(COUNT(AU35,AW35,AX35,AY35)=4,(AU40+AW40+AX40+AY40)&lt;&gt;0),(AU35+AW35+AX35+AY35)/-(AU40+AW40+AX40+AY40),""),"")</f>
        <v/>
      </c>
      <c r="AZ298" s="259" t="str">
        <f>IFERROR(IF(AND(COUNT(AW35,AX35,AY35,AZ35)=4,(AW40+AX40+AY40+AZ40)&lt;&gt;0),(AW35+AX35+AY35+AZ35)/-(AW40+AX40+AY40+AZ40),""),"")</f>
        <v/>
      </c>
      <c r="BA298" s="259" t="str">
        <f>IFERROR(IF(AND(COUNT(AW35,AX35,AY35,AZ35)=4,(AW40+AX40+AY40+AZ40)&lt;&gt;0),(AW35+AX35+AY35+AZ35)/-(AW40+AX40+AY40+AZ40),""),"")</f>
        <v/>
      </c>
      <c r="BB298" s="259" t="str">
        <f>IFERROR(IF(AND(COUNT(AX35,AY35,AZ35,BB35)=4,(AX40+AY40+AZ40+BB40)&lt;&gt;0),(AX35+AY35+AZ35+BB35)/-(AX40+AY40+AZ40+BB40),""),"")</f>
        <v/>
      </c>
      <c r="BC298" s="259" t="str">
        <f>IFERROR(IF(AND(COUNT(AY35,AZ35,BB35,BC35)=4,(AY40+AZ40+BB40+BC40)&lt;&gt;0),(AY35+AZ35+BB35+BC35)/-(AY40+AZ40+BB40+BC40),""),"")</f>
        <v/>
      </c>
      <c r="BD298" s="259" t="str">
        <f>IFERROR(IF(AND(COUNT(AZ35,BB35,BC35,BD35)=4,(AZ40+BB40+BC40+BD40)&lt;&gt;0),(AZ35+BB35+BC35+BD35)/-(AZ40+BB40+BC40+BD40),""),"")</f>
        <v/>
      </c>
      <c r="BE298" s="259" t="str">
        <f>IFERROR(IF(AND(COUNT(BB35,BC35,BD35,BE35)=4,(BB40+BC40+BD40+BE40)&lt;&gt;0),(BB35+BC35+BD35+BE35)/-(BB40+BC40+BD40+BE40),""),"")</f>
        <v/>
      </c>
      <c r="BF298" s="259" t="str">
        <f>IFERROR(IF(AND(COUNT(BB35,BC35,BD35,BE35)=4,(BB40+BC40+BD40+BE40)&lt;&gt;0),(BB35+BC35+BD35+BE35)/-(BB40+BC40+BD40+BE40),""),"")</f>
        <v/>
      </c>
      <c r="BG298" s="82"/>
      <c r="BH298" s="82"/>
      <c r="BI298" s="82"/>
      <c r="BJ298" s="82"/>
      <c r="BL298" s="82"/>
      <c r="BM298" s="82"/>
      <c r="BN298" s="82"/>
      <c r="BO298" s="82"/>
      <c r="BQ298" s="82"/>
      <c r="BR298" s="82"/>
      <c r="BS298" s="82"/>
      <c r="BT298" s="82"/>
      <c r="BV298" s="82"/>
      <c r="BW298" s="82"/>
      <c r="BX298" s="82"/>
      <c r="BY298" s="82"/>
      <c r="CA298" s="82"/>
      <c r="CB298" s="82"/>
      <c r="CC298" s="82"/>
      <c r="CD298" s="82"/>
      <c r="CF298" s="82"/>
      <c r="CG298" s="82"/>
      <c r="CH298" s="82"/>
      <c r="CI298" s="82"/>
      <c r="CK298" s="82"/>
      <c r="CL298" s="82"/>
      <c r="CM298" s="82"/>
      <c r="CN298" s="82"/>
      <c r="CP298" s="82"/>
      <c r="CQ298" s="82"/>
      <c r="CR298" s="82"/>
      <c r="CS298" s="82"/>
      <c r="CU298" s="82"/>
      <c r="CV298" s="82"/>
      <c r="CW298" s="82"/>
      <c r="CX298" s="82"/>
    </row>
    <row r="299" spans="1:102" s="77" customFormat="1" x14ac:dyDescent="0.2">
      <c r="A299" s="76"/>
      <c r="B299" s="76"/>
      <c r="C299" s="77" t="s">
        <v>384</v>
      </c>
      <c r="D299" s="82" t="str">
        <f>IFERROR((D35-D134)/-D40,"")</f>
        <v/>
      </c>
      <c r="E299" s="82" t="str">
        <f>IFERROR((E35-E134)/-E40,"")</f>
        <v/>
      </c>
      <c r="F299" s="82" t="str">
        <f>IFERROR((F35-F134)/-F40,"")</f>
        <v/>
      </c>
      <c r="G299" s="82" t="str">
        <f>IFERROR((G35-G134)/-G40,"")</f>
        <v/>
      </c>
      <c r="H299" s="259" t="str">
        <f>IFERROR(IF(AND(COUNT(H35)=1,(H40)&lt;&gt;0),((H35)-(H134))/-(H40),""),"")</f>
        <v/>
      </c>
      <c r="I299" s="259" t="str">
        <f>""</f>
        <v/>
      </c>
      <c r="J299" s="259" t="str">
        <f>""</f>
        <v/>
      </c>
      <c r="K299" s="259" t="str">
        <f>""</f>
        <v/>
      </c>
      <c r="L299" s="259" t="str">
        <f>IFERROR(IF(AND(COUNT(I35,J35,K35,L35)=4,(I40+J40+K40+L40)&lt;&gt;0),((I35+J35+K35+L35)-(I134+J134+K134+L134))/-(I40+J40+K40+L40),""),"")</f>
        <v/>
      </c>
      <c r="M299" s="259" t="str">
        <f>IFERROR(IF(AND(COUNT(I35,J35,K35,L35)=4,(I40+J40+K40+L40)&lt;&gt;0),((I35+J35+K35+L35)-(I134+J134+K134+L134))/-(I40+J40+K40+L40),""),"")</f>
        <v/>
      </c>
      <c r="N299" s="259" t="str">
        <f>IFERROR(IF(AND(COUNT(J35,K35,L35,N35)=4,(J40+K40+L40+N40)&lt;&gt;0),((J35+K35+L35+N35)-(J134+K134+L134+N134))/-(J40+K40+L40+N40),""),"")</f>
        <v/>
      </c>
      <c r="O299" s="259" t="str">
        <f>IFERROR(IF(AND(COUNT(K35,L35,N35,O35)=4,(K40+L40+N40+O40)&lt;&gt;0),((K35+L35+N35+O35)-(K134+L134+N134+O134))/-(K40+L40+N40+O40),""),"")</f>
        <v/>
      </c>
      <c r="P299" s="259" t="str">
        <f>IFERROR(IF(AND(COUNT(L35,N35,O35,P35)=4,(L40+N40+O40+P40)&lt;&gt;0),((L35+N35+O35+P35)-(L134+N134+O134+P134))/-(L40+N40+O40+P40),""),"")</f>
        <v/>
      </c>
      <c r="Q299" s="259" t="str">
        <f>IFERROR(IF(AND(COUNT(N35,O35,P35,Q35)=4,(N40+O40+P40+Q40)&lt;&gt;0),((N35+O35+P35+Q35)-(N134+O134+P134+Q134))/-(N40+O40+P40+Q40),""),"")</f>
        <v/>
      </c>
      <c r="R299" s="259" t="str">
        <f>IFERROR(IF(AND(COUNT(N35,O35,P35,Q35)=4,(N40+O40+P40+Q40)&lt;&gt;0),((N35+O35+P35+Q35)-(N134+O134+P134+Q134))/-(N40+O40+P40+Q40),""),"")</f>
        <v/>
      </c>
      <c r="S299" s="259" t="str">
        <f>IFERROR(IF(AND(COUNT(O35,P35,Q35,S35)=4,(O40+P40+Q40+S40)&lt;&gt;0),((O35+P35+Q35+S35)-(O134+P134+Q134+S134))/-(O40+P40+Q40+S40),""),"")</f>
        <v/>
      </c>
      <c r="T299" s="259" t="str">
        <f>IFERROR(IF(AND(COUNT(P35,Q35,S35,T35)=4,(P40+Q40+S40+T40)&lt;&gt;0),((P35+Q35+S35+T35)-(P134+Q134+S134+T134))/-(P40+Q40+S40+T40),""),"")</f>
        <v/>
      </c>
      <c r="U299" s="259" t="str">
        <f>IFERROR(IF(AND(COUNT(Q35,S35,T35,U35)=4,(Q40+S40+T40+U40)&lt;&gt;0),((Q35+S35+T35+U35)-(Q134+S134+T134+U134))/-(Q40+S40+T40+U40),""),"")</f>
        <v/>
      </c>
      <c r="V299" s="259" t="str">
        <f>IFERROR(IF(AND(COUNT(S35,T35,U35,V35)=4,(S40+T40+U40+V40)&lt;&gt;0),((S35+T35+U35+V35)-(S134+T134+U134+V134))/-(S40+T40+U40+V40),""),"")</f>
        <v/>
      </c>
      <c r="W299" s="259" t="str">
        <f>IFERROR(IF(AND(COUNT(S35,T35,U35,V35)=4,(S40+T40+U40+V40)&lt;&gt;0),((S35+T35+U35+V35)-(S134+T134+U134+V134))/-(S40+T40+U40+V40),""),"")</f>
        <v/>
      </c>
      <c r="X299" s="259" t="str">
        <f>IFERROR(IF(AND(COUNT(T35,U35,V35,X35)=4,(T40+U40+V40+X40)&lt;&gt;0),((T35+U35+V35+X35)-(T134+U134+V134+X134))/-(T40+U40+V40+X40),""),"")</f>
        <v/>
      </c>
      <c r="Y299" s="259" t="str">
        <f>IFERROR(IF(AND(COUNT(U35,V35,X35,Y35)=4,(U40+V40+X40+Y40)&lt;&gt;0),((U35+V35+X35+Y35)-(U134+V134+X134+Y134))/-(U40+V40+X40+Y40),""),"")</f>
        <v/>
      </c>
      <c r="Z299" s="259" t="str">
        <f>IFERROR(IF(AND(COUNT(V35,X35,Y35,Z35)=4,(V40+X40+Y40+Z40)&lt;&gt;0),((V35+X35+Y35+Z35)-(V134+X134+Y134+Z134))/-(V40+X40+Y40+Z40),""),"")</f>
        <v/>
      </c>
      <c r="AA299" s="259" t="str">
        <f>IFERROR(IF(AND(COUNT(X35,Y35,Z35,AA35)=4,(X40+Y40+Z40+AA40)&lt;&gt;0),((X35+Y35+Z35+AA35)-(X134+Y134+Z134+AA134))/-(X40+Y40+Z40+AA40),""),"")</f>
        <v/>
      </c>
      <c r="AB299" s="259" t="str">
        <f>IFERROR(IF(AND(COUNT(X35,Y35,Z35,AA35)=4,(X40+Y40+Z40+AA40)&lt;&gt;0),((X35+Y35+Z35+AA35)-(X134+Y134+Z134+AA134))/-(X40+Y40+Z40+AA40),""),"")</f>
        <v/>
      </c>
      <c r="AC299" s="259" t="str">
        <f>IFERROR(IF(AND(COUNT(Y35,Z35,AA35,AC35)=4,(Y40+Z40+AA40+AC40)&lt;&gt;0),((Y35+Z35+AA35+AC35)-(Y134+Z134+AA134+AC134))/-(Y40+Z40+AA40+AC40),""),"")</f>
        <v/>
      </c>
      <c r="AD299" s="259" t="str">
        <f>IFERROR(IF(AND(COUNT(Z35,AA35,AC35,AD35)=4,(Z40+AA40+AC40+AD40)&lt;&gt;0),((Z35+AA35+AC35+AD35)-(Z134+AA134+AC134+AD134))/-(Z40+AA40+AC40+AD40),""),"")</f>
        <v/>
      </c>
      <c r="AE299" s="259" t="str">
        <f>IFERROR(IF(AND(COUNT(AA35,AC35,AD35,AE35)=4,(AA40+AC40+AD40+AE40)&lt;&gt;0),((AA35+AC35+AD35+AE35)-(AA134+AC134+AD134+AE134))/-(AA40+AC40+AD40+AE40),""),"")</f>
        <v/>
      </c>
      <c r="AF299" s="259" t="str">
        <f>IFERROR(IF(AND(COUNT(AC35,AD35,AE35,AF35)=4,(AC40+AD40+AE40+AF40)&lt;&gt;0),((AC35+AD35+AE35+AF35)-(AC134+AD134+AE134+AF134))/-(AC40+AD40+AE40+AF40),""),"")</f>
        <v/>
      </c>
      <c r="AG299" s="259" t="str">
        <f>IFERROR(IF(AND(COUNT(AC35,AD35,AE35,AF35)=4,(AC40+AD40+AE40+AF40)&lt;&gt;0),((AC35+AD35+AE35+AF35)-(AC134+AD134+AE134+AF134))/-(AC40+AD40+AE40+AF40),""),"")</f>
        <v/>
      </c>
      <c r="AH299" s="259" t="str">
        <f>IFERROR(IF(AND(COUNT(AD35,AE35,AF35,AH35)=4,(AD40+AE40+AF40+AH40)&lt;&gt;0),((AD35+AE35+AF35+AH35)-(AD134+AE134+AF134+AH134))/-(AD40+AE40+AF40+AH40),""),"")</f>
        <v/>
      </c>
      <c r="AI299" s="259" t="str">
        <f>IFERROR(IF(AND(COUNT(AE35,AF35,AH35,AI35)=4,(AE40+AF40+AH40+AI40)&lt;&gt;0),((AE35+AF35+AH35+AI35)-(AE134+AF134+AH134+AI134))/-(AE40+AF40+AH40+AI40),""),"")</f>
        <v/>
      </c>
      <c r="AJ299" s="259" t="str">
        <f>IFERROR(IF(AND(COUNT(AF35,AH35,AI35,AJ35)=4,(AF40+AH40+AI40+AJ40)&lt;&gt;0),((AF35+AH35+AI35+AJ35)-(AF134+AH134+AI134+AJ134))/-(AF40+AH40+AI40+AJ40),""),"")</f>
        <v/>
      </c>
      <c r="AK299" s="259" t="str">
        <f>IFERROR(IF(AND(COUNT(AH35,AI35,AJ35,AK35)=4,(AH40+AI40+AJ40+AK40)&lt;&gt;0),((AH35+AI35+AJ35+AK35)-(AH134+AI134+AJ134+AK134))/-(AH40+AI40+AJ40+AK40),""),"")</f>
        <v/>
      </c>
      <c r="AL299" s="259" t="str">
        <f>IFERROR(IF(AND(COUNT(AH35,AI35,AJ35,AK35)=4,(AH40+AI40+AJ40+AK40)&lt;&gt;0),((AH35+AI35+AJ35+AK35)-(AH134+AI134+AJ134+AK134))/-(AH40+AI40+AJ40+AK40),""),"")</f>
        <v/>
      </c>
      <c r="AM299" s="259" t="str">
        <f>IFERROR(IF(AND(COUNT(AI35,AJ35,AK35,AM35)=4,(AI40+AJ40+AK40+AM40)&lt;&gt;0),((AI35+AJ35+AK35+AM35)-(AI134+AJ134+AK134+AM134))/-(AI40+AJ40+AK40+AM40),""),"")</f>
        <v/>
      </c>
      <c r="AN299" s="259" t="str">
        <f>IFERROR(IF(AND(COUNT(AJ35,AK35,AM35,AN35)=4,(AJ40+AK40+AM40+AN40)&lt;&gt;0),((AJ35+AK35+AM35+AN35)-(AJ134+AK134+AM134+AN134))/-(AJ40+AK40+AM40+AN40),""),"")</f>
        <v/>
      </c>
      <c r="AO299" s="259" t="str">
        <f>IFERROR(IF(AND(COUNT(AK35,AM35,AN35,AO35)=4,(AK40+AM40+AN40+AO40)&lt;&gt;0),((AK35+AM35+AN35+AO35)-(AK134+AM134+AN134+AO134))/-(AK40+AM40+AN40+AO40),""),"")</f>
        <v/>
      </c>
      <c r="AP299" s="259" t="str">
        <f>IFERROR(IF(AND(COUNT(AM35,AN35,AO35,AP35)=4,(AM40+AN40+AO40+AP40)&lt;&gt;0),((AM35+AN35+AO35+AP35)-(AM134+AN134+AO134+AP134))/-(AM40+AN40+AO40+AP40),""),"")</f>
        <v/>
      </c>
      <c r="AQ299" s="259" t="str">
        <f>IFERROR(IF(AND(COUNT(AM35,AN35,AO35,AP35)=4,(AM40+AN40+AO40+AP40)&lt;&gt;0),((AM35+AN35+AO35+AP35)-(AM134+AN134+AO134+AP134))/-(AM40+AN40+AO40+AP40),""),"")</f>
        <v/>
      </c>
      <c r="AR299" s="259" t="str">
        <f>IFERROR(IF(AND(COUNT(AN35,AO35,AP35,AR35)=4,(AN40+AO40+AP40+AR40)&lt;&gt;0),((AN35+AO35+AP35+AR35)-(AN134+AO134+AP134+AR134))/-(AN40+AO40+AP40+AR40),""),"")</f>
        <v/>
      </c>
      <c r="AS299" s="259" t="str">
        <f>IFERROR(IF(AND(COUNT(AO35,AP35,AR35,AS35)=4,(AO40+AP40+AR40+AS40)&lt;&gt;0),((AO35+AP35+AR35+AS35)-(AO134+AP134+AR134+AS134))/-(AO40+AP40+AR40+AS40),""),"")</f>
        <v/>
      </c>
      <c r="AT299" s="259" t="str">
        <f>IFERROR(IF(AND(COUNT(AP35,AR35,AS35,AT35)=4,(AP40+AR40+AS40+AT40)&lt;&gt;0),((AP35+AR35+AS35+AT35)-(AP134+AR134+AS134+AT134))/-(AP40+AR40+AS40+AT40),""),"")</f>
        <v/>
      </c>
      <c r="AU299" s="259" t="str">
        <f>IFERROR(IF(AND(COUNT(AR35,AS35,AT35,AU35)=4,(AR40+AS40+AT40+AU40)&lt;&gt;0),((AR35+AS35+AT35+AU35)-(AR134+AS134+AT134+AU134))/-(AR40+AS40+AT40+AU40),""),"")</f>
        <v/>
      </c>
      <c r="AV299" s="259" t="str">
        <f>IFERROR(IF(AND(COUNT(AR35,AS35,AT35,AU35)=4,(AR40+AS40+AT40+AU40)&lt;&gt;0),((AR35+AS35+AT35+AU35)-(AR134+AS134+AT134+AU134))/-(AR40+AS40+AT40+AU40),""),"")</f>
        <v/>
      </c>
      <c r="AW299" s="259" t="str">
        <f>IFERROR(IF(AND(COUNT(AS35,AT35,AU35,AW35)=4,(AS40+AT40+AU40+AW40)&lt;&gt;0),((AS35+AT35+AU35+AW35)-(AS134+AT134+AU134+AW134))/-(AS40+AT40+AU40+AW40),""),"")</f>
        <v/>
      </c>
      <c r="AX299" s="259" t="str">
        <f>IFERROR(IF(AND(COUNT(AT35,AU35,AW35,AX35)=4,(AT40+AU40+AW40+AX40)&lt;&gt;0),((AT35+AU35+AW35+AX35)-(AT134+AU134+AW134+AX134))/-(AT40+AU40+AW40+AX40),""),"")</f>
        <v/>
      </c>
      <c r="AY299" s="259" t="str">
        <f>IFERROR(IF(AND(COUNT(AU35,AW35,AX35,AY35)=4,(AU40+AW40+AX40+AY40)&lt;&gt;0),((AU35+AW35+AX35+AY35)-(AU134+AW134+AX134+AY134))/-(AU40+AW40+AX40+AY40),""),"")</f>
        <v/>
      </c>
      <c r="AZ299" s="259" t="str">
        <f>IFERROR(IF(AND(COUNT(AW35,AX35,AY35,AZ35)=4,(AW40+AX40+AY40+AZ40)&lt;&gt;0),((AW35+AX35+AY35+AZ35)-(AW134+AX134+AY134+AZ134))/-(AW40+AX40+AY40+AZ40),""),"")</f>
        <v/>
      </c>
      <c r="BA299" s="259" t="str">
        <f>IFERROR(IF(AND(COUNT(AW35,AX35,AY35,AZ35)=4,(AW40+AX40+AY40+AZ40)&lt;&gt;0),((AW35+AX35+AY35+AZ35)-(AW134+AX134+AY134+AZ134))/-(AW40+AX40+AY40+AZ40),""),"")</f>
        <v/>
      </c>
      <c r="BB299" s="259" t="str">
        <f>IFERROR(IF(AND(COUNT(AX35,AY35,AZ35,BB35)=4,(AX40+AY40+AZ40+BB40)&lt;&gt;0),((AX35+AY35+AZ35+BB35)-(AX134+AY134+AZ134+BB134))/-(AX40+AY40+AZ40+BB40),""),"")</f>
        <v/>
      </c>
      <c r="BC299" s="259" t="str">
        <f>IFERROR(IF(AND(COUNT(AY35,AZ35,BB35,BC35)=4,(AY40+AZ40+BB40+BC40)&lt;&gt;0),((AY35+AZ35+BB35+BC35)-(AY134+AZ134+BB134+BC134))/-(AY40+AZ40+BB40+BC40),""),"")</f>
        <v/>
      </c>
      <c r="BD299" s="259" t="str">
        <f>IFERROR(IF(AND(COUNT(AZ35,BB35,BC35,BD35)=4,(AZ40+BB40+BC40+BD40)&lt;&gt;0),((AZ35+BB35+BC35+BD35)-(AZ134+BB134+BC134+BD134))/-(AZ40+BB40+BC40+BD40),""),"")</f>
        <v/>
      </c>
      <c r="BE299" s="259" t="str">
        <f>IFERROR(IF(AND(COUNT(BB35,BC35,BD35,BE35)=4,(BB40+BC40+BD40+BE40)&lt;&gt;0),((BB35+BC35+BD35+BE35)-(BB134+BC134+BD134+BE134))/-(BB40+BC40+BD40+BE40),""),"")</f>
        <v/>
      </c>
      <c r="BF299" s="259" t="str">
        <f>IFERROR(IF(AND(COUNT(BB35,BC35,BD35,BE35)=4,(BB40+BC40+BD40+BE40)&lt;&gt;0),((BB35+BC35+BD35+BE35)-(BB134+BC134+BD134+BE134))/-(BB40+BC40+BD40+BE40),""),"")</f>
        <v/>
      </c>
      <c r="BG299" s="82"/>
      <c r="BH299" s="82"/>
      <c r="BI299" s="82"/>
      <c r="BJ299" s="82"/>
      <c r="BL299" s="82"/>
      <c r="BM299" s="82"/>
      <c r="BN299" s="82"/>
      <c r="BO299" s="82"/>
      <c r="BQ299" s="82"/>
      <c r="BR299" s="82"/>
      <c r="BS299" s="82"/>
      <c r="BT299" s="82"/>
      <c r="BV299" s="82"/>
      <c r="BW299" s="82"/>
      <c r="BX299" s="82"/>
      <c r="BY299" s="82"/>
      <c r="CA299" s="82"/>
      <c r="CB299" s="82"/>
      <c r="CC299" s="82"/>
      <c r="CD299" s="82"/>
      <c r="CF299" s="82"/>
      <c r="CG299" s="82"/>
      <c r="CH299" s="82"/>
      <c r="CI299" s="82"/>
      <c r="CK299" s="82"/>
      <c r="CL299" s="82"/>
      <c r="CM299" s="82"/>
      <c r="CN299" s="82"/>
      <c r="CP299" s="82"/>
      <c r="CQ299" s="82"/>
      <c r="CR299" s="82"/>
      <c r="CS299" s="82"/>
      <c r="CU299" s="82"/>
      <c r="CV299" s="82"/>
      <c r="CW299" s="82"/>
      <c r="CX299" s="82"/>
    </row>
    <row r="300" spans="1:102" s="77" customFormat="1" x14ac:dyDescent="0.2">
      <c r="A300" s="76"/>
      <c r="B300" s="76"/>
      <c r="C300" s="77" t="s">
        <v>385</v>
      </c>
      <c r="D300" s="82" t="str">
        <f>IFERROR(SUM(D178,D179,D180,D183,D201,D204)/D35,"")</f>
        <v/>
      </c>
      <c r="E300" s="82" t="str">
        <f>IFERROR(SUM(E178,E179,E180,E183,E201,E204)/E35,"")</f>
        <v/>
      </c>
      <c r="F300" s="82" t="str">
        <f>IFERROR(SUM(F178,F179,F180,F183,F201,F204)/F35,"")</f>
        <v/>
      </c>
      <c r="G300" s="82" t="str">
        <f>IFERROR(SUM(G178,G179,G180,G183,G201,G204)/G35,"")</f>
        <v/>
      </c>
      <c r="H300" s="259" t="str">
        <f>IFERROR(IF(AND(COUNT(H35)=1,(H35)&lt;&gt;0),(N(H178)+N(H179)+N(H180)+N(H183)+N(H201)+N(H204))/(H35),""),"")</f>
        <v/>
      </c>
      <c r="I300" s="259" t="str">
        <f>""</f>
        <v/>
      </c>
      <c r="J300" s="259" t="str">
        <f>""</f>
        <v/>
      </c>
      <c r="K300" s="259" t="str">
        <f>""</f>
        <v/>
      </c>
      <c r="L300" s="259" t="str">
        <f>IFERROR(IF(AND(COUNT(I35,J35,K35,L35)=4,(I35+J35+K35+L35)&lt;&gt;0),(N(L178)+N(L179)+N(L180)+N(L183)+N(L201)+N(L204))/(I35+J35+K35+L35),""),"")</f>
        <v/>
      </c>
      <c r="M300" s="259" t="str">
        <f>IFERROR(IF(AND(COUNT(I35,J35,K35,L35)=4,(I35+J35+K35+L35)&lt;&gt;0),(N(M178)+N(M179)+N(M180)+N(M183)+N(M201)+N(M204))/(I35+J35+K35+L35),""),"")</f>
        <v/>
      </c>
      <c r="N300" s="259" t="str">
        <f>IFERROR(IF(AND(COUNT(J35,K35,L35,N35)=4,(J35+K35+L35+N35)&lt;&gt;0),(N(N178)+N(N179)+N(N180)+N(N183)+N(N201)+N(N204))/(J35+K35+L35+N35),""),"")</f>
        <v/>
      </c>
      <c r="O300" s="259" t="str">
        <f>IFERROR(IF(AND(COUNT(K35,L35,N35,O35)=4,(K35+L35+N35+O35)&lt;&gt;0),(N(O178)+N(O179)+N(O180)+N(O183)+N(O201)+N(O204))/(K35+L35+N35+O35),""),"")</f>
        <v/>
      </c>
      <c r="P300" s="259" t="str">
        <f>IFERROR(IF(AND(COUNT(L35,N35,O35,P35)=4,(L35+N35+O35+P35)&lt;&gt;0),(N(P178)+N(P179)+N(P180)+N(P183)+N(P201)+N(P204))/(L35+N35+O35+P35),""),"")</f>
        <v/>
      </c>
      <c r="Q300" s="259" t="str">
        <f>IFERROR(IF(AND(COUNT(N35,O35,P35,Q35)=4,(N35+O35+P35+Q35)&lt;&gt;0),(N(Q178)+N(Q179)+N(Q180)+N(Q183)+N(Q201)+N(Q204))/(N35+O35+P35+Q35),""),"")</f>
        <v/>
      </c>
      <c r="R300" s="259" t="str">
        <f>IFERROR(IF(AND(COUNT(N35,O35,P35,Q35)=4,(N35+O35+P35+Q35)&lt;&gt;0),(N(R178)+N(R179)+N(R180)+N(R183)+N(R201)+N(R204))/(N35+O35+P35+Q35),""),"")</f>
        <v/>
      </c>
      <c r="S300" s="259" t="str">
        <f>IFERROR(IF(AND(COUNT(O35,P35,Q35,S35)=4,(O35+P35+Q35+S35)&lt;&gt;0),(N(S178)+N(S179)+N(S180)+N(S183)+N(S201)+N(S204))/(O35+P35+Q35+S35),""),"")</f>
        <v/>
      </c>
      <c r="T300" s="259" t="str">
        <f>IFERROR(IF(AND(COUNT(P35,Q35,S35,T35)=4,(P35+Q35+S35+T35)&lt;&gt;0),(N(T178)+N(T179)+N(T180)+N(T183)+N(T201)+N(T204))/(P35+Q35+S35+T35),""),"")</f>
        <v/>
      </c>
      <c r="U300" s="259" t="str">
        <f>IFERROR(IF(AND(COUNT(Q35,S35,T35,U35)=4,(Q35+S35+T35+U35)&lt;&gt;0),(N(U178)+N(U179)+N(U180)+N(U183)+N(U201)+N(U204))/(Q35+S35+T35+U35),""),"")</f>
        <v/>
      </c>
      <c r="V300" s="259" t="str">
        <f>IFERROR(IF(AND(COUNT(S35,T35,U35,V35)=4,(S35+T35+U35+V35)&lt;&gt;0),(N(V178)+N(V179)+N(V180)+N(V183)+N(V201)+N(V204))/(S35+T35+U35+V35),""),"")</f>
        <v/>
      </c>
      <c r="W300" s="259" t="str">
        <f>IFERROR(IF(AND(COUNT(S35,T35,U35,V35)=4,(S35+T35+U35+V35)&lt;&gt;0),(N(W178)+N(W179)+N(W180)+N(W183)+N(W201)+N(W204))/(S35+T35+U35+V35),""),"")</f>
        <v/>
      </c>
      <c r="X300" s="259" t="str">
        <f>IFERROR(IF(AND(COUNT(T35,U35,V35,X35)=4,(T35+U35+V35+X35)&lt;&gt;0),(N(X178)+N(X179)+N(X180)+N(X183)+N(X201)+N(X204))/(T35+U35+V35+X35),""),"")</f>
        <v/>
      </c>
      <c r="Y300" s="259" t="str">
        <f>IFERROR(IF(AND(COUNT(U35,V35,X35,Y35)=4,(U35+V35+X35+Y35)&lt;&gt;0),(N(Y178)+N(Y179)+N(Y180)+N(Y183)+N(Y201)+N(Y204))/(U35+V35+X35+Y35),""),"")</f>
        <v/>
      </c>
      <c r="Z300" s="259" t="str">
        <f>IFERROR(IF(AND(COUNT(V35,X35,Y35,Z35)=4,(V35+X35+Y35+Z35)&lt;&gt;0),(N(Z178)+N(Z179)+N(Z180)+N(Z183)+N(Z201)+N(Z204))/(V35+X35+Y35+Z35),""),"")</f>
        <v/>
      </c>
      <c r="AA300" s="259" t="str">
        <f>IFERROR(IF(AND(COUNT(X35,Y35,Z35,AA35)=4,(X35+Y35+Z35+AA35)&lt;&gt;0),(N(AA178)+N(AA179)+N(AA180)+N(AA183)+N(AA201)+N(AA204))/(X35+Y35+Z35+AA35),""),"")</f>
        <v/>
      </c>
      <c r="AB300" s="259" t="str">
        <f>IFERROR(IF(AND(COUNT(X35,Y35,Z35,AA35)=4,(X35+Y35+Z35+AA35)&lt;&gt;0),(N(AB178)+N(AB179)+N(AB180)+N(AB183)+N(AB201)+N(AB204))/(X35+Y35+Z35+AA35),""),"")</f>
        <v/>
      </c>
      <c r="AC300" s="259" t="str">
        <f>IFERROR(IF(AND(COUNT(Y35,Z35,AA35,AC35)=4,(Y35+Z35+AA35+AC35)&lt;&gt;0),(N(AC178)+N(AC179)+N(AC180)+N(AC183)+N(AC201)+N(AC204))/(Y35+Z35+AA35+AC35),""),"")</f>
        <v/>
      </c>
      <c r="AD300" s="259" t="str">
        <f>IFERROR(IF(AND(COUNT(Z35,AA35,AC35,AD35)=4,(Z35+AA35+AC35+AD35)&lt;&gt;0),(N(AD178)+N(AD179)+N(AD180)+N(AD183)+N(AD201)+N(AD204))/(Z35+AA35+AC35+AD35),""),"")</f>
        <v/>
      </c>
      <c r="AE300" s="259" t="str">
        <f>IFERROR(IF(AND(COUNT(AA35,AC35,AD35,AE35)=4,(AA35+AC35+AD35+AE35)&lt;&gt;0),(N(AE178)+N(AE179)+N(AE180)+N(AE183)+N(AE201)+N(AE204))/(AA35+AC35+AD35+AE35),""),"")</f>
        <v/>
      </c>
      <c r="AF300" s="259" t="str">
        <f>IFERROR(IF(AND(COUNT(AC35,AD35,AE35,AF35)=4,(AC35+AD35+AE35+AF35)&lt;&gt;0),(N(AF178)+N(AF179)+N(AF180)+N(AF183)+N(AF201)+N(AF204))/(AC35+AD35+AE35+AF35),""),"")</f>
        <v/>
      </c>
      <c r="AG300" s="259" t="str">
        <f>IFERROR(IF(AND(COUNT(AC35,AD35,AE35,AF35)=4,(AC35+AD35+AE35+AF35)&lt;&gt;0),(N(AG178)+N(AG179)+N(AG180)+N(AG183)+N(AG201)+N(AG204))/(AC35+AD35+AE35+AF35),""),"")</f>
        <v/>
      </c>
      <c r="AH300" s="259" t="str">
        <f>IFERROR(IF(AND(COUNT(AD35,AE35,AF35,AH35)=4,(AD35+AE35+AF35+AH35)&lt;&gt;0),(N(AH178)+N(AH179)+N(AH180)+N(AH183)+N(AH201)+N(AH204))/(AD35+AE35+AF35+AH35),""),"")</f>
        <v/>
      </c>
      <c r="AI300" s="259" t="str">
        <f>IFERROR(IF(AND(COUNT(AE35,AF35,AH35,AI35)=4,(AE35+AF35+AH35+AI35)&lt;&gt;0),(N(AI178)+N(AI179)+N(AI180)+N(AI183)+N(AI201)+N(AI204))/(AE35+AF35+AH35+AI35),""),"")</f>
        <v/>
      </c>
      <c r="AJ300" s="259" t="str">
        <f>IFERROR(IF(AND(COUNT(AF35,AH35,AI35,AJ35)=4,(AF35+AH35+AI35+AJ35)&lt;&gt;0),(N(AJ178)+N(AJ179)+N(AJ180)+N(AJ183)+N(AJ201)+N(AJ204))/(AF35+AH35+AI35+AJ35),""),"")</f>
        <v/>
      </c>
      <c r="AK300" s="259" t="str">
        <f>IFERROR(IF(AND(COUNT(AH35,AI35,AJ35,AK35)=4,(AH35+AI35+AJ35+AK35)&lt;&gt;0),(N(AK178)+N(AK179)+N(AK180)+N(AK183)+N(AK201)+N(AK204))/(AH35+AI35+AJ35+AK35),""),"")</f>
        <v/>
      </c>
      <c r="AL300" s="259" t="str">
        <f>IFERROR(IF(AND(COUNT(AH35,AI35,AJ35,AK35)=4,(AH35+AI35+AJ35+AK35)&lt;&gt;0),(N(AL178)+N(AL179)+N(AL180)+N(AL183)+N(AL201)+N(AL204))/(AH35+AI35+AJ35+AK35),""),"")</f>
        <v/>
      </c>
      <c r="AM300" s="259" t="str">
        <f>IFERROR(IF(AND(COUNT(AI35,AJ35,AK35,AM35)=4,(AI35+AJ35+AK35+AM35)&lt;&gt;0),(N(AM178)+N(AM179)+N(AM180)+N(AM183)+N(AM201)+N(AM204))/(AI35+AJ35+AK35+AM35),""),"")</f>
        <v/>
      </c>
      <c r="AN300" s="259" t="str">
        <f>IFERROR(IF(AND(COUNT(AJ35,AK35,AM35,AN35)=4,(AJ35+AK35+AM35+AN35)&lt;&gt;0),(N(AN178)+N(AN179)+N(AN180)+N(AN183)+N(AN201)+N(AN204))/(AJ35+AK35+AM35+AN35),""),"")</f>
        <v/>
      </c>
      <c r="AO300" s="259" t="str">
        <f>IFERROR(IF(AND(COUNT(AK35,AM35,AN35,AO35)=4,(AK35+AM35+AN35+AO35)&lt;&gt;0),(N(AO178)+N(AO179)+N(AO180)+N(AO183)+N(AO201)+N(AO204))/(AK35+AM35+AN35+AO35),""),"")</f>
        <v/>
      </c>
      <c r="AP300" s="259" t="str">
        <f>IFERROR(IF(AND(COUNT(AM35,AN35,AO35,AP35)=4,(AM35+AN35+AO35+AP35)&lt;&gt;0),(N(AP178)+N(AP179)+N(AP180)+N(AP183)+N(AP201)+N(AP204))/(AM35+AN35+AO35+AP35),""),"")</f>
        <v/>
      </c>
      <c r="AQ300" s="259" t="str">
        <f>IFERROR(IF(AND(COUNT(AM35,AN35,AO35,AP35)=4,(AM35+AN35+AO35+AP35)&lt;&gt;0),(N(AQ178)+N(AQ179)+N(AQ180)+N(AQ183)+N(AQ201)+N(AQ204))/(AM35+AN35+AO35+AP35),""),"")</f>
        <v/>
      </c>
      <c r="AR300" s="259" t="str">
        <f>IFERROR(IF(AND(COUNT(AN35,AO35,AP35,AR35)=4,(AN35+AO35+AP35+AR35)&lt;&gt;0),(N(AR178)+N(AR179)+N(AR180)+N(AR183)+N(AR201)+N(AR204))/(AN35+AO35+AP35+AR35),""),"")</f>
        <v/>
      </c>
      <c r="AS300" s="259" t="str">
        <f>IFERROR(IF(AND(COUNT(AO35,AP35,AR35,AS35)=4,(AO35+AP35+AR35+AS35)&lt;&gt;0),(N(AS178)+N(AS179)+N(AS180)+N(AS183)+N(AS201)+N(AS204))/(AO35+AP35+AR35+AS35),""),"")</f>
        <v/>
      </c>
      <c r="AT300" s="259" t="str">
        <f>IFERROR(IF(AND(COUNT(AP35,AR35,AS35,AT35)=4,(AP35+AR35+AS35+AT35)&lt;&gt;0),(N(AT178)+N(AT179)+N(AT180)+N(AT183)+N(AT201)+N(AT204))/(AP35+AR35+AS35+AT35),""),"")</f>
        <v/>
      </c>
      <c r="AU300" s="259" t="str">
        <f>IFERROR(IF(AND(COUNT(AR35,AS35,AT35,AU35)=4,(AR35+AS35+AT35+AU35)&lt;&gt;0),(N(AU178)+N(AU179)+N(AU180)+N(AU183)+N(AU201)+N(AU204))/(AR35+AS35+AT35+AU35),""),"")</f>
        <v/>
      </c>
      <c r="AV300" s="259" t="str">
        <f>IFERROR(IF(AND(COUNT(AR35,AS35,AT35,AU35)=4,(AR35+AS35+AT35+AU35)&lt;&gt;0),(N(AV178)+N(AV179)+N(AV180)+N(AV183)+N(AV201)+N(AV204))/(AR35+AS35+AT35+AU35),""),"")</f>
        <v/>
      </c>
      <c r="AW300" s="259" t="str">
        <f>IFERROR(IF(AND(COUNT(AS35,AT35,AU35,AW35)=4,(AS35+AT35+AU35+AW35)&lt;&gt;0),(N(AW178)+N(AW179)+N(AW180)+N(AW183)+N(AW201)+N(AW204))/(AS35+AT35+AU35+AW35),""),"")</f>
        <v/>
      </c>
      <c r="AX300" s="259" t="str">
        <f>IFERROR(IF(AND(COUNT(AT35,AU35,AW35,AX35)=4,(AT35+AU35+AW35+AX35)&lt;&gt;0),(N(AX178)+N(AX179)+N(AX180)+N(AX183)+N(AX201)+N(AX204))/(AT35+AU35+AW35+AX35),""),"")</f>
        <v/>
      </c>
      <c r="AY300" s="259" t="str">
        <f>IFERROR(IF(AND(COUNT(AU35,AW35,AX35,AY35)=4,(AU35+AW35+AX35+AY35)&lt;&gt;0),(N(AY178)+N(AY179)+N(AY180)+N(AY183)+N(AY201)+N(AY204))/(AU35+AW35+AX35+AY35),""),"")</f>
        <v/>
      </c>
      <c r="AZ300" s="259" t="str">
        <f>IFERROR(IF(AND(COUNT(AW35,AX35,AY35,AZ35)=4,(AW35+AX35+AY35+AZ35)&lt;&gt;0),(N(AZ178)+N(AZ179)+N(AZ180)+N(AZ183)+N(AZ201)+N(AZ204))/(AW35+AX35+AY35+AZ35),""),"")</f>
        <v/>
      </c>
      <c r="BA300" s="259" t="str">
        <f>IFERROR(IF(AND(COUNT(AW35,AX35,AY35,AZ35)=4,(AW35+AX35+AY35+AZ35)&lt;&gt;0),(N(BA178)+N(BA179)+N(BA180)+N(BA183)+N(BA201)+N(BA204))/(AW35+AX35+AY35+AZ35),""),"")</f>
        <v/>
      </c>
      <c r="BB300" s="259" t="str">
        <f>IFERROR(IF(AND(COUNT(AX35,AY35,AZ35,BB35)=4,(AX35+AY35+AZ35+BB35)&lt;&gt;0),(N(BB178)+N(BB179)+N(BB180)+N(BB183)+N(BB201)+N(BB204))/(AX35+AY35+AZ35+BB35),""),"")</f>
        <v/>
      </c>
      <c r="BC300" s="259" t="str">
        <f>IFERROR(IF(AND(COUNT(AY35,AZ35,BB35,BC35)=4,(AY35+AZ35+BB35+BC35)&lt;&gt;0),(N(BC178)+N(BC179)+N(BC180)+N(BC183)+N(BC201)+N(BC204))/(AY35+AZ35+BB35+BC35),""),"")</f>
        <v/>
      </c>
      <c r="BD300" s="259" t="str">
        <f>IFERROR(IF(AND(COUNT(AZ35,BB35,BC35,BD35)=4,(AZ35+BB35+BC35+BD35)&lt;&gt;0),(N(BD178)+N(BD179)+N(BD180)+N(BD183)+N(BD201)+N(BD204))/(AZ35+BB35+BC35+BD35),""),"")</f>
        <v/>
      </c>
      <c r="BE300" s="259" t="str">
        <f>IFERROR(IF(AND(COUNT(BB35,BC35,BD35,BE35)=4,(BB35+BC35+BD35+BE35)&lt;&gt;0),(N(BE178)+N(BE179)+N(BE180)+N(BE183)+N(BE201)+N(BE204))/(BB35+BC35+BD35+BE35),""),"")</f>
        <v/>
      </c>
      <c r="BF300" s="259" t="str">
        <f>IFERROR(IF(AND(COUNT(BB35,BC35,BD35,BE35)=4,(BB35+BC35+BD35+BE35)&lt;&gt;0),(N(BF178)+N(BF179)+N(BF180)+N(BF183)+N(BF201)+N(BF204))/(BB35+BC35+BD35+BE35),""),"")</f>
        <v/>
      </c>
      <c r="BG300" s="82"/>
      <c r="BH300" s="82"/>
      <c r="BI300" s="82"/>
      <c r="BJ300" s="82"/>
      <c r="BL300" s="82"/>
      <c r="BM300" s="82"/>
      <c r="BN300" s="82"/>
      <c r="BO300" s="82"/>
      <c r="BQ300" s="82"/>
      <c r="BR300" s="82"/>
      <c r="BS300" s="82"/>
      <c r="BT300" s="82"/>
      <c r="BV300" s="82"/>
      <c r="BW300" s="82"/>
      <c r="BX300" s="82"/>
      <c r="BY300" s="82"/>
      <c r="CA300" s="82"/>
      <c r="CB300" s="82"/>
      <c r="CC300" s="82"/>
      <c r="CD300" s="82"/>
      <c r="CF300" s="82"/>
      <c r="CG300" s="82"/>
      <c r="CH300" s="82"/>
      <c r="CI300" s="82"/>
      <c r="CK300" s="82"/>
      <c r="CL300" s="82"/>
      <c r="CM300" s="82"/>
      <c r="CN300" s="82"/>
      <c r="CP300" s="82"/>
      <c r="CQ300" s="82"/>
      <c r="CR300" s="82"/>
      <c r="CS300" s="82"/>
      <c r="CU300" s="82"/>
      <c r="CV300" s="82"/>
      <c r="CW300" s="82"/>
      <c r="CX300" s="82"/>
    </row>
    <row r="301" spans="1:102" s="77" customFormat="1" x14ac:dyDescent="0.2">
      <c r="A301" s="76"/>
      <c r="B301" s="76"/>
      <c r="C301" s="77" t="s">
        <v>218</v>
      </c>
      <c r="D301" s="80" t="str">
        <f>IFERROR(SUM(D178+D179+D180+D183+D201+D204)/(SUM(D178+D179+D180+D183+D201+D204)+D237),"")</f>
        <v/>
      </c>
      <c r="E301" s="80" t="str">
        <f>IFERROR(SUM(E178+E179+E180+E183+E201+E204)/(SUM(E178+E179+E180+E183+E201+E204)+E237),"")</f>
        <v/>
      </c>
      <c r="F301" s="80" t="str">
        <f>IFERROR(SUM(F178+F179+F180+F183+F201+F204)/(SUM(F178+F179+F180+F183+F201+F204)+F237),"")</f>
        <v/>
      </c>
      <c r="G301" s="80" t="str">
        <f>IFERROR(SUM(G178+G179+G180+G183+G201+G204)/(SUM(G178+G179+G180+G183+G201+G204)+G237),"")</f>
        <v/>
      </c>
      <c r="H301" s="258" t="str">
        <f>IFERROR(IF(((N(H178)+N(H179)+N(H180)+N(H183)+N(H201)+N(H204))+N(H237))&lt;&gt;0,(N(H178)+N(H179)+N(H180)+N(H183)+N(H201)+N(H204))/((N(H178)+N(H179)+N(H180)+N(H183)+N(H201)+N(H204))+H237),""),"")</f>
        <v/>
      </c>
      <c r="I301" s="258" t="str">
        <f>IFERROR(IF(((N(I178)+N(I179)+N(I180)+N(I183)+N(I201)+N(I204))+N(I237))&lt;&gt;0,(N(I178)+N(I179)+N(I180)+N(I183)+N(I201)+N(I204))/((N(I178)+N(I179)+N(I180)+N(I183)+N(I201)+N(I204))+I237),""),"")</f>
        <v/>
      </c>
      <c r="J301" s="258" t="str">
        <f>IFERROR(IF(((N(J178)+N(J179)+N(J180)+N(J183)+N(J201)+N(J204))+N(J237))&lt;&gt;0,(N(J178)+N(J179)+N(J180)+N(J183)+N(J201)+N(J204))/((N(J178)+N(J179)+N(J180)+N(J183)+N(J201)+N(J204))+J237),""),"")</f>
        <v/>
      </c>
      <c r="K301" s="258" t="str">
        <f>IFERROR(IF(((N(K178)+N(K179)+N(K180)+N(K183)+N(K201)+N(K204))+N(K237))&lt;&gt;0,(N(K178)+N(K179)+N(K180)+N(K183)+N(K201)+N(K204))/((N(K178)+N(K179)+N(K180)+N(K183)+N(K201)+N(K204))+K237),""),"")</f>
        <v/>
      </c>
      <c r="L301" s="258" t="str">
        <f>IFERROR(IF(((N(L178)+N(L179)+N(L180)+N(L183)+N(L201)+N(L204))+N(L237))&lt;&gt;0,(N(L178)+N(L179)+N(L180)+N(L183)+N(L201)+N(L204))/((N(L178)+N(L179)+N(L180)+N(L183)+N(L201)+N(L204))+L237),""),"")</f>
        <v/>
      </c>
      <c r="M301" s="258" t="str">
        <f>IFERROR(IF(((N(M178)+N(M179)+N(M180)+N(M183)+N(M201)+N(M204))+N(M237))&lt;&gt;0,(N(M178)+N(M179)+N(M180)+N(M183)+N(M201)+N(M204))/((N(M178)+N(M179)+N(M180)+N(M183)+N(M201)+N(M204))+M237),""),"")</f>
        <v/>
      </c>
      <c r="N301" s="258" t="str">
        <f>IFERROR(IF(((N(N178)+N(N179)+N(N180)+N(N183)+N(N201)+N(N204))+N(N237))&lt;&gt;0,(N(N178)+N(N179)+N(N180)+N(N183)+N(N201)+N(N204))/((N(N178)+N(N179)+N(N180)+N(N183)+N(N201)+N(N204))+N237),""),"")</f>
        <v/>
      </c>
      <c r="O301" s="258" t="str">
        <f>IFERROR(IF(((N(O178)+N(O179)+N(O180)+N(O183)+N(O201)+N(O204))+N(O237))&lt;&gt;0,(N(O178)+N(O179)+N(O180)+N(O183)+N(O201)+N(O204))/((N(O178)+N(O179)+N(O180)+N(O183)+N(O201)+N(O204))+O237),""),"")</f>
        <v/>
      </c>
      <c r="P301" s="258" t="str">
        <f>IFERROR(IF(((N(P178)+N(P179)+N(P180)+N(P183)+N(P201)+N(P204))+N(P237))&lt;&gt;0,(N(P178)+N(P179)+N(P180)+N(P183)+N(P201)+N(P204))/((N(P178)+N(P179)+N(P180)+N(P183)+N(P201)+N(P204))+P237),""),"")</f>
        <v/>
      </c>
      <c r="Q301" s="258" t="str">
        <f>IFERROR(IF(((N(Q178)+N(Q179)+N(Q180)+N(Q183)+N(Q201)+N(Q204))+N(Q237))&lt;&gt;0,(N(Q178)+N(Q179)+N(Q180)+N(Q183)+N(Q201)+N(Q204))/((N(Q178)+N(Q179)+N(Q180)+N(Q183)+N(Q201)+N(Q204))+Q237),""),"")</f>
        <v/>
      </c>
      <c r="R301" s="258" t="str">
        <f>IFERROR(IF(((N(R178)+N(R179)+N(R180)+N(R183)+N(R201)+N(R204))+N(R237))&lt;&gt;0,(N(R178)+N(R179)+N(R180)+N(R183)+N(R201)+N(R204))/((N(R178)+N(R179)+N(R180)+N(R183)+N(R201)+N(R204))+R237),""),"")</f>
        <v/>
      </c>
      <c r="S301" s="258" t="str">
        <f>IFERROR(IF(((N(S178)+N(S179)+N(S180)+N(S183)+N(S201)+N(S204))+N(S237))&lt;&gt;0,(N(S178)+N(S179)+N(S180)+N(S183)+N(S201)+N(S204))/((N(S178)+N(S179)+N(S180)+N(S183)+N(S201)+N(S204))+S237),""),"")</f>
        <v/>
      </c>
      <c r="T301" s="258" t="str">
        <f>IFERROR(IF(((N(T178)+N(T179)+N(T180)+N(T183)+N(T201)+N(T204))+N(T237))&lt;&gt;0,(N(T178)+N(T179)+N(T180)+N(T183)+N(T201)+N(T204))/((N(T178)+N(T179)+N(T180)+N(T183)+N(T201)+N(T204))+T237),""),"")</f>
        <v/>
      </c>
      <c r="U301" s="258" t="str">
        <f>IFERROR(IF(((N(U178)+N(U179)+N(U180)+N(U183)+N(U201)+N(U204))+N(U237))&lt;&gt;0,(N(U178)+N(U179)+N(U180)+N(U183)+N(U201)+N(U204))/((N(U178)+N(U179)+N(U180)+N(U183)+N(U201)+N(U204))+U237),""),"")</f>
        <v/>
      </c>
      <c r="V301" s="258" t="str">
        <f>IFERROR(IF(((N(V178)+N(V179)+N(V180)+N(V183)+N(V201)+N(V204))+N(V237))&lt;&gt;0,(N(V178)+N(V179)+N(V180)+N(V183)+N(V201)+N(V204))/((N(V178)+N(V179)+N(V180)+N(V183)+N(V201)+N(V204))+V237),""),"")</f>
        <v/>
      </c>
      <c r="W301" s="258" t="str">
        <f>IFERROR(IF(((N(W178)+N(W179)+N(W180)+N(W183)+N(W201)+N(W204))+N(W237))&lt;&gt;0,(N(W178)+N(W179)+N(W180)+N(W183)+N(W201)+N(W204))/((N(W178)+N(W179)+N(W180)+N(W183)+N(W201)+N(W204))+W237),""),"")</f>
        <v/>
      </c>
      <c r="X301" s="258" t="str">
        <f>IFERROR(IF(((N(X178)+N(X179)+N(X180)+N(X183)+N(X201)+N(X204))+N(X237))&lt;&gt;0,(N(X178)+N(X179)+N(X180)+N(X183)+N(X201)+N(X204))/((N(X178)+N(X179)+N(X180)+N(X183)+N(X201)+N(X204))+X237),""),"")</f>
        <v/>
      </c>
      <c r="Y301" s="258" t="str">
        <f>IFERROR(IF(((N(Y178)+N(Y179)+N(Y180)+N(Y183)+N(Y201)+N(Y204))+N(Y237))&lt;&gt;0,(N(Y178)+N(Y179)+N(Y180)+N(Y183)+N(Y201)+N(Y204))/((N(Y178)+N(Y179)+N(Y180)+N(Y183)+N(Y201)+N(Y204))+Y237),""),"")</f>
        <v/>
      </c>
      <c r="Z301" s="258" t="str">
        <f>IFERROR(IF(((N(Z178)+N(Z179)+N(Z180)+N(Z183)+N(Z201)+N(Z204))+N(Z237))&lt;&gt;0,(N(Z178)+N(Z179)+N(Z180)+N(Z183)+N(Z201)+N(Z204))/((N(Z178)+N(Z179)+N(Z180)+N(Z183)+N(Z201)+N(Z204))+Z237),""),"")</f>
        <v/>
      </c>
      <c r="AA301" s="258" t="str">
        <f>IFERROR(IF(((N(AA178)+N(AA179)+N(AA180)+N(AA183)+N(AA201)+N(AA204))+N(AA237))&lt;&gt;0,(N(AA178)+N(AA179)+N(AA180)+N(AA183)+N(AA201)+N(AA204))/((N(AA178)+N(AA179)+N(AA180)+N(AA183)+N(AA201)+N(AA204))+AA237),""),"")</f>
        <v/>
      </c>
      <c r="AB301" s="258" t="str">
        <f>IFERROR(IF(((N(AB178)+N(AB179)+N(AB180)+N(AB183)+N(AB201)+N(AB204))+N(AB237))&lt;&gt;0,(N(AB178)+N(AB179)+N(AB180)+N(AB183)+N(AB201)+N(AB204))/((N(AB178)+N(AB179)+N(AB180)+N(AB183)+N(AB201)+N(AB204))+AB237),""),"")</f>
        <v/>
      </c>
      <c r="AC301" s="258" t="str">
        <f>IFERROR(IF(((N(AC178)+N(AC179)+N(AC180)+N(AC183)+N(AC201)+N(AC204))+N(AC237))&lt;&gt;0,(N(AC178)+N(AC179)+N(AC180)+N(AC183)+N(AC201)+N(AC204))/((N(AC178)+N(AC179)+N(AC180)+N(AC183)+N(AC201)+N(AC204))+AC237),""),"")</f>
        <v/>
      </c>
      <c r="AD301" s="258" t="str">
        <f>IFERROR(IF(((N(AD178)+N(AD179)+N(AD180)+N(AD183)+N(AD201)+N(AD204))+N(AD237))&lt;&gt;0,(N(AD178)+N(AD179)+N(AD180)+N(AD183)+N(AD201)+N(AD204))/((N(AD178)+N(AD179)+N(AD180)+N(AD183)+N(AD201)+N(AD204))+AD237),""),"")</f>
        <v/>
      </c>
      <c r="AE301" s="258" t="str">
        <f>IFERROR(IF(((N(AE178)+N(AE179)+N(AE180)+N(AE183)+N(AE201)+N(AE204))+N(AE237))&lt;&gt;0,(N(AE178)+N(AE179)+N(AE180)+N(AE183)+N(AE201)+N(AE204))/((N(AE178)+N(AE179)+N(AE180)+N(AE183)+N(AE201)+N(AE204))+AE237),""),"")</f>
        <v/>
      </c>
      <c r="AF301" s="258" t="str">
        <f>IFERROR(IF(((N(AF178)+N(AF179)+N(AF180)+N(AF183)+N(AF201)+N(AF204))+N(AF237))&lt;&gt;0,(N(AF178)+N(AF179)+N(AF180)+N(AF183)+N(AF201)+N(AF204))/((N(AF178)+N(AF179)+N(AF180)+N(AF183)+N(AF201)+N(AF204))+AF237),""),"")</f>
        <v/>
      </c>
      <c r="AG301" s="258" t="str">
        <f>IFERROR(IF(((N(AG178)+N(AG179)+N(AG180)+N(AG183)+N(AG201)+N(AG204))+N(AG237))&lt;&gt;0,(N(AG178)+N(AG179)+N(AG180)+N(AG183)+N(AG201)+N(AG204))/((N(AG178)+N(AG179)+N(AG180)+N(AG183)+N(AG201)+N(AG204))+AG237),""),"")</f>
        <v/>
      </c>
      <c r="AH301" s="258" t="str">
        <f>IFERROR(IF(((N(AH178)+N(AH179)+N(AH180)+N(AH183)+N(AH201)+N(AH204))+N(AH237))&lt;&gt;0,(N(AH178)+N(AH179)+N(AH180)+N(AH183)+N(AH201)+N(AH204))/((N(AH178)+N(AH179)+N(AH180)+N(AH183)+N(AH201)+N(AH204))+AH237),""),"")</f>
        <v/>
      </c>
      <c r="AI301" s="258" t="str">
        <f>IFERROR(IF(((N(AI178)+N(AI179)+N(AI180)+N(AI183)+N(AI201)+N(AI204))+N(AI237))&lt;&gt;0,(N(AI178)+N(AI179)+N(AI180)+N(AI183)+N(AI201)+N(AI204))/((N(AI178)+N(AI179)+N(AI180)+N(AI183)+N(AI201)+N(AI204))+AI237),""),"")</f>
        <v/>
      </c>
      <c r="AJ301" s="258" t="str">
        <f>IFERROR(IF(((N(AJ178)+N(AJ179)+N(AJ180)+N(AJ183)+N(AJ201)+N(AJ204))+N(AJ237))&lt;&gt;0,(N(AJ178)+N(AJ179)+N(AJ180)+N(AJ183)+N(AJ201)+N(AJ204))/((N(AJ178)+N(AJ179)+N(AJ180)+N(AJ183)+N(AJ201)+N(AJ204))+AJ237),""),"")</f>
        <v/>
      </c>
      <c r="AK301" s="258" t="str">
        <f>IFERROR(IF(((N(AK178)+N(AK179)+N(AK180)+N(AK183)+N(AK201)+N(AK204))+N(AK237))&lt;&gt;0,(N(AK178)+N(AK179)+N(AK180)+N(AK183)+N(AK201)+N(AK204))/((N(AK178)+N(AK179)+N(AK180)+N(AK183)+N(AK201)+N(AK204))+AK237),""),"")</f>
        <v/>
      </c>
      <c r="AL301" s="258" t="str">
        <f>IFERROR(IF(((N(AL178)+N(AL179)+N(AL180)+N(AL183)+N(AL201)+N(AL204))+N(AL237))&lt;&gt;0,(N(AL178)+N(AL179)+N(AL180)+N(AL183)+N(AL201)+N(AL204))/((N(AL178)+N(AL179)+N(AL180)+N(AL183)+N(AL201)+N(AL204))+AL237),""),"")</f>
        <v/>
      </c>
      <c r="AM301" s="258" t="str">
        <f>IFERROR(IF(((N(AM178)+N(AM179)+N(AM180)+N(AM183)+N(AM201)+N(AM204))+N(AM237))&lt;&gt;0,(N(AM178)+N(AM179)+N(AM180)+N(AM183)+N(AM201)+N(AM204))/((N(AM178)+N(AM179)+N(AM180)+N(AM183)+N(AM201)+N(AM204))+AM237),""),"")</f>
        <v/>
      </c>
      <c r="AN301" s="258" t="str">
        <f>IFERROR(IF(((N(AN178)+N(AN179)+N(AN180)+N(AN183)+N(AN201)+N(AN204))+N(AN237))&lt;&gt;0,(N(AN178)+N(AN179)+N(AN180)+N(AN183)+N(AN201)+N(AN204))/((N(AN178)+N(AN179)+N(AN180)+N(AN183)+N(AN201)+N(AN204))+AN237),""),"")</f>
        <v/>
      </c>
      <c r="AO301" s="258" t="str">
        <f>IFERROR(IF(((N(AO178)+N(AO179)+N(AO180)+N(AO183)+N(AO201)+N(AO204))+N(AO237))&lt;&gt;0,(N(AO178)+N(AO179)+N(AO180)+N(AO183)+N(AO201)+N(AO204))/((N(AO178)+N(AO179)+N(AO180)+N(AO183)+N(AO201)+N(AO204))+AO237),""),"")</f>
        <v/>
      </c>
      <c r="AP301" s="258" t="str">
        <f>IFERROR(IF(((N(AP178)+N(AP179)+N(AP180)+N(AP183)+N(AP201)+N(AP204))+N(AP237))&lt;&gt;0,(N(AP178)+N(AP179)+N(AP180)+N(AP183)+N(AP201)+N(AP204))/((N(AP178)+N(AP179)+N(AP180)+N(AP183)+N(AP201)+N(AP204))+AP237),""),"")</f>
        <v/>
      </c>
      <c r="AQ301" s="258" t="str">
        <f>IFERROR(IF(((N(AQ178)+N(AQ179)+N(AQ180)+N(AQ183)+N(AQ201)+N(AQ204))+N(AQ237))&lt;&gt;0,(N(AQ178)+N(AQ179)+N(AQ180)+N(AQ183)+N(AQ201)+N(AQ204))/((N(AQ178)+N(AQ179)+N(AQ180)+N(AQ183)+N(AQ201)+N(AQ204))+AQ237),""),"")</f>
        <v/>
      </c>
      <c r="AR301" s="258" t="str">
        <f>IFERROR(IF(((N(AR178)+N(AR179)+N(AR180)+N(AR183)+N(AR201)+N(AR204))+N(AR237))&lt;&gt;0,(N(AR178)+N(AR179)+N(AR180)+N(AR183)+N(AR201)+N(AR204))/((N(AR178)+N(AR179)+N(AR180)+N(AR183)+N(AR201)+N(AR204))+AR237),""),"")</f>
        <v/>
      </c>
      <c r="AS301" s="258" t="str">
        <f>IFERROR(IF(((N(AS178)+N(AS179)+N(AS180)+N(AS183)+N(AS201)+N(AS204))+N(AS237))&lt;&gt;0,(N(AS178)+N(AS179)+N(AS180)+N(AS183)+N(AS201)+N(AS204))/((N(AS178)+N(AS179)+N(AS180)+N(AS183)+N(AS201)+N(AS204))+AS237),""),"")</f>
        <v/>
      </c>
      <c r="AT301" s="258" t="str">
        <f>IFERROR(IF(((N(AT178)+N(AT179)+N(AT180)+N(AT183)+N(AT201)+N(AT204))+N(AT237))&lt;&gt;0,(N(AT178)+N(AT179)+N(AT180)+N(AT183)+N(AT201)+N(AT204))/((N(AT178)+N(AT179)+N(AT180)+N(AT183)+N(AT201)+N(AT204))+AT237),""),"")</f>
        <v/>
      </c>
      <c r="AU301" s="258" t="str">
        <f>IFERROR(IF(((N(AU178)+N(AU179)+N(AU180)+N(AU183)+N(AU201)+N(AU204))+N(AU237))&lt;&gt;0,(N(AU178)+N(AU179)+N(AU180)+N(AU183)+N(AU201)+N(AU204))/((N(AU178)+N(AU179)+N(AU180)+N(AU183)+N(AU201)+N(AU204))+AU237),""),"")</f>
        <v/>
      </c>
      <c r="AV301" s="258" t="str">
        <f>IFERROR(IF(((N(AV178)+N(AV179)+N(AV180)+N(AV183)+N(AV201)+N(AV204))+N(AV237))&lt;&gt;0,(N(AV178)+N(AV179)+N(AV180)+N(AV183)+N(AV201)+N(AV204))/((N(AV178)+N(AV179)+N(AV180)+N(AV183)+N(AV201)+N(AV204))+AV237),""),"")</f>
        <v/>
      </c>
      <c r="AW301" s="258" t="str">
        <f>IFERROR(IF(((N(AW178)+N(AW179)+N(AW180)+N(AW183)+N(AW201)+N(AW204))+N(AW237))&lt;&gt;0,(N(AW178)+N(AW179)+N(AW180)+N(AW183)+N(AW201)+N(AW204))/((N(AW178)+N(AW179)+N(AW180)+N(AW183)+N(AW201)+N(AW204))+AW237),""),"")</f>
        <v/>
      </c>
      <c r="AX301" s="258" t="str">
        <f>IFERROR(IF(((N(AX178)+N(AX179)+N(AX180)+N(AX183)+N(AX201)+N(AX204))+N(AX237))&lt;&gt;0,(N(AX178)+N(AX179)+N(AX180)+N(AX183)+N(AX201)+N(AX204))/((N(AX178)+N(AX179)+N(AX180)+N(AX183)+N(AX201)+N(AX204))+AX237),""),"")</f>
        <v/>
      </c>
      <c r="AY301" s="258" t="str">
        <f>IFERROR(IF(((N(AY178)+N(AY179)+N(AY180)+N(AY183)+N(AY201)+N(AY204))+N(AY237))&lt;&gt;0,(N(AY178)+N(AY179)+N(AY180)+N(AY183)+N(AY201)+N(AY204))/((N(AY178)+N(AY179)+N(AY180)+N(AY183)+N(AY201)+N(AY204))+AY237),""),"")</f>
        <v/>
      </c>
      <c r="AZ301" s="258" t="str">
        <f>IFERROR(IF(((N(AZ178)+N(AZ179)+N(AZ180)+N(AZ183)+N(AZ201)+N(AZ204))+N(AZ237))&lt;&gt;0,(N(AZ178)+N(AZ179)+N(AZ180)+N(AZ183)+N(AZ201)+N(AZ204))/((N(AZ178)+N(AZ179)+N(AZ180)+N(AZ183)+N(AZ201)+N(AZ204))+AZ237),""),"")</f>
        <v/>
      </c>
      <c r="BA301" s="258" t="str">
        <f>IFERROR(IF(((N(BA178)+N(BA179)+N(BA180)+N(BA183)+N(BA201)+N(BA204))+N(BA237))&lt;&gt;0,(N(BA178)+N(BA179)+N(BA180)+N(BA183)+N(BA201)+N(BA204))/((N(BA178)+N(BA179)+N(BA180)+N(BA183)+N(BA201)+N(BA204))+BA237),""),"")</f>
        <v/>
      </c>
      <c r="BB301" s="258" t="str">
        <f>IFERROR(IF(((N(BB178)+N(BB179)+N(BB180)+N(BB183)+N(BB201)+N(BB204))+N(BB237))&lt;&gt;0,(N(BB178)+N(BB179)+N(BB180)+N(BB183)+N(BB201)+N(BB204))/((N(BB178)+N(BB179)+N(BB180)+N(BB183)+N(BB201)+N(BB204))+BB237),""),"")</f>
        <v/>
      </c>
      <c r="BC301" s="258" t="str">
        <f>IFERROR(IF(((N(BC178)+N(BC179)+N(BC180)+N(BC183)+N(BC201)+N(BC204))+N(BC237))&lt;&gt;0,(N(BC178)+N(BC179)+N(BC180)+N(BC183)+N(BC201)+N(BC204))/((N(BC178)+N(BC179)+N(BC180)+N(BC183)+N(BC201)+N(BC204))+BC237),""),"")</f>
        <v/>
      </c>
      <c r="BD301" s="258" t="str">
        <f>IFERROR(IF(((N(BD178)+N(BD179)+N(BD180)+N(BD183)+N(BD201)+N(BD204))+N(BD237))&lt;&gt;0,(N(BD178)+N(BD179)+N(BD180)+N(BD183)+N(BD201)+N(BD204))/((N(BD178)+N(BD179)+N(BD180)+N(BD183)+N(BD201)+N(BD204))+BD237),""),"")</f>
        <v/>
      </c>
      <c r="BE301" s="258" t="str">
        <f>IFERROR(IF(((N(BE178)+N(BE179)+N(BE180)+N(BE183)+N(BE201)+N(BE204))+N(BE237))&lt;&gt;0,(N(BE178)+N(BE179)+N(BE180)+N(BE183)+N(BE201)+N(BE204))/((N(BE178)+N(BE179)+N(BE180)+N(BE183)+N(BE201)+N(BE204))+BE237),""),"")</f>
        <v/>
      </c>
      <c r="BF301" s="258" t="str">
        <f>IFERROR(IF(((N(BF178)+N(BF179)+N(BF180)+N(BF183)+N(BF201)+N(BF204))+N(BF237))&lt;&gt;0,(N(BF178)+N(BF179)+N(BF180)+N(BF183)+N(BF201)+N(BF204))/((N(BF178)+N(BF179)+N(BF180)+N(BF183)+N(BF201)+N(BF204))+BF237),""),"")</f>
        <v/>
      </c>
      <c r="BG301" s="80"/>
      <c r="BH301" s="80"/>
      <c r="BI301" s="80"/>
      <c r="BJ301" s="80"/>
      <c r="BL301" s="80"/>
      <c r="BM301" s="80"/>
      <c r="BN301" s="80"/>
      <c r="BO301" s="80"/>
      <c r="BQ301" s="80"/>
      <c r="BR301" s="80"/>
      <c r="BS301" s="80"/>
      <c r="BT301" s="80"/>
      <c r="BV301" s="80"/>
      <c r="BW301" s="80"/>
      <c r="BX301" s="80"/>
      <c r="BY301" s="80"/>
      <c r="CA301" s="80"/>
      <c r="CB301" s="80"/>
      <c r="CC301" s="80"/>
      <c r="CD301" s="80"/>
      <c r="CF301" s="80"/>
      <c r="CG301" s="80"/>
      <c r="CH301" s="80"/>
      <c r="CI301" s="80"/>
      <c r="CK301" s="80"/>
      <c r="CL301" s="80"/>
      <c r="CM301" s="80"/>
      <c r="CN301" s="80"/>
      <c r="CP301" s="80"/>
      <c r="CQ301" s="80"/>
      <c r="CR301" s="80"/>
      <c r="CS301" s="80"/>
      <c r="CU301" s="80"/>
      <c r="CV301" s="80"/>
      <c r="CW301" s="80"/>
      <c r="CX301" s="80"/>
    </row>
    <row r="302" spans="1:102" s="77" customFormat="1" x14ac:dyDescent="0.2">
      <c r="A302" s="76"/>
      <c r="B302" s="76"/>
      <c r="C302" s="77" t="s">
        <v>386</v>
      </c>
      <c r="D302" s="82" t="str">
        <f>IFERROR(SUM((D178+D179+D180+D183+D201)-D110)/(D35*4),"")</f>
        <v/>
      </c>
      <c r="E302" s="82" t="str">
        <f>IFERROR(SUM((E178+E179+E180+E183+E201)-E110)/(E35*4),"")</f>
        <v/>
      </c>
      <c r="F302" s="82" t="str">
        <f>IFERROR(SUM((F178+F179+F180+F183+F201)-F110)/(F35*4),"")</f>
        <v/>
      </c>
      <c r="G302" s="82" t="str">
        <f>IFERROR(SUM((G178+G179+G180+G183+G201)-G110)/(G35*4),"")</f>
        <v/>
      </c>
      <c r="H302" s="259" t="str">
        <f>IFERROR(IF(AND(COUNT(H35)=1,(H35)&lt;&gt;0),((N(H178)+N(H179)+N(H180)+N(H183)+N(H201)+N(H204))-N(H110))/(H35),""),"")</f>
        <v/>
      </c>
      <c r="I302" s="259" t="str">
        <f>""</f>
        <v/>
      </c>
      <c r="J302" s="259" t="str">
        <f>""</f>
        <v/>
      </c>
      <c r="K302" s="259" t="str">
        <f>""</f>
        <v/>
      </c>
      <c r="L302" s="259" t="str">
        <f>IFERROR(IF(AND(COUNT(I35,J35,K35,L35)=4,(I35+J35+K35+L35)&lt;&gt;0),((N(L178)+N(L179)+N(L180)+N(L183)+N(L201)+N(L204))-N(L110))/(I35+J35+K35+L35),""),"")</f>
        <v/>
      </c>
      <c r="M302" s="259" t="str">
        <f>IFERROR(IF(AND(COUNT(I35,J35,K35,L35)=4,(I35+J35+K35+L35)&lt;&gt;0),((N(M178)+N(M179)+N(M180)+N(M183)+N(M201)+N(M204))-N(M110))/(I35+J35+K35+L35),""),"")</f>
        <v/>
      </c>
      <c r="N302" s="259" t="str">
        <f>IFERROR(IF(AND(COUNT(J35,K35,L35,N35)=4,(J35+K35+L35+N35)&lt;&gt;0),((N(N178)+N(N179)+N(N180)+N(N183)+N(N201)+N(N204))-N(N110))/(J35+K35+L35+N35),""),"")</f>
        <v/>
      </c>
      <c r="O302" s="259" t="str">
        <f>IFERROR(IF(AND(COUNT(K35,L35,N35,O35)=4,(K35+L35+N35+O35)&lt;&gt;0),((N(O178)+N(O179)+N(O180)+N(O183)+N(O201)+N(O204))-N(O110))/(K35+L35+N35+O35),""),"")</f>
        <v/>
      </c>
      <c r="P302" s="259" t="str">
        <f>IFERROR(IF(AND(COUNT(L35,N35,O35,P35)=4,(L35+N35+O35+P35)&lt;&gt;0),((N(P178)+N(P179)+N(P180)+N(P183)+N(P201)+N(P204))-N(P110))/(L35+N35+O35+P35),""),"")</f>
        <v/>
      </c>
      <c r="Q302" s="259" t="str">
        <f>IFERROR(IF(AND(COUNT(N35,O35,P35,Q35)=4,(N35+O35+P35+Q35)&lt;&gt;0),((N(Q178)+N(Q179)+N(Q180)+N(Q183)+N(Q201)+N(Q204))-N(Q110))/(N35+O35+P35+Q35),""),"")</f>
        <v/>
      </c>
      <c r="R302" s="259" t="str">
        <f>IFERROR(IF(AND(COUNT(N35,O35,P35,Q35)=4,(N35+O35+P35+Q35)&lt;&gt;0),((N(R178)+N(R179)+N(R180)+N(R183)+N(R201)+N(R204))-N(R110))/(N35+O35+P35+Q35),""),"")</f>
        <v/>
      </c>
      <c r="S302" s="259" t="str">
        <f>IFERROR(IF(AND(COUNT(O35,P35,Q35,S35)=4,(O35+P35+Q35+S35)&lt;&gt;0),((N(S178)+N(S179)+N(S180)+N(S183)+N(S201)+N(S204))-N(S110))/(O35+P35+Q35+S35),""),"")</f>
        <v/>
      </c>
      <c r="T302" s="259" t="str">
        <f>IFERROR(IF(AND(COUNT(P35,Q35,S35,T35)=4,(P35+Q35+S35+T35)&lt;&gt;0),((N(T178)+N(T179)+N(T180)+N(T183)+N(T201)+N(T204))-N(T110))/(P35+Q35+S35+T35),""),"")</f>
        <v/>
      </c>
      <c r="U302" s="259" t="str">
        <f>IFERROR(IF(AND(COUNT(Q35,S35,T35,U35)=4,(Q35+S35+T35+U35)&lt;&gt;0),((N(U178)+N(U179)+N(U180)+N(U183)+N(U201)+N(U204))-N(U110))/(Q35+S35+T35+U35),""),"")</f>
        <v/>
      </c>
      <c r="V302" s="259" t="str">
        <f>IFERROR(IF(AND(COUNT(S35,T35,U35,V35)=4,(S35+T35+U35+V35)&lt;&gt;0),((N(V178)+N(V179)+N(V180)+N(V183)+N(V201)+N(V204))-N(V110))/(S35+T35+U35+V35),""),"")</f>
        <v/>
      </c>
      <c r="W302" s="259" t="str">
        <f>IFERROR(IF(AND(COUNT(S35,T35,U35,V35)=4,(S35+T35+U35+V35)&lt;&gt;0),((N(W178)+N(W179)+N(W180)+N(W183)+N(W201)+N(W204))-N(W110))/(S35+T35+U35+V35),""),"")</f>
        <v/>
      </c>
      <c r="X302" s="259" t="str">
        <f>IFERROR(IF(AND(COUNT(T35,U35,V35,X35)=4,(T35+U35+V35+X35)&lt;&gt;0),((N(X178)+N(X179)+N(X180)+N(X183)+N(X201)+N(X204))-N(X110))/(T35+U35+V35+X35),""),"")</f>
        <v/>
      </c>
      <c r="Y302" s="259" t="str">
        <f>IFERROR(IF(AND(COUNT(U35,V35,X35,Y35)=4,(U35+V35+X35+Y35)&lt;&gt;0),((N(Y178)+N(Y179)+N(Y180)+N(Y183)+N(Y201)+N(Y204))-N(Y110))/(U35+V35+X35+Y35),""),"")</f>
        <v/>
      </c>
      <c r="Z302" s="259" t="str">
        <f>IFERROR(IF(AND(COUNT(V35,X35,Y35,Z35)=4,(V35+X35+Y35+Z35)&lt;&gt;0),((N(Z178)+N(Z179)+N(Z180)+N(Z183)+N(Z201)+N(Z204))-N(Z110))/(V35+X35+Y35+Z35),""),"")</f>
        <v/>
      </c>
      <c r="AA302" s="259" t="str">
        <f>IFERROR(IF(AND(COUNT(X35,Y35,Z35,AA35)=4,(X35+Y35+Z35+AA35)&lt;&gt;0),((N(AA178)+N(AA179)+N(AA180)+N(AA183)+N(AA201)+N(AA204))-N(AA110))/(X35+Y35+Z35+AA35),""),"")</f>
        <v/>
      </c>
      <c r="AB302" s="259" t="str">
        <f>IFERROR(IF(AND(COUNT(X35,Y35,Z35,AA35)=4,(X35+Y35+Z35+AA35)&lt;&gt;0),((N(AB178)+N(AB179)+N(AB180)+N(AB183)+N(AB201)+N(AB204))-N(AB110))/(X35+Y35+Z35+AA35),""),"")</f>
        <v/>
      </c>
      <c r="AC302" s="259" t="str">
        <f>IFERROR(IF(AND(COUNT(Y35,Z35,AA35,AC35)=4,(Y35+Z35+AA35+AC35)&lt;&gt;0),((N(AC178)+N(AC179)+N(AC180)+N(AC183)+N(AC201)+N(AC204))-N(AC110))/(Y35+Z35+AA35+AC35),""),"")</f>
        <v/>
      </c>
      <c r="AD302" s="259" t="str">
        <f>IFERROR(IF(AND(COUNT(Z35,AA35,AC35,AD35)=4,(Z35+AA35+AC35+AD35)&lt;&gt;0),((N(AD178)+N(AD179)+N(AD180)+N(AD183)+N(AD201)+N(AD204))-N(AD110))/(Z35+AA35+AC35+AD35),""),"")</f>
        <v/>
      </c>
      <c r="AE302" s="259" t="str">
        <f>IFERROR(IF(AND(COUNT(AA35,AC35,AD35,AE35)=4,(AA35+AC35+AD35+AE35)&lt;&gt;0),((N(AE178)+N(AE179)+N(AE180)+N(AE183)+N(AE201)+N(AE204))-N(AE110))/(AA35+AC35+AD35+AE35),""),"")</f>
        <v/>
      </c>
      <c r="AF302" s="259" t="str">
        <f>IFERROR(IF(AND(COUNT(AC35,AD35,AE35,AF35)=4,(AC35+AD35+AE35+AF35)&lt;&gt;0),((N(AF178)+N(AF179)+N(AF180)+N(AF183)+N(AF201)+N(AF204))-N(AF110))/(AC35+AD35+AE35+AF35),""),"")</f>
        <v/>
      </c>
      <c r="AG302" s="259" t="str">
        <f>IFERROR(IF(AND(COUNT(AC35,AD35,AE35,AF35)=4,(AC35+AD35+AE35+AF35)&lt;&gt;0),((N(AG178)+N(AG179)+N(AG180)+N(AG183)+N(AG201)+N(AG204))-N(AG110))/(AC35+AD35+AE35+AF35),""),"")</f>
        <v/>
      </c>
      <c r="AH302" s="259" t="str">
        <f>IFERROR(IF(AND(COUNT(AD35,AE35,AF35,AH35)=4,(AD35+AE35+AF35+AH35)&lt;&gt;0),((N(AH178)+N(AH179)+N(AH180)+N(AH183)+N(AH201)+N(AH204))-N(AH110))/(AD35+AE35+AF35+AH35),""),"")</f>
        <v/>
      </c>
      <c r="AI302" s="259" t="str">
        <f>IFERROR(IF(AND(COUNT(AE35,AF35,AH35,AI35)=4,(AE35+AF35+AH35+AI35)&lt;&gt;0),((N(AI178)+N(AI179)+N(AI180)+N(AI183)+N(AI201)+N(AI204))-N(AI110))/(AE35+AF35+AH35+AI35),""),"")</f>
        <v/>
      </c>
      <c r="AJ302" s="259" t="str">
        <f>IFERROR(IF(AND(COUNT(AF35,AH35,AI35,AJ35)=4,(AF35+AH35+AI35+AJ35)&lt;&gt;0),((N(AJ178)+N(AJ179)+N(AJ180)+N(AJ183)+N(AJ201)+N(AJ204))-N(AJ110))/(AF35+AH35+AI35+AJ35),""),"")</f>
        <v/>
      </c>
      <c r="AK302" s="259" t="str">
        <f>IFERROR(IF(AND(COUNT(AH35,AI35,AJ35,AK35)=4,(AH35+AI35+AJ35+AK35)&lt;&gt;0),((N(AK178)+N(AK179)+N(AK180)+N(AK183)+N(AK201)+N(AK204))-N(AK110))/(AH35+AI35+AJ35+AK35),""),"")</f>
        <v/>
      </c>
      <c r="AL302" s="259" t="str">
        <f>IFERROR(IF(AND(COUNT(AH35,AI35,AJ35,AK35)=4,(AH35+AI35+AJ35+AK35)&lt;&gt;0),((N(AL178)+N(AL179)+N(AL180)+N(AL183)+N(AL201)+N(AL204))-N(AL110))/(AH35+AI35+AJ35+AK35),""),"")</f>
        <v/>
      </c>
      <c r="AM302" s="259" t="str">
        <f>IFERROR(IF(AND(COUNT(AI35,AJ35,AK35,AM35)=4,(AI35+AJ35+AK35+AM35)&lt;&gt;0),((N(AM178)+N(AM179)+N(AM180)+N(AM183)+N(AM201)+N(AM204))-N(AM110))/(AI35+AJ35+AK35+AM35),""),"")</f>
        <v/>
      </c>
      <c r="AN302" s="259" t="str">
        <f>IFERROR(IF(AND(COUNT(AJ35,AK35,AM35,AN35)=4,(AJ35+AK35+AM35+AN35)&lt;&gt;0),((N(AN178)+N(AN179)+N(AN180)+N(AN183)+N(AN201)+N(AN204))-N(AN110))/(AJ35+AK35+AM35+AN35),""),"")</f>
        <v/>
      </c>
      <c r="AO302" s="259" t="str">
        <f>IFERROR(IF(AND(COUNT(AK35,AM35,AN35,AO35)=4,(AK35+AM35+AN35+AO35)&lt;&gt;0),((N(AO178)+N(AO179)+N(AO180)+N(AO183)+N(AO201)+N(AO204))-N(AO110))/(AK35+AM35+AN35+AO35),""),"")</f>
        <v/>
      </c>
      <c r="AP302" s="259" t="str">
        <f>IFERROR(IF(AND(COUNT(AM35,AN35,AO35,AP35)=4,(AM35+AN35+AO35+AP35)&lt;&gt;0),((N(AP178)+N(AP179)+N(AP180)+N(AP183)+N(AP201)+N(AP204))-N(AP110))/(AM35+AN35+AO35+AP35),""),"")</f>
        <v/>
      </c>
      <c r="AQ302" s="259" t="str">
        <f>IFERROR(IF(AND(COUNT(AM35,AN35,AO35,AP35)=4,(AM35+AN35+AO35+AP35)&lt;&gt;0),((N(AQ178)+N(AQ179)+N(AQ180)+N(AQ183)+N(AQ201)+N(AQ204))-N(AQ110))/(AM35+AN35+AO35+AP35),""),"")</f>
        <v/>
      </c>
      <c r="AR302" s="259" t="str">
        <f>IFERROR(IF(AND(COUNT(AN35,AO35,AP35,AR35)=4,(AN35+AO35+AP35+AR35)&lt;&gt;0),((N(AR178)+N(AR179)+N(AR180)+N(AR183)+N(AR201)+N(AR204))-N(AR110))/(AN35+AO35+AP35+AR35),""),"")</f>
        <v/>
      </c>
      <c r="AS302" s="259" t="str">
        <f>IFERROR(IF(AND(COUNT(AO35,AP35,AR35,AS35)=4,(AO35+AP35+AR35+AS35)&lt;&gt;0),((N(AS178)+N(AS179)+N(AS180)+N(AS183)+N(AS201)+N(AS204))-N(AS110))/(AO35+AP35+AR35+AS35),""),"")</f>
        <v/>
      </c>
      <c r="AT302" s="259" t="str">
        <f>IFERROR(IF(AND(COUNT(AP35,AR35,AS35,AT35)=4,(AP35+AR35+AS35+AT35)&lt;&gt;0),((N(AT178)+N(AT179)+N(AT180)+N(AT183)+N(AT201)+N(AT204))-N(AT110))/(AP35+AR35+AS35+AT35),""),"")</f>
        <v/>
      </c>
      <c r="AU302" s="259" t="str">
        <f>IFERROR(IF(AND(COUNT(AR35,AS35,AT35,AU35)=4,(AR35+AS35+AT35+AU35)&lt;&gt;0),((N(AU178)+N(AU179)+N(AU180)+N(AU183)+N(AU201)+N(AU204))-N(AU110))/(AR35+AS35+AT35+AU35),""),"")</f>
        <v/>
      </c>
      <c r="AV302" s="259" t="str">
        <f>IFERROR(IF(AND(COUNT(AR35,AS35,AT35,AU35)=4,(AR35+AS35+AT35+AU35)&lt;&gt;0),((N(AV178)+N(AV179)+N(AV180)+N(AV183)+N(AV201)+N(AV204))-N(AV110))/(AR35+AS35+AT35+AU35),""),"")</f>
        <v/>
      </c>
      <c r="AW302" s="259" t="str">
        <f>IFERROR(IF(AND(COUNT(AS35,AT35,AU35,AW35)=4,(AS35+AT35+AU35+AW35)&lt;&gt;0),((N(AW178)+N(AW179)+N(AW180)+N(AW183)+N(AW201)+N(AW204))-N(AW110))/(AS35+AT35+AU35+AW35),""),"")</f>
        <v/>
      </c>
      <c r="AX302" s="259" t="str">
        <f>IFERROR(IF(AND(COUNT(AT35,AU35,AW35,AX35)=4,(AT35+AU35+AW35+AX35)&lt;&gt;0),((N(AX178)+N(AX179)+N(AX180)+N(AX183)+N(AX201)+N(AX204))-N(AX110))/(AT35+AU35+AW35+AX35),""),"")</f>
        <v/>
      </c>
      <c r="AY302" s="259" t="str">
        <f>IFERROR(IF(AND(COUNT(AU35,AW35,AX35,AY35)=4,(AU35+AW35+AX35+AY35)&lt;&gt;0),((N(AY178)+N(AY179)+N(AY180)+N(AY183)+N(AY201)+N(AY204))-N(AY110))/(AU35+AW35+AX35+AY35),""),"")</f>
        <v/>
      </c>
      <c r="AZ302" s="259" t="str">
        <f>IFERROR(IF(AND(COUNT(AW35,AX35,AY35,AZ35)=4,(AW35+AX35+AY35+AZ35)&lt;&gt;0),((N(AZ178)+N(AZ179)+N(AZ180)+N(AZ183)+N(AZ201)+N(AZ204))-N(AZ110))/(AW35+AX35+AY35+AZ35),""),"")</f>
        <v/>
      </c>
      <c r="BA302" s="259" t="str">
        <f>IFERROR(IF(AND(COUNT(AW35,AX35,AY35,AZ35)=4,(AW35+AX35+AY35+AZ35)&lt;&gt;0),((N(BA178)+N(BA179)+N(BA180)+N(BA183)+N(BA201)+N(BA204))-N(BA110))/(AW35+AX35+AY35+AZ35),""),"")</f>
        <v/>
      </c>
      <c r="BB302" s="259" t="str">
        <f>IFERROR(IF(AND(COUNT(AX35,AY35,AZ35,BB35)=4,(AX35+AY35+AZ35+BB35)&lt;&gt;0),((N(BB178)+N(BB179)+N(BB180)+N(BB183)+N(BB201)+N(BB204))-N(BB110))/(AX35+AY35+AZ35+BB35),""),"")</f>
        <v/>
      </c>
      <c r="BC302" s="259" t="str">
        <f>IFERROR(IF(AND(COUNT(AY35,AZ35,BB35,BC35)=4,(AY35+AZ35+BB35+BC35)&lt;&gt;0),((N(BC178)+N(BC179)+N(BC180)+N(BC183)+N(BC201)+N(BC204))-N(BC110))/(AY35+AZ35+BB35+BC35),""),"")</f>
        <v/>
      </c>
      <c r="BD302" s="259" t="str">
        <f>IFERROR(IF(AND(COUNT(AZ35,BB35,BC35,BD35)=4,(AZ35+BB35+BC35+BD35)&lt;&gt;0),((N(BD178)+N(BD179)+N(BD180)+N(BD183)+N(BD201)+N(BD204))-N(BD110))/(AZ35+BB35+BC35+BD35),""),"")</f>
        <v/>
      </c>
      <c r="BE302" s="259" t="str">
        <f>IFERROR(IF(AND(COUNT(BB35,BC35,BD35,BE35)=4,(BB35+BC35+BD35+BE35)&lt;&gt;0),((N(BE178)+N(BE179)+N(BE180)+N(BE183)+N(BE201)+N(BE204))-N(BE110))/(BB35+BC35+BD35+BE35),""),"")</f>
        <v/>
      </c>
      <c r="BF302" s="259" t="str">
        <f>IFERROR(IF(AND(COUNT(BB35,BC35,BD35,BE35)=4,(BB35+BC35+BD35+BE35)&lt;&gt;0),((N(BF178)+N(BF179)+N(BF180)+N(BF183)+N(BF201)+N(BF204))-N(BF110))/(BB35+BC35+BD35+BE35),""),"")</f>
        <v/>
      </c>
      <c r="BG302" s="82"/>
      <c r="BH302" s="82"/>
      <c r="BI302" s="82"/>
      <c r="BJ302" s="82"/>
      <c r="BL302" s="82"/>
      <c r="BM302" s="82"/>
      <c r="BN302" s="82"/>
      <c r="BO302" s="82"/>
      <c r="BQ302" s="82"/>
      <c r="BR302" s="82"/>
      <c r="BS302" s="82"/>
      <c r="BT302" s="82"/>
      <c r="BV302" s="82"/>
      <c r="BW302" s="82"/>
      <c r="BX302" s="82"/>
      <c r="BY302" s="82"/>
      <c r="CA302" s="82"/>
      <c r="CB302" s="82"/>
      <c r="CC302" s="82"/>
      <c r="CD302" s="82"/>
      <c r="CF302" s="82"/>
      <c r="CG302" s="82"/>
      <c r="CH302" s="82"/>
      <c r="CI302" s="82"/>
      <c r="CK302" s="82"/>
      <c r="CL302" s="82"/>
      <c r="CM302" s="82"/>
      <c r="CN302" s="82"/>
      <c r="CP302" s="82"/>
      <c r="CQ302" s="82"/>
      <c r="CR302" s="82"/>
      <c r="CS302" s="82"/>
      <c r="CU302" s="82"/>
      <c r="CV302" s="82"/>
      <c r="CW302" s="82"/>
      <c r="CX302" s="82"/>
    </row>
    <row r="303" spans="1:102" s="77" customFormat="1" x14ac:dyDescent="0.2">
      <c r="A303" s="76"/>
      <c r="B303" s="76"/>
      <c r="C303" s="83" t="s">
        <v>387</v>
      </c>
      <c r="D303" s="82" t="str">
        <f>IFERROR(SUM((D178+D179+D183)-D110)/(D35*4),"")</f>
        <v/>
      </c>
      <c r="E303" s="82" t="str">
        <f>IFERROR(SUM((E178+E179+E183)-E110)/(E35*4),"")</f>
        <v/>
      </c>
      <c r="F303" s="82" t="str">
        <f>IFERROR(SUM((F178+F179+F183)-F110)/(F35*4),"")</f>
        <v/>
      </c>
      <c r="G303" s="82" t="str">
        <f>IFERROR(SUM((G178+G179+G183)-G110)/(G35*4),"")</f>
        <v/>
      </c>
      <c r="H303" s="259" t="str">
        <f>IFERROR(IF(AND(COUNT(H35)=1,(H35)&lt;&gt;0),((N(H178)+N(H179)+N(H183)+N(H204))-N(H110))/(H35),""),"")</f>
        <v/>
      </c>
      <c r="I303" s="259" t="str">
        <f>""</f>
        <v/>
      </c>
      <c r="J303" s="259" t="str">
        <f>""</f>
        <v/>
      </c>
      <c r="K303" s="259" t="str">
        <f>""</f>
        <v/>
      </c>
      <c r="L303" s="259" t="str">
        <f>IFERROR(IF(AND(COUNT(I35,J35,K35,L35)=4,(I35+J35+K35+L35)&lt;&gt;0),((N(L178)+N(L179)+N(L183)+N(L204))-N(L110))/(I35+J35+K35+L35),""),"")</f>
        <v/>
      </c>
      <c r="M303" s="259" t="str">
        <f>IFERROR(IF(AND(COUNT(I35,J35,K35,L35)=4,(I35+J35+K35+L35)&lt;&gt;0),((N(M178)+N(M179)+N(M183)+N(M204))-N(M110))/(I35+J35+K35+L35),""),"")</f>
        <v/>
      </c>
      <c r="N303" s="259" t="str">
        <f>IFERROR(IF(AND(COUNT(J35,K35,L35,N35)=4,(J35+K35+L35+N35)&lt;&gt;0),((N(N178)+N(N179)+N(N183)+N(N204))-N(N110))/(J35+K35+L35+N35),""),"")</f>
        <v/>
      </c>
      <c r="O303" s="259" t="str">
        <f>IFERROR(IF(AND(COUNT(K35,L35,N35,O35)=4,(K35+L35+N35+O35)&lt;&gt;0),((N(O178)+N(O179)+N(O183)+N(O204))-N(O110))/(K35+L35+N35+O35),""),"")</f>
        <v/>
      </c>
      <c r="P303" s="259" t="str">
        <f>IFERROR(IF(AND(COUNT(L35,N35,O35,P35)=4,(L35+N35+O35+P35)&lt;&gt;0),((N(P178)+N(P179)+N(P183)+N(P204))-N(P110))/(L35+N35+O35+P35),""),"")</f>
        <v/>
      </c>
      <c r="Q303" s="259" t="str">
        <f>IFERROR(IF(AND(COUNT(N35,O35,P35,Q35)=4,(N35+O35+P35+Q35)&lt;&gt;0),((N(Q178)+N(Q179)+N(Q183)+N(Q204))-N(Q110))/(N35+O35+P35+Q35),""),"")</f>
        <v/>
      </c>
      <c r="R303" s="259" t="str">
        <f>IFERROR(IF(AND(COUNT(N35,O35,P35,Q35)=4,(N35+O35+P35+Q35)&lt;&gt;0),((N(R178)+N(R179)+N(R183)+N(R204))-N(R110))/(N35+O35+P35+Q35),""),"")</f>
        <v/>
      </c>
      <c r="S303" s="259" t="str">
        <f>IFERROR(IF(AND(COUNT(O35,P35,Q35,S35)=4,(O35+P35+Q35+S35)&lt;&gt;0),((N(S178)+N(S179)+N(S183)+N(S204))-N(S110))/(O35+P35+Q35+S35),""),"")</f>
        <v/>
      </c>
      <c r="T303" s="259" t="str">
        <f>IFERROR(IF(AND(COUNT(P35,Q35,S35,T35)=4,(P35+Q35+S35+T35)&lt;&gt;0),((N(T178)+N(T179)+N(T183)+N(T204))-N(T110))/(P35+Q35+S35+T35),""),"")</f>
        <v/>
      </c>
      <c r="U303" s="259" t="str">
        <f>IFERROR(IF(AND(COUNT(Q35,S35,T35,U35)=4,(Q35+S35+T35+U35)&lt;&gt;0),((N(U178)+N(U179)+N(U183)+N(U204))-N(U110))/(Q35+S35+T35+U35),""),"")</f>
        <v/>
      </c>
      <c r="V303" s="259" t="str">
        <f>IFERROR(IF(AND(COUNT(S35,T35,U35,V35)=4,(S35+T35+U35+V35)&lt;&gt;0),((N(V178)+N(V179)+N(V183)+N(V204))-N(V110))/(S35+T35+U35+V35),""),"")</f>
        <v/>
      </c>
      <c r="W303" s="259" t="str">
        <f>IFERROR(IF(AND(COUNT(S35,T35,U35,V35)=4,(S35+T35+U35+V35)&lt;&gt;0),((N(W178)+N(W179)+N(W183)+N(W204))-N(W110))/(S35+T35+U35+V35),""),"")</f>
        <v/>
      </c>
      <c r="X303" s="259" t="str">
        <f>IFERROR(IF(AND(COUNT(T35,U35,V35,X35)=4,(T35+U35+V35+X35)&lt;&gt;0),((N(X178)+N(X179)+N(X183)+N(X204))-N(X110))/(T35+U35+V35+X35),""),"")</f>
        <v/>
      </c>
      <c r="Y303" s="259" t="str">
        <f>IFERROR(IF(AND(COUNT(U35,V35,X35,Y35)=4,(U35+V35+X35+Y35)&lt;&gt;0),((N(Y178)+N(Y179)+N(Y183)+N(Y204))-N(Y110))/(U35+V35+X35+Y35),""),"")</f>
        <v/>
      </c>
      <c r="Z303" s="259" t="str">
        <f>IFERROR(IF(AND(COUNT(V35,X35,Y35,Z35)=4,(V35+X35+Y35+Z35)&lt;&gt;0),((N(Z178)+N(Z179)+N(Z183)+N(Z204))-N(Z110))/(V35+X35+Y35+Z35),""),"")</f>
        <v/>
      </c>
      <c r="AA303" s="259" t="str">
        <f>IFERROR(IF(AND(COUNT(X35,Y35,Z35,AA35)=4,(X35+Y35+Z35+AA35)&lt;&gt;0),((N(AA178)+N(AA179)+N(AA183)+N(AA204))-N(AA110))/(X35+Y35+Z35+AA35),""),"")</f>
        <v/>
      </c>
      <c r="AB303" s="259" t="str">
        <f>IFERROR(IF(AND(COUNT(X35,Y35,Z35,AA35)=4,(X35+Y35+Z35+AA35)&lt;&gt;0),((N(AB178)+N(AB179)+N(AB183)+N(AB204))-N(AB110))/(X35+Y35+Z35+AA35),""),"")</f>
        <v/>
      </c>
      <c r="AC303" s="259" t="str">
        <f>IFERROR(IF(AND(COUNT(Y35,Z35,AA35,AC35)=4,(Y35+Z35+AA35+AC35)&lt;&gt;0),((N(AC178)+N(AC179)+N(AC183)+N(AC204))-N(AC110))/(Y35+Z35+AA35+AC35),""),"")</f>
        <v/>
      </c>
      <c r="AD303" s="259" t="str">
        <f>IFERROR(IF(AND(COUNT(Z35,AA35,AC35,AD35)=4,(Z35+AA35+AC35+AD35)&lt;&gt;0),((N(AD178)+N(AD179)+N(AD183)+N(AD204))-N(AD110))/(Z35+AA35+AC35+AD35),""),"")</f>
        <v/>
      </c>
      <c r="AE303" s="259" t="str">
        <f>IFERROR(IF(AND(COUNT(AA35,AC35,AD35,AE35)=4,(AA35+AC35+AD35+AE35)&lt;&gt;0),((N(AE178)+N(AE179)+N(AE183)+N(AE204))-N(AE110))/(AA35+AC35+AD35+AE35),""),"")</f>
        <v/>
      </c>
      <c r="AF303" s="259" t="str">
        <f>IFERROR(IF(AND(COUNT(AC35,AD35,AE35,AF35)=4,(AC35+AD35+AE35+AF35)&lt;&gt;0),((N(AF178)+N(AF179)+N(AF183)+N(AF204))-N(AF110))/(AC35+AD35+AE35+AF35),""),"")</f>
        <v/>
      </c>
      <c r="AG303" s="259" t="str">
        <f>IFERROR(IF(AND(COUNT(AC35,AD35,AE35,AF35)=4,(AC35+AD35+AE35+AF35)&lt;&gt;0),((N(AG178)+N(AG179)+N(AG183)+N(AG204))-N(AG110))/(AC35+AD35+AE35+AF35),""),"")</f>
        <v/>
      </c>
      <c r="AH303" s="259" t="str">
        <f>IFERROR(IF(AND(COUNT(AD35,AE35,AF35,AH35)=4,(AD35+AE35+AF35+AH35)&lt;&gt;0),((N(AH178)+N(AH179)+N(AH183)+N(AH204))-N(AH110))/(AD35+AE35+AF35+AH35),""),"")</f>
        <v/>
      </c>
      <c r="AI303" s="259" t="str">
        <f>IFERROR(IF(AND(COUNT(AE35,AF35,AH35,AI35)=4,(AE35+AF35+AH35+AI35)&lt;&gt;0),((N(AI178)+N(AI179)+N(AI183)+N(AI204))-N(AI110))/(AE35+AF35+AH35+AI35),""),"")</f>
        <v/>
      </c>
      <c r="AJ303" s="259" t="str">
        <f>IFERROR(IF(AND(COUNT(AF35,AH35,AI35,AJ35)=4,(AF35+AH35+AI35+AJ35)&lt;&gt;0),((N(AJ178)+N(AJ179)+N(AJ183)+N(AJ204))-N(AJ110))/(AF35+AH35+AI35+AJ35),""),"")</f>
        <v/>
      </c>
      <c r="AK303" s="259" t="str">
        <f>IFERROR(IF(AND(COUNT(AH35,AI35,AJ35,AK35)=4,(AH35+AI35+AJ35+AK35)&lt;&gt;0),((N(AK178)+N(AK179)+N(AK183)+N(AK204))-N(AK110))/(AH35+AI35+AJ35+AK35),""),"")</f>
        <v/>
      </c>
      <c r="AL303" s="259" t="str">
        <f>IFERROR(IF(AND(COUNT(AH35,AI35,AJ35,AK35)=4,(AH35+AI35+AJ35+AK35)&lt;&gt;0),((N(AL178)+N(AL179)+N(AL183)+N(AL204))-N(AL110))/(AH35+AI35+AJ35+AK35),""),"")</f>
        <v/>
      </c>
      <c r="AM303" s="259" t="str">
        <f>IFERROR(IF(AND(COUNT(AI35,AJ35,AK35,AM35)=4,(AI35+AJ35+AK35+AM35)&lt;&gt;0),((N(AM178)+N(AM179)+N(AM183)+N(AM204))-N(AM110))/(AI35+AJ35+AK35+AM35),""),"")</f>
        <v/>
      </c>
      <c r="AN303" s="259" t="str">
        <f>IFERROR(IF(AND(COUNT(AJ35,AK35,AM35,AN35)=4,(AJ35+AK35+AM35+AN35)&lt;&gt;0),((N(AN178)+N(AN179)+N(AN183)+N(AN204))-N(AN110))/(AJ35+AK35+AM35+AN35),""),"")</f>
        <v/>
      </c>
      <c r="AO303" s="259" t="str">
        <f>IFERROR(IF(AND(COUNT(AK35,AM35,AN35,AO35)=4,(AK35+AM35+AN35+AO35)&lt;&gt;0),((N(AO178)+N(AO179)+N(AO183)+N(AO204))-N(AO110))/(AK35+AM35+AN35+AO35),""),"")</f>
        <v/>
      </c>
      <c r="AP303" s="259" t="str">
        <f>IFERROR(IF(AND(COUNT(AM35,AN35,AO35,AP35)=4,(AM35+AN35+AO35+AP35)&lt;&gt;0),((N(AP178)+N(AP179)+N(AP183)+N(AP204))-N(AP110))/(AM35+AN35+AO35+AP35),""),"")</f>
        <v/>
      </c>
      <c r="AQ303" s="259" t="str">
        <f>IFERROR(IF(AND(COUNT(AM35,AN35,AO35,AP35)=4,(AM35+AN35+AO35+AP35)&lt;&gt;0),((N(AQ178)+N(AQ179)+N(AQ183)+N(AQ204))-N(AQ110))/(AM35+AN35+AO35+AP35),""),"")</f>
        <v/>
      </c>
      <c r="AR303" s="259" t="str">
        <f>IFERROR(IF(AND(COUNT(AN35,AO35,AP35,AR35)=4,(AN35+AO35+AP35+AR35)&lt;&gt;0),((N(AR178)+N(AR179)+N(AR183)+N(AR204))-N(AR110))/(AN35+AO35+AP35+AR35),""),"")</f>
        <v/>
      </c>
      <c r="AS303" s="259" t="str">
        <f>IFERROR(IF(AND(COUNT(AO35,AP35,AR35,AS35)=4,(AO35+AP35+AR35+AS35)&lt;&gt;0),((N(AS178)+N(AS179)+N(AS183)+N(AS204))-N(AS110))/(AO35+AP35+AR35+AS35),""),"")</f>
        <v/>
      </c>
      <c r="AT303" s="259" t="str">
        <f>IFERROR(IF(AND(COUNT(AP35,AR35,AS35,AT35)=4,(AP35+AR35+AS35+AT35)&lt;&gt;0),((N(AT178)+N(AT179)+N(AT183)+N(AT204))-N(AT110))/(AP35+AR35+AS35+AT35),""),"")</f>
        <v/>
      </c>
      <c r="AU303" s="259" t="str">
        <f>IFERROR(IF(AND(COUNT(AR35,AS35,AT35,AU35)=4,(AR35+AS35+AT35+AU35)&lt;&gt;0),((N(AU178)+N(AU179)+N(AU183)+N(AU204))-N(AU110))/(AR35+AS35+AT35+AU35),""),"")</f>
        <v/>
      </c>
      <c r="AV303" s="259" t="str">
        <f>IFERROR(IF(AND(COUNT(AR35,AS35,AT35,AU35)=4,(AR35+AS35+AT35+AU35)&lt;&gt;0),((N(AV178)+N(AV179)+N(AV183)+N(AV204))-N(AV110))/(AR35+AS35+AT35+AU35),""),"")</f>
        <v/>
      </c>
      <c r="AW303" s="259" t="str">
        <f>IFERROR(IF(AND(COUNT(AS35,AT35,AU35,AW35)=4,(AS35+AT35+AU35+AW35)&lt;&gt;0),((N(AW178)+N(AW179)+N(AW183)+N(AW204))-N(AW110))/(AS35+AT35+AU35+AW35),""),"")</f>
        <v/>
      </c>
      <c r="AX303" s="259" t="str">
        <f>IFERROR(IF(AND(COUNT(AT35,AU35,AW35,AX35)=4,(AT35+AU35+AW35+AX35)&lt;&gt;0),((N(AX178)+N(AX179)+N(AX183)+N(AX204))-N(AX110))/(AT35+AU35+AW35+AX35),""),"")</f>
        <v/>
      </c>
      <c r="AY303" s="259" t="str">
        <f>IFERROR(IF(AND(COUNT(AU35,AW35,AX35,AY35)=4,(AU35+AW35+AX35+AY35)&lt;&gt;0),((N(AY178)+N(AY179)+N(AY183)+N(AY204))-N(AY110))/(AU35+AW35+AX35+AY35),""),"")</f>
        <v/>
      </c>
      <c r="AZ303" s="259" t="str">
        <f>IFERROR(IF(AND(COUNT(AW35,AX35,AY35,AZ35)=4,(AW35+AX35+AY35+AZ35)&lt;&gt;0),((N(AZ178)+N(AZ179)+N(AZ183)+N(AZ204))-N(AZ110))/(AW35+AX35+AY35+AZ35),""),"")</f>
        <v/>
      </c>
      <c r="BA303" s="259" t="str">
        <f>IFERROR(IF(AND(COUNT(AW35,AX35,AY35,AZ35)=4,(AW35+AX35+AY35+AZ35)&lt;&gt;0),((N(BA178)+N(BA179)+N(BA183)+N(BA204))-N(BA110))/(AW35+AX35+AY35+AZ35),""),"")</f>
        <v/>
      </c>
      <c r="BB303" s="259" t="str">
        <f>IFERROR(IF(AND(COUNT(AX35,AY35,AZ35,BB35)=4,(AX35+AY35+AZ35+BB35)&lt;&gt;0),((N(BB178)+N(BB179)+N(BB183)+N(BB204))-N(BB110))/(AX35+AY35+AZ35+BB35),""),"")</f>
        <v/>
      </c>
      <c r="BC303" s="259" t="str">
        <f>IFERROR(IF(AND(COUNT(AY35,AZ35,BB35,BC35)=4,(AY35+AZ35+BB35+BC35)&lt;&gt;0),((N(BC178)+N(BC179)+N(BC183)+N(BC204))-N(BC110))/(AY35+AZ35+BB35+BC35),""),"")</f>
        <v/>
      </c>
      <c r="BD303" s="259" t="str">
        <f>IFERROR(IF(AND(COUNT(AZ35,BB35,BC35,BD35)=4,(AZ35+BB35+BC35+BD35)&lt;&gt;0),((N(BD178)+N(BD179)+N(BD183)+N(BD204))-N(BD110))/(AZ35+BB35+BC35+BD35),""),"")</f>
        <v/>
      </c>
      <c r="BE303" s="259" t="str">
        <f>IFERROR(IF(AND(COUNT(BB35,BC35,BD35,BE35)=4,(BB35+BC35+BD35+BE35)&lt;&gt;0),((N(BE178)+N(BE179)+N(BE183)+N(BE204))-N(BE110))/(BB35+BC35+BD35+BE35),""),"")</f>
        <v/>
      </c>
      <c r="BF303" s="259" t="str">
        <f>IFERROR(IF(AND(COUNT(BB35,BC35,BD35,BE35)=4,(BB35+BC35+BD35+BE35)&lt;&gt;0),((N(BF178)+N(BF179)+N(BF183)+N(BF204))-N(BF110))/(BB35+BC35+BD35+BE35),""),"")</f>
        <v/>
      </c>
      <c r="BG303" s="82"/>
      <c r="BH303" s="82"/>
      <c r="BI303" s="82"/>
      <c r="BJ303" s="82"/>
      <c r="BL303" s="82"/>
      <c r="BM303" s="82"/>
      <c r="BN303" s="82"/>
      <c r="BO303" s="82"/>
      <c r="BQ303" s="82"/>
      <c r="BR303" s="82"/>
      <c r="BS303" s="82"/>
      <c r="BT303" s="82"/>
      <c r="BV303" s="82"/>
      <c r="BW303" s="82"/>
      <c r="BX303" s="82"/>
      <c r="BY303" s="82"/>
      <c r="CA303" s="82"/>
      <c r="CB303" s="82"/>
      <c r="CC303" s="82"/>
      <c r="CD303" s="82"/>
      <c r="CF303" s="82"/>
      <c r="CG303" s="82"/>
      <c r="CH303" s="82"/>
      <c r="CI303" s="82"/>
      <c r="CK303" s="82"/>
      <c r="CL303" s="82"/>
      <c r="CM303" s="82"/>
      <c r="CN303" s="82"/>
      <c r="CP303" s="82"/>
      <c r="CQ303" s="82"/>
      <c r="CR303" s="82"/>
      <c r="CS303" s="82"/>
      <c r="CU303" s="82"/>
      <c r="CV303" s="82"/>
      <c r="CW303" s="82"/>
      <c r="CX303" s="82"/>
    </row>
    <row r="304" spans="1:102" s="77" customFormat="1" x14ac:dyDescent="0.2">
      <c r="A304" s="76"/>
      <c r="B304" s="76"/>
      <c r="C304" s="77" t="s">
        <v>388</v>
      </c>
      <c r="D304" s="82" t="str">
        <f>IFERROR(D39/-D40,"")</f>
        <v/>
      </c>
      <c r="E304" s="82" t="str">
        <f>IFERROR(E39/-E40,"")</f>
        <v/>
      </c>
      <c r="F304" s="82" t="str">
        <f>IFERROR(F39/-F40,"")</f>
        <v/>
      </c>
      <c r="G304" s="82" t="str">
        <f>IFERROR(G39/-G40,"")</f>
        <v/>
      </c>
      <c r="H304" s="259" t="str">
        <f>IFERROR(IF(AND(COUNT(H39)=1,(H40)&lt;&gt;0),(H39)/-(H40),""),"")</f>
        <v/>
      </c>
      <c r="I304" s="259" t="str">
        <f>""</f>
        <v/>
      </c>
      <c r="J304" s="259" t="str">
        <f>""</f>
        <v/>
      </c>
      <c r="K304" s="259" t="str">
        <f>""</f>
        <v/>
      </c>
      <c r="L304" s="259" t="str">
        <f>IFERROR(IF(AND(COUNT(I39,J39,K39,L39)=4,(I40+J40+K40+L40)&lt;&gt;0),(I39+J39+K39+L39)/-(I40+J40+K40+L40),""),"")</f>
        <v/>
      </c>
      <c r="M304" s="259" t="str">
        <f>IFERROR(IF(AND(COUNT(I39,J39,K39,L39)=4,(I40+J40+K40+L40)&lt;&gt;0),(I39+J39+K39+L39)/-(I40+J40+K40+L40),""),"")</f>
        <v/>
      </c>
      <c r="N304" s="259" t="str">
        <f>IFERROR(IF(AND(COUNT(J39,K39,L39,N39)=4,(J40+K40+L40+N40)&lt;&gt;0),(J39+K39+L39+N39)/-(J40+K40+L40+N40),""),"")</f>
        <v/>
      </c>
      <c r="O304" s="259" t="str">
        <f>IFERROR(IF(AND(COUNT(K39,L39,N39,O39)=4,(K40+L40+N40+O40)&lt;&gt;0),(K39+L39+N39+O39)/-(K40+L40+N40+O40),""),"")</f>
        <v/>
      </c>
      <c r="P304" s="259" t="str">
        <f>IFERROR(IF(AND(COUNT(L39,N39,O39,P39)=4,(L40+N40+O40+P40)&lt;&gt;0),(L39+N39+O39+P39)/-(L40+N40+O40+P40),""),"")</f>
        <v/>
      </c>
      <c r="Q304" s="259" t="str">
        <f>IFERROR(IF(AND(COUNT(N39,O39,P39,Q39)=4,(N40+O40+P40+Q40)&lt;&gt;0),(N39+O39+P39+Q39)/-(N40+O40+P40+Q40),""),"")</f>
        <v/>
      </c>
      <c r="R304" s="259" t="str">
        <f>IFERROR(IF(AND(COUNT(N39,O39,P39,Q39)=4,(N40+O40+P40+Q40)&lt;&gt;0),(N39+O39+P39+Q39)/-(N40+O40+P40+Q40),""),"")</f>
        <v/>
      </c>
      <c r="S304" s="259" t="str">
        <f>IFERROR(IF(AND(COUNT(O39,P39,Q39,S39)=4,(O40+P40+Q40+S40)&lt;&gt;0),(O39+P39+Q39+S39)/-(O40+P40+Q40+S40),""),"")</f>
        <v/>
      </c>
      <c r="T304" s="259" t="str">
        <f>IFERROR(IF(AND(COUNT(P39,Q39,S39,T39)=4,(P40+Q40+S40+T40)&lt;&gt;0),(P39+Q39+S39+T39)/-(P40+Q40+S40+T40),""),"")</f>
        <v/>
      </c>
      <c r="U304" s="259" t="str">
        <f>IFERROR(IF(AND(COUNT(Q39,S39,T39,U39)=4,(Q40+S40+T40+U40)&lt;&gt;0),(Q39+S39+T39+U39)/-(Q40+S40+T40+U40),""),"")</f>
        <v/>
      </c>
      <c r="V304" s="259" t="str">
        <f>IFERROR(IF(AND(COUNT(S39,T39,U39,V39)=4,(S40+T40+U40+V40)&lt;&gt;0),(S39+T39+U39+V39)/-(S40+T40+U40+V40),""),"")</f>
        <v/>
      </c>
      <c r="W304" s="259" t="str">
        <f>IFERROR(IF(AND(COUNT(S39,T39,U39,V39)=4,(S40+T40+U40+V40)&lt;&gt;0),(S39+T39+U39+V39)/-(S40+T40+U40+V40),""),"")</f>
        <v/>
      </c>
      <c r="X304" s="259" t="str">
        <f>IFERROR(IF(AND(COUNT(T39,U39,V39,X39)=4,(T40+U40+V40+X40)&lt;&gt;0),(T39+U39+V39+X39)/-(T40+U40+V40+X40),""),"")</f>
        <v/>
      </c>
      <c r="Y304" s="259" t="str">
        <f>IFERROR(IF(AND(COUNT(U39,V39,X39,Y39)=4,(U40+V40+X40+Y40)&lt;&gt;0),(U39+V39+X39+Y39)/-(U40+V40+X40+Y40),""),"")</f>
        <v/>
      </c>
      <c r="Z304" s="259" t="str">
        <f>IFERROR(IF(AND(COUNT(V39,X39,Y39,Z39)=4,(V40+X40+Y40+Z40)&lt;&gt;0),(V39+X39+Y39+Z39)/-(V40+X40+Y40+Z40),""),"")</f>
        <v/>
      </c>
      <c r="AA304" s="259" t="str">
        <f>IFERROR(IF(AND(COUNT(X39,Y39,Z39,AA39)=4,(X40+Y40+Z40+AA40)&lt;&gt;0),(X39+Y39+Z39+AA39)/-(X40+Y40+Z40+AA40),""),"")</f>
        <v/>
      </c>
      <c r="AB304" s="259" t="str">
        <f>IFERROR(IF(AND(COUNT(X39,Y39,Z39,AA39)=4,(X40+Y40+Z40+AA40)&lt;&gt;0),(X39+Y39+Z39+AA39)/-(X40+Y40+Z40+AA40),""),"")</f>
        <v/>
      </c>
      <c r="AC304" s="259" t="str">
        <f>IFERROR(IF(AND(COUNT(Y39,Z39,AA39,AC39)=4,(Y40+Z40+AA40+AC40)&lt;&gt;0),(Y39+Z39+AA39+AC39)/-(Y40+Z40+AA40+AC40),""),"")</f>
        <v/>
      </c>
      <c r="AD304" s="259" t="str">
        <f>IFERROR(IF(AND(COUNT(Z39,AA39,AC39,AD39)=4,(Z40+AA40+AC40+AD40)&lt;&gt;0),(Z39+AA39+AC39+AD39)/-(Z40+AA40+AC40+AD40),""),"")</f>
        <v/>
      </c>
      <c r="AE304" s="259" t="str">
        <f>IFERROR(IF(AND(COUNT(AA39,AC39,AD39,AE39)=4,(AA40+AC40+AD40+AE40)&lt;&gt;0),(AA39+AC39+AD39+AE39)/-(AA40+AC40+AD40+AE40),""),"")</f>
        <v/>
      </c>
      <c r="AF304" s="259" t="str">
        <f>IFERROR(IF(AND(COUNT(AC39,AD39,AE39,AF39)=4,(AC40+AD40+AE40+AF40)&lt;&gt;0),(AC39+AD39+AE39+AF39)/-(AC40+AD40+AE40+AF40),""),"")</f>
        <v/>
      </c>
      <c r="AG304" s="259" t="str">
        <f>IFERROR(IF(AND(COUNT(AC39,AD39,AE39,AF39)=4,(AC40+AD40+AE40+AF40)&lt;&gt;0),(AC39+AD39+AE39+AF39)/-(AC40+AD40+AE40+AF40),""),"")</f>
        <v/>
      </c>
      <c r="AH304" s="259" t="str">
        <f>IFERROR(IF(AND(COUNT(AD39,AE39,AF39,AH39)=4,(AD40+AE40+AF40+AH40)&lt;&gt;0),(AD39+AE39+AF39+AH39)/-(AD40+AE40+AF40+AH40),""),"")</f>
        <v/>
      </c>
      <c r="AI304" s="259" t="str">
        <f>IFERROR(IF(AND(COUNT(AE39,AF39,AH39,AI39)=4,(AE40+AF40+AH40+AI40)&lt;&gt;0),(AE39+AF39+AH39+AI39)/-(AE40+AF40+AH40+AI40),""),"")</f>
        <v/>
      </c>
      <c r="AJ304" s="259" t="str">
        <f>IFERROR(IF(AND(COUNT(AF39,AH39,AI39,AJ39)=4,(AF40+AH40+AI40+AJ40)&lt;&gt;0),(AF39+AH39+AI39+AJ39)/-(AF40+AH40+AI40+AJ40),""),"")</f>
        <v/>
      </c>
      <c r="AK304" s="259" t="str">
        <f>IFERROR(IF(AND(COUNT(AH39,AI39,AJ39,AK39)=4,(AH40+AI40+AJ40+AK40)&lt;&gt;0),(AH39+AI39+AJ39+AK39)/-(AH40+AI40+AJ40+AK40),""),"")</f>
        <v/>
      </c>
      <c r="AL304" s="259" t="str">
        <f>IFERROR(IF(AND(COUNT(AH39,AI39,AJ39,AK39)=4,(AH40+AI40+AJ40+AK40)&lt;&gt;0),(AH39+AI39+AJ39+AK39)/-(AH40+AI40+AJ40+AK40),""),"")</f>
        <v/>
      </c>
      <c r="AM304" s="259" t="str">
        <f>IFERROR(IF(AND(COUNT(AI39,AJ39,AK39,AM39)=4,(AI40+AJ40+AK40+AM40)&lt;&gt;0),(AI39+AJ39+AK39+AM39)/-(AI40+AJ40+AK40+AM40),""),"")</f>
        <v/>
      </c>
      <c r="AN304" s="259" t="str">
        <f>IFERROR(IF(AND(COUNT(AJ39,AK39,AM39,AN39)=4,(AJ40+AK40+AM40+AN40)&lt;&gt;0),(AJ39+AK39+AM39+AN39)/-(AJ40+AK40+AM40+AN40),""),"")</f>
        <v/>
      </c>
      <c r="AO304" s="259" t="str">
        <f>IFERROR(IF(AND(COUNT(AK39,AM39,AN39,AO39)=4,(AK40+AM40+AN40+AO40)&lt;&gt;0),(AK39+AM39+AN39+AO39)/-(AK40+AM40+AN40+AO40),""),"")</f>
        <v/>
      </c>
      <c r="AP304" s="259" t="str">
        <f>IFERROR(IF(AND(COUNT(AM39,AN39,AO39,AP39)=4,(AM40+AN40+AO40+AP40)&lt;&gt;0),(AM39+AN39+AO39+AP39)/-(AM40+AN40+AO40+AP40),""),"")</f>
        <v/>
      </c>
      <c r="AQ304" s="259" t="str">
        <f>IFERROR(IF(AND(COUNT(AM39,AN39,AO39,AP39)=4,(AM40+AN40+AO40+AP40)&lt;&gt;0),(AM39+AN39+AO39+AP39)/-(AM40+AN40+AO40+AP40),""),"")</f>
        <v/>
      </c>
      <c r="AR304" s="259" t="str">
        <f>IFERROR(IF(AND(COUNT(AN39,AO39,AP39,AR39)=4,(AN40+AO40+AP40+AR40)&lt;&gt;0),(AN39+AO39+AP39+AR39)/-(AN40+AO40+AP40+AR40),""),"")</f>
        <v/>
      </c>
      <c r="AS304" s="259" t="str">
        <f>IFERROR(IF(AND(COUNT(AO39,AP39,AR39,AS39)=4,(AO40+AP40+AR40+AS40)&lt;&gt;0),(AO39+AP39+AR39+AS39)/-(AO40+AP40+AR40+AS40),""),"")</f>
        <v/>
      </c>
      <c r="AT304" s="259" t="str">
        <f>IFERROR(IF(AND(COUNT(AP39,AR39,AS39,AT39)=4,(AP40+AR40+AS40+AT40)&lt;&gt;0),(AP39+AR39+AS39+AT39)/-(AP40+AR40+AS40+AT40),""),"")</f>
        <v/>
      </c>
      <c r="AU304" s="259" t="str">
        <f>IFERROR(IF(AND(COUNT(AR39,AS39,AT39,AU39)=4,(AR40+AS40+AT40+AU40)&lt;&gt;0),(AR39+AS39+AT39+AU39)/-(AR40+AS40+AT40+AU40),""),"")</f>
        <v/>
      </c>
      <c r="AV304" s="259" t="str">
        <f>IFERROR(IF(AND(COUNT(AR39,AS39,AT39,AU39)=4,(AR40+AS40+AT40+AU40)&lt;&gt;0),(AR39+AS39+AT39+AU39)/-(AR40+AS40+AT40+AU40),""),"")</f>
        <v/>
      </c>
      <c r="AW304" s="259" t="str">
        <f>IFERROR(IF(AND(COUNT(AS39,AT39,AU39,AW39)=4,(AS40+AT40+AU40+AW40)&lt;&gt;0),(AS39+AT39+AU39+AW39)/-(AS40+AT40+AU40+AW40),""),"")</f>
        <v/>
      </c>
      <c r="AX304" s="259" t="str">
        <f>IFERROR(IF(AND(COUNT(AT39,AU39,AW39,AX39)=4,(AT40+AU40+AW40+AX40)&lt;&gt;0),(AT39+AU39+AW39+AX39)/-(AT40+AU40+AW40+AX40),""),"")</f>
        <v/>
      </c>
      <c r="AY304" s="259" t="str">
        <f>IFERROR(IF(AND(COUNT(AU39,AW39,AX39,AY39)=4,(AU40+AW40+AX40+AY40)&lt;&gt;0),(AU39+AW39+AX39+AY39)/-(AU40+AW40+AX40+AY40),""),"")</f>
        <v/>
      </c>
      <c r="AZ304" s="259" t="str">
        <f>IFERROR(IF(AND(COUNT(AW39,AX39,AY39,AZ39)=4,(AW40+AX40+AY40+AZ40)&lt;&gt;0),(AW39+AX39+AY39+AZ39)/-(AW40+AX40+AY40+AZ40),""),"")</f>
        <v/>
      </c>
      <c r="BA304" s="259" t="str">
        <f>IFERROR(IF(AND(COUNT(AW39,AX39,AY39,AZ39)=4,(AW40+AX40+AY40+AZ40)&lt;&gt;0),(AW39+AX39+AY39+AZ39)/-(AW40+AX40+AY40+AZ40),""),"")</f>
        <v/>
      </c>
      <c r="BB304" s="259" t="str">
        <f>IFERROR(IF(AND(COUNT(AX39,AY39,AZ39,BB39)=4,(AX40+AY40+AZ40+BB40)&lt;&gt;0),(AX39+AY39+AZ39+BB39)/-(AX40+AY40+AZ40+BB40),""),"")</f>
        <v/>
      </c>
      <c r="BC304" s="259" t="str">
        <f>IFERROR(IF(AND(COUNT(AY39,AZ39,BB39,BC39)=4,(AY40+AZ40+BB40+BC40)&lt;&gt;0),(AY39+AZ39+BB39+BC39)/-(AY40+AZ40+BB40+BC40),""),"")</f>
        <v/>
      </c>
      <c r="BD304" s="259" t="str">
        <f>IFERROR(IF(AND(COUNT(AZ39,BB39,BC39,BD39)=4,(AZ40+BB40+BC40+BD40)&lt;&gt;0),(AZ39+BB39+BC39+BD39)/-(AZ40+BB40+BC40+BD40),""),"")</f>
        <v/>
      </c>
      <c r="BE304" s="259" t="str">
        <f>IFERROR(IF(AND(COUNT(BB39,BC39,BD39,BE39)=4,(BB40+BC40+BD40+BE40)&lt;&gt;0),(BB39+BC39+BD39+BE39)/-(BB40+BC40+BD40+BE40),""),"")</f>
        <v/>
      </c>
      <c r="BF304" s="259" t="str">
        <f>IFERROR(IF(AND(COUNT(BB39,BC39,BD39,BE39)=4,(BB40+BC40+BD40+BE40)&lt;&gt;0),(BB39+BC39+BD39+BE39)/-(BB40+BC40+BD40+BE40),""),"")</f>
        <v/>
      </c>
      <c r="BG304" s="82"/>
      <c r="BH304" s="82"/>
      <c r="BI304" s="82"/>
      <c r="BJ304" s="82"/>
      <c r="BL304" s="82"/>
      <c r="BM304" s="82"/>
      <c r="BN304" s="82"/>
      <c r="BO304" s="82"/>
      <c r="BQ304" s="82"/>
      <c r="BR304" s="82"/>
      <c r="BS304" s="82"/>
      <c r="BT304" s="82"/>
      <c r="BV304" s="82"/>
      <c r="BW304" s="82"/>
      <c r="BX304" s="82"/>
      <c r="BY304" s="82"/>
      <c r="CA304" s="82"/>
      <c r="CB304" s="82"/>
      <c r="CC304" s="82"/>
      <c r="CD304" s="82"/>
      <c r="CF304" s="82"/>
      <c r="CG304" s="82"/>
      <c r="CH304" s="82"/>
      <c r="CI304" s="82"/>
      <c r="CK304" s="82"/>
      <c r="CL304" s="82"/>
      <c r="CM304" s="82"/>
      <c r="CN304" s="82"/>
      <c r="CP304" s="82"/>
      <c r="CQ304" s="82"/>
      <c r="CR304" s="82"/>
      <c r="CS304" s="82"/>
      <c r="CU304" s="82"/>
      <c r="CV304" s="82"/>
      <c r="CW304" s="82"/>
      <c r="CX304" s="82"/>
    </row>
    <row r="305" spans="1:102" s="77" customFormat="1" x14ac:dyDescent="0.2">
      <c r="A305" s="76"/>
      <c r="B305" s="76"/>
    </row>
    <row r="306" spans="1:102" s="77" customFormat="1" x14ac:dyDescent="0.2">
      <c r="A306" s="76"/>
      <c r="B306" s="76"/>
      <c r="C306" s="74" t="s">
        <v>219</v>
      </c>
    </row>
    <row r="307" spans="1:102" s="77" customFormat="1" x14ac:dyDescent="0.2">
      <c r="A307" s="76"/>
      <c r="B307" s="76"/>
      <c r="C307" s="77" t="s">
        <v>220</v>
      </c>
      <c r="D307" s="82" t="str">
        <f>IFERROR(SUM(D110,D111,D115,D119,D120,D121)/SUM(D164,D168,D170,D171),"")</f>
        <v/>
      </c>
      <c r="E307" s="82" t="str">
        <f>IFERROR(SUM(E110,E111,E115,E119,E120,E121)/SUM(E164,E168,E170,E171),"")</f>
        <v/>
      </c>
      <c r="F307" s="82" t="str">
        <f>IFERROR(SUM(F110,F111,F115,F119,F120,F121)/SUM(F164,F168,F170,F171),"")</f>
        <v/>
      </c>
      <c r="G307" s="82" t="str">
        <f>IFERROR(SUM(G110,G111,G115,G119,G120,G121)/SUM(G164,G168,G170,G171),"")</f>
        <v/>
      </c>
      <c r="H307" s="259" t="str">
        <f>IFERROR(IF((N(H164)+N(H168)+N(H170)+N(H171)+N(H178)+N(H179)+N(H180))&lt;&gt;0,(N(H110)+(N(H111)+N(H115)+N(H119)+N(H120)+N(H121)))/(N(H164)+N(H168)+N(H170)+N(H171)+N(H178)+N(H179)+N(H180)),""),"")</f>
        <v/>
      </c>
      <c r="I307" s="259" t="str">
        <f>IFERROR(IF((N(I164)+N(I168)+N(I170)+N(I171)+N(I178)+N(I179)+N(I180))&lt;&gt;0,(N(I110)+(N(I111)+N(I115)+N(I119)+N(I120)+N(I121)))/(N(I164)+N(I168)+N(I170)+N(I171)+N(I178)+N(I179)+N(I180)),""),"")</f>
        <v/>
      </c>
      <c r="J307" s="259" t="str">
        <f>IFERROR(IF((N(J164)+N(J168)+N(J170)+N(J171)+N(J178)+N(J179)+N(J180))&lt;&gt;0,(N(J110)+(N(J111)+N(J115)+N(J119)+N(J120)+N(J121)))/(N(J164)+N(J168)+N(J170)+N(J171)+N(J178)+N(J179)+N(J180)),""),"")</f>
        <v/>
      </c>
      <c r="K307" s="259" t="str">
        <f>IFERROR(IF((N(K164)+N(K168)+N(K170)+N(K171)+N(K178)+N(K179)+N(K180))&lt;&gt;0,(N(K110)+(N(K111)+N(K115)+N(K119)+N(K120)+N(K121)))/(N(K164)+N(K168)+N(K170)+N(K171)+N(K178)+N(K179)+N(K180)),""),"")</f>
        <v/>
      </c>
      <c r="L307" s="259" t="str">
        <f>IFERROR(IF((N(L164)+N(L168)+N(L170)+N(L171)+N(L178)+N(L179)+N(L180))&lt;&gt;0,(N(L110)+(N(L111)+N(L115)+N(L119)+N(L120)+N(L121)))/(N(L164)+N(L168)+N(L170)+N(L171)+N(L178)+N(L179)+N(L180)),""),"")</f>
        <v/>
      </c>
      <c r="M307" s="259" t="str">
        <f>IFERROR(IF((N(M164)+N(M168)+N(M170)+N(M171)+N(M178)+N(M179)+N(M180))&lt;&gt;0,(N(M110)+(N(M111)+N(M115)+N(M119)+N(M120)+N(M121)))/(N(M164)+N(M168)+N(M170)+N(M171)+N(M178)+N(M179)+N(M180)),""),"")</f>
        <v/>
      </c>
      <c r="N307" s="259" t="str">
        <f>IFERROR(IF((N(N164)+N(N168)+N(N170)+N(N171)+N(N178)+N(N179)+N(N180))&lt;&gt;0,(N(N110)+(N(N111)+N(N115)+N(N119)+N(N120)+N(N121)))/(N(N164)+N(N168)+N(N170)+N(N171)+N(N178)+N(N179)+N(N180)),""),"")</f>
        <v/>
      </c>
      <c r="O307" s="259" t="str">
        <f>IFERROR(IF((N(O164)+N(O168)+N(O170)+N(O171)+N(O178)+N(O179)+N(O180))&lt;&gt;0,(N(O110)+(N(O111)+N(O115)+N(O119)+N(O120)+N(O121)))/(N(O164)+N(O168)+N(O170)+N(O171)+N(O178)+N(O179)+N(O180)),""),"")</f>
        <v/>
      </c>
      <c r="P307" s="259" t="str">
        <f>IFERROR(IF((N(P164)+N(P168)+N(P170)+N(P171)+N(P178)+N(P179)+N(P180))&lt;&gt;0,(N(P110)+(N(P111)+N(P115)+N(P119)+N(P120)+N(P121)))/(N(P164)+N(P168)+N(P170)+N(P171)+N(P178)+N(P179)+N(P180)),""),"")</f>
        <v/>
      </c>
      <c r="Q307" s="259" t="str">
        <f>IFERROR(IF((N(Q164)+N(Q168)+N(Q170)+N(Q171)+N(Q178)+N(Q179)+N(Q180))&lt;&gt;0,(N(Q110)+(N(Q111)+N(Q115)+N(Q119)+N(Q120)+N(Q121)))/(N(Q164)+N(Q168)+N(Q170)+N(Q171)+N(Q178)+N(Q179)+N(Q180)),""),"")</f>
        <v/>
      </c>
      <c r="R307" s="259" t="str">
        <f>IFERROR(IF((N(R164)+N(R168)+N(R170)+N(R171)+N(R178)+N(R179)+N(R180))&lt;&gt;0,(N(R110)+(N(R111)+N(R115)+N(R119)+N(R120)+N(R121)))/(N(R164)+N(R168)+N(R170)+N(R171)+N(R178)+N(R179)+N(R180)),""),"")</f>
        <v/>
      </c>
      <c r="S307" s="259" t="str">
        <f>IFERROR(IF((N(S164)+N(S168)+N(S170)+N(S171)+N(S178)+N(S179)+N(S180))&lt;&gt;0,(N(S110)+(N(S111)+N(S115)+N(S119)+N(S120)+N(S121)))/(N(S164)+N(S168)+N(S170)+N(S171)+N(S178)+N(S179)+N(S180)),""),"")</f>
        <v/>
      </c>
      <c r="T307" s="259" t="str">
        <f>IFERROR(IF((N(T164)+N(T168)+N(T170)+N(T171)+N(T178)+N(T179)+N(T180))&lt;&gt;0,(N(T110)+(N(T111)+N(T115)+N(T119)+N(T120)+N(T121)))/(N(T164)+N(T168)+N(T170)+N(T171)+N(T178)+N(T179)+N(T180)),""),"")</f>
        <v/>
      </c>
      <c r="U307" s="259" t="str">
        <f>IFERROR(IF((N(U164)+N(U168)+N(U170)+N(U171)+N(U178)+N(U179)+N(U180))&lt;&gt;0,(N(U110)+(N(U111)+N(U115)+N(U119)+N(U120)+N(U121)))/(N(U164)+N(U168)+N(U170)+N(U171)+N(U178)+N(U179)+N(U180)),""),"")</f>
        <v/>
      </c>
      <c r="V307" s="259" t="str">
        <f>IFERROR(IF((N(V164)+N(V168)+N(V170)+N(V171)+N(V178)+N(V179)+N(V180))&lt;&gt;0,(N(V110)+(N(V111)+N(V115)+N(V119)+N(V120)+N(V121)))/(N(V164)+N(V168)+N(V170)+N(V171)+N(V178)+N(V179)+N(V180)),""),"")</f>
        <v/>
      </c>
      <c r="W307" s="259" t="str">
        <f>IFERROR(IF((N(W164)+N(W168)+N(W170)+N(W171)+N(W178)+N(W179)+N(W180))&lt;&gt;0,(N(W110)+(N(W111)+N(W115)+N(W119)+N(W120)+N(W121)))/(N(W164)+N(W168)+N(W170)+N(W171)+N(W178)+N(W179)+N(W180)),""),"")</f>
        <v/>
      </c>
      <c r="X307" s="259" t="str">
        <f>IFERROR(IF((N(X164)+N(X168)+N(X170)+N(X171)+N(X178)+N(X179)+N(X180))&lt;&gt;0,(N(X110)+(N(X111)+N(X115)+N(X119)+N(X120)+N(X121)))/(N(X164)+N(X168)+N(X170)+N(X171)+N(X178)+N(X179)+N(X180)),""),"")</f>
        <v/>
      </c>
      <c r="Y307" s="259" t="str">
        <f>IFERROR(IF((N(Y164)+N(Y168)+N(Y170)+N(Y171)+N(Y178)+N(Y179)+N(Y180))&lt;&gt;0,(N(Y110)+(N(Y111)+N(Y115)+N(Y119)+N(Y120)+N(Y121)))/(N(Y164)+N(Y168)+N(Y170)+N(Y171)+N(Y178)+N(Y179)+N(Y180)),""),"")</f>
        <v/>
      </c>
      <c r="Z307" s="259" t="str">
        <f>IFERROR(IF((N(Z164)+N(Z168)+N(Z170)+N(Z171)+N(Z178)+N(Z179)+N(Z180))&lt;&gt;0,(N(Z110)+(N(Z111)+N(Z115)+N(Z119)+N(Z120)+N(Z121)))/(N(Z164)+N(Z168)+N(Z170)+N(Z171)+N(Z178)+N(Z179)+N(Z180)),""),"")</f>
        <v/>
      </c>
      <c r="AA307" s="259" t="str">
        <f>IFERROR(IF((N(AA164)+N(AA168)+N(AA170)+N(AA171)+N(AA178)+N(AA179)+N(AA180))&lt;&gt;0,(N(AA110)+(N(AA111)+N(AA115)+N(AA119)+N(AA120)+N(AA121)))/(N(AA164)+N(AA168)+N(AA170)+N(AA171)+N(AA178)+N(AA179)+N(AA180)),""),"")</f>
        <v/>
      </c>
      <c r="AB307" s="259" t="str">
        <f>IFERROR(IF((N(AB164)+N(AB168)+N(AB170)+N(AB171)+N(AB178)+N(AB179)+N(AB180))&lt;&gt;0,(N(AB110)+(N(AB111)+N(AB115)+N(AB119)+N(AB120)+N(AB121)))/(N(AB164)+N(AB168)+N(AB170)+N(AB171)+N(AB178)+N(AB179)+N(AB180)),""),"")</f>
        <v/>
      </c>
      <c r="AC307" s="259" t="str">
        <f>IFERROR(IF((N(AC164)+N(AC168)+N(AC170)+N(AC171)+N(AC178)+N(AC179)+N(AC180))&lt;&gt;0,(N(AC110)+(N(AC111)+N(AC115)+N(AC119)+N(AC120)+N(AC121)))/(N(AC164)+N(AC168)+N(AC170)+N(AC171)+N(AC178)+N(AC179)+N(AC180)),""),"")</f>
        <v/>
      </c>
      <c r="AD307" s="259" t="str">
        <f>IFERROR(IF((N(AD164)+N(AD168)+N(AD170)+N(AD171)+N(AD178)+N(AD179)+N(AD180))&lt;&gt;0,(N(AD110)+(N(AD111)+N(AD115)+N(AD119)+N(AD120)+N(AD121)))/(N(AD164)+N(AD168)+N(AD170)+N(AD171)+N(AD178)+N(AD179)+N(AD180)),""),"")</f>
        <v/>
      </c>
      <c r="AE307" s="259" t="str">
        <f>IFERROR(IF((N(AE164)+N(AE168)+N(AE170)+N(AE171)+N(AE178)+N(AE179)+N(AE180))&lt;&gt;0,(N(AE110)+(N(AE111)+N(AE115)+N(AE119)+N(AE120)+N(AE121)))/(N(AE164)+N(AE168)+N(AE170)+N(AE171)+N(AE178)+N(AE179)+N(AE180)),""),"")</f>
        <v/>
      </c>
      <c r="AF307" s="259" t="str">
        <f>IFERROR(IF((N(AF164)+N(AF168)+N(AF170)+N(AF171)+N(AF178)+N(AF179)+N(AF180))&lt;&gt;0,(N(AF110)+(N(AF111)+N(AF115)+N(AF119)+N(AF120)+N(AF121)))/(N(AF164)+N(AF168)+N(AF170)+N(AF171)+N(AF178)+N(AF179)+N(AF180)),""),"")</f>
        <v/>
      </c>
      <c r="AG307" s="259" t="str">
        <f>IFERROR(IF((N(AG164)+N(AG168)+N(AG170)+N(AG171)+N(AG178)+N(AG179)+N(AG180))&lt;&gt;0,(N(AG110)+(N(AG111)+N(AG115)+N(AG119)+N(AG120)+N(AG121)))/(N(AG164)+N(AG168)+N(AG170)+N(AG171)+N(AG178)+N(AG179)+N(AG180)),""),"")</f>
        <v/>
      </c>
      <c r="AH307" s="259" t="str">
        <f>IFERROR(IF((N(AH164)+N(AH168)+N(AH170)+N(AH171)+N(AH178)+N(AH179)+N(AH180))&lt;&gt;0,(N(AH110)+(N(AH111)+N(AH115)+N(AH119)+N(AH120)+N(AH121)))/(N(AH164)+N(AH168)+N(AH170)+N(AH171)+N(AH178)+N(AH179)+N(AH180)),""),"")</f>
        <v/>
      </c>
      <c r="AI307" s="259" t="str">
        <f>IFERROR(IF((N(AI164)+N(AI168)+N(AI170)+N(AI171)+N(AI178)+N(AI179)+N(AI180))&lt;&gt;0,(N(AI110)+(N(AI111)+N(AI115)+N(AI119)+N(AI120)+N(AI121)))/(N(AI164)+N(AI168)+N(AI170)+N(AI171)+N(AI178)+N(AI179)+N(AI180)),""),"")</f>
        <v/>
      </c>
      <c r="AJ307" s="259" t="str">
        <f>IFERROR(IF((N(AJ164)+N(AJ168)+N(AJ170)+N(AJ171)+N(AJ178)+N(AJ179)+N(AJ180))&lt;&gt;0,(N(AJ110)+(N(AJ111)+N(AJ115)+N(AJ119)+N(AJ120)+N(AJ121)))/(N(AJ164)+N(AJ168)+N(AJ170)+N(AJ171)+N(AJ178)+N(AJ179)+N(AJ180)),""),"")</f>
        <v/>
      </c>
      <c r="AK307" s="259" t="str">
        <f>IFERROR(IF((N(AK164)+N(AK168)+N(AK170)+N(AK171)+N(AK178)+N(AK179)+N(AK180))&lt;&gt;0,(N(AK110)+(N(AK111)+N(AK115)+N(AK119)+N(AK120)+N(AK121)))/(N(AK164)+N(AK168)+N(AK170)+N(AK171)+N(AK178)+N(AK179)+N(AK180)),""),"")</f>
        <v/>
      </c>
      <c r="AL307" s="259" t="str">
        <f>IFERROR(IF((N(AL164)+N(AL168)+N(AL170)+N(AL171)+N(AL178)+N(AL179)+N(AL180))&lt;&gt;0,(N(AL110)+(N(AL111)+N(AL115)+N(AL119)+N(AL120)+N(AL121)))/(N(AL164)+N(AL168)+N(AL170)+N(AL171)+N(AL178)+N(AL179)+N(AL180)),""),"")</f>
        <v/>
      </c>
      <c r="AM307" s="259" t="str">
        <f>IFERROR(IF((N(AM164)+N(AM168)+N(AM170)+N(AM171)+N(AM178)+N(AM179)+N(AM180))&lt;&gt;0,(N(AM110)+(N(AM111)+N(AM115)+N(AM119)+N(AM120)+N(AM121)))/(N(AM164)+N(AM168)+N(AM170)+N(AM171)+N(AM178)+N(AM179)+N(AM180)),""),"")</f>
        <v/>
      </c>
      <c r="AN307" s="259" t="str">
        <f>IFERROR(IF((N(AN164)+N(AN168)+N(AN170)+N(AN171)+N(AN178)+N(AN179)+N(AN180))&lt;&gt;0,(N(AN110)+(N(AN111)+N(AN115)+N(AN119)+N(AN120)+N(AN121)))/(N(AN164)+N(AN168)+N(AN170)+N(AN171)+N(AN178)+N(AN179)+N(AN180)),""),"")</f>
        <v/>
      </c>
      <c r="AO307" s="259" t="str">
        <f>IFERROR(IF((N(AO164)+N(AO168)+N(AO170)+N(AO171)+N(AO178)+N(AO179)+N(AO180))&lt;&gt;0,(N(AO110)+(N(AO111)+N(AO115)+N(AO119)+N(AO120)+N(AO121)))/(N(AO164)+N(AO168)+N(AO170)+N(AO171)+N(AO178)+N(AO179)+N(AO180)),""),"")</f>
        <v/>
      </c>
      <c r="AP307" s="259" t="str">
        <f>IFERROR(IF((N(AP164)+N(AP168)+N(AP170)+N(AP171)+N(AP178)+N(AP179)+N(AP180))&lt;&gt;0,(N(AP110)+(N(AP111)+N(AP115)+N(AP119)+N(AP120)+N(AP121)))/(N(AP164)+N(AP168)+N(AP170)+N(AP171)+N(AP178)+N(AP179)+N(AP180)),""),"")</f>
        <v/>
      </c>
      <c r="AQ307" s="259" t="str">
        <f>IFERROR(IF((N(AQ164)+N(AQ168)+N(AQ170)+N(AQ171)+N(AQ178)+N(AQ179)+N(AQ180))&lt;&gt;0,(N(AQ110)+(N(AQ111)+N(AQ115)+N(AQ119)+N(AQ120)+N(AQ121)))/(N(AQ164)+N(AQ168)+N(AQ170)+N(AQ171)+N(AQ178)+N(AQ179)+N(AQ180)),""),"")</f>
        <v/>
      </c>
      <c r="AR307" s="259" t="str">
        <f>IFERROR(IF((N(AR164)+N(AR168)+N(AR170)+N(AR171)+N(AR178)+N(AR179)+N(AR180))&lt;&gt;0,(N(AR110)+(N(AR111)+N(AR115)+N(AR119)+N(AR120)+N(AR121)))/(N(AR164)+N(AR168)+N(AR170)+N(AR171)+N(AR178)+N(AR179)+N(AR180)),""),"")</f>
        <v/>
      </c>
      <c r="AS307" s="259" t="str">
        <f>IFERROR(IF((N(AS164)+N(AS168)+N(AS170)+N(AS171)+N(AS178)+N(AS179)+N(AS180))&lt;&gt;0,(N(AS110)+(N(AS111)+N(AS115)+N(AS119)+N(AS120)+N(AS121)))/(N(AS164)+N(AS168)+N(AS170)+N(AS171)+N(AS178)+N(AS179)+N(AS180)),""),"")</f>
        <v/>
      </c>
      <c r="AT307" s="259" t="str">
        <f>IFERROR(IF((N(AT164)+N(AT168)+N(AT170)+N(AT171)+N(AT178)+N(AT179)+N(AT180))&lt;&gt;0,(N(AT110)+(N(AT111)+N(AT115)+N(AT119)+N(AT120)+N(AT121)))/(N(AT164)+N(AT168)+N(AT170)+N(AT171)+N(AT178)+N(AT179)+N(AT180)),""),"")</f>
        <v/>
      </c>
      <c r="AU307" s="259" t="str">
        <f>IFERROR(IF((N(AU164)+N(AU168)+N(AU170)+N(AU171)+N(AU178)+N(AU179)+N(AU180))&lt;&gt;0,(N(AU110)+(N(AU111)+N(AU115)+N(AU119)+N(AU120)+N(AU121)))/(N(AU164)+N(AU168)+N(AU170)+N(AU171)+N(AU178)+N(AU179)+N(AU180)),""),"")</f>
        <v/>
      </c>
      <c r="AV307" s="259" t="str">
        <f>IFERROR(IF((N(AV164)+N(AV168)+N(AV170)+N(AV171)+N(AV178)+N(AV179)+N(AV180))&lt;&gt;0,(N(AV110)+(N(AV111)+N(AV115)+N(AV119)+N(AV120)+N(AV121)))/(N(AV164)+N(AV168)+N(AV170)+N(AV171)+N(AV178)+N(AV179)+N(AV180)),""),"")</f>
        <v/>
      </c>
      <c r="AW307" s="259" t="str">
        <f>IFERROR(IF((N(AW164)+N(AW168)+N(AW170)+N(AW171)+N(AW178)+N(AW179)+N(AW180))&lt;&gt;0,(N(AW110)+(N(AW111)+N(AW115)+N(AW119)+N(AW120)+N(AW121)))/(N(AW164)+N(AW168)+N(AW170)+N(AW171)+N(AW178)+N(AW179)+N(AW180)),""),"")</f>
        <v/>
      </c>
      <c r="AX307" s="259" t="str">
        <f>IFERROR(IF((N(AX164)+N(AX168)+N(AX170)+N(AX171)+N(AX178)+N(AX179)+N(AX180))&lt;&gt;0,(N(AX110)+(N(AX111)+N(AX115)+N(AX119)+N(AX120)+N(AX121)))/(N(AX164)+N(AX168)+N(AX170)+N(AX171)+N(AX178)+N(AX179)+N(AX180)),""),"")</f>
        <v/>
      </c>
      <c r="AY307" s="259" t="str">
        <f>IFERROR(IF((N(AY164)+N(AY168)+N(AY170)+N(AY171)+N(AY178)+N(AY179)+N(AY180))&lt;&gt;0,(N(AY110)+(N(AY111)+N(AY115)+N(AY119)+N(AY120)+N(AY121)))/(N(AY164)+N(AY168)+N(AY170)+N(AY171)+N(AY178)+N(AY179)+N(AY180)),""),"")</f>
        <v/>
      </c>
      <c r="AZ307" s="259" t="str">
        <f>IFERROR(IF((N(AZ164)+N(AZ168)+N(AZ170)+N(AZ171)+N(AZ178)+N(AZ179)+N(AZ180))&lt;&gt;0,(N(AZ110)+(N(AZ111)+N(AZ115)+N(AZ119)+N(AZ120)+N(AZ121)))/(N(AZ164)+N(AZ168)+N(AZ170)+N(AZ171)+N(AZ178)+N(AZ179)+N(AZ180)),""),"")</f>
        <v/>
      </c>
      <c r="BA307" s="259" t="str">
        <f>IFERROR(IF((N(BA164)+N(BA168)+N(BA170)+N(BA171)+N(BA178)+N(BA179)+N(BA180))&lt;&gt;0,(N(BA110)+(N(BA111)+N(BA115)+N(BA119)+N(BA120)+N(BA121)))/(N(BA164)+N(BA168)+N(BA170)+N(BA171)+N(BA178)+N(BA179)+N(BA180)),""),"")</f>
        <v/>
      </c>
      <c r="BB307" s="259" t="str">
        <f>IFERROR(IF((N(BB164)+N(BB168)+N(BB170)+N(BB171)+N(BB178)+N(BB179)+N(BB180))&lt;&gt;0,(N(BB110)+(N(BB111)+N(BB115)+N(BB119)+N(BB120)+N(BB121)))/(N(BB164)+N(BB168)+N(BB170)+N(BB171)+N(BB178)+N(BB179)+N(BB180)),""),"")</f>
        <v/>
      </c>
      <c r="BC307" s="259" t="str">
        <f>IFERROR(IF((N(BC164)+N(BC168)+N(BC170)+N(BC171)+N(BC178)+N(BC179)+N(BC180))&lt;&gt;0,(N(BC110)+(N(BC111)+N(BC115)+N(BC119)+N(BC120)+N(BC121)))/(N(BC164)+N(BC168)+N(BC170)+N(BC171)+N(BC178)+N(BC179)+N(BC180)),""),"")</f>
        <v/>
      </c>
      <c r="BD307" s="259" t="str">
        <f>IFERROR(IF((N(BD164)+N(BD168)+N(BD170)+N(BD171)+N(BD178)+N(BD179)+N(BD180))&lt;&gt;0,(N(BD110)+(N(BD111)+N(BD115)+N(BD119)+N(BD120)+N(BD121)))/(N(BD164)+N(BD168)+N(BD170)+N(BD171)+N(BD178)+N(BD179)+N(BD180)),""),"")</f>
        <v/>
      </c>
      <c r="BE307" s="259" t="str">
        <f>IFERROR(IF((N(BE164)+N(BE168)+N(BE170)+N(BE171)+N(BE178)+N(BE179)+N(BE180))&lt;&gt;0,(N(BE110)+(N(BE111)+N(BE115)+N(BE119)+N(BE120)+N(BE121)))/(N(BE164)+N(BE168)+N(BE170)+N(BE171)+N(BE178)+N(BE179)+N(BE180)),""),"")</f>
        <v/>
      </c>
      <c r="BF307" s="259" t="str">
        <f>IFERROR(IF((N(BF164)+N(BF168)+N(BF170)+N(BF171)+N(BF178)+N(BF179)+N(BF180))&lt;&gt;0,(N(BF110)+(N(BF111)+N(BF115)+N(BF119)+N(BF120)+N(BF121)))/(N(BF164)+N(BF168)+N(BF170)+N(BF171)+N(BF178)+N(BF179)+N(BF180)),""),"")</f>
        <v/>
      </c>
      <c r="BG307" s="82"/>
      <c r="BH307" s="82"/>
      <c r="BI307" s="82"/>
      <c r="BJ307" s="82"/>
      <c r="BL307" s="82"/>
      <c r="BM307" s="82"/>
      <c r="BN307" s="82"/>
      <c r="BO307" s="82"/>
      <c r="BQ307" s="82"/>
      <c r="BR307" s="82"/>
      <c r="BS307" s="82"/>
      <c r="BT307" s="82"/>
      <c r="BV307" s="82"/>
      <c r="BW307" s="82"/>
      <c r="BX307" s="82"/>
      <c r="BY307" s="82"/>
      <c r="CA307" s="82"/>
      <c r="CB307" s="82"/>
      <c r="CC307" s="82"/>
      <c r="CD307" s="82"/>
      <c r="CF307" s="82"/>
      <c r="CG307" s="82"/>
      <c r="CH307" s="82"/>
      <c r="CI307" s="82"/>
      <c r="CK307" s="82"/>
      <c r="CL307" s="82"/>
      <c r="CM307" s="82"/>
      <c r="CN307" s="82"/>
      <c r="CP307" s="82"/>
      <c r="CQ307" s="82"/>
      <c r="CR307" s="82"/>
      <c r="CS307" s="82"/>
      <c r="CU307" s="82"/>
      <c r="CV307" s="82"/>
      <c r="CW307" s="82"/>
      <c r="CX307" s="82"/>
    </row>
    <row r="308" spans="1:102" s="77" customFormat="1" x14ac:dyDescent="0.2">
      <c r="A308" s="76"/>
      <c r="B308" s="76"/>
      <c r="C308" s="77" t="s">
        <v>221</v>
      </c>
      <c r="D308" s="82" t="str">
        <f>IFERROR(SUM(D110)/SUM(D164,D168,D170,D171),"")</f>
        <v/>
      </c>
      <c r="E308" s="82" t="str">
        <f>IFERROR(SUM(E110)/SUM(E164,E168,E170,E171),"")</f>
        <v/>
      </c>
      <c r="F308" s="82" t="str">
        <f>IFERROR(SUM(F110)/SUM(F164,F168,F170,F171),"")</f>
        <v/>
      </c>
      <c r="G308" s="82" t="str">
        <f>IFERROR(SUM(G110)/SUM(G164,G168,G170,G171),"")</f>
        <v/>
      </c>
      <c r="H308" s="259" t="str">
        <f>IFERROR(IF((N(H164)+N(H168)+N(H170)+N(H171)+N(H178)+N(H179)+N(H180))&lt;&gt;0,N(H110)/(N(H164)+N(H168)+N(H170)+N(H171)+N(H178)+N(H179)+N(H180)),""),"")</f>
        <v/>
      </c>
      <c r="I308" s="259" t="str">
        <f>IFERROR(IF((N(I164)+N(I168)+N(I170)+N(I171)+N(I178)+N(I179)+N(I180))&lt;&gt;0,N(I110)/(N(I164)+N(I168)+N(I170)+N(I171)+N(I178)+N(I179)+N(I180)),""),"")</f>
        <v/>
      </c>
      <c r="J308" s="259" t="str">
        <f>IFERROR(IF((N(J164)+N(J168)+N(J170)+N(J171)+N(J178)+N(J179)+N(J180))&lt;&gt;0,N(J110)/(N(J164)+N(J168)+N(J170)+N(J171)+N(J178)+N(J179)+N(J180)),""),"")</f>
        <v/>
      </c>
      <c r="K308" s="259" t="str">
        <f>IFERROR(IF((N(K164)+N(K168)+N(K170)+N(K171)+N(K178)+N(K179)+N(K180))&lt;&gt;0,N(K110)/(N(K164)+N(K168)+N(K170)+N(K171)+N(K178)+N(K179)+N(K180)),""),"")</f>
        <v/>
      </c>
      <c r="L308" s="259" t="str">
        <f>IFERROR(IF((N(L164)+N(L168)+N(L170)+N(L171)+N(L178)+N(L179)+N(L180))&lt;&gt;0,N(L110)/(N(L164)+N(L168)+N(L170)+N(L171)+N(L178)+N(L179)+N(L180)),""),"")</f>
        <v/>
      </c>
      <c r="M308" s="259" t="str">
        <f>IFERROR(IF((N(M164)+N(M168)+N(M170)+N(M171)+N(M178)+N(M179)+N(M180))&lt;&gt;0,N(M110)/(N(M164)+N(M168)+N(M170)+N(M171)+N(M178)+N(M179)+N(M180)),""),"")</f>
        <v/>
      </c>
      <c r="N308" s="259" t="str">
        <f>IFERROR(IF((N(N164)+N(N168)+N(N170)+N(N171)+N(N178)+N(N179)+N(N180))&lt;&gt;0,N(N110)/(N(N164)+N(N168)+N(N170)+N(N171)+N(N178)+N(N179)+N(N180)),""),"")</f>
        <v/>
      </c>
      <c r="O308" s="259" t="str">
        <f>IFERROR(IF((N(O164)+N(O168)+N(O170)+N(O171)+N(O178)+N(O179)+N(O180))&lt;&gt;0,N(O110)/(N(O164)+N(O168)+N(O170)+N(O171)+N(O178)+N(O179)+N(O180)),""),"")</f>
        <v/>
      </c>
      <c r="P308" s="259" t="str">
        <f>IFERROR(IF((N(P164)+N(P168)+N(P170)+N(P171)+N(P178)+N(P179)+N(P180))&lt;&gt;0,N(P110)/(N(P164)+N(P168)+N(P170)+N(P171)+N(P178)+N(P179)+N(P180)),""),"")</f>
        <v/>
      </c>
      <c r="Q308" s="259" t="str">
        <f>IFERROR(IF((N(Q164)+N(Q168)+N(Q170)+N(Q171)+N(Q178)+N(Q179)+N(Q180))&lt;&gt;0,N(Q110)/(N(Q164)+N(Q168)+N(Q170)+N(Q171)+N(Q178)+N(Q179)+N(Q180)),""),"")</f>
        <v/>
      </c>
      <c r="R308" s="259" t="str">
        <f>IFERROR(IF((N(R164)+N(R168)+N(R170)+N(R171)+N(R178)+N(R179)+N(R180))&lt;&gt;0,N(R110)/(N(R164)+N(R168)+N(R170)+N(R171)+N(R178)+N(R179)+N(R180)),""),"")</f>
        <v/>
      </c>
      <c r="S308" s="259" t="str">
        <f>IFERROR(IF((N(S164)+N(S168)+N(S170)+N(S171)+N(S178)+N(S179)+N(S180))&lt;&gt;0,N(S110)/(N(S164)+N(S168)+N(S170)+N(S171)+N(S178)+N(S179)+N(S180)),""),"")</f>
        <v/>
      </c>
      <c r="T308" s="259" t="str">
        <f>IFERROR(IF((N(T164)+N(T168)+N(T170)+N(T171)+N(T178)+N(T179)+N(T180))&lt;&gt;0,N(T110)/(N(T164)+N(T168)+N(T170)+N(T171)+N(T178)+N(T179)+N(T180)),""),"")</f>
        <v/>
      </c>
      <c r="U308" s="259" t="str">
        <f>IFERROR(IF((N(U164)+N(U168)+N(U170)+N(U171)+N(U178)+N(U179)+N(U180))&lt;&gt;0,N(U110)/(N(U164)+N(U168)+N(U170)+N(U171)+N(U178)+N(U179)+N(U180)),""),"")</f>
        <v/>
      </c>
      <c r="V308" s="259" t="str">
        <f>IFERROR(IF((N(V164)+N(V168)+N(V170)+N(V171)+N(V178)+N(V179)+N(V180))&lt;&gt;0,N(V110)/(N(V164)+N(V168)+N(V170)+N(V171)+N(V178)+N(V179)+N(V180)),""),"")</f>
        <v/>
      </c>
      <c r="W308" s="259" t="str">
        <f>IFERROR(IF((N(W164)+N(W168)+N(W170)+N(W171)+N(W178)+N(W179)+N(W180))&lt;&gt;0,N(W110)/(N(W164)+N(W168)+N(W170)+N(W171)+N(W178)+N(W179)+N(W180)),""),"")</f>
        <v/>
      </c>
      <c r="X308" s="259" t="str">
        <f>IFERROR(IF((N(X164)+N(X168)+N(X170)+N(X171)+N(X178)+N(X179)+N(X180))&lt;&gt;0,N(X110)/(N(X164)+N(X168)+N(X170)+N(X171)+N(X178)+N(X179)+N(X180)),""),"")</f>
        <v/>
      </c>
      <c r="Y308" s="259" t="str">
        <f>IFERROR(IF((N(Y164)+N(Y168)+N(Y170)+N(Y171)+N(Y178)+N(Y179)+N(Y180))&lt;&gt;0,N(Y110)/(N(Y164)+N(Y168)+N(Y170)+N(Y171)+N(Y178)+N(Y179)+N(Y180)),""),"")</f>
        <v/>
      </c>
      <c r="Z308" s="259" t="str">
        <f>IFERROR(IF((N(Z164)+N(Z168)+N(Z170)+N(Z171)+N(Z178)+N(Z179)+N(Z180))&lt;&gt;0,N(Z110)/(N(Z164)+N(Z168)+N(Z170)+N(Z171)+N(Z178)+N(Z179)+N(Z180)),""),"")</f>
        <v/>
      </c>
      <c r="AA308" s="259" t="str">
        <f>IFERROR(IF((N(AA164)+N(AA168)+N(AA170)+N(AA171)+N(AA178)+N(AA179)+N(AA180))&lt;&gt;0,N(AA110)/(N(AA164)+N(AA168)+N(AA170)+N(AA171)+N(AA178)+N(AA179)+N(AA180)),""),"")</f>
        <v/>
      </c>
      <c r="AB308" s="259" t="str">
        <f>IFERROR(IF((N(AB164)+N(AB168)+N(AB170)+N(AB171)+N(AB178)+N(AB179)+N(AB180))&lt;&gt;0,N(AB110)/(N(AB164)+N(AB168)+N(AB170)+N(AB171)+N(AB178)+N(AB179)+N(AB180)),""),"")</f>
        <v/>
      </c>
      <c r="AC308" s="259" t="str">
        <f>IFERROR(IF((N(AC164)+N(AC168)+N(AC170)+N(AC171)+N(AC178)+N(AC179)+N(AC180))&lt;&gt;0,N(AC110)/(N(AC164)+N(AC168)+N(AC170)+N(AC171)+N(AC178)+N(AC179)+N(AC180)),""),"")</f>
        <v/>
      </c>
      <c r="AD308" s="259" t="str">
        <f>IFERROR(IF((N(AD164)+N(AD168)+N(AD170)+N(AD171)+N(AD178)+N(AD179)+N(AD180))&lt;&gt;0,N(AD110)/(N(AD164)+N(AD168)+N(AD170)+N(AD171)+N(AD178)+N(AD179)+N(AD180)),""),"")</f>
        <v/>
      </c>
      <c r="AE308" s="259" t="str">
        <f>IFERROR(IF((N(AE164)+N(AE168)+N(AE170)+N(AE171)+N(AE178)+N(AE179)+N(AE180))&lt;&gt;0,N(AE110)/(N(AE164)+N(AE168)+N(AE170)+N(AE171)+N(AE178)+N(AE179)+N(AE180)),""),"")</f>
        <v/>
      </c>
      <c r="AF308" s="259" t="str">
        <f>IFERROR(IF((N(AF164)+N(AF168)+N(AF170)+N(AF171)+N(AF178)+N(AF179)+N(AF180))&lt;&gt;0,N(AF110)/(N(AF164)+N(AF168)+N(AF170)+N(AF171)+N(AF178)+N(AF179)+N(AF180)),""),"")</f>
        <v/>
      </c>
      <c r="AG308" s="259" t="str">
        <f>IFERROR(IF((N(AG164)+N(AG168)+N(AG170)+N(AG171)+N(AG178)+N(AG179)+N(AG180))&lt;&gt;0,N(AG110)/(N(AG164)+N(AG168)+N(AG170)+N(AG171)+N(AG178)+N(AG179)+N(AG180)),""),"")</f>
        <v/>
      </c>
      <c r="AH308" s="259" t="str">
        <f>IFERROR(IF((N(AH164)+N(AH168)+N(AH170)+N(AH171)+N(AH178)+N(AH179)+N(AH180))&lt;&gt;0,N(AH110)/(N(AH164)+N(AH168)+N(AH170)+N(AH171)+N(AH178)+N(AH179)+N(AH180)),""),"")</f>
        <v/>
      </c>
      <c r="AI308" s="259" t="str">
        <f>IFERROR(IF((N(AI164)+N(AI168)+N(AI170)+N(AI171)+N(AI178)+N(AI179)+N(AI180))&lt;&gt;0,N(AI110)/(N(AI164)+N(AI168)+N(AI170)+N(AI171)+N(AI178)+N(AI179)+N(AI180)),""),"")</f>
        <v/>
      </c>
      <c r="AJ308" s="259" t="str">
        <f>IFERROR(IF((N(AJ164)+N(AJ168)+N(AJ170)+N(AJ171)+N(AJ178)+N(AJ179)+N(AJ180))&lt;&gt;0,N(AJ110)/(N(AJ164)+N(AJ168)+N(AJ170)+N(AJ171)+N(AJ178)+N(AJ179)+N(AJ180)),""),"")</f>
        <v/>
      </c>
      <c r="AK308" s="259" t="str">
        <f>IFERROR(IF((N(AK164)+N(AK168)+N(AK170)+N(AK171)+N(AK178)+N(AK179)+N(AK180))&lt;&gt;0,N(AK110)/(N(AK164)+N(AK168)+N(AK170)+N(AK171)+N(AK178)+N(AK179)+N(AK180)),""),"")</f>
        <v/>
      </c>
      <c r="AL308" s="259" t="str">
        <f>IFERROR(IF((N(AL164)+N(AL168)+N(AL170)+N(AL171)+N(AL178)+N(AL179)+N(AL180))&lt;&gt;0,N(AL110)/(N(AL164)+N(AL168)+N(AL170)+N(AL171)+N(AL178)+N(AL179)+N(AL180)),""),"")</f>
        <v/>
      </c>
      <c r="AM308" s="259" t="str">
        <f>IFERROR(IF((N(AM164)+N(AM168)+N(AM170)+N(AM171)+N(AM178)+N(AM179)+N(AM180))&lt;&gt;0,N(AM110)/(N(AM164)+N(AM168)+N(AM170)+N(AM171)+N(AM178)+N(AM179)+N(AM180)),""),"")</f>
        <v/>
      </c>
      <c r="AN308" s="259" t="str">
        <f>IFERROR(IF((N(AN164)+N(AN168)+N(AN170)+N(AN171)+N(AN178)+N(AN179)+N(AN180))&lt;&gt;0,N(AN110)/(N(AN164)+N(AN168)+N(AN170)+N(AN171)+N(AN178)+N(AN179)+N(AN180)),""),"")</f>
        <v/>
      </c>
      <c r="AO308" s="259" t="str">
        <f>IFERROR(IF((N(AO164)+N(AO168)+N(AO170)+N(AO171)+N(AO178)+N(AO179)+N(AO180))&lt;&gt;0,N(AO110)/(N(AO164)+N(AO168)+N(AO170)+N(AO171)+N(AO178)+N(AO179)+N(AO180)),""),"")</f>
        <v/>
      </c>
      <c r="AP308" s="259" t="str">
        <f>IFERROR(IF((N(AP164)+N(AP168)+N(AP170)+N(AP171)+N(AP178)+N(AP179)+N(AP180))&lt;&gt;0,N(AP110)/(N(AP164)+N(AP168)+N(AP170)+N(AP171)+N(AP178)+N(AP179)+N(AP180)),""),"")</f>
        <v/>
      </c>
      <c r="AQ308" s="259" t="str">
        <f>IFERROR(IF((N(AQ164)+N(AQ168)+N(AQ170)+N(AQ171)+N(AQ178)+N(AQ179)+N(AQ180))&lt;&gt;0,N(AQ110)/(N(AQ164)+N(AQ168)+N(AQ170)+N(AQ171)+N(AQ178)+N(AQ179)+N(AQ180)),""),"")</f>
        <v/>
      </c>
      <c r="AR308" s="259" t="str">
        <f>IFERROR(IF((N(AR164)+N(AR168)+N(AR170)+N(AR171)+N(AR178)+N(AR179)+N(AR180))&lt;&gt;0,N(AR110)/(N(AR164)+N(AR168)+N(AR170)+N(AR171)+N(AR178)+N(AR179)+N(AR180)),""),"")</f>
        <v/>
      </c>
      <c r="AS308" s="259" t="str">
        <f>IFERROR(IF((N(AS164)+N(AS168)+N(AS170)+N(AS171)+N(AS178)+N(AS179)+N(AS180))&lt;&gt;0,N(AS110)/(N(AS164)+N(AS168)+N(AS170)+N(AS171)+N(AS178)+N(AS179)+N(AS180)),""),"")</f>
        <v/>
      </c>
      <c r="AT308" s="259" t="str">
        <f>IFERROR(IF((N(AT164)+N(AT168)+N(AT170)+N(AT171)+N(AT178)+N(AT179)+N(AT180))&lt;&gt;0,N(AT110)/(N(AT164)+N(AT168)+N(AT170)+N(AT171)+N(AT178)+N(AT179)+N(AT180)),""),"")</f>
        <v/>
      </c>
      <c r="AU308" s="259" t="str">
        <f>IFERROR(IF((N(AU164)+N(AU168)+N(AU170)+N(AU171)+N(AU178)+N(AU179)+N(AU180))&lt;&gt;0,N(AU110)/(N(AU164)+N(AU168)+N(AU170)+N(AU171)+N(AU178)+N(AU179)+N(AU180)),""),"")</f>
        <v/>
      </c>
      <c r="AV308" s="259" t="str">
        <f>IFERROR(IF((N(AV164)+N(AV168)+N(AV170)+N(AV171)+N(AV178)+N(AV179)+N(AV180))&lt;&gt;0,N(AV110)/(N(AV164)+N(AV168)+N(AV170)+N(AV171)+N(AV178)+N(AV179)+N(AV180)),""),"")</f>
        <v/>
      </c>
      <c r="AW308" s="259" t="str">
        <f>IFERROR(IF((N(AW164)+N(AW168)+N(AW170)+N(AW171)+N(AW178)+N(AW179)+N(AW180))&lt;&gt;0,N(AW110)/(N(AW164)+N(AW168)+N(AW170)+N(AW171)+N(AW178)+N(AW179)+N(AW180)),""),"")</f>
        <v/>
      </c>
      <c r="AX308" s="259" t="str">
        <f>IFERROR(IF((N(AX164)+N(AX168)+N(AX170)+N(AX171)+N(AX178)+N(AX179)+N(AX180))&lt;&gt;0,N(AX110)/(N(AX164)+N(AX168)+N(AX170)+N(AX171)+N(AX178)+N(AX179)+N(AX180)),""),"")</f>
        <v/>
      </c>
      <c r="AY308" s="259" t="str">
        <f>IFERROR(IF((N(AY164)+N(AY168)+N(AY170)+N(AY171)+N(AY178)+N(AY179)+N(AY180))&lt;&gt;0,N(AY110)/(N(AY164)+N(AY168)+N(AY170)+N(AY171)+N(AY178)+N(AY179)+N(AY180)),""),"")</f>
        <v/>
      </c>
      <c r="AZ308" s="259" t="str">
        <f>IFERROR(IF((N(AZ164)+N(AZ168)+N(AZ170)+N(AZ171)+N(AZ178)+N(AZ179)+N(AZ180))&lt;&gt;0,N(AZ110)/(N(AZ164)+N(AZ168)+N(AZ170)+N(AZ171)+N(AZ178)+N(AZ179)+N(AZ180)),""),"")</f>
        <v/>
      </c>
      <c r="BA308" s="259" t="str">
        <f>IFERROR(IF((N(BA164)+N(BA168)+N(BA170)+N(BA171)+N(BA178)+N(BA179)+N(BA180))&lt;&gt;0,N(BA110)/(N(BA164)+N(BA168)+N(BA170)+N(BA171)+N(BA178)+N(BA179)+N(BA180)),""),"")</f>
        <v/>
      </c>
      <c r="BB308" s="259" t="str">
        <f>IFERROR(IF((N(BB164)+N(BB168)+N(BB170)+N(BB171)+N(BB178)+N(BB179)+N(BB180))&lt;&gt;0,N(BB110)/(N(BB164)+N(BB168)+N(BB170)+N(BB171)+N(BB178)+N(BB179)+N(BB180)),""),"")</f>
        <v/>
      </c>
      <c r="BC308" s="259" t="str">
        <f>IFERROR(IF((N(BC164)+N(BC168)+N(BC170)+N(BC171)+N(BC178)+N(BC179)+N(BC180))&lt;&gt;0,N(BC110)/(N(BC164)+N(BC168)+N(BC170)+N(BC171)+N(BC178)+N(BC179)+N(BC180)),""),"")</f>
        <v/>
      </c>
      <c r="BD308" s="259" t="str">
        <f>IFERROR(IF((N(BD164)+N(BD168)+N(BD170)+N(BD171)+N(BD178)+N(BD179)+N(BD180))&lt;&gt;0,N(BD110)/(N(BD164)+N(BD168)+N(BD170)+N(BD171)+N(BD178)+N(BD179)+N(BD180)),""),"")</f>
        <v/>
      </c>
      <c r="BE308" s="259" t="str">
        <f>IFERROR(IF((N(BE164)+N(BE168)+N(BE170)+N(BE171)+N(BE178)+N(BE179)+N(BE180))&lt;&gt;0,N(BE110)/(N(BE164)+N(BE168)+N(BE170)+N(BE171)+N(BE178)+N(BE179)+N(BE180)),""),"")</f>
        <v/>
      </c>
      <c r="BF308" s="259" t="str">
        <f>IFERROR(IF((N(BF164)+N(BF168)+N(BF170)+N(BF171)+N(BF178)+N(BF179)+N(BF180))&lt;&gt;0,N(BF110)/(N(BF164)+N(BF168)+N(BF170)+N(BF171)+N(BF178)+N(BF179)+N(BF180)),""),"")</f>
        <v/>
      </c>
      <c r="BG308" s="82"/>
      <c r="BH308" s="82"/>
      <c r="BI308" s="82"/>
      <c r="BJ308" s="82"/>
      <c r="BL308" s="82"/>
      <c r="BM308" s="82"/>
      <c r="BN308" s="82"/>
      <c r="BO308" s="82"/>
      <c r="BQ308" s="82"/>
      <c r="BR308" s="82"/>
      <c r="BS308" s="82"/>
      <c r="BT308" s="82"/>
      <c r="BV308" s="82"/>
      <c r="BW308" s="82"/>
      <c r="BX308" s="82"/>
      <c r="BY308" s="82"/>
      <c r="CA308" s="82"/>
      <c r="CB308" s="82"/>
      <c r="CC308" s="82"/>
      <c r="CD308" s="82"/>
      <c r="CF308" s="82"/>
      <c r="CG308" s="82"/>
      <c r="CH308" s="82"/>
      <c r="CI308" s="82"/>
      <c r="CK308" s="82"/>
      <c r="CL308" s="82"/>
      <c r="CM308" s="82"/>
      <c r="CN308" s="82"/>
      <c r="CP308" s="82"/>
      <c r="CQ308" s="82"/>
      <c r="CR308" s="82"/>
      <c r="CS308" s="82"/>
      <c r="CU308" s="82"/>
      <c r="CV308" s="82"/>
      <c r="CW308" s="82"/>
      <c r="CX308" s="82"/>
    </row>
    <row r="309" spans="1:102" s="77" customFormat="1" x14ac:dyDescent="0.2">
      <c r="A309" s="76"/>
      <c r="B309" s="76"/>
    </row>
    <row r="310" spans="1:102" s="77" customFormat="1" x14ac:dyDescent="0.2">
      <c r="A310" s="76"/>
      <c r="B310" s="76"/>
      <c r="C310" s="74" t="s">
        <v>222</v>
      </c>
    </row>
    <row r="311" spans="1:102" s="84" customFormat="1" x14ac:dyDescent="0.2">
      <c r="A311" s="81"/>
      <c r="B311" s="81"/>
      <c r="C311" s="84" t="s">
        <v>389</v>
      </c>
      <c r="D311" t="str">
        <f>IFERROR(D313/D316,"")</f>
        <v/>
      </c>
      <c r="E311" t="str">
        <f>IFERROR(E313/E316,"")</f>
        <v/>
      </c>
      <c r="F311" t="str">
        <f>IFERROR(F313/F316,"")</f>
        <v/>
      </c>
      <c r="G311" t="str">
        <f>IFERROR(G313/G316,"")</f>
        <v/>
      </c>
      <c r="H311" s="257" t="str">
        <f>IFERROR(IF(AND(COUNT(H313)=1,N(H316)&lt;&gt;0),(H313)/H316,""),"")</f>
        <v/>
      </c>
      <c r="I311" s="257" t="str">
        <f>""</f>
        <v/>
      </c>
      <c r="J311" s="257" t="str">
        <f>""</f>
        <v/>
      </c>
      <c r="K311" s="257" t="str">
        <f>""</f>
        <v/>
      </c>
      <c r="L311" s="257" t="str">
        <f>IFERROR(IF(AND(COUNT(I313,J313,K313,L313)=4,N(L316)&lt;&gt;0),(I313+J313+K313+L313)/L316,""),"")</f>
        <v/>
      </c>
      <c r="M311" s="257" t="str">
        <f>IFERROR(IF(AND(COUNT(I313,J313,K313,L313)=4,N(M316)&lt;&gt;0),(I313+J313+K313+L313)/M316,""),"")</f>
        <v/>
      </c>
      <c r="N311" s="257" t="str">
        <f>IFERROR(IF(AND(COUNT(J313,K313,L313,N313)=4,N(N316)&lt;&gt;0),(J313+K313+L313+N313)/N316,""),"")</f>
        <v/>
      </c>
      <c r="O311" s="257" t="str">
        <f>IFERROR(IF(AND(COUNT(K313,L313,N313,O313)=4,N(O316)&lt;&gt;0),(K313+L313+N313+O313)/O316,""),"")</f>
        <v/>
      </c>
      <c r="P311" s="257" t="str">
        <f>IFERROR(IF(AND(COUNT(L313,N313,O313,P313)=4,N(P316)&lt;&gt;0),(L313+N313+O313+P313)/P316,""),"")</f>
        <v/>
      </c>
      <c r="Q311" s="257" t="str">
        <f>IFERROR(IF(AND(COUNT(N313,O313,P313,Q313)=4,N(Q316)&lt;&gt;0),(N313+O313+P313+Q313)/Q316,""),"")</f>
        <v/>
      </c>
      <c r="R311" s="257" t="str">
        <f>IFERROR(IF(AND(COUNT(N313,O313,P313,Q313)=4,N(R316)&lt;&gt;0),(N313+O313+P313+Q313)/R316,""),"")</f>
        <v/>
      </c>
      <c r="S311" s="257" t="str">
        <f>IFERROR(IF(AND(COUNT(O313,P313,Q313,S313)=4,N(S316)&lt;&gt;0),(O313+P313+Q313+S313)/S316,""),"")</f>
        <v/>
      </c>
      <c r="T311" s="257" t="str">
        <f>IFERROR(IF(AND(COUNT(P313,Q313,S313,T313)=4,N(T316)&lt;&gt;0),(P313+Q313+S313+T313)/T316,""),"")</f>
        <v/>
      </c>
      <c r="U311" s="257" t="str">
        <f>IFERROR(IF(AND(COUNT(Q313,S313,T313,U313)=4,N(U316)&lt;&gt;0),(Q313+S313+T313+U313)/U316,""),"")</f>
        <v/>
      </c>
      <c r="V311" s="257" t="str">
        <f>IFERROR(IF(AND(COUNT(S313,T313,U313,V313)=4,N(V316)&lt;&gt;0),(S313+T313+U313+V313)/V316,""),"")</f>
        <v/>
      </c>
      <c r="W311" s="257" t="str">
        <f>IFERROR(IF(AND(COUNT(S313,T313,U313,V313)=4,N(W316)&lt;&gt;0),(S313+T313+U313+V313)/W316,""),"")</f>
        <v/>
      </c>
      <c r="X311" s="257" t="str">
        <f>IFERROR(IF(AND(COUNT(T313,U313,V313,X313)=4,N(X316)&lt;&gt;0),(T313+U313+V313+X313)/X316,""),"")</f>
        <v/>
      </c>
      <c r="Y311" s="257" t="str">
        <f>IFERROR(IF(AND(COUNT(U313,V313,X313,Y313)=4,N(Y316)&lt;&gt;0),(U313+V313+X313+Y313)/Y316,""),"")</f>
        <v/>
      </c>
      <c r="Z311" s="257" t="str">
        <f>IFERROR(IF(AND(COUNT(V313,X313,Y313,Z313)=4,N(Z316)&lt;&gt;0),(V313+X313+Y313+Z313)/Z316,""),"")</f>
        <v/>
      </c>
      <c r="AA311" s="257" t="str">
        <f>IFERROR(IF(AND(COUNT(X313,Y313,Z313,AA313)=4,N(AA316)&lt;&gt;0),(X313+Y313+Z313+AA313)/AA316,""),"")</f>
        <v/>
      </c>
      <c r="AB311" s="257" t="str">
        <f>IFERROR(IF(AND(COUNT(X313,Y313,Z313,AA313)=4,N(AB316)&lt;&gt;0),(X313+Y313+Z313+AA313)/AB316,""),"")</f>
        <v/>
      </c>
      <c r="AC311" s="257" t="str">
        <f>IFERROR(IF(AND(COUNT(Y313,Z313,AA313,AC313)=4,N(AC316)&lt;&gt;0),(Y313+Z313+AA313+AC313)/AC316,""),"")</f>
        <v/>
      </c>
      <c r="AD311" s="257" t="str">
        <f>IFERROR(IF(AND(COUNT(Z313,AA313,AC313,AD313)=4,N(AD316)&lt;&gt;0),(Z313+AA313+AC313+AD313)/AD316,""),"")</f>
        <v/>
      </c>
      <c r="AE311" s="257" t="str">
        <f>IFERROR(IF(AND(COUNT(AA313,AC313,AD313,AE313)=4,N(AE316)&lt;&gt;0),(AA313+AC313+AD313+AE313)/AE316,""),"")</f>
        <v/>
      </c>
      <c r="AF311" s="257" t="str">
        <f>IFERROR(IF(AND(COUNT(AC313,AD313,AE313,AF313)=4,N(AF316)&lt;&gt;0),(AC313+AD313+AE313+AF313)/AF316,""),"")</f>
        <v/>
      </c>
      <c r="AG311" s="257" t="str">
        <f>IFERROR(IF(AND(COUNT(AC313,AD313,AE313,AF313)=4,N(AG316)&lt;&gt;0),(AC313+AD313+AE313+AF313)/AG316,""),"")</f>
        <v/>
      </c>
      <c r="AH311" s="257" t="str">
        <f>IFERROR(IF(AND(COUNT(AD313,AE313,AF313,AH313)=4,N(AH316)&lt;&gt;0),(AD313+AE313+AF313+AH313)/AH316,""),"")</f>
        <v/>
      </c>
      <c r="AI311" s="257" t="str">
        <f>IFERROR(IF(AND(COUNT(AE313,AF313,AH313,AI313)=4,N(AI316)&lt;&gt;0),(AE313+AF313+AH313+AI313)/AI316,""),"")</f>
        <v/>
      </c>
      <c r="AJ311" s="257" t="str">
        <f>IFERROR(IF(AND(COUNT(AF313,AH313,AI313,AJ313)=4,N(AJ316)&lt;&gt;0),(AF313+AH313+AI313+AJ313)/AJ316,""),"")</f>
        <v/>
      </c>
      <c r="AK311" s="257" t="str">
        <f>IFERROR(IF(AND(COUNT(AH313,AI313,AJ313,AK313)=4,N(AK316)&lt;&gt;0),(AH313+AI313+AJ313+AK313)/AK316,""),"")</f>
        <v/>
      </c>
      <c r="AL311" s="257" t="str">
        <f>IFERROR(IF(AND(COUNT(AH313,AI313,AJ313,AK313)=4,N(AL316)&lt;&gt;0),(AH313+AI313+AJ313+AK313)/AL316,""),"")</f>
        <v/>
      </c>
      <c r="AM311" s="257" t="str">
        <f>IFERROR(IF(AND(COUNT(AI313,AJ313,AK313,AM313)=4,N(AM316)&lt;&gt;0),(AI313+AJ313+AK313+AM313)/AM316,""),"")</f>
        <v/>
      </c>
      <c r="AN311" s="257" t="str">
        <f>IFERROR(IF(AND(COUNT(AJ313,AK313,AM313,AN313)=4,N(AN316)&lt;&gt;0),(AJ313+AK313+AM313+AN313)/AN316,""),"")</f>
        <v/>
      </c>
      <c r="AO311" s="257" t="str">
        <f>IFERROR(IF(AND(COUNT(AK313,AM313,AN313,AO313)=4,N(AO316)&lt;&gt;0),(AK313+AM313+AN313+AO313)/AO316,""),"")</f>
        <v/>
      </c>
      <c r="AP311" s="257" t="str">
        <f>IFERROR(IF(AND(COUNT(AM313,AN313,AO313,AP313)=4,N(AP316)&lt;&gt;0),(AM313+AN313+AO313+AP313)/AP316,""),"")</f>
        <v/>
      </c>
      <c r="AQ311" s="257" t="str">
        <f>IFERROR(IF(AND(COUNT(AM313,AN313,AO313,AP313)=4,N(AQ316)&lt;&gt;0),(AM313+AN313+AO313+AP313)/AQ316,""),"")</f>
        <v/>
      </c>
      <c r="AR311" s="257" t="str">
        <f>IFERROR(IF(AND(COUNT(AN313,AO313,AP313,AR313)=4,N(AR316)&lt;&gt;0),(AN313+AO313+AP313+AR313)/AR316,""),"")</f>
        <v/>
      </c>
      <c r="AS311" s="257" t="str">
        <f>IFERROR(IF(AND(COUNT(AO313,AP313,AR313,AS313)=4,N(AS316)&lt;&gt;0),(AO313+AP313+AR313+AS313)/AS316,""),"")</f>
        <v/>
      </c>
      <c r="AT311" s="257" t="str">
        <f>IFERROR(IF(AND(COUNT(AP313,AR313,AS313,AT313)=4,N(AT316)&lt;&gt;0),(AP313+AR313+AS313+AT313)/AT316,""),"")</f>
        <v/>
      </c>
      <c r="AU311" s="257" t="str">
        <f>IFERROR(IF(AND(COUNT(AR313,AS313,AT313,AU313)=4,N(AU316)&lt;&gt;0),(AR313+AS313+AT313+AU313)/AU316,""),"")</f>
        <v/>
      </c>
      <c r="AV311" s="257" t="str">
        <f>IFERROR(IF(AND(COUNT(AR313,AS313,AT313,AU313)=4,N(AV316)&lt;&gt;0),(AR313+AS313+AT313+AU313)/AV316,""),"")</f>
        <v/>
      </c>
      <c r="AW311" s="257" t="str">
        <f>IFERROR(IF(AND(COUNT(AS313,AT313,AU313,AW313)=4,N(AW316)&lt;&gt;0),(AS313+AT313+AU313+AW313)/AW316,""),"")</f>
        <v/>
      </c>
      <c r="AX311" s="257" t="str">
        <f>IFERROR(IF(AND(COUNT(AT313,AU313,AW313,AX313)=4,N(AX316)&lt;&gt;0),(AT313+AU313+AW313+AX313)/AX316,""),"")</f>
        <v/>
      </c>
      <c r="AY311" s="257" t="str">
        <f>IFERROR(IF(AND(COUNT(AU313,AW313,AX313,AY313)=4,N(AY316)&lt;&gt;0),(AU313+AW313+AX313+AY313)/AY316,""),"")</f>
        <v/>
      </c>
      <c r="AZ311" s="257" t="str">
        <f>IFERROR(IF(AND(COUNT(AW313,AX313,AY313,AZ313)=4,N(AZ316)&lt;&gt;0),(AW313+AX313+AY313+AZ313)/AZ316,""),"")</f>
        <v/>
      </c>
      <c r="BA311" s="257" t="str">
        <f>IFERROR(IF(AND(COUNT(AW313,AX313,AY313,AZ313)=4,N(BA316)&lt;&gt;0),(AW313+AX313+AY313+AZ313)/BA316,""),"")</f>
        <v/>
      </c>
      <c r="BB311" s="257" t="str">
        <f>IFERROR(IF(AND(COUNT(AX313,AY313,AZ313,BB313)=4,N(BB316)&lt;&gt;0),(AX313+AY313+AZ313+BB313)/BB316,""),"")</f>
        <v/>
      </c>
      <c r="BC311" s="257" t="str">
        <f>IFERROR(IF(AND(COUNT(AY313,AZ313,BB313,BC313)=4,N(BC316)&lt;&gt;0),(AY313+AZ313+BB313+BC313)/BC316,""),"")</f>
        <v/>
      </c>
      <c r="BD311" s="257" t="str">
        <f>IFERROR(IF(AND(COUNT(AZ313,BB313,BC313,BD313)=4,N(BD316)&lt;&gt;0),(AZ313+BB313+BC313+BD313)/BD316,""),"")</f>
        <v/>
      </c>
      <c r="BE311" s="257" t="str">
        <f>IFERROR(IF(AND(COUNT(BB313,BC313,BD313,BE313)=4,N(BE316)&lt;&gt;0),(BB313+BC313+BD313+BE313)/BE316,""),"")</f>
        <v/>
      </c>
      <c r="BF311" s="257" t="str">
        <f>IFERROR(IF(AND(COUNT(BB313,BC313,BD313,BE313)=4,N(BF316)&lt;&gt;0),(BB313+BC313+BD313+BE313)/BF316,""),"")</f>
        <v/>
      </c>
      <c r="BG311" s="81"/>
      <c r="BH311" s="81"/>
      <c r="BI311" s="81"/>
      <c r="BJ311" s="81"/>
      <c r="BL311" s="81"/>
      <c r="BM311" s="81"/>
      <c r="BN311" s="81"/>
      <c r="BO311" s="81"/>
      <c r="BQ311" s="81"/>
      <c r="BR311" s="81"/>
      <c r="BS311" s="81"/>
      <c r="BT311" s="81"/>
      <c r="BV311" s="81"/>
      <c r="BW311" s="81"/>
      <c r="BX311" s="81"/>
      <c r="BY311" s="81"/>
      <c r="CA311" s="81"/>
      <c r="CB311" s="81"/>
      <c r="CC311" s="81"/>
      <c r="CD311" s="81"/>
      <c r="CF311" s="81"/>
      <c r="CG311" s="81"/>
      <c r="CH311" s="81"/>
      <c r="CI311" s="81"/>
      <c r="CK311" s="81"/>
      <c r="CL311" s="81"/>
      <c r="CM311" s="81"/>
      <c r="CN311" s="81"/>
      <c r="CP311" s="81"/>
      <c r="CQ311" s="81"/>
      <c r="CR311" s="81"/>
      <c r="CS311" s="81"/>
      <c r="CU311" s="81"/>
      <c r="CV311" s="81"/>
      <c r="CW311" s="81"/>
      <c r="CX311" s="81"/>
    </row>
    <row r="312" spans="1:102" s="84" customFormat="1" x14ac:dyDescent="0.2">
      <c r="A312" s="81"/>
      <c r="B312" s="81"/>
      <c r="C312" s="84" t="s">
        <v>390</v>
      </c>
      <c r="D312" t="str">
        <f>IFERROR(D313/D317,"")</f>
        <v/>
      </c>
      <c r="E312" t="str">
        <f>IFERROR(E313/E317,"")</f>
        <v/>
      </c>
      <c r="F312" t="str">
        <f>IFERROR(F313/F317,"")</f>
        <v/>
      </c>
      <c r="G312" t="str">
        <f>IFERROR(G313/G317,"")</f>
        <v/>
      </c>
      <c r="H312" s="257" t="str">
        <f>IFERROR(IF(AND(COUNT(H313)=1,N(H317)&lt;&gt;0),(H313)/H317,""),"")</f>
        <v/>
      </c>
      <c r="I312" s="257" t="str">
        <f>""</f>
        <v/>
      </c>
      <c r="J312" s="257" t="str">
        <f>""</f>
        <v/>
      </c>
      <c r="K312" s="257" t="str">
        <f>""</f>
        <v/>
      </c>
      <c r="L312" s="257" t="str">
        <f>IFERROR(IF(AND(COUNT(I313,J313,K313,L313)=4,N(L317)&lt;&gt;0),(I313+J313+K313+L313)/L317,""),"")</f>
        <v/>
      </c>
      <c r="M312" s="257" t="str">
        <f>IFERROR(IF(AND(COUNT(I313,J313,K313,L313)=4,N(M317)&lt;&gt;0),(I313+J313+K313+L313)/M317,""),"")</f>
        <v/>
      </c>
      <c r="N312" s="257" t="str">
        <f>IFERROR(IF(AND(COUNT(J313,K313,L313,N313)=4,N(N317)&lt;&gt;0),(J313+K313+L313+N313)/N317,""),"")</f>
        <v/>
      </c>
      <c r="O312" s="257" t="str">
        <f>IFERROR(IF(AND(COUNT(K313,L313,N313,O313)=4,N(O317)&lt;&gt;0),(K313+L313+N313+O313)/O317,""),"")</f>
        <v/>
      </c>
      <c r="P312" s="257" t="str">
        <f>IFERROR(IF(AND(COUNT(L313,N313,O313,P313)=4,N(P317)&lt;&gt;0),(L313+N313+O313+P313)/P317,""),"")</f>
        <v/>
      </c>
      <c r="Q312" s="257" t="str">
        <f>IFERROR(IF(AND(COUNT(N313,O313,P313,Q313)=4,N(Q317)&lt;&gt;0),(N313+O313+P313+Q313)/Q317,""),"")</f>
        <v/>
      </c>
      <c r="R312" s="257" t="str">
        <f>IFERROR(IF(AND(COUNT(N313,O313,P313,Q313)=4,N(R317)&lt;&gt;0),(N313+O313+P313+Q313)/R317,""),"")</f>
        <v/>
      </c>
      <c r="S312" s="257" t="str">
        <f>IFERROR(IF(AND(COUNT(O313,P313,Q313,S313)=4,N(S317)&lt;&gt;0),(O313+P313+Q313+S313)/S317,""),"")</f>
        <v/>
      </c>
      <c r="T312" s="257" t="str">
        <f>IFERROR(IF(AND(COUNT(P313,Q313,S313,T313)=4,N(T317)&lt;&gt;0),(P313+Q313+S313+T313)/T317,""),"")</f>
        <v/>
      </c>
      <c r="U312" s="257" t="str">
        <f>IFERROR(IF(AND(COUNT(Q313,S313,T313,U313)=4,N(U317)&lt;&gt;0),(Q313+S313+T313+U313)/U317,""),"")</f>
        <v/>
      </c>
      <c r="V312" s="257" t="str">
        <f>IFERROR(IF(AND(COUNT(S313,T313,U313,V313)=4,N(V317)&lt;&gt;0),(S313+T313+U313+V313)/V317,""),"")</f>
        <v/>
      </c>
      <c r="W312" s="257" t="str">
        <f>IFERROR(IF(AND(COUNT(S313,T313,U313,V313)=4,N(W317)&lt;&gt;0),(S313+T313+U313+V313)/W317,""),"")</f>
        <v/>
      </c>
      <c r="X312" s="257" t="str">
        <f>IFERROR(IF(AND(COUNT(T313,U313,V313,X313)=4,N(X317)&lt;&gt;0),(T313+U313+V313+X313)/X317,""),"")</f>
        <v/>
      </c>
      <c r="Y312" s="257" t="str">
        <f>IFERROR(IF(AND(COUNT(U313,V313,X313,Y313)=4,N(Y317)&lt;&gt;0),(U313+V313+X313+Y313)/Y317,""),"")</f>
        <v/>
      </c>
      <c r="Z312" s="257" t="str">
        <f>IFERROR(IF(AND(COUNT(V313,X313,Y313,Z313)=4,N(Z317)&lt;&gt;0),(V313+X313+Y313+Z313)/Z317,""),"")</f>
        <v/>
      </c>
      <c r="AA312" s="257" t="str">
        <f>IFERROR(IF(AND(COUNT(X313,Y313,Z313,AA313)=4,N(AA317)&lt;&gt;0),(X313+Y313+Z313+AA313)/AA317,""),"")</f>
        <v/>
      </c>
      <c r="AB312" s="257" t="str">
        <f>IFERROR(IF(AND(COUNT(X313,Y313,Z313,AA313)=4,N(AB317)&lt;&gt;0),(X313+Y313+Z313+AA313)/AB317,""),"")</f>
        <v/>
      </c>
      <c r="AC312" s="257" t="str">
        <f>IFERROR(IF(AND(COUNT(Y313,Z313,AA313,AC313)=4,N(AC317)&lt;&gt;0),(Y313+Z313+AA313+AC313)/AC317,""),"")</f>
        <v/>
      </c>
      <c r="AD312" s="257" t="str">
        <f>IFERROR(IF(AND(COUNT(Z313,AA313,AC313,AD313)=4,N(AD317)&lt;&gt;0),(Z313+AA313+AC313+AD313)/AD317,""),"")</f>
        <v/>
      </c>
      <c r="AE312" s="257" t="str">
        <f>IFERROR(IF(AND(COUNT(AA313,AC313,AD313,AE313)=4,N(AE317)&lt;&gt;0),(AA313+AC313+AD313+AE313)/AE317,""),"")</f>
        <v/>
      </c>
      <c r="AF312" s="257" t="str">
        <f>IFERROR(IF(AND(COUNT(AC313,AD313,AE313,AF313)=4,N(AF317)&lt;&gt;0),(AC313+AD313+AE313+AF313)/AF317,""),"")</f>
        <v/>
      </c>
      <c r="AG312" s="257" t="str">
        <f>IFERROR(IF(AND(COUNT(AC313,AD313,AE313,AF313)=4,N(AG317)&lt;&gt;0),(AC313+AD313+AE313+AF313)/AG317,""),"")</f>
        <v/>
      </c>
      <c r="AH312" s="257" t="str">
        <f>IFERROR(IF(AND(COUNT(AD313,AE313,AF313,AH313)=4,N(AH317)&lt;&gt;0),(AD313+AE313+AF313+AH313)/AH317,""),"")</f>
        <v/>
      </c>
      <c r="AI312" s="257" t="str">
        <f>IFERROR(IF(AND(COUNT(AE313,AF313,AH313,AI313)=4,N(AI317)&lt;&gt;0),(AE313+AF313+AH313+AI313)/AI317,""),"")</f>
        <v/>
      </c>
      <c r="AJ312" s="257" t="str">
        <f>IFERROR(IF(AND(COUNT(AF313,AH313,AI313,AJ313)=4,N(AJ317)&lt;&gt;0),(AF313+AH313+AI313+AJ313)/AJ317,""),"")</f>
        <v/>
      </c>
      <c r="AK312" s="257" t="str">
        <f>IFERROR(IF(AND(COUNT(AH313,AI313,AJ313,AK313)=4,N(AK317)&lt;&gt;0),(AH313+AI313+AJ313+AK313)/AK317,""),"")</f>
        <v/>
      </c>
      <c r="AL312" s="257" t="str">
        <f>IFERROR(IF(AND(COUNT(AH313,AI313,AJ313,AK313)=4,N(AL317)&lt;&gt;0),(AH313+AI313+AJ313+AK313)/AL317,""),"")</f>
        <v/>
      </c>
      <c r="AM312" s="257" t="str">
        <f>IFERROR(IF(AND(COUNT(AI313,AJ313,AK313,AM313)=4,N(AM317)&lt;&gt;0),(AI313+AJ313+AK313+AM313)/AM317,""),"")</f>
        <v/>
      </c>
      <c r="AN312" s="257" t="str">
        <f>IFERROR(IF(AND(COUNT(AJ313,AK313,AM313,AN313)=4,N(AN317)&lt;&gt;0),(AJ313+AK313+AM313+AN313)/AN317,""),"")</f>
        <v/>
      </c>
      <c r="AO312" s="257" t="str">
        <f>IFERROR(IF(AND(COUNT(AK313,AM313,AN313,AO313)=4,N(AO317)&lt;&gt;0),(AK313+AM313+AN313+AO313)/AO317,""),"")</f>
        <v/>
      </c>
      <c r="AP312" s="257" t="str">
        <f>IFERROR(IF(AND(COUNT(AM313,AN313,AO313,AP313)=4,N(AP317)&lt;&gt;0),(AM313+AN313+AO313+AP313)/AP317,""),"")</f>
        <v/>
      </c>
      <c r="AQ312" s="257" t="str">
        <f>IFERROR(IF(AND(COUNT(AM313,AN313,AO313,AP313)=4,N(AQ317)&lt;&gt;0),(AM313+AN313+AO313+AP313)/AQ317,""),"")</f>
        <v/>
      </c>
      <c r="AR312" s="257" t="str">
        <f>IFERROR(IF(AND(COUNT(AN313,AO313,AP313,AR313)=4,N(AR317)&lt;&gt;0),(AN313+AO313+AP313+AR313)/AR317,""),"")</f>
        <v/>
      </c>
      <c r="AS312" s="257" t="str">
        <f>IFERROR(IF(AND(COUNT(AO313,AP313,AR313,AS313)=4,N(AS317)&lt;&gt;0),(AO313+AP313+AR313+AS313)/AS317,""),"")</f>
        <v/>
      </c>
      <c r="AT312" s="257" t="str">
        <f>IFERROR(IF(AND(COUNT(AP313,AR313,AS313,AT313)=4,N(AT317)&lt;&gt;0),(AP313+AR313+AS313+AT313)/AT317,""),"")</f>
        <v/>
      </c>
      <c r="AU312" s="257" t="str">
        <f>IFERROR(IF(AND(COUNT(AR313,AS313,AT313,AU313)=4,N(AU317)&lt;&gt;0),(AR313+AS313+AT313+AU313)/AU317,""),"")</f>
        <v/>
      </c>
      <c r="AV312" s="257" t="str">
        <f>IFERROR(IF(AND(COUNT(AR313,AS313,AT313,AU313)=4,N(AV317)&lt;&gt;0),(AR313+AS313+AT313+AU313)/AV317,""),"")</f>
        <v/>
      </c>
      <c r="AW312" s="257" t="str">
        <f>IFERROR(IF(AND(COUNT(AS313,AT313,AU313,AW313)=4,N(AW317)&lt;&gt;0),(AS313+AT313+AU313+AW313)/AW317,""),"")</f>
        <v/>
      </c>
      <c r="AX312" s="257" t="str">
        <f>IFERROR(IF(AND(COUNT(AT313,AU313,AW313,AX313)=4,N(AX317)&lt;&gt;0),(AT313+AU313+AW313+AX313)/AX317,""),"")</f>
        <v/>
      </c>
      <c r="AY312" s="257" t="str">
        <f>IFERROR(IF(AND(COUNT(AU313,AW313,AX313,AY313)=4,N(AY317)&lt;&gt;0),(AU313+AW313+AX313+AY313)/AY317,""),"")</f>
        <v/>
      </c>
      <c r="AZ312" s="257" t="str">
        <f>IFERROR(IF(AND(COUNT(AW313,AX313,AY313,AZ313)=4,N(AZ317)&lt;&gt;0),(AW313+AX313+AY313+AZ313)/AZ317,""),"")</f>
        <v/>
      </c>
      <c r="BA312" s="257" t="str">
        <f>IFERROR(IF(AND(COUNT(AW313,AX313,AY313,AZ313)=4,N(BA317)&lt;&gt;0),(AW313+AX313+AY313+AZ313)/BA317,""),"")</f>
        <v/>
      </c>
      <c r="BB312" s="257" t="str">
        <f>IFERROR(IF(AND(COUNT(AX313,AY313,AZ313,BB313)=4,N(BB317)&lt;&gt;0),(AX313+AY313+AZ313+BB313)/BB317,""),"")</f>
        <v/>
      </c>
      <c r="BC312" s="257" t="str">
        <f>IFERROR(IF(AND(COUNT(AY313,AZ313,BB313,BC313)=4,N(BC317)&lt;&gt;0),(AY313+AZ313+BB313+BC313)/BC317,""),"")</f>
        <v/>
      </c>
      <c r="BD312" s="257" t="str">
        <f>IFERROR(IF(AND(COUNT(AZ313,BB313,BC313,BD313)=4,N(BD317)&lt;&gt;0),(AZ313+BB313+BC313+BD313)/BD317,""),"")</f>
        <v/>
      </c>
      <c r="BE312" s="257" t="str">
        <f>IFERROR(IF(AND(COUNT(BB313,BC313,BD313,BE313)=4,N(BE317)&lt;&gt;0),(BB313+BC313+BD313+BE313)/BE317,""),"")</f>
        <v/>
      </c>
      <c r="BF312" s="257" t="str">
        <f>IFERROR(IF(AND(COUNT(BB313,BC313,BD313,BE313)=4,N(BF317)&lt;&gt;0),(BB313+BC313+BD313+BE313)/BF317,""),"")</f>
        <v/>
      </c>
      <c r="BG312" s="81"/>
      <c r="BH312" s="81"/>
      <c r="BI312" s="81"/>
      <c r="BJ312" s="81"/>
      <c r="BL312" s="81"/>
      <c r="BM312" s="81"/>
      <c r="BN312" s="81"/>
      <c r="BO312" s="81"/>
      <c r="BQ312" s="81"/>
      <c r="BR312" s="81"/>
      <c r="BS312" s="81"/>
      <c r="BT312" s="81"/>
      <c r="BV312" s="81"/>
      <c r="BW312" s="81"/>
      <c r="BX312" s="81"/>
      <c r="BY312" s="81"/>
      <c r="CA312" s="81"/>
      <c r="CB312" s="81"/>
      <c r="CC312" s="81"/>
      <c r="CD312" s="81"/>
      <c r="CF312" s="81"/>
      <c r="CG312" s="81"/>
      <c r="CH312" s="81"/>
      <c r="CI312" s="81"/>
      <c r="CK312" s="81"/>
      <c r="CL312" s="81"/>
      <c r="CM312" s="81"/>
      <c r="CN312" s="81"/>
      <c r="CP312" s="81"/>
      <c r="CQ312" s="81"/>
      <c r="CR312" s="81"/>
      <c r="CS312" s="81"/>
      <c r="CU312" s="81"/>
      <c r="CV312" s="81"/>
      <c r="CW312" s="81"/>
      <c r="CX312" s="81"/>
    </row>
    <row r="313" spans="1:102" s="77" customFormat="1" x14ac:dyDescent="0.2">
      <c r="A313" s="76"/>
      <c r="B313" s="76"/>
      <c r="C313" s="77" t="s">
        <v>223</v>
      </c>
      <c r="D313">
        <f>IFERROR(D314*(1-D315),"")</f>
        <v>0</v>
      </c>
      <c r="E313">
        <f>IFERROR(E314*(1-E315),"")</f>
        <v>0</v>
      </c>
      <c r="F313">
        <f>IFERROR(F314*(1-F315),"")</f>
        <v>0</v>
      </c>
      <c r="G313">
        <f>IFERROR(G314*(1-G315),"")</f>
        <v>0</v>
      </c>
      <c r="H313" s="260">
        <f>IFERROR(H314*(1-N(H315)),0)</f>
        <v>0</v>
      </c>
      <c r="I313" s="260">
        <f>IFERROR(I314*(1-N(I315)),0)</f>
        <v>0</v>
      </c>
      <c r="J313" s="260">
        <f>IFERROR(J314*(1-N(J315)),0)</f>
        <v>0</v>
      </c>
      <c r="K313" s="260">
        <f>IFERROR(K314*(1-N(K315)),0)</f>
        <v>0</v>
      </c>
      <c r="L313" s="260">
        <f>IFERROR(L314*(1-N(L315)),0)</f>
        <v>0</v>
      </c>
      <c r="M313" s="260">
        <f>IFERROR(M314*(1-N(M315)),0)</f>
        <v>0</v>
      </c>
      <c r="N313" s="260">
        <f>IFERROR(N314*(1-N(N315)),0)</f>
        <v>0</v>
      </c>
      <c r="O313" s="260">
        <f>IFERROR(O314*(1-N(O315)),0)</f>
        <v>0</v>
      </c>
      <c r="P313" s="260">
        <f>IFERROR(P314*(1-N(P315)),0)</f>
        <v>0</v>
      </c>
      <c r="Q313" s="260">
        <f>IFERROR(Q314*(1-N(Q315)),0)</f>
        <v>0</v>
      </c>
      <c r="R313" s="260">
        <f>IFERROR(R314*(1-N(R315)),0)</f>
        <v>0</v>
      </c>
      <c r="S313" s="260">
        <f>IFERROR(S314*(1-N(S315)),0)</f>
        <v>0</v>
      </c>
      <c r="T313" s="260">
        <f>IFERROR(T314*(1-N(T315)),0)</f>
        <v>0</v>
      </c>
      <c r="U313" s="260">
        <f>IFERROR(U314*(1-N(U315)),0)</f>
        <v>0</v>
      </c>
      <c r="V313" s="260">
        <f>IFERROR(V314*(1-N(V315)),0)</f>
        <v>0</v>
      </c>
      <c r="W313" s="260">
        <f>IFERROR(W314*(1-N(W315)),0)</f>
        <v>0</v>
      </c>
      <c r="X313" s="260">
        <f>IFERROR(X314*(1-N(X315)),0)</f>
        <v>0</v>
      </c>
      <c r="Y313" s="260">
        <f>IFERROR(Y314*(1-N(Y315)),0)</f>
        <v>0</v>
      </c>
      <c r="Z313" s="260">
        <f>IFERROR(Z314*(1-N(Z315)),0)</f>
        <v>0</v>
      </c>
      <c r="AA313" s="260">
        <f>IFERROR(AA314*(1-N(AA315)),0)</f>
        <v>0</v>
      </c>
      <c r="AB313" s="260">
        <f>IFERROR(AB314*(1-N(AB315)),0)</f>
        <v>0</v>
      </c>
      <c r="AC313" s="260">
        <f>IFERROR(AC314*(1-N(AC315)),0)</f>
        <v>0</v>
      </c>
      <c r="AD313" s="260">
        <f>IFERROR(AD314*(1-N(AD315)),0)</f>
        <v>0</v>
      </c>
      <c r="AE313" s="260">
        <f>IFERROR(AE314*(1-N(AE315)),0)</f>
        <v>0</v>
      </c>
      <c r="AF313" s="260">
        <f>IFERROR(AF314*(1-N(AF315)),0)</f>
        <v>0</v>
      </c>
      <c r="AG313" s="260">
        <f>IFERROR(AG314*(1-N(AG315)),0)</f>
        <v>0</v>
      </c>
      <c r="AH313" s="260">
        <f>IFERROR(AH314*(1-N(AH315)),0)</f>
        <v>0</v>
      </c>
      <c r="AI313" s="260">
        <f>IFERROR(AI314*(1-N(AI315)),0)</f>
        <v>0</v>
      </c>
      <c r="AJ313" s="260">
        <f>IFERROR(AJ314*(1-N(AJ315)),0)</f>
        <v>0</v>
      </c>
      <c r="AK313" s="260">
        <f>IFERROR(AK314*(1-N(AK315)),0)</f>
        <v>0</v>
      </c>
      <c r="AL313" s="260">
        <f>IFERROR(AL314*(1-N(AL315)),0)</f>
        <v>0</v>
      </c>
      <c r="AM313" s="260">
        <f>IFERROR(AM314*(1-N(AM315)),0)</f>
        <v>0</v>
      </c>
      <c r="AN313" s="260">
        <f>IFERROR(AN314*(1-N(AN315)),0)</f>
        <v>0</v>
      </c>
      <c r="AO313" s="260">
        <f>IFERROR(AO314*(1-N(AO315)),0)</f>
        <v>0</v>
      </c>
      <c r="AP313" s="260">
        <f>IFERROR(AP314*(1-N(AP315)),0)</f>
        <v>0</v>
      </c>
      <c r="AQ313" s="260">
        <f>IFERROR(AQ314*(1-N(AQ315)),0)</f>
        <v>0</v>
      </c>
      <c r="AR313" s="260">
        <f>IFERROR(AR314*(1-N(AR315)),0)</f>
        <v>0</v>
      </c>
      <c r="AS313" s="260">
        <f>IFERROR(AS314*(1-N(AS315)),0)</f>
        <v>0</v>
      </c>
      <c r="AT313" s="260">
        <f>IFERROR(AT314*(1-N(AT315)),0)</f>
        <v>0</v>
      </c>
      <c r="AU313" s="260">
        <f>IFERROR(AU314*(1-N(AU315)),0)</f>
        <v>0</v>
      </c>
      <c r="AV313" s="260">
        <f>IFERROR(AV314*(1-N(AV315)),0)</f>
        <v>0</v>
      </c>
      <c r="AW313" s="260">
        <f>IFERROR(AW314*(1-N(AW315)),0)</f>
        <v>0</v>
      </c>
      <c r="AX313" s="260">
        <f>IFERROR(AX314*(1-N(AX315)),0)</f>
        <v>0</v>
      </c>
      <c r="AY313" s="260">
        <f>IFERROR(AY314*(1-N(AY315)),0)</f>
        <v>0</v>
      </c>
      <c r="AZ313" s="260">
        <f>IFERROR(AZ314*(1-N(AZ315)),0)</f>
        <v>0</v>
      </c>
      <c r="BA313" s="260">
        <f>IFERROR(BA314*(1-N(BA315)),0)</f>
        <v>0</v>
      </c>
      <c r="BB313" s="260">
        <f>IFERROR(BB314*(1-N(BB315)),0)</f>
        <v>0</v>
      </c>
      <c r="BC313" s="260">
        <f>IFERROR(BC314*(1-N(BC315)),0)</f>
        <v>0</v>
      </c>
      <c r="BD313" s="260">
        <f>IFERROR(BD314*(1-N(BD315)),0)</f>
        <v>0</v>
      </c>
      <c r="BE313" s="260">
        <f>IFERROR(BE314*(1-N(BE315)),0)</f>
        <v>0</v>
      </c>
      <c r="BF313" s="260">
        <f>IFERROR(BF314*(1-N(BF315)),0)</f>
        <v>0</v>
      </c>
      <c r="BG313" s="85"/>
      <c r="BH313" s="76"/>
      <c r="BI313" s="76"/>
      <c r="BJ313" s="76"/>
      <c r="BL313" s="85"/>
      <c r="BM313" s="76"/>
      <c r="BN313" s="76"/>
      <c r="BO313" s="76"/>
      <c r="BQ313" s="85"/>
      <c r="BR313" s="76"/>
      <c r="BS313" s="76"/>
      <c r="BT313" s="76"/>
      <c r="BV313" s="85"/>
      <c r="BW313" s="76"/>
      <c r="BX313" s="76"/>
      <c r="BY313" s="76"/>
      <c r="CA313" s="85"/>
      <c r="CB313" s="76"/>
      <c r="CC313" s="76"/>
      <c r="CD313" s="76"/>
      <c r="CF313" s="85"/>
      <c r="CG313" s="76"/>
      <c r="CH313" s="76"/>
      <c r="CI313" s="76"/>
      <c r="CK313" s="85"/>
      <c r="CL313" s="76"/>
      <c r="CM313" s="76"/>
      <c r="CN313" s="76"/>
      <c r="CP313" s="85"/>
      <c r="CQ313" s="76"/>
      <c r="CR313" s="76"/>
      <c r="CS313" s="76"/>
      <c r="CU313" s="85"/>
      <c r="CV313" s="76"/>
      <c r="CW313" s="76"/>
      <c r="CX313" s="76"/>
    </row>
    <row r="314" spans="1:102" s="77" customFormat="1" x14ac:dyDescent="0.2">
      <c r="A314" s="76"/>
      <c r="B314" s="76"/>
      <c r="C314" s="77" t="s">
        <v>224</v>
      </c>
      <c r="D314" s="86">
        <f>IFERROR(D96,"")</f>
        <v>0</v>
      </c>
      <c r="E314" s="86">
        <f>IFERROR(E96,"")</f>
        <v>0</v>
      </c>
      <c r="F314" s="86">
        <f>IFERROR(F96,"")</f>
        <v>0</v>
      </c>
      <c r="G314" s="86">
        <f>IFERROR(G96,"")</f>
        <v>0</v>
      </c>
      <c r="H314" s="260">
        <f>IFERROR(H39,0)</f>
        <v>0</v>
      </c>
      <c r="I314" s="260">
        <f>IFERROR(I39,0)</f>
        <v>0</v>
      </c>
      <c r="J314" s="260">
        <f>IFERROR(J39,0)</f>
        <v>0</v>
      </c>
      <c r="K314" s="260">
        <f>IFERROR(K39,0)</f>
        <v>0</v>
      </c>
      <c r="L314" s="260">
        <f>IFERROR(L39,0)</f>
        <v>0</v>
      </c>
      <c r="M314" s="260">
        <f>IFERROR(M39,0)</f>
        <v>0</v>
      </c>
      <c r="N314" s="260">
        <f>IFERROR(N39,0)</f>
        <v>0</v>
      </c>
      <c r="O314" s="260">
        <f>IFERROR(O39,0)</f>
        <v>0</v>
      </c>
      <c r="P314" s="260">
        <f>IFERROR(P39,0)</f>
        <v>0</v>
      </c>
      <c r="Q314" s="260">
        <f>IFERROR(Q39,0)</f>
        <v>0</v>
      </c>
      <c r="R314" s="260">
        <f>IFERROR(R39,0)</f>
        <v>0</v>
      </c>
      <c r="S314" s="260">
        <f>IFERROR(S39,0)</f>
        <v>0</v>
      </c>
      <c r="T314" s="260">
        <f>IFERROR(T39,0)</f>
        <v>0</v>
      </c>
      <c r="U314" s="260">
        <f>IFERROR(U39,0)</f>
        <v>0</v>
      </c>
      <c r="V314" s="260">
        <f>IFERROR(V39,0)</f>
        <v>0</v>
      </c>
      <c r="W314" s="260">
        <f>IFERROR(W39,0)</f>
        <v>0</v>
      </c>
      <c r="X314" s="260">
        <f>IFERROR(X39,0)</f>
        <v>0</v>
      </c>
      <c r="Y314" s="260">
        <f>IFERROR(Y39,0)</f>
        <v>0</v>
      </c>
      <c r="Z314" s="260">
        <f>IFERROR(Z39,0)</f>
        <v>0</v>
      </c>
      <c r="AA314" s="260">
        <f>IFERROR(AA39,0)</f>
        <v>0</v>
      </c>
      <c r="AB314" s="260">
        <f>IFERROR(AB39,0)</f>
        <v>0</v>
      </c>
      <c r="AC314" s="260">
        <f>IFERROR(AC39,0)</f>
        <v>0</v>
      </c>
      <c r="AD314" s="260">
        <f>IFERROR(AD39,0)</f>
        <v>0</v>
      </c>
      <c r="AE314" s="260">
        <f>IFERROR(AE39,0)</f>
        <v>0</v>
      </c>
      <c r="AF314" s="260">
        <f>IFERROR(AF39,0)</f>
        <v>0</v>
      </c>
      <c r="AG314" s="260">
        <f>IFERROR(AG39,0)</f>
        <v>0</v>
      </c>
      <c r="AH314" s="260">
        <f>IFERROR(AH39,0)</f>
        <v>0</v>
      </c>
      <c r="AI314" s="260">
        <f>IFERROR(AI39,0)</f>
        <v>0</v>
      </c>
      <c r="AJ314" s="260">
        <f>IFERROR(AJ39,0)</f>
        <v>0</v>
      </c>
      <c r="AK314" s="260">
        <f>IFERROR(AK39,0)</f>
        <v>0</v>
      </c>
      <c r="AL314" s="260">
        <f>IFERROR(AL39,0)</f>
        <v>0</v>
      </c>
      <c r="AM314" s="260">
        <f>IFERROR(AM39,0)</f>
        <v>0</v>
      </c>
      <c r="AN314" s="260">
        <f>IFERROR(AN39,0)</f>
        <v>0</v>
      </c>
      <c r="AO314" s="260">
        <f>IFERROR(AO39,0)</f>
        <v>0</v>
      </c>
      <c r="AP314" s="260">
        <f>IFERROR(AP39,0)</f>
        <v>0</v>
      </c>
      <c r="AQ314" s="260">
        <f>IFERROR(AQ39,0)</f>
        <v>0</v>
      </c>
      <c r="AR314" s="260">
        <f>IFERROR(AR39,0)</f>
        <v>0</v>
      </c>
      <c r="AS314" s="260">
        <f>IFERROR(AS39,0)</f>
        <v>0</v>
      </c>
      <c r="AT314" s="260">
        <f>IFERROR(AT39,0)</f>
        <v>0</v>
      </c>
      <c r="AU314" s="260">
        <f>IFERROR(AU39,0)</f>
        <v>0</v>
      </c>
      <c r="AV314" s="260">
        <f>IFERROR(AV39,0)</f>
        <v>0</v>
      </c>
      <c r="AW314" s="260">
        <f>IFERROR(AW39,0)</f>
        <v>0</v>
      </c>
      <c r="AX314" s="260">
        <f>IFERROR(AX39,0)</f>
        <v>0</v>
      </c>
      <c r="AY314" s="260">
        <f>IFERROR(AY39,0)</f>
        <v>0</v>
      </c>
      <c r="AZ314" s="260">
        <f>IFERROR(AZ39,0)</f>
        <v>0</v>
      </c>
      <c r="BA314" s="260">
        <f>IFERROR(BA39,0)</f>
        <v>0</v>
      </c>
      <c r="BB314" s="260">
        <f>IFERROR(BB39,0)</f>
        <v>0</v>
      </c>
      <c r="BC314" s="260">
        <f>IFERROR(BC39,0)</f>
        <v>0</v>
      </c>
      <c r="BD314" s="260">
        <f>IFERROR(BD39,0)</f>
        <v>0</v>
      </c>
      <c r="BE314" s="260">
        <f>IFERROR(BE39,0)</f>
        <v>0</v>
      </c>
      <c r="BF314" s="260">
        <f>IFERROR(BF39,0)</f>
        <v>0</v>
      </c>
      <c r="BG314" s="63"/>
      <c r="BH314" s="63"/>
      <c r="BI314" s="63"/>
      <c r="BJ314" s="63"/>
      <c r="BL314" s="63"/>
      <c r="BM314" s="63"/>
      <c r="BN314" s="63"/>
      <c r="BO314" s="63"/>
      <c r="BQ314" s="63"/>
      <c r="BR314" s="63"/>
      <c r="BS314" s="63"/>
      <c r="BT314" s="63"/>
      <c r="BV314" s="63"/>
      <c r="BW314" s="63"/>
      <c r="BX314" s="63"/>
      <c r="BY314" s="63"/>
      <c r="CA314" s="63"/>
      <c r="CB314" s="63"/>
      <c r="CC314" s="63"/>
      <c r="CD314" s="63"/>
      <c r="CF314" s="63"/>
      <c r="CG314" s="63"/>
      <c r="CH314" s="63"/>
      <c r="CI314" s="63"/>
      <c r="CK314" s="63"/>
      <c r="CL314" s="63"/>
      <c r="CM314" s="63"/>
      <c r="CN314" s="63"/>
      <c r="CP314" s="63"/>
      <c r="CQ314" s="63"/>
      <c r="CR314" s="63"/>
      <c r="CS314" s="63"/>
      <c r="CU314" s="63"/>
      <c r="CV314" s="63"/>
      <c r="CW314" s="63"/>
      <c r="CX314" s="63"/>
    </row>
    <row r="315" spans="1:102" s="77" customFormat="1" x14ac:dyDescent="0.2">
      <c r="A315" s="76"/>
      <c r="B315" s="76"/>
      <c r="C315" s="77" t="s">
        <v>391</v>
      </c>
      <c r="D315" s="87">
        <f>IFERROR(D98,"")</f>
        <v>0</v>
      </c>
      <c r="E315" s="87">
        <f>IFERROR(E98,"")</f>
        <v>0</v>
      </c>
      <c r="F315" s="87">
        <f>IFERROR(F98,"")</f>
        <v>0</v>
      </c>
      <c r="G315" s="87">
        <f>IFERROR(G98,"")</f>
        <v>0</v>
      </c>
      <c r="H315" s="258" t="str">
        <f>IFERROR(IF(N(H96)&lt;&gt;0,MAX(0,MIN(1,-H97/H96)),""),"")</f>
        <v/>
      </c>
      <c r="I315" s="258" t="str">
        <f>IFERROR(IF(N(I96)&lt;&gt;0,MAX(0,MIN(1,-I97/I96)),""),"")</f>
        <v/>
      </c>
      <c r="J315" s="258" t="str">
        <f>IFERROR(IF(N(J96)&lt;&gt;0,MAX(0,MIN(1,-J97/J96)),""),"")</f>
        <v/>
      </c>
      <c r="K315" s="258" t="str">
        <f>IFERROR(IF(N(K96)&lt;&gt;0,MAX(0,MIN(1,-K97/K96)),""),"")</f>
        <v/>
      </c>
      <c r="L315" s="258" t="str">
        <f>IFERROR(IF(N(L96)&lt;&gt;0,MAX(0,MIN(1,-L97/L96)),""),"")</f>
        <v/>
      </c>
      <c r="M315" s="258" t="str">
        <f>IFERROR(IF(N(M96)&lt;&gt;0,MAX(0,MIN(1,-M97/M96)),""),"")</f>
        <v/>
      </c>
      <c r="N315" s="258" t="str">
        <f>IFERROR(IF(N(N96)&lt;&gt;0,MAX(0,MIN(1,-N97/N96)),""),"")</f>
        <v/>
      </c>
      <c r="O315" s="258" t="str">
        <f>IFERROR(IF(N(O96)&lt;&gt;0,MAX(0,MIN(1,-O97/O96)),""),"")</f>
        <v/>
      </c>
      <c r="P315" s="258" t="str">
        <f>IFERROR(IF(N(P96)&lt;&gt;0,MAX(0,MIN(1,-P97/P96)),""),"")</f>
        <v/>
      </c>
      <c r="Q315" s="258" t="str">
        <f>IFERROR(IF(N(Q96)&lt;&gt;0,MAX(0,MIN(1,-Q97/Q96)),""),"")</f>
        <v/>
      </c>
      <c r="R315" s="258" t="str">
        <f>IFERROR(IF(N(R96)&lt;&gt;0,MAX(0,MIN(1,-R97/R96)),""),"")</f>
        <v/>
      </c>
      <c r="S315" s="258" t="str">
        <f>IFERROR(IF(N(S96)&lt;&gt;0,MAX(0,MIN(1,-S97/S96)),""),"")</f>
        <v/>
      </c>
      <c r="T315" s="258" t="str">
        <f>IFERROR(IF(N(T96)&lt;&gt;0,MAX(0,MIN(1,-T97/T96)),""),"")</f>
        <v/>
      </c>
      <c r="U315" s="258" t="str">
        <f>IFERROR(IF(N(U96)&lt;&gt;0,MAX(0,MIN(1,-U97/U96)),""),"")</f>
        <v/>
      </c>
      <c r="V315" s="258" t="str">
        <f>IFERROR(IF(N(V96)&lt;&gt;0,MAX(0,MIN(1,-V97/V96)),""),"")</f>
        <v/>
      </c>
      <c r="W315" s="258" t="str">
        <f>IFERROR(IF(N(W96)&lt;&gt;0,MAX(0,MIN(1,-W97/W96)),""),"")</f>
        <v/>
      </c>
      <c r="X315" s="258" t="str">
        <f>IFERROR(IF(N(X96)&lt;&gt;0,MAX(0,MIN(1,-X97/X96)),""),"")</f>
        <v/>
      </c>
      <c r="Y315" s="258" t="str">
        <f>IFERROR(IF(N(Y96)&lt;&gt;0,MAX(0,MIN(1,-Y97/Y96)),""),"")</f>
        <v/>
      </c>
      <c r="Z315" s="258" t="str">
        <f>IFERROR(IF(N(Z96)&lt;&gt;0,MAX(0,MIN(1,-Z97/Z96)),""),"")</f>
        <v/>
      </c>
      <c r="AA315" s="258" t="str">
        <f>IFERROR(IF(N(AA96)&lt;&gt;0,MAX(0,MIN(1,-AA97/AA96)),""),"")</f>
        <v/>
      </c>
      <c r="AB315" s="258" t="str">
        <f>IFERROR(IF(N(AB96)&lt;&gt;0,MAX(0,MIN(1,-AB97/AB96)),""),"")</f>
        <v/>
      </c>
      <c r="AC315" s="258" t="str">
        <f>IFERROR(IF(N(AC96)&lt;&gt;0,MAX(0,MIN(1,-AC97/AC96)),""),"")</f>
        <v/>
      </c>
      <c r="AD315" s="258" t="str">
        <f>IFERROR(IF(N(AD96)&lt;&gt;0,MAX(0,MIN(1,-AD97/AD96)),""),"")</f>
        <v/>
      </c>
      <c r="AE315" s="258" t="str">
        <f>IFERROR(IF(N(AE96)&lt;&gt;0,MAX(0,MIN(1,-AE97/AE96)),""),"")</f>
        <v/>
      </c>
      <c r="AF315" s="258" t="str">
        <f>IFERROR(IF(N(AF96)&lt;&gt;0,MAX(0,MIN(1,-AF97/AF96)),""),"")</f>
        <v/>
      </c>
      <c r="AG315" s="258" t="str">
        <f>IFERROR(IF(N(AG96)&lt;&gt;0,MAX(0,MIN(1,-AG97/AG96)),""),"")</f>
        <v/>
      </c>
      <c r="AH315" s="258" t="str">
        <f>IFERROR(IF(N(AH96)&lt;&gt;0,MAX(0,MIN(1,-AH97/AH96)),""),"")</f>
        <v/>
      </c>
      <c r="AI315" s="258" t="str">
        <f>IFERROR(IF(N(AI96)&lt;&gt;0,MAX(0,MIN(1,-AI97/AI96)),""),"")</f>
        <v/>
      </c>
      <c r="AJ315" s="258" t="str">
        <f>IFERROR(IF(N(AJ96)&lt;&gt;0,MAX(0,MIN(1,-AJ97/AJ96)),""),"")</f>
        <v/>
      </c>
      <c r="AK315" s="258" t="str">
        <f>IFERROR(IF(N(AK96)&lt;&gt;0,MAX(0,MIN(1,-AK97/AK96)),""),"")</f>
        <v/>
      </c>
      <c r="AL315" s="258" t="str">
        <f>IFERROR(IF(N(AL96)&lt;&gt;0,MAX(0,MIN(1,-AL97/AL96)),""),"")</f>
        <v/>
      </c>
      <c r="AM315" s="258" t="str">
        <f>IFERROR(IF(N(AM96)&lt;&gt;0,MAX(0,MIN(1,-AM97/AM96)),""),"")</f>
        <v/>
      </c>
      <c r="AN315" s="258" t="str">
        <f>IFERROR(IF(N(AN96)&lt;&gt;0,MAX(0,MIN(1,-AN97/AN96)),""),"")</f>
        <v/>
      </c>
      <c r="AO315" s="258" t="str">
        <f>IFERROR(IF(N(AO96)&lt;&gt;0,MAX(0,MIN(1,-AO97/AO96)),""),"")</f>
        <v/>
      </c>
      <c r="AP315" s="258" t="str">
        <f>IFERROR(IF(N(AP96)&lt;&gt;0,MAX(0,MIN(1,-AP97/AP96)),""),"")</f>
        <v/>
      </c>
      <c r="AQ315" s="258" t="str">
        <f>IFERROR(IF(N(AQ96)&lt;&gt;0,MAX(0,MIN(1,-AQ97/AQ96)),""),"")</f>
        <v/>
      </c>
      <c r="AR315" s="258" t="str">
        <f>IFERROR(IF(N(AR96)&lt;&gt;0,MAX(0,MIN(1,-AR97/AR96)),""),"")</f>
        <v/>
      </c>
      <c r="AS315" s="258" t="str">
        <f>IFERROR(IF(N(AS96)&lt;&gt;0,MAX(0,MIN(1,-AS97/AS96)),""),"")</f>
        <v/>
      </c>
      <c r="AT315" s="258" t="str">
        <f>IFERROR(IF(N(AT96)&lt;&gt;0,MAX(0,MIN(1,-AT97/AT96)),""),"")</f>
        <v/>
      </c>
      <c r="AU315" s="258" t="str">
        <f>IFERROR(IF(N(AU96)&lt;&gt;0,MAX(0,MIN(1,-AU97/AU96)),""),"")</f>
        <v/>
      </c>
      <c r="AV315" s="258" t="str">
        <f>IFERROR(IF(N(AV96)&lt;&gt;0,MAX(0,MIN(1,-AV97/AV96)),""),"")</f>
        <v/>
      </c>
      <c r="AW315" s="258" t="str">
        <f>IFERROR(IF(N(AW96)&lt;&gt;0,MAX(0,MIN(1,-AW97/AW96)),""),"")</f>
        <v/>
      </c>
      <c r="AX315" s="258" t="str">
        <f>IFERROR(IF(N(AX96)&lt;&gt;0,MAX(0,MIN(1,-AX97/AX96)),""),"")</f>
        <v/>
      </c>
      <c r="AY315" s="258" t="str">
        <f>IFERROR(IF(N(AY96)&lt;&gt;0,MAX(0,MIN(1,-AY97/AY96)),""),"")</f>
        <v/>
      </c>
      <c r="AZ315" s="258" t="str">
        <f>IFERROR(IF(N(AZ96)&lt;&gt;0,MAX(0,MIN(1,-AZ97/AZ96)),""),"")</f>
        <v/>
      </c>
      <c r="BA315" s="258" t="str">
        <f>IFERROR(IF(N(BA96)&lt;&gt;0,MAX(0,MIN(1,-BA97/BA96)),""),"")</f>
        <v/>
      </c>
      <c r="BB315" s="258" t="str">
        <f>IFERROR(IF(N(BB96)&lt;&gt;0,MAX(0,MIN(1,-BB97/BB96)),""),"")</f>
        <v/>
      </c>
      <c r="BC315" s="258" t="str">
        <f>IFERROR(IF(N(BC96)&lt;&gt;0,MAX(0,MIN(1,-BC97/BC96)),""),"")</f>
        <v/>
      </c>
      <c r="BD315" s="258" t="str">
        <f>IFERROR(IF(N(BD96)&lt;&gt;0,MAX(0,MIN(1,-BD97/BD96)),""),"")</f>
        <v/>
      </c>
      <c r="BE315" s="258" t="str">
        <f>IFERROR(IF(N(BE96)&lt;&gt;0,MAX(0,MIN(1,-BE97/BE96)),""),"")</f>
        <v/>
      </c>
      <c r="BF315" s="258" t="str">
        <f>IFERROR(IF(N(BF96)&lt;&gt;0,MAX(0,MIN(1,-BF97/BF96)),""),"")</f>
        <v/>
      </c>
      <c r="BG315" s="88"/>
      <c r="BH315" s="88"/>
      <c r="BI315" s="88"/>
      <c r="BJ315" s="88"/>
      <c r="BL315" s="88"/>
      <c r="BM315" s="88"/>
      <c r="BN315" s="88"/>
      <c r="BO315" s="88"/>
      <c r="BQ315" s="88"/>
      <c r="BR315" s="88"/>
      <c r="BS315" s="88"/>
      <c r="BT315" s="88"/>
      <c r="BV315" s="88"/>
      <c r="BW315" s="88"/>
      <c r="BX315" s="88"/>
      <c r="BY315" s="88"/>
      <c r="CA315" s="88"/>
      <c r="CB315" s="88"/>
      <c r="CC315" s="88"/>
      <c r="CD315" s="88"/>
      <c r="CF315" s="88"/>
      <c r="CG315" s="88"/>
      <c r="CH315" s="88"/>
      <c r="CI315" s="88"/>
      <c r="CK315" s="88"/>
      <c r="CL315" s="88"/>
      <c r="CM315" s="88"/>
      <c r="CN315" s="88"/>
      <c r="CP315" s="88"/>
      <c r="CQ315" s="88"/>
      <c r="CR315" s="88"/>
      <c r="CS315" s="88"/>
      <c r="CU315" s="88"/>
      <c r="CV315" s="88"/>
      <c r="CW315" s="88"/>
      <c r="CX315" s="88"/>
    </row>
    <row r="316" spans="1:102" s="77" customFormat="1" x14ac:dyDescent="0.2">
      <c r="A316" s="76"/>
      <c r="B316" s="76"/>
      <c r="C316" s="77" t="s">
        <v>225</v>
      </c>
      <c r="D316" s="86">
        <f>IFERROR(D319-D320+D321,"")</f>
        <v>0</v>
      </c>
      <c r="E316" s="86">
        <f>IFERROR(E319-E320+E321,"")</f>
        <v>0</v>
      </c>
      <c r="F316" s="86">
        <f>IFERROR(F319-F320+F321,"")</f>
        <v>0</v>
      </c>
      <c r="G316" s="86">
        <f>IFERROR(G319-G320+G321,"")</f>
        <v>0</v>
      </c>
      <c r="H316" s="260">
        <f>IFERROR(H318+H321,0)</f>
        <v>0</v>
      </c>
      <c r="I316" s="260">
        <f>IFERROR(I318+I321,0)</f>
        <v>0</v>
      </c>
      <c r="J316" s="260">
        <f>IFERROR(J318+J321,0)</f>
        <v>0</v>
      </c>
      <c r="K316" s="260">
        <f>IFERROR(K318+K321,0)</f>
        <v>0</v>
      </c>
      <c r="L316" s="260">
        <f>IFERROR(L318+L321,0)</f>
        <v>0</v>
      </c>
      <c r="M316" s="260">
        <f>IFERROR(M318+M321,0)</f>
        <v>0</v>
      </c>
      <c r="N316" s="260">
        <f>IFERROR(N318+N321,0)</f>
        <v>0</v>
      </c>
      <c r="O316" s="260">
        <f>IFERROR(O318+O321,0)</f>
        <v>0</v>
      </c>
      <c r="P316" s="260">
        <f>IFERROR(P318+P321,0)</f>
        <v>0</v>
      </c>
      <c r="Q316" s="260">
        <f>IFERROR(Q318+Q321,0)</f>
        <v>0</v>
      </c>
      <c r="R316" s="260">
        <f>IFERROR(R318+R321,0)</f>
        <v>0</v>
      </c>
      <c r="S316" s="260">
        <f>IFERROR(S318+S321,0)</f>
        <v>0</v>
      </c>
      <c r="T316" s="260">
        <f>IFERROR(T318+T321,0)</f>
        <v>0</v>
      </c>
      <c r="U316" s="260">
        <f>IFERROR(U318+U321,0)</f>
        <v>0</v>
      </c>
      <c r="V316" s="260">
        <f>IFERROR(V318+V321,0)</f>
        <v>0</v>
      </c>
      <c r="W316" s="260">
        <f>IFERROR(W318+W321,0)</f>
        <v>0</v>
      </c>
      <c r="X316" s="260">
        <f>IFERROR(X318+X321,0)</f>
        <v>0</v>
      </c>
      <c r="Y316" s="260">
        <f>IFERROR(Y318+Y321,0)</f>
        <v>0</v>
      </c>
      <c r="Z316" s="260">
        <f>IFERROR(Z318+Z321,0)</f>
        <v>0</v>
      </c>
      <c r="AA316" s="260">
        <f>IFERROR(AA318+AA321,0)</f>
        <v>0</v>
      </c>
      <c r="AB316" s="260">
        <f>IFERROR(AB318+AB321,0)</f>
        <v>0</v>
      </c>
      <c r="AC316" s="260">
        <f>IFERROR(AC318+AC321,0)</f>
        <v>0</v>
      </c>
      <c r="AD316" s="260">
        <f>IFERROR(AD318+AD321,0)</f>
        <v>0</v>
      </c>
      <c r="AE316" s="260">
        <f>IFERROR(AE318+AE321,0)</f>
        <v>0</v>
      </c>
      <c r="AF316" s="260">
        <f>IFERROR(AF318+AF321,0)</f>
        <v>0</v>
      </c>
      <c r="AG316" s="260">
        <f>IFERROR(AG318+AG321,0)</f>
        <v>0</v>
      </c>
      <c r="AH316" s="260">
        <f>IFERROR(AH318+AH321,0)</f>
        <v>0</v>
      </c>
      <c r="AI316" s="260">
        <f>IFERROR(AI318+AI321,0)</f>
        <v>0</v>
      </c>
      <c r="AJ316" s="260">
        <f>IFERROR(AJ318+AJ321,0)</f>
        <v>0</v>
      </c>
      <c r="AK316" s="260">
        <f>IFERROR(AK318+AK321,0)</f>
        <v>0</v>
      </c>
      <c r="AL316" s="260">
        <f>IFERROR(AL318+AL321,0)</f>
        <v>0</v>
      </c>
      <c r="AM316" s="260">
        <f>IFERROR(AM318+AM321,0)</f>
        <v>0</v>
      </c>
      <c r="AN316" s="260">
        <f>IFERROR(AN318+AN321,0)</f>
        <v>0</v>
      </c>
      <c r="AO316" s="260">
        <f>IFERROR(AO318+AO321,0)</f>
        <v>0</v>
      </c>
      <c r="AP316" s="260">
        <f>IFERROR(AP318+AP321,0)</f>
        <v>0</v>
      </c>
      <c r="AQ316" s="260">
        <f>IFERROR(AQ318+AQ321,0)</f>
        <v>0</v>
      </c>
      <c r="AR316" s="260">
        <f>IFERROR(AR318+AR321,0)</f>
        <v>0</v>
      </c>
      <c r="AS316" s="260">
        <f>IFERROR(AS318+AS321,0)</f>
        <v>0</v>
      </c>
      <c r="AT316" s="260">
        <f>IFERROR(AT318+AT321,0)</f>
        <v>0</v>
      </c>
      <c r="AU316" s="260">
        <f>IFERROR(AU318+AU321,0)</f>
        <v>0</v>
      </c>
      <c r="AV316" s="260">
        <f>IFERROR(AV318+AV321,0)</f>
        <v>0</v>
      </c>
      <c r="AW316" s="260">
        <f>IFERROR(AW318+AW321,0)</f>
        <v>0</v>
      </c>
      <c r="AX316" s="260">
        <f>IFERROR(AX318+AX321,0)</f>
        <v>0</v>
      </c>
      <c r="AY316" s="260">
        <f>IFERROR(AY318+AY321,0)</f>
        <v>0</v>
      </c>
      <c r="AZ316" s="260">
        <f>IFERROR(AZ318+AZ321,0)</f>
        <v>0</v>
      </c>
      <c r="BA316" s="260">
        <f>IFERROR(BA318+BA321,0)</f>
        <v>0</v>
      </c>
      <c r="BB316" s="260">
        <f>IFERROR(BB318+BB321,0)</f>
        <v>0</v>
      </c>
      <c r="BC316" s="260">
        <f>IFERROR(BC318+BC321,0)</f>
        <v>0</v>
      </c>
      <c r="BD316" s="260">
        <f>IFERROR(BD318+BD321,0)</f>
        <v>0</v>
      </c>
      <c r="BE316" s="260">
        <f>IFERROR(BE318+BE321,0)</f>
        <v>0</v>
      </c>
      <c r="BF316" s="260">
        <f>IFERROR(BF318+BF321,0)</f>
        <v>0</v>
      </c>
      <c r="BG316" s="63"/>
      <c r="BH316" s="63"/>
      <c r="BI316" s="63"/>
      <c r="BJ316" s="63"/>
      <c r="BL316" s="63"/>
      <c r="BM316" s="63"/>
      <c r="BN316" s="63"/>
      <c r="BO316" s="63"/>
      <c r="BQ316" s="63"/>
      <c r="BR316" s="63"/>
      <c r="BS316" s="63"/>
      <c r="BT316" s="63"/>
      <c r="BV316" s="63"/>
      <c r="BW316" s="63"/>
      <c r="BX316" s="63"/>
      <c r="BY316" s="63"/>
      <c r="CA316" s="63"/>
      <c r="CB316" s="63"/>
      <c r="CC316" s="63"/>
      <c r="CD316" s="63"/>
      <c r="CF316" s="63"/>
      <c r="CG316" s="63"/>
      <c r="CH316" s="63"/>
      <c r="CI316" s="63"/>
      <c r="CK316" s="63"/>
      <c r="CL316" s="63"/>
      <c r="CM316" s="63"/>
      <c r="CN316" s="63"/>
      <c r="CP316" s="63"/>
      <c r="CQ316" s="63"/>
      <c r="CR316" s="63"/>
      <c r="CS316" s="63"/>
      <c r="CU316" s="63"/>
      <c r="CV316" s="63"/>
      <c r="CW316" s="63"/>
      <c r="CX316" s="63"/>
    </row>
    <row r="317" spans="1:102" s="77" customFormat="1" x14ac:dyDescent="0.2">
      <c r="A317" s="76"/>
      <c r="B317" s="76"/>
      <c r="C317" s="77" t="s">
        <v>226</v>
      </c>
      <c r="D317" s="89">
        <f>IFERROR(D316-D145,"")</f>
        <v>0</v>
      </c>
      <c r="E317" s="89">
        <f>IFERROR(E316-E145,"")</f>
        <v>0</v>
      </c>
      <c r="F317" s="89">
        <f>IFERROR(F316-F145,"")</f>
        <v>0</v>
      </c>
      <c r="G317" s="89">
        <f>IFERROR(G316-G145,"")</f>
        <v>0</v>
      </c>
      <c r="H317" s="260">
        <f>IFERROR(H316-N(H145),0)</f>
        <v>0</v>
      </c>
      <c r="I317" s="260">
        <f>IFERROR(I316-N(I145),0)</f>
        <v>0</v>
      </c>
      <c r="J317" s="260">
        <f>IFERROR(J316-N(J145),0)</f>
        <v>0</v>
      </c>
      <c r="K317" s="260">
        <f>IFERROR(K316-N(K145),0)</f>
        <v>0</v>
      </c>
      <c r="L317" s="260">
        <f>IFERROR(L316-N(L145),0)</f>
        <v>0</v>
      </c>
      <c r="M317" s="260">
        <f>IFERROR(M316-N(M145),0)</f>
        <v>0</v>
      </c>
      <c r="N317" s="260">
        <f>IFERROR(N316-N(N145),0)</f>
        <v>0</v>
      </c>
      <c r="O317" s="260">
        <f>IFERROR(O316-N(O145),0)</f>
        <v>0</v>
      </c>
      <c r="P317" s="260">
        <f>IFERROR(P316-N(P145),0)</f>
        <v>0</v>
      </c>
      <c r="Q317" s="260">
        <f>IFERROR(Q316-N(Q145),0)</f>
        <v>0</v>
      </c>
      <c r="R317" s="260">
        <f>IFERROR(R316-N(R145),0)</f>
        <v>0</v>
      </c>
      <c r="S317" s="260">
        <f>IFERROR(S316-N(S145),0)</f>
        <v>0</v>
      </c>
      <c r="T317" s="260">
        <f>IFERROR(T316-N(T145),0)</f>
        <v>0</v>
      </c>
      <c r="U317" s="260">
        <f>IFERROR(U316-N(U145),0)</f>
        <v>0</v>
      </c>
      <c r="V317" s="260">
        <f>IFERROR(V316-N(V145),0)</f>
        <v>0</v>
      </c>
      <c r="W317" s="260">
        <f>IFERROR(W316-N(W145),0)</f>
        <v>0</v>
      </c>
      <c r="X317" s="260">
        <f>IFERROR(X316-N(X145),0)</f>
        <v>0</v>
      </c>
      <c r="Y317" s="260">
        <f>IFERROR(Y316-N(Y145),0)</f>
        <v>0</v>
      </c>
      <c r="Z317" s="260">
        <f>IFERROR(Z316-N(Z145),0)</f>
        <v>0</v>
      </c>
      <c r="AA317" s="260">
        <f>IFERROR(AA316-N(AA145),0)</f>
        <v>0</v>
      </c>
      <c r="AB317" s="260">
        <f>IFERROR(AB316-N(AB145),0)</f>
        <v>0</v>
      </c>
      <c r="AC317" s="260">
        <f>IFERROR(AC316-N(AC145),0)</f>
        <v>0</v>
      </c>
      <c r="AD317" s="260">
        <f>IFERROR(AD316-N(AD145),0)</f>
        <v>0</v>
      </c>
      <c r="AE317" s="260">
        <f>IFERROR(AE316-N(AE145),0)</f>
        <v>0</v>
      </c>
      <c r="AF317" s="260">
        <f>IFERROR(AF316-N(AF145),0)</f>
        <v>0</v>
      </c>
      <c r="AG317" s="260">
        <f>IFERROR(AG316-N(AG145),0)</f>
        <v>0</v>
      </c>
      <c r="AH317" s="260">
        <f>IFERROR(AH316-N(AH145),0)</f>
        <v>0</v>
      </c>
      <c r="AI317" s="260">
        <f>IFERROR(AI316-N(AI145),0)</f>
        <v>0</v>
      </c>
      <c r="AJ317" s="260">
        <f>IFERROR(AJ316-N(AJ145),0)</f>
        <v>0</v>
      </c>
      <c r="AK317" s="260">
        <f>IFERROR(AK316-N(AK145),0)</f>
        <v>0</v>
      </c>
      <c r="AL317" s="260">
        <f>IFERROR(AL316-N(AL145),0)</f>
        <v>0</v>
      </c>
      <c r="AM317" s="260">
        <f>IFERROR(AM316-N(AM145),0)</f>
        <v>0</v>
      </c>
      <c r="AN317" s="260">
        <f>IFERROR(AN316-N(AN145),0)</f>
        <v>0</v>
      </c>
      <c r="AO317" s="260">
        <f>IFERROR(AO316-N(AO145),0)</f>
        <v>0</v>
      </c>
      <c r="AP317" s="260">
        <f>IFERROR(AP316-N(AP145),0)</f>
        <v>0</v>
      </c>
      <c r="AQ317" s="260">
        <f>IFERROR(AQ316-N(AQ145),0)</f>
        <v>0</v>
      </c>
      <c r="AR317" s="260">
        <f>IFERROR(AR316-N(AR145),0)</f>
        <v>0</v>
      </c>
      <c r="AS317" s="260">
        <f>IFERROR(AS316-N(AS145),0)</f>
        <v>0</v>
      </c>
      <c r="AT317" s="260">
        <f>IFERROR(AT316-N(AT145),0)</f>
        <v>0</v>
      </c>
      <c r="AU317" s="260">
        <f>IFERROR(AU316-N(AU145),0)</f>
        <v>0</v>
      </c>
      <c r="AV317" s="260">
        <f>IFERROR(AV316-N(AV145),0)</f>
        <v>0</v>
      </c>
      <c r="AW317" s="260">
        <f>IFERROR(AW316-N(AW145),0)</f>
        <v>0</v>
      </c>
      <c r="AX317" s="260">
        <f>IFERROR(AX316-N(AX145),0)</f>
        <v>0</v>
      </c>
      <c r="AY317" s="260">
        <f>IFERROR(AY316-N(AY145),0)</f>
        <v>0</v>
      </c>
      <c r="AZ317" s="260">
        <f>IFERROR(AZ316-N(AZ145),0)</f>
        <v>0</v>
      </c>
      <c r="BA317" s="260">
        <f>IFERROR(BA316-N(BA145),0)</f>
        <v>0</v>
      </c>
      <c r="BB317" s="260">
        <f>IFERROR(BB316-N(BB145),0)</f>
        <v>0</v>
      </c>
      <c r="BC317" s="260">
        <f>IFERROR(BC316-N(BC145),0)</f>
        <v>0</v>
      </c>
      <c r="BD317" s="260">
        <f>IFERROR(BD316-N(BD145),0)</f>
        <v>0</v>
      </c>
      <c r="BE317" s="260">
        <f>IFERROR(BE316-N(BE145),0)</f>
        <v>0</v>
      </c>
      <c r="BF317" s="260">
        <f>IFERROR(BF316-N(BF145),0)</f>
        <v>0</v>
      </c>
      <c r="BG317" s="90"/>
      <c r="BH317" s="90"/>
      <c r="BI317" s="90"/>
      <c r="BJ317" s="90"/>
      <c r="BL317" s="90"/>
      <c r="BM317" s="90"/>
      <c r="BN317" s="90"/>
      <c r="BO317" s="90"/>
      <c r="BQ317" s="90"/>
      <c r="BR317" s="90"/>
      <c r="BS317" s="90"/>
      <c r="BT317" s="90"/>
      <c r="BV317" s="90"/>
      <c r="BW317" s="90"/>
      <c r="BX317" s="90"/>
      <c r="BY317" s="90"/>
      <c r="CA317" s="90"/>
      <c r="CB317" s="90"/>
      <c r="CC317" s="90"/>
      <c r="CD317" s="90"/>
      <c r="CF317" s="90"/>
      <c r="CG317" s="90"/>
      <c r="CH317" s="90"/>
      <c r="CI317" s="90"/>
      <c r="CK317" s="90"/>
      <c r="CL317" s="90"/>
      <c r="CM317" s="90"/>
      <c r="CN317" s="90"/>
      <c r="CP317" s="90"/>
      <c r="CQ317" s="90"/>
      <c r="CR317" s="90"/>
      <c r="CS317" s="90"/>
      <c r="CU317" s="90"/>
      <c r="CV317" s="90"/>
      <c r="CW317" s="90"/>
      <c r="CX317" s="90"/>
    </row>
    <row r="318" spans="1:102" s="77" customFormat="1" x14ac:dyDescent="0.2">
      <c r="A318" s="76"/>
      <c r="B318" s="76"/>
      <c r="C318" s="77" t="s">
        <v>227</v>
      </c>
      <c r="D318" s="91">
        <f>IFERROR(D319-D320,"")</f>
        <v>0</v>
      </c>
      <c r="E318" s="91">
        <f>IFERROR(E319-E320,"")</f>
        <v>0</v>
      </c>
      <c r="F318" s="91">
        <f>IFERROR(F319-F320,"")</f>
        <v>0</v>
      </c>
      <c r="G318" s="91">
        <f>IFERROR(G319-G320,"")</f>
        <v>0</v>
      </c>
      <c r="H318" s="260">
        <f>IFERROR(H319-H320,0)</f>
        <v>0</v>
      </c>
      <c r="I318" s="260">
        <f>IFERROR(I319-I320,0)</f>
        <v>0</v>
      </c>
      <c r="J318" s="260">
        <f>IFERROR(J319-J320,0)</f>
        <v>0</v>
      </c>
      <c r="K318" s="260">
        <f>IFERROR(K319-K320,0)</f>
        <v>0</v>
      </c>
      <c r="L318" s="260">
        <f>IFERROR(L319-L320,0)</f>
        <v>0</v>
      </c>
      <c r="M318" s="260">
        <f>IFERROR(M319-M320,0)</f>
        <v>0</v>
      </c>
      <c r="N318" s="260">
        <f>IFERROR(N319-N320,0)</f>
        <v>0</v>
      </c>
      <c r="O318" s="260">
        <f>IFERROR(O319-O320,0)</f>
        <v>0</v>
      </c>
      <c r="P318" s="260">
        <f>IFERROR(P319-P320,0)</f>
        <v>0</v>
      </c>
      <c r="Q318" s="260">
        <f>IFERROR(Q319-Q320,0)</f>
        <v>0</v>
      </c>
      <c r="R318" s="260">
        <f>IFERROR(R319-R320,0)</f>
        <v>0</v>
      </c>
      <c r="S318" s="260">
        <f>IFERROR(S319-S320,0)</f>
        <v>0</v>
      </c>
      <c r="T318" s="260">
        <f>IFERROR(T319-T320,0)</f>
        <v>0</v>
      </c>
      <c r="U318" s="260">
        <f>IFERROR(U319-U320,0)</f>
        <v>0</v>
      </c>
      <c r="V318" s="260">
        <f>IFERROR(V319-V320,0)</f>
        <v>0</v>
      </c>
      <c r="W318" s="260">
        <f>IFERROR(W319-W320,0)</f>
        <v>0</v>
      </c>
      <c r="X318" s="260">
        <f>IFERROR(X319-X320,0)</f>
        <v>0</v>
      </c>
      <c r="Y318" s="260">
        <f>IFERROR(Y319-Y320,0)</f>
        <v>0</v>
      </c>
      <c r="Z318" s="260">
        <f>IFERROR(Z319-Z320,0)</f>
        <v>0</v>
      </c>
      <c r="AA318" s="260">
        <f>IFERROR(AA319-AA320,0)</f>
        <v>0</v>
      </c>
      <c r="AB318" s="260">
        <f>IFERROR(AB319-AB320,0)</f>
        <v>0</v>
      </c>
      <c r="AC318" s="260">
        <f>IFERROR(AC319-AC320,0)</f>
        <v>0</v>
      </c>
      <c r="AD318" s="260">
        <f>IFERROR(AD319-AD320,0)</f>
        <v>0</v>
      </c>
      <c r="AE318" s="260">
        <f>IFERROR(AE319-AE320,0)</f>
        <v>0</v>
      </c>
      <c r="AF318" s="260">
        <f>IFERROR(AF319-AF320,0)</f>
        <v>0</v>
      </c>
      <c r="AG318" s="260">
        <f>IFERROR(AG319-AG320,0)</f>
        <v>0</v>
      </c>
      <c r="AH318" s="260">
        <f>IFERROR(AH319-AH320,0)</f>
        <v>0</v>
      </c>
      <c r="AI318" s="260">
        <f>IFERROR(AI319-AI320,0)</f>
        <v>0</v>
      </c>
      <c r="AJ318" s="260">
        <f>IFERROR(AJ319-AJ320,0)</f>
        <v>0</v>
      </c>
      <c r="AK318" s="260">
        <f>IFERROR(AK319-AK320,0)</f>
        <v>0</v>
      </c>
      <c r="AL318" s="260">
        <f>IFERROR(AL319-AL320,0)</f>
        <v>0</v>
      </c>
      <c r="AM318" s="260">
        <f>IFERROR(AM319-AM320,0)</f>
        <v>0</v>
      </c>
      <c r="AN318" s="260">
        <f>IFERROR(AN319-AN320,0)</f>
        <v>0</v>
      </c>
      <c r="AO318" s="260">
        <f>IFERROR(AO319-AO320,0)</f>
        <v>0</v>
      </c>
      <c r="AP318" s="260">
        <f>IFERROR(AP319-AP320,0)</f>
        <v>0</v>
      </c>
      <c r="AQ318" s="260">
        <f>IFERROR(AQ319-AQ320,0)</f>
        <v>0</v>
      </c>
      <c r="AR318" s="260">
        <f>IFERROR(AR319-AR320,0)</f>
        <v>0</v>
      </c>
      <c r="AS318" s="260">
        <f>IFERROR(AS319-AS320,0)</f>
        <v>0</v>
      </c>
      <c r="AT318" s="260">
        <f>IFERROR(AT319-AT320,0)</f>
        <v>0</v>
      </c>
      <c r="AU318" s="260">
        <f>IFERROR(AU319-AU320,0)</f>
        <v>0</v>
      </c>
      <c r="AV318" s="260">
        <f>IFERROR(AV319-AV320,0)</f>
        <v>0</v>
      </c>
      <c r="AW318" s="260">
        <f>IFERROR(AW319-AW320,0)</f>
        <v>0</v>
      </c>
      <c r="AX318" s="260">
        <f>IFERROR(AX319-AX320,0)</f>
        <v>0</v>
      </c>
      <c r="AY318" s="260">
        <f>IFERROR(AY319-AY320,0)</f>
        <v>0</v>
      </c>
      <c r="AZ318" s="260">
        <f>IFERROR(AZ319-AZ320,0)</f>
        <v>0</v>
      </c>
      <c r="BA318" s="260">
        <f>IFERROR(BA319-BA320,0)</f>
        <v>0</v>
      </c>
      <c r="BB318" s="260">
        <f>IFERROR(BB319-BB320,0)</f>
        <v>0</v>
      </c>
      <c r="BC318" s="260">
        <f>IFERROR(BC319-BC320,0)</f>
        <v>0</v>
      </c>
      <c r="BD318" s="260">
        <f>IFERROR(BD319-BD320,0)</f>
        <v>0</v>
      </c>
      <c r="BE318" s="260">
        <f>IFERROR(BE319-BE320,0)</f>
        <v>0</v>
      </c>
      <c r="BF318" s="260">
        <f>IFERROR(BF319-BF320,0)</f>
        <v>0</v>
      </c>
      <c r="BG318" s="63"/>
      <c r="BH318" s="63"/>
      <c r="BI318" s="63"/>
      <c r="BJ318" s="63"/>
      <c r="BL318" s="63"/>
      <c r="BM318" s="63"/>
      <c r="BN318" s="63"/>
      <c r="BO318" s="63"/>
      <c r="BQ318" s="63"/>
      <c r="BR318" s="63"/>
      <c r="BS318" s="63"/>
      <c r="BT318" s="63"/>
      <c r="BV318" s="63"/>
      <c r="BW318" s="63"/>
      <c r="BX318" s="63"/>
      <c r="BY318" s="63"/>
      <c r="CA318" s="63"/>
      <c r="CB318" s="63"/>
      <c r="CC318" s="63"/>
      <c r="CD318" s="63"/>
      <c r="CF318" s="63"/>
      <c r="CG318" s="63"/>
      <c r="CH318" s="63"/>
      <c r="CI318" s="63"/>
      <c r="CK318" s="63"/>
      <c r="CL318" s="63"/>
      <c r="CM318" s="63"/>
      <c r="CN318" s="63"/>
      <c r="CP318" s="63"/>
      <c r="CQ318" s="63"/>
      <c r="CR318" s="63"/>
      <c r="CS318" s="63"/>
      <c r="CU318" s="63"/>
      <c r="CV318" s="63"/>
      <c r="CW318" s="63"/>
      <c r="CX318" s="63"/>
    </row>
    <row r="319" spans="1:102" s="77" customFormat="1" x14ac:dyDescent="0.2">
      <c r="A319" s="76"/>
      <c r="B319" s="76"/>
      <c r="C319" s="77" t="s">
        <v>392</v>
      </c>
      <c r="D319" s="89">
        <f>IFERROR(D111+D115+D119+D120+D121,"")</f>
        <v>0</v>
      </c>
      <c r="E319" s="89">
        <f>IFERROR(E111+E115+E119+E120+E121,"")</f>
        <v>0</v>
      </c>
      <c r="F319" s="89">
        <f>IFERROR(F111+F115+F119+F120+F121,"")</f>
        <v>0</v>
      </c>
      <c r="G319" s="89">
        <f>IFERROR(G111+G115+G119+G120+G121,"")</f>
        <v>0</v>
      </c>
      <c r="H319" s="260">
        <f>IFERROR((N(H111)+N(H115)+N(H119)+N(H120)+N(H121)),0)</f>
        <v>0</v>
      </c>
      <c r="I319" s="260">
        <f>IFERROR((N(I111)+N(I115)+N(I119)+N(I120)+N(I121)),0)</f>
        <v>0</v>
      </c>
      <c r="J319" s="260">
        <f>IFERROR((N(J111)+N(J115)+N(J119)+N(J120)+N(J121)),0)</f>
        <v>0</v>
      </c>
      <c r="K319" s="260">
        <f>IFERROR((N(K111)+N(K115)+N(K119)+N(K120)+N(K121)),0)</f>
        <v>0</v>
      </c>
      <c r="L319" s="260">
        <f>IFERROR((N(L111)+N(L115)+N(L119)+N(L120)+N(L121)),0)</f>
        <v>0</v>
      </c>
      <c r="M319" s="260">
        <f>IFERROR((N(M111)+N(M115)+N(M119)+N(M120)+N(M121)),0)</f>
        <v>0</v>
      </c>
      <c r="N319" s="260">
        <f>IFERROR((N(N111)+N(N115)+N(N119)+N(N120)+N(N121)),0)</f>
        <v>0</v>
      </c>
      <c r="O319" s="260">
        <f>IFERROR((N(O111)+N(O115)+N(O119)+N(O120)+N(O121)),0)</f>
        <v>0</v>
      </c>
      <c r="P319" s="260">
        <f>IFERROR((N(P111)+N(P115)+N(P119)+N(P120)+N(P121)),0)</f>
        <v>0</v>
      </c>
      <c r="Q319" s="260">
        <f>IFERROR((N(Q111)+N(Q115)+N(Q119)+N(Q120)+N(Q121)),0)</f>
        <v>0</v>
      </c>
      <c r="R319" s="260">
        <f>IFERROR((N(R111)+N(R115)+N(R119)+N(R120)+N(R121)),0)</f>
        <v>0</v>
      </c>
      <c r="S319" s="260">
        <f>IFERROR((N(S111)+N(S115)+N(S119)+N(S120)+N(S121)),0)</f>
        <v>0</v>
      </c>
      <c r="T319" s="260">
        <f>IFERROR((N(T111)+N(T115)+N(T119)+N(T120)+N(T121)),0)</f>
        <v>0</v>
      </c>
      <c r="U319" s="260">
        <f>IFERROR((N(U111)+N(U115)+N(U119)+N(U120)+N(U121)),0)</f>
        <v>0</v>
      </c>
      <c r="V319" s="260">
        <f>IFERROR((N(V111)+N(V115)+N(V119)+N(V120)+N(V121)),0)</f>
        <v>0</v>
      </c>
      <c r="W319" s="260">
        <f>IFERROR((N(W111)+N(W115)+N(W119)+N(W120)+N(W121)),0)</f>
        <v>0</v>
      </c>
      <c r="X319" s="260">
        <f>IFERROR((N(X111)+N(X115)+N(X119)+N(X120)+N(X121)),0)</f>
        <v>0</v>
      </c>
      <c r="Y319" s="260">
        <f>IFERROR((N(Y111)+N(Y115)+N(Y119)+N(Y120)+N(Y121)),0)</f>
        <v>0</v>
      </c>
      <c r="Z319" s="260">
        <f>IFERROR((N(Z111)+N(Z115)+N(Z119)+N(Z120)+N(Z121)),0)</f>
        <v>0</v>
      </c>
      <c r="AA319" s="260">
        <f>IFERROR((N(AA111)+N(AA115)+N(AA119)+N(AA120)+N(AA121)),0)</f>
        <v>0</v>
      </c>
      <c r="AB319" s="260">
        <f>IFERROR((N(AB111)+N(AB115)+N(AB119)+N(AB120)+N(AB121)),0)</f>
        <v>0</v>
      </c>
      <c r="AC319" s="260">
        <f>IFERROR((N(AC111)+N(AC115)+N(AC119)+N(AC120)+N(AC121)),0)</f>
        <v>0</v>
      </c>
      <c r="AD319" s="260">
        <f>IFERROR((N(AD111)+N(AD115)+N(AD119)+N(AD120)+N(AD121)),0)</f>
        <v>0</v>
      </c>
      <c r="AE319" s="260">
        <f>IFERROR((N(AE111)+N(AE115)+N(AE119)+N(AE120)+N(AE121)),0)</f>
        <v>0</v>
      </c>
      <c r="AF319" s="260">
        <f>IFERROR((N(AF111)+N(AF115)+N(AF119)+N(AF120)+N(AF121)),0)</f>
        <v>0</v>
      </c>
      <c r="AG319" s="260">
        <f>IFERROR((N(AG111)+N(AG115)+N(AG119)+N(AG120)+N(AG121)),0)</f>
        <v>0</v>
      </c>
      <c r="AH319" s="260">
        <f>IFERROR((N(AH111)+N(AH115)+N(AH119)+N(AH120)+N(AH121)),0)</f>
        <v>0</v>
      </c>
      <c r="AI319" s="260">
        <f>IFERROR((N(AI111)+N(AI115)+N(AI119)+N(AI120)+N(AI121)),0)</f>
        <v>0</v>
      </c>
      <c r="AJ319" s="260">
        <f>IFERROR((N(AJ111)+N(AJ115)+N(AJ119)+N(AJ120)+N(AJ121)),0)</f>
        <v>0</v>
      </c>
      <c r="AK319" s="260">
        <f>IFERROR((N(AK111)+N(AK115)+N(AK119)+N(AK120)+N(AK121)),0)</f>
        <v>0</v>
      </c>
      <c r="AL319" s="260">
        <f>IFERROR((N(AL111)+N(AL115)+N(AL119)+N(AL120)+N(AL121)),0)</f>
        <v>0</v>
      </c>
      <c r="AM319" s="260">
        <f>IFERROR((N(AM111)+N(AM115)+N(AM119)+N(AM120)+N(AM121)),0)</f>
        <v>0</v>
      </c>
      <c r="AN319" s="260">
        <f>IFERROR((N(AN111)+N(AN115)+N(AN119)+N(AN120)+N(AN121)),0)</f>
        <v>0</v>
      </c>
      <c r="AO319" s="260">
        <f>IFERROR((N(AO111)+N(AO115)+N(AO119)+N(AO120)+N(AO121)),0)</f>
        <v>0</v>
      </c>
      <c r="AP319" s="260">
        <f>IFERROR((N(AP111)+N(AP115)+N(AP119)+N(AP120)+N(AP121)),0)</f>
        <v>0</v>
      </c>
      <c r="AQ319" s="260">
        <f>IFERROR((N(AQ111)+N(AQ115)+N(AQ119)+N(AQ120)+N(AQ121)),0)</f>
        <v>0</v>
      </c>
      <c r="AR319" s="260">
        <f>IFERROR((N(AR111)+N(AR115)+N(AR119)+N(AR120)+N(AR121)),0)</f>
        <v>0</v>
      </c>
      <c r="AS319" s="260">
        <f>IFERROR((N(AS111)+N(AS115)+N(AS119)+N(AS120)+N(AS121)),0)</f>
        <v>0</v>
      </c>
      <c r="AT319" s="260">
        <f>IFERROR((N(AT111)+N(AT115)+N(AT119)+N(AT120)+N(AT121)),0)</f>
        <v>0</v>
      </c>
      <c r="AU319" s="260">
        <f>IFERROR((N(AU111)+N(AU115)+N(AU119)+N(AU120)+N(AU121)),0)</f>
        <v>0</v>
      </c>
      <c r="AV319" s="260">
        <f>IFERROR((N(AV111)+N(AV115)+N(AV119)+N(AV120)+N(AV121)),0)</f>
        <v>0</v>
      </c>
      <c r="AW319" s="260">
        <f>IFERROR((N(AW111)+N(AW115)+N(AW119)+N(AW120)+N(AW121)),0)</f>
        <v>0</v>
      </c>
      <c r="AX319" s="260">
        <f>IFERROR((N(AX111)+N(AX115)+N(AX119)+N(AX120)+N(AX121)),0)</f>
        <v>0</v>
      </c>
      <c r="AY319" s="260">
        <f>IFERROR((N(AY111)+N(AY115)+N(AY119)+N(AY120)+N(AY121)),0)</f>
        <v>0</v>
      </c>
      <c r="AZ319" s="260">
        <f>IFERROR((N(AZ111)+N(AZ115)+N(AZ119)+N(AZ120)+N(AZ121)),0)</f>
        <v>0</v>
      </c>
      <c r="BA319" s="260">
        <f>IFERROR((N(BA111)+N(BA115)+N(BA119)+N(BA120)+N(BA121)),0)</f>
        <v>0</v>
      </c>
      <c r="BB319" s="260">
        <f>IFERROR((N(BB111)+N(BB115)+N(BB119)+N(BB120)+N(BB121)),0)</f>
        <v>0</v>
      </c>
      <c r="BC319" s="260">
        <f>IFERROR((N(BC111)+N(BC115)+N(BC119)+N(BC120)+N(BC121)),0)</f>
        <v>0</v>
      </c>
      <c r="BD319" s="260">
        <f>IFERROR((N(BD111)+N(BD115)+N(BD119)+N(BD120)+N(BD121)),0)</f>
        <v>0</v>
      </c>
      <c r="BE319" s="260">
        <f>IFERROR((N(BE111)+N(BE115)+N(BE119)+N(BE120)+N(BE121)),0)</f>
        <v>0</v>
      </c>
      <c r="BF319" s="260">
        <f>IFERROR((N(BF111)+N(BF115)+N(BF119)+N(BF120)+N(BF121)),0)</f>
        <v>0</v>
      </c>
      <c r="BG319" s="90"/>
      <c r="BH319" s="90"/>
      <c r="BI319" s="90"/>
      <c r="BJ319" s="90"/>
      <c r="BL319" s="90"/>
      <c r="BM319" s="90"/>
      <c r="BN319" s="90"/>
      <c r="BO319" s="90"/>
      <c r="BQ319" s="90"/>
      <c r="BR319" s="90"/>
      <c r="BS319" s="90"/>
      <c r="BT319" s="90"/>
      <c r="BV319" s="90"/>
      <c r="BW319" s="90"/>
      <c r="BX319" s="90"/>
      <c r="BY319" s="90"/>
      <c r="CA319" s="90"/>
      <c r="CB319" s="90"/>
      <c r="CC319" s="90"/>
      <c r="CD319" s="90"/>
      <c r="CF319" s="90"/>
      <c r="CG319" s="90"/>
      <c r="CH319" s="90"/>
      <c r="CI319" s="90"/>
      <c r="CK319" s="90"/>
      <c r="CL319" s="90"/>
      <c r="CM319" s="90"/>
      <c r="CN319" s="90"/>
      <c r="CP319" s="90"/>
      <c r="CQ319" s="90"/>
      <c r="CR319" s="90"/>
      <c r="CS319" s="90"/>
      <c r="CU319" s="90"/>
      <c r="CV319" s="90"/>
      <c r="CW319" s="90"/>
      <c r="CX319" s="90"/>
    </row>
    <row r="320" spans="1:102" s="77" customFormat="1" x14ac:dyDescent="0.2">
      <c r="A320" s="76"/>
      <c r="B320" s="76"/>
      <c r="C320" s="77" t="s">
        <v>393</v>
      </c>
      <c r="D320" s="89">
        <f>IFERROR(D164+D168+D170+D171,"")</f>
        <v>0</v>
      </c>
      <c r="E320" s="89">
        <f>IFERROR(E164+E168+E170+E171,"")</f>
        <v>0</v>
      </c>
      <c r="F320" s="89">
        <f>IFERROR(F164+F168+F170+F171,"")</f>
        <v>0</v>
      </c>
      <c r="G320" s="89">
        <f>IFERROR(G164+G168+G170+G171,"")</f>
        <v>0</v>
      </c>
      <c r="H320" s="260">
        <f>IFERROR((N(H164)+N(H168)+N(H170)+N(H171)),0)</f>
        <v>0</v>
      </c>
      <c r="I320" s="260">
        <f>IFERROR((N(I164)+N(I168)+N(I170)+N(I171)),0)</f>
        <v>0</v>
      </c>
      <c r="J320" s="260">
        <f>IFERROR((N(J164)+N(J168)+N(J170)+N(J171)),0)</f>
        <v>0</v>
      </c>
      <c r="K320" s="260">
        <f>IFERROR((N(K164)+N(K168)+N(K170)+N(K171)),0)</f>
        <v>0</v>
      </c>
      <c r="L320" s="260">
        <f>IFERROR((N(L164)+N(L168)+N(L170)+N(L171)),0)</f>
        <v>0</v>
      </c>
      <c r="M320" s="260">
        <f>IFERROR((N(M164)+N(M168)+N(M170)+N(M171)),0)</f>
        <v>0</v>
      </c>
      <c r="N320" s="260">
        <f>IFERROR((N(N164)+N(N168)+N(N170)+N(N171)),0)</f>
        <v>0</v>
      </c>
      <c r="O320" s="260">
        <f>IFERROR((N(O164)+N(O168)+N(O170)+N(O171)),0)</f>
        <v>0</v>
      </c>
      <c r="P320" s="260">
        <f>IFERROR((N(P164)+N(P168)+N(P170)+N(P171)),0)</f>
        <v>0</v>
      </c>
      <c r="Q320" s="260">
        <f>IFERROR((N(Q164)+N(Q168)+N(Q170)+N(Q171)),0)</f>
        <v>0</v>
      </c>
      <c r="R320" s="260">
        <f>IFERROR((N(R164)+N(R168)+N(R170)+N(R171)),0)</f>
        <v>0</v>
      </c>
      <c r="S320" s="260">
        <f>IFERROR((N(S164)+N(S168)+N(S170)+N(S171)),0)</f>
        <v>0</v>
      </c>
      <c r="T320" s="260">
        <f>IFERROR((N(T164)+N(T168)+N(T170)+N(T171)),0)</f>
        <v>0</v>
      </c>
      <c r="U320" s="260">
        <f>IFERROR((N(U164)+N(U168)+N(U170)+N(U171)),0)</f>
        <v>0</v>
      </c>
      <c r="V320" s="260">
        <f>IFERROR((N(V164)+N(V168)+N(V170)+N(V171)),0)</f>
        <v>0</v>
      </c>
      <c r="W320" s="260">
        <f>IFERROR((N(W164)+N(W168)+N(W170)+N(W171)),0)</f>
        <v>0</v>
      </c>
      <c r="X320" s="260">
        <f>IFERROR((N(X164)+N(X168)+N(X170)+N(X171)),0)</f>
        <v>0</v>
      </c>
      <c r="Y320" s="260">
        <f>IFERROR((N(Y164)+N(Y168)+N(Y170)+N(Y171)),0)</f>
        <v>0</v>
      </c>
      <c r="Z320" s="260">
        <f>IFERROR((N(Z164)+N(Z168)+N(Z170)+N(Z171)),0)</f>
        <v>0</v>
      </c>
      <c r="AA320" s="260">
        <f>IFERROR((N(AA164)+N(AA168)+N(AA170)+N(AA171)),0)</f>
        <v>0</v>
      </c>
      <c r="AB320" s="260">
        <f>IFERROR((N(AB164)+N(AB168)+N(AB170)+N(AB171)),0)</f>
        <v>0</v>
      </c>
      <c r="AC320" s="260">
        <f>IFERROR((N(AC164)+N(AC168)+N(AC170)+N(AC171)),0)</f>
        <v>0</v>
      </c>
      <c r="AD320" s="260">
        <f>IFERROR((N(AD164)+N(AD168)+N(AD170)+N(AD171)),0)</f>
        <v>0</v>
      </c>
      <c r="AE320" s="260">
        <f>IFERROR((N(AE164)+N(AE168)+N(AE170)+N(AE171)),0)</f>
        <v>0</v>
      </c>
      <c r="AF320" s="260">
        <f>IFERROR((N(AF164)+N(AF168)+N(AF170)+N(AF171)),0)</f>
        <v>0</v>
      </c>
      <c r="AG320" s="260">
        <f>IFERROR((N(AG164)+N(AG168)+N(AG170)+N(AG171)),0)</f>
        <v>0</v>
      </c>
      <c r="AH320" s="260">
        <f>IFERROR((N(AH164)+N(AH168)+N(AH170)+N(AH171)),0)</f>
        <v>0</v>
      </c>
      <c r="AI320" s="260">
        <f>IFERROR((N(AI164)+N(AI168)+N(AI170)+N(AI171)),0)</f>
        <v>0</v>
      </c>
      <c r="AJ320" s="260">
        <f>IFERROR((N(AJ164)+N(AJ168)+N(AJ170)+N(AJ171)),0)</f>
        <v>0</v>
      </c>
      <c r="AK320" s="260">
        <f>IFERROR((N(AK164)+N(AK168)+N(AK170)+N(AK171)),0)</f>
        <v>0</v>
      </c>
      <c r="AL320" s="260">
        <f>IFERROR((N(AL164)+N(AL168)+N(AL170)+N(AL171)),0)</f>
        <v>0</v>
      </c>
      <c r="AM320" s="260">
        <f>IFERROR((N(AM164)+N(AM168)+N(AM170)+N(AM171)),0)</f>
        <v>0</v>
      </c>
      <c r="AN320" s="260">
        <f>IFERROR((N(AN164)+N(AN168)+N(AN170)+N(AN171)),0)</f>
        <v>0</v>
      </c>
      <c r="AO320" s="260">
        <f>IFERROR((N(AO164)+N(AO168)+N(AO170)+N(AO171)),0)</f>
        <v>0</v>
      </c>
      <c r="AP320" s="260">
        <f>IFERROR((N(AP164)+N(AP168)+N(AP170)+N(AP171)),0)</f>
        <v>0</v>
      </c>
      <c r="AQ320" s="260">
        <f>IFERROR((N(AQ164)+N(AQ168)+N(AQ170)+N(AQ171)),0)</f>
        <v>0</v>
      </c>
      <c r="AR320" s="260">
        <f>IFERROR((N(AR164)+N(AR168)+N(AR170)+N(AR171)),0)</f>
        <v>0</v>
      </c>
      <c r="AS320" s="260">
        <f>IFERROR((N(AS164)+N(AS168)+N(AS170)+N(AS171)),0)</f>
        <v>0</v>
      </c>
      <c r="AT320" s="260">
        <f>IFERROR((N(AT164)+N(AT168)+N(AT170)+N(AT171)),0)</f>
        <v>0</v>
      </c>
      <c r="AU320" s="260">
        <f>IFERROR((N(AU164)+N(AU168)+N(AU170)+N(AU171)),0)</f>
        <v>0</v>
      </c>
      <c r="AV320" s="260">
        <f>IFERROR((N(AV164)+N(AV168)+N(AV170)+N(AV171)),0)</f>
        <v>0</v>
      </c>
      <c r="AW320" s="260">
        <f>IFERROR((N(AW164)+N(AW168)+N(AW170)+N(AW171)),0)</f>
        <v>0</v>
      </c>
      <c r="AX320" s="260">
        <f>IFERROR((N(AX164)+N(AX168)+N(AX170)+N(AX171)),0)</f>
        <v>0</v>
      </c>
      <c r="AY320" s="260">
        <f>IFERROR((N(AY164)+N(AY168)+N(AY170)+N(AY171)),0)</f>
        <v>0</v>
      </c>
      <c r="AZ320" s="260">
        <f>IFERROR((N(AZ164)+N(AZ168)+N(AZ170)+N(AZ171)),0)</f>
        <v>0</v>
      </c>
      <c r="BA320" s="260">
        <f>IFERROR((N(BA164)+N(BA168)+N(BA170)+N(BA171)),0)</f>
        <v>0</v>
      </c>
      <c r="BB320" s="260">
        <f>IFERROR((N(BB164)+N(BB168)+N(BB170)+N(BB171)),0)</f>
        <v>0</v>
      </c>
      <c r="BC320" s="260">
        <f>IFERROR((N(BC164)+N(BC168)+N(BC170)+N(BC171)),0)</f>
        <v>0</v>
      </c>
      <c r="BD320" s="260">
        <f>IFERROR((N(BD164)+N(BD168)+N(BD170)+N(BD171)),0)</f>
        <v>0</v>
      </c>
      <c r="BE320" s="260">
        <f>IFERROR((N(BE164)+N(BE168)+N(BE170)+N(BE171)),0)</f>
        <v>0</v>
      </c>
      <c r="BF320" s="260">
        <f>IFERROR((N(BF164)+N(BF168)+N(BF170)+N(BF171)),0)</f>
        <v>0</v>
      </c>
      <c r="BG320" s="90"/>
      <c r="BH320" s="90"/>
      <c r="BI320" s="90"/>
      <c r="BJ320" s="90"/>
      <c r="BL320" s="90"/>
      <c r="BM320" s="90"/>
      <c r="BN320" s="90"/>
      <c r="BO320" s="90"/>
      <c r="BQ320" s="90"/>
      <c r="BR320" s="90"/>
      <c r="BS320" s="90"/>
      <c r="BT320" s="90"/>
      <c r="BV320" s="90"/>
      <c r="BW320" s="90"/>
      <c r="BX320" s="90"/>
      <c r="BY320" s="90"/>
      <c r="CA320" s="90"/>
      <c r="CB320" s="90"/>
      <c r="CC320" s="90"/>
      <c r="CD320" s="90"/>
      <c r="CF320" s="90"/>
      <c r="CG320" s="90"/>
      <c r="CH320" s="90"/>
      <c r="CI320" s="90"/>
      <c r="CK320" s="90"/>
      <c r="CL320" s="90"/>
      <c r="CM320" s="90"/>
      <c r="CN320" s="90"/>
      <c r="CP320" s="90"/>
      <c r="CQ320" s="90"/>
      <c r="CR320" s="90"/>
      <c r="CS320" s="90"/>
      <c r="CU320" s="90"/>
      <c r="CV320" s="90"/>
      <c r="CW320" s="90"/>
      <c r="CX320" s="90"/>
    </row>
    <row r="321" spans="1:103" s="77" customFormat="1" x14ac:dyDescent="0.2">
      <c r="A321" s="76"/>
      <c r="B321" s="76"/>
      <c r="C321" s="77" t="s">
        <v>228</v>
      </c>
      <c r="D321" s="89">
        <f>IFERROR(D132+D142+D145+D146+D155-D206,"")</f>
        <v>0</v>
      </c>
      <c r="E321" s="89">
        <f>IFERROR(E132+E142+E145+E146+E155-E206,"")</f>
        <v>0</v>
      </c>
      <c r="F321" s="89">
        <f>IFERROR(F132+F142+F145+F146+F155-F206,"")</f>
        <v>0</v>
      </c>
      <c r="G321" s="89">
        <f>IFERROR(G132+G142+G145+G146+G155-G206,"")</f>
        <v>0</v>
      </c>
      <c r="H321" s="260">
        <f>IFERROR((N(H132)+N(H142)+N(H145)+N(H146)+N(H155))-N(H206),0)</f>
        <v>0</v>
      </c>
      <c r="I321" s="260">
        <f>IFERROR((N(I132)+N(I142)+N(I145)+N(I146)+N(I155))-N(I206),0)</f>
        <v>0</v>
      </c>
      <c r="J321" s="260">
        <f>IFERROR((N(J132)+N(J142)+N(J145)+N(J146)+N(J155))-N(J206),0)</f>
        <v>0</v>
      </c>
      <c r="K321" s="260">
        <f>IFERROR((N(K132)+N(K142)+N(K145)+N(K146)+N(K155))-N(K206),0)</f>
        <v>0</v>
      </c>
      <c r="L321" s="260">
        <f>IFERROR((N(L132)+N(L142)+N(L145)+N(L146)+N(L155))-N(L206),0)</f>
        <v>0</v>
      </c>
      <c r="M321" s="260">
        <f>IFERROR((N(M132)+N(M142)+N(M145)+N(M146)+N(M155))-N(M206),0)</f>
        <v>0</v>
      </c>
      <c r="N321" s="260">
        <f>IFERROR((N(N132)+N(N142)+N(N145)+N(N146)+N(N155))-N(N206),0)</f>
        <v>0</v>
      </c>
      <c r="O321" s="260">
        <f>IFERROR((N(O132)+N(O142)+N(O145)+N(O146)+N(O155))-N(O206),0)</f>
        <v>0</v>
      </c>
      <c r="P321" s="260">
        <f>IFERROR((N(P132)+N(P142)+N(P145)+N(P146)+N(P155))-N(P206),0)</f>
        <v>0</v>
      </c>
      <c r="Q321" s="260">
        <f>IFERROR((N(Q132)+N(Q142)+N(Q145)+N(Q146)+N(Q155))-N(Q206),0)</f>
        <v>0</v>
      </c>
      <c r="R321" s="260">
        <f>IFERROR((N(R132)+N(R142)+N(R145)+N(R146)+N(R155))-N(R206),0)</f>
        <v>0</v>
      </c>
      <c r="S321" s="260">
        <f>IFERROR((N(S132)+N(S142)+N(S145)+N(S146)+N(S155))-N(S206),0)</f>
        <v>0</v>
      </c>
      <c r="T321" s="260">
        <f>IFERROR((N(T132)+N(T142)+N(T145)+N(T146)+N(T155))-N(T206),0)</f>
        <v>0</v>
      </c>
      <c r="U321" s="260">
        <f>IFERROR((N(U132)+N(U142)+N(U145)+N(U146)+N(U155))-N(U206),0)</f>
        <v>0</v>
      </c>
      <c r="V321" s="260">
        <f>IFERROR((N(V132)+N(V142)+N(V145)+N(V146)+N(V155))-N(V206),0)</f>
        <v>0</v>
      </c>
      <c r="W321" s="260">
        <f>IFERROR((N(W132)+N(W142)+N(W145)+N(W146)+N(W155))-N(W206),0)</f>
        <v>0</v>
      </c>
      <c r="X321" s="260">
        <f>IFERROR((N(X132)+N(X142)+N(X145)+N(X146)+N(X155))-N(X206),0)</f>
        <v>0</v>
      </c>
      <c r="Y321" s="260">
        <f>IFERROR((N(Y132)+N(Y142)+N(Y145)+N(Y146)+N(Y155))-N(Y206),0)</f>
        <v>0</v>
      </c>
      <c r="Z321" s="260">
        <f>IFERROR((N(Z132)+N(Z142)+N(Z145)+N(Z146)+N(Z155))-N(Z206),0)</f>
        <v>0</v>
      </c>
      <c r="AA321" s="260">
        <f>IFERROR((N(AA132)+N(AA142)+N(AA145)+N(AA146)+N(AA155))-N(AA206),0)</f>
        <v>0</v>
      </c>
      <c r="AB321" s="260">
        <f>IFERROR((N(AB132)+N(AB142)+N(AB145)+N(AB146)+N(AB155))-N(AB206),0)</f>
        <v>0</v>
      </c>
      <c r="AC321" s="260">
        <f>IFERROR((N(AC132)+N(AC142)+N(AC145)+N(AC146)+N(AC155))-N(AC206),0)</f>
        <v>0</v>
      </c>
      <c r="AD321" s="260">
        <f>IFERROR((N(AD132)+N(AD142)+N(AD145)+N(AD146)+N(AD155))-N(AD206),0)</f>
        <v>0</v>
      </c>
      <c r="AE321" s="260">
        <f>IFERROR((N(AE132)+N(AE142)+N(AE145)+N(AE146)+N(AE155))-N(AE206),0)</f>
        <v>0</v>
      </c>
      <c r="AF321" s="260">
        <f>IFERROR((N(AF132)+N(AF142)+N(AF145)+N(AF146)+N(AF155))-N(AF206),0)</f>
        <v>0</v>
      </c>
      <c r="AG321" s="260">
        <f>IFERROR((N(AG132)+N(AG142)+N(AG145)+N(AG146)+N(AG155))-N(AG206),0)</f>
        <v>0</v>
      </c>
      <c r="AH321" s="260">
        <f>IFERROR((N(AH132)+N(AH142)+N(AH145)+N(AH146)+N(AH155))-N(AH206),0)</f>
        <v>0</v>
      </c>
      <c r="AI321" s="260">
        <f>IFERROR((N(AI132)+N(AI142)+N(AI145)+N(AI146)+N(AI155))-N(AI206),0)</f>
        <v>0</v>
      </c>
      <c r="AJ321" s="260">
        <f>IFERROR((N(AJ132)+N(AJ142)+N(AJ145)+N(AJ146)+N(AJ155))-N(AJ206),0)</f>
        <v>0</v>
      </c>
      <c r="AK321" s="260">
        <f>IFERROR((N(AK132)+N(AK142)+N(AK145)+N(AK146)+N(AK155))-N(AK206),0)</f>
        <v>0</v>
      </c>
      <c r="AL321" s="260">
        <f>IFERROR((N(AL132)+N(AL142)+N(AL145)+N(AL146)+N(AL155))-N(AL206),0)</f>
        <v>0</v>
      </c>
      <c r="AM321" s="260">
        <f>IFERROR((N(AM132)+N(AM142)+N(AM145)+N(AM146)+N(AM155))-N(AM206),0)</f>
        <v>0</v>
      </c>
      <c r="AN321" s="260">
        <f>IFERROR((N(AN132)+N(AN142)+N(AN145)+N(AN146)+N(AN155))-N(AN206),0)</f>
        <v>0</v>
      </c>
      <c r="AO321" s="260">
        <f>IFERROR((N(AO132)+N(AO142)+N(AO145)+N(AO146)+N(AO155))-N(AO206),0)</f>
        <v>0</v>
      </c>
      <c r="AP321" s="260">
        <f>IFERROR((N(AP132)+N(AP142)+N(AP145)+N(AP146)+N(AP155))-N(AP206),0)</f>
        <v>0</v>
      </c>
      <c r="AQ321" s="260">
        <f>IFERROR((N(AQ132)+N(AQ142)+N(AQ145)+N(AQ146)+N(AQ155))-N(AQ206),0)</f>
        <v>0</v>
      </c>
      <c r="AR321" s="260">
        <f>IFERROR((N(AR132)+N(AR142)+N(AR145)+N(AR146)+N(AR155))-N(AR206),0)</f>
        <v>0</v>
      </c>
      <c r="AS321" s="260">
        <f>IFERROR((N(AS132)+N(AS142)+N(AS145)+N(AS146)+N(AS155))-N(AS206),0)</f>
        <v>0</v>
      </c>
      <c r="AT321" s="260">
        <f>IFERROR((N(AT132)+N(AT142)+N(AT145)+N(AT146)+N(AT155))-N(AT206),0)</f>
        <v>0</v>
      </c>
      <c r="AU321" s="260">
        <f>IFERROR((N(AU132)+N(AU142)+N(AU145)+N(AU146)+N(AU155))-N(AU206),0)</f>
        <v>0</v>
      </c>
      <c r="AV321" s="260">
        <f>IFERROR((N(AV132)+N(AV142)+N(AV145)+N(AV146)+N(AV155))-N(AV206),0)</f>
        <v>0</v>
      </c>
      <c r="AW321" s="260">
        <f>IFERROR((N(AW132)+N(AW142)+N(AW145)+N(AW146)+N(AW155))-N(AW206),0)</f>
        <v>0</v>
      </c>
      <c r="AX321" s="260">
        <f>IFERROR((N(AX132)+N(AX142)+N(AX145)+N(AX146)+N(AX155))-N(AX206),0)</f>
        <v>0</v>
      </c>
      <c r="AY321" s="260">
        <f>IFERROR((N(AY132)+N(AY142)+N(AY145)+N(AY146)+N(AY155))-N(AY206),0)</f>
        <v>0</v>
      </c>
      <c r="AZ321" s="260">
        <f>IFERROR((N(AZ132)+N(AZ142)+N(AZ145)+N(AZ146)+N(AZ155))-N(AZ206),0)</f>
        <v>0</v>
      </c>
      <c r="BA321" s="260">
        <f>IFERROR((N(BA132)+N(BA142)+N(BA145)+N(BA146)+N(BA155))-N(BA206),0)</f>
        <v>0</v>
      </c>
      <c r="BB321" s="260">
        <f>IFERROR((N(BB132)+N(BB142)+N(BB145)+N(BB146)+N(BB155))-N(BB206),0)</f>
        <v>0</v>
      </c>
      <c r="BC321" s="260">
        <f>IFERROR((N(BC132)+N(BC142)+N(BC145)+N(BC146)+N(BC155))-N(BC206),0)</f>
        <v>0</v>
      </c>
      <c r="BD321" s="260">
        <f>IFERROR((N(BD132)+N(BD142)+N(BD145)+N(BD146)+N(BD155))-N(BD206),0)</f>
        <v>0</v>
      </c>
      <c r="BE321" s="260">
        <f>IFERROR((N(BE132)+N(BE142)+N(BE145)+N(BE146)+N(BE155))-N(BE206),0)</f>
        <v>0</v>
      </c>
      <c r="BF321" s="260">
        <f>IFERROR((N(BF132)+N(BF142)+N(BF145)+N(BF146)+N(BF155))-N(BF206),0)</f>
        <v>0</v>
      </c>
      <c r="BG321" s="90"/>
      <c r="BH321" s="90"/>
      <c r="BI321" s="90"/>
      <c r="BJ321" s="90"/>
      <c r="BL321" s="90"/>
      <c r="BM321" s="90"/>
      <c r="BN321" s="90"/>
      <c r="BO321" s="90"/>
      <c r="BQ321" s="90"/>
      <c r="BR321" s="90"/>
      <c r="BS321" s="90"/>
      <c r="BT321" s="90"/>
      <c r="BV321" s="90"/>
      <c r="BW321" s="90"/>
      <c r="BX321" s="90"/>
      <c r="BY321" s="90"/>
      <c r="CA321" s="90"/>
      <c r="CB321" s="90"/>
      <c r="CC321" s="90"/>
      <c r="CD321" s="90"/>
      <c r="CF321" s="90"/>
      <c r="CG321" s="90"/>
      <c r="CH321" s="90"/>
      <c r="CI321" s="90"/>
      <c r="CK321" s="90"/>
      <c r="CL321" s="90"/>
      <c r="CM321" s="90"/>
      <c r="CN321" s="90"/>
      <c r="CP321" s="90"/>
      <c r="CQ321" s="90"/>
      <c r="CR321" s="90"/>
      <c r="CS321" s="90"/>
      <c r="CU321" s="90"/>
      <c r="CV321" s="90"/>
      <c r="CW321" s="90"/>
      <c r="CX321" s="90"/>
    </row>
    <row r="322" spans="1:103" s="77" customFormat="1" x14ac:dyDescent="0.2">
      <c r="A322" s="76"/>
      <c r="B322" s="76"/>
    </row>
    <row r="323" spans="1:103" s="77" customFormat="1" x14ac:dyDescent="0.2">
      <c r="A323" s="76"/>
      <c r="B323" s="76"/>
    </row>
    <row r="324" spans="1:103" s="77" customFormat="1" x14ac:dyDescent="0.2">
      <c r="A324" s="76"/>
      <c r="B324" s="76"/>
    </row>
    <row r="325" spans="1:103" s="77" customFormat="1" x14ac:dyDescent="0.2">
      <c r="A325" s="76"/>
      <c r="B325" s="76"/>
    </row>
    <row r="326" spans="1:103" s="77" customFormat="1" x14ac:dyDescent="0.2">
      <c r="A326" s="76"/>
      <c r="B326" s="76"/>
    </row>
    <row r="327" spans="1:103" s="77" customFormat="1" x14ac:dyDescent="0.2">
      <c r="A327" s="76"/>
      <c r="B327" s="76"/>
    </row>
    <row r="328" spans="1:103" s="77" customFormat="1" x14ac:dyDescent="0.2">
      <c r="A328" s="76"/>
      <c r="B328" s="76"/>
    </row>
    <row r="329" spans="1:103" s="77" customFormat="1" x14ac:dyDescent="0.2">
      <c r="A329" s="76"/>
      <c r="B329" s="76"/>
      <c r="C329" s="74" t="s">
        <v>229</v>
      </c>
    </row>
    <row r="330" spans="1:103" s="77" customFormat="1" x14ac:dyDescent="0.2">
      <c r="A330" s="76"/>
      <c r="B330" s="76"/>
      <c r="C330" s="77" t="s">
        <v>394</v>
      </c>
      <c r="D330" s="84" t="str">
        <f>IFERROR(D103/D15,"")</f>
        <v/>
      </c>
      <c r="E330" s="84" t="str">
        <f>IFERROR(E103/E15,"")</f>
        <v/>
      </c>
      <c r="F330" s="84" t="str">
        <f>IFERROR(F103/F15,"")</f>
        <v/>
      </c>
      <c r="G330" s="84" t="str">
        <f>IFERROR(G103/G15,"")</f>
        <v/>
      </c>
      <c r="H330" s="258" t="str">
        <f>IFERROR(IF(AND(COUNT(H103)=1,(H15)&lt;&gt;0),(H103)/(H15),""),"")</f>
        <v/>
      </c>
      <c r="I330" s="257" t="str">
        <f>""</f>
        <v/>
      </c>
      <c r="J330" s="257" t="str">
        <f>""</f>
        <v/>
      </c>
      <c r="K330" s="257" t="str">
        <f>""</f>
        <v/>
      </c>
      <c r="L330" s="257" t="str">
        <f>IFERROR(IF(AND(COUNT(I103,J103,K103,L103)=4,(I15+J15+K15+L15)&lt;&gt;0),(I103+J103+K103+L103)/(I15+J15+K15+L15),""),"")</f>
        <v/>
      </c>
      <c r="M330" s="258" t="str">
        <f>IFERROR(IF(AND(COUNT(I103,J103,K103,L103)=4,(I15+J15+K15+L15)&lt;&gt;0),(I103+J103+K103+L103)/(I15+J15+K15+L15),""),"")</f>
        <v/>
      </c>
      <c r="N330" s="257" t="str">
        <f>IFERROR(IF(AND(COUNT(J103,K103,L103,N103)=4,(J15+K15+L15+N15)&lt;&gt;0),(J103+K103+L103+N103)/(J15+K15+L15+N15),""),"")</f>
        <v/>
      </c>
      <c r="O330" s="257" t="str">
        <f>IFERROR(IF(AND(COUNT(K103,L103,N103,O103)=4,(K15+L15+N15+O15)&lt;&gt;0),(K103+L103+N103+O103)/(K15+L15+N15+O15),""),"")</f>
        <v/>
      </c>
      <c r="P330" s="257" t="str">
        <f>IFERROR(IF(AND(COUNT(L103,N103,O103,P103)=4,(L15+N15+O15+P15)&lt;&gt;0),(L103+N103+O103+P103)/(L15+N15+O15+P15),""),"")</f>
        <v/>
      </c>
      <c r="Q330" s="257" t="str">
        <f>IFERROR(IF(AND(COUNT(N103,O103,P103,Q103)=4,(N15+O15+P15+Q15)&lt;&gt;0),(N103+O103+P103+Q103)/(N15+O15+P15+Q15),""),"")</f>
        <v/>
      </c>
      <c r="R330" s="258" t="str">
        <f>IFERROR(IF(AND(COUNT(N103,O103,P103,Q103)=4,(N15+O15+P15+Q15)&lt;&gt;0),(N103+O103+P103+Q103)/(N15+O15+P15+Q15),""),"")</f>
        <v/>
      </c>
      <c r="S330" s="257" t="str">
        <f>IFERROR(IF(AND(COUNT(O103,P103,Q103,S103)=4,(O15+P15+Q15+S15)&lt;&gt;0),(O103+P103+Q103+S103)/(O15+P15+Q15+S15),""),"")</f>
        <v/>
      </c>
      <c r="T330" s="257" t="str">
        <f>IFERROR(IF(AND(COUNT(P103,Q103,S103,T103)=4,(P15+Q15+S15+T15)&lt;&gt;0),(P103+Q103+S103+T103)/(P15+Q15+S15+T15),""),"")</f>
        <v/>
      </c>
      <c r="U330" s="257" t="str">
        <f>IFERROR(IF(AND(COUNT(Q103,S103,T103,U103)=4,(Q15+S15+T15+U15)&lt;&gt;0),(Q103+S103+T103+U103)/(Q15+S15+T15+U15),""),"")</f>
        <v/>
      </c>
      <c r="V330" s="257" t="str">
        <f>IFERROR(IF(AND(COUNT(S103,T103,U103,V103)=4,(S15+T15+U15+V15)&lt;&gt;0),(S103+T103+U103+V103)/(S15+T15+U15+V15),""),"")</f>
        <v/>
      </c>
      <c r="W330" s="258" t="str">
        <f>IFERROR(IF(AND(COUNT(S103,T103,U103,V103)=4,(S15+T15+U15+V15)&lt;&gt;0),(S103+T103+U103+V103)/(S15+T15+U15+V15),""),"")</f>
        <v/>
      </c>
      <c r="X330" s="257" t="str">
        <f>IFERROR(IF(AND(COUNT(T103,U103,V103,X103)=4,(T15+U15+V15+X15)&lt;&gt;0),(T103+U103+V103+X103)/(T15+U15+V15+X15),""),"")</f>
        <v/>
      </c>
      <c r="Y330" s="257" t="str">
        <f>IFERROR(IF(AND(COUNT(U103,V103,X103,Y103)=4,(U15+V15+X15+Y15)&lt;&gt;0),(U103+V103+X103+Y103)/(U15+V15+X15+Y15),""),"")</f>
        <v/>
      </c>
      <c r="Z330" s="257" t="str">
        <f>IFERROR(IF(AND(COUNT(V103,X103,Y103,Z103)=4,(V15+X15+Y15+Z15)&lt;&gt;0),(V103+X103+Y103+Z103)/(V15+X15+Y15+Z15),""),"")</f>
        <v/>
      </c>
      <c r="AA330" s="257" t="str">
        <f>IFERROR(IF(AND(COUNT(X103,Y103,Z103,AA103)=4,(X15+Y15+Z15+AA15)&lt;&gt;0),(X103+Y103+Z103+AA103)/(X15+Y15+Z15+AA15),""),"")</f>
        <v/>
      </c>
      <c r="AB330" s="258" t="str">
        <f>IFERROR(IF(AND(COUNT(X103,Y103,Z103,AA103)=4,(X15+Y15+Z15+AA15)&lt;&gt;0),(X103+Y103+Z103+AA103)/(X15+Y15+Z15+AA15),""),"")</f>
        <v/>
      </c>
      <c r="AC330" s="257" t="str">
        <f>IFERROR(IF(AND(COUNT(Y103,Z103,AA103,AC103)=4,(Y15+Z15+AA15+AC15)&lt;&gt;0),(Y103+Z103+AA103+AC103)/(Y15+Z15+AA15+AC15),""),"")</f>
        <v/>
      </c>
      <c r="AD330" s="257" t="str">
        <f>IFERROR(IF(AND(COUNT(Z103,AA103,AC103,AD103)=4,(Z15+AA15+AC15+AD15)&lt;&gt;0),(Z103+AA103+AC103+AD103)/(Z15+AA15+AC15+AD15),""),"")</f>
        <v/>
      </c>
      <c r="AE330" s="257" t="str">
        <f>IFERROR(IF(AND(COUNT(AA103,AC103,AD103,AE103)=4,(AA15+AC15+AD15+AE15)&lt;&gt;0),(AA103+AC103+AD103+AE103)/(AA15+AC15+AD15+AE15),""),"")</f>
        <v/>
      </c>
      <c r="AF330" s="257" t="str">
        <f>IFERROR(IF(AND(COUNT(AC103,AD103,AE103,AF103)=4,(AC15+AD15+AE15+AF15)&lt;&gt;0),(AC103+AD103+AE103+AF103)/(AC15+AD15+AE15+AF15),""),"")</f>
        <v/>
      </c>
      <c r="AG330" s="258" t="str">
        <f>IFERROR(IF(AND(COUNT(AC103,AD103,AE103,AF103)=4,(AC15+AD15+AE15+AF15)&lt;&gt;0),(AC103+AD103+AE103+AF103)/(AC15+AD15+AE15+AF15),""),"")</f>
        <v/>
      </c>
      <c r="AH330" s="257" t="str">
        <f>IFERROR(IF(AND(COUNT(AD103,AE103,AF103,AH103)=4,(AD15+AE15+AF15+AH15)&lt;&gt;0),(AD103+AE103+AF103+AH103)/(AD15+AE15+AF15+AH15),""),"")</f>
        <v/>
      </c>
      <c r="AI330" s="257" t="str">
        <f>IFERROR(IF(AND(COUNT(AE103,AF103,AH103,AI103)=4,(AE15+AF15+AH15+AI15)&lt;&gt;0),(AE103+AF103+AH103+AI103)/(AE15+AF15+AH15+AI15),""),"")</f>
        <v/>
      </c>
      <c r="AJ330" s="257" t="str">
        <f>IFERROR(IF(AND(COUNT(AF103,AH103,AI103,AJ103)=4,(AF15+AH15+AI15+AJ15)&lt;&gt;0),(AF103+AH103+AI103+AJ103)/(AF15+AH15+AI15+AJ15),""),"")</f>
        <v/>
      </c>
      <c r="AK330" s="257" t="str">
        <f>IFERROR(IF(AND(COUNT(AH103,AI103,AJ103,AK103)=4,(AH15+AI15+AJ15+AK15)&lt;&gt;0),(AH103+AI103+AJ103+AK103)/(AH15+AI15+AJ15+AK15),""),"")</f>
        <v/>
      </c>
      <c r="AL330" s="258" t="str">
        <f>IFERROR(IF(AND(COUNT(AH103,AI103,AJ103,AK103)=4,(AH15+AI15+AJ15+AK15)&lt;&gt;0),(AH103+AI103+AJ103+AK103)/(AH15+AI15+AJ15+AK15),""),"")</f>
        <v/>
      </c>
      <c r="AM330" s="257" t="str">
        <f>IFERROR(IF(AND(COUNT(AI103,AJ103,AK103,AM103)=4,(AI15+AJ15+AK15+AM15)&lt;&gt;0),(AI103+AJ103+AK103+AM103)/(AI15+AJ15+AK15+AM15),""),"")</f>
        <v/>
      </c>
      <c r="AN330" s="257" t="str">
        <f>IFERROR(IF(AND(COUNT(AJ103,AK103,AM103,AN103)=4,(AJ15+AK15+AM15+AN15)&lt;&gt;0),(AJ103+AK103+AM103+AN103)/(AJ15+AK15+AM15+AN15),""),"")</f>
        <v/>
      </c>
      <c r="AO330" s="257" t="str">
        <f>IFERROR(IF(AND(COUNT(AK103,AM103,AN103,AO103)=4,(AK15+AM15+AN15+AO15)&lt;&gt;0),(AK103+AM103+AN103+AO103)/(AK15+AM15+AN15+AO15),""),"")</f>
        <v/>
      </c>
      <c r="AP330" s="257" t="str">
        <f>IFERROR(IF(AND(COUNT(AM103,AN103,AO103,AP103)=4,(AM15+AN15+AO15+AP15)&lt;&gt;0),(AM103+AN103+AO103+AP103)/(AM15+AN15+AO15+AP15),""),"")</f>
        <v/>
      </c>
      <c r="AQ330" s="258" t="str">
        <f>IFERROR(IF(AND(COUNT(AM103,AN103,AO103,AP103)=4,(AM15+AN15+AO15+AP15)&lt;&gt;0),(AM103+AN103+AO103+AP103)/(AM15+AN15+AO15+AP15),""),"")</f>
        <v/>
      </c>
      <c r="AR330" s="257" t="str">
        <f>IFERROR(IF(AND(COUNT(AN103,AO103,AP103,AR103)=4,(AN15+AO15+AP15+AR15)&lt;&gt;0),(AN103+AO103+AP103+AR103)/(AN15+AO15+AP15+AR15),""),"")</f>
        <v/>
      </c>
      <c r="AS330" s="257" t="str">
        <f>IFERROR(IF(AND(COUNT(AO103,AP103,AR103,AS103)=4,(AO15+AP15+AR15+AS15)&lt;&gt;0),(AO103+AP103+AR103+AS103)/(AO15+AP15+AR15+AS15),""),"")</f>
        <v/>
      </c>
      <c r="AT330" s="257" t="str">
        <f>IFERROR(IF(AND(COUNT(AP103,AR103,AS103,AT103)=4,(AP15+AR15+AS15+AT15)&lt;&gt;0),(AP103+AR103+AS103+AT103)/(AP15+AR15+AS15+AT15),""),"")</f>
        <v/>
      </c>
      <c r="AU330" s="257" t="str">
        <f>IFERROR(IF(AND(COUNT(AR103,AS103,AT103,AU103)=4,(AR15+AS15+AT15+AU15)&lt;&gt;0),(AR103+AS103+AT103+AU103)/(AR15+AS15+AT15+AU15),""),"")</f>
        <v/>
      </c>
      <c r="AV330" s="258" t="str">
        <f>IFERROR(IF(AND(COUNT(AR103,AS103,AT103,AU103)=4,(AR15+AS15+AT15+AU15)&lt;&gt;0),(AR103+AS103+AT103+AU103)/(AR15+AS15+AT15+AU15),""),"")</f>
        <v/>
      </c>
      <c r="AW330" s="257" t="str">
        <f>IFERROR(IF(AND(COUNT(AS103,AT103,AU103,AW103)=4,(AS15+AT15+AU15+AW15)&lt;&gt;0),(AS103+AT103+AU103+AW103)/(AS15+AT15+AU15+AW15),""),"")</f>
        <v/>
      </c>
      <c r="AX330" s="257" t="str">
        <f>IFERROR(IF(AND(COUNT(AT103,AU103,AW103,AX103)=4,(AT15+AU15+AW15+AX15)&lt;&gt;0),(AT103+AU103+AW103+AX103)/(AT15+AU15+AW15+AX15),""),"")</f>
        <v/>
      </c>
      <c r="AY330" s="257" t="str">
        <f>IFERROR(IF(AND(COUNT(AU103,AW103,AX103,AY103)=4,(AU15+AW15+AX15+AY15)&lt;&gt;0),(AU103+AW103+AX103+AY103)/(AU15+AW15+AX15+AY15),""),"")</f>
        <v/>
      </c>
      <c r="AZ330" s="257" t="str">
        <f>IFERROR(IF(AND(COUNT(AW103,AX103,AY103,AZ103)=4,(AW15+AX15+AY15+AZ15)&lt;&gt;0),(AW103+AX103+AY103+AZ103)/(AW15+AX15+AY15+AZ15),""),"")</f>
        <v/>
      </c>
      <c r="BA330" s="258" t="str">
        <f>IFERROR(IF(AND(COUNT(AW103,AX103,AY103,AZ103)=4,(AW15+AX15+AY15+AZ15)&lt;&gt;0),(AW103+AX103+AY103+AZ103)/(AW15+AX15+AY15+AZ15),""),"")</f>
        <v/>
      </c>
      <c r="BB330" s="257" t="str">
        <f>IFERROR(IF(AND(COUNT(AX103,AY103,AZ103,BB103)=4,(AX15+AY15+AZ15+BB15)&lt;&gt;0),(AX103+AY103+AZ103+BB103)/(AX15+AY15+AZ15+BB15),""),"")</f>
        <v/>
      </c>
      <c r="BC330" s="257" t="str">
        <f>IFERROR(IF(AND(COUNT(AY103,AZ103,BB103,BC103)=4,(AY15+AZ15+BB15+BC15)&lt;&gt;0),(AY103+AZ103+BB103+BC103)/(AY15+AZ15+BB15+BC15),""),"")</f>
        <v/>
      </c>
      <c r="BD330" s="257" t="str">
        <f>IFERROR(IF(AND(COUNT(AZ103,BB103,BC103,BD103)=4,(AZ15+BB15+BC15+BD15)&lt;&gt;0),(AZ103+BB103+BC103+BD103)/(AZ15+BB15+BC15+BD15),""),"")</f>
        <v/>
      </c>
      <c r="BE330" s="257" t="str">
        <f>IFERROR(IF(AND(COUNT(BB103,BC103,BD103,BE103)=4,(BB15+BC15+BD15+BE15)&lt;&gt;0),(BB103+BC103+BD103+BE103)/(BB15+BC15+BD15+BE15),""),"")</f>
        <v/>
      </c>
      <c r="BF330" s="258" t="str">
        <f>IFERROR(IF(AND(COUNT(BB103,BC103,BD103,BE103)=4,(BB15+BC15+BD15+BE15)&lt;&gt;0),(BB103+BC103+BD103+BE103)/(BB15+BC15+BD15+BE15),""),"")</f>
        <v/>
      </c>
      <c r="BG330" s="81"/>
      <c r="BH330" s="81"/>
      <c r="BI330" s="81"/>
      <c r="BJ330" s="81"/>
      <c r="BL330" s="81"/>
      <c r="BM330" s="81"/>
      <c r="BN330" s="81"/>
      <c r="BO330" s="81"/>
      <c r="BQ330" s="81"/>
      <c r="BR330" s="81"/>
      <c r="BS330" s="81"/>
      <c r="BT330" s="81"/>
      <c r="BV330" s="81"/>
      <c r="BW330" s="81"/>
      <c r="BX330" s="81"/>
      <c r="BY330" s="81"/>
      <c r="CA330" s="81"/>
      <c r="CB330" s="81"/>
      <c r="CC330" s="81"/>
      <c r="CD330" s="81"/>
      <c r="CF330" s="81"/>
      <c r="CG330" s="81"/>
      <c r="CH330" s="81"/>
      <c r="CI330" s="81"/>
      <c r="CK330" s="81"/>
      <c r="CL330" s="81"/>
      <c r="CM330" s="81"/>
      <c r="CN330" s="81"/>
      <c r="CP330" s="81"/>
      <c r="CQ330" s="81"/>
      <c r="CR330" s="81"/>
      <c r="CS330" s="81"/>
      <c r="CU330" s="81"/>
      <c r="CV330" s="81"/>
      <c r="CW330" s="81"/>
      <c r="CX330" s="81"/>
    </row>
    <row r="331" spans="1:103" s="77" customFormat="1" x14ac:dyDescent="0.2">
      <c r="A331" s="76"/>
      <c r="B331" s="76"/>
      <c r="C331" s="77" t="s">
        <v>395</v>
      </c>
      <c r="D331" s="84" t="str">
        <f>IFERROR(D15/D163,"")</f>
        <v/>
      </c>
      <c r="E331" s="84" t="str">
        <f>IFERROR(E15/E163,"")</f>
        <v/>
      </c>
      <c r="F331" s="84" t="str">
        <f>IFERROR(F15/F163,"")</f>
        <v/>
      </c>
      <c r="G331" s="84" t="str">
        <f>IFERROR(G15/G163,"")</f>
        <v/>
      </c>
      <c r="H331" s="259" t="str">
        <f>IFERROR(IF(AND(COUNT(H15)=1,N(H163)&lt;&gt;0),(H15)/H163,""),"")</f>
        <v/>
      </c>
      <c r="I331" s="261" t="str">
        <f>""</f>
        <v/>
      </c>
      <c r="J331" s="261" t="str">
        <f>""</f>
        <v/>
      </c>
      <c r="K331" s="261" t="str">
        <f>""</f>
        <v/>
      </c>
      <c r="L331" s="261" t="str">
        <f>IFERROR(IF(AND(COUNT(I15,J15,K15,L15)=4,N(L163)&lt;&gt;0),(I15+J15+K15+L15)/L163,""),"")</f>
        <v/>
      </c>
      <c r="M331" s="259" t="str">
        <f>IFERROR(IF(AND(COUNT(I15,J15,K15,L15)=4,N(M163)&lt;&gt;0),(I15+J15+K15+L15)/M163,""),"")</f>
        <v/>
      </c>
      <c r="N331" s="261" t="str">
        <f>IFERROR(IF(AND(COUNT(J15,K15,L15,N15)=4,N(N163)&lt;&gt;0),(J15+K15+L15+N15)/N163,""),"")</f>
        <v/>
      </c>
      <c r="O331" s="261" t="str">
        <f>IFERROR(IF(AND(COUNT(K15,L15,N15,O15)=4,N(O163)&lt;&gt;0),(K15+L15+N15+O15)/O163,""),"")</f>
        <v/>
      </c>
      <c r="P331" s="261" t="str">
        <f>IFERROR(IF(AND(COUNT(L15,N15,O15,P15)=4,N(P163)&lt;&gt;0),(L15+N15+O15+P15)/P163,""),"")</f>
        <v/>
      </c>
      <c r="Q331" s="261" t="str">
        <f>IFERROR(IF(AND(COUNT(N15,O15,P15,Q15)=4,N(Q163)&lt;&gt;0),(N15+O15+P15+Q15)/Q163,""),"")</f>
        <v/>
      </c>
      <c r="R331" s="259" t="str">
        <f>IFERROR(IF(AND(COUNT(N15,O15,P15,Q15)=4,N(R163)&lt;&gt;0),(N15+O15+P15+Q15)/R163,""),"")</f>
        <v/>
      </c>
      <c r="S331" s="261" t="str">
        <f>IFERROR(IF(AND(COUNT(O15,P15,Q15,S15)=4,N(S163)&lt;&gt;0),(O15+P15+Q15+S15)/S163,""),"")</f>
        <v/>
      </c>
      <c r="T331" s="261" t="str">
        <f>IFERROR(IF(AND(COUNT(P15,Q15,S15,T15)=4,N(T163)&lt;&gt;0),(P15+Q15+S15+T15)/T163,""),"")</f>
        <v/>
      </c>
      <c r="U331" s="261" t="str">
        <f>IFERROR(IF(AND(COUNT(Q15,S15,T15,U15)=4,N(U163)&lt;&gt;0),(Q15+S15+T15+U15)/U163,""),"")</f>
        <v/>
      </c>
      <c r="V331" s="261" t="str">
        <f>IFERROR(IF(AND(COUNT(S15,T15,U15,V15)=4,N(V163)&lt;&gt;0),(S15+T15+U15+V15)/V163,""),"")</f>
        <v/>
      </c>
      <c r="W331" s="259" t="str">
        <f>IFERROR(IF(AND(COUNT(S15,T15,U15,V15)=4,N(W163)&lt;&gt;0),(S15+T15+U15+V15)/W163,""),"")</f>
        <v/>
      </c>
      <c r="X331" s="261" t="str">
        <f>IFERROR(IF(AND(COUNT(T15,U15,V15,X15)=4,N(X163)&lt;&gt;0),(T15+U15+V15+X15)/X163,""),"")</f>
        <v/>
      </c>
      <c r="Y331" s="261" t="str">
        <f>IFERROR(IF(AND(COUNT(U15,V15,X15,Y15)=4,N(Y163)&lt;&gt;0),(U15+V15+X15+Y15)/Y163,""),"")</f>
        <v/>
      </c>
      <c r="Z331" s="261" t="str">
        <f>IFERROR(IF(AND(COUNT(V15,X15,Y15,Z15)=4,N(Z163)&lt;&gt;0),(V15+X15+Y15+Z15)/Z163,""),"")</f>
        <v/>
      </c>
      <c r="AA331" s="261" t="str">
        <f>IFERROR(IF(AND(COUNT(X15,Y15,Z15,AA15)=4,N(AA163)&lt;&gt;0),(X15+Y15+Z15+AA15)/AA163,""),"")</f>
        <v/>
      </c>
      <c r="AB331" s="259" t="str">
        <f>IFERROR(IF(AND(COUNT(X15,Y15,Z15,AA15)=4,N(AB163)&lt;&gt;0),(X15+Y15+Z15+AA15)/AB163,""),"")</f>
        <v/>
      </c>
      <c r="AC331" s="261" t="str">
        <f>IFERROR(IF(AND(COUNT(Y15,Z15,AA15,AC15)=4,N(AC163)&lt;&gt;0),(Y15+Z15+AA15+AC15)/AC163,""),"")</f>
        <v/>
      </c>
      <c r="AD331" s="261" t="str">
        <f>IFERROR(IF(AND(COUNT(Z15,AA15,AC15,AD15)=4,N(AD163)&lt;&gt;0),(Z15+AA15+AC15+AD15)/AD163,""),"")</f>
        <v/>
      </c>
      <c r="AE331" s="261" t="str">
        <f>IFERROR(IF(AND(COUNT(AA15,AC15,AD15,AE15)=4,N(AE163)&lt;&gt;0),(AA15+AC15+AD15+AE15)/AE163,""),"")</f>
        <v/>
      </c>
      <c r="AF331" s="261" t="str">
        <f>IFERROR(IF(AND(COUNT(AC15,AD15,AE15,AF15)=4,N(AF163)&lt;&gt;0),(AC15+AD15+AE15+AF15)/AF163,""),"")</f>
        <v/>
      </c>
      <c r="AG331" s="259" t="str">
        <f>IFERROR(IF(AND(COUNT(AC15,AD15,AE15,AF15)=4,N(AG163)&lt;&gt;0),(AC15+AD15+AE15+AF15)/AG163,""),"")</f>
        <v/>
      </c>
      <c r="AH331" s="261" t="str">
        <f>IFERROR(IF(AND(COUNT(AD15,AE15,AF15,AH15)=4,N(AH163)&lt;&gt;0),(AD15+AE15+AF15+AH15)/AH163,""),"")</f>
        <v/>
      </c>
      <c r="AI331" s="261" t="str">
        <f>IFERROR(IF(AND(COUNT(AE15,AF15,AH15,AI15)=4,N(AI163)&lt;&gt;0),(AE15+AF15+AH15+AI15)/AI163,""),"")</f>
        <v/>
      </c>
      <c r="AJ331" s="261" t="str">
        <f>IFERROR(IF(AND(COUNT(AF15,AH15,AI15,AJ15)=4,N(AJ163)&lt;&gt;0),(AF15+AH15+AI15+AJ15)/AJ163,""),"")</f>
        <v/>
      </c>
      <c r="AK331" s="261" t="str">
        <f>IFERROR(IF(AND(COUNT(AH15,AI15,AJ15,AK15)=4,N(AK163)&lt;&gt;0),(AH15+AI15+AJ15+AK15)/AK163,""),"")</f>
        <v/>
      </c>
      <c r="AL331" s="259" t="str">
        <f>IFERROR(IF(AND(COUNT(AH15,AI15,AJ15,AK15)=4,N(AL163)&lt;&gt;0),(AH15+AI15+AJ15+AK15)/AL163,""),"")</f>
        <v/>
      </c>
      <c r="AM331" s="261" t="str">
        <f>IFERROR(IF(AND(COUNT(AI15,AJ15,AK15,AM15)=4,N(AM163)&lt;&gt;0),(AI15+AJ15+AK15+AM15)/AM163,""),"")</f>
        <v/>
      </c>
      <c r="AN331" s="261" t="str">
        <f>IFERROR(IF(AND(COUNT(AJ15,AK15,AM15,AN15)=4,N(AN163)&lt;&gt;0),(AJ15+AK15+AM15+AN15)/AN163,""),"")</f>
        <v/>
      </c>
      <c r="AO331" s="261" t="str">
        <f>IFERROR(IF(AND(COUNT(AK15,AM15,AN15,AO15)=4,N(AO163)&lt;&gt;0),(AK15+AM15+AN15+AO15)/AO163,""),"")</f>
        <v/>
      </c>
      <c r="AP331" s="261" t="str">
        <f>IFERROR(IF(AND(COUNT(AM15,AN15,AO15,AP15)=4,N(AP163)&lt;&gt;0),(AM15+AN15+AO15+AP15)/AP163,""),"")</f>
        <v/>
      </c>
      <c r="AQ331" s="259" t="str">
        <f>IFERROR(IF(AND(COUNT(AM15,AN15,AO15,AP15)=4,N(AQ163)&lt;&gt;0),(AM15+AN15+AO15+AP15)/AQ163,""),"")</f>
        <v/>
      </c>
      <c r="AR331" s="261" t="str">
        <f>IFERROR(IF(AND(COUNT(AN15,AO15,AP15,AR15)=4,N(AR163)&lt;&gt;0),(AN15+AO15+AP15+AR15)/AR163,""),"")</f>
        <v/>
      </c>
      <c r="AS331" s="261" t="str">
        <f>IFERROR(IF(AND(COUNT(AO15,AP15,AR15,AS15)=4,N(AS163)&lt;&gt;0),(AO15+AP15+AR15+AS15)/AS163,""),"")</f>
        <v/>
      </c>
      <c r="AT331" s="261" t="str">
        <f>IFERROR(IF(AND(COUNT(AP15,AR15,AS15,AT15)=4,N(AT163)&lt;&gt;0),(AP15+AR15+AS15+AT15)/AT163,""),"")</f>
        <v/>
      </c>
      <c r="AU331" s="261" t="str">
        <f>IFERROR(IF(AND(COUNT(AR15,AS15,AT15,AU15)=4,N(AU163)&lt;&gt;0),(AR15+AS15+AT15+AU15)/AU163,""),"")</f>
        <v/>
      </c>
      <c r="AV331" s="259" t="str">
        <f>IFERROR(IF(AND(COUNT(AR15,AS15,AT15,AU15)=4,N(AV163)&lt;&gt;0),(AR15+AS15+AT15+AU15)/AV163,""),"")</f>
        <v/>
      </c>
      <c r="AW331" s="261" t="str">
        <f>IFERROR(IF(AND(COUNT(AS15,AT15,AU15,AW15)=4,N(AW163)&lt;&gt;0),(AS15+AT15+AU15+AW15)/AW163,""),"")</f>
        <v/>
      </c>
      <c r="AX331" s="261" t="str">
        <f>IFERROR(IF(AND(COUNT(AT15,AU15,AW15,AX15)=4,N(AX163)&lt;&gt;0),(AT15+AU15+AW15+AX15)/AX163,""),"")</f>
        <v/>
      </c>
      <c r="AY331" s="261" t="str">
        <f>IFERROR(IF(AND(COUNT(AU15,AW15,AX15,AY15)=4,N(AY163)&lt;&gt;0),(AU15+AW15+AX15+AY15)/AY163,""),"")</f>
        <v/>
      </c>
      <c r="AZ331" s="261" t="str">
        <f>IFERROR(IF(AND(COUNT(AW15,AX15,AY15,AZ15)=4,N(AZ163)&lt;&gt;0),(AW15+AX15+AY15+AZ15)/AZ163,""),"")</f>
        <v/>
      </c>
      <c r="BA331" s="259" t="str">
        <f>IFERROR(IF(AND(COUNT(AW15,AX15,AY15,AZ15)=4,N(BA163)&lt;&gt;0),(AW15+AX15+AY15+AZ15)/BA163,""),"")</f>
        <v/>
      </c>
      <c r="BB331" s="261" t="str">
        <f>IFERROR(IF(AND(COUNT(AX15,AY15,AZ15,BB15)=4,N(BB163)&lt;&gt;0),(AX15+AY15+AZ15+BB15)/BB163,""),"")</f>
        <v/>
      </c>
      <c r="BC331" s="261" t="str">
        <f>IFERROR(IF(AND(COUNT(AY15,AZ15,BB15,BC15)=4,N(BC163)&lt;&gt;0),(AY15+AZ15+BB15+BC15)/BC163,""),"")</f>
        <v/>
      </c>
      <c r="BD331" s="261" t="str">
        <f>IFERROR(IF(AND(COUNT(AZ15,BB15,BC15,BD15)=4,N(BD163)&lt;&gt;0),(AZ15+BB15+BC15+BD15)/BD163,""),"")</f>
        <v/>
      </c>
      <c r="BE331" s="261" t="str">
        <f>IFERROR(IF(AND(COUNT(BB15,BC15,BD15,BE15)=4,N(BE163)&lt;&gt;0),(BB15+BC15+BD15+BE15)/BE163,""),"")</f>
        <v/>
      </c>
      <c r="BF331" s="259" t="str">
        <f>IFERROR(IF(AND(COUNT(BB15,BC15,BD15,BE15)=4,N(BF163)&lt;&gt;0),(BB15+BC15+BD15+BE15)/BF163,""),"")</f>
        <v/>
      </c>
      <c r="BG331" s="81"/>
      <c r="BH331" s="81"/>
      <c r="BI331" s="81"/>
      <c r="BJ331" s="81"/>
      <c r="BL331" s="81"/>
      <c r="BM331" s="81"/>
      <c r="BN331" s="81"/>
      <c r="BO331" s="81"/>
      <c r="BQ331" s="81"/>
      <c r="BR331" s="81"/>
      <c r="BS331" s="81"/>
      <c r="BT331" s="81"/>
      <c r="BV331" s="81"/>
      <c r="BW331" s="81"/>
      <c r="BX331" s="81"/>
      <c r="BY331" s="81"/>
      <c r="CA331" s="81"/>
      <c r="CB331" s="81"/>
      <c r="CC331" s="81"/>
      <c r="CD331" s="81"/>
      <c r="CF331" s="81"/>
      <c r="CG331" s="81"/>
      <c r="CH331" s="81"/>
      <c r="CI331" s="81"/>
      <c r="CK331" s="81"/>
      <c r="CL331" s="81"/>
      <c r="CM331" s="81"/>
      <c r="CN331" s="81"/>
      <c r="CP331" s="81"/>
      <c r="CQ331" s="81"/>
      <c r="CR331" s="81"/>
      <c r="CS331" s="81"/>
      <c r="CU331" s="81"/>
      <c r="CV331" s="81"/>
      <c r="CW331" s="81"/>
      <c r="CX331" s="81"/>
    </row>
    <row r="332" spans="1:103" s="77" customFormat="1" x14ac:dyDescent="0.2">
      <c r="A332" s="76"/>
      <c r="B332" s="76"/>
      <c r="C332" s="77" t="s">
        <v>396</v>
      </c>
      <c r="D332" s="84" t="str">
        <f>IFERROR(D163/D237,"")</f>
        <v/>
      </c>
      <c r="E332" s="84" t="str">
        <f>IFERROR(E163/E237,"")</f>
        <v/>
      </c>
      <c r="F332" s="84" t="str">
        <f>IFERROR(F163/F237,"")</f>
        <v/>
      </c>
      <c r="G332" s="84" t="str">
        <f>IFERROR(G163/G237,"")</f>
        <v/>
      </c>
      <c r="H332" s="259" t="str">
        <f>IFERROR(IF(N(H237)&lt;&gt;0,H163/H237,""),"")</f>
        <v/>
      </c>
      <c r="I332" s="261" t="str">
        <f>IFERROR(IF(N(I237)&lt;&gt;0,I163/I237,""),"")</f>
        <v/>
      </c>
      <c r="J332" s="261" t="str">
        <f>IFERROR(IF(N(J237)&lt;&gt;0,J163/J237,""),"")</f>
        <v/>
      </c>
      <c r="K332" s="261" t="str">
        <f>IFERROR(IF(N(K237)&lt;&gt;0,K163/K237,""),"")</f>
        <v/>
      </c>
      <c r="L332" s="261" t="str">
        <f>IFERROR(IF(N(L237)&lt;&gt;0,L163/L237,""),"")</f>
        <v/>
      </c>
      <c r="M332" s="259" t="str">
        <f>IFERROR(IF(N(M237)&lt;&gt;0,M163/M237,""),"")</f>
        <v/>
      </c>
      <c r="N332" s="261" t="str">
        <f>IFERROR(IF(N(N237)&lt;&gt;0,N163/N237,""),"")</f>
        <v/>
      </c>
      <c r="O332" s="261" t="str">
        <f>IFERROR(IF(N(O237)&lt;&gt;0,O163/O237,""),"")</f>
        <v/>
      </c>
      <c r="P332" s="261" t="str">
        <f>IFERROR(IF(N(P237)&lt;&gt;0,P163/P237,""),"")</f>
        <v/>
      </c>
      <c r="Q332" s="261" t="str">
        <f>IFERROR(IF(N(Q237)&lt;&gt;0,Q163/Q237,""),"")</f>
        <v/>
      </c>
      <c r="R332" s="259" t="str">
        <f>IFERROR(IF(N(R237)&lt;&gt;0,R163/R237,""),"")</f>
        <v/>
      </c>
      <c r="S332" s="261" t="str">
        <f>IFERROR(IF(N(S237)&lt;&gt;0,S163/S237,""),"")</f>
        <v/>
      </c>
      <c r="T332" s="261" t="str">
        <f>IFERROR(IF(N(T237)&lt;&gt;0,T163/T237,""),"")</f>
        <v/>
      </c>
      <c r="U332" s="261" t="str">
        <f>IFERROR(IF(N(U237)&lt;&gt;0,U163/U237,""),"")</f>
        <v/>
      </c>
      <c r="V332" s="261" t="str">
        <f>IFERROR(IF(N(V237)&lt;&gt;0,V163/V237,""),"")</f>
        <v/>
      </c>
      <c r="W332" s="259" t="str">
        <f>IFERROR(IF(N(W237)&lt;&gt;0,W163/W237,""),"")</f>
        <v/>
      </c>
      <c r="X332" s="261" t="str">
        <f>IFERROR(IF(N(X237)&lt;&gt;0,X163/X237,""),"")</f>
        <v/>
      </c>
      <c r="Y332" s="261" t="str">
        <f>IFERROR(IF(N(Y237)&lt;&gt;0,Y163/Y237,""),"")</f>
        <v/>
      </c>
      <c r="Z332" s="261" t="str">
        <f>IFERROR(IF(N(Z237)&lt;&gt;0,Z163/Z237,""),"")</f>
        <v/>
      </c>
      <c r="AA332" s="261" t="str">
        <f>IFERROR(IF(N(AA237)&lt;&gt;0,AA163/AA237,""),"")</f>
        <v/>
      </c>
      <c r="AB332" s="259" t="str">
        <f>IFERROR(IF(N(AB237)&lt;&gt;0,AB163/AB237,""),"")</f>
        <v/>
      </c>
      <c r="AC332" s="261" t="str">
        <f>IFERROR(IF(N(AC237)&lt;&gt;0,AC163/AC237,""),"")</f>
        <v/>
      </c>
      <c r="AD332" s="261" t="str">
        <f>IFERROR(IF(N(AD237)&lt;&gt;0,AD163/AD237,""),"")</f>
        <v/>
      </c>
      <c r="AE332" s="261" t="str">
        <f>IFERROR(IF(N(AE237)&lt;&gt;0,AE163/AE237,""),"")</f>
        <v/>
      </c>
      <c r="AF332" s="261" t="str">
        <f>IFERROR(IF(N(AF237)&lt;&gt;0,AF163/AF237,""),"")</f>
        <v/>
      </c>
      <c r="AG332" s="259" t="str">
        <f>IFERROR(IF(N(AG237)&lt;&gt;0,AG163/AG237,""),"")</f>
        <v/>
      </c>
      <c r="AH332" s="261" t="str">
        <f>IFERROR(IF(N(AH237)&lt;&gt;0,AH163/AH237,""),"")</f>
        <v/>
      </c>
      <c r="AI332" s="261" t="str">
        <f>IFERROR(IF(N(AI237)&lt;&gt;0,AI163/AI237,""),"")</f>
        <v/>
      </c>
      <c r="AJ332" s="261" t="str">
        <f>IFERROR(IF(N(AJ237)&lt;&gt;0,AJ163/AJ237,""),"")</f>
        <v/>
      </c>
      <c r="AK332" s="261" t="str">
        <f>IFERROR(IF(N(AK237)&lt;&gt;0,AK163/AK237,""),"")</f>
        <v/>
      </c>
      <c r="AL332" s="259" t="str">
        <f>IFERROR(IF(N(AL237)&lt;&gt;0,AL163/AL237,""),"")</f>
        <v/>
      </c>
      <c r="AM332" s="261" t="str">
        <f>IFERROR(IF(N(AM237)&lt;&gt;0,AM163/AM237,""),"")</f>
        <v/>
      </c>
      <c r="AN332" s="261" t="str">
        <f>IFERROR(IF(N(AN237)&lt;&gt;0,AN163/AN237,""),"")</f>
        <v/>
      </c>
      <c r="AO332" s="261" t="str">
        <f>IFERROR(IF(N(AO237)&lt;&gt;0,AO163/AO237,""),"")</f>
        <v/>
      </c>
      <c r="AP332" s="261" t="str">
        <f>IFERROR(IF(N(AP237)&lt;&gt;0,AP163/AP237,""),"")</f>
        <v/>
      </c>
      <c r="AQ332" s="259" t="str">
        <f>IFERROR(IF(N(AQ237)&lt;&gt;0,AQ163/AQ237,""),"")</f>
        <v/>
      </c>
      <c r="AR332" s="261" t="str">
        <f>IFERROR(IF(N(AR237)&lt;&gt;0,AR163/AR237,""),"")</f>
        <v/>
      </c>
      <c r="AS332" s="261" t="str">
        <f>IFERROR(IF(N(AS237)&lt;&gt;0,AS163/AS237,""),"")</f>
        <v/>
      </c>
      <c r="AT332" s="261" t="str">
        <f>IFERROR(IF(N(AT237)&lt;&gt;0,AT163/AT237,""),"")</f>
        <v/>
      </c>
      <c r="AU332" s="261" t="str">
        <f>IFERROR(IF(N(AU237)&lt;&gt;0,AU163/AU237,""),"")</f>
        <v/>
      </c>
      <c r="AV332" s="259" t="str">
        <f>IFERROR(IF(N(AV237)&lt;&gt;0,AV163/AV237,""),"")</f>
        <v/>
      </c>
      <c r="AW332" s="261" t="str">
        <f>IFERROR(IF(N(AW237)&lt;&gt;0,AW163/AW237,""),"")</f>
        <v/>
      </c>
      <c r="AX332" s="261" t="str">
        <f>IFERROR(IF(N(AX237)&lt;&gt;0,AX163/AX237,""),"")</f>
        <v/>
      </c>
      <c r="AY332" s="261" t="str">
        <f>IFERROR(IF(N(AY237)&lt;&gt;0,AY163/AY237,""),"")</f>
        <v/>
      </c>
      <c r="AZ332" s="261" t="str">
        <f>IFERROR(IF(N(AZ237)&lt;&gt;0,AZ163/AZ237,""),"")</f>
        <v/>
      </c>
      <c r="BA332" s="259" t="str">
        <f>IFERROR(IF(N(BA237)&lt;&gt;0,BA163/BA237,""),"")</f>
        <v/>
      </c>
      <c r="BB332" s="261" t="str">
        <f>IFERROR(IF(N(BB237)&lt;&gt;0,BB163/BB237,""),"")</f>
        <v/>
      </c>
      <c r="BC332" s="261" t="str">
        <f>IFERROR(IF(N(BC237)&lt;&gt;0,BC163/BC237,""),"")</f>
        <v/>
      </c>
      <c r="BD332" s="261" t="str">
        <f>IFERROR(IF(N(BD237)&lt;&gt;0,BD163/BD237,""),"")</f>
        <v/>
      </c>
      <c r="BE332" s="261" t="str">
        <f>IFERROR(IF(N(BE237)&lt;&gt;0,BE163/BE237,""),"")</f>
        <v/>
      </c>
      <c r="BF332" s="259" t="str">
        <f>IFERROR(IF(N(BF237)&lt;&gt;0,BF163/BF237,""),"")</f>
        <v/>
      </c>
      <c r="BG332" s="81"/>
      <c r="BH332" s="81"/>
      <c r="BI332" s="81"/>
      <c r="BJ332" s="81"/>
      <c r="BL332" s="81"/>
      <c r="BM332" s="81"/>
      <c r="BN332" s="81"/>
      <c r="BO332" s="81"/>
      <c r="BQ332" s="81"/>
      <c r="BR332" s="81"/>
      <c r="BS332" s="81"/>
      <c r="BT332" s="81"/>
      <c r="BV332" s="81"/>
      <c r="BW332" s="81"/>
      <c r="BX332" s="81"/>
      <c r="BY332" s="81"/>
      <c r="CA332" s="81"/>
      <c r="CB332" s="81"/>
      <c r="CC332" s="81"/>
      <c r="CD332" s="81"/>
      <c r="CF332" s="81"/>
      <c r="CG332" s="81"/>
      <c r="CH332" s="81"/>
      <c r="CI332" s="81"/>
      <c r="CK332" s="81"/>
      <c r="CL332" s="81"/>
      <c r="CM332" s="81"/>
      <c r="CN332" s="81"/>
      <c r="CP332" s="81"/>
      <c r="CQ332" s="81"/>
      <c r="CR332" s="81"/>
      <c r="CS332" s="81"/>
      <c r="CU332" s="81"/>
      <c r="CV332" s="81"/>
      <c r="CW332" s="81"/>
      <c r="CX332" s="81"/>
    </row>
    <row r="333" spans="1:103" s="77" customFormat="1" x14ac:dyDescent="0.2">
      <c r="A333" s="76"/>
      <c r="B333" s="76"/>
      <c r="C333" s="77" t="s">
        <v>230</v>
      </c>
      <c r="D333" s="84">
        <f>IFERROR(PRODUCT(D330:D332),"")</f>
        <v>0</v>
      </c>
      <c r="E333" s="84">
        <f>IFERROR(PRODUCT(E330:E332),"")</f>
        <v>0</v>
      </c>
      <c r="F333" s="84">
        <f>IFERROR(PRODUCT(F330:F332),"")</f>
        <v>0</v>
      </c>
      <c r="G333" s="84">
        <f>IFERROR(PRODUCT(G330:G332),"")</f>
        <v>0</v>
      </c>
      <c r="H333" s="258" t="str">
        <f>IFERROR(IF(COUNT(H330,H331,H332)=3,H330*H331*H332,""),"")</f>
        <v/>
      </c>
      <c r="I333" s="257" t="str">
        <f>IFERROR(IF(COUNT(I330,I331,I332)=3,I330*I331*I332,""),"")</f>
        <v/>
      </c>
      <c r="J333" s="257" t="str">
        <f>IFERROR(IF(COUNT(J330,J331,J332)=3,J330*J331*J332,""),"")</f>
        <v/>
      </c>
      <c r="K333" s="257" t="str">
        <f>IFERROR(IF(COUNT(K330,K331,K332)=3,K330*K331*K332,""),"")</f>
        <v/>
      </c>
      <c r="L333" s="257" t="str">
        <f>IFERROR(IF(COUNT(L330,L331,L332)=3,L330*L331*L332,""),"")</f>
        <v/>
      </c>
      <c r="M333" s="258" t="str">
        <f>IFERROR(IF(COUNT(M330,M331,M332)=3,M330*M331*M332,""),"")</f>
        <v/>
      </c>
      <c r="N333" s="257" t="str">
        <f>IFERROR(IF(COUNT(N330,N331,N332)=3,N330*N331*N332,""),"")</f>
        <v/>
      </c>
      <c r="O333" s="257" t="str">
        <f>IFERROR(IF(COUNT(O330,O331,O332)=3,O330*O331*O332,""),"")</f>
        <v/>
      </c>
      <c r="P333" s="257" t="str">
        <f>IFERROR(IF(COUNT(P330,P331,P332)=3,P330*P331*P332,""),"")</f>
        <v/>
      </c>
      <c r="Q333" s="257" t="str">
        <f>IFERROR(IF(COUNT(Q330,Q331,Q332)=3,Q330*Q331*Q332,""),"")</f>
        <v/>
      </c>
      <c r="R333" s="258" t="str">
        <f>IFERROR(IF(COUNT(R330,R331,R332)=3,R330*R331*R332,""),"")</f>
        <v/>
      </c>
      <c r="S333" s="257" t="str">
        <f>IFERROR(IF(COUNT(S330,S331,S332)=3,S330*S331*S332,""),"")</f>
        <v/>
      </c>
      <c r="T333" s="257" t="str">
        <f>IFERROR(IF(COUNT(T330,T331,T332)=3,T330*T331*T332,""),"")</f>
        <v/>
      </c>
      <c r="U333" s="257" t="str">
        <f>IFERROR(IF(COUNT(U330,U331,U332)=3,U330*U331*U332,""),"")</f>
        <v/>
      </c>
      <c r="V333" s="257" t="str">
        <f>IFERROR(IF(COUNT(V330,V331,V332)=3,V330*V331*V332,""),"")</f>
        <v/>
      </c>
      <c r="W333" s="258" t="str">
        <f>IFERROR(IF(COUNT(W330,W331,W332)=3,W330*W331*W332,""),"")</f>
        <v/>
      </c>
      <c r="X333" s="257" t="str">
        <f>IFERROR(IF(COUNT(X330,X331,X332)=3,X330*X331*X332,""),"")</f>
        <v/>
      </c>
      <c r="Y333" s="257" t="str">
        <f>IFERROR(IF(COUNT(Y330,Y331,Y332)=3,Y330*Y331*Y332,""),"")</f>
        <v/>
      </c>
      <c r="Z333" s="257" t="str">
        <f>IFERROR(IF(COUNT(Z330,Z331,Z332)=3,Z330*Z331*Z332,""),"")</f>
        <v/>
      </c>
      <c r="AA333" s="257" t="str">
        <f>IFERROR(IF(COUNT(AA330,AA331,AA332)=3,AA330*AA331*AA332,""),"")</f>
        <v/>
      </c>
      <c r="AB333" s="258" t="str">
        <f>IFERROR(IF(COUNT(AB330,AB331,AB332)=3,AB330*AB331*AB332,""),"")</f>
        <v/>
      </c>
      <c r="AC333" s="257" t="str">
        <f>IFERROR(IF(COUNT(AC330,AC331,AC332)=3,AC330*AC331*AC332,""),"")</f>
        <v/>
      </c>
      <c r="AD333" s="257" t="str">
        <f>IFERROR(IF(COUNT(AD330,AD331,AD332)=3,AD330*AD331*AD332,""),"")</f>
        <v/>
      </c>
      <c r="AE333" s="257" t="str">
        <f>IFERROR(IF(COUNT(AE330,AE331,AE332)=3,AE330*AE331*AE332,""),"")</f>
        <v/>
      </c>
      <c r="AF333" s="257" t="str">
        <f>IFERROR(IF(COUNT(AF330,AF331,AF332)=3,AF330*AF331*AF332,""),"")</f>
        <v/>
      </c>
      <c r="AG333" s="258" t="str">
        <f>IFERROR(IF(COUNT(AG330,AG331,AG332)=3,AG330*AG331*AG332,""),"")</f>
        <v/>
      </c>
      <c r="AH333" s="257" t="str">
        <f>IFERROR(IF(COUNT(AH330,AH331,AH332)=3,AH330*AH331*AH332,""),"")</f>
        <v/>
      </c>
      <c r="AI333" s="257" t="str">
        <f>IFERROR(IF(COUNT(AI330,AI331,AI332)=3,AI330*AI331*AI332,""),"")</f>
        <v/>
      </c>
      <c r="AJ333" s="257" t="str">
        <f>IFERROR(IF(COUNT(AJ330,AJ331,AJ332)=3,AJ330*AJ331*AJ332,""),"")</f>
        <v/>
      </c>
      <c r="AK333" s="257" t="str">
        <f>IFERROR(IF(COUNT(AK330,AK331,AK332)=3,AK330*AK331*AK332,""),"")</f>
        <v/>
      </c>
      <c r="AL333" s="258" t="str">
        <f>IFERROR(IF(COUNT(AL330,AL331,AL332)=3,AL330*AL331*AL332,""),"")</f>
        <v/>
      </c>
      <c r="AM333" s="257" t="str">
        <f>IFERROR(IF(COUNT(AM330,AM331,AM332)=3,AM330*AM331*AM332,""),"")</f>
        <v/>
      </c>
      <c r="AN333" s="257" t="str">
        <f>IFERROR(IF(COUNT(AN330,AN331,AN332)=3,AN330*AN331*AN332,""),"")</f>
        <v/>
      </c>
      <c r="AO333" s="257" t="str">
        <f>IFERROR(IF(COUNT(AO330,AO331,AO332)=3,AO330*AO331*AO332,""),"")</f>
        <v/>
      </c>
      <c r="AP333" s="257" t="str">
        <f>IFERROR(IF(COUNT(AP330,AP331,AP332)=3,AP330*AP331*AP332,""),"")</f>
        <v/>
      </c>
      <c r="AQ333" s="258" t="str">
        <f>IFERROR(IF(COUNT(AQ330,AQ331,AQ332)=3,AQ330*AQ331*AQ332,""),"")</f>
        <v/>
      </c>
      <c r="AR333" s="257" t="str">
        <f>IFERROR(IF(COUNT(AR330,AR331,AR332)=3,AR330*AR331*AR332,""),"")</f>
        <v/>
      </c>
      <c r="AS333" s="257" t="str">
        <f>IFERROR(IF(COUNT(AS330,AS331,AS332)=3,AS330*AS331*AS332,""),"")</f>
        <v/>
      </c>
      <c r="AT333" s="257" t="str">
        <f>IFERROR(IF(COUNT(AT330,AT331,AT332)=3,AT330*AT331*AT332,""),"")</f>
        <v/>
      </c>
      <c r="AU333" s="257" t="str">
        <f>IFERROR(IF(COUNT(AU330,AU331,AU332)=3,AU330*AU331*AU332,""),"")</f>
        <v/>
      </c>
      <c r="AV333" s="258" t="str">
        <f>IFERROR(IF(COUNT(AV330,AV331,AV332)=3,AV330*AV331*AV332,""),"")</f>
        <v/>
      </c>
      <c r="AW333" s="257" t="str">
        <f>IFERROR(IF(COUNT(AW330,AW331,AW332)=3,AW330*AW331*AW332,""),"")</f>
        <v/>
      </c>
      <c r="AX333" s="257" t="str">
        <f>IFERROR(IF(COUNT(AX330,AX331,AX332)=3,AX330*AX331*AX332,""),"")</f>
        <v/>
      </c>
      <c r="AY333" s="257" t="str">
        <f>IFERROR(IF(COUNT(AY330,AY331,AY332)=3,AY330*AY331*AY332,""),"")</f>
        <v/>
      </c>
      <c r="AZ333" s="257" t="str">
        <f>IFERROR(IF(COUNT(AZ330,AZ331,AZ332)=3,AZ330*AZ331*AZ332,""),"")</f>
        <v/>
      </c>
      <c r="BA333" s="258" t="str">
        <f>IFERROR(IF(COUNT(BA330,BA331,BA332)=3,BA330*BA331*BA332,""),"")</f>
        <v/>
      </c>
      <c r="BB333" s="257" t="str">
        <f>IFERROR(IF(COUNT(BB330,BB331,BB332)=3,BB330*BB331*BB332,""),"")</f>
        <v/>
      </c>
      <c r="BC333" s="257" t="str">
        <f>IFERROR(IF(COUNT(BC330,BC331,BC332)=3,BC330*BC331*BC332,""),"")</f>
        <v/>
      </c>
      <c r="BD333" s="257" t="str">
        <f>IFERROR(IF(COUNT(BD330,BD331,BD332)=3,BD330*BD331*BD332,""),"")</f>
        <v/>
      </c>
      <c r="BE333" s="257" t="str">
        <f>IFERROR(IF(COUNT(BE330,BE331,BE332)=3,BE330*BE331*BE332,""),"")</f>
        <v/>
      </c>
      <c r="BF333" s="258" t="str">
        <f>IFERROR(IF(COUNT(BF330,BF331,BF332)=3,BF330*BF331*BF332,""),"")</f>
        <v/>
      </c>
      <c r="BG333" s="81"/>
      <c r="BH333" s="81"/>
      <c r="BI333" s="81"/>
      <c r="BJ333" s="81"/>
      <c r="BL333" s="81"/>
      <c r="BM333" s="81"/>
      <c r="BN333" s="81"/>
      <c r="BO333" s="81"/>
      <c r="BQ333" s="81"/>
      <c r="BR333" s="81"/>
      <c r="BS333" s="81"/>
      <c r="BT333" s="81"/>
      <c r="BV333" s="81"/>
      <c r="BW333" s="81"/>
      <c r="BX333" s="81"/>
      <c r="BY333" s="81"/>
      <c r="CA333" s="81"/>
      <c r="CB333" s="81"/>
      <c r="CC333" s="81"/>
      <c r="CD333" s="81"/>
      <c r="CF333" s="81"/>
      <c r="CG333" s="81"/>
      <c r="CH333" s="81"/>
      <c r="CI333" s="81"/>
      <c r="CK333" s="81"/>
      <c r="CL333" s="81"/>
      <c r="CM333" s="81"/>
      <c r="CN333" s="81"/>
      <c r="CP333" s="81"/>
      <c r="CQ333" s="81"/>
      <c r="CR333" s="81"/>
      <c r="CS333" s="81"/>
      <c r="CU333" s="81"/>
      <c r="CV333" s="81"/>
      <c r="CW333" s="81"/>
      <c r="CX333" s="81"/>
    </row>
    <row r="334" spans="1:103" s="77" customFormat="1" x14ac:dyDescent="0.2">
      <c r="A334" s="76"/>
      <c r="B334" s="76"/>
      <c r="C334" s="77" t="s">
        <v>397</v>
      </c>
      <c r="D334" s="84" t="str">
        <f>IFERROR(D103/D237,"")</f>
        <v/>
      </c>
      <c r="E334" s="84" t="str">
        <f>IFERROR(E103/E237,"")</f>
        <v/>
      </c>
      <c r="F334" s="84" t="str">
        <f>IFERROR(F103/F237,"")</f>
        <v/>
      </c>
      <c r="G334" s="84" t="str">
        <f>IFERROR(G103/G237,"")</f>
        <v/>
      </c>
      <c r="H334" s="258" t="str">
        <f>IFERROR(IF(AND(COUNT(H103)=1,N(H237)&lt;&gt;0),(H103)/H237,""),"")</f>
        <v/>
      </c>
      <c r="I334" s="257" t="str">
        <f>""</f>
        <v/>
      </c>
      <c r="J334" s="257" t="str">
        <f>""</f>
        <v/>
      </c>
      <c r="K334" s="257" t="str">
        <f>""</f>
        <v/>
      </c>
      <c r="L334" s="257" t="str">
        <f>IFERROR(IF(AND(COUNT(I103,J103,K103,L103)=4,N(L237)&lt;&gt;0),(I103+J103+K103+L103)/L237,""),"")</f>
        <v/>
      </c>
      <c r="M334" s="258" t="str">
        <f>IFERROR(IF(AND(COUNT(I103,J103,K103,L103)=4,N(M237)&lt;&gt;0),(I103+J103+K103+L103)/M237,""),"")</f>
        <v/>
      </c>
      <c r="N334" s="257" t="str">
        <f>IFERROR(IF(AND(COUNT(J103,K103,L103,N103)=4,N(N237)&lt;&gt;0),(J103+K103+L103+N103)/N237,""),"")</f>
        <v/>
      </c>
      <c r="O334" s="257" t="str">
        <f>IFERROR(IF(AND(COUNT(K103,L103,N103,O103)=4,N(O237)&lt;&gt;0),(K103+L103+N103+O103)/O237,""),"")</f>
        <v/>
      </c>
      <c r="P334" s="257" t="str">
        <f>IFERROR(IF(AND(COUNT(L103,N103,O103,P103)=4,N(P237)&lt;&gt;0),(L103+N103+O103+P103)/P237,""),"")</f>
        <v/>
      </c>
      <c r="Q334" s="257" t="str">
        <f>IFERROR(IF(AND(COUNT(N103,O103,P103,Q103)=4,N(Q237)&lt;&gt;0),(N103+O103+P103+Q103)/Q237,""),"")</f>
        <v/>
      </c>
      <c r="R334" s="258" t="str">
        <f>IFERROR(IF(AND(COUNT(N103,O103,P103,Q103)=4,N(R237)&lt;&gt;0),(N103+O103+P103+Q103)/R237,""),"")</f>
        <v/>
      </c>
      <c r="S334" s="257" t="str">
        <f>IFERROR(IF(AND(COUNT(O103,P103,Q103,S103)=4,N(S237)&lt;&gt;0),(O103+P103+Q103+S103)/S237,""),"")</f>
        <v/>
      </c>
      <c r="T334" s="257" t="str">
        <f>IFERROR(IF(AND(COUNT(P103,Q103,S103,T103)=4,N(T237)&lt;&gt;0),(P103+Q103+S103+T103)/T237,""),"")</f>
        <v/>
      </c>
      <c r="U334" s="257" t="str">
        <f>IFERROR(IF(AND(COUNT(Q103,S103,T103,U103)=4,N(U237)&lt;&gt;0),(Q103+S103+T103+U103)/U237,""),"")</f>
        <v/>
      </c>
      <c r="V334" s="257" t="str">
        <f>IFERROR(IF(AND(COUNT(S103,T103,U103,V103)=4,N(V237)&lt;&gt;0),(S103+T103+U103+V103)/V237,""),"")</f>
        <v/>
      </c>
      <c r="W334" s="258" t="str">
        <f>IFERROR(IF(AND(COUNT(S103,T103,U103,V103)=4,N(W237)&lt;&gt;0),(S103+T103+U103+V103)/W237,""),"")</f>
        <v/>
      </c>
      <c r="X334" s="257" t="str">
        <f>IFERROR(IF(AND(COUNT(T103,U103,V103,X103)=4,N(X237)&lt;&gt;0),(T103+U103+V103+X103)/X237,""),"")</f>
        <v/>
      </c>
      <c r="Y334" s="257" t="str">
        <f>IFERROR(IF(AND(COUNT(U103,V103,X103,Y103)=4,N(Y237)&lt;&gt;0),(U103+V103+X103+Y103)/Y237,""),"")</f>
        <v/>
      </c>
      <c r="Z334" s="257" t="str">
        <f>IFERROR(IF(AND(COUNT(V103,X103,Y103,Z103)=4,N(Z237)&lt;&gt;0),(V103+X103+Y103+Z103)/Z237,""),"")</f>
        <v/>
      </c>
      <c r="AA334" s="257" t="str">
        <f>IFERROR(IF(AND(COUNT(X103,Y103,Z103,AA103)=4,N(AA237)&lt;&gt;0),(X103+Y103+Z103+AA103)/AA237,""),"")</f>
        <v/>
      </c>
      <c r="AB334" s="258" t="str">
        <f>IFERROR(IF(AND(COUNT(X103,Y103,Z103,AA103)=4,N(AB237)&lt;&gt;0),(X103+Y103+Z103+AA103)/AB237,""),"")</f>
        <v/>
      </c>
      <c r="AC334" s="257" t="str">
        <f>IFERROR(IF(AND(COUNT(Y103,Z103,AA103,AC103)=4,N(AC237)&lt;&gt;0),(Y103+Z103+AA103+AC103)/AC237,""),"")</f>
        <v/>
      </c>
      <c r="AD334" s="257" t="str">
        <f>IFERROR(IF(AND(COUNT(Z103,AA103,AC103,AD103)=4,N(AD237)&lt;&gt;0),(Z103+AA103+AC103+AD103)/AD237,""),"")</f>
        <v/>
      </c>
      <c r="AE334" s="257" t="str">
        <f>IFERROR(IF(AND(COUNT(AA103,AC103,AD103,AE103)=4,N(AE237)&lt;&gt;0),(AA103+AC103+AD103+AE103)/AE237,""),"")</f>
        <v/>
      </c>
      <c r="AF334" s="257" t="str">
        <f>IFERROR(IF(AND(COUNT(AC103,AD103,AE103,AF103)=4,N(AF237)&lt;&gt;0),(AC103+AD103+AE103+AF103)/AF237,""),"")</f>
        <v/>
      </c>
      <c r="AG334" s="258" t="str">
        <f>IFERROR(IF(AND(COUNT(AC103,AD103,AE103,AF103)=4,N(AG237)&lt;&gt;0),(AC103+AD103+AE103+AF103)/AG237,""),"")</f>
        <v/>
      </c>
      <c r="AH334" s="257" t="str">
        <f>IFERROR(IF(AND(COUNT(AD103,AE103,AF103,AH103)=4,N(AH237)&lt;&gt;0),(AD103+AE103+AF103+AH103)/AH237,""),"")</f>
        <v/>
      </c>
      <c r="AI334" s="257" t="str">
        <f>IFERROR(IF(AND(COUNT(AE103,AF103,AH103,AI103)=4,N(AI237)&lt;&gt;0),(AE103+AF103+AH103+AI103)/AI237,""),"")</f>
        <v/>
      </c>
      <c r="AJ334" s="257" t="str">
        <f>IFERROR(IF(AND(COUNT(AF103,AH103,AI103,AJ103)=4,N(AJ237)&lt;&gt;0),(AF103+AH103+AI103+AJ103)/AJ237,""),"")</f>
        <v/>
      </c>
      <c r="AK334" s="257" t="str">
        <f>IFERROR(IF(AND(COUNT(AH103,AI103,AJ103,AK103)=4,N(AK237)&lt;&gt;0),(AH103+AI103+AJ103+AK103)/AK237,""),"")</f>
        <v/>
      </c>
      <c r="AL334" s="258" t="str">
        <f>IFERROR(IF(AND(COUNT(AH103,AI103,AJ103,AK103)=4,N(AL237)&lt;&gt;0),(AH103+AI103+AJ103+AK103)/AL237,""),"")</f>
        <v/>
      </c>
      <c r="AM334" s="257" t="str">
        <f>IFERROR(IF(AND(COUNT(AI103,AJ103,AK103,AM103)=4,N(AM237)&lt;&gt;0),(AI103+AJ103+AK103+AM103)/AM237,""),"")</f>
        <v/>
      </c>
      <c r="AN334" s="257" t="str">
        <f>IFERROR(IF(AND(COUNT(AJ103,AK103,AM103,AN103)=4,N(AN237)&lt;&gt;0),(AJ103+AK103+AM103+AN103)/AN237,""),"")</f>
        <v/>
      </c>
      <c r="AO334" s="257" t="str">
        <f>IFERROR(IF(AND(COUNT(AK103,AM103,AN103,AO103)=4,N(AO237)&lt;&gt;0),(AK103+AM103+AN103+AO103)/AO237,""),"")</f>
        <v/>
      </c>
      <c r="AP334" s="257" t="str">
        <f>IFERROR(IF(AND(COUNT(AM103,AN103,AO103,AP103)=4,N(AP237)&lt;&gt;0),(AM103+AN103+AO103+AP103)/AP237,""),"")</f>
        <v/>
      </c>
      <c r="AQ334" s="258" t="str">
        <f>IFERROR(IF(AND(COUNT(AM103,AN103,AO103,AP103)=4,N(AQ237)&lt;&gt;0),(AM103+AN103+AO103+AP103)/AQ237,""),"")</f>
        <v/>
      </c>
      <c r="AR334" s="257" t="str">
        <f>IFERROR(IF(AND(COUNT(AN103,AO103,AP103,AR103)=4,N(AR237)&lt;&gt;0),(AN103+AO103+AP103+AR103)/AR237,""),"")</f>
        <v/>
      </c>
      <c r="AS334" s="257" t="str">
        <f>IFERROR(IF(AND(COUNT(AO103,AP103,AR103,AS103)=4,N(AS237)&lt;&gt;0),(AO103+AP103+AR103+AS103)/AS237,""),"")</f>
        <v/>
      </c>
      <c r="AT334" s="257" t="str">
        <f>IFERROR(IF(AND(COUNT(AP103,AR103,AS103,AT103)=4,N(AT237)&lt;&gt;0),(AP103+AR103+AS103+AT103)/AT237,""),"")</f>
        <v/>
      </c>
      <c r="AU334" s="257" t="str">
        <f>IFERROR(IF(AND(COUNT(AR103,AS103,AT103,AU103)=4,N(AU237)&lt;&gt;0),(AR103+AS103+AT103+AU103)/AU237,""),"")</f>
        <v/>
      </c>
      <c r="AV334" s="258" t="str">
        <f>IFERROR(IF(AND(COUNT(AR103,AS103,AT103,AU103)=4,N(AV237)&lt;&gt;0),(AR103+AS103+AT103+AU103)/AV237,""),"")</f>
        <v/>
      </c>
      <c r="AW334" s="257" t="str">
        <f>IFERROR(IF(AND(COUNT(AS103,AT103,AU103,AW103)=4,N(AW237)&lt;&gt;0),(AS103+AT103+AU103+AW103)/AW237,""),"")</f>
        <v/>
      </c>
      <c r="AX334" s="257" t="str">
        <f>IFERROR(IF(AND(COUNT(AT103,AU103,AW103,AX103)=4,N(AX237)&lt;&gt;0),(AT103+AU103+AW103+AX103)/AX237,""),"")</f>
        <v/>
      </c>
      <c r="AY334" s="257" t="str">
        <f>IFERROR(IF(AND(COUNT(AU103,AW103,AX103,AY103)=4,N(AY237)&lt;&gt;0),(AU103+AW103+AX103+AY103)/AY237,""),"")</f>
        <v/>
      </c>
      <c r="AZ334" s="257" t="str">
        <f>IFERROR(IF(AND(COUNT(AW103,AX103,AY103,AZ103)=4,N(AZ237)&lt;&gt;0),(AW103+AX103+AY103+AZ103)/AZ237,""),"")</f>
        <v/>
      </c>
      <c r="BA334" s="258" t="str">
        <f>IFERROR(IF(AND(COUNT(AW103,AX103,AY103,AZ103)=4,N(BA237)&lt;&gt;0),(AW103+AX103+AY103+AZ103)/BA237,""),"")</f>
        <v/>
      </c>
      <c r="BB334" s="257" t="str">
        <f>IFERROR(IF(AND(COUNT(AX103,AY103,AZ103,BB103)=4,N(BB237)&lt;&gt;0),(AX103+AY103+AZ103+BB103)/BB237,""),"")</f>
        <v/>
      </c>
      <c r="BC334" s="257" t="str">
        <f>IFERROR(IF(AND(COUNT(AY103,AZ103,BB103,BC103)=4,N(BC237)&lt;&gt;0),(AY103+AZ103+BB103+BC103)/BC237,""),"")</f>
        <v/>
      </c>
      <c r="BD334" s="257" t="str">
        <f>IFERROR(IF(AND(COUNT(AZ103,BB103,BC103,BD103)=4,N(BD237)&lt;&gt;0),(AZ103+BB103+BC103+BD103)/BD237,""),"")</f>
        <v/>
      </c>
      <c r="BE334" s="257" t="str">
        <f>IFERROR(IF(AND(COUNT(BB103,BC103,BD103,BE103)=4,N(BE237)&lt;&gt;0),(BB103+BC103+BD103+BE103)/BE237,""),"")</f>
        <v/>
      </c>
      <c r="BF334" s="258" t="str">
        <f>IFERROR(IF(AND(COUNT(BB103,BC103,BD103,BE103)=4,N(BF237)&lt;&gt;0),(BB103+BC103+BD103+BE103)/BF237,""),"")</f>
        <v/>
      </c>
      <c r="BG334" s="81"/>
      <c r="BH334" s="81"/>
      <c r="BI334" s="81"/>
      <c r="BJ334" s="81"/>
      <c r="BL334" s="81"/>
      <c r="BM334" s="81"/>
      <c r="BN334" s="81"/>
      <c r="BO334" s="81"/>
      <c r="BQ334" s="81"/>
      <c r="BR334" s="81"/>
      <c r="BS334" s="81"/>
      <c r="BT334" s="81"/>
      <c r="BV334" s="81"/>
      <c r="BW334" s="81"/>
      <c r="BX334" s="81"/>
      <c r="BY334" s="81"/>
      <c r="CA334" s="81"/>
      <c r="CB334" s="81"/>
      <c r="CC334" s="81"/>
      <c r="CD334" s="81"/>
      <c r="CF334" s="81"/>
      <c r="CG334" s="81"/>
      <c r="CH334" s="81"/>
      <c r="CI334" s="81"/>
      <c r="CK334" s="81"/>
      <c r="CL334" s="81"/>
      <c r="CM334" s="81"/>
      <c r="CN334" s="81"/>
      <c r="CP334" s="81"/>
      <c r="CQ334" s="81"/>
      <c r="CR334" s="81"/>
      <c r="CS334" s="81"/>
      <c r="CU334" s="81"/>
      <c r="CV334" s="81"/>
      <c r="CW334" s="81"/>
      <c r="CX334" s="81"/>
    </row>
    <row r="336" spans="1:103" x14ac:dyDescent="0.2">
      <c r="C336" s="73" t="s">
        <v>231</v>
      </c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  <c r="CI336" s="73"/>
      <c r="CJ336" s="73"/>
      <c r="CK336" s="73"/>
      <c r="CL336" s="73"/>
      <c r="CM336" s="73"/>
      <c r="CN336" s="73"/>
      <c r="CO336" s="73"/>
      <c r="CP336" s="73"/>
      <c r="CQ336" s="73"/>
      <c r="CR336" s="73"/>
      <c r="CS336" s="73"/>
      <c r="CT336" s="73"/>
      <c r="CU336" s="73"/>
      <c r="CV336" s="73"/>
      <c r="CW336" s="73"/>
      <c r="CX336" s="73"/>
      <c r="CY336" s="73"/>
    </row>
    <row r="339" spans="3:3" x14ac:dyDescent="0.2">
      <c r="C339" s="4" t="s">
        <v>232</v>
      </c>
    </row>
    <row r="340" spans="3:3" x14ac:dyDescent="0.2">
      <c r="C340" s="4" t="s">
        <v>233</v>
      </c>
    </row>
    <row r="341" spans="3:3" x14ac:dyDescent="0.2">
      <c r="C341" s="4" t="s">
        <v>234</v>
      </c>
    </row>
    <row r="344" spans="3:3" x14ac:dyDescent="0.2">
      <c r="C344" s="4" t="s">
        <v>232</v>
      </c>
    </row>
    <row r="345" spans="3:3" x14ac:dyDescent="0.2">
      <c r="C345" s="4" t="s">
        <v>233</v>
      </c>
    </row>
    <row r="346" spans="3:3" x14ac:dyDescent="0.2">
      <c r="C346" s="4" t="s">
        <v>234</v>
      </c>
    </row>
    <row r="349" spans="3:3" x14ac:dyDescent="0.2">
      <c r="C349" s="4" t="s">
        <v>89</v>
      </c>
    </row>
    <row r="350" spans="3:3" x14ac:dyDescent="0.2">
      <c r="C350" s="4" t="s">
        <v>232</v>
      </c>
    </row>
    <row r="351" spans="3:3" x14ac:dyDescent="0.2">
      <c r="C351" s="4" t="s">
        <v>233</v>
      </c>
    </row>
    <row r="352" spans="3:3" x14ac:dyDescent="0.2">
      <c r="C352" s="4" t="s">
        <v>234</v>
      </c>
    </row>
    <row r="355" spans="3:3" x14ac:dyDescent="0.2">
      <c r="C355" s="4" t="s">
        <v>145</v>
      </c>
    </row>
    <row r="356" spans="3:3" x14ac:dyDescent="0.2">
      <c r="C356" s="4" t="s">
        <v>232</v>
      </c>
    </row>
    <row r="357" spans="3:3" x14ac:dyDescent="0.2">
      <c r="C357" s="4" t="s">
        <v>233</v>
      </c>
    </row>
    <row r="358" spans="3:3" x14ac:dyDescent="0.2">
      <c r="C358" s="4" t="s">
        <v>234</v>
      </c>
    </row>
  </sheetData>
  <conditionalFormatting sqref="B1:B4 B13:B1048576">
    <cfRule type="expression" dxfId="23" priority="25">
      <formula>B1&lt;&gt;""</formula>
    </cfRule>
  </conditionalFormatting>
  <conditionalFormatting sqref="D1:CY3">
    <cfRule type="cellIs" dxfId="22" priority="18" operator="greaterThan">
      <formula>1</formula>
    </cfRule>
  </conditionalFormatting>
  <conditionalFormatting sqref="E281:G281">
    <cfRule type="cellIs" dxfId="21" priority="16" operator="notEqual">
      <formula>0</formula>
    </cfRule>
  </conditionalFormatting>
  <conditionalFormatting sqref="E5:H5">
    <cfRule type="cellIs" dxfId="20" priority="17" operator="greaterThan">
      <formula>$B$5</formula>
    </cfRule>
  </conditionalFormatting>
  <conditionalFormatting sqref="I281:L281">
    <cfRule type="cellIs" dxfId="19" priority="23" operator="notEqual">
      <formula>0</formula>
    </cfRule>
  </conditionalFormatting>
  <conditionalFormatting sqref="J5:CY5">
    <cfRule type="cellIs" dxfId="18" priority="24" operator="greaterThan">
      <formula>$B$5</formula>
    </cfRule>
  </conditionalFormatting>
  <conditionalFormatting sqref="N281:Q281">
    <cfRule type="cellIs" dxfId="17" priority="22" operator="notEqual">
      <formula>0</formula>
    </cfRule>
  </conditionalFormatting>
  <conditionalFormatting sqref="S281:V281">
    <cfRule type="cellIs" dxfId="16" priority="21" operator="notEqual">
      <formula>0</formula>
    </cfRule>
  </conditionalFormatting>
  <conditionalFormatting sqref="X281:AA281">
    <cfRule type="cellIs" dxfId="15" priority="20" operator="notEqual">
      <formula>0</formula>
    </cfRule>
  </conditionalFormatting>
  <conditionalFormatting sqref="AC281:AF281">
    <cfRule type="cellIs" dxfId="14" priority="19" operator="notEqual">
      <formula>0</formula>
    </cfRule>
  </conditionalFormatting>
  <conditionalFormatting sqref="AH281:AK281">
    <cfRule type="cellIs" dxfId="13" priority="15" operator="notEqual">
      <formula>0</formula>
    </cfRule>
  </conditionalFormatting>
  <conditionalFormatting sqref="AM281:AP281">
    <cfRule type="cellIs" dxfId="12" priority="14" operator="notEqual">
      <formula>0</formula>
    </cfRule>
  </conditionalFormatting>
  <conditionalFormatting sqref="AR281:AU281">
    <cfRule type="cellIs" dxfId="11" priority="13" operator="notEqual">
      <formula>0</formula>
    </cfRule>
  </conditionalFormatting>
  <conditionalFormatting sqref="AW281:AZ281">
    <cfRule type="cellIs" dxfId="10" priority="12" operator="notEqual">
      <formula>0</formula>
    </cfRule>
  </conditionalFormatting>
  <conditionalFormatting sqref="BB281:BE281">
    <cfRule type="cellIs" dxfId="9" priority="11" operator="notEqual">
      <formula>0</formula>
    </cfRule>
  </conditionalFormatting>
  <conditionalFormatting sqref="BG281:BJ281">
    <cfRule type="cellIs" dxfId="8" priority="10" operator="notEqual">
      <formula>0</formula>
    </cfRule>
  </conditionalFormatting>
  <conditionalFormatting sqref="BL281:BO281">
    <cfRule type="cellIs" dxfId="7" priority="9" operator="notEqual">
      <formula>0</formula>
    </cfRule>
  </conditionalFormatting>
  <conditionalFormatting sqref="BQ281:BT281">
    <cfRule type="cellIs" dxfId="6" priority="8" operator="notEqual">
      <formula>0</formula>
    </cfRule>
  </conditionalFormatting>
  <conditionalFormatting sqref="BV281:BY281">
    <cfRule type="cellIs" dxfId="5" priority="7" operator="notEqual">
      <formula>0</formula>
    </cfRule>
  </conditionalFormatting>
  <conditionalFormatting sqref="CA281:CD281">
    <cfRule type="cellIs" dxfId="4" priority="6" operator="notEqual">
      <formula>0</formula>
    </cfRule>
  </conditionalFormatting>
  <conditionalFormatting sqref="CF281:CI281">
    <cfRule type="cellIs" dxfId="3" priority="5" operator="notEqual">
      <formula>0</formula>
    </cfRule>
  </conditionalFormatting>
  <conditionalFormatting sqref="CK281:CN281">
    <cfRule type="cellIs" dxfId="2" priority="4" operator="notEqual">
      <formula>0</formula>
    </cfRule>
  </conditionalFormatting>
  <conditionalFormatting sqref="CP281:CS281">
    <cfRule type="cellIs" dxfId="1" priority="3" operator="notEqual">
      <formula>0</formula>
    </cfRule>
  </conditionalFormatting>
  <conditionalFormatting sqref="CU281:CX281">
    <cfRule type="cellIs" dxfId="0" priority="2" operator="not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2"/>
  <sheetViews>
    <sheetView zoomScaleNormal="100" workbookViewId="0"/>
  </sheetViews>
  <sheetFormatPr defaultColWidth="10.42578125" defaultRowHeight="12.75" x14ac:dyDescent="0.2"/>
  <cols>
    <col min="1" max="1" width="2.28515625" style="92" customWidth="1"/>
    <col min="2" max="2" width="4.85546875" style="92" customWidth="1"/>
    <col min="3" max="3" width="62" style="92" customWidth="1"/>
    <col min="4" max="4" width="14.5703125" style="92" customWidth="1"/>
    <col min="5" max="6" width="12.85546875" style="92" customWidth="1"/>
    <col min="7" max="7" width="13.42578125" style="92" customWidth="1"/>
    <col min="8" max="8" width="16" style="92" customWidth="1"/>
    <col min="9" max="9" width="15.5703125" style="92" customWidth="1"/>
    <col min="10" max="12" width="12.85546875" style="92" customWidth="1"/>
    <col min="13" max="13" width="13.28515625" style="92" customWidth="1"/>
    <col min="14" max="14" width="13.140625" style="92" customWidth="1"/>
    <col min="15" max="15" width="13.28515625" style="92" customWidth="1"/>
    <col min="16" max="20" width="12.28515625" style="92" customWidth="1"/>
    <col min="21" max="22" width="13.28515625" style="92" customWidth="1"/>
    <col min="23" max="23" width="10.5703125" style="92" customWidth="1"/>
    <col min="24" max="25" width="13" style="92" customWidth="1"/>
    <col min="26" max="26" width="11.28515625" style="92" customWidth="1"/>
    <col min="27" max="27" width="10.42578125" style="92" customWidth="1"/>
    <col min="28" max="28" width="21.5703125" style="92" customWidth="1"/>
    <col min="29" max="31" width="10.42578125" style="92" customWidth="1"/>
    <col min="32" max="32" width="9.140625" style="92" customWidth="1"/>
    <col min="33" max="261" width="10.42578125" style="92" customWidth="1"/>
    <col min="262" max="263" width="2.28515625" style="92" customWidth="1"/>
    <col min="264" max="264" width="35.42578125" style="92" customWidth="1"/>
    <col min="265" max="265" width="14.7109375" style="92" customWidth="1"/>
    <col min="266" max="268" width="12.85546875" style="92" customWidth="1"/>
    <col min="269" max="269" width="15.5703125" style="92" customWidth="1"/>
    <col min="270" max="273" width="12.85546875" style="92" customWidth="1"/>
    <col min="274" max="275" width="10.42578125" style="92" customWidth="1"/>
    <col min="276" max="276" width="12.28515625" style="92" customWidth="1"/>
    <col min="277" max="517" width="10.42578125" style="92" customWidth="1"/>
    <col min="518" max="519" width="2.28515625" style="92" customWidth="1"/>
    <col min="520" max="520" width="35.42578125" style="92" customWidth="1"/>
    <col min="521" max="521" width="14.7109375" style="92" customWidth="1"/>
    <col min="522" max="524" width="12.85546875" style="92" customWidth="1"/>
    <col min="525" max="525" width="15.5703125" style="92" customWidth="1"/>
    <col min="526" max="529" width="12.85546875" style="92" customWidth="1"/>
    <col min="530" max="531" width="10.42578125" style="92" customWidth="1"/>
    <col min="532" max="532" width="12.28515625" style="92" customWidth="1"/>
    <col min="533" max="773" width="10.42578125" style="92" customWidth="1"/>
    <col min="774" max="775" width="2.28515625" style="92" customWidth="1"/>
    <col min="776" max="776" width="35.42578125" style="92" customWidth="1"/>
    <col min="777" max="777" width="14.7109375" style="92" customWidth="1"/>
    <col min="778" max="780" width="12.85546875" style="92" customWidth="1"/>
    <col min="781" max="781" width="15.5703125" style="92" customWidth="1"/>
    <col min="782" max="785" width="12.85546875" style="92" customWidth="1"/>
    <col min="786" max="787" width="10.42578125" style="92" customWidth="1"/>
    <col min="788" max="788" width="12.28515625" style="92" customWidth="1"/>
    <col min="789" max="1029" width="10.42578125" style="92" customWidth="1"/>
    <col min="1030" max="1031" width="2.28515625" style="92" customWidth="1"/>
    <col min="1032" max="1032" width="35.42578125" style="92" customWidth="1"/>
    <col min="1033" max="1033" width="14.7109375" style="92" customWidth="1"/>
    <col min="1034" max="1036" width="12.85546875" style="92" customWidth="1"/>
    <col min="1037" max="1037" width="15.5703125" style="92" customWidth="1"/>
    <col min="1038" max="1041" width="12.85546875" style="92" customWidth="1"/>
    <col min="1042" max="1043" width="10.42578125" style="92" customWidth="1"/>
    <col min="1044" max="1044" width="12.28515625" style="92" customWidth="1"/>
    <col min="1045" max="1285" width="10.42578125" style="92" customWidth="1"/>
    <col min="1286" max="1287" width="2.28515625" style="92" customWidth="1"/>
    <col min="1288" max="1288" width="35.42578125" style="92" customWidth="1"/>
    <col min="1289" max="1289" width="14.7109375" style="92" customWidth="1"/>
    <col min="1290" max="1292" width="12.85546875" style="92" customWidth="1"/>
    <col min="1293" max="1293" width="15.5703125" style="92" customWidth="1"/>
    <col min="1294" max="1297" width="12.85546875" style="92" customWidth="1"/>
    <col min="1298" max="1299" width="10.42578125" style="92" customWidth="1"/>
    <col min="1300" max="1300" width="12.28515625" style="92" customWidth="1"/>
    <col min="1301" max="1541" width="10.42578125" style="92" customWidth="1"/>
    <col min="1542" max="1543" width="2.28515625" style="92" customWidth="1"/>
    <col min="1544" max="1544" width="35.42578125" style="92" customWidth="1"/>
    <col min="1545" max="1545" width="14.7109375" style="92" customWidth="1"/>
    <col min="1546" max="1548" width="12.85546875" style="92" customWidth="1"/>
    <col min="1549" max="1549" width="15.5703125" style="92" customWidth="1"/>
    <col min="1550" max="1553" width="12.85546875" style="92" customWidth="1"/>
    <col min="1554" max="1555" width="10.42578125" style="92" customWidth="1"/>
    <col min="1556" max="1556" width="12.28515625" style="92" customWidth="1"/>
    <col min="1557" max="1797" width="10.42578125" style="92" customWidth="1"/>
    <col min="1798" max="1799" width="2.28515625" style="92" customWidth="1"/>
    <col min="1800" max="1800" width="35.42578125" style="92" customWidth="1"/>
    <col min="1801" max="1801" width="14.7109375" style="92" customWidth="1"/>
    <col min="1802" max="1804" width="12.85546875" style="92" customWidth="1"/>
    <col min="1805" max="1805" width="15.5703125" style="92" customWidth="1"/>
    <col min="1806" max="1809" width="12.85546875" style="92" customWidth="1"/>
    <col min="1810" max="1811" width="10.42578125" style="92" customWidth="1"/>
    <col min="1812" max="1812" width="12.28515625" style="92" customWidth="1"/>
    <col min="1813" max="2053" width="10.42578125" style="92" customWidth="1"/>
    <col min="2054" max="2055" width="2.28515625" style="92" customWidth="1"/>
    <col min="2056" max="2056" width="35.42578125" style="92" customWidth="1"/>
    <col min="2057" max="2057" width="14.7109375" style="92" customWidth="1"/>
    <col min="2058" max="2060" width="12.85546875" style="92" customWidth="1"/>
    <col min="2061" max="2061" width="15.5703125" style="92" customWidth="1"/>
    <col min="2062" max="2065" width="12.85546875" style="92" customWidth="1"/>
    <col min="2066" max="2067" width="10.42578125" style="92" customWidth="1"/>
    <col min="2068" max="2068" width="12.28515625" style="92" customWidth="1"/>
    <col min="2069" max="2309" width="10.42578125" style="92" customWidth="1"/>
    <col min="2310" max="2311" width="2.28515625" style="92" customWidth="1"/>
    <col min="2312" max="2312" width="35.42578125" style="92" customWidth="1"/>
    <col min="2313" max="2313" width="14.7109375" style="92" customWidth="1"/>
    <col min="2314" max="2316" width="12.85546875" style="92" customWidth="1"/>
    <col min="2317" max="2317" width="15.5703125" style="92" customWidth="1"/>
    <col min="2318" max="2321" width="12.85546875" style="92" customWidth="1"/>
    <col min="2322" max="2323" width="10.42578125" style="92" customWidth="1"/>
    <col min="2324" max="2324" width="12.28515625" style="92" customWidth="1"/>
    <col min="2325" max="2565" width="10.42578125" style="92" customWidth="1"/>
    <col min="2566" max="2567" width="2.28515625" style="92" customWidth="1"/>
    <col min="2568" max="2568" width="35.42578125" style="92" customWidth="1"/>
    <col min="2569" max="2569" width="14.7109375" style="92" customWidth="1"/>
    <col min="2570" max="2572" width="12.85546875" style="92" customWidth="1"/>
    <col min="2573" max="2573" width="15.5703125" style="92" customWidth="1"/>
    <col min="2574" max="2577" width="12.85546875" style="92" customWidth="1"/>
    <col min="2578" max="2579" width="10.42578125" style="92" customWidth="1"/>
    <col min="2580" max="2580" width="12.28515625" style="92" customWidth="1"/>
    <col min="2581" max="2821" width="10.42578125" style="92" customWidth="1"/>
    <col min="2822" max="2823" width="2.28515625" style="92" customWidth="1"/>
    <col min="2824" max="2824" width="35.42578125" style="92" customWidth="1"/>
    <col min="2825" max="2825" width="14.7109375" style="92" customWidth="1"/>
    <col min="2826" max="2828" width="12.85546875" style="92" customWidth="1"/>
    <col min="2829" max="2829" width="15.5703125" style="92" customWidth="1"/>
    <col min="2830" max="2833" width="12.85546875" style="92" customWidth="1"/>
    <col min="2834" max="2835" width="10.42578125" style="92" customWidth="1"/>
    <col min="2836" max="2836" width="12.28515625" style="92" customWidth="1"/>
    <col min="2837" max="3077" width="10.42578125" style="92" customWidth="1"/>
    <col min="3078" max="3079" width="2.28515625" style="92" customWidth="1"/>
    <col min="3080" max="3080" width="35.42578125" style="92" customWidth="1"/>
    <col min="3081" max="3081" width="14.7109375" style="92" customWidth="1"/>
    <col min="3082" max="3084" width="12.85546875" style="92" customWidth="1"/>
    <col min="3085" max="3085" width="15.5703125" style="92" customWidth="1"/>
    <col min="3086" max="3089" width="12.85546875" style="92" customWidth="1"/>
    <col min="3090" max="3091" width="10.42578125" style="92" customWidth="1"/>
    <col min="3092" max="3092" width="12.28515625" style="92" customWidth="1"/>
    <col min="3093" max="3333" width="10.42578125" style="92" customWidth="1"/>
    <col min="3334" max="3335" width="2.28515625" style="92" customWidth="1"/>
    <col min="3336" max="3336" width="35.42578125" style="92" customWidth="1"/>
    <col min="3337" max="3337" width="14.7109375" style="92" customWidth="1"/>
    <col min="3338" max="3340" width="12.85546875" style="92" customWidth="1"/>
    <col min="3341" max="3341" width="15.5703125" style="92" customWidth="1"/>
    <col min="3342" max="3345" width="12.85546875" style="92" customWidth="1"/>
    <col min="3346" max="3347" width="10.42578125" style="92" customWidth="1"/>
    <col min="3348" max="3348" width="12.28515625" style="92" customWidth="1"/>
    <col min="3349" max="3589" width="10.42578125" style="92" customWidth="1"/>
    <col min="3590" max="3591" width="2.28515625" style="92" customWidth="1"/>
    <col min="3592" max="3592" width="35.42578125" style="92" customWidth="1"/>
    <col min="3593" max="3593" width="14.7109375" style="92" customWidth="1"/>
    <col min="3594" max="3596" width="12.85546875" style="92" customWidth="1"/>
    <col min="3597" max="3597" width="15.5703125" style="92" customWidth="1"/>
    <col min="3598" max="3601" width="12.85546875" style="92" customWidth="1"/>
    <col min="3602" max="3603" width="10.42578125" style="92" customWidth="1"/>
    <col min="3604" max="3604" width="12.28515625" style="92" customWidth="1"/>
    <col min="3605" max="3845" width="10.42578125" style="92" customWidth="1"/>
    <col min="3846" max="3847" width="2.28515625" style="92" customWidth="1"/>
    <col min="3848" max="3848" width="35.42578125" style="92" customWidth="1"/>
    <col min="3849" max="3849" width="14.7109375" style="92" customWidth="1"/>
    <col min="3850" max="3852" width="12.85546875" style="92" customWidth="1"/>
    <col min="3853" max="3853" width="15.5703125" style="92" customWidth="1"/>
    <col min="3854" max="3857" width="12.85546875" style="92" customWidth="1"/>
    <col min="3858" max="3859" width="10.42578125" style="92" customWidth="1"/>
    <col min="3860" max="3860" width="12.28515625" style="92" customWidth="1"/>
    <col min="3861" max="4101" width="10.42578125" style="92" customWidth="1"/>
    <col min="4102" max="4103" width="2.28515625" style="92" customWidth="1"/>
    <col min="4104" max="4104" width="35.42578125" style="92" customWidth="1"/>
    <col min="4105" max="4105" width="14.7109375" style="92" customWidth="1"/>
    <col min="4106" max="4108" width="12.85546875" style="92" customWidth="1"/>
    <col min="4109" max="4109" width="15.5703125" style="92" customWidth="1"/>
    <col min="4110" max="4113" width="12.85546875" style="92" customWidth="1"/>
    <col min="4114" max="4115" width="10.42578125" style="92" customWidth="1"/>
    <col min="4116" max="4116" width="12.28515625" style="92" customWidth="1"/>
    <col min="4117" max="4357" width="10.42578125" style="92" customWidth="1"/>
    <col min="4358" max="4359" width="2.28515625" style="92" customWidth="1"/>
    <col min="4360" max="4360" width="35.42578125" style="92" customWidth="1"/>
    <col min="4361" max="4361" width="14.7109375" style="92" customWidth="1"/>
    <col min="4362" max="4364" width="12.85546875" style="92" customWidth="1"/>
    <col min="4365" max="4365" width="15.5703125" style="92" customWidth="1"/>
    <col min="4366" max="4369" width="12.85546875" style="92" customWidth="1"/>
    <col min="4370" max="4371" width="10.42578125" style="92" customWidth="1"/>
    <col min="4372" max="4372" width="12.28515625" style="92" customWidth="1"/>
    <col min="4373" max="4613" width="10.42578125" style="92" customWidth="1"/>
    <col min="4614" max="4615" width="2.28515625" style="92" customWidth="1"/>
    <col min="4616" max="4616" width="35.42578125" style="92" customWidth="1"/>
    <col min="4617" max="4617" width="14.7109375" style="92" customWidth="1"/>
    <col min="4618" max="4620" width="12.85546875" style="92" customWidth="1"/>
    <col min="4621" max="4621" width="15.5703125" style="92" customWidth="1"/>
    <col min="4622" max="4625" width="12.85546875" style="92" customWidth="1"/>
    <col min="4626" max="4627" width="10.42578125" style="92" customWidth="1"/>
    <col min="4628" max="4628" width="12.28515625" style="92" customWidth="1"/>
    <col min="4629" max="4869" width="10.42578125" style="92" customWidth="1"/>
    <col min="4870" max="4871" width="2.28515625" style="92" customWidth="1"/>
    <col min="4872" max="4872" width="35.42578125" style="92" customWidth="1"/>
    <col min="4873" max="4873" width="14.7109375" style="92" customWidth="1"/>
    <col min="4874" max="4876" width="12.85546875" style="92" customWidth="1"/>
    <col min="4877" max="4877" width="15.5703125" style="92" customWidth="1"/>
    <col min="4878" max="4881" width="12.85546875" style="92" customWidth="1"/>
    <col min="4882" max="4883" width="10.42578125" style="92" customWidth="1"/>
    <col min="4884" max="4884" width="12.28515625" style="92" customWidth="1"/>
    <col min="4885" max="5125" width="10.42578125" style="92" customWidth="1"/>
    <col min="5126" max="5127" width="2.28515625" style="92" customWidth="1"/>
    <col min="5128" max="5128" width="35.42578125" style="92" customWidth="1"/>
    <col min="5129" max="5129" width="14.7109375" style="92" customWidth="1"/>
    <col min="5130" max="5132" width="12.85546875" style="92" customWidth="1"/>
    <col min="5133" max="5133" width="15.5703125" style="92" customWidth="1"/>
    <col min="5134" max="5137" width="12.85546875" style="92" customWidth="1"/>
    <col min="5138" max="5139" width="10.42578125" style="92" customWidth="1"/>
    <col min="5140" max="5140" width="12.28515625" style="92" customWidth="1"/>
    <col min="5141" max="5381" width="10.42578125" style="92" customWidth="1"/>
    <col min="5382" max="5383" width="2.28515625" style="92" customWidth="1"/>
    <col min="5384" max="5384" width="35.42578125" style="92" customWidth="1"/>
    <col min="5385" max="5385" width="14.7109375" style="92" customWidth="1"/>
    <col min="5386" max="5388" width="12.85546875" style="92" customWidth="1"/>
    <col min="5389" max="5389" width="15.5703125" style="92" customWidth="1"/>
    <col min="5390" max="5393" width="12.85546875" style="92" customWidth="1"/>
    <col min="5394" max="5395" width="10.42578125" style="92" customWidth="1"/>
    <col min="5396" max="5396" width="12.28515625" style="92" customWidth="1"/>
    <col min="5397" max="5637" width="10.42578125" style="92" customWidth="1"/>
    <col min="5638" max="5639" width="2.28515625" style="92" customWidth="1"/>
    <col min="5640" max="5640" width="35.42578125" style="92" customWidth="1"/>
    <col min="5641" max="5641" width="14.7109375" style="92" customWidth="1"/>
    <col min="5642" max="5644" width="12.85546875" style="92" customWidth="1"/>
    <col min="5645" max="5645" width="15.5703125" style="92" customWidth="1"/>
    <col min="5646" max="5649" width="12.85546875" style="92" customWidth="1"/>
    <col min="5650" max="5651" width="10.42578125" style="92" customWidth="1"/>
    <col min="5652" max="5652" width="12.28515625" style="92" customWidth="1"/>
    <col min="5653" max="5893" width="10.42578125" style="92" customWidth="1"/>
    <col min="5894" max="5895" width="2.28515625" style="92" customWidth="1"/>
    <col min="5896" max="5896" width="35.42578125" style="92" customWidth="1"/>
    <col min="5897" max="5897" width="14.7109375" style="92" customWidth="1"/>
    <col min="5898" max="5900" width="12.85546875" style="92" customWidth="1"/>
    <col min="5901" max="5901" width="15.5703125" style="92" customWidth="1"/>
    <col min="5902" max="5905" width="12.85546875" style="92" customWidth="1"/>
    <col min="5906" max="5907" width="10.42578125" style="92" customWidth="1"/>
    <col min="5908" max="5908" width="12.28515625" style="92" customWidth="1"/>
    <col min="5909" max="6149" width="10.42578125" style="92" customWidth="1"/>
    <col min="6150" max="6151" width="2.28515625" style="92" customWidth="1"/>
    <col min="6152" max="6152" width="35.42578125" style="92" customWidth="1"/>
    <col min="6153" max="6153" width="14.7109375" style="92" customWidth="1"/>
    <col min="6154" max="6156" width="12.85546875" style="92" customWidth="1"/>
    <col min="6157" max="6157" width="15.5703125" style="92" customWidth="1"/>
    <col min="6158" max="6161" width="12.85546875" style="92" customWidth="1"/>
    <col min="6162" max="6163" width="10.42578125" style="92" customWidth="1"/>
    <col min="6164" max="6164" width="12.28515625" style="92" customWidth="1"/>
    <col min="6165" max="6405" width="10.42578125" style="92" customWidth="1"/>
    <col min="6406" max="6407" width="2.28515625" style="92" customWidth="1"/>
    <col min="6408" max="6408" width="35.42578125" style="92" customWidth="1"/>
    <col min="6409" max="6409" width="14.7109375" style="92" customWidth="1"/>
    <col min="6410" max="6412" width="12.85546875" style="92" customWidth="1"/>
    <col min="6413" max="6413" width="15.5703125" style="92" customWidth="1"/>
    <col min="6414" max="6417" width="12.85546875" style="92" customWidth="1"/>
    <col min="6418" max="6419" width="10.42578125" style="92" customWidth="1"/>
    <col min="6420" max="6420" width="12.28515625" style="92" customWidth="1"/>
    <col min="6421" max="6661" width="10.42578125" style="92" customWidth="1"/>
    <col min="6662" max="6663" width="2.28515625" style="92" customWidth="1"/>
    <col min="6664" max="6664" width="35.42578125" style="92" customWidth="1"/>
    <col min="6665" max="6665" width="14.7109375" style="92" customWidth="1"/>
    <col min="6666" max="6668" width="12.85546875" style="92" customWidth="1"/>
    <col min="6669" max="6669" width="15.5703125" style="92" customWidth="1"/>
    <col min="6670" max="6673" width="12.85546875" style="92" customWidth="1"/>
    <col min="6674" max="6675" width="10.42578125" style="92" customWidth="1"/>
    <col min="6676" max="6676" width="12.28515625" style="92" customWidth="1"/>
    <col min="6677" max="6917" width="10.42578125" style="92" customWidth="1"/>
    <col min="6918" max="6919" width="2.28515625" style="92" customWidth="1"/>
    <col min="6920" max="6920" width="35.42578125" style="92" customWidth="1"/>
    <col min="6921" max="6921" width="14.7109375" style="92" customWidth="1"/>
    <col min="6922" max="6924" width="12.85546875" style="92" customWidth="1"/>
    <col min="6925" max="6925" width="15.5703125" style="92" customWidth="1"/>
    <col min="6926" max="6929" width="12.85546875" style="92" customWidth="1"/>
    <col min="6930" max="6931" width="10.42578125" style="92" customWidth="1"/>
    <col min="6932" max="6932" width="12.28515625" style="92" customWidth="1"/>
    <col min="6933" max="7173" width="10.42578125" style="92" customWidth="1"/>
    <col min="7174" max="7175" width="2.28515625" style="92" customWidth="1"/>
    <col min="7176" max="7176" width="35.42578125" style="92" customWidth="1"/>
    <col min="7177" max="7177" width="14.7109375" style="92" customWidth="1"/>
    <col min="7178" max="7180" width="12.85546875" style="92" customWidth="1"/>
    <col min="7181" max="7181" width="15.5703125" style="92" customWidth="1"/>
    <col min="7182" max="7185" width="12.85546875" style="92" customWidth="1"/>
    <col min="7186" max="7187" width="10.42578125" style="92" customWidth="1"/>
    <col min="7188" max="7188" width="12.28515625" style="92" customWidth="1"/>
    <col min="7189" max="7429" width="10.42578125" style="92" customWidth="1"/>
    <col min="7430" max="7431" width="2.28515625" style="92" customWidth="1"/>
    <col min="7432" max="7432" width="35.42578125" style="92" customWidth="1"/>
    <col min="7433" max="7433" width="14.7109375" style="92" customWidth="1"/>
    <col min="7434" max="7436" width="12.85546875" style="92" customWidth="1"/>
    <col min="7437" max="7437" width="15.5703125" style="92" customWidth="1"/>
    <col min="7438" max="7441" width="12.85546875" style="92" customWidth="1"/>
    <col min="7442" max="7443" width="10.42578125" style="92" customWidth="1"/>
    <col min="7444" max="7444" width="12.28515625" style="92" customWidth="1"/>
    <col min="7445" max="7685" width="10.42578125" style="92" customWidth="1"/>
    <col min="7686" max="7687" width="2.28515625" style="92" customWidth="1"/>
    <col min="7688" max="7688" width="35.42578125" style="92" customWidth="1"/>
    <col min="7689" max="7689" width="14.7109375" style="92" customWidth="1"/>
    <col min="7690" max="7692" width="12.85546875" style="92" customWidth="1"/>
    <col min="7693" max="7693" width="15.5703125" style="92" customWidth="1"/>
    <col min="7694" max="7697" width="12.85546875" style="92" customWidth="1"/>
    <col min="7698" max="7699" width="10.42578125" style="92" customWidth="1"/>
    <col min="7700" max="7700" width="12.28515625" style="92" customWidth="1"/>
    <col min="7701" max="7941" width="10.42578125" style="92" customWidth="1"/>
    <col min="7942" max="7943" width="2.28515625" style="92" customWidth="1"/>
    <col min="7944" max="7944" width="35.42578125" style="92" customWidth="1"/>
    <col min="7945" max="7945" width="14.7109375" style="92" customWidth="1"/>
    <col min="7946" max="7948" width="12.85546875" style="92" customWidth="1"/>
    <col min="7949" max="7949" width="15.5703125" style="92" customWidth="1"/>
    <col min="7950" max="7953" width="12.85546875" style="92" customWidth="1"/>
    <col min="7954" max="7955" width="10.42578125" style="92" customWidth="1"/>
    <col min="7956" max="7956" width="12.28515625" style="92" customWidth="1"/>
    <col min="7957" max="8197" width="10.42578125" style="92" customWidth="1"/>
    <col min="8198" max="8199" width="2.28515625" style="92" customWidth="1"/>
    <col min="8200" max="8200" width="35.42578125" style="92" customWidth="1"/>
    <col min="8201" max="8201" width="14.7109375" style="92" customWidth="1"/>
    <col min="8202" max="8204" width="12.85546875" style="92" customWidth="1"/>
    <col min="8205" max="8205" width="15.5703125" style="92" customWidth="1"/>
    <col min="8206" max="8209" width="12.85546875" style="92" customWidth="1"/>
    <col min="8210" max="8211" width="10.42578125" style="92" customWidth="1"/>
    <col min="8212" max="8212" width="12.28515625" style="92" customWidth="1"/>
    <col min="8213" max="8453" width="10.42578125" style="92" customWidth="1"/>
    <col min="8454" max="8455" width="2.28515625" style="92" customWidth="1"/>
    <col min="8456" max="8456" width="35.42578125" style="92" customWidth="1"/>
    <col min="8457" max="8457" width="14.7109375" style="92" customWidth="1"/>
    <col min="8458" max="8460" width="12.85546875" style="92" customWidth="1"/>
    <col min="8461" max="8461" width="15.5703125" style="92" customWidth="1"/>
    <col min="8462" max="8465" width="12.85546875" style="92" customWidth="1"/>
    <col min="8466" max="8467" width="10.42578125" style="92" customWidth="1"/>
    <col min="8468" max="8468" width="12.28515625" style="92" customWidth="1"/>
    <col min="8469" max="8709" width="10.42578125" style="92" customWidth="1"/>
    <col min="8710" max="8711" width="2.28515625" style="92" customWidth="1"/>
    <col min="8712" max="8712" width="35.42578125" style="92" customWidth="1"/>
    <col min="8713" max="8713" width="14.7109375" style="92" customWidth="1"/>
    <col min="8714" max="8716" width="12.85546875" style="92" customWidth="1"/>
    <col min="8717" max="8717" width="15.5703125" style="92" customWidth="1"/>
    <col min="8718" max="8721" width="12.85546875" style="92" customWidth="1"/>
    <col min="8722" max="8723" width="10.42578125" style="92" customWidth="1"/>
    <col min="8724" max="8724" width="12.28515625" style="92" customWidth="1"/>
    <col min="8725" max="8965" width="10.42578125" style="92" customWidth="1"/>
    <col min="8966" max="8967" width="2.28515625" style="92" customWidth="1"/>
    <col min="8968" max="8968" width="35.42578125" style="92" customWidth="1"/>
    <col min="8969" max="8969" width="14.7109375" style="92" customWidth="1"/>
    <col min="8970" max="8972" width="12.85546875" style="92" customWidth="1"/>
    <col min="8973" max="8973" width="15.5703125" style="92" customWidth="1"/>
    <col min="8974" max="8977" width="12.85546875" style="92" customWidth="1"/>
    <col min="8978" max="8979" width="10.42578125" style="92" customWidth="1"/>
    <col min="8980" max="8980" width="12.28515625" style="92" customWidth="1"/>
    <col min="8981" max="9221" width="10.42578125" style="92" customWidth="1"/>
    <col min="9222" max="9223" width="2.28515625" style="92" customWidth="1"/>
    <col min="9224" max="9224" width="35.42578125" style="92" customWidth="1"/>
    <col min="9225" max="9225" width="14.7109375" style="92" customWidth="1"/>
    <col min="9226" max="9228" width="12.85546875" style="92" customWidth="1"/>
    <col min="9229" max="9229" width="15.5703125" style="92" customWidth="1"/>
    <col min="9230" max="9233" width="12.85546875" style="92" customWidth="1"/>
    <col min="9234" max="9235" width="10.42578125" style="92" customWidth="1"/>
    <col min="9236" max="9236" width="12.28515625" style="92" customWidth="1"/>
    <col min="9237" max="9477" width="10.42578125" style="92" customWidth="1"/>
    <col min="9478" max="9479" width="2.28515625" style="92" customWidth="1"/>
    <col min="9480" max="9480" width="35.42578125" style="92" customWidth="1"/>
    <col min="9481" max="9481" width="14.7109375" style="92" customWidth="1"/>
    <col min="9482" max="9484" width="12.85546875" style="92" customWidth="1"/>
    <col min="9485" max="9485" width="15.5703125" style="92" customWidth="1"/>
    <col min="9486" max="9489" width="12.85546875" style="92" customWidth="1"/>
    <col min="9490" max="9491" width="10.42578125" style="92" customWidth="1"/>
    <col min="9492" max="9492" width="12.28515625" style="92" customWidth="1"/>
    <col min="9493" max="9733" width="10.42578125" style="92" customWidth="1"/>
    <col min="9734" max="9735" width="2.28515625" style="92" customWidth="1"/>
    <col min="9736" max="9736" width="35.42578125" style="92" customWidth="1"/>
    <col min="9737" max="9737" width="14.7109375" style="92" customWidth="1"/>
    <col min="9738" max="9740" width="12.85546875" style="92" customWidth="1"/>
    <col min="9741" max="9741" width="15.5703125" style="92" customWidth="1"/>
    <col min="9742" max="9745" width="12.85546875" style="92" customWidth="1"/>
    <col min="9746" max="9747" width="10.42578125" style="92" customWidth="1"/>
    <col min="9748" max="9748" width="12.28515625" style="92" customWidth="1"/>
    <col min="9749" max="9989" width="10.42578125" style="92" customWidth="1"/>
    <col min="9990" max="9991" width="2.28515625" style="92" customWidth="1"/>
    <col min="9992" max="9992" width="35.42578125" style="92" customWidth="1"/>
    <col min="9993" max="9993" width="14.7109375" style="92" customWidth="1"/>
    <col min="9994" max="9996" width="12.85546875" style="92" customWidth="1"/>
    <col min="9997" max="9997" width="15.5703125" style="92" customWidth="1"/>
    <col min="9998" max="10001" width="12.85546875" style="92" customWidth="1"/>
    <col min="10002" max="10003" width="10.42578125" style="92" customWidth="1"/>
    <col min="10004" max="10004" width="12.28515625" style="92" customWidth="1"/>
    <col min="10005" max="10245" width="10.42578125" style="92" customWidth="1"/>
    <col min="10246" max="10247" width="2.28515625" style="92" customWidth="1"/>
    <col min="10248" max="10248" width="35.42578125" style="92" customWidth="1"/>
    <col min="10249" max="10249" width="14.7109375" style="92" customWidth="1"/>
    <col min="10250" max="10252" width="12.85546875" style="92" customWidth="1"/>
    <col min="10253" max="10253" width="15.5703125" style="92" customWidth="1"/>
    <col min="10254" max="10257" width="12.85546875" style="92" customWidth="1"/>
    <col min="10258" max="10259" width="10.42578125" style="92" customWidth="1"/>
    <col min="10260" max="10260" width="12.28515625" style="92" customWidth="1"/>
    <col min="10261" max="10501" width="10.42578125" style="92" customWidth="1"/>
    <col min="10502" max="10503" width="2.28515625" style="92" customWidth="1"/>
    <col min="10504" max="10504" width="35.42578125" style="92" customWidth="1"/>
    <col min="10505" max="10505" width="14.7109375" style="92" customWidth="1"/>
    <col min="10506" max="10508" width="12.85546875" style="92" customWidth="1"/>
    <col min="10509" max="10509" width="15.5703125" style="92" customWidth="1"/>
    <col min="10510" max="10513" width="12.85546875" style="92" customWidth="1"/>
    <col min="10514" max="10515" width="10.42578125" style="92" customWidth="1"/>
    <col min="10516" max="10516" width="12.28515625" style="92" customWidth="1"/>
    <col min="10517" max="10757" width="10.42578125" style="92" customWidth="1"/>
    <col min="10758" max="10759" width="2.28515625" style="92" customWidth="1"/>
    <col min="10760" max="10760" width="35.42578125" style="92" customWidth="1"/>
    <col min="10761" max="10761" width="14.7109375" style="92" customWidth="1"/>
    <col min="10762" max="10764" width="12.85546875" style="92" customWidth="1"/>
    <col min="10765" max="10765" width="15.5703125" style="92" customWidth="1"/>
    <col min="10766" max="10769" width="12.85546875" style="92" customWidth="1"/>
    <col min="10770" max="10771" width="10.42578125" style="92" customWidth="1"/>
    <col min="10772" max="10772" width="12.28515625" style="92" customWidth="1"/>
    <col min="10773" max="11013" width="10.42578125" style="92" customWidth="1"/>
    <col min="11014" max="11015" width="2.28515625" style="92" customWidth="1"/>
    <col min="11016" max="11016" width="35.42578125" style="92" customWidth="1"/>
    <col min="11017" max="11017" width="14.7109375" style="92" customWidth="1"/>
    <col min="11018" max="11020" width="12.85546875" style="92" customWidth="1"/>
    <col min="11021" max="11021" width="15.5703125" style="92" customWidth="1"/>
    <col min="11022" max="11025" width="12.85546875" style="92" customWidth="1"/>
    <col min="11026" max="11027" width="10.42578125" style="92" customWidth="1"/>
    <col min="11028" max="11028" width="12.28515625" style="92" customWidth="1"/>
    <col min="11029" max="11269" width="10.42578125" style="92" customWidth="1"/>
    <col min="11270" max="11271" width="2.28515625" style="92" customWidth="1"/>
    <col min="11272" max="11272" width="35.42578125" style="92" customWidth="1"/>
    <col min="11273" max="11273" width="14.7109375" style="92" customWidth="1"/>
    <col min="11274" max="11276" width="12.85546875" style="92" customWidth="1"/>
    <col min="11277" max="11277" width="15.5703125" style="92" customWidth="1"/>
    <col min="11278" max="11281" width="12.85546875" style="92" customWidth="1"/>
    <col min="11282" max="11283" width="10.42578125" style="92" customWidth="1"/>
    <col min="11284" max="11284" width="12.28515625" style="92" customWidth="1"/>
    <col min="11285" max="11525" width="10.42578125" style="92" customWidth="1"/>
    <col min="11526" max="11527" width="2.28515625" style="92" customWidth="1"/>
    <col min="11528" max="11528" width="35.42578125" style="92" customWidth="1"/>
    <col min="11529" max="11529" width="14.7109375" style="92" customWidth="1"/>
    <col min="11530" max="11532" width="12.85546875" style="92" customWidth="1"/>
    <col min="11533" max="11533" width="15.5703125" style="92" customWidth="1"/>
    <col min="11534" max="11537" width="12.85546875" style="92" customWidth="1"/>
    <col min="11538" max="11539" width="10.42578125" style="92" customWidth="1"/>
    <col min="11540" max="11540" width="12.28515625" style="92" customWidth="1"/>
    <col min="11541" max="11781" width="10.42578125" style="92" customWidth="1"/>
    <col min="11782" max="11783" width="2.28515625" style="92" customWidth="1"/>
    <col min="11784" max="11784" width="35.42578125" style="92" customWidth="1"/>
    <col min="11785" max="11785" width="14.7109375" style="92" customWidth="1"/>
    <col min="11786" max="11788" width="12.85546875" style="92" customWidth="1"/>
    <col min="11789" max="11789" width="15.5703125" style="92" customWidth="1"/>
    <col min="11790" max="11793" width="12.85546875" style="92" customWidth="1"/>
    <col min="11794" max="11795" width="10.42578125" style="92" customWidth="1"/>
    <col min="11796" max="11796" width="12.28515625" style="92" customWidth="1"/>
    <col min="11797" max="12037" width="10.42578125" style="92" customWidth="1"/>
    <col min="12038" max="12039" width="2.28515625" style="92" customWidth="1"/>
    <col min="12040" max="12040" width="35.42578125" style="92" customWidth="1"/>
    <col min="12041" max="12041" width="14.7109375" style="92" customWidth="1"/>
    <col min="12042" max="12044" width="12.85546875" style="92" customWidth="1"/>
    <col min="12045" max="12045" width="15.5703125" style="92" customWidth="1"/>
    <col min="12046" max="12049" width="12.85546875" style="92" customWidth="1"/>
    <col min="12050" max="12051" width="10.42578125" style="92" customWidth="1"/>
    <col min="12052" max="12052" width="12.28515625" style="92" customWidth="1"/>
    <col min="12053" max="12293" width="10.42578125" style="92" customWidth="1"/>
    <col min="12294" max="12295" width="2.28515625" style="92" customWidth="1"/>
    <col min="12296" max="12296" width="35.42578125" style="92" customWidth="1"/>
    <col min="12297" max="12297" width="14.7109375" style="92" customWidth="1"/>
    <col min="12298" max="12300" width="12.85546875" style="92" customWidth="1"/>
    <col min="12301" max="12301" width="15.5703125" style="92" customWidth="1"/>
    <col min="12302" max="12305" width="12.85546875" style="92" customWidth="1"/>
    <col min="12306" max="12307" width="10.42578125" style="92" customWidth="1"/>
    <col min="12308" max="12308" width="12.28515625" style="92" customWidth="1"/>
    <col min="12309" max="12549" width="10.42578125" style="92" customWidth="1"/>
    <col min="12550" max="12551" width="2.28515625" style="92" customWidth="1"/>
    <col min="12552" max="12552" width="35.42578125" style="92" customWidth="1"/>
    <col min="12553" max="12553" width="14.7109375" style="92" customWidth="1"/>
    <col min="12554" max="12556" width="12.85546875" style="92" customWidth="1"/>
    <col min="12557" max="12557" width="15.5703125" style="92" customWidth="1"/>
    <col min="12558" max="12561" width="12.85546875" style="92" customWidth="1"/>
    <col min="12562" max="12563" width="10.42578125" style="92" customWidth="1"/>
    <col min="12564" max="12564" width="12.28515625" style="92" customWidth="1"/>
    <col min="12565" max="12805" width="10.42578125" style="92" customWidth="1"/>
    <col min="12806" max="12807" width="2.28515625" style="92" customWidth="1"/>
    <col min="12808" max="12808" width="35.42578125" style="92" customWidth="1"/>
    <col min="12809" max="12809" width="14.7109375" style="92" customWidth="1"/>
    <col min="12810" max="12812" width="12.85546875" style="92" customWidth="1"/>
    <col min="12813" max="12813" width="15.5703125" style="92" customWidth="1"/>
    <col min="12814" max="12817" width="12.85546875" style="92" customWidth="1"/>
    <col min="12818" max="12819" width="10.42578125" style="92" customWidth="1"/>
    <col min="12820" max="12820" width="12.28515625" style="92" customWidth="1"/>
    <col min="12821" max="13061" width="10.42578125" style="92" customWidth="1"/>
    <col min="13062" max="13063" width="2.28515625" style="92" customWidth="1"/>
    <col min="13064" max="13064" width="35.42578125" style="92" customWidth="1"/>
    <col min="13065" max="13065" width="14.7109375" style="92" customWidth="1"/>
    <col min="13066" max="13068" width="12.85546875" style="92" customWidth="1"/>
    <col min="13069" max="13069" width="15.5703125" style="92" customWidth="1"/>
    <col min="13070" max="13073" width="12.85546875" style="92" customWidth="1"/>
    <col min="13074" max="13075" width="10.42578125" style="92" customWidth="1"/>
    <col min="13076" max="13076" width="12.28515625" style="92" customWidth="1"/>
    <col min="13077" max="13317" width="10.42578125" style="92" customWidth="1"/>
    <col min="13318" max="13319" width="2.28515625" style="92" customWidth="1"/>
    <col min="13320" max="13320" width="35.42578125" style="92" customWidth="1"/>
    <col min="13321" max="13321" width="14.7109375" style="92" customWidth="1"/>
    <col min="13322" max="13324" width="12.85546875" style="92" customWidth="1"/>
    <col min="13325" max="13325" width="15.5703125" style="92" customWidth="1"/>
    <col min="13326" max="13329" width="12.85546875" style="92" customWidth="1"/>
    <col min="13330" max="13331" width="10.42578125" style="92" customWidth="1"/>
    <col min="13332" max="13332" width="12.28515625" style="92" customWidth="1"/>
    <col min="13333" max="13573" width="10.42578125" style="92" customWidth="1"/>
    <col min="13574" max="13575" width="2.28515625" style="92" customWidth="1"/>
    <col min="13576" max="13576" width="35.42578125" style="92" customWidth="1"/>
    <col min="13577" max="13577" width="14.7109375" style="92" customWidth="1"/>
    <col min="13578" max="13580" width="12.85546875" style="92" customWidth="1"/>
    <col min="13581" max="13581" width="15.5703125" style="92" customWidth="1"/>
    <col min="13582" max="13585" width="12.85546875" style="92" customWidth="1"/>
    <col min="13586" max="13587" width="10.42578125" style="92" customWidth="1"/>
    <col min="13588" max="13588" width="12.28515625" style="92" customWidth="1"/>
    <col min="13589" max="13829" width="10.42578125" style="92" customWidth="1"/>
    <col min="13830" max="13831" width="2.28515625" style="92" customWidth="1"/>
    <col min="13832" max="13832" width="35.42578125" style="92" customWidth="1"/>
    <col min="13833" max="13833" width="14.7109375" style="92" customWidth="1"/>
    <col min="13834" max="13836" width="12.85546875" style="92" customWidth="1"/>
    <col min="13837" max="13837" width="15.5703125" style="92" customWidth="1"/>
    <col min="13838" max="13841" width="12.85546875" style="92" customWidth="1"/>
    <col min="13842" max="13843" width="10.42578125" style="92" customWidth="1"/>
    <col min="13844" max="13844" width="12.28515625" style="92" customWidth="1"/>
    <col min="13845" max="14085" width="10.42578125" style="92" customWidth="1"/>
    <col min="14086" max="14087" width="2.28515625" style="92" customWidth="1"/>
    <col min="14088" max="14088" width="35.42578125" style="92" customWidth="1"/>
    <col min="14089" max="14089" width="14.7109375" style="92" customWidth="1"/>
    <col min="14090" max="14092" width="12.85546875" style="92" customWidth="1"/>
    <col min="14093" max="14093" width="15.5703125" style="92" customWidth="1"/>
    <col min="14094" max="14097" width="12.85546875" style="92" customWidth="1"/>
    <col min="14098" max="14099" width="10.42578125" style="92" customWidth="1"/>
    <col min="14100" max="14100" width="12.28515625" style="92" customWidth="1"/>
    <col min="14101" max="14341" width="10.42578125" style="92" customWidth="1"/>
    <col min="14342" max="14343" width="2.28515625" style="92" customWidth="1"/>
    <col min="14344" max="14344" width="35.42578125" style="92" customWidth="1"/>
    <col min="14345" max="14345" width="14.7109375" style="92" customWidth="1"/>
    <col min="14346" max="14348" width="12.85546875" style="92" customWidth="1"/>
    <col min="14349" max="14349" width="15.5703125" style="92" customWidth="1"/>
    <col min="14350" max="14353" width="12.85546875" style="92" customWidth="1"/>
    <col min="14354" max="14355" width="10.42578125" style="92" customWidth="1"/>
    <col min="14356" max="14356" width="12.28515625" style="92" customWidth="1"/>
    <col min="14357" max="14597" width="10.42578125" style="92" customWidth="1"/>
    <col min="14598" max="14599" width="2.28515625" style="92" customWidth="1"/>
    <col min="14600" max="14600" width="35.42578125" style="92" customWidth="1"/>
    <col min="14601" max="14601" width="14.7109375" style="92" customWidth="1"/>
    <col min="14602" max="14604" width="12.85546875" style="92" customWidth="1"/>
    <col min="14605" max="14605" width="15.5703125" style="92" customWidth="1"/>
    <col min="14606" max="14609" width="12.85546875" style="92" customWidth="1"/>
    <col min="14610" max="14611" width="10.42578125" style="92" customWidth="1"/>
    <col min="14612" max="14612" width="12.28515625" style="92" customWidth="1"/>
    <col min="14613" max="14853" width="10.42578125" style="92" customWidth="1"/>
    <col min="14854" max="14855" width="2.28515625" style="92" customWidth="1"/>
    <col min="14856" max="14856" width="35.42578125" style="92" customWidth="1"/>
    <col min="14857" max="14857" width="14.7109375" style="92" customWidth="1"/>
    <col min="14858" max="14860" width="12.85546875" style="92" customWidth="1"/>
    <col min="14861" max="14861" width="15.5703125" style="92" customWidth="1"/>
    <col min="14862" max="14865" width="12.85546875" style="92" customWidth="1"/>
    <col min="14866" max="14867" width="10.42578125" style="92" customWidth="1"/>
    <col min="14868" max="14868" width="12.28515625" style="92" customWidth="1"/>
    <col min="14869" max="15109" width="10.42578125" style="92" customWidth="1"/>
    <col min="15110" max="15111" width="2.28515625" style="92" customWidth="1"/>
    <col min="15112" max="15112" width="35.42578125" style="92" customWidth="1"/>
    <col min="15113" max="15113" width="14.7109375" style="92" customWidth="1"/>
    <col min="15114" max="15116" width="12.85546875" style="92" customWidth="1"/>
    <col min="15117" max="15117" width="15.5703125" style="92" customWidth="1"/>
    <col min="15118" max="15121" width="12.85546875" style="92" customWidth="1"/>
    <col min="15122" max="15123" width="10.42578125" style="92" customWidth="1"/>
    <col min="15124" max="15124" width="12.28515625" style="92" customWidth="1"/>
    <col min="15125" max="15365" width="10.42578125" style="92" customWidth="1"/>
    <col min="15366" max="15367" width="2.28515625" style="92" customWidth="1"/>
    <col min="15368" max="15368" width="35.42578125" style="92" customWidth="1"/>
    <col min="15369" max="15369" width="14.7109375" style="92" customWidth="1"/>
    <col min="15370" max="15372" width="12.85546875" style="92" customWidth="1"/>
    <col min="15373" max="15373" width="15.5703125" style="92" customWidth="1"/>
    <col min="15374" max="15377" width="12.85546875" style="92" customWidth="1"/>
    <col min="15378" max="15379" width="10.42578125" style="92" customWidth="1"/>
    <col min="15380" max="15380" width="12.28515625" style="92" customWidth="1"/>
    <col min="15381" max="15621" width="10.42578125" style="92" customWidth="1"/>
    <col min="15622" max="15623" width="2.28515625" style="92" customWidth="1"/>
    <col min="15624" max="15624" width="35.42578125" style="92" customWidth="1"/>
    <col min="15625" max="15625" width="14.7109375" style="92" customWidth="1"/>
    <col min="15626" max="15628" width="12.85546875" style="92" customWidth="1"/>
    <col min="15629" max="15629" width="15.5703125" style="92" customWidth="1"/>
    <col min="15630" max="15633" width="12.85546875" style="92" customWidth="1"/>
    <col min="15634" max="15635" width="10.42578125" style="92" customWidth="1"/>
    <col min="15636" max="15636" width="12.28515625" style="92" customWidth="1"/>
    <col min="15637" max="15877" width="10.42578125" style="92" customWidth="1"/>
    <col min="15878" max="15879" width="2.28515625" style="92" customWidth="1"/>
    <col min="15880" max="15880" width="35.42578125" style="92" customWidth="1"/>
    <col min="15881" max="15881" width="14.7109375" style="92" customWidth="1"/>
    <col min="15882" max="15884" width="12.85546875" style="92" customWidth="1"/>
    <col min="15885" max="15885" width="15.5703125" style="92" customWidth="1"/>
    <col min="15886" max="15889" width="12.85546875" style="92" customWidth="1"/>
    <col min="15890" max="15891" width="10.42578125" style="92" customWidth="1"/>
    <col min="15892" max="15892" width="12.28515625" style="92" customWidth="1"/>
    <col min="15893" max="16133" width="10.42578125" style="92" customWidth="1"/>
    <col min="16134" max="16135" width="2.28515625" style="92" customWidth="1"/>
    <col min="16136" max="16136" width="35.42578125" style="92" customWidth="1"/>
    <col min="16137" max="16137" width="14.7109375" style="92" customWidth="1"/>
    <col min="16138" max="16140" width="12.85546875" style="92" customWidth="1"/>
    <col min="16141" max="16141" width="15.5703125" style="92" customWidth="1"/>
    <col min="16142" max="16145" width="12.85546875" style="92" customWidth="1"/>
    <col min="16146" max="16147" width="10.42578125" style="92" customWidth="1"/>
    <col min="16148" max="16148" width="12.28515625" style="92" customWidth="1"/>
    <col min="16149" max="16384" width="10.42578125" style="92" customWidth="1"/>
  </cols>
  <sheetData>
    <row r="1" spans="3:26" s="93" customFormat="1" ht="6.75" customHeight="1" x14ac:dyDescent="0.2"/>
    <row r="2" spans="3:26" s="93" customFormat="1" ht="6.75" customHeight="1" x14ac:dyDescent="0.2"/>
    <row r="3" spans="3:26" x14ac:dyDescent="0.2">
      <c r="C3" s="92" t="s">
        <v>235</v>
      </c>
    </row>
    <row r="4" spans="3:26" ht="13.5" customHeight="1" x14ac:dyDescent="0.2">
      <c r="C4" s="94" t="s">
        <v>236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</row>
    <row r="7" spans="3:26" x14ac:dyDescent="0.2">
      <c r="C7" s="92" t="s">
        <v>237</v>
      </c>
      <c r="D7" s="95" t="str">
        <f>IF(Control!B4="","",Control!B4)</f>
        <v/>
      </c>
      <c r="F7" s="92" t="s">
        <v>238</v>
      </c>
      <c r="G7" s="96" t="str">
        <f>IF(Control!E4="","",Control!E4)</f>
        <v/>
      </c>
    </row>
    <row r="8" spans="3:26" x14ac:dyDescent="0.2">
      <c r="C8" s="92" t="s">
        <v>239</v>
      </c>
      <c r="D8" s="97" t="str">
        <f>IF(Control!B10=1,"Bull Case",IF(Control!B10=2,"Base Case","Bear Case"))</f>
        <v>Base Case</v>
      </c>
    </row>
    <row r="9" spans="3:26" x14ac:dyDescent="0.2">
      <c r="C9" s="92" t="s">
        <v>240</v>
      </c>
      <c r="D9" s="98" t="str">
        <f>IF(Control!B12="","",DATE(YEAR(Control!B12)-1,12,31))</f>
        <v/>
      </c>
    </row>
    <row r="10" spans="3:26" x14ac:dyDescent="0.2">
      <c r="C10" s="92" t="s">
        <v>241</v>
      </c>
      <c r="D10" s="98" t="str">
        <f>IF(Control!B12="","",Control!B12)</f>
        <v/>
      </c>
    </row>
    <row r="11" spans="3:26" x14ac:dyDescent="0.2">
      <c r="C11" s="92" t="s">
        <v>242</v>
      </c>
      <c r="D11" s="99" t="str">
        <f>IF(Control!B12="","",Control!B13)</f>
        <v/>
      </c>
      <c r="E11" s="100"/>
      <c r="I11" s="101"/>
      <c r="O11" s="102"/>
      <c r="Z11" s="103"/>
    </row>
    <row r="12" spans="3:26" x14ac:dyDescent="0.2">
      <c r="C12" s="92" t="s">
        <v>243</v>
      </c>
      <c r="D12" s="99" t="str">
        <f>IF(Control!E12="","",Control!E12)</f>
        <v/>
      </c>
      <c r="I12" s="101"/>
    </row>
    <row r="13" spans="3:26" x14ac:dyDescent="0.2">
      <c r="D13" s="99"/>
      <c r="E13" s="99"/>
    </row>
    <row r="14" spans="3:26" ht="14.85" customHeight="1" x14ac:dyDescent="0.2">
      <c r="C14" s="104" t="s">
        <v>244</v>
      </c>
      <c r="D14" s="104"/>
      <c r="E14" s="104"/>
      <c r="F14" s="104"/>
      <c r="G14" s="250" t="s">
        <v>245</v>
      </c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</row>
    <row r="15" spans="3:26" x14ac:dyDescent="0.2">
      <c r="C15" s="105"/>
      <c r="D15" s="105"/>
      <c r="E15" s="105"/>
      <c r="F15" s="105"/>
      <c r="G15" s="256" t="s">
        <v>246</v>
      </c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X15" s="106"/>
      <c r="Y15" s="107"/>
      <c r="Z15" s="107"/>
    </row>
    <row r="16" spans="3:26" x14ac:dyDescent="0.2">
      <c r="D16" s="108">
        <v>2023</v>
      </c>
      <c r="E16" s="108">
        <v>2024</v>
      </c>
      <c r="F16" s="108">
        <v>2025</v>
      </c>
      <c r="G16" s="108">
        <v>2026</v>
      </c>
      <c r="H16" s="108">
        <v>2027</v>
      </c>
      <c r="I16" s="108">
        <v>2028</v>
      </c>
      <c r="J16" s="108">
        <v>2029</v>
      </c>
      <c r="K16" s="108">
        <v>2030</v>
      </c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7"/>
      <c r="Y16" s="107"/>
      <c r="Z16" s="107"/>
    </row>
    <row r="17" spans="3:26" x14ac:dyDescent="0.2">
      <c r="C17" s="109"/>
      <c r="D17" s="110">
        <v>45291</v>
      </c>
      <c r="E17" s="110">
        <v>45657</v>
      </c>
      <c r="F17" s="110">
        <v>46022</v>
      </c>
      <c r="G17" s="110">
        <v>46387</v>
      </c>
      <c r="H17" s="110">
        <v>46752</v>
      </c>
      <c r="I17" s="110">
        <v>47118</v>
      </c>
      <c r="J17" s="110">
        <v>47483</v>
      </c>
      <c r="K17" s="110">
        <v>47848</v>
      </c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1"/>
      <c r="X17" s="107"/>
      <c r="Y17" s="107"/>
      <c r="Z17" s="107"/>
    </row>
    <row r="18" spans="3:26" x14ac:dyDescent="0.2">
      <c r="C18" s="112" t="s">
        <v>36</v>
      </c>
      <c r="D18" s="113" t="str">
        <f>Model!W15</f>
        <v/>
      </c>
      <c r="E18" s="113" t="str">
        <f>Model!AB15</f>
        <v/>
      </c>
      <c r="F18" s="113" t="str">
        <f>Model!AG15</f>
        <v/>
      </c>
      <c r="G18" s="113" t="e">
        <f>Model!AL15</f>
        <v>#VALUE!</v>
      </c>
      <c r="H18" s="113" t="e">
        <f>Model!AQ15</f>
        <v>#VALUE!</v>
      </c>
      <c r="I18" s="113" t="e">
        <f>Model!AV15</f>
        <v>#VALUE!</v>
      </c>
      <c r="J18" s="113" t="e">
        <f>Model!BA15</f>
        <v>#VALUE!</v>
      </c>
      <c r="K18" s="113" t="e">
        <f>Model!BF15</f>
        <v>#VALUE!</v>
      </c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4"/>
      <c r="X18" s="115"/>
      <c r="Y18" s="115"/>
      <c r="Z18" s="107"/>
    </row>
    <row r="19" spans="3:26" x14ac:dyDescent="0.2">
      <c r="C19" s="116"/>
      <c r="D19" s="109" t="str">
        <f>""</f>
        <v/>
      </c>
      <c r="E19" s="117" t="str">
        <f>IFERROR(IF(D18=0,"",E18/D18-1),"")</f>
        <v/>
      </c>
      <c r="F19" s="117" t="str">
        <f>IFERROR(IF(E18=0,"",F18/E18-1),"")</f>
        <v/>
      </c>
      <c r="G19" s="117" t="e">
        <f>IF(F18=0,"",G18/F18-1)</f>
        <v>#VALUE!</v>
      </c>
      <c r="H19" s="117" t="e">
        <f>IF(G18=0,"",H18/G18-1)</f>
        <v>#VALUE!</v>
      </c>
      <c r="I19" s="117" t="e">
        <f>IF(H18=0,"",I18/H18-1)</f>
        <v>#VALUE!</v>
      </c>
      <c r="J19" s="117" t="e">
        <f>IF(I18=0,"",J18/I18-1)</f>
        <v>#VALUE!</v>
      </c>
      <c r="K19" s="117" t="e">
        <f>IF(J18=0,"",K18/J18-1)</f>
        <v>#VALUE!</v>
      </c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8"/>
      <c r="X19" s="107"/>
      <c r="Y19" s="107"/>
      <c r="Z19" s="107"/>
    </row>
    <row r="20" spans="3:26" x14ac:dyDescent="0.2">
      <c r="C20" s="119" t="s">
        <v>97</v>
      </c>
      <c r="D20" s="113">
        <f>Model!W35</f>
        <v>0</v>
      </c>
      <c r="E20" s="113">
        <f>Model!AB35</f>
        <v>0</v>
      </c>
      <c r="F20" s="113">
        <f>Model!AG35</f>
        <v>0</v>
      </c>
      <c r="G20" s="113" t="e">
        <f>Model!AL35</f>
        <v>#VALUE!</v>
      </c>
      <c r="H20" s="113" t="e">
        <f>Model!AQ35</f>
        <v>#VALUE!</v>
      </c>
      <c r="I20" s="113" t="e">
        <f>Model!AV35</f>
        <v>#VALUE!</v>
      </c>
      <c r="J20" s="113" t="e">
        <f>Model!BA35</f>
        <v>#VALUE!</v>
      </c>
      <c r="K20" s="113" t="e">
        <f>Model!BF35</f>
        <v>#VALUE!</v>
      </c>
      <c r="L20" s="113"/>
      <c r="M20" s="120"/>
      <c r="N20" s="120"/>
      <c r="O20" s="120"/>
      <c r="P20" s="120"/>
      <c r="Q20" s="120"/>
      <c r="R20" s="120"/>
      <c r="S20" s="120"/>
      <c r="T20" s="120"/>
      <c r="U20" s="120"/>
      <c r="V20" s="121"/>
      <c r="X20" s="107"/>
      <c r="Y20" s="107"/>
      <c r="Z20" s="107"/>
    </row>
    <row r="21" spans="3:26" x14ac:dyDescent="0.2">
      <c r="C21" s="116"/>
      <c r="D21" s="122" t="str">
        <f>IFERROR(IF(D18=0,"",D20/D18),"")</f>
        <v/>
      </c>
      <c r="E21" s="122" t="str">
        <f>IFERROR(IF(E18=0,"",E20/E18),"")</f>
        <v/>
      </c>
      <c r="F21" s="122" t="e">
        <f t="shared" ref="F21:K21" si="0">IF(F18=0,"",F20/F18)</f>
        <v>#VALUE!</v>
      </c>
      <c r="G21" s="122" t="e">
        <f t="shared" si="0"/>
        <v>#VALUE!</v>
      </c>
      <c r="H21" s="122" t="e">
        <f t="shared" si="0"/>
        <v>#VALUE!</v>
      </c>
      <c r="I21" s="122" t="e">
        <f t="shared" si="0"/>
        <v>#VALUE!</v>
      </c>
      <c r="J21" s="122" t="e">
        <f t="shared" si="0"/>
        <v>#VALUE!</v>
      </c>
      <c r="K21" s="122" t="e">
        <f t="shared" si="0"/>
        <v>#VALUE!</v>
      </c>
      <c r="L21" s="122"/>
      <c r="M21" s="109"/>
      <c r="N21" s="109"/>
      <c r="O21" s="109"/>
      <c r="P21" s="109"/>
      <c r="Q21" s="109"/>
      <c r="R21" s="109"/>
      <c r="S21" s="109"/>
      <c r="T21" s="109"/>
      <c r="U21" s="109"/>
      <c r="V21" s="123"/>
      <c r="X21" s="115"/>
      <c r="Y21" s="115"/>
      <c r="Z21" s="107"/>
    </row>
    <row r="22" spans="3:26" x14ac:dyDescent="0.2">
      <c r="C22" s="112" t="s">
        <v>224</v>
      </c>
      <c r="D22" s="113">
        <f>Model!W39</f>
        <v>0</v>
      </c>
      <c r="E22" s="113">
        <f>Model!AB39</f>
        <v>0</v>
      </c>
      <c r="F22" s="113">
        <f>Model!AG39</f>
        <v>0</v>
      </c>
      <c r="G22" s="113" t="e">
        <f>Model!AL39</f>
        <v>#VALUE!</v>
      </c>
      <c r="H22" s="113" t="e">
        <f>Model!AQ39</f>
        <v>#VALUE!</v>
      </c>
      <c r="I22" s="113" t="e">
        <f>Model!AV39</f>
        <v>#VALUE!</v>
      </c>
      <c r="J22" s="113" t="e">
        <f>Model!BA39</f>
        <v>#VALUE!</v>
      </c>
      <c r="K22" s="113" t="e">
        <f>Model!BF39</f>
        <v>#VALUE!</v>
      </c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X22" s="115"/>
      <c r="Y22" s="115"/>
      <c r="Z22" s="107"/>
    </row>
    <row r="23" spans="3:26" x14ac:dyDescent="0.2">
      <c r="C23" s="116"/>
      <c r="D23" s="122" t="str">
        <f>IFERROR(IF(D18=0,"",D22/D18),"")</f>
        <v/>
      </c>
      <c r="E23" s="122" t="str">
        <f>IFERROR(IF(E18=0,"",E22/E18),"")</f>
        <v/>
      </c>
      <c r="F23" s="122" t="e">
        <f t="shared" ref="F23:K23" si="1">IF(F18=0,"",F22/F18)</f>
        <v>#VALUE!</v>
      </c>
      <c r="G23" s="122" t="e">
        <f t="shared" si="1"/>
        <v>#VALUE!</v>
      </c>
      <c r="H23" s="122" t="e">
        <f t="shared" si="1"/>
        <v>#VALUE!</v>
      </c>
      <c r="I23" s="122" t="e">
        <f t="shared" si="1"/>
        <v>#VALUE!</v>
      </c>
      <c r="J23" s="122" t="e">
        <f t="shared" si="1"/>
        <v>#VALUE!</v>
      </c>
      <c r="K23" s="122" t="e">
        <f t="shared" si="1"/>
        <v>#VALUE!</v>
      </c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4"/>
      <c r="X23" s="107"/>
      <c r="Y23" s="107"/>
      <c r="Z23" s="107"/>
    </row>
    <row r="24" spans="3:26" x14ac:dyDescent="0.2">
      <c r="C24" s="112" t="s">
        <v>247</v>
      </c>
      <c r="D24" s="125" t="str">
        <f>Model!W98</f>
        <v/>
      </c>
      <c r="E24" s="125" t="str">
        <f>Model!AB98</f>
        <v/>
      </c>
      <c r="F24" s="125" t="str">
        <f>Model!AG98</f>
        <v/>
      </c>
      <c r="G24" s="125" t="str">
        <f>Model!AL98</f>
        <v/>
      </c>
      <c r="H24" s="125" t="str">
        <f>Model!AQ98</f>
        <v/>
      </c>
      <c r="I24" s="125" t="str">
        <f>Model!AV98</f>
        <v/>
      </c>
      <c r="J24" s="125" t="str">
        <f>Model!BA98</f>
        <v/>
      </c>
      <c r="K24" s="125" t="str">
        <f>Model!BF98</f>
        <v/>
      </c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6"/>
      <c r="X24" s="107"/>
      <c r="Y24" s="107"/>
      <c r="Z24" s="107"/>
    </row>
    <row r="25" spans="3:26" x14ac:dyDescent="0.2">
      <c r="C25" s="116" t="s">
        <v>223</v>
      </c>
      <c r="D25" s="127" t="e">
        <f t="shared" ref="D25:K25" si="2">D22*(1-D24)</f>
        <v>#VALUE!</v>
      </c>
      <c r="E25" s="127" t="e">
        <f t="shared" si="2"/>
        <v>#VALUE!</v>
      </c>
      <c r="F25" s="127" t="e">
        <f t="shared" si="2"/>
        <v>#VALUE!</v>
      </c>
      <c r="G25" s="127" t="e">
        <f t="shared" si="2"/>
        <v>#VALUE!</v>
      </c>
      <c r="H25" s="127" t="e">
        <f t="shared" si="2"/>
        <v>#VALUE!</v>
      </c>
      <c r="I25" s="127" t="e">
        <f t="shared" si="2"/>
        <v>#VALUE!</v>
      </c>
      <c r="J25" s="127" t="e">
        <f t="shared" si="2"/>
        <v>#VALUE!</v>
      </c>
      <c r="K25" s="127" t="e">
        <f t="shared" si="2"/>
        <v>#VALUE!</v>
      </c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8"/>
      <c r="X25" s="115"/>
      <c r="Y25" s="115"/>
      <c r="Z25" s="107"/>
    </row>
    <row r="26" spans="3:26" x14ac:dyDescent="0.2">
      <c r="C26" s="129" t="s">
        <v>248</v>
      </c>
      <c r="D26" s="130" t="e">
        <f>-Model!W36</f>
        <v>#VALUE!</v>
      </c>
      <c r="E26" s="130" t="e">
        <f>-Model!AB36</f>
        <v>#VALUE!</v>
      </c>
      <c r="F26" s="130" t="e">
        <f>-Model!AG36</f>
        <v>#VALUE!</v>
      </c>
      <c r="G26" s="130" t="e">
        <f>-Model!AL36</f>
        <v>#VALUE!</v>
      </c>
      <c r="H26" s="130" t="e">
        <f>-Model!AQ36</f>
        <v>#VALUE!</v>
      </c>
      <c r="I26" s="130" t="e">
        <f>-Model!AV36</f>
        <v>#VALUE!</v>
      </c>
      <c r="J26" s="130" t="e">
        <f>-Model!BA36</f>
        <v>#VALUE!</v>
      </c>
      <c r="K26" s="130" t="e">
        <f>-Model!BF36</f>
        <v>#VALUE!</v>
      </c>
      <c r="L26" s="131"/>
      <c r="X26" s="107"/>
      <c r="Y26" s="107"/>
      <c r="Z26" s="107"/>
    </row>
    <row r="27" spans="3:26" x14ac:dyDescent="0.2">
      <c r="C27" s="132" t="s">
        <v>249</v>
      </c>
      <c r="D27" s="133" t="e">
        <f>Model!W245</f>
        <v>#VALUE!</v>
      </c>
      <c r="E27" s="133" t="e">
        <f>Model!AB245</f>
        <v>#VALUE!</v>
      </c>
      <c r="F27" s="133" t="e">
        <f>Model!AG245</f>
        <v>#VALUE!</v>
      </c>
      <c r="G27" s="133" t="e">
        <f>Model!AL245</f>
        <v>#VALUE!</v>
      </c>
      <c r="H27" s="133" t="e">
        <f>Model!AQ245</f>
        <v>#VALUE!</v>
      </c>
      <c r="I27" s="133" t="e">
        <f>Model!AV245</f>
        <v>#VALUE!</v>
      </c>
      <c r="J27" s="133" t="e">
        <f>Model!BA245</f>
        <v>#VALUE!</v>
      </c>
      <c r="K27" s="133" t="e">
        <f>Model!BF245</f>
        <v>#VALUE!</v>
      </c>
      <c r="L27" s="134"/>
      <c r="X27" s="107"/>
      <c r="Y27" s="107"/>
      <c r="Z27" s="107"/>
    </row>
    <row r="28" spans="3:26" x14ac:dyDescent="0.2">
      <c r="C28" s="135" t="s">
        <v>47</v>
      </c>
      <c r="D28" s="136" t="e">
        <f>Model!W246</f>
        <v>#VALUE!</v>
      </c>
      <c r="E28" s="136" t="e">
        <f>Model!AB246</f>
        <v>#VALUE!</v>
      </c>
      <c r="F28" s="136" t="e">
        <f>Model!AG246</f>
        <v>#VALUE!</v>
      </c>
      <c r="G28" s="136" t="e">
        <f>Model!AL246</f>
        <v>#VALUE!</v>
      </c>
      <c r="H28" s="136" t="e">
        <f>Model!AQ246</f>
        <v>#VALUE!</v>
      </c>
      <c r="I28" s="136" t="e">
        <f>Model!AV246</f>
        <v>#VALUE!</v>
      </c>
      <c r="J28" s="136" t="e">
        <f>Model!BA246</f>
        <v>#VALUE!</v>
      </c>
      <c r="K28" s="136" t="e">
        <f>Model!BF246</f>
        <v>#VALUE!</v>
      </c>
      <c r="L28" s="137"/>
      <c r="X28" s="107"/>
      <c r="Y28" s="107"/>
      <c r="Z28" s="107"/>
    </row>
    <row r="29" spans="3:26" x14ac:dyDescent="0.2">
      <c r="C29" s="135" t="s">
        <v>48</v>
      </c>
      <c r="D29" s="136" t="e">
        <f>Model!W247</f>
        <v>#VALUE!</v>
      </c>
      <c r="E29" s="136" t="e">
        <f>Model!AB247</f>
        <v>#VALUE!</v>
      </c>
      <c r="F29" s="136" t="e">
        <f>Model!AG247</f>
        <v>#VALUE!</v>
      </c>
      <c r="G29" s="136" t="e">
        <f>Model!AL247</f>
        <v>#VALUE!</v>
      </c>
      <c r="H29" s="136" t="e">
        <f>Model!AQ247</f>
        <v>#VALUE!</v>
      </c>
      <c r="I29" s="136" t="e">
        <f>Model!AV247</f>
        <v>#VALUE!</v>
      </c>
      <c r="J29" s="136" t="e">
        <f>Model!BA247</f>
        <v>#VALUE!</v>
      </c>
      <c r="K29" s="136" t="e">
        <f>Model!BF247</f>
        <v>#VALUE!</v>
      </c>
      <c r="L29" s="137"/>
      <c r="X29" s="107"/>
      <c r="Y29" s="107"/>
      <c r="Z29" s="107"/>
    </row>
    <row r="30" spans="3:26" x14ac:dyDescent="0.2">
      <c r="C30" s="135" t="s">
        <v>250</v>
      </c>
      <c r="D30" s="136" t="e">
        <f>Model!W248</f>
        <v>#VALUE!</v>
      </c>
      <c r="E30" s="136" t="e">
        <f>Model!AB248</f>
        <v>#VALUE!</v>
      </c>
      <c r="F30" s="136" t="e">
        <f>Model!AG248</f>
        <v>#VALUE!</v>
      </c>
      <c r="G30" s="136" t="e">
        <f>Model!AL248</f>
        <v>#VALUE!</v>
      </c>
      <c r="H30" s="136" t="e">
        <f>Model!AQ248</f>
        <v>#VALUE!</v>
      </c>
      <c r="I30" s="136" t="e">
        <f>Model!AV248</f>
        <v>#VALUE!</v>
      </c>
      <c r="J30" s="136" t="e">
        <f>Model!BA248</f>
        <v>#VALUE!</v>
      </c>
      <c r="K30" s="136" t="e">
        <f>Model!BF248</f>
        <v>#VALUE!</v>
      </c>
      <c r="L30" s="137"/>
      <c r="X30" s="107"/>
      <c r="Y30" s="107"/>
      <c r="Z30" s="107"/>
    </row>
    <row r="31" spans="3:26" x14ac:dyDescent="0.2">
      <c r="C31" s="135" t="s">
        <v>50</v>
      </c>
      <c r="D31" s="136" t="e">
        <f>Model!W249</f>
        <v>#VALUE!</v>
      </c>
      <c r="E31" s="136" t="e">
        <f>Model!AB249</f>
        <v>#VALUE!</v>
      </c>
      <c r="F31" s="136" t="e">
        <f>Model!AG249</f>
        <v>#VALUE!</v>
      </c>
      <c r="G31" s="136" t="e">
        <f>Model!AL249</f>
        <v>#VALUE!</v>
      </c>
      <c r="H31" s="136" t="e">
        <f>Model!AQ249</f>
        <v>#VALUE!</v>
      </c>
      <c r="I31" s="136" t="e">
        <f>Model!AV249</f>
        <v>#VALUE!</v>
      </c>
      <c r="J31" s="136" t="e">
        <f>Model!BA249</f>
        <v>#VALUE!</v>
      </c>
      <c r="K31" s="136" t="e">
        <f>Model!BF249</f>
        <v>#VALUE!</v>
      </c>
      <c r="L31" s="137"/>
      <c r="X31" s="107"/>
      <c r="Y31" s="107"/>
      <c r="Z31" s="107"/>
    </row>
    <row r="32" spans="3:26" x14ac:dyDescent="0.2">
      <c r="C32" s="135" t="s">
        <v>51</v>
      </c>
      <c r="D32" s="136" t="e">
        <f>Model!W250</f>
        <v>#VALUE!</v>
      </c>
      <c r="E32" s="136" t="e">
        <f>Model!AB250</f>
        <v>#VALUE!</v>
      </c>
      <c r="F32" s="136" t="e">
        <f>Model!AG250</f>
        <v>#VALUE!</v>
      </c>
      <c r="G32" s="136" t="e">
        <f>Model!AL250</f>
        <v>#VALUE!</v>
      </c>
      <c r="H32" s="136" t="e">
        <f>Model!AQ250</f>
        <v>#VALUE!</v>
      </c>
      <c r="I32" s="136" t="e">
        <f>Model!AV250</f>
        <v>#VALUE!</v>
      </c>
      <c r="J32" s="136" t="e">
        <f>Model!BA250</f>
        <v>#VALUE!</v>
      </c>
      <c r="K32" s="136" t="e">
        <f>Model!BF250</f>
        <v>#VALUE!</v>
      </c>
      <c r="L32" s="137"/>
      <c r="X32" s="107"/>
      <c r="Y32" s="107"/>
      <c r="Z32" s="107"/>
    </row>
    <row r="33" spans="3:28" x14ac:dyDescent="0.2">
      <c r="C33" s="135" t="s">
        <v>58</v>
      </c>
      <c r="D33" s="136" t="e">
        <f>Model!W251</f>
        <v>#VALUE!</v>
      </c>
      <c r="E33" s="136" t="e">
        <f>Model!AB251</f>
        <v>#VALUE!</v>
      </c>
      <c r="F33" s="136" t="e">
        <f>Model!AG251</f>
        <v>#VALUE!</v>
      </c>
      <c r="G33" s="136" t="e">
        <f>Model!AL251</f>
        <v>#VALUE!</v>
      </c>
      <c r="H33" s="136" t="e">
        <f>Model!AQ251</f>
        <v>#VALUE!</v>
      </c>
      <c r="I33" s="136" t="e">
        <f>Model!AV251</f>
        <v>#VALUE!</v>
      </c>
      <c r="J33" s="136" t="e">
        <f>Model!BA251</f>
        <v>#VALUE!</v>
      </c>
      <c r="K33" s="136" t="e">
        <f>Model!BF251</f>
        <v>#VALUE!</v>
      </c>
      <c r="L33" s="137"/>
      <c r="X33" s="107"/>
      <c r="Y33" s="107"/>
      <c r="Z33" s="107"/>
    </row>
    <row r="34" spans="3:28" x14ac:dyDescent="0.2">
      <c r="C34" s="135" t="s">
        <v>59</v>
      </c>
      <c r="D34" s="136" t="e">
        <f>Model!W252</f>
        <v>#VALUE!</v>
      </c>
      <c r="E34" s="136" t="e">
        <f>Model!AB252</f>
        <v>#VALUE!</v>
      </c>
      <c r="F34" s="136" t="e">
        <f>Model!AG252</f>
        <v>#VALUE!</v>
      </c>
      <c r="G34" s="136" t="e">
        <f>Model!AL252</f>
        <v>#VALUE!</v>
      </c>
      <c r="H34" s="136" t="e">
        <f>Model!AQ252</f>
        <v>#VALUE!</v>
      </c>
      <c r="I34" s="136" t="e">
        <f>Model!AV252</f>
        <v>#VALUE!</v>
      </c>
      <c r="J34" s="136" t="e">
        <f>Model!BA252</f>
        <v>#VALUE!</v>
      </c>
      <c r="K34" s="136" t="e">
        <f>Model!BF252</f>
        <v>#VALUE!</v>
      </c>
      <c r="L34" s="137"/>
      <c r="X34" s="107"/>
      <c r="Y34" s="107"/>
      <c r="Z34" s="107"/>
    </row>
    <row r="35" spans="3:28" x14ac:dyDescent="0.2">
      <c r="C35" s="135" t="s">
        <v>60</v>
      </c>
      <c r="D35" s="136" t="e">
        <f>Model!W253</f>
        <v>#VALUE!</v>
      </c>
      <c r="E35" s="136" t="e">
        <f>Model!AB253</f>
        <v>#VALUE!</v>
      </c>
      <c r="F35" s="136" t="e">
        <f>Model!AG253</f>
        <v>#VALUE!</v>
      </c>
      <c r="G35" s="136" t="e">
        <f>Model!AL253</f>
        <v>#VALUE!</v>
      </c>
      <c r="H35" s="136" t="e">
        <f>Model!AQ253</f>
        <v>#VALUE!</v>
      </c>
      <c r="I35" s="136" t="e">
        <f>Model!AV253</f>
        <v>#VALUE!</v>
      </c>
      <c r="J35" s="136" t="e">
        <f>Model!BA253</f>
        <v>#VALUE!</v>
      </c>
      <c r="K35" s="136" t="e">
        <f>Model!BF253</f>
        <v>#VALUE!</v>
      </c>
      <c r="L35" s="137"/>
      <c r="X35" s="107"/>
      <c r="Y35" s="107"/>
      <c r="Z35" s="107"/>
    </row>
    <row r="36" spans="3:28" x14ac:dyDescent="0.2">
      <c r="C36" s="135" t="s">
        <v>251</v>
      </c>
      <c r="D36" s="136" t="e">
        <f>Model!W254</f>
        <v>#VALUE!</v>
      </c>
      <c r="E36" s="136" t="e">
        <f>Model!AB254</f>
        <v>#VALUE!</v>
      </c>
      <c r="F36" s="136" t="e">
        <f>Model!AG254</f>
        <v>#VALUE!</v>
      </c>
      <c r="G36" s="136" t="e">
        <f>Model!AL254</f>
        <v>#VALUE!</v>
      </c>
      <c r="H36" s="136" t="e">
        <f>Model!AQ254</f>
        <v>#VALUE!</v>
      </c>
      <c r="I36" s="136" t="e">
        <f>Model!AV254</f>
        <v>#VALUE!</v>
      </c>
      <c r="J36" s="136" t="e">
        <f>Model!BA254</f>
        <v>#VALUE!</v>
      </c>
      <c r="K36" s="136" t="e">
        <f>Model!BF254</f>
        <v>#VALUE!</v>
      </c>
      <c r="L36" s="137"/>
      <c r="X36" s="107"/>
      <c r="Y36" s="107"/>
      <c r="Z36" s="107"/>
    </row>
    <row r="37" spans="3:28" x14ac:dyDescent="0.2">
      <c r="C37" s="135" t="s">
        <v>252</v>
      </c>
      <c r="D37" s="136" t="e">
        <f>Model!W255</f>
        <v>#VALUE!</v>
      </c>
      <c r="E37" s="136" t="e">
        <f>Model!AB255</f>
        <v>#VALUE!</v>
      </c>
      <c r="F37" s="136" t="e">
        <f>Model!AG255</f>
        <v>#VALUE!</v>
      </c>
      <c r="G37" s="136" t="e">
        <f>Model!AL255</f>
        <v>#VALUE!</v>
      </c>
      <c r="H37" s="136" t="e">
        <f>Model!AQ255</f>
        <v>#VALUE!</v>
      </c>
      <c r="I37" s="136" t="e">
        <f>Model!AV255</f>
        <v>#VALUE!</v>
      </c>
      <c r="J37" s="136" t="e">
        <f>Model!BA255</f>
        <v>#VALUE!</v>
      </c>
      <c r="K37" s="136" t="e">
        <f>Model!BF255</f>
        <v>#VALUE!</v>
      </c>
      <c r="L37" s="137"/>
      <c r="X37" s="107"/>
      <c r="Y37" s="107"/>
      <c r="Z37" s="107"/>
    </row>
    <row r="38" spans="3:28" x14ac:dyDescent="0.2">
      <c r="C38" s="135" t="s">
        <v>57</v>
      </c>
      <c r="D38" s="136" t="e">
        <f>(Model!W155-Model!R155)*-1</f>
        <v>#VALUE!</v>
      </c>
      <c r="E38" s="136" t="e">
        <f>(Model!AB155-Model!W155)*-1</f>
        <v>#VALUE!</v>
      </c>
      <c r="F38" s="136" t="e">
        <f>(Model!AG155-Model!AB155)*-1</f>
        <v>#VALUE!</v>
      </c>
      <c r="G38" s="136" t="e">
        <f>(Model!AL155-Model!AG155)*-1</f>
        <v>#VALUE!</v>
      </c>
      <c r="H38" s="136" t="e">
        <f>(Model!AQ155-Model!AL155)*-1</f>
        <v>#VALUE!</v>
      </c>
      <c r="I38" s="136" t="e">
        <f>(Model!AV155-Model!AQ155)*-1</f>
        <v>#VALUE!</v>
      </c>
      <c r="J38" s="136" t="e">
        <f>(Model!BA155-Model!AV155)*-1</f>
        <v>#VALUE!</v>
      </c>
      <c r="K38" s="136" t="e">
        <f>(Model!BF155-Model!BA155)*-1</f>
        <v>#VALUE!</v>
      </c>
      <c r="L38" s="137"/>
      <c r="X38" s="107"/>
      <c r="Y38" s="107"/>
      <c r="Z38" s="107"/>
    </row>
    <row r="39" spans="3:28" x14ac:dyDescent="0.2">
      <c r="C39" s="135" t="s">
        <v>68</v>
      </c>
      <c r="D39" s="136" t="e">
        <f>Model!W206-Model!R206</f>
        <v>#VALUE!</v>
      </c>
      <c r="E39" s="136" t="e">
        <f>Model!AB206-Model!W206</f>
        <v>#VALUE!</v>
      </c>
      <c r="F39" s="136" t="e">
        <f>Model!AG206-Model!AB206</f>
        <v>#VALUE!</v>
      </c>
      <c r="G39" s="136" t="e">
        <f>Model!AL206-Model!AG206</f>
        <v>#VALUE!</v>
      </c>
      <c r="H39" s="136" t="e">
        <f>Model!AQ206-Model!AL206</f>
        <v>#VALUE!</v>
      </c>
      <c r="I39" s="136" t="e">
        <f>Model!AV206-Model!AQ206</f>
        <v>#VALUE!</v>
      </c>
      <c r="J39" s="136" t="e">
        <f>Model!BA206-Model!AV206</f>
        <v>#VALUE!</v>
      </c>
      <c r="K39" s="136" t="e">
        <f>Model!BF206-Model!BA206</f>
        <v>#VALUE!</v>
      </c>
      <c r="L39" s="137"/>
      <c r="X39" s="107"/>
      <c r="Y39" s="107"/>
      <c r="Z39" s="107"/>
    </row>
    <row r="40" spans="3:28" x14ac:dyDescent="0.2">
      <c r="C40" s="135" t="s">
        <v>145</v>
      </c>
      <c r="D40" s="136" t="e">
        <f>Model!W261</f>
        <v>#VALUE!</v>
      </c>
      <c r="E40" s="136" t="e">
        <f>Model!AB261</f>
        <v>#VALUE!</v>
      </c>
      <c r="F40" s="136" t="e">
        <f>Model!AG261</f>
        <v>#VALUE!</v>
      </c>
      <c r="G40" s="136" t="e">
        <f>Model!AL261</f>
        <v>#VALUE!</v>
      </c>
      <c r="H40" s="136" t="e">
        <f>Model!AQ261</f>
        <v>#VALUE!</v>
      </c>
      <c r="I40" s="136" t="e">
        <f>Model!AV261</f>
        <v>#VALUE!</v>
      </c>
      <c r="J40" s="136" t="e">
        <f>Model!BA261</f>
        <v>#VALUE!</v>
      </c>
      <c r="K40" s="136" t="e">
        <f>Model!BF261</f>
        <v>#VALUE!</v>
      </c>
      <c r="L40" s="137"/>
      <c r="X40" s="107"/>
      <c r="Y40" s="107"/>
      <c r="Z40" s="107"/>
    </row>
    <row r="41" spans="3:28" x14ac:dyDescent="0.2">
      <c r="C41" s="135" t="s">
        <v>253</v>
      </c>
      <c r="D41" s="92">
        <f>0</f>
        <v>0</v>
      </c>
      <c r="E41" s="92">
        <f>0</f>
        <v>0</v>
      </c>
      <c r="F41" s="136">
        <f>0</f>
        <v>0</v>
      </c>
      <c r="G41" s="136">
        <f>0</f>
        <v>0</v>
      </c>
      <c r="H41" s="136">
        <f>0</f>
        <v>0</v>
      </c>
      <c r="I41" s="136">
        <f>0</f>
        <v>0</v>
      </c>
      <c r="J41" s="136">
        <f>0</f>
        <v>0</v>
      </c>
      <c r="K41" s="136">
        <f>0</f>
        <v>0</v>
      </c>
      <c r="L41" s="137"/>
      <c r="X41" s="107"/>
      <c r="Y41" s="107"/>
      <c r="Z41" s="107"/>
    </row>
    <row r="42" spans="3:28" x14ac:dyDescent="0.2">
      <c r="C42" s="138" t="s">
        <v>149</v>
      </c>
      <c r="D42" s="139">
        <f>0</f>
        <v>0</v>
      </c>
      <c r="E42" s="139">
        <f>0</f>
        <v>0</v>
      </c>
      <c r="F42" s="139">
        <f>0</f>
        <v>0</v>
      </c>
      <c r="G42" s="139">
        <f>0</f>
        <v>0</v>
      </c>
      <c r="H42" s="139">
        <f>0</f>
        <v>0</v>
      </c>
      <c r="I42" s="139">
        <f>0</f>
        <v>0</v>
      </c>
      <c r="J42" s="139">
        <f>0</f>
        <v>0</v>
      </c>
      <c r="K42" s="139">
        <f>0</f>
        <v>0</v>
      </c>
      <c r="L42" s="140"/>
      <c r="M42" s="141"/>
      <c r="X42" s="107"/>
      <c r="Y42" s="107"/>
      <c r="Z42" s="107"/>
      <c r="AB42" s="102"/>
    </row>
    <row r="43" spans="3:28" x14ac:dyDescent="0.2">
      <c r="X43" s="107"/>
      <c r="Y43" s="107"/>
      <c r="Z43" s="107"/>
    </row>
    <row r="44" spans="3:28" x14ac:dyDescent="0.2">
      <c r="C44" s="112" t="s">
        <v>254</v>
      </c>
      <c r="D44" s="133" t="e">
        <f t="shared" ref="D44:K44" si="3">SUM(D27,D40:D42,D26)</f>
        <v>#VALUE!</v>
      </c>
      <c r="E44" s="133" t="e">
        <f t="shared" si="3"/>
        <v>#VALUE!</v>
      </c>
      <c r="F44" s="133" t="e">
        <f t="shared" si="3"/>
        <v>#VALUE!</v>
      </c>
      <c r="G44" s="133" t="e">
        <f t="shared" si="3"/>
        <v>#VALUE!</v>
      </c>
      <c r="H44" s="133" t="e">
        <f t="shared" si="3"/>
        <v>#VALUE!</v>
      </c>
      <c r="I44" s="133" t="e">
        <f t="shared" si="3"/>
        <v>#VALUE!</v>
      </c>
      <c r="J44" s="133" t="e">
        <f t="shared" si="3"/>
        <v>#VALUE!</v>
      </c>
      <c r="K44" s="133" t="e">
        <f t="shared" si="3"/>
        <v>#VALUE!</v>
      </c>
      <c r="L44" s="133"/>
      <c r="M44" s="142"/>
      <c r="N44" s="133"/>
      <c r="O44" s="133"/>
      <c r="P44" s="133"/>
      <c r="Q44" s="133"/>
      <c r="R44" s="133"/>
      <c r="S44" s="133"/>
      <c r="T44" s="133"/>
      <c r="U44" s="133"/>
      <c r="V44" s="134"/>
      <c r="X44" s="107"/>
      <c r="Y44" s="141"/>
      <c r="Z44" s="107"/>
    </row>
    <row r="45" spans="3:28" x14ac:dyDescent="0.2">
      <c r="C45" s="143"/>
      <c r="D45" s="141"/>
      <c r="E45" s="141"/>
      <c r="F45" s="141"/>
      <c r="G45" s="141"/>
      <c r="H45" s="141"/>
      <c r="I45" s="141"/>
      <c r="J45" s="141"/>
      <c r="K45" s="141"/>
      <c r="L45" s="141"/>
      <c r="V45" s="144"/>
      <c r="X45" s="107"/>
      <c r="Y45" s="107"/>
      <c r="Z45" s="107"/>
    </row>
    <row r="46" spans="3:28" x14ac:dyDescent="0.2">
      <c r="C46" s="143" t="s">
        <v>255</v>
      </c>
      <c r="D46" s="136">
        <f>Model!W316</f>
        <v>0</v>
      </c>
      <c r="E46" s="136">
        <f>Model!AB316</f>
        <v>0</v>
      </c>
      <c r="F46" s="136">
        <f>Model!AG316</f>
        <v>0</v>
      </c>
      <c r="G46" s="136">
        <f>Model!AL316</f>
        <v>0</v>
      </c>
      <c r="H46" s="136">
        <f>Model!AQ316</f>
        <v>0</v>
      </c>
      <c r="I46" s="136">
        <f>Model!AV316</f>
        <v>0</v>
      </c>
      <c r="J46" s="136">
        <f>Model!BA316</f>
        <v>0</v>
      </c>
      <c r="K46" s="136">
        <f>Model!BF316</f>
        <v>0</v>
      </c>
      <c r="L46" s="136"/>
      <c r="M46" s="145"/>
      <c r="N46" s="145"/>
      <c r="O46" s="145"/>
      <c r="P46" s="145"/>
      <c r="Q46" s="145"/>
      <c r="R46" s="145"/>
      <c r="S46" s="145"/>
      <c r="T46" s="145"/>
      <c r="U46" s="145"/>
      <c r="V46" s="146"/>
      <c r="X46" s="141"/>
      <c r="Y46" s="141"/>
      <c r="Z46" s="107"/>
    </row>
    <row r="47" spans="3:28" x14ac:dyDescent="0.2">
      <c r="C47" s="143" t="s">
        <v>256</v>
      </c>
      <c r="D47" s="136">
        <f>Model!W317</f>
        <v>0</v>
      </c>
      <c r="E47" s="136">
        <f>Model!AB317</f>
        <v>0</v>
      </c>
      <c r="F47" s="136">
        <f>Model!AG317</f>
        <v>0</v>
      </c>
      <c r="G47" s="136">
        <f>Model!AL317</f>
        <v>0</v>
      </c>
      <c r="H47" s="136">
        <f>Model!AQ317</f>
        <v>0</v>
      </c>
      <c r="I47" s="136">
        <f>Model!AV317</f>
        <v>0</v>
      </c>
      <c r="J47" s="136">
        <f>Model!BA317</f>
        <v>0</v>
      </c>
      <c r="K47" s="136">
        <f>Model!BF317</f>
        <v>0</v>
      </c>
      <c r="L47" s="136"/>
      <c r="V47" s="144"/>
      <c r="X47" s="107"/>
      <c r="Y47" s="107"/>
      <c r="Z47" s="107"/>
    </row>
    <row r="48" spans="3:28" x14ac:dyDescent="0.2">
      <c r="C48" s="116" t="s">
        <v>257</v>
      </c>
      <c r="D48" s="122" t="str">
        <f>IFERROR(IF(D18=0,"",D46/D18),"")</f>
        <v/>
      </c>
      <c r="E48" s="122" t="str">
        <f>IFERROR(IF(E18=0,"",E46/E18),"")</f>
        <v/>
      </c>
      <c r="F48" s="122" t="e">
        <f t="shared" ref="F48:K48" si="4">IF(F18=0,"",F46/F18)</f>
        <v>#VALUE!</v>
      </c>
      <c r="G48" s="122" t="e">
        <f t="shared" si="4"/>
        <v>#VALUE!</v>
      </c>
      <c r="H48" s="122" t="e">
        <f t="shared" si="4"/>
        <v>#VALUE!</v>
      </c>
      <c r="I48" s="122" t="e">
        <f t="shared" si="4"/>
        <v>#VALUE!</v>
      </c>
      <c r="J48" s="122" t="e">
        <f t="shared" si="4"/>
        <v>#VALUE!</v>
      </c>
      <c r="K48" s="122" t="e">
        <f t="shared" si="4"/>
        <v>#VALUE!</v>
      </c>
      <c r="L48" s="122"/>
      <c r="M48" s="147"/>
      <c r="N48" s="147"/>
      <c r="O48" s="147"/>
      <c r="P48" s="147"/>
      <c r="Q48" s="147"/>
      <c r="R48" s="147"/>
      <c r="S48" s="147"/>
      <c r="T48" s="147"/>
      <c r="U48" s="147"/>
      <c r="V48" s="148"/>
      <c r="X48" s="106"/>
      <c r="Y48" s="107"/>
      <c r="Z48" s="107"/>
    </row>
    <row r="49" spans="1:26" x14ac:dyDescent="0.2">
      <c r="X49" s="107"/>
      <c r="Y49" s="107"/>
      <c r="Z49" s="107"/>
    </row>
    <row r="50" spans="1:26" x14ac:dyDescent="0.2">
      <c r="C50" s="149" t="s">
        <v>258</v>
      </c>
      <c r="D50" s="150" t="str">
        <f t="shared" ref="D50:K50" si="5">IF(D46=0,"",D25/D46)</f>
        <v/>
      </c>
      <c r="E50" s="150" t="str">
        <f t="shared" si="5"/>
        <v/>
      </c>
      <c r="F50" s="150" t="str">
        <f t="shared" si="5"/>
        <v/>
      </c>
      <c r="G50" s="150" t="str">
        <f t="shared" si="5"/>
        <v/>
      </c>
      <c r="H50" s="150" t="str">
        <f t="shared" si="5"/>
        <v/>
      </c>
      <c r="I50" s="150" t="str">
        <f t="shared" si="5"/>
        <v/>
      </c>
      <c r="J50" s="150" t="str">
        <f t="shared" si="5"/>
        <v/>
      </c>
      <c r="K50" s="150" t="str">
        <f t="shared" si="5"/>
        <v/>
      </c>
      <c r="L50" s="150"/>
      <c r="M50" s="151"/>
      <c r="N50" s="151"/>
      <c r="O50" s="151"/>
      <c r="P50" s="151"/>
      <c r="Q50" s="151"/>
      <c r="R50" s="151"/>
      <c r="S50" s="151"/>
      <c r="T50" s="151"/>
      <c r="U50" s="151"/>
      <c r="V50" s="152"/>
      <c r="X50" s="115"/>
      <c r="Y50" s="115"/>
      <c r="Z50" s="153"/>
    </row>
    <row r="51" spans="1:26" x14ac:dyDescent="0.2">
      <c r="C51" s="102" t="s">
        <v>259</v>
      </c>
      <c r="D51" s="154" t="str">
        <f t="shared" ref="D51:K51" si="6">IF(D46=0,"",D18/D46)</f>
        <v/>
      </c>
      <c r="E51" s="154" t="str">
        <f t="shared" si="6"/>
        <v/>
      </c>
      <c r="F51" s="154" t="str">
        <f t="shared" si="6"/>
        <v/>
      </c>
      <c r="G51" s="154" t="str">
        <f t="shared" si="6"/>
        <v/>
      </c>
      <c r="H51" s="154" t="str">
        <f t="shared" si="6"/>
        <v/>
      </c>
      <c r="I51" s="154" t="str">
        <f t="shared" si="6"/>
        <v/>
      </c>
      <c r="J51" s="154" t="str">
        <f t="shared" si="6"/>
        <v/>
      </c>
      <c r="K51" s="154" t="str">
        <f t="shared" si="6"/>
        <v/>
      </c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</row>
    <row r="53" spans="1:26" s="102" customFormat="1" x14ac:dyDescent="0.2">
      <c r="A53" s="92"/>
      <c r="B53" s="92"/>
      <c r="C53" s="102" t="s">
        <v>260</v>
      </c>
      <c r="D53" s="155" t="e">
        <f t="shared" ref="D53:K53" si="7">D25+D44</f>
        <v>#VALUE!</v>
      </c>
      <c r="E53" s="155" t="e">
        <f t="shared" si="7"/>
        <v>#VALUE!</v>
      </c>
      <c r="F53" s="155" t="e">
        <f t="shared" si="7"/>
        <v>#VALUE!</v>
      </c>
      <c r="G53" s="156" t="e">
        <f t="shared" si="7"/>
        <v>#VALUE!</v>
      </c>
      <c r="H53" s="155" t="e">
        <f t="shared" si="7"/>
        <v>#VALUE!</v>
      </c>
      <c r="I53" s="155" t="e">
        <f t="shared" si="7"/>
        <v>#VALUE!</v>
      </c>
      <c r="J53" s="155" t="e">
        <f t="shared" si="7"/>
        <v>#VALUE!</v>
      </c>
      <c r="K53" s="155" t="e">
        <f t="shared" si="7"/>
        <v>#VALUE!</v>
      </c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</row>
    <row r="54" spans="1:26" x14ac:dyDescent="0.2">
      <c r="C54" s="157" t="s">
        <v>261</v>
      </c>
      <c r="G54" s="158" t="str">
        <f>IF(Control!E12="","",1/(1+Control!E12)^Control!B13)</f>
        <v/>
      </c>
      <c r="H54" s="158" t="str">
        <f>IF(G54="","",G54/(1+Control!E12))</f>
        <v/>
      </c>
      <c r="I54" s="158" t="str">
        <f>IF(H54="","",H54/(1+Control!E12))</f>
        <v/>
      </c>
      <c r="J54" s="158" t="str">
        <f>IF(I54="","",I54/(1+Control!E12))</f>
        <v/>
      </c>
      <c r="K54" s="158" t="str">
        <f>IF(J54="","",J54/(1+Control!E12))</f>
        <v/>
      </c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</row>
    <row r="55" spans="1:26" x14ac:dyDescent="0.2">
      <c r="C55" s="157" t="s">
        <v>262</v>
      </c>
      <c r="G55" s="159" t="str">
        <f>IF(Control!E12="","",(1+Control!E12)^0.5)</f>
        <v/>
      </c>
      <c r="H55" s="158" t="str">
        <f>G55</f>
        <v/>
      </c>
      <c r="I55" s="158" t="str">
        <f>H55</f>
        <v/>
      </c>
      <c r="J55" s="158" t="str">
        <f>I55</f>
        <v/>
      </c>
      <c r="K55" s="158" t="str">
        <f>J55</f>
        <v/>
      </c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</row>
    <row r="56" spans="1:26" x14ac:dyDescent="0.2">
      <c r="C56" s="157" t="s">
        <v>263</v>
      </c>
      <c r="G56" s="141" t="str">
        <f>IF(G54="","",G53*G54*G55)</f>
        <v/>
      </c>
      <c r="H56" s="141" t="str">
        <f>IF(H54="","",H53*H54*H55)</f>
        <v/>
      </c>
      <c r="I56" s="141" t="str">
        <f>IF(I54="","",I53*I54*I55)</f>
        <v/>
      </c>
      <c r="J56" s="141" t="str">
        <f>IF(J54="","",J53*J54*J55)</f>
        <v/>
      </c>
      <c r="K56" s="141" t="str">
        <f>IF(K54="","",K53*K54*K55)</f>
        <v/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</row>
    <row r="57" spans="1:26" x14ac:dyDescent="0.2">
      <c r="C57" s="102" t="s">
        <v>264</v>
      </c>
      <c r="G57" s="155" t="str">
        <f>IF(COUNT(G56:K56)=0,"",SUM(G56:K56))</f>
        <v/>
      </c>
      <c r="H57" s="141"/>
      <c r="N57" s="160"/>
    </row>
    <row r="59" spans="1:26" x14ac:dyDescent="0.2">
      <c r="C59" s="102"/>
      <c r="D59" s="95">
        <f>IF(Control!B9="","",Control!B9)</f>
        <v>47848</v>
      </c>
      <c r="E59" s="161"/>
      <c r="F59" s="162"/>
      <c r="G59" s="162"/>
      <c r="H59" s="95" t="str">
        <f>IF(Control!B7="","",Control!B7)</f>
        <v/>
      </c>
      <c r="I59" s="162"/>
      <c r="J59" s="162"/>
      <c r="K59" s="162"/>
      <c r="L59" s="162"/>
    </row>
    <row r="60" spans="1:26" ht="13.5" customHeight="1" x14ac:dyDescent="0.2">
      <c r="C60" s="163" t="s">
        <v>265</v>
      </c>
      <c r="D60" s="164"/>
      <c r="E60" s="165" t="s">
        <v>266</v>
      </c>
      <c r="F60" s="166"/>
      <c r="G60" s="166"/>
      <c r="H60" s="166"/>
      <c r="I60" s="167" t="s">
        <v>267</v>
      </c>
      <c r="J60" s="168"/>
      <c r="K60" s="169"/>
      <c r="L60" s="170"/>
    </row>
    <row r="61" spans="1:26" x14ac:dyDescent="0.2">
      <c r="C61" s="143"/>
      <c r="D61" s="144"/>
      <c r="I61" s="143"/>
      <c r="L61" s="144"/>
    </row>
    <row r="62" spans="1:26" x14ac:dyDescent="0.2">
      <c r="C62" s="171" t="s">
        <v>268</v>
      </c>
      <c r="D62" s="172"/>
      <c r="E62" s="173" t="s">
        <v>269</v>
      </c>
      <c r="H62" s="155" t="str">
        <f>D80</f>
        <v/>
      </c>
      <c r="I62" s="174" t="s">
        <v>270</v>
      </c>
      <c r="J62" s="97"/>
      <c r="L62" s="175"/>
    </row>
    <row r="63" spans="1:26" ht="13.5" customHeight="1" x14ac:dyDescent="0.2">
      <c r="C63" s="171" t="s">
        <v>271</v>
      </c>
      <c r="D63" s="176" t="str">
        <f>IF(Control!E13="","",Control!E13)</f>
        <v/>
      </c>
      <c r="E63" s="157" t="s">
        <v>272</v>
      </c>
      <c r="H63" s="141"/>
      <c r="I63" s="174" t="s">
        <v>273</v>
      </c>
      <c r="L63" s="177"/>
    </row>
    <row r="64" spans="1:26" ht="13.5" customHeight="1" x14ac:dyDescent="0.2">
      <c r="C64" s="171" t="s">
        <v>274</v>
      </c>
      <c r="D64" s="178" t="str">
        <f>K50</f>
        <v/>
      </c>
      <c r="E64" s="157" t="s">
        <v>62</v>
      </c>
      <c r="H64" s="137" t="str">
        <f>IFERROR(INDEX(Model!$I$178:$BF$178,1,MATCH(Control!$B$7,Model!$I$5:$BF$5,0)),"")</f>
        <v/>
      </c>
      <c r="I64" s="179" t="s">
        <v>275</v>
      </c>
      <c r="J64" s="109"/>
      <c r="K64" s="109"/>
      <c r="L64" s="180"/>
    </row>
    <row r="65" spans="3:12" x14ac:dyDescent="0.2">
      <c r="C65" s="171" t="s">
        <v>276</v>
      </c>
      <c r="D65" s="181" t="e">
        <f>K25*(1+D63)</f>
        <v>#VALUE!</v>
      </c>
      <c r="E65" s="157" t="s">
        <v>169</v>
      </c>
      <c r="H65" s="137" t="str">
        <f>IFERROR(INDEX(Model!$I$179:$BF$179,1,MATCH(Control!$B$7,Model!$I$5:$BF$5,0)),"")</f>
        <v/>
      </c>
      <c r="I65" s="179"/>
      <c r="J65" s="182" t="s">
        <v>277</v>
      </c>
      <c r="K65" s="182" t="s">
        <v>278</v>
      </c>
      <c r="L65" s="180"/>
    </row>
    <row r="66" spans="3:12" x14ac:dyDescent="0.2">
      <c r="C66" s="171" t="s">
        <v>265</v>
      </c>
      <c r="D66" s="181" t="str">
        <f>IF(OR(Control!E12="",D64="",D64&lt;=D63,Control!E12&lt;=D63),"",(D65*(1-D63/D64))/(Control!E12-D63))</f>
        <v/>
      </c>
      <c r="E66" s="157" t="s">
        <v>65</v>
      </c>
      <c r="H66" s="137" t="str">
        <f>IFERROR(INDEX(Model!$I$183:$BF$183,1,MATCH(Control!$B$7,Model!$I$5:$BF$5,0)),"")</f>
        <v/>
      </c>
      <c r="I66" s="157" t="s">
        <v>279</v>
      </c>
      <c r="J66" s="183"/>
      <c r="K66" s="184"/>
      <c r="L66" s="185"/>
    </row>
    <row r="67" spans="3:12" x14ac:dyDescent="0.2">
      <c r="C67" s="171" t="s">
        <v>280</v>
      </c>
      <c r="D67" s="181" t="str">
        <f>IF(D66="","",D66*K55)</f>
        <v/>
      </c>
      <c r="E67" s="157" t="s">
        <v>67</v>
      </c>
      <c r="H67" s="137" t="str">
        <f>IFERROR(INDEX(Model!$I$204:$BF$204,1,MATCH(Control!$B$7,Model!$I$5:$BF$5,0)),"")</f>
        <v/>
      </c>
      <c r="I67" s="157" t="s">
        <v>281</v>
      </c>
      <c r="J67" s="186"/>
      <c r="K67" s="187"/>
      <c r="L67" s="185"/>
    </row>
    <row r="68" spans="3:12" x14ac:dyDescent="0.2">
      <c r="C68" s="171" t="s">
        <v>282</v>
      </c>
      <c r="D68" s="181" t="str">
        <f>IF(D67="","",D67*K54)</f>
        <v/>
      </c>
      <c r="E68" s="157" t="s">
        <v>69</v>
      </c>
      <c r="H68" s="137" t="str">
        <f>IFERROR(INDEX(Model!$I$214:$BF$214,1,MATCH(Control!$B$7,Model!$I$5:$BF$5,0)),"")</f>
        <v/>
      </c>
      <c r="I68" s="157" t="s">
        <v>283</v>
      </c>
      <c r="J68" s="186"/>
      <c r="K68" s="187"/>
      <c r="L68" s="185"/>
    </row>
    <row r="69" spans="3:12" x14ac:dyDescent="0.2">
      <c r="C69" s="174" t="s">
        <v>269</v>
      </c>
      <c r="D69" s="188" t="str">
        <f>IF(OR(D68="",G57=""),"",D68+G57)</f>
        <v/>
      </c>
      <c r="E69" s="157" t="s">
        <v>199</v>
      </c>
      <c r="H69" s="137" t="str">
        <f>IFERROR(INDEX(Model!$I$219:$BF$219,1,MATCH(Control!$B$7,Model!$I$5:$BF$5,0)),"")</f>
        <v/>
      </c>
      <c r="I69" s="157" t="s">
        <v>284</v>
      </c>
      <c r="J69" s="186"/>
      <c r="K69" s="187"/>
      <c r="L69" s="185"/>
    </row>
    <row r="70" spans="3:12" x14ac:dyDescent="0.2">
      <c r="C70" s="143"/>
      <c r="D70" s="144"/>
      <c r="E70" s="157" t="s">
        <v>64</v>
      </c>
      <c r="H70" s="137" t="str">
        <f>IFERROR(INDEX(Model!$I$180:$BF$180,1,MATCH(Control!$B$7,Model!$I$5:$BF$5,0)),"")</f>
        <v/>
      </c>
      <c r="I70" s="157" t="s">
        <v>285</v>
      </c>
      <c r="J70" s="186"/>
      <c r="K70" s="187"/>
      <c r="L70" s="185"/>
    </row>
    <row r="71" spans="3:12" x14ac:dyDescent="0.2">
      <c r="C71" s="171" t="s">
        <v>286</v>
      </c>
      <c r="D71" s="172"/>
      <c r="E71" s="157" t="s">
        <v>66</v>
      </c>
      <c r="H71" s="137" t="str">
        <f>IFERROR(INDEX(Model!$I$201:$BF$201,1,MATCH(Control!$B$7,Model!$I$5:$BF$5,0)),"")</f>
        <v/>
      </c>
      <c r="I71" s="179" t="s">
        <v>287</v>
      </c>
      <c r="J71" s="189"/>
      <c r="K71" s="190"/>
      <c r="L71" s="191"/>
    </row>
    <row r="72" spans="3:12" x14ac:dyDescent="0.2">
      <c r="C72" s="174" t="s">
        <v>288</v>
      </c>
      <c r="D72" s="192" t="str">
        <f>IF(Control!E14="","",Control!E14)</f>
        <v/>
      </c>
      <c r="E72" s="157" t="s">
        <v>289</v>
      </c>
      <c r="H72" s="137" t="str">
        <f>IFERROR(-INDEX(Model!$I$110:$BF$110,1,MATCH(Control!$B$7,Model!$I$5:$BF$5,0)),"")</f>
        <v/>
      </c>
      <c r="J72" s="162"/>
      <c r="K72" s="193" t="s">
        <v>290</v>
      </c>
      <c r="L72" s="185"/>
    </row>
    <row r="73" spans="3:12" x14ac:dyDescent="0.2">
      <c r="C73" s="174" t="s">
        <v>291</v>
      </c>
      <c r="D73" s="188" t="e">
        <f>K20</f>
        <v>#VALUE!</v>
      </c>
      <c r="E73" s="157" t="s">
        <v>292</v>
      </c>
      <c r="H73" s="137" t="str">
        <f>IFERROR(-INDEX(Model!$I$127:$BF$127,1,MATCH(Control!$B$7,Model!$I$5:$BF$5,0)),"")</f>
        <v/>
      </c>
      <c r="J73" s="162"/>
      <c r="K73" s="193" t="s">
        <v>293</v>
      </c>
      <c r="L73" s="194"/>
    </row>
    <row r="74" spans="3:12" x14ac:dyDescent="0.2">
      <c r="C74" s="174" t="s">
        <v>265</v>
      </c>
      <c r="D74" s="188" t="e">
        <f>IF(OR(D72="",D73=""),"",D73*D72)</f>
        <v>#VALUE!</v>
      </c>
      <c r="E74" s="157" t="s">
        <v>294</v>
      </c>
      <c r="H74" s="188">
        <f>IFERROR(SUM(H64:H73),"")</f>
        <v>0</v>
      </c>
      <c r="J74" s="162"/>
      <c r="K74" s="193" t="s">
        <v>295</v>
      </c>
      <c r="L74" s="185"/>
    </row>
    <row r="75" spans="3:12" x14ac:dyDescent="0.2">
      <c r="C75" s="174" t="s">
        <v>282</v>
      </c>
      <c r="D75" s="188" t="e">
        <f>IF(OR(D74="",K54="",K55=""),"",D74*K54*K55)</f>
        <v>#VALUE!</v>
      </c>
      <c r="E75" s="173" t="s">
        <v>296</v>
      </c>
      <c r="H75" s="181" t="str">
        <f>IFERROR(IF(H62="","",H62-H74),"")</f>
        <v/>
      </c>
      <c r="J75" s="162"/>
      <c r="K75" s="195" t="s">
        <v>297</v>
      </c>
      <c r="L75" s="172"/>
    </row>
    <row r="76" spans="3:12" ht="13.5" customHeight="1" x14ac:dyDescent="0.2">
      <c r="C76" s="174" t="s">
        <v>269</v>
      </c>
      <c r="D76" s="188" t="e">
        <f>IF(OR(D75="",G57=""),"",G57+D75)</f>
        <v>#VALUE!</v>
      </c>
      <c r="E76" s="157" t="s">
        <v>298</v>
      </c>
      <c r="H76" s="188" t="str">
        <f>IF(Control!E5="","",Control!E5)</f>
        <v/>
      </c>
      <c r="J76" s="196"/>
      <c r="K76" s="195" t="s">
        <v>299</v>
      </c>
      <c r="L76" s="172"/>
    </row>
    <row r="77" spans="3:12" ht="13.5" customHeight="1" x14ac:dyDescent="0.2">
      <c r="C77" s="143"/>
      <c r="D77" s="197"/>
      <c r="E77" s="173" t="s">
        <v>300</v>
      </c>
      <c r="H77" s="198" t="str">
        <f>IFERROR(IF(OR(H75="",H76="",H76=0),"",H75/H76),"")</f>
        <v/>
      </c>
      <c r="K77" s="195" t="s">
        <v>301</v>
      </c>
      <c r="L77" s="199"/>
    </row>
    <row r="78" spans="3:12" x14ac:dyDescent="0.2">
      <c r="C78" s="171" t="s">
        <v>302</v>
      </c>
      <c r="D78" s="200"/>
      <c r="F78" s="160"/>
      <c r="H78" s="201"/>
      <c r="K78" s="195" t="s">
        <v>303</v>
      </c>
      <c r="L78" s="202"/>
    </row>
    <row r="79" spans="3:12" x14ac:dyDescent="0.2">
      <c r="C79" s="174" t="s">
        <v>304</v>
      </c>
      <c r="D79" s="203">
        <f>Control!B11</f>
        <v>1</v>
      </c>
      <c r="H79" s="201"/>
      <c r="K79" s="204" t="s">
        <v>305</v>
      </c>
      <c r="L79" s="205"/>
    </row>
    <row r="80" spans="3:12" x14ac:dyDescent="0.2">
      <c r="C80" s="174" t="s">
        <v>269</v>
      </c>
      <c r="D80" s="172" t="str">
        <f>IF(D79=1,D69,D76)</f>
        <v/>
      </c>
      <c r="H80" s="144"/>
      <c r="K80" s="204"/>
      <c r="L80" s="205"/>
    </row>
    <row r="81" spans="3:13" x14ac:dyDescent="0.2">
      <c r="C81" s="206" t="s">
        <v>306</v>
      </c>
      <c r="D81" s="207" t="str">
        <f>IFERROR(IF(D79=1,D68/D69,D75/D76),"")</f>
        <v/>
      </c>
      <c r="E81" s="109"/>
      <c r="F81" s="109"/>
      <c r="G81" s="109"/>
      <c r="H81" s="123"/>
      <c r="I81" s="109"/>
      <c r="J81" s="109"/>
      <c r="K81" s="109"/>
      <c r="L81" s="123"/>
    </row>
    <row r="83" spans="3:13" ht="13.5" customHeight="1" x14ac:dyDescent="0.2">
      <c r="C83" s="208" t="s">
        <v>307</v>
      </c>
      <c r="D83" s="209"/>
      <c r="E83" s="210"/>
      <c r="F83" s="210"/>
      <c r="G83" s="208"/>
      <c r="H83" s="209"/>
      <c r="I83" s="210"/>
      <c r="J83" s="210"/>
      <c r="K83" s="210"/>
      <c r="L83" s="210"/>
    </row>
    <row r="85" spans="3:13" x14ac:dyDescent="0.2">
      <c r="C85" s="211" t="s">
        <v>308</v>
      </c>
      <c r="D85" s="109"/>
      <c r="F85" s="211" t="s">
        <v>309</v>
      </c>
      <c r="G85" s="211"/>
      <c r="H85" s="211"/>
      <c r="I85" s="211"/>
      <c r="J85" s="211"/>
    </row>
    <row r="86" spans="3:13" x14ac:dyDescent="0.2">
      <c r="C86" s="157" t="s">
        <v>308</v>
      </c>
      <c r="D86" s="212" t="str">
        <f>IF(Control!E9="","",Control!E9)</f>
        <v/>
      </c>
      <c r="G86" s="252" t="s">
        <v>310</v>
      </c>
      <c r="H86" s="253"/>
      <c r="I86" s="254" t="s">
        <v>311</v>
      </c>
      <c r="J86" s="255"/>
    </row>
    <row r="87" spans="3:13" x14ac:dyDescent="0.2">
      <c r="C87" s="157" t="s">
        <v>312</v>
      </c>
      <c r="D87" s="212" t="str">
        <f>IF(Control!E10="","",Control!E10)</f>
        <v/>
      </c>
      <c r="F87" s="109"/>
      <c r="G87" s="182" t="s">
        <v>313</v>
      </c>
      <c r="H87" s="182" t="s">
        <v>314</v>
      </c>
      <c r="I87" s="182" t="s">
        <v>315</v>
      </c>
      <c r="J87" s="213" t="s">
        <v>314</v>
      </c>
      <c r="K87" s="214"/>
      <c r="L87" s="215"/>
    </row>
    <row r="88" spans="3:13" x14ac:dyDescent="0.2">
      <c r="C88" s="92" t="s">
        <v>316</v>
      </c>
      <c r="D88" s="216" t="str">
        <f>IF(D86="","",D86*(1-D87))</f>
        <v/>
      </c>
      <c r="F88" s="92" t="s">
        <v>294</v>
      </c>
      <c r="G88" s="217">
        <f>IFERROR(H74,"")</f>
        <v>0</v>
      </c>
      <c r="H88" s="97" t="str">
        <f>IFERROR(debt/totalcap,"")</f>
        <v/>
      </c>
      <c r="I88" s="212"/>
      <c r="J88" s="97" t="str">
        <f>IFERROR(IF(I88,I88,H88),"")</f>
        <v/>
      </c>
      <c r="L88" s="218"/>
    </row>
    <row r="89" spans="3:13" x14ac:dyDescent="0.2">
      <c r="F89" s="92" t="s">
        <v>317</v>
      </c>
      <c r="G89" s="217">
        <f>L63*L79</f>
        <v>0</v>
      </c>
      <c r="H89" s="97" t="str">
        <f>IFERROR(1-H88,"")</f>
        <v/>
      </c>
      <c r="J89" s="97" t="str">
        <f>IFERROR(1-debt_weight,"")</f>
        <v/>
      </c>
    </row>
    <row r="90" spans="3:13" x14ac:dyDescent="0.2">
      <c r="C90" s="211" t="s">
        <v>318</v>
      </c>
      <c r="D90" s="109"/>
      <c r="F90" s="92" t="s">
        <v>319</v>
      </c>
      <c r="G90" s="214">
        <f>IFERROR(SUM(G88:G89),"")</f>
        <v>0</v>
      </c>
    </row>
    <row r="91" spans="3:13" x14ac:dyDescent="0.2">
      <c r="C91" s="157" t="s">
        <v>320</v>
      </c>
      <c r="D91" s="212" t="str">
        <f>IF(Control!E6="","",Control!E6)</f>
        <v/>
      </c>
      <c r="E91" s="195"/>
    </row>
    <row r="92" spans="3:13" x14ac:dyDescent="0.2">
      <c r="C92" s="157" t="s">
        <v>321</v>
      </c>
      <c r="D92" s="212" t="str">
        <f>IF(Control!E7="","",Control!E7)</f>
        <v/>
      </c>
      <c r="F92" s="211" t="s">
        <v>322</v>
      </c>
      <c r="G92" s="109"/>
      <c r="H92" s="109"/>
      <c r="I92" s="109"/>
      <c r="J92" s="109"/>
    </row>
    <row r="93" spans="3:13" x14ac:dyDescent="0.2">
      <c r="C93" s="157" t="s">
        <v>323</v>
      </c>
      <c r="D93" s="219" t="str">
        <f>IF(Control!E8="","",Control!E8)</f>
        <v/>
      </c>
      <c r="F93" s="92" t="s">
        <v>243</v>
      </c>
      <c r="J93" s="97" t="str">
        <f>IF(Control!E12="","",Control!E12)</f>
        <v/>
      </c>
    </row>
    <row r="94" spans="3:13" x14ac:dyDescent="0.2">
      <c r="C94" s="157" t="s">
        <v>324</v>
      </c>
      <c r="D94" s="216" t="str">
        <f>IF(COUNT(D91:D93)&lt;3,"",D91+D93*D92)</f>
        <v/>
      </c>
      <c r="E94" s="102"/>
    </row>
    <row r="95" spans="3:13" x14ac:dyDescent="0.2">
      <c r="C95" s="157"/>
      <c r="D95" s="216"/>
      <c r="E95" s="102"/>
      <c r="G95" s="214"/>
    </row>
    <row r="96" spans="3:13" x14ac:dyDescent="0.2">
      <c r="C96" s="211" t="s">
        <v>325</v>
      </c>
      <c r="D96" s="109"/>
      <c r="E96" s="109"/>
      <c r="F96" s="109"/>
      <c r="G96" s="109"/>
      <c r="H96" s="109"/>
      <c r="I96" s="109"/>
      <c r="J96" s="109"/>
      <c r="K96" s="109"/>
      <c r="L96" s="109"/>
      <c r="M96" s="109"/>
    </row>
    <row r="97" spans="3:13" ht="25.5" customHeight="1" x14ac:dyDescent="0.2">
      <c r="C97" s="220" t="s">
        <v>326</v>
      </c>
      <c r="D97" s="221" t="s">
        <v>327</v>
      </c>
      <c r="E97" s="221" t="s">
        <v>328</v>
      </c>
      <c r="F97" s="221" t="s">
        <v>329</v>
      </c>
      <c r="G97" s="221" t="s">
        <v>330</v>
      </c>
      <c r="H97" s="221" t="s">
        <v>331</v>
      </c>
      <c r="I97" s="221" t="s">
        <v>332</v>
      </c>
      <c r="J97" s="221" t="s">
        <v>247</v>
      </c>
      <c r="K97" s="221" t="s">
        <v>333</v>
      </c>
      <c r="L97" s="221"/>
      <c r="M97" s="221"/>
    </row>
    <row r="98" spans="3:13" x14ac:dyDescent="0.2">
      <c r="C98" s="92" t="str">
        <f>ticker</f>
        <v/>
      </c>
      <c r="D98" s="222"/>
      <c r="E98" s="223"/>
      <c r="F98" s="141"/>
      <c r="G98" s="141"/>
      <c r="H98" s="141"/>
      <c r="I98" s="224"/>
      <c r="J98" s="224"/>
      <c r="K98" s="222"/>
      <c r="L98" s="225"/>
    </row>
    <row r="99" spans="3:13" x14ac:dyDescent="0.2">
      <c r="C99" s="226" t="s">
        <v>334</v>
      </c>
      <c r="D99" s="219"/>
      <c r="E99" s="227"/>
      <c r="F99" s="228"/>
      <c r="G99" s="141"/>
      <c r="H99" s="228"/>
      <c r="I99" s="224"/>
      <c r="J99" s="229"/>
      <c r="K99" s="222"/>
      <c r="L99" s="225"/>
    </row>
    <row r="100" spans="3:13" x14ac:dyDescent="0.2">
      <c r="C100" s="226" t="s">
        <v>335</v>
      </c>
      <c r="D100" s="219"/>
      <c r="E100" s="227"/>
      <c r="F100" s="228"/>
      <c r="G100" s="141"/>
      <c r="H100" s="228"/>
      <c r="I100" s="224"/>
      <c r="J100" s="229"/>
      <c r="K100" s="222"/>
      <c r="L100" s="225"/>
    </row>
    <row r="101" spans="3:13" x14ac:dyDescent="0.2">
      <c r="C101" s="230" t="s">
        <v>336</v>
      </c>
      <c r="D101" s="231"/>
      <c r="E101" s="232"/>
      <c r="F101" s="233"/>
      <c r="G101" s="127"/>
      <c r="H101" s="233"/>
      <c r="I101" s="234"/>
      <c r="J101" s="235"/>
      <c r="K101" s="236"/>
      <c r="L101" s="225"/>
      <c r="M101" s="237"/>
    </row>
    <row r="102" spans="3:13" x14ac:dyDescent="0.2">
      <c r="D102" s="222"/>
      <c r="E102" s="204"/>
      <c r="F102" s="161"/>
      <c r="G102" s="141"/>
      <c r="I102" s="222"/>
      <c r="J102" s="237"/>
      <c r="K102" s="238"/>
      <c r="L102" s="238"/>
      <c r="M102" s="238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defaultColWidth="9.7109375" defaultRowHeight="12.75" x14ac:dyDescent="0.2"/>
  <cols>
    <col min="1" max="1" width="43.140625" customWidth="1"/>
    <col min="2" max="2" width="27.28515625" customWidth="1"/>
    <col min="3" max="3" width="18.140625" customWidth="1"/>
    <col min="4" max="4" width="34" customWidth="1"/>
    <col min="5" max="6" width="18.140625" customWidth="1"/>
  </cols>
  <sheetData>
    <row r="1" spans="1:6" ht="18" customHeight="1" x14ac:dyDescent="0.25">
      <c r="A1" s="239" t="s">
        <v>337</v>
      </c>
      <c r="B1" s="239"/>
      <c r="C1" s="239"/>
      <c r="D1" s="239"/>
      <c r="E1" s="239"/>
      <c r="F1" s="239"/>
    </row>
    <row r="3" spans="1:6" ht="14.25" customHeight="1" x14ac:dyDescent="0.2">
      <c r="A3" t="s">
        <v>338</v>
      </c>
      <c r="B3" s="240"/>
      <c r="D3" s="241" t="s">
        <v>339</v>
      </c>
      <c r="E3" s="241"/>
      <c r="F3" s="241"/>
    </row>
    <row r="4" spans="1:6" ht="14.25" customHeight="1" x14ac:dyDescent="0.2">
      <c r="A4" t="s">
        <v>237</v>
      </c>
      <c r="B4" s="240"/>
      <c r="D4" t="s">
        <v>340</v>
      </c>
      <c r="E4" s="242"/>
    </row>
    <row r="5" spans="1:6" ht="14.25" customHeight="1" x14ac:dyDescent="0.2">
      <c r="A5" t="s">
        <v>341</v>
      </c>
      <c r="B5" s="240"/>
      <c r="D5" t="s">
        <v>342</v>
      </c>
      <c r="E5" s="243"/>
    </row>
    <row r="6" spans="1:6" ht="14.25" customHeight="1" x14ac:dyDescent="0.2">
      <c r="A6" t="s">
        <v>343</v>
      </c>
      <c r="B6" s="240" t="s">
        <v>2</v>
      </c>
      <c r="D6" t="s">
        <v>344</v>
      </c>
      <c r="E6" s="244"/>
    </row>
    <row r="7" spans="1:6" ht="14.25" customHeight="1" x14ac:dyDescent="0.2">
      <c r="A7" t="s">
        <v>345</v>
      </c>
      <c r="B7" s="245"/>
      <c r="D7" t="s">
        <v>346</v>
      </c>
      <c r="E7" s="244"/>
    </row>
    <row r="8" spans="1:6" ht="14.25" customHeight="1" x14ac:dyDescent="0.2">
      <c r="A8" t="s">
        <v>347</v>
      </c>
      <c r="B8" s="245">
        <v>47118</v>
      </c>
      <c r="D8" t="s">
        <v>348</v>
      </c>
      <c r="E8" s="246"/>
    </row>
    <row r="9" spans="1:6" ht="15" customHeight="1" x14ac:dyDescent="0.25">
      <c r="A9" t="s">
        <v>349</v>
      </c>
      <c r="B9" s="245">
        <v>47848</v>
      </c>
      <c r="D9" t="s">
        <v>350</v>
      </c>
      <c r="E9" s="247" t="str">
        <f>IFERROR(-Model!AG40/AVERAGE(Model!AB58,Model!AG58),"")</f>
        <v/>
      </c>
    </row>
    <row r="10" spans="1:6" ht="14.25" customHeight="1" x14ac:dyDescent="0.2">
      <c r="A10" t="s">
        <v>351</v>
      </c>
      <c r="B10" s="240">
        <v>2</v>
      </c>
      <c r="D10" t="s">
        <v>312</v>
      </c>
      <c r="E10" s="244"/>
    </row>
    <row r="11" spans="1:6" ht="14.25" customHeight="1" x14ac:dyDescent="0.2">
      <c r="A11" t="s">
        <v>352</v>
      </c>
      <c r="B11" s="240">
        <v>1</v>
      </c>
      <c r="D11" t="s">
        <v>353</v>
      </c>
      <c r="E11" s="244"/>
    </row>
    <row r="12" spans="1:6" ht="15" customHeight="1" x14ac:dyDescent="0.25">
      <c r="A12" t="s">
        <v>354</v>
      </c>
      <c r="B12" s="245"/>
      <c r="D12" t="s">
        <v>355</v>
      </c>
      <c r="E12" s="247" t="str">
        <f>IF(COUNT(E6:E11)&lt;6,"",E11*E9*(1-E10)+(1-E11)*(E6+E8*E7))</f>
        <v/>
      </c>
    </row>
    <row r="13" spans="1:6" ht="15" customHeight="1" x14ac:dyDescent="0.25">
      <c r="A13" t="s">
        <v>356</v>
      </c>
      <c r="B13" s="247">
        <f>IFERROR((DATE(YEAR(B12),12,31)-B12)/365,"")</f>
        <v>1.0027397260273974</v>
      </c>
      <c r="D13" t="s">
        <v>357</v>
      </c>
      <c r="E13" s="244"/>
    </row>
    <row r="14" spans="1:6" ht="14.25" customHeight="1" x14ac:dyDescent="0.2">
      <c r="D14" t="s">
        <v>358</v>
      </c>
      <c r="E14" s="248"/>
    </row>
    <row r="15" spans="1:6" ht="14.25" customHeight="1" x14ac:dyDescent="0.2">
      <c r="D15" t="s">
        <v>359</v>
      </c>
      <c r="E15" s="244"/>
    </row>
    <row r="17" spans="1:6" ht="14.25" customHeight="1" x14ac:dyDescent="0.2">
      <c r="A17" s="241" t="s">
        <v>360</v>
      </c>
      <c r="B17" s="241" t="s">
        <v>361</v>
      </c>
      <c r="C17" s="241" t="s">
        <v>362</v>
      </c>
      <c r="D17" s="241" t="s">
        <v>363</v>
      </c>
      <c r="E17" s="241" t="s">
        <v>364</v>
      </c>
      <c r="F17" s="241" t="s">
        <v>365</v>
      </c>
    </row>
    <row r="18" spans="1:6" ht="15" customHeight="1" x14ac:dyDescent="0.25">
      <c r="A18" t="s">
        <v>366</v>
      </c>
      <c r="B18" s="247" t="str">
        <f>IFERROR(AVERAGE(Model!AC16:AF16,Model!AH16:AI16),"")</f>
        <v/>
      </c>
      <c r="C18" s="247" t="str">
        <f t="shared" ref="C18:C27" si="0">IF(B18="","",B18)</f>
        <v/>
      </c>
      <c r="D18" s="247" t="str">
        <f>IF(C18="","",MAX(0,C18-0.5%))</f>
        <v/>
      </c>
      <c r="E18" s="247" t="str">
        <f>IF(D18="","",MAX(0,D18-0.5%))</f>
        <v/>
      </c>
      <c r="F18" s="247" t="str">
        <f>IF(E18="","",MAX(0,E18-0.5%))</f>
        <v/>
      </c>
    </row>
    <row r="19" spans="1:6" ht="15" customHeight="1" x14ac:dyDescent="0.25">
      <c r="A19" t="s">
        <v>367</v>
      </c>
      <c r="B19" s="247" t="str">
        <f>IFERROR(AVERAGE(Model!AC21:AF21,Model!AH21:AI21),"")</f>
        <v/>
      </c>
      <c r="C19" s="247" t="str">
        <f t="shared" si="0"/>
        <v/>
      </c>
      <c r="D19" s="247" t="str">
        <f t="shared" ref="D19:F27" si="1">IF(C19="","",C19)</f>
        <v/>
      </c>
      <c r="E19" s="247" t="str">
        <f t="shared" si="1"/>
        <v/>
      </c>
      <c r="F19" s="247" t="str">
        <f t="shared" si="1"/>
        <v/>
      </c>
    </row>
    <row r="20" spans="1:6" ht="15" customHeight="1" x14ac:dyDescent="0.25">
      <c r="A20" t="s">
        <v>368</v>
      </c>
      <c r="B20" s="247" t="str">
        <f>IFERROR(AVERAGE(Model!AC25:AF25,Model!AH25:AI25),"")</f>
        <v/>
      </c>
      <c r="C20" s="247" t="str">
        <f t="shared" si="0"/>
        <v/>
      </c>
      <c r="D20" s="247" t="str">
        <f t="shared" si="1"/>
        <v/>
      </c>
      <c r="E20" s="247" t="str">
        <f t="shared" si="1"/>
        <v/>
      </c>
      <c r="F20" s="247" t="str">
        <f t="shared" si="1"/>
        <v/>
      </c>
    </row>
    <row r="21" spans="1:6" ht="15" customHeight="1" x14ac:dyDescent="0.25">
      <c r="A21" t="s">
        <v>369</v>
      </c>
      <c r="B21" s="247" t="str">
        <f>IFERROR(AVERAGE(Model!AC37:AF37,Model!AH37:AI37),"")</f>
        <v/>
      </c>
      <c r="C21" s="247" t="str">
        <f t="shared" si="0"/>
        <v/>
      </c>
      <c r="D21" s="247" t="str">
        <f t="shared" si="1"/>
        <v/>
      </c>
      <c r="E21" s="247" t="str">
        <f t="shared" si="1"/>
        <v/>
      </c>
      <c r="F21" s="247" t="str">
        <f t="shared" si="1"/>
        <v/>
      </c>
    </row>
    <row r="22" spans="1:6" ht="15" customHeight="1" x14ac:dyDescent="0.25">
      <c r="A22" t="s">
        <v>370</v>
      </c>
      <c r="B22" s="247" t="str">
        <f>IFERROR(AVERAGE(Model!AC98:AF98,Model!AH98:AI98),"")</f>
        <v/>
      </c>
      <c r="C22" s="247" t="str">
        <f t="shared" si="0"/>
        <v/>
      </c>
      <c r="D22" s="247" t="str">
        <f t="shared" si="1"/>
        <v/>
      </c>
      <c r="E22" s="247" t="str">
        <f t="shared" si="1"/>
        <v/>
      </c>
      <c r="F22" s="247" t="str">
        <f t="shared" si="1"/>
        <v/>
      </c>
    </row>
    <row r="23" spans="1:6" ht="15" customHeight="1" x14ac:dyDescent="0.25">
      <c r="A23" t="s">
        <v>371</v>
      </c>
      <c r="B23" s="247" t="str">
        <f>IFERROR(AVERAGE(Model!AC89:AF89,Model!AH89:AI89)/AVERAGE(Model!AC15:AF15,Model!AH15:AI15),"")</f>
        <v/>
      </c>
      <c r="C23" s="247" t="str">
        <f t="shared" si="0"/>
        <v/>
      </c>
      <c r="D23" s="247" t="str">
        <f t="shared" si="1"/>
        <v/>
      </c>
      <c r="E23" s="247" t="str">
        <f t="shared" si="1"/>
        <v/>
      </c>
      <c r="F23" s="247" t="str">
        <f t="shared" si="1"/>
        <v/>
      </c>
    </row>
    <row r="24" spans="1:6" ht="15" customHeight="1" x14ac:dyDescent="0.25">
      <c r="A24" t="s">
        <v>372</v>
      </c>
      <c r="B24" s="247" t="str">
        <f>IFERROR(-AVERAGE(Model!AC261:AF261,Model!AH261:AI261)/AVERAGE(Model!AC15:AF15,Model!AH15:AI15),"")</f>
        <v/>
      </c>
      <c r="C24" s="247" t="str">
        <f t="shared" si="0"/>
        <v/>
      </c>
      <c r="D24" s="247" t="str">
        <f t="shared" si="1"/>
        <v/>
      </c>
      <c r="E24" s="247" t="str">
        <f t="shared" si="1"/>
        <v/>
      </c>
      <c r="F24" s="247" t="str">
        <f t="shared" si="1"/>
        <v/>
      </c>
    </row>
    <row r="25" spans="1:6" ht="15" customHeight="1" x14ac:dyDescent="0.25">
      <c r="A25" t="s">
        <v>138</v>
      </c>
      <c r="B25" s="249" t="str">
        <f>IFERROR(AVERAGE(Model!AC112:AF112,Model!AH112:AI112),"")</f>
        <v/>
      </c>
      <c r="C25" s="249" t="str">
        <f t="shared" si="0"/>
        <v/>
      </c>
      <c r="D25" s="249" t="str">
        <f t="shared" si="1"/>
        <v/>
      </c>
      <c r="E25" s="249" t="str">
        <f t="shared" si="1"/>
        <v/>
      </c>
      <c r="F25" s="249" t="str">
        <f t="shared" si="1"/>
        <v/>
      </c>
    </row>
    <row r="26" spans="1:6" ht="15" customHeight="1" x14ac:dyDescent="0.25">
      <c r="A26" t="s">
        <v>139</v>
      </c>
      <c r="B26" s="249" t="str">
        <f>IFERROR(AVERAGE(Model!AC116:AF116,Model!AH116:AI116),"")</f>
        <v/>
      </c>
      <c r="C26" s="249" t="str">
        <f t="shared" si="0"/>
        <v/>
      </c>
      <c r="D26" s="249" t="str">
        <f t="shared" si="1"/>
        <v/>
      </c>
      <c r="E26" s="249" t="str">
        <f t="shared" si="1"/>
        <v/>
      </c>
      <c r="F26" s="249" t="str">
        <f t="shared" si="1"/>
        <v/>
      </c>
    </row>
    <row r="27" spans="1:6" ht="15" customHeight="1" x14ac:dyDescent="0.25">
      <c r="A27" t="s">
        <v>155</v>
      </c>
      <c r="B27" s="249" t="str">
        <f>IFERROR(AVERAGE(Model!AC165:AF165,Model!AH165:AI165),"")</f>
        <v/>
      </c>
      <c r="C27" s="249" t="str">
        <f t="shared" si="0"/>
        <v/>
      </c>
      <c r="D27" s="249" t="str">
        <f t="shared" si="1"/>
        <v/>
      </c>
      <c r="E27" s="249" t="str">
        <f t="shared" si="1"/>
        <v/>
      </c>
      <c r="F27" s="249" t="str">
        <f t="shared" si="1"/>
        <v/>
      </c>
    </row>
    <row r="29" spans="1:6" x14ac:dyDescent="0.2">
      <c r="A29" t="s">
        <v>373</v>
      </c>
    </row>
    <row r="30" spans="1:6" x14ac:dyDescent="0.2">
      <c r="A30" t="s">
        <v>374</v>
      </c>
    </row>
    <row r="31" spans="1:6" x14ac:dyDescent="0.2">
      <c r="A31" t="s">
        <v>375</v>
      </c>
      <c r="B31" t="s">
        <v>376</v>
      </c>
    </row>
    <row r="32" spans="1:6" x14ac:dyDescent="0.2">
      <c r="A32" t="s">
        <v>377</v>
      </c>
      <c r="B32" t="str">
        <f>IF(B7="","","1Q21–"&amp;ROUNDUP(MONTH(B7)/3,0)&amp;"Q"&amp;RIGHT(YEAR(B7),2))</f>
        <v/>
      </c>
    </row>
    <row r="33" spans="1:2" x14ac:dyDescent="0.2">
      <c r="A33" t="s">
        <v>378</v>
      </c>
      <c r="B33" t="str">
        <f>IF(OR(B3="",B4=""),"PENDING COMPANY SETUP",IF(OR(E4="",E5="",E12=""),"PENDING MARKET INPUTS","READY"))</f>
        <v>PENDING COMPANY SETUP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17</vt:i4>
      </vt:variant>
    </vt:vector>
  </HeadingPairs>
  <TitlesOfParts>
    <vt:vector size="22" baseType="lpstr">
      <vt:lpstr>Inputs</vt:lpstr>
      <vt:lpstr>Inputs (2)</vt:lpstr>
      <vt:lpstr>Model</vt:lpstr>
      <vt:lpstr>Valuation</vt:lpstr>
      <vt:lpstr>Control</vt:lpstr>
      <vt:lpstr>beta_observed</vt:lpstr>
      <vt:lpstr>Valuation!costdebtfirm</vt:lpstr>
      <vt:lpstr>Valuation!costequity</vt:lpstr>
      <vt:lpstr>Valuation!debt</vt:lpstr>
      <vt:lpstr>Valuation!debt_weight</vt:lpstr>
      <vt:lpstr>Valuation!g</vt:lpstr>
      <vt:lpstr>last_close</vt:lpstr>
      <vt:lpstr>Valuation!market_equity</vt:lpstr>
      <vt:lpstr>Valuation!noplat_t1</vt:lpstr>
      <vt:lpstr>Valuation!relevered_beta</vt:lpstr>
      <vt:lpstr>Valuation!risk_free_rate</vt:lpstr>
      <vt:lpstr>Valuation!risk_premium</vt:lpstr>
      <vt:lpstr>Valuation!ronic</vt:lpstr>
      <vt:lpstr>Valuation!stub_year_fraction</vt:lpstr>
      <vt:lpstr>ticker</vt:lpstr>
      <vt:lpstr>Valuation!totalcap</vt:lpstr>
      <vt:lpstr>Valuation!wacc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Nascimento</cp:lastModifiedBy>
  <cp:revision>0</cp:revision>
  <dcterms:created xsi:type="dcterms:W3CDTF">2026-09-23T00:39:42Z</dcterms:created>
  <dcterms:modified xsi:type="dcterms:W3CDTF">2026-10-09T19:33:35Z</dcterms:modified>
  <dc:language>en-US</dc:language>
</cp:coreProperties>
</file>