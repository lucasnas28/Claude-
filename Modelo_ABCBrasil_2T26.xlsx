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Glossár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  <numFmt numFmtId="171" formatCode="dd/mm/yyyy"/>
  </numFmts>
  <fonts count="33">
    <font>
      <name val="Calibri"/>
      <family val="2"/>
      <color theme="1"/>
      <sz val="11"/>
      <scheme val="minor"/>
    </font>
    <font>
      <name val="Verdana"/>
      <b val="1"/>
      <color rgb="FF1F3864"/>
      <sz val="10"/>
    </font>
    <font>
      <name val="Verdana"/>
      <i val="1"/>
      <color rgb="FF808080"/>
      <sz val="8"/>
    </font>
    <font>
      <name val="Verdana"/>
      <b val="1"/>
      <color rgb="FF0000FF"/>
      <sz val="10"/>
    </font>
    <font>
      <name val="Verdana"/>
      <b val="1"/>
      <color rgb="FFFFFFFF"/>
      <sz val="10"/>
    </font>
    <font>
      <name val="Verdana"/>
      <b val="1"/>
      <color rgb="FF0000FF"/>
      <sz val="9"/>
    </font>
    <font>
      <name val="Verdana"/>
      <color rgb="FF262626"/>
      <sz val="10"/>
    </font>
    <font>
      <name val="Verdana"/>
      <b val="1"/>
      <color rgb="FF1F3864"/>
      <sz val="9"/>
    </font>
    <font>
      <name val="Verdana"/>
      <i val="1"/>
      <color rgb="FF7F7F7F"/>
      <sz val="10"/>
    </font>
    <font>
      <name val="Verdana"/>
      <b val="1"/>
      <color rgb="FF000000"/>
      <sz val="10"/>
    </font>
    <font>
      <name val="Verdana"/>
      <b val="1"/>
      <i val="1"/>
      <color rgb="FF7F7F7F"/>
      <sz val="10"/>
    </font>
    <font>
      <name val="Verdana"/>
      <color rgb="FF7F7F7F"/>
      <sz val="8"/>
    </font>
    <font>
      <name val="Verdana"/>
      <color rgb="FF007A33"/>
      <sz val="8"/>
    </font>
    <font>
      <name val="Verdana"/>
      <i val="1"/>
      <color rgb="FF262626"/>
      <sz val="10"/>
    </font>
    <font>
      <name val="Verdana"/>
      <i val="1"/>
      <color rgb="FF1F6F4A"/>
      <sz val="10"/>
    </font>
    <font>
      <name val="Verdana"/>
      <i val="1"/>
      <color rgb="FF007A33"/>
      <sz val="10"/>
    </font>
    <font>
      <name val="Verdana"/>
      <b val="1"/>
      <color rgb="FF007A33"/>
      <sz val="10"/>
    </font>
    <font>
      <name val="Verdana"/>
      <i val="1"/>
      <color rgb="FF000000"/>
      <sz val="10"/>
    </font>
    <font>
      <name val="Verdana"/>
      <color rgb="FF404040"/>
      <sz val="9"/>
    </font>
    <font>
      <name val="Verdana"/>
      <b val="1"/>
      <color rgb="FFFFFFFF"/>
      <sz val="8"/>
    </font>
    <font>
      <name val="Verdana"/>
      <color rgb="FF808080"/>
      <sz val="8"/>
    </font>
    <font>
      <name val="Verdana"/>
      <color rgb="FF007A33"/>
      <sz val="10"/>
    </font>
    <font>
      <name val="Verdana"/>
      <color rgb="FF000000"/>
      <sz val="10"/>
    </font>
    <font>
      <name val="Verdana"/>
      <b val="1"/>
      <color rgb="FF1F3864"/>
      <sz val="14"/>
    </font>
    <font>
      <name val="Verdana"/>
      <i val="1"/>
      <color rgb="FF808080"/>
      <sz val="9"/>
    </font>
    <font>
      <name val="Verdana"/>
      <b val="1"/>
      <color rgb="FF000000"/>
      <sz val="11"/>
    </font>
    <font>
      <name val="Verdana"/>
      <color rgb="FF000000"/>
      <sz val="11"/>
    </font>
    <font>
      <name val="Verdana"/>
      <b val="1"/>
      <color rgb="FF1F3864"/>
      <sz val="11"/>
    </font>
    <font>
      <name val="Verdana"/>
      <b val="1"/>
      <color rgb="FFC00000"/>
      <sz val="8"/>
    </font>
    <font>
      <name val="Verdana"/>
      <b val="1"/>
      <color rgb="FF1F3864"/>
      <sz val="8"/>
    </font>
    <font>
      <name val="Verdana"/>
      <color rgb="FF404040"/>
      <sz val="10"/>
    </font>
    <font>
      <name val="Verdana"/>
      <family val="2"/>
      <b val="1"/>
      <color theme="1"/>
      <sz val="10"/>
    </font>
    <font>
      <name val="Verdana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49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49" fontId="9" fillId="0" borderId="0" applyAlignment="1" pivotButton="0" quotePrefix="0" xfId="0">
      <alignment horizontal="center"/>
    </xf>
    <xf numFmtId="17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1" fontId="1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1" fillId="6" borderId="0" pivotButton="0" quotePrefix="0" xfId="0"/>
    <xf numFmtId="0" fontId="14" fillId="0" borderId="0" applyAlignment="1" pivotButton="0" quotePrefix="0" xfId="0">
      <alignment vertical="center" indent="1"/>
    </xf>
    <xf numFmtId="168" fontId="0" fillId="0" borderId="0" pivotButton="0" quotePrefix="0" xfId="0"/>
    <xf numFmtId="168" fontId="15" fillId="0" borderId="0" applyAlignment="1" pivotButton="0" quotePrefix="0" xfId="0">
      <alignment horizontal="center"/>
    </xf>
    <xf numFmtId="168" fontId="0" fillId="7" borderId="0" pivotButton="0" quotePrefix="0" xfId="0"/>
    <xf numFmtId="168" fontId="15" fillId="7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167" fontId="15" fillId="7" borderId="0" applyAlignment="1" pivotButton="0" quotePrefix="0" xfId="0">
      <alignment horizontal="center"/>
    </xf>
    <xf numFmtId="167" fontId="0" fillId="0" borderId="0" pivotButton="0" quotePrefix="0" xfId="0"/>
    <xf numFmtId="167" fontId="0" fillId="7" borderId="0" pivotButton="0" quotePrefix="0" xfId="0"/>
    <xf numFmtId="168" fontId="17" fillId="7" borderId="0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9" fontId="17" fillId="7" borderId="0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4" fontId="17" fillId="7" borderId="0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67" fontId="17" fillId="7" borderId="0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" fontId="3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1" fillId="0" borderId="0" pivotButton="0" quotePrefix="0" xfId="0"/>
    <xf numFmtId="167" fontId="9" fillId="7" borderId="0" pivotButton="0" quotePrefix="0" xfId="0"/>
    <xf numFmtId="167" fontId="9" fillId="0" borderId="2" pivotButton="0" quotePrefix="0" xfId="0"/>
    <xf numFmtId="167" fontId="9" fillId="7" borderId="2" pivotButton="0" quotePrefix="0" xfId="0"/>
    <xf numFmtId="0" fontId="6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center" indent="2"/>
    </xf>
    <xf numFmtId="0" fontId="9" fillId="0" borderId="0" applyAlignment="1" pivotButton="0" quotePrefix="0" xfId="0">
      <alignment vertical="center" indent="2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3"/>
    </xf>
    <xf numFmtId="0" fontId="8" fillId="0" borderId="0" applyAlignment="1" pivotButton="0" quotePrefix="0" xfId="0">
      <alignment vertical="center" indent="3"/>
    </xf>
    <xf numFmtId="167" fontId="9" fillId="0" borderId="0" pivotButton="0" quotePrefix="0" xfId="0"/>
    <xf numFmtId="168" fontId="21" fillId="0" borderId="0" pivotButton="0" quotePrefix="0" xfId="0"/>
    <xf numFmtId="168" fontId="9" fillId="7" borderId="0" pivotButton="0" quotePrefix="0" xfId="0"/>
    <xf numFmtId="166" fontId="21" fillId="0" borderId="0" pivotButton="0" quotePrefix="0" xfId="0"/>
    <xf numFmtId="166" fontId="9" fillId="7" borderId="0" pivotButton="0" quotePrefix="0" xfId="0"/>
    <xf numFmtId="165" fontId="21" fillId="0" borderId="0" pivotButton="0" quotePrefix="0" xfId="0"/>
    <xf numFmtId="165" fontId="9" fillId="7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22" fillId="7" borderId="0" pivotButton="0" quotePrefix="0" xfId="0"/>
    <xf numFmtId="167" fontId="3" fillId="2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6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167" fontId="21" fillId="6" borderId="0" pivotButton="0" quotePrefix="0" xfId="0"/>
    <xf numFmtId="0" fontId="9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167" fontId="9" fillId="6" borderId="2" pivotButton="0" quotePrefix="0" xfId="0"/>
    <xf numFmtId="167" fontId="16" fillId="0" borderId="2" pivotButton="0" quotePrefix="0" xfId="0"/>
    <xf numFmtId="167" fontId="16" fillId="6" borderId="2" pivotButton="0" quotePrefix="0" xfId="0"/>
    <xf numFmtId="168" fontId="22" fillId="0" borderId="0" pivotButton="0" quotePrefix="0" xfId="0"/>
    <xf numFmtId="168" fontId="22" fillId="7" borderId="0" pivotButton="0" quotePrefix="0" xfId="0"/>
    <xf numFmtId="170" fontId="22" fillId="0" borderId="0" pivotButton="0" quotePrefix="0" xfId="0"/>
    <xf numFmtId="170" fontId="22" fillId="7" borderId="0" pivotButton="0" quotePrefix="0" xfId="0"/>
    <xf numFmtId="167" fontId="21" fillId="7" borderId="0" pivotButton="0" quotePrefix="0" xfId="0"/>
    <xf numFmtId="165" fontId="22" fillId="0" borderId="0" pivotButton="0" quotePrefix="0" xfId="0"/>
    <xf numFmtId="165" fontId="22" fillId="7" borderId="0" pivotButton="0" quotePrefix="0" xfId="0"/>
    <xf numFmtId="165" fontId="26" fillId="0" borderId="0" applyAlignment="1" pivotButton="0" quotePrefix="0" xfId="0">
      <alignment horizontal="center"/>
    </xf>
    <xf numFmtId="165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49" fontId="27" fillId="0" borderId="0" applyAlignment="1" pivotButton="0" quotePrefix="0" xfId="0">
      <alignment horizontal="center"/>
    </xf>
    <xf numFmtId="168" fontId="26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1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2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0" pivotButton="0" quotePrefix="0" xfId="0"/>
    <xf numFmtId="170" fontId="3" fillId="2" borderId="1" applyAlignment="1" pivotButton="0" quotePrefix="0" xfId="0">
      <alignment horizontal="center"/>
    </xf>
    <xf numFmtId="0" fontId="9" fillId="0" borderId="0" pivotButton="0" quotePrefix="0" xfId="0"/>
    <xf numFmtId="17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/>
    </xf>
    <xf numFmtId="168" fontId="31" fillId="0" borderId="1" applyAlignment="1" pivotButton="0" quotePrefix="0" xfId="0">
      <alignment horizontal="center"/>
    </xf>
    <xf numFmtId="168" fontId="32" fillId="7" borderId="0" applyAlignment="1" pivotButton="0" quotePrefix="0" xfId="0">
      <alignment horizontal="center"/>
    </xf>
    <xf numFmtId="169" fontId="31" fillId="0" borderId="1" applyAlignment="1" pivotButton="0" quotePrefix="0" xfId="0">
      <alignment horizontal="center"/>
    </xf>
    <xf numFmtId="169" fontId="32" fillId="7" borderId="0" applyAlignment="1" pivotButton="0" quotePrefix="0" xfId="0">
      <alignment horizontal="center"/>
    </xf>
    <xf numFmtId="4" fontId="31" fillId="0" borderId="1" applyAlignment="1" pivotButton="0" quotePrefix="0" xfId="0">
      <alignment horizontal="center"/>
    </xf>
    <xf numFmtId="4" fontId="32" fillId="7" borderId="0" applyAlignment="1" pivotButton="0" quotePrefix="0" xfId="0">
      <alignment horizontal="center"/>
    </xf>
    <xf numFmtId="171" fontId="3" fillId="2" borderId="1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1:BI330"/>
  <sheetViews>
    <sheetView showGridLines="0" tabSelected="1" workbookViewId="0">
      <pane xSplit="4" ySplit="2" topLeftCell="T204" activePane="bottomRight" state="frozen"/>
      <selection pane="topRight" activeCell="A1" sqref="A1"/>
      <selection pane="bottomLeft" activeCell="A1" sqref="A1"/>
      <selection pane="bottomRight" activeCell="N281" sqref="N281"/>
    </sheetView>
  </sheetViews>
  <sheetFormatPr baseColWidth="8" defaultRowHeight="15" outlineLevelRow="1"/>
  <cols>
    <col width="2.42578125" customWidth="1" min="1" max="1"/>
    <col width="12" customWidth="1" min="2" max="2"/>
    <col width="58" customWidth="1" min="3" max="3"/>
    <col width="52" customWidth="1" min="4" max="4"/>
    <col width="11.42578125" customWidth="1" min="5" max="59"/>
    <col width="2" customWidth="1" min="60" max="60"/>
    <col width="58" customWidth="1" min="61" max="61"/>
  </cols>
  <sheetData>
    <row r="1">
      <c r="B1" s="1" t="inlineStr">
        <is>
          <t>Fator de escala</t>
        </is>
      </c>
      <c r="C1" s="2" t="inlineStr">
        <is>
          <t>Fonte já na unidade final = 1 · fonte em milhares = 0,001</t>
        </is>
      </c>
      <c r="D1" s="3" t="n">
        <v>1</v>
      </c>
      <c r="F1" s="4" t="inlineStr">
        <is>
          <t>ABC Brasil (ABCB4). Fonte: Planilha de Séries Históricas 2T26 do RI (ri.abcbrasil.com.br &gt; Central de Resultados): balanço e DRE contábeis (abas antigas até 4T24, Res. 2.682; abas novas desde 1T25, Res. 4.966), carteira expandida, estágios, indicadores, captação, capital, sumário. R$ milhões. Modo histórico: premissas e valuation vazios.</t>
        </is>
      </c>
    </row>
    <row r="2">
      <c r="B2" s="5" t="inlineStr">
        <is>
          <t>COD</t>
        </is>
      </c>
      <c r="C2" s="5" t="inlineStr">
        <is>
          <t>Conta (como divulgada)</t>
        </is>
      </c>
      <c r="D2" s="5" t="inlineStr">
        <is>
          <t>Fonte · ORIGEM · unidade</t>
        </is>
      </c>
      <c r="E2" s="6" t="inlineStr">
        <is>
          <t>1T20</t>
        </is>
      </c>
      <c r="F2" s="6" t="inlineStr">
        <is>
          <t>2T20</t>
        </is>
      </c>
      <c r="G2" s="6" t="inlineStr">
        <is>
          <t>3T20</t>
        </is>
      </c>
      <c r="H2" s="6" t="inlineStr">
        <is>
          <t>4T20</t>
        </is>
      </c>
      <c r="I2" s="6" t="inlineStr">
        <is>
          <t>1T21</t>
        </is>
      </c>
      <c r="J2" s="6" t="inlineStr">
        <is>
          <t>2T21</t>
        </is>
      </c>
      <c r="K2" s="6" t="inlineStr">
        <is>
          <t>3T21</t>
        </is>
      </c>
      <c r="L2" s="6" t="inlineStr">
        <is>
          <t>4T21</t>
        </is>
      </c>
      <c r="M2" s="6" t="inlineStr">
        <is>
          <t>1T22</t>
        </is>
      </c>
      <c r="N2" s="6" t="inlineStr">
        <is>
          <t>2T22</t>
        </is>
      </c>
      <c r="O2" s="6" t="inlineStr">
        <is>
          <t>3T22</t>
        </is>
      </c>
      <c r="P2" s="6" t="inlineStr">
        <is>
          <t>4T22</t>
        </is>
      </c>
      <c r="Q2" s="6" t="inlineStr">
        <is>
          <t>1T23</t>
        </is>
      </c>
      <c r="R2" s="6" t="inlineStr">
        <is>
          <t>2T23</t>
        </is>
      </c>
      <c r="S2" s="6" t="inlineStr">
        <is>
          <t>3T23</t>
        </is>
      </c>
      <c r="T2" s="6" t="inlineStr">
        <is>
          <t>4T23</t>
        </is>
      </c>
      <c r="U2" s="6" t="inlineStr">
        <is>
          <t>1T24</t>
        </is>
      </c>
      <c r="V2" s="6" t="inlineStr">
        <is>
          <t>2T24</t>
        </is>
      </c>
      <c r="W2" s="6" t="inlineStr">
        <is>
          <t>3T24</t>
        </is>
      </c>
      <c r="X2" s="6" t="inlineStr">
        <is>
          <t>4T24</t>
        </is>
      </c>
      <c r="Y2" s="6" t="inlineStr">
        <is>
          <t>1T25</t>
        </is>
      </c>
      <c r="Z2" s="6" t="inlineStr">
        <is>
          <t>2T25</t>
        </is>
      </c>
      <c r="AA2" s="6" t="inlineStr">
        <is>
          <t>3T25</t>
        </is>
      </c>
      <c r="AB2" s="6" t="inlineStr">
        <is>
          <t>4T25</t>
        </is>
      </c>
      <c r="AC2" s="6" t="inlineStr">
        <is>
          <t>1T26</t>
        </is>
      </c>
      <c r="AD2" s="6" t="inlineStr">
        <is>
          <t>2T26</t>
        </is>
      </c>
      <c r="AE2" s="6" t="inlineStr">
        <is>
          <t>3T26</t>
        </is>
      </c>
      <c r="AF2" s="6" t="inlineStr">
        <is>
          <t>4T26</t>
        </is>
      </c>
      <c r="AG2" s="6" t="inlineStr">
        <is>
          <t>1T27</t>
        </is>
      </c>
      <c r="AH2" s="6" t="inlineStr">
        <is>
          <t>2T27</t>
        </is>
      </c>
      <c r="AI2" s="6" t="inlineStr">
        <is>
          <t>3T27</t>
        </is>
      </c>
      <c r="AJ2" s="6" t="inlineStr">
        <is>
          <t>4T27</t>
        </is>
      </c>
      <c r="AK2" s="6" t="inlineStr">
        <is>
          <t>1T28</t>
        </is>
      </c>
      <c r="AL2" s="6" t="inlineStr">
        <is>
          <t>2T28</t>
        </is>
      </c>
      <c r="AM2" s="6" t="inlineStr">
        <is>
          <t>3T28</t>
        </is>
      </c>
      <c r="AN2" s="6" t="inlineStr">
        <is>
          <t>4T28</t>
        </is>
      </c>
      <c r="AO2" s="6" t="inlineStr">
        <is>
          <t>1T29</t>
        </is>
      </c>
      <c r="AP2" s="6" t="inlineStr">
        <is>
          <t>2T29</t>
        </is>
      </c>
      <c r="AQ2" s="6" t="inlineStr">
        <is>
          <t>3T29</t>
        </is>
      </c>
      <c r="AR2" s="6" t="inlineStr">
        <is>
          <t>4T29</t>
        </is>
      </c>
      <c r="AS2" s="6" t="inlineStr">
        <is>
          <t>1T30</t>
        </is>
      </c>
      <c r="AT2" s="6" t="inlineStr">
        <is>
          <t>2T30</t>
        </is>
      </c>
      <c r="AU2" s="6" t="inlineStr">
        <is>
          <t>3T30</t>
        </is>
      </c>
      <c r="AV2" s="6" t="inlineStr">
        <is>
          <t>4T30</t>
        </is>
      </c>
    </row>
    <row r="5">
      <c r="B5" s="7" t="n"/>
      <c r="C5" s="7" t="inlineStr">
        <is>
          <t>ATIVO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B6" s="8" t="inlineStr">
        <is>
          <t>disp</t>
        </is>
      </c>
      <c r="C6" s="9" t="inlineStr">
        <is>
          <t>Disponibilidades</t>
        </is>
      </c>
      <c r="D6" s="2" t="inlineStr">
        <is>
          <t>Séries Históricas 2T26 (RI ABC): até 4T24 aba "Balanço -Balance Sheet" l.16 | 2025+ aba "Balanço - Balance Sheet" l.16 · Disponibilidades · fonte · moeda</t>
        </is>
      </c>
      <c r="E6" t="n">
        <v>625.253</v>
      </c>
      <c r="F6" t="n">
        <v>635.624</v>
      </c>
      <c r="G6" t="n">
        <v>670.9930000000001</v>
      </c>
      <c r="H6" t="n">
        <v>513.293</v>
      </c>
      <c r="I6" t="n">
        <v>1361.952</v>
      </c>
      <c r="J6" t="n">
        <v>2853.186</v>
      </c>
      <c r="K6" t="n">
        <v>1710.865</v>
      </c>
      <c r="L6" t="n">
        <v>731.092</v>
      </c>
      <c r="M6" t="n">
        <v>362.712</v>
      </c>
      <c r="N6" t="n">
        <v>553.937</v>
      </c>
      <c r="O6" t="n">
        <v>506.227</v>
      </c>
      <c r="P6" t="n">
        <v>329.879</v>
      </c>
      <c r="Q6" t="n">
        <v>324.33</v>
      </c>
      <c r="R6" t="n">
        <v>371.967</v>
      </c>
      <c r="S6" t="n">
        <v>106.93</v>
      </c>
      <c r="T6" t="n">
        <v>647.009</v>
      </c>
      <c r="U6" t="n">
        <v>247.586</v>
      </c>
      <c r="V6" t="n">
        <v>436.112</v>
      </c>
      <c r="W6" t="n">
        <v>381.925</v>
      </c>
      <c r="X6" t="n">
        <v>540.043</v>
      </c>
      <c r="Y6" t="n">
        <v>746.683</v>
      </c>
      <c r="Z6" t="n">
        <v>572.853</v>
      </c>
      <c r="AA6" t="n">
        <v>916.165</v>
      </c>
      <c r="AB6" t="n">
        <v>785.784</v>
      </c>
      <c r="AC6" t="n">
        <v>1355.602</v>
      </c>
      <c r="AD6" t="n">
        <v>1303.677</v>
      </c>
    </row>
    <row r="7">
      <c r="B7" s="8" t="inlineStr">
        <is>
          <t>aplic_mo</t>
        </is>
      </c>
      <c r="C7" s="9" t="inlineStr">
        <is>
          <t>Aplicações no Mercado Aberto</t>
        </is>
      </c>
      <c r="D7" s="2" t="inlineStr">
        <is>
          <t>Séries Históricas 2T26 (RI ABC): até 4T24 aba "Balanço -Balance Sheet" l.17 | 2025+ aba "Balanço - Balance Sheet" l.18 · Aplicações interfinanceiras TOTAL (a fonte não separa mercado aberto x DI) · fonte · moeda</t>
        </is>
      </c>
      <c r="E7" t="n">
        <v>6287.182</v>
      </c>
      <c r="F7" t="n">
        <v>6918.924</v>
      </c>
      <c r="G7" t="n">
        <v>6756.612</v>
      </c>
      <c r="H7" t="n">
        <v>7472.641</v>
      </c>
      <c r="I7" t="n">
        <v>6328.132</v>
      </c>
      <c r="J7" t="n">
        <v>3670.203</v>
      </c>
      <c r="K7" t="n">
        <v>5352.269</v>
      </c>
      <c r="L7" t="n">
        <v>3057.021</v>
      </c>
      <c r="M7" t="n">
        <v>2750.835</v>
      </c>
      <c r="N7" t="n">
        <v>3878.663</v>
      </c>
      <c r="O7" t="n">
        <v>5247.951</v>
      </c>
      <c r="P7" t="n">
        <v>6149.351</v>
      </c>
      <c r="Q7" t="n">
        <v>3072.846</v>
      </c>
      <c r="R7" t="n">
        <v>4348.497</v>
      </c>
      <c r="S7" t="n">
        <v>5311.44</v>
      </c>
      <c r="T7" t="n">
        <v>5092.91</v>
      </c>
      <c r="U7" t="n">
        <v>5337.415</v>
      </c>
      <c r="V7" t="n">
        <v>5336.253</v>
      </c>
      <c r="W7" t="n">
        <v>5855.393</v>
      </c>
      <c r="X7" t="n">
        <v>6062.533</v>
      </c>
      <c r="Y7" t="n">
        <v>5756.539</v>
      </c>
      <c r="Z7" t="n">
        <v>4612.047</v>
      </c>
      <c r="AA7" t="n">
        <v>2519.911</v>
      </c>
      <c r="AB7" t="n">
        <v>5150.125</v>
      </c>
      <c r="AC7" t="n">
        <v>3999.708</v>
      </c>
      <c r="AD7" t="n">
        <v>3944.531</v>
      </c>
    </row>
    <row r="8">
      <c r="B8" s="8" t="inlineStr">
        <is>
          <t>aplic_di</t>
        </is>
      </c>
      <c r="C8" s="9" t="inlineStr">
        <is>
          <t>Aplicações em Depósitos Interfinanceiros</t>
        </is>
      </c>
      <c r="D8" s="2" t="inlineStr">
        <is>
          <t>[vazio] dentro de aplic_mo</t>
        </is>
      </c>
    </row>
    <row r="9">
      <c r="B9" s="8" t="inlineStr">
        <is>
          <t>aplic_rg</t>
        </is>
      </c>
      <c r="C9" s="9" t="inlineStr">
        <is>
          <t>Recursos Garantidores das Provisões Técnicas</t>
        </is>
      </c>
      <c r="D9" s="2" t="inlineStr">
        <is>
          <t>[vazio] não se aplica</t>
        </is>
      </c>
    </row>
    <row r="10">
      <c r="B10" s="8" t="inlineStr">
        <is>
          <t>aplic_pdd</t>
        </is>
      </c>
      <c r="C10" s="9" t="inlineStr">
        <is>
          <t>(Provisão para Perda de Crédito Esperada)</t>
        </is>
      </c>
      <c r="D10" s="2" t="inlineStr">
        <is>
          <t>[vazio] não divulgada</t>
        </is>
      </c>
    </row>
    <row r="11">
      <c r="B11" s="8" t="inlineStr">
        <is>
          <t>tvm_prop</t>
        </is>
      </c>
      <c r="C11" s="9" t="inlineStr">
        <is>
          <t>Carteira própria</t>
        </is>
      </c>
      <c r="D11" s="2" t="inlineStr">
        <is>
          <t>Séries Históricas 2T26 (RI ABC): até 4T24 aba "Balanço -Balance Sheet" l.18 | 2025+ aba "Balanço - Balance Sheet" l.19+24+27 · TVM (até 4T24: TVM &amp; derivativos juntos | 2025+: TVM custo amortizado + VJORA + VJR) · fonte · moeda</t>
        </is>
      </c>
      <c r="E11" t="n">
        <v>13363.922</v>
      </c>
      <c r="F11" t="n">
        <v>13146.577</v>
      </c>
      <c r="G11" t="n">
        <v>12277.635</v>
      </c>
      <c r="H11" t="n">
        <v>9778.477999999999</v>
      </c>
      <c r="I11" t="n">
        <v>12583.13</v>
      </c>
      <c r="J11" t="n">
        <v>11815.14</v>
      </c>
      <c r="K11" t="n">
        <v>13649.935</v>
      </c>
      <c r="L11" t="n">
        <v>14529.425</v>
      </c>
      <c r="M11" t="n">
        <v>16074.349</v>
      </c>
      <c r="N11" t="n">
        <v>16544.25</v>
      </c>
      <c r="O11" t="n">
        <v>15713.616</v>
      </c>
      <c r="P11" t="n">
        <v>15959.053</v>
      </c>
      <c r="Q11" t="n">
        <v>19813.223</v>
      </c>
      <c r="R11" t="n">
        <v>21925.001</v>
      </c>
      <c r="S11" t="n">
        <v>20962.344</v>
      </c>
      <c r="T11" t="n">
        <v>21935.838</v>
      </c>
      <c r="U11" t="n">
        <v>23840.662</v>
      </c>
      <c r="V11" t="n">
        <v>28191.741</v>
      </c>
      <c r="W11" t="n">
        <v>30816.017</v>
      </c>
      <c r="X11" t="n">
        <v>31698.758</v>
      </c>
      <c r="Y11" t="n">
        <v>26554.016</v>
      </c>
      <c r="Z11" t="n">
        <v>27401.851</v>
      </c>
      <c r="AA11" t="n">
        <v>27638.759</v>
      </c>
      <c r="AB11" t="n">
        <v>26760.801</v>
      </c>
      <c r="AC11" t="n">
        <v>29336.731</v>
      </c>
      <c r="AD11" t="n">
        <v>29458.27</v>
      </c>
    </row>
    <row r="12">
      <c r="B12" s="8" t="inlineStr">
        <is>
          <t>tvm_vinc</t>
        </is>
      </c>
      <c r="C12" s="9" t="inlineStr">
        <is>
          <t>Vinculados</t>
        </is>
      </c>
      <c r="D12" s="2" t="inlineStr">
        <is>
          <t>[vazio] dentro de tvm_prop</t>
        </is>
      </c>
    </row>
    <row r="13">
      <c r="B13" s="8" t="inlineStr">
        <is>
          <t>tvm_rg</t>
        </is>
      </c>
      <c r="C13" s="9" t="inlineStr">
        <is>
          <t>Recursos Garantidores das Provisões Técnicas</t>
        </is>
      </c>
      <c r="D13" s="2" t="inlineStr">
        <is>
          <t>[vazio] não se aplica</t>
        </is>
      </c>
    </row>
    <row r="14">
      <c r="B14" s="8" t="inlineStr">
        <is>
          <t>tvm_pdd</t>
        </is>
      </c>
      <c r="C14" s="9" t="inlineStr">
        <is>
          <t>(Provisão para Perda de Crédito Esperada)</t>
        </is>
      </c>
      <c r="D14" s="2" t="inlineStr">
        <is>
          <t>Séries Históricas 2T26 (RI ABC): até 4T24 aba "Balanço -Balance Sheet" l.- | 2025+ aba "Balanço - Balance Sheet" l.25+29 · Perda esperada de TVM (VJORA e VJR; só 2025+) · fonte · moeda</t>
        </is>
      </c>
      <c r="Y14" t="n">
        <v>-99.84999999999999</v>
      </c>
      <c r="Z14" t="n">
        <v>-101.769</v>
      </c>
      <c r="AA14" t="n">
        <v>-104.548</v>
      </c>
      <c r="AB14" t="n">
        <v>-108.279</v>
      </c>
      <c r="AC14" t="n">
        <v>-2.966</v>
      </c>
      <c r="AD14" t="n">
        <v>-1.133</v>
      </c>
    </row>
    <row r="15">
      <c r="B15" s="8" t="inlineStr">
        <is>
          <t>deriv_a</t>
        </is>
      </c>
      <c r="C15" s="9" t="inlineStr">
        <is>
          <t>Derivativos</t>
        </is>
      </c>
      <c r="D15" s="2" t="inlineStr">
        <is>
          <t>Séries Históricas 2T26 (RI ABC): até 4T24 aba "Balanço -Balance Sheet" l.- | 2025+ aba "Balanço - Balance Sheet" l.28 · Derivativos ativos (só 2025+; até 4T24 dentro de tvm_prop) · fonte · moeda</t>
        </is>
      </c>
      <c r="Y15" t="n">
        <v>5724.659</v>
      </c>
      <c r="Z15" t="n">
        <v>5657.316</v>
      </c>
      <c r="AA15" t="n">
        <v>6028.952</v>
      </c>
      <c r="AB15" t="n">
        <v>5684.942</v>
      </c>
      <c r="AC15" t="n">
        <v>7210.819</v>
      </c>
      <c r="AD15" t="n">
        <v>6797.635</v>
      </c>
    </row>
    <row r="16">
      <c r="B16" s="8" t="inlineStr">
        <is>
          <t>cred_op</t>
        </is>
      </c>
      <c r="C16" s="9" t="inlineStr">
        <is>
          <t>Operações de Crédito, Arrendamentos e Outros Créditos</t>
        </is>
      </c>
      <c r="D16" s="2" t="inlineStr">
        <is>
          <t>Séries Históricas 2T26 (RI ABC): até 4T24 aba "Balanço -Balance Sheet" l.20 | 2025+ aba "Balanço - Balance Sheet" l.20 · Operações de crédito · fonte · moeda</t>
        </is>
      </c>
      <c r="E16" t="n">
        <v>17590.52252</v>
      </c>
      <c r="F16" t="n">
        <v>17930.393</v>
      </c>
      <c r="G16" t="n">
        <v>18917.055</v>
      </c>
      <c r="H16" t="n">
        <v>20214.226</v>
      </c>
      <c r="I16" t="n">
        <v>20637.761</v>
      </c>
      <c r="J16" t="n">
        <v>19994.59</v>
      </c>
      <c r="K16" t="n">
        <v>21012.336</v>
      </c>
      <c r="L16" t="n">
        <v>22321.034</v>
      </c>
      <c r="M16" t="n">
        <v>22200.872</v>
      </c>
      <c r="N16" t="n">
        <v>23506.974</v>
      </c>
      <c r="O16" t="n">
        <v>24688.821</v>
      </c>
      <c r="P16" t="n">
        <v>24676.93</v>
      </c>
      <c r="Q16" t="n">
        <v>22832.989</v>
      </c>
      <c r="R16" t="n">
        <v>22145.433</v>
      </c>
      <c r="S16" t="n">
        <v>22440.119</v>
      </c>
      <c r="T16" t="n">
        <v>23062.276</v>
      </c>
      <c r="U16" t="n">
        <v>21240.856</v>
      </c>
      <c r="V16" t="n">
        <v>21138.212</v>
      </c>
      <c r="W16" t="n">
        <v>21188.011</v>
      </c>
      <c r="X16" t="n">
        <v>22227.242</v>
      </c>
      <c r="Y16" t="n">
        <v>20707.334</v>
      </c>
      <c r="Z16" t="n">
        <v>20805.141</v>
      </c>
      <c r="AA16" t="n">
        <v>21393.063</v>
      </c>
      <c r="AB16" t="n">
        <v>23532.657</v>
      </c>
      <c r="AC16" t="n">
        <v>21716.829</v>
      </c>
      <c r="AD16" t="n">
        <v>22277.587</v>
      </c>
    </row>
    <row r="17">
      <c r="B17" s="8" t="inlineStr">
        <is>
          <t>cred_tvm</t>
        </is>
      </c>
      <c r="C17" s="9" t="inlineStr">
        <is>
          <t>Títulos e Valores Mobiliários</t>
        </is>
      </c>
      <c r="D17" s="2" t="inlineStr">
        <is>
          <t>[vazio] títulos privados ficam em TVM no balanço (abertura na carteira expandida)</t>
        </is>
      </c>
    </row>
    <row r="18">
      <c r="B18" s="8" t="inlineStr">
        <is>
          <t>cred_pdd</t>
        </is>
      </c>
      <c r="C18" s="9" t="inlineStr">
        <is>
          <t>(Provisão para Perda de Crédito Esperada)</t>
        </is>
      </c>
      <c r="D18" s="2" t="inlineStr">
        <is>
          <t>Séries Históricas 2T26 (RI ABC): até 4T24 aba "Balanço -Balance Sheet" l.- | 2025+ aba "Balanço - Balance Sheet" l.22 · Perda esperada de ativos ao custo amortizado (só 2025+; até 4T24 o balanço traz crédito líquido) · fonte · moeda</t>
        </is>
      </c>
      <c r="Y18" t="n">
        <v>-951.062</v>
      </c>
      <c r="Z18" t="n">
        <v>-1022.969</v>
      </c>
      <c r="AA18" t="n">
        <v>-1082.457</v>
      </c>
      <c r="AB18" t="n">
        <v>-1162.974</v>
      </c>
      <c r="AC18" t="n">
        <v>-1189.592</v>
      </c>
      <c r="AD18" t="n">
        <v>-1214.836</v>
      </c>
    </row>
    <row r="19">
      <c r="B19" s="8" t="inlineStr">
        <is>
          <t>rel_a</t>
        </is>
      </c>
      <c r="C19" s="9" t="inlineStr">
        <is>
          <t>Relações Interfinanceiras e Interdependências</t>
        </is>
      </c>
      <c r="D19" s="2" t="inlineStr">
        <is>
          <t>Séries Históricas 2T26 (RI ABC): até 4T24 aba "Balanço -Balance Sheet" l.19 | 2025+ aba "Balanço - Balance Sheet" l.- · Relações interfinanceiras (até 4T24; 2025+ dentro de outros ativos financeiros) · fonte · moeda</t>
        </is>
      </c>
      <c r="E19" t="n">
        <v>135.209</v>
      </c>
      <c r="F19" t="n">
        <v>189.579</v>
      </c>
      <c r="G19" t="n">
        <v>218.263</v>
      </c>
      <c r="H19" t="n">
        <v>157.78</v>
      </c>
      <c r="I19" t="n">
        <v>218.529</v>
      </c>
      <c r="J19" t="n">
        <v>129.429</v>
      </c>
      <c r="K19" t="n">
        <v>126.226</v>
      </c>
      <c r="L19" t="n">
        <v>90.23999999999999</v>
      </c>
      <c r="M19" t="n">
        <v>149.554</v>
      </c>
      <c r="N19" t="n">
        <v>192.353</v>
      </c>
      <c r="O19" t="n">
        <v>442.389</v>
      </c>
      <c r="P19" t="n">
        <v>293.766</v>
      </c>
      <c r="Q19" t="n">
        <v>356.754</v>
      </c>
      <c r="R19" t="n">
        <v>255.739</v>
      </c>
      <c r="S19" t="n">
        <v>412.221</v>
      </c>
      <c r="T19" t="n">
        <v>608.284</v>
      </c>
      <c r="U19" t="n">
        <v>583.8200000000001</v>
      </c>
      <c r="V19" t="n">
        <v>671.003</v>
      </c>
      <c r="W19" t="n">
        <v>603.45</v>
      </c>
      <c r="X19" t="n">
        <v>751.266</v>
      </c>
    </row>
    <row r="20">
      <c r="B20" s="8" t="inlineStr">
        <is>
          <t>fisc_a</t>
        </is>
      </c>
      <c r="C20" s="9" t="inlineStr">
        <is>
          <t>Ativos Fiscais Correntes e Diferidos</t>
        </is>
      </c>
      <c r="D20" s="2" t="inlineStr">
        <is>
          <t>Séries Históricas 2T26 (RI ABC): até 4T24 aba "Balanço -Balance Sheet" l.- | 2025+ aba "Balanço - Balance Sheet" l.31+32 · Ativos fiscais diferidos + correntes (só 2025+; antes dentro de out_a) · fonte · moeda</t>
        </is>
      </c>
      <c r="Y20" t="n">
        <v>2157.21</v>
      </c>
      <c r="Z20" t="n">
        <v>2466.317</v>
      </c>
      <c r="AA20" t="n">
        <v>2682.071</v>
      </c>
      <c r="AB20" t="n">
        <v>2378.748</v>
      </c>
      <c r="AC20" t="n">
        <v>2930.561</v>
      </c>
      <c r="AD20" t="n">
        <v>3080.443</v>
      </c>
    </row>
    <row r="21">
      <c r="B21" s="8" t="inlineStr">
        <is>
          <t>out_a</t>
        </is>
      </c>
      <c r="C21" s="9" t="inlineStr">
        <is>
          <t>Outros Ativos</t>
        </is>
      </c>
      <c r="D21" s="2" t="inlineStr">
        <is>
          <t>Séries Históricas 2T26 (RI ABC): até 4T24 aba "Balanço -Balance Sheet" l.21+22 | 2025+ aba "Balanço - Balance Sheet" l.21+33+34 · Outros créditos/ativos (até 4T24: outros créditos + outros valores e bens, inclui fiscais | 2025+: outros ativos financeiros + não financeiros mantidos p/ venda + outros) · fonte · moeda</t>
        </is>
      </c>
      <c r="E21" t="n">
        <v>11570.14235</v>
      </c>
      <c r="F21" t="n">
        <v>10964.392</v>
      </c>
      <c r="G21" t="n">
        <v>7221.324</v>
      </c>
      <c r="H21" t="n">
        <v>5095.934</v>
      </c>
      <c r="I21" t="n">
        <v>7467.725</v>
      </c>
      <c r="J21" t="n">
        <v>5885.965</v>
      </c>
      <c r="K21" t="n">
        <v>8151.906</v>
      </c>
      <c r="L21" t="n">
        <v>8715.825999999999</v>
      </c>
      <c r="M21" t="n">
        <v>4613.262</v>
      </c>
      <c r="N21" t="n">
        <v>6131.949</v>
      </c>
      <c r="O21" t="n">
        <v>5854.346</v>
      </c>
      <c r="P21" t="n">
        <v>9819.948</v>
      </c>
      <c r="Q21" t="n">
        <v>7551.954</v>
      </c>
      <c r="R21" t="n">
        <v>5661.427</v>
      </c>
      <c r="S21" t="n">
        <v>7262.961</v>
      </c>
      <c r="T21" t="n">
        <v>9037.987999999999</v>
      </c>
      <c r="U21" t="n">
        <v>9758.688</v>
      </c>
      <c r="V21" t="n">
        <v>13040.187</v>
      </c>
      <c r="W21" t="n">
        <v>12953.933</v>
      </c>
      <c r="X21" t="n">
        <v>12023.008</v>
      </c>
      <c r="Y21" t="n">
        <v>3354.177</v>
      </c>
      <c r="Z21" t="n">
        <v>3773.757</v>
      </c>
      <c r="AA21" t="n">
        <v>2970.286</v>
      </c>
      <c r="AB21" t="n">
        <v>2991.036</v>
      </c>
      <c r="AC21" t="n">
        <v>3629.828</v>
      </c>
      <c r="AD21" t="n">
        <v>3637.699</v>
      </c>
    </row>
    <row r="22">
      <c r="B22" s="8" t="inlineStr">
        <is>
          <t>inv_col</t>
        </is>
      </c>
      <c r="C22" s="9" t="inlineStr">
        <is>
          <t>Coligadas e Entidades Controladas em Conjunto</t>
        </is>
      </c>
      <c r="D22" s="2" t="inlineStr">
        <is>
          <t>[vazio] dentro de inv_out</t>
        </is>
      </c>
    </row>
    <row r="23">
      <c r="B23" s="8" t="inlineStr">
        <is>
          <t>inv_out</t>
        </is>
      </c>
      <c r="C23" s="9" t="inlineStr">
        <is>
          <t>Outros Investimentos</t>
        </is>
      </c>
      <c r="D23" s="2" t="inlineStr">
        <is>
          <t>Séries Históricas 2T26 (RI ABC): até 4T24 aba "Balanço -Balance Sheet" l.25 | 2025+ aba "Balanço - Balance Sheet" l.- · Investimentos · fonte · moeda</t>
        </is>
      </c>
      <c r="E23" t="n">
        <v>1.553</v>
      </c>
      <c r="F23" t="n">
        <v>2.099</v>
      </c>
      <c r="G23" t="n">
        <v>2.33</v>
      </c>
      <c r="H23" t="n">
        <v>2.541</v>
      </c>
      <c r="I23" t="n">
        <v>2.696</v>
      </c>
      <c r="J23" t="n">
        <v>3.03</v>
      </c>
      <c r="K23" t="n">
        <v>3.376</v>
      </c>
      <c r="L23" t="n">
        <v>4.753</v>
      </c>
      <c r="M23" t="n">
        <v>5.909</v>
      </c>
      <c r="N23" t="n">
        <v>7.408</v>
      </c>
      <c r="O23" t="n">
        <v>8.811999999999999</v>
      </c>
      <c r="P23" t="n">
        <v>10.417</v>
      </c>
      <c r="Q23" t="n">
        <v>12.365</v>
      </c>
      <c r="R23" t="n">
        <v>12.48</v>
      </c>
      <c r="S23" t="n">
        <v>5.325</v>
      </c>
      <c r="T23" t="n">
        <v>5.344</v>
      </c>
      <c r="U23" t="n">
        <v>6.425</v>
      </c>
      <c r="V23" t="n">
        <v>6.461</v>
      </c>
      <c r="W23" t="n">
        <v>6.461</v>
      </c>
      <c r="X23" t="n">
        <v>6.461</v>
      </c>
    </row>
    <row r="24">
      <c r="B24" s="8" t="inlineStr">
        <is>
          <t>imob</t>
        </is>
      </c>
      <c r="C24" s="9" t="inlineStr">
        <is>
          <t>Imobilizado</t>
        </is>
      </c>
      <c r="D24" s="2" t="inlineStr">
        <is>
          <t>Séries Históricas 2T26 (RI ABC): até 4T24 aba "Balanço -Balance Sheet" l.26 | 2025+ aba "Balanço - Balance Sheet" l.35 · Imobilizado de uso (2025+: imobilizado + intangível, linha única) · fonte · moeda</t>
        </is>
      </c>
      <c r="E24" t="n">
        <v>25.3</v>
      </c>
      <c r="F24" t="n">
        <v>24.6</v>
      </c>
      <c r="G24" t="n">
        <v>24.453</v>
      </c>
      <c r="H24" t="n">
        <v>23.612</v>
      </c>
      <c r="I24" t="n">
        <v>24.745</v>
      </c>
      <c r="J24" t="n">
        <v>24.457</v>
      </c>
      <c r="K24" t="n">
        <v>23.011</v>
      </c>
      <c r="L24" t="n">
        <v>22.694</v>
      </c>
      <c r="M24" t="n">
        <v>23.423</v>
      </c>
      <c r="N24" t="n">
        <v>22.743</v>
      </c>
      <c r="O24" t="n">
        <v>22.848</v>
      </c>
      <c r="P24" t="n">
        <v>22.639</v>
      </c>
      <c r="Q24" t="n">
        <v>23.97</v>
      </c>
      <c r="R24" t="n">
        <v>28.956</v>
      </c>
      <c r="S24" t="n">
        <v>31.553</v>
      </c>
      <c r="T24" t="n">
        <v>31.821</v>
      </c>
      <c r="U24" t="n">
        <v>38.347</v>
      </c>
      <c r="V24" t="n">
        <v>42.058</v>
      </c>
      <c r="W24" t="n">
        <v>41.203</v>
      </c>
      <c r="X24" t="n">
        <v>42.272</v>
      </c>
      <c r="Y24" t="n">
        <v>275.895</v>
      </c>
      <c r="Z24" t="n">
        <v>273.728</v>
      </c>
      <c r="AA24" t="n">
        <v>276.542</v>
      </c>
      <c r="AB24" t="n">
        <v>303.569</v>
      </c>
      <c r="AC24" t="n">
        <v>295.702</v>
      </c>
      <c r="AD24" t="n">
        <v>301.043</v>
      </c>
    </row>
    <row r="25">
      <c r="B25" s="8" t="inlineStr">
        <is>
          <t>intang</t>
        </is>
      </c>
      <c r="C25" s="9" t="inlineStr">
        <is>
          <t>Ágio e Intangível</t>
        </is>
      </c>
      <c r="D25" s="2" t="inlineStr">
        <is>
          <t>Séries Históricas 2T26 (RI ABC): até 4T24 aba "Balanço -Balance Sheet" l.27+28 | 2025+ aba "Balanço - Balance Sheet" l.- · Intangível + diferido (até 4T24; 2025+ dentro de imob) · fonte · moeda</t>
        </is>
      </c>
      <c r="E25" t="n">
        <v>46.63</v>
      </c>
      <c r="F25" t="n">
        <v>56.383</v>
      </c>
      <c r="G25" t="n">
        <v>65.57299999999999</v>
      </c>
      <c r="H25" t="n">
        <v>70.336</v>
      </c>
      <c r="I25" t="n">
        <v>76.289</v>
      </c>
      <c r="J25" t="n">
        <v>80.06399999999999</v>
      </c>
      <c r="K25" t="n">
        <v>85.261</v>
      </c>
      <c r="L25" t="n">
        <v>93.88500000000001</v>
      </c>
      <c r="M25" t="n">
        <v>104.58</v>
      </c>
      <c r="N25" t="n">
        <v>116.304</v>
      </c>
      <c r="O25" t="n">
        <v>131.147</v>
      </c>
      <c r="P25" t="n">
        <v>146.861</v>
      </c>
      <c r="Q25" t="n">
        <v>166.456</v>
      </c>
      <c r="R25" t="n">
        <v>181.063</v>
      </c>
      <c r="S25" t="n">
        <v>193.869</v>
      </c>
      <c r="T25" t="n">
        <v>211.142</v>
      </c>
      <c r="U25" t="n">
        <v>211.875</v>
      </c>
      <c r="V25" t="n">
        <v>215.962</v>
      </c>
      <c r="W25" t="n">
        <v>218.737</v>
      </c>
      <c r="X25" t="n">
        <v>234.394</v>
      </c>
    </row>
    <row r="26"/>
    <row r="27">
      <c r="B27" s="7" t="n"/>
      <c r="C27" s="7" t="inlineStr">
        <is>
          <t>PASSIVO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</row>
    <row r="28">
      <c r="B28" s="8" t="inlineStr">
        <is>
          <t>dep_vista</t>
        </is>
      </c>
      <c r="C28" s="9" t="inlineStr">
        <is>
          <t>Depósitos à Vista</t>
        </is>
      </c>
      <c r="D28" s="2" t="inlineStr">
        <is>
          <t>Séries Históricas 2T26 (RI ABC) aba "Captação - Funding" l.13 Depósitos à vista · fonte · moeda</t>
        </is>
      </c>
      <c r="E28" t="n">
        <v>191.194</v>
      </c>
      <c r="F28" t="n">
        <v>317.899</v>
      </c>
      <c r="G28" t="n">
        <v>396.663</v>
      </c>
      <c r="H28" t="n">
        <v>383.383</v>
      </c>
      <c r="I28" t="n">
        <v>320.354</v>
      </c>
      <c r="J28" t="n">
        <v>257.359</v>
      </c>
      <c r="K28" t="n">
        <v>345.274</v>
      </c>
      <c r="L28" t="n">
        <v>284.36</v>
      </c>
      <c r="M28" t="n">
        <v>460.028</v>
      </c>
      <c r="N28" t="n">
        <v>315.71</v>
      </c>
      <c r="O28" t="n">
        <v>379.241</v>
      </c>
      <c r="P28" t="n">
        <v>343.409</v>
      </c>
      <c r="Q28" t="n">
        <v>352.072</v>
      </c>
      <c r="R28" t="n">
        <v>353.212</v>
      </c>
      <c r="S28" t="n">
        <v>502.725</v>
      </c>
      <c r="T28" t="n">
        <v>693.078</v>
      </c>
      <c r="U28" t="n">
        <v>378.181</v>
      </c>
      <c r="V28" t="n">
        <v>551.196</v>
      </c>
      <c r="W28" t="n">
        <v>532.248</v>
      </c>
      <c r="X28" t="n">
        <v>631.73</v>
      </c>
      <c r="Y28" t="n">
        <v>486.596</v>
      </c>
      <c r="Z28" t="n">
        <v>563.212</v>
      </c>
      <c r="AA28" t="n">
        <v>457.223</v>
      </c>
      <c r="AB28" t="n">
        <v>617.518</v>
      </c>
      <c r="AC28" t="n">
        <v>546.645</v>
      </c>
      <c r="AD28" t="n">
        <v>594.024</v>
      </c>
    </row>
    <row r="29">
      <c r="B29" s="8" t="inlineStr">
        <is>
          <t>dep_poup</t>
        </is>
      </c>
      <c r="C29" s="9" t="inlineStr">
        <is>
          <t>Depósitos de Poupança</t>
        </is>
      </c>
      <c r="D29" s="2" t="inlineStr">
        <is>
          <t>[vazio] ABC não capta poupança</t>
        </is>
      </c>
    </row>
    <row r="30">
      <c r="B30" s="8" t="inlineStr">
        <is>
          <t>dep_inter</t>
        </is>
      </c>
      <c r="C30" s="9" t="inlineStr">
        <is>
          <t>Depósitos Interfinanceiros</t>
        </is>
      </c>
      <c r="D30" s="2" t="inlineStr">
        <is>
          <t>Séries Históricas 2T26 (RI ABC) aba "Captação - Funding" l.18 Depósitos interfinanceiros · fonte · moeda</t>
        </is>
      </c>
      <c r="E30" t="n">
        <v>627.564</v>
      </c>
      <c r="F30" t="n">
        <v>379.394</v>
      </c>
      <c r="G30" t="n">
        <v>655.64</v>
      </c>
      <c r="H30" t="n">
        <v>710.241</v>
      </c>
      <c r="I30" t="n">
        <v>839.249</v>
      </c>
      <c r="J30" t="n">
        <v>561.7430000000001</v>
      </c>
      <c r="K30" t="n">
        <v>531.948</v>
      </c>
      <c r="L30" t="n">
        <v>531.184</v>
      </c>
      <c r="M30" t="n">
        <v>539.676</v>
      </c>
      <c r="N30" t="n">
        <v>532.077</v>
      </c>
      <c r="O30" t="n">
        <v>226.189</v>
      </c>
      <c r="P30" t="n">
        <v>504.64</v>
      </c>
      <c r="Q30" t="n">
        <v>503.534</v>
      </c>
      <c r="R30" t="n">
        <v>323.164</v>
      </c>
      <c r="S30" t="n">
        <v>235.182</v>
      </c>
      <c r="T30" t="n">
        <v>533.296</v>
      </c>
      <c r="U30" t="n">
        <v>582.508</v>
      </c>
      <c r="V30" t="n">
        <v>337.499</v>
      </c>
      <c r="W30" t="n">
        <v>152.123</v>
      </c>
      <c r="X30" t="n">
        <v>226.01</v>
      </c>
      <c r="Y30" t="n">
        <v>187.318</v>
      </c>
      <c r="Z30" t="n">
        <v>127.694</v>
      </c>
      <c r="AA30" t="n">
        <v>236.54</v>
      </c>
      <c r="AB30" t="n">
        <v>452.399</v>
      </c>
      <c r="AC30" t="n">
        <v>439.213</v>
      </c>
      <c r="AD30" t="n">
        <v>418.021</v>
      </c>
    </row>
    <row r="31">
      <c r="B31" s="8" t="inlineStr">
        <is>
          <t>dep_prazo</t>
        </is>
      </c>
      <c r="C31" s="9" t="inlineStr">
        <is>
          <t>Depósitos a Prazo</t>
        </is>
      </c>
      <c r="D31" s="2" t="inlineStr">
        <is>
          <t>Séries Históricas 2T26 (RI ABC): Depósitos do balanço (até 4T24 l.36 | 2025+ l.43) menos à vista e interfinanceiros da aba Captação · derivada · moeda</t>
        </is>
      </c>
      <c r="E31" t="n">
        <v>5154.287</v>
      </c>
      <c r="F31" t="n">
        <v>6628.389</v>
      </c>
      <c r="G31" t="n">
        <v>8747.608</v>
      </c>
      <c r="H31" t="n">
        <v>9061.704</v>
      </c>
      <c r="I31" t="n">
        <v>8928.835999999999</v>
      </c>
      <c r="J31" t="n">
        <v>7767.964</v>
      </c>
      <c r="K31" t="n">
        <v>8000.002</v>
      </c>
      <c r="L31" t="n">
        <v>7140.255</v>
      </c>
      <c r="M31" t="n">
        <v>7568.338</v>
      </c>
      <c r="N31" t="n">
        <v>7913.871</v>
      </c>
      <c r="O31" t="n">
        <v>9401.614</v>
      </c>
      <c r="P31" t="n">
        <v>9506.254000000001</v>
      </c>
      <c r="Q31" t="n">
        <v>8460.188</v>
      </c>
      <c r="R31" t="n">
        <v>7385.742</v>
      </c>
      <c r="S31" t="n">
        <v>7704.562</v>
      </c>
      <c r="T31" t="n">
        <v>9246.093999999999</v>
      </c>
      <c r="U31" t="n">
        <v>9372.773999999999</v>
      </c>
      <c r="V31" t="n">
        <v>10675.112</v>
      </c>
      <c r="W31" t="n">
        <v>10634.739</v>
      </c>
      <c r="X31" t="n">
        <v>10476.21</v>
      </c>
      <c r="Y31" t="n">
        <v>8867.456</v>
      </c>
      <c r="Z31" t="n">
        <v>8078.113</v>
      </c>
      <c r="AA31" t="n">
        <v>7483.361</v>
      </c>
      <c r="AB31" t="n">
        <v>8282.460999999999</v>
      </c>
      <c r="AC31" t="n">
        <v>7291.851</v>
      </c>
      <c r="AD31" t="n">
        <v>6985.096</v>
      </c>
    </row>
    <row r="32">
      <c r="B32" s="8" t="inlineStr">
        <is>
          <t>dep_out</t>
        </is>
      </c>
      <c r="C32" s="9" t="inlineStr">
        <is>
          <t>Outros Depósitos</t>
        </is>
      </c>
      <c r="D32" s="2" t="inlineStr">
        <is>
          <t>[vazio] não divulgado</t>
        </is>
      </c>
    </row>
    <row r="33">
      <c r="B33" s="8" t="inlineStr">
        <is>
          <t>mo_prop</t>
        </is>
      </c>
      <c r="C33" s="9" t="inlineStr">
        <is>
          <t>Carteira Própria</t>
        </is>
      </c>
      <c r="D33" s="2" t="inlineStr">
        <is>
          <t>Séries Históricas 2T26 (RI ABC): até 4T24 aba "Balanço -Balance Sheet" l.37 | 2025+ aba "Balanço - Balance Sheet" l.44 · Captações no mercado aberto TOTAL · fonte · moeda</t>
        </is>
      </c>
      <c r="E33" t="n">
        <v>1102.637</v>
      </c>
      <c r="F33" t="n">
        <v>1174.817</v>
      </c>
      <c r="G33" t="n">
        <v>1156.201</v>
      </c>
      <c r="H33" t="n">
        <v>1354.313</v>
      </c>
      <c r="I33" t="n">
        <v>1282.513</v>
      </c>
      <c r="J33" t="n">
        <v>970.187</v>
      </c>
      <c r="K33" t="n">
        <v>1085.669</v>
      </c>
      <c r="L33" t="n">
        <v>1328.942</v>
      </c>
      <c r="M33" t="n">
        <v>1257.923</v>
      </c>
      <c r="N33" t="n">
        <v>1275.043</v>
      </c>
      <c r="O33" t="n">
        <v>1525.199</v>
      </c>
      <c r="P33" t="n">
        <v>1448.963</v>
      </c>
      <c r="Q33" t="n">
        <v>1746.102</v>
      </c>
      <c r="R33" t="n">
        <v>1542.227</v>
      </c>
      <c r="S33" t="n">
        <v>1541.678</v>
      </c>
      <c r="T33" t="n">
        <v>1683.322</v>
      </c>
      <c r="U33" t="n">
        <v>1671.471</v>
      </c>
      <c r="V33" t="n">
        <v>2217.524</v>
      </c>
      <c r="W33" t="n">
        <v>2044.687</v>
      </c>
      <c r="X33" t="n">
        <v>1957.701</v>
      </c>
      <c r="Y33" t="n">
        <v>2250.579</v>
      </c>
      <c r="Z33" t="n">
        <v>1665.678</v>
      </c>
      <c r="AA33" t="n">
        <v>1758.271</v>
      </c>
      <c r="AB33" t="n">
        <v>1832.236</v>
      </c>
      <c r="AC33" t="n">
        <v>2046.819</v>
      </c>
      <c r="AD33" t="n">
        <v>1649.739</v>
      </c>
    </row>
    <row r="34">
      <c r="B34" s="8" t="inlineStr">
        <is>
          <t>mo_terc</t>
        </is>
      </c>
      <c r="C34" s="9" t="inlineStr">
        <is>
          <t>Carteira de Terceiros</t>
        </is>
      </c>
      <c r="D34" s="2" t="inlineStr">
        <is>
          <t>[vazio] dentro de mo_prop</t>
        </is>
      </c>
    </row>
    <row r="35">
      <c r="B35" s="8" t="inlineStr">
        <is>
          <t>mo_livre</t>
        </is>
      </c>
      <c r="C35" s="9" t="inlineStr">
        <is>
          <t>Carteira de Livre Movimentação</t>
        </is>
      </c>
      <c r="D35" s="2" t="inlineStr">
        <is>
          <t>[vazio] dentro de mo_prop</t>
        </is>
      </c>
    </row>
    <row r="36">
      <c r="B36" s="8" t="inlineStr">
        <is>
          <t>div_emis</t>
        </is>
      </c>
      <c r="C36" s="9" t="inlineStr">
        <is>
          <t>Recursos de Emissões (LF, LCI, LCA, LIG)</t>
        </is>
      </c>
      <c r="D36" s="2" t="inlineStr">
        <is>
          <t>Séries Históricas 2T26 (RI ABC): até 4T24 aba "Balanço -Balance Sheet" l.38 | 2025+ aba "Balanço - Balance Sheet" l.45 · Recursos de aceites e emissão de títulos (LF, LCA, LCI, COE; até 4T24 inclui LF subordinadas) · fonte · moeda</t>
        </is>
      </c>
      <c r="E36" t="n">
        <v>9271.411</v>
      </c>
      <c r="F36" t="n">
        <v>10027.319</v>
      </c>
      <c r="G36" t="n">
        <v>9236.709000000001</v>
      </c>
      <c r="H36" t="n">
        <v>10432.1</v>
      </c>
      <c r="I36" t="n">
        <v>10993.683</v>
      </c>
      <c r="J36" t="n">
        <v>10654.499</v>
      </c>
      <c r="K36" t="n">
        <v>12150.857</v>
      </c>
      <c r="L36" t="n">
        <v>12345.024</v>
      </c>
      <c r="M36" t="n">
        <v>14018.464</v>
      </c>
      <c r="N36" t="n">
        <v>15374.139</v>
      </c>
      <c r="O36" t="n">
        <v>16595.147</v>
      </c>
      <c r="P36" t="n">
        <v>17351.698</v>
      </c>
      <c r="Q36" t="n">
        <v>17015.763</v>
      </c>
      <c r="R36" t="n">
        <v>18736.716</v>
      </c>
      <c r="S36" t="n">
        <v>19393.512</v>
      </c>
      <c r="T36" t="n">
        <v>19805.243</v>
      </c>
      <c r="U36" t="n">
        <v>21283.659</v>
      </c>
      <c r="V36" t="n">
        <v>21587.539</v>
      </c>
      <c r="W36" t="n">
        <v>22184.641</v>
      </c>
      <c r="X36" t="n">
        <v>23149.896</v>
      </c>
      <c r="Y36" t="n">
        <v>23621.809</v>
      </c>
      <c r="Z36" t="n">
        <v>24306.625</v>
      </c>
      <c r="AA36" t="n">
        <v>24258.526</v>
      </c>
      <c r="AB36" t="n">
        <v>24951.604</v>
      </c>
      <c r="AC36" t="n">
        <v>26141.155</v>
      </c>
      <c r="AD36" t="n">
        <v>26542.848</v>
      </c>
    </row>
    <row r="37">
      <c r="B37" s="8" t="inlineStr">
        <is>
          <t>div_ext</t>
        </is>
      </c>
      <c r="C37" s="9" t="inlineStr">
        <is>
          <t>Obrigações por TVM no Exterior</t>
        </is>
      </c>
      <c r="D37" s="2" t="inlineStr">
        <is>
          <t>[vazio] dentro de emp_empr/div_emis</t>
        </is>
      </c>
    </row>
    <row r="38">
      <c r="B38" s="8" t="inlineStr">
        <is>
          <t>div_coe</t>
        </is>
      </c>
      <c r="C38" s="9" t="inlineStr">
        <is>
          <t>Captação por Certificados de Operações Estruturadas</t>
        </is>
      </c>
      <c r="D38" s="2" t="inlineStr">
        <is>
          <t>[vazio] dentro de div_emis</t>
        </is>
      </c>
    </row>
    <row r="39">
      <c r="B39" s="8" t="inlineStr">
        <is>
          <t>div_sub</t>
        </is>
      </c>
      <c r="C39" s="9" t="inlineStr">
        <is>
          <t>Instrumentos de Dívida Subordinada</t>
        </is>
      </c>
      <c r="D39" s="2" t="inlineStr">
        <is>
          <t>Séries Históricas 2T26 (RI ABC): até 4T24 aba "Balanço -Balance Sheet" l.- | 2025+ aba "Balanço - Balance Sheet" l.46 · Dívidas subordinadas (só 2025+; até 4T24 dentro de aceites/outras obrigações) · fonte · moeda</t>
        </is>
      </c>
      <c r="Y39" t="n">
        <v>3672.348</v>
      </c>
      <c r="Z39" t="n">
        <v>3306.658</v>
      </c>
      <c r="AA39" t="n">
        <v>2872.496</v>
      </c>
      <c r="AB39" t="n">
        <v>2644.247</v>
      </c>
      <c r="AC39" t="n">
        <v>2703.782</v>
      </c>
      <c r="AD39" t="n">
        <v>2696.133</v>
      </c>
    </row>
    <row r="40">
      <c r="B40" s="8" t="inlineStr">
        <is>
          <t>emp_empr</t>
        </is>
      </c>
      <c r="C40" s="9" t="inlineStr">
        <is>
          <t>Empréstimos</t>
        </is>
      </c>
      <c r="D40" s="2" t="inlineStr">
        <is>
          <t>Séries Históricas 2T26 (RI ABC): até 4T24 aba "Balanço -Balance Sheet" l.41 | 2025+ aba "Balanço - Balance Sheet" l.47 · Obrigações por empréstimos (exterior) · fonte · moeda</t>
        </is>
      </c>
      <c r="E40" t="n">
        <v>9634.58</v>
      </c>
      <c r="F40" t="n">
        <v>8730.620000000001</v>
      </c>
      <c r="G40" t="n">
        <v>7501.566</v>
      </c>
      <c r="H40" t="n">
        <v>6612.181</v>
      </c>
      <c r="I40" t="n">
        <v>7668.773</v>
      </c>
      <c r="J40" t="n">
        <v>7798.124</v>
      </c>
      <c r="K40" t="n">
        <v>8709.803</v>
      </c>
      <c r="L40" t="n">
        <v>8478.864</v>
      </c>
      <c r="M40" t="n">
        <v>7727.029</v>
      </c>
      <c r="N40" t="n">
        <v>8328.388000000001</v>
      </c>
      <c r="O40" t="n">
        <v>7425.632</v>
      </c>
      <c r="P40" t="n">
        <v>6791.528</v>
      </c>
      <c r="Q40" t="n">
        <v>6569.98</v>
      </c>
      <c r="R40" t="n">
        <v>8126.502</v>
      </c>
      <c r="S40" t="n">
        <v>8020.526</v>
      </c>
      <c r="T40" t="n">
        <v>6729.265</v>
      </c>
      <c r="U40" t="n">
        <v>5989.493</v>
      </c>
      <c r="V40" t="n">
        <v>7430.945</v>
      </c>
      <c r="W40" t="n">
        <v>9138.008</v>
      </c>
      <c r="X40" t="n">
        <v>10218.873</v>
      </c>
      <c r="Y40" t="n">
        <v>8037.345</v>
      </c>
      <c r="Z40" t="n">
        <v>8312.433000000001</v>
      </c>
      <c r="AA40" t="n">
        <v>6748.785</v>
      </c>
      <c r="AB40" t="n">
        <v>7641.189</v>
      </c>
      <c r="AC40" t="n">
        <v>8973.314</v>
      </c>
      <c r="AD40" t="n">
        <v>9248.955</v>
      </c>
    </row>
    <row r="41">
      <c r="B41" s="8" t="inlineStr">
        <is>
          <t>emp_rep</t>
        </is>
      </c>
      <c r="C41" s="9" t="inlineStr">
        <is>
          <t>Repasses</t>
        </is>
      </c>
      <c r="D41" s="2" t="inlineStr">
        <is>
          <t>Séries Históricas 2T26 (RI ABC): até 4T24 aba "Balanço -Balance Sheet" l.42+43 | 2025+ aba "Balanço - Balance Sheet" l.48 · Obrigações por repasses (país + exterior) · fonte · moeda</t>
        </is>
      </c>
      <c r="E41" t="n">
        <v>2570.962</v>
      </c>
      <c r="F41" t="n">
        <v>2732.871</v>
      </c>
      <c r="G41" t="n">
        <v>3064.194</v>
      </c>
      <c r="H41" t="n">
        <v>2513.785</v>
      </c>
      <c r="I41" t="n">
        <v>2864.695</v>
      </c>
      <c r="J41" t="n">
        <v>2384.369</v>
      </c>
      <c r="K41" t="n">
        <v>3275.279</v>
      </c>
      <c r="L41" t="n">
        <v>3371.143</v>
      </c>
      <c r="M41" t="n">
        <v>2748.404</v>
      </c>
      <c r="N41" t="n">
        <v>3346.682</v>
      </c>
      <c r="O41" t="n">
        <v>3673.031</v>
      </c>
      <c r="P41" t="n">
        <v>3683.212</v>
      </c>
      <c r="Q41" t="n">
        <v>3520.344</v>
      </c>
      <c r="R41" t="n">
        <v>3221.7</v>
      </c>
      <c r="S41" t="n">
        <v>3829.702</v>
      </c>
      <c r="T41" t="n">
        <v>3904.012</v>
      </c>
      <c r="U41" t="n">
        <v>3396.843</v>
      </c>
      <c r="V41" t="n">
        <v>3470.102</v>
      </c>
      <c r="W41" t="n">
        <v>3482.712</v>
      </c>
      <c r="X41" t="n">
        <v>3803.924</v>
      </c>
      <c r="Y41" t="n">
        <v>4153.207</v>
      </c>
      <c r="Z41" t="n">
        <v>4362.252</v>
      </c>
      <c r="AA41" t="n">
        <v>5435.951</v>
      </c>
      <c r="AB41" t="n">
        <v>6569.708</v>
      </c>
      <c r="AC41" t="n">
        <v>5988.566</v>
      </c>
      <c r="AD41" t="n">
        <v>6332.049</v>
      </c>
    </row>
    <row r="42">
      <c r="B42" s="8" t="inlineStr">
        <is>
          <t>deriv_p</t>
        </is>
      </c>
      <c r="C42" s="9" t="inlineStr">
        <is>
          <t>Derivativos</t>
        </is>
      </c>
      <c r="D42" s="2" t="inlineStr">
        <is>
          <t>Séries Históricas 2T26 (RI ABC): até 4T24 aba "Balanço -Balance Sheet" l.- | 2025+ aba "Balanço - Balance Sheet" l.50 · Derivativos passivos (só 2025+; até 4T24 dentro de outras obrigações) · fonte · moeda</t>
        </is>
      </c>
      <c r="Y42" t="n">
        <v>3998.173</v>
      </c>
      <c r="Z42" t="n">
        <v>4131.267</v>
      </c>
      <c r="AA42" t="n">
        <v>4497.542</v>
      </c>
      <c r="AB42" t="n">
        <v>4207.002</v>
      </c>
      <c r="AC42" t="n">
        <v>5366.195</v>
      </c>
      <c r="AD42" t="n">
        <v>4974.649</v>
      </c>
    </row>
    <row r="43">
      <c r="B43" s="8" t="inlineStr">
        <is>
          <t>rel_p</t>
        </is>
      </c>
      <c r="C43" s="9" t="inlineStr">
        <is>
          <t>Relações Interfinanceiras e Interdependências</t>
        </is>
      </c>
      <c r="D43" s="2" t="inlineStr">
        <is>
          <t>Séries Históricas 2T26 (RI ABC): até 4T24 aba "Balanço -Balance Sheet" l.39+40 | 2025+ aba "Balanço - Balance Sheet" l.- · Relações interfinanceiras + interdependências (até 4T24) · fonte · moeda</t>
        </is>
      </c>
      <c r="E43" t="n">
        <v>213.59</v>
      </c>
      <c r="F43" t="n">
        <v>131.067</v>
      </c>
      <c r="G43" t="n">
        <v>261.623</v>
      </c>
      <c r="H43" t="n">
        <v>93.51900000000001</v>
      </c>
      <c r="I43" t="n">
        <v>115.314</v>
      </c>
      <c r="J43" t="n">
        <v>189.278</v>
      </c>
      <c r="K43" t="n">
        <v>315.537</v>
      </c>
      <c r="L43" t="n">
        <v>77.96599999999999</v>
      </c>
      <c r="M43" t="n">
        <v>166.018</v>
      </c>
      <c r="N43" t="n">
        <v>183.827</v>
      </c>
      <c r="O43" t="n">
        <v>214.069</v>
      </c>
      <c r="P43" t="n">
        <v>100.229</v>
      </c>
      <c r="Q43" t="n">
        <v>181.947</v>
      </c>
      <c r="R43" t="n">
        <v>213.417</v>
      </c>
      <c r="S43" t="n">
        <v>175.148</v>
      </c>
      <c r="T43" t="n">
        <v>160.51</v>
      </c>
      <c r="U43" t="n">
        <v>103.341</v>
      </c>
      <c r="V43" t="n">
        <v>234.563</v>
      </c>
      <c r="W43" t="n">
        <v>200.995</v>
      </c>
      <c r="X43" t="n">
        <v>62.094</v>
      </c>
    </row>
    <row r="44">
      <c r="B44" s="8" t="inlineStr">
        <is>
          <t>prov_gar</t>
        </is>
      </c>
      <c r="C44" s="9" t="inlineStr">
        <is>
          <t>Provisões p/ Garantias Financeiras e Compromissos de Crédito</t>
        </is>
      </c>
      <c r="D44" s="2" t="inlineStr">
        <is>
          <t>Séries Históricas 2T26 (RI ABC): até 4T24 aba "Balanço -Balance Sheet" l.- | 2025+ aba "Balanço - Balance Sheet" l.52 · Perda esperada de garantias e compromissos (só 2025+) · fonte · moeda</t>
        </is>
      </c>
      <c r="Y44" t="n">
        <v>49.15</v>
      </c>
      <c r="Z44" t="n">
        <v>47.66</v>
      </c>
      <c r="AA44" t="n">
        <v>54.282</v>
      </c>
      <c r="AB44" t="n">
        <v>42.267</v>
      </c>
      <c r="AC44" t="n">
        <v>52.128</v>
      </c>
      <c r="AD44" t="n">
        <v>34.733</v>
      </c>
    </row>
    <row r="45">
      <c r="B45" s="8" t="inlineStr">
        <is>
          <t>prov_tec</t>
        </is>
      </c>
      <c r="C45" s="9" t="inlineStr">
        <is>
          <t>Provisões Técnicas de Seguros, Previdência e Capitalização</t>
        </is>
      </c>
      <c r="D45" s="2" t="inlineStr">
        <is>
          <t>[vazio] não se aplica</t>
        </is>
      </c>
    </row>
    <row r="46">
      <c r="B46" s="8" t="inlineStr">
        <is>
          <t>prov_dem</t>
        </is>
      </c>
      <c r="C46" s="9" t="inlineStr">
        <is>
          <t>Demais Provisões</t>
        </is>
      </c>
      <c r="D46" s="2" t="inlineStr">
        <is>
          <t>Séries Históricas 2T26 (RI ABC): até 4T24 aba "Balanço -Balance Sheet" l.- | 2025+ aba "Balanço - Balance Sheet" l.53 · Provisão para contingências (só 2025+) · fonte · moeda</t>
        </is>
      </c>
      <c r="Y46" t="n">
        <v>20.028</v>
      </c>
      <c r="Z46" t="n">
        <v>16.414</v>
      </c>
      <c r="AA46" t="n">
        <v>14.045</v>
      </c>
      <c r="AB46" t="n">
        <v>13.607</v>
      </c>
      <c r="AC46" t="n">
        <v>15.912</v>
      </c>
      <c r="AD46" t="n">
        <v>26.347</v>
      </c>
    </row>
    <row r="47">
      <c r="B47" s="8" t="inlineStr">
        <is>
          <t>fisc_p</t>
        </is>
      </c>
      <c r="C47" s="9" t="inlineStr">
        <is>
          <t>Obrigações Fiscais Correntes e Diferidas</t>
        </is>
      </c>
      <c r="D47" s="2" t="inlineStr">
        <is>
          <t>Séries Históricas 2T26 (RI ABC): até 4T24 aba "Balanço -Balance Sheet" l.- | 2025+ aba "Balanço - Balance Sheet" l.56+57 · Obrigações fiscais correntes + diferidas (só 2025+) · fonte · moeda</t>
        </is>
      </c>
      <c r="Y47" t="n">
        <v>1026.774</v>
      </c>
      <c r="Z47" t="n">
        <v>1380.99</v>
      </c>
      <c r="AA47" t="n">
        <v>1572.959</v>
      </c>
      <c r="AB47" t="n">
        <v>1232.181</v>
      </c>
      <c r="AC47" t="n">
        <v>1674.155</v>
      </c>
      <c r="AD47" t="n">
        <v>1853.435</v>
      </c>
    </row>
    <row r="48">
      <c r="B48" s="8" t="inlineStr">
        <is>
          <t>out_p</t>
        </is>
      </c>
      <c r="C48" s="9" t="inlineStr">
        <is>
          <t>Outros Passivos</t>
        </is>
      </c>
      <c r="D48" s="2" t="inlineStr">
        <is>
          <t>Séries Históricas 2T26 (RI ABC): até 4T24 aba "Balanço -Balance Sheet" l.44+46 | 2025+ aba "Balanço - Balance Sheet" l.54 · Outras obrigações (até 4T24: inclui derivativos, fiscais, provisões e sub; + resultados de exercícios futuros | 2025+: diversos) · fonte · moeda</t>
        </is>
      </c>
      <c r="E48" t="n">
        <v>16832.80987</v>
      </c>
      <c r="F48" t="n">
        <v>15652.896</v>
      </c>
      <c r="G48" t="n">
        <v>10946.477</v>
      </c>
      <c r="H48" t="n">
        <v>7879.352</v>
      </c>
      <c r="I48" t="n">
        <v>11295.59</v>
      </c>
      <c r="J48" t="n">
        <v>9413.370999999999</v>
      </c>
      <c r="K48" t="n">
        <v>11145.125</v>
      </c>
      <c r="L48" t="n">
        <v>11337.574</v>
      </c>
      <c r="M48" t="n">
        <v>7024.429</v>
      </c>
      <c r="N48" t="n">
        <v>8772.828</v>
      </c>
      <c r="O48" t="n">
        <v>8103.974</v>
      </c>
      <c r="P48" t="n">
        <v>12471.508</v>
      </c>
      <c r="Q48" t="n">
        <v>10500.699</v>
      </c>
      <c r="R48" t="n">
        <v>9605.161</v>
      </c>
      <c r="S48" t="n">
        <v>9600.469999999999</v>
      </c>
      <c r="T48" t="n">
        <v>11992.421</v>
      </c>
      <c r="U48" t="n">
        <v>12340.345</v>
      </c>
      <c r="V48" t="n">
        <v>16320.161</v>
      </c>
      <c r="W48" t="n">
        <v>17298.894</v>
      </c>
      <c r="X48" t="n">
        <v>16648.425</v>
      </c>
      <c r="Y48" t="n">
        <v>1367.238</v>
      </c>
      <c r="Z48" t="n">
        <v>1535.222</v>
      </c>
      <c r="AA48" t="n">
        <v>1125.72</v>
      </c>
      <c r="AB48" t="n">
        <v>1053.864</v>
      </c>
      <c r="AC48" t="n">
        <v>878.516</v>
      </c>
      <c r="AD48" t="n">
        <v>950.207</v>
      </c>
    </row>
    <row r="49"/>
    <row r="50">
      <c r="B50" s="7" t="n"/>
      <c r="C50" s="7" t="inlineStr">
        <is>
          <t>PATRIMÔNIO LÍQUIDO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</row>
    <row r="51">
      <c r="B51" s="8" t="inlineStr">
        <is>
          <t>cap_social</t>
        </is>
      </c>
      <c r="C51" s="9" t="inlineStr">
        <is>
          <t>Capital Social</t>
        </is>
      </c>
      <c r="D51" s="2" t="inlineStr">
        <is>
          <t>Séries Históricas 2T26 (RI ABC): até 4T24 aba "Balanço -Balance Sheet" l.49 | 2025+ aba "Balanço - Balance Sheet" l.59+60 · Capital social (+ aumento de capital em aprovação) · fonte · moeda</t>
        </is>
      </c>
      <c r="E51" t="n">
        <v>2565.891</v>
      </c>
      <c r="F51" t="n">
        <v>2565.892</v>
      </c>
      <c r="G51" t="n">
        <v>2565.892</v>
      </c>
      <c r="H51" t="n">
        <v>2594.681</v>
      </c>
      <c r="I51" t="n">
        <v>2657.156</v>
      </c>
      <c r="J51" t="n">
        <v>2657.156</v>
      </c>
      <c r="K51" t="n">
        <v>2657.156</v>
      </c>
      <c r="L51" t="n">
        <v>4315.017</v>
      </c>
      <c r="M51" t="n">
        <v>4315.017</v>
      </c>
      <c r="N51" t="n">
        <v>4315.017</v>
      </c>
      <c r="O51" t="n">
        <v>4315.017</v>
      </c>
      <c r="P51" t="n">
        <v>4315.017</v>
      </c>
      <c r="Q51" t="n">
        <v>4315.017</v>
      </c>
      <c r="R51" t="n">
        <v>4315.017</v>
      </c>
      <c r="S51" t="n">
        <v>4472.13</v>
      </c>
      <c r="T51" t="n">
        <v>4472.131</v>
      </c>
      <c r="U51" t="n">
        <v>4618.602</v>
      </c>
      <c r="V51" t="n">
        <v>4618.603</v>
      </c>
      <c r="W51" t="n">
        <v>4618.602</v>
      </c>
      <c r="X51" t="n">
        <v>4618.603</v>
      </c>
      <c r="Y51" t="n">
        <v>5698.603</v>
      </c>
      <c r="Z51" t="n">
        <v>5698.603</v>
      </c>
      <c r="AA51" t="n">
        <v>5698.603</v>
      </c>
      <c r="AB51" t="n">
        <v>5698.603</v>
      </c>
      <c r="AC51" t="n">
        <v>6012.663</v>
      </c>
      <c r="AD51" t="n">
        <v>6012.663</v>
      </c>
    </row>
    <row r="52">
      <c r="B52" s="8" t="inlineStr">
        <is>
          <t>res_cap</t>
        </is>
      </c>
      <c r="C52" s="9" t="inlineStr">
        <is>
          <t>Reservas de Capital</t>
        </is>
      </c>
      <c r="D52" s="2" t="inlineStr">
        <is>
          <t>Séries Históricas 2T26 (RI ABC): até 4T24 aba "Balanço -Balance Sheet" l.50 | 2025+ aba "Balanço - Balance Sheet" l.61 · Reservas de capital · fonte · moeda</t>
        </is>
      </c>
      <c r="E52" t="n">
        <v>29.446</v>
      </c>
      <c r="F52" t="n">
        <v>43.259</v>
      </c>
      <c r="G52" t="n">
        <v>32.434</v>
      </c>
      <c r="H52" t="n">
        <v>38.596</v>
      </c>
      <c r="I52" t="n">
        <v>27.202</v>
      </c>
      <c r="J52" t="n">
        <v>31.268</v>
      </c>
      <c r="K52" t="n">
        <v>27.788</v>
      </c>
      <c r="L52" t="n">
        <v>32.246</v>
      </c>
      <c r="M52" t="n">
        <v>24.752</v>
      </c>
      <c r="N52" t="n">
        <v>43.198</v>
      </c>
      <c r="O52" t="n">
        <v>45.832</v>
      </c>
      <c r="P52" t="n">
        <v>57.334</v>
      </c>
      <c r="Q52" t="n">
        <v>53.331</v>
      </c>
      <c r="R52" t="n">
        <v>66.31399999999999</v>
      </c>
      <c r="S52" t="n">
        <v>72.462</v>
      </c>
      <c r="T52" t="n">
        <v>82.53</v>
      </c>
      <c r="U52" t="n">
        <v>77.872</v>
      </c>
      <c r="V52" t="n">
        <v>88.47</v>
      </c>
      <c r="W52" t="n">
        <v>84.711</v>
      </c>
      <c r="X52" t="n">
        <v>97.239</v>
      </c>
      <c r="Y52" t="n">
        <v>87.917</v>
      </c>
      <c r="Z52" t="n">
        <v>88.589</v>
      </c>
      <c r="AA52" t="n">
        <v>87.08799999999999</v>
      </c>
      <c r="AB52" t="n">
        <v>95.22199999999999</v>
      </c>
      <c r="AC52" t="n">
        <v>75.52800000000001</v>
      </c>
      <c r="AD52" t="n">
        <v>85.896</v>
      </c>
    </row>
    <row r="53">
      <c r="B53" s="8" t="inlineStr">
        <is>
          <t>res_luc</t>
        </is>
      </c>
      <c r="C53" s="9" t="inlineStr">
        <is>
          <t>Reservas de Lucros</t>
        </is>
      </c>
      <c r="D53" s="2" t="inlineStr">
        <is>
          <t>Séries Históricas 2T26 (RI ABC): até 4T24 aba "Balanço -Balance Sheet" l.51+53 | 2025+ aba "Balanço - Balance Sheet" l.62+64 · Reservas de lucros + lucros acumulados (até 4T24 a reserva vem somada às ações em tesouraria) · fonte · moeda</t>
        </is>
      </c>
      <c r="E53" t="n">
        <v>1450.194</v>
      </c>
      <c r="F53" t="n">
        <v>1496.022</v>
      </c>
      <c r="G53" t="n">
        <v>1606.062</v>
      </c>
      <c r="H53" t="n">
        <v>1656.003</v>
      </c>
      <c r="I53" t="n">
        <v>1721.644</v>
      </c>
      <c r="J53" t="n">
        <v>1784.139</v>
      </c>
      <c r="K53" t="n">
        <v>1883.951</v>
      </c>
      <c r="L53" t="n">
        <v>332.412</v>
      </c>
      <c r="M53" t="n">
        <v>452.21</v>
      </c>
      <c r="N53" t="n">
        <v>576.3390000000001</v>
      </c>
      <c r="O53" t="n">
        <v>720.609</v>
      </c>
      <c r="P53" t="n">
        <v>836.432</v>
      </c>
      <c r="Q53" t="n">
        <v>942.407</v>
      </c>
      <c r="R53" t="n">
        <v>1046.769</v>
      </c>
      <c r="S53" t="n">
        <v>1193.958</v>
      </c>
      <c r="T53" t="n">
        <v>1343.691</v>
      </c>
      <c r="U53" t="n">
        <v>1489.869</v>
      </c>
      <c r="V53" t="n">
        <v>1619.194</v>
      </c>
      <c r="W53" t="n">
        <v>1773.363</v>
      </c>
      <c r="X53" t="n">
        <v>1911.299</v>
      </c>
      <c r="Y53" t="n">
        <v>758.891</v>
      </c>
      <c r="Z53" t="n">
        <v>866.038</v>
      </c>
      <c r="AA53" t="n">
        <v>982.796</v>
      </c>
      <c r="AB53" t="n">
        <v>1029.852</v>
      </c>
      <c r="AC53" t="n">
        <v>1112.965</v>
      </c>
      <c r="AD53" t="n">
        <v>1216.392</v>
      </c>
    </row>
    <row r="54">
      <c r="B54" s="8" t="inlineStr">
        <is>
          <t>ora</t>
        </is>
      </c>
      <c r="C54" s="9" t="inlineStr">
        <is>
          <t>Outros Resultados Abrangentes</t>
        </is>
      </c>
      <c r="D54" s="2" t="inlineStr">
        <is>
          <t>Séries Históricas 2T26 (RI ABC): até 4T24 aba "Balanço -Balance Sheet" l.52 | 2025+ aba "Balanço - Balance Sheet" l.63 · Ajustes de avaliação patrimonial / ORA · fonte · moeda</t>
        </is>
      </c>
      <c r="E54" t="n">
        <v>1.148</v>
      </c>
      <c r="F54" t="n">
        <v>-11.874</v>
      </c>
      <c r="G54" t="n">
        <v>-16.831</v>
      </c>
      <c r="H54" t="n">
        <v>-1.017</v>
      </c>
      <c r="I54" t="n">
        <v>-14.05</v>
      </c>
      <c r="J54" t="n">
        <v>-13.393</v>
      </c>
      <c r="K54" t="n">
        <v>-13.935</v>
      </c>
      <c r="L54" t="n">
        <v>-10.212</v>
      </c>
      <c r="M54" t="n">
        <v>-17.707</v>
      </c>
      <c r="N54" t="n">
        <v>-23.982</v>
      </c>
      <c r="O54" t="n">
        <v>-10.734</v>
      </c>
      <c r="P54" t="n">
        <v>-3.397</v>
      </c>
      <c r="Q54" t="n">
        <v>-7.649</v>
      </c>
      <c r="R54" t="n">
        <v>-7.289</v>
      </c>
      <c r="S54" t="n">
        <v>-16.743</v>
      </c>
      <c r="T54" t="n">
        <v>-26.623</v>
      </c>
      <c r="U54" t="n">
        <v>-48.214</v>
      </c>
      <c r="V54" t="n">
        <v>-91.20099999999999</v>
      </c>
      <c r="W54" t="n">
        <v>-98.372</v>
      </c>
      <c r="X54" t="n">
        <v>-239.794</v>
      </c>
      <c r="Y54" t="n">
        <v>3.469</v>
      </c>
      <c r="Z54" t="n">
        <v>4.745</v>
      </c>
      <c r="AA54" t="n">
        <v>-0.631</v>
      </c>
      <c r="AB54" t="n">
        <v>-0.8129999999999999</v>
      </c>
      <c r="AC54" t="n">
        <v>0.949</v>
      </c>
      <c r="AD54" t="n">
        <v>0.6820000000000001</v>
      </c>
    </row>
    <row r="55">
      <c r="B55" s="8" t="inlineStr">
        <is>
          <t>tesour</t>
        </is>
      </c>
      <c r="C55" s="9" t="inlineStr">
        <is>
          <t>(Ações em Tesouraria)</t>
        </is>
      </c>
      <c r="D55" s="2" t="inlineStr">
        <is>
          <t>Séries Históricas 2T26 (RI ABC): até 4T24 aba "Balanço -Balance Sheet" l.- | 2025+ aba "Balanço - Balance Sheet" l.65 · Ações em tesouraria (só 2025+; até 4T24 somada à reserva de lucros) · fonte · moeda</t>
        </is>
      </c>
      <c r="Y55" t="n">
        <v>-76.57299999999999</v>
      </c>
      <c r="Z55" t="n">
        <v>-76.57299999999999</v>
      </c>
      <c r="AA55" t="n">
        <v>-67.48</v>
      </c>
      <c r="AB55" t="n">
        <v>-63.916</v>
      </c>
      <c r="AC55" t="n">
        <v>-54.512</v>
      </c>
      <c r="AD55" t="n">
        <v>-56.718</v>
      </c>
    </row>
    <row r="56">
      <c r="B56" s="8" t="inlineStr">
        <is>
          <t>minor</t>
        </is>
      </c>
      <c r="C56" s="9" t="inlineStr">
        <is>
          <t>Participação de Acionistas Não Controladores</t>
        </is>
      </c>
      <c r="D56" s="2" t="inlineStr">
        <is>
          <t>Séries Históricas 2T26 (RI ABC): até 4T24 aba "Balanço -Balance Sheet" l.54 | 2025+ aba "Balanço - Balance Sheet" l.66 · Participação de não controladores · fonte · moeda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0.731</v>
      </c>
      <c r="L56" t="n">
        <v>1.195</v>
      </c>
      <c r="M56" t="n">
        <v>0.915</v>
      </c>
      <c r="N56" t="n">
        <v>1.444</v>
      </c>
      <c r="O56" t="n">
        <v>1.337</v>
      </c>
      <c r="P56" t="n">
        <v>2.017</v>
      </c>
      <c r="Q56" t="n">
        <v>1.153</v>
      </c>
      <c r="R56" t="n">
        <v>1.911</v>
      </c>
      <c r="S56" t="n">
        <v>1.45</v>
      </c>
      <c r="T56" t="n">
        <v>13.642</v>
      </c>
      <c r="U56" t="n">
        <v>8.93</v>
      </c>
      <c r="V56" t="n">
        <v>18.282</v>
      </c>
      <c r="W56" t="n">
        <v>17.779</v>
      </c>
      <c r="X56" t="n">
        <v>23.767</v>
      </c>
      <c r="Y56" t="n">
        <v>15.273</v>
      </c>
      <c r="Z56" t="n">
        <v>22.657</v>
      </c>
      <c r="AA56" t="n">
        <v>22.667</v>
      </c>
      <c r="AB56" t="n">
        <v>17.178</v>
      </c>
      <c r="AC56" t="n">
        <v>17.378</v>
      </c>
      <c r="AD56" t="n">
        <v>19.765</v>
      </c>
    </row>
    <row r="57"/>
    <row r="58">
      <c r="B58" s="7" t="n"/>
      <c r="C58" s="7" t="inlineStr">
        <is>
          <t>DEMONSTRAÇÃO DO RESULTADO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</row>
    <row r="59">
      <c r="B59" s="8" t="inlineStr">
        <is>
          <t>rec_cred</t>
        </is>
      </c>
      <c r="C59" s="9" t="inlineStr">
        <is>
          <t>Resultado com Operações de Concessão de Crédito</t>
        </is>
      </c>
      <c r="D59" s="2" t="inlineStr">
        <is>
          <t>Séries Históricas 2T26 (RI ABC): até 4T24 aba "DRE Contábil (Tri) - ISQua" l.14 | 2025+ aba "DRE Contábil (Tri) - IS Quarter" l.15 · Operações de crédito · fonte · moeda</t>
        </is>
      </c>
      <c r="E59" t="n">
        <v>1902.888</v>
      </c>
      <c r="F59" t="n">
        <v>859.7089999999999</v>
      </c>
      <c r="G59" t="n">
        <v>700.75</v>
      </c>
      <c r="H59" t="n">
        <v>-402.142</v>
      </c>
      <c r="I59" t="n">
        <v>1164.237</v>
      </c>
      <c r="J59" t="n">
        <v>-761.364</v>
      </c>
      <c r="K59" t="n">
        <v>1099.465</v>
      </c>
      <c r="L59" t="n">
        <v>743.025</v>
      </c>
      <c r="M59" t="n">
        <v>-310.481</v>
      </c>
      <c r="N59" t="n">
        <v>1194.427</v>
      </c>
      <c r="O59" t="n">
        <v>1089.235</v>
      </c>
      <c r="P59" t="n">
        <v>478.395</v>
      </c>
      <c r="Q59" t="n">
        <v>657.71</v>
      </c>
      <c r="R59" t="n">
        <v>479.663</v>
      </c>
      <c r="S59" t="n">
        <v>1123.86</v>
      </c>
      <c r="T59" t="n">
        <v>414.58</v>
      </c>
      <c r="U59" t="n">
        <v>990.6660000000001</v>
      </c>
      <c r="V59" t="n">
        <v>1671.211</v>
      </c>
      <c r="W59" t="n">
        <v>417.453</v>
      </c>
      <c r="X59" t="n">
        <v>1951.698</v>
      </c>
      <c r="Y59" t="n">
        <v>820.187</v>
      </c>
      <c r="Z59" t="n">
        <v>1022</v>
      </c>
      <c r="AA59" t="n">
        <v>971.114</v>
      </c>
      <c r="AB59" t="n">
        <v>491.848</v>
      </c>
      <c r="AC59" t="n">
        <v>762.05</v>
      </c>
      <c r="AD59" t="n">
        <v>696.511</v>
      </c>
    </row>
    <row r="60">
      <c r="B60" s="8" t="inlineStr">
        <is>
          <t>rec_tvm</t>
        </is>
      </c>
      <c r="C60" s="9" t="inlineStr">
        <is>
          <t>Resultado de TVM, Derivativos e Outros</t>
        </is>
      </c>
      <c r="D60" s="2" t="inlineStr">
        <is>
          <t>Séries Históricas 2T26 (RI ABC): até 4T24 aba "DRE Contábil (Tri) - ISQua" l.15+16+17+23 | 2025+ aba "DRE Contábil (Tri) - IS Quarter" l.16+17+18+23 · TVM + derivativos + câmbio + (até 4T24: venda/transferência de ativos | 2025+: variações cambiais líquidas) · fonte · moeda</t>
        </is>
      </c>
      <c r="E60" t="n">
        <v>1713.627</v>
      </c>
      <c r="F60" t="n">
        <v>688.676</v>
      </c>
      <c r="G60" t="n">
        <v>515.829</v>
      </c>
      <c r="H60" t="n">
        <v>-56.566</v>
      </c>
      <c r="I60" t="n">
        <v>796.2619999999999</v>
      </c>
      <c r="J60" t="n">
        <v>-394.12</v>
      </c>
      <c r="K60" t="n">
        <v>839.752</v>
      </c>
      <c r="L60" t="n">
        <v>655.121</v>
      </c>
      <c r="M60" t="n">
        <v>-928.787</v>
      </c>
      <c r="N60" t="n">
        <v>1317.071</v>
      </c>
      <c r="O60" t="n">
        <v>812.135</v>
      </c>
      <c r="P60" t="n">
        <v>528.426</v>
      </c>
      <c r="Q60" t="n">
        <v>637.924</v>
      </c>
      <c r="R60" t="n">
        <v>445.461</v>
      </c>
      <c r="S60" t="n">
        <v>1202.548</v>
      </c>
      <c r="T60" t="n">
        <v>654.687</v>
      </c>
      <c r="U60" t="n">
        <v>1071.412</v>
      </c>
      <c r="V60" t="n">
        <v>1368.744</v>
      </c>
      <c r="W60" t="n">
        <v>993.66</v>
      </c>
      <c r="X60" t="n">
        <v>1845.089</v>
      </c>
      <c r="Y60" t="n">
        <v>935.105</v>
      </c>
      <c r="Z60" t="n">
        <v>796.562</v>
      </c>
      <c r="AA60" t="n">
        <v>1142.261</v>
      </c>
      <c r="AB60" t="n">
        <v>1629.452</v>
      </c>
      <c r="AC60" t="n">
        <v>1273.312</v>
      </c>
      <c r="AD60" t="n">
        <v>1398.307</v>
      </c>
    </row>
    <row r="61">
      <c r="B61" s="8" t="inlineStr">
        <is>
          <t>rec_rg</t>
        </is>
      </c>
      <c r="C61" s="9" t="inlineStr">
        <is>
          <t>Receitas Fin. de Recursos Garantidores de Prov. Técnicas</t>
        </is>
      </c>
      <c r="D61" s="2" t="inlineStr">
        <is>
          <t>[vazio] não se aplica</t>
        </is>
      </c>
    </row>
    <row r="62">
      <c r="B62" s="8" t="inlineStr">
        <is>
          <t>rec_aplic</t>
        </is>
      </c>
      <c r="C62" s="9" t="inlineStr">
        <is>
          <t>Resultado das Aplicações Interfinanceiras de Liquidez</t>
        </is>
      </c>
      <c r="D62" s="2" t="inlineStr">
        <is>
          <t>Séries Históricas 2T26 (RI ABC): até 4T24 aba "DRE Contábil (Tri) - ISQua" l.18 | 2025+ aba "DRE Contábil (Tri) - IS Quarter" l.- · Aplicações compulsórias (até 4T24) · fonte · moeda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0.645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B63" s="8" t="inlineStr">
        <is>
          <t>desp_dep</t>
        </is>
      </c>
      <c r="C63" s="9" t="inlineStr">
        <is>
          <t>(Depósitos e Captações no Mercado Aberto)</t>
        </is>
      </c>
      <c r="D63" s="2" t="inlineStr">
        <is>
          <t>Séries Históricas 2T26 (RI ABC): até 4T24 aba "DRE Contábil (Tri) - ISQua" l.20 | 2025+ aba "DRE Contábil (Tri) - IS Quarter" l.20 · Operações de captação no mercado · fonte · moeda</t>
        </is>
      </c>
      <c r="E63" t="n">
        <v>-390.078</v>
      </c>
      <c r="F63" t="n">
        <v>-187.43</v>
      </c>
      <c r="G63" t="n">
        <v>-128.158</v>
      </c>
      <c r="H63" t="n">
        <v>-135.843</v>
      </c>
      <c r="I63" t="n">
        <v>-189.311</v>
      </c>
      <c r="J63" t="n">
        <v>-159.553</v>
      </c>
      <c r="K63" t="n">
        <v>-329.202</v>
      </c>
      <c r="L63" t="n">
        <v>-469.13</v>
      </c>
      <c r="M63" t="n">
        <v>-471.074</v>
      </c>
      <c r="N63" t="n">
        <v>-781.035</v>
      </c>
      <c r="O63" t="n">
        <v>-858.045</v>
      </c>
      <c r="P63" t="n">
        <v>-869.6660000000001</v>
      </c>
      <c r="Q63" t="n">
        <v>-920.519</v>
      </c>
      <c r="R63" t="n">
        <v>-852.999</v>
      </c>
      <c r="S63" t="n">
        <v>-1021.629</v>
      </c>
      <c r="T63" t="n">
        <v>-909.616</v>
      </c>
      <c r="U63" t="n">
        <v>-1002.717</v>
      </c>
      <c r="V63" t="n">
        <v>-1052.707</v>
      </c>
      <c r="W63" t="n">
        <v>-989.5</v>
      </c>
      <c r="X63" t="n">
        <v>-1231.478</v>
      </c>
      <c r="Y63" t="n">
        <v>-1102.322</v>
      </c>
      <c r="Z63" t="n">
        <v>-1208.458</v>
      </c>
      <c r="AA63" t="n">
        <v>-1266.366</v>
      </c>
      <c r="AB63" t="n">
        <v>-1284.879</v>
      </c>
      <c r="AC63" t="n">
        <v>-1232.596</v>
      </c>
      <c r="AD63" t="n">
        <v>-1224.818</v>
      </c>
    </row>
    <row r="64">
      <c r="B64" s="8" t="inlineStr">
        <is>
          <t>desp_div</t>
        </is>
      </c>
      <c r="C64" s="9" t="inlineStr">
        <is>
          <t>(Instrumentos de Dívida)</t>
        </is>
      </c>
      <c r="D64" s="2" t="inlineStr">
        <is>
          <t>[vazio] dentro de desp_dep</t>
        </is>
      </c>
    </row>
    <row r="65">
      <c r="B65" s="8" t="inlineStr">
        <is>
          <t>desp_emp</t>
        </is>
      </c>
      <c r="C65" s="9" t="inlineStr">
        <is>
          <t>(Empréstimos e Repasses)</t>
        </is>
      </c>
      <c r="D65" s="2" t="inlineStr">
        <is>
          <t>Séries Históricas 2T26 (RI ABC): até 4T24 aba "DRE Contábil (Tri) - ISQua" l.21 | 2025+ aba "DRE Contábil (Tri) - IS Quarter" l.21 · Empréstimos e repasses · fonte · moeda</t>
        </is>
      </c>
      <c r="E65" t="n">
        <v>-3465.532</v>
      </c>
      <c r="F65" t="n">
        <v>-1284.104</v>
      </c>
      <c r="G65" t="n">
        <v>-893.222</v>
      </c>
      <c r="H65" t="n">
        <v>951.943</v>
      </c>
      <c r="I65" t="n">
        <v>-1573.672</v>
      </c>
      <c r="J65" t="n">
        <v>1771.299</v>
      </c>
      <c r="K65" t="n">
        <v>-1367.46</v>
      </c>
      <c r="L65" t="n">
        <v>-634.948</v>
      </c>
      <c r="M65" t="n">
        <v>2141.074</v>
      </c>
      <c r="N65" t="n">
        <v>-1324.844</v>
      </c>
      <c r="O65" t="n">
        <v>-571.9</v>
      </c>
      <c r="P65" t="n">
        <v>357.86</v>
      </c>
      <c r="Q65" t="n">
        <v>79.262</v>
      </c>
      <c r="R65" t="n">
        <v>400.567</v>
      </c>
      <c r="S65" t="n">
        <v>-826.354</v>
      </c>
      <c r="T65" t="n">
        <v>288.566</v>
      </c>
      <c r="U65" t="n">
        <v>-628.414</v>
      </c>
      <c r="V65" t="n">
        <v>-1535.374</v>
      </c>
      <c r="W65" t="n">
        <v>144.432</v>
      </c>
      <c r="X65" t="n">
        <v>-2062.491</v>
      </c>
      <c r="Y65" t="n">
        <v>-132.203</v>
      </c>
      <c r="Z65" t="n">
        <v>-81.45999999999999</v>
      </c>
      <c r="AA65" t="n">
        <v>-196.662</v>
      </c>
      <c r="AB65" t="n">
        <v>-231.137</v>
      </c>
      <c r="AC65" t="n">
        <v>-218.498</v>
      </c>
      <c r="AD65" t="n">
        <v>-241.807</v>
      </c>
    </row>
    <row r="66">
      <c r="B66" s="8" t="inlineStr">
        <is>
          <t>desp_prov_tec</t>
        </is>
      </c>
      <c r="C66" s="9" t="inlineStr">
        <is>
          <t>(Despesas Fin. de Provisões Técnicas)</t>
        </is>
      </c>
      <c r="D66" s="2" t="inlineStr">
        <is>
          <t>[vazio] não se aplica</t>
        </is>
      </c>
    </row>
    <row r="67">
      <c r="B67" s="8" t="inlineStr">
        <is>
          <t>pdd_desp</t>
        </is>
      </c>
      <c r="C67" s="9" t="inlineStr">
        <is>
          <t>(Despesa de Provisão para Perda Esperada)</t>
        </is>
      </c>
      <c r="D67" s="2" t="inlineStr">
        <is>
          <t>Séries Históricas 2T26 (RI ABC): até 4T24 aba "DRE Contábil (Tri) - ISQua" l.22 | 2025+ aba "DRE Contábil (Tri) - IS Quarter" l.22 · Provisão para créditos de liquidação duvidosa / perda esperada · fonte · moeda</t>
        </is>
      </c>
      <c r="E67" t="n">
        <v>-60.816</v>
      </c>
      <c r="F67" t="n">
        <v>-93.205</v>
      </c>
      <c r="G67" t="n">
        <v>-64.548</v>
      </c>
      <c r="H67" t="n">
        <v>-36.205</v>
      </c>
      <c r="I67" t="n">
        <v>-34.449</v>
      </c>
      <c r="J67" t="n">
        <v>-46.535</v>
      </c>
      <c r="K67" t="n">
        <v>-35.722</v>
      </c>
      <c r="L67" t="n">
        <v>-42.185</v>
      </c>
      <c r="M67" t="n">
        <v>-26.486</v>
      </c>
      <c r="N67" t="n">
        <v>-31.46</v>
      </c>
      <c r="O67" t="n">
        <v>-52.909</v>
      </c>
      <c r="P67" t="n">
        <v>-119.171</v>
      </c>
      <c r="Q67" t="n">
        <v>-104.705</v>
      </c>
      <c r="R67" t="n">
        <v>-68.878</v>
      </c>
      <c r="S67" t="n">
        <v>-68.327</v>
      </c>
      <c r="T67" t="n">
        <v>-83.143</v>
      </c>
      <c r="U67" t="n">
        <v>-37.15</v>
      </c>
      <c r="V67" t="n">
        <v>-16.347</v>
      </c>
      <c r="W67" t="n">
        <v>-70.824</v>
      </c>
      <c r="X67" t="n">
        <v>-68.977</v>
      </c>
      <c r="Y67" t="n">
        <v>-89.497</v>
      </c>
      <c r="Z67" t="n">
        <v>-80.387</v>
      </c>
      <c r="AA67" t="n">
        <v>-118.877</v>
      </c>
      <c r="AB67" t="n">
        <v>-124.871</v>
      </c>
      <c r="AC67" t="n">
        <v>-110.326</v>
      </c>
      <c r="AD67" t="n">
        <v>-107.725</v>
      </c>
    </row>
    <row r="68">
      <c r="B68" s="8" t="inlineStr">
        <is>
          <t>pdd_recup</t>
        </is>
      </c>
      <c r="C68" s="9" t="inlineStr">
        <is>
          <t>Recuperação de Créditos Baixados como Prejuízo</t>
        </is>
      </c>
      <c r="D68" s="2" t="inlineStr">
        <is>
          <t>[vazio] recuperações em linha de memória (aba Provisões); na DRE já estão líquidas</t>
        </is>
      </c>
    </row>
    <row r="69">
      <c r="B69" s="8" t="inlineStr">
        <is>
          <t>serv</t>
        </is>
      </c>
      <c r="C69" s="9" t="inlineStr">
        <is>
          <t>Receitas de Prestação de Serviços e Tarifas Bancárias</t>
        </is>
      </c>
      <c r="D69" s="2" t="inlineStr">
        <is>
          <t>Séries Históricas 2T26 (RI ABC): até 4T24 aba "DRE Contábil (Tri) - ISQua" l.26 | 2025+ aba "DRE Contábil (Tri) - IS Quarter" l.26 · Receitas de prestação de serviços · fonte · moeda</t>
        </is>
      </c>
      <c r="E69" t="n">
        <v>52.652</v>
      </c>
      <c r="F69" t="n">
        <v>60.772</v>
      </c>
      <c r="G69" t="n">
        <v>77.96899999999999</v>
      </c>
      <c r="H69" t="n">
        <v>92.583</v>
      </c>
      <c r="I69" t="n">
        <v>75.637</v>
      </c>
      <c r="J69" t="n">
        <v>75.813</v>
      </c>
      <c r="K69" t="n">
        <v>101.75</v>
      </c>
      <c r="L69" t="n">
        <v>92.239</v>
      </c>
      <c r="M69" t="n">
        <v>63.498</v>
      </c>
      <c r="N69" t="n">
        <v>109.585</v>
      </c>
      <c r="O69" t="n">
        <v>128.49</v>
      </c>
      <c r="P69" t="n">
        <v>100.291</v>
      </c>
      <c r="Q69" t="n">
        <v>83.54600000000001</v>
      </c>
      <c r="R69" t="n">
        <v>81.60599999999999</v>
      </c>
      <c r="S69" t="n">
        <v>120.158</v>
      </c>
      <c r="T69" t="n">
        <v>110.427</v>
      </c>
      <c r="U69" t="n">
        <v>106.302</v>
      </c>
      <c r="V69" t="n">
        <v>123.887</v>
      </c>
      <c r="W69" t="n">
        <v>118.502</v>
      </c>
      <c r="X69" t="n">
        <v>142.175</v>
      </c>
      <c r="Y69" t="n">
        <v>106.83</v>
      </c>
      <c r="Z69" t="n">
        <v>116.296</v>
      </c>
      <c r="AA69" t="n">
        <v>109.203</v>
      </c>
      <c r="AB69" t="n">
        <v>134.017</v>
      </c>
      <c r="AC69" t="n">
        <v>129.966</v>
      </c>
      <c r="AD69" t="n">
        <v>113.136</v>
      </c>
    </row>
    <row r="70">
      <c r="B70" s="8" t="inlineStr">
        <is>
          <t>seguros</t>
        </is>
      </c>
      <c r="C70" s="9" t="inlineStr">
        <is>
          <t>Resultado de Seguros, Previdência e Capitalização</t>
        </is>
      </c>
      <c r="D70" s="2" t="inlineStr">
        <is>
          <t>[vazio] não se aplica</t>
        </is>
      </c>
    </row>
    <row r="71">
      <c r="B71" s="8" t="inlineStr">
        <is>
          <t>pessoal</t>
        </is>
      </c>
      <c r="C71" s="9" t="inlineStr">
        <is>
          <t>(Despesas de Pessoal)</t>
        </is>
      </c>
      <c r="D71" s="2" t="inlineStr">
        <is>
          <t>Séries Históricas 2T26 (RI ABC): até 4T24 aba "DRE Contábil (Tri) - ISQua" l.27+35 | 2025+ aba "DRE Contábil (Tri) - IS Quarter" l.27+35 · Despesas de pessoal + participações nos lucros (PLR incluída aqui para o lucro fechar; também em pes_plr) · fonte · moeda</t>
        </is>
      </c>
      <c r="E71" t="n">
        <v>-97.63</v>
      </c>
      <c r="F71" t="n">
        <v>-87.81100000000001</v>
      </c>
      <c r="G71" t="n">
        <v>-89.31399999999999</v>
      </c>
      <c r="H71" t="n">
        <v>-98.417</v>
      </c>
      <c r="I71" t="n">
        <v>-104.394</v>
      </c>
      <c r="J71" t="n">
        <v>-106.329</v>
      </c>
      <c r="K71" t="n">
        <v>-112.23</v>
      </c>
      <c r="L71" t="n">
        <v>-124.27</v>
      </c>
      <c r="M71" t="n">
        <v>-146.568</v>
      </c>
      <c r="N71" t="n">
        <v>-155.449</v>
      </c>
      <c r="O71" t="n">
        <v>-176.984</v>
      </c>
      <c r="P71" t="n">
        <v>-176.463</v>
      </c>
      <c r="Q71" t="n">
        <v>-172.06</v>
      </c>
      <c r="R71" t="n">
        <v>-175.931</v>
      </c>
      <c r="S71" t="n">
        <v>-196.158</v>
      </c>
      <c r="T71" t="n">
        <v>-192.507</v>
      </c>
      <c r="U71" t="n">
        <v>-186.606</v>
      </c>
      <c r="V71" t="n">
        <v>-190.803</v>
      </c>
      <c r="W71" t="n">
        <v>-199.502</v>
      </c>
      <c r="X71" t="n">
        <v>-203.663</v>
      </c>
      <c r="Y71" t="n">
        <v>-194.99</v>
      </c>
      <c r="Z71" t="n">
        <v>-182.363</v>
      </c>
      <c r="AA71" t="n">
        <v>-208.114</v>
      </c>
      <c r="AB71" t="n">
        <v>-216.139</v>
      </c>
      <c r="AC71" t="n">
        <v>-218.313</v>
      </c>
      <c r="AD71" t="n">
        <v>-218.71</v>
      </c>
    </row>
    <row r="72">
      <c r="B72" s="8" t="inlineStr">
        <is>
          <t>admin</t>
        </is>
      </c>
      <c r="C72" s="9" t="inlineStr">
        <is>
          <t>(Outras Despesas Administrativas)</t>
        </is>
      </c>
      <c r="D72" s="2" t="inlineStr">
        <is>
          <t>Séries Históricas 2T26 (RI ABC): até 4T24 aba "DRE Contábil (Tri) - ISQua" l.28 | 2025+ aba "DRE Contábil (Tri) - IS Quarter" l.28 · Outras despesas administrativas · fonte · moeda</t>
        </is>
      </c>
      <c r="E72" t="n">
        <v>-40.065</v>
      </c>
      <c r="F72" t="n">
        <v>-36.804</v>
      </c>
      <c r="G72" t="n">
        <v>-37.382</v>
      </c>
      <c r="H72" t="n">
        <v>-46.465</v>
      </c>
      <c r="I72" t="n">
        <v>-37.439</v>
      </c>
      <c r="J72" t="n">
        <v>-46.162</v>
      </c>
      <c r="K72" t="n">
        <v>-47.23</v>
      </c>
      <c r="L72" t="n">
        <v>-50.687</v>
      </c>
      <c r="M72" t="n">
        <v>-52.673</v>
      </c>
      <c r="N72" t="n">
        <v>-64.818</v>
      </c>
      <c r="O72" t="n">
        <v>-68.453</v>
      </c>
      <c r="P72" t="n">
        <v>-77.202</v>
      </c>
      <c r="Q72" t="n">
        <v>-70.24299999999999</v>
      </c>
      <c r="R72" t="n">
        <v>-74.88500000000001</v>
      </c>
      <c r="S72" t="n">
        <v>-77.791</v>
      </c>
      <c r="T72" t="n">
        <v>-80.517</v>
      </c>
      <c r="U72" t="n">
        <v>-83.904</v>
      </c>
      <c r="V72" t="n">
        <v>-84.789</v>
      </c>
      <c r="W72" t="n">
        <v>-89.42</v>
      </c>
      <c r="X72" t="n">
        <v>-95.01900000000001</v>
      </c>
      <c r="Y72" t="n">
        <v>-92.788</v>
      </c>
      <c r="Z72" t="n">
        <v>-87.20099999999999</v>
      </c>
      <c r="AA72" t="n">
        <v>-96.09099999999999</v>
      </c>
      <c r="AB72" t="n">
        <v>-101.798</v>
      </c>
      <c r="AC72" t="n">
        <v>-93.559</v>
      </c>
      <c r="AD72" t="n">
        <v>-104.929</v>
      </c>
    </row>
    <row r="73">
      <c r="B73" s="8" t="inlineStr">
        <is>
          <t>prov_civ</t>
        </is>
      </c>
      <c r="C73" s="9" t="inlineStr">
        <is>
          <t>(Provisões Cíveis)</t>
        </is>
      </c>
      <c r="D73" s="2" t="inlineStr">
        <is>
          <t>[vazio] dentro de outras receitas/despesas</t>
        </is>
      </c>
    </row>
    <row r="74">
      <c r="B74" s="8" t="inlineStr">
        <is>
          <t>prov_trab</t>
        </is>
      </c>
      <c r="C74" s="9" t="inlineStr">
        <is>
          <t>(Provisões Trabalhistas)</t>
        </is>
      </c>
      <c r="D74" s="2" t="inlineStr">
        <is>
          <t>[vazio] idem</t>
        </is>
      </c>
    </row>
    <row r="75">
      <c r="B75" s="8" t="inlineStr">
        <is>
          <t>prov_fisc</t>
        </is>
      </c>
      <c r="C75" s="9" t="inlineStr">
        <is>
          <t>(Provisões Fiscais, Previdenciárias e Outros Riscos)</t>
        </is>
      </c>
      <c r="D75" s="2" t="inlineStr">
        <is>
          <t>[vazio] idem</t>
        </is>
      </c>
    </row>
    <row r="76">
      <c r="B76" s="8" t="inlineStr">
        <is>
          <t>desp_trib</t>
        </is>
      </c>
      <c r="C76" s="9" t="inlineStr">
        <is>
          <t>(Despesas Tributárias)</t>
        </is>
      </c>
      <c r="D76" s="2" t="inlineStr">
        <is>
          <t>Séries Históricas 2T26 (RI ABC): até 4T24 aba "DRE Contábil (Tri) - ISQua" l.29 | 2025+ aba "DRE Contábil (Tri) - IS Quarter" l.29 · Despesas tributárias · fonte · moeda</t>
        </is>
      </c>
      <c r="E76" t="n">
        <v>-11.848</v>
      </c>
      <c r="F76" t="n">
        <v>-14.522</v>
      </c>
      <c r="G76" t="n">
        <v>-12.688</v>
      </c>
      <c r="H76" t="n">
        <v>-19.973</v>
      </c>
      <c r="I76" t="n">
        <v>-10.147</v>
      </c>
      <c r="J76" t="n">
        <v>-15.303</v>
      </c>
      <c r="K76" t="n">
        <v>-18.913</v>
      </c>
      <c r="L76" t="n">
        <v>-25.026</v>
      </c>
      <c r="M76" t="n">
        <v>-14.78</v>
      </c>
      <c r="N76" t="n">
        <v>-31.632</v>
      </c>
      <c r="O76" t="n">
        <v>-27.669</v>
      </c>
      <c r="P76" t="n">
        <v>-38.251</v>
      </c>
      <c r="Q76" t="n">
        <v>-27.774</v>
      </c>
      <c r="R76" t="n">
        <v>-23.551</v>
      </c>
      <c r="S76" t="n">
        <v>-36.15</v>
      </c>
      <c r="T76" t="n">
        <v>-49.101</v>
      </c>
      <c r="U76" t="n">
        <v>-19.357</v>
      </c>
      <c r="V76" t="n">
        <v>-23.144</v>
      </c>
      <c r="W76" t="n">
        <v>-45.477</v>
      </c>
      <c r="X76" t="n">
        <v>-32.943</v>
      </c>
      <c r="Y76" t="n">
        <v>-21.435</v>
      </c>
      <c r="Z76" t="n">
        <v>-43.218</v>
      </c>
      <c r="AA76" t="n">
        <v>-54.756</v>
      </c>
      <c r="AB76" t="n">
        <v>-54.776</v>
      </c>
      <c r="AC76" t="n">
        <v>-34.419</v>
      </c>
      <c r="AD76" t="n">
        <v>-42.092</v>
      </c>
    </row>
    <row r="77">
      <c r="B77" s="8" t="inlineStr">
        <is>
          <t>res_part</t>
        </is>
      </c>
      <c r="C77" s="9" t="inlineStr">
        <is>
          <t>Resultado de Participações em Coligadas e Controladas</t>
        </is>
      </c>
      <c r="D77" s="2" t="inlineStr">
        <is>
          <t>preencher: aba e linha da fonte · fonte · moeda</t>
        </is>
      </c>
    </row>
    <row r="78">
      <c r="B78" s="8" t="inlineStr">
        <is>
          <t>out_rec</t>
        </is>
      </c>
      <c r="C78" s="9" t="inlineStr">
        <is>
          <t>Outras Receitas Operacionais</t>
        </is>
      </c>
      <c r="D78" s="2" t="inlineStr">
        <is>
          <t>Séries Históricas 2T26 (RI ABC): até 4T24 aba "DRE Contábil (Tri) - ISQua" l.30 | 2025+ aba "DRE Contábil (Tri) - IS Quarter" l.30 · Outras receitas/despesas operacionais (LÍQUIDO: a fonte não separa receitas x despesas) · fonte · moeda</t>
        </is>
      </c>
      <c r="E78" t="n">
        <v>1.653</v>
      </c>
      <c r="F78" t="n">
        <v>-7.768</v>
      </c>
      <c r="G78" t="n">
        <v>-18.247</v>
      </c>
      <c r="H78" t="n">
        <v>-19.863</v>
      </c>
      <c r="I78" t="n">
        <v>3.796</v>
      </c>
      <c r="J78" t="n">
        <v>-16.666</v>
      </c>
      <c r="K78" t="n">
        <v>-10.806</v>
      </c>
      <c r="L78" t="n">
        <v>-20.52</v>
      </c>
      <c r="M78" t="n">
        <v>-15.197</v>
      </c>
      <c r="N78" t="n">
        <v>-5.154</v>
      </c>
      <c r="O78" t="n">
        <v>-28.39</v>
      </c>
      <c r="P78" t="n">
        <v>21.92</v>
      </c>
      <c r="Q78" t="n">
        <v>7.448</v>
      </c>
      <c r="R78" t="n">
        <v>-22.822</v>
      </c>
      <c r="S78" t="n">
        <v>8.192</v>
      </c>
      <c r="T78" t="n">
        <v>60.836</v>
      </c>
      <c r="U78" t="n">
        <v>14.834</v>
      </c>
      <c r="V78" t="n">
        <v>0.076</v>
      </c>
      <c r="W78" t="n">
        <v>-0.909</v>
      </c>
      <c r="X78" t="n">
        <v>-13.123</v>
      </c>
      <c r="Y78" t="n">
        <v>8.327999999999999</v>
      </c>
      <c r="Z78" t="n">
        <v>11.276</v>
      </c>
      <c r="AA78" t="n">
        <v>3.161</v>
      </c>
      <c r="AB78" t="n">
        <v>3.258</v>
      </c>
      <c r="AC78" t="n">
        <v>-15.691</v>
      </c>
      <c r="AD78" t="n">
        <v>1.816</v>
      </c>
    </row>
    <row r="79">
      <c r="B79" s="8" t="inlineStr">
        <is>
          <t>out_desp</t>
        </is>
      </c>
      <c r="C79" s="9" t="inlineStr">
        <is>
          <t>(Outras Despesas Operacionais)</t>
        </is>
      </c>
      <c r="D79" s="2" t="inlineStr">
        <is>
          <t>[vazio] líquido em out_rec</t>
        </is>
      </c>
    </row>
    <row r="80">
      <c r="B80" s="8" t="inlineStr">
        <is>
          <t>nao_op</t>
        </is>
      </c>
      <c r="C80" s="9" t="inlineStr">
        <is>
          <t>Resultado Não Operacional</t>
        </is>
      </c>
      <c r="D80" s="2" t="inlineStr">
        <is>
          <t>Séries Históricas 2T26 (RI ABC): até 4T24 aba "DRE Contábil (Tri) - ISQua" l.32 | 2025+ aba "DRE Contábil (Tri) - IS Quarter" l.32 · Resultado não operacional · fonte · moeda</t>
        </is>
      </c>
      <c r="E80" t="n">
        <v>-0.973</v>
      </c>
      <c r="F80" t="n">
        <v>-0.04</v>
      </c>
      <c r="G80" t="n">
        <v>-0.023</v>
      </c>
      <c r="H80" t="n">
        <v>-9.911</v>
      </c>
      <c r="I80" t="n">
        <v>-0.309</v>
      </c>
      <c r="J80" t="n">
        <v>-18.028</v>
      </c>
      <c r="K80" t="n">
        <v>0.556</v>
      </c>
      <c r="L80" t="n">
        <v>-5.716</v>
      </c>
      <c r="M80" t="n">
        <v>-9.76</v>
      </c>
      <c r="N80" t="n">
        <v>6.015</v>
      </c>
      <c r="O80" t="n">
        <v>3.123</v>
      </c>
      <c r="P80" t="n">
        <v>1.31</v>
      </c>
      <c r="Q80" t="n">
        <v>0.433</v>
      </c>
      <c r="R80" t="n">
        <v>0.078</v>
      </c>
      <c r="S80" t="n">
        <v>-0.696</v>
      </c>
      <c r="T80" t="n">
        <v>4.219</v>
      </c>
      <c r="U80" t="n">
        <v>4.683</v>
      </c>
      <c r="V80" t="n">
        <v>0.904</v>
      </c>
      <c r="W80" t="n">
        <v>2.299</v>
      </c>
      <c r="X80" t="n">
        <v>0.701</v>
      </c>
      <c r="Y80" t="n">
        <v>5.563</v>
      </c>
      <c r="Z80" t="n">
        <v>0.284</v>
      </c>
      <c r="AA80" t="n">
        <v>-0.97</v>
      </c>
      <c r="AB80" t="n">
        <v>0.5639999999999999</v>
      </c>
      <c r="AC80" t="n">
        <v>-0.235</v>
      </c>
      <c r="AD80" t="n">
        <v>1.311</v>
      </c>
    </row>
    <row r="81">
      <c r="B81" s="8" t="inlineStr">
        <is>
          <t>ir_corr</t>
        </is>
      </c>
      <c r="C81" s="9" t="inlineStr">
        <is>
          <t>(Devidos sobre Operações do Período)</t>
        </is>
      </c>
      <c r="D81" s="2" t="inlineStr">
        <is>
          <t>Séries Históricas 2T26 (RI ABC): até 4T24 aba "DRE Contábil (Tri) - ISQua" l.34 | 2025+ aba "DRE Contábil (Tri) - IS Quarter" l.34 · IR e CSLL TOTAL (fonte não separa corrente x diferido) · fonte · moeda</t>
        </is>
      </c>
      <c r="E81" t="n">
        <v>477.119</v>
      </c>
      <c r="F81" t="n">
        <v>164.143</v>
      </c>
      <c r="G81" t="n">
        <v>22.509</v>
      </c>
      <c r="H81" t="n">
        <v>-113.154</v>
      </c>
      <c r="I81" t="n">
        <v>32.195</v>
      </c>
      <c r="J81" t="n">
        <v>-146.712</v>
      </c>
      <c r="K81" t="n">
        <v>31.731</v>
      </c>
      <c r="L81" t="n">
        <v>44.528</v>
      </c>
      <c r="M81" t="n">
        <v>-45.835</v>
      </c>
      <c r="N81" t="n">
        <v>-30.524</v>
      </c>
      <c r="O81" t="n">
        <v>-29.648</v>
      </c>
      <c r="P81" t="n">
        <v>-9.497</v>
      </c>
      <c r="Q81" t="n">
        <v>19.654</v>
      </c>
      <c r="R81" t="n">
        <v>14.327</v>
      </c>
      <c r="S81" t="n">
        <v>1.515</v>
      </c>
      <c r="T81" t="n">
        <v>24.215</v>
      </c>
      <c r="U81" t="n">
        <v>-3.232</v>
      </c>
      <c r="V81" t="n">
        <v>-4.449</v>
      </c>
      <c r="W81" t="n">
        <v>-21.642</v>
      </c>
      <c r="X81" t="n">
        <v>17.091</v>
      </c>
      <c r="Y81" t="n">
        <v>-14.106</v>
      </c>
      <c r="Z81" t="n">
        <v>-13.833</v>
      </c>
      <c r="AA81" t="n">
        <v>-21.802</v>
      </c>
      <c r="AB81" t="n">
        <v>33.776</v>
      </c>
      <c r="AC81" t="n">
        <v>-8.661</v>
      </c>
      <c r="AD81" t="n">
        <v>-10.839</v>
      </c>
    </row>
    <row r="82">
      <c r="B82" s="8" t="inlineStr">
        <is>
          <t>ir_dif</t>
        </is>
      </c>
      <c r="C82" s="9" t="inlineStr">
        <is>
          <t>Referentes a Diferenças Temporárias</t>
        </is>
      </c>
      <c r="D82" s="2" t="inlineStr">
        <is>
          <t>[vazio] IR total em ir_corr</t>
        </is>
      </c>
    </row>
    <row r="83">
      <c r="B83" s="8" t="inlineStr">
        <is>
          <t>ll_minor</t>
        </is>
      </c>
      <c r="C83" s="9" t="inlineStr">
        <is>
          <t>(Participação de Não Controladores)</t>
        </is>
      </c>
      <c r="D83" s="2" t="inlineStr">
        <is>
          <t>Séries Históricas 2T26 (RI ABC): até 4T24 aba "DRE Contábil (Tri) - ISQua" l.36 | 2025+ aba "DRE Contábil (Tri) - IS Quarter" l.36 · Participação de acionistas não controladores · fonte · moeda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-0.231</v>
      </c>
      <c r="L83" t="n">
        <v>-0.464</v>
      </c>
      <c r="M83" t="n">
        <v>-0.414</v>
      </c>
      <c r="N83" t="n">
        <v>-0.53</v>
      </c>
      <c r="O83" t="n">
        <v>-0.837</v>
      </c>
      <c r="P83" t="n">
        <v>-0.68</v>
      </c>
      <c r="Q83" t="n">
        <v>-0.653</v>
      </c>
      <c r="R83" t="n">
        <v>-0.758</v>
      </c>
      <c r="S83" t="n">
        <v>-0.95</v>
      </c>
      <c r="T83" t="n">
        <v>-11.183</v>
      </c>
      <c r="U83" t="n">
        <v>-3.489</v>
      </c>
      <c r="V83" t="n">
        <v>-7.104</v>
      </c>
      <c r="W83" t="n">
        <v>-4.002</v>
      </c>
      <c r="X83" t="n">
        <v>-5.989</v>
      </c>
      <c r="Y83" t="n">
        <v>-3.104</v>
      </c>
      <c r="Z83" t="n">
        <v>-5.399</v>
      </c>
      <c r="AA83" t="n">
        <v>-5.29</v>
      </c>
      <c r="AB83" t="n">
        <v>-3.788</v>
      </c>
      <c r="AC83" t="n">
        <v>-2.82</v>
      </c>
      <c r="AD83" t="n">
        <v>-2.837</v>
      </c>
    </row>
    <row r="84"/>
    <row r="85">
      <c r="B85" s="7" t="n"/>
      <c r="C85" s="7" t="inlineStr">
        <is>
          <t>DADOS COMPLEMENTARES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</row>
    <row r="86">
      <c r="B86" s="8" t="inlineStr">
        <is>
          <t>cart_ampl</t>
        </is>
      </c>
      <c r="C86" s="9" t="inlineStr">
        <is>
          <t>Carteira de crédito ampliada</t>
        </is>
      </c>
      <c r="D86" s="2" t="inlineStr">
        <is>
          <t>Séries Históricas 2T26 (RI ABC): Carteira de crédito expandida (empréstimos + títulos privados + garantias prestadas) · fonte · moeda</t>
        </is>
      </c>
      <c r="E86" t="n">
        <v>31101.183677</v>
      </c>
      <c r="F86" t="n">
        <v>32064.849109</v>
      </c>
      <c r="G86" t="n">
        <v>32928.57422</v>
      </c>
      <c r="H86" t="n">
        <v>34378.415026</v>
      </c>
      <c r="I86" t="n">
        <v>35484.799786</v>
      </c>
      <c r="J86" t="n">
        <v>35202.101868</v>
      </c>
      <c r="K86" t="n">
        <v>37275.775287</v>
      </c>
      <c r="L86" t="n">
        <v>37715.46936</v>
      </c>
      <c r="M86" t="n">
        <v>37563.732925</v>
      </c>
      <c r="N86" t="n">
        <v>39973.197435</v>
      </c>
      <c r="O86" t="n">
        <v>41535.209841</v>
      </c>
      <c r="P86" t="n">
        <v>43255.439013</v>
      </c>
      <c r="Q86" t="n">
        <v>43652.450506</v>
      </c>
      <c r="R86" t="n">
        <v>43325.881996</v>
      </c>
      <c r="S86" t="n">
        <v>43693.093536</v>
      </c>
      <c r="T86" t="n">
        <v>46380.704593</v>
      </c>
      <c r="U86" t="n">
        <v>45979.877987</v>
      </c>
      <c r="V86" t="n">
        <v>48284.333735</v>
      </c>
      <c r="W86" t="n">
        <v>50010.403281</v>
      </c>
      <c r="X86" t="n">
        <v>53171.079086</v>
      </c>
      <c r="Y86" t="n">
        <v>51205.717616</v>
      </c>
      <c r="Z86" t="n">
        <v>52119.928927</v>
      </c>
      <c r="AA86" t="n">
        <v>52302.954302</v>
      </c>
      <c r="AB86" t="n">
        <v>54742.128769</v>
      </c>
      <c r="AC86" t="n">
        <v>54426.872357</v>
      </c>
      <c r="AD86" t="n">
        <v>56463.502659</v>
      </c>
    </row>
    <row r="87">
      <c r="B87" s="8" t="inlineStr">
        <is>
          <t>cart_pf</t>
        </is>
      </c>
      <c r="C87" s="9" t="inlineStr">
        <is>
          <t>Pessoa física</t>
        </is>
      </c>
      <c r="D87" s="2" t="inlineStr">
        <is>
          <t>[vazio] ABC não atua com pessoa física</t>
        </is>
      </c>
    </row>
    <row r="88">
      <c r="B88" s="8" t="inlineStr">
        <is>
          <t>cart_pj</t>
        </is>
      </c>
      <c r="C88" s="9" t="inlineStr">
        <is>
          <t>Pessoa jurídica</t>
        </is>
      </c>
      <c r="D88" s="2" t="inlineStr">
        <is>
          <t>Séries Históricas 2T26 (RI ABC): carteira expandida (ABC só atende pessoa jurídica) · fonte · moeda</t>
        </is>
      </c>
      <c r="E88" t="n">
        <v>31101.183677</v>
      </c>
      <c r="F88" t="n">
        <v>32064.849109</v>
      </c>
      <c r="G88" t="n">
        <v>32928.57422</v>
      </c>
      <c r="H88" t="n">
        <v>34378.415026</v>
      </c>
      <c r="I88" t="n">
        <v>35484.799786</v>
      </c>
      <c r="J88" t="n">
        <v>35202.101868</v>
      </c>
      <c r="K88" t="n">
        <v>37275.775287</v>
      </c>
      <c r="L88" t="n">
        <v>37715.46936</v>
      </c>
      <c r="M88" t="n">
        <v>37563.732925</v>
      </c>
      <c r="N88" t="n">
        <v>39973.197435</v>
      </c>
      <c r="O88" t="n">
        <v>41535.209841</v>
      </c>
      <c r="P88" t="n">
        <v>43255.439013</v>
      </c>
      <c r="Q88" t="n">
        <v>43652.450506</v>
      </c>
      <c r="R88" t="n">
        <v>43325.881996</v>
      </c>
      <c r="S88" t="n">
        <v>43693.093536</v>
      </c>
      <c r="T88" t="n">
        <v>46380.704593</v>
      </c>
      <c r="U88" t="n">
        <v>45979.877987</v>
      </c>
      <c r="V88" t="n">
        <v>48284.333735</v>
      </c>
      <c r="W88" t="n">
        <v>50010.403281</v>
      </c>
      <c r="X88" t="n">
        <v>53171.079086</v>
      </c>
      <c r="Y88" t="n">
        <v>51205.717616</v>
      </c>
      <c r="Z88" t="n">
        <v>52119.928927</v>
      </c>
      <c r="AA88" t="n">
        <v>52302.954302</v>
      </c>
      <c r="AB88" t="n">
        <v>54742.128769</v>
      </c>
      <c r="AC88" t="n">
        <v>54426.872357</v>
      </c>
      <c r="AD88" t="n">
        <v>56463.502659</v>
      </c>
    </row>
    <row r="89">
      <c r="B89" s="8" t="inlineStr">
        <is>
          <t>est1</t>
        </is>
      </c>
      <c r="C89" s="9" t="inlineStr">
        <is>
          <t>Carteira em Estágio 1</t>
        </is>
      </c>
      <c r="D89" s="2" t="inlineStr">
        <is>
          <t>Séries Históricas 2T26 (RI ABC) aba "Nível de Risco - Stages" l.14 (só desde 1T25, Res. 4.966) · fonte · moeda</t>
        </is>
      </c>
      <c r="Y89" t="n">
        <v>48406.74326</v>
      </c>
      <c r="Z89" t="n">
        <v>49080.93965</v>
      </c>
      <c r="AA89" t="n">
        <v>49141.949567</v>
      </c>
      <c r="AB89" t="n">
        <v>51482.093642</v>
      </c>
      <c r="AC89" t="n">
        <v>50693.032947</v>
      </c>
      <c r="AD89" t="n">
        <v>52802.604828</v>
      </c>
    </row>
    <row r="90">
      <c r="B90" s="8" t="inlineStr">
        <is>
          <t>est2</t>
        </is>
      </c>
      <c r="C90" s="9" t="inlineStr">
        <is>
          <t>Carteira em Estágio 2</t>
        </is>
      </c>
      <c r="D90" s="2" t="inlineStr">
        <is>
          <t>Séries Históricas 2T26 (RI ABC) aba "Nível de Risco - Stages" l.15 (só desde 1T25, Res. 4.966) · fonte · moeda</t>
        </is>
      </c>
      <c r="Y90" t="n">
        <v>1575.554317</v>
      </c>
      <c r="Z90" t="n">
        <v>1778.28027</v>
      </c>
      <c r="AA90" t="n">
        <v>1777.555134</v>
      </c>
      <c r="AB90" t="n">
        <v>1853.672238</v>
      </c>
      <c r="AC90" t="n">
        <v>2211.836684</v>
      </c>
      <c r="AD90" t="n">
        <v>2014.22721</v>
      </c>
    </row>
    <row r="91">
      <c r="B91" s="8" t="inlineStr">
        <is>
          <t>est3</t>
        </is>
      </c>
      <c r="C91" s="9" t="inlineStr">
        <is>
          <t>Carteira em Estágio 3</t>
        </is>
      </c>
      <c r="D91" s="2" t="inlineStr">
        <is>
          <t>Séries Históricas 2T26 (RI ABC) aba "Nível de Risco - Stages" l.16 (só desde 1T25, Res. 4.966) · fonte · moeda</t>
        </is>
      </c>
      <c r="Y91" t="n">
        <v>1223.420039</v>
      </c>
      <c r="Z91" t="n">
        <v>1260.709007</v>
      </c>
      <c r="AA91" t="n">
        <v>1383.449601</v>
      </c>
      <c r="AB91" t="n">
        <v>1406.362889</v>
      </c>
      <c r="AC91" t="n">
        <v>1522.002712</v>
      </c>
      <c r="AD91" t="n">
        <v>1646.670605</v>
      </c>
    </row>
    <row r="92">
      <c r="B92" s="8" t="inlineStr">
        <is>
          <t>prov_e1</t>
        </is>
      </c>
      <c r="C92" s="9" t="inlineStr">
        <is>
          <t>Saldo de provisão — Estágio 1</t>
        </is>
      </c>
      <c r="D92" s="2" t="inlineStr">
        <is>
          <t>Séries Históricas 2T26 (RI ABC) aba "Nível de Risco - Stages" l.30 (só desde 1T25, Res. 4.966) · fonte · moeda</t>
        </is>
      </c>
      <c r="Y92" t="n">
        <v>191.344629</v>
      </c>
      <c r="Z92" t="n">
        <v>181.210181</v>
      </c>
      <c r="AA92" t="n">
        <v>178.381779</v>
      </c>
      <c r="AB92" t="n">
        <v>178.79163</v>
      </c>
      <c r="AC92" t="n">
        <v>164.885256</v>
      </c>
      <c r="AD92" t="n">
        <v>169.495599</v>
      </c>
    </row>
    <row r="93">
      <c r="B93" s="8" t="inlineStr">
        <is>
          <t>prov_e2</t>
        </is>
      </c>
      <c r="C93" s="9" t="inlineStr">
        <is>
          <t>Saldo de provisão — Estágio 2</t>
        </is>
      </c>
      <c r="D93" s="2" t="inlineStr">
        <is>
          <t>Séries Históricas 2T26 (RI ABC) aba "Nível de Risco - Stages" l.31 (só desde 1T25, Res. 4.966) · fonte · moeda</t>
        </is>
      </c>
      <c r="Y93" t="n">
        <v>81.75060999999999</v>
      </c>
      <c r="Z93" t="n">
        <v>87.393585</v>
      </c>
      <c r="AA93" t="n">
        <v>86.656481</v>
      </c>
      <c r="AB93" t="n">
        <v>88.362002</v>
      </c>
      <c r="AC93" t="n">
        <v>123.080266</v>
      </c>
      <c r="AD93" t="n">
        <v>95.31265399999999</v>
      </c>
    </row>
    <row r="94">
      <c r="B94" s="8" t="inlineStr">
        <is>
          <t>prov_e3</t>
        </is>
      </c>
      <c r="C94" s="9" t="inlineStr">
        <is>
          <t>Saldo de provisão — Estágio 3</t>
        </is>
      </c>
      <c r="D94" s="2" t="inlineStr">
        <is>
          <t>Séries Históricas 2T26 (RI ABC) aba "Nível de Risco - Stages" l.32 (só desde 1T25, Res. 4.966) · fonte · moeda</t>
        </is>
      </c>
      <c r="Y94" t="n">
        <v>636.966761</v>
      </c>
      <c r="Z94" t="n">
        <v>713.7962649999999</v>
      </c>
      <c r="AA94" t="n">
        <v>786.272845</v>
      </c>
      <c r="AB94" t="n">
        <v>856.401977</v>
      </c>
      <c r="AC94" t="n">
        <v>766.873213</v>
      </c>
      <c r="AD94" t="n">
        <v>795.904977</v>
      </c>
    </row>
    <row r="95">
      <c r="B95" s="8" t="inlineStr">
        <is>
          <t>prov_tot</t>
        </is>
      </c>
      <c r="C95" s="9" t="inlineStr">
        <is>
          <t>Saldo total de provisão</t>
        </is>
      </c>
      <c r="D95" s="2" t="inlineStr">
        <is>
          <t>Séries Históricas 2T26 (RI ABC): saldo de provisão TOTAL (2025+ inclui provisão prospectiva; desde 1T21) · fonte · moeda</t>
        </is>
      </c>
      <c r="I95" t="n">
        <v>621.202756</v>
      </c>
      <c r="J95" t="n">
        <v>657.408277</v>
      </c>
      <c r="K95" t="n">
        <v>691.7137760000001</v>
      </c>
      <c r="L95" t="n">
        <v>723.723076</v>
      </c>
      <c r="M95" t="n">
        <v>649.360397</v>
      </c>
      <c r="N95" t="n">
        <v>558.387617</v>
      </c>
      <c r="O95" t="n">
        <v>587.622449</v>
      </c>
      <c r="P95" t="n">
        <v>698.027026</v>
      </c>
      <c r="Q95" t="n">
        <v>761.492937</v>
      </c>
      <c r="R95" t="n">
        <v>795.378075</v>
      </c>
      <c r="S95" t="n">
        <v>826.452035</v>
      </c>
      <c r="T95" t="n">
        <v>867.147163</v>
      </c>
      <c r="U95" t="n">
        <v>854.584638</v>
      </c>
      <c r="V95" t="n">
        <v>813.241426</v>
      </c>
      <c r="W95" t="n">
        <v>530.73811</v>
      </c>
      <c r="X95" t="n">
        <v>541.157144</v>
      </c>
      <c r="Y95" t="n">
        <v>1100.062</v>
      </c>
      <c r="Z95" t="n">
        <v>1172.400031</v>
      </c>
      <c r="AA95" t="n">
        <v>1241.311106</v>
      </c>
      <c r="AB95" t="n">
        <v>1313.555609</v>
      </c>
      <c r="AC95" t="n">
        <v>1244.838735</v>
      </c>
      <c r="AD95" t="n">
        <v>1250.71323</v>
      </c>
    </row>
    <row r="96">
      <c r="B96" s="8" t="inlineStr">
        <is>
          <t>npl90</t>
        </is>
      </c>
      <c r="C96" s="9" t="inlineStr">
        <is>
          <t>Operações vencidas acima de 90 dias</t>
        </is>
      </c>
      <c r="D96" s="2" t="inlineStr">
        <is>
          <t>Séries Históricas 2T26 (RI ABC): NPL 90 dias - operações (parcelas vencidas e vincendas; desde 1T21) · fonte · moeda</t>
        </is>
      </c>
      <c r="I96" t="n">
        <v>53.743411</v>
      </c>
      <c r="J96" t="n">
        <v>249.352622</v>
      </c>
      <c r="K96" t="n">
        <v>267.352637</v>
      </c>
      <c r="L96" t="n">
        <v>261.13785</v>
      </c>
      <c r="M96" t="n">
        <v>146.163658</v>
      </c>
      <c r="N96" t="n">
        <v>90.227108</v>
      </c>
      <c r="O96" t="n">
        <v>87.35180699999999</v>
      </c>
      <c r="P96" t="n">
        <v>128.623392</v>
      </c>
      <c r="Q96" t="n">
        <v>153.441073</v>
      </c>
      <c r="R96" t="n">
        <v>276.50696</v>
      </c>
      <c r="S96" t="n">
        <v>406.250464</v>
      </c>
      <c r="T96" t="n">
        <v>648.624446</v>
      </c>
      <c r="U96" t="n">
        <v>674.881726</v>
      </c>
      <c r="V96" t="n">
        <v>702.654276</v>
      </c>
      <c r="W96" t="n">
        <v>271.493234</v>
      </c>
      <c r="X96" t="n">
        <v>273.367166</v>
      </c>
      <c r="Y96" t="n">
        <v>485.355128</v>
      </c>
      <c r="Z96" t="n">
        <v>382.383911</v>
      </c>
      <c r="AA96" t="n">
        <v>319.116443</v>
      </c>
      <c r="AB96" t="n">
        <v>262.331092</v>
      </c>
      <c r="AC96" t="n">
        <v>278.5884</v>
      </c>
      <c r="AD96" t="n">
        <v>332.061309</v>
      </c>
    </row>
    <row r="97">
      <c r="B97" s="8" t="inlineStr">
        <is>
          <t>npl15</t>
        </is>
      </c>
      <c r="C97" s="9" t="inlineStr">
        <is>
          <t>Operações vencidas de 15 a 90 dias</t>
        </is>
      </c>
      <c r="D97" s="2" t="inlineStr">
        <is>
          <t>[vazio] não divulgado</t>
        </is>
      </c>
    </row>
    <row r="98">
      <c r="B98" s="8" t="inlineStr">
        <is>
          <t>wo</t>
        </is>
      </c>
      <c r="C98" s="9" t="inlineStr">
        <is>
          <t>Write-off do período</t>
        </is>
      </c>
      <c r="D98" s="2" t="inlineStr">
        <is>
          <t>Séries Históricas 2T26 (RI ABC) aba "Indicadores - Indicators" l.87 Write-off (desde 1T24) · fonte · moeda</t>
        </is>
      </c>
      <c r="U98" t="n">
        <v>48.25142</v>
      </c>
      <c r="V98" t="n">
        <v>58.370506</v>
      </c>
      <c r="W98" t="n">
        <v>355.615254</v>
      </c>
      <c r="X98" t="n">
        <v>61.709473</v>
      </c>
      <c r="Y98" t="n">
        <v>21.174702</v>
      </c>
      <c r="Z98" t="n">
        <v>3.862832</v>
      </c>
      <c r="AA98" t="n">
        <v>55.137887</v>
      </c>
      <c r="AB98" t="n">
        <v>52.707827</v>
      </c>
      <c r="AC98" t="n">
        <v>33.332458</v>
      </c>
      <c r="AD98" t="n">
        <v>101.183683</v>
      </c>
    </row>
    <row r="99">
      <c r="B99" s="8" t="inlineStr">
        <is>
          <t>reneg</t>
        </is>
      </c>
      <c r="C99" s="9" t="inlineStr">
        <is>
          <t>Carteira renegociada</t>
        </is>
      </c>
      <c r="D99" s="2" t="inlineStr">
        <is>
          <t>Séries Históricas 2T26 (RI ABC) aba "Indicadores - Indicators" l.92 Saldo de créditos renegociados (desde 1T24) · fonte · moeda</t>
        </is>
      </c>
      <c r="U99" t="n">
        <v>220.06</v>
      </c>
      <c r="V99" t="n">
        <v>214.852</v>
      </c>
      <c r="W99" t="n">
        <v>156.273</v>
      </c>
      <c r="X99" t="n">
        <v>159.637</v>
      </c>
      <c r="Y99" t="n">
        <v>77.2</v>
      </c>
      <c r="Z99" t="n">
        <v>96.44</v>
      </c>
      <c r="AA99" t="n">
        <v>82.7</v>
      </c>
      <c r="AB99" t="n">
        <v>92.90900000000001</v>
      </c>
      <c r="AC99" t="n">
        <v>93.85599999999999</v>
      </c>
      <c r="AD99" t="n">
        <v>107.5</v>
      </c>
    </row>
    <row r="100">
      <c r="B100" s="8" t="inlineStr">
        <is>
          <t>mf_cli</t>
        </is>
      </c>
      <c r="C100" s="9" t="inlineStr">
        <is>
          <t>Margem financeira com clientes (reportada)</t>
        </is>
      </c>
      <c r="D100" s="2" t="inlineStr">
        <is>
          <t>[vazio] a Cia divulga só a margem gerencial total (memória)</t>
        </is>
      </c>
    </row>
    <row r="101">
      <c r="B101" s="8" t="inlineStr">
        <is>
          <t>mf_mkt</t>
        </is>
      </c>
      <c r="C101" s="9" t="inlineStr">
        <is>
          <t>Margem financeira com o mercado (reportada)</t>
        </is>
      </c>
      <c r="D101" s="2" t="inlineStr">
        <is>
          <t>[vazio] idem</t>
        </is>
      </c>
    </row>
    <row r="102">
      <c r="B102" s="8" t="inlineStr">
        <is>
          <t>at_rent</t>
        </is>
      </c>
      <c r="C102" s="9" t="inlineStr">
        <is>
          <t>Ativos rentáveis (saldo fim de período)</t>
        </is>
      </c>
      <c r="D102" s="2" t="inlineStr">
        <is>
          <t>Séries Históricas 2T26 (RI ABC) aba NIM l.16 Ativos remuneráveis MÉDIOS (a fonte publica a média, não o saldo de fim de período) · fonte · moeda</t>
        </is>
      </c>
      <c r="E102" t="n">
        <v>33965.892238</v>
      </c>
      <c r="F102" t="n">
        <v>37550.093916</v>
      </c>
      <c r="G102" t="n">
        <v>37966.584368</v>
      </c>
      <c r="H102" t="n">
        <v>37753.344972</v>
      </c>
      <c r="I102" t="n">
        <v>39094.483718</v>
      </c>
      <c r="J102" t="n">
        <v>39522.843122</v>
      </c>
      <c r="K102" t="n">
        <v>40011.660908</v>
      </c>
      <c r="L102" t="n">
        <v>40995.245614</v>
      </c>
      <c r="M102" t="n">
        <v>40737.965664</v>
      </c>
      <c r="N102" t="n">
        <v>42683.968749</v>
      </c>
      <c r="O102" t="n">
        <v>45122.586843</v>
      </c>
      <c r="P102" t="n">
        <v>46537.044019</v>
      </c>
      <c r="Q102" t="n">
        <v>46468.396995</v>
      </c>
      <c r="R102" t="n">
        <v>47367.82804</v>
      </c>
      <c r="S102" t="n">
        <v>49106.402985</v>
      </c>
      <c r="T102" t="n">
        <v>50394.827303</v>
      </c>
      <c r="U102" t="n">
        <v>51600.678567</v>
      </c>
      <c r="V102" t="n">
        <v>53712.132513</v>
      </c>
      <c r="W102" t="n">
        <v>57124.138435</v>
      </c>
      <c r="X102" t="n">
        <v>59870.431545</v>
      </c>
      <c r="Y102" t="n">
        <v>60081.465437</v>
      </c>
      <c r="Z102" t="n">
        <v>59374.575095</v>
      </c>
      <c r="AA102" t="n">
        <v>59065.688734</v>
      </c>
      <c r="AB102" t="n">
        <v>60166.673386</v>
      </c>
      <c r="AC102" t="n">
        <v>63010.690869</v>
      </c>
      <c r="AD102" t="n">
        <v>64572.210751</v>
      </c>
    </row>
    <row r="103">
      <c r="B103" s="8" t="inlineStr">
        <is>
          <t>pas_oner</t>
        </is>
      </c>
      <c r="C103" s="9" t="inlineStr">
        <is>
          <t>Passivos onerosos (saldo fim de período)</t>
        </is>
      </c>
      <c r="D103" s="2" t="inlineStr">
        <is>
          <t>[vazio] não divulgado</t>
        </is>
      </c>
    </row>
    <row r="104">
      <c r="B104" s="8" t="inlineStr">
        <is>
          <t>rwa</t>
        </is>
      </c>
      <c r="C104" s="9" t="inlineStr">
        <is>
          <t>Ativos Ponderados pelo Risco (RWA)</t>
        </is>
      </c>
      <c r="D104" s="2" t="inlineStr">
        <is>
          <t>Séries Históricas 2T26 (RI ABC) aba "Adequação de Capital - Capital" l.21 · fonte · moeda</t>
        </is>
      </c>
      <c r="E104" t="n">
        <v>35665.119</v>
      </c>
      <c r="F104" t="n">
        <v>34156.504</v>
      </c>
      <c r="G104" t="n">
        <v>34020.188</v>
      </c>
      <c r="H104" t="n">
        <v>31971.818</v>
      </c>
      <c r="I104" t="n">
        <v>33883.294</v>
      </c>
      <c r="J104" t="n">
        <v>34508.799</v>
      </c>
      <c r="K104" t="n">
        <v>37677.875</v>
      </c>
      <c r="L104" t="n">
        <v>37168.493</v>
      </c>
      <c r="M104" t="n">
        <v>36818.161</v>
      </c>
      <c r="N104" t="n">
        <v>40025.036</v>
      </c>
      <c r="O104" t="n">
        <v>41348.556</v>
      </c>
      <c r="P104" t="n">
        <v>42269.548</v>
      </c>
      <c r="Q104" t="n">
        <v>44220.898</v>
      </c>
      <c r="R104" t="n">
        <v>44071.564</v>
      </c>
      <c r="S104" t="n">
        <v>45822.963</v>
      </c>
      <c r="T104" t="n">
        <v>48346.069</v>
      </c>
      <c r="U104" t="n">
        <v>48642.955496</v>
      </c>
      <c r="V104" t="n">
        <v>50606.591275</v>
      </c>
      <c r="W104" t="n">
        <v>51931.40534</v>
      </c>
      <c r="X104" t="n">
        <v>54387.264573</v>
      </c>
      <c r="Y104" t="n">
        <v>52757.233806</v>
      </c>
      <c r="Z104" t="n">
        <v>53044.659038</v>
      </c>
      <c r="AA104" t="n">
        <v>54685.693747</v>
      </c>
      <c r="AB104" t="n">
        <v>55605.560395</v>
      </c>
      <c r="AC104" t="n">
        <v>56363.733937</v>
      </c>
      <c r="AD104" t="n">
        <v>57474.915256</v>
      </c>
    </row>
    <row r="105">
      <c r="B105" s="8" t="inlineStr">
        <is>
          <t>rwa_cred</t>
        </is>
      </c>
      <c r="C105" s="9" t="inlineStr">
        <is>
          <t>RWA de crédito</t>
        </is>
      </c>
      <c r="D105" s="2" t="inlineStr">
        <is>
          <t>Séries Históricas 2T26 (RI ABC) aba "Adequação de Capital - Capital" l.22 · fonte · moeda</t>
        </is>
      </c>
      <c r="E105" t="n">
        <v>29620.95</v>
      </c>
      <c r="F105" t="n">
        <v>30171.365</v>
      </c>
      <c r="G105" t="n">
        <v>30359.438</v>
      </c>
      <c r="H105" t="n">
        <v>28854.946</v>
      </c>
      <c r="I105" t="n">
        <v>30293.081</v>
      </c>
      <c r="J105" t="n">
        <v>30550.477</v>
      </c>
      <c r="K105" t="n">
        <v>32439.839</v>
      </c>
      <c r="L105" t="n">
        <v>32929.842</v>
      </c>
      <c r="M105" t="n">
        <v>32222.417</v>
      </c>
      <c r="N105" t="n">
        <v>35036.807</v>
      </c>
      <c r="O105" t="n">
        <v>36150.483</v>
      </c>
      <c r="P105" t="n">
        <v>37220.79</v>
      </c>
      <c r="Q105" t="n">
        <v>38675.229</v>
      </c>
      <c r="R105" t="n">
        <v>38110.357</v>
      </c>
      <c r="S105" t="n">
        <v>37696.52</v>
      </c>
      <c r="T105" t="n">
        <v>40051.359</v>
      </c>
      <c r="U105" t="n">
        <v>40801.635057</v>
      </c>
      <c r="V105" t="n">
        <v>43311.055255</v>
      </c>
      <c r="W105" t="n">
        <v>43959.412203</v>
      </c>
      <c r="X105" t="n">
        <v>45887.483598</v>
      </c>
      <c r="Y105" t="n">
        <v>45144.337</v>
      </c>
      <c r="Z105" t="n">
        <v>45660.308397</v>
      </c>
      <c r="AA105" t="n">
        <v>46916.319641</v>
      </c>
      <c r="AB105" t="n">
        <v>47588.997008</v>
      </c>
      <c r="AC105" t="n">
        <v>47910.897025</v>
      </c>
      <c r="AD105" t="n">
        <v>48923.536369</v>
      </c>
    </row>
    <row r="106">
      <c r="B106" s="8" t="inlineStr">
        <is>
          <t>rwa_mkt</t>
        </is>
      </c>
      <c r="C106" s="9" t="inlineStr">
        <is>
          <t>RWA de mercado</t>
        </is>
      </c>
      <c r="D106" s="2" t="inlineStr">
        <is>
          <t>Séries Históricas 2T26 (RI ABC) aba "Adequação de Capital - Capital" l.23 · fonte · moeda</t>
        </is>
      </c>
      <c r="E106" t="n">
        <v>3848.88</v>
      </c>
      <c r="F106" t="n">
        <v>1789.85</v>
      </c>
      <c r="G106" t="n">
        <v>1854.894</v>
      </c>
      <c r="H106" t="n">
        <v>1311.017</v>
      </c>
      <c r="I106" t="n">
        <v>1606.404</v>
      </c>
      <c r="J106" t="n">
        <v>1974.513</v>
      </c>
      <c r="K106" t="n">
        <v>2984.28</v>
      </c>
      <c r="L106" t="n">
        <v>1984.895</v>
      </c>
      <c r="M106" t="n">
        <v>2269.792</v>
      </c>
      <c r="N106" t="n">
        <v>2662.277</v>
      </c>
      <c r="O106" t="n">
        <v>2692.684</v>
      </c>
      <c r="P106" t="n">
        <v>2543.369</v>
      </c>
      <c r="Q106" t="n">
        <v>2837.013</v>
      </c>
      <c r="R106" t="n">
        <v>3252.551</v>
      </c>
      <c r="S106" t="n">
        <v>4751.015</v>
      </c>
      <c r="T106" t="n">
        <v>4919.282</v>
      </c>
      <c r="U106" t="n">
        <v>4476.900245</v>
      </c>
      <c r="V106" t="n">
        <v>3931.115826</v>
      </c>
      <c r="W106" t="n">
        <v>4503.096742</v>
      </c>
      <c r="X106" t="n">
        <v>5030.884579</v>
      </c>
      <c r="Y106" t="n">
        <v>4210.076806</v>
      </c>
      <c r="Z106" t="n">
        <v>3981.53103</v>
      </c>
      <c r="AA106" t="n">
        <v>4437.916816</v>
      </c>
      <c r="AB106" t="n">
        <v>4685.106096</v>
      </c>
      <c r="AC106" t="n">
        <v>5121.379621</v>
      </c>
      <c r="AD106" t="n">
        <v>5075.934198</v>
      </c>
    </row>
    <row r="107">
      <c r="B107" s="8" t="inlineStr">
        <is>
          <t>rwa_op</t>
        </is>
      </c>
      <c r="C107" s="9" t="inlineStr">
        <is>
          <t>RWA operacional</t>
        </is>
      </c>
      <c r="D107" s="2" t="inlineStr">
        <is>
          <t>Séries Históricas 2T26 (RI ABC) aba "Adequação de Capital - Capital" l.24 · fonte · moeda</t>
        </is>
      </c>
      <c r="E107" t="n">
        <v>2195.289</v>
      </c>
      <c r="F107" t="n">
        <v>2195.289</v>
      </c>
      <c r="G107" t="n">
        <v>1805.856</v>
      </c>
      <c r="H107" t="n">
        <v>1805.855</v>
      </c>
      <c r="I107" t="n">
        <v>1983.809</v>
      </c>
      <c r="J107" t="n">
        <v>1983.809</v>
      </c>
      <c r="K107" t="n">
        <v>2253.756</v>
      </c>
      <c r="L107" t="n">
        <v>2253.756</v>
      </c>
      <c r="M107" t="n">
        <v>2325.952</v>
      </c>
      <c r="N107" t="n">
        <v>2325.952</v>
      </c>
      <c r="O107" t="n">
        <v>2505.389</v>
      </c>
      <c r="P107" t="n">
        <v>2505.389</v>
      </c>
      <c r="Q107" t="n">
        <v>2708.656</v>
      </c>
      <c r="R107" t="n">
        <v>2708.656</v>
      </c>
      <c r="S107" t="n">
        <v>3375.428</v>
      </c>
      <c r="T107" t="n">
        <v>3375.428</v>
      </c>
      <c r="U107" t="n">
        <v>3364.420194</v>
      </c>
      <c r="V107" t="n">
        <v>3364.420194</v>
      </c>
      <c r="W107" t="n">
        <v>3468.896396</v>
      </c>
      <c r="X107" t="n">
        <v>3468.896396</v>
      </c>
      <c r="Y107" t="n">
        <v>3402.82</v>
      </c>
      <c r="Z107" t="n">
        <v>3402.819611</v>
      </c>
      <c r="AA107" t="n">
        <v>3331.457291</v>
      </c>
      <c r="AB107" t="n">
        <v>3331.457291</v>
      </c>
      <c r="AC107" t="n">
        <v>3331.457291</v>
      </c>
      <c r="AD107" t="n">
        <v>3475.44469</v>
      </c>
    </row>
    <row r="108">
      <c r="B108" s="8" t="inlineStr">
        <is>
          <t>pr</t>
        </is>
      </c>
      <c r="C108" s="9" t="inlineStr">
        <is>
          <t>Patrimônio de Referência (PR)</t>
        </is>
      </c>
      <c r="D108" s="2" t="inlineStr">
        <is>
          <t>Séries Históricas 2T26 (RI ABC) aba "Adequação de Capital - Capital" l.11 · fonte · moeda</t>
        </is>
      </c>
      <c r="E108" t="n">
        <v>5227.236141</v>
      </c>
      <c r="F108" t="n">
        <v>5370.656959</v>
      </c>
      <c r="G108" t="n">
        <v>5343.739283</v>
      </c>
      <c r="H108" t="n">
        <v>5388.427276</v>
      </c>
      <c r="I108" t="n">
        <v>5400.672865</v>
      </c>
      <c r="J108" t="n">
        <v>5481.870388</v>
      </c>
      <c r="K108" t="n">
        <v>5504.329782</v>
      </c>
      <c r="L108" t="n">
        <v>5609.360854</v>
      </c>
      <c r="M108" t="n">
        <v>5552.220124</v>
      </c>
      <c r="N108" t="n">
        <v>5992.182042</v>
      </c>
      <c r="O108" t="n">
        <v>6089.29222</v>
      </c>
      <c r="P108" t="n">
        <v>6439.379126</v>
      </c>
      <c r="Q108" t="n">
        <v>6551.663805</v>
      </c>
      <c r="R108" t="n">
        <v>6592.685356</v>
      </c>
      <c r="S108" t="n">
        <v>6699.076664</v>
      </c>
      <c r="T108" t="n">
        <v>7225.300022</v>
      </c>
      <c r="U108" t="n">
        <v>8061.960449</v>
      </c>
      <c r="V108" t="n">
        <v>8254.526379999999</v>
      </c>
      <c r="W108" t="n">
        <v>8345.251528000001</v>
      </c>
      <c r="X108" t="n">
        <v>8961.598205</v>
      </c>
      <c r="Y108" t="n">
        <v>9071.821881</v>
      </c>
      <c r="Z108" t="n">
        <v>9174.218873</v>
      </c>
      <c r="AA108" t="n">
        <v>9138.41833</v>
      </c>
      <c r="AB108" t="n">
        <v>9055.204148000001</v>
      </c>
      <c r="AC108" t="n">
        <v>8947.079535999999</v>
      </c>
      <c r="AD108" t="n">
        <v>9299.605699</v>
      </c>
    </row>
    <row r="109">
      <c r="B109" s="8" t="inlineStr">
        <is>
          <t>nivel1</t>
        </is>
      </c>
      <c r="C109" s="9" t="inlineStr">
        <is>
          <t>Capital Nível I</t>
        </is>
      </c>
      <c r="D109" s="2" t="inlineStr">
        <is>
          <t>Séries Históricas 2T26 (RI ABC) aba "Sumário - Summary" l.57 Capital de Nível 1 (desde 1T21) · fonte · moeda</t>
        </is>
      </c>
      <c r="I109" t="n">
        <v>4736.615076</v>
      </c>
      <c r="J109" t="n">
        <v>4850.167749</v>
      </c>
      <c r="K109" t="n">
        <v>4956.287839</v>
      </c>
      <c r="L109" t="n">
        <v>5066.247752</v>
      </c>
      <c r="M109" t="n">
        <v>4973.905973</v>
      </c>
      <c r="N109" t="n">
        <v>5256.855644</v>
      </c>
      <c r="O109" t="n">
        <v>5430.154</v>
      </c>
      <c r="P109" t="n">
        <v>5543.499205</v>
      </c>
      <c r="Q109" t="n">
        <v>5645.381745</v>
      </c>
      <c r="R109" t="n">
        <v>5688.665766</v>
      </c>
      <c r="T109" t="n">
        <v>6145.692386</v>
      </c>
      <c r="U109" t="n">
        <v>6722.654562</v>
      </c>
      <c r="V109" t="n">
        <v>6975.70465</v>
      </c>
      <c r="W109" t="n">
        <v>7088.423927</v>
      </c>
      <c r="X109" t="n">
        <v>7687.867437</v>
      </c>
      <c r="Y109" t="n">
        <v>7777.63457</v>
      </c>
      <c r="Z109" t="n">
        <v>7865.887384</v>
      </c>
      <c r="AA109" t="n">
        <v>7811.172045</v>
      </c>
      <c r="AB109" t="n">
        <v>7696.707794</v>
      </c>
      <c r="AC109" t="n">
        <v>7559.012791</v>
      </c>
      <c r="AD109" t="n">
        <v>7894.180096</v>
      </c>
    </row>
    <row r="110">
      <c r="B110" s="8" t="inlineStr">
        <is>
          <t>cet1</t>
        </is>
      </c>
      <c r="C110" s="9" t="inlineStr">
        <is>
          <t>Capital Principal (CET1)</t>
        </is>
      </c>
      <c r="D110" s="2" t="inlineStr">
        <is>
          <t>Séries Históricas 2T26 (RI ABC) aba "Sumário - Summary" l.58 Capital principal (desde 1T21) · fonte · moeda</t>
        </is>
      </c>
      <c r="I110" t="n">
        <v>4253.188285</v>
      </c>
      <c r="J110" t="n">
        <v>4362.085931</v>
      </c>
      <c r="K110" t="n">
        <v>4469.700375</v>
      </c>
      <c r="L110" t="n">
        <v>4575.578662</v>
      </c>
      <c r="M110" t="n">
        <v>4468.562837</v>
      </c>
      <c r="N110" t="n">
        <v>4733.385601</v>
      </c>
      <c r="O110" t="n">
        <v>4920.251964</v>
      </c>
      <c r="P110" t="n">
        <v>5038.461728</v>
      </c>
      <c r="Q110" t="n">
        <v>5120.183623</v>
      </c>
      <c r="R110" t="n">
        <v>5143.070253</v>
      </c>
      <c r="T110" t="n">
        <v>5643.235504</v>
      </c>
      <c r="U110" t="n">
        <v>5700.973405</v>
      </c>
      <c r="V110" t="n">
        <v>5921.836861</v>
      </c>
      <c r="W110" t="n">
        <v>6045.111548</v>
      </c>
      <c r="X110" t="n">
        <v>6120.200118</v>
      </c>
      <c r="Y110" t="n">
        <v>6154.217128</v>
      </c>
      <c r="Z110" t="n">
        <v>6259.732557</v>
      </c>
      <c r="AA110" t="n">
        <v>6494.562338</v>
      </c>
      <c r="AB110" t="n">
        <v>6618.731329</v>
      </c>
      <c r="AC110" t="n">
        <v>6438.707854</v>
      </c>
      <c r="AD110" t="n">
        <v>6822.339227</v>
      </c>
    </row>
    <row r="111">
      <c r="B111" s="8" t="inlineStr">
        <is>
          <t>ib_rep</t>
        </is>
      </c>
      <c r="C111" s="9" t="inlineStr">
        <is>
          <t>Índice de Basileia reportado (%)</t>
        </is>
      </c>
      <c r="D111" s="2" t="inlineStr">
        <is>
          <t>Séries Históricas 2T26 (RI ABC) aba "Adequação de Capital - Capital" l.15 · fonte · pct</t>
        </is>
      </c>
      <c r="E111" t="n">
        <v>0.146564</v>
      </c>
      <c r="F111" t="n">
        <v>0.157237</v>
      </c>
      <c r="G111" t="n">
        <v>0.157076</v>
      </c>
      <c r="H111" t="n">
        <v>0.168537</v>
      </c>
      <c r="I111" t="n">
        <v>0.15939</v>
      </c>
      <c r="J111" t="n">
        <v>0.158854</v>
      </c>
      <c r="K111" t="n">
        <v>0.146089</v>
      </c>
      <c r="L111" t="n">
        <v>0.150917</v>
      </c>
      <c r="M111" t="n">
        <v>0.150801</v>
      </c>
      <c r="N111" t="n">
        <v>0.149711</v>
      </c>
      <c r="O111" t="n">
        <v>0.147267</v>
      </c>
      <c r="P111" t="n">
        <v>0.152341</v>
      </c>
      <c r="Q111" t="n">
        <v>0.148158</v>
      </c>
      <c r="R111" t="n">
        <v>0.149591</v>
      </c>
      <c r="S111" t="n">
        <v>0.146195</v>
      </c>
      <c r="T111" t="n">
        <v>0.14945</v>
      </c>
      <c r="U111" t="n">
        <v>0.165737</v>
      </c>
      <c r="V111" t="n">
        <v>0.163112</v>
      </c>
      <c r="W111" t="n">
        <v>0.160698</v>
      </c>
      <c r="X111" t="n">
        <v>0.164774</v>
      </c>
      <c r="Y111" t="n">
        <v>0.171954</v>
      </c>
      <c r="Z111" t="n">
        <v>0.172953</v>
      </c>
      <c r="AA111" t="n">
        <v>0.167108</v>
      </c>
      <c r="AB111" t="n">
        <v>0.162847</v>
      </c>
      <c r="AC111" t="n">
        <v>0.158738</v>
      </c>
      <c r="AD111" t="n">
        <v>0.161803</v>
      </c>
    </row>
    <row r="112">
      <c r="B112" s="8" t="inlineStr">
        <is>
          <t>in1_rep</t>
        </is>
      </c>
      <c r="C112" s="9" t="inlineStr">
        <is>
          <t>Índice de Nível I reportado (%)</t>
        </is>
      </c>
      <c r="D112" s="2" t="inlineStr">
        <is>
          <t>Séries Históricas 2T26 (RI ABC) aba "Adequação de Capital - Capital" l.16 · fonte · pct</t>
        </is>
      </c>
      <c r="E112" t="n">
        <v>0.121728</v>
      </c>
      <c r="F112" t="n">
        <v>0.133206</v>
      </c>
      <c r="G112" t="n">
        <v>0.135583</v>
      </c>
      <c r="H112" t="n">
        <v>0.146957</v>
      </c>
      <c r="I112" t="n">
        <v>0.139792</v>
      </c>
      <c r="J112" t="n">
        <v>0.140549</v>
      </c>
      <c r="K112" t="n">
        <v>0.131544</v>
      </c>
      <c r="L112" t="n">
        <v>0.136305</v>
      </c>
      <c r="M112" t="n">
        <v>0.135094</v>
      </c>
      <c r="N112" t="n">
        <v>0.131339</v>
      </c>
      <c r="O112" t="n">
        <v>0.131326</v>
      </c>
      <c r="P112" t="n">
        <v>0.131146</v>
      </c>
      <c r="Q112" t="n">
        <v>0.127663</v>
      </c>
      <c r="R112" t="n">
        <v>0.129078</v>
      </c>
      <c r="S112" t="n">
        <v>0.127437</v>
      </c>
      <c r="T112" t="n">
        <v>0.127119</v>
      </c>
      <c r="U112" t="n">
        <v>0.138204</v>
      </c>
      <c r="V112" t="n">
        <v>0.137842</v>
      </c>
      <c r="W112" t="n">
        <v>0.136496</v>
      </c>
      <c r="X112" t="n">
        <v>0.141354</v>
      </c>
      <c r="Y112" t="n">
        <v>0.147423</v>
      </c>
      <c r="Z112" t="n">
        <v>0.148288</v>
      </c>
      <c r="AA112" t="n">
        <v>0.142838</v>
      </c>
      <c r="AB112" t="n">
        <v>0.138416</v>
      </c>
      <c r="AC112" t="n">
        <v>0.134111</v>
      </c>
      <c r="AD112" t="n">
        <v>0.13735</v>
      </c>
    </row>
    <row r="113">
      <c r="B113" s="8" t="inlineStr">
        <is>
          <t>icp_rep</t>
        </is>
      </c>
      <c r="C113" s="9" t="inlineStr">
        <is>
          <t>Índice de Capital Principal reportado (%)</t>
        </is>
      </c>
      <c r="D113" s="2" t="inlineStr">
        <is>
          <t>Séries Históricas 2T26 (RI ABC) aba "Adequação de Capital - Capital" l.17 · fonte · pct</t>
        </is>
      </c>
      <c r="E113" t="n">
        <v>0.107476</v>
      </c>
      <c r="F113" t="n">
        <v>0.118189</v>
      </c>
      <c r="G113" t="n">
        <v>0.121163</v>
      </c>
      <c r="H113" t="n">
        <v>0.131926</v>
      </c>
      <c r="I113" t="n">
        <v>0.125525</v>
      </c>
      <c r="J113" t="n">
        <v>0.126405</v>
      </c>
      <c r="K113" t="n">
        <v>0.118629</v>
      </c>
      <c r="L113" t="n">
        <v>0.123104</v>
      </c>
      <c r="M113" t="n">
        <v>0.121368</v>
      </c>
      <c r="N113" t="n">
        <v>0.118261</v>
      </c>
      <c r="O113" t="n">
        <v>0.118995</v>
      </c>
      <c r="P113" t="n">
        <v>0.119198</v>
      </c>
      <c r="Q113" t="n">
        <v>0.115787</v>
      </c>
      <c r="R113" t="n">
        <v>0.116698</v>
      </c>
      <c r="S113" t="n">
        <v>0.116207</v>
      </c>
      <c r="T113" t="n">
        <v>0.116726</v>
      </c>
      <c r="U113" t="n">
        <v>0.1172</v>
      </c>
      <c r="V113" t="n">
        <v>0.117017</v>
      </c>
      <c r="W113" t="n">
        <v>0.116406</v>
      </c>
      <c r="X113" t="n">
        <v>0.11253</v>
      </c>
      <c r="Y113" t="n">
        <v>0.116652</v>
      </c>
      <c r="Z113" t="n">
        <v>0.118009</v>
      </c>
      <c r="AA113" t="n">
        <v>0.118762</v>
      </c>
      <c r="AB113" t="n">
        <v>0.11903</v>
      </c>
      <c r="AC113" t="n">
        <v>0.114235</v>
      </c>
      <c r="AD113" t="n">
        <v>0.118701</v>
      </c>
    </row>
    <row r="114">
      <c r="B114" s="8" t="inlineStr">
        <is>
          <t>alav</t>
        </is>
      </c>
      <c r="C114" s="9" t="inlineStr">
        <is>
          <t>Razão de Alavancagem (%)</t>
        </is>
      </c>
      <c r="D114" s="2" t="inlineStr">
        <is>
          <t>[vazio] não está na planilha</t>
        </is>
      </c>
    </row>
    <row r="115">
      <c r="B115" s="8" t="inlineStr">
        <is>
          <t>lcr</t>
        </is>
      </c>
      <c r="C115" s="9" t="inlineStr">
        <is>
          <t>LCR (%)</t>
        </is>
      </c>
      <c r="D115" s="2" t="inlineStr">
        <is>
          <t>[vazio] idem</t>
        </is>
      </c>
    </row>
    <row r="116">
      <c r="B116" s="8" t="inlineStr">
        <is>
          <t>nsfr</t>
        </is>
      </c>
      <c r="C116" s="9" t="inlineStr">
        <is>
          <t>NSFR (%)</t>
        </is>
      </c>
      <c r="D116" s="2" t="inlineStr">
        <is>
          <t>[vazio] idem</t>
        </is>
      </c>
    </row>
    <row r="117">
      <c r="B117" s="8" t="inlineStr">
        <is>
          <t>acoes</t>
        </is>
      </c>
      <c r="C117" s="9" t="inlineStr">
        <is>
          <t>Ações ex-tesouraria no fim do período (milhões)</t>
        </is>
      </c>
      <c r="D117" s="2" t="inlineStr">
        <is>
          <t>Séries Históricas 2T26 (RI ABC) aba "Sumário - Summary" l.22 Número de ações ex-tesouraria (convertido para milhões; desde 1T21) · fonte · un</t>
        </is>
      </c>
      <c r="I117" t="n">
        <v>215.66015</v>
      </c>
      <c r="J117" t="n">
        <v>220.134383</v>
      </c>
      <c r="K117" t="n">
        <v>220.007594</v>
      </c>
      <c r="L117" t="n">
        <v>220.092561</v>
      </c>
      <c r="M117" t="n">
        <v>220.142613</v>
      </c>
      <c r="N117" t="n">
        <v>220.449141</v>
      </c>
      <c r="O117" t="n">
        <v>220.835816</v>
      </c>
      <c r="P117" t="n">
        <v>220.852807</v>
      </c>
      <c r="Q117" t="n">
        <v>221.282841</v>
      </c>
      <c r="R117" t="n">
        <v>221.099621</v>
      </c>
      <c r="T117" t="n">
        <v>232.550368</v>
      </c>
      <c r="U117" t="n">
        <v>233.372404</v>
      </c>
      <c r="V117" t="n">
        <v>240.095061</v>
      </c>
      <c r="W117" t="n">
        <v>240.192959</v>
      </c>
      <c r="X117" t="n">
        <v>240.295897</v>
      </c>
      <c r="Y117" t="n">
        <v>240.526177</v>
      </c>
      <c r="Z117" t="n">
        <v>240.631922</v>
      </c>
      <c r="AA117" t="n">
        <v>241.072503</v>
      </c>
      <c r="AB117" t="n">
        <v>241.176845</v>
      </c>
      <c r="AC117" t="n">
        <v>241.983677</v>
      </c>
      <c r="AD117" t="n">
        <v>257.699789</v>
      </c>
    </row>
    <row r="118">
      <c r="B118" s="8" t="inlineStr">
        <is>
          <t>div_decl</t>
        </is>
      </c>
      <c r="C118" s="9" t="inlineStr">
        <is>
          <t>Dividendos declarados no período</t>
        </is>
      </c>
      <c r="D118" s="2" t="inlineStr">
        <is>
          <t>[vazio] ABC remunera via JCP</t>
        </is>
      </c>
    </row>
    <row r="119">
      <c r="B119" s="8" t="inlineStr">
        <is>
          <t>jcp_decl</t>
        </is>
      </c>
      <c r="C119" s="9" t="inlineStr">
        <is>
          <t>Juros sobre capital próprio declarados</t>
        </is>
      </c>
      <c r="D119" s="2" t="inlineStr">
        <is>
          <t>Séries Históricas 2T26 (RI ABC) aba "Sumário - Summary" l.30 JCP declarado (desde 1T21) · fonte · moeda</t>
        </is>
      </c>
      <c r="I119" t="n">
        <v>45.935612</v>
      </c>
      <c r="J119" t="n">
        <v>48.20943</v>
      </c>
      <c r="K119" t="n">
        <v>51.041762</v>
      </c>
      <c r="L119" t="n">
        <v>55.463325</v>
      </c>
      <c r="M119" t="n">
        <v>68.90463800000001</v>
      </c>
      <c r="N119" t="n">
        <v>77.59809799999999</v>
      </c>
      <c r="O119" t="n">
        <v>79.942565</v>
      </c>
      <c r="P119" t="n">
        <v>81.71553900000001</v>
      </c>
      <c r="Q119" t="n">
        <v>0</v>
      </c>
      <c r="R119" t="n">
        <v>184.839283</v>
      </c>
      <c r="T119" t="n">
        <v>172.319823</v>
      </c>
      <c r="U119" t="n">
        <v>0</v>
      </c>
      <c r="V119" t="n">
        <v>188.474582</v>
      </c>
      <c r="W119" t="n">
        <v>0</v>
      </c>
      <c r="X119" t="n">
        <v>206.654471</v>
      </c>
      <c r="Y119" t="n">
        <v>0</v>
      </c>
      <c r="Z119" t="n">
        <v>261.326267</v>
      </c>
      <c r="AA119" t="n">
        <v>0</v>
      </c>
      <c r="AB119" t="n">
        <v>369.482927</v>
      </c>
      <c r="AC119" t="n">
        <v>0</v>
      </c>
      <c r="AD119" t="n">
        <v>300.993354</v>
      </c>
    </row>
    <row r="120">
      <c r="B120" s="8" t="inlineStr">
        <is>
          <t>preco</t>
        </is>
      </c>
      <c r="C120" s="9" t="inlineStr">
        <is>
          <t>Preço da ação no fechamento</t>
        </is>
      </c>
      <c r="D120" s="2" t="inlineStr">
        <is>
          <t>Séries Históricas 2T26 (RI ABC) aba "Sumário - Summary" l.25 Cotação ABCB4 (R$; desde 1T21) · fonte · un</t>
        </is>
      </c>
      <c r="I120" t="n">
        <v>14.5</v>
      </c>
      <c r="J120" t="n">
        <v>15.88</v>
      </c>
      <c r="K120" t="n">
        <v>14.89</v>
      </c>
      <c r="L120" t="n">
        <v>15.87</v>
      </c>
      <c r="M120" t="n">
        <v>17.23</v>
      </c>
      <c r="N120" t="n">
        <v>15.52</v>
      </c>
      <c r="O120" t="n">
        <v>20.9</v>
      </c>
      <c r="P120" t="n">
        <v>19.64</v>
      </c>
      <c r="Q120" t="n">
        <v>16.83</v>
      </c>
      <c r="R120" t="n">
        <v>19.07</v>
      </c>
      <c r="S120" t="n">
        <v>0</v>
      </c>
      <c r="T120" t="n">
        <v>25.04</v>
      </c>
      <c r="U120" t="n">
        <v>24.23</v>
      </c>
      <c r="V120" t="n">
        <v>22.14</v>
      </c>
      <c r="W120" t="n">
        <v>21.79</v>
      </c>
      <c r="X120" t="n">
        <v>19.31</v>
      </c>
      <c r="Y120" t="n">
        <v>20.5</v>
      </c>
      <c r="Z120" t="n">
        <v>22.39</v>
      </c>
      <c r="AA120" t="n">
        <v>23.25</v>
      </c>
      <c r="AB120" t="n">
        <v>23.7</v>
      </c>
      <c r="AC120" t="n">
        <v>25.4</v>
      </c>
      <c r="AD120" t="n">
        <v>23.77</v>
      </c>
    </row>
    <row r="121">
      <c r="B121" s="8" t="inlineStr">
        <is>
          <t>funcion</t>
        </is>
      </c>
      <c r="C121" s="9" t="inlineStr">
        <is>
          <t>Número de colaboradores</t>
        </is>
      </c>
      <c r="D121" s="2" t="inlineStr">
        <is>
          <t>Séries Históricas 2T26 (RI ABC) aba "Sumário - Summary" l.68 Colaboradores (desde 1T21) · fonte · un</t>
        </is>
      </c>
      <c r="I121" t="n">
        <v>776</v>
      </c>
      <c r="J121" t="n">
        <v>843</v>
      </c>
      <c r="K121" t="n">
        <v>856</v>
      </c>
      <c r="L121" t="n">
        <v>899</v>
      </c>
      <c r="M121" t="n">
        <v>986</v>
      </c>
      <c r="N121" t="n">
        <v>1111</v>
      </c>
      <c r="O121" t="n">
        <v>1151</v>
      </c>
      <c r="P121" t="n">
        <v>1193</v>
      </c>
      <c r="Q121" t="n">
        <v>1191</v>
      </c>
      <c r="R121" t="n">
        <v>1235</v>
      </c>
      <c r="T121" t="n">
        <v>1257</v>
      </c>
      <c r="U121" t="n">
        <v>1276</v>
      </c>
      <c r="V121" t="n">
        <v>1294</v>
      </c>
      <c r="W121" t="n">
        <v>1293</v>
      </c>
      <c r="X121" t="n">
        <v>1300</v>
      </c>
      <c r="Y121" t="n">
        <v>1291</v>
      </c>
      <c r="Z121" t="n">
        <v>1295</v>
      </c>
      <c r="AA121" t="n">
        <v>1298</v>
      </c>
      <c r="AB121" t="n">
        <v>1328</v>
      </c>
      <c r="AC121" t="n">
        <v>1343</v>
      </c>
      <c r="AD121" t="n">
        <v>1357</v>
      </c>
    </row>
    <row r="122">
      <c r="B122" s="8" t="inlineStr">
        <is>
          <t>agencias</t>
        </is>
      </c>
      <c r="C122" s="9" t="inlineStr">
        <is>
          <t>Número de agências e postos de atendimento</t>
        </is>
      </c>
      <c r="D122" s="2" t="inlineStr">
        <is>
          <t>[vazio] não divulgado</t>
        </is>
      </c>
    </row>
    <row r="123">
      <c r="B123" s="8" t="inlineStr">
        <is>
          <t>clientes</t>
        </is>
      </c>
      <c r="C123" s="9" t="inlineStr">
        <is>
          <t>Base de clientes (mil)</t>
        </is>
      </c>
      <c r="D123" s="2" t="inlineStr">
        <is>
          <t>Séries Históricas 2T26 (RI ABC) aba "Sumário - Summary" l.67 Clientes corporativos (convertido para mil; desde 1T21) · fonte · un</t>
        </is>
      </c>
      <c r="I123" t="n">
        <v>2.788</v>
      </c>
      <c r="J123" t="n">
        <v>3.022</v>
      </c>
      <c r="K123" t="n">
        <v>3.169</v>
      </c>
      <c r="L123" t="n">
        <v>3.49</v>
      </c>
      <c r="M123" t="n">
        <v>3.441</v>
      </c>
      <c r="N123" t="n">
        <v>3.988</v>
      </c>
      <c r="O123" t="n">
        <v>4.309</v>
      </c>
      <c r="P123" t="n">
        <v>4.494</v>
      </c>
      <c r="Q123" t="n">
        <v>4.395</v>
      </c>
      <c r="R123" t="n">
        <v>4.58</v>
      </c>
      <c r="T123" t="n">
        <v>4.93</v>
      </c>
      <c r="U123" t="n">
        <v>4.894</v>
      </c>
      <c r="V123" t="n">
        <v>4.946</v>
      </c>
      <c r="W123" t="n">
        <v>5.033</v>
      </c>
      <c r="X123" t="n">
        <v>5.207</v>
      </c>
      <c r="Y123" t="n">
        <v>4.854</v>
      </c>
      <c r="Z123" t="n">
        <v>4.753</v>
      </c>
      <c r="AA123" t="n">
        <v>4.699</v>
      </c>
      <c r="AB123" t="n">
        <v>4.676</v>
      </c>
      <c r="AC123" t="n">
        <v>4.525</v>
      </c>
      <c r="AD123" t="n">
        <v>4.467</v>
      </c>
    </row>
    <row r="124">
      <c r="B124" s="8" t="inlineStr">
        <is>
          <t>cart_cartao</t>
        </is>
      </c>
      <c r="C124" s="9" t="inlineStr">
        <is>
          <t>Cartão de crédito</t>
        </is>
      </c>
      <c r="D124" s="2" t="inlineStr">
        <is>
          <t>[vazio] idem</t>
        </is>
      </c>
    </row>
    <row r="125">
      <c r="B125" s="8" t="inlineStr">
        <is>
          <t>cart_consig</t>
        </is>
      </c>
      <c r="C125" s="9" t="inlineStr">
        <is>
          <t>Crédito consignado</t>
        </is>
      </c>
      <c r="D125" s="2" t="inlineStr">
        <is>
          <t>[vazio] idem</t>
        </is>
      </c>
    </row>
    <row r="126">
      <c r="B126" s="8" t="inlineStr">
        <is>
          <t>cart_veic</t>
        </is>
      </c>
      <c r="C126" s="9" t="inlineStr">
        <is>
          <t>Veículos</t>
        </is>
      </c>
      <c r="D126" s="2" t="inlineStr">
        <is>
          <t>[vazio] idem</t>
        </is>
      </c>
    </row>
    <row r="127">
      <c r="B127" s="8" t="inlineStr">
        <is>
          <t>cart_imob</t>
        </is>
      </c>
      <c r="C127" s="9" t="inlineStr">
        <is>
          <t>Imobiliário</t>
        </is>
      </c>
      <c r="D127" s="2" t="inlineStr">
        <is>
          <t>[vazio] idem</t>
        </is>
      </c>
    </row>
    <row r="128">
      <c r="B128" s="8" t="inlineStr">
        <is>
          <t>cart_rural</t>
        </is>
      </c>
      <c r="C128" s="9" t="inlineStr">
        <is>
          <t>Rural e agronegócio</t>
        </is>
      </c>
      <c r="D128" s="2" t="inlineStr">
        <is>
          <t>[vazio] idem</t>
        </is>
      </c>
    </row>
    <row r="129">
      <c r="B129" s="8" t="inlineStr">
        <is>
          <t>cart_pf_out</t>
        </is>
      </c>
      <c r="C129" s="9" t="inlineStr">
        <is>
          <t>Demais pessoa física</t>
        </is>
      </c>
      <c r="D129" s="2" t="inlineStr">
        <is>
          <t>[vazio] idem</t>
        </is>
      </c>
    </row>
    <row r="130">
      <c r="B130" s="8" t="inlineStr">
        <is>
          <t>cart_mpe</t>
        </is>
      </c>
      <c r="C130" s="9" t="inlineStr">
        <is>
          <t>Micro, pequenas e médias empresas</t>
        </is>
      </c>
      <c r="D130" s="2" t="inlineStr">
        <is>
          <t>Séries Históricas 2T26 (RI ABC): segmento Middle (faturamento R$30 a R$500 mi) · fonte · moeda</t>
        </is>
      </c>
      <c r="E130" t="n">
        <v>847.18765</v>
      </c>
      <c r="F130" t="n">
        <v>886.391672</v>
      </c>
      <c r="G130" t="n">
        <v>1522.142229</v>
      </c>
      <c r="H130" t="n">
        <v>2122.982337</v>
      </c>
      <c r="I130" t="n">
        <v>2227.959387</v>
      </c>
      <c r="J130" t="n">
        <v>2419.320689</v>
      </c>
      <c r="K130" t="n">
        <v>2653.876096</v>
      </c>
      <c r="L130" t="n">
        <v>2971.758741</v>
      </c>
      <c r="M130" t="n">
        <v>2876.267447</v>
      </c>
      <c r="N130" t="n">
        <v>3243.814459</v>
      </c>
      <c r="O130" t="n">
        <v>3934.256017</v>
      </c>
      <c r="P130" t="n">
        <v>4163.460146</v>
      </c>
      <c r="Q130" t="n">
        <v>3968.201984</v>
      </c>
      <c r="R130" t="n">
        <v>3963.586539</v>
      </c>
      <c r="S130" t="n">
        <v>4142.124028</v>
      </c>
      <c r="T130" t="n">
        <v>4266.606409</v>
      </c>
      <c r="U130" t="n">
        <v>4053.700364</v>
      </c>
      <c r="V130" t="n">
        <v>4036.372044</v>
      </c>
      <c r="W130" t="n">
        <v>4073.181455</v>
      </c>
      <c r="X130" t="n">
        <v>4116.059925</v>
      </c>
      <c r="Y130" t="n">
        <v>3910.496585</v>
      </c>
      <c r="Z130" t="n">
        <v>3942.501645</v>
      </c>
      <c r="AA130" t="n">
        <v>4348.328935</v>
      </c>
      <c r="AB130" t="n">
        <v>4734.142492</v>
      </c>
      <c r="AC130" t="n">
        <v>4867.694797</v>
      </c>
      <c r="AD130" t="n">
        <v>5075.657274</v>
      </c>
    </row>
    <row r="131">
      <c r="B131" s="8" t="inlineStr">
        <is>
          <t>cart_grandes</t>
        </is>
      </c>
      <c r="C131" s="9" t="inlineStr">
        <is>
          <t>Grandes empresas</t>
        </is>
      </c>
      <c r="D131" s="2" t="inlineStr">
        <is>
          <t>Séries Históricas 2T26 (RI ABC): segmento Large Corporate / C&amp;IB (faturamento &gt; R$4 bi) · fonte · moeda</t>
        </is>
      </c>
      <c r="E131" t="n">
        <v>12764.079871</v>
      </c>
      <c r="F131" t="n">
        <v>13761.693553</v>
      </c>
      <c r="G131" t="n">
        <v>13372.686751</v>
      </c>
      <c r="H131" t="n">
        <v>13829.295566</v>
      </c>
      <c r="I131" t="n">
        <v>14595.697589</v>
      </c>
      <c r="J131" t="n">
        <v>14002.412976</v>
      </c>
      <c r="K131" t="n">
        <v>14995.776047</v>
      </c>
      <c r="L131" t="n">
        <v>14373.939046</v>
      </c>
      <c r="M131" t="n">
        <v>14075.69872</v>
      </c>
      <c r="N131" t="n">
        <v>14058.918068</v>
      </c>
      <c r="O131" t="n">
        <v>13534.094993</v>
      </c>
      <c r="P131" t="n">
        <v>14594.02981</v>
      </c>
      <c r="Q131" t="n">
        <v>14561.873862</v>
      </c>
      <c r="R131" t="n">
        <v>14022.144874</v>
      </c>
      <c r="S131" t="n">
        <v>13749.742322</v>
      </c>
      <c r="T131" t="n">
        <v>14658.358051</v>
      </c>
      <c r="U131" t="n">
        <v>15556.488448</v>
      </c>
      <c r="V131" t="n">
        <v>16305.424018</v>
      </c>
      <c r="W131" t="n">
        <v>15850.667504</v>
      </c>
      <c r="X131" t="n">
        <v>16379.243299</v>
      </c>
      <c r="Y131" t="n">
        <v>15264.018604</v>
      </c>
      <c r="Z131" t="n">
        <v>16065.85796</v>
      </c>
      <c r="AA131" t="n">
        <v>15806.461073</v>
      </c>
      <c r="AB131" t="n">
        <v>16227.658832</v>
      </c>
      <c r="AC131" t="n">
        <v>16639.248308</v>
      </c>
      <c r="AD131" t="n">
        <v>15704.923908</v>
      </c>
    </row>
    <row r="132">
      <c r="B132" s="8" t="inlineStr">
        <is>
          <t>cart_pj_out</t>
        </is>
      </c>
      <c r="C132" s="9" t="inlineStr">
        <is>
          <t>Demais pessoa jurídica</t>
        </is>
      </c>
      <c r="D132" s="2" t="inlineStr">
        <is>
          <t>Séries Históricas 2T26 (RI ABC): segmento Corporate (faturamento R$500 mi a R$4 bi; até 2024 R$300 mi a R$4 bi) · fonte · moeda</t>
        </is>
      </c>
      <c r="E132" t="n">
        <v>17489.916156</v>
      </c>
      <c r="F132" t="n">
        <v>17416.763884</v>
      </c>
      <c r="G132" t="n">
        <v>18033.74524</v>
      </c>
      <c r="H132" t="n">
        <v>18426.137122</v>
      </c>
      <c r="I132" t="n">
        <v>18661.14281</v>
      </c>
      <c r="J132" t="n">
        <v>18780.368203</v>
      </c>
      <c r="K132" t="n">
        <v>19626.123143</v>
      </c>
      <c r="L132" t="n">
        <v>20369.771573</v>
      </c>
      <c r="M132" t="n">
        <v>20611.766757</v>
      </c>
      <c r="N132" t="n">
        <v>22670.464908</v>
      </c>
      <c r="O132" t="n">
        <v>24066.858831</v>
      </c>
      <c r="P132" t="n">
        <v>24497.949057</v>
      </c>
      <c r="Q132" t="n">
        <v>25122.37466</v>
      </c>
      <c r="R132" t="n">
        <v>25340.150583</v>
      </c>
      <c r="S132" t="n">
        <v>25801.227185</v>
      </c>
      <c r="T132" t="n">
        <v>27455.740133</v>
      </c>
      <c r="U132" t="n">
        <v>26369.689175</v>
      </c>
      <c r="V132" t="n">
        <v>27942.537673</v>
      </c>
      <c r="W132" t="n">
        <v>30086.554322</v>
      </c>
      <c r="X132" t="n">
        <v>32675.775861</v>
      </c>
      <c r="Y132" t="n">
        <v>32031.202427</v>
      </c>
      <c r="Z132" t="n">
        <v>32111.569322</v>
      </c>
      <c r="AA132" t="n">
        <v>32148.164293</v>
      </c>
      <c r="AB132" t="n">
        <v>33780.327445</v>
      </c>
      <c r="AC132" t="n">
        <v>32919.929252</v>
      </c>
      <c r="AD132" t="n">
        <v>35682.921477</v>
      </c>
    </row>
    <row r="133">
      <c r="B133" s="8" t="inlineStr">
        <is>
          <t>serv_tarifas</t>
        </is>
      </c>
      <c r="C133" s="9" t="inlineStr">
        <is>
          <t>Tarifas de conta e pacotes</t>
        </is>
      </c>
      <c r="D133" s="2" t="inlineStr">
        <is>
          <t>[vazio] a planilha não abre serviços</t>
        </is>
      </c>
    </row>
    <row r="134">
      <c r="B134" s="8" t="inlineStr">
        <is>
          <t>serv_cartoes</t>
        </is>
      </c>
      <c r="C134" s="9" t="inlineStr">
        <is>
          <t>Cartões</t>
        </is>
      </c>
      <c r="D134" s="2" t="inlineStr">
        <is>
          <t>[vazio] idem</t>
        </is>
      </c>
    </row>
    <row r="135">
      <c r="B135" s="8" t="inlineStr">
        <is>
          <t>serv_adm_rec</t>
        </is>
      </c>
      <c r="C135" s="9" t="inlineStr">
        <is>
          <t>Administração de recursos e fundos</t>
        </is>
      </c>
      <c r="D135" s="2" t="inlineStr">
        <is>
          <t>[vazio] idem</t>
        </is>
      </c>
    </row>
    <row r="136">
      <c r="B136" s="8" t="inlineStr">
        <is>
          <t>serv_seg_corr</t>
        </is>
      </c>
      <c r="C136" s="9" t="inlineStr">
        <is>
          <t>Corretagem de seguros e previdência</t>
        </is>
      </c>
      <c r="D136" s="2" t="inlineStr">
        <is>
          <t>[vazio] idem</t>
        </is>
      </c>
    </row>
    <row r="137">
      <c r="B137" s="8" t="inlineStr">
        <is>
          <t>serv_merc_cap</t>
        </is>
      </c>
      <c r="C137" s="9" t="inlineStr">
        <is>
          <t>Mercado de capitais e banco de investimento</t>
        </is>
      </c>
      <c r="D137" s="2" t="inlineStr">
        <is>
          <t>[vazio] idem</t>
        </is>
      </c>
    </row>
    <row r="138">
      <c r="B138" s="8" t="inlineStr">
        <is>
          <t>serv_out</t>
        </is>
      </c>
      <c r="C138" s="9" t="inlineStr">
        <is>
          <t>Demais serviços</t>
        </is>
      </c>
      <c r="D138" s="2" t="inlineStr">
        <is>
          <t>[vazio] idem</t>
        </is>
      </c>
    </row>
    <row r="139">
      <c r="B139" s="8" t="inlineStr">
        <is>
          <t>pes_proventos</t>
        </is>
      </c>
      <c r="C139" s="9" t="inlineStr">
        <is>
          <t>(Proventos e encargos)</t>
        </is>
      </c>
      <c r="D139" s="2" t="inlineStr">
        <is>
          <t>[vazio] aba Eficiência traz visão gerencial (memória)</t>
        </is>
      </c>
    </row>
    <row r="140">
      <c r="B140" s="8" t="inlineStr">
        <is>
          <t>pes_benef</t>
        </is>
      </c>
      <c r="C140" s="9" t="inlineStr">
        <is>
          <t>(Benefícios)</t>
        </is>
      </c>
      <c r="D140" s="2" t="inlineStr">
        <is>
          <t>[vazio] idem</t>
        </is>
      </c>
    </row>
    <row r="141">
      <c r="B141" s="8" t="inlineStr">
        <is>
          <t>pes_plr</t>
        </is>
      </c>
      <c r="C141" s="9" t="inlineStr">
        <is>
          <t>(Participação nos lucros)</t>
        </is>
      </c>
      <c r="D141" s="2" t="inlineStr">
        <is>
          <t>Séries Históricas 2T26 (RI ABC): até 4T24 aba "DRE Contábil (Tri) - ISQua" l.35 | 2025+ aba "DRE Contábil (Tri) - IS Quarter" l.35 · Participações nos lucros · fonte · moeda</t>
        </is>
      </c>
      <c r="E141" t="n">
        <v>-37.132</v>
      </c>
      <c r="F141" t="n">
        <v>-27.399</v>
      </c>
      <c r="G141" t="n">
        <v>-28.749</v>
      </c>
      <c r="H141" t="n">
        <v>-34.619</v>
      </c>
      <c r="I141" t="n">
        <v>-38.966</v>
      </c>
      <c r="J141" t="n">
        <v>-38.118</v>
      </c>
      <c r="K141" t="n">
        <v>-39.165</v>
      </c>
      <c r="L141" t="n">
        <v>-45.809</v>
      </c>
      <c r="M141" t="n">
        <v>-54.758</v>
      </c>
      <c r="N141" t="n">
        <v>-56.027</v>
      </c>
      <c r="O141" t="n">
        <v>-73.075</v>
      </c>
      <c r="P141" t="n">
        <v>-66.95</v>
      </c>
      <c r="Q141" t="n">
        <v>-61.356</v>
      </c>
      <c r="R141" t="n">
        <v>-58.791</v>
      </c>
      <c r="S141" t="n">
        <v>-76.078</v>
      </c>
      <c r="T141" t="n">
        <v>-63.266</v>
      </c>
      <c r="U141" t="n">
        <v>-59.38</v>
      </c>
      <c r="V141" t="n">
        <v>-63.837</v>
      </c>
      <c r="W141" t="n">
        <v>-64.349</v>
      </c>
      <c r="X141" t="n">
        <v>-71.754</v>
      </c>
      <c r="Y141" t="n">
        <v>-61.793</v>
      </c>
      <c r="Z141" t="n">
        <v>-50.063</v>
      </c>
      <c r="AA141" t="n">
        <v>-74.97799999999999</v>
      </c>
      <c r="AB141" t="n">
        <v>-74.185</v>
      </c>
      <c r="AC141" t="n">
        <v>-73.178</v>
      </c>
      <c r="AD141" t="n">
        <v>-72.70699999999999</v>
      </c>
    </row>
    <row r="142">
      <c r="B142" s="8" t="inlineStr">
        <is>
          <t>pes_out</t>
        </is>
      </c>
      <c r="C142" s="9" t="inlineStr">
        <is>
          <t>(Demais despesas de pessoal)</t>
        </is>
      </c>
      <c r="D142" s="2" t="inlineStr">
        <is>
          <t>[vazio] idem</t>
        </is>
      </c>
    </row>
    <row r="143">
      <c r="B143" s="8" t="inlineStr">
        <is>
          <t>adm_proc</t>
        </is>
      </c>
      <c r="C143" s="9" t="inlineStr">
        <is>
          <t>(Processamento de dados e tecnologia)</t>
        </is>
      </c>
      <c r="D143" s="2" t="inlineStr">
        <is>
          <t>[vazio] não aberto</t>
        </is>
      </c>
    </row>
    <row r="144">
      <c r="B144" s="8" t="inlineStr">
        <is>
          <t>adm_alug</t>
        </is>
      </c>
      <c r="C144" s="9" t="inlineStr">
        <is>
          <t>(Aluguéis e manutenção)</t>
        </is>
      </c>
      <c r="D144" s="2" t="inlineStr">
        <is>
          <t>[vazio] idem</t>
        </is>
      </c>
    </row>
    <row r="145">
      <c r="B145" s="8" t="inlineStr">
        <is>
          <t>adm_mkt</t>
        </is>
      </c>
      <c r="C145" s="9" t="inlineStr">
        <is>
          <t>(Propaganda e marketing)</t>
        </is>
      </c>
      <c r="D145" s="2" t="inlineStr">
        <is>
          <t>[vazio] idem</t>
        </is>
      </c>
    </row>
    <row r="146">
      <c r="B146" s="8" t="inlineStr">
        <is>
          <t>adm_terc</t>
        </is>
      </c>
      <c r="C146" s="9" t="inlineStr">
        <is>
          <t>(Serviços de terceiros)</t>
        </is>
      </c>
      <c r="D146" s="2" t="inlineStr">
        <is>
          <t>[vazio] idem</t>
        </is>
      </c>
    </row>
    <row r="147">
      <c r="B147" s="8" t="inlineStr">
        <is>
          <t>adm_deprec</t>
        </is>
      </c>
      <c r="C147" s="9" t="inlineStr">
        <is>
          <t>(Depreciação e amortização)</t>
        </is>
      </c>
      <c r="D147" s="2" t="inlineStr">
        <is>
          <t>[vazio] idem</t>
        </is>
      </c>
    </row>
    <row r="148">
      <c r="B148" s="8" t="inlineStr">
        <is>
          <t>adm_out</t>
        </is>
      </c>
      <c r="C148" s="9" t="inlineStr">
        <is>
          <t>(Demais despesas administrativas)</t>
        </is>
      </c>
      <c r="D148" s="2" t="inlineStr">
        <is>
          <t>[vazio] idem</t>
        </is>
      </c>
    </row>
    <row r="150">
      <c r="C150" s="10" t="inlineStr">
        <is>
          <t>Linhas derivadas por fórmula dentro da própria Inputs</t>
        </is>
      </c>
    </row>
    <row r="151">
      <c r="C151" t="inlineStr">
        <is>
          <t>MEMÓRIAS DO RI (sem código; não entram no modelo)</t>
        </is>
      </c>
    </row>
    <row r="152">
      <c r="C152" t="inlineStr">
        <is>
          <t>Lucro líquido contábil (DRE contábil l.37) - conferência</t>
        </is>
      </c>
      <c r="D152" t="inlineStr">
        <is>
          <t>Séries Históricas 2T26 (RI ABC) · memoria</t>
        </is>
      </c>
      <c r="E152" t="n">
        <v>80.99699999999996</v>
      </c>
      <c r="F152" t="n">
        <v>61.61599999999994</v>
      </c>
      <c r="G152" t="n">
        <v>73.47500000000007</v>
      </c>
      <c r="H152" t="n">
        <v>105.9869999999999</v>
      </c>
      <c r="I152" t="n">
        <v>122.406</v>
      </c>
      <c r="J152" t="n">
        <v>136.3399999999999</v>
      </c>
      <c r="K152" t="n">
        <v>151.4600000000001</v>
      </c>
      <c r="L152" t="n">
        <v>161.9669999999998</v>
      </c>
      <c r="M152" t="n">
        <v>183.1619999999999</v>
      </c>
      <c r="N152" t="n">
        <v>201.6520000000001</v>
      </c>
      <c r="O152" t="n">
        <v>218.1479999999999</v>
      </c>
      <c r="P152" t="n">
        <v>197.2720000000003</v>
      </c>
      <c r="Q152" t="n">
        <v>190.0230000000002</v>
      </c>
      <c r="R152" t="n">
        <v>201.8780000000002</v>
      </c>
      <c r="S152" t="n">
        <v>228.2179999999997</v>
      </c>
      <c r="T152" t="n">
        <v>231.4630000000001</v>
      </c>
      <c r="U152" t="n">
        <v>223.028</v>
      </c>
      <c r="V152" t="n">
        <v>250.1049999999995</v>
      </c>
      <c r="W152" t="n">
        <v>255.0699999999999</v>
      </c>
      <c r="X152" t="n">
        <v>243.0709999999999</v>
      </c>
      <c r="Y152" t="n">
        <v>225.5680000000001</v>
      </c>
      <c r="Z152" t="n">
        <v>244.0989999999996</v>
      </c>
      <c r="AA152" t="n">
        <v>256.811</v>
      </c>
      <c r="AB152" t="n">
        <v>275.527</v>
      </c>
      <c r="AC152" t="n">
        <v>230.21</v>
      </c>
      <c r="AD152" t="n">
        <v>257.324</v>
      </c>
    </row>
    <row r="153">
      <c r="C153" s="2" t="inlineStr">
        <is>
          <t>Lucro líquido recorrente (Sumário l.14)</t>
        </is>
      </c>
      <c r="D153" t="inlineStr">
        <is>
          <t>Séries Históricas 2T26 (RI ABC) · memoria</t>
        </is>
      </c>
      <c r="I153" t="n">
        <v>122.406</v>
      </c>
      <c r="J153" t="n">
        <v>136.34</v>
      </c>
      <c r="K153" t="n">
        <v>151.4599999999999</v>
      </c>
      <c r="L153" t="n">
        <v>161.967</v>
      </c>
      <c r="M153" t="n">
        <v>183.162</v>
      </c>
      <c r="N153" t="n">
        <v>201.652</v>
      </c>
      <c r="O153" t="n">
        <v>218.148</v>
      </c>
      <c r="P153" t="n">
        <v>197.272</v>
      </c>
      <c r="Q153" t="n">
        <v>190.023</v>
      </c>
      <c r="R153" t="n">
        <v>201.878</v>
      </c>
      <c r="T153" t="n">
        <v>231.463</v>
      </c>
      <c r="U153" t="n">
        <v>223.0280000000001</v>
      </c>
      <c r="V153" t="n">
        <v>250.1050000000001</v>
      </c>
      <c r="W153" t="n">
        <v>255.0699999999998</v>
      </c>
      <c r="X153" t="n">
        <v>243.0709999999998</v>
      </c>
      <c r="Y153" t="n">
        <v>225.5680000000001</v>
      </c>
      <c r="Z153" t="n">
        <v>244.0989999999999</v>
      </c>
      <c r="AA153" t="n">
        <v>256.811</v>
      </c>
      <c r="AB153" t="n">
        <v>275.5230000000003</v>
      </c>
      <c r="AC153" t="n">
        <v>230.21</v>
      </c>
      <c r="AD153" t="n">
        <v>257.3240000000001</v>
      </c>
    </row>
    <row r="154">
      <c r="C154" t="inlineStr">
        <is>
          <t>Margem financeira gerencial pré-provisão (aba NIM l.13)</t>
        </is>
      </c>
      <c r="D154" t="inlineStr">
        <is>
          <t>Séries Históricas 2T26 (RI ABC) · memoria</t>
        </is>
      </c>
      <c r="E154" t="n">
        <v>255.3794263598599</v>
      </c>
      <c r="F154" t="n">
        <v>281.6772264210339</v>
      </c>
      <c r="G154" t="n">
        <v>301.7280480669758</v>
      </c>
      <c r="H154" t="n">
        <v>299.8625425918835</v>
      </c>
      <c r="I154" t="n">
        <v>315.915361136488</v>
      </c>
      <c r="J154" t="n">
        <v>345.666261534659</v>
      </c>
      <c r="K154" t="n">
        <v>380.8513048311601</v>
      </c>
      <c r="L154" t="n">
        <v>422.055623662725</v>
      </c>
      <c r="M154" t="n">
        <v>447.518022668231</v>
      </c>
      <c r="N154" t="n">
        <v>476.817659085351</v>
      </c>
      <c r="O154" t="n">
        <v>537.6581800488644</v>
      </c>
      <c r="P154" t="n">
        <v>557.0057345047227</v>
      </c>
      <c r="Q154" t="n">
        <v>549.8609543176591</v>
      </c>
      <c r="R154" t="n">
        <v>544.2981324706545</v>
      </c>
      <c r="S154" t="n">
        <v>590.9832772199305</v>
      </c>
      <c r="T154" t="n">
        <v>560.1407211454407</v>
      </c>
      <c r="U154" t="n">
        <v>530.7143880497078</v>
      </c>
      <c r="V154" t="n">
        <v>597.5874245521819</v>
      </c>
      <c r="W154" t="n">
        <v>621.797290531625</v>
      </c>
      <c r="X154" t="n">
        <v>625.6266235783422</v>
      </c>
      <c r="Y154" t="n">
        <v>566.6960417638804</v>
      </c>
      <c r="Z154" t="n">
        <v>604.4093232369007</v>
      </c>
      <c r="AA154" t="n">
        <v>652.0357046937233</v>
      </c>
      <c r="AB154" t="n">
        <v>713.4062351276718</v>
      </c>
      <c r="AC154" t="n">
        <v>647.7994110642728</v>
      </c>
      <c r="AD154" t="n">
        <v>659.1718800473222</v>
      </c>
    </row>
    <row r="155">
      <c r="C155" t="inlineStr">
        <is>
          <t>NIM (% a.a.; aba NIM l.12)</t>
        </is>
      </c>
      <c r="D155" t="inlineStr">
        <is>
          <t>Séries Históricas 2T26 (RI ABC) · memoria</t>
        </is>
      </c>
      <c r="E155" t="n">
        <v>0.03007480852494845</v>
      </c>
      <c r="F155" t="n">
        <v>0.03000548835416893</v>
      </c>
      <c r="G155" t="n">
        <v>0.03178880092484294</v>
      </c>
      <c r="H155" t="n">
        <v>0.03177069929187128</v>
      </c>
      <c r="I155" t="n">
        <v>0.0323232672326564</v>
      </c>
      <c r="J155" t="n">
        <v>0.03498394692616098</v>
      </c>
      <c r="K155" t="n">
        <v>0.03807403103873482</v>
      </c>
      <c r="L155" t="n">
        <v>0.04118093377349036</v>
      </c>
      <c r="M155" t="n">
        <v>0.04394112620745712</v>
      </c>
      <c r="N155" t="n">
        <v>0.04468353558113659</v>
      </c>
      <c r="O155" t="n">
        <v>0.04766199969206915</v>
      </c>
      <c r="P155" t="n">
        <v>0.04787633131800238</v>
      </c>
      <c r="Q155" t="n">
        <v>0.04733203552309254</v>
      </c>
      <c r="R155" t="n">
        <v>0.04596352883338959</v>
      </c>
      <c r="S155" t="n">
        <v>0.04813899950299177</v>
      </c>
      <c r="T155" t="n">
        <v>0.04446017586469277</v>
      </c>
      <c r="U155" t="n">
        <v>0.04114010922263573</v>
      </c>
      <c r="V155" t="n">
        <v>0.04450297514464727</v>
      </c>
      <c r="W155" t="n">
        <v>0.04354007308083754</v>
      </c>
      <c r="X155" t="n">
        <v>0.04179870479824328</v>
      </c>
      <c r="Y155" t="n">
        <v>0.03772850995836272</v>
      </c>
      <c r="Z155" t="n">
        <v>0.04071839316890236</v>
      </c>
      <c r="AA155" t="n">
        <v>0.04415664787277798</v>
      </c>
      <c r="AB155" t="n">
        <v>0.04742866407496911</v>
      </c>
      <c r="AC155" t="n">
        <v>0.04112314289065464</v>
      </c>
      <c r="AD155" t="n">
        <v>0.04083316165771993</v>
      </c>
    </row>
    <row r="156">
      <c r="C156" t="inlineStr">
        <is>
          <t>Recuperações de crédito (abas Provisões)</t>
        </is>
      </c>
      <c r="D156" t="inlineStr">
        <is>
          <t>Séries Históricas 2T26 (RI ABC) · memoria</t>
        </is>
      </c>
      <c r="I156" t="n">
        <v>0.25123479</v>
      </c>
      <c r="J156" t="n">
        <v>14.53951697</v>
      </c>
      <c r="K156" t="n">
        <v>2.58143234</v>
      </c>
      <c r="L156" t="n">
        <v>4.329109975359</v>
      </c>
      <c r="M156" t="n">
        <v>0.31014324</v>
      </c>
      <c r="N156" t="n">
        <v>0.49240751</v>
      </c>
      <c r="O156" t="n">
        <v>5.01305622</v>
      </c>
      <c r="P156" t="n">
        <v>5.23213968</v>
      </c>
      <c r="Q156" t="n">
        <v>2.3529761</v>
      </c>
      <c r="R156" t="n">
        <v>10.57004347</v>
      </c>
      <c r="S156" t="n">
        <v>5.53813236</v>
      </c>
      <c r="T156" t="n">
        <v>2.9015589</v>
      </c>
      <c r="U156" t="n">
        <v>6.58651871</v>
      </c>
      <c r="V156" t="n">
        <v>2.33415209</v>
      </c>
      <c r="W156" t="n">
        <v>7.04851399</v>
      </c>
      <c r="X156" t="n">
        <v>5.04280135</v>
      </c>
      <c r="Y156" t="n">
        <v>20.98508855</v>
      </c>
      <c r="Z156" t="n">
        <v>7.35498872</v>
      </c>
      <c r="AA156" t="n">
        <v>44.7042358699999</v>
      </c>
      <c r="AB156" t="n">
        <v>8.216286032900051</v>
      </c>
      <c r="AC156" t="n">
        <v>4.474</v>
      </c>
      <c r="AD156" t="n">
        <v>41.81724759</v>
      </c>
    </row>
    <row r="157">
      <c r="C157" t="inlineStr">
        <is>
          <t>Carteira expandida - empréstimos</t>
        </is>
      </c>
      <c r="D157" t="inlineStr">
        <is>
          <t>Séries Históricas 2T26 (RI ABC) · memoria</t>
        </is>
      </c>
      <c r="E157" t="n">
        <v>17856.63547616997</v>
      </c>
      <c r="F157" t="n">
        <v>18218.73635514001</v>
      </c>
      <c r="G157" t="n">
        <v>19231.24338068997</v>
      </c>
      <c r="H157" t="n">
        <v>20940.26556336002</v>
      </c>
      <c r="I157" t="n">
        <v>21471.59287303003</v>
      </c>
      <c r="J157" t="n">
        <v>20867.09237026114</v>
      </c>
      <c r="K157" t="n">
        <v>21904.83244585</v>
      </c>
      <c r="L157" t="n">
        <v>23253.19778180002</v>
      </c>
      <c r="M157" t="n">
        <v>23064.37054602</v>
      </c>
      <c r="N157" t="n">
        <v>24329.87995204</v>
      </c>
      <c r="O157" t="n">
        <v>25636.14973307999</v>
      </c>
      <c r="P157" t="n">
        <v>25769.86830511994</v>
      </c>
      <c r="Q157" t="n">
        <v>24062.78868497003</v>
      </c>
      <c r="R157" t="n">
        <v>23493.11668074001</v>
      </c>
      <c r="S157" t="n">
        <v>24109.45528888995</v>
      </c>
      <c r="T157" t="n">
        <v>24828.52561799003</v>
      </c>
      <c r="U157" t="n">
        <v>23434.10051554001</v>
      </c>
      <c r="V157" t="n">
        <v>23234.56751120997</v>
      </c>
      <c r="W157" t="n">
        <v>22984.02635817999</v>
      </c>
      <c r="X157" t="n">
        <v>24049.83973280004</v>
      </c>
      <c r="Y157" t="n">
        <v>22238.55418449004</v>
      </c>
      <c r="Z157" t="n">
        <v>22521.05700516002</v>
      </c>
      <c r="AA157" t="n">
        <v>22882.72046214</v>
      </c>
      <c r="AB157" t="n">
        <v>25146.82130892002</v>
      </c>
      <c r="AC157" t="n">
        <v>23503.80442967999</v>
      </c>
      <c r="AD157" t="n">
        <v>24288.24707219002</v>
      </c>
    </row>
    <row r="158">
      <c r="C158" t="inlineStr">
        <is>
          <t>Carteira expandida - títulos privados</t>
        </is>
      </c>
      <c r="D158" t="inlineStr">
        <is>
          <t>Séries Históricas 2T26 (RI ABC) · memoria</t>
        </is>
      </c>
      <c r="E158" t="n">
        <v>3651.32042755708</v>
      </c>
      <c r="F158" t="n">
        <v>3831.45249989945</v>
      </c>
      <c r="G158" t="n">
        <v>3667.085512429921</v>
      </c>
      <c r="H158" t="n">
        <v>3277.230676980001</v>
      </c>
      <c r="I158" t="n">
        <v>3277.361956090001</v>
      </c>
      <c r="J158" t="n">
        <v>3592.75629282</v>
      </c>
      <c r="K158" t="n">
        <v>3936.02064943</v>
      </c>
      <c r="L158" t="n">
        <v>3393.462496020001</v>
      </c>
      <c r="M158" t="n">
        <v>3321.354201640001</v>
      </c>
      <c r="N158" t="n">
        <v>4562.72259486</v>
      </c>
      <c r="O158" t="n">
        <v>4972.106767690001</v>
      </c>
      <c r="P158" t="n">
        <v>6025.450199899999</v>
      </c>
      <c r="Q158" t="n">
        <v>7283.677698000001</v>
      </c>
      <c r="R158" t="n">
        <v>7929.580298700002</v>
      </c>
      <c r="S158" t="n">
        <v>8424.965071369987</v>
      </c>
      <c r="T158" t="n">
        <v>10223.7748805</v>
      </c>
      <c r="U158" t="n">
        <v>11093.4530013</v>
      </c>
      <c r="V158" t="n">
        <v>13214.73436042</v>
      </c>
      <c r="W158" t="n">
        <v>14562.98153027</v>
      </c>
      <c r="X158" t="n">
        <v>15606.65724865</v>
      </c>
      <c r="Y158" t="n">
        <v>16016.58572915997</v>
      </c>
      <c r="Z158" t="n">
        <v>16726.44058837</v>
      </c>
      <c r="AA158" t="n">
        <v>16834.3974233</v>
      </c>
      <c r="AB158" t="n">
        <v>17272.87605054001</v>
      </c>
      <c r="AC158" t="n">
        <v>18428.19693261</v>
      </c>
      <c r="AD158" t="n">
        <v>18521.8323165</v>
      </c>
    </row>
    <row r="159">
      <c r="C159" t="inlineStr">
        <is>
          <t>Carteira expandida - garantias prestadas</t>
        </is>
      </c>
      <c r="D159" t="inlineStr">
        <is>
          <t>Séries Históricas 2T26 (RI ABC) · memoria</t>
        </is>
      </c>
      <c r="E159" t="n">
        <v>9593.227772889999</v>
      </c>
      <c r="F159" t="n">
        <v>10014.66025377999</v>
      </c>
      <c r="G159" t="n">
        <v>10030.2453268</v>
      </c>
      <c r="H159" t="n">
        <v>10160.9187855</v>
      </c>
      <c r="I159" t="n">
        <v>10735.84495722</v>
      </c>
      <c r="J159" t="n">
        <v>10742.25320493999</v>
      </c>
      <c r="K159" t="n">
        <v>11434.92219131</v>
      </c>
      <c r="L159" t="n">
        <v>11068.80908262999</v>
      </c>
      <c r="M159" t="n">
        <v>11178.00817741</v>
      </c>
      <c r="N159" t="n">
        <v>11080.59488821</v>
      </c>
      <c r="O159" t="n">
        <v>10926.95334027</v>
      </c>
      <c r="P159" t="n">
        <v>11460.12050790001</v>
      </c>
      <c r="Q159" t="n">
        <v>12305.98412309999</v>
      </c>
      <c r="R159" t="n">
        <v>11903.18501679</v>
      </c>
      <c r="S159" t="n">
        <v>11158.67317554</v>
      </c>
      <c r="T159" t="n">
        <v>11328.40409476</v>
      </c>
      <c r="U159" t="n">
        <v>11452.32447048</v>
      </c>
      <c r="V159" t="n">
        <v>11835.0318632</v>
      </c>
      <c r="W159" t="n">
        <v>12463.39539240001</v>
      </c>
      <c r="X159" t="n">
        <v>13514.58210428</v>
      </c>
      <c r="Y159" t="n">
        <v>12950.57770210001</v>
      </c>
      <c r="Z159" t="n">
        <v>12872.43133332001</v>
      </c>
      <c r="AA159" t="n">
        <v>12585.83641625</v>
      </c>
      <c r="AB159" t="n">
        <v>12322.43140928001</v>
      </c>
      <c r="AC159" t="n">
        <v>12494.87099425</v>
      </c>
      <c r="AD159" t="n">
        <v>13653.4232702</v>
      </c>
    </row>
    <row r="160">
      <c r="C160" t="inlineStr">
        <is>
          <t>Depósitos a prazo (aba Captação l.14)</t>
        </is>
      </c>
      <c r="D160" t="inlineStr">
        <is>
          <t>Séries Históricas 2T26 (RI ABC) · memoria</t>
        </is>
      </c>
      <c r="E160" t="n">
        <v>5154.287</v>
      </c>
      <c r="F160" t="n">
        <v>6628.389</v>
      </c>
      <c r="G160" t="n">
        <v>8747.610000000001</v>
      </c>
      <c r="H160" t="n">
        <v>9061.704</v>
      </c>
      <c r="I160" t="n">
        <v>8928.835999999999</v>
      </c>
      <c r="J160" t="n">
        <v>7767.964</v>
      </c>
      <c r="K160" t="n">
        <v>8000.002</v>
      </c>
      <c r="L160" t="n">
        <v>7140.252</v>
      </c>
      <c r="M160" t="n">
        <v>7568.338</v>
      </c>
      <c r="N160" t="n">
        <v>7913.871</v>
      </c>
      <c r="O160" t="n">
        <v>9401.614</v>
      </c>
      <c r="P160" t="n">
        <v>9506.253000000001</v>
      </c>
      <c r="Q160" t="n">
        <v>8460.187</v>
      </c>
      <c r="R160" t="n">
        <v>7385.742</v>
      </c>
      <c r="S160" t="n">
        <v>7704.562</v>
      </c>
      <c r="T160" t="n">
        <v>9246.093999999999</v>
      </c>
      <c r="U160" t="n">
        <v>9372.776</v>
      </c>
      <c r="V160" t="n">
        <v>10675.112</v>
      </c>
      <c r="W160" t="n">
        <v>10634.739</v>
      </c>
      <c r="X160" t="n">
        <v>10476.21</v>
      </c>
      <c r="Y160" t="n">
        <v>8867.456</v>
      </c>
      <c r="Z160" t="n">
        <v>8078.114</v>
      </c>
      <c r="AA160" t="n">
        <v>7483.36</v>
      </c>
      <c r="AB160" t="n">
        <v>8282.459999999999</v>
      </c>
      <c r="AC160" t="n">
        <v>7291.85</v>
      </c>
      <c r="AD160" t="n">
        <v>6985.097</v>
      </c>
    </row>
    <row r="161">
      <c r="C161" t="inlineStr">
        <is>
          <t>LCA, LCI e COE (aba Captação l.15)</t>
        </is>
      </c>
      <c r="D161" t="inlineStr">
        <is>
          <t>Séries Históricas 2T26 (RI ABC) · memoria</t>
        </is>
      </c>
      <c r="E161" t="n">
        <v>3347.039</v>
      </c>
      <c r="F161" t="n">
        <v>3282.697</v>
      </c>
      <c r="G161" t="n">
        <v>3376.067</v>
      </c>
      <c r="H161" t="n">
        <v>3581.367</v>
      </c>
      <c r="I161" t="n">
        <v>3662.564</v>
      </c>
      <c r="J161" t="n">
        <v>4109.615</v>
      </c>
      <c r="K161" t="n">
        <v>4504.471</v>
      </c>
      <c r="L161" t="n">
        <v>4808.645</v>
      </c>
      <c r="M161" t="n">
        <v>5767.742</v>
      </c>
      <c r="N161" t="n">
        <v>6035.287</v>
      </c>
      <c r="O161" t="n">
        <v>6200.029</v>
      </c>
      <c r="P161" t="n">
        <v>6360.483</v>
      </c>
      <c r="Q161" t="n">
        <v>6529.902</v>
      </c>
      <c r="R161" t="n">
        <v>7318.896</v>
      </c>
      <c r="S161" t="n">
        <v>6653.68</v>
      </c>
      <c r="T161" t="n">
        <v>5629.529</v>
      </c>
      <c r="U161" t="n">
        <v>4999.801</v>
      </c>
      <c r="V161" t="n">
        <v>5010.142</v>
      </c>
      <c r="W161" t="n">
        <v>5642.231</v>
      </c>
      <c r="X161" t="n">
        <v>6884.778</v>
      </c>
      <c r="Y161" t="n">
        <v>7178.925</v>
      </c>
      <c r="Z161" t="n">
        <v>7624.356</v>
      </c>
      <c r="AA161" t="n">
        <v>7937.418</v>
      </c>
      <c r="AB161" t="n">
        <v>8428.706</v>
      </c>
      <c r="AC161" t="n">
        <v>9011.279</v>
      </c>
      <c r="AD161" t="n">
        <v>9134.276</v>
      </c>
    </row>
    <row r="162">
      <c r="C162" t="inlineStr">
        <is>
          <t>Letras financeiras (aba Captação l.16)</t>
        </is>
      </c>
      <c r="D162" t="inlineStr">
        <is>
          <t>Séries Históricas 2T26 (RI ABC) · memoria</t>
        </is>
      </c>
      <c r="E162" t="n">
        <v>5924.372</v>
      </c>
      <c r="F162" t="n">
        <v>6744.622</v>
      </c>
      <c r="G162" t="n">
        <v>5860.641</v>
      </c>
      <c r="H162" t="n">
        <v>6850.733</v>
      </c>
      <c r="I162" t="n">
        <v>7331.119</v>
      </c>
      <c r="J162" t="n">
        <v>6544.884</v>
      </c>
      <c r="K162" t="n">
        <v>7646.386</v>
      </c>
      <c r="L162" t="n">
        <v>7536.383</v>
      </c>
      <c r="M162" t="n">
        <v>8250.722</v>
      </c>
      <c r="N162" t="n">
        <v>9338.852000000001</v>
      </c>
      <c r="O162" t="n">
        <v>10395.118</v>
      </c>
      <c r="P162" t="n">
        <v>10991.215</v>
      </c>
      <c r="Q162" t="n">
        <v>10485.862</v>
      </c>
      <c r="R162" t="n">
        <v>11417.82</v>
      </c>
      <c r="S162" t="n">
        <v>12739.832</v>
      </c>
      <c r="T162" t="n">
        <v>14175.714</v>
      </c>
      <c r="U162" t="n">
        <v>16283.858</v>
      </c>
      <c r="V162" t="n">
        <v>16577.397</v>
      </c>
      <c r="W162" t="n">
        <v>16542.41</v>
      </c>
      <c r="X162" t="n">
        <v>16265.118</v>
      </c>
      <c r="Y162" t="n">
        <v>16442.884</v>
      </c>
      <c r="Z162" t="n">
        <v>16682.268</v>
      </c>
      <c r="AA162" t="n">
        <v>16321.108</v>
      </c>
      <c r="AB162" t="n">
        <v>16522.898</v>
      </c>
      <c r="AC162" t="n">
        <v>17129.876</v>
      </c>
      <c r="AD162" t="n">
        <v>17408.571</v>
      </c>
    </row>
    <row r="163">
      <c r="C163" t="inlineStr">
        <is>
          <t>Letras financeiras subordinadas (aba Captação l.17)</t>
        </is>
      </c>
      <c r="D163" t="inlineStr">
        <is>
          <t>Séries Históricas 2T26 (RI ABC) · memoria</t>
        </is>
      </c>
      <c r="E163" t="n">
        <v>1393.71081651</v>
      </c>
      <c r="F163" t="n">
        <v>1402.21534308</v>
      </c>
      <c r="G163" t="n">
        <v>1385.70284175</v>
      </c>
      <c r="H163" t="n">
        <v>1275.05</v>
      </c>
      <c r="I163" t="n">
        <v>1287.827</v>
      </c>
      <c r="J163" t="n">
        <v>1252.11118238</v>
      </c>
      <c r="K163" t="n">
        <v>1239.09053581</v>
      </c>
      <c r="L163" t="n">
        <v>1217.1629102</v>
      </c>
      <c r="M163" t="n">
        <v>1251.422</v>
      </c>
      <c r="N163" t="n">
        <v>1460.044</v>
      </c>
      <c r="O163" t="n">
        <v>1570.427</v>
      </c>
      <c r="P163" t="n">
        <v>1742.37852301</v>
      </c>
      <c r="Q163" t="n">
        <v>1733.55487714</v>
      </c>
      <c r="R163" t="n">
        <v>1821.53148684</v>
      </c>
      <c r="S163" t="n">
        <v>1821.27178307</v>
      </c>
      <c r="T163" t="n">
        <v>2014.932</v>
      </c>
      <c r="U163" t="n">
        <v>2293.09484212</v>
      </c>
      <c r="V163" t="n">
        <v>2260.90821172</v>
      </c>
      <c r="W163" t="n">
        <v>2005.407</v>
      </c>
      <c r="X163" t="n">
        <v>2055.96868071</v>
      </c>
      <c r="Y163" t="n">
        <v>2048.93155867</v>
      </c>
      <c r="Z163" t="n">
        <v>1700.50317276</v>
      </c>
      <c r="AA163" t="n">
        <v>1555.88629253</v>
      </c>
      <c r="AB163" t="n">
        <v>1530.600955</v>
      </c>
      <c r="AC163" t="n">
        <v>1546.7927558</v>
      </c>
      <c r="AD163" t="n">
        <v>1089.97817276</v>
      </c>
    </row>
    <row r="164">
      <c r="C164" t="inlineStr">
        <is>
          <t>LF subordinadas perpétuas (aba Captação l.22)</t>
        </is>
      </c>
      <c r="D164" t="inlineStr">
        <is>
          <t>Séries Históricas 2T26 (RI ABC) · memoria</t>
        </is>
      </c>
      <c r="E164" t="n">
        <v>508.2871834899997</v>
      </c>
      <c r="F164" t="n">
        <v>512.92265692</v>
      </c>
      <c r="G164" t="n">
        <v>490.56115825</v>
      </c>
      <c r="H164" t="n">
        <v>480.57</v>
      </c>
      <c r="I164" t="n">
        <v>483.427</v>
      </c>
      <c r="J164" t="n">
        <v>488.08181762</v>
      </c>
      <c r="K164" t="n">
        <v>486.58746419</v>
      </c>
      <c r="L164" t="n">
        <v>490.6690898</v>
      </c>
      <c r="M164" t="n">
        <v>505.3431354599995</v>
      </c>
      <c r="N164" t="n">
        <v>523.4700432</v>
      </c>
      <c r="O164" t="n">
        <v>509.902</v>
      </c>
      <c r="P164" t="n">
        <v>505.03747699</v>
      </c>
      <c r="Q164" t="n">
        <v>525.19812286</v>
      </c>
      <c r="R164" t="n">
        <v>545.59551316</v>
      </c>
      <c r="S164" t="n">
        <v>514.57921693</v>
      </c>
      <c r="T164" t="n">
        <v>502.457</v>
      </c>
      <c r="U164" t="n">
        <v>1021.68115788</v>
      </c>
      <c r="V164" t="n">
        <v>1053.86778828</v>
      </c>
      <c r="W164" t="n">
        <v>1043.312</v>
      </c>
      <c r="X164" t="n">
        <v>1567.66731929</v>
      </c>
      <c r="Y164" t="n">
        <v>1623.41744133</v>
      </c>
      <c r="Z164" t="n">
        <v>1606.15482724</v>
      </c>
      <c r="AA164" t="n">
        <v>1316.60970747</v>
      </c>
      <c r="AB164" t="n">
        <v>1113.646045</v>
      </c>
      <c r="AC164" t="n">
        <v>1156.9892442</v>
      </c>
      <c r="AD164" t="n">
        <v>1606.15482724</v>
      </c>
    </row>
    <row r="165">
      <c r="C165" t="inlineStr">
        <is>
          <t>Captação com terceiros total (aba Captação l.23)</t>
        </is>
      </c>
      <c r="D165" t="inlineStr">
        <is>
          <t>Séries Históricas 2T26 (RI ABC) · memoria</t>
        </is>
      </c>
      <c r="E165" t="n">
        <v>30030.68530991</v>
      </c>
      <c r="F165" t="n">
        <v>30731.63</v>
      </c>
      <c r="G165" t="n">
        <v>31478.61056439999</v>
      </c>
      <c r="H165" t="n">
        <v>31469.014</v>
      </c>
      <c r="I165" t="n">
        <v>33386.844</v>
      </c>
      <c r="J165" t="n">
        <v>31164.251</v>
      </c>
      <c r="K165" t="n">
        <v>34738.841</v>
      </c>
      <c r="L165" t="n">
        <v>33858.664</v>
      </c>
      <c r="M165" t="n">
        <v>34818.70413545999</v>
      </c>
      <c r="N165" t="n">
        <v>37794.38104320001</v>
      </c>
      <c r="O165" t="n">
        <v>39781.183</v>
      </c>
      <c r="P165" t="n">
        <v>40428.155</v>
      </c>
      <c r="Q165" t="n">
        <v>38680.63399999999</v>
      </c>
      <c r="R165" t="n">
        <v>40514.163</v>
      </c>
      <c r="S165" t="n">
        <v>42022.05999999999</v>
      </c>
      <c r="T165" t="n">
        <v>43428.377</v>
      </c>
      <c r="U165" t="n">
        <v>44318.237</v>
      </c>
      <c r="V165" t="n">
        <v>47367.169</v>
      </c>
      <c r="W165" t="n">
        <v>49173.19</v>
      </c>
      <c r="X165" t="n">
        <v>52130.279</v>
      </c>
      <c r="Y165" t="n">
        <v>48638.427</v>
      </c>
      <c r="Z165" t="n">
        <v>48745.027</v>
      </c>
      <c r="AA165" t="n">
        <v>47214.83200000001</v>
      </c>
      <c r="AB165" t="n">
        <v>50896.84699999999</v>
      </c>
      <c r="AC165" t="n">
        <v>51765.58100000001</v>
      </c>
      <c r="AD165" t="n">
        <v>52241.02</v>
      </c>
    </row>
    <row r="166">
      <c r="C166" t="inlineStr">
        <is>
          <t>Índice de eficiência (aba Eficiência l.12)</t>
        </is>
      </c>
      <c r="D166" t="inlineStr">
        <is>
          <t>Séries Históricas 2T26 (RI ABC) · memoria</t>
        </is>
      </c>
      <c r="E166" t="n">
        <v>0.4372007699119156</v>
      </c>
      <c r="F166" t="n">
        <v>0.3721431248191689</v>
      </c>
      <c r="G166" t="n">
        <v>0.3379349167921709</v>
      </c>
      <c r="H166" t="n">
        <v>0.3487482307753065</v>
      </c>
      <c r="I166" t="n">
        <v>0.3617199733126371</v>
      </c>
      <c r="J166" t="n">
        <v>0.354579956724062</v>
      </c>
      <c r="K166" t="n">
        <v>0.332895369803495</v>
      </c>
      <c r="L166" t="n">
        <v>0.3520659443113875</v>
      </c>
      <c r="M166" t="n">
        <v>0.3852050153283831</v>
      </c>
      <c r="N166" t="n">
        <v>0.3876457652932452</v>
      </c>
      <c r="O166" t="n">
        <v>0.3873775758395248</v>
      </c>
      <c r="P166" t="n">
        <v>0.3763320730846227</v>
      </c>
      <c r="Q166" t="n">
        <v>0.388471412167782</v>
      </c>
      <c r="R166" t="n">
        <v>0.4005933221760429</v>
      </c>
      <c r="S166" t="n">
        <v>0.379709687576548</v>
      </c>
      <c r="T166" t="n">
        <v>0.3772676121890841</v>
      </c>
      <c r="U166" t="n">
        <v>0.3944458191662503</v>
      </c>
      <c r="V166" t="n">
        <v>0.3685079396867094</v>
      </c>
      <c r="W166" t="n">
        <v>0.3779355049215827</v>
      </c>
      <c r="X166" t="n">
        <v>0.3769304849285352</v>
      </c>
      <c r="Y166" t="n">
        <v>0.4206300612191736</v>
      </c>
      <c r="Z166" t="n">
        <v>0.3844696939437335</v>
      </c>
      <c r="AA166" t="n">
        <v>0.3878068394943431</v>
      </c>
      <c r="AB166" t="n">
        <v>0.3787043306236548</v>
      </c>
      <c r="AC166" t="n">
        <v>0.4189200585121692</v>
      </c>
      <c r="AD166" t="n">
        <v>0.412132288379945</v>
      </c>
    </row>
    <row r="167">
      <c r="C167" t="inlineStr">
        <is>
          <t>Espaço livre até a linha 190 (linhas 167 a 190) para novas linhas de origem; qualquer linha com código existente é somada pela Inputs (2).</t>
        </is>
      </c>
    </row>
    <row r="196">
      <c r="B196" s="7" t="n"/>
      <c r="C196" s="7" t="inlineStr">
        <is>
          <t>IDENTIFICAÇÃO E MERCADO</t>
        </is>
      </c>
      <c r="D196" s="7" t="inlineStr">
        <is>
          <t>COMPANY &amp; MARKET DATA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>
      <c r="C197" s="11" t="inlineStr">
        <is>
          <t>Instituição</t>
        </is>
      </c>
      <c r="D197" s="12" t="inlineStr">
        <is>
          <t>Institution</t>
        </is>
      </c>
      <c r="E197" s="13" t="inlineStr">
        <is>
          <t>Banco ABC Brasil S.A.</t>
        </is>
      </c>
    </row>
    <row r="198">
      <c r="C198" s="11" t="inlineStr">
        <is>
          <t>Ticker</t>
        </is>
      </c>
      <c r="D198" s="12" t="inlineStr">
        <is>
          <t>Ticker</t>
        </is>
      </c>
      <c r="E198" s="13" t="inlineStr">
        <is>
          <t>ABCB4</t>
        </is>
      </c>
    </row>
    <row r="199">
      <c r="C199" s="11" t="inlineStr">
        <is>
          <t>Segmento / norma contábil</t>
        </is>
      </c>
      <c r="D199" s="12" t="inlineStr">
        <is>
          <t>Segment / accounting standard</t>
        </is>
      </c>
      <c r="E199" s="13" t="inlineStr">
        <is>
          <t>Banco de atacado (corporate) / BR GAAP (COSIF); Res. 2.682 até 4T24, Res. 4.966 desde 1T25</t>
        </is>
      </c>
    </row>
    <row r="200">
      <c r="C200" s="11" t="inlineStr">
        <is>
          <t>Moeda de reporte</t>
        </is>
      </c>
      <c r="D200" s="12" t="inlineStr">
        <is>
          <t>Reporting currency</t>
        </is>
      </c>
      <c r="E200" s="13" t="inlineStr">
        <is>
          <t>R$</t>
        </is>
      </c>
      <c r="BI200" s="14" t="inlineStr">
        <is>
          <t>Escolha a moeda aqui. Os títulos do Model, da Inputs (2) e do Valuation leem esta célula, então trocar BRL por USD renomeia a planilha inteira. O que a célula não faz é converter valor: conversão de moeda é outra coisa.</t>
        </is>
      </c>
    </row>
    <row r="201">
      <c r="C201" s="11" t="inlineStr">
        <is>
          <t>Escala dos valores</t>
        </is>
      </c>
      <c r="D201" s="12" t="inlineStr">
        <is>
          <t>Scale</t>
        </is>
      </c>
      <c r="E201" s="13" t="inlineStr">
        <is>
          <t>milhões</t>
        </is>
      </c>
    </row>
    <row r="202">
      <c r="C202" s="15" t="inlineStr">
        <is>
          <t>Unidade monetária (moeda + escala)</t>
        </is>
      </c>
      <c r="D202" s="16" t="inlineStr">
        <is>
          <t>Currency unit</t>
        </is>
      </c>
      <c r="E202" s="17" t="str">
        <f>E200&amp;" "&amp;E201</f>
        <v>R$ milhões</v>
      </c>
    </row>
    <row r="203">
      <c r="C203" s="11" t="inlineStr">
        <is>
          <t>Último trimestre reportado (data de fechamento)</t>
        </is>
      </c>
      <c r="D203" s="12" t="inlineStr">
        <is>
          <t>Last reported quarter</t>
        </is>
      </c>
      <c r="E203" s="136" t="n">
        <v>46203</v>
      </c>
      <c r="BI203" s="14" t="inlineStr">
        <is>
          <t>Esta data controla todo o modelo: colunas entre o primeiro e o último trimestre são lidas como realizado; as demais são projetadas.</t>
        </is>
      </c>
    </row>
    <row r="204">
      <c r="C204" s="11" t="inlineStr">
        <is>
          <t>Primeiro trimestre com dado na fonte</t>
        </is>
      </c>
      <c r="D204" s="12" t="inlineStr">
        <is>
          <t>First quarter covered by the source</t>
        </is>
      </c>
      <c r="E204" s="136" t="n">
        <v>43921</v>
      </c>
      <c r="BI204" s="14" t="inlineStr">
        <is>
          <t>Séries que começam depois da grade do modelo: as colunas anteriores ficam fora do realizado em vez de entrar como zero realizado.</t>
        </is>
      </c>
    </row>
    <row r="205">
      <c r="C205" s="11" t="inlineStr">
        <is>
          <t>Data-base do valuation</t>
        </is>
      </c>
      <c r="D205" s="12" t="inlineStr">
        <is>
          <t>Valuation date</t>
        </is>
      </c>
      <c r="E205" s="18" t="n"/>
    </row>
    <row r="206">
      <c r="C206" s="11" t="str">
        <f>"Preço da ação ("&amp;Inputs!$E$200&amp;")"</f>
        <v>Preço da ação (R$)</v>
      </c>
      <c r="D206" s="12" t="inlineStr">
        <is>
          <t>Share price</t>
        </is>
      </c>
      <c r="E206" s="19" t="n"/>
      <c r="BI206" s="14" t="inlineStr">
        <is>
          <t>Preço e quantidade de ações são premissa sua, não vêm da série histórica. A quantidade de ações entra em milhões, na mesma escala do modelo, para o LPA e o VPA saírem por ação.</t>
        </is>
      </c>
    </row>
    <row r="207">
      <c r="C207" s="11" t="inlineStr">
        <is>
          <t>Ações ordinárias (milhões)</t>
        </is>
      </c>
      <c r="D207" s="12" t="inlineStr">
        <is>
          <t>Common shares (mn)</t>
        </is>
      </c>
      <c r="E207" s="20" t="n"/>
    </row>
    <row r="208">
      <c r="C208" s="11" t="inlineStr">
        <is>
          <t>Ações preferenciais (milhões)</t>
        </is>
      </c>
      <c r="D208" s="12" t="inlineStr">
        <is>
          <t>Preferred shares (mn)</t>
        </is>
      </c>
      <c r="E208" s="20" t="n"/>
    </row>
    <row r="209">
      <c r="C209" s="11" t="inlineStr">
        <is>
          <t>(-) Ações em tesouraria (milhões)</t>
        </is>
      </c>
      <c r="D209" s="12" t="inlineStr">
        <is>
          <t>(-) Treasury shares (mn)</t>
        </is>
      </c>
      <c r="E209" s="20" t="n"/>
    </row>
    <row r="210">
      <c r="C210" s="15" t="inlineStr">
        <is>
          <t>Ações ex-tesouraria (milhões)</t>
        </is>
      </c>
      <c r="D210" s="16" t="inlineStr">
        <is>
          <t>Shares ex-treasury (mn)</t>
        </is>
      </c>
      <c r="E210" s="21">
        <f>E207+E208+E209</f>
        <v>0</v>
      </c>
    </row>
    <row r="211">
      <c r="C211" s="15" t="str">
        <f>"Market cap ("&amp;Inputs!$E$202&amp;")"</f>
        <v>Market cap (R$ milhões)</v>
      </c>
      <c r="D211" s="16" t="inlineStr">
        <is>
          <t>Market capitalisation</t>
        </is>
      </c>
      <c r="E211" s="22">
        <f>E206*E210</f>
        <v>0</v>
      </c>
    </row>
    <row r="213">
      <c r="B213" s="7" t="n"/>
      <c r="C213" s="7" t="inlineStr">
        <is>
          <t>GRADE DE PERÍODOS</t>
        </is>
      </c>
      <c r="D213" s="7" t="inlineStr">
        <is>
          <t>PERIOD GRID</t>
        </is>
      </c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>
      <c r="C214" s="11" t="inlineStr">
        <is>
          <t>Data de fechamento</t>
        </is>
      </c>
      <c r="D214" s="12" t="inlineStr">
        <is>
          <t>Period end</t>
        </is>
      </c>
      <c r="E214" s="23">
        <f>DATE(2020,4,1)-1</f>
        <v>43921.0</v>
      </c>
      <c r="F214" s="23">
        <f>DATE(2020,7,1)-1</f>
        <v>44012.0</v>
      </c>
      <c r="G214" s="23">
        <f>DATE(2020,10,1)-1</f>
        <v>44104.0</v>
      </c>
      <c r="H214" s="23">
        <f>DATE(2020,13,1)-1</f>
        <v>44196.0</v>
      </c>
      <c r="I214" s="23">
        <f>H214</f>
        <v>44196.0</v>
      </c>
      <c r="J214" s="23">
        <f>DATE(2021,4,1)-1</f>
        <v>44286.0</v>
      </c>
      <c r="K214" s="23">
        <f>DATE(2021,7,1)-1</f>
        <v>44377.0</v>
      </c>
      <c r="L214" s="23">
        <f>DATE(2021,10,1)-1</f>
        <v>44469.0</v>
      </c>
      <c r="M214" s="23">
        <f>DATE(2021,13,1)-1</f>
        <v>44561.0</v>
      </c>
      <c r="N214" s="23">
        <f>M214</f>
        <v>44561.0</v>
      </c>
      <c r="O214" s="23">
        <f>DATE(2022,4,1)-1</f>
        <v>44651.0</v>
      </c>
      <c r="P214" s="23">
        <f>DATE(2022,7,1)-1</f>
        <v>44742.0</v>
      </c>
      <c r="Q214" s="23">
        <f>DATE(2022,10,1)-1</f>
        <v>44834.0</v>
      </c>
      <c r="R214" s="23">
        <f>DATE(2022,13,1)-1</f>
        <v>44926.0</v>
      </c>
      <c r="S214" s="23">
        <f>R214</f>
        <v>44926.0</v>
      </c>
      <c r="T214" s="23">
        <f>DATE(2023,4,1)-1</f>
        <v>45016.0</v>
      </c>
      <c r="U214" s="23">
        <f>DATE(2023,7,1)-1</f>
        <v>45107.0</v>
      </c>
      <c r="V214" s="23">
        <f>DATE(2023,10,1)-1</f>
        <v>45199.0</v>
      </c>
      <c r="W214" s="23">
        <f>DATE(2023,13,1)-1</f>
        <v>45291.0</v>
      </c>
      <c r="X214" s="23">
        <f>W214</f>
        <v>45291.0</v>
      </c>
      <c r="Y214" s="23">
        <f>DATE(2024,4,1)-1</f>
        <v>45382.0</v>
      </c>
      <c r="Z214" s="23">
        <f>DATE(2024,7,1)-1</f>
        <v>45473.0</v>
      </c>
      <c r="AA214" s="23">
        <f>DATE(2024,10,1)-1</f>
        <v>45565.0</v>
      </c>
      <c r="AB214" s="23">
        <f>DATE(2024,13,1)-1</f>
        <v>45657.0</v>
      </c>
      <c r="AC214" s="23">
        <f>AB214</f>
        <v>45657.0</v>
      </c>
      <c r="AD214" s="23">
        <f>DATE(2025,4,1)-1</f>
        <v>45747.0</v>
      </c>
      <c r="AE214" s="23">
        <f>DATE(2025,7,1)-1</f>
        <v>45838.0</v>
      </c>
      <c r="AF214" s="23">
        <f>DATE(2025,10,1)-1</f>
        <v>45930.0</v>
      </c>
      <c r="AG214" s="23">
        <f>DATE(2025,13,1)-1</f>
        <v>46022.0</v>
      </c>
      <c r="AH214" s="23">
        <f>AG214</f>
        <v>46022.0</v>
      </c>
      <c r="AI214" s="23">
        <f>DATE(2026,4,1)-1</f>
        <v>46112.0</v>
      </c>
      <c r="AJ214" s="23">
        <f>DATE(2026,7,1)-1</f>
        <v>46203.0</v>
      </c>
      <c r="AK214" s="23">
        <f>DATE(2026,10,1)-1</f>
        <v>46295.0</v>
      </c>
      <c r="AL214" s="23">
        <f>DATE(2026,13,1)-1</f>
        <v>46387.0</v>
      </c>
      <c r="AM214" s="23">
        <f>AL214</f>
        <v>46387.0</v>
      </c>
      <c r="AN214" s="23">
        <f>DATE(2027,4,1)-1</f>
        <v>46477.0</v>
      </c>
      <c r="AO214" s="23">
        <f>DATE(2027,7,1)-1</f>
        <v>46568.0</v>
      </c>
      <c r="AP214" s="23">
        <f>DATE(2027,10,1)-1</f>
        <v>46660.0</v>
      </c>
      <c r="AQ214" s="23">
        <f>DATE(2027,13,1)-1</f>
        <v>46752.0</v>
      </c>
      <c r="AR214" s="23">
        <f>AQ214</f>
        <v>46752.0</v>
      </c>
      <c r="AS214" s="23">
        <f>DATE(2028,4,1)-1</f>
        <v>46843.0</v>
      </c>
      <c r="AT214" s="23">
        <f>DATE(2028,7,1)-1</f>
        <v>46934.0</v>
      </c>
      <c r="AU214" s="23">
        <f>DATE(2028,10,1)-1</f>
        <v>47026.0</v>
      </c>
      <c r="AV214" s="23">
        <f>DATE(2028,13,1)-1</f>
        <v>47118.0</v>
      </c>
      <c r="AW214" s="23">
        <f>AV214</f>
        <v>47118.0</v>
      </c>
      <c r="AX214" s="23">
        <f>DATE(2029,4,1)-1</f>
        <v>47208.0</v>
      </c>
      <c r="AY214" s="23">
        <f>DATE(2029,7,1)-1</f>
        <v>47299.0</v>
      </c>
      <c r="AZ214" s="23">
        <f>DATE(2029,10,1)-1</f>
        <v>47391.0</v>
      </c>
      <c r="BA214" s="23">
        <f>DATE(2029,13,1)-1</f>
        <v>47483.0</v>
      </c>
      <c r="BB214" s="23">
        <f>BA214</f>
        <v>47483.0</v>
      </c>
      <c r="BC214" s="23">
        <f>DATE(2030,4,1)-1</f>
        <v>47573.0</v>
      </c>
      <c r="BD214" s="23">
        <f>DATE(2030,7,1)-1</f>
        <v>47664.0</v>
      </c>
      <c r="BE214" s="23">
        <f>DATE(2030,10,1)-1</f>
        <v>47756.0</v>
      </c>
      <c r="BF214" s="23">
        <f>DATE(2030,13,1)-1</f>
        <v>47848.0</v>
      </c>
      <c r="BG214" s="23">
        <f>BF214</f>
        <v>47848.0</v>
      </c>
    </row>
    <row r="215">
      <c r="C215" s="11" t="inlineStr">
        <is>
          <t>Ano</t>
        </is>
      </c>
      <c r="D215" s="12" t="inlineStr">
        <is>
          <t>Year</t>
        </is>
      </c>
      <c r="E215" s="24" t="n">
        <v>2020</v>
      </c>
      <c r="F215" s="24" t="n">
        <v>2020</v>
      </c>
      <c r="G215" s="24" t="n">
        <v>2020</v>
      </c>
      <c r="H215" s="24" t="n">
        <v>2020</v>
      </c>
      <c r="I215" s="24" t="n">
        <v>2020</v>
      </c>
      <c r="J215" s="24" t="n">
        <v>2021</v>
      </c>
      <c r="K215" s="24" t="n">
        <v>2021</v>
      </c>
      <c r="L215" s="24" t="n">
        <v>2021</v>
      </c>
      <c r="M215" s="24" t="n">
        <v>2021</v>
      </c>
      <c r="N215" s="24" t="n">
        <v>2021</v>
      </c>
      <c r="O215" s="24" t="n">
        <v>2022</v>
      </c>
      <c r="P215" s="24" t="n">
        <v>2022</v>
      </c>
      <c r="Q215" s="24" t="n">
        <v>2022</v>
      </c>
      <c r="R215" s="24" t="n">
        <v>2022</v>
      </c>
      <c r="S215" s="24" t="n">
        <v>2022</v>
      </c>
      <c r="T215" s="24" t="n">
        <v>2023</v>
      </c>
      <c r="U215" s="24" t="n">
        <v>2023</v>
      </c>
      <c r="V215" s="24" t="n">
        <v>2023</v>
      </c>
      <c r="W215" s="24" t="n">
        <v>2023</v>
      </c>
      <c r="X215" s="24" t="n">
        <v>2023</v>
      </c>
      <c r="Y215" s="24" t="n">
        <v>2024</v>
      </c>
      <c r="Z215" s="24" t="n">
        <v>2024</v>
      </c>
      <c r="AA215" s="24" t="n">
        <v>2024</v>
      </c>
      <c r="AB215" s="24" t="n">
        <v>2024</v>
      </c>
      <c r="AC215" s="24" t="n">
        <v>2024</v>
      </c>
      <c r="AD215" s="24" t="n">
        <v>2025</v>
      </c>
      <c r="AE215" s="24" t="n">
        <v>2025</v>
      </c>
      <c r="AF215" s="24" t="n">
        <v>2025</v>
      </c>
      <c r="AG215" s="24" t="n">
        <v>2025</v>
      </c>
      <c r="AH215" s="24" t="n">
        <v>2025</v>
      </c>
      <c r="AI215" s="24" t="n">
        <v>2026</v>
      </c>
      <c r="AJ215" s="24" t="n">
        <v>2026</v>
      </c>
      <c r="AK215" s="24" t="n">
        <v>2026</v>
      </c>
      <c r="AL215" s="24" t="n">
        <v>2026</v>
      </c>
      <c r="AM215" s="24" t="n">
        <v>2026</v>
      </c>
      <c r="AN215" s="24" t="n">
        <v>2027</v>
      </c>
      <c r="AO215" s="24" t="n">
        <v>2027</v>
      </c>
      <c r="AP215" s="24" t="n">
        <v>2027</v>
      </c>
      <c r="AQ215" s="24" t="n">
        <v>2027</v>
      </c>
      <c r="AR215" s="24" t="n">
        <v>2027</v>
      </c>
      <c r="AS215" s="24" t="n">
        <v>2028</v>
      </c>
      <c r="AT215" s="24" t="n">
        <v>2028</v>
      </c>
      <c r="AU215" s="24" t="n">
        <v>2028</v>
      </c>
      <c r="AV215" s="24" t="n">
        <v>2028</v>
      </c>
      <c r="AW215" s="24" t="n">
        <v>2028</v>
      </c>
      <c r="AX215" s="24" t="n">
        <v>2029</v>
      </c>
      <c r="AY215" s="24" t="n">
        <v>2029</v>
      </c>
      <c r="AZ215" s="24" t="n">
        <v>2029</v>
      </c>
      <c r="BA215" s="24" t="n">
        <v>2029</v>
      </c>
      <c r="BB215" s="24" t="n">
        <v>2029</v>
      </c>
      <c r="BC215" s="24" t="n">
        <v>2030</v>
      </c>
      <c r="BD215" s="24" t="n">
        <v>2030</v>
      </c>
      <c r="BE215" s="24" t="n">
        <v>2030</v>
      </c>
      <c r="BF215" s="24" t="n">
        <v>2030</v>
      </c>
      <c r="BG215" s="24" t="n">
        <v>2030</v>
      </c>
    </row>
    <row r="216">
      <c r="C216" s="15" t="inlineStr">
        <is>
          <t>Período</t>
        </is>
      </c>
      <c r="D216" s="16" t="inlineStr">
        <is>
          <t>Period</t>
        </is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>
      <c r="C217" s="26" t="inlineStr">
        <is>
          <t>Realizado (1) / Projetado (0)</t>
        </is>
      </c>
      <c r="D217" s="12" t="inlineStr">
        <is>
          <t>Actual (1) / Forecast (0)</t>
        </is>
      </c>
      <c r="E217" s="27">
        <f>IF(AND(E214&gt;=Inputs!$E$204,E214&lt;=Inputs!$E$203),1,0)</f>
        <v>1</v>
      </c>
      <c r="F217" s="27">
        <f>IF(AND(F214&gt;=Inputs!$E$204,F214&lt;=Inputs!$E$203),1,0)</f>
        <v>1</v>
      </c>
      <c r="G217" s="27">
        <f>IF(AND(G214&gt;=Inputs!$E$204,G214&lt;=Inputs!$E$203),1,0)</f>
        <v>1</v>
      </c>
      <c r="H217" s="27">
        <f>IF(AND(H214&gt;=Inputs!$E$204,H214&lt;=Inputs!$E$203),1,0)</f>
        <v>1</v>
      </c>
      <c r="I217" s="27">
        <f>IF(AND(I214&gt;=Inputs!$E$204,I214&lt;=Inputs!$E$203),1,0)</f>
        <v>1</v>
      </c>
      <c r="J217" s="27">
        <f>IF(AND(J214&gt;=Inputs!$E$204,J214&lt;=Inputs!$E$203),1,0)</f>
        <v>1</v>
      </c>
      <c r="K217" s="27">
        <f>IF(AND(K214&gt;=Inputs!$E$204,K214&lt;=Inputs!$E$203),1,0)</f>
        <v>1</v>
      </c>
      <c r="L217" s="27">
        <f>IF(AND(L214&gt;=Inputs!$E$204,L214&lt;=Inputs!$E$203),1,0)</f>
        <v>1</v>
      </c>
      <c r="M217" s="27">
        <f>IF(AND(M214&gt;=Inputs!$E$204,M214&lt;=Inputs!$E$203),1,0)</f>
        <v>1</v>
      </c>
      <c r="N217" s="27">
        <f>IF(AND(N214&gt;=Inputs!$E$204,N214&lt;=Inputs!$E$203),1,0)</f>
        <v>1</v>
      </c>
      <c r="O217" s="27">
        <f>IF(AND(O214&gt;=Inputs!$E$204,O214&lt;=Inputs!$E$203),1,0)</f>
        <v>1</v>
      </c>
      <c r="P217" s="27">
        <f>IF(AND(P214&gt;=Inputs!$E$204,P214&lt;=Inputs!$E$203),1,0)</f>
        <v>1</v>
      </c>
      <c r="Q217" s="27">
        <f>IF(AND(Q214&gt;=Inputs!$E$204,Q214&lt;=Inputs!$E$203),1,0)</f>
        <v>1</v>
      </c>
      <c r="R217" s="27">
        <f>IF(AND(R214&gt;=Inputs!$E$204,R214&lt;=Inputs!$E$203),1,0)</f>
        <v>1</v>
      </c>
      <c r="S217" s="27">
        <f>IF(AND(S214&gt;=Inputs!$E$204,S214&lt;=Inputs!$E$203),1,0)</f>
        <v>1</v>
      </c>
      <c r="T217" s="27">
        <f>IF(AND(T214&gt;=Inputs!$E$204,T214&lt;=Inputs!$E$203),1,0)</f>
        <v>1</v>
      </c>
      <c r="U217" s="27">
        <f>IF(AND(U214&gt;=Inputs!$E$204,U214&lt;=Inputs!$E$203),1,0)</f>
        <v>1</v>
      </c>
      <c r="V217" s="27">
        <f>IF(AND(V214&gt;=Inputs!$E$204,V214&lt;=Inputs!$E$203),1,0)</f>
        <v>1</v>
      </c>
      <c r="W217" s="27">
        <f>IF(AND(W214&gt;=Inputs!$E$204,W214&lt;=Inputs!$E$203),1,0)</f>
        <v>1</v>
      </c>
      <c r="X217" s="27">
        <f>IF(AND(X214&gt;=Inputs!$E$204,X214&lt;=Inputs!$E$203),1,0)</f>
        <v>1</v>
      </c>
      <c r="Y217" s="27">
        <f>IF(AND(Y214&gt;=Inputs!$E$204,Y214&lt;=Inputs!$E$203),1,0)</f>
        <v>1</v>
      </c>
      <c r="Z217" s="27">
        <f>IF(AND(Z214&gt;=Inputs!$E$204,Z214&lt;=Inputs!$E$203),1,0)</f>
        <v>1</v>
      </c>
      <c r="AA217" s="27">
        <f>IF(AND(AA214&gt;=Inputs!$E$204,AA214&lt;=Inputs!$E$203),1,0)</f>
        <v>1</v>
      </c>
      <c r="AB217" s="27">
        <f>IF(AND(AB214&gt;=Inputs!$E$204,AB214&lt;=Inputs!$E$203),1,0)</f>
        <v>1</v>
      </c>
      <c r="AC217" s="27">
        <f>IF(AND(AC214&gt;=Inputs!$E$204,AC214&lt;=Inputs!$E$203),1,0)</f>
        <v>1</v>
      </c>
      <c r="AD217" s="27">
        <f>IF(AND(AD214&gt;=Inputs!$E$204,AD214&lt;=Inputs!$E$203),1,0)</f>
        <v>1</v>
      </c>
      <c r="AE217" s="27">
        <f>IF(AND(AE214&gt;=Inputs!$E$204,AE214&lt;=Inputs!$E$203),1,0)</f>
        <v>1</v>
      </c>
      <c r="AF217" s="27">
        <f>IF(AND(AF214&gt;=Inputs!$E$204,AF214&lt;=Inputs!$E$203),1,0)</f>
        <v>1</v>
      </c>
      <c r="AG217" s="27">
        <f>IF(AND(AG214&gt;=Inputs!$E$204,AG214&lt;=Inputs!$E$203),1,0)</f>
        <v>1</v>
      </c>
      <c r="AH217" s="27">
        <f>IF(AND(AH214&gt;=Inputs!$E$204,AH214&lt;=Inputs!$E$203),1,0)</f>
        <v>1</v>
      </c>
      <c r="AI217" s="27">
        <f>IF(AND(AI214&gt;=Inputs!$E$204,AI214&lt;=Inputs!$E$203),1,0)</f>
        <v>1</v>
      </c>
      <c r="AJ217" s="27">
        <f>IF(AND(AJ214&gt;=Inputs!$E$204,AJ214&lt;=Inputs!$E$203),1,0)</f>
        <v>1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inlineStr">
        <is>
          <t>Não editar: derivado da data do último trimestre reportado.</t>
        </is>
      </c>
    </row>
    <row r="219">
      <c r="B219" s="7" t="n"/>
      <c r="C219" s="7" t="inlineStr">
        <is>
          <t>DRIVERS IMPLÍCITOS NO HISTÓRICO — CALCULADOS DA INPUTS (2)</t>
        </is>
      </c>
      <c r="D219" s="7" t="inlineStr">
        <is>
          <t>IMPLIED DRIVERS — DERIVED FROM REPORTED DATA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28" t="inlineStr">
        <is>
      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      </is>
      </c>
    </row>
    <row r="220" hidden="1" outlineLevel="1">
      <c r="B220" s="29" t="n"/>
      <c r="C220" s="29" t="inlineStr">
        <is>
          <t>Crédito, tesouraria e funding — realizado</t>
        </is>
      </c>
      <c r="D220" s="29" t="inlineStr">
        <is>
          <t>Loans, treasury and funding — actual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 hidden="1" outlineLevel="1">
      <c r="C221" s="30" t="inlineStr">
        <is>
          <t>Carteira de crédito bruta — crescimento % QoQ</t>
        </is>
      </c>
      <c r="D221" s="12" t="inlineStr">
        <is>
          <t>Gross loan growth QoQ</t>
        </is>
      </c>
      <c r="E221" s="31" t="n"/>
      <c r="F221" s="32">
        <f>IFERROR(IF(('Inputs (2)'!E18+'Inputs (2)'!E19)=0,"",('Inputs (2)'!F18+'Inputs (2)'!F19)/('Inputs (2)'!E18+'Inputs (2)'!E19)-1),"")</f>
        <v>0.0193212270763177</v>
      </c>
      <c r="G221" s="32">
        <f>IFERROR(IF(('Inputs (2)'!F18+'Inputs (2)'!F19)=0,"",('Inputs (2)'!G18+'Inputs (2)'!G19)/('Inputs (2)'!F18+'Inputs (2)'!F19)-1),"")</f>
        <v>0.0550273493726545</v>
      </c>
      <c r="H221" s="32">
        <f>IFERROR(IF(('Inputs (2)'!G18+'Inputs (2)'!G19)=0,"",('Inputs (2)'!H18+'Inputs (2)'!H19)/('Inputs (2)'!G18+'Inputs (2)'!G19)-1),"")</f>
        <v>0.0685715086201313</v>
      </c>
      <c r="I221" s="33" t="n"/>
      <c r="J221" s="32">
        <f>IFERROR(IF(('Inputs (2)'!H18+'Inputs (2)'!H19)=0,"",('Inputs (2)'!J18+'Inputs (2)'!J19)/('Inputs (2)'!H18+'Inputs (2)'!H19)-1),"")</f>
        <v>0.0209523233785949</v>
      </c>
      <c r="K221" s="32">
        <f>IFERROR(IF(('Inputs (2)'!J18+'Inputs (2)'!J19)=0,"",('Inputs (2)'!K18+'Inputs (2)'!K19)/('Inputs (2)'!J18+'Inputs (2)'!J19)-1),"")</f>
        <v>-0.0311647663717008</v>
      </c>
      <c r="L221" s="32">
        <f>IFERROR(IF(('Inputs (2)'!K18+'Inputs (2)'!K19)=0,"",('Inputs (2)'!L18+'Inputs (2)'!L19)/('Inputs (2)'!K18+'Inputs (2)'!K19)-1),"")</f>
        <v>0.0509010687390938</v>
      </c>
      <c r="M221" s="32">
        <f>IFERROR(IF(('Inputs (2)'!L18+'Inputs (2)'!L19)=0,"",('Inputs (2)'!M18+'Inputs (2)'!M19)/('Inputs (2)'!L18+'Inputs (2)'!L19)-1),"")</f>
        <v>0.0622823659397032</v>
      </c>
      <c r="N221" s="34">
        <f>IFERROR(IF(('Inputs (2)'!I18+'Inputs (2)'!I19)=0,"",('Inputs (2)'!N18+'Inputs (2)'!N19)/('Inputs (2)'!I18+'Inputs (2)'!I19)-1),"")</f>
        <v>0.104224025198887</v>
      </c>
      <c r="O221" s="32">
        <f>IFERROR(IF(('Inputs (2)'!M18+'Inputs (2)'!M19)=0,"",('Inputs (2)'!O18+'Inputs (2)'!O19)/('Inputs (2)'!M18+'Inputs (2)'!M19)-1),"")</f>
        <v>-0.0053833527604501</v>
      </c>
      <c r="P221" s="32">
        <f>IFERROR(IF(('Inputs (2)'!O18+'Inputs (2)'!O19)=0,"",('Inputs (2)'!P18+'Inputs (2)'!P19)/('Inputs (2)'!O18+'Inputs (2)'!O19)-1),"")</f>
        <v>0.0588311125797221</v>
      </c>
      <c r="Q221" s="32">
        <f>IFERROR(IF(('Inputs (2)'!P18+'Inputs (2)'!P19)=0,"",('Inputs (2)'!Q18+'Inputs (2)'!Q19)/('Inputs (2)'!P18+'Inputs (2)'!P19)-1),"")</f>
        <v>0.0502764413658687</v>
      </c>
      <c r="R221" s="32">
        <f>IFERROR(IF(('Inputs (2)'!Q18+'Inputs (2)'!Q19)=0,"",('Inputs (2)'!R18+'Inputs (2)'!R19)/('Inputs (2)'!Q18+'Inputs (2)'!Q19)-1),"")</f>
        <v>-0.000481634987754109</v>
      </c>
      <c r="S221" s="34">
        <f>IFERROR(IF(('Inputs (2)'!N18+'Inputs (2)'!N19)=0,"",('Inputs (2)'!S18+'Inputs (2)'!S19)/('Inputs (2)'!N18+'Inputs (2)'!N19)-1),"")</f>
        <v>0.105546006515648</v>
      </c>
      <c r="T221" s="32">
        <f>IFERROR(IF(('Inputs (2)'!R18+'Inputs (2)'!R19)=0,"",('Inputs (2)'!T18+'Inputs (2)'!T19)/('Inputs (2)'!R18+'Inputs (2)'!R19)-1),"")</f>
        <v>-0.0747232739242685</v>
      </c>
      <c r="U221" s="32">
        <f>IFERROR(IF(('Inputs (2)'!T18+'Inputs (2)'!T19)=0,"",('Inputs (2)'!U18+'Inputs (2)'!U19)/('Inputs (2)'!T18+'Inputs (2)'!T19)-1),"")</f>
        <v>-0.0301123957095587</v>
      </c>
      <c r="V221" s="32">
        <f>IFERROR(IF(('Inputs (2)'!U18+'Inputs (2)'!U19)=0,"",('Inputs (2)'!V18+'Inputs (2)'!V19)/('Inputs (2)'!U18+'Inputs (2)'!U19)-1),"")</f>
        <v>0.0133068520267812</v>
      </c>
      <c r="W221" s="32">
        <f>IFERROR(IF(('Inputs (2)'!V18+'Inputs (2)'!V19)=0,"",('Inputs (2)'!W18+'Inputs (2)'!W19)/('Inputs (2)'!V18+'Inputs (2)'!V19)-1),"")</f>
        <v>0.0277252094786129</v>
      </c>
      <c r="X221" s="34">
        <f>IFERROR(IF(('Inputs (2)'!S18+'Inputs (2)'!S19)=0,"",('Inputs (2)'!X18+'Inputs (2)'!X19)/('Inputs (2)'!S18+'Inputs (2)'!S19)-1),"")</f>
        <v>-0.0654317210447166</v>
      </c>
      <c r="Y221" s="32">
        <f>IFERROR(IF(('Inputs (2)'!W18+'Inputs (2)'!W19)=0,"",('Inputs (2)'!Y18+'Inputs (2)'!Y19)/('Inputs (2)'!W18+'Inputs (2)'!W19)-1),"")</f>
        <v>-0.0789783280713492</v>
      </c>
      <c r="Z221" s="32">
        <f>IFERROR(IF(('Inputs (2)'!Y18+'Inputs (2)'!Y19)=0,"",('Inputs (2)'!Z18+'Inputs (2)'!Z19)/('Inputs (2)'!Y18+'Inputs (2)'!Y19)-1),"")</f>
        <v>-0.00483238528616736</v>
      </c>
      <c r="AA221" s="32">
        <f>IFERROR(IF(('Inputs (2)'!Z18+'Inputs (2)'!Z19)=0,"",('Inputs (2)'!AA18+'Inputs (2)'!AA19)/('Inputs (2)'!Z18+'Inputs (2)'!Z19)-1),"")</f>
        <v>0.00235587570036677</v>
      </c>
      <c r="AB221" s="32">
        <f>IFERROR(IF(('Inputs (2)'!AA18+'Inputs (2)'!AA19)=0,"",('Inputs (2)'!AB18+'Inputs (2)'!AB19)/('Inputs (2)'!AA18+'Inputs (2)'!AA19)-1),"")</f>
        <v>0.0490480677964533</v>
      </c>
      <c r="AC221" s="34">
        <f>IFERROR(IF(('Inputs (2)'!X18+'Inputs (2)'!X19)=0,"",('Inputs (2)'!AC18+'Inputs (2)'!AC19)/('Inputs (2)'!X18+'Inputs (2)'!X19)-1),"")</f>
        <v>-0.03620778799109</v>
      </c>
      <c r="AD221" s="32">
        <f>IFERROR(IF(('Inputs (2)'!AB18+'Inputs (2)'!AB19)=0,"",('Inputs (2)'!AD18+'Inputs (2)'!AD19)/('Inputs (2)'!AB18+'Inputs (2)'!AB19)-1),"")</f>
        <v>-0.0683804135483835</v>
      </c>
      <c r="AE221" s="32">
        <f>IFERROR(IF(('Inputs (2)'!AD18+'Inputs (2)'!AD19)=0,"",('Inputs (2)'!AE18+'Inputs (2)'!AE19)/('Inputs (2)'!AD18+'Inputs (2)'!AD19)-1),"")</f>
        <v>0.00472330238165863</v>
      </c>
      <c r="AF221" s="32">
        <f>IFERROR(IF(('Inputs (2)'!AE18+'Inputs (2)'!AE19)=0,"",('Inputs (2)'!AF18+'Inputs (2)'!AF19)/('Inputs (2)'!AE18+'Inputs (2)'!AE19)-1),"")</f>
        <v>0.0282584963014669</v>
      </c>
      <c r="AG221" s="32">
        <f>IFERROR(IF(('Inputs (2)'!AF18+'Inputs (2)'!AF19)=0,"",('Inputs (2)'!AG18+'Inputs (2)'!AG19)/('Inputs (2)'!AF18+'Inputs (2)'!AF19)-1),"")</f>
        <v>0.100013448284614</v>
      </c>
      <c r="AH221" s="34">
        <f>IFERROR(IF(('Inputs (2)'!AC18+'Inputs (2)'!AC19)=0,"",('Inputs (2)'!AH18+'Inputs (2)'!AH19)/('Inputs (2)'!AC18+'Inputs (2)'!AC19)-1),"")</f>
        <v>0.0587304083880493</v>
      </c>
      <c r="AI221" s="32">
        <f>IFERROR(IF(('Inputs (2)'!AG18+'Inputs (2)'!AG19)=0,"",('Inputs (2)'!AI18+'Inputs (2)'!AI19)/('Inputs (2)'!AG18+'Inputs (2)'!AG19)-1),"")</f>
        <v>-0.0771620476174874</v>
      </c>
      <c r="AJ221" s="32">
        <f>IFERROR(IF(('Inputs (2)'!AI18+'Inputs (2)'!AI19)=0,"",('Inputs (2)'!AJ18+'Inputs (2)'!AJ19)/('Inputs (2)'!AI18+'Inputs (2)'!AI19)-1),"")</f>
        <v>0.025821357252479</v>
      </c>
      <c r="AK221" s="32">
        <f>IFERROR(IF(('Inputs (2)'!AJ18+'Inputs (2)'!AJ19)=0,"",('Inputs (2)'!AK18+'Inputs (2)'!AK19)/('Inputs (2)'!AJ18+'Inputs (2)'!AJ19)-1),"")</f>
        <v>-1</v>
      </c>
      <c r="AL221" s="32" t="str">
        <f>IFERROR(IF(('Inputs (2)'!AK18+'Inputs (2)'!AK19)=0,"",('Inputs (2)'!AL18+'Inputs (2)'!AL19)/('Inputs (2)'!AK18+'Inputs (2)'!AK19)-1),"")</f>
        <v/>
      </c>
      <c r="AM221" s="34">
        <f>IFERROR(IF(('Inputs (2)'!AH18+'Inputs (2)'!AH19)=0,"",('Inputs (2)'!AM18+'Inputs (2)'!AM19)/('Inputs (2)'!AH18+'Inputs (2)'!AH19)-1),"")</f>
        <v>-1</v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hidden="1" outlineLevel="1">
      <c r="C222" s="30" t="inlineStr">
        <is>
          <t>Taxa média da carteira de crédito (% a.a.)</t>
        </is>
      </c>
      <c r="D222" s="12" t="inlineStr">
        <is>
          <t>Average loan yield</t>
        </is>
      </c>
      <c r="E222" s="32">
        <f>IFERROR(IF(OR(('Inputs (2)'!E18+'Inputs (2)'!E19)=0,('Inputs (2)'!E71)=0),"",('Inputs (2)'!E71)*4/('Inputs (2)'!E18+'Inputs (2)'!E19)),"")</f>
        <v>0.432707555522916</v>
      </c>
      <c r="F222" s="32">
        <f>IFERROR(IF(OR(AVERAGE(('Inputs (2)'!E18+'Inputs (2)'!E19),('Inputs (2)'!F18+'Inputs (2)'!F19))=0,('Inputs (2)'!F71)=0),"",('Inputs (2)'!F71)*4/AVERAGE(('Inputs (2)'!E18+'Inputs (2)'!E19),('Inputs (2)'!F18+'Inputs (2)'!F19))),"")</f>
        <v>0.193623162559747</v>
      </c>
      <c r="G222" s="32">
        <f>IFERROR(IF(OR(AVERAGE(('Inputs (2)'!F18+'Inputs (2)'!F19),('Inputs (2)'!G18+'Inputs (2)'!G19))=0,('Inputs (2)'!G71)=0),"",('Inputs (2)'!G71)*4/AVERAGE(('Inputs (2)'!F18+'Inputs (2)'!F19),('Inputs (2)'!G18+'Inputs (2)'!G19))),"")</f>
        <v>0.152140794119582</v>
      </c>
      <c r="H222" s="32">
        <f>IFERROR(IF(OR(AVERAGE(('Inputs (2)'!G18+'Inputs (2)'!G19),('Inputs (2)'!H18+'Inputs (2)'!H19))=0,('Inputs (2)'!H71)=0),"",('Inputs (2)'!H71)*4/AVERAGE(('Inputs (2)'!G18+'Inputs (2)'!G19),('Inputs (2)'!H18+'Inputs (2)'!H19))),"")</f>
        <v>-0.0822139198560865</v>
      </c>
      <c r="I222" s="34">
        <f>IFERROR(IF(OR(('Inputs (2)'!I18+'Inputs (2)'!I19)=0,('Inputs (2)'!I71)=0),"",('Inputs (2)'!I71)/('Inputs (2)'!I18+'Inputs (2)'!I19)),"")</f>
        <v>0.151438150538141</v>
      </c>
      <c r="J222" s="32">
        <f>IFERROR(IF(OR(AVERAGE(('Inputs (2)'!H18+'Inputs (2)'!H19),('Inputs (2)'!J18+'Inputs (2)'!J19))=0,('Inputs (2)'!J71)=0),"",('Inputs (2)'!J71)*4/AVERAGE(('Inputs (2)'!H18+'Inputs (2)'!H19),('Inputs (2)'!J18+'Inputs (2)'!J19))),"")</f>
        <v>0.227991260253755</v>
      </c>
      <c r="K222" s="32">
        <f>IFERROR(IF(OR(AVERAGE(('Inputs (2)'!J18+'Inputs (2)'!J19),('Inputs (2)'!K18+'Inputs (2)'!K19))=0,('Inputs (2)'!K71)=0),"",('Inputs (2)'!K71)*4/AVERAGE(('Inputs (2)'!J18+'Inputs (2)'!J19),('Inputs (2)'!K18+'Inputs (2)'!K19))),"")</f>
        <v>-0.149903016933478</v>
      </c>
      <c r="L222" s="32">
        <f>IFERROR(IF(OR(AVERAGE(('Inputs (2)'!K18+'Inputs (2)'!K19),('Inputs (2)'!L18+'Inputs (2)'!L19))=0,('Inputs (2)'!L71)=0),"",('Inputs (2)'!L71)*4/AVERAGE(('Inputs (2)'!K18+'Inputs (2)'!K19),('Inputs (2)'!L18+'Inputs (2)'!L19))),"")</f>
        <v>0.214493522386926</v>
      </c>
      <c r="M222" s="32">
        <f>IFERROR(IF(OR(AVERAGE(('Inputs (2)'!L18+'Inputs (2)'!L19),('Inputs (2)'!M18+'Inputs (2)'!M19))=0,('Inputs (2)'!M71)=0),"",('Inputs (2)'!M71)*4/AVERAGE(('Inputs (2)'!L18+'Inputs (2)'!L19),('Inputs (2)'!M18+'Inputs (2)'!M19))),"")</f>
        <v>0.137173730083767</v>
      </c>
      <c r="N222" s="34">
        <f>IFERROR(IF(OR(AVERAGE(('Inputs (2)'!I18+'Inputs (2)'!I19),('Inputs (2)'!N18+'Inputs (2)'!N19))=0,('Inputs (2)'!N71)=0),"",('Inputs (2)'!N71)/AVERAGE(('Inputs (2)'!I18+'Inputs (2)'!I19),('Inputs (2)'!N18+'Inputs (2)'!N19))),"")</f>
        <v>0.105576549902363</v>
      </c>
      <c r="O222" s="32">
        <f>IFERROR(IF(OR(AVERAGE(('Inputs (2)'!M18+'Inputs (2)'!M19),('Inputs (2)'!O18+'Inputs (2)'!O19))=0,('Inputs (2)'!O71)=0),"",('Inputs (2)'!O71)*4/AVERAGE(('Inputs (2)'!M18+'Inputs (2)'!M19),('Inputs (2)'!O18+'Inputs (2)'!O19))),"")</f>
        <v>-0.0557893455864176</v>
      </c>
      <c r="P222" s="32">
        <f>IFERROR(IF(OR(AVERAGE(('Inputs (2)'!O18+'Inputs (2)'!O19),('Inputs (2)'!P18+'Inputs (2)'!P19))=0,('Inputs (2)'!P71)=0),"",('Inputs (2)'!P71)*4/AVERAGE(('Inputs (2)'!O18+'Inputs (2)'!O19),('Inputs (2)'!P18+'Inputs (2)'!P19))),"")</f>
        <v>0.209054174200202</v>
      </c>
      <c r="Q222" s="32">
        <f>IFERROR(IF(OR(AVERAGE(('Inputs (2)'!P18+'Inputs (2)'!P19),('Inputs (2)'!Q18+'Inputs (2)'!Q19))=0,('Inputs (2)'!Q71)=0),"",('Inputs (2)'!Q71)*4/AVERAGE(('Inputs (2)'!P18+'Inputs (2)'!P19),('Inputs (2)'!Q18+'Inputs (2)'!Q19))),"")</f>
        <v>0.180801665373504</v>
      </c>
      <c r="R222" s="32">
        <f>IFERROR(IF(OR(AVERAGE(('Inputs (2)'!Q18+'Inputs (2)'!Q19),('Inputs (2)'!R18+'Inputs (2)'!R19))=0,('Inputs (2)'!R71)=0),"",('Inputs (2)'!R71)*4/AVERAGE(('Inputs (2)'!Q18+'Inputs (2)'!Q19),('Inputs (2)'!R18+'Inputs (2)'!R19))),"")</f>
        <v>0.0775266236707307</v>
      </c>
      <c r="S222" s="34">
        <f>IFERROR(IF(OR(AVERAGE(('Inputs (2)'!N18+'Inputs (2)'!N19),('Inputs (2)'!S18+'Inputs (2)'!S19))=0,('Inputs (2)'!S71)=0),"",('Inputs (2)'!S71)/AVERAGE(('Inputs (2)'!N18+'Inputs (2)'!N19),('Inputs (2)'!S18+'Inputs (2)'!S19))),"")</f>
        <v>0.104326902331344</v>
      </c>
      <c r="T222" s="32">
        <f>IFERROR(IF(OR(AVERAGE(('Inputs (2)'!R18+'Inputs (2)'!R19),('Inputs (2)'!T18+'Inputs (2)'!T19))=0,('Inputs (2)'!T71)=0),"",('Inputs (2)'!T71)*4/AVERAGE(('Inputs (2)'!R18+'Inputs (2)'!R19),('Inputs (2)'!T18+'Inputs (2)'!T19))),"")</f>
        <v>0.110749083786062</v>
      </c>
      <c r="U222" s="32">
        <f>IFERROR(IF(OR(AVERAGE(('Inputs (2)'!T18+'Inputs (2)'!T19),('Inputs (2)'!U18+'Inputs (2)'!U19))=0,('Inputs (2)'!U71)=0),"",('Inputs (2)'!U71)*4/AVERAGE(('Inputs (2)'!T18+'Inputs (2)'!T19),('Inputs (2)'!U18+'Inputs (2)'!U19))),"")</f>
        <v>0.0853143313920617</v>
      </c>
      <c r="V222" s="32">
        <f>IFERROR(IF(OR(AVERAGE(('Inputs (2)'!U18+'Inputs (2)'!U19),('Inputs (2)'!V18+'Inputs (2)'!V19))=0,('Inputs (2)'!V71)=0),"",('Inputs (2)'!V71)*4/AVERAGE(('Inputs (2)'!U18+'Inputs (2)'!U19),('Inputs (2)'!V18+'Inputs (2)'!V19))),"")</f>
        <v>0.201654562895173</v>
      </c>
      <c r="W222" s="32">
        <f>IFERROR(IF(OR(AVERAGE(('Inputs (2)'!V18+'Inputs (2)'!V19),('Inputs (2)'!W18+'Inputs (2)'!W19))=0,('Inputs (2)'!W71)=0),"",('Inputs (2)'!W71)*4/AVERAGE(('Inputs (2)'!V18+'Inputs (2)'!V19),('Inputs (2)'!W18+'Inputs (2)'!W19))),"")</f>
        <v>0.0728893501100327</v>
      </c>
      <c r="X222" s="34">
        <f>IFERROR(IF(OR(AVERAGE(('Inputs (2)'!S18+'Inputs (2)'!S19),('Inputs (2)'!X18+'Inputs (2)'!X19))=0,('Inputs (2)'!X71)=0),"",('Inputs (2)'!X71)/AVERAGE(('Inputs (2)'!S18+'Inputs (2)'!S19),('Inputs (2)'!X18+'Inputs (2)'!X19))),"")</f>
        <v>0.112101277930764</v>
      </c>
      <c r="Y222" s="32">
        <f>IFERROR(IF(OR(AVERAGE(('Inputs (2)'!W18+'Inputs (2)'!W19),('Inputs (2)'!Y18+'Inputs (2)'!Y19))=0,('Inputs (2)'!Y71)=0),"",('Inputs (2)'!Y71)*4/AVERAGE(('Inputs (2)'!W18+'Inputs (2)'!W19),('Inputs (2)'!Y18+'Inputs (2)'!Y19))),"")</f>
        <v>0.178888661867066</v>
      </c>
      <c r="Z222" s="32">
        <f>IFERROR(IF(OR(AVERAGE(('Inputs (2)'!Y18+'Inputs (2)'!Y19),('Inputs (2)'!Z18+'Inputs (2)'!Z19))=0,('Inputs (2)'!Z71)=0),"",('Inputs (2)'!Z71)*4/AVERAGE(('Inputs (2)'!Y18+'Inputs (2)'!Y19),('Inputs (2)'!Z18+'Inputs (2)'!Z19))),"")</f>
        <v>0.315478575413692</v>
      </c>
      <c r="AA222" s="32">
        <f>IFERROR(IF(OR(AVERAGE(('Inputs (2)'!Z18+'Inputs (2)'!Z19),('Inputs (2)'!AA18+'Inputs (2)'!AA19))=0,('Inputs (2)'!AA71)=0),"",('Inputs (2)'!AA71)*4/AVERAGE(('Inputs (2)'!Z18+'Inputs (2)'!Z19),('Inputs (2)'!AA18+'Inputs (2)'!AA19))),"")</f>
        <v>0.0789020083365341</v>
      </c>
      <c r="AB222" s="32">
        <f>IFERROR(IF(OR(AVERAGE(('Inputs (2)'!AA18+'Inputs (2)'!AA19),('Inputs (2)'!AB18+'Inputs (2)'!AB19))=0,('Inputs (2)'!AB71)=0),"",('Inputs (2)'!AB71)*4/AVERAGE(('Inputs (2)'!AA18+'Inputs (2)'!AA19),('Inputs (2)'!AB18+'Inputs (2)'!AB19))),"")</f>
        <v>0.359633606189051</v>
      </c>
      <c r="AC222" s="34">
        <f>IFERROR(IF(OR(AVERAGE(('Inputs (2)'!X18+'Inputs (2)'!X19),('Inputs (2)'!AC18+'Inputs (2)'!AC19))=0,('Inputs (2)'!AC71)=0),"",('Inputs (2)'!AC71)/AVERAGE(('Inputs (2)'!X18+'Inputs (2)'!X19),('Inputs (2)'!AC18+'Inputs (2)'!AC19))),"")</f>
        <v>0.222171850007324</v>
      </c>
      <c r="AD222" s="32">
        <f>IFERROR(IF(OR(AVERAGE(('Inputs (2)'!AB18+'Inputs (2)'!AB19),('Inputs (2)'!AD18+'Inputs (2)'!AD19))=0,('Inputs (2)'!AD71)=0),"",('Inputs (2)'!AD71)*4/AVERAGE(('Inputs (2)'!AB18+'Inputs (2)'!AB19),('Inputs (2)'!AD18+'Inputs (2)'!AD19))),"")</f>
        <v>0.152825452381316</v>
      </c>
      <c r="AE222" s="32">
        <f>IFERROR(IF(OR(AVERAGE(('Inputs (2)'!AD18+'Inputs (2)'!AD19),('Inputs (2)'!AE18+'Inputs (2)'!AE19))=0,('Inputs (2)'!AE71)=0),"",('Inputs (2)'!AE71)*4/AVERAGE(('Inputs (2)'!AD18+'Inputs (2)'!AD19),('Inputs (2)'!AE18+'Inputs (2)'!AE19))),"")</f>
        <v>0.196952843693372</v>
      </c>
      <c r="AF222" s="32">
        <f>IFERROR(IF(OR(AVERAGE(('Inputs (2)'!AE18+'Inputs (2)'!AE19),('Inputs (2)'!AF18+'Inputs (2)'!AF19))=0,('Inputs (2)'!AF71)=0),"",('Inputs (2)'!AF71)*4/AVERAGE(('Inputs (2)'!AE18+'Inputs (2)'!AE19),('Inputs (2)'!AF18+'Inputs (2)'!AF19))),"")</f>
        <v>0.18410527613924</v>
      </c>
      <c r="AG222" s="32">
        <f>IFERROR(IF(OR(AVERAGE(('Inputs (2)'!AF18+'Inputs (2)'!AF19),('Inputs (2)'!AG18+'Inputs (2)'!AG19))=0,('Inputs (2)'!AG71)=0),"",('Inputs (2)'!AG71)*4/AVERAGE(('Inputs (2)'!AF18+'Inputs (2)'!AF19),('Inputs (2)'!AG18+'Inputs (2)'!AG19))),"")</f>
        <v>0.0875842167916285</v>
      </c>
      <c r="AH222" s="34">
        <f>IFERROR(IF(OR(AVERAGE(('Inputs (2)'!AC18+'Inputs (2)'!AC19),('Inputs (2)'!AH18+'Inputs (2)'!AH19))=0,('Inputs (2)'!AH71)=0),"",('Inputs (2)'!AH71)/AVERAGE(('Inputs (2)'!AC18+'Inputs (2)'!AC19),('Inputs (2)'!AH18+'Inputs (2)'!AH19))),"")</f>
        <v>0.14445613177599</v>
      </c>
      <c r="AI222" s="32">
        <f>IFERROR(IF(OR(AVERAGE(('Inputs (2)'!AG18+'Inputs (2)'!AG19),('Inputs (2)'!AI18+'Inputs (2)'!AI19))=0,('Inputs (2)'!AI71)=0),"",('Inputs (2)'!AI71)*4/AVERAGE(('Inputs (2)'!AG18+'Inputs (2)'!AG19),('Inputs (2)'!AI18+'Inputs (2)'!AI19))),"")</f>
        <v>0.134728602221029</v>
      </c>
      <c r="AJ222" s="32">
        <f>IFERROR(IF(OR(AVERAGE(('Inputs (2)'!AI18+'Inputs (2)'!AI19),('Inputs (2)'!AJ18+'Inputs (2)'!AJ19))=0,('Inputs (2)'!AJ71)=0),"",('Inputs (2)'!AJ71)*4/AVERAGE(('Inputs (2)'!AI18+'Inputs (2)'!AI19),('Inputs (2)'!AJ18+'Inputs (2)'!AJ19))),"")</f>
        <v>0.126654437235853</v>
      </c>
      <c r="AK222" s="32" t="str">
        <f>IFERROR(IF(OR(AVERAGE(('Inputs (2)'!AJ18+'Inputs (2)'!AJ19),('Inputs (2)'!AK18+'Inputs (2)'!AK19))=0,('Inputs (2)'!AK71)=0),"",('Inputs (2)'!AK71)*4/AVERAGE(('Inputs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(2)'!AL71)=0),"",('Inputs (2)'!AL71)*4/AVERAGE(('Inputs (2)'!AK18+'Inputs (2)'!AK19),('Inputs (2)'!AL18+'Inputs (2)'!AL19))),"")</f>
        <v/>
      </c>
      <c r="AM222" s="34">
        <f>IFERROR(IF(OR(AVERAGE(('Inputs (2)'!AH18+'Inputs (2)'!AH19),('Inputs (2)'!AM18+'Inputs (2)'!AM19))=0,('Inputs (2)'!AM71)=0),"",('Inputs (2)'!AM71)/AVERAGE(('Inputs (2)'!AH18+'Inputs (2)'!AH19),('Inputs (2)'!AM18+'Inputs (2)'!AM19))),"")</f>
        <v>0.123960588045795</v>
      </c>
      <c r="AN222" s="32" t="str">
        <f>IFERROR(IF(OR(AVERAGE(('Inputs (2)'!AL18+'Inputs (2)'!AL19),('Inputs (2)'!AN18+'Inputs (2)'!AN19))=0,('Inputs (2)'!AN71)=0),"",('Inputs (2)'!AN71)*4/AVERAGE(('Inputs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(2)'!AO71)=0),"",('Inputs (2)'!AO71)*4/AVERAGE(('Inputs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(2)'!AP71)=0),"",('Inputs (2)'!AP71)*4/AVERAGE(('Inputs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(2)'!AQ71)=0),"",('Inputs (2)'!AQ71)*4/AVERAGE(('Inputs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(2)'!AR71)=0),"",('Inputs (2)'!AR71)/AVERAGE(('Inputs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(2)'!AS71)=0),"",('Inputs (2)'!AS71)*4/AVERAGE(('Inputs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(2)'!AT71)=0),"",('Inputs (2)'!AT71)*4/AVERAGE(('Inputs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(2)'!AU71)=0),"",('Inputs (2)'!AU71)*4/AVERAGE(('Inputs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(2)'!AV71)=0),"",('Inputs (2)'!AV71)*4/AVERAGE(('Inputs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(2)'!AW71)=0),"",('Inputs (2)'!AW71)/AVERAGE(('Inputs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(2)'!AX71)=0),"",('Inputs (2)'!AX71)*4/AVERAGE(('Inputs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(2)'!AY71)=0),"",('Inputs (2)'!AY71)*4/AVERAGE(('Inputs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(2)'!AZ71)=0),"",('Inputs (2)'!AZ71)*4/AVERAGE(('Inputs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(2)'!BA71)=0),"",('Inputs (2)'!BA71)*4/AVERAGE(('Inputs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(2)'!BB71)=0),"",('Inputs (2)'!BB71)/AVERAGE(('Inputs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(2)'!BC71)=0),"",('Inputs (2)'!BC71)*4/AVERAGE(('Inputs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(2)'!BD71)=0),"",('Inputs (2)'!BD71)*4/AVERAGE(('Inputs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(2)'!BE71)=0),"",('Inputs (2)'!BE71)*4/AVERAGE(('Inputs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(2)'!BF71)=0),"",('Inputs (2)'!BF71)*4/AVERAGE(('Inputs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(2)'!BG71)=0),"",('Inputs (2)'!BG71)/AVERAGE(('Inputs (2)'!BB18+'Inputs (2)'!BB19),('Inputs (2)'!BG18+'Inputs (2)'!BG19))),"")</f>
        <v/>
      </c>
    </row>
    <row r="223" hidden="1" outlineLevel="1">
      <c r="C223" s="30" t="inlineStr">
        <is>
          <t>Custo do crédito (% da carteira média, a.a.)</t>
        </is>
      </c>
      <c r="D223" s="12" t="inlineStr">
        <is>
          <t>Cost of risk</t>
        </is>
      </c>
      <c r="E223" s="32">
        <f>IFERROR(IF(OR(ABS(('Inputs (2)'!E18+'Inputs (2)'!E19))=0,('Inputs (2)'!E82)=0),"",ABS('Inputs (2)'!E82)*4/ABS(('Inputs (2)'!E18+'Inputs (2)'!E19))),"")</f>
        <v>0.0138292651468093</v>
      </c>
      <c r="F223" s="32">
        <f>IFERROR(IF(OR(ABS(AVERAGE(('Inputs (2)'!E18+'Inputs (2)'!E19),('Inputs (2)'!F18+'Inputs (2)'!F19)))=0,('Inputs (2)'!F82)=0),"",ABS('Inputs (2)'!F82)*4/ABS(AVERAGE(('Inputs (2)'!E18+'Inputs (2)'!E19),('Inputs (2)'!F18+'Inputs (2)'!F19)))),"")</f>
        <v>0.0209915760639719</v>
      </c>
      <c r="G223" s="32">
        <f>IFERROR(IF(OR(ABS(AVERAGE(('Inputs (2)'!F18+'Inputs (2)'!F19),('Inputs (2)'!G18+'Inputs (2)'!G19)))=0,('Inputs (2)'!G82)=0),"",ABS('Inputs (2)'!G82)*4/ABS(AVERAGE(('Inputs (2)'!F18+'Inputs (2)'!F19),('Inputs (2)'!G18+'Inputs (2)'!G19)))),"")</f>
        <v>0.014014104857411</v>
      </c>
      <c r="H223" s="32">
        <f>IFERROR(IF(OR(ABS(AVERAGE(('Inputs (2)'!G18+'Inputs (2)'!G19),('Inputs (2)'!H18+'Inputs (2)'!H19)))=0,('Inputs (2)'!H82)=0),"",ABS('Inputs (2)'!H82)*4/ABS(AVERAGE(('Inputs (2)'!G18+'Inputs (2)'!G19),('Inputs (2)'!H18+'Inputs (2)'!H19)))),"")</f>
        <v>0.0074017510441327</v>
      </c>
      <c r="I223" s="34">
        <f>IFERROR(IF(OR(ABS(('Inputs (2)'!I18+'Inputs (2)'!I19))=0,('Inputs (2)'!I82)=0),"",ABS('Inputs (2)'!I82)/ABS(('Inputs (2)'!I18+'Inputs (2)'!I19))),"")</f>
        <v>0.0126036980095107</v>
      </c>
      <c r="J223" s="32">
        <f>IFERROR(IF(OR(ABS(AVERAGE(('Inputs (2)'!H18+'Inputs (2)'!H19),('Inputs (2)'!J18+'Inputs (2)'!J19)))=0,('Inputs (2)'!J82)=0),"",ABS('Inputs (2)'!J82)*4/ABS(AVERAGE(('Inputs (2)'!H18+'Inputs (2)'!H19),('Inputs (2)'!J18+'Inputs (2)'!J19)))),"")</f>
        <v>0.0067461100484537</v>
      </c>
      <c r="K223" s="32">
        <f>IFERROR(IF(OR(ABS(AVERAGE(('Inputs (2)'!J18+'Inputs (2)'!J19),('Inputs (2)'!K18+'Inputs (2)'!K19)))=0,('Inputs (2)'!K82)=0),"",ABS('Inputs (2)'!K82)*4/ABS(AVERAGE(('Inputs (2)'!J18+'Inputs (2)'!J19),('Inputs (2)'!K18+'Inputs (2)'!K19)))),"")</f>
        <v>0.00916215751335678</v>
      </c>
      <c r="L223" s="32">
        <f>IFERROR(IF(OR(ABS(AVERAGE(('Inputs (2)'!K18+'Inputs (2)'!K19),('Inputs (2)'!L18+'Inputs (2)'!L19)))=0,('Inputs (2)'!L82)=0),"",ABS('Inputs (2)'!L82)*4/ABS(AVERAGE(('Inputs (2)'!K18+'Inputs (2)'!K19),('Inputs (2)'!L18+'Inputs (2)'!L19)))),"")</f>
        <v>0.00696896909561083</v>
      </c>
      <c r="M223" s="32">
        <f>IFERROR(IF(OR(ABS(AVERAGE(('Inputs (2)'!L18+'Inputs (2)'!L19),('Inputs (2)'!M18+'Inputs (2)'!M19)))=0,('Inputs (2)'!M82)=0),"",ABS('Inputs (2)'!M82)*4/ABS(AVERAGE(('Inputs (2)'!L18+'Inputs (2)'!L19),('Inputs (2)'!M18+'Inputs (2)'!M19)))),"")</f>
        <v>0.00778799341015942</v>
      </c>
      <c r="N223" s="34">
        <f>IFERROR(IF(OR(ABS(AVERAGE(('Inputs (2)'!I18+'Inputs (2)'!I19),('Inputs (2)'!N18+'Inputs (2)'!N19)))=0,('Inputs (2)'!N82)=0),"",ABS('Inputs (2)'!N82)/ABS(AVERAGE(('Inputs (2)'!I18+'Inputs (2)'!I19),('Inputs (2)'!N18+'Inputs (2)'!N19)))),"")</f>
        <v>0.00747102521531548</v>
      </c>
      <c r="O223" s="32">
        <f>IFERROR(IF(OR(ABS(AVERAGE(('Inputs (2)'!M18+'Inputs (2)'!M19),('Inputs (2)'!O18+'Inputs (2)'!O19)))=0,('Inputs (2)'!O82)=0),"",ABS('Inputs (2)'!O82)*4/ABS(AVERAGE(('Inputs (2)'!M18+'Inputs (2)'!M19),('Inputs (2)'!O18+'Inputs (2)'!O19)))),"")</f>
        <v>0.00475918528735046</v>
      </c>
      <c r="P223" s="32">
        <f>IFERROR(IF(OR(ABS(AVERAGE(('Inputs (2)'!O18+'Inputs (2)'!O19),('Inputs (2)'!P18+'Inputs (2)'!P19)))=0,('Inputs (2)'!P82)=0),"",ABS('Inputs (2)'!P82)*4/ABS(AVERAGE(('Inputs (2)'!O18+'Inputs (2)'!O19),('Inputs (2)'!P18+'Inputs (2)'!P19)))),"")</f>
        <v>0.00550627566216969</v>
      </c>
      <c r="Q223" s="32">
        <f>IFERROR(IF(OR(ABS(AVERAGE(('Inputs (2)'!P18+'Inputs (2)'!P19),('Inputs (2)'!Q18+'Inputs (2)'!Q19)))=0,('Inputs (2)'!Q82)=0),"",ABS('Inputs (2)'!Q82)*4/ABS(AVERAGE(('Inputs (2)'!P18+'Inputs (2)'!P19),('Inputs (2)'!Q18+'Inputs (2)'!Q19)))),"")</f>
        <v>0.00878234294091424</v>
      </c>
      <c r="R223" s="32">
        <f>IFERROR(IF(OR(ABS(AVERAGE(('Inputs (2)'!Q18+'Inputs (2)'!Q19),('Inputs (2)'!R18+'Inputs (2)'!R19)))=0,('Inputs (2)'!R82)=0),"",ABS('Inputs (2)'!R82)*4/ABS(AVERAGE(('Inputs (2)'!Q18+'Inputs (2)'!Q19),('Inputs (2)'!R18+'Inputs (2)'!R19)))),"")</f>
        <v>0.0193123366035695</v>
      </c>
      <c r="S223" s="34">
        <f>IFERROR(IF(OR(ABS(AVERAGE(('Inputs (2)'!N18+'Inputs (2)'!N19),('Inputs (2)'!S18+'Inputs (2)'!S19)))=0,('Inputs (2)'!S82)=0),"",ABS('Inputs (2)'!S82)/ABS(AVERAGE(('Inputs (2)'!N18+'Inputs (2)'!N19),('Inputs (2)'!S18+'Inputs (2)'!S19)))),"")</f>
        <v>0.00978876446647774</v>
      </c>
      <c r="T223" s="32">
        <f>IFERROR(IF(OR(ABS(AVERAGE(('Inputs (2)'!R18+'Inputs (2)'!R19),('Inputs (2)'!T18+'Inputs (2)'!T19)))=0,('Inputs (2)'!T82)=0),"",ABS('Inputs (2)'!T82)*4/ABS(AVERAGE(('Inputs (2)'!R18+'Inputs (2)'!R19),('Inputs (2)'!T18+'Inputs (2)'!T19)))),"")</f>
        <v>0.0176308446242563</v>
      </c>
      <c r="U223" s="32">
        <f>IFERROR(IF(OR(ABS(AVERAGE(('Inputs (2)'!T18+'Inputs (2)'!T19),('Inputs (2)'!U18+'Inputs (2)'!U19)))=0,('Inputs (2)'!U82)=0),"",ABS('Inputs (2)'!U82)*4/ABS(AVERAGE(('Inputs (2)'!T18+'Inputs (2)'!T19),('Inputs (2)'!U18+'Inputs (2)'!U19)))),"")</f>
        <v>0.0122508521975271</v>
      </c>
      <c r="V223" s="32">
        <f>IFERROR(IF(OR(ABS(AVERAGE(('Inputs (2)'!U18+'Inputs (2)'!U19),('Inputs (2)'!V18+'Inputs (2)'!V19)))=0,('Inputs (2)'!V82)=0),"",ABS('Inputs (2)'!V82)*4/ABS(AVERAGE(('Inputs (2)'!U18+'Inputs (2)'!U19),('Inputs (2)'!V18+'Inputs (2)'!V19)))),"")</f>
        <v>0.012259935684995</v>
      </c>
      <c r="W223" s="32">
        <f>IFERROR(IF(OR(ABS(AVERAGE(('Inputs (2)'!V18+'Inputs (2)'!V19),('Inputs (2)'!W18+'Inputs (2)'!W19)))=0,('Inputs (2)'!W82)=0),"",ABS('Inputs (2)'!W82)*4/ABS(AVERAGE(('Inputs (2)'!V18+'Inputs (2)'!V19),('Inputs (2)'!W18+'Inputs (2)'!W19)))),"")</f>
        <v>0.0146177800091622</v>
      </c>
      <c r="X223" s="34">
        <f>IFERROR(IF(OR(ABS(AVERAGE(('Inputs (2)'!S18+'Inputs (2)'!S19),('Inputs (2)'!X18+'Inputs (2)'!X19)))=0,('Inputs (2)'!X82)=0),"",ABS('Inputs (2)'!X82)/ABS(AVERAGE(('Inputs (2)'!S18+'Inputs (2)'!S19),('Inputs (2)'!X18+'Inputs (2)'!X19)))),"")</f>
        <v>0.0136178636904853</v>
      </c>
      <c r="Y223" s="32">
        <f>IFERROR(IF(OR(ABS(AVERAGE(('Inputs (2)'!W18+'Inputs (2)'!W19),('Inputs (2)'!Y18+'Inputs (2)'!Y19)))=0,('Inputs (2)'!Y82)=0),"",ABS('Inputs (2)'!Y82)*4/ABS(AVERAGE(('Inputs (2)'!W18+'Inputs (2)'!W19),('Inputs (2)'!Y18+'Inputs (2)'!Y19)))),"")</f>
        <v>0.00670832933436851</v>
      </c>
      <c r="Z223" s="32">
        <f>IFERROR(IF(OR(ABS(AVERAGE(('Inputs (2)'!Y18+'Inputs (2)'!Y19),('Inputs (2)'!Z18+'Inputs (2)'!Z19)))=0,('Inputs (2)'!Z82)=0),"",ABS('Inputs (2)'!Z82)*4/ABS(AVERAGE(('Inputs (2)'!Y18+'Inputs (2)'!Y19),('Inputs (2)'!Z18+'Inputs (2)'!Z19)))),"")</f>
        <v>0.00308586304918268</v>
      </c>
      <c r="AA223" s="32">
        <f>IFERROR(IF(OR(ABS(AVERAGE(('Inputs (2)'!Z18+'Inputs (2)'!Z19),('Inputs (2)'!AA18+'Inputs (2)'!AA19)))=0,('Inputs (2)'!AA82)=0),"",ABS('Inputs (2)'!AA82)*4/ABS(AVERAGE(('Inputs (2)'!Z18+'Inputs (2)'!Z19),('Inputs (2)'!AA18+'Inputs (2)'!AA19)))),"")</f>
        <v>0.0133863113654152</v>
      </c>
      <c r="AB223" s="32">
        <f>IFERROR(IF(OR(ABS(AVERAGE(('Inputs (2)'!AA18+'Inputs (2)'!AA19),('Inputs (2)'!AB18+'Inputs (2)'!AB19)))=0,('Inputs (2)'!AB82)=0),"",ABS('Inputs (2)'!AB82)*4/ABS(AVERAGE(('Inputs (2)'!AA18+'Inputs (2)'!AA19),('Inputs (2)'!AB18+'Inputs (2)'!AB19)))),"")</f>
        <v>0.0127101873620315</v>
      </c>
      <c r="AC223" s="34">
        <f>IFERROR(IF(OR(ABS(AVERAGE(('Inputs (2)'!X18+'Inputs (2)'!X19),('Inputs (2)'!AC18+'Inputs (2)'!AC19)))=0,('Inputs (2)'!AC82)=0),"",ABS('Inputs (2)'!AC82)/ABS(AVERAGE(('Inputs (2)'!X18+'Inputs (2)'!X19),('Inputs (2)'!AC18+'Inputs (2)'!AC19)))),"")</f>
        <v>0.00853610321046031</v>
      </c>
      <c r="AD223" s="32">
        <f>IFERROR(IF(OR(ABS(AVERAGE(('Inputs (2)'!AB18+'Inputs (2)'!AB19),('Inputs (2)'!AD18+'Inputs (2)'!AD19)))=0,('Inputs (2)'!AD82)=0),"",ABS('Inputs (2)'!AD82)*4/ABS(AVERAGE(('Inputs (2)'!AB18+'Inputs (2)'!AB19),('Inputs (2)'!AD18+'Inputs (2)'!AD19)))),"")</f>
        <v>0.0166759769561949</v>
      </c>
      <c r="AE223" s="32">
        <f>IFERROR(IF(OR(ABS(AVERAGE(('Inputs (2)'!AD18+'Inputs (2)'!AD19),('Inputs (2)'!AE18+'Inputs (2)'!AE19)))=0,('Inputs (2)'!AE82)=0),"",ABS('Inputs (2)'!AE82)*4/ABS(AVERAGE(('Inputs (2)'!AD18+'Inputs (2)'!AD19),('Inputs (2)'!AE18+'Inputs (2)'!AE19)))),"")</f>
        <v>0.0154916323346175</v>
      </c>
      <c r="AF223" s="32">
        <f>IFERROR(IF(OR(ABS(AVERAGE(('Inputs (2)'!AE18+'Inputs (2)'!AE19),('Inputs (2)'!AF18+'Inputs (2)'!AF19)))=0,('Inputs (2)'!AF82)=0),"",ABS('Inputs (2)'!AF82)*4/ABS(AVERAGE(('Inputs (2)'!AE18+'Inputs (2)'!AE19),('Inputs (2)'!AF18+'Inputs (2)'!AF19)))),"")</f>
        <v>0.0225368833232808</v>
      </c>
      <c r="AG223" s="32">
        <f>IFERROR(IF(OR(ABS(AVERAGE(('Inputs (2)'!AF18+'Inputs (2)'!AF19),('Inputs (2)'!AG18+'Inputs (2)'!AG19)))=0,('Inputs (2)'!AG82)=0),"",ABS('Inputs (2)'!AG82)*4/ABS(AVERAGE(('Inputs (2)'!AF18+'Inputs (2)'!AF19),('Inputs (2)'!AG18+'Inputs (2)'!AG19)))),"")</f>
        <v>0.0222359931015018</v>
      </c>
      <c r="AH223" s="34">
        <f>IFERROR(IF(OR(ABS(AVERAGE(('Inputs (2)'!AC18+'Inputs (2)'!AC19),('Inputs (2)'!AH18+'Inputs (2)'!AH19)))=0,('Inputs (2)'!AH82)=0),"",ABS('Inputs (2)'!AH82)/ABS(AVERAGE(('Inputs (2)'!AC18+'Inputs (2)'!AC19),('Inputs (2)'!AH18+'Inputs (2)'!AH19)))),"")</f>
        <v>0.0180783615802998</v>
      </c>
      <c r="AI223" s="32">
        <f>IFERROR(IF(OR(ABS(AVERAGE(('Inputs (2)'!AG18+'Inputs (2)'!AG19),('Inputs (2)'!AI18+'Inputs (2)'!AI19)))=0,('Inputs (2)'!AI82)=0),"",ABS('Inputs (2)'!AI82)*4/ABS(AVERAGE(('Inputs (2)'!AG18+'Inputs (2)'!AG19),('Inputs (2)'!AI18+'Inputs (2)'!AI19)))),"")</f>
        <v>0.01950537073504</v>
      </c>
      <c r="AJ223" s="32">
        <f>IFERROR(IF(OR(ABS(AVERAGE(('Inputs (2)'!AI18+'Inputs (2)'!AI19),('Inputs (2)'!AJ18+'Inputs (2)'!AJ19)))=0,('Inputs (2)'!AJ82)=0),"",ABS('Inputs (2)'!AJ82)*4/ABS(AVERAGE(('Inputs (2)'!AI18+'Inputs (2)'!AI19),('Inputs (2)'!AJ18+'Inputs (2)'!AJ19)))),"")</f>
        <v>0.0195888496394633</v>
      </c>
      <c r="AK223" s="32" t="str">
        <f>IFERROR(IF(OR(ABS(AVERAGE(('Inputs (2)'!AJ18+'Inputs (2)'!AJ19),('Inputs (2)'!AK18+'Inputs (2)'!AK19)))=0,('Inputs (2)'!AK82)=0),"",ABS('Inputs (2)'!AK82)*4/ABS(AVERAGE(('Inputs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(2)'!AL82)=0),"",ABS('Inputs (2)'!AL82)*4/ABS(AVERAGE(('Inputs (2)'!AK18+'Inputs (2)'!AK19),('Inputs (2)'!AL18+'Inputs (2)'!AL19)))),"")</f>
        <v/>
      </c>
      <c r="AM223" s="34">
        <f>IFERROR(IF(OR(ABS(AVERAGE(('Inputs (2)'!AH18+'Inputs (2)'!AH19),('Inputs (2)'!AM18+'Inputs (2)'!AM19)))=0,('Inputs (2)'!AM82)=0),"",ABS('Inputs (2)'!AM82)/ABS(AVERAGE(('Inputs (2)'!AH18+'Inputs (2)'!AH19),('Inputs (2)'!AM18+'Inputs (2)'!AM19)))),"")</f>
        <v>0.0185317790507039</v>
      </c>
      <c r="AN223" s="32" t="str">
        <f>IFERROR(IF(OR(ABS(AVERAGE(('Inputs (2)'!AL18+'Inputs (2)'!AL19),('Inputs (2)'!AN18+'Inputs (2)'!AN19)))=0,('Inputs (2)'!AN82)=0),"",ABS('Inputs (2)'!AN82)*4/ABS(AVERAGE(('Inputs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(2)'!AO82)=0),"",ABS('Inputs (2)'!AO82)*4/ABS(AVERAGE(('Inputs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(2)'!AP82)=0),"",ABS('Inputs (2)'!AP82)*4/ABS(AVERAGE(('Inputs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(2)'!AQ82)=0),"",ABS('Inputs (2)'!AQ82)*4/ABS(AVERAGE(('Inputs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(2)'!AR82)=0),"",ABS('Inputs (2)'!AR82)/ABS(AVERAGE(('Inputs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(2)'!AS82)=0),"",ABS('Inputs (2)'!AS82)*4/ABS(AVERAGE(('Inputs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(2)'!AT82)=0),"",ABS('Inputs (2)'!AT82)*4/ABS(AVERAGE(('Inputs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(2)'!AU82)=0),"",ABS('Inputs (2)'!AU82)*4/ABS(AVERAGE(('Inputs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(2)'!AV82)=0),"",ABS('Inputs (2)'!AV82)*4/ABS(AVERAGE(('Inputs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(2)'!AW82)=0),"",ABS('Inputs (2)'!AW82)/ABS(AVERAGE(('Inputs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(2)'!AX82)=0),"",ABS('Inputs (2)'!AX82)*4/ABS(AVERAGE(('Inputs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(2)'!AY82)=0),"",ABS('Inputs (2)'!AY82)*4/ABS(AVERAGE(('Inputs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(2)'!AZ82)=0),"",ABS('Inputs (2)'!AZ82)*4/ABS(AVERAGE(('Inputs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(2)'!BA82)=0),"",ABS('Inputs (2)'!BA82)*4/ABS(AVERAGE(('Inputs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(2)'!BB82)=0),"",ABS('Inputs (2)'!BB82)/ABS(AVERAGE(('Inputs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(2)'!BC82)=0),"",ABS('Inputs (2)'!BC82)*4/ABS(AVERAGE(('Inputs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(2)'!BD82)=0),"",ABS('Inputs (2)'!BD82)*4/ABS(AVERAGE(('Inputs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(2)'!BE82)=0),"",ABS('Inputs (2)'!BE82)*4/ABS(AVERAGE(('Inputs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(2)'!BF82)=0),"",ABS('Inputs (2)'!BF82)*4/ABS(AVERAGE(('Inputs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(2)'!BG82)=0),"",ABS('Inputs (2)'!BG82)/ABS(AVERAGE(('Inputs (2)'!BB18+'Inputs (2)'!BB19),('Inputs (2)'!BG18+'Inputs (2)'!BG19)))),"")</f>
        <v/>
      </c>
    </row>
    <row r="224" hidden="1" outlineLevel="1">
      <c r="C224" s="30" t="inlineStr">
        <is>
          <t>Write-off (% da carteira média, a.a.)</t>
        </is>
      </c>
      <c r="D224" s="12" t="inlineStr">
        <is>
          <t>Write-offs</t>
        </is>
      </c>
      <c r="E224" s="32" t="str">
        <f>IFERROR(IF(OR(ABS(('Inputs (2)'!E18+'Inputs (2)'!E19))=0,('Inputs (2)'!E123)=0),"",ABS('Inputs (2)'!E123)*4/ABS(('Inputs (2)'!E18+'Inputs (2)'!E19))),"")</f>
        <v/>
      </c>
      <c r="F224" s="32" t="str">
        <f>IFERROR(IF(OR(ABS(AVERAGE(('Inputs (2)'!E18+'Inputs (2)'!E19),('Inputs (2)'!F18+'Inputs (2)'!F19)))=0,('Inputs (2)'!F123)=0),"",ABS('Inputs (2)'!F123)*4/ABS(AVERAGE(('Inputs (2)'!E18+'Inputs (2)'!E19),('Inputs (2)'!F18+'Inputs (2)'!F19)))),"")</f>
        <v/>
      </c>
      <c r="G224" s="32" t="str">
        <f>IFERROR(IF(OR(ABS(AVERAGE(('Inputs (2)'!F18+'Inputs (2)'!F19),('Inputs (2)'!G18+'Inputs (2)'!G19)))=0,('Inputs (2)'!G123)=0),"",ABS('Inputs (2)'!G123)*4/ABS(AVERAGE(('Inputs (2)'!F18+'Inputs (2)'!F19),('Inputs (2)'!G18+'Inputs (2)'!G19)))),"")</f>
        <v/>
      </c>
      <c r="H224" s="32" t="str">
        <f>IFERROR(IF(OR(ABS(AVERAGE(('Inputs (2)'!G18+'Inputs (2)'!G19),('Inputs (2)'!H18+'Inputs (2)'!H19)))=0,('Inputs (2)'!H123)=0),"",ABS('Inputs (2)'!H123)*4/ABS(AVERAGE(('Inputs (2)'!G18+'Inputs (2)'!G19),('Inputs (2)'!H18+'Inputs (2)'!H19)))),"")</f>
        <v/>
      </c>
      <c r="I224" s="34" t="str">
        <f>IFERROR(IF(OR(ABS(('Inputs (2)'!I18+'Inputs (2)'!I19))=0,('Inputs (2)'!I123)=0),"",ABS('Inputs (2)'!I123)/ABS(('Inputs (2)'!I18+'Inputs (2)'!I19))),"")</f>
        <v/>
      </c>
      <c r="J224" s="32" t="str">
        <f>IFERROR(IF(OR(ABS(AVERAGE(('Inputs (2)'!H18+'Inputs (2)'!H19),('Inputs (2)'!J18+'Inputs (2)'!J19)))=0,('Inputs (2)'!J123)=0),"",ABS('Inputs (2)'!J123)*4/ABS(AVERAGE(('Inputs (2)'!H18+'Inputs (2)'!H19),('Inputs (2)'!J18+'Inputs (2)'!J19)))),"")</f>
        <v/>
      </c>
      <c r="K224" s="32" t="str">
        <f>IFERROR(IF(OR(ABS(AVERAGE(('Inputs (2)'!J18+'Inputs (2)'!J19),('Inputs (2)'!K18+'Inputs (2)'!K19)))=0,('Inputs (2)'!K123)=0),"",ABS('Inputs (2)'!K123)*4/ABS(AVERAGE(('Inputs (2)'!J18+'Inputs (2)'!J19),('Inputs (2)'!K18+'Inputs (2)'!K19)))),"")</f>
        <v/>
      </c>
      <c r="L224" s="32" t="str">
        <f>IFERROR(IF(OR(ABS(AVERAGE(('Inputs (2)'!K18+'Inputs (2)'!K19),('Inputs (2)'!L18+'Inputs (2)'!L19)))=0,('Inputs (2)'!L123)=0),"",ABS('Inputs (2)'!L123)*4/ABS(AVERAGE(('Inputs (2)'!K18+'Inputs (2)'!K19),('Inputs (2)'!L18+'Inputs (2)'!L19)))),"")</f>
        <v/>
      </c>
      <c r="M224" s="32" t="str">
        <f>IFERROR(IF(OR(ABS(AVERAGE(('Inputs (2)'!L18+'Inputs (2)'!L19),('Inputs (2)'!M18+'Inputs (2)'!M19)))=0,('Inputs (2)'!M123)=0),"",ABS('Inputs (2)'!M123)*4/ABS(AVERAGE(('Inputs (2)'!L18+'Inputs (2)'!L19),('Inputs (2)'!M18+'Inputs (2)'!M19)))),"")</f>
        <v/>
      </c>
      <c r="N224" s="34" t="str">
        <f>IFERROR(IF(OR(ABS(AVERAGE(('Inputs (2)'!I18+'Inputs (2)'!I19),('Inputs (2)'!N18+'Inputs (2)'!N19)))=0,('Inputs (2)'!N123)=0),"",ABS('Inputs (2)'!N123)/ABS(AVERAGE(('Inputs (2)'!I18+'Inputs (2)'!I19),('Inputs (2)'!N18+'Inputs (2)'!N19)))),"")</f>
        <v/>
      </c>
      <c r="O224" s="32" t="str">
        <f>IFERROR(IF(OR(ABS(AVERAGE(('Inputs (2)'!M18+'Inputs (2)'!M19),('Inputs (2)'!O18+'Inputs (2)'!O19)))=0,('Inputs (2)'!O123)=0),"",ABS('Inputs (2)'!O123)*4/ABS(AVERAGE(('Inputs (2)'!M18+'Inputs (2)'!M19),('Inputs (2)'!O18+'Inputs (2)'!O19)))),"")</f>
        <v/>
      </c>
      <c r="P224" s="32" t="str">
        <f>IFERROR(IF(OR(ABS(AVERAGE(('Inputs (2)'!O18+'Inputs (2)'!O19),('Inputs (2)'!P18+'Inputs (2)'!P19)))=0,('Inputs (2)'!P123)=0),"",ABS('Inputs (2)'!P123)*4/ABS(AVERAGE(('Inputs (2)'!O18+'Inputs (2)'!O19),('Inputs (2)'!P18+'Inputs (2)'!P19)))),"")</f>
        <v/>
      </c>
      <c r="Q224" s="32" t="str">
        <f>IFERROR(IF(OR(ABS(AVERAGE(('Inputs (2)'!P18+'Inputs (2)'!P19),('Inputs (2)'!Q18+'Inputs (2)'!Q19)))=0,('Inputs (2)'!Q123)=0),"",ABS('Inputs (2)'!Q123)*4/ABS(AVERAGE(('Inputs (2)'!P18+'Inputs (2)'!P19),('Inputs (2)'!Q18+'Inputs (2)'!Q19)))),"")</f>
        <v/>
      </c>
      <c r="R224" s="32" t="str">
        <f>IFERROR(IF(OR(ABS(AVERAGE(('Inputs (2)'!Q18+'Inputs (2)'!Q19),('Inputs (2)'!R18+'Inputs (2)'!R19)))=0,('Inputs (2)'!R123)=0),"",ABS('Inputs (2)'!R123)*4/ABS(AVERAGE(('Inputs (2)'!Q18+'Inputs (2)'!Q19),('Inputs (2)'!R18+'Inputs (2)'!R19)))),"")</f>
        <v/>
      </c>
      <c r="S224" s="34" t="str">
        <f>IFERROR(IF(OR(ABS(AVERAGE(('Inputs (2)'!N18+'Inputs (2)'!N19),('Inputs (2)'!S18+'Inputs (2)'!S19)))=0,('Inputs (2)'!S123)=0),"",ABS('Inputs (2)'!S123)/ABS(AVERAGE(('Inputs (2)'!N18+'Inputs (2)'!N19),('Inputs (2)'!S18+'Inputs (2)'!S19)))),"")</f>
        <v/>
      </c>
      <c r="T224" s="32" t="str">
        <f>IFERROR(IF(OR(ABS(AVERAGE(('Inputs (2)'!R18+'Inputs (2)'!R19),('Inputs (2)'!T18+'Inputs (2)'!T19)))=0,('Inputs (2)'!T123)=0),"",ABS('Inputs (2)'!T123)*4/ABS(AVERAGE(('Inputs (2)'!R18+'Inputs (2)'!R19),('Inputs (2)'!T18+'Inputs (2)'!T19)))),"")</f>
        <v/>
      </c>
      <c r="U224" s="32" t="str">
        <f>IFERROR(IF(OR(ABS(AVERAGE(('Inputs (2)'!T18+'Inputs (2)'!T19),('Inputs (2)'!U18+'Inputs (2)'!U19)))=0,('Inputs (2)'!U123)=0),"",ABS('Inputs (2)'!U123)*4/ABS(AVERAGE(('Inputs (2)'!T18+'Inputs (2)'!T19),('Inputs (2)'!U18+'Inputs (2)'!U19)))),"")</f>
        <v/>
      </c>
      <c r="V224" s="32" t="str">
        <f>IFERROR(IF(OR(ABS(AVERAGE(('Inputs (2)'!U18+'Inputs (2)'!U19),('Inputs (2)'!V18+'Inputs (2)'!V19)))=0,('Inputs (2)'!V123)=0),"",ABS('Inputs (2)'!V123)*4/ABS(AVERAGE(('Inputs (2)'!U18+'Inputs (2)'!U19),('Inputs (2)'!V18+'Inputs (2)'!V19)))),"")</f>
        <v/>
      </c>
      <c r="W224" s="32" t="str">
        <f>IFERROR(IF(OR(ABS(AVERAGE(('Inputs (2)'!V18+'Inputs (2)'!V19),('Inputs (2)'!W18+'Inputs (2)'!W19)))=0,('Inputs (2)'!W123)=0),"",ABS('Inputs (2)'!W123)*4/ABS(AVERAGE(('Inputs (2)'!V18+'Inputs (2)'!V19),('Inputs (2)'!W18+'Inputs (2)'!W19)))),"")</f>
        <v/>
      </c>
      <c r="X224" s="34" t="str">
        <f>IFERROR(IF(OR(ABS(AVERAGE(('Inputs (2)'!S18+'Inputs (2)'!S19),('Inputs (2)'!X18+'Inputs (2)'!X19)))=0,('Inputs (2)'!X123)=0),"",ABS('Inputs (2)'!X123)/ABS(AVERAGE(('Inputs (2)'!S18+'Inputs (2)'!S19),('Inputs (2)'!X18+'Inputs (2)'!X19)))),"")</f>
        <v/>
      </c>
      <c r="Y224" s="32">
        <f>IFERROR(IF(OR(ABS(AVERAGE(('Inputs (2)'!W18+'Inputs (2)'!W19),('Inputs (2)'!Y18+'Inputs (2)'!Y19)))=0,('Inputs (2)'!Y123)=0),"",ABS('Inputs (2)'!Y123)*4/ABS(AVERAGE(('Inputs (2)'!W18+'Inputs (2)'!W19),('Inputs (2)'!Y18+'Inputs (2)'!Y19)))),"")</f>
        <v>0.00871295871361871</v>
      </c>
      <c r="Z224" s="32">
        <f>IFERROR(IF(OR(ABS(AVERAGE(('Inputs (2)'!Y18+'Inputs (2)'!Y19),('Inputs (2)'!Z18+'Inputs (2)'!Z19)))=0,('Inputs (2)'!Z123)=0),"",ABS('Inputs (2)'!Z123)*4/ABS(AVERAGE(('Inputs (2)'!Y18+'Inputs (2)'!Y19),('Inputs (2)'!Z18+'Inputs (2)'!Z19)))),"")</f>
        <v>0.0110187427434695</v>
      </c>
      <c r="AA224" s="32">
        <f>IFERROR(IF(OR(ABS(AVERAGE(('Inputs (2)'!Z18+'Inputs (2)'!Z19),('Inputs (2)'!AA18+'Inputs (2)'!AA19)))=0,('Inputs (2)'!AA123)=0),"",ABS('Inputs (2)'!AA123)*4/ABS(AVERAGE(('Inputs (2)'!Z18+'Inputs (2)'!Z19),('Inputs (2)'!AA18+'Inputs (2)'!AA19)))),"")</f>
        <v>0.0672141719803348</v>
      </c>
      <c r="AB224" s="32">
        <f>IFERROR(IF(OR(ABS(AVERAGE(('Inputs (2)'!AA18+'Inputs (2)'!AA19),('Inputs (2)'!AB18+'Inputs (2)'!AB19)))=0,('Inputs (2)'!AB123)=0),"",ABS('Inputs (2)'!AB123)*4/ABS(AVERAGE(('Inputs (2)'!AA18+'Inputs (2)'!AA19),('Inputs (2)'!AB18+'Inputs (2)'!AB19)))),"")</f>
        <v>0.0113710217005991</v>
      </c>
      <c r="AC224" s="34">
        <f>IFERROR(IF(OR(ABS(AVERAGE(('Inputs (2)'!X18+'Inputs (2)'!X19),('Inputs (2)'!AC18+'Inputs (2)'!AC19)))=0,('Inputs (2)'!AC123)=0),"",ABS('Inputs (2)'!AC123)/ABS(AVERAGE(('Inputs (2)'!X18+'Inputs (2)'!X19),('Inputs (2)'!AC18+'Inputs (2)'!AC19)))),"")</f>
        <v>0.023137656399876</v>
      </c>
      <c r="AD224" s="32">
        <f>IFERROR(IF(OR(ABS(AVERAGE(('Inputs (2)'!AB18+'Inputs (2)'!AB19),('Inputs (2)'!AD18+'Inputs (2)'!AD19)))=0,('Inputs (2)'!AD123)=0),"",ABS('Inputs (2)'!AD123)*4/ABS(AVERAGE(('Inputs (2)'!AB18+'Inputs (2)'!AB19),('Inputs (2)'!AD18+'Inputs (2)'!AD19)))),"")</f>
        <v>0.00394548244752667</v>
      </c>
      <c r="AE224" s="32">
        <f>IFERROR(IF(OR(ABS(AVERAGE(('Inputs (2)'!AD18+'Inputs (2)'!AD19),('Inputs (2)'!AE18+'Inputs (2)'!AE19)))=0,('Inputs (2)'!AE123)=0),"",ABS('Inputs (2)'!AE123)*4/ABS(AVERAGE(('Inputs (2)'!AD18+'Inputs (2)'!AD19),('Inputs (2)'!AE18+'Inputs (2)'!AE19)))),"")</f>
        <v>0.000744418539246335</v>
      </c>
      <c r="AF224" s="32">
        <f>IFERROR(IF(OR(ABS(AVERAGE(('Inputs (2)'!AE18+'Inputs (2)'!AE19),('Inputs (2)'!AF18+'Inputs (2)'!AF19)))=0,('Inputs (2)'!AF123)=0),"",ABS('Inputs (2)'!AF123)*4/ABS(AVERAGE(('Inputs (2)'!AE18+'Inputs (2)'!AE19),('Inputs (2)'!AF18+'Inputs (2)'!AF19)))),"")</f>
        <v>0.0104531248770682</v>
      </c>
      <c r="AG224" s="32">
        <f>IFERROR(IF(OR(ABS(AVERAGE(('Inputs (2)'!AF18+'Inputs (2)'!AF19),('Inputs (2)'!AG18+'Inputs (2)'!AG19)))=0,('Inputs (2)'!AG123)=0),"",ABS('Inputs (2)'!AG123)*4/ABS(AVERAGE(('Inputs (2)'!AF18+'Inputs (2)'!AF19),('Inputs (2)'!AG18+'Inputs (2)'!AG19)))),"")</f>
        <v>0.00938577313841603</v>
      </c>
      <c r="AH224" s="34">
        <f>IFERROR(IF(OR(ABS(AVERAGE(('Inputs (2)'!AC18+'Inputs (2)'!AC19),('Inputs (2)'!AH18+'Inputs (2)'!AH19)))=0,('Inputs (2)'!AH123)=0),"",ABS('Inputs (2)'!AH123)/ABS(AVERAGE(('Inputs (2)'!AC18+'Inputs (2)'!AC19),('Inputs (2)'!AH18+'Inputs (2)'!AH19)))),"")</f>
        <v>0.00580784708462753</v>
      </c>
      <c r="AI224" s="32">
        <f>IFERROR(IF(OR(ABS(AVERAGE(('Inputs (2)'!AG18+'Inputs (2)'!AG19),('Inputs (2)'!AI18+'Inputs (2)'!AI19)))=0,('Inputs (2)'!AI123)=0),"",ABS('Inputs (2)'!AI123)*4/ABS(AVERAGE(('Inputs (2)'!AG18+'Inputs (2)'!AG19),('Inputs (2)'!AI18+'Inputs (2)'!AI19)))),"")</f>
        <v>0.00589309818900484</v>
      </c>
      <c r="AJ224" s="32">
        <f>IFERROR(IF(OR(ABS(AVERAGE(('Inputs (2)'!AI18+'Inputs (2)'!AI19),('Inputs (2)'!AJ18+'Inputs (2)'!AJ19)))=0,('Inputs (2)'!AJ123)=0),"",ABS('Inputs (2)'!AJ123)*4/ABS(AVERAGE(('Inputs (2)'!AI18+'Inputs (2)'!AI19),('Inputs (2)'!AJ18+'Inputs (2)'!AJ19)))),"")</f>
        <v>0.018399368319834</v>
      </c>
      <c r="AK224" s="32" t="str">
        <f>IFERROR(IF(OR(ABS(AVERAGE(('Inputs (2)'!AJ18+'Inputs (2)'!AJ19),('Inputs (2)'!AK18+'Inputs (2)'!AK19)))=0,('Inputs (2)'!AK123)=0),"",ABS('Inputs (2)'!AK123)*4/ABS(AVERAGE(('Inputs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(2)'!AL123)=0),"",ABS('Inputs (2)'!AL123)*4/ABS(AVERAGE(('Inputs (2)'!AK18+'Inputs (2)'!AK19),('Inputs (2)'!AL18+'Inputs (2)'!AL19)))),"")</f>
        <v/>
      </c>
      <c r="AM224" s="34">
        <f>IFERROR(IF(OR(ABS(AVERAGE(('Inputs (2)'!AH18+'Inputs (2)'!AH19),('Inputs (2)'!AM18+'Inputs (2)'!AM19)))=0,('Inputs (2)'!AM123)=0),"",ABS('Inputs (2)'!AM123)/ABS(AVERAGE(('Inputs (2)'!AH18+'Inputs (2)'!AH19),('Inputs (2)'!AM18+'Inputs (2)'!AM19)))),"")</f>
        <v>0.0114322952142633</v>
      </c>
      <c r="AN224" s="32" t="str">
        <f>IFERROR(IF(OR(ABS(AVERAGE(('Inputs (2)'!AL18+'Inputs (2)'!AL19),('Inputs (2)'!AN18+'Inputs (2)'!AN19)))=0,('Inputs (2)'!AN123)=0),"",ABS('Inputs (2)'!AN123)*4/ABS(AVERAGE(('Inputs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(2)'!AO123)=0),"",ABS('Inputs (2)'!AO123)*4/ABS(AVERAGE(('Inputs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(2)'!AP123)=0),"",ABS('Inputs (2)'!AP123)*4/ABS(AVERAGE(('Inputs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(2)'!AQ123)=0),"",ABS('Inputs (2)'!AQ123)*4/ABS(AVERAGE(('Inputs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(2)'!AR123)=0),"",ABS('Inputs (2)'!AR123)/ABS(AVERAGE(('Inputs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(2)'!AS123)=0),"",ABS('Inputs (2)'!AS123)*4/ABS(AVERAGE(('Inputs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(2)'!AT123)=0),"",ABS('Inputs (2)'!AT123)*4/ABS(AVERAGE(('Inputs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(2)'!AU123)=0),"",ABS('Inputs (2)'!AU123)*4/ABS(AVERAGE(('Inputs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(2)'!AV123)=0),"",ABS('Inputs (2)'!AV123)*4/ABS(AVERAGE(('Inputs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(2)'!AW123)=0),"",ABS('Inputs (2)'!AW123)/ABS(AVERAGE(('Inputs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(2)'!AX123)=0),"",ABS('Inputs (2)'!AX123)*4/ABS(AVERAGE(('Inputs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(2)'!AY123)=0),"",ABS('Inputs (2)'!AY123)*4/ABS(AVERAGE(('Inputs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(2)'!AZ123)=0),"",ABS('Inputs (2)'!AZ123)*4/ABS(AVERAGE(('Inputs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(2)'!BA123)=0),"",ABS('Inputs (2)'!BA123)*4/ABS(AVERAGE(('Inputs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(2)'!BB123)=0),"",ABS('Inputs (2)'!BB123)/ABS(AVERAGE(('Inputs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(2)'!BC123)=0),"",ABS('Inputs (2)'!BC123)*4/ABS(AVERAGE(('Inputs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(2)'!BD123)=0),"",ABS('Inputs (2)'!BD123)*4/ABS(AVERAGE(('Inputs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(2)'!BE123)=0),"",ABS('Inputs (2)'!BE123)*4/ABS(AVERAGE(('Inputs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(2)'!BF123)=0),"",ABS('Inputs (2)'!BF123)*4/ABS(AVERAGE(('Inputs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(2)'!BG123)=0),"",ABS('Inputs (2)'!BG123)/ABS(AVERAGE(('Inputs (2)'!BB18+'Inputs (2)'!BB19),('Inputs (2)'!BG18+'Inputs (2)'!BG19)))),"")</f>
        <v/>
      </c>
    </row>
    <row r="225" hidden="1" outlineLevel="1">
      <c r="C225" s="30" t="inlineStr">
        <is>
          <t>Recuperação de créditos baixados (% da despesa de PDD)</t>
        </is>
      </c>
      <c r="D225" s="12" t="inlineStr">
        <is>
          <t>Recoveries</t>
        </is>
      </c>
      <c r="E225" s="32" t="str">
        <f>IFERROR(IF(OR(ABS('Inputs (2)'!E82)=0,('Inputs (2)'!E83)=0),"",ABS('Inputs (2)'!E83)/ABS('Inputs (2)'!E82)),"")</f>
        <v/>
      </c>
      <c r="F225" s="32" t="str">
        <f>IFERROR(IF(OR(ABS('Inputs (2)'!F82)=0,('Inputs (2)'!F83)=0),"",ABS('Inputs (2)'!F83)/ABS('Inputs (2)'!F82)),"")</f>
        <v/>
      </c>
      <c r="G225" s="32" t="str">
        <f>IFERROR(IF(OR(ABS('Inputs (2)'!G82)=0,('Inputs (2)'!G83)=0),"",ABS('Inputs (2)'!G83)/ABS('Inputs (2)'!G82)),"")</f>
        <v/>
      </c>
      <c r="H225" s="32" t="str">
        <f>IFERROR(IF(OR(ABS('Inputs (2)'!H82)=0,('Inputs (2)'!H83)=0),"",ABS('Inputs (2)'!H83)/ABS('Inputs (2)'!H82)),"")</f>
        <v/>
      </c>
      <c r="I225" s="34" t="str">
        <f>IFERROR(IF(OR(ABS('Inputs (2)'!I82)=0,('Inputs (2)'!I83)=0),"",ABS('Inputs (2)'!I83)/ABS('Inputs (2)'!I82)),"")</f>
        <v/>
      </c>
      <c r="J225" s="32" t="str">
        <f>IFERROR(IF(OR(ABS('Inputs (2)'!J82)=0,('Inputs (2)'!J83)=0),"",ABS('Inputs (2)'!J83)/ABS('Inputs (2)'!J82)),"")</f>
        <v/>
      </c>
      <c r="K225" s="32" t="str">
        <f>IFERROR(IF(OR(ABS('Inputs (2)'!K82)=0,('Inputs (2)'!K83)=0),"",ABS('Inputs (2)'!K83)/ABS('Inputs (2)'!K82)),"")</f>
        <v/>
      </c>
      <c r="L225" s="32" t="str">
        <f>IFERROR(IF(OR(ABS('Inputs (2)'!L82)=0,('Inputs (2)'!L83)=0),"",ABS('Inputs (2)'!L83)/ABS('Inputs (2)'!L82)),"")</f>
        <v/>
      </c>
      <c r="M225" s="32" t="str">
        <f>IFERROR(IF(OR(ABS('Inputs (2)'!M82)=0,('Inputs (2)'!M83)=0),"",ABS('Inputs (2)'!M83)/ABS('Inputs (2)'!M82)),"")</f>
        <v/>
      </c>
      <c r="N225" s="34" t="str">
        <f>IFERROR(IF(OR(ABS('Inputs (2)'!N82)=0,('Inputs (2)'!N83)=0),"",ABS('Inputs (2)'!N83)/ABS('Inputs (2)'!N82)),"")</f>
        <v/>
      </c>
      <c r="O225" s="32" t="str">
        <f>IFERROR(IF(OR(ABS('Inputs (2)'!O82)=0,('Inputs (2)'!O83)=0),"",ABS('Inputs (2)'!O83)/ABS('Inputs (2)'!O82)),"")</f>
        <v/>
      </c>
      <c r="P225" s="32" t="str">
        <f>IFERROR(IF(OR(ABS('Inputs (2)'!P82)=0,('Inputs (2)'!P83)=0),"",ABS('Inputs (2)'!P83)/ABS('Inputs (2)'!P82)),"")</f>
        <v/>
      </c>
      <c r="Q225" s="32" t="str">
        <f>IFERROR(IF(OR(ABS('Inputs (2)'!Q82)=0,('Inputs (2)'!Q83)=0),"",ABS('Inputs (2)'!Q83)/ABS('Inputs (2)'!Q82)),"")</f>
        <v/>
      </c>
      <c r="R225" s="32" t="str">
        <f>IFERROR(IF(OR(ABS('Inputs (2)'!R82)=0,('Inputs (2)'!R83)=0),"",ABS('Inputs (2)'!R83)/ABS('Inputs (2)'!R82)),"")</f>
        <v/>
      </c>
      <c r="S225" s="34" t="str">
        <f>IFERROR(IF(OR(ABS('Inputs (2)'!S82)=0,('Inputs (2)'!S83)=0),"",ABS('Inputs (2)'!S83)/ABS('Inputs (2)'!S82)),"")</f>
        <v/>
      </c>
      <c r="T225" s="32" t="str">
        <f>IFERROR(IF(OR(ABS('Inputs (2)'!T82)=0,('Inputs (2)'!T83)=0),"",ABS('Inputs (2)'!T83)/ABS('Inputs (2)'!T82)),"")</f>
        <v/>
      </c>
      <c r="U225" s="32" t="str">
        <f>IFERROR(IF(OR(ABS('Inputs (2)'!U82)=0,('Inputs (2)'!U83)=0),"",ABS('Inputs (2)'!U83)/ABS('Inputs (2)'!U82)),"")</f>
        <v/>
      </c>
      <c r="V225" s="32" t="str">
        <f>IFERROR(IF(OR(ABS('Inputs (2)'!V82)=0,('Inputs (2)'!V83)=0),"",ABS('Inputs (2)'!V83)/ABS('Inputs (2)'!V82)),"")</f>
        <v/>
      </c>
      <c r="W225" s="32" t="str">
        <f>IFERROR(IF(OR(ABS('Inputs (2)'!W82)=0,('Inputs (2)'!W83)=0),"",ABS('Inputs (2)'!W83)/ABS('Inputs (2)'!W82)),"")</f>
        <v/>
      </c>
      <c r="X225" s="34" t="str">
        <f>IFERROR(IF(OR(ABS('Inputs (2)'!X82)=0,('Inputs (2)'!X83)=0),"",ABS('Inputs (2)'!X83)/ABS('Inputs (2)'!X82)),"")</f>
        <v/>
      </c>
      <c r="Y225" s="32" t="str">
        <f>IFERROR(IF(OR(ABS('Inputs (2)'!Y82)=0,('Inputs (2)'!Y83)=0),"",ABS('Inputs (2)'!Y83)/ABS('Inputs (2)'!Y82)),"")</f>
        <v/>
      </c>
      <c r="Z225" s="32" t="str">
        <f>IFERROR(IF(OR(ABS('Inputs (2)'!Z82)=0,('Inputs (2)'!Z83)=0),"",ABS('Inputs (2)'!Z83)/ABS('Inputs (2)'!Z82)),"")</f>
        <v/>
      </c>
      <c r="AA225" s="32" t="str">
        <f>IFERROR(IF(OR(ABS('Inputs (2)'!AA82)=0,('Inputs (2)'!AA83)=0),"",ABS('Inputs (2)'!AA83)/ABS('Inputs (2)'!AA82)),"")</f>
        <v/>
      </c>
      <c r="AB225" s="32" t="str">
        <f>IFERROR(IF(OR(ABS('Inputs (2)'!AB82)=0,('Inputs (2)'!AB83)=0),"",ABS('Inputs (2)'!AB83)/ABS('Inputs (2)'!AB82)),"")</f>
        <v/>
      </c>
      <c r="AC225" s="34" t="str">
        <f>IFERROR(IF(OR(ABS('Inputs (2)'!AC82)=0,('Inputs (2)'!AC83)=0),"",ABS('Inputs (2)'!AC83)/ABS('Inputs (2)'!AC82)),"")</f>
        <v/>
      </c>
      <c r="AD225" s="32" t="str">
        <f>IFERROR(IF(OR(ABS('Inputs (2)'!AD82)=0,('Inputs (2)'!AD83)=0),"",ABS('Inputs (2)'!AD83)/ABS('Inputs (2)'!AD82)),"")</f>
        <v/>
      </c>
      <c r="AE225" s="32" t="str">
        <f>IFERROR(IF(OR(ABS('Inputs (2)'!AE82)=0,('Inputs (2)'!AE83)=0),"",ABS('Inputs (2)'!AE83)/ABS('Inputs (2)'!AE82)),"")</f>
        <v/>
      </c>
      <c r="AF225" s="32" t="str">
        <f>IFERROR(IF(OR(ABS('Inputs (2)'!AF82)=0,('Inputs (2)'!AF83)=0),"",ABS('Inputs (2)'!AF83)/ABS('Inputs (2)'!AF82)),"")</f>
        <v/>
      </c>
      <c r="AG225" s="32" t="str">
        <f>IFERROR(IF(OR(ABS('Inputs (2)'!AG82)=0,('Inputs (2)'!AG83)=0),"",ABS('Inputs (2)'!AG83)/ABS('Inputs (2)'!AG82)),"")</f>
        <v/>
      </c>
      <c r="AH225" s="34" t="str">
        <f>IFERROR(IF(OR(ABS('Inputs (2)'!AH82)=0,('Inputs (2)'!AH83)=0),"",ABS('Inputs (2)'!AH83)/ABS('Inputs (2)'!AH82)),"")</f>
        <v/>
      </c>
      <c r="AI225" s="32" t="str">
        <f>IFERROR(IF(OR(ABS('Inputs (2)'!AI82)=0,('Inputs (2)'!AI83)=0),"",ABS('Inputs (2)'!AI83)/ABS('Inputs (2)'!AI82)),"")</f>
        <v/>
      </c>
      <c r="AJ225" s="32" t="str">
        <f>IFERROR(IF(OR(ABS('Inputs (2)'!AJ82)=0,('Inputs (2)'!AJ83)=0),"",ABS('Inputs (2)'!AJ83)/ABS('Inputs (2)'!AJ82)),"")</f>
        <v/>
      </c>
      <c r="AK225" s="32" t="str">
        <f>IFERROR(IF(OR(ABS('Inputs (2)'!AK82)=0,('Inputs (2)'!AK83)=0),"",ABS('Inputs (2)'!AK83)/ABS('Inputs (2)'!AK82)),"")</f>
        <v/>
      </c>
      <c r="AL225" s="32" t="str">
        <f>IFERROR(IF(OR(ABS('Inputs (2)'!AL82)=0,('Inputs (2)'!AL83)=0),"",ABS('Inputs (2)'!AL83)/ABS('Inputs (2)'!AL82)),"")</f>
        <v/>
      </c>
      <c r="AM225" s="34" t="str">
        <f>IFERROR(IF(OR(ABS('Inputs (2)'!AM82)=0,('Inputs (2)'!AM83)=0),"",ABS('Inputs (2)'!AM83)/ABS('Inputs (2)'!AM82)),"")</f>
        <v/>
      </c>
      <c r="AN225" s="32" t="str">
        <f>IFERROR(IF(OR(ABS('Inputs (2)'!AN82)=0,('Inputs (2)'!AN83)=0),"",ABS('Inputs (2)'!AN83)/ABS('Inputs (2)'!AN82)),"")</f>
        <v/>
      </c>
      <c r="AO225" s="32" t="str">
        <f>IFERROR(IF(OR(ABS('Inputs (2)'!AO82)=0,('Inputs (2)'!AO83)=0),"",ABS('Inputs (2)'!AO83)/ABS('Inputs (2)'!AO82)),"")</f>
        <v/>
      </c>
      <c r="AP225" s="32" t="str">
        <f>IFERROR(IF(OR(ABS('Inputs (2)'!AP82)=0,('Inputs (2)'!AP83)=0),"",ABS('Inputs (2)'!AP83)/ABS('Inputs (2)'!AP82)),"")</f>
        <v/>
      </c>
      <c r="AQ225" s="32" t="str">
        <f>IFERROR(IF(OR(ABS('Inputs (2)'!AQ82)=0,('Inputs (2)'!AQ83)=0),"",ABS('Inputs (2)'!AQ83)/ABS('Inputs (2)'!AQ82)),"")</f>
        <v/>
      </c>
      <c r="AR225" s="34" t="str">
        <f>IFERROR(IF(OR(ABS('Inputs (2)'!AR82)=0,('Inputs (2)'!AR83)=0),"",ABS('Inputs (2)'!AR83)/ABS('Inputs (2)'!AR82)),"")</f>
        <v/>
      </c>
      <c r="AS225" s="32" t="str">
        <f>IFERROR(IF(OR(ABS('Inputs (2)'!AS82)=0,('Inputs (2)'!AS83)=0),"",ABS('Inputs (2)'!AS83)/ABS('Inputs (2)'!AS82)),"")</f>
        <v/>
      </c>
      <c r="AT225" s="32" t="str">
        <f>IFERROR(IF(OR(ABS('Inputs (2)'!AT82)=0,('Inputs (2)'!AT83)=0),"",ABS('Inputs (2)'!AT83)/ABS('Inputs (2)'!AT82)),"")</f>
        <v/>
      </c>
      <c r="AU225" s="32" t="str">
        <f>IFERROR(IF(OR(ABS('Inputs (2)'!AU82)=0,('Inputs (2)'!AU83)=0),"",ABS('Inputs (2)'!AU83)/ABS('Inputs (2)'!AU82)),"")</f>
        <v/>
      </c>
      <c r="AV225" s="32" t="str">
        <f>IFERROR(IF(OR(ABS('Inputs (2)'!AV82)=0,('Inputs (2)'!AV83)=0),"",ABS('Inputs (2)'!AV83)/ABS('Inputs (2)'!AV82)),"")</f>
        <v/>
      </c>
      <c r="AW225" s="34" t="str">
        <f>IFERROR(IF(OR(ABS('Inputs (2)'!AW82)=0,('Inputs (2)'!AW83)=0),"",ABS('Inputs (2)'!AW83)/ABS('Inputs (2)'!AW82)),"")</f>
        <v/>
      </c>
      <c r="AX225" s="32" t="str">
        <f>IFERROR(IF(OR(ABS('Inputs (2)'!AX82)=0,('Inputs (2)'!AX83)=0),"",ABS('Inputs (2)'!AX83)/ABS('Inputs (2)'!AX82)),"")</f>
        <v/>
      </c>
      <c r="AY225" s="32" t="str">
        <f>IFERROR(IF(OR(ABS('Inputs (2)'!AY82)=0,('Inputs (2)'!AY83)=0),"",ABS('Inputs (2)'!AY83)/ABS('Inputs (2)'!AY82)),"")</f>
        <v/>
      </c>
      <c r="AZ225" s="32" t="str">
        <f>IFERROR(IF(OR(ABS('Inputs (2)'!AZ82)=0,('Inputs (2)'!AZ83)=0),"",ABS('Inputs (2)'!AZ83)/ABS('Inputs (2)'!AZ82)),"")</f>
        <v/>
      </c>
      <c r="BA225" s="32" t="str">
        <f>IFERROR(IF(OR(ABS('Inputs (2)'!BA82)=0,('Inputs (2)'!BA83)=0),"",ABS('Inputs (2)'!BA83)/ABS('Inputs (2)'!BA82)),"")</f>
        <v/>
      </c>
      <c r="BB225" s="34" t="str">
        <f>IFERROR(IF(OR(ABS('Inputs (2)'!BB82)=0,('Inputs (2)'!BB83)=0),"",ABS('Inputs (2)'!BB83)/ABS('Inputs (2)'!BB82)),"")</f>
        <v/>
      </c>
      <c r="BC225" s="32" t="str">
        <f>IFERROR(IF(OR(ABS('Inputs (2)'!BC82)=0,('Inputs (2)'!BC83)=0),"",ABS('Inputs (2)'!BC83)/ABS('Inputs (2)'!BC82)),"")</f>
        <v/>
      </c>
      <c r="BD225" s="32" t="str">
        <f>IFERROR(IF(OR(ABS('Inputs (2)'!BD82)=0,('Inputs (2)'!BD83)=0),"",ABS('Inputs (2)'!BD83)/ABS('Inputs (2)'!BD82)),"")</f>
        <v/>
      </c>
      <c r="BE225" s="32" t="str">
        <f>IFERROR(IF(OR(ABS('Inputs (2)'!BE82)=0,('Inputs (2)'!BE83)=0),"",ABS('Inputs (2)'!BE83)/ABS('Inputs (2)'!BE82)),"")</f>
        <v/>
      </c>
      <c r="BF225" s="32" t="str">
        <f>IFERROR(IF(OR(ABS('Inputs (2)'!BF82)=0,('Inputs (2)'!BF83)=0),"",ABS('Inputs (2)'!BF83)/ABS('Inputs (2)'!BF82)),"")</f>
        <v/>
      </c>
      <c r="BG225" s="34" t="str">
        <f>IFERROR(IF(OR(ABS('Inputs (2)'!BG82)=0,('Inputs (2)'!BG83)=0),"",ABS('Inputs (2)'!BG83)/ABS('Inputs (2)'!BG82)),"")</f>
        <v/>
      </c>
    </row>
    <row r="226" hidden="1" outlineLevel="1">
      <c r="C226" s="30" t="inlineStr">
        <is>
          <t>TVM e aplicações — crescimento % QoQ</t>
        </is>
      </c>
      <c r="D226" s="12" t="inlineStr">
        <is>
          <t>Securities growth QoQ</t>
        </is>
      </c>
      <c r="E226" s="31" t="n"/>
      <c r="F226" s="32">
        <f>IFERROR(IF(('Inputs (2)'!E11+'Inputs (2)'!E6)=0,"",('Inputs (2)'!F11+'Inputs (2)'!F6)/('Inputs (2)'!E11+'Inputs (2)'!E6)-1),"")</f>
        <v>0.0210877210766378</v>
      </c>
      <c r="G226" s="32">
        <f>IFERROR(IF(('Inputs (2)'!F11+'Inputs (2)'!F6)=0,"",('Inputs (2)'!G11+'Inputs (2)'!G6)/('Inputs (2)'!F11+'Inputs (2)'!F6)-1),"")</f>
        <v>-0.0513943808330527</v>
      </c>
      <c r="H226" s="32">
        <f>IFERROR(IF(('Inputs (2)'!G11+'Inputs (2)'!G6)=0,"",('Inputs (2)'!H11+'Inputs (2)'!H6)/('Inputs (2)'!G11+'Inputs (2)'!G6)-1),"")</f>
        <v>-0.0936799863950489</v>
      </c>
      <c r="I226" s="33" t="n"/>
      <c r="J226" s="32">
        <f>IFERROR(IF(('Inputs (2)'!H11+'Inputs (2)'!H6)=0,"",('Inputs (2)'!J11+'Inputs (2)'!J6)/('Inputs (2)'!H11+'Inputs (2)'!H6)-1),"")</f>
        <v>0.0962339312597635</v>
      </c>
      <c r="K226" s="32">
        <f>IFERROR(IF(('Inputs (2)'!J11+'Inputs (2)'!J6)=0,"",('Inputs (2)'!K11+'Inputs (2)'!K6)/('Inputs (2)'!J11+'Inputs (2)'!J6)-1),"")</f>
        <v>-0.181157608624956</v>
      </c>
      <c r="L226" s="32">
        <f>IFERROR(IF(('Inputs (2)'!K11+'Inputs (2)'!K6)=0,"",('Inputs (2)'!L11+'Inputs (2)'!L6)/('Inputs (2)'!K11+'Inputs (2)'!K6)-1),"")</f>
        <v>0.227109015279804</v>
      </c>
      <c r="M226" s="32">
        <f>IFERROR(IF(('Inputs (2)'!L11+'Inputs (2)'!L6)=0,"",('Inputs (2)'!M11+'Inputs (2)'!M6)/('Inputs (2)'!L11+'Inputs (2)'!L6)-1),"")</f>
        <v>-0.0745049363747489</v>
      </c>
      <c r="N226" s="34">
        <f>IFERROR(IF(('Inputs (2)'!I11+'Inputs (2)'!I6)=0,"",('Inputs (2)'!N11+'Inputs (2)'!N6)/('Inputs (2)'!I11+'Inputs (2)'!I6)-1),"")</f>
        <v>0.0194379854431472</v>
      </c>
      <c r="O226" s="32">
        <f>IFERROR(IF(('Inputs (2)'!M11+'Inputs (2)'!M6)=0,"",('Inputs (2)'!O11+'Inputs (2)'!O6)/('Inputs (2)'!M11+'Inputs (2)'!M6)-1),"")</f>
        <v>0.0704370854691165</v>
      </c>
      <c r="P226" s="32">
        <f>IFERROR(IF(('Inputs (2)'!O11+'Inputs (2)'!O6)=0,"",('Inputs (2)'!P11+'Inputs (2)'!P6)/('Inputs (2)'!O11+'Inputs (2)'!O6)-1),"")</f>
        <v>0.0848718928856154</v>
      </c>
      <c r="Q226" s="32">
        <f>IFERROR(IF(('Inputs (2)'!P11+'Inputs (2)'!P6)=0,"",('Inputs (2)'!Q11+'Inputs (2)'!Q6)/('Inputs (2)'!P11+'Inputs (2)'!P6)-1),"")</f>
        <v>0.0263749838233165</v>
      </c>
      <c r="R226" s="32">
        <f>IFERROR(IF(('Inputs (2)'!Q11+'Inputs (2)'!Q6)=0,"",('Inputs (2)'!R11+'Inputs (2)'!R6)/('Inputs (2)'!Q11+'Inputs (2)'!Q6)-1),"")</f>
        <v>0.0547114154204216</v>
      </c>
      <c r="S226" s="34">
        <f>IFERROR(IF(('Inputs (2)'!N11+'Inputs (2)'!N6)=0,"",('Inputs (2)'!S11+'Inputs (2)'!S6)/('Inputs (2)'!N11+'Inputs (2)'!N6)-1),"")</f>
        <v>0.257127449173073</v>
      </c>
      <c r="T226" s="32">
        <f>IFERROR(IF(('Inputs (2)'!R11+'Inputs (2)'!R6)=0,"",('Inputs (2)'!T11+'Inputs (2)'!T6)/('Inputs (2)'!R11+'Inputs (2)'!R6)-1),"")</f>
        <v>0.0351750854561914</v>
      </c>
      <c r="U226" s="32">
        <f>IFERROR(IF(('Inputs (2)'!T11+'Inputs (2)'!T6)=0,"",('Inputs (2)'!U11+'Inputs (2)'!U6)/('Inputs (2)'!T11+'Inputs (2)'!T6)-1),"")</f>
        <v>0.148012705895451</v>
      </c>
      <c r="V226" s="32">
        <f>IFERROR(IF(('Inputs (2)'!U11+'Inputs (2)'!U6)=0,"",('Inputs (2)'!V11+'Inputs (2)'!V6)/('Inputs (2)'!U11+'Inputs (2)'!U6)-1),"")</f>
        <v>1.08854938158931e-05</v>
      </c>
      <c r="W226" s="32">
        <f>IFERROR(IF(('Inputs (2)'!V11+'Inputs (2)'!V6)=0,"",('Inputs (2)'!W11+'Inputs (2)'!W6)/('Inputs (2)'!V11+'Inputs (2)'!V6)-1),"")</f>
        <v>0.0287344982359603</v>
      </c>
      <c r="X226" s="34">
        <f>IFERROR(IF(('Inputs (2)'!S11+'Inputs (2)'!S6)=0,"",('Inputs (2)'!X11+'Inputs (2)'!X6)/('Inputs (2)'!S11+'Inputs (2)'!S6)-1),"")</f>
        <v>0.222555368537684</v>
      </c>
      <c r="Y226" s="32">
        <f>IFERROR(IF(('Inputs (2)'!W11+'Inputs (2)'!W6)=0,"",('Inputs (2)'!Y11+'Inputs (2)'!Y6)/('Inputs (2)'!W11+'Inputs (2)'!W6)-1),"")</f>
        <v>0.0795201094775089</v>
      </c>
      <c r="Z226" s="32">
        <f>IFERROR(IF(('Inputs (2)'!Y11+'Inputs (2)'!Y6)=0,"",('Inputs (2)'!Z11+'Inputs (2)'!Z6)/('Inputs (2)'!Y11+'Inputs (2)'!Y6)-1),"")</f>
        <v>0.149081688968056</v>
      </c>
      <c r="AA226" s="32">
        <f>IFERROR(IF(('Inputs (2)'!Z11+'Inputs (2)'!Z6)=0,"",('Inputs (2)'!AA11+'Inputs (2)'!AA6)/('Inputs (2)'!Z11+'Inputs (2)'!Z6)-1),"")</f>
        <v>0.0937549678635712</v>
      </c>
      <c r="AB226" s="32">
        <f>IFERROR(IF(('Inputs (2)'!AA11+'Inputs (2)'!AA6)=0,"",('Inputs (2)'!AB11+'Inputs (2)'!AB6)/('Inputs (2)'!AA11+'Inputs (2)'!AA6)-1),"")</f>
        <v>0.0297201825618376</v>
      </c>
      <c r="AC226" s="34">
        <f>IFERROR(IF(('Inputs (2)'!X11+'Inputs (2)'!X6)=0,"",('Inputs (2)'!AC11+'Inputs (2)'!AC6)/('Inputs (2)'!X11+'Inputs (2)'!X6)-1),"")</f>
        <v>0.39707880660991</v>
      </c>
      <c r="AD226" s="32">
        <f>IFERROR(IF(('Inputs (2)'!AB11+'Inputs (2)'!AB6)=0,"",('Inputs (2)'!AD11+'Inputs (2)'!AD6)/('Inputs (2)'!AB11+'Inputs (2)'!AB6)-1),"")</f>
        <v>-0.146991425690398</v>
      </c>
      <c r="AE226" s="32">
        <f>IFERROR(IF(('Inputs (2)'!AD11+'Inputs (2)'!AD6)=0,"",('Inputs (2)'!AE11+'Inputs (2)'!AE6)/('Inputs (2)'!AD11+'Inputs (2)'!AD6)-1),"")</f>
        <v>-0.00926946491857306</v>
      </c>
      <c r="AF226" s="32">
        <f>IFERROR(IF(('Inputs (2)'!AE11+'Inputs (2)'!AE6)=0,"",('Inputs (2)'!AF11+'Inputs (2)'!AF6)/('Inputs (2)'!AE11+'Inputs (2)'!AE6)-1),"")</f>
        <v>-0.0582225961796531</v>
      </c>
      <c r="AG226" s="32">
        <f>IFERROR(IF(('Inputs (2)'!AF11+'Inputs (2)'!AF6)=0,"",('Inputs (2)'!AG11+'Inputs (2)'!AG6)/('Inputs (2)'!AF11+'Inputs (2)'!AF6)-1),"")</f>
        <v>0.058179207497727</v>
      </c>
      <c r="AH226" s="34">
        <f>IFERROR(IF(('Inputs (2)'!AC11+'Inputs (2)'!AC6)=0,"",('Inputs (2)'!AH11+'Inputs (2)'!AH6)/('Inputs (2)'!AC11+'Inputs (2)'!AC6)-1),"")</f>
        <v>-0.157797676991499</v>
      </c>
      <c r="AI226" s="32">
        <f>IFERROR(IF(('Inputs (2)'!AG11+'Inputs (2)'!AG6)=0,"",('Inputs (2)'!AI11+'Inputs (2)'!AI6)/('Inputs (2)'!AG11+'Inputs (2)'!AG6)-1),"")</f>
        <v>0.0481351756663524</v>
      </c>
      <c r="AJ226" s="32">
        <f>IFERROR(IF(('Inputs (2)'!AI11+'Inputs (2)'!AI6)=0,"",('Inputs (2)'!AJ11+'Inputs (2)'!AJ6)/('Inputs (2)'!AI11+'Inputs (2)'!AI6)-1),"")</f>
        <v>0.0020458414279243</v>
      </c>
      <c r="AK226" s="32">
        <f>IFERROR(IF(('Inputs (2)'!AJ11+'Inputs (2)'!AJ6)=0,"",('Inputs (2)'!AK11+'Inputs (2)'!AK6)/('Inputs (2)'!AJ11+'Inputs (2)'!AJ6)-1),"")</f>
        <v>-1</v>
      </c>
      <c r="AL226" s="32" t="str">
        <f>IFERROR(IF(('Inputs (2)'!AK11+'Inputs (2)'!AK6)=0,"",('Inputs (2)'!AL11+'Inputs (2)'!AL6)/('Inputs (2)'!AK11+'Inputs (2)'!AK6)-1),"")</f>
        <v/>
      </c>
      <c r="AM226" s="34">
        <f>IFERROR(IF(('Inputs (2)'!AH11+'Inputs (2)'!AH6)=0,"",('Inputs (2)'!AM11+'Inputs (2)'!AM6)/('Inputs (2)'!AH11+'Inputs (2)'!AH6)-1),"")</f>
        <v>-1</v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hidden="1" outlineLevel="1">
      <c r="C227" s="30" t="inlineStr">
        <is>
          <t>Rendimento médio de TVM e aplicações (% a.a.)</t>
        </is>
      </c>
      <c r="D227" s="12" t="inlineStr">
        <is>
          <t>Securities yield</t>
        </is>
      </c>
      <c r="E227" s="32">
        <f>IFERROR(IF(OR(('Inputs (2)'!E11+'Inputs (2)'!E6)=0,('Inputs (2)'!E72+'Inputs (2)'!E74)=0),"",('Inputs (2)'!E72+'Inputs (2)'!E74)*4/('Inputs (2)'!E11+'Inputs (2)'!E6)),"")</f>
        <v>0.348810326381663</v>
      </c>
      <c r="F227" s="32">
        <f>IFERROR(IF(OR(AVERAGE(('Inputs (2)'!E11+'Inputs (2)'!E6),('Inputs (2)'!F11+'Inputs (2)'!F6))=0,('Inputs (2)'!F72+'Inputs (2)'!F74)=0),"",('Inputs (2)'!F72+'Inputs (2)'!F74)*4/AVERAGE(('Inputs (2)'!E11+'Inputs (2)'!E6),('Inputs (2)'!F11+'Inputs (2)'!F6))),"")</f>
        <v>0.13871799968804</v>
      </c>
      <c r="G227" s="32">
        <f>IFERROR(IF(OR(AVERAGE(('Inputs (2)'!F11+'Inputs (2)'!F6),('Inputs (2)'!G11+'Inputs (2)'!G6))=0,('Inputs (2)'!G72+'Inputs (2)'!G74)=0),"",('Inputs (2)'!G72+'Inputs (2)'!G74)*4/AVERAGE(('Inputs (2)'!F11+'Inputs (2)'!F6),('Inputs (2)'!G11+'Inputs (2)'!G6))),"")</f>
        <v>0.105541140572057</v>
      </c>
      <c r="H227" s="32">
        <f>IFERROR(IF(OR(AVERAGE(('Inputs (2)'!G11+'Inputs (2)'!G6),('Inputs (2)'!H11+'Inputs (2)'!H6))=0,('Inputs (2)'!H72+'Inputs (2)'!H74)=0),"",('Inputs (2)'!H72+'Inputs (2)'!H74)*4/AVERAGE(('Inputs (2)'!G11+'Inputs (2)'!G6),('Inputs (2)'!H11+'Inputs (2)'!H6))),"")</f>
        <v>-0.0124713637999407</v>
      </c>
      <c r="I227" s="34">
        <f>IFERROR(IF(OR(('Inputs (2)'!I11+'Inputs (2)'!I6)=0,('Inputs (2)'!I72+'Inputs (2)'!I74)=0),"",('Inputs (2)'!I72+'Inputs (2)'!I74)/('Inputs (2)'!I11+'Inputs (2)'!I6)),"")</f>
        <v>0.165877123681078</v>
      </c>
      <c r="J227" s="32">
        <f>IFERROR(IF(OR(AVERAGE(('Inputs (2)'!H11+'Inputs (2)'!H6),('Inputs (2)'!J11+'Inputs (2)'!J6))=0,('Inputs (2)'!J72+'Inputs (2)'!J74)=0),"",('Inputs (2)'!J72+'Inputs (2)'!J74)*4/AVERAGE(('Inputs (2)'!H11+'Inputs (2)'!H6),('Inputs (2)'!J11+'Inputs (2)'!J6))),"")</f>
        <v>0.17615256030846</v>
      </c>
      <c r="K227" s="32">
        <f>IFERROR(IF(OR(AVERAGE(('Inputs (2)'!J11+'Inputs (2)'!J6),('Inputs (2)'!K11+'Inputs (2)'!K6))=0,('Inputs (2)'!K72+'Inputs (2)'!K74)=0),"",('Inputs (2)'!K72+'Inputs (2)'!K74)*4/AVERAGE(('Inputs (2)'!J11+'Inputs (2)'!J6),('Inputs (2)'!K11+'Inputs (2)'!K6))),"")</f>
        <v>-0.0916648605291133</v>
      </c>
      <c r="L227" s="32">
        <f>IFERROR(IF(OR(AVERAGE(('Inputs (2)'!K11+'Inputs (2)'!K6),('Inputs (2)'!L11+'Inputs (2)'!L6))=0,('Inputs (2)'!L72+'Inputs (2)'!L74)=0),"",('Inputs (2)'!L72+'Inputs (2)'!L74)*4/AVERAGE(('Inputs (2)'!K11+'Inputs (2)'!K6),('Inputs (2)'!L11+'Inputs (2)'!L6))),"")</f>
        <v>0.194795414124408</v>
      </c>
      <c r="M227" s="32">
        <f>IFERROR(IF(OR(AVERAGE(('Inputs (2)'!L11+'Inputs (2)'!L6),('Inputs (2)'!M11+'Inputs (2)'!M6))=0,('Inputs (2)'!M72+'Inputs (2)'!M74)=0),"",('Inputs (2)'!M72+'Inputs (2)'!M74)*4/AVERAGE(('Inputs (2)'!L11+'Inputs (2)'!L6),('Inputs (2)'!M11+'Inputs (2)'!M6))),"")</f>
        <v>0.14324026713202</v>
      </c>
      <c r="N227" s="34">
        <f>IFERROR(IF(OR(AVERAGE(('Inputs (2)'!I11+'Inputs (2)'!I6),('Inputs (2)'!N11+'Inputs (2)'!N6))=0,('Inputs (2)'!N72+'Inputs (2)'!N74)=0),"",('Inputs (2)'!N72+'Inputs (2)'!N74)/AVERAGE(('Inputs (2)'!I11+'Inputs (2)'!I6),('Inputs (2)'!N11+'Inputs (2)'!N6))),"")</f>
        <v>0.108906291240504</v>
      </c>
      <c r="O227" s="32">
        <f>IFERROR(IF(OR(AVERAGE(('Inputs (2)'!M11+'Inputs (2)'!M6),('Inputs (2)'!O11+'Inputs (2)'!O6))=0,('Inputs (2)'!O72+'Inputs (2)'!O74)=0),"",('Inputs (2)'!O72+'Inputs (2)'!O74)*4/AVERAGE(('Inputs (2)'!M11+'Inputs (2)'!M6),('Inputs (2)'!O11+'Inputs (2)'!O6))),"")</f>
        <v>-0.203922098516326</v>
      </c>
      <c r="P227" s="32">
        <f>IFERROR(IF(OR(AVERAGE(('Inputs (2)'!O11+'Inputs (2)'!O6),('Inputs (2)'!P11+'Inputs (2)'!P6))=0,('Inputs (2)'!P72+'Inputs (2)'!P74)=0),"",('Inputs (2)'!P72+'Inputs (2)'!P74)*4/AVERAGE(('Inputs (2)'!O11+'Inputs (2)'!O6),('Inputs (2)'!P11+'Inputs (2)'!P6))),"")</f>
        <v>0.268460608421346</v>
      </c>
      <c r="Q227" s="32">
        <f>IFERROR(IF(OR(AVERAGE(('Inputs (2)'!P11+'Inputs (2)'!P6),('Inputs (2)'!Q11+'Inputs (2)'!Q6))=0,('Inputs (2)'!Q72+'Inputs (2)'!Q74)=0),"",('Inputs (2)'!Q72+'Inputs (2)'!Q74)*4/AVERAGE(('Inputs (2)'!P11+'Inputs (2)'!P6),('Inputs (2)'!Q11+'Inputs (2)'!Q6))),"")</f>
        <v>0.156993152988753</v>
      </c>
      <c r="R227" s="32">
        <f>IFERROR(IF(OR(AVERAGE(('Inputs (2)'!Q11+'Inputs (2)'!Q6),('Inputs (2)'!R11+'Inputs (2)'!R6))=0,('Inputs (2)'!R72+'Inputs (2)'!R74)=0),"",('Inputs (2)'!R72+'Inputs (2)'!R74)*4/AVERAGE(('Inputs (2)'!Q11+'Inputs (2)'!Q6),('Inputs (2)'!R11+'Inputs (2)'!R6))),"")</f>
        <v>0.098152097664519</v>
      </c>
      <c r="S227" s="34">
        <f>IFERROR(IF(OR(AVERAGE(('Inputs (2)'!N11+'Inputs (2)'!N6),('Inputs (2)'!S11+'Inputs (2)'!S6))=0,('Inputs (2)'!S72+'Inputs (2)'!S74)=0),"",('Inputs (2)'!S72+'Inputs (2)'!S74)/AVERAGE(('Inputs (2)'!N11+'Inputs (2)'!N6),('Inputs (2)'!S11+'Inputs (2)'!S6))),"")</f>
        <v>0.0871392636576281</v>
      </c>
      <c r="T227" s="32">
        <f>IFERROR(IF(OR(AVERAGE(('Inputs (2)'!R11+'Inputs (2)'!R6),('Inputs (2)'!T11+'Inputs (2)'!T6))=0,('Inputs (2)'!T72+'Inputs (2)'!T74)=0),"",('Inputs (2)'!T72+'Inputs (2)'!T74)*4/AVERAGE(('Inputs (2)'!R11+'Inputs (2)'!R6),('Inputs (2)'!T11+'Inputs (2)'!T6))),"")</f>
        <v>0.113422641932044</v>
      </c>
      <c r="U227" s="32">
        <f>IFERROR(IF(OR(AVERAGE(('Inputs (2)'!T11+'Inputs (2)'!T6),('Inputs (2)'!U11+'Inputs (2)'!U6))=0,('Inputs (2)'!U72+'Inputs (2)'!U74)=0),"",('Inputs (2)'!U72+'Inputs (2)'!U74)*4/AVERAGE(('Inputs (2)'!T11+'Inputs (2)'!T6),('Inputs (2)'!U11+'Inputs (2)'!U6))),"")</f>
        <v>0.0724922577125222</v>
      </c>
      <c r="V227" s="32">
        <f>IFERROR(IF(OR(AVERAGE(('Inputs (2)'!U11+'Inputs (2)'!U6),('Inputs (2)'!V11+'Inputs (2)'!V6))=0,('Inputs (2)'!V72+'Inputs (2)'!V74)=0),"",('Inputs (2)'!V72+'Inputs (2)'!V74)*4/AVERAGE(('Inputs (2)'!U11+'Inputs (2)'!U6),('Inputs (2)'!V11+'Inputs (2)'!V6))),"")</f>
        <v>0.183080525458957</v>
      </c>
      <c r="W227" s="32">
        <f>IFERROR(IF(OR(AVERAGE(('Inputs (2)'!V11+'Inputs (2)'!V6),('Inputs (2)'!W11+'Inputs (2)'!W6))=0,('Inputs (2)'!W72+'Inputs (2)'!W74)=0),"",('Inputs (2)'!W72+'Inputs (2)'!W74)*4/AVERAGE(('Inputs (2)'!V11+'Inputs (2)'!V6),('Inputs (2)'!W11+'Inputs (2)'!W6))),"")</f>
        <v>0.0982597974895452</v>
      </c>
      <c r="X227" s="34">
        <f>IFERROR(IF(OR(AVERAGE(('Inputs (2)'!S11+'Inputs (2)'!S6),('Inputs (2)'!X11+'Inputs (2)'!X6))=0,('Inputs (2)'!X72+'Inputs (2)'!X74)=0),"",('Inputs (2)'!X72+'Inputs (2)'!X74)/AVERAGE(('Inputs (2)'!S11+'Inputs (2)'!S6),('Inputs (2)'!X11+'Inputs (2)'!X6))),"")</f>
        <v>0.119690290556522</v>
      </c>
      <c r="Y227" s="32">
        <f>IFERROR(IF(OR(AVERAGE(('Inputs (2)'!W11+'Inputs (2)'!W6),('Inputs (2)'!Y11+'Inputs (2)'!Y6))=0,('Inputs (2)'!Y72+'Inputs (2)'!Y74)=0),"",('Inputs (2)'!Y72+'Inputs (2)'!Y74)*4/AVERAGE(('Inputs (2)'!W11+'Inputs (2)'!W6),('Inputs (2)'!Y11+'Inputs (2)'!Y6))),"")</f>
        <v>0.152495644434639</v>
      </c>
      <c r="Z227" s="32">
        <f>IFERROR(IF(OR(AVERAGE(('Inputs (2)'!Y11+'Inputs (2)'!Y6),('Inputs (2)'!Z11+'Inputs (2)'!Z6))=0,('Inputs (2)'!Z72+'Inputs (2)'!Z74)=0),"",('Inputs (2)'!Z72+'Inputs (2)'!Z74)*4/AVERAGE(('Inputs (2)'!Y11+'Inputs (2)'!Y6),('Inputs (2)'!Z11+'Inputs (2)'!Z6))),"")</f>
        <v>0.174623474655269</v>
      </c>
      <c r="AA227" s="32">
        <f>IFERROR(IF(OR(AVERAGE(('Inputs (2)'!Z11+'Inputs (2)'!Z6),('Inputs (2)'!AA11+'Inputs (2)'!AA6))=0,('Inputs (2)'!AA72+'Inputs (2)'!AA74)=0),"",('Inputs (2)'!AA72+'Inputs (2)'!AA74)*4/AVERAGE(('Inputs (2)'!Z11+'Inputs (2)'!Z6),('Inputs (2)'!AA11+'Inputs (2)'!AA6))),"")</f>
        <v>0.113238568236277</v>
      </c>
      <c r="AB227" s="32">
        <f>IFERROR(IF(OR(AVERAGE(('Inputs (2)'!AA11+'Inputs (2)'!AA6),('Inputs (2)'!AB11+'Inputs (2)'!AB6))=0,('Inputs (2)'!AB72+'Inputs (2)'!AB74)=0),"",('Inputs (2)'!AB72+'Inputs (2)'!AB74)*4/AVERAGE(('Inputs (2)'!AA11+'Inputs (2)'!AA6),('Inputs (2)'!AB11+'Inputs (2)'!AB6))),"")</f>
        <v>0.198309503775767</v>
      </c>
      <c r="AC227" s="34">
        <f>IFERROR(IF(OR(AVERAGE(('Inputs (2)'!X11+'Inputs (2)'!X6),('Inputs (2)'!AC11+'Inputs (2)'!AC6))=0,('Inputs (2)'!AC72+'Inputs (2)'!AC74)=0),"",('Inputs (2)'!AC72+'Inputs (2)'!AC74)/AVERAGE(('Inputs (2)'!X11+'Inputs (2)'!X6),('Inputs (2)'!AC11+'Inputs (2)'!AC6))),"")</f>
        <v>0.162954215847902</v>
      </c>
      <c r="AD227" s="32">
        <f>IFERROR(IF(OR(AVERAGE(('Inputs (2)'!AB11+'Inputs (2)'!AB6),('Inputs (2)'!AD11+'Inputs (2)'!AD6))=0,('Inputs (2)'!AD72+'Inputs (2)'!AD74)=0),"",('Inputs (2)'!AD72+'Inputs (2)'!AD74)*4/AVERAGE(('Inputs (2)'!AB11+'Inputs (2)'!AB6),('Inputs (2)'!AD11+'Inputs (2)'!AD6))),"")</f>
        <v>0.106911913731888</v>
      </c>
      <c r="AE227" s="32">
        <f>IFERROR(IF(OR(AVERAGE(('Inputs (2)'!AD11+'Inputs (2)'!AD6),('Inputs (2)'!AE11+'Inputs (2)'!AE6))=0,('Inputs (2)'!AE72+'Inputs (2)'!AE74)=0),"",('Inputs (2)'!AE72+'Inputs (2)'!AE74)*4/AVERAGE(('Inputs (2)'!AD11+'Inputs (2)'!AD6),('Inputs (2)'!AE11+'Inputs (2)'!AE6))),"")</f>
        <v>0.0993795127645169</v>
      </c>
      <c r="AF227" s="32">
        <f>IFERROR(IF(OR(AVERAGE(('Inputs (2)'!AE11+'Inputs (2)'!AE6),('Inputs (2)'!AF11+'Inputs (2)'!AF6))=0,('Inputs (2)'!AF72+'Inputs (2)'!AF74)=0),"",('Inputs (2)'!AF72+'Inputs (2)'!AF74)*4/AVERAGE(('Inputs (2)'!AE11+'Inputs (2)'!AE6),('Inputs (2)'!AF11+'Inputs (2)'!AF6))),"")</f>
        <v>0.147468789099408</v>
      </c>
      <c r="AG227" s="32">
        <f>IFERROR(IF(OR(AVERAGE(('Inputs (2)'!AF11+'Inputs (2)'!AF6),('Inputs (2)'!AG11+'Inputs (2)'!AG6))=0,('Inputs (2)'!AG72+'Inputs (2)'!AG74)=0),"",('Inputs (2)'!AG72+'Inputs (2)'!AG74)*4/AVERAGE(('Inputs (2)'!AF11+'Inputs (2)'!AF6),('Inputs (2)'!AG11+'Inputs (2)'!AG6))),"")</f>
        <v>0.210738714788029</v>
      </c>
      <c r="AH227" s="34">
        <f>IFERROR(IF(OR(AVERAGE(('Inputs (2)'!AC11+'Inputs (2)'!AC6),('Inputs (2)'!AH11+'Inputs (2)'!AH6))=0,('Inputs (2)'!AH72+'Inputs (2)'!AH74)=0),"",('Inputs (2)'!AH72+'Inputs (2)'!AH74)/AVERAGE(('Inputs (2)'!AC11+'Inputs (2)'!AC6),('Inputs (2)'!AH11+'Inputs (2)'!AH6))),"")</f>
        <v>0.129474556198932</v>
      </c>
      <c r="AI227" s="32">
        <f>IFERROR(IF(OR(AVERAGE(('Inputs (2)'!AG11+'Inputs (2)'!AG6),('Inputs (2)'!AI11+'Inputs (2)'!AI6))=0,('Inputs (2)'!AI72+'Inputs (2)'!AI74)=0),"",('Inputs (2)'!AI72+'Inputs (2)'!AI74)*4/AVERAGE(('Inputs (2)'!AG11+'Inputs (2)'!AG6),('Inputs (2)'!AI11+'Inputs (2)'!AI6))),"")</f>
        <v>0.156387822916072</v>
      </c>
      <c r="AJ227" s="32">
        <f>IFERROR(IF(OR(AVERAGE(('Inputs (2)'!AI11+'Inputs (2)'!AI6),('Inputs (2)'!AJ11+'Inputs (2)'!AJ6))=0,('Inputs (2)'!AJ72+'Inputs (2)'!AJ74)=0),"",('Inputs (2)'!AJ72+'Inputs (2)'!AJ74)*4/AVERAGE(('Inputs (2)'!AI11+'Inputs (2)'!AI6),('Inputs (2)'!AJ11+'Inputs (2)'!AJ6))),"")</f>
        <v>0.167624670186881</v>
      </c>
      <c r="AK227" s="32" t="str">
        <f>IFERROR(IF(OR(AVERAGE(('Inputs (2)'!AJ11+'Inputs (2)'!AJ6),('Inputs (2)'!AK11+'Inputs (2)'!AK6))=0,('Inputs (2)'!AK72+'Inputs (2)'!AK74)=0),"",('Inputs (2)'!AK72+'Inputs (2)'!AK74)*4/AVERAGE(('Inputs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(2)'!AL72+'Inputs (2)'!AL74)=0),"",('Inputs (2)'!AL72+'Inputs (2)'!AL74)*4/AVERAGE(('Inputs (2)'!AK11+'Inputs (2)'!AK6),('Inputs (2)'!AL11+'Inputs (2)'!AL6))),"")</f>
        <v/>
      </c>
      <c r="AM227" s="34">
        <f>IFERROR(IF(OR(AVERAGE(('Inputs (2)'!AH11+'Inputs (2)'!AH6),('Inputs (2)'!AM11+'Inputs (2)'!AM6))=0,('Inputs (2)'!AM72+'Inputs (2)'!AM74)=0),"",('Inputs (2)'!AM72+'Inputs (2)'!AM74)/AVERAGE(('Inputs (2)'!AH11+'Inputs (2)'!AH6),('Inputs (2)'!AM11+'Inputs (2)'!AM6))),"")</f>
        <v>0.168012367020896</v>
      </c>
      <c r="AN227" s="32" t="str">
        <f>IFERROR(IF(OR(AVERAGE(('Inputs (2)'!AL11+'Inputs (2)'!AL6),('Inputs (2)'!AN11+'Inputs (2)'!AN6))=0,('Inputs (2)'!AN72+'Inputs (2)'!AN74)=0),"",('Inputs (2)'!AN72+'Inputs (2)'!AN74)*4/AVERAGE(('Inputs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(2)'!AO72+'Inputs (2)'!AO74)=0),"",('Inputs (2)'!AO72+'Inputs (2)'!AO74)*4/AVERAGE(('Inputs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(2)'!AP72+'Inputs (2)'!AP74)=0),"",('Inputs (2)'!AP72+'Inputs (2)'!AP74)*4/AVERAGE(('Inputs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(2)'!AQ72+'Inputs (2)'!AQ74)=0),"",('Inputs (2)'!AQ72+'Inputs (2)'!AQ74)*4/AVERAGE(('Inputs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(2)'!AR72+'Inputs (2)'!AR74)=0),"",('Inputs (2)'!AR72+'Inputs (2)'!AR74)/AVERAGE(('Inputs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(2)'!AS72+'Inputs (2)'!AS74)=0),"",('Inputs (2)'!AS72+'Inputs (2)'!AS74)*4/AVERAGE(('Inputs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(2)'!AT72+'Inputs (2)'!AT74)=0),"",('Inputs (2)'!AT72+'Inputs (2)'!AT74)*4/AVERAGE(('Inputs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(2)'!AU72+'Inputs (2)'!AU74)=0),"",('Inputs (2)'!AU72+'Inputs (2)'!AU74)*4/AVERAGE(('Inputs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(2)'!AV72+'Inputs (2)'!AV74)=0),"",('Inputs (2)'!AV72+'Inputs (2)'!AV74)*4/AVERAGE(('Inputs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(2)'!AW72+'Inputs (2)'!AW74)=0),"",('Inputs (2)'!AW72+'Inputs (2)'!AW74)/AVERAGE(('Inputs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(2)'!AX72+'Inputs (2)'!AX74)=0),"",('Inputs (2)'!AX72+'Inputs (2)'!AX74)*4/AVERAGE(('Inputs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(2)'!AY72+'Inputs (2)'!AY74)=0),"",('Inputs (2)'!AY72+'Inputs (2)'!AY74)*4/AVERAGE(('Inputs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(2)'!AZ72+'Inputs (2)'!AZ74)=0),"",('Inputs (2)'!AZ72+'Inputs (2)'!AZ74)*4/AVERAGE(('Inputs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(2)'!BA72+'Inputs (2)'!BA74)=0),"",('Inputs (2)'!BA72+'Inputs (2)'!BA74)*4/AVERAGE(('Inputs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(2)'!BB72+'Inputs (2)'!BB74)=0),"",('Inputs (2)'!BB72+'Inputs (2)'!BB74)/AVERAGE(('Inputs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(2)'!BC72+'Inputs (2)'!BC74)=0),"",('Inputs (2)'!BC72+'Inputs (2)'!BC74)*4/AVERAGE(('Inputs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(2)'!BD72+'Inputs (2)'!BD74)=0),"",('Inputs (2)'!BD72+'Inputs (2)'!BD74)*4/AVERAGE(('Inputs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(2)'!BE72+'Inputs (2)'!BE74)=0),"",('Inputs (2)'!BE72+'Inputs (2)'!BE74)*4/AVERAGE(('Inputs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(2)'!BF72+'Inputs (2)'!BF74)=0),"",('Inputs (2)'!BF72+'Inputs (2)'!BF74)*4/AVERAGE(('Inputs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(2)'!BG72+'Inputs (2)'!BG74)=0),"",('Inputs (2)'!BG72+'Inputs (2)'!BG74)/AVERAGE(('Inputs (2)'!BB11+'Inputs (2)'!BB6),('Inputs (2)'!BG11+'Inputs (2)'!BG6))),"")</f>
        <v/>
      </c>
    </row>
    <row r="228" hidden="1" outlineLevel="1">
      <c r="C228" s="30" t="inlineStr">
        <is>
          <t>Depósitos — crescimento % QoQ</t>
        </is>
      </c>
      <c r="D228" s="12" t="inlineStr">
        <is>
          <t>Deposits growth QoQ</t>
        </is>
      </c>
      <c r="E228" s="31" t="n"/>
      <c r="F228" s="32">
        <f>IFERROR(IF(('Inputs (2)'!E32)=0,"",('Inputs (2)'!F32)/('Inputs (2)'!E32)-1),"")</f>
        <v>0.226456857432013</v>
      </c>
      <c r="G228" s="32">
        <f>IFERROR(IF(('Inputs (2)'!F32)=0,"",('Inputs (2)'!G32)/('Inputs (2)'!F32)-1),"")</f>
        <v>0.337747256842435</v>
      </c>
      <c r="H228" s="32">
        <f>IFERROR(IF(('Inputs (2)'!G32)=0,"",('Inputs (2)'!H32)/('Inputs (2)'!G32)-1),"")</f>
        <v>0.0362673701832599</v>
      </c>
      <c r="I228" s="33" t="n"/>
      <c r="J228" s="32">
        <f>IFERROR(IF(('Inputs (2)'!H32)=0,"",('Inputs (2)'!J32)/('Inputs (2)'!H32)-1),"")</f>
        <v>-0.00658659178708965</v>
      </c>
      <c r="K228" s="32">
        <f>IFERROR(IF(('Inputs (2)'!J32)=0,"",('Inputs (2)'!K32)/('Inputs (2)'!J32)-1),"")</f>
        <v>-0.148821140713642</v>
      </c>
      <c r="L228" s="32">
        <f>IFERROR(IF(('Inputs (2)'!K32)=0,"",('Inputs (2)'!L32)/('Inputs (2)'!K32)-1),"")</f>
        <v>0.0337901210960763</v>
      </c>
      <c r="M228" s="32">
        <f>IFERROR(IF(('Inputs (2)'!L32)=0,"",('Inputs (2)'!M32)/('Inputs (2)'!L32)-1),"")</f>
        <v>-0.103796524679337</v>
      </c>
      <c r="N228" s="34">
        <f>IFERROR(IF(('Inputs (2)'!I32)=0,"",('Inputs (2)'!N32)/('Inputs (2)'!I32)-1),"")</f>
        <v>-0.21658867148358</v>
      </c>
      <c r="O228" s="32">
        <f>IFERROR(IF(('Inputs (2)'!M32)=0,"",('Inputs (2)'!O32)/('Inputs (2)'!M32)-1),"")</f>
        <v>0.0769555641111597</v>
      </c>
      <c r="P228" s="32">
        <f>IFERROR(IF(('Inputs (2)'!O32)=0,"",('Inputs (2)'!P32)/('Inputs (2)'!O32)-1),"")</f>
        <v>0.0225974615904077</v>
      </c>
      <c r="Q228" s="32">
        <f>IFERROR(IF(('Inputs (2)'!P32)=0,"",('Inputs (2)'!Q32)/('Inputs (2)'!P32)-1),"")</f>
        <v>0.142140448759812</v>
      </c>
      <c r="R228" s="32">
        <f>IFERROR(IF(('Inputs (2)'!Q32)=0,"",('Inputs (2)'!R32)/('Inputs (2)'!Q32)-1),"")</f>
        <v>0.0347014562941863</v>
      </c>
      <c r="S228" s="34">
        <f>IFERROR(IF(('Inputs (2)'!N32)=0,"",('Inputs (2)'!S32)/('Inputs (2)'!N32)-1),"")</f>
        <v>0.301478707544019</v>
      </c>
      <c r="T228" s="32">
        <f>IFERROR(IF(('Inputs (2)'!R32)=0,"",('Inputs (2)'!T32)/('Inputs (2)'!R32)-1),"")</f>
        <v>-0.100297335320398</v>
      </c>
      <c r="U228" s="32">
        <f>IFERROR(IF(('Inputs (2)'!T32)=0,"",('Inputs (2)'!U32)/('Inputs (2)'!T32)-1),"")</f>
        <v>-0.134575324443628</v>
      </c>
      <c r="V228" s="32">
        <f>IFERROR(IF(('Inputs (2)'!U32)=0,"",('Inputs (2)'!V32)/('Inputs (2)'!U32)-1),"")</f>
        <v>0.0471775530946086</v>
      </c>
      <c r="W228" s="32">
        <f>IFERROR(IF(('Inputs (2)'!V32)=0,"",('Inputs (2)'!W32)/('Inputs (2)'!V32)-1),"")</f>
        <v>0.240450868105053</v>
      </c>
      <c r="X228" s="34">
        <f>IFERROR(IF(('Inputs (2)'!S32)=0,"",('Inputs (2)'!X32)/('Inputs (2)'!S32)-1),"")</f>
        <v>0.0114121636193183</v>
      </c>
      <c r="Y228" s="32">
        <f>IFERROR(IF(('Inputs (2)'!W32)=0,"",('Inputs (2)'!Y32)/('Inputs (2)'!W32)-1),"")</f>
        <v>-0.0132733754832194</v>
      </c>
      <c r="Z228" s="32">
        <f>IFERROR(IF(('Inputs (2)'!Y32)=0,"",('Inputs (2)'!Z32)/('Inputs (2)'!Y32)-1),"")</f>
        <v>0.119064054325254</v>
      </c>
      <c r="AA228" s="32">
        <f>IFERROR(IF(('Inputs (2)'!Z32)=0,"",('Inputs (2)'!AA32)/('Inputs (2)'!Z32)-1),"")</f>
        <v>-0.0211605918362351</v>
      </c>
      <c r="AB228" s="32">
        <f>IFERROR(IF(('Inputs (2)'!AA32)=0,"",('Inputs (2)'!AB32)/('Inputs (2)'!AA32)-1),"")</f>
        <v>0.0013110571414181</v>
      </c>
      <c r="AC228" s="34">
        <f>IFERROR(IF(('Inputs (2)'!X32)=0,"",('Inputs (2)'!AC32)/('Inputs (2)'!X32)-1),"")</f>
        <v>0.0822616025181457</v>
      </c>
      <c r="AD228" s="32">
        <f>IFERROR(IF(('Inputs (2)'!AB32)=0,"",('Inputs (2)'!AD32)/('Inputs (2)'!AB32)-1),"")</f>
        <v>-0.158160217752857</v>
      </c>
      <c r="AE228" s="32">
        <f>IFERROR(IF(('Inputs (2)'!AD32)=0,"",('Inputs (2)'!AE32)/('Inputs (2)'!AD32)-1),"")</f>
        <v>-0.0809475997681676</v>
      </c>
      <c r="AF228" s="32">
        <f>IFERROR(IF(('Inputs (2)'!AE32)=0,"",('Inputs (2)'!AF32)/('Inputs (2)'!AE32)-1),"")</f>
        <v>-0.0674984282734478</v>
      </c>
      <c r="AG228" s="32">
        <f>IFERROR(IF(('Inputs (2)'!AF32)=0,"",('Inputs (2)'!AG32)/('Inputs (2)'!AF32)-1),"")</f>
        <v>0.143724615158092</v>
      </c>
      <c r="AH228" s="34">
        <f>IFERROR(IF(('Inputs (2)'!AC32)=0,"",('Inputs (2)'!AH32)/('Inputs (2)'!AC32)-1),"")</f>
        <v>-0.174835075150323</v>
      </c>
      <c r="AI228" s="32">
        <f>IFERROR(IF(('Inputs (2)'!AG32)=0,"",('Inputs (2)'!AI32)/('Inputs (2)'!AG32)-1),"")</f>
        <v>-0.114908636070954</v>
      </c>
      <c r="AJ228" s="32">
        <f>IFERROR(IF(('Inputs (2)'!AI32)=0,"",('Inputs (2)'!AJ32)/('Inputs (2)'!AI32)-1),"")</f>
        <v>-0.0338944024246322</v>
      </c>
      <c r="AK228" s="32">
        <f>IFERROR(IF(('Inputs (2)'!AJ32)=0,"",('Inputs (2)'!AK32)/('Inputs (2)'!AJ32)-1),"")</f>
        <v>-1</v>
      </c>
      <c r="AL228" s="32" t="str">
        <f>IFERROR(IF(('Inputs (2)'!AK32)=0,"",('Inputs (2)'!AL32)/('Inputs (2)'!AK32)-1),"")</f>
        <v/>
      </c>
      <c r="AM228" s="34">
        <f>IFERROR(IF(('Inputs (2)'!AH32)=0,"",('Inputs (2)'!AM32)/('Inputs (2)'!AH32)-1),"")</f>
        <v>-1</v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hidden="1" outlineLevel="1">
      <c r="C229" s="30" t="inlineStr">
        <is>
          <t>Instrumentos de dívida — crescimento % QoQ</t>
        </is>
      </c>
      <c r="D229" s="12" t="inlineStr">
        <is>
          <t>Debt growth QoQ</t>
        </is>
      </c>
      <c r="E229" s="31" t="n"/>
      <c r="F229" s="32">
        <f>IFERROR(IF(('Inputs (2)'!E42)=0,"",('Inputs (2)'!F42)/('Inputs (2)'!E42)-1),"")</f>
        <v>0.0815310636104902</v>
      </c>
      <c r="G229" s="32">
        <f>IFERROR(IF(('Inputs (2)'!F42)=0,"",('Inputs (2)'!G42)/('Inputs (2)'!F42)-1),"")</f>
        <v>-0.0788456017007138</v>
      </c>
      <c r="H229" s="32">
        <f>IFERROR(IF(('Inputs (2)'!G42)=0,"",('Inputs (2)'!H42)/('Inputs (2)'!G42)-1),"")</f>
        <v>0.129417414795681</v>
      </c>
      <c r="I229" s="33" t="n"/>
      <c r="J229" s="32">
        <f>IFERROR(IF(('Inputs (2)'!H42)=0,"",('Inputs (2)'!J42)/('Inputs (2)'!H42)-1),"")</f>
        <v>0.0538322101973716</v>
      </c>
      <c r="K229" s="32">
        <f>IFERROR(IF(('Inputs (2)'!J42)=0,"",('Inputs (2)'!K42)/('Inputs (2)'!J42)-1),"")</f>
        <v>-0.0308526269131101</v>
      </c>
      <c r="L229" s="32">
        <f>IFERROR(IF(('Inputs (2)'!K42)=0,"",('Inputs (2)'!L42)/('Inputs (2)'!K42)-1),"")</f>
        <v>0.140443769341008</v>
      </c>
      <c r="M229" s="32">
        <f>IFERROR(IF(('Inputs (2)'!L42)=0,"",('Inputs (2)'!M42)/('Inputs (2)'!L42)-1),"")</f>
        <v>0.0159796959177447</v>
      </c>
      <c r="N229" s="34">
        <f>IFERROR(IF(('Inputs (2)'!I42)=0,"",('Inputs (2)'!N42)/('Inputs (2)'!I42)-1),"")</f>
        <v>0.18336902445337</v>
      </c>
      <c r="O229" s="32">
        <f>IFERROR(IF(('Inputs (2)'!M42)=0,"",('Inputs (2)'!O42)/('Inputs (2)'!M42)-1),"")</f>
        <v>0.135555832050225</v>
      </c>
      <c r="P229" s="32">
        <f>IFERROR(IF(('Inputs (2)'!O42)=0,"",('Inputs (2)'!P42)/('Inputs (2)'!O42)-1),"")</f>
        <v>0.0967063866626186</v>
      </c>
      <c r="Q229" s="32">
        <f>IFERROR(IF(('Inputs (2)'!P42)=0,"",('Inputs (2)'!Q42)/('Inputs (2)'!P42)-1),"")</f>
        <v>0.079419601969255</v>
      </c>
      <c r="R229" s="32">
        <f>IFERROR(IF(('Inputs (2)'!Q42)=0,"",('Inputs (2)'!R42)/('Inputs (2)'!Q42)-1),"")</f>
        <v>0.0455886892716286</v>
      </c>
      <c r="S229" s="34">
        <f>IFERROR(IF(('Inputs (2)'!N42)=0,"",('Inputs (2)'!S42)/('Inputs (2)'!N42)-1),"")</f>
        <v>0.405562111503388</v>
      </c>
      <c r="T229" s="32">
        <f>IFERROR(IF(('Inputs (2)'!R42)=0,"",('Inputs (2)'!T42)/('Inputs (2)'!R42)-1),"")</f>
        <v>-0.0193603530905161</v>
      </c>
      <c r="U229" s="32">
        <f>IFERROR(IF(('Inputs (2)'!T42)=0,"",('Inputs (2)'!U42)/('Inputs (2)'!T42)-1),"")</f>
        <v>0.101138749993168</v>
      </c>
      <c r="V229" s="32">
        <f>IFERROR(IF(('Inputs (2)'!U42)=0,"",('Inputs (2)'!V42)/('Inputs (2)'!U42)-1),"")</f>
        <v>0.0350539550260567</v>
      </c>
      <c r="W229" s="32">
        <f>IFERROR(IF(('Inputs (2)'!V42)=0,"",('Inputs (2)'!W42)/('Inputs (2)'!V42)-1),"")</f>
        <v>0.0212303475512841</v>
      </c>
      <c r="X229" s="34">
        <f>IFERROR(IF(('Inputs (2)'!S42)=0,"",('Inputs (2)'!X42)/('Inputs (2)'!S42)-1),"")</f>
        <v>0.141400858866954</v>
      </c>
      <c r="Y229" s="32">
        <f>IFERROR(IF(('Inputs (2)'!W42)=0,"",('Inputs (2)'!Y42)/('Inputs (2)'!W42)-1),"")</f>
        <v>0.0746477081851509</v>
      </c>
      <c r="Z229" s="32">
        <f>IFERROR(IF(('Inputs (2)'!Y42)=0,"",('Inputs (2)'!Z42)/('Inputs (2)'!Y42)-1),"")</f>
        <v>0.0142776202155843</v>
      </c>
      <c r="AA229" s="32">
        <f>IFERROR(IF(('Inputs (2)'!Z42)=0,"",('Inputs (2)'!AA42)/('Inputs (2)'!Z42)-1),"")</f>
        <v>0.0276595678645908</v>
      </c>
      <c r="AB229" s="32">
        <f>IFERROR(IF(('Inputs (2)'!AA42)=0,"",('Inputs (2)'!AB42)/('Inputs (2)'!AA42)-1),"")</f>
        <v>0.0435100572508702</v>
      </c>
      <c r="AC229" s="34">
        <f>IFERROR(IF(('Inputs (2)'!X42)=0,"",('Inputs (2)'!AC42)/('Inputs (2)'!X42)-1),"")</f>
        <v>0.16887715035862</v>
      </c>
      <c r="AD229" s="32">
        <f>IFERROR(IF(('Inputs (2)'!AB42)=0,"",('Inputs (2)'!AD42)/('Inputs (2)'!AB42)-1),"")</f>
        <v>0.179018558009937</v>
      </c>
      <c r="AE229" s="32">
        <f>IFERROR(IF(('Inputs (2)'!AD42)=0,"",('Inputs (2)'!AE42)/('Inputs (2)'!AD42)-1),"")</f>
        <v>0.0116920995215204</v>
      </c>
      <c r="AF229" s="32">
        <f>IFERROR(IF(('Inputs (2)'!AE42)=0,"",('Inputs (2)'!AF42)/('Inputs (2)'!AE42)-1),"")</f>
        <v>-0.0174648193769643</v>
      </c>
      <c r="AG229" s="32">
        <f>IFERROR(IF(('Inputs (2)'!AF42)=0,"",('Inputs (2)'!AG42)/('Inputs (2)'!AF42)-1),"")</f>
        <v>0.0171327493671265</v>
      </c>
      <c r="AH229" s="34">
        <f>IFERROR(IF(('Inputs (2)'!AC42)=0,"",('Inputs (2)'!AH42)/('Inputs (2)'!AC42)-1),"")</f>
        <v>0.192050754785248</v>
      </c>
      <c r="AI229" s="32">
        <f>IFERROR(IF(('Inputs (2)'!AG42)=0,"",('Inputs (2)'!AI42)/('Inputs (2)'!AG42)-1),"")</f>
        <v>0.0452635434217992</v>
      </c>
      <c r="AJ229" s="32">
        <f>IFERROR(IF(('Inputs (2)'!AI42)=0,"",('Inputs (2)'!AJ42)/('Inputs (2)'!AI42)-1),"")</f>
        <v>0.0136607682658485</v>
      </c>
      <c r="AK229" s="32">
        <f>IFERROR(IF(('Inputs (2)'!AJ42)=0,"",('Inputs (2)'!AK42)/('Inputs (2)'!AJ42)-1),"")</f>
        <v>-1</v>
      </c>
      <c r="AL229" s="32" t="str">
        <f>IFERROR(IF(('Inputs (2)'!AK42)=0,"",('Inputs (2)'!AL42)/('Inputs (2)'!AK42)-1),"")</f>
        <v/>
      </c>
      <c r="AM229" s="34">
        <f>IFERROR(IF(('Inputs (2)'!AH42)=0,"",('Inputs (2)'!AM42)/('Inputs (2)'!AH42)-1),"")</f>
        <v>-1</v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hidden="1" outlineLevel="1">
      <c r="C230" s="30" t="inlineStr">
        <is>
          <t>Empréstimos e repasses — crescimento % QoQ</t>
        </is>
      </c>
      <c r="D230" s="12" t="inlineStr">
        <is>
          <t>Borrowings growth QoQ</t>
        </is>
      </c>
      <c r="E230" s="31" t="n"/>
      <c r="F230" s="32">
        <f>IFERROR(IF(('Inputs (2)'!E47)=0,"",('Inputs (2)'!F47)/('Inputs (2)'!E47)-1),"")</f>
        <v>-0.0607962350217629</v>
      </c>
      <c r="G230" s="32">
        <f>IFERROR(IF(('Inputs (2)'!F47)=0,"",('Inputs (2)'!G47)/('Inputs (2)'!F47)-1),"")</f>
        <v>-0.0783121825628861</v>
      </c>
      <c r="H230" s="32">
        <f>IFERROR(IF(('Inputs (2)'!G47)=0,"",('Inputs (2)'!H47)/('Inputs (2)'!G47)-1),"")</f>
        <v>-0.136269799806166</v>
      </c>
      <c r="I230" s="33" t="n"/>
      <c r="J230" s="32">
        <f>IFERROR(IF(('Inputs (2)'!H47)=0,"",('Inputs (2)'!J47)/('Inputs (2)'!H47)-1),"")</f>
        <v>0.154230467218484</v>
      </c>
      <c r="K230" s="32">
        <f>IFERROR(IF(('Inputs (2)'!J47)=0,"",('Inputs (2)'!K47)/('Inputs (2)'!J47)-1),"")</f>
        <v>-0.0333199854027183</v>
      </c>
      <c r="L230" s="32">
        <f>IFERROR(IF(('Inputs (2)'!K47)=0,"",('Inputs (2)'!L47)/('Inputs (2)'!K47)-1),"")</f>
        <v>0.177028258207494</v>
      </c>
      <c r="M230" s="32">
        <f>IFERROR(IF(('Inputs (2)'!L47)=0,"",('Inputs (2)'!M47)/('Inputs (2)'!L47)-1),"")</f>
        <v>-0.0112702608125669</v>
      </c>
      <c r="N230" s="34">
        <f>IFERROR(IF(('Inputs (2)'!I47)=0,"",('Inputs (2)'!N47)/('Inputs (2)'!I47)-1),"")</f>
        <v>0.298493441680585</v>
      </c>
      <c r="O230" s="32">
        <f>IFERROR(IF(('Inputs (2)'!M47)=0,"",('Inputs (2)'!O47)/('Inputs (2)'!M47)-1),"")</f>
        <v>-0.115997737385303</v>
      </c>
      <c r="P230" s="32">
        <f>IFERROR(IF(('Inputs (2)'!O47)=0,"",('Inputs (2)'!P47)/('Inputs (2)'!O47)-1),"")</f>
        <v>0.114519084795826</v>
      </c>
      <c r="Q230" s="32">
        <f>IFERROR(IF(('Inputs (2)'!P47)=0,"",('Inputs (2)'!Q47)/('Inputs (2)'!P47)-1),"")</f>
        <v>-0.0493707532374538</v>
      </c>
      <c r="R230" s="32">
        <f>IFERROR(IF(('Inputs (2)'!Q47)=0,"",('Inputs (2)'!R47)/('Inputs (2)'!Q47)-1),"")</f>
        <v>-0.0562160505278879</v>
      </c>
      <c r="S230" s="34">
        <f>IFERROR(IF(('Inputs (2)'!N47)=0,"",('Inputs (2)'!S47)/('Inputs (2)'!N47)-1),"")</f>
        <v>-0.116056218363415</v>
      </c>
      <c r="T230" s="32">
        <f>IFERROR(IF(('Inputs (2)'!R47)=0,"",('Inputs (2)'!T47)/('Inputs (2)'!R47)-1),"")</f>
        <v>-0.0366993357353022</v>
      </c>
      <c r="U230" s="32">
        <f>IFERROR(IF(('Inputs (2)'!T47)=0,"",('Inputs (2)'!U47)/('Inputs (2)'!T47)-1),"")</f>
        <v>0.124661804715091</v>
      </c>
      <c r="V230" s="32">
        <f>IFERROR(IF(('Inputs (2)'!U47)=0,"",('Inputs (2)'!V47)/('Inputs (2)'!U47)-1),"")</f>
        <v>0.0442383736207725</v>
      </c>
      <c r="W230" s="32">
        <f>IFERROR(IF(('Inputs (2)'!V47)=0,"",('Inputs (2)'!W47)/('Inputs (2)'!V47)-1),"")</f>
        <v>-0.10269431102929</v>
      </c>
      <c r="X230" s="34">
        <f>IFERROR(IF(('Inputs (2)'!S47)=0,"",('Inputs (2)'!X47)/('Inputs (2)'!S47)-1),"")</f>
        <v>0.0151351728061986</v>
      </c>
      <c r="Y230" s="32">
        <f>IFERROR(IF(('Inputs (2)'!W47)=0,"",('Inputs (2)'!Y47)/('Inputs (2)'!W47)-1),"")</f>
        <v>-0.117267799945398</v>
      </c>
      <c r="Z230" s="32">
        <f>IFERROR(IF(('Inputs (2)'!Y47)=0,"",('Inputs (2)'!Z47)/('Inputs (2)'!Y47)-1),"")</f>
        <v>0.161374044142464</v>
      </c>
      <c r="AA230" s="32">
        <f>IFERROR(IF(('Inputs (2)'!Z47)=0,"",('Inputs (2)'!AA47)/('Inputs (2)'!Z47)-1),"")</f>
        <v>0.157753012164795</v>
      </c>
      <c r="AB230" s="32">
        <f>IFERROR(IF(('Inputs (2)'!AA47)=0,"",('Inputs (2)'!AB47)/('Inputs (2)'!AA47)-1),"")</f>
        <v>0.111093265677394</v>
      </c>
      <c r="AC230" s="34">
        <f>IFERROR(IF(('Inputs (2)'!X47)=0,"",('Inputs (2)'!AC47)/('Inputs (2)'!X47)-1),"")</f>
        <v>0.318765325120374</v>
      </c>
      <c r="AD230" s="32">
        <f>IFERROR(IF(('Inputs (2)'!AB47)=0,"",('Inputs (2)'!AD47)/('Inputs (2)'!AB47)-1),"")</f>
        <v>-0.130661878653738</v>
      </c>
      <c r="AE230" s="32">
        <f>IFERROR(IF(('Inputs (2)'!AD47)=0,"",('Inputs (2)'!AE47)/('Inputs (2)'!AD47)-1),"")</f>
        <v>0.0397137881861298</v>
      </c>
      <c r="AF230" s="32">
        <f>IFERROR(IF(('Inputs (2)'!AE47)=0,"",('Inputs (2)'!AF47)/('Inputs (2)'!AE47)-1),"")</f>
        <v>-0.0386557141262288</v>
      </c>
      <c r="AG230" s="32">
        <f>IFERROR(IF(('Inputs (2)'!AF47)=0,"",('Inputs (2)'!AG47)/('Inputs (2)'!AF47)-1),"")</f>
        <v>0.166286819837541</v>
      </c>
      <c r="AH230" s="34">
        <f>IFERROR(IF(('Inputs (2)'!AC47)=0,"",('Inputs (2)'!AH47)/('Inputs (2)'!AC47)-1),"")</f>
        <v>0.013413871711899</v>
      </c>
      <c r="AI230" s="32">
        <f>IFERROR(IF(('Inputs (2)'!AG47)=0,"",('Inputs (2)'!AI47)/('Inputs (2)'!AG47)-1),"")</f>
        <v>0.0528455733652844</v>
      </c>
      <c r="AJ230" s="32">
        <f>IFERROR(IF(('Inputs (2)'!AI47)=0,"",('Inputs (2)'!AJ47)/('Inputs (2)'!AI47)-1),"")</f>
        <v>0.0413800939454132</v>
      </c>
      <c r="AK230" s="32">
        <f>IFERROR(IF(('Inputs (2)'!AJ47)=0,"",('Inputs (2)'!AK47)/('Inputs (2)'!AJ47)-1),"")</f>
        <v>-1</v>
      </c>
      <c r="AL230" s="32" t="str">
        <f>IFERROR(IF(('Inputs (2)'!AK47)=0,"",('Inputs (2)'!AL47)/('Inputs (2)'!AK47)-1),"")</f>
        <v/>
      </c>
      <c r="AM230" s="34">
        <f>IFERROR(IF(('Inputs (2)'!AH47)=0,"",('Inputs (2)'!AM47)/('Inputs (2)'!AH47)-1),"")</f>
        <v>-1</v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hidden="1" outlineLevel="1">
      <c r="C231" s="30" t="inlineStr">
        <is>
          <t>Custo médio do funding (% a.a.)</t>
        </is>
      </c>
      <c r="D231" s="12" t="inlineStr">
        <is>
          <t>Cost of funding</t>
        </is>
      </c>
      <c r="E231" s="32">
        <f>IFERROR(IF(OR(ABS(('Inputs (2)'!E32+'Inputs (2)'!E38+'Inputs (2)'!E42+'Inputs (2)'!E47))=0,('Inputs (2)'!E75)=0),"",ABS('Inputs (2)'!E75)*4/ABS(('Inputs (2)'!E32+'Inputs (2)'!E38+'Inputs (2)'!E42+'Inputs (2)'!E47))),"")</f>
        <v>0.540140691043051</v>
      </c>
      <c r="F231" s="32">
        <f>IFERROR(IF(OR(ABS(AVERAGE(('Inputs (2)'!E32+'Inputs (2)'!E38+'Inputs (2)'!E42+'Inputs (2)'!E47),('Inputs (2)'!F32+'Inputs (2)'!F38+'Inputs (2)'!F42+'Inputs (2)'!F47)))=0,('Inputs (2)'!F75)=0),"",ABS('Inputs (2)'!F75)*4/ABS(AVERAGE(('Inputs (2)'!E32+'Inputs (2)'!E38+'Inputs (2)'!E42+'Inputs (2)'!E47),('Inputs (2)'!F32+'Inputs (2)'!F38+'Inputs (2)'!F42+'Inputs (2)'!F47)))),"")</f>
        <v>0.201084368350721</v>
      </c>
      <c r="G231" s="32">
        <f>IFERROR(IF(OR(ABS(AVERAGE(('Inputs (2)'!F32+'Inputs (2)'!F38+'Inputs (2)'!F42+'Inputs (2)'!F47),('Inputs (2)'!G32+'Inputs (2)'!G38+'Inputs (2)'!G42+'Inputs (2)'!G47)))=0,('Inputs (2)'!G75)=0),"",ABS('Inputs (2)'!G75)*4/ABS(AVERAGE(('Inputs (2)'!F32+'Inputs (2)'!F38+'Inputs (2)'!F42+'Inputs (2)'!F47),('Inputs (2)'!G32+'Inputs (2)'!G38+'Inputs (2)'!G42+'Inputs (2)'!G47)))),"")</f>
        <v>0.134502959593836</v>
      </c>
      <c r="H231" s="32">
        <f>IFERROR(IF(OR(ABS(AVERAGE(('Inputs (2)'!G32+'Inputs (2)'!G38+'Inputs (2)'!G42+'Inputs (2)'!G47),('Inputs (2)'!H32+'Inputs (2)'!H38+'Inputs (2)'!H42+'Inputs (2)'!H47)))=0,('Inputs (2)'!H75)=0),"",ABS('Inputs (2)'!H75)*4/ABS(AVERAGE(('Inputs (2)'!G32+'Inputs (2)'!G38+'Inputs (2)'!G42+'Inputs (2)'!G47),('Inputs (2)'!H32+'Inputs (2)'!H38+'Inputs (2)'!H42+'Inputs (2)'!H47)))),"")</f>
        <v>0.105599094029388</v>
      </c>
      <c r="I231" s="34">
        <f>IFERROR(IF(OR(ABS(('Inputs (2)'!I32+'Inputs (2)'!I38+'Inputs (2)'!I42+'Inputs (2)'!I47))=0,('Inputs (2)'!I75)=0),"",ABS('Inputs (2)'!I75)/ABS(('Inputs (2)'!I32+'Inputs (2)'!I38+'Inputs (2)'!I42+'Inputs (2)'!I47))),"")</f>
        <v>0.178076354331525</v>
      </c>
      <c r="J231" s="32">
        <f>IFERROR(IF(OR(ABS(AVERAGE(('Inputs (2)'!H32+'Inputs (2)'!H38+'Inputs (2)'!H42+'Inputs (2)'!H47),('Inputs (2)'!J32+'Inputs (2)'!J38+'Inputs (2)'!J42+'Inputs (2)'!J47)))=0,('Inputs (2)'!J75)=0),"",ABS('Inputs (2)'!J75)*4/ABS(AVERAGE(('Inputs (2)'!H32+'Inputs (2)'!H38+'Inputs (2)'!H42+'Inputs (2)'!H47),('Inputs (2)'!J32+'Inputs (2)'!J38+'Inputs (2)'!J42+'Inputs (2)'!J47)))),"")</f>
        <v>0.220490665247575</v>
      </c>
      <c r="K231" s="32">
        <f>IFERROR(IF(OR(ABS(AVERAGE(('Inputs (2)'!J32+'Inputs (2)'!J38+'Inputs (2)'!J42+'Inputs (2)'!J47),('Inputs (2)'!K32+'Inputs (2)'!K38+'Inputs (2)'!K42+'Inputs (2)'!K47)))=0,('Inputs (2)'!K75)=0),"",ABS('Inputs (2)'!K75)*4/ABS(AVERAGE(('Inputs (2)'!J32+'Inputs (2)'!J38+'Inputs (2)'!J42+'Inputs (2)'!J47),('Inputs (2)'!K32+'Inputs (2)'!K38+'Inputs (2)'!K42+'Inputs (2)'!K47)))),"")</f>
        <v>0.203720803658603</v>
      </c>
      <c r="L231" s="32">
        <f>IFERROR(IF(OR(ABS(AVERAGE(('Inputs (2)'!K32+'Inputs (2)'!K38+'Inputs (2)'!K42+'Inputs (2)'!K47),('Inputs (2)'!L32+'Inputs (2)'!L38+'Inputs (2)'!L42+'Inputs (2)'!L47)))=0,('Inputs (2)'!L75)=0),"",ABS('Inputs (2)'!L75)*4/ABS(AVERAGE(('Inputs (2)'!K32+'Inputs (2)'!K38+'Inputs (2)'!K42+'Inputs (2)'!K47),('Inputs (2)'!L32+'Inputs (2)'!L38+'Inputs (2)'!L42+'Inputs (2)'!L47)))),"")</f>
        <v>0.21046128718591</v>
      </c>
      <c r="M231" s="32">
        <f>IFERROR(IF(OR(ABS(AVERAGE(('Inputs (2)'!L32+'Inputs (2)'!L38+'Inputs (2)'!L42+'Inputs (2)'!L47),('Inputs (2)'!M32+'Inputs (2)'!M38+'Inputs (2)'!M42+'Inputs (2)'!M47)))=0,('Inputs (2)'!M75)=0),"",ABS('Inputs (2)'!M75)*4/ABS(AVERAGE(('Inputs (2)'!L32+'Inputs (2)'!L38+'Inputs (2)'!L42+'Inputs (2)'!L47),('Inputs (2)'!M32+'Inputs (2)'!M38+'Inputs (2)'!M42+'Inputs (2)'!M47)))),"")</f>
        <v>0.130701486523752</v>
      </c>
      <c r="N231" s="34">
        <f>IFERROR(IF(OR(ABS(AVERAGE(('Inputs (2)'!I32+'Inputs (2)'!I38+'Inputs (2)'!I42+'Inputs (2)'!I47),('Inputs (2)'!N32+'Inputs (2)'!N38+'Inputs (2)'!N42+'Inputs (2)'!N47)))=0,('Inputs (2)'!N75)=0),"",ABS('Inputs (2)'!N75)/ABS(AVERAGE(('Inputs (2)'!I32+'Inputs (2)'!I38+'Inputs (2)'!I42+'Inputs (2)'!I47),('Inputs (2)'!N32+'Inputs (2)'!N38+'Inputs (2)'!N42+'Inputs (2)'!N47)))),"")</f>
        <v>0.0914668410210103</v>
      </c>
      <c r="O231" s="32">
        <f>IFERROR(IF(OR(ABS(AVERAGE(('Inputs (2)'!M32+'Inputs (2)'!M38+'Inputs (2)'!M42+'Inputs (2)'!M47),('Inputs (2)'!O32+'Inputs (2)'!O38+'Inputs (2)'!O42+'Inputs (2)'!O47)))=0,('Inputs (2)'!O75)=0),"",ABS('Inputs (2)'!O75)*4/ABS(AVERAGE(('Inputs (2)'!M32+'Inputs (2)'!M38+'Inputs (2)'!M42+'Inputs (2)'!M47),('Inputs (2)'!O32+'Inputs (2)'!O38+'Inputs (2)'!O42+'Inputs (2)'!O47)))),"")</f>
        <v>0.197051211220403</v>
      </c>
      <c r="P231" s="32">
        <f>IFERROR(IF(OR(ABS(AVERAGE(('Inputs (2)'!O32+'Inputs (2)'!O38+'Inputs (2)'!O42+'Inputs (2)'!O47),('Inputs (2)'!P32+'Inputs (2)'!P38+'Inputs (2)'!P42+'Inputs (2)'!P47)))=0,('Inputs (2)'!P75)=0),"",ABS('Inputs (2)'!P75)*4/ABS(AVERAGE(('Inputs (2)'!O32+'Inputs (2)'!O38+'Inputs (2)'!O42+'Inputs (2)'!O47),('Inputs (2)'!P32+'Inputs (2)'!P38+'Inputs (2)'!P42+'Inputs (2)'!P47)))),"")</f>
        <v>0.235933756167499</v>
      </c>
      <c r="Q231" s="32">
        <f>IFERROR(IF(OR(ABS(AVERAGE(('Inputs (2)'!P32+'Inputs (2)'!P38+'Inputs (2)'!P42+'Inputs (2)'!P47),('Inputs (2)'!Q32+'Inputs (2)'!Q38+'Inputs (2)'!Q42+'Inputs (2)'!Q47)))=0,('Inputs (2)'!Q75)=0),"",ABS('Inputs (2)'!Q75)*4/ABS(AVERAGE(('Inputs (2)'!P32+'Inputs (2)'!P38+'Inputs (2)'!P42+'Inputs (2)'!P47),('Inputs (2)'!Q32+'Inputs (2)'!Q38+'Inputs (2)'!Q42+'Inputs (2)'!Q47)))),"")</f>
        <v>0.149905199005299</v>
      </c>
      <c r="R231" s="32">
        <f>IFERROR(IF(OR(ABS(AVERAGE(('Inputs (2)'!Q32+'Inputs (2)'!Q38+'Inputs (2)'!Q42+'Inputs (2)'!Q47),('Inputs (2)'!R32+'Inputs (2)'!R38+'Inputs (2)'!R42+'Inputs (2)'!R47)))=0,('Inputs (2)'!R75)=0),"",ABS('Inputs (2)'!R75)*4/ABS(AVERAGE(('Inputs (2)'!Q32+'Inputs (2)'!Q38+'Inputs (2)'!Q42+'Inputs (2)'!Q47),('Inputs (2)'!R32+'Inputs (2)'!R38+'Inputs (2)'!R42+'Inputs (2)'!R47)))),"")</f>
        <v>0.0519232603397619</v>
      </c>
      <c r="S231" s="34">
        <f>IFERROR(IF(OR(ABS(AVERAGE(('Inputs (2)'!N32+'Inputs (2)'!N38+'Inputs (2)'!N42+'Inputs (2)'!N47),('Inputs (2)'!S32+'Inputs (2)'!S38+'Inputs (2)'!S42+'Inputs (2)'!S47)))=0,('Inputs (2)'!S75)=0),"",ABS('Inputs (2)'!S75)/ABS(AVERAGE(('Inputs (2)'!N32+'Inputs (2)'!N38+'Inputs (2)'!N42+'Inputs (2)'!N47),('Inputs (2)'!S32+'Inputs (2)'!S38+'Inputs (2)'!S42+'Inputs (2)'!S47)))),"")</f>
        <v>0.0650430048219741</v>
      </c>
      <c r="T231" s="32">
        <f>IFERROR(IF(OR(ABS(AVERAGE(('Inputs (2)'!R32+'Inputs (2)'!R38+'Inputs (2)'!R42+'Inputs (2)'!R47),('Inputs (2)'!T32+'Inputs (2)'!T38+'Inputs (2)'!T42+'Inputs (2)'!T47)))=0,('Inputs (2)'!T75)=0),"",ABS('Inputs (2)'!T75)*4/ABS(AVERAGE(('Inputs (2)'!R32+'Inputs (2)'!R38+'Inputs (2)'!R42+'Inputs (2)'!R47),('Inputs (2)'!T32+'Inputs (2)'!T38+'Inputs (2)'!T42+'Inputs (2)'!T47)))),"")</f>
        <v>0.0865071476996482</v>
      </c>
      <c r="U231" s="32">
        <f>IFERROR(IF(OR(ABS(AVERAGE(('Inputs (2)'!T32+'Inputs (2)'!T38+'Inputs (2)'!T42+'Inputs (2)'!T47),('Inputs (2)'!U32+'Inputs (2)'!U38+'Inputs (2)'!U42+'Inputs (2)'!U47)))=0,('Inputs (2)'!U75)=0),"",ABS('Inputs (2)'!U75)*4/ABS(AVERAGE(('Inputs (2)'!T32+'Inputs (2)'!T38+'Inputs (2)'!T42+'Inputs (2)'!T47),('Inputs (2)'!U32+'Inputs (2)'!U38+'Inputs (2)'!U42+'Inputs (2)'!U47)))),"")</f>
        <v>0.0464883641016534</v>
      </c>
      <c r="V231" s="32">
        <f>IFERROR(IF(OR(ABS(AVERAGE(('Inputs (2)'!U32+'Inputs (2)'!U38+'Inputs (2)'!U42+'Inputs (2)'!U47),('Inputs (2)'!V32+'Inputs (2)'!V38+'Inputs (2)'!V42+'Inputs (2)'!V47)))=0,('Inputs (2)'!V75)=0),"",ABS('Inputs (2)'!V75)*4/ABS(AVERAGE(('Inputs (2)'!U32+'Inputs (2)'!U38+'Inputs (2)'!U42+'Inputs (2)'!U47),('Inputs (2)'!V32+'Inputs (2)'!V38+'Inputs (2)'!V42+'Inputs (2)'!V47)))),"")</f>
        <v>0.182703716084909</v>
      </c>
      <c r="W231" s="32">
        <f>IFERROR(IF(OR(ABS(AVERAGE(('Inputs (2)'!V32+'Inputs (2)'!V38+'Inputs (2)'!V42+'Inputs (2)'!V47),('Inputs (2)'!W32+'Inputs (2)'!W38+'Inputs (2)'!W42+'Inputs (2)'!W47)))=0,('Inputs (2)'!W75)=0),"",ABS('Inputs (2)'!W75)*4/ABS(AVERAGE(('Inputs (2)'!V32+'Inputs (2)'!V38+'Inputs (2)'!V42+'Inputs (2)'!V47),('Inputs (2)'!W32+'Inputs (2)'!W38+'Inputs (2)'!W42+'Inputs (2)'!W47)))),"")</f>
        <v>0.0592730825225209</v>
      </c>
      <c r="X231" s="34">
        <f>IFERROR(IF(OR(ABS(AVERAGE(('Inputs (2)'!S32+'Inputs (2)'!S38+'Inputs (2)'!S42+'Inputs (2)'!S47),('Inputs (2)'!X32+'Inputs (2)'!X38+'Inputs (2)'!X42+'Inputs (2)'!X47)))=0,('Inputs (2)'!X75)=0),"",ABS('Inputs (2)'!X75)/ABS(AVERAGE(('Inputs (2)'!S32+'Inputs (2)'!S38+'Inputs (2)'!S42+'Inputs (2)'!S47),('Inputs (2)'!X32+'Inputs (2)'!X38+'Inputs (2)'!X42+'Inputs (2)'!X47)))),"")</f>
        <v>0.0915236757962218</v>
      </c>
      <c r="Y231" s="32">
        <f>IFERROR(IF(OR(ABS(AVERAGE(('Inputs (2)'!W32+'Inputs (2)'!W38+'Inputs (2)'!W42+'Inputs (2)'!W47),('Inputs (2)'!Y32+'Inputs (2)'!Y38+'Inputs (2)'!Y42+'Inputs (2)'!Y47)))=0,('Inputs (2)'!Y75)=0),"",ABS('Inputs (2)'!Y75)*4/ABS(AVERAGE(('Inputs (2)'!W32+'Inputs (2)'!W38+'Inputs (2)'!W42+'Inputs (2)'!W47),('Inputs (2)'!Y32+'Inputs (2)'!Y38+'Inputs (2)'!Y42+'Inputs (2)'!Y47)))),"")</f>
        <v>0.153033475530373</v>
      </c>
      <c r="Z231" s="32">
        <f>IFERROR(IF(OR(ABS(AVERAGE(('Inputs (2)'!Y32+'Inputs (2)'!Y38+'Inputs (2)'!Y42+'Inputs (2)'!Y47),('Inputs (2)'!Z32+'Inputs (2)'!Z38+'Inputs (2)'!Z42+'Inputs (2)'!Z47)))=0,('Inputs (2)'!Z75)=0),"",ABS('Inputs (2)'!Z75)*4/ABS(AVERAGE(('Inputs (2)'!Y32+'Inputs (2)'!Y38+'Inputs (2)'!Y42+'Inputs (2)'!Y47),('Inputs (2)'!Z32+'Inputs (2)'!Z38+'Inputs (2)'!Z42+'Inputs (2)'!Z47)))),"")</f>
        <v>0.232780750443932</v>
      </c>
      <c r="AA231" s="32">
        <f>IFERROR(IF(OR(ABS(AVERAGE(('Inputs (2)'!Z32+'Inputs (2)'!Z38+'Inputs (2)'!Z42+'Inputs (2)'!Z47),('Inputs (2)'!AA32+'Inputs (2)'!AA38+'Inputs (2)'!AA42+'Inputs (2)'!AA47)))=0,('Inputs (2)'!AA75)=0),"",ABS('Inputs (2)'!AA75)*4/ABS(AVERAGE(('Inputs (2)'!Z32+'Inputs (2)'!Z38+'Inputs (2)'!Z42+'Inputs (2)'!Z47),('Inputs (2)'!AA32+'Inputs (2)'!AA38+'Inputs (2)'!AA42+'Inputs (2)'!AA47)))),"")</f>
        <v>0.0715863004799655</v>
      </c>
      <c r="AB231" s="32">
        <f>IFERROR(IF(OR(ABS(AVERAGE(('Inputs (2)'!AA32+'Inputs (2)'!AA38+'Inputs (2)'!AA42+'Inputs (2)'!AA47),('Inputs (2)'!AB32+'Inputs (2)'!AB38+'Inputs (2)'!AB42+'Inputs (2)'!AB47)))=0,('Inputs (2)'!AB75)=0),"",ABS('Inputs (2)'!AB75)*4/ABS(AVERAGE(('Inputs (2)'!AA32+'Inputs (2)'!AA38+'Inputs (2)'!AA42+'Inputs (2)'!AA47),('Inputs (2)'!AB32+'Inputs (2)'!AB38+'Inputs (2)'!AB42+'Inputs (2)'!AB47)))),"")</f>
        <v>0.267168370438677</v>
      </c>
      <c r="AC231" s="34">
        <f>IFERROR(IF(OR(ABS(AVERAGE(('Inputs (2)'!X32+'Inputs (2)'!X38+'Inputs (2)'!X42+'Inputs (2)'!X47),('Inputs (2)'!AC32+'Inputs (2)'!AC38+'Inputs (2)'!AC42+'Inputs (2)'!AC47)))=0,('Inputs (2)'!AC75)=0),"",ABS('Inputs (2)'!AC75)/ABS(AVERAGE(('Inputs (2)'!X32+'Inputs (2)'!X38+'Inputs (2)'!X42+'Inputs (2)'!X47),('Inputs (2)'!AC32+'Inputs (2)'!AC38+'Inputs (2)'!AC42+'Inputs (2)'!AC47)))),"")</f>
        <v>0.179633997285196</v>
      </c>
      <c r="AD231" s="32">
        <f>IFERROR(IF(OR(ABS(AVERAGE(('Inputs (2)'!AB32+'Inputs (2)'!AB38+'Inputs (2)'!AB42+'Inputs (2)'!AB47),('Inputs (2)'!AD32+'Inputs (2)'!AD38+'Inputs (2)'!AD42+'Inputs (2)'!AD47)))=0,('Inputs (2)'!AD75)=0),"",ABS('Inputs (2)'!AD75)*4/ABS(AVERAGE(('Inputs (2)'!AB32+'Inputs (2)'!AB38+'Inputs (2)'!AB42+'Inputs (2)'!AB47),('Inputs (2)'!AD32+'Inputs (2)'!AD38+'Inputs (2)'!AD42+'Inputs (2)'!AD47)))),"")</f>
        <v>0.0970719749742587</v>
      </c>
      <c r="AE231" s="32">
        <f>IFERROR(IF(OR(ABS(AVERAGE(('Inputs (2)'!AD32+'Inputs (2)'!AD38+'Inputs (2)'!AD42+'Inputs (2)'!AD47),('Inputs (2)'!AE32+'Inputs (2)'!AE38+'Inputs (2)'!AE42+'Inputs (2)'!AE47)))=0,('Inputs (2)'!AE75)=0),"",ABS('Inputs (2)'!AE75)*4/ABS(AVERAGE(('Inputs (2)'!AD32+'Inputs (2)'!AD38+'Inputs (2)'!AD42+'Inputs (2)'!AD47),('Inputs (2)'!AE32+'Inputs (2)'!AE38+'Inputs (2)'!AE42+'Inputs (2)'!AE47)))),"")</f>
        <v>0.101170710711482</v>
      </c>
      <c r="AF231" s="32">
        <f>IFERROR(IF(OR(ABS(AVERAGE(('Inputs (2)'!AE32+'Inputs (2)'!AE38+'Inputs (2)'!AE42+'Inputs (2)'!AE47),('Inputs (2)'!AF32+'Inputs (2)'!AF38+'Inputs (2)'!AF42+'Inputs (2)'!AF47)))=0,('Inputs (2)'!AF75)=0),"",ABS('Inputs (2)'!AF75)*4/ABS(AVERAGE(('Inputs (2)'!AE32+'Inputs (2)'!AE38+'Inputs (2)'!AE42+'Inputs (2)'!AE47),('Inputs (2)'!AF32+'Inputs (2)'!AF38+'Inputs (2)'!AF42+'Inputs (2)'!AF47)))),"")</f>
        <v>0.11707289202459</v>
      </c>
      <c r="AG231" s="32">
        <f>IFERROR(IF(OR(ABS(AVERAGE(('Inputs (2)'!AF32+'Inputs (2)'!AF38+'Inputs (2)'!AF42+'Inputs (2)'!AF47),('Inputs (2)'!AG32+'Inputs (2)'!AG38+'Inputs (2)'!AG42+'Inputs (2)'!AG47)))=0,('Inputs (2)'!AG75)=0),"",ABS('Inputs (2)'!AG75)*4/ABS(AVERAGE(('Inputs (2)'!AF32+'Inputs (2)'!AF38+'Inputs (2)'!AF42+'Inputs (2)'!AF47),('Inputs (2)'!AG32+'Inputs (2)'!AG38+'Inputs (2)'!AG42+'Inputs (2)'!AG47)))),"")</f>
        <v>0.118621182196076</v>
      </c>
      <c r="AH231" s="34">
        <f>IFERROR(IF(OR(ABS(AVERAGE(('Inputs (2)'!AC32+'Inputs (2)'!AC38+'Inputs (2)'!AC42+'Inputs (2)'!AC47),('Inputs (2)'!AH32+'Inputs (2)'!AH38+'Inputs (2)'!AH42+'Inputs (2)'!AH47)))=0,('Inputs (2)'!AH75)=0),"",ABS('Inputs (2)'!AH75)/ABS(AVERAGE(('Inputs (2)'!AC32+'Inputs (2)'!AC38+'Inputs (2)'!AC42+'Inputs (2)'!AC47),('Inputs (2)'!AH32+'Inputs (2)'!AH38+'Inputs (2)'!AH42+'Inputs (2)'!AH47)))),"")</f>
        <v>0.10639310701722</v>
      </c>
      <c r="AI231" s="32">
        <f>IFERROR(IF(OR(ABS(AVERAGE(('Inputs (2)'!AG32+'Inputs (2)'!AG38+'Inputs (2)'!AG42+'Inputs (2)'!AG47),('Inputs (2)'!AI32+'Inputs (2)'!AI38+'Inputs (2)'!AI42+'Inputs (2)'!AI47)))=0,('Inputs (2)'!AI75)=0),"",ABS('Inputs (2)'!AI75)*4/ABS(AVERAGE(('Inputs (2)'!AG32+'Inputs (2)'!AG38+'Inputs (2)'!AG42+'Inputs (2)'!AG47),('Inputs (2)'!AI32+'Inputs (2)'!AI38+'Inputs (2)'!AI42+'Inputs (2)'!AI47)))),"")</f>
        <v>0.10836873269082</v>
      </c>
      <c r="AJ231" s="32">
        <f>IFERROR(IF(OR(ABS(AVERAGE(('Inputs (2)'!AI32+'Inputs (2)'!AI38+'Inputs (2)'!AI42+'Inputs (2)'!AI47),('Inputs (2)'!AJ32+'Inputs (2)'!AJ38+'Inputs (2)'!AJ42+'Inputs (2)'!AJ47)))=0,('Inputs (2)'!AJ75)=0),"",ABS('Inputs (2)'!AJ75)*4/ABS(AVERAGE(('Inputs (2)'!AI32+'Inputs (2)'!AI38+'Inputs (2)'!AI42+'Inputs (2)'!AI47),('Inputs (2)'!AJ32+'Inputs (2)'!AJ38+'Inputs (2)'!AJ42+'Inputs (2)'!AJ47)))),"")</f>
        <v>0.108040454810443</v>
      </c>
      <c r="AK231" s="32" t="str">
        <f>IFERROR(IF(OR(ABS(AVERAGE(('Inputs (2)'!AJ32+'Inputs (2)'!AJ38+'Inputs (2)'!AJ42+'Inputs (2)'!AJ47),('Inputs (2)'!AK32+'Inputs (2)'!AK38+'Inputs (2)'!AK42+'Inputs (2)'!AK47)))=0,('Inputs (2)'!AK75)=0),"",ABS('Inputs (2)'!AK75)*4/ABS(AVERAGE(('Inputs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(2)'!AL75)=0),"",ABS('Inputs (2)'!AL75)*4/ABS(AVERAGE(('Inputs (2)'!AK32+'Inputs (2)'!AK38+'Inputs (2)'!AK42+'Inputs (2)'!AK47),('Inputs (2)'!AL32+'Inputs (2)'!AL38+'Inputs (2)'!AL42+'Inputs (2)'!AL47)))),"")</f>
        <v/>
      </c>
      <c r="AM231" s="34">
        <f>IFERROR(IF(OR(ABS(AVERAGE(('Inputs (2)'!AH32+'Inputs (2)'!AH38+'Inputs (2)'!AH42+'Inputs (2)'!AH47),('Inputs (2)'!AM32+'Inputs (2)'!AM38+'Inputs (2)'!AM42+'Inputs (2)'!AM47)))=0,('Inputs (2)'!AM75)=0),"",ABS('Inputs (2)'!AM75)/ABS(AVERAGE(('Inputs (2)'!AH32+'Inputs (2)'!AH38+'Inputs (2)'!AH42+'Inputs (2)'!AH47),('Inputs (2)'!AM32+'Inputs (2)'!AM38+'Inputs (2)'!AM42+'Inputs (2)'!AM47)))),"")</f>
        <v>0.110120551345708</v>
      </c>
      <c r="AN231" s="32" t="str">
        <f>IFERROR(IF(OR(ABS(AVERAGE(('Inputs (2)'!AL32+'Inputs (2)'!AL38+'Inputs (2)'!AL42+'Inputs (2)'!AL47),('Inputs (2)'!AN32+'Inputs (2)'!AN38+'Inputs (2)'!AN42+'Inputs (2)'!AN47)))=0,('Inputs (2)'!AN75)=0),"",ABS('Inputs (2)'!AN75)*4/ABS(AVERAGE(('Inputs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(2)'!AO75)=0),"",ABS('Inputs (2)'!AO75)*4/ABS(AVERAGE(('Inputs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(2)'!AP75)=0),"",ABS('Inputs (2)'!AP75)*4/ABS(AVERAGE(('Inputs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(2)'!AQ75)=0),"",ABS('Inputs (2)'!AQ75)*4/ABS(AVERAGE(('Inputs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(2)'!AR75)=0),"",ABS('Inputs (2)'!AR75)/ABS(AVERAGE(('Inputs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(2)'!AS75)=0),"",ABS('Inputs (2)'!AS75)*4/ABS(AVERAGE(('Inputs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(2)'!AT75)=0),"",ABS('Inputs (2)'!AT75)*4/ABS(AVERAGE(('Inputs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(2)'!AU75)=0),"",ABS('Inputs (2)'!AU75)*4/ABS(AVERAGE(('Inputs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(2)'!AV75)=0),"",ABS('Inputs (2)'!AV75)*4/ABS(AVERAGE(('Inputs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(2)'!AW75)=0),"",ABS('Inputs (2)'!AW75)/ABS(AVERAGE(('Inputs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(2)'!AX75)=0),"",ABS('Inputs (2)'!AX75)*4/ABS(AVERAGE(('Inputs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(2)'!AY75)=0),"",ABS('Inputs (2)'!AY75)*4/ABS(AVERAGE(('Inputs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(2)'!AZ75)=0),"",ABS('Inputs (2)'!AZ75)*4/ABS(AVERAGE(('Inputs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(2)'!BA75)=0),"",ABS('Inputs (2)'!BA75)*4/ABS(AVERAGE(('Inputs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(2)'!BB75)=0),"",ABS('Inputs (2)'!BB75)/ABS(AVERAGE(('Inputs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(2)'!BC75)=0),"",ABS('Inputs (2)'!BC75)*4/ABS(AVERAGE(('Inputs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(2)'!BD75)=0),"",ABS('Inputs (2)'!BD75)*4/ABS(AVERAGE(('Inputs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(2)'!BE75)=0),"",ABS('Inputs (2)'!BE75)*4/ABS(AVERAGE(('Inputs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(2)'!BF75)=0),"",ABS('Inputs (2)'!BF75)*4/ABS(AVERAGE(('Inputs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(2)'!BG75)=0),"",ABS('Inputs (2)'!BG75)/ABS(AVERAGE(('Inputs (2)'!BB32+'Inputs (2)'!BB38+'Inputs (2)'!BB42+'Inputs (2)'!BB47),('Inputs (2)'!BG32+'Inputs (2)'!BG38+'Inputs (2)'!BG42+'Inputs (2)'!BG47)))),"")</f>
        <v/>
      </c>
    </row>
    <row r="232" hidden="1" outlineLevel="1">
      <c r="C232" s="30" t="inlineStr">
        <is>
          <t>Demais ativos — crescimento % QoQ</t>
        </is>
      </c>
      <c r="D232" s="12" t="inlineStr">
        <is>
          <t>Other assets growth QoQ</t>
        </is>
      </c>
      <c r="E232" s="31" t="n"/>
      <c r="F232" s="32">
        <f>IFERROR(IF(('Inputs (2)'!E23)=0,"",('Inputs (2)'!F23)/('Inputs (2)'!E23)-1),"")</f>
        <v>-0.052354615153028</v>
      </c>
      <c r="G232" s="32">
        <f>IFERROR(IF(('Inputs (2)'!F23)=0,"",('Inputs (2)'!G23)/('Inputs (2)'!F23)-1),"")</f>
        <v>-0.341384000134253</v>
      </c>
      <c r="H232" s="32">
        <f>IFERROR(IF(('Inputs (2)'!G23)=0,"",('Inputs (2)'!H23)/('Inputs (2)'!G23)-1),"")</f>
        <v>-0.294321373753622</v>
      </c>
      <c r="I232" s="33" t="n"/>
      <c r="J232" s="32">
        <f>IFERROR(IF(('Inputs (2)'!H23)=0,"",('Inputs (2)'!J23)/('Inputs (2)'!H23)-1),"")</f>
        <v>0.465428123676641</v>
      </c>
      <c r="K232" s="32">
        <f>IFERROR(IF(('Inputs (2)'!J23)=0,"",('Inputs (2)'!K23)/('Inputs (2)'!J23)-1),"")</f>
        <v>-0.211812834564744</v>
      </c>
      <c r="L232" s="32">
        <f>IFERROR(IF(('Inputs (2)'!K23)=0,"",('Inputs (2)'!L23)/('Inputs (2)'!K23)-1),"")</f>
        <v>0.384973576975058</v>
      </c>
      <c r="M232" s="32">
        <f>IFERROR(IF(('Inputs (2)'!L23)=0,"",('Inputs (2)'!M23)/('Inputs (2)'!L23)-1),"")</f>
        <v>0.0691764600818507</v>
      </c>
      <c r="N232" s="34">
        <f>IFERROR(IF(('Inputs (2)'!I23)=0,"",('Inputs (2)'!N23)/('Inputs (2)'!I23)-1),"")</f>
        <v>0.710349074379691</v>
      </c>
      <c r="O232" s="32">
        <f>IFERROR(IF(('Inputs (2)'!M23)=0,"",('Inputs (2)'!O23)/('Inputs (2)'!M23)-1),"")</f>
        <v>-0.470702834131842</v>
      </c>
      <c r="P232" s="32">
        <f>IFERROR(IF(('Inputs (2)'!O23)=0,"",('Inputs (2)'!P23)/('Inputs (2)'!O23)-1),"")</f>
        <v>0.329200249194605</v>
      </c>
      <c r="Q232" s="32">
        <f>IFERROR(IF(('Inputs (2)'!P23)=0,"",('Inputs (2)'!Q23)/('Inputs (2)'!P23)-1),"")</f>
        <v>-0.0452715767857822</v>
      </c>
      <c r="R232" s="32">
        <f>IFERROR(IF(('Inputs (2)'!Q23)=0,"",('Inputs (2)'!R23)/('Inputs (2)'!Q23)-1),"")</f>
        <v>0.677377455995939</v>
      </c>
      <c r="S232" s="34">
        <f>IFERROR(IF(('Inputs (2)'!N23)=0,"",('Inputs (2)'!S23)/('Inputs (2)'!N23)-1),"")</f>
        <v>0.126680133357412</v>
      </c>
      <c r="T232" s="32">
        <f>IFERROR(IF(('Inputs (2)'!R23)=0,"",('Inputs (2)'!T23)/('Inputs (2)'!R23)-1),"")</f>
        <v>-0.230957842139286</v>
      </c>
      <c r="U232" s="32">
        <f>IFERROR(IF(('Inputs (2)'!T23)=0,"",('Inputs (2)'!U23)/('Inputs (2)'!T23)-1),"")</f>
        <v>-0.250336138170333</v>
      </c>
      <c r="V232" s="32">
        <f>IFERROR(IF(('Inputs (2)'!U23)=0,"",('Inputs (2)'!V23)/('Inputs (2)'!U23)-1),"")</f>
        <v>0.282885216041821</v>
      </c>
      <c r="W232" s="32">
        <f>IFERROR(IF(('Inputs (2)'!V23)=0,"",('Inputs (2)'!W23)/('Inputs (2)'!V23)-1),"")</f>
        <v>0.244394400575743</v>
      </c>
      <c r="X232" s="34">
        <f>IFERROR(IF(('Inputs (2)'!S23)=0,"",('Inputs (2)'!X23)/('Inputs (2)'!S23)-1),"")</f>
        <v>-0.0796297495669021</v>
      </c>
      <c r="Y232" s="32">
        <f>IFERROR(IF(('Inputs (2)'!W23)=0,"",('Inputs (2)'!Y23)/('Inputs (2)'!W23)-1),"")</f>
        <v>0.0797411990367769</v>
      </c>
      <c r="Z232" s="32">
        <f>IFERROR(IF(('Inputs (2)'!Y23)=0,"",('Inputs (2)'!Z23)/('Inputs (2)'!Y23)-1),"")</f>
        <v>0.336264362586446</v>
      </c>
      <c r="AA232" s="32">
        <f>IFERROR(IF(('Inputs (2)'!Z23)=0,"",('Inputs (2)'!AA23)/('Inputs (2)'!Z23)-1),"")</f>
        <v>-0.00661447569731932</v>
      </c>
      <c r="AB232" s="32">
        <f>IFERROR(IF(('Inputs (2)'!AA23)=0,"",('Inputs (2)'!AB23)/('Inputs (2)'!AA23)-1),"")</f>
        <v>-0.0718642747341677</v>
      </c>
      <c r="AC232" s="34">
        <f>IFERROR(IF(('Inputs (2)'!X23)=0,"",('Inputs (2)'!AC23)/('Inputs (2)'!X23)-1),"")</f>
        <v>0.330274835505425</v>
      </c>
      <c r="AD232" s="32">
        <f>IFERROR(IF(('Inputs (2)'!AB23)=0,"",('Inputs (2)'!AD23)/('Inputs (2)'!AB23)-1),"")</f>
        <v>-0.721020147370775</v>
      </c>
      <c r="AE232" s="32">
        <f>IFERROR(IF(('Inputs (2)'!AD23)=0,"",('Inputs (2)'!AE23)/('Inputs (2)'!AD23)-1),"")</f>
        <v>0.125091788537099</v>
      </c>
      <c r="AF232" s="32">
        <f>IFERROR(IF(('Inputs (2)'!AE23)=0,"",('Inputs (2)'!AF23)/('Inputs (2)'!AE23)-1),"")</f>
        <v>-0.212910105234651</v>
      </c>
      <c r="AG232" s="32">
        <f>IFERROR(IF(('Inputs (2)'!AF23)=0,"",('Inputs (2)'!AG23)/('Inputs (2)'!AF23)-1),"")</f>
        <v>0.0069858592741574</v>
      </c>
      <c r="AH232" s="34">
        <f>IFERROR(IF(('Inputs (2)'!AC23)=0,"",('Inputs (2)'!AH23)/('Inputs (2)'!AC23)-1),"")</f>
        <v>-0.751223986543135</v>
      </c>
      <c r="AI232" s="32">
        <f>IFERROR(IF(('Inputs (2)'!AG23)=0,"",('Inputs (2)'!AI23)/('Inputs (2)'!AG23)-1),"")</f>
        <v>0.213568810271759</v>
      </c>
      <c r="AJ232" s="32">
        <f>IFERROR(IF(('Inputs (2)'!AI23)=0,"",('Inputs (2)'!AJ23)/('Inputs (2)'!AI23)-1),"")</f>
        <v>0.00216842230540948</v>
      </c>
      <c r="AK232" s="32">
        <f>IFERROR(IF(('Inputs (2)'!AJ23)=0,"",('Inputs (2)'!AK23)/('Inputs (2)'!AJ23)-1),"")</f>
        <v>-1</v>
      </c>
      <c r="AL232" s="32" t="str">
        <f>IFERROR(IF(('Inputs (2)'!AK23)=0,"",('Inputs (2)'!AL23)/('Inputs (2)'!AK23)-1),"")</f>
        <v/>
      </c>
      <c r="AM232" s="34">
        <f>IFERROR(IF(('Inputs (2)'!AH23)=0,"",('Inputs (2)'!AM23)/('Inputs (2)'!AH23)-1),"")</f>
        <v>-1</v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hidden="1" outlineLevel="1">
      <c r="C233" s="30" t="inlineStr">
        <is>
          <t>Demais passivos — crescimento % QoQ</t>
        </is>
      </c>
      <c r="D233" s="12" t="inlineStr">
        <is>
          <t>Other liab. growth QoQ</t>
        </is>
      </c>
      <c r="E233" s="31" t="n"/>
      <c r="F233" s="32">
        <f>IFERROR(IF(('Inputs (2)'!E56)=0,"",('Inputs (2)'!F56)/('Inputs (2)'!E56)-1),"")</f>
        <v>-0.0700960730331115</v>
      </c>
      <c r="G233" s="32">
        <f>IFERROR(IF(('Inputs (2)'!F56)=0,"",('Inputs (2)'!G56)/('Inputs (2)'!F56)-1),"")</f>
        <v>-0.300674009461252</v>
      </c>
      <c r="H233" s="32">
        <f>IFERROR(IF(('Inputs (2)'!G56)=0,"",('Inputs (2)'!H56)/('Inputs (2)'!G56)-1),"")</f>
        <v>-0.280192887629509</v>
      </c>
      <c r="I233" s="33" t="n"/>
      <c r="J233" s="32">
        <f>IFERROR(IF(('Inputs (2)'!H56)=0,"",('Inputs (2)'!J56)/('Inputs (2)'!H56)-1),"")</f>
        <v>0.433568394964459</v>
      </c>
      <c r="K233" s="32">
        <f>IFERROR(IF(('Inputs (2)'!J56)=0,"",('Inputs (2)'!K56)/('Inputs (2)'!J56)-1),"")</f>
        <v>-0.16663308423907</v>
      </c>
      <c r="L233" s="32">
        <f>IFERROR(IF(('Inputs (2)'!K56)=0,"",('Inputs (2)'!L56)/('Inputs (2)'!K56)-1),"")</f>
        <v>0.183967465002707</v>
      </c>
      <c r="M233" s="32">
        <f>IFERROR(IF(('Inputs (2)'!L56)=0,"",('Inputs (2)'!M56)/('Inputs (2)'!L56)-1),"")</f>
        <v>0.0172675497134398</v>
      </c>
      <c r="N233" s="34">
        <f>IFERROR(IF(('Inputs (2)'!I56)=0,"",('Inputs (2)'!N56)/('Inputs (2)'!I56)-1),"")</f>
        <v>0.43889675191564</v>
      </c>
      <c r="O233" s="32">
        <f>IFERROR(IF(('Inputs (2)'!M56)=0,"",('Inputs (2)'!O56)/('Inputs (2)'!M56)-1),"")</f>
        <v>-0.380429269965515</v>
      </c>
      <c r="P233" s="32">
        <f>IFERROR(IF(('Inputs (2)'!O56)=0,"",('Inputs (2)'!P56)/('Inputs (2)'!O56)-1),"")</f>
        <v>0.248902651019748</v>
      </c>
      <c r="Q233" s="32">
        <f>IFERROR(IF(('Inputs (2)'!P56)=0,"",('Inputs (2)'!Q56)/('Inputs (2)'!P56)-1),"")</f>
        <v>-0.0762415494752661</v>
      </c>
      <c r="R233" s="32">
        <f>IFERROR(IF(('Inputs (2)'!Q56)=0,"",('Inputs (2)'!R56)/('Inputs (2)'!Q56)-1),"")</f>
        <v>0.538937316432654</v>
      </c>
      <c r="S233" s="34">
        <f>IFERROR(IF(('Inputs (2)'!N56)=0,"",('Inputs (2)'!S56)/('Inputs (2)'!N56)-1),"")</f>
        <v>0.100015576524572</v>
      </c>
      <c r="T233" s="32">
        <f>IFERROR(IF(('Inputs (2)'!R56)=0,"",('Inputs (2)'!T56)/('Inputs (2)'!R56)-1),"")</f>
        <v>-0.158024915671786</v>
      </c>
      <c r="U233" s="32">
        <f>IFERROR(IF(('Inputs (2)'!T56)=0,"",('Inputs (2)'!U56)/('Inputs (2)'!T56)-1),"")</f>
        <v>-0.0852836558785277</v>
      </c>
      <c r="V233" s="32">
        <f>IFERROR(IF(('Inputs (2)'!U56)=0,"",('Inputs (2)'!V56)/('Inputs (2)'!U56)-1),"")</f>
        <v>-0.000488383276449067</v>
      </c>
      <c r="W233" s="32">
        <f>IFERROR(IF(('Inputs (2)'!V56)=0,"",('Inputs (2)'!W56)/('Inputs (2)'!V56)-1),"")</f>
        <v>0.24914936456236</v>
      </c>
      <c r="X233" s="34">
        <f>IFERROR(IF(('Inputs (2)'!S56)=0,"",('Inputs (2)'!X56)/('Inputs (2)'!S56)-1),"")</f>
        <v>-0.0384145205214959</v>
      </c>
      <c r="Y233" s="32">
        <f>IFERROR(IF(('Inputs (2)'!W56)=0,"",('Inputs (2)'!Y56)/('Inputs (2)'!W56)-1),"")</f>
        <v>0.0290119901561161</v>
      </c>
      <c r="Z233" s="32">
        <f>IFERROR(IF(('Inputs (2)'!Y56)=0,"",('Inputs (2)'!Z56)/('Inputs (2)'!Y56)-1),"")</f>
        <v>0.322504435653947</v>
      </c>
      <c r="AA233" s="32">
        <f>IFERROR(IF(('Inputs (2)'!Z56)=0,"",('Inputs (2)'!AA56)/('Inputs (2)'!Z56)-1),"")</f>
        <v>0.059970793180288</v>
      </c>
      <c r="AB233" s="32">
        <f>IFERROR(IF(('Inputs (2)'!AA56)=0,"",('Inputs (2)'!AB56)/('Inputs (2)'!AA56)-1),"")</f>
        <v>-0.0376017680667909</v>
      </c>
      <c r="AC233" s="34">
        <f>IFERROR(IF(('Inputs (2)'!X56)=0,"",('Inputs (2)'!AC56)/('Inputs (2)'!X56)-1),"")</f>
        <v>0.388245542747373</v>
      </c>
      <c r="AD233" s="32">
        <f>IFERROR(IF(('Inputs (2)'!AB56)=0,"",('Inputs (2)'!AD56)/('Inputs (2)'!AB56)-1),"")</f>
        <v>-0.917875835101519</v>
      </c>
      <c r="AE233" s="32">
        <f>IFERROR(IF(('Inputs (2)'!AD56)=0,"",('Inputs (2)'!AE56)/('Inputs (2)'!AD56)-1),"")</f>
        <v>0.122863758906642</v>
      </c>
      <c r="AF233" s="32">
        <f>IFERROR(IF(('Inputs (2)'!AE56)=0,"",('Inputs (2)'!AF56)/('Inputs (2)'!AE56)-1),"")</f>
        <v>-0.266737970143732</v>
      </c>
      <c r="AG233" s="32">
        <f>IFERROR(IF(('Inputs (2)'!AF56)=0,"",('Inputs (2)'!AG56)/('Inputs (2)'!AF56)-1),"")</f>
        <v>-0.0638311480652383</v>
      </c>
      <c r="AH233" s="34">
        <f>IFERROR(IF(('Inputs (2)'!AC56)=0,"",('Inputs (2)'!AH56)/('Inputs (2)'!AC56)-1),"")</f>
        <v>-0.93669887692079</v>
      </c>
      <c r="AI233" s="32">
        <f>IFERROR(IF(('Inputs (2)'!AG56)=0,"",('Inputs (2)'!AI56)/('Inputs (2)'!AG56)-1),"")</f>
        <v>-0.166385795510616</v>
      </c>
      <c r="AJ233" s="32">
        <f>IFERROR(IF(('Inputs (2)'!AI56)=0,"",('Inputs (2)'!AJ56)/('Inputs (2)'!AI56)-1),"")</f>
        <v>0.0816046605867167</v>
      </c>
      <c r="AK233" s="32">
        <f>IFERROR(IF(('Inputs (2)'!AJ56)=0,"",('Inputs (2)'!AK56)/('Inputs (2)'!AJ56)-1),"")</f>
        <v>-1</v>
      </c>
      <c r="AL233" s="32" t="str">
        <f>IFERROR(IF(('Inputs (2)'!AK56)=0,"",('Inputs (2)'!AL56)/('Inputs (2)'!AK56)-1),"")</f>
        <v/>
      </c>
      <c r="AM233" s="34">
        <f>IFERROR(IF(('Inputs (2)'!AH56)=0,"",('Inputs (2)'!AM56)/('Inputs (2)'!AH56)-1),"")</f>
        <v>-1</v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hidden="1" outlineLevel="1">
      <c r="B234" s="29" t="n"/>
      <c r="C234" s="29" t="inlineStr">
        <is>
          <t>Receitas e despesas — realizado</t>
        </is>
      </c>
      <c r="D234" s="29" t="inlineStr">
        <is>
          <t>Revenues and expenses — actual</t>
        </is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  <c r="BA234" s="29" t="n"/>
      <c r="BB234" s="29" t="n"/>
      <c r="BC234" s="29" t="n"/>
      <c r="BD234" s="29" t="n"/>
      <c r="BE234" s="29" t="n"/>
      <c r="BF234" s="29" t="n"/>
      <c r="BG234" s="29" t="n"/>
      <c r="BH234" s="29" t="n"/>
      <c r="BI234" s="29" t="n"/>
    </row>
    <row r="235" hidden="1" outlineLevel="1">
      <c r="C235" s="30" t="inlineStr">
        <is>
          <t>Receitas de serviços e tarifas — crescimento % YoY</t>
        </is>
      </c>
      <c r="D235" s="12" t="inlineStr">
        <is>
          <t>Fee growth YoY</t>
        </is>
      </c>
      <c r="E235" s="31" t="n"/>
      <c r="F235" s="31" t="n"/>
      <c r="G235" s="31" t="n"/>
      <c r="H235" s="31" t="n"/>
      <c r="I235" s="33" t="n"/>
      <c r="J235" s="32">
        <f>IFERROR(IF(('Inputs (2)'!E86)=0,"",('Inputs (2)'!J86)/('Inputs (2)'!E86)-1),"")</f>
        <v>0.436545620299324</v>
      </c>
      <c r="K235" s="32">
        <f>IFERROR(IF(('Inputs (2)'!F86)=0,"",('Inputs (2)'!K86)/('Inputs (2)'!F86)-1),"")</f>
        <v>0.247498848153755</v>
      </c>
      <c r="L235" s="32">
        <f>IFERROR(IF(('Inputs (2)'!G86)=0,"",('Inputs (2)'!L86)/('Inputs (2)'!G86)-1),"")</f>
        <v>0.305005835652631</v>
      </c>
      <c r="M235" s="32">
        <f>IFERROR(IF(('Inputs (2)'!H86)=0,"",('Inputs (2)'!M86)/('Inputs (2)'!H86)-1),"")</f>
        <v>-0.00371558493459911</v>
      </c>
      <c r="N235" s="34">
        <f>IFERROR(IF(('Inputs (2)'!I86)=0,"",('Inputs (2)'!N86)/('Inputs (2)'!I86)-1),"")</f>
        <v>0.216437304560949</v>
      </c>
      <c r="O235" s="32">
        <f>IFERROR(IF(('Inputs (2)'!J86)=0,"",('Inputs (2)'!O86)/('Inputs (2)'!J86)-1),"")</f>
        <v>-0.160490236260031</v>
      </c>
      <c r="P235" s="32">
        <f>IFERROR(IF(('Inputs (2)'!K86)=0,"",('Inputs (2)'!P86)/('Inputs (2)'!K86)-1),"")</f>
        <v>0.445464498173136</v>
      </c>
      <c r="Q235" s="32">
        <f>IFERROR(IF(('Inputs (2)'!L86)=0,"",('Inputs (2)'!Q86)/('Inputs (2)'!L86)-1),"")</f>
        <v>0.262800982800983</v>
      </c>
      <c r="R235" s="32">
        <f>IFERROR(IF(('Inputs (2)'!M86)=0,"",('Inputs (2)'!R86)/('Inputs (2)'!M86)-1),"")</f>
        <v>0.0872949620008889</v>
      </c>
      <c r="S235" s="34">
        <f>IFERROR(IF(('Inputs (2)'!N86)=0,"",('Inputs (2)'!S86)/('Inputs (2)'!N86)-1),"")</f>
        <v>0.163342876745243</v>
      </c>
      <c r="T235" s="32">
        <f>IFERROR(IF(('Inputs (2)'!O86)=0,"",('Inputs (2)'!T86)/('Inputs (2)'!O86)-1),"")</f>
        <v>0.31572647957416</v>
      </c>
      <c r="U235" s="32">
        <f>IFERROR(IF(('Inputs (2)'!P86)=0,"",('Inputs (2)'!U86)/('Inputs (2)'!P86)-1),"")</f>
        <v>-0.255317789843501</v>
      </c>
      <c r="V235" s="32">
        <f>IFERROR(IF(('Inputs (2)'!Q86)=0,"",('Inputs (2)'!V86)/('Inputs (2)'!Q86)-1),"")</f>
        <v>-0.0648455132695152</v>
      </c>
      <c r="W235" s="32">
        <f>IFERROR(IF(('Inputs (2)'!R86)=0,"",('Inputs (2)'!W86)/('Inputs (2)'!R86)-1),"")</f>
        <v>0.101065898236133</v>
      </c>
      <c r="X235" s="34">
        <f>IFERROR(IF(('Inputs (2)'!S86)=0,"",('Inputs (2)'!X86)/('Inputs (2)'!S86)-1),"")</f>
        <v>-0.0152464515358428</v>
      </c>
      <c r="Y235" s="32">
        <f>IFERROR(IF(('Inputs (2)'!T86)=0,"",('Inputs (2)'!Y86)/('Inputs (2)'!T86)-1),"")</f>
        <v>0.272376894166088</v>
      </c>
      <c r="Z235" s="32">
        <f>IFERROR(IF(('Inputs (2)'!U86)=0,"",('Inputs (2)'!Z86)/('Inputs (2)'!U86)-1),"")</f>
        <v>0.518111413376468</v>
      </c>
      <c r="AA235" s="32">
        <f>IFERROR(IF(('Inputs (2)'!V86)=0,"",('Inputs (2)'!AA86)/('Inputs (2)'!V86)-1),"")</f>
        <v>-0.0137818538923751</v>
      </c>
      <c r="AB235" s="32">
        <f>IFERROR(IF(('Inputs (2)'!W86)=0,"",('Inputs (2)'!AB86)/('Inputs (2)'!W86)-1),"")</f>
        <v>0.287502150742119</v>
      </c>
      <c r="AC235" s="34">
        <f>IFERROR(IF(('Inputs (2)'!X86)=0,"",('Inputs (2)'!AC86)/('Inputs (2)'!X86)-1),"")</f>
        <v>0.240384396707915</v>
      </c>
      <c r="AD235" s="32">
        <f>IFERROR(IF(('Inputs (2)'!Y86)=0,"",('Inputs (2)'!AD86)/('Inputs (2)'!Y86)-1),"")</f>
        <v>0.00496698086583502</v>
      </c>
      <c r="AE235" s="32">
        <f>IFERROR(IF(('Inputs (2)'!Z86)=0,"",('Inputs (2)'!AE86)/('Inputs (2)'!Z86)-1),"")</f>
        <v>-0.0612735799559275</v>
      </c>
      <c r="AF235" s="32">
        <f>IFERROR(IF(('Inputs (2)'!AA86)=0,"",('Inputs (2)'!AF86)/('Inputs (2)'!AA86)-1),"")</f>
        <v>-0.0784712494303893</v>
      </c>
      <c r="AG235" s="32">
        <f>IFERROR(IF(('Inputs (2)'!AB86)=0,"",('Inputs (2)'!AG86)/('Inputs (2)'!AB86)-1),"")</f>
        <v>-0.0573799894496221</v>
      </c>
      <c r="AH235" s="34">
        <f>IFERROR(IF(('Inputs (2)'!AC86)=0,"",('Inputs (2)'!AH86)/('Inputs (2)'!AC86)-1),"")</f>
        <v>-0.049952532870478</v>
      </c>
      <c r="AI235" s="32">
        <f>IFERROR(IF(('Inputs (2)'!AD86)=0,"",('Inputs (2)'!AI86)/('Inputs (2)'!AD86)-1),"")</f>
        <v>0.216568379668632</v>
      </c>
      <c r="AJ235" s="32">
        <f>IFERROR(IF(('Inputs (2)'!AE86)=0,"",('Inputs (2)'!AJ86)/('Inputs (2)'!AE86)-1),"")</f>
        <v>-0.02717204375043</v>
      </c>
      <c r="AK235" s="32">
        <f>IFERROR(IF(('Inputs (2)'!AF86)=0,"",('Inputs (2)'!AK86)/('Inputs (2)'!AF86)-1),"")</f>
        <v>-1</v>
      </c>
      <c r="AL235" s="32">
        <f>IFERROR(IF(('Inputs (2)'!AG86)=0,"",('Inputs (2)'!AL86)/('Inputs (2)'!AG86)-1),"")</f>
        <v>-1</v>
      </c>
      <c r="AM235" s="34">
        <f>IFERROR(IF(('Inputs (2)'!AH86)=0,"",('Inputs (2)'!AM86)/('Inputs (2)'!AH86)-1),"")</f>
        <v>-0.478708941429754</v>
      </c>
      <c r="AN235" s="32">
        <f>IFERROR(IF(('Inputs (2)'!AI86)=0,"",('Inputs (2)'!AN86)/('Inputs (2)'!AI86)-1),"")</f>
        <v>-1</v>
      </c>
      <c r="AO235" s="32">
        <f>IFERROR(IF(('Inputs (2)'!AJ86)=0,"",('Inputs (2)'!AO86)/('Inputs (2)'!AJ86)-1),"")</f>
        <v>-1</v>
      </c>
      <c r="AP235" s="32" t="str">
        <f>IFERROR(IF(('Inputs (2)'!AK86)=0,"",('Inputs (2)'!AP86)/('Inputs (2)'!AK86)-1),"")</f>
        <v/>
      </c>
      <c r="AQ235" s="32" t="str">
        <f>IFERROR(IF(('Inputs (2)'!AL86)=0,"",('Inputs (2)'!AQ86)/('Inputs (2)'!AL86)-1),"")</f>
        <v/>
      </c>
      <c r="AR235" s="34">
        <f>IFERROR(IF(('Inputs (2)'!AM86)=0,"",('Inputs (2)'!AR86)/('Inputs (2)'!AM86)-1),"")</f>
        <v>-1</v>
      </c>
      <c r="AS235" s="32" t="str">
        <f>IFERROR(IF(('Inputs (2)'!AN86)=0,"",('Inputs (2)'!AS86)/('Inputs (2)'!AN86)-1),"")</f>
        <v/>
      </c>
      <c r="AT235" s="32" t="str">
        <f>IFERROR(IF(('Inputs (2)'!AO86)=0,"",('Inputs (2)'!AT86)/('Inputs (2)'!AO86)-1),"")</f>
        <v/>
      </c>
      <c r="AU235" s="32" t="str">
        <f>IFERROR(IF(('Inputs (2)'!AP86)=0,"",('Inputs (2)'!AU86)/('Inputs (2)'!AP86)-1),"")</f>
        <v/>
      </c>
      <c r="AV235" s="32" t="str">
        <f>IFERROR(IF(('Inputs (2)'!AQ86)=0,"",('Inputs (2)'!AV86)/('Inputs (2)'!AQ86)-1),"")</f>
        <v/>
      </c>
      <c r="AW235" s="34" t="str">
        <f>IFERROR(IF(('Inputs (2)'!AR86)=0,"",('Inputs (2)'!AW86)/('Inputs (2)'!AR86)-1),"")</f>
        <v/>
      </c>
      <c r="AX235" s="32" t="str">
        <f>IFERROR(IF(('Inputs (2)'!AS86)=0,"",('Inputs (2)'!AX86)/('Inputs (2)'!AS86)-1),"")</f>
        <v/>
      </c>
      <c r="AY235" s="32" t="str">
        <f>IFERROR(IF(('Inputs (2)'!AT86)=0,"",('Inputs (2)'!AY86)/('Inputs (2)'!AT86)-1),"")</f>
        <v/>
      </c>
      <c r="AZ235" s="32" t="str">
        <f>IFERROR(IF(('Inputs (2)'!AU86)=0,"",('Inputs (2)'!AZ86)/('Inputs (2)'!AU86)-1),"")</f>
        <v/>
      </c>
      <c r="BA235" s="32" t="str">
        <f>IFERROR(IF(('Inputs (2)'!AV86)=0,"",('Inputs (2)'!BA86)/('Inputs (2)'!AV86)-1),"")</f>
        <v/>
      </c>
      <c r="BB235" s="34" t="str">
        <f>IFERROR(IF(('Inputs (2)'!AW86)=0,"",('Inputs (2)'!BB86)/('Inputs (2)'!AW86)-1),"")</f>
        <v/>
      </c>
      <c r="BC235" s="32" t="str">
        <f>IFERROR(IF(('Inputs (2)'!AX86)=0,"",('Inputs (2)'!BC86)/('Inputs (2)'!AX86)-1),"")</f>
        <v/>
      </c>
      <c r="BD235" s="32" t="str">
        <f>IFERROR(IF(('Inputs (2)'!AY86)=0,"",('Inputs (2)'!BD86)/('Inputs (2)'!AY86)-1),"")</f>
        <v/>
      </c>
      <c r="BE235" s="32" t="str">
        <f>IFERROR(IF(('Inputs (2)'!AZ86)=0,"",('Inputs (2)'!BE86)/('Inputs (2)'!AZ86)-1),"")</f>
        <v/>
      </c>
      <c r="BF235" s="32" t="str">
        <f>IFERROR(IF(('Inputs (2)'!BA86)=0,"",('Inputs (2)'!BF86)/('Inputs (2)'!BA86)-1),"")</f>
        <v/>
      </c>
      <c r="BG235" s="34" t="str">
        <f>IFERROR(IF(('Inputs (2)'!BB86)=0,"",('Inputs (2)'!BG86)/('Inputs (2)'!BB86)-1),"")</f>
        <v/>
      </c>
    </row>
    <row r="236" hidden="1" outlineLevel="1">
      <c r="C236" s="30" t="inlineStr">
        <is>
          <t>Seguros, previdência e capitalização — crescimento % YoY</t>
        </is>
      </c>
      <c r="D236" s="12" t="inlineStr">
        <is>
          <t>Insurance YoY</t>
        </is>
      </c>
      <c r="E236" s="31" t="n"/>
      <c r="F236" s="31" t="n"/>
      <c r="G236" s="31" t="n"/>
      <c r="H236" s="31" t="n"/>
      <c r="I236" s="33" t="n"/>
      <c r="J236" s="32" t="str">
        <f>IFERROR(IF(('Inputs (2)'!E87)=0,"",('Inputs (2)'!J87)/('Inputs (2)'!E87)-1),"")</f>
        <v/>
      </c>
      <c r="K236" s="32" t="str">
        <f>IFERROR(IF(('Inputs (2)'!F87)=0,"",('Inputs (2)'!K87)/('Inputs (2)'!F87)-1),"")</f>
        <v/>
      </c>
      <c r="L236" s="32" t="str">
        <f>IFERROR(IF(('Inputs (2)'!G87)=0,"",('Inputs (2)'!L87)/('Inputs (2)'!G87)-1),"")</f>
        <v/>
      </c>
      <c r="M236" s="32" t="str">
        <f>IFERROR(IF(('Inputs (2)'!H87)=0,"",('Inputs (2)'!M87)/('Inputs (2)'!H87)-1),"")</f>
        <v/>
      </c>
      <c r="N236" s="34" t="str">
        <f>IFERROR(IF(('Inputs (2)'!I87)=0,"",('Inputs (2)'!N87)/('Inputs (2)'!I87)-1),"")</f>
        <v/>
      </c>
      <c r="O236" s="32" t="str">
        <f>IFERROR(IF(('Inputs (2)'!J87)=0,"",('Inputs (2)'!O87)/('Inputs (2)'!J87)-1),"")</f>
        <v/>
      </c>
      <c r="P236" s="32" t="str">
        <f>IFERROR(IF(('Inputs (2)'!K87)=0,"",('Inputs (2)'!P87)/('Inputs (2)'!K87)-1),"")</f>
        <v/>
      </c>
      <c r="Q236" s="32" t="str">
        <f>IFERROR(IF(('Inputs (2)'!L87)=0,"",('Inputs (2)'!Q87)/('Inputs (2)'!L87)-1),"")</f>
        <v/>
      </c>
      <c r="R236" s="32" t="str">
        <f>IFERROR(IF(('Inputs (2)'!M87)=0,"",('Inputs (2)'!R87)/('Inputs (2)'!M87)-1),"")</f>
        <v/>
      </c>
      <c r="S236" s="34" t="str">
        <f>IFERROR(IF(('Inputs (2)'!N87)=0,"",('Inputs (2)'!S87)/('Inputs (2)'!N87)-1),"")</f>
        <v/>
      </c>
      <c r="T236" s="32" t="str">
        <f>IFERROR(IF(('Inputs (2)'!O87)=0,"",('Inputs (2)'!T87)/('Inputs (2)'!O87)-1),"")</f>
        <v/>
      </c>
      <c r="U236" s="32" t="str">
        <f>IFERROR(IF(('Inputs (2)'!P87)=0,"",('Inputs (2)'!U87)/('Inputs (2)'!P87)-1),"")</f>
        <v/>
      </c>
      <c r="V236" s="32" t="str">
        <f>IFERROR(IF(('Inputs (2)'!Q87)=0,"",('Inputs (2)'!V87)/('Inputs (2)'!Q87)-1),"")</f>
        <v/>
      </c>
      <c r="W236" s="32" t="str">
        <f>IFERROR(IF(('Inputs (2)'!R87)=0,"",('Inputs (2)'!W87)/('Inputs (2)'!R87)-1),"")</f>
        <v/>
      </c>
      <c r="X236" s="34" t="str">
        <f>IFERROR(IF(('Inputs (2)'!S87)=0,"",('Inputs (2)'!X87)/('Inputs (2)'!S87)-1),"")</f>
        <v/>
      </c>
      <c r="Y236" s="32" t="str">
        <f>IFERROR(IF(('Inputs (2)'!T87)=0,"",('Inputs (2)'!Y87)/('Inputs (2)'!T87)-1),"")</f>
        <v/>
      </c>
      <c r="Z236" s="32" t="str">
        <f>IFERROR(IF(('Inputs (2)'!U87)=0,"",('Inputs (2)'!Z87)/('Inputs (2)'!U87)-1),"")</f>
        <v/>
      </c>
      <c r="AA236" s="32" t="str">
        <f>IFERROR(IF(('Inputs (2)'!V87)=0,"",('Inputs (2)'!AA87)/('Inputs (2)'!V87)-1),"")</f>
        <v/>
      </c>
      <c r="AB236" s="32" t="str">
        <f>IFERROR(IF(('Inputs (2)'!W87)=0,"",('Inputs (2)'!AB87)/('Inputs (2)'!W87)-1),"")</f>
        <v/>
      </c>
      <c r="AC236" s="34" t="str">
        <f>IFERROR(IF(('Inputs (2)'!X87)=0,"",('Inputs (2)'!AC87)/('Inputs (2)'!X87)-1),"")</f>
        <v/>
      </c>
      <c r="AD236" s="32" t="str">
        <f>IFERROR(IF(('Inputs (2)'!Y87)=0,"",('Inputs (2)'!AD87)/('Inputs (2)'!Y87)-1),"")</f>
        <v/>
      </c>
      <c r="AE236" s="32" t="str">
        <f>IFERROR(IF(('Inputs (2)'!Z87)=0,"",('Inputs (2)'!AE87)/('Inputs (2)'!Z87)-1),"")</f>
        <v/>
      </c>
      <c r="AF236" s="32" t="str">
        <f>IFERROR(IF(('Inputs (2)'!AA87)=0,"",('Inputs (2)'!AF87)/('Inputs (2)'!AA87)-1),"")</f>
        <v/>
      </c>
      <c r="AG236" s="32" t="str">
        <f>IFERROR(IF(('Inputs (2)'!AB87)=0,"",('Inputs (2)'!AG87)/('Inputs (2)'!AB87)-1),"")</f>
        <v/>
      </c>
      <c r="AH236" s="34" t="str">
        <f>IFERROR(IF(('Inputs (2)'!AC87)=0,"",('Inputs (2)'!AH87)/('Inputs (2)'!AC87)-1),"")</f>
        <v/>
      </c>
      <c r="AI236" s="32" t="str">
        <f>IFERROR(IF(('Inputs (2)'!AD87)=0,"",('Inputs (2)'!AI87)/('Inputs (2)'!AD87)-1),"")</f>
        <v/>
      </c>
      <c r="AJ236" s="32" t="str">
        <f>IFERROR(IF(('Inputs (2)'!AE87)=0,"",('Inputs (2)'!AJ87)/('Inputs (2)'!AE87)-1),"")</f>
        <v/>
      </c>
      <c r="AK236" s="32" t="str">
        <f>IFERROR(IF(('Inputs (2)'!AF87)=0,"",('Inputs (2)'!AK87)/('Inputs (2)'!AF87)-1),"")</f>
        <v/>
      </c>
      <c r="AL236" s="32" t="str">
        <f>IFERROR(IF(('Inputs (2)'!AG87)=0,"",('Inputs (2)'!AL87)/('Inputs (2)'!AG87)-1),"")</f>
        <v/>
      </c>
      <c r="AM236" s="34" t="str">
        <f>IFERROR(IF(('Inputs (2)'!AH87)=0,"",('Inputs (2)'!AM87)/('Inputs (2)'!AH87)-1),"")</f>
        <v/>
      </c>
      <c r="AN236" s="32" t="str">
        <f>IFERROR(IF(('Inputs (2)'!AI87)=0,"",('Inputs (2)'!AN87)/('Inputs (2)'!AI87)-1),"")</f>
        <v/>
      </c>
      <c r="AO236" s="32" t="str">
        <f>IFERROR(IF(('Inputs (2)'!AJ87)=0,"",('Inputs (2)'!AO87)/('Inputs (2)'!AJ87)-1),"")</f>
        <v/>
      </c>
      <c r="AP236" s="32" t="str">
        <f>IFERROR(IF(('Inputs (2)'!AK87)=0,"",('Inputs (2)'!AP87)/('Inputs (2)'!AK87)-1),"")</f>
        <v/>
      </c>
      <c r="AQ236" s="32" t="str">
        <f>IFERROR(IF(('Inputs (2)'!AL87)=0,"",('Inputs (2)'!AQ87)/('Inputs (2)'!AL87)-1),"")</f>
        <v/>
      </c>
      <c r="AR236" s="34" t="str">
        <f>IFERROR(IF(('Inputs (2)'!AM87)=0,"",('Inputs (2)'!AR87)/('Inputs (2)'!AM87)-1),"")</f>
        <v/>
      </c>
      <c r="AS236" s="32" t="str">
        <f>IFERROR(IF(('Inputs (2)'!AN87)=0,"",('Inputs (2)'!AS87)/('Inputs (2)'!AN87)-1),"")</f>
        <v/>
      </c>
      <c r="AT236" s="32" t="str">
        <f>IFERROR(IF(('Inputs (2)'!AO87)=0,"",('Inputs (2)'!AT87)/('Inputs (2)'!AO87)-1),"")</f>
        <v/>
      </c>
      <c r="AU236" s="32" t="str">
        <f>IFERROR(IF(('Inputs (2)'!AP87)=0,"",('Inputs (2)'!AU87)/('Inputs (2)'!AP87)-1),"")</f>
        <v/>
      </c>
      <c r="AV236" s="32" t="str">
        <f>IFERROR(IF(('Inputs (2)'!AQ87)=0,"",('Inputs (2)'!AV87)/('Inputs (2)'!AQ87)-1),"")</f>
        <v/>
      </c>
      <c r="AW236" s="34" t="str">
        <f>IFERROR(IF(('Inputs (2)'!AR87)=0,"",('Inputs (2)'!AW87)/('Inputs (2)'!AR87)-1),"")</f>
        <v/>
      </c>
      <c r="AX236" s="32" t="str">
        <f>IFERROR(IF(('Inputs (2)'!AS87)=0,"",('Inputs (2)'!AX87)/('Inputs (2)'!AS87)-1),"")</f>
        <v/>
      </c>
      <c r="AY236" s="32" t="str">
        <f>IFERROR(IF(('Inputs (2)'!AT87)=0,"",('Inputs (2)'!AY87)/('Inputs (2)'!AT87)-1),"")</f>
        <v/>
      </c>
      <c r="AZ236" s="32" t="str">
        <f>IFERROR(IF(('Inputs (2)'!AU87)=0,"",('Inputs (2)'!AZ87)/('Inputs (2)'!AU87)-1),"")</f>
        <v/>
      </c>
      <c r="BA236" s="32" t="str">
        <f>IFERROR(IF(('Inputs (2)'!AV87)=0,"",('Inputs (2)'!BA87)/('Inputs (2)'!AV87)-1),"")</f>
        <v/>
      </c>
      <c r="BB236" s="34" t="str">
        <f>IFERROR(IF(('Inputs (2)'!AW87)=0,"",('Inputs (2)'!BB87)/('Inputs (2)'!AW87)-1),"")</f>
        <v/>
      </c>
      <c r="BC236" s="32" t="str">
        <f>IFERROR(IF(('Inputs (2)'!AX87)=0,"",('Inputs (2)'!BC87)/('Inputs (2)'!AX87)-1),"")</f>
        <v/>
      </c>
      <c r="BD236" s="32" t="str">
        <f>IFERROR(IF(('Inputs (2)'!AY87)=0,"",('Inputs (2)'!BD87)/('Inputs (2)'!AY87)-1),"")</f>
        <v/>
      </c>
      <c r="BE236" s="32" t="str">
        <f>IFERROR(IF(('Inputs (2)'!AZ87)=0,"",('Inputs (2)'!BE87)/('Inputs (2)'!AZ87)-1),"")</f>
        <v/>
      </c>
      <c r="BF236" s="32" t="str">
        <f>IFERROR(IF(('Inputs (2)'!BA87)=0,"",('Inputs (2)'!BF87)/('Inputs (2)'!BA87)-1),"")</f>
        <v/>
      </c>
      <c r="BG236" s="34" t="str">
        <f>IFERROR(IF(('Inputs (2)'!BB87)=0,"",('Inputs (2)'!BG87)/('Inputs (2)'!BB87)-1),"")</f>
        <v/>
      </c>
    </row>
    <row r="237" hidden="1" outlineLevel="1">
      <c r="C237" s="30" t="inlineStr">
        <is>
          <t>Despesas de pessoal — crescimento % YoY</t>
        </is>
      </c>
      <c r="D237" s="12" t="inlineStr">
        <is>
          <t>Personnel YoY</t>
        </is>
      </c>
      <c r="E237" s="31" t="n"/>
      <c r="F237" s="31" t="n"/>
      <c r="G237" s="31" t="n"/>
      <c r="H237" s="31" t="n"/>
      <c r="I237" s="33" t="n"/>
      <c r="J237" s="32">
        <f>IFERROR(IF(('Inputs (2)'!E88)=0,"",('Inputs (2)'!J88)/('Inputs (2)'!E88)-1),"")</f>
        <v>0.0692819829970297</v>
      </c>
      <c r="K237" s="32">
        <f>IFERROR(IF(('Inputs (2)'!F88)=0,"",('Inputs (2)'!K88)/('Inputs (2)'!F88)-1),"")</f>
        <v>0.210884741091663</v>
      </c>
      <c r="L237" s="32">
        <f>IFERROR(IF(('Inputs (2)'!G88)=0,"",('Inputs (2)'!L88)/('Inputs (2)'!G88)-1),"")</f>
        <v>0.256577916116175</v>
      </c>
      <c r="M237" s="32">
        <f>IFERROR(IF(('Inputs (2)'!H88)=0,"",('Inputs (2)'!M88)/('Inputs (2)'!H88)-1),"")</f>
        <v>0.262688356686345</v>
      </c>
      <c r="N237" s="34">
        <f>IFERROR(IF(('Inputs (2)'!I88)=0,"",('Inputs (2)'!N88)/('Inputs (2)'!I88)-1),"")</f>
        <v>0.198436645836236</v>
      </c>
      <c r="O237" s="32">
        <f>IFERROR(IF(('Inputs (2)'!J88)=0,"",('Inputs (2)'!O88)/('Inputs (2)'!J88)-1),"")</f>
        <v>0.403988734984769</v>
      </c>
      <c r="P237" s="32">
        <f>IFERROR(IF(('Inputs (2)'!K88)=0,"",('Inputs (2)'!P88)/('Inputs (2)'!K88)-1),"")</f>
        <v>0.461962399721619</v>
      </c>
      <c r="Q237" s="32">
        <f>IFERROR(IF(('Inputs (2)'!L88)=0,"",('Inputs (2)'!Q88)/('Inputs (2)'!L88)-1),"")</f>
        <v>0.576975853158692</v>
      </c>
      <c r="R237" s="32">
        <f>IFERROR(IF(('Inputs (2)'!M88)=0,"",('Inputs (2)'!R88)/('Inputs (2)'!M88)-1),"")</f>
        <v>0.419996781202221</v>
      </c>
      <c r="S237" s="34">
        <f>IFERROR(IF(('Inputs (2)'!N88)=0,"",('Inputs (2)'!S88)/('Inputs (2)'!N88)-1),"")</f>
        <v>0.465631239895981</v>
      </c>
      <c r="T237" s="32">
        <f>IFERROR(IF(('Inputs (2)'!O88)=0,"",('Inputs (2)'!T88)/('Inputs (2)'!O88)-1),"")</f>
        <v>0.173926095737132</v>
      </c>
      <c r="U237" s="32">
        <f>IFERROR(IF(('Inputs (2)'!P88)=0,"",('Inputs (2)'!U88)/('Inputs (2)'!P88)-1),"")</f>
        <v>0.131760255775206</v>
      </c>
      <c r="V237" s="32">
        <f>IFERROR(IF(('Inputs (2)'!Q88)=0,"",('Inputs (2)'!V88)/('Inputs (2)'!Q88)-1),"")</f>
        <v>0.108337476834064</v>
      </c>
      <c r="W237" s="32">
        <f>IFERROR(IF(('Inputs (2)'!R88)=0,"",('Inputs (2)'!W88)/('Inputs (2)'!R88)-1),"")</f>
        <v>0.0909199095561111</v>
      </c>
      <c r="X237" s="34">
        <f>IFERROR(IF(('Inputs (2)'!S88)=0,"",('Inputs (2)'!X88)/('Inputs (2)'!S88)-1),"")</f>
        <v>0.123869503130607</v>
      </c>
      <c r="Y237" s="32">
        <f>IFERROR(IF(('Inputs (2)'!T88)=0,"",('Inputs (2)'!Y88)/('Inputs (2)'!T88)-1),"")</f>
        <v>0.0845402766476811</v>
      </c>
      <c r="Z237" s="32">
        <f>IFERROR(IF(('Inputs (2)'!U88)=0,"",('Inputs (2)'!Z88)/('Inputs (2)'!U88)-1),"")</f>
        <v>0.0845331408336223</v>
      </c>
      <c r="AA237" s="32">
        <f>IFERROR(IF(('Inputs (2)'!V88)=0,"",('Inputs (2)'!AA88)/('Inputs (2)'!V88)-1),"")</f>
        <v>0.017047482131751</v>
      </c>
      <c r="AB237" s="32">
        <f>IFERROR(IF(('Inputs (2)'!W88)=0,"",('Inputs (2)'!AB88)/('Inputs (2)'!W88)-1),"")</f>
        <v>0.0579511394390853</v>
      </c>
      <c r="AC237" s="34">
        <f>IFERROR(IF(('Inputs (2)'!X88)=0,"",('Inputs (2)'!AC88)/('Inputs (2)'!X88)-1),"")</f>
        <v>0.0596180578180319</v>
      </c>
      <c r="AD237" s="32">
        <f>IFERROR(IF(('Inputs (2)'!Y88)=0,"",('Inputs (2)'!AD88)/('Inputs (2)'!Y88)-1),"")</f>
        <v>0.0449288876027567</v>
      </c>
      <c r="AE237" s="32">
        <f>IFERROR(IF(('Inputs (2)'!Z88)=0,"",('Inputs (2)'!AE88)/('Inputs (2)'!Z88)-1),"")</f>
        <v>-0.0442341053337736</v>
      </c>
      <c r="AF237" s="32">
        <f>IFERROR(IF(('Inputs (2)'!AA88)=0,"",('Inputs (2)'!AF88)/('Inputs (2)'!AA88)-1),"")</f>
        <v>0.0431674870427363</v>
      </c>
      <c r="AG237" s="32">
        <f>IFERROR(IF(('Inputs (2)'!AB88)=0,"",('Inputs (2)'!AG88)/('Inputs (2)'!AB88)-1),"")</f>
        <v>0.0612580586557205</v>
      </c>
      <c r="AH237" s="34">
        <f>IFERROR(IF(('Inputs (2)'!AC88)=0,"",('Inputs (2)'!AH88)/('Inputs (2)'!AC88)-1),"")</f>
        <v>0.0269442743417023</v>
      </c>
      <c r="AI237" s="32">
        <f>IFERROR(IF(('Inputs (2)'!AD88)=0,"",('Inputs (2)'!AI88)/('Inputs (2)'!AD88)-1),"")</f>
        <v>0.119611262116006</v>
      </c>
      <c r="AJ237" s="32">
        <f>IFERROR(IF(('Inputs (2)'!AE88)=0,"",('Inputs (2)'!AJ88)/('Inputs (2)'!AE88)-1),"")</f>
        <v>0.199311263798029</v>
      </c>
      <c r="AK237" s="32">
        <f>IFERROR(IF(('Inputs (2)'!AF88)=0,"",('Inputs (2)'!AK88)/('Inputs (2)'!AF88)-1),"")</f>
        <v>-1</v>
      </c>
      <c r="AL237" s="32">
        <f>IFERROR(IF(('Inputs (2)'!AG88)=0,"",('Inputs (2)'!AL88)/('Inputs (2)'!AG88)-1),"")</f>
        <v>-1</v>
      </c>
      <c r="AM237" s="34">
        <f>IFERROR(IF(('Inputs (2)'!AH88)=0,"",('Inputs (2)'!AM88)/('Inputs (2)'!AH88)-1),"")</f>
        <v>-0.454815707467259</v>
      </c>
      <c r="AN237" s="32">
        <f>IFERROR(IF(('Inputs (2)'!AI88)=0,"",('Inputs (2)'!AN88)/('Inputs (2)'!AI88)-1),"")</f>
        <v>-1</v>
      </c>
      <c r="AO237" s="32">
        <f>IFERROR(IF(('Inputs (2)'!AJ88)=0,"",('Inputs (2)'!AO88)/('Inputs (2)'!AJ88)-1),"")</f>
        <v>-1</v>
      </c>
      <c r="AP237" s="32" t="str">
        <f>IFERROR(IF(('Inputs (2)'!AK88)=0,"",('Inputs (2)'!AP88)/('Inputs (2)'!AK88)-1),"")</f>
        <v/>
      </c>
      <c r="AQ237" s="32" t="str">
        <f>IFERROR(IF(('Inputs (2)'!AL88)=0,"",('Inputs (2)'!AQ88)/('Inputs (2)'!AL88)-1),"")</f>
        <v/>
      </c>
      <c r="AR237" s="34">
        <f>IFERROR(IF(('Inputs (2)'!AM88)=0,"",('Inputs (2)'!AR88)/('Inputs (2)'!AM88)-1),"")</f>
        <v>-1</v>
      </c>
      <c r="AS237" s="32" t="str">
        <f>IFERROR(IF(('Inputs (2)'!AN88)=0,"",('Inputs (2)'!AS88)/('Inputs (2)'!AN88)-1),"")</f>
        <v/>
      </c>
      <c r="AT237" s="32" t="str">
        <f>IFERROR(IF(('Inputs (2)'!AO88)=0,"",('Inputs (2)'!AT88)/('Inputs (2)'!AO88)-1),"")</f>
        <v/>
      </c>
      <c r="AU237" s="32" t="str">
        <f>IFERROR(IF(('Inputs (2)'!AP88)=0,"",('Inputs (2)'!AU88)/('Inputs (2)'!AP88)-1),"")</f>
        <v/>
      </c>
      <c r="AV237" s="32" t="str">
        <f>IFERROR(IF(('Inputs (2)'!AQ88)=0,"",('Inputs (2)'!AV88)/('Inputs (2)'!AQ88)-1),"")</f>
        <v/>
      </c>
      <c r="AW237" s="34" t="str">
        <f>IFERROR(IF(('Inputs (2)'!AR88)=0,"",('Inputs (2)'!AW88)/('Inputs (2)'!AR88)-1),"")</f>
        <v/>
      </c>
      <c r="AX237" s="32" t="str">
        <f>IFERROR(IF(('Inputs (2)'!AS88)=0,"",('Inputs (2)'!AX88)/('Inputs (2)'!AS88)-1),"")</f>
        <v/>
      </c>
      <c r="AY237" s="32" t="str">
        <f>IFERROR(IF(('Inputs (2)'!AT88)=0,"",('Inputs (2)'!AY88)/('Inputs (2)'!AT88)-1),"")</f>
        <v/>
      </c>
      <c r="AZ237" s="32" t="str">
        <f>IFERROR(IF(('Inputs (2)'!AU88)=0,"",('Inputs (2)'!AZ88)/('Inputs (2)'!AU88)-1),"")</f>
        <v/>
      </c>
      <c r="BA237" s="32" t="str">
        <f>IFERROR(IF(('Inputs (2)'!AV88)=0,"",('Inputs (2)'!BA88)/('Inputs (2)'!AV88)-1),"")</f>
        <v/>
      </c>
      <c r="BB237" s="34" t="str">
        <f>IFERROR(IF(('Inputs (2)'!AW88)=0,"",('Inputs (2)'!BB88)/('Inputs (2)'!AW88)-1),"")</f>
        <v/>
      </c>
      <c r="BC237" s="32" t="str">
        <f>IFERROR(IF(('Inputs (2)'!AX88)=0,"",('Inputs (2)'!BC88)/('Inputs (2)'!AX88)-1),"")</f>
        <v/>
      </c>
      <c r="BD237" s="32" t="str">
        <f>IFERROR(IF(('Inputs (2)'!AY88)=0,"",('Inputs (2)'!BD88)/('Inputs (2)'!AY88)-1),"")</f>
        <v/>
      </c>
      <c r="BE237" s="32" t="str">
        <f>IFERROR(IF(('Inputs (2)'!AZ88)=0,"",('Inputs (2)'!BE88)/('Inputs (2)'!AZ88)-1),"")</f>
        <v/>
      </c>
      <c r="BF237" s="32" t="str">
        <f>IFERROR(IF(('Inputs (2)'!BA88)=0,"",('Inputs (2)'!BF88)/('Inputs (2)'!BA88)-1),"")</f>
        <v/>
      </c>
      <c r="BG237" s="34" t="str">
        <f>IFERROR(IF(('Inputs (2)'!BB88)=0,"",('Inputs (2)'!BG88)/('Inputs (2)'!BB88)-1),"")</f>
        <v/>
      </c>
    </row>
    <row r="238" hidden="1" outlineLevel="1">
      <c r="C238" s="30" t="inlineStr">
        <is>
          <t>Outras despesas administrativas — crescimento % YoY</t>
        </is>
      </c>
      <c r="D238" s="12" t="inlineStr">
        <is>
          <t>Admin YoY</t>
        </is>
      </c>
      <c r="E238" s="31" t="n"/>
      <c r="F238" s="31" t="n"/>
      <c r="G238" s="31" t="n"/>
      <c r="H238" s="31" t="n"/>
      <c r="I238" s="33" t="n"/>
      <c r="J238" s="32">
        <f>IFERROR(IF(('Inputs (2)'!E89)=0,"",('Inputs (2)'!J89)/('Inputs (2)'!E89)-1),"")</f>
        <v>-0.065543491825783</v>
      </c>
      <c r="K238" s="32">
        <f>IFERROR(IF(('Inputs (2)'!F89)=0,"",('Inputs (2)'!K89)/('Inputs (2)'!F89)-1),"")</f>
        <v>0.254265840669492</v>
      </c>
      <c r="L238" s="32">
        <f>IFERROR(IF(('Inputs (2)'!G89)=0,"",('Inputs (2)'!L89)/('Inputs (2)'!G89)-1),"")</f>
        <v>0.263442298432401</v>
      </c>
      <c r="M238" s="32">
        <f>IFERROR(IF(('Inputs (2)'!H89)=0,"",('Inputs (2)'!M89)/('Inputs (2)'!H89)-1),"")</f>
        <v>0.0908640912514795</v>
      </c>
      <c r="N238" s="34">
        <f>IFERROR(IF(('Inputs (2)'!I89)=0,"",('Inputs (2)'!N89)/('Inputs (2)'!I89)-1),"")</f>
        <v>0.129433286044949</v>
      </c>
      <c r="O238" s="32">
        <f>IFERROR(IF(('Inputs (2)'!J89)=0,"",('Inputs (2)'!O89)/('Inputs (2)'!J89)-1),"")</f>
        <v>0.406901893747162</v>
      </c>
      <c r="P238" s="32">
        <f>IFERROR(IF(('Inputs (2)'!K89)=0,"",('Inputs (2)'!P89)/('Inputs (2)'!K89)-1),"")</f>
        <v>0.40414193492483</v>
      </c>
      <c r="Q238" s="32">
        <f>IFERROR(IF(('Inputs (2)'!L89)=0,"",('Inputs (2)'!Q89)/('Inputs (2)'!L89)-1),"")</f>
        <v>0.449354224010163</v>
      </c>
      <c r="R238" s="32">
        <f>IFERROR(IF(('Inputs (2)'!M89)=0,"",('Inputs (2)'!R89)/('Inputs (2)'!M89)-1),"")</f>
        <v>0.523112435141161</v>
      </c>
      <c r="S238" s="34">
        <f>IFERROR(IF(('Inputs (2)'!N89)=0,"",('Inputs (2)'!S89)/('Inputs (2)'!N89)-1),"")</f>
        <v>0.44969644883703</v>
      </c>
      <c r="T238" s="32">
        <f>IFERROR(IF(('Inputs (2)'!O89)=0,"",('Inputs (2)'!T89)/('Inputs (2)'!O89)-1),"")</f>
        <v>0.333567482391358</v>
      </c>
      <c r="U238" s="32">
        <f>IFERROR(IF(('Inputs (2)'!P89)=0,"",('Inputs (2)'!U89)/('Inputs (2)'!P89)-1),"")</f>
        <v>0.15531179610602</v>
      </c>
      <c r="V238" s="32">
        <f>IFERROR(IF(('Inputs (2)'!Q89)=0,"",('Inputs (2)'!V89)/('Inputs (2)'!Q89)-1),"")</f>
        <v>0.136414766336026</v>
      </c>
      <c r="W238" s="32">
        <f>IFERROR(IF(('Inputs (2)'!R89)=0,"",('Inputs (2)'!W89)/('Inputs (2)'!R89)-1),"")</f>
        <v>0.0429393020906195</v>
      </c>
      <c r="X238" s="34">
        <f>IFERROR(IF(('Inputs (2)'!S89)=0,"",('Inputs (2)'!X89)/('Inputs (2)'!S89)-1),"")</f>
        <v>0.153108920523207</v>
      </c>
      <c r="Y238" s="32">
        <f>IFERROR(IF(('Inputs (2)'!T89)=0,"",('Inputs (2)'!Y89)/('Inputs (2)'!T89)-1),"")</f>
        <v>0.194482012442521</v>
      </c>
      <c r="Z238" s="32">
        <f>IFERROR(IF(('Inputs (2)'!U89)=0,"",('Inputs (2)'!Z89)/('Inputs (2)'!U89)-1),"")</f>
        <v>0.132256126059959</v>
      </c>
      <c r="AA238" s="32">
        <f>IFERROR(IF(('Inputs (2)'!V89)=0,"",('Inputs (2)'!AA89)/('Inputs (2)'!V89)-1),"")</f>
        <v>0.149490300934555</v>
      </c>
      <c r="AB238" s="32">
        <f>IFERROR(IF(('Inputs (2)'!W89)=0,"",('Inputs (2)'!AB89)/('Inputs (2)'!W89)-1),"")</f>
        <v>0.180111032452774</v>
      </c>
      <c r="AC238" s="34">
        <f>IFERROR(IF(('Inputs (2)'!X89)=0,"",('Inputs (2)'!AC89)/('Inputs (2)'!X89)-1),"")</f>
        <v>0.163777534636629</v>
      </c>
      <c r="AD238" s="32">
        <f>IFERROR(IF(('Inputs (2)'!Y89)=0,"",('Inputs (2)'!AD89)/('Inputs (2)'!Y89)-1),"")</f>
        <v>0.105882913806255</v>
      </c>
      <c r="AE238" s="32">
        <f>IFERROR(IF(('Inputs (2)'!Z89)=0,"",('Inputs (2)'!AE89)/('Inputs (2)'!Z89)-1),"")</f>
        <v>0.0284470862965713</v>
      </c>
      <c r="AF238" s="32">
        <f>IFERROR(IF(('Inputs (2)'!AA89)=0,"",('Inputs (2)'!AF89)/('Inputs (2)'!AA89)-1),"")</f>
        <v>0.074602997092373</v>
      </c>
      <c r="AG238" s="32">
        <f>IFERROR(IF(('Inputs (2)'!AB89)=0,"",('Inputs (2)'!AG89)/('Inputs (2)'!AB89)-1),"")</f>
        <v>0.0713436260116398</v>
      </c>
      <c r="AH238" s="34">
        <f>IFERROR(IF(('Inputs (2)'!AC89)=0,"",('Inputs (2)'!AH89)/('Inputs (2)'!AC89)-1),"")</f>
        <v>0.0700757790288051</v>
      </c>
      <c r="AI238" s="32">
        <f>IFERROR(IF(('Inputs (2)'!AD89)=0,"",('Inputs (2)'!AI89)/('Inputs (2)'!AD89)-1),"")</f>
        <v>0.00830926412898214</v>
      </c>
      <c r="AJ238" s="32">
        <f>IFERROR(IF(('Inputs (2)'!AE89)=0,"",('Inputs (2)'!AJ89)/('Inputs (2)'!AE89)-1),"")</f>
        <v>0.203300420866733</v>
      </c>
      <c r="AK238" s="32">
        <f>IFERROR(IF(('Inputs (2)'!AF89)=0,"",('Inputs (2)'!AK89)/('Inputs (2)'!AF89)-1),"")</f>
        <v>-1</v>
      </c>
      <c r="AL238" s="32">
        <f>IFERROR(IF(('Inputs (2)'!AG89)=0,"",('Inputs (2)'!AL89)/('Inputs (2)'!AG89)-1),"")</f>
        <v>-1</v>
      </c>
      <c r="AM238" s="34">
        <f>IFERROR(IF(('Inputs (2)'!AH89)=0,"",('Inputs (2)'!AM89)/('Inputs (2)'!AH89)-1),"")</f>
        <v>-0.474729939292576</v>
      </c>
      <c r="AN238" s="32">
        <f>IFERROR(IF(('Inputs (2)'!AI89)=0,"",('Inputs (2)'!AN89)/('Inputs (2)'!AI89)-1),"")</f>
        <v>-1</v>
      </c>
      <c r="AO238" s="32">
        <f>IFERROR(IF(('Inputs (2)'!AJ89)=0,"",('Inputs (2)'!AO89)/('Inputs (2)'!AJ89)-1),"")</f>
        <v>-1</v>
      </c>
      <c r="AP238" s="32" t="str">
        <f>IFERROR(IF(('Inputs (2)'!AK89)=0,"",('Inputs (2)'!AP89)/('Inputs (2)'!AK89)-1),"")</f>
        <v/>
      </c>
      <c r="AQ238" s="32" t="str">
        <f>IFERROR(IF(('Inputs (2)'!AL89)=0,"",('Inputs (2)'!AQ89)/('Inputs (2)'!AL89)-1),"")</f>
        <v/>
      </c>
      <c r="AR238" s="34">
        <f>IFERROR(IF(('Inputs (2)'!AM89)=0,"",('Inputs (2)'!AR89)/('Inputs (2)'!AM89)-1),"")</f>
        <v>-1</v>
      </c>
      <c r="AS238" s="32" t="str">
        <f>IFERROR(IF(('Inputs (2)'!AN89)=0,"",('Inputs (2)'!AS89)/('Inputs (2)'!AN89)-1),"")</f>
        <v/>
      </c>
      <c r="AT238" s="32" t="str">
        <f>IFERROR(IF(('Inputs (2)'!AO89)=0,"",('Inputs (2)'!AT89)/('Inputs (2)'!AO89)-1),"")</f>
        <v/>
      </c>
      <c r="AU238" s="32" t="str">
        <f>IFERROR(IF(('Inputs (2)'!AP89)=0,"",('Inputs (2)'!AU89)/('Inputs (2)'!AP89)-1),"")</f>
        <v/>
      </c>
      <c r="AV238" s="32" t="str">
        <f>IFERROR(IF(('Inputs (2)'!AQ89)=0,"",('Inputs (2)'!AV89)/('Inputs (2)'!AQ89)-1),"")</f>
        <v/>
      </c>
      <c r="AW238" s="34" t="str">
        <f>IFERROR(IF(('Inputs (2)'!AR89)=0,"",('Inputs (2)'!AW89)/('Inputs (2)'!AR89)-1),"")</f>
        <v/>
      </c>
      <c r="AX238" s="32" t="str">
        <f>IFERROR(IF(('Inputs (2)'!AS89)=0,"",('Inputs (2)'!AX89)/('Inputs (2)'!AS89)-1),"")</f>
        <v/>
      </c>
      <c r="AY238" s="32" t="str">
        <f>IFERROR(IF(('Inputs (2)'!AT89)=0,"",('Inputs (2)'!AY89)/('Inputs (2)'!AT89)-1),"")</f>
        <v/>
      </c>
      <c r="AZ238" s="32" t="str">
        <f>IFERROR(IF(('Inputs (2)'!AU89)=0,"",('Inputs (2)'!AZ89)/('Inputs (2)'!AU89)-1),"")</f>
        <v/>
      </c>
      <c r="BA238" s="32" t="str">
        <f>IFERROR(IF(('Inputs (2)'!AV89)=0,"",('Inputs (2)'!BA89)/('Inputs (2)'!AV89)-1),"")</f>
        <v/>
      </c>
      <c r="BB238" s="34" t="str">
        <f>IFERROR(IF(('Inputs (2)'!AW89)=0,"",('Inputs (2)'!BB89)/('Inputs (2)'!AW89)-1),"")</f>
        <v/>
      </c>
      <c r="BC238" s="32" t="str">
        <f>IFERROR(IF(('Inputs (2)'!AX89)=0,"",('Inputs (2)'!BC89)/('Inputs (2)'!AX89)-1),"")</f>
        <v/>
      </c>
      <c r="BD238" s="32" t="str">
        <f>IFERROR(IF(('Inputs (2)'!AY89)=0,"",('Inputs (2)'!BD89)/('Inputs (2)'!AY89)-1),"")</f>
        <v/>
      </c>
      <c r="BE238" s="32" t="str">
        <f>IFERROR(IF(('Inputs (2)'!AZ89)=0,"",('Inputs (2)'!BE89)/('Inputs (2)'!AZ89)-1),"")</f>
        <v/>
      </c>
      <c r="BF238" s="32" t="str">
        <f>IFERROR(IF(('Inputs (2)'!BA89)=0,"",('Inputs (2)'!BF89)/('Inputs (2)'!BA89)-1),"")</f>
        <v/>
      </c>
      <c r="BG238" s="34" t="str">
        <f>IFERROR(IF(('Inputs (2)'!BB89)=0,"",('Inputs (2)'!BG89)/('Inputs (2)'!BB89)-1),"")</f>
        <v/>
      </c>
    </row>
    <row r="239" hidden="1" outlineLevel="1">
      <c r="C239" s="30" t="inlineStr">
        <is>
          <t>Demais provisões (% da receita operacional)</t>
        </is>
      </c>
      <c r="D239" s="12" t="inlineStr">
        <is>
          <t>Other provisions</t>
        </is>
      </c>
      <c r="E239" s="32" t="str">
        <f>IFERROR(IF(OR(('Inputs (2)'!E80+'Inputs (2)'!E86+'Inputs (2)'!E87+'Inputs (2)'!E96)=0,('Inputs (2)'!E90)=0),"",-('Inputs (2)'!E90)/('Inputs (2)'!E80+'Inputs (2)'!E86+'Inputs (2)'!E87+'Inputs (2)'!E96)),"")</f>
        <v/>
      </c>
      <c r="F239" s="32" t="str">
        <f>IFERROR(IF(OR(('Inputs (2)'!F80+'Inputs (2)'!F86+'Inputs (2)'!F87+'Inputs (2)'!F96)=0,('Inputs (2)'!F90)=0),"",-('Inputs (2)'!F90)/('Inputs (2)'!F80+'Inputs (2)'!F86+'Inputs (2)'!F87+'Inputs (2)'!F96)),"")</f>
        <v/>
      </c>
      <c r="G239" s="32" t="str">
        <f>IFERROR(IF(OR(('Inputs (2)'!G80+'Inputs (2)'!G86+'Inputs (2)'!G87+'Inputs (2)'!G96)=0,('Inputs (2)'!G90)=0),"",-('Inputs (2)'!G90)/('Inputs (2)'!G80+'Inputs (2)'!G86+'Inputs (2)'!G87+'Inputs (2)'!G96)),"")</f>
        <v/>
      </c>
      <c r="H239" s="32" t="str">
        <f>IFERROR(IF(OR(('Inputs (2)'!H80+'Inputs (2)'!H86+'Inputs (2)'!H87+'Inputs (2)'!H96)=0,('Inputs (2)'!H90)=0),"",-('Inputs (2)'!H90)/('Inputs (2)'!H80+'Inputs (2)'!H86+'Inputs (2)'!H87+'Inputs (2)'!H96)),"")</f>
        <v/>
      </c>
      <c r="I239" s="34" t="str">
        <f>IFERROR(IF(OR(('Inputs (2)'!I80+'Inputs (2)'!I86+'Inputs (2)'!I87+'Inputs (2)'!I96)=0,('Inputs (2)'!I90)=0),"",-('Inputs (2)'!I90)/('Inputs (2)'!I80+'Inputs (2)'!I86+'Inputs (2)'!I87+'Inputs (2)'!I96)),"")</f>
        <v/>
      </c>
      <c r="J239" s="32" t="str">
        <f>IFERROR(IF(OR(('Inputs (2)'!J80+'Inputs (2)'!J86+'Inputs (2)'!J87+'Inputs (2)'!J96)=0,('Inputs (2)'!J90)=0),"",-('Inputs (2)'!J90)/('Inputs (2)'!J80+'Inputs (2)'!J86+'Inputs (2)'!J87+'Inputs (2)'!J96)),"")</f>
        <v/>
      </c>
      <c r="K239" s="32" t="str">
        <f>IFERROR(IF(OR(('Inputs (2)'!K80+'Inputs (2)'!K86+'Inputs (2)'!K87+'Inputs (2)'!K96)=0,('Inputs (2)'!K90)=0),"",-('Inputs (2)'!K90)/('Inputs (2)'!K80+'Inputs (2)'!K86+'Inputs (2)'!K87+'Inputs (2)'!K96)),"")</f>
        <v/>
      </c>
      <c r="L239" s="32" t="str">
        <f>IFERROR(IF(OR(('Inputs (2)'!L80+'Inputs (2)'!L86+'Inputs (2)'!L87+'Inputs (2)'!L96)=0,('Inputs (2)'!L90)=0),"",-('Inputs (2)'!L90)/('Inputs (2)'!L80+'Inputs (2)'!L86+'Inputs (2)'!L87+'Inputs (2)'!L96)),"")</f>
        <v/>
      </c>
      <c r="M239" s="32" t="str">
        <f>IFERROR(IF(OR(('Inputs (2)'!M80+'Inputs (2)'!M86+'Inputs (2)'!M87+'Inputs (2)'!M96)=0,('Inputs (2)'!M90)=0),"",-('Inputs (2)'!M90)/('Inputs (2)'!M80+'Inputs (2)'!M86+'Inputs (2)'!M87+'Inputs (2)'!M96)),"")</f>
        <v/>
      </c>
      <c r="N239" s="34" t="str">
        <f>IFERROR(IF(OR(('Inputs (2)'!N80+'Inputs (2)'!N86+'Inputs (2)'!N87+'Inputs (2)'!N96)=0,('Inputs (2)'!N90)=0),"",-('Inputs (2)'!N90)/('Inputs (2)'!N80+'Inputs (2)'!N86+'Inputs (2)'!N87+'Inputs (2)'!N96)),"")</f>
        <v/>
      </c>
      <c r="O239" s="32" t="str">
        <f>IFERROR(IF(OR(('Inputs (2)'!O80+'Inputs (2)'!O86+'Inputs (2)'!O87+'Inputs (2)'!O96)=0,('Inputs (2)'!O90)=0),"",-('Inputs (2)'!O90)/('Inputs (2)'!O80+'Inputs (2)'!O86+'Inputs (2)'!O87+'Inputs (2)'!O96)),"")</f>
        <v/>
      </c>
      <c r="P239" s="32" t="str">
        <f>IFERROR(IF(OR(('Inputs (2)'!P80+'Inputs (2)'!P86+'Inputs (2)'!P87+'Inputs (2)'!P96)=0,('Inputs (2)'!P90)=0),"",-('Inputs (2)'!P90)/('Inputs (2)'!P80+'Inputs (2)'!P86+'Inputs (2)'!P87+'Inputs (2)'!P96)),"")</f>
        <v/>
      </c>
      <c r="Q239" s="32" t="str">
        <f>IFERROR(IF(OR(('Inputs (2)'!Q80+'Inputs (2)'!Q86+'Inputs (2)'!Q87+'Inputs (2)'!Q96)=0,('Inputs (2)'!Q90)=0),"",-('Inputs (2)'!Q90)/('Inputs (2)'!Q80+'Inputs (2)'!Q86+'Inputs (2)'!Q87+'Inputs (2)'!Q96)),"")</f>
        <v/>
      </c>
      <c r="R239" s="32" t="str">
        <f>IFERROR(IF(OR(('Inputs (2)'!R80+'Inputs (2)'!R86+'Inputs (2)'!R87+'Inputs (2)'!R96)=0,('Inputs (2)'!R90)=0),"",-('Inputs (2)'!R90)/('Inputs (2)'!R80+'Inputs (2)'!R86+'Inputs (2)'!R87+'Inputs (2)'!R96)),"")</f>
        <v/>
      </c>
      <c r="S239" s="34" t="str">
        <f>IFERROR(IF(OR(('Inputs (2)'!S80+'Inputs (2)'!S86+'Inputs (2)'!S87+'Inputs (2)'!S96)=0,('Inputs (2)'!S90)=0),"",-('Inputs (2)'!S90)/('Inputs (2)'!S80+'Inputs (2)'!S86+'Inputs (2)'!S87+'Inputs (2)'!S96)),"")</f>
        <v/>
      </c>
      <c r="T239" s="32" t="str">
        <f>IFERROR(IF(OR(('Inputs (2)'!T80+'Inputs (2)'!T86+'Inputs (2)'!T87+'Inputs (2)'!T96)=0,('Inputs (2)'!T90)=0),"",-('Inputs (2)'!T90)/('Inputs (2)'!T80+'Inputs (2)'!T86+'Inputs (2)'!T87+'Inputs (2)'!T96)),"")</f>
        <v/>
      </c>
      <c r="U239" s="32" t="str">
        <f>IFERROR(IF(OR(('Inputs (2)'!U80+'Inputs (2)'!U86+'Inputs (2)'!U87+'Inputs (2)'!U96)=0,('Inputs (2)'!U90)=0),"",-('Inputs (2)'!U90)/('Inputs (2)'!U80+'Inputs (2)'!U86+'Inputs (2)'!U87+'Inputs (2)'!U96)),"")</f>
        <v/>
      </c>
      <c r="V239" s="32" t="str">
        <f>IFERROR(IF(OR(('Inputs (2)'!V80+'Inputs (2)'!V86+'Inputs (2)'!V87+'Inputs (2)'!V96)=0,('Inputs (2)'!V90)=0),"",-('Inputs (2)'!V90)/('Inputs (2)'!V80+'Inputs (2)'!V86+'Inputs (2)'!V87+'Inputs (2)'!V96)),"")</f>
        <v/>
      </c>
      <c r="W239" s="32" t="str">
        <f>IFERROR(IF(OR(('Inputs (2)'!W80+'Inputs (2)'!W86+'Inputs (2)'!W87+'Inputs (2)'!W96)=0,('Inputs (2)'!W90)=0),"",-('Inputs (2)'!W90)/('Inputs (2)'!W80+'Inputs (2)'!W86+'Inputs (2)'!W87+'Inputs (2)'!W96)),"")</f>
        <v/>
      </c>
      <c r="X239" s="34" t="str">
        <f>IFERROR(IF(OR(('Inputs (2)'!X80+'Inputs (2)'!X86+'Inputs (2)'!X87+'Inputs (2)'!X96)=0,('Inputs (2)'!X90)=0),"",-('Inputs (2)'!X90)/('Inputs (2)'!X80+'Inputs (2)'!X86+'Inputs (2)'!X87+'Inputs (2)'!X96)),"")</f>
        <v/>
      </c>
      <c r="Y239" s="32" t="str">
        <f>IFERROR(IF(OR(('Inputs (2)'!Y80+'Inputs (2)'!Y86+'Inputs (2)'!Y87+'Inputs (2)'!Y96)=0,('Inputs (2)'!Y90)=0),"",-('Inputs (2)'!Y90)/('Inputs (2)'!Y80+'Inputs (2)'!Y86+'Inputs (2)'!Y87+'Inputs (2)'!Y96)),"")</f>
        <v/>
      </c>
      <c r="Z239" s="32" t="str">
        <f>IFERROR(IF(OR(('Inputs (2)'!Z80+'Inputs (2)'!Z86+'Inputs (2)'!Z87+'Inputs (2)'!Z96)=0,('Inputs (2)'!Z90)=0),"",-('Inputs (2)'!Z90)/('Inputs (2)'!Z80+'Inputs (2)'!Z86+'Inputs (2)'!Z87+'Inputs (2)'!Z96)),"")</f>
        <v/>
      </c>
      <c r="AA239" s="32" t="str">
        <f>IFERROR(IF(OR(('Inputs (2)'!AA80+'Inputs (2)'!AA86+'Inputs (2)'!AA87+'Inputs (2)'!AA96)=0,('Inputs (2)'!AA90)=0),"",-('Inputs (2)'!AA90)/('Inputs (2)'!AA80+'Inputs (2)'!AA86+'Inputs (2)'!AA87+'Inputs (2)'!AA96)),"")</f>
        <v/>
      </c>
      <c r="AB239" s="32" t="str">
        <f>IFERROR(IF(OR(('Inputs (2)'!AB80+'Inputs (2)'!AB86+'Inputs (2)'!AB87+'Inputs (2)'!AB96)=0,('Inputs (2)'!AB90)=0),"",-('Inputs (2)'!AB90)/('Inputs (2)'!AB80+'Inputs (2)'!AB86+'Inputs (2)'!AB87+'Inputs (2)'!AB96)),"")</f>
        <v/>
      </c>
      <c r="AC239" s="34" t="str">
        <f>IFERROR(IF(OR(('Inputs (2)'!AC80+'Inputs (2)'!AC86+'Inputs (2)'!AC87+'Inputs (2)'!AC96)=0,('Inputs (2)'!AC90)=0),"",-('Inputs (2)'!AC90)/('Inputs (2)'!AC80+'Inputs (2)'!AC86+'Inputs (2)'!AC87+'Inputs (2)'!AC96)),"")</f>
        <v/>
      </c>
      <c r="AD239" s="32" t="str">
        <f>IFERROR(IF(OR(('Inputs (2)'!AD80+'Inputs (2)'!AD86+'Inputs (2)'!AD87+'Inputs (2)'!AD96)=0,('Inputs (2)'!AD90)=0),"",-('Inputs (2)'!AD90)/('Inputs (2)'!AD80+'Inputs (2)'!AD86+'Inputs (2)'!AD87+'Inputs (2)'!AD96)),"")</f>
        <v/>
      </c>
      <c r="AE239" s="32" t="str">
        <f>IFERROR(IF(OR(('Inputs (2)'!AE80+'Inputs (2)'!AE86+'Inputs (2)'!AE87+'Inputs (2)'!AE96)=0,('Inputs (2)'!AE90)=0),"",-('Inputs (2)'!AE90)/('Inputs (2)'!AE80+'Inputs (2)'!AE86+'Inputs (2)'!AE87+'Inputs (2)'!AE96)),"")</f>
        <v/>
      </c>
      <c r="AF239" s="32" t="str">
        <f>IFERROR(IF(OR(('Inputs (2)'!AF80+'Inputs (2)'!AF86+'Inputs (2)'!AF87+'Inputs (2)'!AF96)=0,('Inputs (2)'!AF90)=0),"",-('Inputs (2)'!AF90)/('Inputs (2)'!AF80+'Inputs (2)'!AF86+'Inputs (2)'!AF87+'Inputs (2)'!AF96)),"")</f>
        <v/>
      </c>
      <c r="AG239" s="32" t="str">
        <f>IFERROR(IF(OR(('Inputs (2)'!AG80+'Inputs (2)'!AG86+'Inputs (2)'!AG87+'Inputs (2)'!AG96)=0,('Inputs (2)'!AG90)=0),"",-('Inputs (2)'!AG90)/('Inputs (2)'!AG80+'Inputs (2)'!AG86+'Inputs (2)'!AG87+'Inputs (2)'!AG96)),"")</f>
        <v/>
      </c>
      <c r="AH239" s="34" t="str">
        <f>IFERROR(IF(OR(('Inputs (2)'!AH80+'Inputs (2)'!AH86+'Inputs (2)'!AH87+'Inputs (2)'!AH96)=0,('Inputs (2)'!AH90)=0),"",-('Inputs (2)'!AH90)/('Inputs (2)'!AH80+'Inputs (2)'!AH86+'Inputs (2)'!AH87+'Inputs (2)'!AH96)),"")</f>
        <v/>
      </c>
      <c r="AI239" s="32" t="str">
        <f>IFERROR(IF(OR(('Inputs (2)'!AI80+'Inputs (2)'!AI86+'Inputs (2)'!AI87+'Inputs (2)'!AI96)=0,('Inputs (2)'!AI90)=0),"",-('Inputs (2)'!AI90)/('Inputs (2)'!AI80+'Inputs (2)'!AI86+'Inputs (2)'!AI87+'Inputs (2)'!AI96)),"")</f>
        <v/>
      </c>
      <c r="AJ239" s="32" t="str">
        <f>IFERROR(IF(OR(('Inputs (2)'!AJ80+'Inputs (2)'!AJ86+'Inputs (2)'!AJ87+'Inputs (2)'!AJ96)=0,('Inputs (2)'!AJ90)=0),"",-('Inputs (2)'!AJ90)/('Inputs (2)'!AJ80+'Inputs (2)'!AJ86+'Inputs (2)'!AJ87+'Inputs (2)'!AJ96)),"")</f>
        <v/>
      </c>
      <c r="AK239" s="32" t="str">
        <f>IFERROR(IF(OR(('Inputs (2)'!AK80+'Inputs (2)'!AK86+'Inputs (2)'!AK87+'Inputs (2)'!AK96)=0,('Inputs (2)'!AK90)=0),"",-('Inputs (2)'!AK90)/('Inputs (2)'!AK80+'Inputs (2)'!AK86+'Inputs (2)'!AK87+'Inputs (2)'!AK96)),"")</f>
        <v/>
      </c>
      <c r="AL239" s="32" t="str">
        <f>IFERROR(IF(OR(('Inputs (2)'!AL80+'Inputs (2)'!AL86+'Inputs (2)'!AL87+'Inputs (2)'!AL96)=0,('Inputs (2)'!AL90)=0),"",-('Inputs (2)'!AL90)/('Inputs (2)'!AL80+'Inputs (2)'!AL86+'Inputs (2)'!AL87+'Inputs (2)'!AL96)),"")</f>
        <v/>
      </c>
      <c r="AM239" s="34" t="str">
        <f>IFERROR(IF(OR(('Inputs (2)'!AM80+'Inputs (2)'!AM86+'Inputs (2)'!AM87+'Inputs (2)'!AM96)=0,('Inputs (2)'!AM90)=0),"",-('Inputs (2)'!AM90)/('Inputs (2)'!AM80+'Inputs (2)'!AM86+'Inputs (2)'!AM87+'Inputs (2)'!AM96)),"")</f>
        <v/>
      </c>
      <c r="AN239" s="32" t="str">
        <f>IFERROR(IF(OR(('Inputs (2)'!AN80+'Inputs (2)'!AN86+'Inputs (2)'!AN87+'Inputs (2)'!AN96)=0,('Inputs (2)'!AN90)=0),"",-('Inputs (2)'!AN90)/('Inputs (2)'!AN80+'Inputs (2)'!AN86+'Inputs (2)'!AN87+'Inputs (2)'!AN96)),"")</f>
        <v/>
      </c>
      <c r="AO239" s="32" t="str">
        <f>IFERROR(IF(OR(('Inputs (2)'!AO80+'Inputs (2)'!AO86+'Inputs (2)'!AO87+'Inputs (2)'!AO96)=0,('Inputs (2)'!AO90)=0),"",-('Inputs (2)'!AO90)/('Inputs (2)'!AO80+'Inputs (2)'!AO86+'Inputs (2)'!AO87+'Inputs (2)'!AO96)),"")</f>
        <v/>
      </c>
      <c r="AP239" s="32" t="str">
        <f>IFERROR(IF(OR(('Inputs (2)'!AP80+'Inputs (2)'!AP86+'Inputs (2)'!AP87+'Inputs (2)'!AP96)=0,('Inputs (2)'!AP90)=0),"",-('Inputs (2)'!AP90)/('Inputs (2)'!AP80+'Inputs (2)'!AP86+'Inputs (2)'!AP87+'Inputs (2)'!AP96)),"")</f>
        <v/>
      </c>
      <c r="AQ239" s="32" t="str">
        <f>IFERROR(IF(OR(('Inputs (2)'!AQ80+'Inputs (2)'!AQ86+'Inputs (2)'!AQ87+'Inputs (2)'!AQ96)=0,('Inputs (2)'!AQ90)=0),"",-('Inputs (2)'!AQ90)/('Inputs (2)'!AQ80+'Inputs (2)'!AQ86+'Inputs (2)'!AQ87+'Inputs (2)'!AQ96)),"")</f>
        <v/>
      </c>
      <c r="AR239" s="34" t="str">
        <f>IFERROR(IF(OR(('Inputs (2)'!AR80+'Inputs (2)'!AR86+'Inputs (2)'!AR87+'Inputs (2)'!AR96)=0,('Inputs (2)'!AR90)=0),"",-('Inputs (2)'!AR90)/('Inputs (2)'!AR80+'Inputs (2)'!AR86+'Inputs (2)'!AR87+'Inputs (2)'!AR96)),"")</f>
        <v/>
      </c>
      <c r="AS239" s="32" t="str">
        <f>IFERROR(IF(OR(('Inputs (2)'!AS80+'Inputs (2)'!AS86+'Inputs (2)'!AS87+'Inputs (2)'!AS96)=0,('Inputs (2)'!AS90)=0),"",-('Inputs (2)'!AS90)/('Inputs (2)'!AS80+'Inputs (2)'!AS86+'Inputs (2)'!AS87+'Inputs (2)'!AS96)),"")</f>
        <v/>
      </c>
      <c r="AT239" s="32" t="str">
        <f>IFERROR(IF(OR(('Inputs (2)'!AT80+'Inputs (2)'!AT86+'Inputs (2)'!AT87+'Inputs (2)'!AT96)=0,('Inputs (2)'!AT90)=0),"",-('Inputs (2)'!AT90)/('Inputs (2)'!AT80+'Inputs (2)'!AT86+'Inputs (2)'!AT87+'Inputs (2)'!AT96)),"")</f>
        <v/>
      </c>
      <c r="AU239" s="32" t="str">
        <f>IFERROR(IF(OR(('Inputs (2)'!AU80+'Inputs (2)'!AU86+'Inputs (2)'!AU87+'Inputs (2)'!AU96)=0,('Inputs (2)'!AU90)=0),"",-('Inputs (2)'!AU90)/('Inputs (2)'!AU80+'Inputs (2)'!AU86+'Inputs (2)'!AU87+'Inputs (2)'!AU96)),"")</f>
        <v/>
      </c>
      <c r="AV239" s="32" t="str">
        <f>IFERROR(IF(OR(('Inputs (2)'!AV80+'Inputs (2)'!AV86+'Inputs (2)'!AV87+'Inputs (2)'!AV96)=0,('Inputs (2)'!AV90)=0),"",-('Inputs (2)'!AV90)/('Inputs (2)'!AV80+'Inputs (2)'!AV86+'Inputs (2)'!AV87+'Inputs (2)'!AV96)),"")</f>
        <v/>
      </c>
      <c r="AW239" s="34" t="str">
        <f>IFERROR(IF(OR(('Inputs (2)'!AW80+'Inputs (2)'!AW86+'Inputs (2)'!AW87+'Inputs (2)'!AW96)=0,('Inputs (2)'!AW90)=0),"",-('Inputs (2)'!AW90)/('Inputs (2)'!AW80+'Inputs (2)'!AW86+'Inputs (2)'!AW87+'Inputs (2)'!AW96)),"")</f>
        <v/>
      </c>
      <c r="AX239" s="32" t="str">
        <f>IFERROR(IF(OR(('Inputs (2)'!AX80+'Inputs (2)'!AX86+'Inputs (2)'!AX87+'Inputs (2)'!AX96)=0,('Inputs (2)'!AX90)=0),"",-('Inputs (2)'!AX90)/('Inputs (2)'!AX80+'Inputs (2)'!AX86+'Inputs (2)'!AX87+'Inputs (2)'!AX96)),"")</f>
        <v/>
      </c>
      <c r="AY239" s="32" t="str">
        <f>IFERROR(IF(OR(('Inputs (2)'!AY80+'Inputs (2)'!AY86+'Inputs (2)'!AY87+'Inputs (2)'!AY96)=0,('Inputs (2)'!AY90)=0),"",-('Inputs (2)'!AY90)/('Inputs (2)'!AY80+'Inputs (2)'!AY86+'Inputs (2)'!AY87+'Inputs (2)'!AY96)),"")</f>
        <v/>
      </c>
      <c r="AZ239" s="32" t="str">
        <f>IFERROR(IF(OR(('Inputs (2)'!AZ80+'Inputs (2)'!AZ86+'Inputs (2)'!AZ87+'Inputs (2)'!AZ96)=0,('Inputs (2)'!AZ90)=0),"",-('Inputs (2)'!AZ90)/('Inputs (2)'!AZ80+'Inputs (2)'!AZ86+'Inputs (2)'!AZ87+'Inputs (2)'!AZ96)),"")</f>
        <v/>
      </c>
      <c r="BA239" s="32" t="str">
        <f>IFERROR(IF(OR(('Inputs (2)'!BA80+'Inputs (2)'!BA86+'Inputs (2)'!BA87+'Inputs (2)'!BA96)=0,('Inputs (2)'!BA90)=0),"",-('Inputs (2)'!BA90)/('Inputs (2)'!BA80+'Inputs (2)'!BA86+'Inputs (2)'!BA87+'Inputs (2)'!BA96)),"")</f>
        <v/>
      </c>
      <c r="BB239" s="34" t="str">
        <f>IFERROR(IF(OR(('Inputs (2)'!BB80+'Inputs (2)'!BB86+'Inputs (2)'!BB87+'Inputs (2)'!BB96)=0,('Inputs (2)'!BB90)=0),"",-('Inputs (2)'!BB90)/('Inputs (2)'!BB80+'Inputs (2)'!BB86+'Inputs (2)'!BB87+'Inputs (2)'!BB96)),"")</f>
        <v/>
      </c>
      <c r="BC239" s="32" t="str">
        <f>IFERROR(IF(OR(('Inputs (2)'!BC80+'Inputs (2)'!BC86+'Inputs (2)'!BC87+'Inputs (2)'!BC96)=0,('Inputs (2)'!BC90)=0),"",-('Inputs (2)'!BC90)/('Inputs (2)'!BC80+'Inputs (2)'!BC86+'Inputs (2)'!BC87+'Inputs (2)'!BC96)),"")</f>
        <v/>
      </c>
      <c r="BD239" s="32" t="str">
        <f>IFERROR(IF(OR(('Inputs (2)'!BD80+'Inputs (2)'!BD86+'Inputs (2)'!BD87+'Inputs (2)'!BD96)=0,('Inputs (2)'!BD90)=0),"",-('Inputs (2)'!BD90)/('Inputs (2)'!BD80+'Inputs (2)'!BD86+'Inputs (2)'!BD87+'Inputs (2)'!BD96)),"")</f>
        <v/>
      </c>
      <c r="BE239" s="32" t="str">
        <f>IFERROR(IF(OR(('Inputs (2)'!BE80+'Inputs (2)'!BE86+'Inputs (2)'!BE87+'Inputs (2)'!BE96)=0,('Inputs (2)'!BE90)=0),"",-('Inputs (2)'!BE90)/('Inputs (2)'!BE80+'Inputs (2)'!BE86+'Inputs (2)'!BE87+'Inputs (2)'!BE96)),"")</f>
        <v/>
      </c>
      <c r="BF239" s="32" t="str">
        <f>IFERROR(IF(OR(('Inputs (2)'!BF80+'Inputs (2)'!BF86+'Inputs (2)'!BF87+'Inputs (2)'!BF96)=0,('Inputs (2)'!BF90)=0),"",-('Inputs (2)'!BF90)/('Inputs (2)'!BF80+'Inputs (2)'!BF86+'Inputs (2)'!BF87+'Inputs (2)'!BF96)),"")</f>
        <v/>
      </c>
      <c r="BG239" s="34" t="str">
        <f>IFERROR(IF(OR(('Inputs (2)'!BG80+'Inputs (2)'!BG86+'Inputs (2)'!BG87+'Inputs (2)'!BG96)=0,('Inputs (2)'!BG90)=0),"",-('Inputs (2)'!BG90)/('Inputs (2)'!BG80+'Inputs (2)'!BG86+'Inputs (2)'!BG87+'Inputs (2)'!BG96)),"")</f>
        <v/>
      </c>
    </row>
    <row r="240" hidden="1" outlineLevel="1">
      <c r="C240" s="30" t="inlineStr">
        <is>
          <t>Despesas tributárias (% da receita operacional)</t>
        </is>
      </c>
      <c r="D240" s="12" t="inlineStr">
        <is>
          <t>Tax expenses</t>
        </is>
      </c>
      <c r="E240" s="32">
        <f>IFERROR(IF(OR(('Inputs (2)'!E80+'Inputs (2)'!E86+'Inputs (2)'!E87+'Inputs (2)'!E96)=0,('Inputs (2)'!E94)=0),"",-('Inputs (2)'!E94)/('Inputs (2)'!E80+'Inputs (2)'!E86+'Inputs (2)'!E87+'Inputs (2)'!E96)),"")</f>
        <v>-0.0641160235943503</v>
      </c>
      <c r="F240" s="32">
        <f>IFERROR(IF(OR(('Inputs (2)'!F80+'Inputs (2)'!F86+'Inputs (2)'!F87+'Inputs (2)'!F96)=0,('Inputs (2)'!F94)=0),"",-('Inputs (2)'!F94)/('Inputs (2)'!F80+'Inputs (2)'!F86+'Inputs (2)'!F87+'Inputs (2)'!F96)),"")</f>
        <v>0.111832428477918</v>
      </c>
      <c r="G240" s="32">
        <f>IFERROR(IF(OR(('Inputs (2)'!G80+'Inputs (2)'!G86+'Inputs (2)'!G87+'Inputs (2)'!G96)=0,('Inputs (2)'!G94)=0),"",-('Inputs (2)'!G94)/('Inputs (2)'!G80+'Inputs (2)'!G86+'Inputs (2)'!G87+'Inputs (2)'!G96)),"")</f>
        <v>0.0497722823933689</v>
      </c>
      <c r="H240" s="32">
        <f>IFERROR(IF(OR(('Inputs (2)'!H80+'Inputs (2)'!H86+'Inputs (2)'!H87+'Inputs (2)'!H96)=0,('Inputs (2)'!H94)=0),"",-('Inputs (2)'!H94)/('Inputs (2)'!H80+'Inputs (2)'!H86+'Inputs (2)'!H87+'Inputs (2)'!H96)),"")</f>
        <v>0.0464367420578826</v>
      </c>
      <c r="I240" s="34">
        <f>IFERROR(IF(OR(('Inputs (2)'!I80+'Inputs (2)'!I86+'Inputs (2)'!I87+'Inputs (2)'!I96)=0,('Inputs (2)'!I94)=0),"",-('Inputs (2)'!I94)/('Inputs (2)'!I80+'Inputs (2)'!I86+'Inputs (2)'!I87+'Inputs (2)'!I96)),"")</f>
        <v>0.0936854267114005</v>
      </c>
      <c r="J240" s="32">
        <f>IFERROR(IF(OR(('Inputs (2)'!J80+'Inputs (2)'!J86+'Inputs (2)'!J87+'Inputs (2)'!J96)=0,('Inputs (2)'!J94)=0),"",-('Inputs (2)'!J94)/('Inputs (2)'!J80+'Inputs (2)'!J86+'Inputs (2)'!J87+'Inputs (2)'!J96)),"")</f>
        <v>0.0366385146723765</v>
      </c>
      <c r="K240" s="32">
        <f>IFERROR(IF(OR(('Inputs (2)'!K80+'Inputs (2)'!K86+'Inputs (2)'!K87+'Inputs (2)'!K96)=0,('Inputs (2)'!K94)=0),"",-('Inputs (2)'!K94)/('Inputs (2)'!K80+'Inputs (2)'!K86+'Inputs (2)'!K87+'Inputs (2)'!K96)),"")</f>
        <v>0.0296909832773584</v>
      </c>
      <c r="L240" s="32">
        <f>IFERROR(IF(OR(('Inputs (2)'!L80+'Inputs (2)'!L86+'Inputs (2)'!L87+'Inputs (2)'!L96)=0,('Inputs (2)'!L94)=0),"",-('Inputs (2)'!L94)/('Inputs (2)'!L80+'Inputs (2)'!L86+'Inputs (2)'!L87+'Inputs (2)'!L96)),"")</f>
        <v>0.0567108147250817</v>
      </c>
      <c r="M240" s="32">
        <f>IFERROR(IF(OR(('Inputs (2)'!M80+'Inputs (2)'!M86+'Inputs (2)'!M87+'Inputs (2)'!M96)=0,('Inputs (2)'!M94)=0),"",-('Inputs (2)'!M94)/('Inputs (2)'!M80+'Inputs (2)'!M86+'Inputs (2)'!M87+'Inputs (2)'!M96)),"")</f>
        <v>0.0684168655529037</v>
      </c>
      <c r="N240" s="34">
        <f>IFERROR(IF(OR(('Inputs (2)'!N80+'Inputs (2)'!N86+'Inputs (2)'!N87+'Inputs (2)'!N96)=0,('Inputs (2)'!N94)=0),"",-('Inputs (2)'!N94)/('Inputs (2)'!N80+'Inputs (2)'!N86+'Inputs (2)'!N87+'Inputs (2)'!N96)),"")</f>
        <v>0.0465184722360027</v>
      </c>
      <c r="O240" s="32">
        <f>IFERROR(IF(OR(('Inputs (2)'!O80+'Inputs (2)'!O86+'Inputs (2)'!O87+'Inputs (2)'!O96)=0,('Inputs (2)'!O94)=0),"",-('Inputs (2)'!O94)/('Inputs (2)'!O80+'Inputs (2)'!O86+'Inputs (2)'!O87+'Inputs (2)'!O96)),"")</f>
        <v>0.030812336609142</v>
      </c>
      <c r="P240" s="32">
        <f>IFERROR(IF(OR(('Inputs (2)'!P80+'Inputs (2)'!P86+'Inputs (2)'!P87+'Inputs (2)'!P96)=0,('Inputs (2)'!P94)=0),"",-('Inputs (2)'!P94)/('Inputs (2)'!P80+'Inputs (2)'!P86+'Inputs (2)'!P87+'Inputs (2)'!P96)),"")</f>
        <v>0.0620174492696795</v>
      </c>
      <c r="Q240" s="32">
        <f>IFERROR(IF(OR(('Inputs (2)'!Q80+'Inputs (2)'!Q86+'Inputs (2)'!Q87+'Inputs (2)'!Q96)=0,('Inputs (2)'!Q94)=0),"",-('Inputs (2)'!Q94)/('Inputs (2)'!Q80+'Inputs (2)'!Q86+'Inputs (2)'!Q87+'Inputs (2)'!Q96)),"")</f>
        <v>0.0484125803770614</v>
      </c>
      <c r="R240" s="32">
        <f>IFERROR(IF(OR(('Inputs (2)'!R80+'Inputs (2)'!R86+'Inputs (2)'!R87+'Inputs (2)'!R96)=0,('Inputs (2)'!R94)=0),"",-('Inputs (2)'!R94)/('Inputs (2)'!R80+'Inputs (2)'!R86+'Inputs (2)'!R87+'Inputs (2)'!R96)),"")</f>
        <v>0.0619724379724769</v>
      </c>
      <c r="S240" s="34">
        <f>IFERROR(IF(OR(('Inputs (2)'!S80+'Inputs (2)'!S86+'Inputs (2)'!S87+'Inputs (2)'!S96)=0,('Inputs (2)'!S94)=0),"",-('Inputs (2)'!S94)/('Inputs (2)'!S80+'Inputs (2)'!S86+'Inputs (2)'!S87+'Inputs (2)'!S96)),"")</f>
        <v>0.051564417191995</v>
      </c>
      <c r="T240" s="32">
        <f>IFERROR(IF(OR(('Inputs (2)'!T80+'Inputs (2)'!T86+'Inputs (2)'!T87+'Inputs (2)'!T96)=0,('Inputs (2)'!T94)=0),"",-('Inputs (2)'!T94)/('Inputs (2)'!T80+'Inputs (2)'!T86+'Inputs (2)'!T87+'Inputs (2)'!T96)),"")</f>
        <v>0.0509268002882442</v>
      </c>
      <c r="U240" s="32">
        <f>IFERROR(IF(OR(('Inputs (2)'!U80+'Inputs (2)'!U86+'Inputs (2)'!U87+'Inputs (2)'!U96)=0,('Inputs (2)'!U94)=0),"",-('Inputs (2)'!U94)/('Inputs (2)'!U80+'Inputs (2)'!U86+'Inputs (2)'!U87+'Inputs (2)'!U96)),"")</f>
        <v>0.0443124430830367</v>
      </c>
      <c r="V240" s="32">
        <f>IFERROR(IF(OR(('Inputs (2)'!V80+'Inputs (2)'!V86+'Inputs (2)'!V87+'Inputs (2)'!V96)=0,('Inputs (2)'!V94)=0),"",-('Inputs (2)'!V94)/('Inputs (2)'!V80+'Inputs (2)'!V86+'Inputs (2)'!V87+'Inputs (2)'!V96)),"")</f>
        <v>0.0595772732891105</v>
      </c>
      <c r="W240" s="32">
        <f>IFERROR(IF(OR(('Inputs (2)'!W80+'Inputs (2)'!W86+'Inputs (2)'!W87+'Inputs (2)'!W96)=0,('Inputs (2)'!W94)=0),"",-('Inputs (2)'!W94)/('Inputs (2)'!W80+'Inputs (2)'!W86+'Inputs (2)'!W87+'Inputs (2)'!W96)),"")</f>
        <v>0.0792616387938271</v>
      </c>
      <c r="X240" s="34">
        <f>IFERROR(IF(OR(('Inputs (2)'!X80+'Inputs (2)'!X86+'Inputs (2)'!X87+'Inputs (2)'!X96)=0,('Inputs (2)'!X94)=0),"",-('Inputs (2)'!X94)/('Inputs (2)'!X80+'Inputs (2)'!X86+'Inputs (2)'!X87+'Inputs (2)'!X96)),"")</f>
        <v>0.0593008907117444</v>
      </c>
      <c r="Y240" s="32">
        <f>IFERROR(IF(OR(('Inputs (2)'!Y80+'Inputs (2)'!Y86+'Inputs (2)'!Y87+'Inputs (2)'!Y96)=0,('Inputs (2)'!Y94)=0),"",-('Inputs (2)'!Y94)/('Inputs (2)'!Y80+'Inputs (2)'!Y86+'Inputs (2)'!Y87+'Inputs (2)'!Y96)),"")</f>
        <v>0.0350617570184193</v>
      </c>
      <c r="Z240" s="32">
        <f>IFERROR(IF(OR(('Inputs (2)'!Z80+'Inputs (2)'!Z86+'Inputs (2)'!Z87+'Inputs (2)'!Z96)=0,('Inputs (2)'!Z94)=0),"",-('Inputs (2)'!Z94)/('Inputs (2)'!Z80+'Inputs (2)'!Z86+'Inputs (2)'!Z87+'Inputs (2)'!Z96)),"")</f>
        <v>0.04019192931333</v>
      </c>
      <c r="AA240" s="32">
        <f>IFERROR(IF(OR(('Inputs (2)'!AA80+'Inputs (2)'!AA86+'Inputs (2)'!AA87+'Inputs (2)'!AA96)=0,('Inputs (2)'!AA94)=0),"",-('Inputs (2)'!AA94)/('Inputs (2)'!AA80+'Inputs (2)'!AA86+'Inputs (2)'!AA87+'Inputs (2)'!AA96)),"")</f>
        <v>0.0665220482185016</v>
      </c>
      <c r="AB240" s="32">
        <f>IFERROR(IF(OR(('Inputs (2)'!AB80+'Inputs (2)'!AB86+'Inputs (2)'!AB87+'Inputs (2)'!AB96)=0,('Inputs (2)'!AB94)=0),"",-('Inputs (2)'!AB94)/('Inputs (2)'!AB80+'Inputs (2)'!AB86+'Inputs (2)'!AB87+'Inputs (2)'!AB96)),"")</f>
        <v>0.0521357241204678</v>
      </c>
      <c r="AC240" s="34">
        <f>IFERROR(IF(OR(('Inputs (2)'!AC80+'Inputs (2)'!AC86+'Inputs (2)'!AC87+'Inputs (2)'!AC96)=0,('Inputs (2)'!AC94)=0),"",-('Inputs (2)'!AC94)/('Inputs (2)'!AC80+'Inputs (2)'!AC86+'Inputs (2)'!AC87+'Inputs (2)'!AC96)),"")</f>
        <v>0.0494882599364499</v>
      </c>
      <c r="AD240" s="32">
        <f>IFERROR(IF(OR(('Inputs (2)'!AD80+'Inputs (2)'!AD86+'Inputs (2)'!AD87+'Inputs (2)'!AD96)=0,('Inputs (2)'!AD94)=0),"",-('Inputs (2)'!AD94)/('Inputs (2)'!AD80+'Inputs (2)'!AD86+'Inputs (2)'!AD87+'Inputs (2)'!AD96)),"")</f>
        <v>0.0337068050477651</v>
      </c>
      <c r="AE240" s="32">
        <f>IFERROR(IF(OR(('Inputs (2)'!AE80+'Inputs (2)'!AE86+'Inputs (2)'!AE87+'Inputs (2)'!AE96)=0,('Inputs (2)'!AE94)=0),"",-('Inputs (2)'!AE94)/('Inputs (2)'!AE80+'Inputs (2)'!AE86+'Inputs (2)'!AE87+'Inputs (2)'!AE96)),"")</f>
        <v>0.0658594121447816</v>
      </c>
      <c r="AF240" s="32">
        <f>IFERROR(IF(OR(('Inputs (2)'!AF80+'Inputs (2)'!AF86+'Inputs (2)'!AF87+'Inputs (2)'!AF96)=0,('Inputs (2)'!AF94)=0),"",-('Inputs (2)'!AF94)/('Inputs (2)'!AF80+'Inputs (2)'!AF86+'Inputs (2)'!AF87+'Inputs (2)'!AF96)),"")</f>
        <v>0.0717912813634522</v>
      </c>
      <c r="AG240" s="32">
        <f>IFERROR(IF(OR(('Inputs (2)'!AG80+'Inputs (2)'!AG86+'Inputs (2)'!AG87+'Inputs (2)'!AG96)=0,('Inputs (2)'!AG94)=0),"",-('Inputs (2)'!AG94)/('Inputs (2)'!AG80+'Inputs (2)'!AG86+'Inputs (2)'!AG87+'Inputs (2)'!AG96)),"")</f>
        <v>0.0737665289896156</v>
      </c>
      <c r="AH240" s="34">
        <f>IFERROR(IF(OR(('Inputs (2)'!AH80+'Inputs (2)'!AH86+'Inputs (2)'!AH87+'Inputs (2)'!AH96)=0,('Inputs (2)'!AH94)=0),"",-('Inputs (2)'!AH94)/('Inputs (2)'!AH80+'Inputs (2)'!AH86+'Inputs (2)'!AH87+'Inputs (2)'!AH96)),"")</f>
        <v>0.0622665028485267</v>
      </c>
      <c r="AI240" s="32">
        <f>IFERROR(IF(OR(('Inputs (2)'!AI80+'Inputs (2)'!AI86+'Inputs (2)'!AI87+'Inputs (2)'!AI96)=0,('Inputs (2)'!AI94)=0),"",-('Inputs (2)'!AI94)/('Inputs (2)'!AI80+'Inputs (2)'!AI86+'Inputs (2)'!AI87+'Inputs (2)'!AI96)),"")</f>
        <v>0.0492725573085694</v>
      </c>
      <c r="AJ240" s="32">
        <f>IFERROR(IF(OR(('Inputs (2)'!AJ80+'Inputs (2)'!AJ86+'Inputs (2)'!AJ87+'Inputs (2)'!AJ96)=0,('Inputs (2)'!AJ94)=0),"",-('Inputs (2)'!AJ94)/('Inputs (2)'!AJ80+'Inputs (2)'!AJ86+'Inputs (2)'!AJ87+'Inputs (2)'!AJ96)),"")</f>
        <v>0.0566403595529809</v>
      </c>
      <c r="AK240" s="32" t="str">
        <f>IFERROR(IF(OR(('Inputs (2)'!AK80+'Inputs (2)'!AK86+'Inputs (2)'!AK87+'Inputs (2)'!AK96)=0,('Inputs (2)'!AK94)=0),"",-('Inputs (2)'!AK94)/('Inputs (2)'!AK80+'Inputs (2)'!AK86+'Inputs (2)'!AK87+'Inputs (2)'!AK96)),"")</f>
        <v/>
      </c>
      <c r="AL240" s="32" t="str">
        <f>IFERROR(IF(OR(('Inputs (2)'!AL80+'Inputs (2)'!AL86+'Inputs (2)'!AL87+'Inputs (2)'!AL96)=0,('Inputs (2)'!AL94)=0),"",-('Inputs (2)'!AL94)/('Inputs (2)'!AL80+'Inputs (2)'!AL86+'Inputs (2)'!AL87+'Inputs (2)'!AL96)),"")</f>
        <v/>
      </c>
      <c r="AM240" s="34">
        <f>IFERROR(IF(OR(('Inputs (2)'!AM80+'Inputs (2)'!AM86+'Inputs (2)'!AM87+'Inputs (2)'!AM96)=0,('Inputs (2)'!AM94)=0),"",-('Inputs (2)'!AM94)/('Inputs (2)'!AM80+'Inputs (2)'!AM86+'Inputs (2)'!AM87+'Inputs (2)'!AM96)),"")</f>
        <v>0.053070428553196</v>
      </c>
      <c r="AN240" s="32" t="str">
        <f>IFERROR(IF(OR(('Inputs (2)'!AN80+'Inputs (2)'!AN86+'Inputs (2)'!AN87+'Inputs (2)'!AN96)=0,('Inputs (2)'!AN94)=0),"",-('Inputs (2)'!AN94)/('Inputs (2)'!AN80+'Inputs (2)'!AN86+'Inputs (2)'!AN87+'Inputs (2)'!AN96)),"")</f>
        <v/>
      </c>
      <c r="AO240" s="32" t="str">
        <f>IFERROR(IF(OR(('Inputs (2)'!AO80+'Inputs (2)'!AO86+'Inputs (2)'!AO87+'Inputs (2)'!AO96)=0,('Inputs (2)'!AO94)=0),"",-('Inputs (2)'!AO94)/('Inputs (2)'!AO80+'Inputs (2)'!AO86+'Inputs (2)'!AO87+'Inputs (2)'!AO96)),"")</f>
        <v/>
      </c>
      <c r="AP240" s="32" t="str">
        <f>IFERROR(IF(OR(('Inputs (2)'!AP80+'Inputs (2)'!AP86+'Inputs (2)'!AP87+'Inputs (2)'!AP96)=0,('Inputs (2)'!AP94)=0),"",-('Inputs (2)'!AP94)/('Inputs (2)'!AP80+'Inputs (2)'!AP86+'Inputs (2)'!AP87+'Inputs (2)'!AP96)),"")</f>
        <v/>
      </c>
      <c r="AQ240" s="32" t="str">
        <f>IFERROR(IF(OR(('Inputs (2)'!AQ80+'Inputs (2)'!AQ86+'Inputs (2)'!AQ87+'Inputs (2)'!AQ96)=0,('Inputs (2)'!AQ94)=0),"",-('Inputs (2)'!AQ94)/('Inputs (2)'!AQ80+'Inputs (2)'!AQ86+'Inputs (2)'!AQ87+'Inputs (2)'!AQ96)),"")</f>
        <v/>
      </c>
      <c r="AR240" s="34" t="str">
        <f>IFERROR(IF(OR(('Inputs (2)'!AR80+'Inputs (2)'!AR86+'Inputs (2)'!AR87+'Inputs (2)'!AR96)=0,('Inputs (2)'!AR94)=0),"",-('Inputs (2)'!AR94)/('Inputs (2)'!AR80+'Inputs (2)'!AR86+'Inputs (2)'!AR87+'Inputs (2)'!AR96)),"")</f>
        <v/>
      </c>
      <c r="AS240" s="32" t="str">
        <f>IFERROR(IF(OR(('Inputs (2)'!AS80+'Inputs (2)'!AS86+'Inputs (2)'!AS87+'Inputs (2)'!AS96)=0,('Inputs (2)'!AS94)=0),"",-('Inputs (2)'!AS94)/('Inputs (2)'!AS80+'Inputs (2)'!AS86+'Inputs (2)'!AS87+'Inputs (2)'!AS96)),"")</f>
        <v/>
      </c>
      <c r="AT240" s="32" t="str">
        <f>IFERROR(IF(OR(('Inputs (2)'!AT80+'Inputs (2)'!AT86+'Inputs (2)'!AT87+'Inputs (2)'!AT96)=0,('Inputs (2)'!AT94)=0),"",-('Inputs (2)'!AT94)/('Inputs (2)'!AT80+'Inputs (2)'!AT86+'Inputs (2)'!AT87+'Inputs (2)'!AT96)),"")</f>
        <v/>
      </c>
      <c r="AU240" s="32" t="str">
        <f>IFERROR(IF(OR(('Inputs (2)'!AU80+'Inputs (2)'!AU86+'Inputs (2)'!AU87+'Inputs (2)'!AU96)=0,('Inputs (2)'!AU94)=0),"",-('Inputs (2)'!AU94)/('Inputs (2)'!AU80+'Inputs (2)'!AU86+'Inputs (2)'!AU87+'Inputs (2)'!AU96)),"")</f>
        <v/>
      </c>
      <c r="AV240" s="32" t="str">
        <f>IFERROR(IF(OR(('Inputs (2)'!AV80+'Inputs (2)'!AV86+'Inputs (2)'!AV87+'Inputs (2)'!AV96)=0,('Inputs (2)'!AV94)=0),"",-('Inputs (2)'!AV94)/('Inputs (2)'!AV80+'Inputs (2)'!AV86+'Inputs (2)'!AV87+'Inputs (2)'!AV96)),"")</f>
        <v/>
      </c>
      <c r="AW240" s="34" t="str">
        <f>IFERROR(IF(OR(('Inputs (2)'!AW80+'Inputs (2)'!AW86+'Inputs (2)'!AW87+'Inputs (2)'!AW96)=0,('Inputs (2)'!AW94)=0),"",-('Inputs (2)'!AW94)/('Inputs (2)'!AW80+'Inputs (2)'!AW86+'Inputs (2)'!AW87+'Inputs (2)'!AW96)),"")</f>
        <v/>
      </c>
      <c r="AX240" s="32" t="str">
        <f>IFERROR(IF(OR(('Inputs (2)'!AX80+'Inputs (2)'!AX86+'Inputs (2)'!AX87+'Inputs (2)'!AX96)=0,('Inputs (2)'!AX94)=0),"",-('Inputs (2)'!AX94)/('Inputs (2)'!AX80+'Inputs (2)'!AX86+'Inputs (2)'!AX87+'Inputs (2)'!AX96)),"")</f>
        <v/>
      </c>
      <c r="AY240" s="32" t="str">
        <f>IFERROR(IF(OR(('Inputs (2)'!AY80+'Inputs (2)'!AY86+'Inputs (2)'!AY87+'Inputs (2)'!AY96)=0,('Inputs (2)'!AY94)=0),"",-('Inputs (2)'!AY94)/('Inputs (2)'!AY80+'Inputs (2)'!AY86+'Inputs (2)'!AY87+'Inputs (2)'!AY96)),"")</f>
        <v/>
      </c>
      <c r="AZ240" s="32" t="str">
        <f>IFERROR(IF(OR(('Inputs (2)'!AZ80+'Inputs (2)'!AZ86+'Inputs (2)'!AZ87+'Inputs (2)'!AZ96)=0,('Inputs (2)'!AZ94)=0),"",-('Inputs (2)'!AZ94)/('Inputs (2)'!AZ80+'Inputs (2)'!AZ86+'Inputs (2)'!AZ87+'Inputs (2)'!AZ96)),"")</f>
        <v/>
      </c>
      <c r="BA240" s="32" t="str">
        <f>IFERROR(IF(OR(('Inputs (2)'!BA80+'Inputs (2)'!BA86+'Inputs (2)'!BA87+'Inputs (2)'!BA96)=0,('Inputs (2)'!BA94)=0),"",-('Inputs (2)'!BA94)/('Inputs (2)'!BA80+'Inputs (2)'!BA86+'Inputs (2)'!BA87+'Inputs (2)'!BA96)),"")</f>
        <v/>
      </c>
      <c r="BB240" s="34" t="str">
        <f>IFERROR(IF(OR(('Inputs (2)'!BB80+'Inputs (2)'!BB86+'Inputs (2)'!BB87+'Inputs (2)'!BB96)=0,('Inputs (2)'!BB94)=0),"",-('Inputs (2)'!BB94)/('Inputs (2)'!BB80+'Inputs (2)'!BB86+'Inputs (2)'!BB87+'Inputs (2)'!BB96)),"")</f>
        <v/>
      </c>
      <c r="BC240" s="32" t="str">
        <f>IFERROR(IF(OR(('Inputs (2)'!BC80+'Inputs (2)'!BC86+'Inputs (2)'!BC87+'Inputs (2)'!BC96)=0,('Inputs (2)'!BC94)=0),"",-('Inputs (2)'!BC94)/('Inputs (2)'!BC80+'Inputs (2)'!BC86+'Inputs (2)'!BC87+'Inputs (2)'!BC96)),"")</f>
        <v/>
      </c>
      <c r="BD240" s="32" t="str">
        <f>IFERROR(IF(OR(('Inputs (2)'!BD80+'Inputs (2)'!BD86+'Inputs (2)'!BD87+'Inputs (2)'!BD96)=0,('Inputs (2)'!BD94)=0),"",-('Inputs (2)'!BD94)/('Inputs (2)'!BD80+'Inputs (2)'!BD86+'Inputs (2)'!BD87+'Inputs (2)'!BD96)),"")</f>
        <v/>
      </c>
      <c r="BE240" s="32" t="str">
        <f>IFERROR(IF(OR(('Inputs (2)'!BE80+'Inputs (2)'!BE86+'Inputs (2)'!BE87+'Inputs (2)'!BE96)=0,('Inputs (2)'!BE94)=0),"",-('Inputs (2)'!BE94)/('Inputs (2)'!BE80+'Inputs (2)'!BE86+'Inputs (2)'!BE87+'Inputs (2)'!BE96)),"")</f>
        <v/>
      </c>
      <c r="BF240" s="32" t="str">
        <f>IFERROR(IF(OR(('Inputs (2)'!BF80+'Inputs (2)'!BF86+'Inputs (2)'!BF87+'Inputs (2)'!BF96)=0,('Inputs (2)'!BF94)=0),"",-('Inputs (2)'!BF94)/('Inputs (2)'!BF80+'Inputs (2)'!BF86+'Inputs (2)'!BF87+'Inputs (2)'!BF96)),"")</f>
        <v/>
      </c>
      <c r="BG240" s="34" t="str">
        <f>IFERROR(IF(OR(('Inputs (2)'!BG80+'Inputs (2)'!BG86+'Inputs (2)'!BG87+'Inputs (2)'!BG96)=0,('Inputs (2)'!BG94)=0),"",-('Inputs (2)'!BG94)/('Inputs (2)'!BG80+'Inputs (2)'!BG86+'Inputs (2)'!BG87+'Inputs (2)'!BG96)),"")</f>
        <v/>
      </c>
    </row>
    <row r="241" hidden="1" outlineLevel="1">
      <c r="C241" s="30" t="inlineStr">
        <is>
          <t>Resultado de participações</t>
        </is>
      </c>
      <c r="D241" s="12" t="inlineStr">
        <is>
          <t>Equity income</t>
        </is>
      </c>
      <c r="E241" s="35" t="str">
        <f>IFERROR(IF(OR(COUNT('Inputs (2)'!E95)=0,('Inputs (2)'!E95)=0),"",('Inputs (2)'!E95)),"")</f>
        <v/>
      </c>
      <c r="F241" s="35" t="str">
        <f>IFERROR(IF(OR(COUNT('Inputs (2)'!F95)=0,('Inputs (2)'!F95)=0),"",('Inputs (2)'!F95)),"")</f>
        <v/>
      </c>
      <c r="G241" s="35" t="str">
        <f>IFERROR(IF(OR(COUNT('Inputs (2)'!G95)=0,('Inputs (2)'!G95)=0),"",('Inputs (2)'!G95)),"")</f>
        <v/>
      </c>
      <c r="H241" s="35" t="str">
        <f>IFERROR(IF(OR(COUNT('Inputs (2)'!H95)=0,('Inputs (2)'!H95)=0),"",('Inputs (2)'!H95)),"")</f>
        <v/>
      </c>
      <c r="I241" s="36" t="str">
        <f>IFERROR(IF(OR(COUNT('Inputs (2)'!I95)=0,('Inputs (2)'!I95)=0),"",('Inputs (2)'!I95)),"")</f>
        <v/>
      </c>
      <c r="J241" s="35" t="str">
        <f>IFERROR(IF(OR(COUNT('Inputs (2)'!J95)=0,('Inputs (2)'!J95)=0),"",('Inputs (2)'!J95)),"")</f>
        <v/>
      </c>
      <c r="K241" s="35" t="str">
        <f>IFERROR(IF(OR(COUNT('Inputs (2)'!K95)=0,('Inputs (2)'!K95)=0),"",('Inputs (2)'!K95)),"")</f>
        <v/>
      </c>
      <c r="L241" s="35" t="str">
        <f>IFERROR(IF(OR(COUNT('Inputs (2)'!L95)=0,('Inputs (2)'!L95)=0),"",('Inputs (2)'!L95)),"")</f>
        <v/>
      </c>
      <c r="M241" s="35" t="str">
        <f>IFERROR(IF(OR(COUNT('Inputs (2)'!M95)=0,('Inputs (2)'!M95)=0),"",('Inputs (2)'!M95)),"")</f>
        <v/>
      </c>
      <c r="N241" s="36" t="str">
        <f>IFERROR(IF(OR(COUNT('Inputs (2)'!N95)=0,('Inputs (2)'!N95)=0),"",('Inputs (2)'!N95)),"")</f>
        <v/>
      </c>
      <c r="O241" s="35" t="str">
        <f>IFERROR(IF(OR(COUNT('Inputs (2)'!O95)=0,('Inputs (2)'!O95)=0),"",('Inputs (2)'!O95)),"")</f>
        <v/>
      </c>
      <c r="P241" s="35" t="str">
        <f>IFERROR(IF(OR(COUNT('Inputs (2)'!P95)=0,('Inputs (2)'!P95)=0),"",('Inputs (2)'!P95)),"")</f>
        <v/>
      </c>
      <c r="Q241" s="35" t="str">
        <f>IFERROR(IF(OR(COUNT('Inputs (2)'!Q95)=0,('Inputs (2)'!Q95)=0),"",('Inputs (2)'!Q95)),"")</f>
        <v/>
      </c>
      <c r="R241" s="35" t="str">
        <f>IFERROR(IF(OR(COUNT('Inputs (2)'!R95)=0,('Inputs (2)'!R95)=0),"",('Inputs (2)'!R95)),"")</f>
        <v/>
      </c>
      <c r="S241" s="36" t="str">
        <f>IFERROR(IF(OR(COUNT('Inputs (2)'!S95)=0,('Inputs (2)'!S95)=0),"",('Inputs (2)'!S95)),"")</f>
        <v/>
      </c>
      <c r="T241" s="35" t="str">
        <f>IFERROR(IF(OR(COUNT('Inputs (2)'!T95)=0,('Inputs (2)'!T95)=0),"",('Inputs (2)'!T95)),"")</f>
        <v/>
      </c>
      <c r="U241" s="35" t="str">
        <f>IFERROR(IF(OR(COUNT('Inputs (2)'!U95)=0,('Inputs (2)'!U95)=0),"",('Inputs (2)'!U95)),"")</f>
        <v/>
      </c>
      <c r="V241" s="35" t="str">
        <f>IFERROR(IF(OR(COUNT('Inputs (2)'!V95)=0,('Inputs (2)'!V95)=0),"",('Inputs (2)'!V95)),"")</f>
        <v/>
      </c>
      <c r="W241" s="35" t="str">
        <f>IFERROR(IF(OR(COUNT('Inputs (2)'!W95)=0,('Inputs (2)'!W95)=0),"",('Inputs (2)'!W95)),"")</f>
        <v/>
      </c>
      <c r="X241" s="36" t="str">
        <f>IFERROR(IF(OR(COUNT('Inputs (2)'!X95)=0,('Inputs (2)'!X95)=0),"",('Inputs (2)'!X95)),"")</f>
        <v/>
      </c>
      <c r="Y241" s="35" t="str">
        <f>IFERROR(IF(OR(COUNT('Inputs (2)'!Y95)=0,('Inputs (2)'!Y95)=0),"",('Inputs (2)'!Y95)),"")</f>
        <v/>
      </c>
      <c r="Z241" s="35" t="str">
        <f>IFERROR(IF(OR(COUNT('Inputs (2)'!Z95)=0,('Inputs (2)'!Z95)=0),"",('Inputs (2)'!Z95)),"")</f>
        <v/>
      </c>
      <c r="AA241" s="35" t="str">
        <f>IFERROR(IF(OR(COUNT('Inputs (2)'!AA95)=0,('Inputs (2)'!AA95)=0),"",('Inputs (2)'!AA95)),"")</f>
        <v/>
      </c>
      <c r="AB241" s="35" t="str">
        <f>IFERROR(IF(OR(COUNT('Inputs (2)'!AB95)=0,('Inputs (2)'!AB95)=0),"",('Inputs (2)'!AB95)),"")</f>
        <v/>
      </c>
      <c r="AC241" s="36" t="str">
        <f>IFERROR(IF(OR(COUNT('Inputs (2)'!AC95)=0,('Inputs (2)'!AC95)=0),"",('Inputs (2)'!AC95)),"")</f>
        <v/>
      </c>
      <c r="AD241" s="35" t="str">
        <f>IFERROR(IF(OR(COUNT('Inputs (2)'!AD95)=0,('Inputs (2)'!AD95)=0),"",('Inputs (2)'!AD95)),"")</f>
        <v/>
      </c>
      <c r="AE241" s="35" t="str">
        <f>IFERROR(IF(OR(COUNT('Inputs (2)'!AE95)=0,('Inputs (2)'!AE95)=0),"",('Inputs (2)'!AE95)),"")</f>
        <v/>
      </c>
      <c r="AF241" s="35" t="str">
        <f>IFERROR(IF(OR(COUNT('Inputs (2)'!AF95)=0,('Inputs (2)'!AF95)=0),"",('Inputs (2)'!AF95)),"")</f>
        <v/>
      </c>
      <c r="AG241" s="35" t="str">
        <f>IFERROR(IF(OR(COUNT('Inputs (2)'!AG95)=0,('Inputs (2)'!AG95)=0),"",('Inputs (2)'!AG95)),"")</f>
        <v/>
      </c>
      <c r="AH241" s="36" t="str">
        <f>IFERROR(IF(OR(COUNT('Inputs (2)'!AH95)=0,('Inputs (2)'!AH95)=0),"",('Inputs (2)'!AH95)),"")</f>
        <v/>
      </c>
      <c r="AI241" s="35" t="str">
        <f>IFERROR(IF(OR(COUNT('Inputs (2)'!AI95)=0,('Inputs (2)'!AI95)=0),"",('Inputs (2)'!AI95)),"")</f>
        <v/>
      </c>
      <c r="AJ241" s="35" t="str">
        <f>IFERROR(IF(OR(COUNT('Inputs (2)'!AJ95)=0,('Inputs (2)'!AJ95)=0),"",('Inputs (2)'!AJ95)),"")</f>
        <v/>
      </c>
      <c r="AK241" s="35" t="str">
        <f>IFERROR(IF(OR(COUNT('Inputs (2)'!AK95)=0,('Inputs (2)'!AK95)=0),"",('Inputs (2)'!AK95)),"")</f>
        <v/>
      </c>
      <c r="AL241" s="35" t="str">
        <f>IFERROR(IF(OR(COUNT('Inputs (2)'!AL95)=0,('Inputs (2)'!AL95)=0),"",('Inputs (2)'!AL95)),"")</f>
        <v/>
      </c>
      <c r="AM241" s="36" t="str">
        <f>IFERROR(IF(OR(COUNT('Inputs (2)'!AM95)=0,('Inputs (2)'!AM95)=0),"",('Inputs (2)'!AM95)),"")</f>
        <v/>
      </c>
      <c r="AN241" s="35" t="str">
        <f>IFERROR(IF(OR(COUNT('Inputs (2)'!AN95)=0,('Inputs (2)'!AN95)=0),"",('Inputs (2)'!AN95)),"")</f>
        <v/>
      </c>
      <c r="AO241" s="35" t="str">
        <f>IFERROR(IF(OR(COUNT('Inputs (2)'!AO95)=0,('Inputs (2)'!AO95)=0),"",('Inputs (2)'!AO95)),"")</f>
        <v/>
      </c>
      <c r="AP241" s="35" t="str">
        <f>IFERROR(IF(OR(COUNT('Inputs (2)'!AP95)=0,('Inputs (2)'!AP95)=0),"",('Inputs (2)'!AP95)),"")</f>
        <v/>
      </c>
      <c r="AQ241" s="35" t="str">
        <f>IFERROR(IF(OR(COUNT('Inputs (2)'!AQ95)=0,('Inputs (2)'!AQ95)=0),"",('Inputs (2)'!AQ95)),"")</f>
        <v/>
      </c>
      <c r="AR241" s="36" t="str">
        <f>IFERROR(IF(OR(COUNT('Inputs (2)'!AR95)=0,('Inputs (2)'!AR95)=0),"",('Inputs (2)'!AR95)),"")</f>
        <v/>
      </c>
      <c r="AS241" s="35" t="str">
        <f>IFERROR(IF(OR(COUNT('Inputs (2)'!AS95)=0,('Inputs (2)'!AS95)=0),"",('Inputs (2)'!AS95)),"")</f>
        <v/>
      </c>
      <c r="AT241" s="35" t="str">
        <f>IFERROR(IF(OR(COUNT('Inputs (2)'!AT95)=0,('Inputs (2)'!AT95)=0),"",('Inputs (2)'!AT95)),"")</f>
        <v/>
      </c>
      <c r="AU241" s="35" t="str">
        <f>IFERROR(IF(OR(COUNT('Inputs (2)'!AU95)=0,('Inputs (2)'!AU95)=0),"",('Inputs (2)'!AU95)),"")</f>
        <v/>
      </c>
      <c r="AV241" s="35" t="str">
        <f>IFERROR(IF(OR(COUNT('Inputs (2)'!AV95)=0,('Inputs (2)'!AV95)=0),"",('Inputs (2)'!AV95)),"")</f>
        <v/>
      </c>
      <c r="AW241" s="36" t="str">
        <f>IFERROR(IF(OR(COUNT('Inputs (2)'!AW95)=0,('Inputs (2)'!AW95)=0),"",('Inputs (2)'!AW95)),"")</f>
        <v/>
      </c>
      <c r="AX241" s="35" t="str">
        <f>IFERROR(IF(OR(COUNT('Inputs (2)'!AX95)=0,('Inputs (2)'!AX95)=0),"",('Inputs (2)'!AX95)),"")</f>
        <v/>
      </c>
      <c r="AY241" s="35" t="str">
        <f>IFERROR(IF(OR(COUNT('Inputs (2)'!AY95)=0,('Inputs (2)'!AY95)=0),"",('Inputs (2)'!AY95)),"")</f>
        <v/>
      </c>
      <c r="AZ241" s="35" t="str">
        <f>IFERROR(IF(OR(COUNT('Inputs (2)'!AZ95)=0,('Inputs (2)'!AZ95)=0),"",('Inputs (2)'!AZ95)),"")</f>
        <v/>
      </c>
      <c r="BA241" s="35" t="str">
        <f>IFERROR(IF(OR(COUNT('Inputs (2)'!BA95)=0,('Inputs (2)'!BA95)=0),"",('Inputs (2)'!BA95)),"")</f>
        <v/>
      </c>
      <c r="BB241" s="36" t="str">
        <f>IFERROR(IF(OR(COUNT('Inputs (2)'!BB95)=0,('Inputs (2)'!BB95)=0),"",('Inputs (2)'!BB95)),"")</f>
        <v/>
      </c>
      <c r="BC241" s="35" t="str">
        <f>IFERROR(IF(OR(COUNT('Inputs (2)'!BC95)=0,('Inputs (2)'!BC95)=0),"",('Inputs (2)'!BC95)),"")</f>
        <v/>
      </c>
      <c r="BD241" s="35" t="str">
        <f>IFERROR(IF(OR(COUNT('Inputs (2)'!BD95)=0,('Inputs (2)'!BD95)=0),"",('Inputs (2)'!BD95)),"")</f>
        <v/>
      </c>
      <c r="BE241" s="35" t="str">
        <f>IFERROR(IF(OR(COUNT('Inputs (2)'!BE95)=0,('Inputs (2)'!BE95)=0),"",('Inputs (2)'!BE95)),"")</f>
        <v/>
      </c>
      <c r="BF241" s="35" t="str">
        <f>IFERROR(IF(OR(COUNT('Inputs (2)'!BF95)=0,('Inputs (2)'!BF95)=0),"",('Inputs (2)'!BF95)),"")</f>
        <v/>
      </c>
      <c r="BG241" s="36" t="str">
        <f>IFERROR(IF(OR(COUNT('Inputs (2)'!BG95)=0,('Inputs (2)'!BG95)=0),"",('Inputs (2)'!BG95)),"")</f>
        <v/>
      </c>
    </row>
    <row r="242" hidden="1" outlineLevel="1">
      <c r="C242" s="30" t="inlineStr">
        <is>
          <t>Outras despesas operacionais líquidas (% da receita)</t>
        </is>
      </c>
      <c r="D242" s="12" t="inlineStr">
        <is>
          <t>Other op.</t>
        </is>
      </c>
      <c r="E242" s="32" t="str">
        <f>IFERROR(IF(OR(('Inputs (2)'!E80+'Inputs (2)'!E86+'Inputs (2)'!E87+'Inputs (2)'!E96)=0,('Inputs (2)'!E97)=0),"",-('Inputs (2)'!E97)/('Inputs (2)'!E80+'Inputs (2)'!E86+'Inputs (2)'!E87+'Inputs (2)'!E96)),"")</f>
        <v/>
      </c>
      <c r="F242" s="32" t="str">
        <f>IFERROR(IF(OR(('Inputs (2)'!F80+'Inputs (2)'!F86+'Inputs (2)'!F87+'Inputs (2)'!F96)=0,('Inputs (2)'!F97)=0),"",-('Inputs (2)'!F97)/('Inputs (2)'!F80+'Inputs (2)'!F86+'Inputs (2)'!F87+'Inputs (2)'!F96)),"")</f>
        <v/>
      </c>
      <c r="G242" s="32" t="str">
        <f>IFERROR(IF(OR(('Inputs (2)'!G80+'Inputs (2)'!G86+'Inputs (2)'!G87+'Inputs (2)'!G96)=0,('Inputs (2)'!G97)=0),"",-('Inputs (2)'!G97)/('Inputs (2)'!G80+'Inputs (2)'!G86+'Inputs (2)'!G87+'Inputs (2)'!G96)),"")</f>
        <v/>
      </c>
      <c r="H242" s="32" t="str">
        <f>IFERROR(IF(OR(('Inputs (2)'!H80+'Inputs (2)'!H86+'Inputs (2)'!H87+'Inputs (2)'!H96)=0,('Inputs (2)'!H97)=0),"",-('Inputs (2)'!H97)/('Inputs (2)'!H80+'Inputs (2)'!H86+'Inputs (2)'!H87+'Inputs (2)'!H96)),"")</f>
        <v/>
      </c>
      <c r="I242" s="34" t="str">
        <f>IFERROR(IF(OR(('Inputs (2)'!I80+'Inputs (2)'!I86+'Inputs (2)'!I87+'Inputs (2)'!I96)=0,('Inputs (2)'!I97)=0),"",-('Inputs (2)'!I97)/('Inputs (2)'!I80+'Inputs (2)'!I86+'Inputs (2)'!I87+'Inputs (2)'!I96)),"")</f>
        <v/>
      </c>
      <c r="J242" s="32" t="str">
        <f>IFERROR(IF(OR(('Inputs (2)'!J80+'Inputs (2)'!J86+'Inputs (2)'!J87+'Inputs (2)'!J96)=0,('Inputs (2)'!J97)=0),"",-('Inputs (2)'!J97)/('Inputs (2)'!J80+'Inputs (2)'!J86+'Inputs (2)'!J87+'Inputs (2)'!J96)),"")</f>
        <v/>
      </c>
      <c r="K242" s="32" t="str">
        <f>IFERROR(IF(OR(('Inputs (2)'!K80+'Inputs (2)'!K86+'Inputs (2)'!K87+'Inputs (2)'!K96)=0,('Inputs (2)'!K97)=0),"",-('Inputs (2)'!K97)/('Inputs (2)'!K80+'Inputs (2)'!K86+'Inputs (2)'!K87+'Inputs (2)'!K96)),"")</f>
        <v/>
      </c>
      <c r="L242" s="32" t="str">
        <f>IFERROR(IF(OR(('Inputs (2)'!L80+'Inputs (2)'!L86+'Inputs (2)'!L87+'Inputs (2)'!L96)=0,('Inputs (2)'!L97)=0),"",-('Inputs (2)'!L97)/('Inputs (2)'!L80+'Inputs (2)'!L86+'Inputs (2)'!L87+'Inputs (2)'!L96)),"")</f>
        <v/>
      </c>
      <c r="M242" s="32" t="str">
        <f>IFERROR(IF(OR(('Inputs (2)'!M80+'Inputs (2)'!M86+'Inputs (2)'!M87+'Inputs (2)'!M96)=0,('Inputs (2)'!M97)=0),"",-('Inputs (2)'!M97)/('Inputs (2)'!M80+'Inputs (2)'!M86+'Inputs (2)'!M87+'Inputs (2)'!M96)),"")</f>
        <v/>
      </c>
      <c r="N242" s="34" t="str">
        <f>IFERROR(IF(OR(('Inputs (2)'!N80+'Inputs (2)'!N86+'Inputs (2)'!N87+'Inputs (2)'!N96)=0,('Inputs (2)'!N97)=0),"",-('Inputs (2)'!N97)/('Inputs (2)'!N80+'Inputs (2)'!N86+'Inputs (2)'!N87+'Inputs (2)'!N96)),"")</f>
        <v/>
      </c>
      <c r="O242" s="32" t="str">
        <f>IFERROR(IF(OR(('Inputs (2)'!O80+'Inputs (2)'!O86+'Inputs (2)'!O87+'Inputs (2)'!O96)=0,('Inputs (2)'!O97)=0),"",-('Inputs (2)'!O97)/('Inputs (2)'!O80+'Inputs (2)'!O86+'Inputs (2)'!O87+'Inputs (2)'!O96)),"")</f>
        <v/>
      </c>
      <c r="P242" s="32" t="str">
        <f>IFERROR(IF(OR(('Inputs (2)'!P80+'Inputs (2)'!P86+'Inputs (2)'!P87+'Inputs (2)'!P96)=0,('Inputs (2)'!P97)=0),"",-('Inputs (2)'!P97)/('Inputs (2)'!P80+'Inputs (2)'!P86+'Inputs (2)'!P87+'Inputs (2)'!P96)),"")</f>
        <v/>
      </c>
      <c r="Q242" s="32" t="str">
        <f>IFERROR(IF(OR(('Inputs (2)'!Q80+'Inputs (2)'!Q86+'Inputs (2)'!Q87+'Inputs (2)'!Q96)=0,('Inputs (2)'!Q97)=0),"",-('Inputs (2)'!Q97)/('Inputs (2)'!Q80+'Inputs (2)'!Q86+'Inputs (2)'!Q87+'Inputs (2)'!Q96)),"")</f>
        <v/>
      </c>
      <c r="R242" s="32" t="str">
        <f>IFERROR(IF(OR(('Inputs (2)'!R80+'Inputs (2)'!R86+'Inputs (2)'!R87+'Inputs (2)'!R96)=0,('Inputs (2)'!R97)=0),"",-('Inputs (2)'!R97)/('Inputs (2)'!R80+'Inputs (2)'!R86+'Inputs (2)'!R87+'Inputs (2)'!R96)),"")</f>
        <v/>
      </c>
      <c r="S242" s="34" t="str">
        <f>IFERROR(IF(OR(('Inputs (2)'!S80+'Inputs (2)'!S86+'Inputs (2)'!S87+'Inputs (2)'!S96)=0,('Inputs (2)'!S97)=0),"",-('Inputs (2)'!S97)/('Inputs (2)'!S80+'Inputs (2)'!S86+'Inputs (2)'!S87+'Inputs (2)'!S96)),"")</f>
        <v/>
      </c>
      <c r="T242" s="32" t="str">
        <f>IFERROR(IF(OR(('Inputs (2)'!T80+'Inputs (2)'!T86+'Inputs (2)'!T87+'Inputs (2)'!T96)=0,('Inputs (2)'!T97)=0),"",-('Inputs (2)'!T97)/('Inputs (2)'!T80+'Inputs (2)'!T86+'Inputs (2)'!T87+'Inputs (2)'!T96)),"")</f>
        <v/>
      </c>
      <c r="U242" s="32" t="str">
        <f>IFERROR(IF(OR(('Inputs (2)'!U80+'Inputs (2)'!U86+'Inputs (2)'!U87+'Inputs (2)'!U96)=0,('Inputs (2)'!U97)=0),"",-('Inputs (2)'!U97)/('Inputs (2)'!U80+'Inputs (2)'!U86+'Inputs (2)'!U87+'Inputs (2)'!U96)),"")</f>
        <v/>
      </c>
      <c r="V242" s="32" t="str">
        <f>IFERROR(IF(OR(('Inputs (2)'!V80+'Inputs (2)'!V86+'Inputs (2)'!V87+'Inputs (2)'!V96)=0,('Inputs (2)'!V97)=0),"",-('Inputs (2)'!V97)/('Inputs (2)'!V80+'Inputs (2)'!V86+'Inputs (2)'!V87+'Inputs (2)'!V96)),"")</f>
        <v/>
      </c>
      <c r="W242" s="32" t="str">
        <f>IFERROR(IF(OR(('Inputs (2)'!W80+'Inputs (2)'!W86+'Inputs (2)'!W87+'Inputs (2)'!W96)=0,('Inputs (2)'!W97)=0),"",-('Inputs (2)'!W97)/('Inputs (2)'!W80+'Inputs (2)'!W86+'Inputs (2)'!W87+'Inputs (2)'!W96)),"")</f>
        <v/>
      </c>
      <c r="X242" s="34" t="str">
        <f>IFERROR(IF(OR(('Inputs (2)'!X80+'Inputs (2)'!X86+'Inputs (2)'!X87+'Inputs (2)'!X96)=0,('Inputs (2)'!X97)=0),"",-('Inputs (2)'!X97)/('Inputs (2)'!X80+'Inputs (2)'!X86+'Inputs (2)'!X87+'Inputs (2)'!X96)),"")</f>
        <v/>
      </c>
      <c r="Y242" s="32" t="str">
        <f>IFERROR(IF(OR(('Inputs (2)'!Y80+'Inputs (2)'!Y86+'Inputs (2)'!Y87+'Inputs (2)'!Y96)=0,('Inputs (2)'!Y97)=0),"",-('Inputs (2)'!Y97)/('Inputs (2)'!Y80+'Inputs (2)'!Y86+'Inputs (2)'!Y87+'Inputs (2)'!Y96)),"")</f>
        <v/>
      </c>
      <c r="Z242" s="32" t="str">
        <f>IFERROR(IF(OR(('Inputs (2)'!Z80+'Inputs (2)'!Z86+'Inputs (2)'!Z87+'Inputs (2)'!Z96)=0,('Inputs (2)'!Z97)=0),"",-('Inputs (2)'!Z97)/('Inputs (2)'!Z80+'Inputs (2)'!Z86+'Inputs (2)'!Z87+'Inputs (2)'!Z96)),"")</f>
        <v/>
      </c>
      <c r="AA242" s="32" t="str">
        <f>IFERROR(IF(OR(('Inputs (2)'!AA80+'Inputs (2)'!AA86+'Inputs (2)'!AA87+'Inputs (2)'!AA96)=0,('Inputs (2)'!AA97)=0),"",-('Inputs (2)'!AA97)/('Inputs (2)'!AA80+'Inputs (2)'!AA86+'Inputs (2)'!AA87+'Inputs (2)'!AA96)),"")</f>
        <v/>
      </c>
      <c r="AB242" s="32" t="str">
        <f>IFERROR(IF(OR(('Inputs (2)'!AB80+'Inputs (2)'!AB86+'Inputs (2)'!AB87+'Inputs (2)'!AB96)=0,('Inputs (2)'!AB97)=0),"",-('Inputs (2)'!AB97)/('Inputs (2)'!AB80+'Inputs (2)'!AB86+'Inputs (2)'!AB87+'Inputs (2)'!AB96)),"")</f>
        <v/>
      </c>
      <c r="AC242" s="34" t="str">
        <f>IFERROR(IF(OR(('Inputs (2)'!AC80+'Inputs (2)'!AC86+'Inputs (2)'!AC87+'Inputs (2)'!AC96)=0,('Inputs (2)'!AC97)=0),"",-('Inputs (2)'!AC97)/('Inputs (2)'!AC80+'Inputs (2)'!AC86+'Inputs (2)'!AC87+'Inputs (2)'!AC96)),"")</f>
        <v/>
      </c>
      <c r="AD242" s="32" t="str">
        <f>IFERROR(IF(OR(('Inputs (2)'!AD80+'Inputs (2)'!AD86+'Inputs (2)'!AD87+'Inputs (2)'!AD96)=0,('Inputs (2)'!AD97)=0),"",-('Inputs (2)'!AD97)/('Inputs (2)'!AD80+'Inputs (2)'!AD86+'Inputs (2)'!AD87+'Inputs (2)'!AD96)),"")</f>
        <v/>
      </c>
      <c r="AE242" s="32" t="str">
        <f>IFERROR(IF(OR(('Inputs (2)'!AE80+'Inputs (2)'!AE86+'Inputs (2)'!AE87+'Inputs (2)'!AE96)=0,('Inputs (2)'!AE97)=0),"",-('Inputs (2)'!AE97)/('Inputs (2)'!AE80+'Inputs (2)'!AE86+'Inputs (2)'!AE87+'Inputs (2)'!AE96)),"")</f>
        <v/>
      </c>
      <c r="AF242" s="32" t="str">
        <f>IFERROR(IF(OR(('Inputs (2)'!AF80+'Inputs (2)'!AF86+'Inputs (2)'!AF87+'Inputs (2)'!AF96)=0,('Inputs (2)'!AF97)=0),"",-('Inputs (2)'!AF97)/('Inputs (2)'!AF80+'Inputs (2)'!AF86+'Inputs (2)'!AF87+'Inputs (2)'!AF96)),"")</f>
        <v/>
      </c>
      <c r="AG242" s="32" t="str">
        <f>IFERROR(IF(OR(('Inputs (2)'!AG80+'Inputs (2)'!AG86+'Inputs (2)'!AG87+'Inputs (2)'!AG96)=0,('Inputs (2)'!AG97)=0),"",-('Inputs (2)'!AG97)/('Inputs (2)'!AG80+'Inputs (2)'!AG86+'Inputs (2)'!AG87+'Inputs (2)'!AG96)),"")</f>
        <v/>
      </c>
      <c r="AH242" s="34" t="str">
        <f>IFERROR(IF(OR(('Inputs (2)'!AH80+'Inputs (2)'!AH86+'Inputs (2)'!AH87+'Inputs (2)'!AH96)=0,('Inputs (2)'!AH97)=0),"",-('Inputs (2)'!AH97)/('Inputs (2)'!AH80+'Inputs (2)'!AH86+'Inputs (2)'!AH87+'Inputs (2)'!AH96)),"")</f>
        <v/>
      </c>
      <c r="AI242" s="32" t="str">
        <f>IFERROR(IF(OR(('Inputs (2)'!AI80+'Inputs (2)'!AI86+'Inputs (2)'!AI87+'Inputs (2)'!AI96)=0,('Inputs (2)'!AI97)=0),"",-('Inputs (2)'!AI97)/('Inputs (2)'!AI80+'Inputs (2)'!AI86+'Inputs (2)'!AI87+'Inputs (2)'!AI96)),"")</f>
        <v/>
      </c>
      <c r="AJ242" s="32" t="str">
        <f>IFERROR(IF(OR(('Inputs (2)'!AJ80+'Inputs (2)'!AJ86+'Inputs (2)'!AJ87+'Inputs (2)'!AJ96)=0,('Inputs (2)'!AJ97)=0),"",-('Inputs (2)'!AJ97)/('Inputs (2)'!AJ80+'Inputs (2)'!AJ86+'Inputs (2)'!AJ87+'Inputs (2)'!AJ96)),"")</f>
        <v/>
      </c>
      <c r="AK242" s="32" t="str">
        <f>IFERROR(IF(OR(('Inputs (2)'!AK80+'Inputs (2)'!AK86+'Inputs (2)'!AK87+'Inputs (2)'!AK96)=0,('Inputs (2)'!AK97)=0),"",-('Inputs (2)'!AK97)/('Inputs (2)'!AK80+'Inputs (2)'!AK86+'Inputs (2)'!AK87+'Inputs (2)'!AK96)),"")</f>
        <v/>
      </c>
      <c r="AL242" s="32" t="str">
        <f>IFERROR(IF(OR(('Inputs (2)'!AL80+'Inputs (2)'!AL86+'Inputs (2)'!AL87+'Inputs (2)'!AL96)=0,('Inputs (2)'!AL97)=0),"",-('Inputs (2)'!AL97)/('Inputs (2)'!AL80+'Inputs (2)'!AL86+'Inputs (2)'!AL87+'Inputs (2)'!AL96)),"")</f>
        <v/>
      </c>
      <c r="AM242" s="34" t="str">
        <f>IFERROR(IF(OR(('Inputs (2)'!AM80+'Inputs (2)'!AM86+'Inputs (2)'!AM87+'Inputs (2)'!AM96)=0,('Inputs (2)'!AM97)=0),"",-('Inputs (2)'!AM97)/('Inputs (2)'!AM80+'Inputs (2)'!AM86+'Inputs (2)'!AM87+'Inputs (2)'!AM96)),"")</f>
        <v/>
      </c>
      <c r="AN242" s="32" t="str">
        <f>IFERROR(IF(OR(('Inputs (2)'!AN80+'Inputs (2)'!AN86+'Inputs (2)'!AN87+'Inputs (2)'!AN96)=0,('Inputs (2)'!AN97)=0),"",-('Inputs (2)'!AN97)/('Inputs (2)'!AN80+'Inputs (2)'!AN86+'Inputs (2)'!AN87+'Inputs (2)'!AN96)),"")</f>
        <v/>
      </c>
      <c r="AO242" s="32" t="str">
        <f>IFERROR(IF(OR(('Inputs (2)'!AO80+'Inputs (2)'!AO86+'Inputs (2)'!AO87+'Inputs (2)'!AO96)=0,('Inputs (2)'!AO97)=0),"",-('Inputs (2)'!AO97)/('Inputs (2)'!AO80+'Inputs (2)'!AO86+'Inputs (2)'!AO87+'Inputs (2)'!AO96)),"")</f>
        <v/>
      </c>
      <c r="AP242" s="32" t="str">
        <f>IFERROR(IF(OR(('Inputs (2)'!AP80+'Inputs (2)'!AP86+'Inputs (2)'!AP87+'Inputs (2)'!AP96)=0,('Inputs (2)'!AP97)=0),"",-('Inputs (2)'!AP97)/('Inputs (2)'!AP80+'Inputs (2)'!AP86+'Inputs (2)'!AP87+'Inputs (2)'!AP96)),"")</f>
        <v/>
      </c>
      <c r="AQ242" s="32" t="str">
        <f>IFERROR(IF(OR(('Inputs (2)'!AQ80+'Inputs (2)'!AQ86+'Inputs (2)'!AQ87+'Inputs (2)'!AQ96)=0,('Inputs (2)'!AQ97)=0),"",-('Inputs (2)'!AQ97)/('Inputs (2)'!AQ80+'Inputs (2)'!AQ86+'Inputs (2)'!AQ87+'Inputs (2)'!AQ96)),"")</f>
        <v/>
      </c>
      <c r="AR242" s="34" t="str">
        <f>IFERROR(IF(OR(('Inputs (2)'!AR80+'Inputs (2)'!AR86+'Inputs (2)'!AR87+'Inputs (2)'!AR96)=0,('Inputs (2)'!AR97)=0),"",-('Inputs (2)'!AR97)/('Inputs (2)'!AR80+'Inputs (2)'!AR86+'Inputs (2)'!AR87+'Inputs (2)'!AR96)),"")</f>
        <v/>
      </c>
      <c r="AS242" s="32" t="str">
        <f>IFERROR(IF(OR(('Inputs (2)'!AS80+'Inputs (2)'!AS86+'Inputs (2)'!AS87+'Inputs (2)'!AS96)=0,('Inputs (2)'!AS97)=0),"",-('Inputs (2)'!AS97)/('Inputs (2)'!AS80+'Inputs (2)'!AS86+'Inputs (2)'!AS87+'Inputs (2)'!AS96)),"")</f>
        <v/>
      </c>
      <c r="AT242" s="32" t="str">
        <f>IFERROR(IF(OR(('Inputs (2)'!AT80+'Inputs (2)'!AT86+'Inputs (2)'!AT87+'Inputs (2)'!AT96)=0,('Inputs (2)'!AT97)=0),"",-('Inputs (2)'!AT97)/('Inputs (2)'!AT80+'Inputs (2)'!AT86+'Inputs (2)'!AT87+'Inputs (2)'!AT96)),"")</f>
        <v/>
      </c>
      <c r="AU242" s="32" t="str">
        <f>IFERROR(IF(OR(('Inputs (2)'!AU80+'Inputs (2)'!AU86+'Inputs (2)'!AU87+'Inputs (2)'!AU96)=0,('Inputs (2)'!AU97)=0),"",-('Inputs (2)'!AU97)/('Inputs (2)'!AU80+'Inputs (2)'!AU86+'Inputs (2)'!AU87+'Inputs (2)'!AU96)),"")</f>
        <v/>
      </c>
      <c r="AV242" s="32" t="str">
        <f>IFERROR(IF(OR(('Inputs (2)'!AV80+'Inputs (2)'!AV86+'Inputs (2)'!AV87+'Inputs (2)'!AV96)=0,('Inputs (2)'!AV97)=0),"",-('Inputs (2)'!AV97)/('Inputs (2)'!AV80+'Inputs (2)'!AV86+'Inputs (2)'!AV87+'Inputs (2)'!AV96)),"")</f>
        <v/>
      </c>
      <c r="AW242" s="34" t="str">
        <f>IFERROR(IF(OR(('Inputs (2)'!AW80+'Inputs (2)'!AW86+'Inputs (2)'!AW87+'Inputs (2)'!AW96)=0,('Inputs (2)'!AW97)=0),"",-('Inputs (2)'!AW97)/('Inputs (2)'!AW80+'Inputs (2)'!AW86+'Inputs (2)'!AW87+'Inputs (2)'!AW96)),"")</f>
        <v/>
      </c>
      <c r="AX242" s="32" t="str">
        <f>IFERROR(IF(OR(('Inputs (2)'!AX80+'Inputs (2)'!AX86+'Inputs (2)'!AX87+'Inputs (2)'!AX96)=0,('Inputs (2)'!AX97)=0),"",-('Inputs (2)'!AX97)/('Inputs (2)'!AX80+'Inputs (2)'!AX86+'Inputs (2)'!AX87+'Inputs (2)'!AX96)),"")</f>
        <v/>
      </c>
      <c r="AY242" s="32" t="str">
        <f>IFERROR(IF(OR(('Inputs (2)'!AY80+'Inputs (2)'!AY86+'Inputs (2)'!AY87+'Inputs (2)'!AY96)=0,('Inputs (2)'!AY97)=0),"",-('Inputs (2)'!AY97)/('Inputs (2)'!AY80+'Inputs (2)'!AY86+'Inputs (2)'!AY87+'Inputs (2)'!AY96)),"")</f>
        <v/>
      </c>
      <c r="AZ242" s="32" t="str">
        <f>IFERROR(IF(OR(('Inputs (2)'!AZ80+'Inputs (2)'!AZ86+'Inputs (2)'!AZ87+'Inputs (2)'!AZ96)=0,('Inputs (2)'!AZ97)=0),"",-('Inputs (2)'!AZ97)/('Inputs (2)'!AZ80+'Inputs (2)'!AZ86+'Inputs (2)'!AZ87+'Inputs (2)'!AZ96)),"")</f>
        <v/>
      </c>
      <c r="BA242" s="32" t="str">
        <f>IFERROR(IF(OR(('Inputs (2)'!BA80+'Inputs (2)'!BA86+'Inputs (2)'!BA87+'Inputs (2)'!BA96)=0,('Inputs (2)'!BA97)=0),"",-('Inputs (2)'!BA97)/('Inputs (2)'!BA80+'Inputs (2)'!BA86+'Inputs (2)'!BA87+'Inputs (2)'!BA96)),"")</f>
        <v/>
      </c>
      <c r="BB242" s="34" t="str">
        <f>IFERROR(IF(OR(('Inputs (2)'!BB80+'Inputs (2)'!BB86+'Inputs (2)'!BB87+'Inputs (2)'!BB96)=0,('Inputs (2)'!BB97)=0),"",-('Inputs (2)'!BB97)/('Inputs (2)'!BB80+'Inputs (2)'!BB86+'Inputs (2)'!BB87+'Inputs (2)'!BB96)),"")</f>
        <v/>
      </c>
      <c r="BC242" s="32" t="str">
        <f>IFERROR(IF(OR(('Inputs (2)'!BC80+'Inputs (2)'!BC86+'Inputs (2)'!BC87+'Inputs (2)'!BC96)=0,('Inputs (2)'!BC97)=0),"",-('Inputs (2)'!BC97)/('Inputs (2)'!BC80+'Inputs (2)'!BC86+'Inputs (2)'!BC87+'Inputs (2)'!BC96)),"")</f>
        <v/>
      </c>
      <c r="BD242" s="32" t="str">
        <f>IFERROR(IF(OR(('Inputs (2)'!BD80+'Inputs (2)'!BD86+'Inputs (2)'!BD87+'Inputs (2)'!BD96)=0,('Inputs (2)'!BD97)=0),"",-('Inputs (2)'!BD97)/('Inputs (2)'!BD80+'Inputs (2)'!BD86+'Inputs (2)'!BD87+'Inputs (2)'!BD96)),"")</f>
        <v/>
      </c>
      <c r="BE242" s="32" t="str">
        <f>IFERROR(IF(OR(('Inputs (2)'!BE80+'Inputs (2)'!BE86+'Inputs (2)'!BE87+'Inputs (2)'!BE96)=0,('Inputs (2)'!BE97)=0),"",-('Inputs (2)'!BE97)/('Inputs (2)'!BE80+'Inputs (2)'!BE86+'Inputs (2)'!BE87+'Inputs (2)'!BE96)),"")</f>
        <v/>
      </c>
      <c r="BF242" s="32" t="str">
        <f>IFERROR(IF(OR(('Inputs (2)'!BF80+'Inputs (2)'!BF86+'Inputs (2)'!BF87+'Inputs (2)'!BF96)=0,('Inputs (2)'!BF97)=0),"",-('Inputs (2)'!BF97)/('Inputs (2)'!BF80+'Inputs (2)'!BF86+'Inputs (2)'!BF87+'Inputs (2)'!BF96)),"")</f>
        <v/>
      </c>
      <c r="BG242" s="34" t="str">
        <f>IFERROR(IF(OR(('Inputs (2)'!BG80+'Inputs (2)'!BG86+'Inputs (2)'!BG87+'Inputs (2)'!BG96)=0,('Inputs (2)'!BG97)=0),"",-('Inputs (2)'!BG97)/('Inputs (2)'!BG80+'Inputs (2)'!BG86+'Inputs (2)'!BG87+'Inputs (2)'!BG96)),"")</f>
        <v/>
      </c>
    </row>
    <row r="243" hidden="1" outlineLevel="1">
      <c r="C243" s="30" t="inlineStr">
        <is>
          <t>Resultado não operacional</t>
        </is>
      </c>
      <c r="D243" s="12" t="inlineStr">
        <is>
          <t>Non-operating</t>
        </is>
      </c>
      <c r="E243" s="35">
        <f>IFERROR(IF(OR(COUNT('Inputs (2)'!E99)=0,('Inputs (2)'!E99)=0),"",('Inputs (2)'!E99)),"")</f>
        <v>-0.973</v>
      </c>
      <c r="F243" s="35">
        <f>IFERROR(IF(OR(COUNT('Inputs (2)'!F99)=0,('Inputs (2)'!F99)=0),"",('Inputs (2)'!F99)),"")</f>
        <v>-0.04</v>
      </c>
      <c r="G243" s="35">
        <f>IFERROR(IF(OR(COUNT('Inputs (2)'!G99)=0,('Inputs (2)'!G99)=0),"",('Inputs (2)'!G99)),"")</f>
        <v>-0.023</v>
      </c>
      <c r="H243" s="35">
        <f>IFERROR(IF(OR(COUNT('Inputs (2)'!H99)=0,('Inputs (2)'!H99)=0),"",('Inputs (2)'!H99)),"")</f>
        <v>-9.911</v>
      </c>
      <c r="I243" s="36">
        <f>IFERROR(IF(OR(COUNT('Inputs (2)'!I99)=0,('Inputs (2)'!I99)=0),"",('Inputs (2)'!I99)),"")</f>
        <v>-10.947</v>
      </c>
      <c r="J243" s="35">
        <f>IFERROR(IF(OR(COUNT('Inputs (2)'!J99)=0,('Inputs (2)'!J99)=0),"",('Inputs (2)'!J99)),"")</f>
        <v>-0.309</v>
      </c>
      <c r="K243" s="35">
        <f>IFERROR(IF(OR(COUNT('Inputs (2)'!K99)=0,('Inputs (2)'!K99)=0),"",('Inputs (2)'!K99)),"")</f>
        <v>-18.028</v>
      </c>
      <c r="L243" s="35">
        <f>IFERROR(IF(OR(COUNT('Inputs (2)'!L99)=0,('Inputs (2)'!L99)=0),"",('Inputs (2)'!L99)),"")</f>
        <v>0.556</v>
      </c>
      <c r="M243" s="35">
        <f>IFERROR(IF(OR(COUNT('Inputs (2)'!M99)=0,('Inputs (2)'!M99)=0),"",('Inputs (2)'!M99)),"")</f>
        <v>-5.716</v>
      </c>
      <c r="N243" s="36">
        <f>IFERROR(IF(OR(COUNT('Inputs (2)'!N99)=0,('Inputs (2)'!N99)=0),"",('Inputs (2)'!N99)),"")</f>
        <v>-23.497</v>
      </c>
      <c r="O243" s="35">
        <f>IFERROR(IF(OR(COUNT('Inputs (2)'!O99)=0,('Inputs (2)'!O99)=0),"",('Inputs (2)'!O99)),"")</f>
        <v>-9.76</v>
      </c>
      <c r="P243" s="35">
        <f>IFERROR(IF(OR(COUNT('Inputs (2)'!P99)=0,('Inputs (2)'!P99)=0),"",('Inputs (2)'!P99)),"")</f>
        <v>6.015</v>
      </c>
      <c r="Q243" s="35">
        <f>IFERROR(IF(OR(COUNT('Inputs (2)'!Q99)=0,('Inputs (2)'!Q99)=0),"",('Inputs (2)'!Q99)),"")</f>
        <v>3.123</v>
      </c>
      <c r="R243" s="35">
        <f>IFERROR(IF(OR(COUNT('Inputs (2)'!R99)=0,('Inputs (2)'!R99)=0),"",('Inputs (2)'!R99)),"")</f>
        <v>1.31</v>
      </c>
      <c r="S243" s="36">
        <f>IFERROR(IF(OR(COUNT('Inputs (2)'!S99)=0,('Inputs (2)'!S99)=0),"",('Inputs (2)'!S99)),"")</f>
        <v>0.688</v>
      </c>
      <c r="T243" s="35">
        <f>IFERROR(IF(OR(COUNT('Inputs (2)'!T99)=0,('Inputs (2)'!T99)=0),"",('Inputs (2)'!T99)),"")</f>
        <v>0.433</v>
      </c>
      <c r="U243" s="35">
        <f>IFERROR(IF(OR(COUNT('Inputs (2)'!U99)=0,('Inputs (2)'!U99)=0),"",('Inputs (2)'!U99)),"")</f>
        <v>0.078</v>
      </c>
      <c r="V243" s="35">
        <f>IFERROR(IF(OR(COUNT('Inputs (2)'!V99)=0,('Inputs (2)'!V99)=0),"",('Inputs (2)'!V99)),"")</f>
        <v>-0.696</v>
      </c>
      <c r="W243" s="35">
        <f>IFERROR(IF(OR(COUNT('Inputs (2)'!W99)=0,('Inputs (2)'!W99)=0),"",('Inputs (2)'!W99)),"")</f>
        <v>4.219</v>
      </c>
      <c r="X243" s="36">
        <f>IFERROR(IF(OR(COUNT('Inputs (2)'!X99)=0,('Inputs (2)'!X99)=0),"",('Inputs (2)'!X99)),"")</f>
        <v>4.034</v>
      </c>
      <c r="Y243" s="35">
        <f>IFERROR(IF(OR(COUNT('Inputs (2)'!Y99)=0,('Inputs (2)'!Y99)=0),"",('Inputs (2)'!Y99)),"")</f>
        <v>4.683</v>
      </c>
      <c r="Z243" s="35">
        <f>IFERROR(IF(OR(COUNT('Inputs (2)'!Z99)=0,('Inputs (2)'!Z99)=0),"",('Inputs (2)'!Z99)),"")</f>
        <v>0.904</v>
      </c>
      <c r="AA243" s="35">
        <f>IFERROR(IF(OR(COUNT('Inputs (2)'!AA99)=0,('Inputs (2)'!AA99)=0),"",('Inputs (2)'!AA99)),"")</f>
        <v>2.299</v>
      </c>
      <c r="AB243" s="35">
        <f>IFERROR(IF(OR(COUNT('Inputs (2)'!AB99)=0,('Inputs (2)'!AB99)=0),"",('Inputs (2)'!AB99)),"")</f>
        <v>0.701</v>
      </c>
      <c r="AC243" s="36">
        <f>IFERROR(IF(OR(COUNT('Inputs (2)'!AC99)=0,('Inputs (2)'!AC99)=0),"",('Inputs (2)'!AC99)),"")</f>
        <v>8.587</v>
      </c>
      <c r="AD243" s="35">
        <f>IFERROR(IF(OR(COUNT('Inputs (2)'!AD99)=0,('Inputs (2)'!AD99)=0),"",('Inputs (2)'!AD99)),"")</f>
        <v>5.563</v>
      </c>
      <c r="AE243" s="35">
        <f>IFERROR(IF(OR(COUNT('Inputs (2)'!AE99)=0,('Inputs (2)'!AE99)=0),"",('Inputs (2)'!AE99)),"")</f>
        <v>0.284</v>
      </c>
      <c r="AF243" s="35">
        <f>IFERROR(IF(OR(COUNT('Inputs (2)'!AF99)=0,('Inputs (2)'!AF99)=0),"",('Inputs (2)'!AF99)),"")</f>
        <v>-0.97</v>
      </c>
      <c r="AG243" s="35">
        <f>IFERROR(IF(OR(COUNT('Inputs (2)'!AG99)=0,('Inputs (2)'!AG99)=0),"",('Inputs (2)'!AG99)),"")</f>
        <v>0.564</v>
      </c>
      <c r="AH243" s="36">
        <f>IFERROR(IF(OR(COUNT('Inputs (2)'!AH99)=0,('Inputs (2)'!AH99)=0),"",('Inputs (2)'!AH99)),"")</f>
        <v>5.441</v>
      </c>
      <c r="AI243" s="35">
        <f>IFERROR(IF(OR(COUNT('Inputs (2)'!AI99)=0,('Inputs (2)'!AI99)=0),"",('Inputs (2)'!AI99)),"")</f>
        <v>-0.235</v>
      </c>
      <c r="AJ243" s="35">
        <f>IFERROR(IF(OR(COUNT('Inputs (2)'!AJ99)=0,('Inputs (2)'!AJ99)=0),"",('Inputs (2)'!AJ99)),"")</f>
        <v>1.311</v>
      </c>
      <c r="AK243" s="35" t="str">
        <f>IFERROR(IF(OR(COUNT('Inputs (2)'!AK99)=0,('Inputs (2)'!AK99)=0),"",('Inputs (2)'!AK99)),"")</f>
        <v/>
      </c>
      <c r="AL243" s="35" t="str">
        <f>IFERROR(IF(OR(COUNT('Inputs (2)'!AL99)=0,('Inputs (2)'!AL99)=0),"",('Inputs (2)'!AL99)),"")</f>
        <v/>
      </c>
      <c r="AM243" s="36">
        <f>IFERROR(IF(OR(COUNT('Inputs (2)'!AM99)=0,('Inputs (2)'!AM99)=0),"",('Inputs (2)'!AM99)),"")</f>
        <v>1.076</v>
      </c>
      <c r="AN243" s="35" t="str">
        <f>IFERROR(IF(OR(COUNT('Inputs (2)'!AN99)=0,('Inputs (2)'!AN99)=0),"",('Inputs (2)'!AN99)),"")</f>
        <v/>
      </c>
      <c r="AO243" s="35" t="str">
        <f>IFERROR(IF(OR(COUNT('Inputs (2)'!AO99)=0,('Inputs (2)'!AO99)=0),"",('Inputs (2)'!AO99)),"")</f>
        <v/>
      </c>
      <c r="AP243" s="35" t="str">
        <f>IFERROR(IF(OR(COUNT('Inputs (2)'!AP99)=0,('Inputs (2)'!AP99)=0),"",('Inputs (2)'!AP99)),"")</f>
        <v/>
      </c>
      <c r="AQ243" s="35" t="str">
        <f>IFERROR(IF(OR(COUNT('Inputs (2)'!AQ99)=0,('Inputs (2)'!AQ99)=0),"",('Inputs (2)'!AQ99)),"")</f>
        <v/>
      </c>
      <c r="AR243" s="36" t="str">
        <f>IFERROR(IF(OR(COUNT('Inputs (2)'!AR99)=0,('Inputs (2)'!AR99)=0),"",('Inputs (2)'!AR99)),"")</f>
        <v/>
      </c>
      <c r="AS243" s="35" t="str">
        <f>IFERROR(IF(OR(COUNT('Inputs (2)'!AS99)=0,('Inputs (2)'!AS99)=0),"",('Inputs (2)'!AS99)),"")</f>
        <v/>
      </c>
      <c r="AT243" s="35" t="str">
        <f>IFERROR(IF(OR(COUNT('Inputs (2)'!AT99)=0,('Inputs (2)'!AT99)=0),"",('Inputs (2)'!AT99)),"")</f>
        <v/>
      </c>
      <c r="AU243" s="35" t="str">
        <f>IFERROR(IF(OR(COUNT('Inputs (2)'!AU99)=0,('Inputs (2)'!AU99)=0),"",('Inputs (2)'!AU99)),"")</f>
        <v/>
      </c>
      <c r="AV243" s="35" t="str">
        <f>IFERROR(IF(OR(COUNT('Inputs (2)'!AV99)=0,('Inputs (2)'!AV99)=0),"",('Inputs (2)'!AV99)),"")</f>
        <v/>
      </c>
      <c r="AW243" s="36" t="str">
        <f>IFERROR(IF(OR(COUNT('Inputs (2)'!AW99)=0,('Inputs (2)'!AW99)=0),"",('Inputs (2)'!AW99)),"")</f>
        <v/>
      </c>
      <c r="AX243" s="35" t="str">
        <f>IFERROR(IF(OR(COUNT('Inputs (2)'!AX99)=0,('Inputs (2)'!AX99)=0),"",('Inputs (2)'!AX99)),"")</f>
        <v/>
      </c>
      <c r="AY243" s="35" t="str">
        <f>IFERROR(IF(OR(COUNT('Inputs (2)'!AY99)=0,('Inputs (2)'!AY99)=0),"",('Inputs (2)'!AY99)),"")</f>
        <v/>
      </c>
      <c r="AZ243" s="35" t="str">
        <f>IFERROR(IF(OR(COUNT('Inputs (2)'!AZ99)=0,('Inputs (2)'!AZ99)=0),"",('Inputs (2)'!AZ99)),"")</f>
        <v/>
      </c>
      <c r="BA243" s="35" t="str">
        <f>IFERROR(IF(OR(COUNT('Inputs (2)'!BA99)=0,('Inputs (2)'!BA99)=0),"",('Inputs (2)'!BA99)),"")</f>
        <v/>
      </c>
      <c r="BB243" s="36" t="str">
        <f>IFERROR(IF(OR(COUNT('Inputs (2)'!BB99)=0,('Inputs (2)'!BB99)=0),"",('Inputs (2)'!BB99)),"")</f>
        <v/>
      </c>
      <c r="BC243" s="35" t="str">
        <f>IFERROR(IF(OR(COUNT('Inputs (2)'!BC99)=0,('Inputs (2)'!BC99)=0),"",('Inputs (2)'!BC99)),"")</f>
        <v/>
      </c>
      <c r="BD243" s="35" t="str">
        <f>IFERROR(IF(OR(COUNT('Inputs (2)'!BD99)=0,('Inputs (2)'!BD99)=0),"",('Inputs (2)'!BD99)),"")</f>
        <v/>
      </c>
      <c r="BE243" s="35" t="str">
        <f>IFERROR(IF(OR(COUNT('Inputs (2)'!BE99)=0,('Inputs (2)'!BE99)=0),"",('Inputs (2)'!BE99)),"")</f>
        <v/>
      </c>
      <c r="BF243" s="35" t="str">
        <f>IFERROR(IF(OR(COUNT('Inputs (2)'!BF99)=0,('Inputs (2)'!BF99)=0),"",('Inputs (2)'!BF99)),"")</f>
        <v/>
      </c>
      <c r="BG243" s="36" t="str">
        <f>IFERROR(IF(OR(COUNT('Inputs (2)'!BG99)=0,('Inputs (2)'!BG99)=0),"",('Inputs (2)'!BG99)),"")</f>
        <v/>
      </c>
    </row>
    <row r="244" hidden="1" outlineLevel="1">
      <c r="C244" s="30" t="inlineStr">
        <is>
          <t>Alíquota efetiva de IR/CSLL (%)</t>
        </is>
      </c>
      <c r="D244" s="12" t="inlineStr">
        <is>
          <t>Effective tax rate</t>
        </is>
      </c>
      <c r="E244" s="32">
        <f>IFERROR(IF(OR(('Inputs (2)'!E100)=0,('Inputs (2)'!E101)=0),"",-('Inputs (2)'!E101)/('Inputs (2)'!E100)),"")</f>
        <v>1.20447488400038</v>
      </c>
      <c r="F244" s="32">
        <f>IFERROR(IF(OR(('Inputs (2)'!F100)=0,('Inputs (2)'!F101)=0),"",-('Inputs (2)'!F101)/('Inputs (2)'!F100)),"")</f>
        <v>1.60097340212822</v>
      </c>
      <c r="G244" s="32">
        <f>IFERROR(IF(OR(('Inputs (2)'!G100)=0,('Inputs (2)'!G101)=0),"",-('Inputs (2)'!G101)/('Inputs (2)'!G100)),"")</f>
        <v>-0.44164737275831</v>
      </c>
      <c r="H244" s="32">
        <f>IFERROR(IF(OR(('Inputs (2)'!H100)=0,('Inputs (2)'!H101)=0),"",-('Inputs (2)'!H101)/('Inputs (2)'!H100)),"")</f>
        <v>0.516352485386121</v>
      </c>
      <c r="I244" s="34">
        <f>IFERROR(IF(OR(('Inputs (2)'!I100)=0,('Inputs (2)'!I101)=0),"",-('Inputs (2)'!I101)/('Inputs (2)'!I100)),"")</f>
        <v>2.40925956716927</v>
      </c>
      <c r="J244" s="32">
        <f>IFERROR(IF(OR(('Inputs (2)'!J100)=0,('Inputs (2)'!J101)=0),"",-('Inputs (2)'!J101)/('Inputs (2)'!J100)),"")</f>
        <v>-0.356885523938322</v>
      </c>
      <c r="K244" s="32">
        <f>IFERROR(IF(OR(('Inputs (2)'!K100)=0,('Inputs (2)'!K101)=0),"",-('Inputs (2)'!K101)/('Inputs (2)'!K100)),"")</f>
        <v>0.518321721803767</v>
      </c>
      <c r="L244" s="32">
        <f>IFERROR(IF(OR(('Inputs (2)'!L100)=0,('Inputs (2)'!L101)=0),"",-('Inputs (2)'!L101)/('Inputs (2)'!L100)),"")</f>
        <v>-0.264513171057019</v>
      </c>
      <c r="M244" s="32">
        <f>IFERROR(IF(OR(('Inputs (2)'!M100)=0,('Inputs (2)'!M101)=0),"",-('Inputs (2)'!M101)/('Inputs (2)'!M100)),"")</f>
        <v>-0.37766638677557</v>
      </c>
      <c r="N244" s="34">
        <f>IFERROR(IF(OR(('Inputs (2)'!N100)=0,('Inputs (2)'!N101)=0),"",-('Inputs (2)'!N101)/('Inputs (2)'!N100)),"")</f>
        <v>0.0626024747760691</v>
      </c>
      <c r="O244" s="32">
        <f>IFERROR(IF(OR(('Inputs (2)'!O100)=0,('Inputs (2)'!O101)=0),"",-('Inputs (2)'!O101)/('Inputs (2)'!O100)),"")</f>
        <v>0.199794255724442</v>
      </c>
      <c r="P244" s="32">
        <f>IFERROR(IF(OR(('Inputs (2)'!P100)=0,('Inputs (2)'!P101)=0),"",-('Inputs (2)'!P101)/('Inputs (2)'!P100)),"")</f>
        <v>0.131169802239736</v>
      </c>
      <c r="Q244" s="32">
        <f>IFERROR(IF(OR(('Inputs (2)'!Q100)=0,('Inputs (2)'!Q101)=0),"",-('Inputs (2)'!Q101)/('Inputs (2)'!Q100)),"")</f>
        <v>0.119244026336005</v>
      </c>
      <c r="R244" s="32">
        <f>IFERROR(IF(OR(('Inputs (2)'!R100)=0,('Inputs (2)'!R101)=0),"",-('Inputs (2)'!R101)/('Inputs (2)'!R100)),"")</f>
        <v>0.0457799266325699</v>
      </c>
      <c r="S244" s="34">
        <f>IFERROR(IF(OR(('Inputs (2)'!S100)=0,('Inputs (2)'!S101)=0),"",-('Inputs (2)'!S101)/('Inputs (2)'!S100)),"")</f>
        <v>0.125794081675105</v>
      </c>
      <c r="T244" s="32">
        <f>IFERROR(IF(OR(('Inputs (2)'!T100)=0,('Inputs (2)'!T101)=0),"",-('Inputs (2)'!T101)/('Inputs (2)'!T100)),"")</f>
        <v>-0.114920887371215</v>
      </c>
      <c r="U244" s="32">
        <f>IFERROR(IF(OR(('Inputs (2)'!U100)=0,('Inputs (2)'!U101)=0),"",-('Inputs (2)'!U101)/('Inputs (2)'!U100)),"")</f>
        <v>-0.0760823964866257</v>
      </c>
      <c r="V244" s="32">
        <f>IFERROR(IF(OR(('Inputs (2)'!V100)=0,('Inputs (2)'!V101)=0),"",-('Inputs (2)'!V101)/('Inputs (2)'!V100)),"")</f>
        <v>-0.00665486507974857</v>
      </c>
      <c r="W244" s="32">
        <f>IFERROR(IF(OR(('Inputs (2)'!W100)=0,('Inputs (2)'!W101)=0),"",-('Inputs (2)'!W101)/('Inputs (2)'!W100)),"")</f>
        <v>-0.110858806671214</v>
      </c>
      <c r="X244" s="34">
        <f>IFERROR(IF(OR(('Inputs (2)'!X100)=0,('Inputs (2)'!X101)=0),"",-('Inputs (2)'!X101)/('Inputs (2)'!X100)),"")</f>
        <v>-0.0741369356170422</v>
      </c>
      <c r="Y244" s="32">
        <f>IFERROR(IF(OR(('Inputs (2)'!Y100)=0,('Inputs (2)'!Y101)=0),"",-('Inputs (2)'!Y101)/('Inputs (2)'!Y100)),"")</f>
        <v>0.0140675258651833</v>
      </c>
      <c r="Z244" s="32">
        <f>IFERROR(IF(OR(('Inputs (2)'!Z100)=0,('Inputs (2)'!Z101)=0),"",-('Inputs (2)'!Z101)/('Inputs (2)'!Z100)),"")</f>
        <v>0.0170031109310627</v>
      </c>
      <c r="AA244" s="32">
        <f>IFERROR(IF(OR(('Inputs (2)'!AA100)=0,('Inputs (2)'!AA101)=0),"",-('Inputs (2)'!AA101)/('Inputs (2)'!AA100)),"")</f>
        <v>0.0770962616755845</v>
      </c>
      <c r="AB244" s="32">
        <f>IFERROR(IF(OR(('Inputs (2)'!AB100)=0,('Inputs (2)'!AB101)=0),"",-('Inputs (2)'!AB101)/('Inputs (2)'!AB100)),"")</f>
        <v>-0.0736779483465462</v>
      </c>
      <c r="AC244" s="34">
        <f>IFERROR(IF(OR(('Inputs (2)'!AC100)=0,('Inputs (2)'!AC101)=0),"",-('Inputs (2)'!AC101)/('Inputs (2)'!AC100)),"")</f>
        <v>0.01218217490464</v>
      </c>
      <c r="AD244" s="32">
        <f>IFERROR(IF(OR(('Inputs (2)'!AD100)=0,('Inputs (2)'!AD101)=0),"",-('Inputs (2)'!AD101)/('Inputs (2)'!AD100)),"")</f>
        <v>0.058102463979438</v>
      </c>
      <c r="AE244" s="32">
        <f>IFERROR(IF(OR(('Inputs (2)'!AE100)=0,('Inputs (2)'!AE101)=0),"",-('Inputs (2)'!AE101)/('Inputs (2)'!AE100)),"")</f>
        <v>0.0525308452100209</v>
      </c>
      <c r="AF244" s="32">
        <f>IFERROR(IF(OR(('Inputs (2)'!AF100)=0,('Inputs (2)'!AF101)=0),"",-('Inputs (2)'!AF101)/('Inputs (2)'!AF100)),"")</f>
        <v>0.0767938345139009</v>
      </c>
      <c r="AG244" s="32">
        <f>IFERROR(IF(OR(('Inputs (2)'!AG100)=0,('Inputs (2)'!AG101)=0),"",-('Inputs (2)'!AG101)/('Inputs (2)'!AG100)),"")</f>
        <v>-0.137558595579521</v>
      </c>
      <c r="AH244" s="34">
        <f>IFERROR(IF(OR(('Inputs (2)'!AH100)=0,('Inputs (2)'!AH101)=0),"",-('Inputs (2)'!AH101)/('Inputs (2)'!AH100)),"")</f>
        <v>0.0154169133147474</v>
      </c>
      <c r="AI244" s="32">
        <f>IFERROR(IF(OR(('Inputs (2)'!AI100)=0,('Inputs (2)'!AI101)=0),"",-('Inputs (2)'!AI101)/('Inputs (2)'!AI100)),"")</f>
        <v>0.035835012474606</v>
      </c>
      <c r="AJ244" s="32">
        <f>IFERROR(IF(OR(('Inputs (2)'!AJ100)=0,('Inputs (2)'!AJ101)=0),"",-('Inputs (2)'!AJ101)/('Inputs (2)'!AJ100)),"")</f>
        <v>0.0399963099630996</v>
      </c>
      <c r="AK244" s="32" t="str">
        <f>IFERROR(IF(OR(('Inputs (2)'!AK100)=0,('Inputs (2)'!AK101)=0),"",-('Inputs (2)'!AK101)/('Inputs (2)'!AK100)),"")</f>
        <v/>
      </c>
      <c r="AL244" s="32" t="str">
        <f>IFERROR(IF(OR(('Inputs (2)'!AL100)=0,('Inputs (2)'!AL101)=0),"",-('Inputs (2)'!AL101)/('Inputs (2)'!AL100)),"")</f>
        <v/>
      </c>
      <c r="AM244" s="34">
        <f>IFERROR(IF(OR(('Inputs (2)'!AM100)=0,('Inputs (2)'!AM101)=0),"",-('Inputs (2)'!AM101)/('Inputs (2)'!AM100)),"")</f>
        <v>0.0380346056396543</v>
      </c>
      <c r="AN244" s="32" t="str">
        <f>IFERROR(IF(OR(('Inputs (2)'!AN100)=0,('Inputs (2)'!AN101)=0),"",-('Inputs (2)'!AN101)/('Inputs (2)'!AN100)),"")</f>
        <v/>
      </c>
      <c r="AO244" s="32" t="str">
        <f>IFERROR(IF(OR(('Inputs (2)'!AO100)=0,('Inputs (2)'!AO101)=0),"",-('Inputs (2)'!AO101)/('Inputs (2)'!AO100)),"")</f>
        <v/>
      </c>
      <c r="AP244" s="32" t="str">
        <f>IFERROR(IF(OR(('Inputs (2)'!AP100)=0,('Inputs (2)'!AP101)=0),"",-('Inputs (2)'!AP101)/('Inputs (2)'!AP100)),"")</f>
        <v/>
      </c>
      <c r="AQ244" s="32" t="str">
        <f>IFERROR(IF(OR(('Inputs (2)'!AQ100)=0,('Inputs (2)'!AQ101)=0),"",-('Inputs (2)'!AQ101)/('Inputs (2)'!AQ100)),"")</f>
        <v/>
      </c>
      <c r="AR244" s="34" t="str">
        <f>IFERROR(IF(OR(('Inputs (2)'!AR100)=0,('Inputs (2)'!AR101)=0),"",-('Inputs (2)'!AR101)/('Inputs (2)'!AR100)),"")</f>
        <v/>
      </c>
      <c r="AS244" s="32" t="str">
        <f>IFERROR(IF(OR(('Inputs (2)'!AS100)=0,('Inputs (2)'!AS101)=0),"",-('Inputs (2)'!AS101)/('Inputs (2)'!AS100)),"")</f>
        <v/>
      </c>
      <c r="AT244" s="32" t="str">
        <f>IFERROR(IF(OR(('Inputs (2)'!AT100)=0,('Inputs (2)'!AT101)=0),"",-('Inputs (2)'!AT101)/('Inputs (2)'!AT100)),"")</f>
        <v/>
      </c>
      <c r="AU244" s="32" t="str">
        <f>IFERROR(IF(OR(('Inputs (2)'!AU100)=0,('Inputs (2)'!AU101)=0),"",-('Inputs (2)'!AU101)/('Inputs (2)'!AU100)),"")</f>
        <v/>
      </c>
      <c r="AV244" s="32" t="str">
        <f>IFERROR(IF(OR(('Inputs (2)'!AV100)=0,('Inputs (2)'!AV101)=0),"",-('Inputs (2)'!AV101)/('Inputs (2)'!AV100)),"")</f>
        <v/>
      </c>
      <c r="AW244" s="34" t="str">
        <f>IFERROR(IF(OR(('Inputs (2)'!AW100)=0,('Inputs (2)'!AW101)=0),"",-('Inputs (2)'!AW101)/('Inputs (2)'!AW100)),"")</f>
        <v/>
      </c>
      <c r="AX244" s="32" t="str">
        <f>IFERROR(IF(OR(('Inputs (2)'!AX100)=0,('Inputs (2)'!AX101)=0),"",-('Inputs (2)'!AX101)/('Inputs (2)'!AX100)),"")</f>
        <v/>
      </c>
      <c r="AY244" s="32" t="str">
        <f>IFERROR(IF(OR(('Inputs (2)'!AY100)=0,('Inputs (2)'!AY101)=0),"",-('Inputs (2)'!AY101)/('Inputs (2)'!AY100)),"")</f>
        <v/>
      </c>
      <c r="AZ244" s="32" t="str">
        <f>IFERROR(IF(OR(('Inputs (2)'!AZ100)=0,('Inputs (2)'!AZ101)=0),"",-('Inputs (2)'!AZ101)/('Inputs (2)'!AZ100)),"")</f>
        <v/>
      </c>
      <c r="BA244" s="32" t="str">
        <f>IFERROR(IF(OR(('Inputs (2)'!BA100)=0,('Inputs (2)'!BA101)=0),"",-('Inputs (2)'!BA101)/('Inputs (2)'!BA100)),"")</f>
        <v/>
      </c>
      <c r="BB244" s="34" t="str">
        <f>IFERROR(IF(OR(('Inputs (2)'!BB100)=0,('Inputs (2)'!BB101)=0),"",-('Inputs (2)'!BB101)/('Inputs (2)'!BB100)),"")</f>
        <v/>
      </c>
      <c r="BC244" s="32" t="str">
        <f>IFERROR(IF(OR(('Inputs (2)'!BC100)=0,('Inputs (2)'!BC101)=0),"",-('Inputs (2)'!BC101)/('Inputs (2)'!BC100)),"")</f>
        <v/>
      </c>
      <c r="BD244" s="32" t="str">
        <f>IFERROR(IF(OR(('Inputs (2)'!BD100)=0,('Inputs (2)'!BD101)=0),"",-('Inputs (2)'!BD101)/('Inputs (2)'!BD100)),"")</f>
        <v/>
      </c>
      <c r="BE244" s="32" t="str">
        <f>IFERROR(IF(OR(('Inputs (2)'!BE100)=0,('Inputs (2)'!BE101)=0),"",-('Inputs (2)'!BE101)/('Inputs (2)'!BE100)),"")</f>
        <v/>
      </c>
      <c r="BF244" s="32" t="str">
        <f>IFERROR(IF(OR(('Inputs (2)'!BF100)=0,('Inputs (2)'!BF101)=0),"",-('Inputs (2)'!BF101)/('Inputs (2)'!BF100)),"")</f>
        <v/>
      </c>
      <c r="BG244" s="34" t="str">
        <f>IFERROR(IF(OR(('Inputs (2)'!BG100)=0,('Inputs (2)'!BG101)=0),"",-('Inputs (2)'!BG101)/('Inputs (2)'!BG100)),"")</f>
        <v/>
      </c>
    </row>
    <row r="245" hidden="1" outlineLevel="1">
      <c r="C245" s="30" t="inlineStr">
        <is>
          <t>Participação de minoritários (% do lucro líquido)</t>
        </is>
      </c>
      <c r="D245" s="12" t="inlineStr">
        <is>
          <t>Minority</t>
        </is>
      </c>
      <c r="E245" s="32" t="str">
        <f>IFERROR(IF(OR(('Inputs (2)'!E104)=0,('Inputs (2)'!E105)=0),"",-('Inputs (2)'!E105)/('Inputs (2)'!E104)),"")</f>
        <v/>
      </c>
      <c r="F245" s="32" t="str">
        <f>IFERROR(IF(OR(('Inputs (2)'!F104)=0,('Inputs (2)'!F105)=0),"",-('Inputs (2)'!F105)/('Inputs (2)'!F104)),"")</f>
        <v/>
      </c>
      <c r="G245" s="32" t="str">
        <f>IFERROR(IF(OR(('Inputs (2)'!G104)=0,('Inputs (2)'!G105)=0),"",-('Inputs (2)'!G105)/('Inputs (2)'!G104)),"")</f>
        <v/>
      </c>
      <c r="H245" s="32" t="str">
        <f>IFERROR(IF(OR(('Inputs (2)'!H104)=0,('Inputs (2)'!H105)=0),"",-('Inputs (2)'!H105)/('Inputs (2)'!H104)),"")</f>
        <v/>
      </c>
      <c r="I245" s="34" t="str">
        <f>IFERROR(IF(OR(('Inputs (2)'!I104)=0,('Inputs (2)'!I105)=0),"",-('Inputs (2)'!I105)/('Inputs (2)'!I104)),"")</f>
        <v/>
      </c>
      <c r="J245" s="32" t="str">
        <f>IFERROR(IF(OR(('Inputs (2)'!J104)=0,('Inputs (2)'!J105)=0),"",-('Inputs (2)'!J105)/('Inputs (2)'!J104)),"")</f>
        <v/>
      </c>
      <c r="K245" s="32" t="str">
        <f>IFERROR(IF(OR(('Inputs (2)'!K104)=0,('Inputs (2)'!K105)=0),"",-('Inputs (2)'!K105)/('Inputs (2)'!K104)),"")</f>
        <v/>
      </c>
      <c r="L245" s="32">
        <f>IFERROR(IF(OR(('Inputs (2)'!L104)=0,('Inputs (2)'!L105)=0),"",-('Inputs (2)'!L105)/('Inputs (2)'!L104)),"")</f>
        <v>0.00152283260048388</v>
      </c>
      <c r="M245" s="32">
        <f>IFERROR(IF(OR(('Inputs (2)'!M104)=0,('Inputs (2)'!M105)=0),"",-('Inputs (2)'!M105)/('Inputs (2)'!M104)),"")</f>
        <v>0.00285659757066077</v>
      </c>
      <c r="N245" s="34">
        <f>IFERROR(IF(OR(('Inputs (2)'!N104)=0,('Inputs (2)'!N105)=0),"",-('Inputs (2)'!N105)/('Inputs (2)'!N104)),"")</f>
        <v>0.00121319396440367</v>
      </c>
      <c r="O245" s="32">
        <f>IFERROR(IF(OR(('Inputs (2)'!O104)=0,('Inputs (2)'!O105)=0),"",-('Inputs (2)'!O105)/('Inputs (2)'!O104)),"")</f>
        <v>0.00225519675774611</v>
      </c>
      <c r="P245" s="32">
        <f>IFERROR(IF(OR(('Inputs (2)'!P104)=0,('Inputs (2)'!P105)=0),"",-('Inputs (2)'!P105)/('Inputs (2)'!P104)),"")</f>
        <v>0.00262140052032328</v>
      </c>
      <c r="Q245" s="32">
        <f>IFERROR(IF(OR(('Inputs (2)'!Q104)=0,('Inputs (2)'!Q105)=0),"",-('Inputs (2)'!Q105)/('Inputs (2)'!Q104)),"")</f>
        <v>0.00382217960134256</v>
      </c>
      <c r="R245" s="32">
        <f>IFERROR(IF(OR(('Inputs (2)'!R104)=0,('Inputs (2)'!R105)=0),"",-('Inputs (2)'!R105)/('Inputs (2)'!R104)),"")</f>
        <v>0.00343517620433236</v>
      </c>
      <c r="S245" s="34">
        <f>IFERROR(IF(OR(('Inputs (2)'!S104)=0,('Inputs (2)'!S105)=0),"",-('Inputs (2)'!S105)/('Inputs (2)'!S104)),"")</f>
        <v>0.00306592167635279</v>
      </c>
      <c r="T245" s="32">
        <f>IFERROR(IF(OR(('Inputs (2)'!T104)=0,('Inputs (2)'!T105)=0),"",-('Inputs (2)'!T105)/('Inputs (2)'!T104)),"")</f>
        <v>0.00342465753424658</v>
      </c>
      <c r="U245" s="32">
        <f>IFERROR(IF(OR(('Inputs (2)'!U104)=0,('Inputs (2)'!U105)=0),"",-('Inputs (2)'!U105)/('Inputs (2)'!U104)),"")</f>
        <v>0.00374069760555874</v>
      </c>
      <c r="V245" s="32">
        <f>IFERROR(IF(OR(('Inputs (2)'!V104)=0,('Inputs (2)'!V105)=0),"",-('Inputs (2)'!V105)/('Inputs (2)'!V104)),"")</f>
        <v>0.00414543042658661</v>
      </c>
      <c r="W245" s="32">
        <f>IFERROR(IF(OR(('Inputs (2)'!W104)=0,('Inputs (2)'!W105)=0),"",-('Inputs (2)'!W105)/('Inputs (2)'!W104)),"")</f>
        <v>0.0460877162615497</v>
      </c>
      <c r="X245" s="34">
        <f>IFERROR(IF(OR(('Inputs (2)'!X104)=0,('Inputs (2)'!X105)=0),"",-('Inputs (2)'!X105)/('Inputs (2)'!X104)),"")</f>
        <v>0.015655523010521</v>
      </c>
      <c r="Y245" s="32">
        <f>IFERROR(IF(OR(('Inputs (2)'!Y104)=0,('Inputs (2)'!Y105)=0),"",-('Inputs (2)'!Y105)/('Inputs (2)'!Y104)),"")</f>
        <v>0.01540281744858</v>
      </c>
      <c r="Z245" s="32">
        <f>IFERROR(IF(OR(('Inputs (2)'!Z104)=0,('Inputs (2)'!Z105)=0),"",-('Inputs (2)'!Z105)/('Inputs (2)'!Z104)),"")</f>
        <v>0.0276195623014747</v>
      </c>
      <c r="AA245" s="32">
        <f>IFERROR(IF(OR(('Inputs (2)'!AA104)=0,('Inputs (2)'!AA105)=0),"",-('Inputs (2)'!AA105)/('Inputs (2)'!AA104)),"")</f>
        <v>0.0154474431818182</v>
      </c>
      <c r="AB245" s="32">
        <f>IFERROR(IF(OR(('Inputs (2)'!AB104)=0,('Inputs (2)'!AB105)=0),"",-('Inputs (2)'!AB105)/('Inputs (2)'!AB104)),"")</f>
        <v>0.0240464145185899</v>
      </c>
      <c r="AC245" s="34">
        <f>IFERROR(IF(OR(('Inputs (2)'!AC104)=0,('Inputs (2)'!AC105)=0),"",-('Inputs (2)'!AC105)/('Inputs (2)'!AC104)),"")</f>
        <v>0.0207529706873363</v>
      </c>
      <c r="AD245" s="32">
        <f>IFERROR(IF(OR(('Inputs (2)'!AD104)=0,('Inputs (2)'!AD105)=0),"",-('Inputs (2)'!AD105)/('Inputs (2)'!AD104)),"")</f>
        <v>0.0135740274279317</v>
      </c>
      <c r="AE245" s="32">
        <f>IFERROR(IF(OR(('Inputs (2)'!AE104)=0,('Inputs (2)'!AE105)=0),"",-('Inputs (2)'!AE105)/('Inputs (2)'!AE104)),"")</f>
        <v>0.0216394520196555</v>
      </c>
      <c r="AF245" s="32">
        <f>IFERROR(IF(OR(('Inputs (2)'!AF104)=0,('Inputs (2)'!AF105)=0),"",-('Inputs (2)'!AF105)/('Inputs (2)'!AF104)),"")</f>
        <v>0.0201830592023686</v>
      </c>
      <c r="AG245" s="32">
        <f>IFERROR(IF(OR(('Inputs (2)'!AG104)=0,('Inputs (2)'!AG105)=0),"",-('Inputs (2)'!AG105)/('Inputs (2)'!AG104)),"")</f>
        <v>0.0135617492794873</v>
      </c>
      <c r="AH245" s="34">
        <f>IFERROR(IF(OR(('Inputs (2)'!AH104)=0,('Inputs (2)'!AH105)=0),"",-('Inputs (2)'!AH105)/('Inputs (2)'!AH104)),"")</f>
        <v>0.0172432732501231</v>
      </c>
      <c r="AI245" s="32">
        <f>IFERROR(IF(OR(('Inputs (2)'!AI104)=0,('Inputs (2)'!AI105)=0),"",-('Inputs (2)'!AI105)/('Inputs (2)'!AI104)),"")</f>
        <v>0.0121014461657297</v>
      </c>
      <c r="AJ245" s="32">
        <f>IFERROR(IF(OR(('Inputs (2)'!AJ104)=0,('Inputs (2)'!AJ105)=0),"",-('Inputs (2)'!AJ105)/('Inputs (2)'!AJ104)),"")</f>
        <v>0.0109047858825881</v>
      </c>
      <c r="AK245" s="32" t="str">
        <f>IFERROR(IF(OR(('Inputs (2)'!AK104)=0,('Inputs (2)'!AK105)=0),"",-('Inputs (2)'!AK105)/('Inputs (2)'!AK104)),"")</f>
        <v/>
      </c>
      <c r="AL245" s="32" t="str">
        <f>IFERROR(IF(OR(('Inputs (2)'!AL104)=0,('Inputs (2)'!AL105)=0),"",-('Inputs (2)'!AL105)/('Inputs (2)'!AL104)),"")</f>
        <v/>
      </c>
      <c r="AM245" s="34">
        <f>IFERROR(IF(OR(('Inputs (2)'!AM104)=0,('Inputs (2)'!AM105)=0),"",-('Inputs (2)'!AM105)/('Inputs (2)'!AM104)),"")</f>
        <v>0.0114702011999408</v>
      </c>
      <c r="AN245" s="32" t="str">
        <f>IFERROR(IF(OR(('Inputs (2)'!AN104)=0,('Inputs (2)'!AN105)=0),"",-('Inputs (2)'!AN105)/('Inputs (2)'!AN104)),"")</f>
        <v/>
      </c>
      <c r="AO245" s="32" t="str">
        <f>IFERROR(IF(OR(('Inputs (2)'!AO104)=0,('Inputs (2)'!AO105)=0),"",-('Inputs (2)'!AO105)/('Inputs (2)'!AO104)),"")</f>
        <v/>
      </c>
      <c r="AP245" s="32" t="str">
        <f>IFERROR(IF(OR(('Inputs (2)'!AP104)=0,('Inputs (2)'!AP105)=0),"",-('Inputs (2)'!AP105)/('Inputs (2)'!AP104)),"")</f>
        <v/>
      </c>
      <c r="AQ245" s="32" t="str">
        <f>IFERROR(IF(OR(('Inputs (2)'!AQ104)=0,('Inputs (2)'!AQ105)=0),"",-('Inputs (2)'!AQ105)/('Inputs (2)'!AQ104)),"")</f>
        <v/>
      </c>
      <c r="AR245" s="34" t="str">
        <f>IFERROR(IF(OR(('Inputs (2)'!AR104)=0,('Inputs (2)'!AR105)=0),"",-('Inputs (2)'!AR105)/('Inputs (2)'!AR104)),"")</f>
        <v/>
      </c>
      <c r="AS245" s="32" t="str">
        <f>IFERROR(IF(OR(('Inputs (2)'!AS104)=0,('Inputs (2)'!AS105)=0),"",-('Inputs (2)'!AS105)/('Inputs (2)'!AS104)),"")</f>
        <v/>
      </c>
      <c r="AT245" s="32" t="str">
        <f>IFERROR(IF(OR(('Inputs (2)'!AT104)=0,('Inputs (2)'!AT105)=0),"",-('Inputs (2)'!AT105)/('Inputs (2)'!AT104)),"")</f>
        <v/>
      </c>
      <c r="AU245" s="32" t="str">
        <f>IFERROR(IF(OR(('Inputs (2)'!AU104)=0,('Inputs (2)'!AU105)=0),"",-('Inputs (2)'!AU105)/('Inputs (2)'!AU104)),"")</f>
        <v/>
      </c>
      <c r="AV245" s="32" t="str">
        <f>IFERROR(IF(OR(('Inputs (2)'!AV104)=0,('Inputs (2)'!AV105)=0),"",-('Inputs (2)'!AV105)/('Inputs (2)'!AV104)),"")</f>
        <v/>
      </c>
      <c r="AW245" s="34" t="str">
        <f>IFERROR(IF(OR(('Inputs (2)'!AW104)=0,('Inputs (2)'!AW105)=0),"",-('Inputs (2)'!AW105)/('Inputs (2)'!AW104)),"")</f>
        <v/>
      </c>
      <c r="AX245" s="32" t="str">
        <f>IFERROR(IF(OR(('Inputs (2)'!AX104)=0,('Inputs (2)'!AX105)=0),"",-('Inputs (2)'!AX105)/('Inputs (2)'!AX104)),"")</f>
        <v/>
      </c>
      <c r="AY245" s="32" t="str">
        <f>IFERROR(IF(OR(('Inputs (2)'!AY104)=0,('Inputs (2)'!AY105)=0),"",-('Inputs (2)'!AY105)/('Inputs (2)'!AY104)),"")</f>
        <v/>
      </c>
      <c r="AZ245" s="32" t="str">
        <f>IFERROR(IF(OR(('Inputs (2)'!AZ104)=0,('Inputs (2)'!AZ105)=0),"",-('Inputs (2)'!AZ105)/('Inputs (2)'!AZ104)),"")</f>
        <v/>
      </c>
      <c r="BA245" s="32" t="str">
        <f>IFERROR(IF(OR(('Inputs (2)'!BA104)=0,('Inputs (2)'!BA105)=0),"",-('Inputs (2)'!BA105)/('Inputs (2)'!BA104)),"")</f>
        <v/>
      </c>
      <c r="BB245" s="34" t="str">
        <f>IFERROR(IF(OR(('Inputs (2)'!BB104)=0,('Inputs (2)'!BB105)=0),"",-('Inputs (2)'!BB105)/('Inputs (2)'!BB104)),"")</f>
        <v/>
      </c>
      <c r="BC245" s="32" t="str">
        <f>IFERROR(IF(OR(('Inputs (2)'!BC104)=0,('Inputs (2)'!BC105)=0),"",-('Inputs (2)'!BC105)/('Inputs (2)'!BC104)),"")</f>
        <v/>
      </c>
      <c r="BD245" s="32" t="str">
        <f>IFERROR(IF(OR(('Inputs (2)'!BD104)=0,('Inputs (2)'!BD105)=0),"",-('Inputs (2)'!BD105)/('Inputs (2)'!BD104)),"")</f>
        <v/>
      </c>
      <c r="BE245" s="32" t="str">
        <f>IFERROR(IF(OR(('Inputs (2)'!BE104)=0,('Inputs (2)'!BE105)=0),"",-('Inputs (2)'!BE105)/('Inputs (2)'!BE104)),"")</f>
        <v/>
      </c>
      <c r="BF245" s="32" t="str">
        <f>IFERROR(IF(OR(('Inputs (2)'!BF104)=0,('Inputs (2)'!BF105)=0),"",-('Inputs (2)'!BF105)/('Inputs (2)'!BF104)),"")</f>
        <v/>
      </c>
      <c r="BG245" s="34" t="str">
        <f>IFERROR(IF(OR(('Inputs (2)'!BG104)=0,('Inputs (2)'!BG105)=0),"",-('Inputs (2)'!BG105)/('Inputs (2)'!BG104)),"")</f>
        <v/>
      </c>
    </row>
    <row r="246" hidden="1" outlineLevel="1">
      <c r="B246" s="29" t="n"/>
      <c r="C246" s="29" t="inlineStr">
        <is>
          <t>Capital, payout e patrimônio — realizado</t>
        </is>
      </c>
      <c r="D246" s="29" t="inlineStr">
        <is>
          <t>Capital, payout and equity — actual</t>
        </is>
      </c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  <c r="BA246" s="29" t="n"/>
      <c r="BB246" s="29" t="n"/>
      <c r="BC246" s="29" t="n"/>
      <c r="BD246" s="29" t="n"/>
      <c r="BE246" s="29" t="n"/>
      <c r="BF246" s="29" t="n"/>
      <c r="BG246" s="29" t="n"/>
      <c r="BH246" s="29" t="n"/>
      <c r="BI246" s="29" t="n"/>
    </row>
    <row r="247" hidden="1" outlineLevel="1">
      <c r="C247" s="30" t="inlineStr">
        <is>
          <t>Payout total — dividendos + JCP (% do lucro líquido)</t>
        </is>
      </c>
      <c r="D247" s="12" t="inlineStr">
        <is>
          <t>Payout</t>
        </is>
      </c>
      <c r="E247" s="32" t="str">
        <f>IFERROR(IF(OR(('Inputs (2)'!E106)=0,('Inputs (2)'!E149+'Inputs (2)'!E150)=0),"",('Inputs (2)'!E149+'Inputs (2)'!E150)/('Inputs (2)'!E106)),"")</f>
        <v/>
      </c>
      <c r="F247" s="32" t="str">
        <f>IFERROR(IF(OR(('Inputs (2)'!F106)=0,('Inputs (2)'!F149+'Inputs (2)'!F150)=0),"",('Inputs (2)'!F149+'Inputs (2)'!F150)/('Inputs (2)'!F106)),"")</f>
        <v/>
      </c>
      <c r="G247" s="32" t="str">
        <f>IFERROR(IF(OR(('Inputs (2)'!G106)=0,('Inputs (2)'!G149+'Inputs (2)'!G150)=0),"",('Inputs (2)'!G149+'Inputs (2)'!G150)/('Inputs (2)'!G106)),"")</f>
        <v/>
      </c>
      <c r="H247" s="32" t="str">
        <f>IFERROR(IF(OR(('Inputs (2)'!H106)=0,('Inputs (2)'!H149+'Inputs (2)'!H150)=0),"",('Inputs (2)'!H149+'Inputs (2)'!H150)/('Inputs (2)'!H106)),"")</f>
        <v/>
      </c>
      <c r="I247" s="34" t="str">
        <f>IFERROR(IF(OR(('Inputs (2)'!I106)=0,('Inputs (2)'!I149+'Inputs (2)'!I150)=0),"",('Inputs (2)'!I149+'Inputs (2)'!I150)/('Inputs (2)'!I106)),"")</f>
        <v/>
      </c>
      <c r="J247" s="32">
        <f>IFERROR(IF(OR(('Inputs (2)'!J106)=0,('Inputs (2)'!J149+'Inputs (2)'!J150)=0),"",('Inputs (2)'!J149+'Inputs (2)'!J150)/('Inputs (2)'!J106)),"")</f>
        <v>0.375272551999085</v>
      </c>
      <c r="K247" s="32">
        <f>IFERROR(IF(OR(('Inputs (2)'!K106)=0,('Inputs (2)'!K149+'Inputs (2)'!K150)=0),"",('Inputs (2)'!K149+'Inputs (2)'!K150)/('Inputs (2)'!K106)),"")</f>
        <v>0.353597110165762</v>
      </c>
      <c r="L247" s="32">
        <f>IFERROR(IF(OR(('Inputs (2)'!L106)=0,('Inputs (2)'!L149+'Inputs (2)'!L150)=0),"",('Inputs (2)'!L149+'Inputs (2)'!L150)/('Inputs (2)'!L106)),"")</f>
        <v>0.336998296579955</v>
      </c>
      <c r="M247" s="32">
        <f>IFERROR(IF(OR(('Inputs (2)'!M106)=0,('Inputs (2)'!M149+'Inputs (2)'!M150)=0),"",('Inputs (2)'!M149+'Inputs (2)'!M150)/('Inputs (2)'!M106)),"")</f>
        <v>0.342435959176869</v>
      </c>
      <c r="N247" s="34">
        <f>IFERROR(IF(OR(('Inputs (2)'!N106)=0,('Inputs (2)'!N149+'Inputs (2)'!N150)=0),"",('Inputs (2)'!N149+'Inputs (2)'!N150)/('Inputs (2)'!N106)),"")</f>
        <v>0.35068087623848</v>
      </c>
      <c r="O247" s="32">
        <f>IFERROR(IF(OR(('Inputs (2)'!O106)=0,('Inputs (2)'!O149+'Inputs (2)'!O150)=0),"",('Inputs (2)'!O149+'Inputs (2)'!O150)/('Inputs (2)'!O106)),"")</f>
        <v>0.376195051375285</v>
      </c>
      <c r="P247" s="32">
        <f>IFERROR(IF(OR(('Inputs (2)'!P106)=0,('Inputs (2)'!P149+'Inputs (2)'!P150)=0),"",('Inputs (2)'!P149+'Inputs (2)'!P150)/('Inputs (2)'!P106)),"")</f>
        <v>0.384811943347947</v>
      </c>
      <c r="Q247" s="32">
        <f>IFERROR(IF(OR(('Inputs (2)'!Q106)=0,('Inputs (2)'!Q149+'Inputs (2)'!Q150)=0),"",('Inputs (2)'!Q149+'Inputs (2)'!Q150)/('Inputs (2)'!Q106)),"")</f>
        <v>0.366460224251426</v>
      </c>
      <c r="R247" s="32">
        <f>IFERROR(IF(OR(('Inputs (2)'!R106)=0,('Inputs (2)'!R149+'Inputs (2)'!R150)=0),"",('Inputs (2)'!R149+'Inputs (2)'!R150)/('Inputs (2)'!R106)),"")</f>
        <v>0.414227761669167</v>
      </c>
      <c r="S247" s="34">
        <f>IFERROR(IF(OR(('Inputs (2)'!S106)=0,('Inputs (2)'!S149+'Inputs (2)'!S150)=0),"",('Inputs (2)'!S149+'Inputs (2)'!S150)/('Inputs (2)'!S106)),"")</f>
        <v>0.385088411639596</v>
      </c>
      <c r="T247" s="32" t="str">
        <f>IFERROR(IF(OR(('Inputs (2)'!T106)=0,('Inputs (2)'!T149+'Inputs (2)'!T150)=0),"",('Inputs (2)'!T149+'Inputs (2)'!T150)/('Inputs (2)'!T106)),"")</f>
        <v/>
      </c>
      <c r="U247" s="32">
        <f>IFERROR(IF(OR(('Inputs (2)'!U106)=0,('Inputs (2)'!U149+'Inputs (2)'!U150)=0),"",('Inputs (2)'!U149+'Inputs (2)'!U150)/('Inputs (2)'!U106)),"")</f>
        <v>0.915598940944531</v>
      </c>
      <c r="V247" s="32" t="str">
        <f>IFERROR(IF(OR(('Inputs (2)'!V106)=0,('Inputs (2)'!V149+'Inputs (2)'!V150)=0),"",('Inputs (2)'!V149+'Inputs (2)'!V150)/('Inputs (2)'!V106)),"")</f>
        <v/>
      </c>
      <c r="W247" s="32">
        <f>IFERROR(IF(OR(('Inputs (2)'!W106)=0,('Inputs (2)'!W149+'Inputs (2)'!W150)=0),"",('Inputs (2)'!W149+'Inputs (2)'!W150)/('Inputs (2)'!W106)),"")</f>
        <v>0.744481074729006</v>
      </c>
      <c r="X247" s="34">
        <f>IFERROR(IF(OR(('Inputs (2)'!X106)=0,('Inputs (2)'!X149+'Inputs (2)'!X150)=0),"",('Inputs (2)'!X149+'Inputs (2)'!X150)/('Inputs (2)'!X106)),"")</f>
        <v>0.419406593845337</v>
      </c>
      <c r="Y247" s="32" t="str">
        <f>IFERROR(IF(OR(('Inputs (2)'!Y106)=0,('Inputs (2)'!Y149+'Inputs (2)'!Y150)=0),"",('Inputs (2)'!Y149+'Inputs (2)'!Y150)/('Inputs (2)'!Y106)),"")</f>
        <v/>
      </c>
      <c r="Z247" s="32">
        <f>IFERROR(IF(OR(('Inputs (2)'!Z106)=0,('Inputs (2)'!Z149+'Inputs (2)'!Z150)=0),"",('Inputs (2)'!Z149+'Inputs (2)'!Z150)/('Inputs (2)'!Z106)),"")</f>
        <v>0.753581823634074</v>
      </c>
      <c r="AA247" s="32" t="str">
        <f>IFERROR(IF(OR(('Inputs (2)'!AA106)=0,('Inputs (2)'!AA149+'Inputs (2)'!AA150)=0),"",('Inputs (2)'!AA149+'Inputs (2)'!AA150)/('Inputs (2)'!AA106)),"")</f>
        <v/>
      </c>
      <c r="AB247" s="32">
        <f>IFERROR(IF(OR(('Inputs (2)'!AB106)=0,('Inputs (2)'!AB149+'Inputs (2)'!AB150)=0),"",('Inputs (2)'!AB149+'Inputs (2)'!AB150)/('Inputs (2)'!AB106)),"")</f>
        <v>0.850181514866026</v>
      </c>
      <c r="AC247" s="34">
        <f>IFERROR(IF(OR(('Inputs (2)'!AC106)=0,('Inputs (2)'!AC149+'Inputs (2)'!AC150)=0),"",('Inputs (2)'!AC149+'Inputs (2)'!AC150)/('Inputs (2)'!AC106)),"")</f>
        <v>0.406815227217037</v>
      </c>
      <c r="AD247" s="32" t="str">
        <f>IFERROR(IF(OR(('Inputs (2)'!AD106)=0,('Inputs (2)'!AD149+'Inputs (2)'!AD150)=0),"",('Inputs (2)'!AD149+'Inputs (2)'!AD150)/('Inputs (2)'!AD106)),"")</f>
        <v/>
      </c>
      <c r="AE247" s="32">
        <f>IFERROR(IF(OR(('Inputs (2)'!AE106)=0,('Inputs (2)'!AE149+'Inputs (2)'!AE150)=0),"",('Inputs (2)'!AE149+'Inputs (2)'!AE150)/('Inputs (2)'!AE106)),"")</f>
        <v>1.07057491837328</v>
      </c>
      <c r="AF247" s="32" t="str">
        <f>IFERROR(IF(OR(('Inputs (2)'!AF106)=0,('Inputs (2)'!AF149+'Inputs (2)'!AF150)=0),"",('Inputs (2)'!AF149+'Inputs (2)'!AF150)/('Inputs (2)'!AF106)),"")</f>
        <v/>
      </c>
      <c r="AG247" s="32">
        <f>IFERROR(IF(OR(('Inputs (2)'!AG106)=0,('Inputs (2)'!AG149+'Inputs (2)'!AG150)=0),"",('Inputs (2)'!AG149+'Inputs (2)'!AG150)/('Inputs (2)'!AG106)),"")</f>
        <v>1.34100442787821</v>
      </c>
      <c r="AH247" s="34">
        <f>IFERROR(IF(OR(('Inputs (2)'!AH106)=0,('Inputs (2)'!AH149+'Inputs (2)'!AH150)=0),"",('Inputs (2)'!AH149+'Inputs (2)'!AH150)/('Inputs (2)'!AH106)),"")</f>
        <v>0.629546952360517</v>
      </c>
      <c r="AI247" s="32" t="str">
        <f>IFERROR(IF(OR(('Inputs (2)'!AI106)=0,('Inputs (2)'!AI149+'Inputs (2)'!AI150)=0),"",('Inputs (2)'!AI149+'Inputs (2)'!AI150)/('Inputs (2)'!AI106)),"")</f>
        <v/>
      </c>
      <c r="AJ247" s="32">
        <f>IFERROR(IF(OR(('Inputs (2)'!AJ106)=0,('Inputs (2)'!AJ149+'Inputs (2)'!AJ150)=0),"",('Inputs (2)'!AJ149+'Inputs (2)'!AJ150)/('Inputs (2)'!AJ106)),"")</f>
        <v>1.16970571730581</v>
      </c>
      <c r="AK247" s="32" t="str">
        <f>IFERROR(IF(OR(('Inputs (2)'!AK106)=0,('Inputs (2)'!AK149+'Inputs (2)'!AK150)=0),"",('Inputs (2)'!AK149+'Inputs (2)'!AK150)/('Inputs (2)'!AK106)),"")</f>
        <v/>
      </c>
      <c r="AL247" s="32" t="str">
        <f>IFERROR(IF(OR(('Inputs (2)'!AL106)=0,('Inputs (2)'!AL149+'Inputs (2)'!AL150)=0),"",('Inputs (2)'!AL149+'Inputs (2)'!AL150)/('Inputs (2)'!AL106)),"")</f>
        <v/>
      </c>
      <c r="AM247" s="34">
        <f>IFERROR(IF(OR(('Inputs (2)'!AM106)=0,('Inputs (2)'!AM149+'Inputs (2)'!AM150)=0),"",('Inputs (2)'!AM149+'Inputs (2)'!AM150)/('Inputs (2)'!AM106)),"")</f>
        <v>0.617379206373299</v>
      </c>
      <c r="AN247" s="32" t="str">
        <f>IFERROR(IF(OR(('Inputs (2)'!AN106)=0,('Inputs (2)'!AN149+'Inputs (2)'!AN150)=0),"",('Inputs (2)'!AN149+'Inputs (2)'!AN150)/('Inputs (2)'!AN106)),"")</f>
        <v/>
      </c>
      <c r="AO247" s="32" t="str">
        <f>IFERROR(IF(OR(('Inputs (2)'!AO106)=0,('Inputs (2)'!AO149+'Inputs (2)'!AO150)=0),"",('Inputs (2)'!AO149+'Inputs (2)'!AO150)/('Inputs (2)'!AO106)),"")</f>
        <v/>
      </c>
      <c r="AP247" s="32" t="str">
        <f>IFERROR(IF(OR(('Inputs (2)'!AP106)=0,('Inputs (2)'!AP149+'Inputs (2)'!AP150)=0),"",('Inputs (2)'!AP149+'Inputs (2)'!AP150)/('Inputs (2)'!AP106)),"")</f>
        <v/>
      </c>
      <c r="AQ247" s="32" t="str">
        <f>IFERROR(IF(OR(('Inputs (2)'!AQ106)=0,('Inputs (2)'!AQ149+'Inputs (2)'!AQ150)=0),"",('Inputs (2)'!AQ149+'Inputs (2)'!AQ150)/('Inputs (2)'!AQ106)),"")</f>
        <v/>
      </c>
      <c r="AR247" s="34" t="str">
        <f>IFERROR(IF(OR(('Inputs (2)'!AR106)=0,('Inputs (2)'!AR149+'Inputs (2)'!AR150)=0),"",('Inputs (2)'!AR149+'Inputs (2)'!AR150)/('Inputs (2)'!AR106)),"")</f>
        <v/>
      </c>
      <c r="AS247" s="32" t="str">
        <f>IFERROR(IF(OR(('Inputs (2)'!AS106)=0,('Inputs (2)'!AS149+'Inputs (2)'!AS150)=0),"",('Inputs (2)'!AS149+'Inputs (2)'!AS150)/('Inputs (2)'!AS106)),"")</f>
        <v/>
      </c>
      <c r="AT247" s="32" t="str">
        <f>IFERROR(IF(OR(('Inputs (2)'!AT106)=0,('Inputs (2)'!AT149+'Inputs (2)'!AT150)=0),"",('Inputs (2)'!AT149+'Inputs (2)'!AT150)/('Inputs (2)'!AT106)),"")</f>
        <v/>
      </c>
      <c r="AU247" s="32" t="str">
        <f>IFERROR(IF(OR(('Inputs (2)'!AU106)=0,('Inputs (2)'!AU149+'Inputs (2)'!AU150)=0),"",('Inputs (2)'!AU149+'Inputs (2)'!AU150)/('Inputs (2)'!AU106)),"")</f>
        <v/>
      </c>
      <c r="AV247" s="32" t="str">
        <f>IFERROR(IF(OR(('Inputs (2)'!AV106)=0,('Inputs (2)'!AV149+'Inputs (2)'!AV150)=0),"",('Inputs (2)'!AV149+'Inputs (2)'!AV150)/('Inputs (2)'!AV106)),"")</f>
        <v/>
      </c>
      <c r="AW247" s="34" t="str">
        <f>IFERROR(IF(OR(('Inputs (2)'!AW106)=0,('Inputs (2)'!AW149+'Inputs (2)'!AW150)=0),"",('Inputs (2)'!AW149+'Inputs (2)'!AW150)/('Inputs (2)'!AW106)),"")</f>
        <v/>
      </c>
      <c r="AX247" s="32" t="str">
        <f>IFERROR(IF(OR(('Inputs (2)'!AX106)=0,('Inputs (2)'!AX149+'Inputs (2)'!AX150)=0),"",('Inputs (2)'!AX149+'Inputs (2)'!AX150)/('Inputs (2)'!AX106)),"")</f>
        <v/>
      </c>
      <c r="AY247" s="32" t="str">
        <f>IFERROR(IF(OR(('Inputs (2)'!AY106)=0,('Inputs (2)'!AY149+'Inputs (2)'!AY150)=0),"",('Inputs (2)'!AY149+'Inputs (2)'!AY150)/('Inputs (2)'!AY106)),"")</f>
        <v/>
      </c>
      <c r="AZ247" s="32" t="str">
        <f>IFERROR(IF(OR(('Inputs (2)'!AZ106)=0,('Inputs (2)'!AZ149+'Inputs (2)'!AZ150)=0),"",('Inputs (2)'!AZ149+'Inputs (2)'!AZ150)/('Inputs (2)'!AZ106)),"")</f>
        <v/>
      </c>
      <c r="BA247" s="32" t="str">
        <f>IFERROR(IF(OR(('Inputs (2)'!BA106)=0,('Inputs (2)'!BA149+'Inputs (2)'!BA150)=0),"",('Inputs (2)'!BA149+'Inputs (2)'!BA150)/('Inputs (2)'!BA106)),"")</f>
        <v/>
      </c>
      <c r="BB247" s="34" t="str">
        <f>IFERROR(IF(OR(('Inputs (2)'!BB106)=0,('Inputs (2)'!BB149+'Inputs (2)'!BB150)=0),"",('Inputs (2)'!BB149+'Inputs (2)'!BB150)/('Inputs (2)'!BB106)),"")</f>
        <v/>
      </c>
      <c r="BC247" s="32" t="str">
        <f>IFERROR(IF(OR(('Inputs (2)'!BC106)=0,('Inputs (2)'!BC149+'Inputs (2)'!BC150)=0),"",('Inputs (2)'!BC149+'Inputs (2)'!BC150)/('Inputs (2)'!BC106)),"")</f>
        <v/>
      </c>
      <c r="BD247" s="32" t="str">
        <f>IFERROR(IF(OR(('Inputs (2)'!BD106)=0,('Inputs (2)'!BD149+'Inputs (2)'!BD150)=0),"",('Inputs (2)'!BD149+'Inputs (2)'!BD150)/('Inputs (2)'!BD106)),"")</f>
        <v/>
      </c>
      <c r="BE247" s="32" t="str">
        <f>IFERROR(IF(OR(('Inputs (2)'!BE106)=0,('Inputs (2)'!BE149+'Inputs (2)'!BE150)=0),"",('Inputs (2)'!BE149+'Inputs (2)'!BE150)/('Inputs (2)'!BE106)),"")</f>
        <v/>
      </c>
      <c r="BF247" s="32" t="str">
        <f>IFERROR(IF(OR(('Inputs (2)'!BF106)=0,('Inputs (2)'!BF149+'Inputs (2)'!BF150)=0),"",('Inputs (2)'!BF149+'Inputs (2)'!BF150)/('Inputs (2)'!BF106)),"")</f>
        <v/>
      </c>
      <c r="BG247" s="34" t="str">
        <f>IFERROR(IF(OR(('Inputs (2)'!BG106)=0,('Inputs (2)'!BG149+'Inputs (2)'!BG150)=0),"",('Inputs (2)'!BG149+'Inputs (2)'!BG150)/('Inputs (2)'!BG106)),"")</f>
        <v/>
      </c>
    </row>
    <row r="248" hidden="1" outlineLevel="1">
      <c r="C248" s="30" t="inlineStr">
        <is>
          <t>RWA / Ativo total (%)</t>
        </is>
      </c>
      <c r="D248" s="12" t="inlineStr">
        <is>
          <t>RWA over assets</t>
        </is>
      </c>
      <c r="E248" s="32">
        <f>IFERROR(IF(OR(('Inputs (2)'!E29)=0,('Inputs (2)'!E133)=0),"",('Inputs (2)'!E133)/('Inputs (2)'!E29)),"")</f>
        <v>0.718392711471348</v>
      </c>
      <c r="F248" s="32">
        <f>IFERROR(IF(OR(('Inputs (2)'!F29)=0,('Inputs (2)'!F133)=0),"",('Inputs (2)'!F133)/('Inputs (2)'!F29)),"")</f>
        <v>0.684930474546784</v>
      </c>
      <c r="G248" s="32">
        <f>IFERROR(IF(OR(('Inputs (2)'!G29)=0,('Inputs (2)'!G133)=0),"",('Inputs (2)'!G133)/('Inputs (2)'!G29)),"")</f>
        <v>0.737097815372881</v>
      </c>
      <c r="H248" s="32">
        <f>IFERROR(IF(OR(('Inputs (2)'!H29)=0,('Inputs (2)'!H133)=0),"",('Inputs (2)'!H133)/('Inputs (2)'!H29)),"")</f>
        <v>0.737887680863654</v>
      </c>
      <c r="I248" s="34">
        <f>IFERROR(IF(OR(('Inputs (2)'!I29)=0,('Inputs (2)'!I133)=0),"",('Inputs (2)'!I133)/('Inputs (2)'!I29)),"")</f>
        <v>0.737887680863654</v>
      </c>
      <c r="J248" s="32">
        <f>IFERROR(IF(OR(('Inputs (2)'!J29)=0,('Inputs (2)'!J133)=0),"",('Inputs (2)'!J133)/('Inputs (2)'!J29)),"")</f>
        <v>0.695741823071698</v>
      </c>
      <c r="K248" s="32">
        <f>IFERROR(IF(OR(('Inputs (2)'!K29)=0,('Inputs (2)'!K133)=0),"",('Inputs (2)'!K133)/('Inputs (2)'!K29)),"")</f>
        <v>0.776245035997789</v>
      </c>
      <c r="L248" s="32">
        <f>IFERROR(IF(OR(('Inputs (2)'!L29)=0,('Inputs (2)'!L133)=0),"",('Inputs (2)'!L133)/('Inputs (2)'!L29)),"")</f>
        <v>0.751825519550611</v>
      </c>
      <c r="M248" s="32">
        <f>IFERROR(IF(OR(('Inputs (2)'!M29)=0,('Inputs (2)'!M133)=0),"",('Inputs (2)'!M133)/('Inputs (2)'!M29)),"")</f>
        <v>0.749879261921032</v>
      </c>
      <c r="N248" s="34">
        <f>IFERROR(IF(OR(('Inputs (2)'!N29)=0,('Inputs (2)'!N133)=0),"",('Inputs (2)'!N133)/('Inputs (2)'!N29)),"")</f>
        <v>0.749879261921032</v>
      </c>
      <c r="O248" s="32">
        <f>IFERROR(IF(OR(('Inputs (2)'!O29)=0,('Inputs (2)'!O133)=0),"",('Inputs (2)'!O133)/('Inputs (2)'!O29)),"")</f>
        <v>0.795457847097501</v>
      </c>
      <c r="P248" s="32">
        <f>IFERROR(IF(OR(('Inputs (2)'!P29)=0,('Inputs (2)'!P133)=0),"",('Inputs (2)'!P133)/('Inputs (2)'!P29)),"")</f>
        <v>0.785504172824029</v>
      </c>
      <c r="Q248" s="32">
        <f>IFERROR(IF(OR(('Inputs (2)'!Q29)=0,('Inputs (2)'!Q133)=0),"",('Inputs (2)'!Q133)/('Inputs (2)'!Q29)),"")</f>
        <v>0.785852832239344</v>
      </c>
      <c r="R248" s="32">
        <f>IFERROR(IF(OR(('Inputs (2)'!R29)=0,('Inputs (2)'!R133)=0),"",('Inputs (2)'!R133)/('Inputs (2)'!R29)),"")</f>
        <v>0.73628983018714</v>
      </c>
      <c r="S248" s="34">
        <f>IFERROR(IF(OR(('Inputs (2)'!S29)=0,('Inputs (2)'!S133)=0),"",('Inputs (2)'!S133)/('Inputs (2)'!S29)),"")</f>
        <v>0.73628983018714</v>
      </c>
      <c r="T248" s="32">
        <f>IFERROR(IF(OR(('Inputs (2)'!T29)=0,('Inputs (2)'!T133)=0),"",('Inputs (2)'!T133)/('Inputs (2)'!T29)),"")</f>
        <v>0.816563387898861</v>
      </c>
      <c r="U248" s="32">
        <f>IFERROR(IF(OR(('Inputs (2)'!U29)=0,('Inputs (2)'!U133)=0),"",('Inputs (2)'!U133)/('Inputs (2)'!U29)),"")</f>
        <v>0.802314077865905</v>
      </c>
      <c r="V248" s="32">
        <f>IFERROR(IF(OR(('Inputs (2)'!V29)=0,('Inputs (2)'!V133)=0),"",('Inputs (2)'!V133)/('Inputs (2)'!V29)),"")</f>
        <v>0.807783863989981</v>
      </c>
      <c r="W248" s="32">
        <f>IFERROR(IF(OR(('Inputs (2)'!W29)=0,('Inputs (2)'!W133)=0),"",('Inputs (2)'!W133)/('Inputs (2)'!W29)),"")</f>
        <v>0.797360816321092</v>
      </c>
      <c r="X248" s="34">
        <f>IFERROR(IF(OR(('Inputs (2)'!X29)=0,('Inputs (2)'!X133)=0),"",('Inputs (2)'!X133)/('Inputs (2)'!X29)),"")</f>
        <v>0.797360816321092</v>
      </c>
      <c r="Y248" s="32">
        <f>IFERROR(IF(OR(('Inputs (2)'!Y29)=0,('Inputs (2)'!Y133)=0),"",('Inputs (2)'!Y133)/('Inputs (2)'!Y29)),"")</f>
        <v>0.79396752406576</v>
      </c>
      <c r="Z248" s="32">
        <f>IFERROR(IF(OR(('Inputs (2)'!Z29)=0,('Inputs (2)'!Z133)=0),"",('Inputs (2)'!Z133)/('Inputs (2)'!Z29)),"")</f>
        <v>0.732600818402516</v>
      </c>
      <c r="AA248" s="32">
        <f>IFERROR(IF(OR(('Inputs (2)'!AA29)=0,('Inputs (2)'!AA133)=0),"",('Inputs (2)'!AA133)/('Inputs (2)'!AA29)),"")</f>
        <v>0.720617659886273</v>
      </c>
      <c r="AB248" s="32">
        <f>IFERROR(IF(OR(('Inputs (2)'!AB29)=0,('Inputs (2)'!AB133)=0),"",('Inputs (2)'!AB133)/('Inputs (2)'!AB29)),"")</f>
        <v>0.739098219393078</v>
      </c>
      <c r="AC248" s="34">
        <f>IFERROR(IF(OR(('Inputs (2)'!AC29)=0,('Inputs (2)'!AC133)=0),"",('Inputs (2)'!AC133)/('Inputs (2)'!AC29)),"")</f>
        <v>0.739098219393078</v>
      </c>
      <c r="AD248" s="32">
        <f>IFERROR(IF(OR(('Inputs (2)'!AD29)=0,('Inputs (2)'!AD133)=0),"",('Inputs (2)'!AD133)/('Inputs (2)'!AD29)),"")</f>
        <v>0.821436202769049</v>
      </c>
      <c r="AE248" s="32">
        <f>IFERROR(IF(OR(('Inputs (2)'!AE29)=0,('Inputs (2)'!AE133)=0),"",('Inputs (2)'!AE133)/('Inputs (2)'!AE29)),"")</f>
        <v>0.823185622327054</v>
      </c>
      <c r="AF248" s="32">
        <f>IFERROR(IF(OR(('Inputs (2)'!AF29)=0,('Inputs (2)'!AF133)=0),"",('Inputs (2)'!AF133)/('Inputs (2)'!AF29)),"")</f>
        <v>0.86474983986083</v>
      </c>
      <c r="AG248" s="32">
        <f>IFERROR(IF(OR(('Inputs (2)'!AG29)=0,('Inputs (2)'!AG133)=0),"",('Inputs (2)'!AG133)/('Inputs (2)'!AG29)),"")</f>
        <v>0.8384887124241</v>
      </c>
      <c r="AH248" s="34">
        <f>IFERROR(IF(OR(('Inputs (2)'!AH29)=0,('Inputs (2)'!AH133)=0),"",('Inputs (2)'!AH133)/('Inputs (2)'!AH29)),"")</f>
        <v>0.8384887124241</v>
      </c>
      <c r="AI248" s="32">
        <f>IFERROR(IF(OR(('Inputs (2)'!AI29)=0,('Inputs (2)'!AI133)=0),"",('Inputs (2)'!AI133)/('Inputs (2)'!AI29)),"")</f>
        <v>0.813526454312416</v>
      </c>
      <c r="AJ248" s="32">
        <f>IFERROR(IF(OR(('Inputs (2)'!AJ29)=0,('Inputs (2)'!AJ133)=0),"",('Inputs (2)'!AJ133)/('Inputs (2)'!AJ29)),"")</f>
        <v>0.825968019505837</v>
      </c>
      <c r="AK248" s="32" t="str">
        <f>IFERROR(IF(OR(('Inputs (2)'!AK29)=0,('Inputs (2)'!AK133)=0),"",('Inputs (2)'!AK133)/('Inputs (2)'!AK29)),"")</f>
        <v/>
      </c>
      <c r="AL248" s="32" t="str">
        <f>IFERROR(IF(OR(('Inputs (2)'!AL29)=0,('Inputs (2)'!AL133)=0),"",('Inputs (2)'!AL133)/('Inputs (2)'!AL29)),"")</f>
        <v/>
      </c>
      <c r="AM248" s="34" t="str">
        <f>IFERROR(IF(OR(('Inputs (2)'!AM29)=0,('Inputs (2)'!AM133)=0),"",('Inputs (2)'!AM133)/('Inputs (2)'!AM29)),"")</f>
        <v/>
      </c>
      <c r="AN248" s="32" t="str">
        <f>IFERROR(IF(OR(('Inputs (2)'!AN29)=0,('Inputs (2)'!AN133)=0),"",('Inputs (2)'!AN133)/('Inputs (2)'!AN29)),"")</f>
        <v/>
      </c>
      <c r="AO248" s="32" t="str">
        <f>IFERROR(IF(OR(('Inputs (2)'!AO29)=0,('Inputs (2)'!AO133)=0),"",('Inputs (2)'!AO133)/('Inputs (2)'!AO29)),"")</f>
        <v/>
      </c>
      <c r="AP248" s="32" t="str">
        <f>IFERROR(IF(OR(('Inputs (2)'!AP29)=0,('Inputs (2)'!AP133)=0),"",('Inputs (2)'!AP133)/('Inputs (2)'!AP29)),"")</f>
        <v/>
      </c>
      <c r="AQ248" s="32" t="str">
        <f>IFERROR(IF(OR(('Inputs (2)'!AQ29)=0,('Inputs (2)'!AQ133)=0),"",('Inputs (2)'!AQ133)/('Inputs (2)'!AQ29)),"")</f>
        <v/>
      </c>
      <c r="AR248" s="34" t="str">
        <f>IFERROR(IF(OR(('Inputs (2)'!AR29)=0,('Inputs (2)'!AR133)=0),"",('Inputs (2)'!AR133)/('Inputs (2)'!AR29)),"")</f>
        <v/>
      </c>
      <c r="AS248" s="32" t="str">
        <f>IFERROR(IF(OR(('Inputs (2)'!AS29)=0,('Inputs (2)'!AS133)=0),"",('Inputs (2)'!AS133)/('Inputs (2)'!AS29)),"")</f>
        <v/>
      </c>
      <c r="AT248" s="32" t="str">
        <f>IFERROR(IF(OR(('Inputs (2)'!AT29)=0,('Inputs (2)'!AT133)=0),"",('Inputs (2)'!AT133)/('Inputs (2)'!AT29)),"")</f>
        <v/>
      </c>
      <c r="AU248" s="32" t="str">
        <f>IFERROR(IF(OR(('Inputs (2)'!AU29)=0,('Inputs (2)'!AU133)=0),"",('Inputs (2)'!AU133)/('Inputs (2)'!AU29)),"")</f>
        <v/>
      </c>
      <c r="AV248" s="32" t="str">
        <f>IFERROR(IF(OR(('Inputs (2)'!AV29)=0,('Inputs (2)'!AV133)=0),"",('Inputs (2)'!AV133)/('Inputs (2)'!AV29)),"")</f>
        <v/>
      </c>
      <c r="AW248" s="34" t="str">
        <f>IFERROR(IF(OR(('Inputs (2)'!AW29)=0,('Inputs (2)'!AW133)=0),"",('Inputs (2)'!AW133)/('Inputs (2)'!AW29)),"")</f>
        <v/>
      </c>
      <c r="AX248" s="32" t="str">
        <f>IFERROR(IF(OR(('Inputs (2)'!AX29)=0,('Inputs (2)'!AX133)=0),"",('Inputs (2)'!AX133)/('Inputs (2)'!AX29)),"")</f>
        <v/>
      </c>
      <c r="AY248" s="32" t="str">
        <f>IFERROR(IF(OR(('Inputs (2)'!AY29)=0,('Inputs (2)'!AY133)=0),"",('Inputs (2)'!AY133)/('Inputs (2)'!AY29)),"")</f>
        <v/>
      </c>
      <c r="AZ248" s="32" t="str">
        <f>IFERROR(IF(OR(('Inputs (2)'!AZ29)=0,('Inputs (2)'!AZ133)=0),"",('Inputs (2)'!AZ133)/('Inputs (2)'!AZ29)),"")</f>
        <v/>
      </c>
      <c r="BA248" s="32" t="str">
        <f>IFERROR(IF(OR(('Inputs (2)'!BA29)=0,('Inputs (2)'!BA133)=0),"",('Inputs (2)'!BA133)/('Inputs (2)'!BA29)),"")</f>
        <v/>
      </c>
      <c r="BB248" s="34" t="str">
        <f>IFERROR(IF(OR(('Inputs (2)'!BB29)=0,('Inputs (2)'!BB133)=0),"",('Inputs (2)'!BB133)/('Inputs (2)'!BB29)),"")</f>
        <v/>
      </c>
      <c r="BC248" s="32" t="str">
        <f>IFERROR(IF(OR(('Inputs (2)'!BC29)=0,('Inputs (2)'!BC133)=0),"",('Inputs (2)'!BC133)/('Inputs (2)'!BC29)),"")</f>
        <v/>
      </c>
      <c r="BD248" s="32" t="str">
        <f>IFERROR(IF(OR(('Inputs (2)'!BD29)=0,('Inputs (2)'!BD133)=0),"",('Inputs (2)'!BD133)/('Inputs (2)'!BD29)),"")</f>
        <v/>
      </c>
      <c r="BE248" s="32" t="str">
        <f>IFERROR(IF(OR(('Inputs (2)'!BE29)=0,('Inputs (2)'!BE133)=0),"",('Inputs (2)'!BE133)/('Inputs (2)'!BE29)),"")</f>
        <v/>
      </c>
      <c r="BF248" s="32" t="str">
        <f>IFERROR(IF(OR(('Inputs (2)'!BF29)=0,('Inputs (2)'!BF133)=0),"",('Inputs (2)'!BF133)/('Inputs (2)'!BF29)),"")</f>
        <v/>
      </c>
      <c r="BG248" s="34" t="str">
        <f>IFERROR(IF(OR(('Inputs (2)'!BG29)=0,('Inputs (2)'!BG133)=0),"",('Inputs (2)'!BG133)/('Inputs (2)'!BG29)),"")</f>
        <v/>
      </c>
    </row>
    <row r="249" hidden="1" outlineLevel="1">
      <c r="C249" s="30" t="inlineStr">
        <is>
          <t>Índice de Basileia reportado (%)</t>
        </is>
      </c>
      <c r="D249" s="12" t="inlineStr">
        <is>
          <t>Reported Basel ratio</t>
        </is>
      </c>
      <c r="E249" s="32">
        <f>IFERROR(IF(OR(COUNT('Inputs (2)'!E140)=0,('Inputs (2)'!E140)=0),"",('Inputs (2)'!E140)),"")</f>
        <v>0.146564</v>
      </c>
      <c r="F249" s="32">
        <f>IFERROR(IF(OR(COUNT('Inputs (2)'!F140)=0,('Inputs (2)'!F140)=0),"",('Inputs (2)'!F140)),"")</f>
        <v>0.157237</v>
      </c>
      <c r="G249" s="32">
        <f>IFERROR(IF(OR(COUNT('Inputs (2)'!G140)=0,('Inputs (2)'!G140)=0),"",('Inputs (2)'!G140)),"")</f>
        <v>0.157076</v>
      </c>
      <c r="H249" s="32">
        <f>IFERROR(IF(OR(COUNT('Inputs (2)'!H140)=0,('Inputs (2)'!H140)=0),"",('Inputs (2)'!H140)),"")</f>
        <v>0.168537</v>
      </c>
      <c r="I249" s="34">
        <f>IFERROR(IF(OR(COUNT('Inputs (2)'!I140)=0,('Inputs (2)'!I140)=0),"",('Inputs (2)'!I140)),"")</f>
        <v>0.168537</v>
      </c>
      <c r="J249" s="32">
        <f>IFERROR(IF(OR(COUNT('Inputs (2)'!J140)=0,('Inputs (2)'!J140)=0),"",('Inputs (2)'!J140)),"")</f>
        <v>0.15939</v>
      </c>
      <c r="K249" s="32">
        <f>IFERROR(IF(OR(COUNT('Inputs (2)'!K140)=0,('Inputs (2)'!K140)=0),"",('Inputs (2)'!K140)),"")</f>
        <v>0.158854</v>
      </c>
      <c r="L249" s="32">
        <f>IFERROR(IF(OR(COUNT('Inputs (2)'!L140)=0,('Inputs (2)'!L140)=0),"",('Inputs (2)'!L140)),"")</f>
        <v>0.146089</v>
      </c>
      <c r="M249" s="32">
        <f>IFERROR(IF(OR(COUNT('Inputs (2)'!M140)=0,('Inputs (2)'!M140)=0),"",('Inputs (2)'!M140)),"")</f>
        <v>0.150917</v>
      </c>
      <c r="N249" s="34">
        <f>IFERROR(IF(OR(COUNT('Inputs (2)'!N140)=0,('Inputs (2)'!N140)=0),"",('Inputs (2)'!N140)),"")</f>
        <v>0.150917</v>
      </c>
      <c r="O249" s="32">
        <f>IFERROR(IF(OR(COUNT('Inputs (2)'!O140)=0,('Inputs (2)'!O140)=0),"",('Inputs (2)'!O140)),"")</f>
        <v>0.150801</v>
      </c>
      <c r="P249" s="32">
        <f>IFERROR(IF(OR(COUNT('Inputs (2)'!P140)=0,('Inputs (2)'!P140)=0),"",('Inputs (2)'!P140)),"")</f>
        <v>0.149711</v>
      </c>
      <c r="Q249" s="32">
        <f>IFERROR(IF(OR(COUNT('Inputs (2)'!Q140)=0,('Inputs (2)'!Q140)=0),"",('Inputs (2)'!Q140)),"")</f>
        <v>0.147267</v>
      </c>
      <c r="R249" s="32">
        <f>IFERROR(IF(OR(COUNT('Inputs (2)'!R140)=0,('Inputs (2)'!R140)=0),"",('Inputs (2)'!R140)),"")</f>
        <v>0.152341</v>
      </c>
      <c r="S249" s="34">
        <f>IFERROR(IF(OR(COUNT('Inputs (2)'!S140)=0,('Inputs (2)'!S140)=0),"",('Inputs (2)'!S140)),"")</f>
        <v>0.152341</v>
      </c>
      <c r="T249" s="32">
        <f>IFERROR(IF(OR(COUNT('Inputs (2)'!T140)=0,('Inputs (2)'!T140)=0),"",('Inputs (2)'!T140)),"")</f>
        <v>0.148158</v>
      </c>
      <c r="U249" s="32">
        <f>IFERROR(IF(OR(COUNT('Inputs (2)'!U140)=0,('Inputs (2)'!U140)=0),"",('Inputs (2)'!U140)),"")</f>
        <v>0.149591</v>
      </c>
      <c r="V249" s="32">
        <f>IFERROR(IF(OR(COUNT('Inputs (2)'!V140)=0,('Inputs (2)'!V140)=0),"",('Inputs (2)'!V140)),"")</f>
        <v>0.146195</v>
      </c>
      <c r="W249" s="32">
        <f>IFERROR(IF(OR(COUNT('Inputs (2)'!W140)=0,('Inputs (2)'!W140)=0),"",('Inputs (2)'!W140)),"")</f>
        <v>0.14945</v>
      </c>
      <c r="X249" s="34">
        <f>IFERROR(IF(OR(COUNT('Inputs (2)'!X140)=0,('Inputs (2)'!X140)=0),"",('Inputs (2)'!X140)),"")</f>
        <v>0.14945</v>
      </c>
      <c r="Y249" s="32">
        <f>IFERROR(IF(OR(COUNT('Inputs (2)'!Y140)=0,('Inputs (2)'!Y140)=0),"",('Inputs (2)'!Y140)),"")</f>
        <v>0.165737</v>
      </c>
      <c r="Z249" s="32">
        <f>IFERROR(IF(OR(COUNT('Inputs (2)'!Z140)=0,('Inputs (2)'!Z140)=0),"",('Inputs (2)'!Z140)),"")</f>
        <v>0.163112</v>
      </c>
      <c r="AA249" s="32">
        <f>IFERROR(IF(OR(COUNT('Inputs (2)'!AA140)=0,('Inputs (2)'!AA140)=0),"",('Inputs (2)'!AA140)),"")</f>
        <v>0.160698</v>
      </c>
      <c r="AB249" s="32">
        <f>IFERROR(IF(OR(COUNT('Inputs (2)'!AB140)=0,('Inputs (2)'!AB140)=0),"",('Inputs (2)'!AB140)),"")</f>
        <v>0.164774</v>
      </c>
      <c r="AC249" s="34">
        <f>IFERROR(IF(OR(COUNT('Inputs (2)'!AC140)=0,('Inputs (2)'!AC140)=0),"",('Inputs (2)'!AC140)),"")</f>
        <v>0.164774</v>
      </c>
      <c r="AD249" s="32">
        <f>IFERROR(IF(OR(COUNT('Inputs (2)'!AD140)=0,('Inputs (2)'!AD140)=0),"",('Inputs (2)'!AD140)),"")</f>
        <v>0.171954</v>
      </c>
      <c r="AE249" s="32">
        <f>IFERROR(IF(OR(COUNT('Inputs (2)'!AE140)=0,('Inputs (2)'!AE140)=0),"",('Inputs (2)'!AE140)),"")</f>
        <v>0.172953</v>
      </c>
      <c r="AF249" s="32">
        <f>IFERROR(IF(OR(COUNT('Inputs (2)'!AF140)=0,('Inputs (2)'!AF140)=0),"",('Inputs (2)'!AF140)),"")</f>
        <v>0.167108</v>
      </c>
      <c r="AG249" s="32">
        <f>IFERROR(IF(OR(COUNT('Inputs (2)'!AG140)=0,('Inputs (2)'!AG140)=0),"",('Inputs (2)'!AG140)),"")</f>
        <v>0.162847</v>
      </c>
      <c r="AH249" s="34">
        <f>IFERROR(IF(OR(COUNT('Inputs (2)'!AH140)=0,('Inputs (2)'!AH140)=0),"",('Inputs (2)'!AH140)),"")</f>
        <v>0.162847</v>
      </c>
      <c r="AI249" s="32">
        <f>IFERROR(IF(OR(COUNT('Inputs (2)'!AI140)=0,('Inputs (2)'!AI140)=0),"",('Inputs (2)'!AI140)),"")</f>
        <v>0.158738</v>
      </c>
      <c r="AJ249" s="32">
        <f>IFERROR(IF(OR(COUNT('Inputs (2)'!AJ140)=0,('Inputs (2)'!AJ140)=0),"",('Inputs (2)'!AJ140)),"")</f>
        <v>0.161803</v>
      </c>
      <c r="AK249" s="32" t="str">
        <f>IFERROR(IF(OR(COUNT('Inputs (2)'!AK140)=0,('Inputs (2)'!AK140)=0),"",('Inputs (2)'!AK140)),"")</f>
        <v/>
      </c>
      <c r="AL249" s="32" t="str">
        <f>IFERROR(IF(OR(COUNT('Inputs (2)'!AL140)=0,('Inputs (2)'!AL140)=0),"",('Inputs (2)'!AL140)),"")</f>
        <v/>
      </c>
      <c r="AM249" s="34" t="str">
        <f>IFERROR(IF(OR(COUNT('Inputs (2)'!AM140)=0,('Inputs (2)'!AM140)=0),"",('Inputs (2)'!AM140)),"")</f>
        <v/>
      </c>
      <c r="AN249" s="32" t="str">
        <f>IFERROR(IF(OR(COUNT('Inputs (2)'!AN140)=0,('Inputs (2)'!AN140)=0),"",('Inputs (2)'!AN140)),"")</f>
        <v/>
      </c>
      <c r="AO249" s="32" t="str">
        <f>IFERROR(IF(OR(COUNT('Inputs (2)'!AO140)=0,('Inputs (2)'!AO140)=0),"",('Inputs (2)'!AO140)),"")</f>
        <v/>
      </c>
      <c r="AP249" s="32" t="str">
        <f>IFERROR(IF(OR(COUNT('Inputs (2)'!AP140)=0,('Inputs (2)'!AP140)=0),"",('Inputs (2)'!AP140)),"")</f>
        <v/>
      </c>
      <c r="AQ249" s="32" t="str">
        <f>IFERROR(IF(OR(COUNT('Inputs (2)'!AQ140)=0,('Inputs (2)'!AQ140)=0),"",('Inputs (2)'!AQ140)),"")</f>
        <v/>
      </c>
      <c r="AR249" s="34" t="str">
        <f>IFERROR(IF(OR(COUNT('Inputs (2)'!AR140)=0,('Inputs (2)'!AR140)=0),"",('Inputs (2)'!AR140)),"")</f>
        <v/>
      </c>
      <c r="AS249" s="32" t="str">
        <f>IFERROR(IF(OR(COUNT('Inputs (2)'!AS140)=0,('Inputs (2)'!AS140)=0),"",('Inputs (2)'!AS140)),"")</f>
        <v/>
      </c>
      <c r="AT249" s="32" t="str">
        <f>IFERROR(IF(OR(COUNT('Inputs (2)'!AT140)=0,('Inputs (2)'!AT140)=0),"",('Inputs (2)'!AT140)),"")</f>
        <v/>
      </c>
      <c r="AU249" s="32" t="str">
        <f>IFERROR(IF(OR(COUNT('Inputs (2)'!AU140)=0,('Inputs (2)'!AU140)=0),"",('Inputs (2)'!AU140)),"")</f>
        <v/>
      </c>
      <c r="AV249" s="32" t="str">
        <f>IFERROR(IF(OR(COUNT('Inputs (2)'!AV140)=0,('Inputs (2)'!AV140)=0),"",('Inputs (2)'!AV140)),"")</f>
        <v/>
      </c>
      <c r="AW249" s="34" t="str">
        <f>IFERROR(IF(OR(COUNT('Inputs (2)'!AW140)=0,('Inputs (2)'!AW140)=0),"",('Inputs (2)'!AW140)),"")</f>
        <v/>
      </c>
      <c r="AX249" s="32" t="str">
        <f>IFERROR(IF(OR(COUNT('Inputs (2)'!AX140)=0,('Inputs (2)'!AX140)=0),"",('Inputs (2)'!AX140)),"")</f>
        <v/>
      </c>
      <c r="AY249" s="32" t="str">
        <f>IFERROR(IF(OR(COUNT('Inputs (2)'!AY140)=0,('Inputs (2)'!AY140)=0),"",('Inputs (2)'!AY140)),"")</f>
        <v/>
      </c>
      <c r="AZ249" s="32" t="str">
        <f>IFERROR(IF(OR(COUNT('Inputs (2)'!AZ140)=0,('Inputs (2)'!AZ140)=0),"",('Inputs (2)'!AZ140)),"")</f>
        <v/>
      </c>
      <c r="BA249" s="32" t="str">
        <f>IFERROR(IF(OR(COUNT('Inputs (2)'!BA140)=0,('Inputs (2)'!BA140)=0),"",('Inputs (2)'!BA140)),"")</f>
        <v/>
      </c>
      <c r="BB249" s="34" t="str">
        <f>IFERROR(IF(OR(COUNT('Inputs (2)'!BB140)=0,('Inputs (2)'!BB140)=0),"",('Inputs (2)'!BB140)),"")</f>
        <v/>
      </c>
      <c r="BC249" s="32" t="str">
        <f>IFERROR(IF(OR(COUNT('Inputs (2)'!BC140)=0,('Inputs (2)'!BC140)=0),"",('Inputs (2)'!BC140)),"")</f>
        <v/>
      </c>
      <c r="BD249" s="32" t="str">
        <f>IFERROR(IF(OR(COUNT('Inputs (2)'!BD140)=0,('Inputs (2)'!BD140)=0),"",('Inputs (2)'!BD140)),"")</f>
        <v/>
      </c>
      <c r="BE249" s="32" t="str">
        <f>IFERROR(IF(OR(COUNT('Inputs (2)'!BE140)=0,('Inputs (2)'!BE140)=0),"",('Inputs (2)'!BE140)),"")</f>
        <v/>
      </c>
      <c r="BF249" s="32" t="str">
        <f>IFERROR(IF(OR(COUNT('Inputs (2)'!BF140)=0,('Inputs (2)'!BF140)=0),"",('Inputs (2)'!BF140)),"")</f>
        <v/>
      </c>
      <c r="BG249" s="34" t="str">
        <f>IFERROR(IF(OR(COUNT('Inputs (2)'!BG140)=0,('Inputs (2)'!BG140)=0),"",('Inputs (2)'!BG140)),"")</f>
        <v/>
      </c>
    </row>
    <row r="250" hidden="1" outlineLevel="1">
      <c r="C250" s="30" t="inlineStr">
        <is>
          <t>Índice de Nível I reportado (%)</t>
        </is>
      </c>
      <c r="D250" s="12" t="inlineStr">
        <is>
          <t>Reported Tier 1 ratio</t>
        </is>
      </c>
      <c r="E250" s="32">
        <f>IFERROR(IF(OR(COUNT('Inputs (2)'!E141)=0,('Inputs (2)'!E141)=0),"",('Inputs (2)'!E141)),"")</f>
        <v>0.121728</v>
      </c>
      <c r="F250" s="32">
        <f>IFERROR(IF(OR(COUNT('Inputs (2)'!F141)=0,('Inputs (2)'!F141)=0),"",('Inputs (2)'!F141)),"")</f>
        <v>0.133206</v>
      </c>
      <c r="G250" s="32">
        <f>IFERROR(IF(OR(COUNT('Inputs (2)'!G141)=0,('Inputs (2)'!G141)=0),"",('Inputs (2)'!G141)),"")</f>
        <v>0.135583</v>
      </c>
      <c r="H250" s="32">
        <f>IFERROR(IF(OR(COUNT('Inputs (2)'!H141)=0,('Inputs (2)'!H141)=0),"",('Inputs (2)'!H141)),"")</f>
        <v>0.146957</v>
      </c>
      <c r="I250" s="34">
        <f>IFERROR(IF(OR(COUNT('Inputs (2)'!I141)=0,('Inputs (2)'!I141)=0),"",('Inputs (2)'!I141)),"")</f>
        <v>0.146957</v>
      </c>
      <c r="J250" s="32">
        <f>IFERROR(IF(OR(COUNT('Inputs (2)'!J141)=0,('Inputs (2)'!J141)=0),"",('Inputs (2)'!J141)),"")</f>
        <v>0.139792</v>
      </c>
      <c r="K250" s="32">
        <f>IFERROR(IF(OR(COUNT('Inputs (2)'!K141)=0,('Inputs (2)'!K141)=0),"",('Inputs (2)'!K141)),"")</f>
        <v>0.140549</v>
      </c>
      <c r="L250" s="32">
        <f>IFERROR(IF(OR(COUNT('Inputs (2)'!L141)=0,('Inputs (2)'!L141)=0),"",('Inputs (2)'!L141)),"")</f>
        <v>0.131544</v>
      </c>
      <c r="M250" s="32">
        <f>IFERROR(IF(OR(COUNT('Inputs (2)'!M141)=0,('Inputs (2)'!M141)=0),"",('Inputs (2)'!M141)),"")</f>
        <v>0.136305</v>
      </c>
      <c r="N250" s="34">
        <f>IFERROR(IF(OR(COUNT('Inputs (2)'!N141)=0,('Inputs (2)'!N141)=0),"",('Inputs (2)'!N141)),"")</f>
        <v>0.136305</v>
      </c>
      <c r="O250" s="32">
        <f>IFERROR(IF(OR(COUNT('Inputs (2)'!O141)=0,('Inputs (2)'!O141)=0),"",('Inputs (2)'!O141)),"")</f>
        <v>0.135094</v>
      </c>
      <c r="P250" s="32">
        <f>IFERROR(IF(OR(COUNT('Inputs (2)'!P141)=0,('Inputs (2)'!P141)=0),"",('Inputs (2)'!P141)),"")</f>
        <v>0.131339</v>
      </c>
      <c r="Q250" s="32">
        <f>IFERROR(IF(OR(COUNT('Inputs (2)'!Q141)=0,('Inputs (2)'!Q141)=0),"",('Inputs (2)'!Q141)),"")</f>
        <v>0.131326</v>
      </c>
      <c r="R250" s="32">
        <f>IFERROR(IF(OR(COUNT('Inputs (2)'!R141)=0,('Inputs (2)'!R141)=0),"",('Inputs (2)'!R141)),"")</f>
        <v>0.131146</v>
      </c>
      <c r="S250" s="34">
        <f>IFERROR(IF(OR(COUNT('Inputs (2)'!S141)=0,('Inputs (2)'!S141)=0),"",('Inputs (2)'!S141)),"")</f>
        <v>0.131146</v>
      </c>
      <c r="T250" s="32">
        <f>IFERROR(IF(OR(COUNT('Inputs (2)'!T141)=0,('Inputs (2)'!T141)=0),"",('Inputs (2)'!T141)),"")</f>
        <v>0.127663</v>
      </c>
      <c r="U250" s="32">
        <f>IFERROR(IF(OR(COUNT('Inputs (2)'!U141)=0,('Inputs (2)'!U141)=0),"",('Inputs (2)'!U141)),"")</f>
        <v>0.129078</v>
      </c>
      <c r="V250" s="32">
        <f>IFERROR(IF(OR(COUNT('Inputs (2)'!V141)=0,('Inputs (2)'!V141)=0),"",('Inputs (2)'!V141)),"")</f>
        <v>0.127437</v>
      </c>
      <c r="W250" s="32">
        <f>IFERROR(IF(OR(COUNT('Inputs (2)'!W141)=0,('Inputs (2)'!W141)=0),"",('Inputs (2)'!W141)),"")</f>
        <v>0.127119</v>
      </c>
      <c r="X250" s="34">
        <f>IFERROR(IF(OR(COUNT('Inputs (2)'!X141)=0,('Inputs (2)'!X141)=0),"",('Inputs (2)'!X141)),"")</f>
        <v>0.127119</v>
      </c>
      <c r="Y250" s="32">
        <f>IFERROR(IF(OR(COUNT('Inputs (2)'!Y141)=0,('Inputs (2)'!Y141)=0),"",('Inputs (2)'!Y141)),"")</f>
        <v>0.138204</v>
      </c>
      <c r="Z250" s="32">
        <f>IFERROR(IF(OR(COUNT('Inputs (2)'!Z141)=0,('Inputs (2)'!Z141)=0),"",('Inputs (2)'!Z141)),"")</f>
        <v>0.137842</v>
      </c>
      <c r="AA250" s="32">
        <f>IFERROR(IF(OR(COUNT('Inputs (2)'!AA141)=0,('Inputs (2)'!AA141)=0),"",('Inputs (2)'!AA141)),"")</f>
        <v>0.136496</v>
      </c>
      <c r="AB250" s="32">
        <f>IFERROR(IF(OR(COUNT('Inputs (2)'!AB141)=0,('Inputs (2)'!AB141)=0),"",('Inputs (2)'!AB141)),"")</f>
        <v>0.141354</v>
      </c>
      <c r="AC250" s="34">
        <f>IFERROR(IF(OR(COUNT('Inputs (2)'!AC141)=0,('Inputs (2)'!AC141)=0),"",('Inputs (2)'!AC141)),"")</f>
        <v>0.141354</v>
      </c>
      <c r="AD250" s="32">
        <f>IFERROR(IF(OR(COUNT('Inputs (2)'!AD141)=0,('Inputs (2)'!AD141)=0),"",('Inputs (2)'!AD141)),"")</f>
        <v>0.147423</v>
      </c>
      <c r="AE250" s="32">
        <f>IFERROR(IF(OR(COUNT('Inputs (2)'!AE141)=0,('Inputs (2)'!AE141)=0),"",('Inputs (2)'!AE141)),"")</f>
        <v>0.148288</v>
      </c>
      <c r="AF250" s="32">
        <f>IFERROR(IF(OR(COUNT('Inputs (2)'!AF141)=0,('Inputs (2)'!AF141)=0),"",('Inputs (2)'!AF141)),"")</f>
        <v>0.142838</v>
      </c>
      <c r="AG250" s="32">
        <f>IFERROR(IF(OR(COUNT('Inputs (2)'!AG141)=0,('Inputs (2)'!AG141)=0),"",('Inputs (2)'!AG141)),"")</f>
        <v>0.138416</v>
      </c>
      <c r="AH250" s="34">
        <f>IFERROR(IF(OR(COUNT('Inputs (2)'!AH141)=0,('Inputs (2)'!AH141)=0),"",('Inputs (2)'!AH141)),"")</f>
        <v>0.138416</v>
      </c>
      <c r="AI250" s="32">
        <f>IFERROR(IF(OR(COUNT('Inputs (2)'!AI141)=0,('Inputs (2)'!AI141)=0),"",('Inputs (2)'!AI141)),"")</f>
        <v>0.134111</v>
      </c>
      <c r="AJ250" s="32">
        <f>IFERROR(IF(OR(COUNT('Inputs (2)'!AJ141)=0,('Inputs (2)'!AJ141)=0),"",('Inputs (2)'!AJ141)),"")</f>
        <v>0.13735</v>
      </c>
      <c r="AK250" s="32" t="str">
        <f>IFERROR(IF(OR(COUNT('Inputs (2)'!AK141)=0,('Inputs (2)'!AK141)=0),"",('Inputs (2)'!AK141)),"")</f>
        <v/>
      </c>
      <c r="AL250" s="32" t="str">
        <f>IFERROR(IF(OR(COUNT('Inputs (2)'!AL141)=0,('Inputs (2)'!AL141)=0),"",('Inputs (2)'!AL141)),"")</f>
        <v/>
      </c>
      <c r="AM250" s="34" t="str">
        <f>IFERROR(IF(OR(COUNT('Inputs (2)'!AM141)=0,('Inputs (2)'!AM141)=0),"",('Inputs (2)'!AM141)),"")</f>
        <v/>
      </c>
      <c r="AN250" s="32" t="str">
        <f>IFERROR(IF(OR(COUNT('Inputs (2)'!AN141)=0,('Inputs (2)'!AN141)=0),"",('Inputs (2)'!AN141)),"")</f>
        <v/>
      </c>
      <c r="AO250" s="32" t="str">
        <f>IFERROR(IF(OR(COUNT('Inputs (2)'!AO141)=0,('Inputs (2)'!AO141)=0),"",('Inputs (2)'!AO141)),"")</f>
        <v/>
      </c>
      <c r="AP250" s="32" t="str">
        <f>IFERROR(IF(OR(COUNT('Inputs (2)'!AP141)=0,('Inputs (2)'!AP141)=0),"",('Inputs (2)'!AP141)),"")</f>
        <v/>
      </c>
      <c r="AQ250" s="32" t="str">
        <f>IFERROR(IF(OR(COUNT('Inputs (2)'!AQ141)=0,('Inputs (2)'!AQ141)=0),"",('Inputs (2)'!AQ141)),"")</f>
        <v/>
      </c>
      <c r="AR250" s="34" t="str">
        <f>IFERROR(IF(OR(COUNT('Inputs (2)'!AR141)=0,('Inputs (2)'!AR141)=0),"",('Inputs (2)'!AR141)),"")</f>
        <v/>
      </c>
      <c r="AS250" s="32" t="str">
        <f>IFERROR(IF(OR(COUNT('Inputs (2)'!AS141)=0,('Inputs (2)'!AS141)=0),"",('Inputs (2)'!AS141)),"")</f>
        <v/>
      </c>
      <c r="AT250" s="32" t="str">
        <f>IFERROR(IF(OR(COUNT('Inputs (2)'!AT141)=0,('Inputs (2)'!AT141)=0),"",('Inputs (2)'!AT141)),"")</f>
        <v/>
      </c>
      <c r="AU250" s="32" t="str">
        <f>IFERROR(IF(OR(COUNT('Inputs (2)'!AU141)=0,('Inputs (2)'!AU141)=0),"",('Inputs (2)'!AU141)),"")</f>
        <v/>
      </c>
      <c r="AV250" s="32" t="str">
        <f>IFERROR(IF(OR(COUNT('Inputs (2)'!AV141)=0,('Inputs (2)'!AV141)=0),"",('Inputs (2)'!AV141)),"")</f>
        <v/>
      </c>
      <c r="AW250" s="34" t="str">
        <f>IFERROR(IF(OR(COUNT('Inputs (2)'!AW141)=0,('Inputs (2)'!AW141)=0),"",('Inputs (2)'!AW141)),"")</f>
        <v/>
      </c>
      <c r="AX250" s="32" t="str">
        <f>IFERROR(IF(OR(COUNT('Inputs (2)'!AX141)=0,('Inputs (2)'!AX141)=0),"",('Inputs (2)'!AX141)),"")</f>
        <v/>
      </c>
      <c r="AY250" s="32" t="str">
        <f>IFERROR(IF(OR(COUNT('Inputs (2)'!AY141)=0,('Inputs (2)'!AY141)=0),"",('Inputs (2)'!AY141)),"")</f>
        <v/>
      </c>
      <c r="AZ250" s="32" t="str">
        <f>IFERROR(IF(OR(COUNT('Inputs (2)'!AZ141)=0,('Inputs (2)'!AZ141)=0),"",('Inputs (2)'!AZ141)),"")</f>
        <v/>
      </c>
      <c r="BA250" s="32" t="str">
        <f>IFERROR(IF(OR(COUNT('Inputs (2)'!BA141)=0,('Inputs (2)'!BA141)=0),"",('Inputs (2)'!BA141)),"")</f>
        <v/>
      </c>
      <c r="BB250" s="34" t="str">
        <f>IFERROR(IF(OR(COUNT('Inputs (2)'!BB141)=0,('Inputs (2)'!BB141)=0),"",('Inputs (2)'!BB141)),"")</f>
        <v/>
      </c>
      <c r="BC250" s="32" t="str">
        <f>IFERROR(IF(OR(COUNT('Inputs (2)'!BC141)=0,('Inputs (2)'!BC141)=0),"",('Inputs (2)'!BC141)),"")</f>
        <v/>
      </c>
      <c r="BD250" s="32" t="str">
        <f>IFERROR(IF(OR(COUNT('Inputs (2)'!BD141)=0,('Inputs (2)'!BD141)=0),"",('Inputs (2)'!BD141)),"")</f>
        <v/>
      </c>
      <c r="BE250" s="32" t="str">
        <f>IFERROR(IF(OR(COUNT('Inputs (2)'!BE141)=0,('Inputs (2)'!BE141)=0),"",('Inputs (2)'!BE141)),"")</f>
        <v/>
      </c>
      <c r="BF250" s="32" t="str">
        <f>IFERROR(IF(OR(COUNT('Inputs (2)'!BF141)=0,('Inputs (2)'!BF141)=0),"",('Inputs (2)'!BF141)),"")</f>
        <v/>
      </c>
      <c r="BG250" s="34" t="str">
        <f>IFERROR(IF(OR(COUNT('Inputs (2)'!BG141)=0,('Inputs (2)'!BG141)=0),"",('Inputs (2)'!BG141)),"")</f>
        <v/>
      </c>
    </row>
    <row r="251" hidden="1" outlineLevel="1">
      <c r="C251" s="30" t="inlineStr">
        <is>
          <t>Variação de outros resultados abrangentes no período</t>
        </is>
      </c>
      <c r="D251" s="12" t="inlineStr">
        <is>
          <t>OCI change</t>
        </is>
      </c>
      <c r="E251" s="37" t="n"/>
      <c r="F251" s="35">
        <f>IFERROR(IF(OR(COUNT('Inputs (2)'!F63)=0,COUNT('Inputs (2)'!E63)=0,AND(('Inputs (2)'!F63)=0,('Inputs (2)'!E63)=0)),"",('Inputs (2)'!F63)-('Inputs (2)'!E63)),"")</f>
        <v>-13.022</v>
      </c>
      <c r="G251" s="35">
        <f>IFERROR(IF(OR(COUNT('Inputs (2)'!G63)=0,COUNT('Inputs (2)'!F63)=0,AND(('Inputs (2)'!G63)=0,('Inputs (2)'!F63)=0)),"",('Inputs (2)'!G63)-('Inputs (2)'!F63)),"")</f>
        <v>-4.957</v>
      </c>
      <c r="H251" s="35">
        <f>IFERROR(IF(OR(COUNT('Inputs (2)'!H63)=0,COUNT('Inputs (2)'!G63)=0,AND(('Inputs (2)'!H63)=0,('Inputs (2)'!G63)=0)),"",('Inputs (2)'!H63)-('Inputs (2)'!G63)),"")</f>
        <v>15.814</v>
      </c>
      <c r="I251" s="38" t="n"/>
      <c r="J251" s="35">
        <f>IFERROR(IF(OR(COUNT('Inputs (2)'!J63)=0,COUNT('Inputs (2)'!H63)=0,AND(('Inputs (2)'!J63)=0,('Inputs (2)'!H63)=0)),"",('Inputs (2)'!J63)-('Inputs (2)'!H63)),"")</f>
        <v>-13.033</v>
      </c>
      <c r="K251" s="35">
        <f>IFERROR(IF(OR(COUNT('Inputs (2)'!K63)=0,COUNT('Inputs (2)'!J63)=0,AND(('Inputs (2)'!K63)=0,('Inputs (2)'!J63)=0)),"",('Inputs (2)'!K63)-('Inputs (2)'!J63)),"")</f>
        <v>0.657</v>
      </c>
      <c r="L251" s="35">
        <f>IFERROR(IF(OR(COUNT('Inputs (2)'!L63)=0,COUNT('Inputs (2)'!K63)=0,AND(('Inputs (2)'!L63)=0,('Inputs (2)'!K63)=0)),"",('Inputs (2)'!L63)-('Inputs (2)'!K63)),"")</f>
        <v>-0.542</v>
      </c>
      <c r="M251" s="35">
        <f>IFERROR(IF(OR(COUNT('Inputs (2)'!M63)=0,COUNT('Inputs (2)'!L63)=0,AND(('Inputs (2)'!M63)=0,('Inputs (2)'!L63)=0)),"",('Inputs (2)'!M63)-('Inputs (2)'!L63)),"")</f>
        <v>3.723</v>
      </c>
      <c r="N251" s="36">
        <f>IFERROR(IF(OR(COUNT('Inputs (2)'!N63)=0,COUNT('Inputs (2)'!I63)=0,AND(('Inputs (2)'!N63)=0,('Inputs (2)'!I63)=0)),"",('Inputs (2)'!N63)-('Inputs (2)'!I63)),"")</f>
        <v>-9.195</v>
      </c>
      <c r="O251" s="35">
        <f>IFERROR(IF(OR(COUNT('Inputs (2)'!O63)=0,COUNT('Inputs (2)'!M63)=0,AND(('Inputs (2)'!O63)=0,('Inputs (2)'!M63)=0)),"",('Inputs (2)'!O63)-('Inputs (2)'!M63)),"")</f>
        <v>-7.495</v>
      </c>
      <c r="P251" s="35">
        <f>IFERROR(IF(OR(COUNT('Inputs (2)'!P63)=0,COUNT('Inputs (2)'!O63)=0,AND(('Inputs (2)'!P63)=0,('Inputs (2)'!O63)=0)),"",('Inputs (2)'!P63)-('Inputs (2)'!O63)),"")</f>
        <v>-6.275</v>
      </c>
      <c r="Q251" s="35">
        <f>IFERROR(IF(OR(COUNT('Inputs (2)'!Q63)=0,COUNT('Inputs (2)'!P63)=0,AND(('Inputs (2)'!Q63)=0,('Inputs (2)'!P63)=0)),"",('Inputs (2)'!Q63)-('Inputs (2)'!P63)),"")</f>
        <v>13.248</v>
      </c>
      <c r="R251" s="35">
        <f>IFERROR(IF(OR(COUNT('Inputs (2)'!R63)=0,COUNT('Inputs (2)'!Q63)=0,AND(('Inputs (2)'!R63)=0,('Inputs (2)'!Q63)=0)),"",('Inputs (2)'!R63)-('Inputs (2)'!Q63)),"")</f>
        <v>7.337</v>
      </c>
      <c r="S251" s="36">
        <f>IFERROR(IF(OR(COUNT('Inputs (2)'!S63)=0,COUNT('Inputs (2)'!N63)=0,AND(('Inputs (2)'!S63)=0,('Inputs (2)'!N63)=0)),"",('Inputs (2)'!S63)-('Inputs (2)'!N63)),"")</f>
        <v>6.815</v>
      </c>
      <c r="T251" s="35">
        <f>IFERROR(IF(OR(COUNT('Inputs (2)'!T63)=0,COUNT('Inputs (2)'!R63)=0,AND(('Inputs (2)'!T63)=0,('Inputs (2)'!R63)=0)),"",('Inputs (2)'!T63)-('Inputs (2)'!R63)),"")</f>
        <v>-4.252</v>
      </c>
      <c r="U251" s="35">
        <f>IFERROR(IF(OR(COUNT('Inputs (2)'!U63)=0,COUNT('Inputs (2)'!T63)=0,AND(('Inputs (2)'!U63)=0,('Inputs (2)'!T63)=0)),"",('Inputs (2)'!U63)-('Inputs (2)'!T63)),"")</f>
        <v>0.36</v>
      </c>
      <c r="V251" s="35">
        <f>IFERROR(IF(OR(COUNT('Inputs (2)'!V63)=0,COUNT('Inputs (2)'!U63)=0,AND(('Inputs (2)'!V63)=0,('Inputs (2)'!U63)=0)),"",('Inputs (2)'!V63)-('Inputs (2)'!U63)),"")</f>
        <v>-9.454</v>
      </c>
      <c r="W251" s="35">
        <f>IFERROR(IF(OR(COUNT('Inputs (2)'!W63)=0,COUNT('Inputs (2)'!V63)=0,AND(('Inputs (2)'!W63)=0,('Inputs (2)'!V63)=0)),"",('Inputs (2)'!W63)-('Inputs (2)'!V63)),"")</f>
        <v>-9.88</v>
      </c>
      <c r="X251" s="36">
        <f>IFERROR(IF(OR(COUNT('Inputs (2)'!X63)=0,COUNT('Inputs (2)'!S63)=0,AND(('Inputs (2)'!X63)=0,('Inputs (2)'!S63)=0)),"",('Inputs (2)'!X63)-('Inputs (2)'!S63)),"")</f>
        <v>-23.226</v>
      </c>
      <c r="Y251" s="35">
        <f>IFERROR(IF(OR(COUNT('Inputs (2)'!Y63)=0,COUNT('Inputs (2)'!W63)=0,AND(('Inputs (2)'!Y63)=0,('Inputs (2)'!W63)=0)),"",('Inputs (2)'!Y63)-('Inputs (2)'!W63)),"")</f>
        <v>-21.591</v>
      </c>
      <c r="Z251" s="35">
        <f>IFERROR(IF(OR(COUNT('Inputs (2)'!Z63)=0,COUNT('Inputs (2)'!Y63)=0,AND(('Inputs (2)'!Z63)=0,('Inputs (2)'!Y63)=0)),"",('Inputs (2)'!Z63)-('Inputs (2)'!Y63)),"")</f>
        <v>-42.987</v>
      </c>
      <c r="AA251" s="35">
        <f>IFERROR(IF(OR(COUNT('Inputs (2)'!AA63)=0,COUNT('Inputs (2)'!Z63)=0,AND(('Inputs (2)'!AA63)=0,('Inputs (2)'!Z63)=0)),"",('Inputs (2)'!AA63)-('Inputs (2)'!Z63)),"")</f>
        <v>-7.17100000000001</v>
      </c>
      <c r="AB251" s="35">
        <f>IFERROR(IF(OR(COUNT('Inputs (2)'!AB63)=0,COUNT('Inputs (2)'!AA63)=0,AND(('Inputs (2)'!AB63)=0,('Inputs (2)'!AA63)=0)),"",('Inputs (2)'!AB63)-('Inputs (2)'!AA63)),"")</f>
        <v>-141.422</v>
      </c>
      <c r="AC251" s="36">
        <f>IFERROR(IF(OR(COUNT('Inputs (2)'!AC63)=0,COUNT('Inputs (2)'!X63)=0,AND(('Inputs (2)'!AC63)=0,('Inputs (2)'!X63)=0)),"",('Inputs (2)'!AC63)-('Inputs (2)'!X63)),"")</f>
        <v>-213.171</v>
      </c>
      <c r="AD251" s="35">
        <f>IFERROR(IF(OR(COUNT('Inputs (2)'!AD63)=0,COUNT('Inputs (2)'!AB63)=0,AND(('Inputs (2)'!AD63)=0,('Inputs (2)'!AB63)=0)),"",('Inputs (2)'!AD63)-('Inputs (2)'!AB63)),"")</f>
        <v>243.263</v>
      </c>
      <c r="AE251" s="35">
        <f>IFERROR(IF(OR(COUNT('Inputs (2)'!AE63)=0,COUNT('Inputs (2)'!AD63)=0,AND(('Inputs (2)'!AE63)=0,('Inputs (2)'!AD63)=0)),"",('Inputs (2)'!AE63)-('Inputs (2)'!AD63)),"")</f>
        <v>1.276</v>
      </c>
      <c r="AF251" s="35">
        <f>IFERROR(IF(OR(COUNT('Inputs (2)'!AF63)=0,COUNT('Inputs (2)'!AE63)=0,AND(('Inputs (2)'!AF63)=0,('Inputs (2)'!AE63)=0)),"",('Inputs (2)'!AF63)-('Inputs (2)'!AE63)),"")</f>
        <v>-5.376</v>
      </c>
      <c r="AG251" s="35">
        <f>IFERROR(IF(OR(COUNT('Inputs (2)'!AG63)=0,COUNT('Inputs (2)'!AF63)=0,AND(('Inputs (2)'!AG63)=0,('Inputs (2)'!AF63)=0)),"",('Inputs (2)'!AG63)-('Inputs (2)'!AF63)),"")</f>
        <v>-0.182</v>
      </c>
      <c r="AH251" s="36">
        <f>IFERROR(IF(OR(COUNT('Inputs (2)'!AH63)=0,COUNT('Inputs (2)'!AC63)=0,AND(('Inputs (2)'!AH63)=0,('Inputs (2)'!AC63)=0)),"",('Inputs (2)'!AH63)-('Inputs (2)'!AC63)),"")</f>
        <v>238.981</v>
      </c>
      <c r="AI251" s="35">
        <f>IFERROR(IF(OR(COUNT('Inputs (2)'!AI63)=0,COUNT('Inputs (2)'!AG63)=0,AND(('Inputs (2)'!AI63)=0,('Inputs (2)'!AG63)=0)),"",('Inputs (2)'!AI63)-('Inputs (2)'!AG63)),"")</f>
        <v>1.762</v>
      </c>
      <c r="AJ251" s="35">
        <f>IFERROR(IF(OR(COUNT('Inputs (2)'!AJ63)=0,COUNT('Inputs (2)'!AI63)=0,AND(('Inputs (2)'!AJ63)=0,('Inputs (2)'!AI63)=0)),"",('Inputs (2)'!AJ63)-('Inputs (2)'!AI63)),"")</f>
        <v>-0.267</v>
      </c>
      <c r="AK251" s="35">
        <f>IFERROR(IF(OR(COUNT('Inputs (2)'!AK63)=0,COUNT('Inputs (2)'!AJ63)=0,AND(('Inputs (2)'!AK63)=0,('Inputs (2)'!AJ63)=0)),"",('Inputs (2)'!AK63)-('Inputs (2)'!AJ63)),"")</f>
        <v>-0.682</v>
      </c>
      <c r="AL251" s="35" t="str">
        <f>IFERROR(IF(OR(COUNT('Inputs (2)'!AL63)=0,COUNT('Inputs (2)'!AK63)=0,AND(('Inputs (2)'!AL63)=0,('Inputs (2)'!AK63)=0)),"",('Inputs (2)'!AL63)-('Inputs (2)'!AK63)),"")</f>
        <v/>
      </c>
      <c r="AM251" s="36">
        <f>IFERROR(IF(OR(COUNT('Inputs (2)'!AM63)=0,COUNT('Inputs (2)'!AH63)=0,AND(('Inputs (2)'!AM63)=0,('Inputs (2)'!AH63)=0)),"",('Inputs (2)'!AM63)-('Inputs (2)'!AH63)),"")</f>
        <v>0.813</v>
      </c>
      <c r="AN251" s="35" t="str">
        <f>IFERROR(IF(OR(COUNT('Inputs (2)'!AN63)=0,COUNT('Inputs (2)'!AL63)=0,AND(('Inputs (2)'!AN63)=0,('Inputs (2)'!AL63)=0)),"",('Inputs (2)'!AN63)-('Inputs (2)'!AL63)),"")</f>
        <v/>
      </c>
      <c r="AO251" s="35" t="str">
        <f>IFERROR(IF(OR(COUNT('Inputs (2)'!AO63)=0,COUNT('Inputs (2)'!AN63)=0,AND(('Inputs (2)'!AO63)=0,('Inputs (2)'!AN63)=0)),"",('Inputs (2)'!AO63)-('Inputs (2)'!AN63)),"")</f>
        <v/>
      </c>
      <c r="AP251" s="35" t="str">
        <f>IFERROR(IF(OR(COUNT('Inputs (2)'!AP63)=0,COUNT('Inputs (2)'!AO63)=0,AND(('Inputs (2)'!AP63)=0,('Inputs (2)'!AO63)=0)),"",('Inputs (2)'!AP63)-('Inputs (2)'!AO63)),"")</f>
        <v/>
      </c>
      <c r="AQ251" s="35" t="str">
        <f>IFERROR(IF(OR(COUNT('Inputs (2)'!AQ63)=0,COUNT('Inputs (2)'!AP63)=0,AND(('Inputs (2)'!AQ63)=0,('Inputs (2)'!AP63)=0)),"",('Inputs (2)'!AQ63)-('Inputs (2)'!AP63)),"")</f>
        <v/>
      </c>
      <c r="AR251" s="36" t="str">
        <f>IFERROR(IF(OR(COUNT('Inputs (2)'!AR63)=0,COUNT('Inputs (2)'!AM63)=0,AND(('Inputs (2)'!AR63)=0,('Inputs (2)'!AM63)=0)),"",('Inputs (2)'!AR63)-('Inputs (2)'!AM63)),"")</f>
        <v/>
      </c>
      <c r="AS251" s="35" t="str">
        <f>IFERROR(IF(OR(COUNT('Inputs (2)'!AS63)=0,COUNT('Inputs (2)'!AQ63)=0,AND(('Inputs (2)'!AS63)=0,('Inputs (2)'!AQ63)=0)),"",('Inputs (2)'!AS63)-('Inputs (2)'!AQ63)),"")</f>
        <v/>
      </c>
      <c r="AT251" s="35" t="str">
        <f>IFERROR(IF(OR(COUNT('Inputs (2)'!AT63)=0,COUNT('Inputs (2)'!AS63)=0,AND(('Inputs (2)'!AT63)=0,('Inputs (2)'!AS63)=0)),"",('Inputs (2)'!AT63)-('Inputs (2)'!AS63)),"")</f>
        <v/>
      </c>
      <c r="AU251" s="35" t="str">
        <f>IFERROR(IF(OR(COUNT('Inputs (2)'!AU63)=0,COUNT('Inputs (2)'!AT63)=0,AND(('Inputs (2)'!AU63)=0,('Inputs (2)'!AT63)=0)),"",('Inputs (2)'!AU63)-('Inputs (2)'!AT63)),"")</f>
        <v/>
      </c>
      <c r="AV251" s="35" t="str">
        <f>IFERROR(IF(OR(COUNT('Inputs (2)'!AV63)=0,COUNT('Inputs (2)'!AU63)=0,AND(('Inputs (2)'!AV63)=0,('Inputs (2)'!AU63)=0)),"",('Inputs (2)'!AV63)-('Inputs (2)'!AU63)),"")</f>
        <v/>
      </c>
      <c r="AW251" s="36" t="str">
        <f>IFERROR(IF(OR(COUNT('Inputs (2)'!AW63)=0,COUNT('Inputs (2)'!AR63)=0,AND(('Inputs (2)'!AW63)=0,('Inputs (2)'!AR63)=0)),"",('Inputs (2)'!AW63)-('Inputs (2)'!AR63)),"")</f>
        <v/>
      </c>
      <c r="AX251" s="35" t="str">
        <f>IFERROR(IF(OR(COUNT('Inputs (2)'!AX63)=0,COUNT('Inputs (2)'!AV63)=0,AND(('Inputs (2)'!AX63)=0,('Inputs (2)'!AV63)=0)),"",('Inputs (2)'!AX63)-('Inputs (2)'!AV63)),"")</f>
        <v/>
      </c>
      <c r="AY251" s="35" t="str">
        <f>IFERROR(IF(OR(COUNT('Inputs (2)'!AY63)=0,COUNT('Inputs (2)'!AX63)=0,AND(('Inputs (2)'!AY63)=0,('Inputs (2)'!AX63)=0)),"",('Inputs (2)'!AY63)-('Inputs (2)'!AX63)),"")</f>
        <v/>
      </c>
      <c r="AZ251" s="35" t="str">
        <f>IFERROR(IF(OR(COUNT('Inputs (2)'!AZ63)=0,COUNT('Inputs (2)'!AY63)=0,AND(('Inputs (2)'!AZ63)=0,('Inputs (2)'!AY63)=0)),"",('Inputs (2)'!AZ63)-('Inputs (2)'!AY63)),"")</f>
        <v/>
      </c>
      <c r="BA251" s="35" t="str">
        <f>IFERROR(IF(OR(COUNT('Inputs (2)'!BA63)=0,COUNT('Inputs (2)'!AZ63)=0,AND(('Inputs (2)'!BA63)=0,('Inputs (2)'!AZ63)=0)),"",('Inputs (2)'!BA63)-('Inputs (2)'!AZ63)),"")</f>
        <v/>
      </c>
      <c r="BB251" s="36" t="str">
        <f>IFERROR(IF(OR(COUNT('Inputs (2)'!BB63)=0,COUNT('Inputs (2)'!AW63)=0,AND(('Inputs (2)'!BB63)=0,('Inputs (2)'!AW63)=0)),"",('Inputs (2)'!BB63)-('Inputs (2)'!AW63)),"")</f>
        <v/>
      </c>
      <c r="BC251" s="35" t="str">
        <f>IFERROR(IF(OR(COUNT('Inputs (2)'!BC63)=0,COUNT('Inputs (2)'!BA63)=0,AND(('Inputs (2)'!BC63)=0,('Inputs (2)'!BA63)=0)),"",('Inputs (2)'!BC63)-('Inputs (2)'!BA63)),"")</f>
        <v/>
      </c>
      <c r="BD251" s="35" t="str">
        <f>IFERROR(IF(OR(COUNT('Inputs (2)'!BD63)=0,COUNT('Inputs (2)'!BC63)=0,AND(('Inputs (2)'!BD63)=0,('Inputs (2)'!BC63)=0)),"",('Inputs (2)'!BD63)-('Inputs (2)'!BC63)),"")</f>
        <v/>
      </c>
      <c r="BE251" s="35" t="str">
        <f>IFERROR(IF(OR(COUNT('Inputs (2)'!BE63)=0,COUNT('Inputs (2)'!BD63)=0,AND(('Inputs (2)'!BE63)=0,('Inputs (2)'!BD63)=0)),"",('Inputs (2)'!BE63)-('Inputs (2)'!BD63)),"")</f>
        <v/>
      </c>
      <c r="BF251" s="35" t="str">
        <f>IFERROR(IF(OR(COUNT('Inputs (2)'!BF63)=0,COUNT('Inputs (2)'!BE63)=0,AND(('Inputs (2)'!BF63)=0,('Inputs (2)'!BE63)=0)),"",('Inputs (2)'!BF63)-('Inputs (2)'!BE63)),"")</f>
        <v/>
      </c>
      <c r="BG251" s="36" t="str">
        <f>IFERROR(IF(OR(COUNT('Inputs (2)'!BG63)=0,COUNT('Inputs (2)'!BB63)=0,AND(('Inputs (2)'!BG63)=0,('Inputs (2)'!BB63)=0)),"",('Inputs (2)'!BG63)-('Inputs (2)'!BB63)),"")</f>
        <v/>
      </c>
    </row>
    <row r="252" hidden="1" outlineLevel="1">
      <c r="C252" s="30" t="inlineStr">
        <is>
          <t>Variação do capital social no período</t>
        </is>
      </c>
      <c r="D252" s="12" t="inlineStr">
        <is>
          <t>Capital change</t>
        </is>
      </c>
      <c r="E252" s="37" t="n"/>
      <c r="F252" s="35">
        <f>IFERROR(IF(OR(COUNT('Inputs (2)'!F60)=0,COUNT('Inputs (2)'!E60)=0,AND(('Inputs (2)'!F60)=0,('Inputs (2)'!E60)=0)),"",('Inputs (2)'!F60)-('Inputs (2)'!E60)),"")</f>
        <v>0.00099999999974898</v>
      </c>
      <c r="G252" s="35">
        <f>IFERROR(IF(OR(COUNT('Inputs (2)'!G60)=0,COUNT('Inputs (2)'!F60)=0,AND(('Inputs (2)'!G60)=0,('Inputs (2)'!F60)=0)),"",('Inputs (2)'!G60)-('Inputs (2)'!F60)),"")</f>
        <v>0</v>
      </c>
      <c r="H252" s="35">
        <f>IFERROR(IF(OR(COUNT('Inputs (2)'!H60)=0,COUNT('Inputs (2)'!G60)=0,AND(('Inputs (2)'!H60)=0,('Inputs (2)'!G60)=0)),"",('Inputs (2)'!H60)-('Inputs (2)'!G60)),"")</f>
        <v>28.7890000000002</v>
      </c>
      <c r="I252" s="38" t="n"/>
      <c r="J252" s="35">
        <f>IFERROR(IF(OR(COUNT('Inputs (2)'!J60)=0,COUNT('Inputs (2)'!H60)=0,AND(('Inputs (2)'!J60)=0,('Inputs (2)'!H60)=0)),"",('Inputs (2)'!J60)-('Inputs (2)'!H60)),"")</f>
        <v>62.4749999999999</v>
      </c>
      <c r="K252" s="35">
        <f>IFERROR(IF(OR(COUNT('Inputs (2)'!K60)=0,COUNT('Inputs (2)'!J60)=0,AND(('Inputs (2)'!K60)=0,('Inputs (2)'!J60)=0)),"",('Inputs (2)'!K60)-('Inputs (2)'!J60)),"")</f>
        <v>0</v>
      </c>
      <c r="L252" s="35">
        <f>IFERROR(IF(OR(COUNT('Inputs (2)'!L60)=0,COUNT('Inputs (2)'!K60)=0,AND(('Inputs (2)'!L60)=0,('Inputs (2)'!K60)=0)),"",('Inputs (2)'!L60)-('Inputs (2)'!K60)),"")</f>
        <v>0</v>
      </c>
      <c r="M252" s="35">
        <f>IFERROR(IF(OR(COUNT('Inputs (2)'!M60)=0,COUNT('Inputs (2)'!L60)=0,AND(('Inputs (2)'!M60)=0,('Inputs (2)'!L60)=0)),"",('Inputs (2)'!M60)-('Inputs (2)'!L60)),"")</f>
        <v>1657.861</v>
      </c>
      <c r="N252" s="36">
        <f>IFERROR(IF(OR(COUNT('Inputs (2)'!N60)=0,COUNT('Inputs (2)'!I60)=0,AND(('Inputs (2)'!N60)=0,('Inputs (2)'!I60)=0)),"",('Inputs (2)'!N60)-('Inputs (2)'!I60)),"")</f>
        <v>1720.336</v>
      </c>
      <c r="O252" s="35">
        <f>IFERROR(IF(OR(COUNT('Inputs (2)'!O60)=0,COUNT('Inputs (2)'!M60)=0,AND(('Inputs (2)'!O60)=0,('Inputs (2)'!M60)=0)),"",('Inputs (2)'!O60)-('Inputs (2)'!M60)),"")</f>
        <v>0</v>
      </c>
      <c r="P252" s="35">
        <f>IFERROR(IF(OR(COUNT('Inputs (2)'!P60)=0,COUNT('Inputs (2)'!O60)=0,AND(('Inputs (2)'!P60)=0,('Inputs (2)'!O60)=0)),"",('Inputs (2)'!P60)-('Inputs (2)'!O60)),"")</f>
        <v>0</v>
      </c>
      <c r="Q252" s="35">
        <f>IFERROR(IF(OR(COUNT('Inputs (2)'!Q60)=0,COUNT('Inputs (2)'!P60)=0,AND(('Inputs (2)'!Q60)=0,('Inputs (2)'!P60)=0)),"",('Inputs (2)'!Q60)-('Inputs (2)'!P60)),"")</f>
        <v>0</v>
      </c>
      <c r="R252" s="35">
        <f>IFERROR(IF(OR(COUNT('Inputs (2)'!R60)=0,COUNT('Inputs (2)'!Q60)=0,AND(('Inputs (2)'!R60)=0,('Inputs (2)'!Q60)=0)),"",('Inputs (2)'!R60)-('Inputs (2)'!Q60)),"")</f>
        <v>0</v>
      </c>
      <c r="S252" s="36">
        <f>IFERROR(IF(OR(COUNT('Inputs (2)'!S60)=0,COUNT('Inputs (2)'!N60)=0,AND(('Inputs (2)'!S60)=0,('Inputs (2)'!N60)=0)),"",('Inputs (2)'!S60)-('Inputs (2)'!N60)),"")</f>
        <v>0</v>
      </c>
      <c r="T252" s="35">
        <f>IFERROR(IF(OR(COUNT('Inputs (2)'!T60)=0,COUNT('Inputs (2)'!R60)=0,AND(('Inputs (2)'!T60)=0,('Inputs (2)'!R60)=0)),"",('Inputs (2)'!T60)-('Inputs (2)'!R60)),"")</f>
        <v>0</v>
      </c>
      <c r="U252" s="35">
        <f>IFERROR(IF(OR(COUNT('Inputs (2)'!U60)=0,COUNT('Inputs (2)'!T60)=0,AND(('Inputs (2)'!U60)=0,('Inputs (2)'!T60)=0)),"",('Inputs (2)'!U60)-('Inputs (2)'!T60)),"")</f>
        <v>0</v>
      </c>
      <c r="V252" s="35">
        <f>IFERROR(IF(OR(COUNT('Inputs (2)'!V60)=0,COUNT('Inputs (2)'!U60)=0,AND(('Inputs (2)'!V60)=0,('Inputs (2)'!U60)=0)),"",('Inputs (2)'!V60)-('Inputs (2)'!U60)),"")</f>
        <v>157.113</v>
      </c>
      <c r="W252" s="35">
        <f>IFERROR(IF(OR(COUNT('Inputs (2)'!W60)=0,COUNT('Inputs (2)'!V60)=0,AND(('Inputs (2)'!W60)=0,('Inputs (2)'!V60)=0)),"",('Inputs (2)'!W60)-('Inputs (2)'!V60)),"")</f>
        <v>0.00100000000020373</v>
      </c>
      <c r="X252" s="36">
        <f>IFERROR(IF(OR(COUNT('Inputs (2)'!X60)=0,COUNT('Inputs (2)'!S60)=0,AND(('Inputs (2)'!X60)=0,('Inputs (2)'!S60)=0)),"",('Inputs (2)'!X60)-('Inputs (2)'!S60)),"")</f>
        <v>157.114000000001</v>
      </c>
      <c r="Y252" s="35">
        <f>IFERROR(IF(OR(COUNT('Inputs (2)'!Y60)=0,COUNT('Inputs (2)'!W60)=0,AND(('Inputs (2)'!Y60)=0,('Inputs (2)'!W60)=0)),"",('Inputs (2)'!Y60)-('Inputs (2)'!W60)),"")</f>
        <v>146.471</v>
      </c>
      <c r="Z252" s="35">
        <f>IFERROR(IF(OR(COUNT('Inputs (2)'!Z60)=0,COUNT('Inputs (2)'!Y60)=0,AND(('Inputs (2)'!Z60)=0,('Inputs (2)'!Y60)=0)),"",('Inputs (2)'!Z60)-('Inputs (2)'!Y60)),"")</f>
        <v>0.00100000000020373</v>
      </c>
      <c r="AA252" s="35">
        <f>IFERROR(IF(OR(COUNT('Inputs (2)'!AA60)=0,COUNT('Inputs (2)'!Z60)=0,AND(('Inputs (2)'!AA60)=0,('Inputs (2)'!Z60)=0)),"",('Inputs (2)'!AA60)-('Inputs (2)'!Z60)),"")</f>
        <v>-0.00100000000020373</v>
      </c>
      <c r="AB252" s="35">
        <f>IFERROR(IF(OR(COUNT('Inputs (2)'!AB60)=0,COUNT('Inputs (2)'!AA60)=0,AND(('Inputs (2)'!AB60)=0,('Inputs (2)'!AA60)=0)),"",('Inputs (2)'!AB60)-('Inputs (2)'!AA60)),"")</f>
        <v>0.00100000000020373</v>
      </c>
      <c r="AC252" s="36">
        <f>IFERROR(IF(OR(COUNT('Inputs (2)'!AC60)=0,COUNT('Inputs (2)'!X60)=0,AND(('Inputs (2)'!AC60)=0,('Inputs (2)'!X60)=0)),"",('Inputs (2)'!AC60)-('Inputs (2)'!X60)),"")</f>
        <v>146.472</v>
      </c>
      <c r="AD252" s="35">
        <f>IFERROR(IF(OR(COUNT('Inputs (2)'!AD60)=0,COUNT('Inputs (2)'!AB60)=0,AND(('Inputs (2)'!AD60)=0,('Inputs (2)'!AB60)=0)),"",('Inputs (2)'!AD60)-('Inputs (2)'!AB60)),"")</f>
        <v>1080</v>
      </c>
      <c r="AE252" s="35">
        <f>IFERROR(IF(OR(COUNT('Inputs (2)'!AE60)=0,COUNT('Inputs (2)'!AD60)=0,AND(('Inputs (2)'!AE60)=0,('Inputs (2)'!AD60)=0)),"",('Inputs (2)'!AE60)-('Inputs (2)'!AD60)),"")</f>
        <v>0</v>
      </c>
      <c r="AF252" s="35">
        <f>IFERROR(IF(OR(COUNT('Inputs (2)'!AF60)=0,COUNT('Inputs (2)'!AE60)=0,AND(('Inputs (2)'!AF60)=0,('Inputs (2)'!AE60)=0)),"",('Inputs (2)'!AF60)-('Inputs (2)'!AE60)),"")</f>
        <v>0</v>
      </c>
      <c r="AG252" s="35">
        <f>IFERROR(IF(OR(COUNT('Inputs (2)'!AG60)=0,COUNT('Inputs (2)'!AF60)=0,AND(('Inputs (2)'!AG60)=0,('Inputs (2)'!AF60)=0)),"",('Inputs (2)'!AG60)-('Inputs (2)'!AF60)),"")</f>
        <v>0</v>
      </c>
      <c r="AH252" s="36">
        <f>IFERROR(IF(OR(COUNT('Inputs (2)'!AH60)=0,COUNT('Inputs (2)'!AC60)=0,AND(('Inputs (2)'!AH60)=0,('Inputs (2)'!AC60)=0)),"",('Inputs (2)'!AH60)-('Inputs (2)'!AC60)),"")</f>
        <v>1080</v>
      </c>
      <c r="AI252" s="35">
        <f>IFERROR(IF(OR(COUNT('Inputs (2)'!AI60)=0,COUNT('Inputs (2)'!AG60)=0,AND(('Inputs (2)'!AI60)=0,('Inputs (2)'!AG60)=0)),"",('Inputs (2)'!AI60)-('Inputs (2)'!AG60)),"")</f>
        <v>314.06</v>
      </c>
      <c r="AJ252" s="35">
        <f>IFERROR(IF(OR(COUNT('Inputs (2)'!AJ60)=0,COUNT('Inputs (2)'!AI60)=0,AND(('Inputs (2)'!AJ60)=0,('Inputs (2)'!AI60)=0)),"",('Inputs (2)'!AJ60)-('Inputs (2)'!AI60)),"")</f>
        <v>0</v>
      </c>
      <c r="AK252" s="35">
        <f>IFERROR(IF(OR(COUNT('Inputs (2)'!AK60)=0,COUNT('Inputs (2)'!AJ60)=0,AND(('Inputs (2)'!AK60)=0,('Inputs (2)'!AJ60)=0)),"",('Inputs (2)'!AK60)-('Inputs (2)'!AJ60)),"")</f>
        <v>-6012.663</v>
      </c>
      <c r="AL252" s="35" t="str">
        <f>IFERROR(IF(OR(COUNT('Inputs (2)'!AL60)=0,COUNT('Inputs (2)'!AK60)=0,AND(('Inputs (2)'!AL60)=0,('Inputs (2)'!AK60)=0)),"",('Inputs (2)'!AL60)-('Inputs (2)'!AK60)),"")</f>
        <v/>
      </c>
      <c r="AM252" s="36">
        <f>IFERROR(IF(OR(COUNT('Inputs (2)'!AM60)=0,COUNT('Inputs (2)'!AH60)=0,AND(('Inputs (2)'!AM60)=0,('Inputs (2)'!AH60)=0)),"",('Inputs (2)'!AM60)-('Inputs (2)'!AH60)),"")</f>
        <v>-5698.603</v>
      </c>
      <c r="AN252" s="35" t="str">
        <f>IFERROR(IF(OR(COUNT('Inputs (2)'!AN60)=0,COUNT('Inputs (2)'!AL60)=0,AND(('Inputs (2)'!AN60)=0,('Inputs (2)'!AL60)=0)),"",('Inputs (2)'!AN60)-('Inputs (2)'!AL60)),"")</f>
        <v/>
      </c>
      <c r="AO252" s="35" t="str">
        <f>IFERROR(IF(OR(COUNT('Inputs (2)'!AO60)=0,COUNT('Inputs (2)'!AN60)=0,AND(('Inputs (2)'!AO60)=0,('Inputs (2)'!AN60)=0)),"",('Inputs (2)'!AO60)-('Inputs (2)'!AN60)),"")</f>
        <v/>
      </c>
      <c r="AP252" s="35" t="str">
        <f>IFERROR(IF(OR(COUNT('Inputs (2)'!AP60)=0,COUNT('Inputs (2)'!AO60)=0,AND(('Inputs (2)'!AP60)=0,('Inputs (2)'!AO60)=0)),"",('Inputs (2)'!AP60)-('Inputs (2)'!AO60)),"")</f>
        <v/>
      </c>
      <c r="AQ252" s="35" t="str">
        <f>IFERROR(IF(OR(COUNT('Inputs (2)'!AQ60)=0,COUNT('Inputs (2)'!AP60)=0,AND(('Inputs (2)'!AQ60)=0,('Inputs (2)'!AP60)=0)),"",('Inputs (2)'!AQ60)-('Inputs (2)'!AP60)),"")</f>
        <v/>
      </c>
      <c r="AR252" s="36" t="str">
        <f>IFERROR(IF(OR(COUNT('Inputs (2)'!AR60)=0,COUNT('Inputs (2)'!AM60)=0,AND(('Inputs (2)'!AR60)=0,('Inputs (2)'!AM60)=0)),"",('Inputs (2)'!AR60)-('Inputs (2)'!AM60)),"")</f>
        <v/>
      </c>
      <c r="AS252" s="35" t="str">
        <f>IFERROR(IF(OR(COUNT('Inputs (2)'!AS60)=0,COUNT('Inputs (2)'!AQ60)=0,AND(('Inputs (2)'!AS60)=0,('Inputs (2)'!AQ60)=0)),"",('Inputs (2)'!AS60)-('Inputs (2)'!AQ60)),"")</f>
        <v/>
      </c>
      <c r="AT252" s="35" t="str">
        <f>IFERROR(IF(OR(COUNT('Inputs (2)'!AT60)=0,COUNT('Inputs (2)'!AS60)=0,AND(('Inputs (2)'!AT60)=0,('Inputs (2)'!AS60)=0)),"",('Inputs (2)'!AT60)-('Inputs (2)'!AS60)),"")</f>
        <v/>
      </c>
      <c r="AU252" s="35" t="str">
        <f>IFERROR(IF(OR(COUNT('Inputs (2)'!AU60)=0,COUNT('Inputs (2)'!AT60)=0,AND(('Inputs (2)'!AU60)=0,('Inputs (2)'!AT60)=0)),"",('Inputs (2)'!AU60)-('Inputs (2)'!AT60)),"")</f>
        <v/>
      </c>
      <c r="AV252" s="35" t="str">
        <f>IFERROR(IF(OR(COUNT('Inputs (2)'!AV60)=0,COUNT('Inputs (2)'!AU60)=0,AND(('Inputs (2)'!AV60)=0,('Inputs (2)'!AU60)=0)),"",('Inputs (2)'!AV60)-('Inputs (2)'!AU60)),"")</f>
        <v/>
      </c>
      <c r="AW252" s="36" t="str">
        <f>IFERROR(IF(OR(COUNT('Inputs (2)'!AW60)=0,COUNT('Inputs (2)'!AR60)=0,AND(('Inputs (2)'!AW60)=0,('Inputs (2)'!AR60)=0)),"",('Inputs (2)'!AW60)-('Inputs (2)'!AR60)),"")</f>
        <v/>
      </c>
      <c r="AX252" s="35" t="str">
        <f>IFERROR(IF(OR(COUNT('Inputs (2)'!AX60)=0,COUNT('Inputs (2)'!AV60)=0,AND(('Inputs (2)'!AX60)=0,('Inputs (2)'!AV60)=0)),"",('Inputs (2)'!AX60)-('Inputs (2)'!AV60)),"")</f>
        <v/>
      </c>
      <c r="AY252" s="35" t="str">
        <f>IFERROR(IF(OR(COUNT('Inputs (2)'!AY60)=0,COUNT('Inputs (2)'!AX60)=0,AND(('Inputs (2)'!AY60)=0,('Inputs (2)'!AX60)=0)),"",('Inputs (2)'!AY60)-('Inputs (2)'!AX60)),"")</f>
        <v/>
      </c>
      <c r="AZ252" s="35" t="str">
        <f>IFERROR(IF(OR(COUNT('Inputs (2)'!AZ60)=0,COUNT('Inputs (2)'!AY60)=0,AND(('Inputs (2)'!AZ60)=0,('Inputs (2)'!AY60)=0)),"",('Inputs (2)'!AZ60)-('Inputs (2)'!AY60)),"")</f>
        <v/>
      </c>
      <c r="BA252" s="35" t="str">
        <f>IFERROR(IF(OR(COUNT('Inputs (2)'!BA60)=0,COUNT('Inputs (2)'!AZ60)=0,AND(('Inputs (2)'!BA60)=0,('Inputs (2)'!AZ60)=0)),"",('Inputs (2)'!BA60)-('Inputs (2)'!AZ60)),"")</f>
        <v/>
      </c>
      <c r="BB252" s="36" t="str">
        <f>IFERROR(IF(OR(COUNT('Inputs (2)'!BB60)=0,COUNT('Inputs (2)'!AW60)=0,AND(('Inputs (2)'!BB60)=0,('Inputs (2)'!AW60)=0)),"",('Inputs (2)'!BB60)-('Inputs (2)'!AW60)),"")</f>
        <v/>
      </c>
      <c r="BC252" s="35" t="str">
        <f>IFERROR(IF(OR(COUNT('Inputs (2)'!BC60)=0,COUNT('Inputs (2)'!BA60)=0,AND(('Inputs (2)'!BC60)=0,('Inputs (2)'!BA60)=0)),"",('Inputs (2)'!BC60)-('Inputs (2)'!BA60)),"")</f>
        <v/>
      </c>
      <c r="BD252" s="35" t="str">
        <f>IFERROR(IF(OR(COUNT('Inputs (2)'!BD60)=0,COUNT('Inputs (2)'!BC60)=0,AND(('Inputs (2)'!BD60)=0,('Inputs (2)'!BC60)=0)),"",('Inputs (2)'!BD60)-('Inputs (2)'!BC60)),"")</f>
        <v/>
      </c>
      <c r="BE252" s="35" t="str">
        <f>IFERROR(IF(OR(COUNT('Inputs (2)'!BE60)=0,COUNT('Inputs (2)'!BD60)=0,AND(('Inputs (2)'!BE60)=0,('Inputs (2)'!BD60)=0)),"",('Inputs (2)'!BE60)-('Inputs (2)'!BD60)),"")</f>
        <v/>
      </c>
      <c r="BF252" s="35" t="str">
        <f>IFERROR(IF(OR(COUNT('Inputs (2)'!BF60)=0,COUNT('Inputs (2)'!BE60)=0,AND(('Inputs (2)'!BF60)=0,('Inputs (2)'!BE60)=0)),"",('Inputs (2)'!BF60)-('Inputs (2)'!BE60)),"")</f>
        <v/>
      </c>
      <c r="BG252" s="36" t="str">
        <f>IFERROR(IF(OR(COUNT('Inputs (2)'!BG60)=0,COUNT('Inputs (2)'!BB60)=0,AND(('Inputs (2)'!BG60)=0,('Inputs (2)'!BB60)=0)),"",('Inputs (2)'!BG60)-('Inputs (2)'!BB60)),"")</f>
        <v/>
      </c>
    </row>
    <row r="253" hidden="1" outlineLevel="1">
      <c r="B253" s="29" t="n"/>
      <c r="C253" s="29" t="inlineStr">
        <is>
          <t>Qualidade de crédito e cobertura — realizado</t>
        </is>
      </c>
      <c r="D253" s="29" t="inlineStr">
        <is>
          <t>Asset quality and coverage — actual</t>
        </is>
      </c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  <c r="AA253" s="29" t="n"/>
      <c r="AB253" s="29" t="n"/>
      <c r="AC253" s="29" t="n"/>
      <c r="AD253" s="29" t="n"/>
      <c r="AE253" s="29" t="n"/>
      <c r="AF253" s="29" t="n"/>
      <c r="AG253" s="29" t="n"/>
      <c r="AH253" s="29" t="n"/>
      <c r="AI253" s="29" t="n"/>
      <c r="AJ253" s="29" t="n"/>
      <c r="AK253" s="29" t="n"/>
      <c r="AL253" s="29" t="n"/>
      <c r="AM253" s="29" t="n"/>
      <c r="AN253" s="29" t="n"/>
      <c r="AO253" s="29" t="n"/>
      <c r="AP253" s="29" t="n"/>
      <c r="AQ253" s="29" t="n"/>
      <c r="AR253" s="29" t="n"/>
      <c r="AS253" s="29" t="n"/>
      <c r="AT253" s="29" t="n"/>
      <c r="AU253" s="29" t="n"/>
      <c r="AV253" s="29" t="n"/>
      <c r="AW253" s="29" t="n"/>
      <c r="AX253" s="29" t="n"/>
      <c r="AY253" s="29" t="n"/>
      <c r="AZ253" s="29" t="n"/>
      <c r="BA253" s="29" t="n"/>
      <c r="BB253" s="29" t="n"/>
      <c r="BC253" s="29" t="n"/>
      <c r="BD253" s="29" t="n"/>
      <c r="BE253" s="29" t="n"/>
      <c r="BF253" s="29" t="n"/>
      <c r="BG253" s="29" t="n"/>
      <c r="BH253" s="29" t="n"/>
      <c r="BI253" s="29" t="n"/>
    </row>
    <row r="254" hidden="1" outlineLevel="1">
      <c r="C254" s="30" t="inlineStr">
        <is>
          <t>NPL acima de 90 dias (% da carteira ampliada)</t>
        </is>
      </c>
      <c r="D254" s="12" t="inlineStr">
        <is>
          <t>NPL 90+ ratio</t>
        </is>
      </c>
      <c r="E254" s="32" t="str">
        <f>IFERROR(IF(OR(ABS('Inputs (2)'!E111)=0,('Inputs (2)'!E121)=0),"",ABS('Inputs (2)'!E121)/ABS('Inputs (2)'!E111)),"")</f>
        <v/>
      </c>
      <c r="F254" s="32" t="str">
        <f>IFERROR(IF(OR(ABS('Inputs (2)'!F111)=0,('Inputs (2)'!F121)=0),"",ABS('Inputs (2)'!F121)/ABS('Inputs (2)'!F111)),"")</f>
        <v/>
      </c>
      <c r="G254" s="32" t="str">
        <f>IFERROR(IF(OR(ABS('Inputs (2)'!G111)=0,('Inputs (2)'!G121)=0),"",ABS('Inputs (2)'!G121)/ABS('Inputs (2)'!G111)),"")</f>
        <v/>
      </c>
      <c r="H254" s="32" t="str">
        <f>IFERROR(IF(OR(ABS('Inputs (2)'!H111)=0,('Inputs (2)'!H121)=0),"",ABS('Inputs (2)'!H121)/ABS('Inputs (2)'!H111)),"")</f>
        <v/>
      </c>
      <c r="I254" s="34" t="str">
        <f>IFERROR(IF(OR(ABS('Inputs (2)'!I111)=0,('Inputs (2)'!I121)=0),"",ABS('Inputs (2)'!I121)/ABS('Inputs (2)'!I111)),"")</f>
        <v/>
      </c>
      <c r="J254" s="32">
        <f>IFERROR(IF(OR(ABS('Inputs (2)'!J111)=0,('Inputs (2)'!J121)=0),"",ABS('Inputs (2)'!J121)/ABS('Inputs (2)'!J111)),"")</f>
        <v>0.00151454739280236</v>
      </c>
      <c r="K254" s="32">
        <f>IFERROR(IF(OR(ABS('Inputs (2)'!K111)=0,('Inputs (2)'!K121)=0),"",ABS('Inputs (2)'!K121)/ABS('Inputs (2)'!K111)),"")</f>
        <v>0.00708345833822698</v>
      </c>
      <c r="L254" s="32">
        <f>IFERROR(IF(OR(ABS('Inputs (2)'!L111)=0,('Inputs (2)'!L121)=0),"",ABS('Inputs (2)'!L121)/ABS('Inputs (2)'!L111)),"")</f>
        <v>0.00717228910576784</v>
      </c>
      <c r="M254" s="32">
        <f>IFERROR(IF(OR(ABS('Inputs (2)'!M111)=0,('Inputs (2)'!M121)=0),"",ABS('Inputs (2)'!M121)/ABS('Inputs (2)'!M111)),"")</f>
        <v>0.00692389235587654</v>
      </c>
      <c r="N254" s="34">
        <f>IFERROR(IF(OR(ABS('Inputs (2)'!N111)=0,('Inputs (2)'!N121)=0),"",ABS('Inputs (2)'!N121)/ABS('Inputs (2)'!N111)),"")</f>
        <v>0.00692389235587654</v>
      </c>
      <c r="O254" s="32">
        <f>IFERROR(IF(OR(ABS('Inputs (2)'!O111)=0,('Inputs (2)'!O121)=0),"",ABS('Inputs (2)'!O121)/ABS('Inputs (2)'!O111)),"")</f>
        <v>0.00389108447479997</v>
      </c>
      <c r="P254" s="32">
        <f>IFERROR(IF(OR(ABS('Inputs (2)'!P111)=0,('Inputs (2)'!P121)=0),"",ABS('Inputs (2)'!P121)/ABS('Inputs (2)'!P111)),"")</f>
        <v>0.00225719016215096</v>
      </c>
      <c r="Q254" s="32">
        <f>IFERROR(IF(OR(ABS('Inputs (2)'!Q111)=0,('Inputs (2)'!Q121)=0),"",ABS('Inputs (2)'!Q121)/ABS('Inputs (2)'!Q111)),"")</f>
        <v>0.00210307850458417</v>
      </c>
      <c r="R254" s="32">
        <f>IFERROR(IF(OR(ABS('Inputs (2)'!R111)=0,('Inputs (2)'!R121)=0),"",ABS('Inputs (2)'!R121)/ABS('Inputs (2)'!R111)),"")</f>
        <v>0.00297357731038965</v>
      </c>
      <c r="S254" s="34">
        <f>IFERROR(IF(OR(ABS('Inputs (2)'!S111)=0,('Inputs (2)'!S121)=0),"",ABS('Inputs (2)'!S121)/ABS('Inputs (2)'!S111)),"")</f>
        <v>0.00297357731038965</v>
      </c>
      <c r="T254" s="32">
        <f>IFERROR(IF(OR(ABS('Inputs (2)'!T111)=0,('Inputs (2)'!T121)=0),"",ABS('Inputs (2)'!T121)/ABS('Inputs (2)'!T111)),"")</f>
        <v>0.00351506206917088</v>
      </c>
      <c r="U254" s="32">
        <f>IFERROR(IF(OR(ABS('Inputs (2)'!U111)=0,('Inputs (2)'!U121)=0),"",ABS('Inputs (2)'!U121)/ABS('Inputs (2)'!U111)),"")</f>
        <v>0.00638202726087672</v>
      </c>
      <c r="V254" s="32">
        <f>IFERROR(IF(OR(ABS('Inputs (2)'!V111)=0,('Inputs (2)'!V121)=0),"",ABS('Inputs (2)'!V121)/ABS('Inputs (2)'!V111)),"")</f>
        <v>0.00929781874257264</v>
      </c>
      <c r="W254" s="32">
        <f>IFERROR(IF(OR(ABS('Inputs (2)'!W111)=0,('Inputs (2)'!W121)=0),"",ABS('Inputs (2)'!W121)/ABS('Inputs (2)'!W111)),"")</f>
        <v>0.0139847906945746</v>
      </c>
      <c r="X254" s="34">
        <f>IFERROR(IF(OR(ABS('Inputs (2)'!X111)=0,('Inputs (2)'!X121)=0),"",ABS('Inputs (2)'!X121)/ABS('Inputs (2)'!X111)),"")</f>
        <v>0.0139847906945746</v>
      </c>
      <c r="Y254" s="32">
        <f>IFERROR(IF(OR(ABS('Inputs (2)'!Y111)=0,('Inputs (2)'!Y121)=0),"",ABS('Inputs (2)'!Y121)/ABS('Inputs (2)'!Y111)),"")</f>
        <v>0.0146777624375343</v>
      </c>
      <c r="Z254" s="32">
        <f>IFERROR(IF(OR(ABS('Inputs (2)'!Z111)=0,('Inputs (2)'!Z121)=0),"",ABS('Inputs (2)'!Z121)/ABS('Inputs (2)'!Z111)),"")</f>
        <v>0.0145524277057729</v>
      </c>
      <c r="AA254" s="32">
        <f>IFERROR(IF(OR(ABS('Inputs (2)'!AA111)=0,('Inputs (2)'!AA121)=0),"",ABS('Inputs (2)'!AA121)/ABS('Inputs (2)'!AA111)),"")</f>
        <v>0.00542873514685585</v>
      </c>
      <c r="AB254" s="32">
        <f>IFERROR(IF(OR(ABS('Inputs (2)'!AB111)=0,('Inputs (2)'!AB121)=0),"",ABS('Inputs (2)'!AB121)/ABS('Inputs (2)'!AB111)),"")</f>
        <v>0.00514127549598627</v>
      </c>
      <c r="AC254" s="34">
        <f>IFERROR(IF(OR(ABS('Inputs (2)'!AC111)=0,('Inputs (2)'!AC121)=0),"",ABS('Inputs (2)'!AC121)/ABS('Inputs (2)'!AC111)),"")</f>
        <v>0.00514127549598627</v>
      </c>
      <c r="AD254" s="32">
        <f>IFERROR(IF(OR(ABS('Inputs (2)'!AD111)=0,('Inputs (2)'!AD121)=0),"",ABS('Inputs (2)'!AD121)/ABS('Inputs (2)'!AD111)),"")</f>
        <v>0.0094785338551401</v>
      </c>
      <c r="AE254" s="32">
        <f>IFERROR(IF(OR(ABS('Inputs (2)'!AE111)=0,('Inputs (2)'!AE121)=0),"",ABS('Inputs (2)'!AE121)/ABS('Inputs (2)'!AE111)),"")</f>
        <v>0.0073366161250061</v>
      </c>
      <c r="AF254" s="32">
        <f>IFERROR(IF(OR(ABS('Inputs (2)'!AF111)=0,('Inputs (2)'!AF121)=0),"",ABS('Inputs (2)'!AF121)/ABS('Inputs (2)'!AF111)),"")</f>
        <v>0.00610130818151122</v>
      </c>
      <c r="AG254" s="32">
        <f>IFERROR(IF(OR(ABS('Inputs (2)'!AG111)=0,('Inputs (2)'!AG121)=0),"",ABS('Inputs (2)'!AG121)/ABS('Inputs (2)'!AG111)),"")</f>
        <v>0.00479212441859871</v>
      </c>
      <c r="AH254" s="34">
        <f>IFERROR(IF(OR(ABS('Inputs (2)'!AH111)=0,('Inputs (2)'!AH121)=0),"",ABS('Inputs (2)'!AH121)/ABS('Inputs (2)'!AH111)),"")</f>
        <v>0.00479212441859871</v>
      </c>
      <c r="AI254" s="32">
        <f>IFERROR(IF(OR(ABS('Inputs (2)'!AI111)=0,('Inputs (2)'!AI121)=0),"",ABS('Inputs (2)'!AI121)/ABS('Inputs (2)'!AI111)),"")</f>
        <v>0.00511858183164864</v>
      </c>
      <c r="AJ254" s="32">
        <f>IFERROR(IF(OR(ABS('Inputs (2)'!AJ111)=0,('Inputs (2)'!AJ121)=0),"",ABS('Inputs (2)'!AJ121)/ABS('Inputs (2)'!AJ111)),"")</f>
        <v>0.00588099025675785</v>
      </c>
      <c r="AK254" s="32" t="str">
        <f>IFERROR(IF(OR(ABS('Inputs (2)'!AK111)=0,('Inputs (2)'!AK121)=0),"",ABS('Inputs (2)'!AK121)/ABS('Inputs (2)'!AK111)),"")</f>
        <v/>
      </c>
      <c r="AL254" s="32" t="str">
        <f>IFERROR(IF(OR(ABS('Inputs (2)'!AL111)=0,('Inputs (2)'!AL121)=0),"",ABS('Inputs (2)'!AL121)/ABS('Inputs (2)'!AL111)),"")</f>
        <v/>
      </c>
      <c r="AM254" s="34" t="str">
        <f>IFERROR(IF(OR(ABS('Inputs (2)'!AM111)=0,('Inputs (2)'!AM121)=0),"",ABS('Inputs (2)'!AM121)/ABS('Inputs (2)'!AM111)),"")</f>
        <v/>
      </c>
      <c r="AN254" s="32" t="str">
        <f>IFERROR(IF(OR(ABS('Inputs (2)'!AN111)=0,('Inputs (2)'!AN121)=0),"",ABS('Inputs (2)'!AN121)/ABS('Inputs (2)'!AN111)),"")</f>
        <v/>
      </c>
      <c r="AO254" s="32" t="str">
        <f>IFERROR(IF(OR(ABS('Inputs (2)'!AO111)=0,('Inputs (2)'!AO121)=0),"",ABS('Inputs (2)'!AO121)/ABS('Inputs (2)'!AO111)),"")</f>
        <v/>
      </c>
      <c r="AP254" s="32" t="str">
        <f>IFERROR(IF(OR(ABS('Inputs (2)'!AP111)=0,('Inputs (2)'!AP121)=0),"",ABS('Inputs (2)'!AP121)/ABS('Inputs (2)'!AP111)),"")</f>
        <v/>
      </c>
      <c r="AQ254" s="32" t="str">
        <f>IFERROR(IF(OR(ABS('Inputs (2)'!AQ111)=0,('Inputs (2)'!AQ121)=0),"",ABS('Inputs (2)'!AQ121)/ABS('Inputs (2)'!AQ111)),"")</f>
        <v/>
      </c>
      <c r="AR254" s="34" t="str">
        <f>IFERROR(IF(OR(ABS('Inputs (2)'!AR111)=0,('Inputs (2)'!AR121)=0),"",ABS('Inputs (2)'!AR121)/ABS('Inputs (2)'!AR111)),"")</f>
        <v/>
      </c>
      <c r="AS254" s="32" t="str">
        <f>IFERROR(IF(OR(ABS('Inputs (2)'!AS111)=0,('Inputs (2)'!AS121)=0),"",ABS('Inputs (2)'!AS121)/ABS('Inputs (2)'!AS111)),"")</f>
        <v/>
      </c>
      <c r="AT254" s="32" t="str">
        <f>IFERROR(IF(OR(ABS('Inputs (2)'!AT111)=0,('Inputs (2)'!AT121)=0),"",ABS('Inputs (2)'!AT121)/ABS('Inputs (2)'!AT111)),"")</f>
        <v/>
      </c>
      <c r="AU254" s="32" t="str">
        <f>IFERROR(IF(OR(ABS('Inputs (2)'!AU111)=0,('Inputs (2)'!AU121)=0),"",ABS('Inputs (2)'!AU121)/ABS('Inputs (2)'!AU111)),"")</f>
        <v/>
      </c>
      <c r="AV254" s="32" t="str">
        <f>IFERROR(IF(OR(ABS('Inputs (2)'!AV111)=0,('Inputs (2)'!AV121)=0),"",ABS('Inputs (2)'!AV121)/ABS('Inputs (2)'!AV111)),"")</f>
        <v/>
      </c>
      <c r="AW254" s="34" t="str">
        <f>IFERROR(IF(OR(ABS('Inputs (2)'!AW111)=0,('Inputs (2)'!AW121)=0),"",ABS('Inputs (2)'!AW121)/ABS('Inputs (2)'!AW111)),"")</f>
        <v/>
      </c>
      <c r="AX254" s="32" t="str">
        <f>IFERROR(IF(OR(ABS('Inputs (2)'!AX111)=0,('Inputs (2)'!AX121)=0),"",ABS('Inputs (2)'!AX121)/ABS('Inputs (2)'!AX111)),"")</f>
        <v/>
      </c>
      <c r="AY254" s="32" t="str">
        <f>IFERROR(IF(OR(ABS('Inputs (2)'!AY111)=0,('Inputs (2)'!AY121)=0),"",ABS('Inputs (2)'!AY121)/ABS('Inputs (2)'!AY111)),"")</f>
        <v/>
      </c>
      <c r="AZ254" s="32" t="str">
        <f>IFERROR(IF(OR(ABS('Inputs (2)'!AZ111)=0,('Inputs (2)'!AZ121)=0),"",ABS('Inputs (2)'!AZ121)/ABS('Inputs (2)'!AZ111)),"")</f>
        <v/>
      </c>
      <c r="BA254" s="32" t="str">
        <f>IFERROR(IF(OR(ABS('Inputs (2)'!BA111)=0,('Inputs (2)'!BA121)=0),"",ABS('Inputs (2)'!BA121)/ABS('Inputs (2)'!BA111)),"")</f>
        <v/>
      </c>
      <c r="BB254" s="34" t="str">
        <f>IFERROR(IF(OR(ABS('Inputs (2)'!BB111)=0,('Inputs (2)'!BB121)=0),"",ABS('Inputs (2)'!BB121)/ABS('Inputs (2)'!BB111)),"")</f>
        <v/>
      </c>
      <c r="BC254" s="32" t="str">
        <f>IFERROR(IF(OR(ABS('Inputs (2)'!BC111)=0,('Inputs (2)'!BC121)=0),"",ABS('Inputs (2)'!BC121)/ABS('Inputs (2)'!BC111)),"")</f>
        <v/>
      </c>
      <c r="BD254" s="32" t="str">
        <f>IFERROR(IF(OR(ABS('Inputs (2)'!BD111)=0,('Inputs (2)'!BD121)=0),"",ABS('Inputs (2)'!BD121)/ABS('Inputs (2)'!BD111)),"")</f>
        <v/>
      </c>
      <c r="BE254" s="32" t="str">
        <f>IFERROR(IF(OR(ABS('Inputs (2)'!BE111)=0,('Inputs (2)'!BE121)=0),"",ABS('Inputs (2)'!BE121)/ABS('Inputs (2)'!BE111)),"")</f>
        <v/>
      </c>
      <c r="BF254" s="32" t="str">
        <f>IFERROR(IF(OR(ABS('Inputs (2)'!BF111)=0,('Inputs (2)'!BF121)=0),"",ABS('Inputs (2)'!BF121)/ABS('Inputs (2)'!BF111)),"")</f>
        <v/>
      </c>
      <c r="BG254" s="34" t="str">
        <f>IFERROR(IF(OR(ABS('Inputs (2)'!BG111)=0,('Inputs (2)'!BG121)=0),"",ABS('Inputs (2)'!BG121)/ABS('Inputs (2)'!BG111)),"")</f>
        <v/>
      </c>
    </row>
    <row r="255" hidden="1" outlineLevel="1">
      <c r="C255" s="30" t="inlineStr">
        <is>
          <t>NPL de 15 a 90 dias (% da carteira ampliada)</t>
        </is>
      </c>
      <c r="D255" s="12" t="inlineStr">
        <is>
          <t>NPL 15-90 ratio</t>
        </is>
      </c>
      <c r="E255" s="32" t="str">
        <f>IFERROR(IF(OR(ABS('Inputs (2)'!E111)=0,('Inputs (2)'!E122)=0),"",ABS('Inputs (2)'!E122)/ABS('Inputs (2)'!E111)),"")</f>
        <v/>
      </c>
      <c r="F255" s="32" t="str">
        <f>IFERROR(IF(OR(ABS('Inputs (2)'!F111)=0,('Inputs (2)'!F122)=0),"",ABS('Inputs (2)'!F122)/ABS('Inputs (2)'!F111)),"")</f>
        <v/>
      </c>
      <c r="G255" s="32" t="str">
        <f>IFERROR(IF(OR(ABS('Inputs (2)'!G111)=0,('Inputs (2)'!G122)=0),"",ABS('Inputs (2)'!G122)/ABS('Inputs (2)'!G111)),"")</f>
        <v/>
      </c>
      <c r="H255" s="32" t="str">
        <f>IFERROR(IF(OR(ABS('Inputs (2)'!H111)=0,('Inputs (2)'!H122)=0),"",ABS('Inputs (2)'!H122)/ABS('Inputs (2)'!H111)),"")</f>
        <v/>
      </c>
      <c r="I255" s="34" t="str">
        <f>IFERROR(IF(OR(ABS('Inputs (2)'!I111)=0,('Inputs (2)'!I122)=0),"",ABS('Inputs (2)'!I122)/ABS('Inputs (2)'!I111)),"")</f>
        <v/>
      </c>
      <c r="J255" s="32" t="str">
        <f>IFERROR(IF(OR(ABS('Inputs (2)'!J111)=0,('Inputs (2)'!J122)=0),"",ABS('Inputs (2)'!J122)/ABS('Inputs (2)'!J111)),"")</f>
        <v/>
      </c>
      <c r="K255" s="32" t="str">
        <f>IFERROR(IF(OR(ABS('Inputs (2)'!K111)=0,('Inputs (2)'!K122)=0),"",ABS('Inputs (2)'!K122)/ABS('Inputs (2)'!K111)),"")</f>
        <v/>
      </c>
      <c r="L255" s="32" t="str">
        <f>IFERROR(IF(OR(ABS('Inputs (2)'!L111)=0,('Inputs (2)'!L122)=0),"",ABS('Inputs (2)'!L122)/ABS('Inputs (2)'!L111)),"")</f>
        <v/>
      </c>
      <c r="M255" s="32" t="str">
        <f>IFERROR(IF(OR(ABS('Inputs (2)'!M111)=0,('Inputs (2)'!M122)=0),"",ABS('Inputs (2)'!M122)/ABS('Inputs (2)'!M111)),"")</f>
        <v/>
      </c>
      <c r="N255" s="34" t="str">
        <f>IFERROR(IF(OR(ABS('Inputs (2)'!N111)=0,('Inputs (2)'!N122)=0),"",ABS('Inputs (2)'!N122)/ABS('Inputs (2)'!N111)),"")</f>
        <v/>
      </c>
      <c r="O255" s="32" t="str">
        <f>IFERROR(IF(OR(ABS('Inputs (2)'!O111)=0,('Inputs (2)'!O122)=0),"",ABS('Inputs (2)'!O122)/ABS('Inputs (2)'!O111)),"")</f>
        <v/>
      </c>
      <c r="P255" s="32" t="str">
        <f>IFERROR(IF(OR(ABS('Inputs (2)'!P111)=0,('Inputs (2)'!P122)=0),"",ABS('Inputs (2)'!P122)/ABS('Inputs (2)'!P111)),"")</f>
        <v/>
      </c>
      <c r="Q255" s="32" t="str">
        <f>IFERROR(IF(OR(ABS('Inputs (2)'!Q111)=0,('Inputs (2)'!Q122)=0),"",ABS('Inputs (2)'!Q122)/ABS('Inputs (2)'!Q111)),"")</f>
        <v/>
      </c>
      <c r="R255" s="32" t="str">
        <f>IFERROR(IF(OR(ABS('Inputs (2)'!R111)=0,('Inputs (2)'!R122)=0),"",ABS('Inputs (2)'!R122)/ABS('Inputs (2)'!R111)),"")</f>
        <v/>
      </c>
      <c r="S255" s="34" t="str">
        <f>IFERROR(IF(OR(ABS('Inputs (2)'!S111)=0,('Inputs (2)'!S122)=0),"",ABS('Inputs (2)'!S122)/ABS('Inputs (2)'!S111)),"")</f>
        <v/>
      </c>
      <c r="T255" s="32" t="str">
        <f>IFERROR(IF(OR(ABS('Inputs (2)'!T111)=0,('Inputs (2)'!T122)=0),"",ABS('Inputs (2)'!T122)/ABS('Inputs (2)'!T111)),"")</f>
        <v/>
      </c>
      <c r="U255" s="32" t="str">
        <f>IFERROR(IF(OR(ABS('Inputs (2)'!U111)=0,('Inputs (2)'!U122)=0),"",ABS('Inputs (2)'!U122)/ABS('Inputs (2)'!U111)),"")</f>
        <v/>
      </c>
      <c r="V255" s="32" t="str">
        <f>IFERROR(IF(OR(ABS('Inputs (2)'!V111)=0,('Inputs (2)'!V122)=0),"",ABS('Inputs (2)'!V122)/ABS('Inputs (2)'!V111)),"")</f>
        <v/>
      </c>
      <c r="W255" s="32" t="str">
        <f>IFERROR(IF(OR(ABS('Inputs (2)'!W111)=0,('Inputs (2)'!W122)=0),"",ABS('Inputs (2)'!W122)/ABS('Inputs (2)'!W111)),"")</f>
        <v/>
      </c>
      <c r="X255" s="34" t="str">
        <f>IFERROR(IF(OR(ABS('Inputs (2)'!X111)=0,('Inputs (2)'!X122)=0),"",ABS('Inputs (2)'!X122)/ABS('Inputs (2)'!X111)),"")</f>
        <v/>
      </c>
      <c r="Y255" s="32" t="str">
        <f>IFERROR(IF(OR(ABS('Inputs (2)'!Y111)=0,('Inputs (2)'!Y122)=0),"",ABS('Inputs (2)'!Y122)/ABS('Inputs (2)'!Y111)),"")</f>
        <v/>
      </c>
      <c r="Z255" s="32" t="str">
        <f>IFERROR(IF(OR(ABS('Inputs (2)'!Z111)=0,('Inputs (2)'!Z122)=0),"",ABS('Inputs (2)'!Z122)/ABS('Inputs (2)'!Z111)),"")</f>
        <v/>
      </c>
      <c r="AA255" s="32" t="str">
        <f>IFERROR(IF(OR(ABS('Inputs (2)'!AA111)=0,('Inputs (2)'!AA122)=0),"",ABS('Inputs (2)'!AA122)/ABS('Inputs (2)'!AA111)),"")</f>
        <v/>
      </c>
      <c r="AB255" s="32" t="str">
        <f>IFERROR(IF(OR(ABS('Inputs (2)'!AB111)=0,('Inputs (2)'!AB122)=0),"",ABS('Inputs (2)'!AB122)/ABS('Inputs (2)'!AB111)),"")</f>
        <v/>
      </c>
      <c r="AC255" s="34" t="str">
        <f>IFERROR(IF(OR(ABS('Inputs (2)'!AC111)=0,('Inputs (2)'!AC122)=0),"",ABS('Inputs (2)'!AC122)/ABS('Inputs (2)'!AC111)),"")</f>
        <v/>
      </c>
      <c r="AD255" s="32" t="str">
        <f>IFERROR(IF(OR(ABS('Inputs (2)'!AD111)=0,('Inputs (2)'!AD122)=0),"",ABS('Inputs (2)'!AD122)/ABS('Inputs (2)'!AD111)),"")</f>
        <v/>
      </c>
      <c r="AE255" s="32" t="str">
        <f>IFERROR(IF(OR(ABS('Inputs (2)'!AE111)=0,('Inputs (2)'!AE122)=0),"",ABS('Inputs (2)'!AE122)/ABS('Inputs (2)'!AE111)),"")</f>
        <v/>
      </c>
      <c r="AF255" s="32" t="str">
        <f>IFERROR(IF(OR(ABS('Inputs (2)'!AF111)=0,('Inputs (2)'!AF122)=0),"",ABS('Inputs (2)'!AF122)/ABS('Inputs (2)'!AF111)),"")</f>
        <v/>
      </c>
      <c r="AG255" s="32" t="str">
        <f>IFERROR(IF(OR(ABS('Inputs (2)'!AG111)=0,('Inputs (2)'!AG122)=0),"",ABS('Inputs (2)'!AG122)/ABS('Inputs (2)'!AG111)),"")</f>
        <v/>
      </c>
      <c r="AH255" s="34" t="str">
        <f>IFERROR(IF(OR(ABS('Inputs (2)'!AH111)=0,('Inputs (2)'!AH122)=0),"",ABS('Inputs (2)'!AH122)/ABS('Inputs (2)'!AH111)),"")</f>
        <v/>
      </c>
      <c r="AI255" s="32" t="str">
        <f>IFERROR(IF(OR(ABS('Inputs (2)'!AI111)=0,('Inputs (2)'!AI122)=0),"",ABS('Inputs (2)'!AI122)/ABS('Inputs (2)'!AI111)),"")</f>
        <v/>
      </c>
      <c r="AJ255" s="32" t="str">
        <f>IFERROR(IF(OR(ABS('Inputs (2)'!AJ111)=0,('Inputs (2)'!AJ122)=0),"",ABS('Inputs (2)'!AJ122)/ABS('Inputs (2)'!AJ111)),"")</f>
        <v/>
      </c>
      <c r="AK255" s="32" t="str">
        <f>IFERROR(IF(OR(ABS('Inputs (2)'!AK111)=0,('Inputs (2)'!AK122)=0),"",ABS('Inputs (2)'!AK122)/ABS('Inputs (2)'!AK111)),"")</f>
        <v/>
      </c>
      <c r="AL255" s="32" t="str">
        <f>IFERROR(IF(OR(ABS('Inputs (2)'!AL111)=0,('Inputs (2)'!AL122)=0),"",ABS('Inputs (2)'!AL122)/ABS('Inputs (2)'!AL111)),"")</f>
        <v/>
      </c>
      <c r="AM255" s="34" t="str">
        <f>IFERROR(IF(OR(ABS('Inputs (2)'!AM111)=0,('Inputs (2)'!AM122)=0),"",ABS('Inputs (2)'!AM122)/ABS('Inputs (2)'!AM111)),"")</f>
        <v/>
      </c>
      <c r="AN255" s="32" t="str">
        <f>IFERROR(IF(OR(ABS('Inputs (2)'!AN111)=0,('Inputs (2)'!AN122)=0),"",ABS('Inputs (2)'!AN122)/ABS('Inputs (2)'!AN111)),"")</f>
        <v/>
      </c>
      <c r="AO255" s="32" t="str">
        <f>IFERROR(IF(OR(ABS('Inputs (2)'!AO111)=0,('Inputs (2)'!AO122)=0),"",ABS('Inputs (2)'!AO122)/ABS('Inputs (2)'!AO111)),"")</f>
        <v/>
      </c>
      <c r="AP255" s="32" t="str">
        <f>IFERROR(IF(OR(ABS('Inputs (2)'!AP111)=0,('Inputs (2)'!AP122)=0),"",ABS('Inputs (2)'!AP122)/ABS('Inputs (2)'!AP111)),"")</f>
        <v/>
      </c>
      <c r="AQ255" s="32" t="str">
        <f>IFERROR(IF(OR(ABS('Inputs (2)'!AQ111)=0,('Inputs (2)'!AQ122)=0),"",ABS('Inputs (2)'!AQ122)/ABS('Inputs (2)'!AQ111)),"")</f>
        <v/>
      </c>
      <c r="AR255" s="34" t="str">
        <f>IFERROR(IF(OR(ABS('Inputs (2)'!AR111)=0,('Inputs (2)'!AR122)=0),"",ABS('Inputs (2)'!AR122)/ABS('Inputs (2)'!AR111)),"")</f>
        <v/>
      </c>
      <c r="AS255" s="32" t="str">
        <f>IFERROR(IF(OR(ABS('Inputs (2)'!AS111)=0,('Inputs (2)'!AS122)=0),"",ABS('Inputs (2)'!AS122)/ABS('Inputs (2)'!AS111)),"")</f>
        <v/>
      </c>
      <c r="AT255" s="32" t="str">
        <f>IFERROR(IF(OR(ABS('Inputs (2)'!AT111)=0,('Inputs (2)'!AT122)=0),"",ABS('Inputs (2)'!AT122)/ABS('Inputs (2)'!AT111)),"")</f>
        <v/>
      </c>
      <c r="AU255" s="32" t="str">
        <f>IFERROR(IF(OR(ABS('Inputs (2)'!AU111)=0,('Inputs (2)'!AU122)=0),"",ABS('Inputs (2)'!AU122)/ABS('Inputs (2)'!AU111)),"")</f>
        <v/>
      </c>
      <c r="AV255" s="32" t="str">
        <f>IFERROR(IF(OR(ABS('Inputs (2)'!AV111)=0,('Inputs (2)'!AV122)=0),"",ABS('Inputs (2)'!AV122)/ABS('Inputs (2)'!AV111)),"")</f>
        <v/>
      </c>
      <c r="AW255" s="34" t="str">
        <f>IFERROR(IF(OR(ABS('Inputs (2)'!AW111)=0,('Inputs (2)'!AW122)=0),"",ABS('Inputs (2)'!AW122)/ABS('Inputs (2)'!AW111)),"")</f>
        <v/>
      </c>
      <c r="AX255" s="32" t="str">
        <f>IFERROR(IF(OR(ABS('Inputs (2)'!AX111)=0,('Inputs (2)'!AX122)=0),"",ABS('Inputs (2)'!AX122)/ABS('Inputs (2)'!AX111)),"")</f>
        <v/>
      </c>
      <c r="AY255" s="32" t="str">
        <f>IFERROR(IF(OR(ABS('Inputs (2)'!AY111)=0,('Inputs (2)'!AY122)=0),"",ABS('Inputs (2)'!AY122)/ABS('Inputs (2)'!AY111)),"")</f>
        <v/>
      </c>
      <c r="AZ255" s="32" t="str">
        <f>IFERROR(IF(OR(ABS('Inputs (2)'!AZ111)=0,('Inputs (2)'!AZ122)=0),"",ABS('Inputs (2)'!AZ122)/ABS('Inputs (2)'!AZ111)),"")</f>
        <v/>
      </c>
      <c r="BA255" s="32" t="str">
        <f>IFERROR(IF(OR(ABS('Inputs (2)'!BA111)=0,('Inputs (2)'!BA122)=0),"",ABS('Inputs (2)'!BA122)/ABS('Inputs (2)'!BA111)),"")</f>
        <v/>
      </c>
      <c r="BB255" s="34" t="str">
        <f>IFERROR(IF(OR(ABS('Inputs (2)'!BB111)=0,('Inputs (2)'!BB122)=0),"",ABS('Inputs (2)'!BB122)/ABS('Inputs (2)'!BB111)),"")</f>
        <v/>
      </c>
      <c r="BC255" s="32" t="str">
        <f>IFERROR(IF(OR(ABS('Inputs (2)'!BC111)=0,('Inputs (2)'!BC122)=0),"",ABS('Inputs (2)'!BC122)/ABS('Inputs (2)'!BC111)),"")</f>
        <v/>
      </c>
      <c r="BD255" s="32" t="str">
        <f>IFERROR(IF(OR(ABS('Inputs (2)'!BD111)=0,('Inputs (2)'!BD122)=0),"",ABS('Inputs (2)'!BD122)/ABS('Inputs (2)'!BD111)),"")</f>
        <v/>
      </c>
      <c r="BE255" s="32" t="str">
        <f>IFERROR(IF(OR(ABS('Inputs (2)'!BE111)=0,('Inputs (2)'!BE122)=0),"",ABS('Inputs (2)'!BE122)/ABS('Inputs (2)'!BE111)),"")</f>
        <v/>
      </c>
      <c r="BF255" s="32" t="str">
        <f>IFERROR(IF(OR(ABS('Inputs (2)'!BF111)=0,('Inputs (2)'!BF122)=0),"",ABS('Inputs (2)'!BF122)/ABS('Inputs (2)'!BF111)),"")</f>
        <v/>
      </c>
      <c r="BG255" s="34" t="str">
        <f>IFERROR(IF(OR(ABS('Inputs (2)'!BG111)=0,('Inputs (2)'!BG122)=0),"",ABS('Inputs (2)'!BG122)/ABS('Inputs (2)'!BG111)),"")</f>
        <v/>
      </c>
    </row>
    <row r="256" hidden="1" outlineLevel="1">
      <c r="C256" s="30" t="inlineStr">
        <is>
          <t>Cobertura do NPL 90+ pela provisão (%)</t>
        </is>
      </c>
      <c r="D256" s="12" t="inlineStr">
        <is>
          <t>NPL 90+ coverage</t>
        </is>
      </c>
      <c r="E256" s="32" t="str">
        <f>IFERROR(IF(OR(ABS('Inputs (2)'!E121)=0,('Inputs (2)'!E120)=0),"",ABS('Inputs (2)'!E120)/ABS('Inputs (2)'!E121)),"")</f>
        <v/>
      </c>
      <c r="F256" s="32" t="str">
        <f>IFERROR(IF(OR(ABS('Inputs (2)'!F121)=0,('Inputs (2)'!F120)=0),"",ABS('Inputs (2)'!F120)/ABS('Inputs (2)'!F121)),"")</f>
        <v/>
      </c>
      <c r="G256" s="32" t="str">
        <f>IFERROR(IF(OR(ABS('Inputs (2)'!G121)=0,('Inputs (2)'!G120)=0),"",ABS('Inputs (2)'!G120)/ABS('Inputs (2)'!G121)),"")</f>
        <v/>
      </c>
      <c r="H256" s="32" t="str">
        <f>IFERROR(IF(OR(ABS('Inputs (2)'!H121)=0,('Inputs (2)'!H120)=0),"",ABS('Inputs (2)'!H120)/ABS('Inputs (2)'!H121)),"")</f>
        <v/>
      </c>
      <c r="I256" s="34" t="str">
        <f>IFERROR(IF(OR(ABS('Inputs (2)'!I121)=0,('Inputs (2)'!I120)=0),"",ABS('Inputs (2)'!I120)/ABS('Inputs (2)'!I121)),"")</f>
        <v/>
      </c>
      <c r="J256" s="32">
        <f>IFERROR(IF(OR(ABS('Inputs (2)'!J121)=0,('Inputs (2)'!J120)=0),"",ABS('Inputs (2)'!J120)/ABS('Inputs (2)'!J121)),"")</f>
        <v>11.558677509323</v>
      </c>
      <c r="K256" s="32">
        <f>IFERROR(IF(OR(ABS('Inputs (2)'!K121)=0,('Inputs (2)'!K120)=0),"",ABS('Inputs (2)'!K120)/ABS('Inputs (2)'!K121)),"")</f>
        <v>2.63646025346387</v>
      </c>
      <c r="L256" s="32">
        <f>IFERROR(IF(OR(ABS('Inputs (2)'!L121)=0,('Inputs (2)'!L120)=0),"",ABS('Inputs (2)'!L120)/ABS('Inputs (2)'!L121)),"")</f>
        <v>2.58727119269072</v>
      </c>
      <c r="M256" s="32">
        <f>IFERROR(IF(OR(ABS('Inputs (2)'!M121)=0,('Inputs (2)'!M120)=0),"",ABS('Inputs (2)'!M120)/ABS('Inputs (2)'!M121)),"")</f>
        <v>2.7714215920825</v>
      </c>
      <c r="N256" s="34">
        <f>IFERROR(IF(OR(ABS('Inputs (2)'!N121)=0,('Inputs (2)'!N120)=0),"",ABS('Inputs (2)'!N120)/ABS('Inputs (2)'!N121)),"")</f>
        <v>2.7714215920825</v>
      </c>
      <c r="O256" s="32">
        <f>IFERROR(IF(OR(ABS('Inputs (2)'!O121)=0,('Inputs (2)'!O120)=0),"",ABS('Inputs (2)'!O120)/ABS('Inputs (2)'!O121)),"")</f>
        <v>4.44269393558828</v>
      </c>
      <c r="P256" s="32">
        <f>IFERROR(IF(OR(ABS('Inputs (2)'!P121)=0,('Inputs (2)'!P120)=0),"",ABS('Inputs (2)'!P120)/ABS('Inputs (2)'!P121)),"")</f>
        <v>6.18869017723587</v>
      </c>
      <c r="Q256" s="32">
        <f>IFERROR(IF(OR(ABS('Inputs (2)'!Q121)=0,('Inputs (2)'!Q120)=0),"",ABS('Inputs (2)'!Q120)/ABS('Inputs (2)'!Q121)),"")</f>
        <v>6.72707834195119</v>
      </c>
      <c r="R256" s="32">
        <f>IFERROR(IF(OR(ABS('Inputs (2)'!R121)=0,('Inputs (2)'!R120)=0),"",ABS('Inputs (2)'!R120)/ABS('Inputs (2)'!R121)),"")</f>
        <v>5.42690575288203</v>
      </c>
      <c r="S256" s="34">
        <f>IFERROR(IF(OR(ABS('Inputs (2)'!S121)=0,('Inputs (2)'!S120)=0),"",ABS('Inputs (2)'!S120)/ABS('Inputs (2)'!S121)),"")</f>
        <v>5.42690575288203</v>
      </c>
      <c r="T256" s="32">
        <f>IFERROR(IF(OR(ABS('Inputs (2)'!T121)=0,('Inputs (2)'!T120)=0),"",ABS('Inputs (2)'!T120)/ABS('Inputs (2)'!T121)),"")</f>
        <v>4.96277119360342</v>
      </c>
      <c r="U256" s="32">
        <f>IFERROR(IF(OR(ABS('Inputs (2)'!U121)=0,('Inputs (2)'!U120)=0),"",ABS('Inputs (2)'!U120)/ABS('Inputs (2)'!U121)),"")</f>
        <v>2.87652099245531</v>
      </c>
      <c r="V256" s="32">
        <f>IFERROR(IF(OR(ABS('Inputs (2)'!V121)=0,('Inputs (2)'!V120)=0),"",ABS('Inputs (2)'!V120)/ABS('Inputs (2)'!V121)),"")</f>
        <v>2.03434114723867</v>
      </c>
      <c r="W256" s="32">
        <f>IFERROR(IF(OR(ABS('Inputs (2)'!W121)=0,('Inputs (2)'!W120)=0),"",ABS('Inputs (2)'!W120)/ABS('Inputs (2)'!W121)),"")</f>
        <v>1.33690175932715</v>
      </c>
      <c r="X256" s="34">
        <f>IFERROR(IF(OR(ABS('Inputs (2)'!X121)=0,('Inputs (2)'!X120)=0),"",ABS('Inputs (2)'!X120)/ABS('Inputs (2)'!X121)),"")</f>
        <v>1.33690175932715</v>
      </c>
      <c r="Y256" s="32">
        <f>IFERROR(IF(OR(ABS('Inputs (2)'!Y121)=0,('Inputs (2)'!Y120)=0),"",ABS('Inputs (2)'!Y120)/ABS('Inputs (2)'!Y121)),"")</f>
        <v>1.26627319288239</v>
      </c>
      <c r="Z256" s="32">
        <f>IFERROR(IF(OR(ABS('Inputs (2)'!Z121)=0,('Inputs (2)'!Z120)=0),"",ABS('Inputs (2)'!Z120)/ABS('Inputs (2)'!Z121)),"")</f>
        <v>1.15738486731987</v>
      </c>
      <c r="AA256" s="32">
        <f>IFERROR(IF(OR(ABS('Inputs (2)'!AA121)=0,('Inputs (2)'!AA120)=0),"",ABS('Inputs (2)'!AA120)/ABS('Inputs (2)'!AA121)),"")</f>
        <v>1.95488521824452</v>
      </c>
      <c r="AB256" s="32">
        <f>IFERROR(IF(OR(ABS('Inputs (2)'!AB121)=0,('Inputs (2)'!AB120)=0),"",ABS('Inputs (2)'!AB120)/ABS('Inputs (2)'!AB121)),"")</f>
        <v>1.97959817895614</v>
      </c>
      <c r="AC256" s="34">
        <f>IFERROR(IF(OR(ABS('Inputs (2)'!AC121)=0,('Inputs (2)'!AC120)=0),"",ABS('Inputs (2)'!AC120)/ABS('Inputs (2)'!AC121)),"")</f>
        <v>1.97959817895614</v>
      </c>
      <c r="AD256" s="32">
        <f>IFERROR(IF(OR(ABS('Inputs (2)'!AD121)=0,('Inputs (2)'!AD120)=0),"",ABS('Inputs (2)'!AD120)/ABS('Inputs (2)'!AD121)),"")</f>
        <v>2.26650948251648</v>
      </c>
      <c r="AE256" s="32">
        <f>IFERROR(IF(OR(ABS('Inputs (2)'!AE121)=0,('Inputs (2)'!AE120)=0),"",ABS('Inputs (2)'!AE120)/ABS('Inputs (2)'!AE121)),"")</f>
        <v>3.06602866196428</v>
      </c>
      <c r="AF256" s="32">
        <f>IFERROR(IF(OR(ABS('Inputs (2)'!AF121)=0,('Inputs (2)'!AF120)=0),"",ABS('Inputs (2)'!AF120)/ABS('Inputs (2)'!AF121)),"")</f>
        <v>3.88983749734262</v>
      </c>
      <c r="AG256" s="32">
        <f>IFERROR(IF(OR(ABS('Inputs (2)'!AG121)=0,('Inputs (2)'!AG120)=0),"",ABS('Inputs (2)'!AG120)/ABS('Inputs (2)'!AG121)),"")</f>
        <v>5.00724332363927</v>
      </c>
      <c r="AH256" s="34">
        <f>IFERROR(IF(OR(ABS('Inputs (2)'!AH121)=0,('Inputs (2)'!AH120)=0),"",ABS('Inputs (2)'!AH120)/ABS('Inputs (2)'!AH121)),"")</f>
        <v>5.00724332363927</v>
      </c>
      <c r="AI256" s="32">
        <f>IFERROR(IF(OR(ABS('Inputs (2)'!AI121)=0,('Inputs (2)'!AI120)=0),"",ABS('Inputs (2)'!AI120)/ABS('Inputs (2)'!AI121)),"")</f>
        <v>4.46837964179413</v>
      </c>
      <c r="AJ256" s="32">
        <f>IFERROR(IF(OR(ABS('Inputs (2)'!AJ121)=0,('Inputs (2)'!AJ120)=0),"",ABS('Inputs (2)'!AJ120)/ABS('Inputs (2)'!AJ121)),"")</f>
        <v>3.76651297848133</v>
      </c>
      <c r="AK256" s="32" t="str">
        <f>IFERROR(IF(OR(ABS('Inputs (2)'!AK121)=0,('Inputs (2)'!AK120)=0),"",ABS('Inputs (2)'!AK120)/ABS('Inputs (2)'!AK121)),"")</f>
        <v/>
      </c>
      <c r="AL256" s="32" t="str">
        <f>IFERROR(IF(OR(ABS('Inputs (2)'!AL121)=0,('Inputs (2)'!AL120)=0),"",ABS('Inputs (2)'!AL120)/ABS('Inputs (2)'!AL121)),"")</f>
        <v/>
      </c>
      <c r="AM256" s="34" t="str">
        <f>IFERROR(IF(OR(ABS('Inputs (2)'!AM121)=0,('Inputs (2)'!AM120)=0),"",ABS('Inputs (2)'!AM120)/ABS('Inputs (2)'!AM121)),"")</f>
        <v/>
      </c>
      <c r="AN256" s="32" t="str">
        <f>IFERROR(IF(OR(ABS('Inputs (2)'!AN121)=0,('Inputs (2)'!AN120)=0),"",ABS('Inputs (2)'!AN120)/ABS('Inputs (2)'!AN121)),"")</f>
        <v/>
      </c>
      <c r="AO256" s="32" t="str">
        <f>IFERROR(IF(OR(ABS('Inputs (2)'!AO121)=0,('Inputs (2)'!AO120)=0),"",ABS('Inputs (2)'!AO120)/ABS('Inputs (2)'!AO121)),"")</f>
        <v/>
      </c>
      <c r="AP256" s="32" t="str">
        <f>IFERROR(IF(OR(ABS('Inputs (2)'!AP121)=0,('Inputs (2)'!AP120)=0),"",ABS('Inputs (2)'!AP120)/ABS('Inputs (2)'!AP121)),"")</f>
        <v/>
      </c>
      <c r="AQ256" s="32" t="str">
        <f>IFERROR(IF(OR(ABS('Inputs (2)'!AQ121)=0,('Inputs (2)'!AQ120)=0),"",ABS('Inputs (2)'!AQ120)/ABS('Inputs (2)'!AQ121)),"")</f>
        <v/>
      </c>
      <c r="AR256" s="34" t="str">
        <f>IFERROR(IF(OR(ABS('Inputs (2)'!AR121)=0,('Inputs (2)'!AR120)=0),"",ABS('Inputs (2)'!AR120)/ABS('Inputs (2)'!AR121)),"")</f>
        <v/>
      </c>
      <c r="AS256" s="32" t="str">
        <f>IFERROR(IF(OR(ABS('Inputs (2)'!AS121)=0,('Inputs (2)'!AS120)=0),"",ABS('Inputs (2)'!AS120)/ABS('Inputs (2)'!AS121)),"")</f>
        <v/>
      </c>
      <c r="AT256" s="32" t="str">
        <f>IFERROR(IF(OR(ABS('Inputs (2)'!AT121)=0,('Inputs (2)'!AT120)=0),"",ABS('Inputs (2)'!AT120)/ABS('Inputs (2)'!AT121)),"")</f>
        <v/>
      </c>
      <c r="AU256" s="32" t="str">
        <f>IFERROR(IF(OR(ABS('Inputs (2)'!AU121)=0,('Inputs (2)'!AU120)=0),"",ABS('Inputs (2)'!AU120)/ABS('Inputs (2)'!AU121)),"")</f>
        <v/>
      </c>
      <c r="AV256" s="32" t="str">
        <f>IFERROR(IF(OR(ABS('Inputs (2)'!AV121)=0,('Inputs (2)'!AV120)=0),"",ABS('Inputs (2)'!AV120)/ABS('Inputs (2)'!AV121)),"")</f>
        <v/>
      </c>
      <c r="AW256" s="34" t="str">
        <f>IFERROR(IF(OR(ABS('Inputs (2)'!AW121)=0,('Inputs (2)'!AW120)=0),"",ABS('Inputs (2)'!AW120)/ABS('Inputs (2)'!AW121)),"")</f>
        <v/>
      </c>
      <c r="AX256" s="32" t="str">
        <f>IFERROR(IF(OR(ABS('Inputs (2)'!AX121)=0,('Inputs (2)'!AX120)=0),"",ABS('Inputs (2)'!AX120)/ABS('Inputs (2)'!AX121)),"")</f>
        <v/>
      </c>
      <c r="AY256" s="32" t="str">
        <f>IFERROR(IF(OR(ABS('Inputs (2)'!AY121)=0,('Inputs (2)'!AY120)=0),"",ABS('Inputs (2)'!AY120)/ABS('Inputs (2)'!AY121)),"")</f>
        <v/>
      </c>
      <c r="AZ256" s="32" t="str">
        <f>IFERROR(IF(OR(ABS('Inputs (2)'!AZ121)=0,('Inputs (2)'!AZ120)=0),"",ABS('Inputs (2)'!AZ120)/ABS('Inputs (2)'!AZ121)),"")</f>
        <v/>
      </c>
      <c r="BA256" s="32" t="str">
        <f>IFERROR(IF(OR(ABS('Inputs (2)'!BA121)=0,('Inputs (2)'!BA120)=0),"",ABS('Inputs (2)'!BA120)/ABS('Inputs (2)'!BA121)),"")</f>
        <v/>
      </c>
      <c r="BB256" s="34" t="str">
        <f>IFERROR(IF(OR(ABS('Inputs (2)'!BB121)=0,('Inputs (2)'!BB120)=0),"",ABS('Inputs (2)'!BB120)/ABS('Inputs (2)'!BB121)),"")</f>
        <v/>
      </c>
      <c r="BC256" s="32" t="str">
        <f>IFERROR(IF(OR(ABS('Inputs (2)'!BC121)=0,('Inputs (2)'!BC120)=0),"",ABS('Inputs (2)'!BC120)/ABS('Inputs (2)'!BC121)),"")</f>
        <v/>
      </c>
      <c r="BD256" s="32" t="str">
        <f>IFERROR(IF(OR(ABS('Inputs (2)'!BD121)=0,('Inputs (2)'!BD120)=0),"",ABS('Inputs (2)'!BD120)/ABS('Inputs (2)'!BD121)),"")</f>
        <v/>
      </c>
      <c r="BE256" s="32" t="str">
        <f>IFERROR(IF(OR(ABS('Inputs (2)'!BE121)=0,('Inputs (2)'!BE120)=0),"",ABS('Inputs (2)'!BE120)/ABS('Inputs (2)'!BE121)),"")</f>
        <v/>
      </c>
      <c r="BF256" s="32" t="str">
        <f>IFERROR(IF(OR(ABS('Inputs (2)'!BF121)=0,('Inputs (2)'!BF120)=0),"",ABS('Inputs (2)'!BF120)/ABS('Inputs (2)'!BF121)),"")</f>
        <v/>
      </c>
      <c r="BG256" s="34" t="str">
        <f>IFERROR(IF(OR(ABS('Inputs (2)'!BG121)=0,('Inputs (2)'!BG120)=0),"",ABS('Inputs (2)'!BG120)/ABS('Inputs (2)'!BG121)),"")</f>
        <v/>
      </c>
    </row>
    <row r="257" hidden="1" outlineLevel="1">
      <c r="C257" s="30" t="inlineStr">
        <is>
          <t>Provisão sobre carteira ampliada (%)</t>
        </is>
      </c>
      <c r="D257" s="12" t="inlineStr">
        <is>
          <t>Allowance over loans</t>
        </is>
      </c>
      <c r="E257" s="32" t="str">
        <f>IFERROR(IF(OR(ABS('Inputs (2)'!E111)=0,('Inputs (2)'!E120)=0),"",ABS('Inputs (2)'!E120)/ABS('Inputs (2)'!E111)),"")</f>
        <v/>
      </c>
      <c r="F257" s="32" t="str">
        <f>IFERROR(IF(OR(ABS('Inputs (2)'!F111)=0,('Inputs (2)'!F120)=0),"",ABS('Inputs (2)'!F120)/ABS('Inputs (2)'!F111)),"")</f>
        <v/>
      </c>
      <c r="G257" s="32" t="str">
        <f>IFERROR(IF(OR(ABS('Inputs (2)'!G111)=0,('Inputs (2)'!G120)=0),"",ABS('Inputs (2)'!G120)/ABS('Inputs (2)'!G111)),"")</f>
        <v/>
      </c>
      <c r="H257" s="32" t="str">
        <f>IFERROR(IF(OR(ABS('Inputs (2)'!H111)=0,('Inputs (2)'!H120)=0),"",ABS('Inputs (2)'!H120)/ABS('Inputs (2)'!H111)),"")</f>
        <v/>
      </c>
      <c r="I257" s="34" t="str">
        <f>IFERROR(IF(OR(ABS('Inputs (2)'!I111)=0,('Inputs (2)'!I120)=0),"",ABS('Inputs (2)'!I120)/ABS('Inputs (2)'!I111)),"")</f>
        <v/>
      </c>
      <c r="J257" s="32">
        <f>IFERROR(IF(OR(ABS('Inputs (2)'!J111)=0,('Inputs (2)'!J120)=0),"",ABS('Inputs (2)'!J120)/ABS('Inputs (2)'!J111)),"")</f>
        <v>0.0175061648859883</v>
      </c>
      <c r="K257" s="32">
        <f>IFERROR(IF(OR(ABS('Inputs (2)'!K111)=0,('Inputs (2)'!K120)=0),"",ABS('Inputs (2)'!K120)/ABS('Inputs (2)'!K111)),"")</f>
        <v>0.0186752563658026</v>
      </c>
      <c r="L257" s="32">
        <f>IFERROR(IF(OR(ABS('Inputs (2)'!L111)=0,('Inputs (2)'!L120)=0),"",ABS('Inputs (2)'!L120)/ABS('Inputs (2)'!L111)),"")</f>
        <v>0.0185566569890026</v>
      </c>
      <c r="M257" s="32">
        <f>IFERROR(IF(OR(ABS('Inputs (2)'!M111)=0,('Inputs (2)'!M120)=0),"",ABS('Inputs (2)'!M120)/ABS('Inputs (2)'!M111)),"")</f>
        <v>0.0191890247763312</v>
      </c>
      <c r="N257" s="34">
        <f>IFERROR(IF(OR(ABS('Inputs (2)'!N111)=0,('Inputs (2)'!N120)=0),"",ABS('Inputs (2)'!N120)/ABS('Inputs (2)'!N111)),"")</f>
        <v>0.0191890247763312</v>
      </c>
      <c r="O257" s="32">
        <f>IFERROR(IF(OR(ABS('Inputs (2)'!O111)=0,('Inputs (2)'!O120)=0),"",ABS('Inputs (2)'!O120)/ABS('Inputs (2)'!O111)),"")</f>
        <v>0.0172868973990556</v>
      </c>
      <c r="P257" s="32">
        <f>IFERROR(IF(OR(ABS('Inputs (2)'!P111)=0,('Inputs (2)'!P120)=0),"",ABS('Inputs (2)'!P120)/ABS('Inputs (2)'!P111)),"")</f>
        <v>0.0139690505846571</v>
      </c>
      <c r="Q257" s="32">
        <f>IFERROR(IF(OR(ABS('Inputs (2)'!Q111)=0,('Inputs (2)'!Q120)=0),"",ABS('Inputs (2)'!Q120)/ABS('Inputs (2)'!Q111)),"")</f>
        <v>0.0141475738596113</v>
      </c>
      <c r="R257" s="32">
        <f>IFERROR(IF(OR(ABS('Inputs (2)'!R111)=0,('Inputs (2)'!R120)=0),"",ABS('Inputs (2)'!R120)/ABS('Inputs (2)'!R111)),"")</f>
        <v>0.016137323812393</v>
      </c>
      <c r="S257" s="34">
        <f>IFERROR(IF(OR(ABS('Inputs (2)'!S111)=0,('Inputs (2)'!S120)=0),"",ABS('Inputs (2)'!S120)/ABS('Inputs (2)'!S111)),"")</f>
        <v>0.016137323812393</v>
      </c>
      <c r="T257" s="32">
        <f>IFERROR(IF(OR(ABS('Inputs (2)'!T111)=0,('Inputs (2)'!T120)=0),"",ABS('Inputs (2)'!T120)/ABS('Inputs (2)'!T111)),"")</f>
        <v>0.0174444487806093</v>
      </c>
      <c r="U257" s="32">
        <f>IFERROR(IF(OR(ABS('Inputs (2)'!U111)=0,('Inputs (2)'!U120)=0),"",ABS('Inputs (2)'!U120)/ABS('Inputs (2)'!U111)),"")</f>
        <v>0.0183580353903339</v>
      </c>
      <c r="V257" s="32">
        <f>IFERROR(IF(OR(ABS('Inputs (2)'!V111)=0,('Inputs (2)'!V120)=0),"",ABS('Inputs (2)'!V120)/ABS('Inputs (2)'!V111)),"")</f>
        <v>0.0189149352475824</v>
      </c>
      <c r="W257" s="32">
        <f>IFERROR(IF(OR(ABS('Inputs (2)'!W111)=0,('Inputs (2)'!W120)=0),"",ABS('Inputs (2)'!W120)/ABS('Inputs (2)'!W111)),"")</f>
        <v>0.0186962912833988</v>
      </c>
      <c r="X257" s="34">
        <f>IFERROR(IF(OR(ABS('Inputs (2)'!X111)=0,('Inputs (2)'!X120)=0),"",ABS('Inputs (2)'!X120)/ABS('Inputs (2)'!X111)),"")</f>
        <v>0.0186962912833988</v>
      </c>
      <c r="Y257" s="32">
        <f>IFERROR(IF(OR(ABS('Inputs (2)'!Y111)=0,('Inputs (2)'!Y120)=0),"",ABS('Inputs (2)'!Y120)/ABS('Inputs (2)'!Y111)),"")</f>
        <v>0.0185860571061458</v>
      </c>
      <c r="Z257" s="32">
        <f>IFERROR(IF(OR(ABS('Inputs (2)'!Z111)=0,('Inputs (2)'!Z120)=0),"",ABS('Inputs (2)'!Z120)/ABS('Inputs (2)'!Z111)),"")</f>
        <v>0.016842759609428</v>
      </c>
      <c r="AA257" s="32">
        <f>IFERROR(IF(OR(ABS('Inputs (2)'!AA111)=0,('Inputs (2)'!AA120)=0),"",ABS('Inputs (2)'!AA120)/ABS('Inputs (2)'!AA111)),"")</f>
        <v>0.010612554092353</v>
      </c>
      <c r="AB257" s="32">
        <f>IFERROR(IF(OR(ABS('Inputs (2)'!AB111)=0,('Inputs (2)'!AB120)=0),"",ABS('Inputs (2)'!AB120)/ABS('Inputs (2)'!AB111)),"")</f>
        <v>0.0101776596093662</v>
      </c>
      <c r="AC257" s="34">
        <f>IFERROR(IF(OR(ABS('Inputs (2)'!AC111)=0,('Inputs (2)'!AC120)=0),"",ABS('Inputs (2)'!AC120)/ABS('Inputs (2)'!AC111)),"")</f>
        <v>0.0101776596093662</v>
      </c>
      <c r="AD257" s="32">
        <f>IFERROR(IF(OR(ABS('Inputs (2)'!AD111)=0,('Inputs (2)'!AD120)=0),"",ABS('Inputs (2)'!AD120)/ABS('Inputs (2)'!AD111)),"")</f>
        <v>0.0214831868630285</v>
      </c>
      <c r="AE257" s="32">
        <f>IFERROR(IF(OR(ABS('Inputs (2)'!AE111)=0,('Inputs (2)'!AE120)=0),"",ABS('Inputs (2)'!AE120)/ABS('Inputs (2)'!AE111)),"")</f>
        <v>0.022494275321098</v>
      </c>
      <c r="AF257" s="32">
        <f>IFERROR(IF(OR(ABS('Inputs (2)'!AF111)=0,('Inputs (2)'!AF120)=0),"",ABS('Inputs (2)'!AF120)/ABS('Inputs (2)'!AF111)),"")</f>
        <v>0.0237330973472857</v>
      </c>
      <c r="AG257" s="32">
        <f>IFERROR(IF(OR(ABS('Inputs (2)'!AG111)=0,('Inputs (2)'!AG120)=0),"",ABS('Inputs (2)'!AG120)/ABS('Inputs (2)'!AG111)),"")</f>
        <v>0.0239953330010771</v>
      </c>
      <c r="AH257" s="34">
        <f>IFERROR(IF(OR(ABS('Inputs (2)'!AH111)=0,('Inputs (2)'!AH120)=0),"",ABS('Inputs (2)'!AH120)/ABS('Inputs (2)'!AH111)),"")</f>
        <v>0.0239953330010771</v>
      </c>
      <c r="AI257" s="32">
        <f>IFERROR(IF(OR(ABS('Inputs (2)'!AI111)=0,('Inputs (2)'!AI120)=0),"",ABS('Inputs (2)'!AI120)/ABS('Inputs (2)'!AI111)),"")</f>
        <v>0.0228717668513961</v>
      </c>
      <c r="AJ257" s="32">
        <f>IFERROR(IF(OR(ABS('Inputs (2)'!AJ111)=0,('Inputs (2)'!AJ120)=0),"",ABS('Inputs (2)'!AJ120)/ABS('Inputs (2)'!AJ111)),"")</f>
        <v>0.0221508261284007</v>
      </c>
      <c r="AK257" s="32" t="str">
        <f>IFERROR(IF(OR(ABS('Inputs (2)'!AK111)=0,('Inputs (2)'!AK120)=0),"",ABS('Inputs (2)'!AK120)/ABS('Inputs (2)'!AK111)),"")</f>
        <v/>
      </c>
      <c r="AL257" s="32" t="str">
        <f>IFERROR(IF(OR(ABS('Inputs (2)'!AL111)=0,('Inputs (2)'!AL120)=0),"",ABS('Inputs (2)'!AL120)/ABS('Inputs (2)'!AL111)),"")</f>
        <v/>
      </c>
      <c r="AM257" s="34" t="str">
        <f>IFERROR(IF(OR(ABS('Inputs (2)'!AM111)=0,('Inputs (2)'!AM120)=0),"",ABS('Inputs (2)'!AM120)/ABS('Inputs (2)'!AM111)),"")</f>
        <v/>
      </c>
      <c r="AN257" s="32" t="str">
        <f>IFERROR(IF(OR(ABS('Inputs (2)'!AN111)=0,('Inputs (2)'!AN120)=0),"",ABS('Inputs (2)'!AN120)/ABS('Inputs (2)'!AN111)),"")</f>
        <v/>
      </c>
      <c r="AO257" s="32" t="str">
        <f>IFERROR(IF(OR(ABS('Inputs (2)'!AO111)=0,('Inputs (2)'!AO120)=0),"",ABS('Inputs (2)'!AO120)/ABS('Inputs (2)'!AO111)),"")</f>
        <v/>
      </c>
      <c r="AP257" s="32" t="str">
        <f>IFERROR(IF(OR(ABS('Inputs (2)'!AP111)=0,('Inputs (2)'!AP120)=0),"",ABS('Inputs (2)'!AP120)/ABS('Inputs (2)'!AP111)),"")</f>
        <v/>
      </c>
      <c r="AQ257" s="32" t="str">
        <f>IFERROR(IF(OR(ABS('Inputs (2)'!AQ111)=0,('Inputs (2)'!AQ120)=0),"",ABS('Inputs (2)'!AQ120)/ABS('Inputs (2)'!AQ111)),"")</f>
        <v/>
      </c>
      <c r="AR257" s="34" t="str">
        <f>IFERROR(IF(OR(ABS('Inputs (2)'!AR111)=0,('Inputs (2)'!AR120)=0),"",ABS('Inputs (2)'!AR120)/ABS('Inputs (2)'!AR111)),"")</f>
        <v/>
      </c>
      <c r="AS257" s="32" t="str">
        <f>IFERROR(IF(OR(ABS('Inputs (2)'!AS111)=0,('Inputs (2)'!AS120)=0),"",ABS('Inputs (2)'!AS120)/ABS('Inputs (2)'!AS111)),"")</f>
        <v/>
      </c>
      <c r="AT257" s="32" t="str">
        <f>IFERROR(IF(OR(ABS('Inputs (2)'!AT111)=0,('Inputs (2)'!AT120)=0),"",ABS('Inputs (2)'!AT120)/ABS('Inputs (2)'!AT111)),"")</f>
        <v/>
      </c>
      <c r="AU257" s="32" t="str">
        <f>IFERROR(IF(OR(ABS('Inputs (2)'!AU111)=0,('Inputs (2)'!AU120)=0),"",ABS('Inputs (2)'!AU120)/ABS('Inputs (2)'!AU111)),"")</f>
        <v/>
      </c>
      <c r="AV257" s="32" t="str">
        <f>IFERROR(IF(OR(ABS('Inputs (2)'!AV111)=0,('Inputs (2)'!AV120)=0),"",ABS('Inputs (2)'!AV120)/ABS('Inputs (2)'!AV111)),"")</f>
        <v/>
      </c>
      <c r="AW257" s="34" t="str">
        <f>IFERROR(IF(OR(ABS('Inputs (2)'!AW111)=0,('Inputs (2)'!AW120)=0),"",ABS('Inputs (2)'!AW120)/ABS('Inputs (2)'!AW111)),"")</f>
        <v/>
      </c>
      <c r="AX257" s="32" t="str">
        <f>IFERROR(IF(OR(ABS('Inputs (2)'!AX111)=0,('Inputs (2)'!AX120)=0),"",ABS('Inputs (2)'!AX120)/ABS('Inputs (2)'!AX111)),"")</f>
        <v/>
      </c>
      <c r="AY257" s="32" t="str">
        <f>IFERROR(IF(OR(ABS('Inputs (2)'!AY111)=0,('Inputs (2)'!AY120)=0),"",ABS('Inputs (2)'!AY120)/ABS('Inputs (2)'!AY111)),"")</f>
        <v/>
      </c>
      <c r="AZ257" s="32" t="str">
        <f>IFERROR(IF(OR(ABS('Inputs (2)'!AZ111)=0,('Inputs (2)'!AZ120)=0),"",ABS('Inputs (2)'!AZ120)/ABS('Inputs (2)'!AZ111)),"")</f>
        <v/>
      </c>
      <c r="BA257" s="32" t="str">
        <f>IFERROR(IF(OR(ABS('Inputs (2)'!BA111)=0,('Inputs (2)'!BA120)=0),"",ABS('Inputs (2)'!BA120)/ABS('Inputs (2)'!BA111)),"")</f>
        <v/>
      </c>
      <c r="BB257" s="34" t="str">
        <f>IFERROR(IF(OR(ABS('Inputs (2)'!BB111)=0,('Inputs (2)'!BB120)=0),"",ABS('Inputs (2)'!BB120)/ABS('Inputs (2)'!BB111)),"")</f>
        <v/>
      </c>
      <c r="BC257" s="32" t="str">
        <f>IFERROR(IF(OR(ABS('Inputs (2)'!BC111)=0,('Inputs (2)'!BC120)=0),"",ABS('Inputs (2)'!BC120)/ABS('Inputs (2)'!BC111)),"")</f>
        <v/>
      </c>
      <c r="BD257" s="32" t="str">
        <f>IFERROR(IF(OR(ABS('Inputs (2)'!BD111)=0,('Inputs (2)'!BD120)=0),"",ABS('Inputs (2)'!BD120)/ABS('Inputs (2)'!BD111)),"")</f>
        <v/>
      </c>
      <c r="BE257" s="32" t="str">
        <f>IFERROR(IF(OR(ABS('Inputs (2)'!BE111)=0,('Inputs (2)'!BE120)=0),"",ABS('Inputs (2)'!BE120)/ABS('Inputs (2)'!BE111)),"")</f>
        <v/>
      </c>
      <c r="BF257" s="32" t="str">
        <f>IFERROR(IF(OR(ABS('Inputs (2)'!BF111)=0,('Inputs (2)'!BF120)=0),"",ABS('Inputs (2)'!BF120)/ABS('Inputs (2)'!BF111)),"")</f>
        <v/>
      </c>
      <c r="BG257" s="34" t="str">
        <f>IFERROR(IF(OR(ABS('Inputs (2)'!BG111)=0,('Inputs (2)'!BG120)=0),"",ABS('Inputs (2)'!BG120)/ABS('Inputs (2)'!BG111)),"")</f>
        <v/>
      </c>
    </row>
    <row r="258" collapsed="1"/>
    <row r="259">
      <c r="B259" s="7" t="n"/>
      <c r="C259" s="7" t="inlineStr">
        <is>
          <t>CENÁRIO MACROECONÔMICO</t>
        </is>
      </c>
      <c r="D259" s="7" t="inlineStr">
        <is>
          <t>MACRO SCENARIO</t>
        </is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28" t="inlineStr">
        <is>
          <t>O bloco macro acompanha o país e a moeda de reporte da instituição. Realizado é dado publicado e entra em verde; projetado é premissa sua e entra em amarelo. É a única seção do painel em que a coluna realizada recebe número.</t>
        </is>
      </c>
    </row>
    <row r="260">
      <c r="C260" s="11" t="inlineStr">
        <is>
          <t>Selic — meta no fim do período (% a.a.)</t>
        </is>
      </c>
      <c r="D260" s="12" t="inlineStr">
        <is>
          <t>Selic target, eop</t>
        </is>
      </c>
      <c r="E260" s="130" t="n">
        <v>0.0375</v>
      </c>
      <c r="F260" s="130" t="n">
        <v>0.0225</v>
      </c>
      <c r="G260" s="130" t="n">
        <v>0.02</v>
      </c>
      <c r="H260" s="130" t="n">
        <v>0.02</v>
      </c>
      <c r="I260" s="131">
        <f>IF(H260="","",H260)</f>
        <v>0.02</v>
      </c>
      <c r="J260" s="130" t="n">
        <v>0.0275</v>
      </c>
      <c r="K260" s="130" t="n">
        <v>0.0425</v>
      </c>
      <c r="L260" s="130" t="n">
        <v>0.0625</v>
      </c>
      <c r="M260" s="130" t="n">
        <v>0.0925</v>
      </c>
      <c r="N260" s="131">
        <f>IF(M260="","",M260)</f>
        <v>0.0925</v>
      </c>
      <c r="O260" s="130" t="n">
        <v>0.1175</v>
      </c>
      <c r="P260" s="130" t="n">
        <v>0.1325</v>
      </c>
      <c r="Q260" s="130" t="n">
        <v>0.1375</v>
      </c>
      <c r="R260" s="130" t="n">
        <v>0.1375</v>
      </c>
      <c r="S260" s="131">
        <f>IF(R260="","",R260)</f>
        <v>0.1375</v>
      </c>
      <c r="T260" s="130" t="n">
        <v>0.1375</v>
      </c>
      <c r="U260" s="130" t="n">
        <v>0.1375</v>
      </c>
      <c r="V260" s="130" t="n">
        <v>0.1275</v>
      </c>
      <c r="W260" s="130" t="n">
        <v>0.1175</v>
      </c>
      <c r="X260" s="131">
        <f>IF(W260="","",W260)</f>
        <v>0.1175</v>
      </c>
      <c r="Y260" s="130" t="n">
        <v>0.1075</v>
      </c>
      <c r="Z260" s="130" t="n">
        <v>0.105</v>
      </c>
      <c r="AA260" s="130" t="n">
        <v>0.1075</v>
      </c>
      <c r="AB260" s="130" t="n">
        <v>0.1225</v>
      </c>
      <c r="AC260" s="131">
        <f>IF(AB260="","",AB260)</f>
        <v>0.1225</v>
      </c>
      <c r="AD260" s="130" t="n">
        <v>0.1425</v>
      </c>
      <c r="AE260" s="130" t="n">
        <v>0.15</v>
      </c>
      <c r="AF260" s="130" t="n">
        <v>0.15</v>
      </c>
      <c r="AG260" s="130" t="n">
        <v>0.15</v>
      </c>
      <c r="AH260" s="39">
        <f>IF(AG260="","",AG260)</f>
        <v>0.15</v>
      </c>
      <c r="AI260" s="40" t="n"/>
      <c r="AJ260" s="40" t="n"/>
      <c r="AK260" s="40" t="n"/>
      <c r="AL260" s="40" t="n"/>
      <c r="AM260" s="39" t="str">
        <f>IF(AL260="","",AL260)</f>
        <v/>
      </c>
      <c r="AN260" s="40" t="n"/>
      <c r="AO260" s="40" t="n"/>
      <c r="AP260" s="40" t="n"/>
      <c r="AQ260" s="40" t="n"/>
      <c r="AR260" s="39" t="str">
        <f>IF(AQ260="","",AQ260)</f>
        <v/>
      </c>
      <c r="AS260" s="40" t="n"/>
      <c r="AT260" s="40" t="n"/>
      <c r="AU260" s="40" t="n"/>
      <c r="AV260" s="40" t="n"/>
      <c r="AW260" s="39" t="str">
        <f>IF(AV260="","",AV260)</f>
        <v/>
      </c>
      <c r="AX260" s="40" t="n"/>
      <c r="AY260" s="40" t="n"/>
      <c r="AZ260" s="40" t="n"/>
      <c r="BA260" s="40" t="n"/>
      <c r="BB260" s="39" t="str">
        <f>IF(BA260="","",BA260)</f>
        <v/>
      </c>
      <c r="BC260" s="40" t="n"/>
      <c r="BD260" s="40" t="n"/>
      <c r="BE260" s="40" t="n"/>
      <c r="BF260" s="40" t="n"/>
      <c r="BG260" s="39" t="str">
        <f>IF(BF260="","",BF260)</f>
        <v/>
      </c>
      <c r="BI260" s="14" t="inlineStr">
        <is>
          <t>Realizado 1T20-4T25: BCB SGS 432, meta Selic definida pelo Copom, valor do último dia útil do trimestre. Coluna anual = 4T.</t>
        </is>
      </c>
    </row>
    <row r="261">
      <c r="C261" s="11" t="inlineStr">
        <is>
          <t>Selic efetiva — média do período (% a.a.)</t>
        </is>
      </c>
      <c r="D261" s="12" t="inlineStr">
        <is>
          <t>Selic, period average</t>
        </is>
      </c>
      <c r="E261" s="130" t="n">
        <v>0.0418</v>
      </c>
      <c r="F261" s="130" t="n">
        <v>0.0308</v>
      </c>
      <c r="G261" s="130" t="n">
        <v>0.019967</v>
      </c>
      <c r="H261" s="130" t="n">
        <v>0.019</v>
      </c>
      <c r="I261" s="131">
        <f>IF(COUNT(E261:H261)=0,"",AVERAGE(E261:H261))</f>
        <v>0.02789175</v>
      </c>
      <c r="J261" s="130" t="n">
        <v>0.0201</v>
      </c>
      <c r="K261" s="130" t="n">
        <v>0.032333</v>
      </c>
      <c r="L261" s="130" t="n">
        <v>0.048633</v>
      </c>
      <c r="M261" s="130" t="n">
        <v>0.0757</v>
      </c>
      <c r="N261" s="131">
        <f>IF(COUNT(J261:M261)=0,"",AVERAGE(J261:M261))</f>
        <v>0.0441915</v>
      </c>
      <c r="O261" s="130" t="n">
        <v>0.102633</v>
      </c>
      <c r="P261" s="130" t="n">
        <v>0.1235</v>
      </c>
      <c r="Q261" s="130" t="n">
        <v>0.1346</v>
      </c>
      <c r="R261" s="130" t="n">
        <v>0.1365</v>
      </c>
      <c r="S261" s="131">
        <f>IF(COUNT(O261:R261)=0,"",AVERAGE(O261:R261))</f>
        <v>0.12430825</v>
      </c>
      <c r="T261" s="130" t="n">
        <v>0.1365</v>
      </c>
      <c r="U261" s="130" t="n">
        <v>0.1365</v>
      </c>
      <c r="V261" s="130" t="n">
        <v>0.1327</v>
      </c>
      <c r="W261" s="130" t="n">
        <v>0.1223</v>
      </c>
      <c r="X261" s="131">
        <f>IF(COUNT(T261:W261)=0,"",AVERAGE(T261:W261))</f>
        <v>0.132</v>
      </c>
      <c r="Y261" s="130" t="n">
        <v>0.112667</v>
      </c>
      <c r="Z261" s="130" t="n">
        <v>0.105033</v>
      </c>
      <c r="AA261" s="130" t="n">
        <v>0.104333</v>
      </c>
      <c r="AB261" s="130" t="n">
        <v>0.111533</v>
      </c>
      <c r="AC261" s="131">
        <f>IF(COUNT(Y261:AB261)=0,"",AVERAGE(Y261:AB261))</f>
        <v>0.1083915</v>
      </c>
      <c r="AD261" s="130" t="n">
        <v>0.129867</v>
      </c>
      <c r="AE261" s="130" t="n">
        <v>0.1448</v>
      </c>
      <c r="AF261" s="130" t="n">
        <v>0.149</v>
      </c>
      <c r="AG261" s="130" t="n">
        <v>0.149</v>
      </c>
      <c r="AH261" s="39">
        <f>IF(COUNT(AD261:AG261)=0,"",AVERAGE(AD261:AG261))</f>
        <v>0.14316675</v>
      </c>
      <c r="AI261" s="40" t="n"/>
      <c r="AJ261" s="40" t="n"/>
      <c r="AK261" s="40" t="n"/>
      <c r="AL261" s="40" t="n"/>
      <c r="AM261" s="39" t="str">
        <f>IF(COUNT(AI261:AL261)=0,"",AVERAGE(AI261:AL261))</f>
        <v/>
      </c>
      <c r="AN261" s="40" t="n"/>
      <c r="AO261" s="40" t="n"/>
      <c r="AP261" s="40" t="n"/>
      <c r="AQ261" s="40" t="n"/>
      <c r="AR261" s="39" t="str">
        <f>IF(COUNT(AN261:AQ261)=0,"",AVERAGE(AN261:AQ261))</f>
        <v/>
      </c>
      <c r="AS261" s="40" t="n"/>
      <c r="AT261" s="40" t="n"/>
      <c r="AU261" s="40" t="n"/>
      <c r="AV261" s="40" t="n"/>
      <c r="AW261" s="39" t="str">
        <f>IF(COUNT(AS261:AV261)=0,"",AVERAGE(AS261:AV261))</f>
        <v/>
      </c>
      <c r="AX261" s="40" t="n"/>
      <c r="AY261" s="40" t="n"/>
      <c r="AZ261" s="40" t="n"/>
      <c r="BA261" s="40" t="n"/>
      <c r="BB261" s="39" t="str">
        <f>IF(COUNT(AX261:BA261)=0,"",AVERAGE(AX261:BA261))</f>
        <v/>
      </c>
      <c r="BC261" s="40" t="n"/>
      <c r="BD261" s="40" t="n"/>
      <c r="BE261" s="40" t="n"/>
      <c r="BF261" s="40" t="n"/>
      <c r="BG261" s="39" t="str">
        <f>IF(COUNT(BC261:BF261)=0,"",AVERAGE(BC261:BF261))</f>
        <v/>
      </c>
      <c r="BI261" s="14" t="inlineStr">
        <is>
          <t>Realizado 1T20-4T25: BCB SGS 4189, Selic acumulada no mês anualizada base 252, média dos três meses. Fica abaixo da meta por construção.</t>
        </is>
      </c>
    </row>
    <row r="262">
      <c r="C262" s="11" t="inlineStr">
        <is>
          <t>CDI acumulado no trimestre (%)</t>
        </is>
      </c>
      <c r="D262" s="12" t="inlineStr">
        <is>
          <t>CDI, quarterly</t>
        </is>
      </c>
      <c r="E262" s="132" t="n">
        <v>0.010134</v>
      </c>
      <c r="F262" s="132" t="n">
        <v>0.007318</v>
      </c>
      <c r="G262" s="132" t="n">
        <v>0.005109</v>
      </c>
      <c r="H262" s="132" t="n">
        <v>0.004707</v>
      </c>
      <c r="I262" s="133">
        <f>IF(COUNT(E262:H262)&lt;4,"",(1+E262)*(1+F262)*(1+G262)*(1+H262)-1)</f>
        <v>0.0275386669377822</v>
      </c>
      <c r="J262" s="132" t="n">
        <v>0.004808</v>
      </c>
      <c r="K262" s="132" t="n">
        <v>0.007921000000000001</v>
      </c>
      <c r="L262" s="132" t="n">
        <v>0.01235</v>
      </c>
      <c r="M262" s="132" t="n">
        <v>0.018612</v>
      </c>
      <c r="N262" s="133">
        <f>IF(COUNT(J262:M262)&lt;4,"",(1+J262)*(1+K262)*(1+L262)*(1+M262)-1)</f>
        <v>0.0443571714469959</v>
      </c>
      <c r="O262" s="132" t="n">
        <v>0.024395</v>
      </c>
      <c r="P262" s="132" t="n">
        <v>0.029076</v>
      </c>
      <c r="Q262" s="132" t="n">
        <v>0.033057</v>
      </c>
      <c r="R262" s="132" t="n">
        <v>0.031934</v>
      </c>
      <c r="S262" s="133">
        <f>IF(COUNT(O262:R262)&lt;4,"",(1+O262)*(1+P262)*(1+Q262)*(1+R262)-1)</f>
        <v>0.123805378744188</v>
      </c>
      <c r="T262" s="132" t="n">
        <v>0.032443</v>
      </c>
      <c r="U262" s="132" t="n">
        <v>0.031422</v>
      </c>
      <c r="V262" s="132" t="n">
        <v>0.032138</v>
      </c>
      <c r="W262" s="132" t="n">
        <v>0.028364</v>
      </c>
      <c r="X262" s="133">
        <f>IF(COUNT(T262:W262)&lt;4,"",(1+T262)*(1+U262)*(1+V262)*(1+W262)-1)</f>
        <v>0.130282769785895</v>
      </c>
      <c r="Y262" s="132" t="n">
        <v>0.026225</v>
      </c>
      <c r="Z262" s="132" t="n">
        <v>0.02531</v>
      </c>
      <c r="AA262" s="132" t="n">
        <v>0.026429</v>
      </c>
      <c r="AB262" s="132" t="n">
        <v>0.026734</v>
      </c>
      <c r="AC262" s="133">
        <f>IF(COUNT(Y262:AB262)&lt;4,"",(1+Y262)*(1+Z262)*(1+AA262)*(1+AB262)-1)</f>
        <v>0.108880231215588</v>
      </c>
      <c r="AD262" s="132" t="n">
        <v>0.029893</v>
      </c>
      <c r="AE262" s="132" t="n">
        <v>0.033364</v>
      </c>
      <c r="AF262" s="132" t="n">
        <v>0.037048</v>
      </c>
      <c r="AG262" s="132" t="n">
        <v>0.03592</v>
      </c>
      <c r="AH262" s="41">
        <f>IF(COUNT(AD262:AG262)&lt;4,"",(1+AD262)*(1+AE262)*(1+AF262)*(1+AG262)-1)</f>
        <v>0.143327133012767</v>
      </c>
      <c r="AI262" s="42" t="n"/>
      <c r="AJ262" s="42" t="n"/>
      <c r="AK262" s="42" t="n"/>
      <c r="AL262" s="42" t="n"/>
      <c r="AM262" s="41" t="str">
        <f>IF(COUNT(AI262:AL262)&lt;4,"",(1+AI262)*(1+AJ262)*(1+AK262)*(1+AL262)-1)</f>
        <v/>
      </c>
      <c r="AN262" s="42" t="n"/>
      <c r="AO262" s="42" t="n"/>
      <c r="AP262" s="42" t="n"/>
      <c r="AQ262" s="42" t="n"/>
      <c r="AR262" s="41" t="str">
        <f>IF(COUNT(AN262:AQ262)&lt;4,"",(1+AN262)*(1+AO262)*(1+AP262)*(1+AQ262)-1)</f>
        <v/>
      </c>
      <c r="AS262" s="42" t="n"/>
      <c r="AT262" s="42" t="n"/>
      <c r="AU262" s="42" t="n"/>
      <c r="AV262" s="42" t="n"/>
      <c r="AW262" s="41" t="str">
        <f>IF(COUNT(AS262:AV262)&lt;4,"",(1+AS262)*(1+AT262)*(1+AU262)*(1+AV262)-1)</f>
        <v/>
      </c>
      <c r="AX262" s="42" t="n"/>
      <c r="AY262" s="42" t="n"/>
      <c r="AZ262" s="42" t="n"/>
      <c r="BA262" s="42" t="n"/>
      <c r="BB262" s="41" t="str">
        <f>IF(COUNT(AX262:BA262)&lt;4,"",(1+AX262)*(1+AY262)*(1+AZ262)*(1+BA262)-1)</f>
        <v/>
      </c>
      <c r="BC262" s="42" t="n"/>
      <c r="BD262" s="42" t="n"/>
      <c r="BE262" s="42" t="n"/>
      <c r="BF262" s="42" t="n"/>
      <c r="BG262" s="41" t="str">
        <f>IF(COUNT(BC262:BF262)&lt;4,"",(1+BC262)*(1+BD262)*(1+BE262)*(1+BF262)-1)</f>
        <v/>
      </c>
      <c r="BI262" s="14" t="inlineStr">
        <is>
          <t>Realizado 1T20-4T25: BCB SGS 4390, CDI acumulado no mês, composto nos três meses. Coluna anual compõe os quatro trimestres, não tira média.</t>
        </is>
      </c>
    </row>
    <row r="263">
      <c r="C263" s="11" t="inlineStr">
        <is>
          <t>IPCA no trimestre (%)</t>
        </is>
      </c>
      <c r="D263" s="12" t="inlineStr">
        <is>
          <t>CPI, quarterly</t>
        </is>
      </c>
      <c r="E263" s="132" t="n">
        <v>0.005308</v>
      </c>
      <c r="F263" s="132" t="n">
        <v>-0.004306</v>
      </c>
      <c r="G263" s="132" t="n">
        <v>0.012447</v>
      </c>
      <c r="H263" s="132" t="n">
        <v>0.031314</v>
      </c>
      <c r="I263" s="133">
        <f>IF(COUNT(E263:H263)&lt;4,"",(1+E263)*(1+F263)*(1+G263)*(1+H263)-1)</f>
        <v>0.0451731390560466</v>
      </c>
      <c r="J263" s="132" t="n">
        <v>0.020525</v>
      </c>
      <c r="K263" s="132" t="n">
        <v>0.016786</v>
      </c>
      <c r="L263" s="132" t="n">
        <v>0.030197</v>
      </c>
      <c r="M263" s="132" t="n">
        <v>0.02958</v>
      </c>
      <c r="N263" s="133">
        <f>IF(COUNT(J263:M263)&lt;4,"",(1+J263)*(1+K263)*(1+L263)*(1+M263)-1)</f>
        <v>0.100610329633472</v>
      </c>
      <c r="O263" s="132" t="n">
        <v>0.032007</v>
      </c>
      <c r="P263" s="132" t="n">
        <v>0.022153</v>
      </c>
      <c r="Q263" s="132" t="n">
        <v>-0.013245</v>
      </c>
      <c r="R263" s="132" t="n">
        <v>0.016286</v>
      </c>
      <c r="S263" s="133">
        <f>IF(COUNT(O263:R263)&lt;4,"",(1+O263)*(1+P263)*(1+Q263)*(1+R263)-1)</f>
        <v>0.0578493640881979</v>
      </c>
      <c r="T263" s="132" t="n">
        <v>0.020942</v>
      </c>
      <c r="U263" s="132" t="n">
        <v>0.007607</v>
      </c>
      <c r="V263" s="132" t="n">
        <v>0.006111999999999999</v>
      </c>
      <c r="W263" s="132" t="n">
        <v>0.010836</v>
      </c>
      <c r="X263" s="133">
        <f>IF(COUNT(T263:W263)&lt;4,"",(1+T263)*(1+U263)*(1+V263)*(1+W263)-1)</f>
        <v>0.0462109851331247</v>
      </c>
      <c r="Y263" s="132" t="n">
        <v>0.014155</v>
      </c>
      <c r="Z263" s="132" t="n">
        <v>0.010535</v>
      </c>
      <c r="AA263" s="132" t="n">
        <v>0.008015</v>
      </c>
      <c r="AB263" s="132" t="n">
        <v>0.014771</v>
      </c>
      <c r="AC263" s="133">
        <f>IF(COUNT(Y263:AB263)&lt;4,"",(1+Y263)*(1+Z263)*(1+AA263)*(1+AB263)-1)</f>
        <v>0.0483124374379271</v>
      </c>
      <c r="AD263" s="132" t="n">
        <v>0.020403</v>
      </c>
      <c r="AE263" s="132" t="n">
        <v>0.009327999999999999</v>
      </c>
      <c r="AF263" s="132" t="n">
        <v>0.006304</v>
      </c>
      <c r="AG263" s="132" t="n">
        <v>0.006011</v>
      </c>
      <c r="AH263" s="41">
        <f>IF(COUNT(AD263:AG263)&lt;4,"",(1+AD263)*(1+AE263)*(1+AF263)*(1+AG263)-1)</f>
        <v>0.0426438273925918</v>
      </c>
      <c r="AI263" s="42" t="n"/>
      <c r="AJ263" s="42" t="n"/>
      <c r="AK263" s="42" t="n"/>
      <c r="AL263" s="42" t="n"/>
      <c r="AM263" s="41" t="str">
        <f>IF(COUNT(AI263:AL263)&lt;4,"",(1+AI263)*(1+AJ263)*(1+AK263)*(1+AL263)-1)</f>
        <v/>
      </c>
      <c r="AN263" s="42" t="n"/>
      <c r="AO263" s="42" t="n"/>
      <c r="AP263" s="42" t="n"/>
      <c r="AQ263" s="42" t="n"/>
      <c r="AR263" s="41" t="str">
        <f>IF(COUNT(AN263:AQ263)&lt;4,"",(1+AN263)*(1+AO263)*(1+AP263)*(1+AQ263)-1)</f>
        <v/>
      </c>
      <c r="AS263" s="42" t="n"/>
      <c r="AT263" s="42" t="n"/>
      <c r="AU263" s="42" t="n"/>
      <c r="AV263" s="42" t="n"/>
      <c r="AW263" s="41" t="str">
        <f>IF(COUNT(AS263:AV263)&lt;4,"",(1+AS263)*(1+AT263)*(1+AU263)*(1+AV263)-1)</f>
        <v/>
      </c>
      <c r="AX263" s="42" t="n"/>
      <c r="AY263" s="42" t="n"/>
      <c r="AZ263" s="42" t="n"/>
      <c r="BA263" s="42" t="n"/>
      <c r="BB263" s="41" t="str">
        <f>IF(COUNT(AX263:BA263)&lt;4,"",(1+AX263)*(1+AY263)*(1+AZ263)*(1+BA263)-1)</f>
        <v/>
      </c>
      <c r="BC263" s="42" t="n"/>
      <c r="BD263" s="42" t="n"/>
      <c r="BE263" s="42" t="n"/>
      <c r="BF263" s="42" t="n"/>
      <c r="BG263" s="41" t="str">
        <f>IF(COUNT(BC263:BF263)&lt;4,"",(1+BC263)*(1+BD263)*(1+BE263)*(1+BF263)-1)</f>
        <v/>
      </c>
      <c r="BI263" s="14" t="inlineStr">
        <is>
          <t>Realizado 1T20-4T25: BCB SGS 433, IPCA mensal composto nos três meses. Coluna anual compõe os quatro trimestres e reproduz o IPCA do ano.</t>
        </is>
      </c>
    </row>
    <row r="264">
      <c r="C264" s="11" t="inlineStr">
        <is>
          <t>IPCA 12 meses (%)</t>
        </is>
      </c>
      <c r="D264" s="12" t="inlineStr">
        <is>
          <t>CPI, 12m</t>
        </is>
      </c>
      <c r="E264" s="130" t="n">
        <v>0.033</v>
      </c>
      <c r="F264" s="130" t="n">
        <v>0.0213</v>
      </c>
      <c r="G264" s="130" t="n">
        <v>0.0314</v>
      </c>
      <c r="H264" s="130" t="n">
        <v>0.0452</v>
      </c>
      <c r="I264" s="131">
        <f>IF(H264="","",H264)</f>
        <v>0.0452</v>
      </c>
      <c r="J264" s="130" t="n">
        <v>0.061</v>
      </c>
      <c r="K264" s="130" t="n">
        <v>0.08349999999999999</v>
      </c>
      <c r="L264" s="130" t="n">
        <v>0.1025</v>
      </c>
      <c r="M264" s="130" t="n">
        <v>0.1006</v>
      </c>
      <c r="N264" s="131">
        <f>IF(M264="","",M264)</f>
        <v>0.1006</v>
      </c>
      <c r="O264" s="130" t="n">
        <v>0.113</v>
      </c>
      <c r="P264" s="130" t="n">
        <v>0.1189</v>
      </c>
      <c r="Q264" s="130" t="n">
        <v>0.0717</v>
      </c>
      <c r="R264" s="130" t="n">
        <v>0.0579</v>
      </c>
      <c r="S264" s="131">
        <f>IF(R264="","",R264)</f>
        <v>0.0579</v>
      </c>
      <c r="T264" s="130" t="n">
        <v>0.04650000000000001</v>
      </c>
      <c r="U264" s="130" t="n">
        <v>0.0316</v>
      </c>
      <c r="V264" s="130" t="n">
        <v>0.0519</v>
      </c>
      <c r="W264" s="130" t="n">
        <v>0.0462</v>
      </c>
      <c r="X264" s="131">
        <f>IF(W264="","",W264)</f>
        <v>0.0462</v>
      </c>
      <c r="Y264" s="130" t="n">
        <v>0.0393</v>
      </c>
      <c r="Z264" s="130" t="n">
        <v>0.0423</v>
      </c>
      <c r="AA264" s="130" t="n">
        <v>0.0442</v>
      </c>
      <c r="AB264" s="130" t="n">
        <v>0.0483</v>
      </c>
      <c r="AC264" s="131">
        <f>IF(AB264="","",AB264)</f>
        <v>0.0483</v>
      </c>
      <c r="AD264" s="130" t="n">
        <v>0.0548</v>
      </c>
      <c r="AE264" s="130" t="n">
        <v>0.0535</v>
      </c>
      <c r="AF264" s="130" t="n">
        <v>0.0517</v>
      </c>
      <c r="AG264" s="130" t="n">
        <v>0.0426</v>
      </c>
      <c r="AH264" s="39">
        <f>IF(AG264="","",AG264)</f>
        <v>0.0426</v>
      </c>
      <c r="AI264" s="40" t="n"/>
      <c r="AJ264" s="40" t="n"/>
      <c r="AK264" s="40" t="n"/>
      <c r="AL264" s="40" t="n"/>
      <c r="AM264" s="39" t="str">
        <f>IF(AL264="","",AL264)</f>
        <v/>
      </c>
      <c r="AN264" s="40" t="n"/>
      <c r="AO264" s="40" t="n"/>
      <c r="AP264" s="40" t="n"/>
      <c r="AQ264" s="40" t="n"/>
      <c r="AR264" s="39" t="str">
        <f>IF(AQ264="","",AQ264)</f>
        <v/>
      </c>
      <c r="AS264" s="40" t="n"/>
      <c r="AT264" s="40" t="n"/>
      <c r="AU264" s="40" t="n"/>
      <c r="AV264" s="40" t="n"/>
      <c r="AW264" s="39" t="str">
        <f>IF(AV264="","",AV264)</f>
        <v/>
      </c>
      <c r="AX264" s="40" t="n"/>
      <c r="AY264" s="40" t="n"/>
      <c r="AZ264" s="40" t="n"/>
      <c r="BA264" s="40" t="n"/>
      <c r="BB264" s="39" t="str">
        <f>IF(BA264="","",BA264)</f>
        <v/>
      </c>
      <c r="BC264" s="40" t="n"/>
      <c r="BD264" s="40" t="n"/>
      <c r="BE264" s="40" t="n"/>
      <c r="BF264" s="40" t="n"/>
      <c r="BG264" s="39" t="str">
        <f>IF(BF264="","",BF264)</f>
        <v/>
      </c>
      <c r="BI264" s="14" t="inlineStr">
        <is>
          <t>Realizado 1T20-4T25: BCB SGS 13522, IPCA acumulado em 12 meses, valor do último mês do trimestre. Coluna anual = 4T.</t>
        </is>
      </c>
    </row>
    <row r="265">
      <c r="C265" s="11" t="inlineStr">
        <is>
          <t>PIB real (% YoY)</t>
        </is>
      </c>
      <c r="D265" s="12" t="inlineStr">
        <is>
          <t>Real GDP growth, YoY</t>
        </is>
      </c>
      <c r="E265" s="130" t="n">
        <v>0.004</v>
      </c>
      <c r="F265" s="130" t="n">
        <v>-0.101</v>
      </c>
      <c r="G265" s="130" t="n">
        <v>-0.03</v>
      </c>
      <c r="H265" s="130" t="n">
        <v>-0.003</v>
      </c>
      <c r="I265" s="131">
        <f>IF(COUNT(E265:H265)=0,"",AVERAGE(E265:H265))</f>
        <v>-0.0325</v>
      </c>
      <c r="J265" s="130" t="n">
        <v>0.017</v>
      </c>
      <c r="K265" s="130" t="n">
        <v>0.124</v>
      </c>
      <c r="L265" s="130" t="n">
        <v>0.042</v>
      </c>
      <c r="M265" s="130" t="n">
        <v>0.015</v>
      </c>
      <c r="N265" s="131">
        <f>IF(COUNT(J265:M265)=0,"",AVERAGE(J265:M265))</f>
        <v>0.0495</v>
      </c>
      <c r="O265" s="130" t="n">
        <v>0.015</v>
      </c>
      <c r="P265" s="130" t="n">
        <v>0.035</v>
      </c>
      <c r="Q265" s="130" t="n">
        <v>0.043</v>
      </c>
      <c r="R265" s="130" t="n">
        <v>0.027</v>
      </c>
      <c r="S265" s="131">
        <f>IF(COUNT(O265:R265)=0,"",AVERAGE(O265:R265))</f>
        <v>0.03</v>
      </c>
      <c r="T265" s="130" t="n">
        <v>0.044</v>
      </c>
      <c r="U265" s="130" t="n">
        <v>0.039</v>
      </c>
      <c r="V265" s="130" t="n">
        <v>0.024</v>
      </c>
      <c r="W265" s="130" t="n">
        <v>0.024</v>
      </c>
      <c r="X265" s="131">
        <f>IF(COUNT(T265:W265)=0,"",AVERAGE(T265:W265))</f>
        <v>0.03275</v>
      </c>
      <c r="Y265" s="130" t="n">
        <v>0.025</v>
      </c>
      <c r="Z265" s="130" t="n">
        <v>0.035</v>
      </c>
      <c r="AA265" s="130" t="n">
        <v>0.04099999999999999</v>
      </c>
      <c r="AB265" s="130" t="n">
        <v>0.036</v>
      </c>
      <c r="AC265" s="131">
        <f>IF(COUNT(Y265:AB265)=0,"",AVERAGE(Y265:AB265))</f>
        <v>0.03425</v>
      </c>
      <c r="AD265" s="130" t="n">
        <v>0.031</v>
      </c>
      <c r="AE265" s="130" t="n">
        <v>0.024</v>
      </c>
      <c r="AF265" s="130" t="n">
        <v>0.018</v>
      </c>
      <c r="AG265" s="130" t="n">
        <v>0.018</v>
      </c>
      <c r="AH265" s="39">
        <f>IF(COUNT(AD265:AG265)=0,"",AVERAGE(AD265:AG265))</f>
        <v>0.02275</v>
      </c>
      <c r="AI265" s="40" t="n"/>
      <c r="AJ265" s="40" t="n"/>
      <c r="AK265" s="40" t="n"/>
      <c r="AL265" s="40" t="n"/>
      <c r="AM265" s="39" t="str">
        <f>IF(COUNT(AI265:AL265)=0,"",AVERAGE(AI265:AL265))</f>
        <v/>
      </c>
      <c r="AN265" s="40" t="n"/>
      <c r="AO265" s="40" t="n"/>
      <c r="AP265" s="40" t="n"/>
      <c r="AQ265" s="40" t="n"/>
      <c r="AR265" s="39" t="str">
        <f>IF(COUNT(AN265:AQ265)=0,"",AVERAGE(AN265:AQ265))</f>
        <v/>
      </c>
      <c r="AS265" s="40" t="n"/>
      <c r="AT265" s="40" t="n"/>
      <c r="AU265" s="40" t="n"/>
      <c r="AV265" s="40" t="n"/>
      <c r="AW265" s="39" t="str">
        <f>IF(COUNT(AS265:AV265)=0,"",AVERAGE(AS265:AV265))</f>
        <v/>
      </c>
      <c r="AX265" s="40" t="n"/>
      <c r="AY265" s="40" t="n"/>
      <c r="AZ265" s="40" t="n"/>
      <c r="BA265" s="40" t="n"/>
      <c r="BB265" s="39" t="str">
        <f>IF(COUNT(AX265:BA265)=0,"",AVERAGE(AX265:BA265))</f>
        <v/>
      </c>
      <c r="BC265" s="40" t="n"/>
      <c r="BD265" s="40" t="n"/>
      <c r="BE265" s="40" t="n"/>
      <c r="BF265" s="40" t="n"/>
      <c r="BG265" s="39" t="str">
        <f>IF(COUNT(BC265:BF265)=0,"",AVERAGE(BC265:BF265))</f>
        <v/>
      </c>
      <c r="BI265" s="14" t="inlineStr">
        <is>
          <t>Realizado 1T20-4T25: IBGE, Contas Nacionais Trimestrais, tabela 5932, variável 6561, PIB a preços de mercado, variação contra o mesmo trimestre do ano anterior. Coluna anual é a média dos quatro trimestres, aproximação do fechado do ano.</t>
        </is>
      </c>
    </row>
    <row r="266">
      <c r="C266" s="11" t="inlineStr">
        <is>
          <t>Câmbio R$/US$ (fim de período)</t>
        </is>
      </c>
      <c r="D266" s="12" t="inlineStr">
        <is>
          <t>BRL/USD, eop</t>
        </is>
      </c>
      <c r="E266" s="134" t="n">
        <v>5.1981</v>
      </c>
      <c r="F266" s="134" t="n">
        <v>5.4754</v>
      </c>
      <c r="G266" s="134" t="n">
        <v>5.6401</v>
      </c>
      <c r="H266" s="134" t="n">
        <v>5.1961</v>
      </c>
      <c r="I266" s="135">
        <f>IF(H266="","",H266)</f>
        <v>5.1961</v>
      </c>
      <c r="J266" s="134" t="n">
        <v>5.6967</v>
      </c>
      <c r="K266" s="134" t="n">
        <v>5.0016</v>
      </c>
      <c r="L266" s="134" t="n">
        <v>5.4388</v>
      </c>
      <c r="M266" s="134" t="n">
        <v>5.5799</v>
      </c>
      <c r="N266" s="135">
        <f>IF(M266="","",M266)</f>
        <v>5.5799</v>
      </c>
      <c r="O266" s="134" t="n">
        <v>4.7372</v>
      </c>
      <c r="P266" s="134" t="n">
        <v>5.2374</v>
      </c>
      <c r="Q266" s="134" t="n">
        <v>5.406</v>
      </c>
      <c r="R266" s="134" t="n">
        <v>5.2171</v>
      </c>
      <c r="S266" s="135">
        <f>IF(R266="","",R266)</f>
        <v>5.2171</v>
      </c>
      <c r="T266" s="134" t="n">
        <v>5.0798</v>
      </c>
      <c r="U266" s="134" t="n">
        <v>4.8186</v>
      </c>
      <c r="V266" s="134" t="n">
        <v>5.007</v>
      </c>
      <c r="W266" s="134" t="n">
        <v>4.8407</v>
      </c>
      <c r="X266" s="135">
        <f>IF(W266="","",W266)</f>
        <v>4.8407</v>
      </c>
      <c r="Y266" s="134" t="n">
        <v>4.9956</v>
      </c>
      <c r="Z266" s="134" t="n">
        <v>5.5583</v>
      </c>
      <c r="AA266" s="134" t="n">
        <v>5.4475</v>
      </c>
      <c r="AB266" s="134" t="n">
        <v>6.1917</v>
      </c>
      <c r="AC266" s="135">
        <f>IF(AB266="","",AB266)</f>
        <v>6.1917</v>
      </c>
      <c r="AD266" s="134" t="n">
        <v>5.7416</v>
      </c>
      <c r="AE266" s="134" t="n">
        <v>5.4565</v>
      </c>
      <c r="AF266" s="134" t="n">
        <v>5.318</v>
      </c>
      <c r="AG266" s="134" t="n">
        <v>5.5018</v>
      </c>
      <c r="AH266" s="43">
        <f>IF(AG266="","",AG266)</f>
        <v>5.5018</v>
      </c>
      <c r="AI266" s="44" t="n"/>
      <c r="AJ266" s="44" t="n"/>
      <c r="AK266" s="44" t="n"/>
      <c r="AL266" s="44" t="n"/>
      <c r="AM266" s="43" t="str">
        <f>IF(AL266="","",AL266)</f>
        <v/>
      </c>
      <c r="AN266" s="44" t="n"/>
      <c r="AO266" s="44" t="n"/>
      <c r="AP266" s="44" t="n"/>
      <c r="AQ266" s="44" t="n"/>
      <c r="AR266" s="43" t="str">
        <f>IF(AQ266="","",AQ266)</f>
        <v/>
      </c>
      <c r="AS266" s="44" t="n"/>
      <c r="AT266" s="44" t="n"/>
      <c r="AU266" s="44" t="n"/>
      <c r="AV266" s="44" t="n"/>
      <c r="AW266" s="43" t="str">
        <f>IF(AV266="","",AV266)</f>
        <v/>
      </c>
      <c r="AX266" s="44" t="n"/>
      <c r="AY266" s="44" t="n"/>
      <c r="AZ266" s="44" t="n"/>
      <c r="BA266" s="44" t="n"/>
      <c r="BB266" s="43" t="str">
        <f>IF(BA266="","",BA266)</f>
        <v/>
      </c>
      <c r="BC266" s="44" t="n"/>
      <c r="BD266" s="44" t="n"/>
      <c r="BE266" s="44" t="n"/>
      <c r="BF266" s="44" t="n"/>
      <c r="BG266" s="43" t="str">
        <f>IF(BF266="","",BF266)</f>
        <v/>
      </c>
      <c r="BI266" s="14" t="inlineStr">
        <is>
          <t>Realizado 1T20-4T25: BCB SGS 3695, dólar venda fim de período, valor do último mês do trimestre. Coluna anual = 4T.</t>
        </is>
      </c>
    </row>
    <row r="267">
      <c r="C267" s="11" t="inlineStr">
        <is>
          <t>TLP — componente de juros reais prefixados (% a.a.)</t>
        </is>
      </c>
      <c r="D267" s="12" t="inlineStr">
        <is>
          <t>TLP, real component</t>
        </is>
      </c>
      <c r="E267" s="130" t="n">
        <v>0.0247</v>
      </c>
      <c r="F267" s="130" t="n">
        <v>0.0305</v>
      </c>
      <c r="G267" s="130" t="n">
        <v>0.0207</v>
      </c>
      <c r="H267" s="130" t="n">
        <v>0.0247</v>
      </c>
      <c r="I267" s="131">
        <f>IF(H267="","",H267)</f>
        <v>0.0247</v>
      </c>
      <c r="J267" s="130" t="n">
        <v>0.025</v>
      </c>
      <c r="K267" s="130" t="n">
        <v>0.0346</v>
      </c>
      <c r="L267" s="130" t="n">
        <v>0.0395</v>
      </c>
      <c r="M267" s="130" t="n">
        <v>0.04940000000000001</v>
      </c>
      <c r="N267" s="131">
        <f>IF(M267="","",M267)</f>
        <v>0.0494</v>
      </c>
      <c r="O267" s="130" t="n">
        <v>0.0524</v>
      </c>
      <c r="P267" s="130" t="n">
        <v>0.055</v>
      </c>
      <c r="Q267" s="130" t="n">
        <v>0.0575</v>
      </c>
      <c r="R267" s="130" t="n">
        <v>0.0575</v>
      </c>
      <c r="S267" s="131">
        <f>IF(R267="","",R267)</f>
        <v>0.0575</v>
      </c>
      <c r="T267" s="130" t="n">
        <v>0.06150000000000001</v>
      </c>
      <c r="U267" s="130" t="n">
        <v>0.05690000000000001</v>
      </c>
      <c r="V267" s="130" t="n">
        <v>0.0515</v>
      </c>
      <c r="W267" s="130" t="n">
        <v>0.0556</v>
      </c>
      <c r="X267" s="131">
        <f>IF(W267="","",W267)</f>
        <v>0.0556</v>
      </c>
      <c r="Y267" s="130" t="n">
        <v>0.0541</v>
      </c>
      <c r="Z267" s="130" t="n">
        <v>0.0591</v>
      </c>
      <c r="AA267" s="130" t="n">
        <v>0.06280000000000001</v>
      </c>
      <c r="AB267" s="130" t="n">
        <v>0.06660000000000001</v>
      </c>
      <c r="AC267" s="131">
        <f>IF(AB267="","",AB267)</f>
        <v>0.0666</v>
      </c>
      <c r="AD267" s="130" t="n">
        <v>0.07679999999999999</v>
      </c>
      <c r="AE267" s="130" t="n">
        <v>0.0761</v>
      </c>
      <c r="AF267" s="130" t="n">
        <v>0.0761</v>
      </c>
      <c r="AG267" s="130" t="n">
        <v>0.07820000000000001</v>
      </c>
      <c r="AH267" s="39">
        <f>IF(AG267="","",AG267)</f>
        <v>0.0782</v>
      </c>
      <c r="AI267" s="40" t="n"/>
      <c r="AJ267" s="40" t="n"/>
      <c r="AK267" s="40" t="n"/>
      <c r="AL267" s="40" t="n"/>
      <c r="AM267" s="39" t="str">
        <f>IF(AL267="","",AL267)</f>
        <v/>
      </c>
      <c r="AN267" s="40" t="n"/>
      <c r="AO267" s="40" t="n"/>
      <c r="AP267" s="40" t="n"/>
      <c r="AQ267" s="40" t="n"/>
      <c r="AR267" s="39" t="str">
        <f>IF(AQ267="","",AQ267)</f>
        <v/>
      </c>
      <c r="AS267" s="40" t="n"/>
      <c r="AT267" s="40" t="n"/>
      <c r="AU267" s="40" t="n"/>
      <c r="AV267" s="40" t="n"/>
      <c r="AW267" s="39" t="str">
        <f>IF(AV267="","",AV267)</f>
        <v/>
      </c>
      <c r="AX267" s="40" t="n"/>
      <c r="AY267" s="40" t="n"/>
      <c r="AZ267" s="40" t="n"/>
      <c r="BA267" s="40" t="n"/>
      <c r="BB267" s="39" t="str">
        <f>IF(BA267="","",BA267)</f>
        <v/>
      </c>
      <c r="BC267" s="40" t="n"/>
      <c r="BD267" s="40" t="n"/>
      <c r="BE267" s="40" t="n"/>
      <c r="BF267" s="40" t="n"/>
      <c r="BG267" s="39" t="str">
        <f>IF(BF267="","",BF267)</f>
        <v/>
      </c>
      <c r="BI267" s="14" t="inlineStr">
        <is>
          <t>Realizado 1T20-4T25: BCB SGS 27572, componente de juros reais prefixados da TLP. A TLP nominal soma o IPCA pro rata a esta taxa. Coluna anual = 4T.</t>
        </is>
      </c>
    </row>
    <row r="269">
      <c r="B269" s="7" t="n"/>
      <c r="C269" s="7" t="inlineStr">
        <is>
          <t>DRIVERS — CRÉDITO, TESOURARIA E FUNDING</t>
        </is>
      </c>
      <c r="D269" s="7" t="inlineStr">
        <is>
          <t>DRIVERS — LOANS, TREASURY &amp; FUNDING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>
      <c r="C270" s="11" t="inlineStr">
        <is>
          <t>Carteira de crédito — crescimento % QoQ</t>
        </is>
      </c>
      <c r="D270" s="12" t="inlineStr">
        <is>
          <t>Loan growth QoQ</t>
        </is>
      </c>
      <c r="E270" s="40" t="n"/>
      <c r="F270" s="40" t="n"/>
      <c r="G270" s="40" t="n"/>
      <c r="H270" s="40" t="n"/>
      <c r="I270" s="39" t="str">
        <f>IF(COUNT(E270:H270)=0,"",AVERAGE(E270:H270))</f>
        <v/>
      </c>
      <c r="J270" s="40" t="n"/>
      <c r="K270" s="40" t="n"/>
      <c r="L270" s="40" t="n"/>
      <c r="M270" s="40" t="n"/>
      <c r="N270" s="39" t="str">
        <f>IF(COUNT(J270:M270)=0,"",AVERAGE(J270:M270))</f>
        <v/>
      </c>
      <c r="O270" s="40" t="n"/>
      <c r="P270" s="40" t="n"/>
      <c r="Q270" s="40" t="n"/>
      <c r="R270" s="40" t="n"/>
      <c r="S270" s="39" t="str">
        <f>IF(COUNT(O270:R270)=0,"",AVERAGE(O270:R270))</f>
        <v/>
      </c>
      <c r="T270" s="40" t="n"/>
      <c r="U270" s="40" t="n"/>
      <c r="V270" s="40" t="n"/>
      <c r="W270" s="40" t="n"/>
      <c r="X270" s="39" t="str">
        <f>IF(COUNT(T270:W270)=0,"",AVERAGE(T270:W270))</f>
        <v/>
      </c>
      <c r="Y270" s="40" t="n"/>
      <c r="Z270" s="40" t="n"/>
      <c r="AA270" s="40" t="n"/>
      <c r="AB270" s="40" t="n"/>
      <c r="AC270" s="39" t="str">
        <f>IF(COUNT(Y270:AB270)=0,"",AVERAGE(Y270:AB270))</f>
        <v/>
      </c>
      <c r="AD270" s="40" t="n"/>
      <c r="AE270" s="40" t="n"/>
      <c r="AF270" s="40" t="n"/>
      <c r="AG270" s="40" t="n"/>
      <c r="AH270" s="39" t="str">
        <f>IF(COUNT(AD270:AG270)=0,"",AVERAGE(AD270:AG270))</f>
        <v/>
      </c>
      <c r="AI270" s="40" t="n"/>
      <c r="AJ270" s="40" t="n"/>
      <c r="AK270" s="40" t="n"/>
      <c r="AL270" s="40" t="n"/>
      <c r="AM270" s="39" t="str">
        <f>IF(COUNT(AI270:AL270)=0,"",AVERAGE(AI270:AL270))</f>
        <v/>
      </c>
      <c r="AN270" s="40" t="n"/>
      <c r="AO270" s="40" t="n"/>
      <c r="AP270" s="40" t="n"/>
      <c r="AQ270" s="40" t="n"/>
      <c r="AR270" s="39" t="str">
        <f>IF(COUNT(AN270:AQ270)=0,"",AVERAGE(AN270:AQ270))</f>
        <v/>
      </c>
      <c r="AS270" s="40" t="n"/>
      <c r="AT270" s="40" t="n"/>
      <c r="AU270" s="40" t="n"/>
      <c r="AV270" s="40" t="n"/>
      <c r="AW270" s="39" t="str">
        <f>IF(COUNT(AS270:AV270)=0,"",AVERAGE(AS270:AV270))</f>
        <v/>
      </c>
      <c r="AX270" s="40" t="n"/>
      <c r="AY270" s="40" t="n"/>
      <c r="AZ270" s="40" t="n"/>
      <c r="BA270" s="40" t="n"/>
      <c r="BB270" s="39" t="str">
        <f>IF(COUNT(AX270:BA270)=0,"",AVERAGE(AX270:BA270))</f>
        <v/>
      </c>
      <c r="BC270" s="40" t="n"/>
      <c r="BD270" s="40" t="n"/>
      <c r="BE270" s="40" t="n"/>
      <c r="BF270" s="40" t="n"/>
      <c r="BG270" s="39" t="str">
        <f>IF(COUNT(BC270:BF270)=0,"",AVERAGE(BC270:BF270))</f>
        <v/>
      </c>
    </row>
    <row r="271">
      <c r="C271" s="11" t="inlineStr">
        <is>
          <t>Taxa média da carteira de crédito (% a.a.)</t>
        </is>
      </c>
      <c r="D271" s="12" t="inlineStr">
        <is>
          <t>Average loan yield</t>
        </is>
      </c>
      <c r="E271" s="40" t="n"/>
      <c r="F271" s="40" t="n"/>
      <c r="G271" s="40" t="n"/>
      <c r="H271" s="40" t="n"/>
      <c r="I271" s="39" t="str">
        <f>IF(COUNT(E271:H271)=0,"",AVERAGE(E271:H271))</f>
        <v/>
      </c>
      <c r="J271" s="40" t="n"/>
      <c r="K271" s="40" t="n"/>
      <c r="L271" s="40" t="n"/>
      <c r="M271" s="40" t="n"/>
      <c r="N271" s="39" t="str">
        <f>IF(COUNT(J271:M271)=0,"",AVERAGE(J271:M271))</f>
        <v/>
      </c>
      <c r="O271" s="40" t="n"/>
      <c r="P271" s="40" t="n"/>
      <c r="Q271" s="40" t="n"/>
      <c r="R271" s="40" t="n"/>
      <c r="S271" s="39" t="str">
        <f>IF(COUNT(O271:R271)=0,"",AVERAGE(O271:R271))</f>
        <v/>
      </c>
      <c r="T271" s="40" t="n"/>
      <c r="U271" s="40" t="n"/>
      <c r="V271" s="40" t="n"/>
      <c r="W271" s="40" t="n"/>
      <c r="X271" s="39" t="str">
        <f>IF(COUNT(T271:W271)=0,"",AVERAGE(T271:W271))</f>
        <v/>
      </c>
      <c r="Y271" s="40" t="n"/>
      <c r="Z271" s="40" t="n"/>
      <c r="AA271" s="40" t="n"/>
      <c r="AB271" s="40" t="n"/>
      <c r="AC271" s="39" t="str">
        <f>IF(COUNT(Y271:AB271)=0,"",AVERAGE(Y271:AB271))</f>
        <v/>
      </c>
      <c r="AD271" s="40" t="n"/>
      <c r="AE271" s="40" t="n"/>
      <c r="AF271" s="40" t="n"/>
      <c r="AG271" s="40" t="n"/>
      <c r="AH271" s="39" t="str">
        <f>IF(COUNT(AD271:AG271)=0,"",AVERAGE(AD271:AG271))</f>
        <v/>
      </c>
      <c r="AI271" s="40" t="n"/>
      <c r="AJ271" s="40" t="n"/>
      <c r="AK271" s="40" t="n"/>
      <c r="AL271" s="40" t="n"/>
      <c r="AM271" s="39" t="str">
        <f>IF(COUNT(AI271:AL271)=0,"",AVERAGE(AI271:AL271))</f>
        <v/>
      </c>
      <c r="AN271" s="40" t="n"/>
      <c r="AO271" s="40" t="n"/>
      <c r="AP271" s="40" t="n"/>
      <c r="AQ271" s="40" t="n"/>
      <c r="AR271" s="39" t="str">
        <f>IF(COUNT(AN271:AQ271)=0,"",AVERAGE(AN271:AQ271))</f>
        <v/>
      </c>
      <c r="AS271" s="40" t="n"/>
      <c r="AT271" s="40" t="n"/>
      <c r="AU271" s="40" t="n"/>
      <c r="AV271" s="40" t="n"/>
      <c r="AW271" s="39" t="str">
        <f>IF(COUNT(AS271:AV271)=0,"",AVERAGE(AS271:AV271))</f>
        <v/>
      </c>
      <c r="AX271" s="40" t="n"/>
      <c r="AY271" s="40" t="n"/>
      <c r="AZ271" s="40" t="n"/>
      <c r="BA271" s="40" t="n"/>
      <c r="BB271" s="39" t="str">
        <f>IF(COUNT(AX271:BA271)=0,"",AVERAGE(AX271:BA271))</f>
        <v/>
      </c>
      <c r="BC271" s="40" t="n"/>
      <c r="BD271" s="40" t="n"/>
      <c r="BE271" s="40" t="n"/>
      <c r="BF271" s="40" t="n"/>
      <c r="BG271" s="39" t="str">
        <f>IF(COUNT(BC271:BF271)=0,"",AVERAGE(BC271:BF271))</f>
        <v/>
      </c>
      <c r="BI271" s="14" t="inlineStr">
        <is>
          <t>Com a DRE recorrente, a linha de receita de crédito do Model carrega a margem com clientes, já líquida. Este driver projeta essa margem, não a taxa bruta da carteira.</t>
        </is>
      </c>
    </row>
    <row r="272">
      <c r="C272" s="11" t="inlineStr">
        <is>
          <t>Custo do crédito (% da carteira média, a.a.)</t>
        </is>
      </c>
      <c r="D272" s="12" t="inlineStr">
        <is>
          <t>Cost of risk</t>
        </is>
      </c>
      <c r="E272" s="40" t="n"/>
      <c r="F272" s="40" t="n"/>
      <c r="G272" s="40" t="n"/>
      <c r="H272" s="40" t="n"/>
      <c r="I272" s="39" t="str">
        <f>IF(COUNT(E272:H272)=0,"",AVERAGE(E272:H272))</f>
        <v/>
      </c>
      <c r="J272" s="40" t="n"/>
      <c r="K272" s="40" t="n"/>
      <c r="L272" s="40" t="n"/>
      <c r="M272" s="40" t="n"/>
      <c r="N272" s="39" t="str">
        <f>IF(COUNT(J272:M272)=0,"",AVERAGE(J272:M272))</f>
        <v/>
      </c>
      <c r="O272" s="40" t="n"/>
      <c r="P272" s="40" t="n"/>
      <c r="Q272" s="40" t="n"/>
      <c r="R272" s="40" t="n"/>
      <c r="S272" s="39" t="str">
        <f>IF(COUNT(O272:R272)=0,"",AVERAGE(O272:R272))</f>
        <v/>
      </c>
      <c r="T272" s="40" t="n"/>
      <c r="U272" s="40" t="n"/>
      <c r="V272" s="40" t="n"/>
      <c r="W272" s="40" t="n"/>
      <c r="X272" s="39" t="str">
        <f>IF(COUNT(T272:W272)=0,"",AVERAGE(T272:W272))</f>
        <v/>
      </c>
      <c r="Y272" s="40" t="n"/>
      <c r="Z272" s="40" t="n"/>
      <c r="AA272" s="40" t="n"/>
      <c r="AB272" s="40" t="n"/>
      <c r="AC272" s="39" t="str">
        <f>IF(COUNT(Y272:AB272)=0,"",AVERAGE(Y272:AB272))</f>
        <v/>
      </c>
      <c r="AD272" s="40" t="n"/>
      <c r="AE272" s="40" t="n"/>
      <c r="AF272" s="40" t="n"/>
      <c r="AG272" s="40" t="n"/>
      <c r="AH272" s="39" t="str">
        <f>IF(COUNT(AD272:AG272)=0,"",AVERAGE(AD272:AG272))</f>
        <v/>
      </c>
      <c r="AI272" s="40" t="n"/>
      <c r="AJ272" s="40" t="n"/>
      <c r="AK272" s="40" t="n"/>
      <c r="AL272" s="40" t="n"/>
      <c r="AM272" s="39" t="str">
        <f>IF(COUNT(AI272:AL272)=0,"",AVERAGE(AI272:AL272))</f>
        <v/>
      </c>
      <c r="AN272" s="40" t="n"/>
      <c r="AO272" s="40" t="n"/>
      <c r="AP272" s="40" t="n"/>
      <c r="AQ272" s="40" t="n"/>
      <c r="AR272" s="39" t="str">
        <f>IF(COUNT(AN272:AQ272)=0,"",AVERAGE(AN272:AQ272))</f>
        <v/>
      </c>
      <c r="AS272" s="40" t="n"/>
      <c r="AT272" s="40" t="n"/>
      <c r="AU272" s="40" t="n"/>
      <c r="AV272" s="40" t="n"/>
      <c r="AW272" s="39" t="str">
        <f>IF(COUNT(AS272:AV272)=0,"",AVERAGE(AS272:AV272))</f>
        <v/>
      </c>
      <c r="AX272" s="40" t="n"/>
      <c r="AY272" s="40" t="n"/>
      <c r="AZ272" s="40" t="n"/>
      <c r="BA272" s="40" t="n"/>
      <c r="BB272" s="39" t="str">
        <f>IF(COUNT(AX272:BA272)=0,"",AVERAGE(AX272:BA272))</f>
        <v/>
      </c>
      <c r="BC272" s="40" t="n"/>
      <c r="BD272" s="40" t="n"/>
      <c r="BE272" s="40" t="n"/>
      <c r="BF272" s="40" t="n"/>
      <c r="BG272" s="39" t="str">
        <f>IF(COUNT(BC272:BF272)=0,"",AVERAGE(BC272:BF272))</f>
        <v/>
      </c>
    </row>
    <row r="273">
      <c r="C273" s="11" t="inlineStr">
        <is>
          <t>Write-off (% da carteira média, a.a.)</t>
        </is>
      </c>
      <c r="D273" s="12" t="inlineStr">
        <is>
          <t>Write-offs</t>
        </is>
      </c>
      <c r="E273" s="40" t="n"/>
      <c r="F273" s="40" t="n"/>
      <c r="G273" s="40" t="n"/>
      <c r="H273" s="40" t="n"/>
      <c r="I273" s="39" t="str">
        <f>IF(COUNT(E273:H273)=0,"",AVERAGE(E273:H273))</f>
        <v/>
      </c>
      <c r="J273" s="40" t="n"/>
      <c r="K273" s="40" t="n"/>
      <c r="L273" s="40" t="n"/>
      <c r="M273" s="40" t="n"/>
      <c r="N273" s="39" t="str">
        <f>IF(COUNT(J273:M273)=0,"",AVERAGE(J273:M273))</f>
        <v/>
      </c>
      <c r="O273" s="40" t="n"/>
      <c r="P273" s="40" t="n"/>
      <c r="Q273" s="40" t="n"/>
      <c r="R273" s="40" t="n"/>
      <c r="S273" s="39" t="str">
        <f>IF(COUNT(O273:R273)=0,"",AVERAGE(O273:R273))</f>
        <v/>
      </c>
      <c r="T273" s="40" t="n"/>
      <c r="U273" s="40" t="n"/>
      <c r="V273" s="40" t="n"/>
      <c r="W273" s="40" t="n"/>
      <c r="X273" s="39" t="str">
        <f>IF(COUNT(T273:W273)=0,"",AVERAGE(T273:W273))</f>
        <v/>
      </c>
      <c r="Y273" s="40" t="n"/>
      <c r="Z273" s="40" t="n"/>
      <c r="AA273" s="40" t="n"/>
      <c r="AB273" s="40" t="n"/>
      <c r="AC273" s="39" t="str">
        <f>IF(COUNT(Y273:AB273)=0,"",AVERAGE(Y273:AB273))</f>
        <v/>
      </c>
      <c r="AD273" s="40" t="n"/>
      <c r="AE273" s="40" t="n"/>
      <c r="AF273" s="40" t="n"/>
      <c r="AG273" s="40" t="n"/>
      <c r="AH273" s="39" t="str">
        <f>IF(COUNT(AD273:AG273)=0,"",AVERAGE(AD273:AG273))</f>
        <v/>
      </c>
      <c r="AI273" s="40" t="n"/>
      <c r="AJ273" s="40" t="n"/>
      <c r="AK273" s="40" t="n"/>
      <c r="AL273" s="40" t="n"/>
      <c r="AM273" s="39" t="str">
        <f>IF(COUNT(AI273:AL273)=0,"",AVERAGE(AI273:AL273))</f>
        <v/>
      </c>
      <c r="AN273" s="40" t="n"/>
      <c r="AO273" s="40" t="n"/>
      <c r="AP273" s="40" t="n"/>
      <c r="AQ273" s="40" t="n"/>
      <c r="AR273" s="39" t="str">
        <f>IF(COUNT(AN273:AQ273)=0,"",AVERAGE(AN273:AQ273))</f>
        <v/>
      </c>
      <c r="AS273" s="40" t="n"/>
      <c r="AT273" s="40" t="n"/>
      <c r="AU273" s="40" t="n"/>
      <c r="AV273" s="40" t="n"/>
      <c r="AW273" s="39" t="str">
        <f>IF(COUNT(AS273:AV273)=0,"",AVERAGE(AS273:AV273))</f>
        <v/>
      </c>
      <c r="AX273" s="40" t="n"/>
      <c r="AY273" s="40" t="n"/>
      <c r="AZ273" s="40" t="n"/>
      <c r="BA273" s="40" t="n"/>
      <c r="BB273" s="39" t="str">
        <f>IF(COUNT(AX273:BA273)=0,"",AVERAGE(AX273:BA273))</f>
        <v/>
      </c>
      <c r="BC273" s="40" t="n"/>
      <c r="BD273" s="40" t="n"/>
      <c r="BE273" s="40" t="n"/>
      <c r="BF273" s="40" t="n"/>
      <c r="BG273" s="39" t="str">
        <f>IF(COUNT(BC273:BF273)=0,"",AVERAGE(BC273:BF273))</f>
        <v/>
      </c>
    </row>
    <row r="274">
      <c r="C274" s="11" t="inlineStr">
        <is>
          <t>Recuperação de créditos baixados (% da despesa de PDD)</t>
        </is>
      </c>
      <c r="D274" s="12" t="inlineStr">
        <is>
          <t>Recoveries</t>
        </is>
      </c>
      <c r="E274" s="40" t="n"/>
      <c r="F274" s="40" t="n"/>
      <c r="G274" s="40" t="n"/>
      <c r="H274" s="40" t="n"/>
      <c r="I274" s="39" t="str">
        <f>IF(COUNT(E274:H274)=0,"",AVERAGE(E274:H274))</f>
        <v/>
      </c>
      <c r="J274" s="40" t="n"/>
      <c r="K274" s="40" t="n"/>
      <c r="L274" s="40" t="n"/>
      <c r="M274" s="40" t="n"/>
      <c r="N274" s="39" t="str">
        <f>IF(COUNT(J274:M274)=0,"",AVERAGE(J274:M274))</f>
        <v/>
      </c>
      <c r="O274" s="40" t="n"/>
      <c r="P274" s="40" t="n"/>
      <c r="Q274" s="40" t="n"/>
      <c r="R274" s="40" t="n"/>
      <c r="S274" s="39" t="str">
        <f>IF(COUNT(O274:R274)=0,"",AVERAGE(O274:R274))</f>
        <v/>
      </c>
      <c r="T274" s="40" t="n"/>
      <c r="U274" s="40" t="n"/>
      <c r="V274" s="40" t="n"/>
      <c r="W274" s="40" t="n"/>
      <c r="X274" s="39" t="str">
        <f>IF(COUNT(T274:W274)=0,"",AVERAGE(T274:W274))</f>
        <v/>
      </c>
      <c r="Y274" s="40" t="n"/>
      <c r="Z274" s="40" t="n"/>
      <c r="AA274" s="40" t="n"/>
      <c r="AB274" s="40" t="n"/>
      <c r="AC274" s="39" t="str">
        <f>IF(COUNT(Y274:AB274)=0,"",AVERAGE(Y274:AB274))</f>
        <v/>
      </c>
      <c r="AD274" s="40" t="n"/>
      <c r="AE274" s="40" t="n"/>
      <c r="AF274" s="40" t="n"/>
      <c r="AG274" s="40" t="n"/>
      <c r="AH274" s="39" t="str">
        <f>IF(COUNT(AD274:AG274)=0,"",AVERAGE(AD274:AG274))</f>
        <v/>
      </c>
      <c r="AI274" s="40" t="n"/>
      <c r="AJ274" s="40" t="n"/>
      <c r="AK274" s="40" t="n"/>
      <c r="AL274" s="40" t="n"/>
      <c r="AM274" s="39" t="str">
        <f>IF(COUNT(AI274:AL274)=0,"",AVERAGE(AI274:AL274))</f>
        <v/>
      </c>
      <c r="AN274" s="40" t="n"/>
      <c r="AO274" s="40" t="n"/>
      <c r="AP274" s="40" t="n"/>
      <c r="AQ274" s="40" t="n"/>
      <c r="AR274" s="39" t="str">
        <f>IF(COUNT(AN274:AQ274)=0,"",AVERAGE(AN274:AQ274))</f>
        <v/>
      </c>
      <c r="AS274" s="40" t="n"/>
      <c r="AT274" s="40" t="n"/>
      <c r="AU274" s="40" t="n"/>
      <c r="AV274" s="40" t="n"/>
      <c r="AW274" s="39" t="str">
        <f>IF(COUNT(AS274:AV274)=0,"",AVERAGE(AS274:AV274))</f>
        <v/>
      </c>
      <c r="AX274" s="40" t="n"/>
      <c r="AY274" s="40" t="n"/>
      <c r="AZ274" s="40" t="n"/>
      <c r="BA274" s="40" t="n"/>
      <c r="BB274" s="39" t="str">
        <f>IF(COUNT(AX274:BA274)=0,"",AVERAGE(AX274:BA274))</f>
        <v/>
      </c>
      <c r="BC274" s="40" t="n"/>
      <c r="BD274" s="40" t="n"/>
      <c r="BE274" s="40" t="n"/>
      <c r="BF274" s="40" t="n"/>
      <c r="BG274" s="39" t="str">
        <f>IF(COUNT(BC274:BF274)=0,"",AVERAGE(BC274:BF274))</f>
        <v/>
      </c>
    </row>
    <row r="275">
      <c r="C275" s="11" t="inlineStr">
        <is>
          <t>TVM e aplicações — crescimento % QoQ</t>
        </is>
      </c>
      <c r="D275" s="12" t="inlineStr">
        <is>
          <t>Securities growth QoQ</t>
        </is>
      </c>
      <c r="E275" s="40" t="n"/>
      <c r="F275" s="40" t="n"/>
      <c r="G275" s="40" t="n"/>
      <c r="H275" s="40" t="n"/>
      <c r="I275" s="39" t="str">
        <f>IF(COUNT(E275:H275)=0,"",AVERAGE(E275:H275))</f>
        <v/>
      </c>
      <c r="J275" s="40" t="n"/>
      <c r="K275" s="40" t="n"/>
      <c r="L275" s="40" t="n"/>
      <c r="M275" s="40" t="n"/>
      <c r="N275" s="39" t="str">
        <f>IF(COUNT(J275:M275)=0,"",AVERAGE(J275:M275))</f>
        <v/>
      </c>
      <c r="O275" s="40" t="n"/>
      <c r="P275" s="40" t="n"/>
      <c r="Q275" s="40" t="n"/>
      <c r="R275" s="40" t="n"/>
      <c r="S275" s="39" t="str">
        <f>IF(COUNT(O275:R275)=0,"",AVERAGE(O275:R275))</f>
        <v/>
      </c>
      <c r="T275" s="40" t="n"/>
      <c r="U275" s="40" t="n"/>
      <c r="V275" s="40" t="n"/>
      <c r="W275" s="40" t="n"/>
      <c r="X275" s="39" t="str">
        <f>IF(COUNT(T275:W275)=0,"",AVERAGE(T275:W275))</f>
        <v/>
      </c>
      <c r="Y275" s="40" t="n"/>
      <c r="Z275" s="40" t="n"/>
      <c r="AA275" s="40" t="n"/>
      <c r="AB275" s="40" t="n"/>
      <c r="AC275" s="39" t="str">
        <f>IF(COUNT(Y275:AB275)=0,"",AVERAGE(Y275:AB275))</f>
        <v/>
      </c>
      <c r="AD275" s="40" t="n"/>
      <c r="AE275" s="40" t="n"/>
      <c r="AF275" s="40" t="n"/>
      <c r="AG275" s="40" t="n"/>
      <c r="AH275" s="39" t="str">
        <f>IF(COUNT(AD275:AG275)=0,"",AVERAGE(AD275:AG275))</f>
        <v/>
      </c>
      <c r="AI275" s="40" t="n"/>
      <c r="AJ275" s="40" t="n"/>
      <c r="AK275" s="40" t="n"/>
      <c r="AL275" s="40" t="n"/>
      <c r="AM275" s="39" t="str">
        <f>IF(COUNT(AI275:AL275)=0,"",AVERAGE(AI275:AL275))</f>
        <v/>
      </c>
      <c r="AN275" s="40" t="n"/>
      <c r="AO275" s="40" t="n"/>
      <c r="AP275" s="40" t="n"/>
      <c r="AQ275" s="40" t="n"/>
      <c r="AR275" s="39" t="str">
        <f>IF(COUNT(AN275:AQ275)=0,"",AVERAGE(AN275:AQ275))</f>
        <v/>
      </c>
      <c r="AS275" s="40" t="n"/>
      <c r="AT275" s="40" t="n"/>
      <c r="AU275" s="40" t="n"/>
      <c r="AV275" s="40" t="n"/>
      <c r="AW275" s="39" t="str">
        <f>IF(COUNT(AS275:AV275)=0,"",AVERAGE(AS275:AV275))</f>
        <v/>
      </c>
      <c r="AX275" s="40" t="n"/>
      <c r="AY275" s="40" t="n"/>
      <c r="AZ275" s="40" t="n"/>
      <c r="BA275" s="40" t="n"/>
      <c r="BB275" s="39" t="str">
        <f>IF(COUNT(AX275:BA275)=0,"",AVERAGE(AX275:BA275))</f>
        <v/>
      </c>
      <c r="BC275" s="40" t="n"/>
      <c r="BD275" s="40" t="n"/>
      <c r="BE275" s="40" t="n"/>
      <c r="BF275" s="40" t="n"/>
      <c r="BG275" s="39" t="str">
        <f>IF(COUNT(BC275:BF275)=0,"",AVERAGE(BC275:BF275))</f>
        <v/>
      </c>
    </row>
    <row r="276">
      <c r="C276" s="11" t="inlineStr">
        <is>
          <t>Rendimento médio de TVM e aplicações (% a.a.)</t>
        </is>
      </c>
      <c r="D276" s="12" t="inlineStr">
        <is>
          <t>Securities yield</t>
        </is>
      </c>
      <c r="E276" s="40" t="n"/>
      <c r="F276" s="40" t="n"/>
      <c r="G276" s="40" t="n"/>
      <c r="H276" s="40" t="n"/>
      <c r="I276" s="39" t="str">
        <f>IF(COUNT(E276:H276)=0,"",AVERAGE(E276:H276))</f>
        <v/>
      </c>
      <c r="J276" s="40" t="n"/>
      <c r="K276" s="40" t="n"/>
      <c r="L276" s="40" t="n"/>
      <c r="M276" s="40" t="n"/>
      <c r="N276" s="39" t="str">
        <f>IF(COUNT(J276:M276)=0,"",AVERAGE(J276:M276))</f>
        <v/>
      </c>
      <c r="O276" s="40" t="n"/>
      <c r="P276" s="40" t="n"/>
      <c r="Q276" s="40" t="n"/>
      <c r="R276" s="40" t="n"/>
      <c r="S276" s="39" t="str">
        <f>IF(COUNT(O276:R276)=0,"",AVERAGE(O276:R276))</f>
        <v/>
      </c>
      <c r="T276" s="40" t="n"/>
      <c r="U276" s="40" t="n"/>
      <c r="V276" s="40" t="n"/>
      <c r="W276" s="40" t="n"/>
      <c r="X276" s="39" t="str">
        <f>IF(COUNT(T276:W276)=0,"",AVERAGE(T276:W276))</f>
        <v/>
      </c>
      <c r="Y276" s="40" t="n"/>
      <c r="Z276" s="40" t="n"/>
      <c r="AA276" s="40" t="n"/>
      <c r="AB276" s="40" t="n"/>
      <c r="AC276" s="39" t="str">
        <f>IF(COUNT(Y276:AB276)=0,"",AVERAGE(Y276:AB276))</f>
        <v/>
      </c>
      <c r="AD276" s="40" t="n"/>
      <c r="AE276" s="40" t="n"/>
      <c r="AF276" s="40" t="n"/>
      <c r="AG276" s="40" t="n"/>
      <c r="AH276" s="39" t="str">
        <f>IF(COUNT(AD276:AG276)=0,"",AVERAGE(AD276:AG276))</f>
        <v/>
      </c>
      <c r="AI276" s="40" t="n"/>
      <c r="AJ276" s="40" t="n"/>
      <c r="AK276" s="40" t="n"/>
      <c r="AL276" s="40" t="n"/>
      <c r="AM276" s="39" t="str">
        <f>IF(COUNT(AI276:AL276)=0,"",AVERAGE(AI276:AL276))</f>
        <v/>
      </c>
      <c r="AN276" s="40" t="n"/>
      <c r="AO276" s="40" t="n"/>
      <c r="AP276" s="40" t="n"/>
      <c r="AQ276" s="40" t="n"/>
      <c r="AR276" s="39" t="str">
        <f>IF(COUNT(AN276:AQ276)=0,"",AVERAGE(AN276:AQ276))</f>
        <v/>
      </c>
      <c r="AS276" s="40" t="n"/>
      <c r="AT276" s="40" t="n"/>
      <c r="AU276" s="40" t="n"/>
      <c r="AV276" s="40" t="n"/>
      <c r="AW276" s="39" t="str">
        <f>IF(COUNT(AS276:AV276)=0,"",AVERAGE(AS276:AV276))</f>
        <v/>
      </c>
      <c r="AX276" s="40" t="n"/>
      <c r="AY276" s="40" t="n"/>
      <c r="AZ276" s="40" t="n"/>
      <c r="BA276" s="40" t="n"/>
      <c r="BB276" s="39" t="str">
        <f>IF(COUNT(AX276:BA276)=0,"",AVERAGE(AX276:BA276))</f>
        <v/>
      </c>
      <c r="BC276" s="40" t="n"/>
      <c r="BD276" s="40" t="n"/>
      <c r="BE276" s="40" t="n"/>
      <c r="BF276" s="40" t="n"/>
      <c r="BG276" s="39" t="str">
        <f>IF(COUNT(BC276:BF276)=0,"",AVERAGE(BC276:BF276))</f>
        <v/>
      </c>
    </row>
    <row r="277">
      <c r="C277" s="11" t="inlineStr">
        <is>
          <t>Depósitos — crescimento % QoQ</t>
        </is>
      </c>
      <c r="D277" s="12" t="inlineStr">
        <is>
          <t>Deposits growth QoQ</t>
        </is>
      </c>
      <c r="E277" s="40" t="n"/>
      <c r="F277" s="40" t="n"/>
      <c r="G277" s="40" t="n"/>
      <c r="H277" s="40" t="n"/>
      <c r="I277" s="39" t="str">
        <f>IF(COUNT(E277:H277)=0,"",AVERAGE(E277:H277))</f>
        <v/>
      </c>
      <c r="J277" s="40" t="n"/>
      <c r="K277" s="40" t="n"/>
      <c r="L277" s="40" t="n"/>
      <c r="M277" s="40" t="n"/>
      <c r="N277" s="39" t="str">
        <f>IF(COUNT(J277:M277)=0,"",AVERAGE(J277:M277))</f>
        <v/>
      </c>
      <c r="O277" s="40" t="n"/>
      <c r="P277" s="40" t="n"/>
      <c r="Q277" s="40" t="n"/>
      <c r="R277" s="40" t="n"/>
      <c r="S277" s="39" t="str">
        <f>IF(COUNT(O277:R277)=0,"",AVERAGE(O277:R277))</f>
        <v/>
      </c>
      <c r="T277" s="40" t="n"/>
      <c r="U277" s="40" t="n"/>
      <c r="V277" s="40" t="n"/>
      <c r="W277" s="40" t="n"/>
      <c r="X277" s="39" t="str">
        <f>IF(COUNT(T277:W277)=0,"",AVERAGE(T277:W277))</f>
        <v/>
      </c>
      <c r="Y277" s="40" t="n"/>
      <c r="Z277" s="40" t="n"/>
      <c r="AA277" s="40" t="n"/>
      <c r="AB277" s="40" t="n"/>
      <c r="AC277" s="39" t="str">
        <f>IF(COUNT(Y277:AB277)=0,"",AVERAGE(Y277:AB277))</f>
        <v/>
      </c>
      <c r="AD277" s="40" t="n"/>
      <c r="AE277" s="40" t="n"/>
      <c r="AF277" s="40" t="n"/>
      <c r="AG277" s="40" t="n"/>
      <c r="AH277" s="39" t="str">
        <f>IF(COUNT(AD277:AG277)=0,"",AVERAGE(AD277:AG277))</f>
        <v/>
      </c>
      <c r="AI277" s="40" t="n"/>
      <c r="AJ277" s="40" t="n"/>
      <c r="AK277" s="40" t="n"/>
      <c r="AL277" s="40" t="n"/>
      <c r="AM277" s="39" t="str">
        <f>IF(COUNT(AI277:AL277)=0,"",AVERAGE(AI277:AL277))</f>
        <v/>
      </c>
      <c r="AN277" s="40" t="n"/>
      <c r="AO277" s="40" t="n"/>
      <c r="AP277" s="40" t="n"/>
      <c r="AQ277" s="40" t="n"/>
      <c r="AR277" s="39" t="str">
        <f>IF(COUNT(AN277:AQ277)=0,"",AVERAGE(AN277:AQ277))</f>
        <v/>
      </c>
      <c r="AS277" s="40" t="n"/>
      <c r="AT277" s="40" t="n"/>
      <c r="AU277" s="40" t="n"/>
      <c r="AV277" s="40" t="n"/>
      <c r="AW277" s="39" t="str">
        <f>IF(COUNT(AS277:AV277)=0,"",AVERAGE(AS277:AV277))</f>
        <v/>
      </c>
      <c r="AX277" s="40" t="n"/>
      <c r="AY277" s="40" t="n"/>
      <c r="AZ277" s="40" t="n"/>
      <c r="BA277" s="40" t="n"/>
      <c r="BB277" s="39" t="str">
        <f>IF(COUNT(AX277:BA277)=0,"",AVERAGE(AX277:BA277))</f>
        <v/>
      </c>
      <c r="BC277" s="40" t="n"/>
      <c r="BD277" s="40" t="n"/>
      <c r="BE277" s="40" t="n"/>
      <c r="BF277" s="40" t="n"/>
      <c r="BG277" s="39" t="str">
        <f>IF(COUNT(BC277:BF277)=0,"",AVERAGE(BC277:BF277))</f>
        <v/>
      </c>
    </row>
    <row r="278">
      <c r="C278" s="11" t="inlineStr">
        <is>
          <t>Instrumentos de dívida — crescimento % QoQ</t>
        </is>
      </c>
      <c r="D278" s="12" t="inlineStr">
        <is>
          <t>Debt growth QoQ</t>
        </is>
      </c>
      <c r="E278" s="40" t="n"/>
      <c r="F278" s="40" t="n"/>
      <c r="G278" s="40" t="n"/>
      <c r="H278" s="40" t="n"/>
      <c r="I278" s="39" t="str">
        <f>IF(COUNT(E278:H278)=0,"",AVERAGE(E278:H278))</f>
        <v/>
      </c>
      <c r="J278" s="40" t="n"/>
      <c r="K278" s="40" t="n"/>
      <c r="L278" s="40" t="n"/>
      <c r="M278" s="40" t="n"/>
      <c r="N278" s="39" t="str">
        <f>IF(COUNT(J278:M278)=0,"",AVERAGE(J278:M278))</f>
        <v/>
      </c>
      <c r="O278" s="40" t="n"/>
      <c r="P278" s="40" t="n"/>
      <c r="Q278" s="40" t="n"/>
      <c r="R278" s="40" t="n"/>
      <c r="S278" s="39" t="str">
        <f>IF(COUNT(O278:R278)=0,"",AVERAGE(O278:R278))</f>
        <v/>
      </c>
      <c r="T278" s="40" t="n"/>
      <c r="U278" s="40" t="n"/>
      <c r="V278" s="40" t="n"/>
      <c r="W278" s="40" t="n"/>
      <c r="X278" s="39" t="str">
        <f>IF(COUNT(T278:W278)=0,"",AVERAGE(T278:W278))</f>
        <v/>
      </c>
      <c r="Y278" s="40" t="n"/>
      <c r="Z278" s="40" t="n"/>
      <c r="AA278" s="40" t="n"/>
      <c r="AB278" s="40" t="n"/>
      <c r="AC278" s="39" t="str">
        <f>IF(COUNT(Y278:AB278)=0,"",AVERAGE(Y278:AB278))</f>
        <v/>
      </c>
      <c r="AD278" s="40" t="n"/>
      <c r="AE278" s="40" t="n"/>
      <c r="AF278" s="40" t="n"/>
      <c r="AG278" s="40" t="n"/>
      <c r="AH278" s="39" t="str">
        <f>IF(COUNT(AD278:AG278)=0,"",AVERAGE(AD278:AG278))</f>
        <v/>
      </c>
      <c r="AI278" s="40" t="n"/>
      <c r="AJ278" s="40" t="n"/>
      <c r="AK278" s="40" t="n"/>
      <c r="AL278" s="40" t="n"/>
      <c r="AM278" s="39" t="str">
        <f>IF(COUNT(AI278:AL278)=0,"",AVERAGE(AI278:AL278))</f>
        <v/>
      </c>
      <c r="AN278" s="40" t="n"/>
      <c r="AO278" s="40" t="n"/>
      <c r="AP278" s="40" t="n"/>
      <c r="AQ278" s="40" t="n"/>
      <c r="AR278" s="39" t="str">
        <f>IF(COUNT(AN278:AQ278)=0,"",AVERAGE(AN278:AQ278))</f>
        <v/>
      </c>
      <c r="AS278" s="40" t="n"/>
      <c r="AT278" s="40" t="n"/>
      <c r="AU278" s="40" t="n"/>
      <c r="AV278" s="40" t="n"/>
      <c r="AW278" s="39" t="str">
        <f>IF(COUNT(AS278:AV278)=0,"",AVERAGE(AS278:AV278))</f>
        <v/>
      </c>
      <c r="AX278" s="40" t="n"/>
      <c r="AY278" s="40" t="n"/>
      <c r="AZ278" s="40" t="n"/>
      <c r="BA278" s="40" t="n"/>
      <c r="BB278" s="39" t="str">
        <f>IF(COUNT(AX278:BA278)=0,"",AVERAGE(AX278:BA278))</f>
        <v/>
      </c>
      <c r="BC278" s="40" t="n"/>
      <c r="BD278" s="40" t="n"/>
      <c r="BE278" s="40" t="n"/>
      <c r="BF278" s="40" t="n"/>
      <c r="BG278" s="39" t="str">
        <f>IF(COUNT(BC278:BF278)=0,"",AVERAGE(BC278:BF278))</f>
        <v/>
      </c>
    </row>
    <row r="279">
      <c r="C279" s="11" t="inlineStr">
        <is>
          <t>Empréstimos e repasses — crescimento % QoQ</t>
        </is>
      </c>
      <c r="D279" s="12" t="inlineStr">
        <is>
          <t>Borrowings growth QoQ</t>
        </is>
      </c>
      <c r="E279" s="40" t="n"/>
      <c r="F279" s="40" t="n"/>
      <c r="G279" s="40" t="n"/>
      <c r="H279" s="40" t="n"/>
      <c r="I279" s="39" t="str">
        <f>IF(COUNT(E279:H279)=0,"",AVERAGE(E279:H279))</f>
        <v/>
      </c>
      <c r="J279" s="40" t="n"/>
      <c r="K279" s="40" t="n"/>
      <c r="L279" s="40" t="n"/>
      <c r="M279" s="40" t="n"/>
      <c r="N279" s="39" t="str">
        <f>IF(COUNT(J279:M279)=0,"",AVERAGE(J279:M279))</f>
        <v/>
      </c>
      <c r="O279" s="40" t="n"/>
      <c r="P279" s="40" t="n"/>
      <c r="Q279" s="40" t="n"/>
      <c r="R279" s="40" t="n"/>
      <c r="S279" s="39" t="str">
        <f>IF(COUNT(O279:R279)=0,"",AVERAGE(O279:R279))</f>
        <v/>
      </c>
      <c r="T279" s="40" t="n"/>
      <c r="U279" s="40" t="n"/>
      <c r="V279" s="40" t="n"/>
      <c r="W279" s="40" t="n"/>
      <c r="X279" s="39" t="str">
        <f>IF(COUNT(T279:W279)=0,"",AVERAGE(T279:W279))</f>
        <v/>
      </c>
      <c r="Y279" s="40" t="n"/>
      <c r="Z279" s="40" t="n"/>
      <c r="AA279" s="40" t="n"/>
      <c r="AB279" s="40" t="n"/>
      <c r="AC279" s="39" t="str">
        <f>IF(COUNT(Y279:AB279)=0,"",AVERAGE(Y279:AB279))</f>
        <v/>
      </c>
      <c r="AD279" s="40" t="n"/>
      <c r="AE279" s="40" t="n"/>
      <c r="AF279" s="40" t="n"/>
      <c r="AG279" s="40" t="n"/>
      <c r="AH279" s="39" t="str">
        <f>IF(COUNT(AD279:AG279)=0,"",AVERAGE(AD279:AG279))</f>
        <v/>
      </c>
      <c r="AI279" s="40" t="n"/>
      <c r="AJ279" s="40" t="n"/>
      <c r="AK279" s="40" t="n"/>
      <c r="AL279" s="40" t="n"/>
      <c r="AM279" s="39" t="str">
        <f>IF(COUNT(AI279:AL279)=0,"",AVERAGE(AI279:AL279))</f>
        <v/>
      </c>
      <c r="AN279" s="40" t="n"/>
      <c r="AO279" s="40" t="n"/>
      <c r="AP279" s="40" t="n"/>
      <c r="AQ279" s="40" t="n"/>
      <c r="AR279" s="39" t="str">
        <f>IF(COUNT(AN279:AQ279)=0,"",AVERAGE(AN279:AQ279))</f>
        <v/>
      </c>
      <c r="AS279" s="40" t="n"/>
      <c r="AT279" s="40" t="n"/>
      <c r="AU279" s="40" t="n"/>
      <c r="AV279" s="40" t="n"/>
      <c r="AW279" s="39" t="str">
        <f>IF(COUNT(AS279:AV279)=0,"",AVERAGE(AS279:AV279))</f>
        <v/>
      </c>
      <c r="AX279" s="40" t="n"/>
      <c r="AY279" s="40" t="n"/>
      <c r="AZ279" s="40" t="n"/>
      <c r="BA279" s="40" t="n"/>
      <c r="BB279" s="39" t="str">
        <f>IF(COUNT(AX279:BA279)=0,"",AVERAGE(AX279:BA279))</f>
        <v/>
      </c>
      <c r="BC279" s="40" t="n"/>
      <c r="BD279" s="40" t="n"/>
      <c r="BE279" s="40" t="n"/>
      <c r="BF279" s="40" t="n"/>
      <c r="BG279" s="39" t="str">
        <f>IF(COUNT(BC279:BF279)=0,"",AVERAGE(BC279:BF279))</f>
        <v/>
      </c>
    </row>
    <row r="280">
      <c r="C280" s="11" t="inlineStr">
        <is>
          <t>Custo médio do funding (% a.a.)</t>
        </is>
      </c>
      <c r="D280" s="12" t="inlineStr">
        <is>
          <t>Cost of funding</t>
        </is>
      </c>
      <c r="E280" s="40" t="n"/>
      <c r="F280" s="40" t="n"/>
      <c r="G280" s="40" t="n"/>
      <c r="H280" s="40" t="n"/>
      <c r="I280" s="39" t="str">
        <f>IF(COUNT(E280:H280)=0,"",AVERAGE(E280:H280))</f>
        <v/>
      </c>
      <c r="J280" s="40" t="n"/>
      <c r="K280" s="40" t="n"/>
      <c r="L280" s="40" t="n"/>
      <c r="M280" s="40" t="n"/>
      <c r="N280" s="39" t="str">
        <f>IF(COUNT(J280:M280)=0,"",AVERAGE(J280:M280))</f>
        <v/>
      </c>
      <c r="O280" s="40" t="n"/>
      <c r="P280" s="40" t="n"/>
      <c r="Q280" s="40" t="n"/>
      <c r="R280" s="40" t="n"/>
      <c r="S280" s="39" t="str">
        <f>IF(COUNT(O280:R280)=0,"",AVERAGE(O280:R280))</f>
        <v/>
      </c>
      <c r="T280" s="40" t="n"/>
      <c r="U280" s="40" t="n"/>
      <c r="V280" s="40" t="n"/>
      <c r="W280" s="40" t="n"/>
      <c r="X280" s="39" t="str">
        <f>IF(COUNT(T280:W280)=0,"",AVERAGE(T280:W280))</f>
        <v/>
      </c>
      <c r="Y280" s="40" t="n"/>
      <c r="Z280" s="40" t="n"/>
      <c r="AA280" s="40" t="n"/>
      <c r="AB280" s="40" t="n"/>
      <c r="AC280" s="39" t="str">
        <f>IF(COUNT(Y280:AB280)=0,"",AVERAGE(Y280:AB280))</f>
        <v/>
      </c>
      <c r="AD280" s="40" t="n"/>
      <c r="AE280" s="40" t="n"/>
      <c r="AF280" s="40" t="n"/>
      <c r="AG280" s="40" t="n"/>
      <c r="AH280" s="39" t="str">
        <f>IF(COUNT(AD280:AG280)=0,"",AVERAGE(AD280:AG280))</f>
        <v/>
      </c>
      <c r="AI280" s="40" t="n"/>
      <c r="AJ280" s="40" t="n"/>
      <c r="AK280" s="40" t="n"/>
      <c r="AL280" s="40" t="n"/>
      <c r="AM280" s="39" t="str">
        <f>IF(COUNT(AI280:AL280)=0,"",AVERAGE(AI280:AL280))</f>
        <v/>
      </c>
      <c r="AN280" s="40" t="n"/>
      <c r="AO280" s="40" t="n"/>
      <c r="AP280" s="40" t="n"/>
      <c r="AQ280" s="40" t="n"/>
      <c r="AR280" s="39" t="str">
        <f>IF(COUNT(AN280:AQ280)=0,"",AVERAGE(AN280:AQ280))</f>
        <v/>
      </c>
      <c r="AS280" s="40" t="n"/>
      <c r="AT280" s="40" t="n"/>
      <c r="AU280" s="40" t="n"/>
      <c r="AV280" s="40" t="n"/>
      <c r="AW280" s="39" t="str">
        <f>IF(COUNT(AS280:AV280)=0,"",AVERAGE(AS280:AV280))</f>
        <v/>
      </c>
      <c r="AX280" s="40" t="n"/>
      <c r="AY280" s="40" t="n"/>
      <c r="AZ280" s="40" t="n"/>
      <c r="BA280" s="40" t="n"/>
      <c r="BB280" s="39" t="str">
        <f>IF(COUNT(AX280:BA280)=0,"",AVERAGE(AX280:BA280))</f>
        <v/>
      </c>
      <c r="BC280" s="40" t="n"/>
      <c r="BD280" s="40" t="n"/>
      <c r="BE280" s="40" t="n"/>
      <c r="BF280" s="40" t="n"/>
      <c r="BG280" s="39" t="str">
        <f>IF(COUNT(BC280:BF280)=0,"",AVERAGE(BC280:BF280))</f>
        <v/>
      </c>
    </row>
    <row r="281">
      <c r="C281" s="11" t="inlineStr">
        <is>
          <t>Demais ativos — crescimento % QoQ</t>
        </is>
      </c>
      <c r="D281" s="12" t="inlineStr">
        <is>
          <t>Other assets growth QoQ</t>
        </is>
      </c>
      <c r="E281" s="40" t="n"/>
      <c r="F281" s="40" t="n"/>
      <c r="G281" s="40" t="n"/>
      <c r="H281" s="40" t="n"/>
      <c r="I281" s="39" t="str">
        <f>IF(COUNT(E281:H281)=0,"",AVERAGE(E281:H281))</f>
        <v/>
      </c>
      <c r="J281" s="40" t="n"/>
      <c r="K281" s="40" t="n"/>
      <c r="L281" s="40" t="n"/>
      <c r="M281" s="40" t="n"/>
      <c r="N281" s="39" t="str">
        <f>IF(COUNT(J281:M281)=0,"",AVERAGE(J281:M281))</f>
        <v/>
      </c>
      <c r="O281" s="40" t="n"/>
      <c r="P281" s="40" t="n"/>
      <c r="Q281" s="40" t="n"/>
      <c r="R281" s="40" t="n"/>
      <c r="S281" s="39" t="str">
        <f>IF(COUNT(O281:R281)=0,"",AVERAGE(O281:R281))</f>
        <v/>
      </c>
      <c r="T281" s="40" t="n"/>
      <c r="U281" s="40" t="n"/>
      <c r="V281" s="40" t="n"/>
      <c r="W281" s="40" t="n"/>
      <c r="X281" s="39" t="str">
        <f>IF(COUNT(T281:W281)=0,"",AVERAGE(T281:W281))</f>
        <v/>
      </c>
      <c r="Y281" s="40" t="n"/>
      <c r="Z281" s="40" t="n"/>
      <c r="AA281" s="40" t="n"/>
      <c r="AB281" s="40" t="n"/>
      <c r="AC281" s="39" t="str">
        <f>IF(COUNT(Y281:AB281)=0,"",AVERAGE(Y281:AB281))</f>
        <v/>
      </c>
      <c r="AD281" s="40" t="n"/>
      <c r="AE281" s="40" t="n"/>
      <c r="AF281" s="40" t="n"/>
      <c r="AG281" s="40" t="n"/>
      <c r="AH281" s="39" t="str">
        <f>IF(COUNT(AD281:AG281)=0,"",AVERAGE(AD281:AG281))</f>
        <v/>
      </c>
      <c r="AI281" s="40" t="n"/>
      <c r="AJ281" s="40" t="n"/>
      <c r="AK281" s="40" t="n"/>
      <c r="AL281" s="40" t="n"/>
      <c r="AM281" s="39" t="str">
        <f>IF(COUNT(AI281:AL281)=0,"",AVERAGE(AI281:AL281))</f>
        <v/>
      </c>
      <c r="AN281" s="40" t="n"/>
      <c r="AO281" s="40" t="n"/>
      <c r="AP281" s="40" t="n"/>
      <c r="AQ281" s="40" t="n"/>
      <c r="AR281" s="39" t="str">
        <f>IF(COUNT(AN281:AQ281)=0,"",AVERAGE(AN281:AQ281))</f>
        <v/>
      </c>
      <c r="AS281" s="40" t="n"/>
      <c r="AT281" s="40" t="n"/>
      <c r="AU281" s="40" t="n"/>
      <c r="AV281" s="40" t="n"/>
      <c r="AW281" s="39" t="str">
        <f>IF(COUNT(AS281:AV281)=0,"",AVERAGE(AS281:AV281))</f>
        <v/>
      </c>
      <c r="AX281" s="40" t="n"/>
      <c r="AY281" s="40" t="n"/>
      <c r="AZ281" s="40" t="n"/>
      <c r="BA281" s="40" t="n"/>
      <c r="BB281" s="39" t="str">
        <f>IF(COUNT(AX281:BA281)=0,"",AVERAGE(AX281:BA281))</f>
        <v/>
      </c>
      <c r="BC281" s="40" t="n"/>
      <c r="BD281" s="40" t="n"/>
      <c r="BE281" s="40" t="n"/>
      <c r="BF281" s="40" t="n"/>
      <c r="BG281" s="39" t="str">
        <f>IF(COUNT(BC281:BF281)=0,"",AVERAGE(BC281:BF281))</f>
        <v/>
      </c>
    </row>
    <row r="282">
      <c r="C282" s="11" t="inlineStr">
        <is>
          <t>Demais passivos — crescimento % QoQ</t>
        </is>
      </c>
      <c r="D282" s="12" t="inlineStr">
        <is>
          <t>Other liab. growth QoQ</t>
        </is>
      </c>
      <c r="E282" s="40" t="n"/>
      <c r="F282" s="40" t="n"/>
      <c r="G282" s="40" t="n"/>
      <c r="H282" s="40" t="n"/>
      <c r="I282" s="39" t="str">
        <f>IF(COUNT(E282:H282)=0,"",AVERAGE(E282:H282))</f>
        <v/>
      </c>
      <c r="J282" s="40" t="n"/>
      <c r="K282" s="40" t="n"/>
      <c r="L282" s="40" t="n"/>
      <c r="M282" s="40" t="n"/>
      <c r="N282" s="39" t="str">
        <f>IF(COUNT(J282:M282)=0,"",AVERAGE(J282:M282))</f>
        <v/>
      </c>
      <c r="O282" s="40" t="n"/>
      <c r="P282" s="40" t="n"/>
      <c r="Q282" s="40" t="n"/>
      <c r="R282" s="40" t="n"/>
      <c r="S282" s="39" t="str">
        <f>IF(COUNT(O282:R282)=0,"",AVERAGE(O282:R282))</f>
        <v/>
      </c>
      <c r="T282" s="40" t="n"/>
      <c r="U282" s="40" t="n"/>
      <c r="V282" s="40" t="n"/>
      <c r="W282" s="40" t="n"/>
      <c r="X282" s="39" t="str">
        <f>IF(COUNT(T282:W282)=0,"",AVERAGE(T282:W282))</f>
        <v/>
      </c>
      <c r="Y282" s="40" t="n"/>
      <c r="Z282" s="40" t="n"/>
      <c r="AA282" s="40" t="n"/>
      <c r="AB282" s="40" t="n"/>
      <c r="AC282" s="39" t="str">
        <f>IF(COUNT(Y282:AB282)=0,"",AVERAGE(Y282:AB282))</f>
        <v/>
      </c>
      <c r="AD282" s="40" t="n"/>
      <c r="AE282" s="40" t="n"/>
      <c r="AF282" s="40" t="n"/>
      <c r="AG282" s="40" t="n"/>
      <c r="AH282" s="39" t="str">
        <f>IF(COUNT(AD282:AG282)=0,"",AVERAGE(AD282:AG282))</f>
        <v/>
      </c>
      <c r="AI282" s="40" t="n"/>
      <c r="AJ282" s="40" t="n"/>
      <c r="AK282" s="40" t="n"/>
      <c r="AL282" s="40" t="n"/>
      <c r="AM282" s="39" t="str">
        <f>IF(COUNT(AI282:AL282)=0,"",AVERAGE(AI282:AL282))</f>
        <v/>
      </c>
      <c r="AN282" s="40" t="n"/>
      <c r="AO282" s="40" t="n"/>
      <c r="AP282" s="40" t="n"/>
      <c r="AQ282" s="40" t="n"/>
      <c r="AR282" s="39" t="str">
        <f>IF(COUNT(AN282:AQ282)=0,"",AVERAGE(AN282:AQ282))</f>
        <v/>
      </c>
      <c r="AS282" s="40" t="n"/>
      <c r="AT282" s="40" t="n"/>
      <c r="AU282" s="40" t="n"/>
      <c r="AV282" s="40" t="n"/>
      <c r="AW282" s="39" t="str">
        <f>IF(COUNT(AS282:AV282)=0,"",AVERAGE(AS282:AV282))</f>
        <v/>
      </c>
      <c r="AX282" s="40" t="n"/>
      <c r="AY282" s="40" t="n"/>
      <c r="AZ282" s="40" t="n"/>
      <c r="BA282" s="40" t="n"/>
      <c r="BB282" s="39" t="str">
        <f>IF(COUNT(AX282:BA282)=0,"",AVERAGE(AX282:BA282))</f>
        <v/>
      </c>
      <c r="BC282" s="40" t="n"/>
      <c r="BD282" s="40" t="n"/>
      <c r="BE282" s="40" t="n"/>
      <c r="BF282" s="40" t="n"/>
      <c r="BG282" s="39" t="str">
        <f>IF(COUNT(BC282:BF282)=0,"",AVERAGE(BC282:BF282))</f>
        <v/>
      </c>
    </row>
    <row r="284">
      <c r="B284" s="7" t="n"/>
      <c r="C284" s="7" t="inlineStr">
        <is>
          <t>DRIVERS — RECEITAS E DESPESAS</t>
        </is>
      </c>
      <c r="D284" s="7" t="inlineStr">
        <is>
          <t>DRIVERS — REVENUES &amp; EXPENSES</t>
        </is>
      </c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>
      <c r="C285" s="11" t="inlineStr">
        <is>
          <t>Receitas de serviços e tarifas — crescimento % YoY</t>
        </is>
      </c>
      <c r="D285" s="12" t="inlineStr">
        <is>
          <t>Fee growth YoY</t>
        </is>
      </c>
      <c r="E285" s="40" t="n"/>
      <c r="F285" s="40" t="n"/>
      <c r="G285" s="40" t="n"/>
      <c r="H285" s="40" t="n"/>
      <c r="I285" s="39" t="str">
        <f>IF(COUNT(E285:H285)=0,"",AVERAGE(E285:H285))</f>
        <v/>
      </c>
      <c r="J285" s="40" t="n"/>
      <c r="K285" s="40" t="n"/>
      <c r="L285" s="40" t="n"/>
      <c r="M285" s="40" t="n"/>
      <c r="N285" s="39" t="str">
        <f>IF(COUNT(J285:M285)=0,"",AVERAGE(J285:M285))</f>
        <v/>
      </c>
      <c r="O285" s="40" t="n"/>
      <c r="P285" s="40" t="n"/>
      <c r="Q285" s="40" t="n"/>
      <c r="R285" s="40" t="n"/>
      <c r="S285" s="39" t="str">
        <f>IF(COUNT(O285:R285)=0,"",AVERAGE(O285:R285))</f>
        <v/>
      </c>
      <c r="T285" s="40" t="n"/>
      <c r="U285" s="40" t="n"/>
      <c r="V285" s="40" t="n"/>
      <c r="W285" s="40" t="n"/>
      <c r="X285" s="39" t="str">
        <f>IF(COUNT(T285:W285)=0,"",AVERAGE(T285:W285))</f>
        <v/>
      </c>
      <c r="Y285" s="40" t="n"/>
      <c r="Z285" s="40" t="n"/>
      <c r="AA285" s="40" t="n"/>
      <c r="AB285" s="40" t="n"/>
      <c r="AC285" s="39" t="str">
        <f>IF(COUNT(Y285:AB285)=0,"",AVERAGE(Y285:AB285))</f>
        <v/>
      </c>
      <c r="AD285" s="40" t="n"/>
      <c r="AE285" s="40" t="n"/>
      <c r="AF285" s="40" t="n"/>
      <c r="AG285" s="40" t="n"/>
      <c r="AH285" s="39" t="str">
        <f>IF(COUNT(AD285:AG285)=0,"",AVERAGE(AD285:AG285))</f>
        <v/>
      </c>
      <c r="AI285" s="40" t="n"/>
      <c r="AJ285" s="40" t="n"/>
      <c r="AK285" s="40" t="n"/>
      <c r="AL285" s="40" t="n"/>
      <c r="AM285" s="39" t="str">
        <f>IF(COUNT(AI285:AL285)=0,"",AVERAGE(AI285:AL285))</f>
        <v/>
      </c>
      <c r="AN285" s="40" t="n"/>
      <c r="AO285" s="40" t="n"/>
      <c r="AP285" s="40" t="n"/>
      <c r="AQ285" s="40" t="n"/>
      <c r="AR285" s="39" t="str">
        <f>IF(COUNT(AN285:AQ285)=0,"",AVERAGE(AN285:AQ285))</f>
        <v/>
      </c>
      <c r="AS285" s="40" t="n"/>
      <c r="AT285" s="40" t="n"/>
      <c r="AU285" s="40" t="n"/>
      <c r="AV285" s="40" t="n"/>
      <c r="AW285" s="39" t="str">
        <f>IF(COUNT(AS285:AV285)=0,"",AVERAGE(AS285:AV285))</f>
        <v/>
      </c>
      <c r="AX285" s="40" t="n"/>
      <c r="AY285" s="40" t="n"/>
      <c r="AZ285" s="40" t="n"/>
      <c r="BA285" s="40" t="n"/>
      <c r="BB285" s="39" t="str">
        <f>IF(COUNT(AX285:BA285)=0,"",AVERAGE(AX285:BA285))</f>
        <v/>
      </c>
      <c r="BC285" s="40" t="n"/>
      <c r="BD285" s="40" t="n"/>
      <c r="BE285" s="40" t="n"/>
      <c r="BF285" s="40" t="n"/>
      <c r="BG285" s="39" t="str">
        <f>IF(COUNT(BC285:BF285)=0,"",AVERAGE(BC285:BF285))</f>
        <v/>
      </c>
    </row>
    <row r="286">
      <c r="C286" s="11" t="inlineStr">
        <is>
          <t>Seguros, previdência e capitalização — crescimento % YoY</t>
        </is>
      </c>
      <c r="D286" s="12" t="inlineStr">
        <is>
          <t>Insurance YoY</t>
        </is>
      </c>
      <c r="E286" s="40" t="n"/>
      <c r="F286" s="40" t="n"/>
      <c r="G286" s="40" t="n"/>
      <c r="H286" s="40" t="n"/>
      <c r="I286" s="39" t="str">
        <f>IF(COUNT(E286:H286)=0,"",AVERAGE(E286:H286))</f>
        <v/>
      </c>
      <c r="J286" s="40" t="n"/>
      <c r="K286" s="40" t="n"/>
      <c r="L286" s="40" t="n"/>
      <c r="M286" s="40" t="n"/>
      <c r="N286" s="39" t="str">
        <f>IF(COUNT(J286:M286)=0,"",AVERAGE(J286:M286))</f>
        <v/>
      </c>
      <c r="O286" s="40" t="n"/>
      <c r="P286" s="40" t="n"/>
      <c r="Q286" s="40" t="n"/>
      <c r="R286" s="40" t="n"/>
      <c r="S286" s="39" t="str">
        <f>IF(COUNT(O286:R286)=0,"",AVERAGE(O286:R286))</f>
        <v/>
      </c>
      <c r="T286" s="40" t="n"/>
      <c r="U286" s="40" t="n"/>
      <c r="V286" s="40" t="n"/>
      <c r="W286" s="40" t="n"/>
      <c r="X286" s="39" t="str">
        <f>IF(COUNT(T286:W286)=0,"",AVERAGE(T286:W286))</f>
        <v/>
      </c>
      <c r="Y286" s="40" t="n"/>
      <c r="Z286" s="40" t="n"/>
      <c r="AA286" s="40" t="n"/>
      <c r="AB286" s="40" t="n"/>
      <c r="AC286" s="39" t="str">
        <f>IF(COUNT(Y286:AB286)=0,"",AVERAGE(Y286:AB286))</f>
        <v/>
      </c>
      <c r="AD286" s="40" t="n"/>
      <c r="AE286" s="40" t="n"/>
      <c r="AF286" s="40" t="n"/>
      <c r="AG286" s="40" t="n"/>
      <c r="AH286" s="39" t="str">
        <f>IF(COUNT(AD286:AG286)=0,"",AVERAGE(AD286:AG286))</f>
        <v/>
      </c>
      <c r="AI286" s="40" t="n"/>
      <c r="AJ286" s="40" t="n"/>
      <c r="AK286" s="40" t="n"/>
      <c r="AL286" s="40" t="n"/>
      <c r="AM286" s="39" t="str">
        <f>IF(COUNT(AI286:AL286)=0,"",AVERAGE(AI286:AL286))</f>
        <v/>
      </c>
      <c r="AN286" s="40" t="n"/>
      <c r="AO286" s="40" t="n"/>
      <c r="AP286" s="40" t="n"/>
      <c r="AQ286" s="40" t="n"/>
      <c r="AR286" s="39" t="str">
        <f>IF(COUNT(AN286:AQ286)=0,"",AVERAGE(AN286:AQ286))</f>
        <v/>
      </c>
      <c r="AS286" s="40" t="n"/>
      <c r="AT286" s="40" t="n"/>
      <c r="AU286" s="40" t="n"/>
      <c r="AV286" s="40" t="n"/>
      <c r="AW286" s="39" t="str">
        <f>IF(COUNT(AS286:AV286)=0,"",AVERAGE(AS286:AV286))</f>
        <v/>
      </c>
      <c r="AX286" s="40" t="n"/>
      <c r="AY286" s="40" t="n"/>
      <c r="AZ286" s="40" t="n"/>
      <c r="BA286" s="40" t="n"/>
      <c r="BB286" s="39" t="str">
        <f>IF(COUNT(AX286:BA286)=0,"",AVERAGE(AX286:BA286))</f>
        <v/>
      </c>
      <c r="BC286" s="40" t="n"/>
      <c r="BD286" s="40" t="n"/>
      <c r="BE286" s="40" t="n"/>
      <c r="BF286" s="40" t="n"/>
      <c r="BG286" s="39" t="str">
        <f>IF(COUNT(BC286:BF286)=0,"",AVERAGE(BC286:BF286))</f>
        <v/>
      </c>
    </row>
    <row r="287">
      <c r="C287" s="11" t="inlineStr">
        <is>
          <t>Despesas de pessoal — crescimento % YoY</t>
        </is>
      </c>
      <c r="D287" s="12" t="inlineStr">
        <is>
          <t>Personnel YoY</t>
        </is>
      </c>
      <c r="E287" s="40" t="n"/>
      <c r="F287" s="40" t="n"/>
      <c r="G287" s="40" t="n"/>
      <c r="H287" s="40" t="n"/>
      <c r="I287" s="39" t="str">
        <f>IF(COUNT(E287:H287)=0,"",AVERAGE(E287:H287))</f>
        <v/>
      </c>
      <c r="J287" s="40" t="n"/>
      <c r="K287" s="40" t="n"/>
      <c r="L287" s="40" t="n"/>
      <c r="M287" s="40" t="n"/>
      <c r="N287" s="39" t="str">
        <f>IF(COUNT(J287:M287)=0,"",AVERAGE(J287:M287))</f>
        <v/>
      </c>
      <c r="O287" s="40" t="n"/>
      <c r="P287" s="40" t="n"/>
      <c r="Q287" s="40" t="n"/>
      <c r="R287" s="40" t="n"/>
      <c r="S287" s="39" t="str">
        <f>IF(COUNT(O287:R287)=0,"",AVERAGE(O287:R287))</f>
        <v/>
      </c>
      <c r="T287" s="40" t="n"/>
      <c r="U287" s="40" t="n"/>
      <c r="V287" s="40" t="n"/>
      <c r="W287" s="40" t="n"/>
      <c r="X287" s="39" t="str">
        <f>IF(COUNT(T287:W287)=0,"",AVERAGE(T287:W287))</f>
        <v/>
      </c>
      <c r="Y287" s="40" t="n"/>
      <c r="Z287" s="40" t="n"/>
      <c r="AA287" s="40" t="n"/>
      <c r="AB287" s="40" t="n"/>
      <c r="AC287" s="39" t="str">
        <f>IF(COUNT(Y287:AB287)=0,"",AVERAGE(Y287:AB287))</f>
        <v/>
      </c>
      <c r="AD287" s="40" t="n"/>
      <c r="AE287" s="40" t="n"/>
      <c r="AF287" s="40" t="n"/>
      <c r="AG287" s="40" t="n"/>
      <c r="AH287" s="39" t="str">
        <f>IF(COUNT(AD287:AG287)=0,"",AVERAGE(AD287:AG287))</f>
        <v/>
      </c>
      <c r="AI287" s="40" t="n"/>
      <c r="AJ287" s="40" t="n"/>
      <c r="AK287" s="40" t="n"/>
      <c r="AL287" s="40" t="n"/>
      <c r="AM287" s="39" t="str">
        <f>IF(COUNT(AI287:AL287)=0,"",AVERAGE(AI287:AL287))</f>
        <v/>
      </c>
      <c r="AN287" s="40" t="n"/>
      <c r="AO287" s="40" t="n"/>
      <c r="AP287" s="40" t="n"/>
      <c r="AQ287" s="40" t="n"/>
      <c r="AR287" s="39" t="str">
        <f>IF(COUNT(AN287:AQ287)=0,"",AVERAGE(AN287:AQ287))</f>
        <v/>
      </c>
      <c r="AS287" s="40" t="n"/>
      <c r="AT287" s="40" t="n"/>
      <c r="AU287" s="40" t="n"/>
      <c r="AV287" s="40" t="n"/>
      <c r="AW287" s="39" t="str">
        <f>IF(COUNT(AS287:AV287)=0,"",AVERAGE(AS287:AV287))</f>
        <v/>
      </c>
      <c r="AX287" s="40" t="n"/>
      <c r="AY287" s="40" t="n"/>
      <c r="AZ287" s="40" t="n"/>
      <c r="BA287" s="40" t="n"/>
      <c r="BB287" s="39" t="str">
        <f>IF(COUNT(AX287:BA287)=0,"",AVERAGE(AX287:BA287))</f>
        <v/>
      </c>
      <c r="BC287" s="40" t="n"/>
      <c r="BD287" s="40" t="n"/>
      <c r="BE287" s="40" t="n"/>
      <c r="BF287" s="40" t="n"/>
      <c r="BG287" s="39" t="str">
        <f>IF(COUNT(BC287:BF287)=0,"",AVERAGE(BC287:BF287))</f>
        <v/>
      </c>
    </row>
    <row r="288">
      <c r="C288" s="11" t="inlineStr">
        <is>
          <t>Outras despesas administrativas — crescimento % YoY</t>
        </is>
      </c>
      <c r="D288" s="12" t="inlineStr">
        <is>
          <t>Admin YoY</t>
        </is>
      </c>
      <c r="E288" s="40" t="n"/>
      <c r="F288" s="40" t="n"/>
      <c r="G288" s="40" t="n"/>
      <c r="H288" s="40" t="n"/>
      <c r="I288" s="39" t="str">
        <f>IF(COUNT(E288:H288)=0,"",AVERAGE(E288:H288))</f>
        <v/>
      </c>
      <c r="J288" s="40" t="n"/>
      <c r="K288" s="40" t="n"/>
      <c r="L288" s="40" t="n"/>
      <c r="M288" s="40" t="n"/>
      <c r="N288" s="39" t="str">
        <f>IF(COUNT(J288:M288)=0,"",AVERAGE(J288:M288))</f>
        <v/>
      </c>
      <c r="O288" s="40" t="n"/>
      <c r="P288" s="40" t="n"/>
      <c r="Q288" s="40" t="n"/>
      <c r="R288" s="40" t="n"/>
      <c r="S288" s="39" t="str">
        <f>IF(COUNT(O288:R288)=0,"",AVERAGE(O288:R288))</f>
        <v/>
      </c>
      <c r="T288" s="40" t="n"/>
      <c r="U288" s="40" t="n"/>
      <c r="V288" s="40" t="n"/>
      <c r="W288" s="40" t="n"/>
      <c r="X288" s="39" t="str">
        <f>IF(COUNT(T288:W288)=0,"",AVERAGE(T288:W288))</f>
        <v/>
      </c>
      <c r="Y288" s="40" t="n"/>
      <c r="Z288" s="40" t="n"/>
      <c r="AA288" s="40" t="n"/>
      <c r="AB288" s="40" t="n"/>
      <c r="AC288" s="39" t="str">
        <f>IF(COUNT(Y288:AB288)=0,"",AVERAGE(Y288:AB288))</f>
        <v/>
      </c>
      <c r="AD288" s="40" t="n"/>
      <c r="AE288" s="40" t="n"/>
      <c r="AF288" s="40" t="n"/>
      <c r="AG288" s="40" t="n"/>
      <c r="AH288" s="39" t="str">
        <f>IF(COUNT(AD288:AG288)=0,"",AVERAGE(AD288:AG288))</f>
        <v/>
      </c>
      <c r="AI288" s="40" t="n"/>
      <c r="AJ288" s="40" t="n"/>
      <c r="AK288" s="40" t="n"/>
      <c r="AL288" s="40" t="n"/>
      <c r="AM288" s="39" t="str">
        <f>IF(COUNT(AI288:AL288)=0,"",AVERAGE(AI288:AL288))</f>
        <v/>
      </c>
      <c r="AN288" s="40" t="n"/>
      <c r="AO288" s="40" t="n"/>
      <c r="AP288" s="40" t="n"/>
      <c r="AQ288" s="40" t="n"/>
      <c r="AR288" s="39" t="str">
        <f>IF(COUNT(AN288:AQ288)=0,"",AVERAGE(AN288:AQ288))</f>
        <v/>
      </c>
      <c r="AS288" s="40" t="n"/>
      <c r="AT288" s="40" t="n"/>
      <c r="AU288" s="40" t="n"/>
      <c r="AV288" s="40" t="n"/>
      <c r="AW288" s="39" t="str">
        <f>IF(COUNT(AS288:AV288)=0,"",AVERAGE(AS288:AV288))</f>
        <v/>
      </c>
      <c r="AX288" s="40" t="n"/>
      <c r="AY288" s="40" t="n"/>
      <c r="AZ288" s="40" t="n"/>
      <c r="BA288" s="40" t="n"/>
      <c r="BB288" s="39" t="str">
        <f>IF(COUNT(AX288:BA288)=0,"",AVERAGE(AX288:BA288))</f>
        <v/>
      </c>
      <c r="BC288" s="40" t="n"/>
      <c r="BD288" s="40" t="n"/>
      <c r="BE288" s="40" t="n"/>
      <c r="BF288" s="40" t="n"/>
      <c r="BG288" s="39" t="str">
        <f>IF(COUNT(BC288:BF288)=0,"",AVERAGE(BC288:BF288))</f>
        <v/>
      </c>
    </row>
    <row r="289">
      <c r="C289" s="11" t="inlineStr">
        <is>
          <t>Demais provisões (% da receita operacional)</t>
        </is>
      </c>
      <c r="D289" s="12" t="inlineStr">
        <is>
          <t>Other provisions</t>
        </is>
      </c>
      <c r="E289" s="40" t="n"/>
      <c r="F289" s="40" t="n"/>
      <c r="G289" s="40" t="n"/>
      <c r="H289" s="40" t="n"/>
      <c r="I289" s="39" t="str">
        <f>IF(COUNT(E289:H289)=0,"",AVERAGE(E289:H289))</f>
        <v/>
      </c>
      <c r="J289" s="40" t="n"/>
      <c r="K289" s="40" t="n"/>
      <c r="L289" s="40" t="n"/>
      <c r="M289" s="40" t="n"/>
      <c r="N289" s="39" t="str">
        <f>IF(COUNT(J289:M289)=0,"",AVERAGE(J289:M289))</f>
        <v/>
      </c>
      <c r="O289" s="40" t="n"/>
      <c r="P289" s="40" t="n"/>
      <c r="Q289" s="40" t="n"/>
      <c r="R289" s="40" t="n"/>
      <c r="S289" s="39" t="str">
        <f>IF(COUNT(O289:R289)=0,"",AVERAGE(O289:R289))</f>
        <v/>
      </c>
      <c r="T289" s="40" t="n"/>
      <c r="U289" s="40" t="n"/>
      <c r="V289" s="40" t="n"/>
      <c r="W289" s="40" t="n"/>
      <c r="X289" s="39" t="str">
        <f>IF(COUNT(T289:W289)=0,"",AVERAGE(T289:W289))</f>
        <v/>
      </c>
      <c r="Y289" s="40" t="n"/>
      <c r="Z289" s="40" t="n"/>
      <c r="AA289" s="40" t="n"/>
      <c r="AB289" s="40" t="n"/>
      <c r="AC289" s="39" t="str">
        <f>IF(COUNT(Y289:AB289)=0,"",AVERAGE(Y289:AB289))</f>
        <v/>
      </c>
      <c r="AD289" s="40" t="n"/>
      <c r="AE289" s="40" t="n"/>
      <c r="AF289" s="40" t="n"/>
      <c r="AG289" s="40" t="n"/>
      <c r="AH289" s="39" t="str">
        <f>IF(COUNT(AD289:AG289)=0,"",AVERAGE(AD289:AG289))</f>
        <v/>
      </c>
      <c r="AI289" s="40" t="n"/>
      <c r="AJ289" s="40" t="n"/>
      <c r="AK289" s="40" t="n"/>
      <c r="AL289" s="40" t="n"/>
      <c r="AM289" s="39" t="str">
        <f>IF(COUNT(AI289:AL289)=0,"",AVERAGE(AI289:AL289))</f>
        <v/>
      </c>
      <c r="AN289" s="40" t="n"/>
      <c r="AO289" s="40" t="n"/>
      <c r="AP289" s="40" t="n"/>
      <c r="AQ289" s="40" t="n"/>
      <c r="AR289" s="39" t="str">
        <f>IF(COUNT(AN289:AQ289)=0,"",AVERAGE(AN289:AQ289))</f>
        <v/>
      </c>
      <c r="AS289" s="40" t="n"/>
      <c r="AT289" s="40" t="n"/>
      <c r="AU289" s="40" t="n"/>
      <c r="AV289" s="40" t="n"/>
      <c r="AW289" s="39" t="str">
        <f>IF(COUNT(AS289:AV289)=0,"",AVERAGE(AS289:AV289))</f>
        <v/>
      </c>
      <c r="AX289" s="40" t="n"/>
      <c r="AY289" s="40" t="n"/>
      <c r="AZ289" s="40" t="n"/>
      <c r="BA289" s="40" t="n"/>
      <c r="BB289" s="39" t="str">
        <f>IF(COUNT(AX289:BA289)=0,"",AVERAGE(AX289:BA289))</f>
        <v/>
      </c>
      <c r="BC289" s="40" t="n"/>
      <c r="BD289" s="40" t="n"/>
      <c r="BE289" s="40" t="n"/>
      <c r="BF289" s="40" t="n"/>
      <c r="BG289" s="39" t="str">
        <f>IF(COUNT(BC289:BF289)=0,"",AVERAGE(BC289:BF289))</f>
        <v/>
      </c>
      <c r="BI289" s="14" t="inlineStr">
        <is>
          <t>Percentuais de despesa são digitados positivos; o modelo aplica o sinal negativo. Demais provisões fica em zero: a DRE recorrente não abre essa linha.</t>
        </is>
      </c>
    </row>
    <row r="290">
      <c r="C290" s="11" t="inlineStr">
        <is>
          <t>Despesas tributárias (% da receita operacional)</t>
        </is>
      </c>
      <c r="D290" s="12" t="inlineStr">
        <is>
          <t>Tax expenses</t>
        </is>
      </c>
      <c r="E290" s="40" t="n"/>
      <c r="F290" s="40" t="n"/>
      <c r="G290" s="40" t="n"/>
      <c r="H290" s="40" t="n"/>
      <c r="I290" s="39" t="str">
        <f>IF(COUNT(E290:H290)=0,"",AVERAGE(E290:H290))</f>
        <v/>
      </c>
      <c r="J290" s="40" t="n"/>
      <c r="K290" s="40" t="n"/>
      <c r="L290" s="40" t="n"/>
      <c r="M290" s="40" t="n"/>
      <c r="N290" s="39" t="str">
        <f>IF(COUNT(J290:M290)=0,"",AVERAGE(J290:M290))</f>
        <v/>
      </c>
      <c r="O290" s="40" t="n"/>
      <c r="P290" s="40" t="n"/>
      <c r="Q290" s="40" t="n"/>
      <c r="R290" s="40" t="n"/>
      <c r="S290" s="39" t="str">
        <f>IF(COUNT(O290:R290)=0,"",AVERAGE(O290:R290))</f>
        <v/>
      </c>
      <c r="T290" s="40" t="n"/>
      <c r="U290" s="40" t="n"/>
      <c r="V290" s="40" t="n"/>
      <c r="W290" s="40" t="n"/>
      <c r="X290" s="39" t="str">
        <f>IF(COUNT(T290:W290)=0,"",AVERAGE(T290:W290))</f>
        <v/>
      </c>
      <c r="Y290" s="40" t="n"/>
      <c r="Z290" s="40" t="n"/>
      <c r="AA290" s="40" t="n"/>
      <c r="AB290" s="40" t="n"/>
      <c r="AC290" s="39" t="str">
        <f>IF(COUNT(Y290:AB290)=0,"",AVERAGE(Y290:AB290))</f>
        <v/>
      </c>
      <c r="AD290" s="40" t="n"/>
      <c r="AE290" s="40" t="n"/>
      <c r="AF290" s="40" t="n"/>
      <c r="AG290" s="40" t="n"/>
      <c r="AH290" s="39" t="str">
        <f>IF(COUNT(AD290:AG290)=0,"",AVERAGE(AD290:AG290))</f>
        <v/>
      </c>
      <c r="AI290" s="40" t="n"/>
      <c r="AJ290" s="40" t="n"/>
      <c r="AK290" s="40" t="n"/>
      <c r="AL290" s="40" t="n"/>
      <c r="AM290" s="39" t="str">
        <f>IF(COUNT(AI290:AL290)=0,"",AVERAGE(AI290:AL290))</f>
        <v/>
      </c>
      <c r="AN290" s="40" t="n"/>
      <c r="AO290" s="40" t="n"/>
      <c r="AP290" s="40" t="n"/>
      <c r="AQ290" s="40" t="n"/>
      <c r="AR290" s="39" t="str">
        <f>IF(COUNT(AN290:AQ290)=0,"",AVERAGE(AN290:AQ290))</f>
        <v/>
      </c>
      <c r="AS290" s="40" t="n"/>
      <c r="AT290" s="40" t="n"/>
      <c r="AU290" s="40" t="n"/>
      <c r="AV290" s="40" t="n"/>
      <c r="AW290" s="39" t="str">
        <f>IF(COUNT(AS290:AV290)=0,"",AVERAGE(AS290:AV290))</f>
        <v/>
      </c>
      <c r="AX290" s="40" t="n"/>
      <c r="AY290" s="40" t="n"/>
      <c r="AZ290" s="40" t="n"/>
      <c r="BA290" s="40" t="n"/>
      <c r="BB290" s="39" t="str">
        <f>IF(COUNT(AX290:BA290)=0,"",AVERAGE(AX290:BA290))</f>
        <v/>
      </c>
      <c r="BC290" s="40" t="n"/>
      <c r="BD290" s="40" t="n"/>
      <c r="BE290" s="40" t="n"/>
      <c r="BF290" s="40" t="n"/>
      <c r="BG290" s="39" t="str">
        <f>IF(COUNT(BC290:BF290)=0,"",AVERAGE(BC290:BF290))</f>
        <v/>
      </c>
    </row>
    <row r="291">
      <c r="C291" s="11" t="str">
        <f>"Resultado de participações ("&amp;Inputs!$E$202&amp;")"</f>
        <v>Resultado de participações (R$ milhões)</v>
      </c>
      <c r="D291" s="12" t="inlineStr">
        <is>
          <t>Equity income</t>
        </is>
      </c>
      <c r="E291" s="45" t="n"/>
      <c r="F291" s="45" t="n"/>
      <c r="G291" s="45" t="n"/>
      <c r="H291" s="45" t="n"/>
      <c r="I291" s="46" t="str">
        <f>IF(COUNT(E291:H291)=0,"",AVERAGE(E291:H291))</f>
        <v/>
      </c>
      <c r="J291" s="45" t="n"/>
      <c r="K291" s="45" t="n"/>
      <c r="L291" s="45" t="n"/>
      <c r="M291" s="45" t="n"/>
      <c r="N291" s="46" t="str">
        <f>IF(COUNT(J291:M291)=0,"",AVERAGE(J291:M291))</f>
        <v/>
      </c>
      <c r="O291" s="45" t="n"/>
      <c r="P291" s="45" t="n"/>
      <c r="Q291" s="45" t="n"/>
      <c r="R291" s="45" t="n"/>
      <c r="S291" s="46" t="str">
        <f>IF(COUNT(O291:R291)=0,"",AVERAGE(O291:R291))</f>
        <v/>
      </c>
      <c r="T291" s="45" t="n"/>
      <c r="U291" s="45" t="n"/>
      <c r="V291" s="45" t="n"/>
      <c r="W291" s="45" t="n"/>
      <c r="X291" s="46" t="str">
        <f>IF(COUNT(T291:W291)=0,"",AVERAGE(T291:W291))</f>
        <v/>
      </c>
      <c r="Y291" s="45" t="n"/>
      <c r="Z291" s="45" t="n"/>
      <c r="AA291" s="45" t="n"/>
      <c r="AB291" s="45" t="n"/>
      <c r="AC291" s="46" t="str">
        <f>IF(COUNT(Y291:AB291)=0,"",AVERAGE(Y291:AB291))</f>
        <v/>
      </c>
      <c r="AD291" s="45" t="n"/>
      <c r="AE291" s="45" t="n"/>
      <c r="AF291" s="45" t="n"/>
      <c r="AG291" s="45" t="n"/>
      <c r="AH291" s="46" t="str">
        <f>IF(COUNT(AD291:AG291)=0,"",AVERAGE(AD291:AG291))</f>
        <v/>
      </c>
      <c r="AI291" s="45" t="n"/>
      <c r="AJ291" s="45" t="n"/>
      <c r="AK291" s="45" t="n"/>
      <c r="AL291" s="45" t="n"/>
      <c r="AM291" s="46" t="str">
        <f>IF(COUNT(AI291:AL291)=0,"",AVERAGE(AI291:AL291))</f>
        <v/>
      </c>
      <c r="AN291" s="45" t="n"/>
      <c r="AO291" s="45" t="n"/>
      <c r="AP291" s="45" t="n"/>
      <c r="AQ291" s="45" t="n"/>
      <c r="AR291" s="46" t="str">
        <f>IF(COUNT(AN291:AQ291)=0,"",AVERAGE(AN291:AQ291))</f>
        <v/>
      </c>
      <c r="AS291" s="45" t="n"/>
      <c r="AT291" s="45" t="n"/>
      <c r="AU291" s="45" t="n"/>
      <c r="AV291" s="45" t="n"/>
      <c r="AW291" s="46" t="str">
        <f>IF(COUNT(AS291:AV291)=0,"",AVERAGE(AS291:AV291))</f>
        <v/>
      </c>
      <c r="AX291" s="45" t="n"/>
      <c r="AY291" s="45" t="n"/>
      <c r="AZ291" s="45" t="n"/>
      <c r="BA291" s="45" t="n"/>
      <c r="BB291" s="46" t="str">
        <f>IF(COUNT(AX291:BA291)=0,"",AVERAGE(AX291:BA291))</f>
        <v/>
      </c>
      <c r="BC291" s="45" t="n"/>
      <c r="BD291" s="45" t="n"/>
      <c r="BE291" s="45" t="n"/>
      <c r="BF291" s="45" t="n"/>
      <c r="BG291" s="46" t="str">
        <f>IF(COUNT(BC291:BF291)=0,"",AVERAGE(BC291:BF291))</f>
        <v/>
      </c>
    </row>
    <row r="292">
      <c r="C292" s="11" t="inlineStr">
        <is>
          <t>Outras despesas operacionais líquidas (% da receita)</t>
        </is>
      </c>
      <c r="D292" s="12" t="inlineStr">
        <is>
          <t>Other op.</t>
        </is>
      </c>
      <c r="E292" s="40" t="n"/>
      <c r="F292" s="40" t="n"/>
      <c r="G292" s="40" t="n"/>
      <c r="H292" s="40" t="n"/>
      <c r="I292" s="39" t="str">
        <f>IF(COUNT(E292:H292)=0,"",AVERAGE(E292:H292))</f>
        <v/>
      </c>
      <c r="J292" s="40" t="n"/>
      <c r="K292" s="40" t="n"/>
      <c r="L292" s="40" t="n"/>
      <c r="M292" s="40" t="n"/>
      <c r="N292" s="39" t="str">
        <f>IF(COUNT(J292:M292)=0,"",AVERAGE(J292:M292))</f>
        <v/>
      </c>
      <c r="O292" s="40" t="n"/>
      <c r="P292" s="40" t="n"/>
      <c r="Q292" s="40" t="n"/>
      <c r="R292" s="40" t="n"/>
      <c r="S292" s="39" t="str">
        <f>IF(COUNT(O292:R292)=0,"",AVERAGE(O292:R292))</f>
        <v/>
      </c>
      <c r="T292" s="40" t="n"/>
      <c r="U292" s="40" t="n"/>
      <c r="V292" s="40" t="n"/>
      <c r="W292" s="40" t="n"/>
      <c r="X292" s="39" t="str">
        <f>IF(COUNT(T292:W292)=0,"",AVERAGE(T292:W292))</f>
        <v/>
      </c>
      <c r="Y292" s="40" t="n"/>
      <c r="Z292" s="40" t="n"/>
      <c r="AA292" s="40" t="n"/>
      <c r="AB292" s="40" t="n"/>
      <c r="AC292" s="39" t="str">
        <f>IF(COUNT(Y292:AB292)=0,"",AVERAGE(Y292:AB292))</f>
        <v/>
      </c>
      <c r="AD292" s="40" t="n"/>
      <c r="AE292" s="40" t="n"/>
      <c r="AF292" s="40" t="n"/>
      <c r="AG292" s="40" t="n"/>
      <c r="AH292" s="39" t="str">
        <f>IF(COUNT(AD292:AG292)=0,"",AVERAGE(AD292:AG292))</f>
        <v/>
      </c>
      <c r="AI292" s="40" t="n"/>
      <c r="AJ292" s="40" t="n"/>
      <c r="AK292" s="40" t="n"/>
      <c r="AL292" s="40" t="n"/>
      <c r="AM292" s="39" t="str">
        <f>IF(COUNT(AI292:AL292)=0,"",AVERAGE(AI292:AL292))</f>
        <v/>
      </c>
      <c r="AN292" s="40" t="n"/>
      <c r="AO292" s="40" t="n"/>
      <c r="AP292" s="40" t="n"/>
      <c r="AQ292" s="40" t="n"/>
      <c r="AR292" s="39" t="str">
        <f>IF(COUNT(AN292:AQ292)=0,"",AVERAGE(AN292:AQ292))</f>
        <v/>
      </c>
      <c r="AS292" s="40" t="n"/>
      <c r="AT292" s="40" t="n"/>
      <c r="AU292" s="40" t="n"/>
      <c r="AV292" s="40" t="n"/>
      <c r="AW292" s="39" t="str">
        <f>IF(COUNT(AS292:AV292)=0,"",AVERAGE(AS292:AV292))</f>
        <v/>
      </c>
      <c r="AX292" s="40" t="n"/>
      <c r="AY292" s="40" t="n"/>
      <c r="AZ292" s="40" t="n"/>
      <c r="BA292" s="40" t="n"/>
      <c r="BB292" s="39" t="str">
        <f>IF(COUNT(AX292:BA292)=0,"",AVERAGE(AX292:BA292))</f>
        <v/>
      </c>
      <c r="BC292" s="40" t="n"/>
      <c r="BD292" s="40" t="n"/>
      <c r="BE292" s="40" t="n"/>
      <c r="BF292" s="40" t="n"/>
      <c r="BG292" s="39" t="str">
        <f>IF(COUNT(BC292:BF292)=0,"",AVERAGE(BC292:BF292))</f>
        <v/>
      </c>
    </row>
    <row r="293">
      <c r="C293" s="11" t="str">
        <f>"Resultado não operacional ("&amp;Inputs!$E$202&amp;")"</f>
        <v>Resultado não operacional (R$ milhões)</v>
      </c>
      <c r="D293" s="12" t="inlineStr">
        <is>
          <t>Non-operating</t>
        </is>
      </c>
      <c r="E293" s="45" t="n"/>
      <c r="F293" s="45" t="n"/>
      <c r="G293" s="45" t="n"/>
      <c r="H293" s="45" t="n"/>
      <c r="I293" s="46" t="str">
        <f>IF(COUNT(E293:H293)=0,"",AVERAGE(E293:H293))</f>
        <v/>
      </c>
      <c r="J293" s="45" t="n"/>
      <c r="K293" s="45" t="n"/>
      <c r="L293" s="45" t="n"/>
      <c r="M293" s="45" t="n"/>
      <c r="N293" s="46" t="str">
        <f>IF(COUNT(J293:M293)=0,"",AVERAGE(J293:M293))</f>
        <v/>
      </c>
      <c r="O293" s="45" t="n"/>
      <c r="P293" s="45" t="n"/>
      <c r="Q293" s="45" t="n"/>
      <c r="R293" s="45" t="n"/>
      <c r="S293" s="46" t="str">
        <f>IF(COUNT(O293:R293)=0,"",AVERAGE(O293:R293))</f>
        <v/>
      </c>
      <c r="T293" s="45" t="n"/>
      <c r="U293" s="45" t="n"/>
      <c r="V293" s="45" t="n"/>
      <c r="W293" s="45" t="n"/>
      <c r="X293" s="46" t="str">
        <f>IF(COUNT(T293:W293)=0,"",AVERAGE(T293:W293))</f>
        <v/>
      </c>
      <c r="Y293" s="45" t="n"/>
      <c r="Z293" s="45" t="n"/>
      <c r="AA293" s="45" t="n"/>
      <c r="AB293" s="45" t="n"/>
      <c r="AC293" s="46" t="str">
        <f>IF(COUNT(Y293:AB293)=0,"",AVERAGE(Y293:AB293))</f>
        <v/>
      </c>
      <c r="AD293" s="45" t="n"/>
      <c r="AE293" s="45" t="n"/>
      <c r="AF293" s="45" t="n"/>
      <c r="AG293" s="45" t="n"/>
      <c r="AH293" s="46" t="str">
        <f>IF(COUNT(AD293:AG293)=0,"",AVERAGE(AD293:AG293))</f>
        <v/>
      </c>
      <c r="AI293" s="45" t="n"/>
      <c r="AJ293" s="45" t="n"/>
      <c r="AK293" s="45" t="n"/>
      <c r="AL293" s="45" t="n"/>
      <c r="AM293" s="46" t="str">
        <f>IF(COUNT(AI293:AL293)=0,"",AVERAGE(AI293:AL293))</f>
        <v/>
      </c>
      <c r="AN293" s="45" t="n"/>
      <c r="AO293" s="45" t="n"/>
      <c r="AP293" s="45" t="n"/>
      <c r="AQ293" s="45" t="n"/>
      <c r="AR293" s="46" t="str">
        <f>IF(COUNT(AN293:AQ293)=0,"",AVERAGE(AN293:AQ293))</f>
        <v/>
      </c>
      <c r="AS293" s="45" t="n"/>
      <c r="AT293" s="45" t="n"/>
      <c r="AU293" s="45" t="n"/>
      <c r="AV293" s="45" t="n"/>
      <c r="AW293" s="46" t="str">
        <f>IF(COUNT(AS293:AV293)=0,"",AVERAGE(AS293:AV293))</f>
        <v/>
      </c>
      <c r="AX293" s="45" t="n"/>
      <c r="AY293" s="45" t="n"/>
      <c r="AZ293" s="45" t="n"/>
      <c r="BA293" s="45" t="n"/>
      <c r="BB293" s="46" t="str">
        <f>IF(COUNT(AX293:BA293)=0,"",AVERAGE(AX293:BA293))</f>
        <v/>
      </c>
      <c r="BC293" s="45" t="n"/>
      <c r="BD293" s="45" t="n"/>
      <c r="BE293" s="45" t="n"/>
      <c r="BF293" s="45" t="n"/>
      <c r="BG293" s="46" t="str">
        <f>IF(COUNT(BC293:BF293)=0,"",AVERAGE(BC293:BF293))</f>
        <v/>
      </c>
    </row>
    <row r="294">
      <c r="C294" s="11" t="inlineStr">
        <is>
          <t>Alíquota efetiva de IR/CSLL (%)</t>
        </is>
      </c>
      <c r="D294" s="12" t="inlineStr">
        <is>
          <t>Effective tax rate</t>
        </is>
      </c>
      <c r="E294" s="40" t="n"/>
      <c r="F294" s="40" t="n"/>
      <c r="G294" s="40" t="n"/>
      <c r="H294" s="40" t="n"/>
      <c r="I294" s="39" t="str">
        <f>IF(COUNT(E294:H294)=0,"",AVERAGE(E294:H294))</f>
        <v/>
      </c>
      <c r="J294" s="40" t="n"/>
      <c r="K294" s="40" t="n"/>
      <c r="L294" s="40" t="n"/>
      <c r="M294" s="40" t="n"/>
      <c r="N294" s="39" t="str">
        <f>IF(COUNT(J294:M294)=0,"",AVERAGE(J294:M294))</f>
        <v/>
      </c>
      <c r="O294" s="40" t="n"/>
      <c r="P294" s="40" t="n"/>
      <c r="Q294" s="40" t="n"/>
      <c r="R294" s="40" t="n"/>
      <c r="S294" s="39" t="str">
        <f>IF(COUNT(O294:R294)=0,"",AVERAGE(O294:R294))</f>
        <v/>
      </c>
      <c r="T294" s="40" t="n"/>
      <c r="U294" s="40" t="n"/>
      <c r="V294" s="40" t="n"/>
      <c r="W294" s="40" t="n"/>
      <c r="X294" s="39" t="str">
        <f>IF(COUNT(T294:W294)=0,"",AVERAGE(T294:W294))</f>
        <v/>
      </c>
      <c r="Y294" s="40" t="n"/>
      <c r="Z294" s="40" t="n"/>
      <c r="AA294" s="40" t="n"/>
      <c r="AB294" s="40" t="n"/>
      <c r="AC294" s="39" t="str">
        <f>IF(COUNT(Y294:AB294)=0,"",AVERAGE(Y294:AB294))</f>
        <v/>
      </c>
      <c r="AD294" s="40" t="n"/>
      <c r="AE294" s="40" t="n"/>
      <c r="AF294" s="40" t="n"/>
      <c r="AG294" s="40" t="n"/>
      <c r="AH294" s="39" t="str">
        <f>IF(COUNT(AD294:AG294)=0,"",AVERAGE(AD294:AG294))</f>
        <v/>
      </c>
      <c r="AI294" s="40" t="n"/>
      <c r="AJ294" s="40" t="n"/>
      <c r="AK294" s="40" t="n"/>
      <c r="AL294" s="40" t="n"/>
      <c r="AM294" s="39" t="str">
        <f>IF(COUNT(AI294:AL294)=0,"",AVERAGE(AI294:AL294))</f>
        <v/>
      </c>
      <c r="AN294" s="40" t="n"/>
      <c r="AO294" s="40" t="n"/>
      <c r="AP294" s="40" t="n"/>
      <c r="AQ294" s="40" t="n"/>
      <c r="AR294" s="39" t="str">
        <f>IF(COUNT(AN294:AQ294)=0,"",AVERAGE(AN294:AQ294))</f>
        <v/>
      </c>
      <c r="AS294" s="40" t="n"/>
      <c r="AT294" s="40" t="n"/>
      <c r="AU294" s="40" t="n"/>
      <c r="AV294" s="40" t="n"/>
      <c r="AW294" s="39" t="str">
        <f>IF(COUNT(AS294:AV294)=0,"",AVERAGE(AS294:AV294))</f>
        <v/>
      </c>
      <c r="AX294" s="40" t="n"/>
      <c r="AY294" s="40" t="n"/>
      <c r="AZ294" s="40" t="n"/>
      <c r="BA294" s="40" t="n"/>
      <c r="BB294" s="39" t="str">
        <f>IF(COUNT(AX294:BA294)=0,"",AVERAGE(AX294:BA294))</f>
        <v/>
      </c>
      <c r="BC294" s="40" t="n"/>
      <c r="BD294" s="40" t="n"/>
      <c r="BE294" s="40" t="n"/>
      <c r="BF294" s="40" t="n"/>
      <c r="BG294" s="39" t="str">
        <f>IF(COUNT(BC294:BF294)=0,"",AVERAGE(BC294:BF294))</f>
        <v/>
      </c>
    </row>
    <row r="295">
      <c r="C295" s="11" t="inlineStr">
        <is>
          <t>Participação de minoritários (% do lucro líquido)</t>
        </is>
      </c>
      <c r="D295" s="12" t="inlineStr">
        <is>
          <t>Minority</t>
        </is>
      </c>
      <c r="E295" s="40" t="n"/>
      <c r="F295" s="40" t="n"/>
      <c r="G295" s="40" t="n"/>
      <c r="H295" s="40" t="n"/>
      <c r="I295" s="39" t="str">
        <f>IF(COUNT(E295:H295)=0,"",AVERAGE(E295:H295))</f>
        <v/>
      </c>
      <c r="J295" s="40" t="n"/>
      <c r="K295" s="40" t="n"/>
      <c r="L295" s="40" t="n"/>
      <c r="M295" s="40" t="n"/>
      <c r="N295" s="39" t="str">
        <f>IF(COUNT(J295:M295)=0,"",AVERAGE(J295:M295))</f>
        <v/>
      </c>
      <c r="O295" s="40" t="n"/>
      <c r="P295" s="40" t="n"/>
      <c r="Q295" s="40" t="n"/>
      <c r="R295" s="40" t="n"/>
      <c r="S295" s="39" t="str">
        <f>IF(COUNT(O295:R295)=0,"",AVERAGE(O295:R295))</f>
        <v/>
      </c>
      <c r="T295" s="40" t="n"/>
      <c r="U295" s="40" t="n"/>
      <c r="V295" s="40" t="n"/>
      <c r="W295" s="40" t="n"/>
      <c r="X295" s="39" t="str">
        <f>IF(COUNT(T295:W295)=0,"",AVERAGE(T295:W295))</f>
        <v/>
      </c>
      <c r="Y295" s="40" t="n"/>
      <c r="Z295" s="40" t="n"/>
      <c r="AA295" s="40" t="n"/>
      <c r="AB295" s="40" t="n"/>
      <c r="AC295" s="39" t="str">
        <f>IF(COUNT(Y295:AB295)=0,"",AVERAGE(Y295:AB295))</f>
        <v/>
      </c>
      <c r="AD295" s="40" t="n"/>
      <c r="AE295" s="40" t="n"/>
      <c r="AF295" s="40" t="n"/>
      <c r="AG295" s="40" t="n"/>
      <c r="AH295" s="39" t="str">
        <f>IF(COUNT(AD295:AG295)=0,"",AVERAGE(AD295:AG295))</f>
        <v/>
      </c>
      <c r="AI295" s="40" t="n"/>
      <c r="AJ295" s="40" t="n"/>
      <c r="AK295" s="40" t="n"/>
      <c r="AL295" s="40" t="n"/>
      <c r="AM295" s="39" t="str">
        <f>IF(COUNT(AI295:AL295)=0,"",AVERAGE(AI295:AL295))</f>
        <v/>
      </c>
      <c r="AN295" s="40" t="n"/>
      <c r="AO295" s="40" t="n"/>
      <c r="AP295" s="40" t="n"/>
      <c r="AQ295" s="40" t="n"/>
      <c r="AR295" s="39" t="str">
        <f>IF(COUNT(AN295:AQ295)=0,"",AVERAGE(AN295:AQ295))</f>
        <v/>
      </c>
      <c r="AS295" s="40" t="n"/>
      <c r="AT295" s="40" t="n"/>
      <c r="AU295" s="40" t="n"/>
      <c r="AV295" s="40" t="n"/>
      <c r="AW295" s="39" t="str">
        <f>IF(COUNT(AS295:AV295)=0,"",AVERAGE(AS295:AV295))</f>
        <v/>
      </c>
      <c r="AX295" s="40" t="n"/>
      <c r="AY295" s="40" t="n"/>
      <c r="AZ295" s="40" t="n"/>
      <c r="BA295" s="40" t="n"/>
      <c r="BB295" s="39" t="str">
        <f>IF(COUNT(AX295:BA295)=0,"",AVERAGE(AX295:BA295))</f>
        <v/>
      </c>
      <c r="BC295" s="40" t="n"/>
      <c r="BD295" s="40" t="n"/>
      <c r="BE295" s="40" t="n"/>
      <c r="BF295" s="40" t="n"/>
      <c r="BG295" s="39" t="str">
        <f>IF(COUNT(BC295:BF295)=0,"",AVERAGE(BC295:BF295))</f>
        <v/>
      </c>
    </row>
    <row r="297">
      <c r="B297" s="7" t="n"/>
      <c r="C297" s="7" t="inlineStr">
        <is>
          <t>DRIVERS — CAPITAL, PAYOUT E PATRIMÔNIO</t>
        </is>
      </c>
      <c r="D297" s="7" t="inlineStr">
        <is>
          <t>DRIVERS — CAPITAL, PAYOUT &amp; EQUITY</t>
        </is>
      </c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>
      <c r="C298" s="11" t="inlineStr">
        <is>
          <t>Payout total — dividendos + JCP (% do lucro líquido)</t>
        </is>
      </c>
      <c r="D298" s="12" t="inlineStr">
        <is>
          <t>Payout</t>
        </is>
      </c>
      <c r="E298" s="40" t="n"/>
      <c r="F298" s="40" t="n"/>
      <c r="G298" s="40" t="n"/>
      <c r="H298" s="40" t="n"/>
      <c r="I298" s="39" t="str">
        <f>IF(COUNT(E298:H298)=0,"",AVERAGE(E298:H298))</f>
        <v/>
      </c>
      <c r="J298" s="40" t="n"/>
      <c r="K298" s="40" t="n"/>
      <c r="L298" s="40" t="n"/>
      <c r="M298" s="40" t="n"/>
      <c r="N298" s="39" t="str">
        <f>IF(COUNT(J298:M298)=0,"",AVERAGE(J298:M298))</f>
        <v/>
      </c>
      <c r="O298" s="40" t="n"/>
      <c r="P298" s="40" t="n"/>
      <c r="Q298" s="40" t="n"/>
      <c r="R298" s="40" t="n"/>
      <c r="S298" s="39" t="str">
        <f>IF(COUNT(O298:R298)=0,"",AVERAGE(O298:R298))</f>
        <v/>
      </c>
      <c r="T298" s="40" t="n"/>
      <c r="U298" s="40" t="n"/>
      <c r="V298" s="40" t="n"/>
      <c r="W298" s="40" t="n"/>
      <c r="X298" s="39" t="str">
        <f>IF(COUNT(T298:W298)=0,"",AVERAGE(T298:W298))</f>
        <v/>
      </c>
      <c r="Y298" s="40" t="n"/>
      <c r="Z298" s="40" t="n"/>
      <c r="AA298" s="40" t="n"/>
      <c r="AB298" s="40" t="n"/>
      <c r="AC298" s="39" t="str">
        <f>IF(COUNT(Y298:AB298)=0,"",AVERAGE(Y298:AB298))</f>
        <v/>
      </c>
      <c r="AD298" s="40" t="n"/>
      <c r="AE298" s="40" t="n"/>
      <c r="AF298" s="40" t="n"/>
      <c r="AG298" s="40" t="n"/>
      <c r="AH298" s="39" t="str">
        <f>IF(COUNT(AD298:AG298)=0,"",AVERAGE(AD298:AG298))</f>
        <v/>
      </c>
      <c r="AI298" s="40" t="n"/>
      <c r="AJ298" s="40" t="n"/>
      <c r="AK298" s="40" t="n"/>
      <c r="AL298" s="40" t="n"/>
      <c r="AM298" s="39" t="str">
        <f>IF(COUNT(AI298:AL298)=0,"",AVERAGE(AI298:AL298))</f>
        <v/>
      </c>
      <c r="AN298" s="40" t="n"/>
      <c r="AO298" s="40" t="n"/>
      <c r="AP298" s="40" t="n"/>
      <c r="AQ298" s="40" t="n"/>
      <c r="AR298" s="39" t="str">
        <f>IF(COUNT(AN298:AQ298)=0,"",AVERAGE(AN298:AQ298))</f>
        <v/>
      </c>
      <c r="AS298" s="40" t="n"/>
      <c r="AT298" s="40" t="n"/>
      <c r="AU298" s="40" t="n"/>
      <c r="AV298" s="40" t="n"/>
      <c r="AW298" s="39" t="str">
        <f>IF(COUNT(AS298:AV298)=0,"",AVERAGE(AS298:AV298))</f>
        <v/>
      </c>
      <c r="AX298" s="40" t="n"/>
      <c r="AY298" s="40" t="n"/>
      <c r="AZ298" s="40" t="n"/>
      <c r="BA298" s="40" t="n"/>
      <c r="BB298" s="39" t="str">
        <f>IF(COUNT(AX298:BA298)=0,"",AVERAGE(AX298:BA298))</f>
        <v/>
      </c>
      <c r="BC298" s="40" t="n"/>
      <c r="BD298" s="40" t="n"/>
      <c r="BE298" s="40" t="n"/>
      <c r="BF298" s="40" t="n"/>
      <c r="BG298" s="39" t="str">
        <f>IF(COUNT(BC298:BF298)=0,"",AVERAGE(BC298:BF298))</f>
        <v/>
      </c>
    </row>
    <row r="299">
      <c r="C299" s="11" t="inlineStr">
        <is>
          <t>RWA / Ativo total (%)</t>
        </is>
      </c>
      <c r="D299" s="12" t="inlineStr">
        <is>
          <t>RWA over assets</t>
        </is>
      </c>
      <c r="E299" s="40" t="n"/>
      <c r="F299" s="40" t="n"/>
      <c r="G299" s="40" t="n"/>
      <c r="H299" s="40" t="n"/>
      <c r="I299" s="39" t="str">
        <f>IF(COUNT(E299:H299)=0,"",AVERAGE(E299:H299))</f>
        <v/>
      </c>
      <c r="J299" s="40" t="n"/>
      <c r="K299" s="40" t="n"/>
      <c r="L299" s="40" t="n"/>
      <c r="M299" s="40" t="n"/>
      <c r="N299" s="39" t="str">
        <f>IF(COUNT(J299:M299)=0,"",AVERAGE(J299:M299))</f>
        <v/>
      </c>
      <c r="O299" s="40" t="n"/>
      <c r="P299" s="40" t="n"/>
      <c r="Q299" s="40" t="n"/>
      <c r="R299" s="40" t="n"/>
      <c r="S299" s="39" t="str">
        <f>IF(COUNT(O299:R299)=0,"",AVERAGE(O299:R299))</f>
        <v/>
      </c>
      <c r="T299" s="40" t="n"/>
      <c r="U299" s="40" t="n"/>
      <c r="V299" s="40" t="n"/>
      <c r="W299" s="40" t="n"/>
      <c r="X299" s="39" t="str">
        <f>IF(COUNT(T299:W299)=0,"",AVERAGE(T299:W299))</f>
        <v/>
      </c>
      <c r="Y299" s="40" t="n"/>
      <c r="Z299" s="40" t="n"/>
      <c r="AA299" s="40" t="n"/>
      <c r="AB299" s="40" t="n"/>
      <c r="AC299" s="39" t="str">
        <f>IF(COUNT(Y299:AB299)=0,"",AVERAGE(Y299:AB299))</f>
        <v/>
      </c>
      <c r="AD299" s="40" t="n"/>
      <c r="AE299" s="40" t="n"/>
      <c r="AF299" s="40" t="n"/>
      <c r="AG299" s="40" t="n"/>
      <c r="AH299" s="39" t="str">
        <f>IF(COUNT(AD299:AG299)=0,"",AVERAGE(AD299:AG299))</f>
        <v/>
      </c>
      <c r="AI299" s="40" t="n"/>
      <c r="AJ299" s="40" t="n"/>
      <c r="AK299" s="40" t="n"/>
      <c r="AL299" s="40" t="n"/>
      <c r="AM299" s="39" t="str">
        <f>IF(COUNT(AI299:AL299)=0,"",AVERAGE(AI299:AL299))</f>
        <v/>
      </c>
      <c r="AN299" s="40" t="n"/>
      <c r="AO299" s="40" t="n"/>
      <c r="AP299" s="40" t="n"/>
      <c r="AQ299" s="40" t="n"/>
      <c r="AR299" s="39" t="str">
        <f>IF(COUNT(AN299:AQ299)=0,"",AVERAGE(AN299:AQ299))</f>
        <v/>
      </c>
      <c r="AS299" s="40" t="n"/>
      <c r="AT299" s="40" t="n"/>
      <c r="AU299" s="40" t="n"/>
      <c r="AV299" s="40" t="n"/>
      <c r="AW299" s="39" t="str">
        <f>IF(COUNT(AS299:AV299)=0,"",AVERAGE(AS299:AV299))</f>
        <v/>
      </c>
      <c r="AX299" s="40" t="n"/>
      <c r="AY299" s="40" t="n"/>
      <c r="AZ299" s="40" t="n"/>
      <c r="BA299" s="40" t="n"/>
      <c r="BB299" s="39" t="str">
        <f>IF(COUNT(AX299:BA299)=0,"",AVERAGE(AX299:BA299))</f>
        <v/>
      </c>
      <c r="BC299" s="40" t="n"/>
      <c r="BD299" s="40" t="n"/>
      <c r="BE299" s="40" t="n"/>
      <c r="BF299" s="40" t="n"/>
      <c r="BG299" s="39" t="str">
        <f>IF(COUNT(BC299:BF299)=0,"",AVERAGE(BC299:BF299))</f>
        <v/>
      </c>
    </row>
    <row r="300">
      <c r="C300" s="11" t="inlineStr">
        <is>
          <t>Índice de Basileia alvo (%)</t>
        </is>
      </c>
      <c r="D300" s="12" t="inlineStr">
        <is>
          <t>Target Basel</t>
        </is>
      </c>
      <c r="E300" s="40" t="n"/>
      <c r="F300" s="40" t="n"/>
      <c r="G300" s="40" t="n"/>
      <c r="H300" s="40" t="n"/>
      <c r="I300" s="39" t="str">
        <f>IF(COUNT(E300:H300)=0,"",AVERAGE(E300:H300))</f>
        <v/>
      </c>
      <c r="J300" s="40" t="n"/>
      <c r="K300" s="40" t="n"/>
      <c r="L300" s="40" t="n"/>
      <c r="M300" s="40" t="n"/>
      <c r="N300" s="39" t="str">
        <f>IF(COUNT(J300:M300)=0,"",AVERAGE(J300:M300))</f>
        <v/>
      </c>
      <c r="O300" s="40" t="n"/>
      <c r="P300" s="40" t="n"/>
      <c r="Q300" s="40" t="n"/>
      <c r="R300" s="40" t="n"/>
      <c r="S300" s="39" t="str">
        <f>IF(COUNT(O300:R300)=0,"",AVERAGE(O300:R300))</f>
        <v/>
      </c>
      <c r="T300" s="40" t="n"/>
      <c r="U300" s="40" t="n"/>
      <c r="V300" s="40" t="n"/>
      <c r="W300" s="40" t="n"/>
      <c r="X300" s="39" t="str">
        <f>IF(COUNT(T300:W300)=0,"",AVERAGE(T300:W300))</f>
        <v/>
      </c>
      <c r="Y300" s="40" t="n"/>
      <c r="Z300" s="40" t="n"/>
      <c r="AA300" s="40" t="n"/>
      <c r="AB300" s="40" t="n"/>
      <c r="AC300" s="39" t="str">
        <f>IF(COUNT(Y300:AB300)=0,"",AVERAGE(Y300:AB300))</f>
        <v/>
      </c>
      <c r="AD300" s="40" t="n"/>
      <c r="AE300" s="40" t="n"/>
      <c r="AF300" s="40" t="n"/>
      <c r="AG300" s="40" t="n"/>
      <c r="AH300" s="39" t="str">
        <f>IF(COUNT(AD300:AG300)=0,"",AVERAGE(AD300:AG300))</f>
        <v/>
      </c>
      <c r="AI300" s="40" t="n"/>
      <c r="AJ300" s="40" t="n"/>
      <c r="AK300" s="40" t="n"/>
      <c r="AL300" s="40" t="n"/>
      <c r="AM300" s="39" t="str">
        <f>IF(COUNT(AI300:AL300)=0,"",AVERAGE(AI300:AL300))</f>
        <v/>
      </c>
      <c r="AN300" s="40" t="n"/>
      <c r="AO300" s="40" t="n"/>
      <c r="AP300" s="40" t="n"/>
      <c r="AQ300" s="40" t="n"/>
      <c r="AR300" s="39" t="str">
        <f>IF(COUNT(AN300:AQ300)=0,"",AVERAGE(AN300:AQ300))</f>
        <v/>
      </c>
      <c r="AS300" s="40" t="n"/>
      <c r="AT300" s="40" t="n"/>
      <c r="AU300" s="40" t="n"/>
      <c r="AV300" s="40" t="n"/>
      <c r="AW300" s="39" t="str">
        <f>IF(COUNT(AS300:AV300)=0,"",AVERAGE(AS300:AV300))</f>
        <v/>
      </c>
      <c r="AX300" s="40" t="n"/>
      <c r="AY300" s="40" t="n"/>
      <c r="AZ300" s="40" t="n"/>
      <c r="BA300" s="40" t="n"/>
      <c r="BB300" s="39" t="str">
        <f>IF(COUNT(AX300:BA300)=0,"",AVERAGE(AX300:BA300))</f>
        <v/>
      </c>
      <c r="BC300" s="40" t="n"/>
      <c r="BD300" s="40" t="n"/>
      <c r="BE300" s="40" t="n"/>
      <c r="BF300" s="40" t="n"/>
      <c r="BG300" s="39" t="str">
        <f>IF(COUNT(BC300:BF300)=0,"",AVERAGE(BC300:BF300))</f>
        <v/>
      </c>
    </row>
    <row r="301">
      <c r="C301" s="11" t="inlineStr">
        <is>
          <t>Capital Nível I alvo (%)</t>
        </is>
      </c>
      <c r="D301" s="12" t="inlineStr">
        <is>
          <t>Target Tier 1</t>
        </is>
      </c>
      <c r="E301" s="40" t="n"/>
      <c r="F301" s="40" t="n"/>
      <c r="G301" s="40" t="n"/>
      <c r="H301" s="40" t="n"/>
      <c r="I301" s="39" t="str">
        <f>IF(COUNT(E301:H301)=0,"",AVERAGE(E301:H301))</f>
        <v/>
      </c>
      <c r="J301" s="40" t="n"/>
      <c r="K301" s="40" t="n"/>
      <c r="L301" s="40" t="n"/>
      <c r="M301" s="40" t="n"/>
      <c r="N301" s="39" t="str">
        <f>IF(COUNT(J301:M301)=0,"",AVERAGE(J301:M301))</f>
        <v/>
      </c>
      <c r="O301" s="40" t="n"/>
      <c r="P301" s="40" t="n"/>
      <c r="Q301" s="40" t="n"/>
      <c r="R301" s="40" t="n"/>
      <c r="S301" s="39" t="str">
        <f>IF(COUNT(O301:R301)=0,"",AVERAGE(O301:R301))</f>
        <v/>
      </c>
      <c r="T301" s="40" t="n"/>
      <c r="U301" s="40" t="n"/>
      <c r="V301" s="40" t="n"/>
      <c r="W301" s="40" t="n"/>
      <c r="X301" s="39" t="str">
        <f>IF(COUNT(T301:W301)=0,"",AVERAGE(T301:W301))</f>
        <v/>
      </c>
      <c r="Y301" s="40" t="n"/>
      <c r="Z301" s="40" t="n"/>
      <c r="AA301" s="40" t="n"/>
      <c r="AB301" s="40" t="n"/>
      <c r="AC301" s="39" t="str">
        <f>IF(COUNT(Y301:AB301)=0,"",AVERAGE(Y301:AB301))</f>
        <v/>
      </c>
      <c r="AD301" s="40" t="n"/>
      <c r="AE301" s="40" t="n"/>
      <c r="AF301" s="40" t="n"/>
      <c r="AG301" s="40" t="n"/>
      <c r="AH301" s="39" t="str">
        <f>IF(COUNT(AD301:AG301)=0,"",AVERAGE(AD301:AG301))</f>
        <v/>
      </c>
      <c r="AI301" s="40" t="n"/>
      <c r="AJ301" s="40" t="n"/>
      <c r="AK301" s="40" t="n"/>
      <c r="AL301" s="40" t="n"/>
      <c r="AM301" s="39" t="str">
        <f>IF(COUNT(AI301:AL301)=0,"",AVERAGE(AI301:AL301))</f>
        <v/>
      </c>
      <c r="AN301" s="40" t="n"/>
      <c r="AO301" s="40" t="n"/>
      <c r="AP301" s="40" t="n"/>
      <c r="AQ301" s="40" t="n"/>
      <c r="AR301" s="39" t="str">
        <f>IF(COUNT(AN301:AQ301)=0,"",AVERAGE(AN301:AQ301))</f>
        <v/>
      </c>
      <c r="AS301" s="40" t="n"/>
      <c r="AT301" s="40" t="n"/>
      <c r="AU301" s="40" t="n"/>
      <c r="AV301" s="40" t="n"/>
      <c r="AW301" s="39" t="str">
        <f>IF(COUNT(AS301:AV301)=0,"",AVERAGE(AS301:AV301))</f>
        <v/>
      </c>
      <c r="AX301" s="40" t="n"/>
      <c r="AY301" s="40" t="n"/>
      <c r="AZ301" s="40" t="n"/>
      <c r="BA301" s="40" t="n"/>
      <c r="BB301" s="39" t="str">
        <f>IF(COUNT(AX301:BA301)=0,"",AVERAGE(AX301:BA301))</f>
        <v/>
      </c>
      <c r="BC301" s="40" t="n"/>
      <c r="BD301" s="40" t="n"/>
      <c r="BE301" s="40" t="n"/>
      <c r="BF301" s="40" t="n"/>
      <c r="BG301" s="39" t="str">
        <f>IF(COUNT(BC301:BF301)=0,"",AVERAGE(BC301:BF301))</f>
        <v/>
      </c>
    </row>
    <row r="302">
      <c r="C302" s="11" t="str">
        <f>"Outros resultados abrangentes no período ("&amp;Inputs!$E$202&amp;")"</f>
        <v>Outros resultados abrangentes no período (R$ milhões)</v>
      </c>
      <c r="D302" s="12" t="inlineStr">
        <is>
          <t>OCI</t>
        </is>
      </c>
      <c r="E302" s="45" t="n"/>
      <c r="F302" s="45" t="n"/>
      <c r="G302" s="45" t="n"/>
      <c r="H302" s="45" t="n"/>
      <c r="I302" s="46" t="str">
        <f>IF(COUNT(E302:H302)=0,"",AVERAGE(E302:H302))</f>
        <v/>
      </c>
      <c r="J302" s="45" t="n"/>
      <c r="K302" s="45" t="n"/>
      <c r="L302" s="45" t="n"/>
      <c r="M302" s="45" t="n"/>
      <c r="N302" s="46" t="str">
        <f>IF(COUNT(J302:M302)=0,"",AVERAGE(J302:M302))</f>
        <v/>
      </c>
      <c r="O302" s="45" t="n"/>
      <c r="P302" s="45" t="n"/>
      <c r="Q302" s="45" t="n"/>
      <c r="R302" s="45" t="n"/>
      <c r="S302" s="46" t="str">
        <f>IF(COUNT(O302:R302)=0,"",AVERAGE(O302:R302))</f>
        <v/>
      </c>
      <c r="T302" s="45" t="n"/>
      <c r="U302" s="45" t="n"/>
      <c r="V302" s="45" t="n"/>
      <c r="W302" s="45" t="n"/>
      <c r="X302" s="46" t="str">
        <f>IF(COUNT(T302:W302)=0,"",AVERAGE(T302:W302))</f>
        <v/>
      </c>
      <c r="Y302" s="45" t="n"/>
      <c r="Z302" s="45" t="n"/>
      <c r="AA302" s="45" t="n"/>
      <c r="AB302" s="45" t="n"/>
      <c r="AC302" s="46" t="str">
        <f>IF(COUNT(Y302:AB302)=0,"",AVERAGE(Y302:AB302))</f>
        <v/>
      </c>
      <c r="AD302" s="45" t="n"/>
      <c r="AE302" s="45" t="n"/>
      <c r="AF302" s="45" t="n"/>
      <c r="AG302" s="45" t="n"/>
      <c r="AH302" s="46" t="str">
        <f>IF(COUNT(AD302:AG302)=0,"",AVERAGE(AD302:AG302))</f>
        <v/>
      </c>
      <c r="AI302" s="45" t="n"/>
      <c r="AJ302" s="45" t="n"/>
      <c r="AK302" s="45" t="n"/>
      <c r="AL302" s="45" t="n"/>
      <c r="AM302" s="46" t="str">
        <f>IF(COUNT(AI302:AL302)=0,"",AVERAGE(AI302:AL302))</f>
        <v/>
      </c>
      <c r="AN302" s="45" t="n"/>
      <c r="AO302" s="45" t="n"/>
      <c r="AP302" s="45" t="n"/>
      <c r="AQ302" s="45" t="n"/>
      <c r="AR302" s="46" t="str">
        <f>IF(COUNT(AN302:AQ302)=0,"",AVERAGE(AN302:AQ302))</f>
        <v/>
      </c>
      <c r="AS302" s="45" t="n"/>
      <c r="AT302" s="45" t="n"/>
      <c r="AU302" s="45" t="n"/>
      <c r="AV302" s="45" t="n"/>
      <c r="AW302" s="46" t="str">
        <f>IF(COUNT(AS302:AV302)=0,"",AVERAGE(AS302:AV302))</f>
        <v/>
      </c>
      <c r="AX302" s="45" t="n"/>
      <c r="AY302" s="45" t="n"/>
      <c r="AZ302" s="45" t="n"/>
      <c r="BA302" s="45" t="n"/>
      <c r="BB302" s="46" t="str">
        <f>IF(COUNT(AX302:BA302)=0,"",AVERAGE(AX302:BA302))</f>
        <v/>
      </c>
      <c r="BC302" s="45" t="n"/>
      <c r="BD302" s="45" t="n"/>
      <c r="BE302" s="45" t="n"/>
      <c r="BF302" s="45" t="n"/>
      <c r="BG302" s="46" t="str">
        <f>IF(COUNT(BC302:BF302)=0,"",AVERAGE(BC302:BF302))</f>
        <v/>
      </c>
    </row>
    <row r="303">
      <c r="C303" s="11" t="str">
        <f>"Aumento/(redução) de capital ("&amp;Inputs!$E$202&amp;")"</f>
        <v>Aumento/(redução) de capital (R$ milhões)</v>
      </c>
      <c r="D303" s="12" t="inlineStr">
        <is>
          <t>Capital change</t>
        </is>
      </c>
      <c r="E303" s="45" t="n"/>
      <c r="F303" s="45" t="n"/>
      <c r="G303" s="45" t="n"/>
      <c r="H303" s="45" t="n"/>
      <c r="I303" s="46" t="str">
        <f>IF(COUNT(E303:H303)=0,"",AVERAGE(E303:H303))</f>
        <v/>
      </c>
      <c r="J303" s="45" t="n"/>
      <c r="K303" s="45" t="n"/>
      <c r="L303" s="45" t="n"/>
      <c r="M303" s="45" t="n"/>
      <c r="N303" s="46" t="str">
        <f>IF(COUNT(J303:M303)=0,"",AVERAGE(J303:M303))</f>
        <v/>
      </c>
      <c r="O303" s="45" t="n"/>
      <c r="P303" s="45" t="n"/>
      <c r="Q303" s="45" t="n"/>
      <c r="R303" s="45" t="n"/>
      <c r="S303" s="46" t="str">
        <f>IF(COUNT(O303:R303)=0,"",AVERAGE(O303:R303))</f>
        <v/>
      </c>
      <c r="T303" s="45" t="n"/>
      <c r="U303" s="45" t="n"/>
      <c r="V303" s="45" t="n"/>
      <c r="W303" s="45" t="n"/>
      <c r="X303" s="46" t="str">
        <f>IF(COUNT(T303:W303)=0,"",AVERAGE(T303:W303))</f>
        <v/>
      </c>
      <c r="Y303" s="45" t="n"/>
      <c r="Z303" s="45" t="n"/>
      <c r="AA303" s="45" t="n"/>
      <c r="AB303" s="45" t="n"/>
      <c r="AC303" s="46" t="str">
        <f>IF(COUNT(Y303:AB303)=0,"",AVERAGE(Y303:AB303))</f>
        <v/>
      </c>
      <c r="AD303" s="45" t="n"/>
      <c r="AE303" s="45" t="n"/>
      <c r="AF303" s="45" t="n"/>
      <c r="AG303" s="45" t="n"/>
      <c r="AH303" s="46" t="str">
        <f>IF(COUNT(AD303:AG303)=0,"",AVERAGE(AD303:AG303))</f>
        <v/>
      </c>
      <c r="AI303" s="45" t="n"/>
      <c r="AJ303" s="45" t="n"/>
      <c r="AK303" s="45" t="n"/>
      <c r="AL303" s="45" t="n"/>
      <c r="AM303" s="46" t="str">
        <f>IF(COUNT(AI303:AL303)=0,"",AVERAGE(AI303:AL303))</f>
        <v/>
      </c>
      <c r="AN303" s="45" t="n"/>
      <c r="AO303" s="45" t="n"/>
      <c r="AP303" s="45" t="n"/>
      <c r="AQ303" s="45" t="n"/>
      <c r="AR303" s="46" t="str">
        <f>IF(COUNT(AN303:AQ303)=0,"",AVERAGE(AN303:AQ303))</f>
        <v/>
      </c>
      <c r="AS303" s="45" t="n"/>
      <c r="AT303" s="45" t="n"/>
      <c r="AU303" s="45" t="n"/>
      <c r="AV303" s="45" t="n"/>
      <c r="AW303" s="46" t="str">
        <f>IF(COUNT(AS303:AV303)=0,"",AVERAGE(AS303:AV303))</f>
        <v/>
      </c>
      <c r="AX303" s="45" t="n"/>
      <c r="AY303" s="45" t="n"/>
      <c r="AZ303" s="45" t="n"/>
      <c r="BA303" s="45" t="n"/>
      <c r="BB303" s="46" t="str">
        <f>IF(COUNT(AX303:BA303)=0,"",AVERAGE(AX303:BA303))</f>
        <v/>
      </c>
      <c r="BC303" s="45" t="n"/>
      <c r="BD303" s="45" t="n"/>
      <c r="BE303" s="45" t="n"/>
      <c r="BF303" s="45" t="n"/>
      <c r="BG303" s="46" t="str">
        <f>IF(COUNT(BC303:BF303)=0,"",AVERAGE(BC303:BF303))</f>
        <v/>
      </c>
    </row>
    <row r="305">
      <c r="B305" s="7" t="n"/>
      <c r="C305" s="7" t="inlineStr">
        <is>
          <t>PREMISSAS DE VALUATION</t>
        </is>
      </c>
      <c r="D305" s="7" t="inlineStr">
        <is>
          <t>VALUATION ASSUMPTIONS</t>
        </is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28" t="inlineStr">
        <is>
          <t>Bloco desligado nesta versão: o modelo está em modo histórico, sem projeção e sem valuation. As linhas ficam prontas para receber sua premissa quando você quiser ligar.</t>
        </is>
      </c>
    </row>
    <row r="306">
      <c r="C306" s="11" t="inlineStr">
        <is>
          <t>Taxa livre de risco — NTN-B longa (% a.a.)</t>
        </is>
      </c>
      <c r="D306" s="12" t="inlineStr">
        <is>
          <t>Risk-free rate</t>
        </is>
      </c>
      <c r="E306" s="40" t="n"/>
    </row>
    <row r="307">
      <c r="C307" s="11" t="inlineStr">
        <is>
          <t>Prêmio de risco de mercado — ERP Brasil (%)</t>
        </is>
      </c>
      <c r="D307" s="12" t="inlineStr">
        <is>
          <t>Equity risk premium</t>
        </is>
      </c>
      <c r="E307" s="40" t="n"/>
    </row>
    <row r="308">
      <c r="C308" s="11" t="inlineStr">
        <is>
          <t>Beta alavancado</t>
        </is>
      </c>
      <c r="D308" s="12" t="inlineStr">
        <is>
          <t>Levered beta</t>
        </is>
      </c>
      <c r="E308" s="47" t="n"/>
    </row>
    <row r="309">
      <c r="C309" s="11" t="inlineStr">
        <is>
          <t>Prêmio de tamanho / liquidez (%)</t>
        </is>
      </c>
      <c r="D309" s="12" t="inlineStr">
        <is>
          <t>Size premium</t>
        </is>
      </c>
      <c r="E309" s="40" t="n"/>
    </row>
    <row r="310">
      <c r="C310" s="15" t="inlineStr">
        <is>
          <t>Custo do capital próprio — Ke (% a.a.)</t>
        </is>
      </c>
      <c r="D310" s="16" t="inlineStr">
        <is>
          <t>Cost of equity (CAPM)</t>
        </is>
      </c>
      <c r="E310" s="48">
        <f>E306+E308*E307+E309</f>
        <v>0</v>
      </c>
      <c r="BI310" s="14" t="inlineStr">
        <is>
          <t>Ke = Rf + β × ERP + prêmio de tamanho. Para banco não se usa WACC: a dívida é insumo operacional.</t>
        </is>
      </c>
    </row>
    <row r="311">
      <c r="C311" s="11" t="inlineStr">
        <is>
          <t>Crescimento na perpetuidade — g (% a.a.)</t>
        </is>
      </c>
      <c r="D311" s="12" t="inlineStr">
        <is>
          <t>Terminal growth</t>
        </is>
      </c>
      <c r="E311" s="40" t="n"/>
    </row>
    <row r="312">
      <c r="C312" s="11" t="inlineStr">
        <is>
          <t>ROE sustentável na perpetuidade (%)</t>
        </is>
      </c>
      <c r="D312" s="12" t="inlineStr">
        <is>
          <t>Sustainable ROE</t>
        </is>
      </c>
      <c r="E312" s="40" t="n"/>
    </row>
    <row r="313">
      <c r="C313" s="26" t="inlineStr">
        <is>
          <t>Payout implícito na perpetuidade (%)</t>
        </is>
      </c>
      <c r="D313" s="12" t="inlineStr">
        <is>
          <t>Implied payout</t>
        </is>
      </c>
      <c r="E313" s="49">
        <f>IFERROR(1-E311/E312,0)</f>
        <v>0</v>
      </c>
      <c r="BI313" s="14" t="inlineStr">
        <is>
          <t>Regra de consistência: g = ROE × (1 – payout).</t>
        </is>
      </c>
    </row>
    <row r="314">
      <c r="C314" s="11" t="inlineStr">
        <is>
          <t>Último ano projetado explicitamente</t>
        </is>
      </c>
      <c r="D314" s="12" t="inlineStr">
        <is>
          <t>Last forecast year</t>
        </is>
      </c>
      <c r="E314" s="50" t="n"/>
    </row>
    <row r="316">
      <c r="B316" s="29" t="n"/>
      <c r="C316" s="29" t="inlineStr">
        <is>
          <t>Ponderação dos métodos</t>
        </is>
      </c>
      <c r="D316" s="29" t="inlineStr">
        <is>
          <t>Method weights</t>
        </is>
      </c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  <c r="AA316" s="29" t="n"/>
      <c r="AB316" s="29" t="n"/>
      <c r="AC316" s="29" t="n"/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9" t="n"/>
      <c r="AT316" s="29" t="n"/>
      <c r="AU316" s="29" t="n"/>
      <c r="AV316" s="29" t="n"/>
      <c r="AW316" s="29" t="n"/>
      <c r="AX316" s="29" t="n"/>
      <c r="AY316" s="29" t="n"/>
      <c r="AZ316" s="29" t="n"/>
      <c r="BA316" s="29" t="n"/>
      <c r="BB316" s="29" t="n"/>
      <c r="BC316" s="29" t="n"/>
      <c r="BD316" s="29" t="n"/>
      <c r="BE316" s="29" t="n"/>
      <c r="BF316" s="29" t="n"/>
      <c r="BG316" s="29" t="n"/>
      <c r="BH316" s="29" t="n"/>
      <c r="BI316" s="29" t="n"/>
    </row>
    <row r="317">
      <c r="C317" s="11" t="inlineStr">
        <is>
          <t>Excess Return (lucro residual)</t>
        </is>
      </c>
      <c r="D317" s="12" t="inlineStr">
        <is>
          <t>Excess return</t>
        </is>
      </c>
      <c r="E317" s="40" t="n"/>
    </row>
    <row r="318">
      <c r="C318" s="11" t="inlineStr">
        <is>
          <t>Dividend Discount Model</t>
        </is>
      </c>
      <c r="D318" s="12" t="inlineStr">
        <is>
          <t>DDM</t>
        </is>
      </c>
      <c r="E318" s="40" t="n"/>
    </row>
    <row r="319">
      <c r="C319" s="11" t="inlineStr">
        <is>
          <t>P/BV justificado por Gordon</t>
        </is>
      </c>
      <c r="D319" s="12" t="inlineStr">
        <is>
          <t>Justified P/BV</t>
        </is>
      </c>
      <c r="E319" s="40" t="n"/>
    </row>
    <row r="320">
      <c r="C320" s="11" t="inlineStr">
        <is>
          <t>Múltiplos de mercado</t>
        </is>
      </c>
      <c r="D320" s="12" t="inlineStr">
        <is>
          <t>Market multiples</t>
        </is>
      </c>
      <c r="E320" s="40" t="n"/>
    </row>
    <row r="321">
      <c r="C321" s="15" t="inlineStr">
        <is>
          <t>Soma dos pesos</t>
        </is>
      </c>
      <c r="D321" s="16" t="inlineStr">
        <is>
          <t>Sum of weights</t>
        </is>
      </c>
      <c r="E321" s="48" t="str">
        <f>IF(COUNT(E317:E320)=0,"",SUM(E317:E320))</f>
        <v/>
      </c>
      <c r="F321" s="51" t="str">
        <f>IF(COUNT(E317:E320)=0,"",IF(ABS(E321-1)&lt;0.0001,"OK","AJUSTAR"))</f>
        <v/>
      </c>
    </row>
    <row r="323">
      <c r="B323" s="7" t="n"/>
      <c r="C323" s="7" t="inlineStr">
        <is>
          <t>CONVENÇÕES DO MODELO</t>
        </is>
      </c>
      <c r="D323" s="7" t="inlineStr">
        <is>
          <t>MODEL CONVENTIONS</t>
        </is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>
      <c r="C324" s="15" t="inlineStr">
        <is>
          <t>Linhas 2 a 190</t>
        </is>
      </c>
      <c r="D324" s="52" t="inlineStr">
        <is>
          <t>Hard code dos dados brutos. Coluna B é o código que a Inputs (2) procura.</t>
        </is>
      </c>
    </row>
    <row r="325">
      <c r="C325" s="15" t="inlineStr">
        <is>
          <t>Linha 196 em diante</t>
        </is>
      </c>
      <c r="D325" s="52" t="inlineStr">
        <is>
          <t>Painel de premissas. Fica fora do intervalo que a fórmula varre.</t>
        </is>
      </c>
    </row>
    <row r="326">
      <c r="C326" s="15" t="inlineStr">
        <is>
          <t>Várias linhas, mesmo código</t>
        </is>
      </c>
      <c r="D326" s="52" t="inlineStr">
        <is>
          <t>A Inputs (2) soma todas. Acrescente linhas sem editar fórmula.</t>
        </is>
      </c>
    </row>
    <row r="327">
      <c r="C327" s="15" t="inlineStr">
        <is>
          <t>Células amarelas com fonte azul</t>
        </is>
      </c>
      <c r="D327" s="52" t="inlineStr">
        <is>
          <t>Premissa ou dado digitado.</t>
        </is>
      </c>
    </row>
    <row r="328">
      <c r="C328" s="15" t="inlineStr">
        <is>
          <t>Fonte verde</t>
        </is>
      </c>
      <c r="D328" s="52" t="inlineStr">
        <is>
          <t>Link para outra aba.</t>
        </is>
      </c>
    </row>
    <row r="329">
      <c r="C329" s="15" t="inlineStr">
        <is>
          <t>Colunas FY</t>
        </is>
      </c>
      <c r="D329" s="52" t="inlineStr">
        <is>
          <t>Balanço = saldo do 4T. Resultado = soma dos quatro trimestres.</t>
        </is>
      </c>
    </row>
    <row r="330">
      <c r="C330" s="15" t="inlineStr">
        <is>
          <t>Sinal das despesas</t>
        </is>
      </c>
      <c r="D330" s="52" t="inlineStr">
        <is>
          <t>Despesas entram negativas, como divulgado. Todo subtotal soma.</t>
        </is>
      </c>
    </row>
  </sheetData>
  <dataValidations count="2">
    <dataValidation sqref="E200" showDropDown="0" showInputMessage="0" showErrorMessage="0" allowBlank="1" type="list">
      <formula1>"R$,US$,€,£"</formula1>
    </dataValidation>
    <dataValidation sqref="E201" showDropDown="0" showInputMessage="0" showErrorMessage="0" allowBlank="1" type="list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B1:BI195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2"/>
  <cols>
    <col width="2.42578125" customWidth="1" min="1" max="1"/>
    <col width="11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1">
      <c r="C1" s="53" t="str">
        <f>"Demonstrações reportadas — valores em "&amp;Inputs!$E$202</f>
        <v>Demonstrações reportadas — valores em R$ milhões</v>
      </c>
      <c r="D1" s="54" t="inlineStr">
        <is>
          <t>Reported financials</t>
        </is>
      </c>
      <c r="E1" s="23">
        <f>DATE(2020,4,1)-1</f>
        <v>43921.0</v>
      </c>
      <c r="F1" s="23">
        <f>DATE(2020,7,1)-1</f>
        <v>44012.0</v>
      </c>
      <c r="G1" s="23">
        <f>DATE(2020,10,1)-1</f>
        <v>44104.0</v>
      </c>
      <c r="H1" s="23">
        <f>DATE(2020,13,1)-1</f>
        <v>44196.0</v>
      </c>
      <c r="I1" s="23">
        <f>H1</f>
        <v>44196.0</v>
      </c>
      <c r="J1" s="23">
        <f>DATE(2021,4,1)-1</f>
        <v>44286.0</v>
      </c>
      <c r="K1" s="23">
        <f>DATE(2021,7,1)-1</f>
        <v>44377.0</v>
      </c>
      <c r="L1" s="23">
        <f>DATE(2021,10,1)-1</f>
        <v>44469.0</v>
      </c>
      <c r="M1" s="23">
        <f>DATE(2021,13,1)-1</f>
        <v>44561.0</v>
      </c>
      <c r="N1" s="23">
        <f>M1</f>
        <v>44561.0</v>
      </c>
      <c r="O1" s="23">
        <f>DATE(2022,4,1)-1</f>
        <v>44651.0</v>
      </c>
      <c r="P1" s="23">
        <f>DATE(2022,7,1)-1</f>
        <v>44742.0</v>
      </c>
      <c r="Q1" s="23">
        <f>DATE(2022,10,1)-1</f>
        <v>44834.0</v>
      </c>
      <c r="R1" s="23">
        <f>DATE(2022,13,1)-1</f>
        <v>44926.0</v>
      </c>
      <c r="S1" s="23">
        <f>R1</f>
        <v>44926.0</v>
      </c>
      <c r="T1" s="23">
        <f>DATE(2023,4,1)-1</f>
        <v>45016.0</v>
      </c>
      <c r="U1" s="23">
        <f>DATE(2023,7,1)-1</f>
        <v>45107.0</v>
      </c>
      <c r="V1" s="23">
        <f>DATE(2023,10,1)-1</f>
        <v>45199.0</v>
      </c>
      <c r="W1" s="23">
        <f>DATE(2023,13,1)-1</f>
        <v>45291.0</v>
      </c>
      <c r="X1" s="23">
        <f>W1</f>
        <v>45291.0</v>
      </c>
      <c r="Y1" s="23">
        <f>DATE(2024,4,1)-1</f>
        <v>45382.0</v>
      </c>
      <c r="Z1" s="23">
        <f>DATE(2024,7,1)-1</f>
        <v>45473.0</v>
      </c>
      <c r="AA1" s="23">
        <f>DATE(2024,10,1)-1</f>
        <v>45565.0</v>
      </c>
      <c r="AB1" s="23">
        <f>DATE(2024,13,1)-1</f>
        <v>45657.0</v>
      </c>
      <c r="AC1" s="23">
        <f>AB1</f>
        <v>45657.0</v>
      </c>
      <c r="AD1" s="23">
        <f>DATE(2025,4,1)-1</f>
        <v>45747.0</v>
      </c>
      <c r="AE1" s="23">
        <f>DATE(2025,7,1)-1</f>
        <v>45838.0</v>
      </c>
      <c r="AF1" s="23">
        <f>DATE(2025,10,1)-1</f>
        <v>45930.0</v>
      </c>
      <c r="AG1" s="23">
        <f>DATE(2025,13,1)-1</f>
        <v>46022.0</v>
      </c>
      <c r="AH1" s="23">
        <f>AG1</f>
        <v>46022.0</v>
      </c>
      <c r="AI1" s="23">
        <f>DATE(2026,4,1)-1</f>
        <v>46112.0</v>
      </c>
      <c r="AJ1" s="23">
        <f>DATE(2026,7,1)-1</f>
        <v>46203.0</v>
      </c>
      <c r="AK1" s="23">
        <f>DATE(2026,10,1)-1</f>
        <v>46295.0</v>
      </c>
      <c r="AL1" s="23">
        <f>DATE(2026,13,1)-1</f>
        <v>46387.0</v>
      </c>
      <c r="AM1" s="23">
        <f>AL1</f>
        <v>46387.0</v>
      </c>
      <c r="AN1" s="23">
        <f>DATE(2027,4,1)-1</f>
        <v>46477.0</v>
      </c>
      <c r="AO1" s="23">
        <f>DATE(2027,7,1)-1</f>
        <v>46568.0</v>
      </c>
      <c r="AP1" s="23">
        <f>DATE(2027,10,1)-1</f>
        <v>46660.0</v>
      </c>
      <c r="AQ1" s="23">
        <f>DATE(2027,13,1)-1</f>
        <v>46752.0</v>
      </c>
      <c r="AR1" s="23">
        <f>AQ1</f>
        <v>46752.0</v>
      </c>
      <c r="AS1" s="23">
        <f>DATE(2028,4,1)-1</f>
        <v>46843.0</v>
      </c>
      <c r="AT1" s="23">
        <f>DATE(2028,7,1)-1</f>
        <v>46934.0</v>
      </c>
      <c r="AU1" s="23">
        <f>DATE(2028,10,1)-1</f>
        <v>47026.0</v>
      </c>
      <c r="AV1" s="23">
        <f>DATE(2028,13,1)-1</f>
        <v>47118.0</v>
      </c>
      <c r="AW1" s="23">
        <f>AV1</f>
        <v>47118.0</v>
      </c>
      <c r="AX1" s="23">
        <f>DATE(2029,4,1)-1</f>
        <v>47208.0</v>
      </c>
      <c r="AY1" s="23">
        <f>DATE(2029,7,1)-1</f>
        <v>47299.0</v>
      </c>
      <c r="AZ1" s="23">
        <f>DATE(2029,10,1)-1</f>
        <v>47391.0</v>
      </c>
      <c r="BA1" s="23">
        <f>DATE(2029,13,1)-1</f>
        <v>47483.0</v>
      </c>
      <c r="BB1" s="23">
        <f>BA1</f>
        <v>47483.0</v>
      </c>
      <c r="BC1" s="23">
        <f>DATE(2030,4,1)-1</f>
        <v>47573.0</v>
      </c>
      <c r="BD1" s="23">
        <f>DATE(2030,7,1)-1</f>
        <v>47664.0</v>
      </c>
      <c r="BE1" s="23">
        <f>DATE(2030,10,1)-1</f>
        <v>47756.0</v>
      </c>
      <c r="BF1" s="23">
        <f>DATE(2030,13,1)-1</f>
        <v>47848.0</v>
      </c>
      <c r="BG1" s="23">
        <f>BF1</f>
        <v>47848.0</v>
      </c>
    </row>
    <row r="2" hidden="1">
      <c r="B2" s="55" t="inlineStr">
        <is>
          <t>COD</t>
        </is>
      </c>
      <c r="E2" s="24" t="n">
        <v>2020</v>
      </c>
      <c r="F2" s="24" t="n">
        <v>2020</v>
      </c>
      <c r="G2" s="24" t="n">
        <v>2020</v>
      </c>
      <c r="H2" s="24" t="n">
        <v>2020</v>
      </c>
      <c r="I2" s="24" t="n">
        <v>2020</v>
      </c>
      <c r="J2" s="24" t="n">
        <v>2021</v>
      </c>
      <c r="K2" s="24" t="n">
        <v>2021</v>
      </c>
      <c r="L2" s="24" t="n">
        <v>2021</v>
      </c>
      <c r="M2" s="24" t="n">
        <v>2021</v>
      </c>
      <c r="N2" s="24" t="n">
        <v>2021</v>
      </c>
      <c r="O2" s="24" t="n">
        <v>2022</v>
      </c>
      <c r="P2" s="24" t="n">
        <v>2022</v>
      </c>
      <c r="Q2" s="24" t="n">
        <v>2022</v>
      </c>
      <c r="R2" s="24" t="n">
        <v>2022</v>
      </c>
      <c r="S2" s="24" t="n">
        <v>2022</v>
      </c>
      <c r="T2" s="24" t="n">
        <v>2023</v>
      </c>
      <c r="U2" s="24" t="n">
        <v>2023</v>
      </c>
      <c r="V2" s="24" t="n">
        <v>2023</v>
      </c>
      <c r="W2" s="24" t="n">
        <v>2023</v>
      </c>
      <c r="X2" s="24" t="n">
        <v>2023</v>
      </c>
      <c r="Y2" s="24" t="n">
        <v>2024</v>
      </c>
      <c r="Z2" s="24" t="n">
        <v>2024</v>
      </c>
      <c r="AA2" s="24" t="n">
        <v>2024</v>
      </c>
      <c r="AB2" s="24" t="n">
        <v>2024</v>
      </c>
      <c r="AC2" s="24" t="n">
        <v>2024</v>
      </c>
      <c r="AD2" s="24" t="n">
        <v>2025</v>
      </c>
      <c r="AE2" s="24" t="n">
        <v>2025</v>
      </c>
      <c r="AF2" s="24" t="n">
        <v>2025</v>
      </c>
      <c r="AG2" s="24" t="n">
        <v>2025</v>
      </c>
      <c r="AH2" s="24" t="n">
        <v>2025</v>
      </c>
      <c r="AI2" s="24" t="n">
        <v>2026</v>
      </c>
      <c r="AJ2" s="24" t="n">
        <v>2026</v>
      </c>
      <c r="AK2" s="24" t="n">
        <v>2026</v>
      </c>
      <c r="AL2" s="24" t="n">
        <v>2026</v>
      </c>
      <c r="AM2" s="24" t="n">
        <v>2026</v>
      </c>
      <c r="AN2" s="24" t="n">
        <v>2027</v>
      </c>
      <c r="AO2" s="24" t="n">
        <v>2027</v>
      </c>
      <c r="AP2" s="24" t="n">
        <v>2027</v>
      </c>
      <c r="AQ2" s="24" t="n">
        <v>2027</v>
      </c>
      <c r="AR2" s="24" t="n">
        <v>2027</v>
      </c>
      <c r="AS2" s="24" t="n">
        <v>2028</v>
      </c>
      <c r="AT2" s="24" t="n">
        <v>2028</v>
      </c>
      <c r="AU2" s="24" t="n">
        <v>2028</v>
      </c>
      <c r="AV2" s="24" t="n">
        <v>2028</v>
      </c>
      <c r="AW2" s="24" t="n">
        <v>2028</v>
      </c>
      <c r="AX2" s="24" t="n">
        <v>2029</v>
      </c>
      <c r="AY2" s="24" t="n">
        <v>2029</v>
      </c>
      <c r="AZ2" s="24" t="n">
        <v>2029</v>
      </c>
      <c r="BA2" s="24" t="n">
        <v>2029</v>
      </c>
      <c r="BB2" s="24" t="n">
        <v>2029</v>
      </c>
      <c r="BC2" s="24" t="n">
        <v>2030</v>
      </c>
      <c r="BD2" s="24" t="n">
        <v>2030</v>
      </c>
      <c r="BE2" s="24" t="n">
        <v>2030</v>
      </c>
      <c r="BF2" s="24" t="n">
        <v>2030</v>
      </c>
      <c r="BG2" s="24" t="n">
        <v>2030</v>
      </c>
    </row>
    <row r="3">
      <c r="C3" s="53" t="inlineStr">
        <is>
          <t>Período</t>
        </is>
      </c>
      <c r="D3" s="54" t="inlineStr">
        <is>
          <t>Period</t>
        </is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>
      <c r="B4" s="7" t="n"/>
      <c r="C4" s="7" t="inlineStr">
        <is>
          <t>ATIVO</t>
        </is>
      </c>
      <c r="D4" s="7" t="inlineStr">
        <is>
          <t>ASSETS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B5" s="56" t="inlineStr">
        <is>
          <t>disp</t>
        </is>
      </c>
      <c r="C5" s="11" t="inlineStr">
        <is>
          <t>Disponibilidades</t>
        </is>
      </c>
      <c r="D5" s="12" t="inlineStr">
        <is>
          <t>Cash and Cash Equivalents</t>
        </is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625.253</v>
      </c>
      <c r="F5" s="57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>635.624</v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670.993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513.293</v>
      </c>
      <c r="I5" s="58">
        <f>H5</f>
        <v>513.293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1361.952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2853.186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1710.865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731.092</v>
      </c>
      <c r="N5" s="58">
        <f>M5</f>
        <v>731.092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362.712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553.937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506.227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329.879</v>
      </c>
      <c r="S5" s="58">
        <f>R5</f>
        <v>329.879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324.33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371.967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106.93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647.009</v>
      </c>
      <c r="X5" s="58">
        <f>W5</f>
        <v>647.009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247.586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436.112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381.925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540.043</v>
      </c>
      <c r="AC5" s="58">
        <f>AB5</f>
        <v>540.043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746.683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572.853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916.165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785.784</v>
      </c>
      <c r="AH5" s="58">
        <f>AG5</f>
        <v>785.784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1355.602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1303.677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>BF5</f>
        <v>0</v>
      </c>
    </row>
    <row r="6">
      <c r="C6" s="15" t="inlineStr">
        <is>
          <t>Aplicações Interfinanceiras de Liquidez</t>
        </is>
      </c>
      <c r="D6" s="16" t="inlineStr">
        <is>
          <t>Interbank Investments</t>
        </is>
      </c>
      <c r="E6" s="59">
        <f>IFERROR(E7+E8+E9+E10,"")</f>
        <v>6287.182</v>
      </c>
      <c r="F6" s="59">
        <f>IFERROR(F7+F8+F9+F10,"")</f>
        <v>6918.924</v>
      </c>
      <c r="G6" s="59">
        <f>IFERROR(G7+G8+G9+G10,"")</f>
        <v>6756.612</v>
      </c>
      <c r="H6" s="59">
        <f>IFERROR(H7+H8+H9+H10,"")</f>
        <v>7472.641</v>
      </c>
      <c r="I6" s="60">
        <f>H6</f>
        <v>7472.641</v>
      </c>
      <c r="J6" s="59">
        <f>IFERROR(J7+J8+J9+J10,"")</f>
        <v>6328.132</v>
      </c>
      <c r="K6" s="59">
        <f>IFERROR(K7+K8+K9+K10,"")</f>
        <v>3670.203</v>
      </c>
      <c r="L6" s="59">
        <f>IFERROR(L7+L8+L9+L10,"")</f>
        <v>5352.269</v>
      </c>
      <c r="M6" s="59">
        <f>IFERROR(M7+M8+M9+M10,"")</f>
        <v>3057.021</v>
      </c>
      <c r="N6" s="60">
        <f>M6</f>
        <v>3057.021</v>
      </c>
      <c r="O6" s="59">
        <f>IFERROR(O7+O8+O9+O10,"")</f>
        <v>2750.835</v>
      </c>
      <c r="P6" s="59">
        <f>IFERROR(P7+P8+P9+P10,"")</f>
        <v>3878.663</v>
      </c>
      <c r="Q6" s="59">
        <f>IFERROR(Q7+Q8+Q9+Q10,"")</f>
        <v>5247.951</v>
      </c>
      <c r="R6" s="59">
        <f>IFERROR(R7+R8+R9+R10,"")</f>
        <v>6149.351</v>
      </c>
      <c r="S6" s="60">
        <f>R6</f>
        <v>6149.351</v>
      </c>
      <c r="T6" s="59">
        <f>IFERROR(T7+T8+T9+T10,"")</f>
        <v>3072.846</v>
      </c>
      <c r="U6" s="59">
        <f>IFERROR(U7+U8+U9+U10,"")</f>
        <v>4348.497</v>
      </c>
      <c r="V6" s="59">
        <f>IFERROR(V7+V8+V9+V10,"")</f>
        <v>5311.44</v>
      </c>
      <c r="W6" s="59">
        <f>IFERROR(W7+W8+W9+W10,"")</f>
        <v>5092.91</v>
      </c>
      <c r="X6" s="60">
        <f>W6</f>
        <v>5092.91</v>
      </c>
      <c r="Y6" s="59">
        <f>IFERROR(Y7+Y8+Y9+Y10,"")</f>
        <v>5337.415</v>
      </c>
      <c r="Z6" s="59">
        <f>IFERROR(Z7+Z8+Z9+Z10,"")</f>
        <v>5336.253</v>
      </c>
      <c r="AA6" s="59">
        <f>IFERROR(AA7+AA8+AA9+AA10,"")</f>
        <v>5855.393</v>
      </c>
      <c r="AB6" s="59">
        <f>IFERROR(AB7+AB8+AB9+AB10,"")</f>
        <v>6062.533</v>
      </c>
      <c r="AC6" s="60">
        <f>AB6</f>
        <v>6062.533</v>
      </c>
      <c r="AD6" s="59">
        <f>IFERROR(AD7+AD8+AD9+AD10,"")</f>
        <v>5756.539</v>
      </c>
      <c r="AE6" s="59">
        <f>IFERROR(AE7+AE8+AE9+AE10,"")</f>
        <v>4612.047</v>
      </c>
      <c r="AF6" s="59">
        <f>IFERROR(AF7+AF8+AF9+AF10,"")</f>
        <v>2519.911</v>
      </c>
      <c r="AG6" s="59">
        <f>IFERROR(AG7+AG8+AG9+AG10,"")</f>
        <v>5150.125</v>
      </c>
      <c r="AH6" s="60">
        <f>AG6</f>
        <v>5150.125</v>
      </c>
      <c r="AI6" s="59">
        <f>IFERROR(AI7+AI8+AI9+AI10,"")</f>
        <v>3999.708</v>
      </c>
      <c r="AJ6" s="59">
        <f>IFERROR(AJ7+AJ8+AJ9+AJ10,"")</f>
        <v>3944.531</v>
      </c>
      <c r="AK6" s="59">
        <f>IFERROR(AK7+AK8+AK9+AK10,"")</f>
        <v>0</v>
      </c>
      <c r="AL6" s="59">
        <f>IFERROR(AL7+AL8+AL9+AL10,"")</f>
        <v>0</v>
      </c>
      <c r="AM6" s="60">
        <f>AL6</f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>AQ6</f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>AV6</f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>BA6</f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>BF6</f>
        <v>0</v>
      </c>
    </row>
    <row r="7" hidden="1" outlineLevel="1">
      <c r="B7" s="56" t="inlineStr">
        <is>
          <t>aplic_mo</t>
        </is>
      </c>
      <c r="C7" s="61" t="inlineStr">
        <is>
          <t>Aplicações no Mercado Aberto</t>
        </is>
      </c>
      <c r="D7" s="62" t="inlineStr">
        <is>
          <t>Open Market Investments</t>
        </is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6287.182</v>
      </c>
      <c r="F7" s="57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>6918.924</v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6756.612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7472.641</v>
      </c>
      <c r="I7" s="58">
        <f>H7</f>
        <v>7472.641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6328.132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3670.203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5352.269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3057.021</v>
      </c>
      <c r="N7" s="58">
        <f>M7</f>
        <v>3057.021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2750.835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3878.663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5247.951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6149.351</v>
      </c>
      <c r="S7" s="58">
        <f>R7</f>
        <v>6149.351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3072.846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4348.497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5311.44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5092.91</v>
      </c>
      <c r="X7" s="58">
        <f>W7</f>
        <v>5092.91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5337.415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5336.253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5855.393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6062.533</v>
      </c>
      <c r="AC7" s="58">
        <f>AB7</f>
        <v>6062.533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5756.539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4612.047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2519.911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5150.125</v>
      </c>
      <c r="AH7" s="58">
        <f>AG7</f>
        <v>5150.125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3999.708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3944.531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>AL7</f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>AQ7</f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>AV7</f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>BA7</f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>BF7</f>
        <v>0</v>
      </c>
    </row>
    <row r="8" hidden="1" outlineLevel="1">
      <c r="B8" s="56" t="inlineStr">
        <is>
          <t>aplic_di</t>
        </is>
      </c>
      <c r="C8" s="61" t="inlineStr">
        <is>
          <t>Aplicações em Depósitos Interfinanceiros</t>
        </is>
      </c>
      <c r="D8" s="62" t="inlineStr">
        <is>
          <t>Interbank Deposits</t>
        </is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0</v>
      </c>
      <c r="F8" s="57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>0</v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0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0</v>
      </c>
      <c r="I8" s="58">
        <f>H8</f>
        <v>0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0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0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0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0</v>
      </c>
      <c r="N8" s="58">
        <f>M8</f>
        <v>0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0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0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0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0</v>
      </c>
      <c r="S8" s="58">
        <f>R8</f>
        <v>0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0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0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0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0</v>
      </c>
      <c r="X8" s="58">
        <f>W8</f>
        <v>0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0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0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0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0</v>
      </c>
      <c r="AC8" s="58">
        <f>AB8</f>
        <v>0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0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0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0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0</v>
      </c>
      <c r="AH8" s="58">
        <f>AG8</f>
        <v>0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0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0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>AL8</f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>AQ8</f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>AV8</f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>BA8</f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>BF8</f>
        <v>0</v>
      </c>
    </row>
    <row r="9" hidden="1" outlineLevel="1">
      <c r="B9" s="56" t="inlineStr">
        <is>
          <t>aplic_rg</t>
        </is>
      </c>
      <c r="C9" s="61" t="inlineStr">
        <is>
          <t>Recursos Garantidores das Provisões Técnicas</t>
        </is>
      </c>
      <c r="D9" s="62" t="inlineStr">
        <is>
          <t>Assets Guaranteeing Technical Provisions</t>
        </is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0</v>
      </c>
      <c r="F9" s="57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>0</v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0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0</v>
      </c>
      <c r="I9" s="58">
        <f>H9</f>
        <v>0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0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0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0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0</v>
      </c>
      <c r="N9" s="58">
        <f>M9</f>
        <v>0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0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0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0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0</v>
      </c>
      <c r="S9" s="58">
        <f>R9</f>
        <v>0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0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0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0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0</v>
      </c>
      <c r="X9" s="58">
        <f>W9</f>
        <v>0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0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0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0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0</v>
      </c>
      <c r="AC9" s="58">
        <f>AB9</f>
        <v>0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0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0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0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0</v>
      </c>
      <c r="AH9" s="58">
        <f>AG9</f>
        <v>0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0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0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>AL9</f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>AQ9</f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>AV9</f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>BA9</f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>BF9</f>
        <v>0</v>
      </c>
    </row>
    <row r="10" hidden="1" outlineLevel="1">
      <c r="B10" s="56" t="inlineStr">
        <is>
          <t>aplic_pdd</t>
        </is>
      </c>
      <c r="C10" s="61" t="inlineStr">
        <is>
          <t>(Provisão para Perda de Crédito Esperada)</t>
        </is>
      </c>
      <c r="D10" s="62" t="inlineStr">
        <is>
          <t>(Allowance for Expected Credit Losses)</t>
        </is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>0</v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>H10</f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>M10</f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>R10</f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>W10</f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>AB10</f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>AG10</f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>AL10</f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>AQ10</f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>AV10</f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>BA10</f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>BF10</f>
        <v>0</v>
      </c>
    </row>
    <row r="11">
      <c r="C11" s="15" t="inlineStr">
        <is>
          <t>Títulos e Valores Mobiliários</t>
        </is>
      </c>
      <c r="D11" s="16" t="inlineStr">
        <is>
          <t>Securities</t>
        </is>
      </c>
      <c r="E11" s="59">
        <f>IFERROR(E12+E13+E14+E15,"")</f>
        <v>13363.922</v>
      </c>
      <c r="F11" s="59">
        <f>IFERROR(F12+F13+F14+F15,"")</f>
        <v>13146.577</v>
      </c>
      <c r="G11" s="59">
        <f>IFERROR(G12+G13+G14+G15,"")</f>
        <v>12277.635</v>
      </c>
      <c r="H11" s="59">
        <f>IFERROR(H12+H13+H14+H15,"")</f>
        <v>9778.478</v>
      </c>
      <c r="I11" s="60">
        <f>H11</f>
        <v>9778.478</v>
      </c>
      <c r="J11" s="59">
        <f>IFERROR(J12+J13+J14+J15,"")</f>
        <v>12583.13</v>
      </c>
      <c r="K11" s="59">
        <f>IFERROR(K12+K13+K14+K15,"")</f>
        <v>11815.14</v>
      </c>
      <c r="L11" s="59">
        <f>IFERROR(L12+L13+L14+L15,"")</f>
        <v>13649.935</v>
      </c>
      <c r="M11" s="59">
        <f>IFERROR(M12+M13+M14+M15,"")</f>
        <v>14529.425</v>
      </c>
      <c r="N11" s="60">
        <f>M11</f>
        <v>14529.425</v>
      </c>
      <c r="O11" s="59">
        <f>IFERROR(O12+O13+O14+O15,"")</f>
        <v>16074.349</v>
      </c>
      <c r="P11" s="59">
        <f>IFERROR(P12+P13+P14+P15,"")</f>
        <v>16544.25</v>
      </c>
      <c r="Q11" s="59">
        <f>IFERROR(Q12+Q13+Q14+Q15,"")</f>
        <v>15713.616</v>
      </c>
      <c r="R11" s="59">
        <f>IFERROR(R12+R13+R14+R15,"")</f>
        <v>15959.053</v>
      </c>
      <c r="S11" s="60">
        <f>R11</f>
        <v>15959.053</v>
      </c>
      <c r="T11" s="59">
        <f>IFERROR(T12+T13+T14+T15,"")</f>
        <v>19813.223</v>
      </c>
      <c r="U11" s="59">
        <f>IFERROR(U12+U13+U14+U15,"")</f>
        <v>21925.001</v>
      </c>
      <c r="V11" s="59">
        <f>IFERROR(V12+V13+V14+V15,"")</f>
        <v>20962.344</v>
      </c>
      <c r="W11" s="59">
        <f>IFERROR(W12+W13+W14+W15,"")</f>
        <v>21935.838</v>
      </c>
      <c r="X11" s="60">
        <f>W11</f>
        <v>21935.838</v>
      </c>
      <c r="Y11" s="59">
        <f>IFERROR(Y12+Y13+Y14+Y15,"")</f>
        <v>23840.662</v>
      </c>
      <c r="Z11" s="59">
        <f>IFERROR(Z12+Z13+Z14+Z15,"")</f>
        <v>28191.741</v>
      </c>
      <c r="AA11" s="59">
        <f>IFERROR(AA12+AA13+AA14+AA15,"")</f>
        <v>30816.017</v>
      </c>
      <c r="AB11" s="59">
        <f>IFERROR(AB12+AB13+AB14+AB15,"")</f>
        <v>31698.758</v>
      </c>
      <c r="AC11" s="60">
        <f>AB11</f>
        <v>31698.758</v>
      </c>
      <c r="AD11" s="59">
        <f>IFERROR(AD12+AD13+AD14+AD15,"")</f>
        <v>26454.166</v>
      </c>
      <c r="AE11" s="59">
        <f>IFERROR(AE12+AE13+AE14+AE15,"")</f>
        <v>27300.082</v>
      </c>
      <c r="AF11" s="59">
        <f>IFERROR(AF12+AF13+AF14+AF15,"")</f>
        <v>27534.211</v>
      </c>
      <c r="AG11" s="59">
        <f>IFERROR(AG12+AG13+AG14+AG15,"")</f>
        <v>26652.522</v>
      </c>
      <c r="AH11" s="60">
        <f>AG11</f>
        <v>26652.522</v>
      </c>
      <c r="AI11" s="59">
        <f>IFERROR(AI12+AI13+AI14+AI15,"")</f>
        <v>29333.765</v>
      </c>
      <c r="AJ11" s="59">
        <f>IFERROR(AJ12+AJ13+AJ14+AJ15,"")</f>
        <v>29457.137</v>
      </c>
      <c r="AK11" s="59">
        <f>IFERROR(AK12+AK13+AK14+AK15,"")</f>
        <v>0</v>
      </c>
      <c r="AL11" s="59">
        <f>IFERROR(AL12+AL13+AL14+AL15,"")</f>
        <v>0</v>
      </c>
      <c r="AM11" s="60">
        <f>AL11</f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>AQ11</f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>AV11</f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>BA11</f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>BF11</f>
        <v>0</v>
      </c>
    </row>
    <row r="12" hidden="1" outlineLevel="1">
      <c r="B12" s="56" t="inlineStr">
        <is>
          <t>tvm_prop</t>
        </is>
      </c>
      <c r="C12" s="61" t="inlineStr">
        <is>
          <t>Carteira própria</t>
        </is>
      </c>
      <c r="D12" s="62" t="inlineStr">
        <is>
          <t>Own Portfolio</t>
        </is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13363.922</v>
      </c>
      <c r="F12" s="57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>13146.577</v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12277.635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9778.478</v>
      </c>
      <c r="I12" s="58">
        <f>H12</f>
        <v>9778.478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12583.13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11815.14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13649.935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14529.425</v>
      </c>
      <c r="N12" s="58">
        <f>M12</f>
        <v>14529.425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16074.349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16544.25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15713.616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15959.053</v>
      </c>
      <c r="S12" s="58">
        <f>R12</f>
        <v>15959.053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19813.223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21925.001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20962.344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21935.838</v>
      </c>
      <c r="X12" s="58">
        <f>W12</f>
        <v>21935.838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23840.662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28191.741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30816.017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31698.758</v>
      </c>
      <c r="AC12" s="58">
        <f>AB12</f>
        <v>31698.758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26554.016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27401.851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27638.759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26760.801</v>
      </c>
      <c r="AH12" s="58">
        <f>AG12</f>
        <v>26760.801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29336.731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29458.27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>AL12</f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>AQ12</f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>AV12</f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>BA12</f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>BF12</f>
        <v>0</v>
      </c>
    </row>
    <row r="13" hidden="1" outlineLevel="1">
      <c r="B13" s="56" t="inlineStr">
        <is>
          <t>tvm_vinc</t>
        </is>
      </c>
      <c r="C13" s="61" t="inlineStr">
        <is>
          <t>Vinculados</t>
        </is>
      </c>
      <c r="D13" s="62" t="inlineStr">
        <is>
          <t>Pledged / Restricted</t>
        </is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0</v>
      </c>
      <c r="F13" s="57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>0</v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0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0</v>
      </c>
      <c r="I13" s="58">
        <f>H13</f>
        <v>0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0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0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0</v>
      </c>
      <c r="N13" s="58">
        <f>M13</f>
        <v>0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0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0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0</v>
      </c>
      <c r="S13" s="58">
        <f>R13</f>
        <v>0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0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0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0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0</v>
      </c>
      <c r="X13" s="58">
        <f>W13</f>
        <v>0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0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0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0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0</v>
      </c>
      <c r="AC13" s="58">
        <f>AB13</f>
        <v>0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0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0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0</v>
      </c>
      <c r="AH13" s="58">
        <f>AG13</f>
        <v>0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0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0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>AL13</f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>AQ13</f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>AV13</f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>BA13</f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>BF13</f>
        <v>0</v>
      </c>
    </row>
    <row r="14" hidden="1" outlineLevel="1">
      <c r="B14" s="56" t="inlineStr">
        <is>
          <t>tvm_rg</t>
        </is>
      </c>
      <c r="C14" s="61" t="inlineStr">
        <is>
          <t>Recursos Garantidores das Provisões Técnicas</t>
        </is>
      </c>
      <c r="D14" s="62" t="inlineStr">
        <is>
          <t>Assets Guaranteeing Technical Provisions</t>
        </is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0</v>
      </c>
      <c r="F14" s="57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>0</v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0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0</v>
      </c>
      <c r="I14" s="58">
        <f>H14</f>
        <v>0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0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0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0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0</v>
      </c>
      <c r="N14" s="58">
        <f>M14</f>
        <v>0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0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0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0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0</v>
      </c>
      <c r="S14" s="58">
        <f>R14</f>
        <v>0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0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0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0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0</v>
      </c>
      <c r="X14" s="58">
        <f>W14</f>
        <v>0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0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0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0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0</v>
      </c>
      <c r="AC14" s="58">
        <f>AB14</f>
        <v>0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0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0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0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0</v>
      </c>
      <c r="AH14" s="58">
        <f>AG14</f>
        <v>0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0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0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>AL14</f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>AQ14</f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>AV14</f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>BA14</f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>BF14</f>
        <v>0</v>
      </c>
    </row>
    <row r="15" hidden="1" outlineLevel="1">
      <c r="B15" s="56" t="inlineStr">
        <is>
          <t>tvm_pdd</t>
        </is>
      </c>
      <c r="C15" s="61" t="inlineStr">
        <is>
          <t>(Provisão para Perda de Crédito Esperada)</t>
        </is>
      </c>
      <c r="D15" s="62" t="inlineStr">
        <is>
          <t>(Allowance for Expected Credit Losses)</t>
        </is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>0</v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>H15</f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>M15</f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>R15</f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>W15</f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>AB15</f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-99.85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-101.769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-104.548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-108.279</v>
      </c>
      <c r="AH15" s="58">
        <f>AG15</f>
        <v>-108.279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-2.966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-1.133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>AL15</f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>AQ15</f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>AV15</f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>BA15</f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>BF15</f>
        <v>0</v>
      </c>
    </row>
    <row r="16">
      <c r="B16" s="56" t="inlineStr">
        <is>
          <t>deriv_a</t>
        </is>
      </c>
      <c r="C16" s="11" t="inlineStr">
        <is>
          <t>Derivativos</t>
        </is>
      </c>
      <c r="D16" s="12" t="inlineStr">
        <is>
          <t>Derivatives</t>
        </is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>0</v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0</v>
      </c>
      <c r="I16" s="58">
        <f>H16</f>
        <v>0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0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0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0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0</v>
      </c>
      <c r="N16" s="58">
        <f>M16</f>
        <v>0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0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0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0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0</v>
      </c>
      <c r="S16" s="58">
        <f>R16</f>
        <v>0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0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0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0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0</v>
      </c>
      <c r="X16" s="58">
        <f>W16</f>
        <v>0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0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0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0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0</v>
      </c>
      <c r="AC16" s="58">
        <f>AB16</f>
        <v>0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5724.659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5657.316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6028.952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5684.942</v>
      </c>
      <c r="AH16" s="58">
        <f>AG16</f>
        <v>5684.942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7210.819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6797.635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>AL16</f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>AQ16</f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>AV16</f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>BA16</f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>BF16</f>
        <v>0</v>
      </c>
    </row>
    <row r="17">
      <c r="C17" s="15" t="inlineStr">
        <is>
          <t>Operações com Característica de Concessão de Crédito</t>
        </is>
      </c>
      <c r="D17" s="16" t="inlineStr">
        <is>
          <t>Credit-Granting Transactions</t>
        </is>
      </c>
      <c r="E17" s="59">
        <f>IFERROR(E18+E19+E20,"")</f>
        <v>17590.52252</v>
      </c>
      <c r="F17" s="59">
        <f>IFERROR(F18+F19+F20,"")</f>
        <v>17930.393</v>
      </c>
      <c r="G17" s="59">
        <f>IFERROR(G18+G19+G20,"")</f>
        <v>18917.055</v>
      </c>
      <c r="H17" s="59">
        <f>IFERROR(H18+H19+H20,"")</f>
        <v>20214.226</v>
      </c>
      <c r="I17" s="60">
        <f>H17</f>
        <v>20214.226</v>
      </c>
      <c r="J17" s="59">
        <f>IFERROR(J18+J19+J20,"")</f>
        <v>20637.761</v>
      </c>
      <c r="K17" s="59">
        <f>IFERROR(K18+K19+K20,"")</f>
        <v>19994.59</v>
      </c>
      <c r="L17" s="59">
        <f>IFERROR(L18+L19+L20,"")</f>
        <v>21012.336</v>
      </c>
      <c r="M17" s="59">
        <f>IFERROR(M18+M19+M20,"")</f>
        <v>22321.034</v>
      </c>
      <c r="N17" s="60">
        <f>M17</f>
        <v>22321.034</v>
      </c>
      <c r="O17" s="59">
        <f>IFERROR(O18+O19+O20,"")</f>
        <v>22200.872</v>
      </c>
      <c r="P17" s="59">
        <f>IFERROR(P18+P19+P20,"")</f>
        <v>23506.974</v>
      </c>
      <c r="Q17" s="59">
        <f>IFERROR(Q18+Q19+Q20,"")</f>
        <v>24688.821</v>
      </c>
      <c r="R17" s="59">
        <f>IFERROR(R18+R19+R20,"")</f>
        <v>24676.93</v>
      </c>
      <c r="S17" s="60">
        <f>R17</f>
        <v>24676.93</v>
      </c>
      <c r="T17" s="59">
        <f>IFERROR(T18+T19+T20,"")</f>
        <v>22832.989</v>
      </c>
      <c r="U17" s="59">
        <f>IFERROR(U18+U19+U20,"")</f>
        <v>22145.433</v>
      </c>
      <c r="V17" s="59">
        <f>IFERROR(V18+V19+V20,"")</f>
        <v>22440.119</v>
      </c>
      <c r="W17" s="59">
        <f>IFERROR(W18+W19+W20,"")</f>
        <v>23062.276</v>
      </c>
      <c r="X17" s="60">
        <f>W17</f>
        <v>23062.276</v>
      </c>
      <c r="Y17" s="59">
        <f>IFERROR(Y18+Y19+Y20,"")</f>
        <v>21240.856</v>
      </c>
      <c r="Z17" s="59">
        <f>IFERROR(Z18+Z19+Z20,"")</f>
        <v>21138.212</v>
      </c>
      <c r="AA17" s="59">
        <f>IFERROR(AA18+AA19+AA20,"")</f>
        <v>21188.011</v>
      </c>
      <c r="AB17" s="59">
        <f>IFERROR(AB18+AB19+AB20,"")</f>
        <v>22227.242</v>
      </c>
      <c r="AC17" s="60">
        <f>AB17</f>
        <v>22227.242</v>
      </c>
      <c r="AD17" s="59">
        <f>IFERROR(AD18+AD19+AD20,"")</f>
        <v>19756.272</v>
      </c>
      <c r="AE17" s="59">
        <f>IFERROR(AE18+AE19+AE20,"")</f>
        <v>19782.172</v>
      </c>
      <c r="AF17" s="59">
        <f>IFERROR(AF18+AF19+AF20,"")</f>
        <v>20310.606</v>
      </c>
      <c r="AG17" s="59">
        <f>IFERROR(AG18+AG19+AG20,"")</f>
        <v>22369.683</v>
      </c>
      <c r="AH17" s="60">
        <f>AG17</f>
        <v>22369.683</v>
      </c>
      <c r="AI17" s="59">
        <f>IFERROR(AI18+AI19+AI20,"")</f>
        <v>20527.237</v>
      </c>
      <c r="AJ17" s="59">
        <f>IFERROR(AJ18+AJ19+AJ20,"")</f>
        <v>21062.751</v>
      </c>
      <c r="AK17" s="59">
        <f>IFERROR(AK18+AK19+AK20,"")</f>
        <v>0</v>
      </c>
      <c r="AL17" s="59">
        <f>IFERROR(AL18+AL19+AL20,"")</f>
        <v>0</v>
      </c>
      <c r="AM17" s="60">
        <f>AL17</f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>AQ17</f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>AV17</f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>BA17</f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>BF17</f>
        <v>0</v>
      </c>
    </row>
    <row r="18" hidden="1" outlineLevel="1">
      <c r="B18" s="56" t="inlineStr">
        <is>
          <t>cred_op</t>
        </is>
      </c>
      <c r="C18" s="61" t="inlineStr">
        <is>
          <t>Operações de Crédito, Arrendamentos e Outros Créditos</t>
        </is>
      </c>
      <c r="D18" s="62" t="inlineStr">
        <is>
          <t>Loans, Leases and Other Credits</t>
        </is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17590.52252</v>
      </c>
      <c r="F18" s="57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>17930.393</v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18917.055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20214.226</v>
      </c>
      <c r="I18" s="58">
        <f>H18</f>
        <v>20214.226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20637.761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19994.59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21012.336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22321.034</v>
      </c>
      <c r="N18" s="58">
        <f>M18</f>
        <v>22321.034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22200.872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23506.974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24688.821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24676.93</v>
      </c>
      <c r="S18" s="58">
        <f>R18</f>
        <v>24676.93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22832.989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22145.433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22440.119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23062.276</v>
      </c>
      <c r="X18" s="58">
        <f>W18</f>
        <v>23062.276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21240.856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21138.212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21188.011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22227.242</v>
      </c>
      <c r="AC18" s="58">
        <f>AB18</f>
        <v>22227.242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20707.334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20805.141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21393.063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23532.657</v>
      </c>
      <c r="AH18" s="58">
        <f>AG18</f>
        <v>23532.657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21716.829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22277.587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>AL18</f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>AQ18</f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>AV18</f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>BA18</f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>BF18</f>
        <v>0</v>
      </c>
    </row>
    <row r="19" hidden="1" outlineLevel="1">
      <c r="B19" s="56" t="inlineStr">
        <is>
          <t>cred_tvm</t>
        </is>
      </c>
      <c r="C19" s="61" t="inlineStr">
        <is>
          <t>Títulos e Valores Mobiliários</t>
        </is>
      </c>
      <c r="D19" s="62" t="inlineStr">
        <is>
          <t>Securities</t>
        </is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>0</v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>H19</f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>M19</f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>R19</f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>W19</f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>AB19</f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0</v>
      </c>
      <c r="AH19" s="58">
        <f>AG19</f>
        <v>0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0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0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>AL19</f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>AQ19</f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>AV19</f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>BA19</f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>BF19</f>
        <v>0</v>
      </c>
    </row>
    <row r="20" hidden="1" outlineLevel="1">
      <c r="B20" s="56" t="inlineStr">
        <is>
          <t>cred_pdd</t>
        </is>
      </c>
      <c r="C20" s="61" t="inlineStr">
        <is>
          <t>(Provisão para Perda de Crédito Esperada)</t>
        </is>
      </c>
      <c r="D20" s="62" t="inlineStr">
        <is>
          <t>(Allowance for Expected Credit Losses)</t>
        </is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0</v>
      </c>
      <c r="F20" s="57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>0</v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0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0</v>
      </c>
      <c r="I20" s="58">
        <f>H20</f>
        <v>0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0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0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0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0</v>
      </c>
      <c r="N20" s="58">
        <f>M20</f>
        <v>0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0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0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0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0</v>
      </c>
      <c r="S20" s="58">
        <f>R20</f>
        <v>0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0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0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0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0</v>
      </c>
      <c r="X20" s="58">
        <f>W20</f>
        <v>0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0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0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0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0</v>
      </c>
      <c r="AC20" s="58">
        <f>AB20</f>
        <v>0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-951.062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-1022.969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-1082.457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-1162.974</v>
      </c>
      <c r="AH20" s="58">
        <f>AG20</f>
        <v>-1162.974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-1189.592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-1214.836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>AL20</f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>AQ20</f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>AV20</f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>BA20</f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>BF20</f>
        <v>0</v>
      </c>
    </row>
    <row r="21">
      <c r="B21" s="56" t="inlineStr">
        <is>
          <t>rel_a</t>
        </is>
      </c>
      <c r="C21" s="11" t="inlineStr">
        <is>
          <t>Relações Interfinanceiras e Interdependências</t>
        </is>
      </c>
      <c r="D21" s="12" t="inlineStr">
        <is>
          <t>Interbank and Intersegment Relations</t>
        </is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135.209</v>
      </c>
      <c r="F21" s="57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>189.579</v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218.263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157.78</v>
      </c>
      <c r="I21" s="58">
        <f>H21</f>
        <v>157.78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218.529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129.429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126.226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90.24</v>
      </c>
      <c r="N21" s="58">
        <f>M21</f>
        <v>90.24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149.554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192.353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442.389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293.766</v>
      </c>
      <c r="S21" s="58">
        <f>R21</f>
        <v>293.766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356.754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255.739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412.221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608.284</v>
      </c>
      <c r="X21" s="58">
        <f>W21</f>
        <v>608.284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583.82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671.003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603.45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751.266</v>
      </c>
      <c r="AC21" s="58">
        <f>AB21</f>
        <v>751.266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0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0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0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0</v>
      </c>
      <c r="AH21" s="58">
        <f>AG21</f>
        <v>0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0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0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>AL21</f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>AQ21</f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>AV21</f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>BA21</f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>BF21</f>
        <v>0</v>
      </c>
    </row>
    <row r="22">
      <c r="B22" s="56" t="inlineStr">
        <is>
          <t>fisc_a</t>
        </is>
      </c>
      <c r="C22" s="11" t="inlineStr">
        <is>
          <t>Ativos Fiscais Correntes e Diferidos</t>
        </is>
      </c>
      <c r="D22" s="12" t="inlineStr">
        <is>
          <t>Current and Deferred Tax Assets</t>
        </is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>0</v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0</v>
      </c>
      <c r="I22" s="58">
        <f>H22</f>
        <v>0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0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0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0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0</v>
      </c>
      <c r="N22" s="58">
        <f>M22</f>
        <v>0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0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0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0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0</v>
      </c>
      <c r="S22" s="58">
        <f>R22</f>
        <v>0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0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0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0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0</v>
      </c>
      <c r="X22" s="58">
        <f>W22</f>
        <v>0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0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0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0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0</v>
      </c>
      <c r="AC22" s="58">
        <f>AB22</f>
        <v>0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2157.21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2466.317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2682.071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2378.748</v>
      </c>
      <c r="AH22" s="58">
        <f>AG22</f>
        <v>2378.748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2930.561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3080.443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>AL22</f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>AQ22</f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>AV22</f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>BA22</f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>BF22</f>
        <v>0</v>
      </c>
    </row>
    <row r="23">
      <c r="B23" s="56" t="inlineStr">
        <is>
          <t>out_a</t>
        </is>
      </c>
      <c r="C23" s="11" t="inlineStr">
        <is>
          <t>Outros Ativos</t>
        </is>
      </c>
      <c r="D23" s="12" t="inlineStr">
        <is>
          <t>Other Assets</t>
        </is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11570.14235</v>
      </c>
      <c r="F23" s="57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>10964.392</v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7221.324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5095.934</v>
      </c>
      <c r="I23" s="58">
        <f>H23</f>
        <v>5095.934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7467.725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5885.965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8151.906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8715.826</v>
      </c>
      <c r="N23" s="58">
        <f>M23</f>
        <v>8715.826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4613.262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6131.949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5854.346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9819.948</v>
      </c>
      <c r="S23" s="58">
        <f>R23</f>
        <v>9819.948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7551.954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5661.427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7262.961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9037.988</v>
      </c>
      <c r="X23" s="58">
        <f>W23</f>
        <v>9037.988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9758.688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13040.187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12953.933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12023.008</v>
      </c>
      <c r="AC23" s="58">
        <f>AB23</f>
        <v>12023.008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3354.177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3773.757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2970.286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2991.036</v>
      </c>
      <c r="AH23" s="58">
        <f>AG23</f>
        <v>2991.036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3629.828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3637.699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>AL23</f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>AQ23</f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>AV23</f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>BA23</f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>BF23</f>
        <v>0</v>
      </c>
    </row>
    <row r="24">
      <c r="C24" s="15" t="inlineStr">
        <is>
          <t>Investimentos</t>
        </is>
      </c>
      <c r="D24" s="16" t="inlineStr">
        <is>
          <t>Investments</t>
        </is>
      </c>
      <c r="E24" s="59">
        <f>IFERROR(E25+E26,"")</f>
        <v>1.553</v>
      </c>
      <c r="F24" s="59">
        <f>IFERROR(F25+F26,"")</f>
        <v>2.099</v>
      </c>
      <c r="G24" s="59">
        <f>IFERROR(G25+G26,"")</f>
        <v>2.33</v>
      </c>
      <c r="H24" s="59">
        <f>IFERROR(H25+H26,"")</f>
        <v>2.541</v>
      </c>
      <c r="I24" s="60">
        <f>H24</f>
        <v>2.541</v>
      </c>
      <c r="J24" s="59">
        <f>IFERROR(J25+J26,"")</f>
        <v>2.696</v>
      </c>
      <c r="K24" s="59">
        <f>IFERROR(K25+K26,"")</f>
        <v>3.03</v>
      </c>
      <c r="L24" s="59">
        <f>IFERROR(L25+L26,"")</f>
        <v>3.376</v>
      </c>
      <c r="M24" s="59">
        <f>IFERROR(M25+M26,"")</f>
        <v>4.753</v>
      </c>
      <c r="N24" s="60">
        <f>M24</f>
        <v>4.753</v>
      </c>
      <c r="O24" s="59">
        <f>IFERROR(O25+O26,"")</f>
        <v>5.909</v>
      </c>
      <c r="P24" s="59">
        <f>IFERROR(P25+P26,"")</f>
        <v>7.408</v>
      </c>
      <c r="Q24" s="59">
        <f>IFERROR(Q25+Q26,"")</f>
        <v>8.812</v>
      </c>
      <c r="R24" s="59">
        <f>IFERROR(R25+R26,"")</f>
        <v>10.417</v>
      </c>
      <c r="S24" s="60">
        <f>R24</f>
        <v>10.417</v>
      </c>
      <c r="T24" s="59">
        <f>IFERROR(T25+T26,"")</f>
        <v>12.365</v>
      </c>
      <c r="U24" s="59">
        <f>IFERROR(U25+U26,"")</f>
        <v>12.48</v>
      </c>
      <c r="V24" s="59">
        <f>IFERROR(V25+V26,"")</f>
        <v>5.325</v>
      </c>
      <c r="W24" s="59">
        <f>IFERROR(W25+W26,"")</f>
        <v>5.344</v>
      </c>
      <c r="X24" s="60">
        <f>W24</f>
        <v>5.344</v>
      </c>
      <c r="Y24" s="59">
        <f>IFERROR(Y25+Y26,"")</f>
        <v>6.425</v>
      </c>
      <c r="Z24" s="59">
        <f>IFERROR(Z25+Z26,"")</f>
        <v>6.461</v>
      </c>
      <c r="AA24" s="59">
        <f>IFERROR(AA25+AA26,"")</f>
        <v>6.461</v>
      </c>
      <c r="AB24" s="59">
        <f>IFERROR(AB25+AB26,"")</f>
        <v>6.461</v>
      </c>
      <c r="AC24" s="60">
        <f>AB24</f>
        <v>6.461</v>
      </c>
      <c r="AD24" s="59">
        <f>IFERROR(AD25+AD26,"")</f>
        <v>0</v>
      </c>
      <c r="AE24" s="59">
        <f>IFERROR(AE25+AE26,"")</f>
        <v>0</v>
      </c>
      <c r="AF24" s="59">
        <f>IFERROR(AF25+AF26,"")</f>
        <v>0</v>
      </c>
      <c r="AG24" s="59">
        <f>IFERROR(AG25+AG26,"")</f>
        <v>0</v>
      </c>
      <c r="AH24" s="60">
        <f>AG24</f>
        <v>0</v>
      </c>
      <c r="AI24" s="59">
        <f>IFERROR(AI25+AI26,"")</f>
        <v>0</v>
      </c>
      <c r="AJ24" s="59">
        <f>IFERROR(AJ25+AJ26,"")</f>
        <v>0</v>
      </c>
      <c r="AK24" s="59">
        <f>IFERROR(AK25+AK26,"")</f>
        <v>0</v>
      </c>
      <c r="AL24" s="59">
        <f>IFERROR(AL25+AL26,"")</f>
        <v>0</v>
      </c>
      <c r="AM24" s="60">
        <f>AL24</f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>AQ24</f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>AV24</f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>BA24</f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>BF24</f>
        <v>0</v>
      </c>
    </row>
    <row r="25" hidden="1" outlineLevel="1">
      <c r="B25" s="56" t="inlineStr">
        <is>
          <t>inv_col</t>
        </is>
      </c>
      <c r="C25" s="61" t="inlineStr">
        <is>
          <t>Coligadas e Entidades Controladas em Conjunto</t>
        </is>
      </c>
      <c r="D25" s="62" t="inlineStr">
        <is>
          <t>Associates and JV</t>
        </is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0</v>
      </c>
      <c r="F25" s="57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>0</v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0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0</v>
      </c>
      <c r="I25" s="58">
        <f>H25</f>
        <v>0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0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0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0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0</v>
      </c>
      <c r="N25" s="58">
        <f>M25</f>
        <v>0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0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0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0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0</v>
      </c>
      <c r="S25" s="58">
        <f>R25</f>
        <v>0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0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0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0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0</v>
      </c>
      <c r="X25" s="58">
        <f>W25</f>
        <v>0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0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0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0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0</v>
      </c>
      <c r="AC25" s="58">
        <f>AB25</f>
        <v>0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0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0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0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0</v>
      </c>
      <c r="AH25" s="58">
        <f>AG25</f>
        <v>0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0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0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>AL25</f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>AQ25</f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>AV25</f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>BA25</f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>BF25</f>
        <v>0</v>
      </c>
    </row>
    <row r="26" hidden="1" outlineLevel="1">
      <c r="B26" s="56" t="inlineStr">
        <is>
          <t>inv_out</t>
        </is>
      </c>
      <c r="C26" s="61" t="inlineStr">
        <is>
          <t>Outros Investimentos</t>
        </is>
      </c>
      <c r="D26" s="62" t="inlineStr">
        <is>
          <t>Other Investments</t>
        </is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1.553</v>
      </c>
      <c r="F26" s="57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>2.099</v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2.33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2.541</v>
      </c>
      <c r="I26" s="58">
        <f>H26</f>
        <v>2.541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2.696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3.03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3.376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4.753</v>
      </c>
      <c r="N26" s="58">
        <f>M26</f>
        <v>4.753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5.909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7.408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8.812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10.417</v>
      </c>
      <c r="S26" s="58">
        <f>R26</f>
        <v>10.417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12.365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12.48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5.325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5.344</v>
      </c>
      <c r="X26" s="58">
        <f>W26</f>
        <v>5.344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6.425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6.461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6.461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6.461</v>
      </c>
      <c r="AC26" s="58">
        <f>AB26</f>
        <v>6.461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>AG26</f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>AL26</f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>AQ26</f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>AV26</f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>BA26</f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>BF26</f>
        <v>0</v>
      </c>
    </row>
    <row r="27">
      <c r="B27" s="56" t="inlineStr">
        <is>
          <t>imob</t>
        </is>
      </c>
      <c r="C27" s="11" t="inlineStr">
        <is>
          <t>Imobilizado</t>
        </is>
      </c>
      <c r="D27" s="12" t="inlineStr">
        <is>
          <t>Property and Equipment</t>
        </is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25.3</v>
      </c>
      <c r="F27" s="57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>24.6</v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24.453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23.612</v>
      </c>
      <c r="I27" s="58">
        <f>H27</f>
        <v>23.612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24.745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24.457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23.011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22.694</v>
      </c>
      <c r="N27" s="58">
        <f>M27</f>
        <v>22.694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23.423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22.743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22.848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22.639</v>
      </c>
      <c r="S27" s="58">
        <f>R27</f>
        <v>22.639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23.97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28.956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31.553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31.821</v>
      </c>
      <c r="X27" s="58">
        <f>W27</f>
        <v>31.821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38.347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42.058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41.203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42.272</v>
      </c>
      <c r="AC27" s="58">
        <f>AB27</f>
        <v>42.272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275.895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273.728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276.542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303.569</v>
      </c>
      <c r="AH27" s="58">
        <f>AG27</f>
        <v>303.569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295.702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301.043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>AL27</f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>AQ27</f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>AV27</f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>BA27</f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>BF27</f>
        <v>0</v>
      </c>
    </row>
    <row r="28">
      <c r="B28" s="56" t="inlineStr">
        <is>
          <t>intang</t>
        </is>
      </c>
      <c r="C28" s="11" t="inlineStr">
        <is>
          <t>Ágio e Intangível</t>
        </is>
      </c>
      <c r="D28" s="12" t="inlineStr">
        <is>
          <t>Goodwill and Intangible Assets</t>
        </is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46.63</v>
      </c>
      <c r="F28" s="57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>56.383</v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65.573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70.336</v>
      </c>
      <c r="I28" s="58">
        <f>H28</f>
        <v>70.336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76.289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80.064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85.261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93.885</v>
      </c>
      <c r="N28" s="58">
        <f>M28</f>
        <v>93.885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104.58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116.304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131.147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146.861</v>
      </c>
      <c r="S28" s="58">
        <f>R28</f>
        <v>146.861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166.456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181.063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193.869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211.142</v>
      </c>
      <c r="X28" s="58">
        <f>W28</f>
        <v>211.142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211.875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215.962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218.737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234.394</v>
      </c>
      <c r="AC28" s="58">
        <f>AB28</f>
        <v>234.394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0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0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0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0</v>
      </c>
      <c r="AH28" s="58">
        <f>AG28</f>
        <v>0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0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0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>AL28</f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>AQ28</f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>AV28</f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>BA28</f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>BF28</f>
        <v>0</v>
      </c>
    </row>
    <row r="29">
      <c r="C29" s="53" t="inlineStr">
        <is>
          <t>TOTAL DO ATIVO</t>
        </is>
      </c>
      <c r="D29" s="54" t="inlineStr">
        <is>
          <t>TOTAL ASSETS</t>
        </is>
      </c>
      <c r="E29" s="59">
        <f>IFERROR(E5+E6+E11+E16+E17+E21+E22+E23+E24+E27+E28,"")</f>
        <v>49645.71387</v>
      </c>
      <c r="F29" s="59">
        <f>IFERROR(F5+F6+F11+F16+F17+F21+F22+F23+F24+F27+F28,"")</f>
        <v>49868.571</v>
      </c>
      <c r="G29" s="59">
        <f>IFERROR(G5+G6+G11+G16+G17+G21+G22+G23+G24+G27+G28,"")</f>
        <v>46154.238</v>
      </c>
      <c r="H29" s="59">
        <f>IFERROR(H5+H6+H11+H16+H17+H21+H22+H23+H24+H27+H28,"")</f>
        <v>43328.841</v>
      </c>
      <c r="I29" s="60">
        <f>H29</f>
        <v>43328.841</v>
      </c>
      <c r="J29" s="59">
        <f>IFERROR(J5+J6+J11+J16+J17+J21+J22+J23+J24+J27+J28,"")</f>
        <v>48700.959</v>
      </c>
      <c r="K29" s="59">
        <f>IFERROR(K5+K6+K11+K16+K17+K21+K22+K23+K24+K27+K28,"")</f>
        <v>44456.064</v>
      </c>
      <c r="L29" s="59">
        <f>IFERROR(L5+L6+L11+L16+L17+L21+L22+L23+L24+L27+L28,"")</f>
        <v>50115.185</v>
      </c>
      <c r="M29" s="59">
        <f>IFERROR(M5+M6+M11+M16+M17+M21+M22+M23+M24+M27+M28,"")</f>
        <v>49565.97</v>
      </c>
      <c r="N29" s="60">
        <f>M29</f>
        <v>49565.97</v>
      </c>
      <c r="O29" s="59">
        <f>IFERROR(O5+O6+O11+O16+O17+O21+O22+O23+O24+O27+O28,"")</f>
        <v>46285.496</v>
      </c>
      <c r="P29" s="59">
        <f>IFERROR(P5+P6+P11+P16+P17+P21+P22+P23+P24+P27+P28,"")</f>
        <v>50954.581</v>
      </c>
      <c r="Q29" s="59">
        <f>IFERROR(Q5+Q6+Q11+Q16+Q17+Q21+Q22+Q23+Q24+Q27+Q28,"")</f>
        <v>52616.157</v>
      </c>
      <c r="R29" s="59">
        <f>IFERROR(R5+R6+R11+R16+R17+R21+R22+R23+R24+R27+R28,"")</f>
        <v>57408.844</v>
      </c>
      <c r="S29" s="60">
        <f>R29</f>
        <v>57408.844</v>
      </c>
      <c r="T29" s="59">
        <f>IFERROR(T5+T6+T11+T16+T17+T21+T22+T23+T24+T27+T28,"")</f>
        <v>54154.887</v>
      </c>
      <c r="U29" s="59">
        <f>IFERROR(U5+U6+U11+U16+U17+U21+U22+U23+U24+U27+U28,"")</f>
        <v>54930.563</v>
      </c>
      <c r="V29" s="59">
        <f>IFERROR(V5+V6+V11+V16+V17+V21+V22+V23+V24+V27+V28,"")</f>
        <v>56726.762</v>
      </c>
      <c r="W29" s="59">
        <f>IFERROR(W5+W6+W11+W16+W17+W21+W22+W23+W24+W27+W28,"")</f>
        <v>60632.612</v>
      </c>
      <c r="X29" s="60">
        <f>W29</f>
        <v>60632.612</v>
      </c>
      <c r="Y29" s="59">
        <f>IFERROR(Y5+Y6+Y11+Y16+Y17+Y21+Y22+Y23+Y24+Y27+Y28,"")</f>
        <v>61265.674</v>
      </c>
      <c r="Z29" s="59">
        <f>IFERROR(Z5+Z6+Z11+Z16+Z17+Z21+Z22+Z23+Z24+Z27+Z28,"")</f>
        <v>69077.989</v>
      </c>
      <c r="AA29" s="59">
        <f>IFERROR(AA5+AA6+AA11+AA16+AA17+AA21+AA22+AA23+AA24+AA27+AA28,"")</f>
        <v>72065.13</v>
      </c>
      <c r="AB29" s="59">
        <f>IFERROR(AB5+AB6+AB11+AB16+AB17+AB21+AB22+AB23+AB24+AB27+AB28,"")</f>
        <v>73585.977</v>
      </c>
      <c r="AC29" s="60">
        <f>AB29</f>
        <v>73585.977</v>
      </c>
      <c r="AD29" s="59">
        <f>IFERROR(AD5+AD6+AD11+AD16+AD17+AD21+AD22+AD23+AD24+AD27+AD28,"")</f>
        <v>64225.601</v>
      </c>
      <c r="AE29" s="59">
        <f>IFERROR(AE5+AE6+AE11+AE16+AE17+AE21+AE22+AE23+AE24+AE27+AE28,"")</f>
        <v>64438.272</v>
      </c>
      <c r="AF29" s="59">
        <f>IFERROR(AF5+AF6+AF11+AF16+AF17+AF21+AF22+AF23+AF24+AF27+AF28,"")</f>
        <v>63238.744</v>
      </c>
      <c r="AG29" s="59">
        <f>IFERROR(AG5+AG6+AG11+AG16+AG17+AG21+AG22+AG23+AG24+AG27+AG28,"")</f>
        <v>66316.409</v>
      </c>
      <c r="AH29" s="60">
        <f>AG29</f>
        <v>66316.409</v>
      </c>
      <c r="AI29" s="59">
        <f>IFERROR(AI5+AI6+AI11+AI16+AI17+AI21+AI22+AI23+AI24+AI27+AI28,"")</f>
        <v>69283.222</v>
      </c>
      <c r="AJ29" s="59">
        <f>IFERROR(AJ5+AJ6+AJ11+AJ16+AJ17+AJ21+AJ22+AJ23+AJ24+AJ27+AJ28,"")</f>
        <v>69584.916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>AL29</f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>AQ29</f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>AV29</f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>BA29</f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>BF29</f>
        <v>0</v>
      </c>
    </row>
    <row r="31">
      <c r="B31" s="7" t="n"/>
      <c r="C31" s="7" t="inlineStr">
        <is>
          <t>PASSIVO</t>
        </is>
      </c>
      <c r="D31" s="7" t="inlineStr">
        <is>
          <t>LIABILITIES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C32" s="15" t="inlineStr">
        <is>
          <t>Depósitos</t>
        </is>
      </c>
      <c r="D32" s="16" t="inlineStr">
        <is>
          <t>Deposits</t>
        </is>
      </c>
      <c r="E32" s="59">
        <f>IFERROR(E33+E34+E35+E36+E37,"")</f>
        <v>5973.045</v>
      </c>
      <c r="F32" s="59">
        <f>IFERROR(F33+F34+F35+F36+F37,"")</f>
        <v>7325.682</v>
      </c>
      <c r="G32" s="59">
        <f>IFERROR(G33+G34+G35+G36+G37,"")</f>
        <v>9799.911</v>
      </c>
      <c r="H32" s="59">
        <f>IFERROR(H33+H34+H35+H36+H37,"")</f>
        <v>10155.328</v>
      </c>
      <c r="I32" s="60">
        <f>H32</f>
        <v>10155.328</v>
      </c>
      <c r="J32" s="59">
        <f>IFERROR(J33+J34+J35+J36+J37,"")</f>
        <v>10088.439</v>
      </c>
      <c r="K32" s="59">
        <f>IFERROR(K33+K34+K35+K36+K37,"")</f>
        <v>8587.066</v>
      </c>
      <c r="L32" s="59">
        <f>IFERROR(L33+L34+L35+L36+L37,"")</f>
        <v>8877.224</v>
      </c>
      <c r="M32" s="59">
        <f>IFERROR(M33+M34+M35+M36+M37,"")</f>
        <v>7955.799</v>
      </c>
      <c r="N32" s="60">
        <f>M32</f>
        <v>7955.799</v>
      </c>
      <c r="O32" s="59">
        <f>IFERROR(O33+O34+O35+O36+O37,"")</f>
        <v>8568.042</v>
      </c>
      <c r="P32" s="59">
        <f>IFERROR(P33+P34+P35+P36+P37,"")</f>
        <v>8761.658</v>
      </c>
      <c r="Q32" s="59">
        <f>IFERROR(Q33+Q34+Q35+Q36+Q37,"")</f>
        <v>10007.044</v>
      </c>
      <c r="R32" s="59">
        <f>IFERROR(R33+R34+R35+R36+R37,"")</f>
        <v>10354.303</v>
      </c>
      <c r="S32" s="60">
        <f>R32</f>
        <v>10354.303</v>
      </c>
      <c r="T32" s="59">
        <f>IFERROR(T33+T34+T35+T36+T37,"")</f>
        <v>9315.794</v>
      </c>
      <c r="U32" s="59">
        <f>IFERROR(U33+U34+U35+U36+U37,"")</f>
        <v>8062.118</v>
      </c>
      <c r="V32" s="59">
        <f>IFERROR(V33+V34+V35+V36+V37,"")</f>
        <v>8442.469</v>
      </c>
      <c r="W32" s="59">
        <f>IFERROR(W33+W34+W35+W36+W37,"")</f>
        <v>10472.468</v>
      </c>
      <c r="X32" s="60">
        <f>W32</f>
        <v>10472.468</v>
      </c>
      <c r="Y32" s="59">
        <f>IFERROR(Y33+Y34+Y35+Y36+Y37,"")</f>
        <v>10333.463</v>
      </c>
      <c r="Z32" s="59">
        <f>IFERROR(Z33+Z34+Z35+Z36+Z37,"")</f>
        <v>11563.807</v>
      </c>
      <c r="AA32" s="59">
        <f>IFERROR(AA33+AA34+AA35+AA36+AA37,"")</f>
        <v>11319.11</v>
      </c>
      <c r="AB32" s="59">
        <f>IFERROR(AB33+AB34+AB35+AB36+AB37,"")</f>
        <v>11333.95</v>
      </c>
      <c r="AC32" s="60">
        <f>AB32</f>
        <v>11333.95</v>
      </c>
      <c r="AD32" s="59">
        <f>IFERROR(AD33+AD34+AD35+AD36+AD37,"")</f>
        <v>9541.37</v>
      </c>
      <c r="AE32" s="59">
        <f>IFERROR(AE33+AE34+AE35+AE36+AE37,"")</f>
        <v>8769.019</v>
      </c>
      <c r="AF32" s="59">
        <f>IFERROR(AF33+AF34+AF35+AF36+AF37,"")</f>
        <v>8177.124</v>
      </c>
      <c r="AG32" s="59">
        <f>IFERROR(AG33+AG34+AG35+AG36+AG37,"")</f>
        <v>9352.378</v>
      </c>
      <c r="AH32" s="60">
        <f>AG32</f>
        <v>9352.378</v>
      </c>
      <c r="AI32" s="59">
        <f>IFERROR(AI33+AI34+AI35+AI36+AI37,"")</f>
        <v>8277.709</v>
      </c>
      <c r="AJ32" s="59">
        <f>IFERROR(AJ33+AJ34+AJ35+AJ36+AJ37,"")</f>
        <v>7997.141</v>
      </c>
      <c r="AK32" s="59">
        <f>IFERROR(AK33+AK34+AK35+AK36+AK37,"")</f>
        <v>0</v>
      </c>
      <c r="AL32" s="59">
        <f>IFERROR(AL33+AL34+AL35+AL36+AL37,"")</f>
        <v>0</v>
      </c>
      <c r="AM32" s="60">
        <f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>BF32</f>
        <v>0</v>
      </c>
    </row>
    <row r="33" hidden="1" outlineLevel="1">
      <c r="B33" s="56" t="inlineStr">
        <is>
          <t>dep_vista</t>
        </is>
      </c>
      <c r="C33" s="61" t="inlineStr">
        <is>
          <t>Depósitos à Vista</t>
        </is>
      </c>
      <c r="D33" s="62" t="inlineStr">
        <is>
          <t>Demand Deposits</t>
        </is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191.194</v>
      </c>
      <c r="F33" s="57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>317.899</v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396.663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383.383</v>
      </c>
      <c r="I33" s="58">
        <f>H33</f>
        <v>383.383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320.354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257.359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345.274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284.36</v>
      </c>
      <c r="N33" s="58">
        <f>M33</f>
        <v>284.36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460.028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315.71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379.241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343.409</v>
      </c>
      <c r="S33" s="58">
        <f>R33</f>
        <v>343.409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352.072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353.212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502.725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693.078</v>
      </c>
      <c r="X33" s="58">
        <f>W33</f>
        <v>693.078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378.181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551.196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532.248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631.73</v>
      </c>
      <c r="AC33" s="58">
        <f>AB33</f>
        <v>631.73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486.596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563.212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457.223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617.518</v>
      </c>
      <c r="AH33" s="58">
        <f>AG33</f>
        <v>617.518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546.645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594.024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>AL33</f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>AQ33</f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>AV33</f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>BA33</f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>BF33</f>
        <v>0</v>
      </c>
    </row>
    <row r="34" hidden="1" outlineLevel="1">
      <c r="B34" s="56" t="inlineStr">
        <is>
          <t>dep_poup</t>
        </is>
      </c>
      <c r="C34" s="61" t="inlineStr">
        <is>
          <t>Depósitos de Poupança</t>
        </is>
      </c>
      <c r="D34" s="62" t="inlineStr">
        <is>
          <t>Savings Deposits</t>
        </is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0</v>
      </c>
      <c r="F34" s="57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>0</v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0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0</v>
      </c>
      <c r="I34" s="58">
        <f>H34</f>
        <v>0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0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0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0</v>
      </c>
      <c r="N34" s="58">
        <f>M34</f>
        <v>0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0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0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0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0</v>
      </c>
      <c r="S34" s="58">
        <f>R34</f>
        <v>0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0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0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0</v>
      </c>
      <c r="X34" s="58">
        <f>W34</f>
        <v>0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0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0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0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0</v>
      </c>
      <c r="AC34" s="58">
        <f>AB34</f>
        <v>0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0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0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0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0</v>
      </c>
      <c r="AH34" s="58">
        <f>AG34</f>
        <v>0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0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0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>AL34</f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>AQ34</f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>AV34</f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>BA34</f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>BF34</f>
        <v>0</v>
      </c>
    </row>
    <row r="35" hidden="1" outlineLevel="1">
      <c r="B35" s="56" t="inlineStr">
        <is>
          <t>dep_inter</t>
        </is>
      </c>
      <c r="C35" s="61" t="inlineStr">
        <is>
          <t>Depósitos Interfinanceiros</t>
        </is>
      </c>
      <c r="D35" s="62" t="inlineStr">
        <is>
          <t>Interbank Deposits</t>
        </is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627.564</v>
      </c>
      <c r="F35" s="57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>379.394</v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655.64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710.241</v>
      </c>
      <c r="I35" s="58">
        <f>H35</f>
        <v>710.241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839.249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561.743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531.948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531.184</v>
      </c>
      <c r="N35" s="58">
        <f>M35</f>
        <v>531.184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539.676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532.077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226.189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504.64</v>
      </c>
      <c r="S35" s="58">
        <f>R35</f>
        <v>504.64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503.534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323.164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235.182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533.296</v>
      </c>
      <c r="X35" s="58">
        <f>W35</f>
        <v>533.296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582.508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337.499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152.123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226.01</v>
      </c>
      <c r="AC35" s="58">
        <f>AB35</f>
        <v>226.01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187.318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127.694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236.54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452.399</v>
      </c>
      <c r="AH35" s="58">
        <f>AG35</f>
        <v>452.399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439.213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418.021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>AL35</f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>AQ35</f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>AV35</f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>BA35</f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>BF35</f>
        <v>0</v>
      </c>
    </row>
    <row r="36" hidden="1" outlineLevel="1">
      <c r="B36" s="56" t="inlineStr">
        <is>
          <t>dep_prazo</t>
        </is>
      </c>
      <c r="C36" s="61" t="inlineStr">
        <is>
          <t>Depósitos a Prazo</t>
        </is>
      </c>
      <c r="D36" s="62" t="inlineStr">
        <is>
          <t>Time Deposits</t>
        </is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5154.287</v>
      </c>
      <c r="F36" s="57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>6628.389</v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8747.608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9061.704</v>
      </c>
      <c r="I36" s="58">
        <f>H36</f>
        <v>9061.704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8928.836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7767.964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8000.002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7140.255</v>
      </c>
      <c r="N36" s="58">
        <f>M36</f>
        <v>7140.255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7568.338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7913.871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9401.614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9506.254</v>
      </c>
      <c r="S36" s="58">
        <f>R36</f>
        <v>9506.254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8460.188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7385.742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7704.562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9246.094</v>
      </c>
      <c r="X36" s="58">
        <f>W36</f>
        <v>9246.094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9372.774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10675.112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10634.739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10476.21</v>
      </c>
      <c r="AC36" s="58">
        <f>AB36</f>
        <v>10476.21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8867.456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8078.113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7483.361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8282.461</v>
      </c>
      <c r="AH36" s="58">
        <f>AG36</f>
        <v>8282.461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7291.851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6985.096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>AL36</f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>AQ36</f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>AV36</f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>BA36</f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>BF36</f>
        <v>0</v>
      </c>
    </row>
    <row r="37" hidden="1" outlineLevel="1">
      <c r="B37" s="56" t="inlineStr">
        <is>
          <t>dep_out</t>
        </is>
      </c>
      <c r="C37" s="61" t="inlineStr">
        <is>
          <t>Outros Depósitos</t>
        </is>
      </c>
      <c r="D37" s="62" t="inlineStr">
        <is>
          <t>Other Deposits</t>
        </is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>0</v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>H37</f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>M37</f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>R37</f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>W37</f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0</v>
      </c>
      <c r="AC37" s="58">
        <f>AB37</f>
        <v>0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0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0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0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0</v>
      </c>
      <c r="AH37" s="58">
        <f>AG37</f>
        <v>0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0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0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>AL37</f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>AQ37</f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>AV37</f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>BA37</f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>BF37</f>
        <v>0</v>
      </c>
    </row>
    <row r="38">
      <c r="C38" s="15" t="inlineStr">
        <is>
          <t>Captações no Mercado Aberto</t>
        </is>
      </c>
      <c r="D38" s="16" t="inlineStr">
        <is>
          <t>Open Market Funding</t>
        </is>
      </c>
      <c r="E38" s="59">
        <f>IFERROR(E39+E40+E41,"")</f>
        <v>1102.637</v>
      </c>
      <c r="F38" s="59">
        <f>IFERROR(F39+F40+F41,"")</f>
        <v>1174.817</v>
      </c>
      <c r="G38" s="59">
        <f>IFERROR(G39+G40+G41,"")</f>
        <v>1156.201</v>
      </c>
      <c r="H38" s="59">
        <f>IFERROR(H39+H40+H41,"")</f>
        <v>1354.313</v>
      </c>
      <c r="I38" s="60">
        <f>H38</f>
        <v>1354.313</v>
      </c>
      <c r="J38" s="59">
        <f>IFERROR(J39+J40+J41,"")</f>
        <v>1282.513</v>
      </c>
      <c r="K38" s="59">
        <f>IFERROR(K39+K40+K41,"")</f>
        <v>970.187</v>
      </c>
      <c r="L38" s="59">
        <f>IFERROR(L39+L40+L41,"")</f>
        <v>1085.669</v>
      </c>
      <c r="M38" s="59">
        <f>IFERROR(M39+M40+M41,"")</f>
        <v>1328.942</v>
      </c>
      <c r="N38" s="60">
        <f>M38</f>
        <v>1328.942</v>
      </c>
      <c r="O38" s="59">
        <f>IFERROR(O39+O40+O41,"")</f>
        <v>1257.923</v>
      </c>
      <c r="P38" s="59">
        <f>IFERROR(P39+P40+P41,"")</f>
        <v>1275.043</v>
      </c>
      <c r="Q38" s="59">
        <f>IFERROR(Q39+Q40+Q41,"")</f>
        <v>1525.199</v>
      </c>
      <c r="R38" s="59">
        <f>IFERROR(R39+R40+R41,"")</f>
        <v>1448.963</v>
      </c>
      <c r="S38" s="60">
        <f>R38</f>
        <v>1448.963</v>
      </c>
      <c r="T38" s="59">
        <f>IFERROR(T39+T40+T41,"")</f>
        <v>1746.102</v>
      </c>
      <c r="U38" s="59">
        <f>IFERROR(U39+U40+U41,"")</f>
        <v>1542.227</v>
      </c>
      <c r="V38" s="59">
        <f>IFERROR(V39+V40+V41,"")</f>
        <v>1541.678</v>
      </c>
      <c r="W38" s="59">
        <f>IFERROR(W39+W40+W41,"")</f>
        <v>1683.322</v>
      </c>
      <c r="X38" s="60">
        <f>W38</f>
        <v>1683.322</v>
      </c>
      <c r="Y38" s="59">
        <f>IFERROR(Y39+Y40+Y41,"")</f>
        <v>1671.471</v>
      </c>
      <c r="Z38" s="59">
        <f>IFERROR(Z39+Z40+Z41,"")</f>
        <v>2217.524</v>
      </c>
      <c r="AA38" s="59">
        <f>IFERROR(AA39+AA40+AA41,"")</f>
        <v>2044.687</v>
      </c>
      <c r="AB38" s="59">
        <f>IFERROR(AB39+AB40+AB41,"")</f>
        <v>1957.701</v>
      </c>
      <c r="AC38" s="60">
        <f>AB38</f>
        <v>1957.701</v>
      </c>
      <c r="AD38" s="59">
        <f>IFERROR(AD39+AD40+AD41,"")</f>
        <v>2250.579</v>
      </c>
      <c r="AE38" s="59">
        <f>IFERROR(AE39+AE40+AE41,"")</f>
        <v>1665.678</v>
      </c>
      <c r="AF38" s="59">
        <f>IFERROR(AF39+AF40+AF41,"")</f>
        <v>1758.271</v>
      </c>
      <c r="AG38" s="59">
        <f>IFERROR(AG39+AG40+AG41,"")</f>
        <v>1832.236</v>
      </c>
      <c r="AH38" s="60">
        <f>AG38</f>
        <v>1832.236</v>
      </c>
      <c r="AI38" s="59">
        <f>IFERROR(AI39+AI40+AI41,"")</f>
        <v>2046.819</v>
      </c>
      <c r="AJ38" s="59">
        <f>IFERROR(AJ39+AJ40+AJ41,"")</f>
        <v>1649.739</v>
      </c>
      <c r="AK38" s="59">
        <f>IFERROR(AK39+AK40+AK41,"")</f>
        <v>0</v>
      </c>
      <c r="AL38" s="59">
        <f>IFERROR(AL39+AL40+AL41,"")</f>
        <v>0</v>
      </c>
      <c r="AM38" s="60">
        <f>AL38</f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>AQ38</f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>AV38</f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>BA38</f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>BF38</f>
        <v>0</v>
      </c>
    </row>
    <row r="39" hidden="1" outlineLevel="1">
      <c r="B39" s="56" t="inlineStr">
        <is>
          <t>mo_prop</t>
        </is>
      </c>
      <c r="C39" s="61" t="inlineStr">
        <is>
          <t>Carteira Própria</t>
        </is>
      </c>
      <c r="D39" s="62" t="inlineStr">
        <is>
          <t>Own Portfolio</t>
        </is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1102.637</v>
      </c>
      <c r="F39" s="57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>1174.817</v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1156.201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1354.313</v>
      </c>
      <c r="I39" s="58">
        <f>H39</f>
        <v>1354.313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1282.513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970.187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1085.669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1328.942</v>
      </c>
      <c r="N39" s="58">
        <f>M39</f>
        <v>1328.942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1257.923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1275.043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1525.199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1448.963</v>
      </c>
      <c r="S39" s="58">
        <f>R39</f>
        <v>1448.963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1746.102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1542.227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1541.678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1683.322</v>
      </c>
      <c r="X39" s="58">
        <f>W39</f>
        <v>1683.322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1671.471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2217.524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2044.687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1957.701</v>
      </c>
      <c r="AC39" s="58">
        <f>AB39</f>
        <v>1957.701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2250.579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1665.678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1758.271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1832.236</v>
      </c>
      <c r="AH39" s="58">
        <f>AG39</f>
        <v>1832.236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2046.819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1649.739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>AL39</f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>AQ39</f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>AV39</f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>BA39</f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>BF39</f>
        <v>0</v>
      </c>
    </row>
    <row r="40" hidden="1" outlineLevel="1">
      <c r="B40" s="56" t="inlineStr">
        <is>
          <t>mo_terc</t>
        </is>
      </c>
      <c r="C40" s="61" t="inlineStr">
        <is>
          <t>Carteira de Terceiros</t>
        </is>
      </c>
      <c r="D40" s="62" t="inlineStr">
        <is>
          <t>Third-Party Portfolio</t>
        </is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0</v>
      </c>
      <c r="F40" s="57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>0</v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0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0</v>
      </c>
      <c r="I40" s="58">
        <f>H40</f>
        <v>0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0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0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0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0</v>
      </c>
      <c r="N40" s="58">
        <f>M40</f>
        <v>0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0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0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0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0</v>
      </c>
      <c r="S40" s="58">
        <f>R40</f>
        <v>0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0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0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0</v>
      </c>
      <c r="X40" s="58">
        <f>W40</f>
        <v>0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0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0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0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0</v>
      </c>
      <c r="AC40" s="58">
        <f>AB40</f>
        <v>0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0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0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0</v>
      </c>
      <c r="AH40" s="58">
        <f>AG40</f>
        <v>0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0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>AL40</f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>AQ40</f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>AV40</f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>BA40</f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>BF40</f>
        <v>0</v>
      </c>
    </row>
    <row r="41" hidden="1" outlineLevel="1">
      <c r="B41" s="56" t="inlineStr">
        <is>
          <t>mo_livre</t>
        </is>
      </c>
      <c r="C41" s="61" t="inlineStr">
        <is>
          <t>Carteira de Livre Movimentação</t>
        </is>
      </c>
      <c r="D41" s="62" t="inlineStr">
        <is>
          <t>Unrestricted Portfolio</t>
        </is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>0</v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>H41</f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>M41</f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>R41</f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>W41</f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>AB41</f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>AG41</f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>AL41</f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>AQ41</f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>AV41</f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>BA41</f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>BF41</f>
        <v>0</v>
      </c>
    </row>
    <row r="42">
      <c r="C42" s="15" t="inlineStr">
        <is>
          <t>Instrumentos de Dívida</t>
        </is>
      </c>
      <c r="D42" s="16" t="inlineStr">
        <is>
          <t>Debt Instruments</t>
        </is>
      </c>
      <c r="E42" s="59">
        <f>IFERROR(E43+E44+E45+E46,"")</f>
        <v>9271.411</v>
      </c>
      <c r="F42" s="59">
        <f>IFERROR(F43+F44+F45+F46,"")</f>
        <v>10027.319</v>
      </c>
      <c r="G42" s="59">
        <f>IFERROR(G43+G44+G45+G46,"")</f>
        <v>9236.709</v>
      </c>
      <c r="H42" s="59">
        <f>IFERROR(H43+H44+H45+H46,"")</f>
        <v>10432.1</v>
      </c>
      <c r="I42" s="60">
        <f>H42</f>
        <v>10432.1</v>
      </c>
      <c r="J42" s="59">
        <f>IFERROR(J43+J44+J45+J46,"")</f>
        <v>10993.683</v>
      </c>
      <c r="K42" s="59">
        <f>IFERROR(K43+K44+K45+K46,"")</f>
        <v>10654.499</v>
      </c>
      <c r="L42" s="59">
        <f>IFERROR(L43+L44+L45+L46,"")</f>
        <v>12150.857</v>
      </c>
      <c r="M42" s="59">
        <f>IFERROR(M43+M44+M45+M46,"")</f>
        <v>12345.024</v>
      </c>
      <c r="N42" s="60">
        <f>M42</f>
        <v>12345.024</v>
      </c>
      <c r="O42" s="59">
        <f>IFERROR(O43+O44+O45+O46,"")</f>
        <v>14018.464</v>
      </c>
      <c r="P42" s="59">
        <f>IFERROR(P43+P44+P45+P46,"")</f>
        <v>15374.139</v>
      </c>
      <c r="Q42" s="59">
        <f>IFERROR(Q43+Q44+Q45+Q46,"")</f>
        <v>16595.147</v>
      </c>
      <c r="R42" s="59">
        <f>IFERROR(R43+R44+R45+R46,"")</f>
        <v>17351.698</v>
      </c>
      <c r="S42" s="60">
        <f>R42</f>
        <v>17351.698</v>
      </c>
      <c r="T42" s="59">
        <f>IFERROR(T43+T44+T45+T46,"")</f>
        <v>17015.763</v>
      </c>
      <c r="U42" s="59">
        <f>IFERROR(U43+U44+U45+U46,"")</f>
        <v>18736.716</v>
      </c>
      <c r="V42" s="59">
        <f>IFERROR(V43+V44+V45+V46,"")</f>
        <v>19393.512</v>
      </c>
      <c r="W42" s="59">
        <f>IFERROR(W43+W44+W45+W46,"")</f>
        <v>19805.243</v>
      </c>
      <c r="X42" s="60">
        <f>W42</f>
        <v>19805.243</v>
      </c>
      <c r="Y42" s="59">
        <f>IFERROR(Y43+Y44+Y45+Y46,"")</f>
        <v>21283.659</v>
      </c>
      <c r="Z42" s="59">
        <f>IFERROR(Z43+Z44+Z45+Z46,"")</f>
        <v>21587.539</v>
      </c>
      <c r="AA42" s="59">
        <f>IFERROR(AA43+AA44+AA45+AA46,"")</f>
        <v>22184.641</v>
      </c>
      <c r="AB42" s="59">
        <f>IFERROR(AB43+AB44+AB45+AB46,"")</f>
        <v>23149.896</v>
      </c>
      <c r="AC42" s="60">
        <f>AB42</f>
        <v>23149.896</v>
      </c>
      <c r="AD42" s="59">
        <f>IFERROR(AD43+AD44+AD45+AD46,"")</f>
        <v>27294.157</v>
      </c>
      <c r="AE42" s="59">
        <f>IFERROR(AE43+AE44+AE45+AE46,"")</f>
        <v>27613.283</v>
      </c>
      <c r="AF42" s="59">
        <f>IFERROR(AF43+AF44+AF45+AF46,"")</f>
        <v>27131.022</v>
      </c>
      <c r="AG42" s="59">
        <f>IFERROR(AG43+AG44+AG45+AG46,"")</f>
        <v>27595.851</v>
      </c>
      <c r="AH42" s="60">
        <f>AG42</f>
        <v>27595.851</v>
      </c>
      <c r="AI42" s="59">
        <f>IFERROR(AI43+AI44+AI45+AI46,"")</f>
        <v>28844.937</v>
      </c>
      <c r="AJ42" s="59">
        <f>IFERROR(AJ43+AJ44+AJ45+AJ46,"")</f>
        <v>29238.981</v>
      </c>
      <c r="AK42" s="59">
        <f>IFERROR(AK43+AK44+AK45+AK46,"")</f>
        <v>0</v>
      </c>
      <c r="AL42" s="59">
        <f>IFERROR(AL43+AL44+AL45+AL46,"")</f>
        <v>0</v>
      </c>
      <c r="AM42" s="60">
        <f>AL42</f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>AQ42</f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>AV42</f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>BA42</f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>BF42</f>
        <v>0</v>
      </c>
    </row>
    <row r="43" hidden="1" outlineLevel="1">
      <c r="B43" s="56" t="inlineStr">
        <is>
          <t>div_emis</t>
        </is>
      </c>
      <c r="C43" s="61" t="inlineStr">
        <is>
          <t>Recursos de Emissões (LF, LCI, LCA, LIG)</t>
        </is>
      </c>
      <c r="D43" s="62" t="inlineStr">
        <is>
          <t>Funds from Issuances</t>
        </is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9271.411</v>
      </c>
      <c r="F43" s="57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>10027.319</v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9236.709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10432.1</v>
      </c>
      <c r="I43" s="58">
        <f>H43</f>
        <v>10432.1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10993.683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10654.499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12150.857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12345.024</v>
      </c>
      <c r="N43" s="58">
        <f>M43</f>
        <v>12345.024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14018.464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15374.139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16595.147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17351.698</v>
      </c>
      <c r="S43" s="58">
        <f>R43</f>
        <v>17351.698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17015.763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18736.716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19393.512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19805.243</v>
      </c>
      <c r="X43" s="58">
        <f>W43</f>
        <v>19805.243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21283.659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21587.539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22184.641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23149.896</v>
      </c>
      <c r="AC43" s="58">
        <f>AB43</f>
        <v>23149.896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23621.809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24306.625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24258.526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24951.604</v>
      </c>
      <c r="AH43" s="58">
        <f>AG43</f>
        <v>24951.604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26141.155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26542.848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>AL43</f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>AQ43</f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>AV43</f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>BA43</f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>BF43</f>
        <v>0</v>
      </c>
    </row>
    <row r="44" hidden="1" outlineLevel="1">
      <c r="B44" s="56" t="inlineStr">
        <is>
          <t>div_ext</t>
        </is>
      </c>
      <c r="C44" s="61" t="inlineStr">
        <is>
          <t>Obrigações por TVM no Exterior</t>
        </is>
      </c>
      <c r="D44" s="62" t="inlineStr">
        <is>
          <t>Liabilities for Securities Abroad</t>
        </is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0</v>
      </c>
      <c r="F44" s="57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>0</v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0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0</v>
      </c>
      <c r="I44" s="58">
        <f>H44</f>
        <v>0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0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0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0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0</v>
      </c>
      <c r="N44" s="58">
        <f>M44</f>
        <v>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0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0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0</v>
      </c>
      <c r="S44" s="58">
        <f>R44</f>
        <v>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0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0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0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0</v>
      </c>
      <c r="X44" s="58">
        <f>W44</f>
        <v>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0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0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0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0</v>
      </c>
      <c r="AC44" s="58">
        <f>AB44</f>
        <v>0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0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0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0</v>
      </c>
      <c r="AH44" s="58">
        <f>AG44</f>
        <v>0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0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0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>AL44</f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>AQ44</f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>AV44</f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>BA44</f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>BF44</f>
        <v>0</v>
      </c>
    </row>
    <row r="45" hidden="1" outlineLevel="1">
      <c r="B45" s="56" t="inlineStr">
        <is>
          <t>div_coe</t>
        </is>
      </c>
      <c r="C45" s="61" t="inlineStr">
        <is>
          <t>Captação por Certificados de Operações Estruturadas</t>
        </is>
      </c>
      <c r="D45" s="62" t="inlineStr">
        <is>
          <t>Structured Operations Certificates</t>
        </is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>0</v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>H45</f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>M45</f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>R45</f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>W45</f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>AB45</f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>AG45</f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>AL45</f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>AQ45</f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>AV45</f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>BA45</f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>BF45</f>
        <v>0</v>
      </c>
    </row>
    <row r="46" hidden="1" outlineLevel="1">
      <c r="B46" s="56" t="inlineStr">
        <is>
          <t>div_sub</t>
        </is>
      </c>
      <c r="C46" s="61" t="inlineStr">
        <is>
          <t>Instrumentos de Dívida Subordinada</t>
        </is>
      </c>
      <c r="D46" s="62" t="inlineStr">
        <is>
          <t>Subordinated Debt Instruments</t>
        </is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0</v>
      </c>
      <c r="F46" s="57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>0</v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0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0</v>
      </c>
      <c r="I46" s="58">
        <f>H46</f>
        <v>0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0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0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0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0</v>
      </c>
      <c r="N46" s="58">
        <f>M46</f>
        <v>0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0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0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0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0</v>
      </c>
      <c r="S46" s="58">
        <f>R46</f>
        <v>0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0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0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0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0</v>
      </c>
      <c r="X46" s="58">
        <f>W46</f>
        <v>0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0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0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0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0</v>
      </c>
      <c r="AC46" s="58">
        <f>AB46</f>
        <v>0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3672.348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3306.658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2872.496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2644.247</v>
      </c>
      <c r="AH46" s="58">
        <f>AG46</f>
        <v>2644.247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2703.782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2696.133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>AL46</f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>AQ46</f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>AV46</f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>BA46</f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>BF46</f>
        <v>0</v>
      </c>
    </row>
    <row r="47">
      <c r="C47" s="15" t="inlineStr">
        <is>
          <t>Obrigações por Empréstimos e Repasses</t>
        </is>
      </c>
      <c r="D47" s="16" t="inlineStr">
        <is>
          <t>Borrowings and On-lending</t>
        </is>
      </c>
      <c r="E47" s="59">
        <f>IFERROR(E48+E49,"")</f>
        <v>12205.542</v>
      </c>
      <c r="F47" s="59">
        <f>IFERROR(F48+F49,"")</f>
        <v>11463.491</v>
      </c>
      <c r="G47" s="59">
        <f>IFERROR(G48+G49,"")</f>
        <v>10565.76</v>
      </c>
      <c r="H47" s="59">
        <f>IFERROR(H48+H49,"")</f>
        <v>9125.966</v>
      </c>
      <c r="I47" s="60">
        <f>H47</f>
        <v>9125.966</v>
      </c>
      <c r="J47" s="59">
        <f>IFERROR(J48+J49,"")</f>
        <v>10533.468</v>
      </c>
      <c r="K47" s="59">
        <f>IFERROR(K48+K49,"")</f>
        <v>10182.493</v>
      </c>
      <c r="L47" s="59">
        <f>IFERROR(L48+L49,"")</f>
        <v>11985.082</v>
      </c>
      <c r="M47" s="59">
        <f>IFERROR(M48+M49,"")</f>
        <v>11850.007</v>
      </c>
      <c r="N47" s="60">
        <f>M47</f>
        <v>11850.007</v>
      </c>
      <c r="O47" s="59">
        <f>IFERROR(O48+O49,"")</f>
        <v>10475.433</v>
      </c>
      <c r="P47" s="59">
        <f>IFERROR(P48+P49,"")</f>
        <v>11675.07</v>
      </c>
      <c r="Q47" s="59">
        <f>IFERROR(Q48+Q49,"")</f>
        <v>11098.663</v>
      </c>
      <c r="R47" s="59">
        <f>IFERROR(R48+R49,"")</f>
        <v>10474.74</v>
      </c>
      <c r="S47" s="60">
        <f>R47</f>
        <v>10474.74</v>
      </c>
      <c r="T47" s="59">
        <f>IFERROR(T48+T49,"")</f>
        <v>10090.324</v>
      </c>
      <c r="U47" s="59">
        <f>IFERROR(U48+U49,"")</f>
        <v>11348.202</v>
      </c>
      <c r="V47" s="59">
        <f>IFERROR(V48+V49,"")</f>
        <v>11850.228</v>
      </c>
      <c r="W47" s="59">
        <f>IFERROR(W48+W49,"")</f>
        <v>10633.277</v>
      </c>
      <c r="X47" s="60">
        <f>W47</f>
        <v>10633.277</v>
      </c>
      <c r="Y47" s="59">
        <f>IFERROR(Y48+Y49,"")</f>
        <v>9386.336</v>
      </c>
      <c r="Z47" s="59">
        <f>IFERROR(Z48+Z49,"")</f>
        <v>10901.047</v>
      </c>
      <c r="AA47" s="59">
        <f>IFERROR(AA48+AA49,"")</f>
        <v>12620.72</v>
      </c>
      <c r="AB47" s="59">
        <f>IFERROR(AB48+AB49,"")</f>
        <v>14022.797</v>
      </c>
      <c r="AC47" s="60">
        <f>AB47</f>
        <v>14022.797</v>
      </c>
      <c r="AD47" s="59">
        <f>IFERROR(AD48+AD49,"")</f>
        <v>12190.552</v>
      </c>
      <c r="AE47" s="59">
        <f>IFERROR(AE48+AE49,"")</f>
        <v>12674.685</v>
      </c>
      <c r="AF47" s="59">
        <f>IFERROR(AF48+AF49,"")</f>
        <v>12184.736</v>
      </c>
      <c r="AG47" s="59">
        <f>IFERROR(AG48+AG49,"")</f>
        <v>14210.897</v>
      </c>
      <c r="AH47" s="60">
        <f>AG47</f>
        <v>14210.897</v>
      </c>
      <c r="AI47" s="59">
        <f>IFERROR(AI48+AI49,"")</f>
        <v>14961.88</v>
      </c>
      <c r="AJ47" s="59">
        <f>IFERROR(AJ48+AJ49,"")</f>
        <v>15581.004</v>
      </c>
      <c r="AK47" s="59">
        <f>IFERROR(AK48+AK49,"")</f>
        <v>0</v>
      </c>
      <c r="AL47" s="59">
        <f>IFERROR(AL48+AL49,"")</f>
        <v>0</v>
      </c>
      <c r="AM47" s="60">
        <f>AL47</f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>AQ47</f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>AV47</f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>BA47</f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>BF47</f>
        <v>0</v>
      </c>
    </row>
    <row r="48" hidden="1" outlineLevel="1">
      <c r="B48" s="56" t="inlineStr">
        <is>
          <t>emp_empr</t>
        </is>
      </c>
      <c r="C48" s="61" t="inlineStr">
        <is>
          <t>Empréstimos</t>
        </is>
      </c>
      <c r="D48" s="62" t="inlineStr">
        <is>
          <t>Borrowings</t>
        </is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9634.58</v>
      </c>
      <c r="F48" s="57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>8730.62</v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7501.566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6612.181</v>
      </c>
      <c r="I48" s="58">
        <f>H48</f>
        <v>6612.181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7668.773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7798.124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8709.803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8478.864</v>
      </c>
      <c r="N48" s="58">
        <f>M48</f>
        <v>8478.864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7727.029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8328.388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7425.632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6791.528</v>
      </c>
      <c r="S48" s="58">
        <f>R48</f>
        <v>6791.528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6569.98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8126.502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8020.526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6729.265</v>
      </c>
      <c r="X48" s="58">
        <f>W48</f>
        <v>6729.265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5989.493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7430.945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9138.008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10218.873</v>
      </c>
      <c r="AC48" s="58">
        <f>AB48</f>
        <v>10218.873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8037.345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8312.433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6748.785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7641.189</v>
      </c>
      <c r="AH48" s="58">
        <f>AG48</f>
        <v>7641.189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8973.314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9248.955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>AL48</f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>AQ48</f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>AV48</f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>BA48</f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>BF48</f>
        <v>0</v>
      </c>
    </row>
    <row r="49" hidden="1" outlineLevel="1">
      <c r="B49" s="56" t="inlineStr">
        <is>
          <t>emp_rep</t>
        </is>
      </c>
      <c r="C49" s="61" t="inlineStr">
        <is>
          <t>Repasses</t>
        </is>
      </c>
      <c r="D49" s="62" t="inlineStr">
        <is>
          <t>On-lending</t>
        </is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2570.962</v>
      </c>
      <c r="F49" s="57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>2732.871</v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3064.194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2513.785</v>
      </c>
      <c r="I49" s="58">
        <f>H49</f>
        <v>2513.785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2864.695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2384.369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3275.279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3371.143</v>
      </c>
      <c r="N49" s="58">
        <f>M49</f>
        <v>3371.143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2748.404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3346.682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3673.031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3683.212</v>
      </c>
      <c r="S49" s="58">
        <f>R49</f>
        <v>3683.212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3520.344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3221.7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3829.702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3904.012</v>
      </c>
      <c r="X49" s="58">
        <f>W49</f>
        <v>3904.012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3396.843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3470.102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3482.712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3803.924</v>
      </c>
      <c r="AC49" s="58">
        <f>AB49</f>
        <v>3803.924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4153.207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4362.252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5435.951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6569.708</v>
      </c>
      <c r="AH49" s="58">
        <f>AG49</f>
        <v>6569.708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5988.566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6332.049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>AL49</f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>AQ49</f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>AV49</f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>BA49</f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>BF49</f>
        <v>0</v>
      </c>
    </row>
    <row r="50">
      <c r="B50" s="56" t="inlineStr">
        <is>
          <t>deriv_p</t>
        </is>
      </c>
      <c r="C50" s="11" t="inlineStr">
        <is>
          <t>Derivativos</t>
        </is>
      </c>
      <c r="D50" s="12" t="inlineStr">
        <is>
          <t>Derivatives</t>
        </is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0</v>
      </c>
      <c r="F50" s="57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>0</v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0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0</v>
      </c>
      <c r="I50" s="58">
        <f>H50</f>
        <v>0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0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0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0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0</v>
      </c>
      <c r="N50" s="58">
        <f>M50</f>
        <v>0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0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0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0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0</v>
      </c>
      <c r="S50" s="58">
        <f>R50</f>
        <v>0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0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0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0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0</v>
      </c>
      <c r="X50" s="58">
        <f>W50</f>
        <v>0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0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0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0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0</v>
      </c>
      <c r="AC50" s="58">
        <f>AB50</f>
        <v>0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3998.173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4131.267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4497.542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4207.002</v>
      </c>
      <c r="AH50" s="58">
        <f>AG50</f>
        <v>4207.002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5366.195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4974.649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>AL50</f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>AQ50</f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>AV50</f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>BA50</f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>BF50</f>
        <v>0</v>
      </c>
    </row>
    <row r="51">
      <c r="B51" s="56" t="inlineStr">
        <is>
          <t>rel_p</t>
        </is>
      </c>
      <c r="C51" s="11" t="inlineStr">
        <is>
          <t>Relações Interfinanceiras e Interdependências</t>
        </is>
      </c>
      <c r="D51" s="12" t="inlineStr">
        <is>
          <t>Interbank and Intersegment Relations</t>
        </is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213.59</v>
      </c>
      <c r="F51" s="57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>131.067</v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261.623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93.519</v>
      </c>
      <c r="I51" s="58">
        <f>H51</f>
        <v>93.519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115.314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189.278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315.537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77.966</v>
      </c>
      <c r="N51" s="58">
        <f>M51</f>
        <v>77.966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166.018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183.827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214.069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100.229</v>
      </c>
      <c r="S51" s="58">
        <f>R51</f>
        <v>100.229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181.947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213.417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175.148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160.51</v>
      </c>
      <c r="X51" s="58">
        <f>W51</f>
        <v>160.51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103.341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234.563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200.995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62.094</v>
      </c>
      <c r="AC51" s="58">
        <f>AB51</f>
        <v>62.094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0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0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0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0</v>
      </c>
      <c r="AH51" s="58">
        <f>AG51</f>
        <v>0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0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0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>AL51</f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>AQ51</f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>AV51</f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>BA51</f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>BF51</f>
        <v>0</v>
      </c>
    </row>
    <row r="52">
      <c r="B52" s="56" t="inlineStr">
        <is>
          <t>prov_gar</t>
        </is>
      </c>
      <c r="C52" s="11" t="inlineStr">
        <is>
          <t>Provisões p/ Garantias Financeiras e Compromissos de Crédito</t>
        </is>
      </c>
      <c r="D52" s="12" t="inlineStr">
        <is>
          <t>Provisions for Financial Guarantees</t>
        </is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>0</v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>H52</f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>M52</f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>R52</f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>W52</f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>AB52</f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49.15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47.66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54.282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42.267</v>
      </c>
      <c r="AH52" s="58">
        <f>AG52</f>
        <v>42.267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52.128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34.733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>AL52</f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>AQ52</f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>AV52</f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>BA52</f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>BF52</f>
        <v>0</v>
      </c>
    </row>
    <row r="53">
      <c r="B53" s="56" t="inlineStr">
        <is>
          <t>prov_tec</t>
        </is>
      </c>
      <c r="C53" s="11" t="inlineStr">
        <is>
          <t>Provisões Técnicas de Seguros, Previdência e Capitalização</t>
        </is>
      </c>
      <c r="D53" s="12" t="inlineStr">
        <is>
          <t>Technical Provisions</t>
        </is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>0</v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>H53</f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0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0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0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0</v>
      </c>
      <c r="N53" s="58">
        <f>M53</f>
        <v>0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0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0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0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0</v>
      </c>
      <c r="S53" s="58">
        <f>R53</f>
        <v>0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0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0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0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0</v>
      </c>
      <c r="X53" s="58">
        <f>W53</f>
        <v>0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0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0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0</v>
      </c>
      <c r="AC53" s="58">
        <f>AB53</f>
        <v>0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0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0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0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0</v>
      </c>
      <c r="AH53" s="58">
        <f>AG53</f>
        <v>0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0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0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>AL53</f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>AQ53</f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>AV53</f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>BA53</f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>BF53</f>
        <v>0</v>
      </c>
    </row>
    <row r="54">
      <c r="B54" s="56" t="inlineStr">
        <is>
          <t>prov_dem</t>
        </is>
      </c>
      <c r="C54" s="11" t="inlineStr">
        <is>
          <t>Demais Provisões</t>
        </is>
      </c>
      <c r="D54" s="12" t="inlineStr">
        <is>
          <t>Other Provisions</t>
        </is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>0</v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>H54</f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0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0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0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0</v>
      </c>
      <c r="N54" s="58">
        <f>M54</f>
        <v>0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0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0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0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0</v>
      </c>
      <c r="S54" s="58">
        <f>R54</f>
        <v>0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0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0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0</v>
      </c>
      <c r="X54" s="58">
        <f>W54</f>
        <v>0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0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0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0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0</v>
      </c>
      <c r="AC54" s="58">
        <f>AB54</f>
        <v>0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20.028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16.414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14.045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13.607</v>
      </c>
      <c r="AH54" s="58">
        <f>AG54</f>
        <v>13.607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15.912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26.347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>AL54</f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>AQ54</f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>AV54</f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>BA54</f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>BF54</f>
        <v>0</v>
      </c>
    </row>
    <row r="55">
      <c r="B55" s="56" t="inlineStr">
        <is>
          <t>fisc_p</t>
        </is>
      </c>
      <c r="C55" s="11" t="inlineStr">
        <is>
          <t>Obrigações Fiscais Correntes e Diferidas</t>
        </is>
      </c>
      <c r="D55" s="12" t="inlineStr">
        <is>
          <t>Current and Deferred Tax Liabilities</t>
        </is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>0</v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0</v>
      </c>
      <c r="I55" s="58">
        <f>H55</f>
        <v>0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0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0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0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0</v>
      </c>
      <c r="N55" s="58">
        <f>M55</f>
        <v>0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0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0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0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0</v>
      </c>
      <c r="S55" s="58">
        <f>R55</f>
        <v>0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0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0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0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0</v>
      </c>
      <c r="X55" s="58">
        <f>W55</f>
        <v>0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0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0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0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0</v>
      </c>
      <c r="AC55" s="58">
        <f>AB55</f>
        <v>0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1026.774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1380.99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1572.959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1232.181</v>
      </c>
      <c r="AH55" s="58">
        <f>AG55</f>
        <v>1232.181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1674.155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1853.435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>AL55</f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>AQ55</f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>AV55</f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>BA55</f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>BF55</f>
        <v>0</v>
      </c>
    </row>
    <row r="56">
      <c r="B56" s="56" t="inlineStr">
        <is>
          <t>out_p</t>
        </is>
      </c>
      <c r="C56" s="11" t="inlineStr">
        <is>
          <t>Outros Passivos</t>
        </is>
      </c>
      <c r="D56" s="12" t="inlineStr">
        <is>
          <t>Other Liabilities</t>
        </is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16832.80987</v>
      </c>
      <c r="F56" s="57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>15652.896</v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10946.477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7879.352</v>
      </c>
      <c r="I56" s="58">
        <f>H56</f>
        <v>7879.352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11295.59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9413.371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11145.125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11337.574</v>
      </c>
      <c r="N56" s="58">
        <f>M56</f>
        <v>11337.574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7024.429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8772.828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8103.974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12471.508</v>
      </c>
      <c r="S56" s="58">
        <f>R56</f>
        <v>12471.508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10500.699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9605.161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9600.47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11992.421</v>
      </c>
      <c r="X56" s="58">
        <f>W56</f>
        <v>11992.421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12340.345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16320.161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17298.894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16648.425</v>
      </c>
      <c r="AC56" s="58">
        <f>AB56</f>
        <v>16648.425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1367.238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1535.222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1125.72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1053.864</v>
      </c>
      <c r="AH56" s="58">
        <f>AG56</f>
        <v>1053.864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878.516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950.207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>AL56</f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>AQ56</f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>AV56</f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>BA56</f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>BF56</f>
        <v>0</v>
      </c>
    </row>
    <row r="58">
      <c r="B58" s="7" t="n"/>
      <c r="C58" s="7" t="inlineStr">
        <is>
          <t>PATRIMÔNIO LÍQUIDO</t>
        </is>
      </c>
      <c r="D58" s="7" t="inlineStr">
        <is>
          <t>EQUITY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>
      <c r="C59" s="15" t="inlineStr">
        <is>
          <t>Patrimônio Líquido dos Controladores</t>
        </is>
      </c>
      <c r="D59" s="16" t="inlineStr">
        <is>
          <t>Equity Attributable to Controlling Shareholders</t>
        </is>
      </c>
      <c r="E59" s="59">
        <f>IFERROR(E60+E61+E62+E63+E64,"")</f>
        <v>4046.679</v>
      </c>
      <c r="F59" s="59">
        <f>IFERROR(F60+F61+F62+F63+F64,"")</f>
        <v>4093.299</v>
      </c>
      <c r="G59" s="59">
        <f>IFERROR(G60+G61+G62+G63+G64,"")</f>
        <v>4187.557</v>
      </c>
      <c r="H59" s="59">
        <f>IFERROR(H60+H61+H62+H63+H64,"")</f>
        <v>4288.263</v>
      </c>
      <c r="I59" s="60">
        <f>H59</f>
        <v>4288.263</v>
      </c>
      <c r="J59" s="59">
        <f>IFERROR(J60+J61+J62+J63+J64,"")</f>
        <v>4391.952</v>
      </c>
      <c r="K59" s="59">
        <f>IFERROR(K60+K61+K62+K63+K64,"")</f>
        <v>4459.17</v>
      </c>
      <c r="L59" s="59">
        <f>IFERROR(L60+L61+L62+L63+L64,"")</f>
        <v>4554.96</v>
      </c>
      <c r="M59" s="59">
        <f>IFERROR(M60+M61+M62+M63+M64,"")</f>
        <v>4669.463</v>
      </c>
      <c r="N59" s="60">
        <f>M59</f>
        <v>4669.463</v>
      </c>
      <c r="O59" s="59">
        <f>IFERROR(O60+O61+O62+O63+O64,"")</f>
        <v>4774.272</v>
      </c>
      <c r="P59" s="59">
        <f>IFERROR(P60+P61+P62+P63+P64,"")</f>
        <v>4910.572</v>
      </c>
      <c r="Q59" s="59">
        <f>IFERROR(Q60+Q61+Q62+Q63+Q64,"")</f>
        <v>5070.724</v>
      </c>
      <c r="R59" s="59">
        <f>IFERROR(R60+R61+R62+R63+R64,"")</f>
        <v>5205.386</v>
      </c>
      <c r="S59" s="60">
        <f>R59</f>
        <v>5205.386</v>
      </c>
      <c r="T59" s="59">
        <f>IFERROR(T60+T61+T62+T63+T64,"")</f>
        <v>5303.106</v>
      </c>
      <c r="U59" s="59">
        <f>IFERROR(U60+U61+U62+U63+U64,"")</f>
        <v>5420.811</v>
      </c>
      <c r="V59" s="59">
        <f>IFERROR(V60+V61+V62+V63+V64,"")</f>
        <v>5721.807</v>
      </c>
      <c r="W59" s="59">
        <f>IFERROR(W60+W61+W62+W63+W64,"")</f>
        <v>5871.729</v>
      </c>
      <c r="X59" s="60">
        <f>W59</f>
        <v>5871.729</v>
      </c>
      <c r="Y59" s="59">
        <f>IFERROR(Y60+Y61+Y62+Y63+Y64,"")</f>
        <v>6138.129</v>
      </c>
      <c r="Z59" s="59">
        <f>IFERROR(Z60+Z61+Z62+Z63+Z64,"")</f>
        <v>6235.066</v>
      </c>
      <c r="AA59" s="59">
        <f>IFERROR(AA60+AA61+AA62+AA63+AA64,"")</f>
        <v>6378.304</v>
      </c>
      <c r="AB59" s="59">
        <f>IFERROR(AB60+AB61+AB62+AB63+AB64,"")</f>
        <v>6387.347</v>
      </c>
      <c r="AC59" s="60">
        <f>AB59</f>
        <v>6387.347</v>
      </c>
      <c r="AD59" s="59">
        <f>IFERROR(AD60+AD61+AD62+AD63+AD64,"")</f>
        <v>6472.307</v>
      </c>
      <c r="AE59" s="59">
        <f>IFERROR(AE60+AE61+AE62+AE63+AE64,"")</f>
        <v>6581.402</v>
      </c>
      <c r="AF59" s="59">
        <f>IFERROR(AF60+AF61+AF62+AF63+AF64,"")</f>
        <v>6700.376</v>
      </c>
      <c r="AG59" s="59">
        <f>IFERROR(AG60+AG61+AG62+AG63+AG64,"")</f>
        <v>6758.948</v>
      </c>
      <c r="AH59" s="60">
        <f>AG59</f>
        <v>6758.948</v>
      </c>
      <c r="AI59" s="59">
        <f>IFERROR(AI60+AI61+AI62+AI63+AI64,"")</f>
        <v>7147.593</v>
      </c>
      <c r="AJ59" s="59">
        <f>IFERROR(AJ60+AJ61+AJ62+AJ63+AJ64,"")</f>
        <v>7258.915</v>
      </c>
      <c r="AK59" s="59">
        <f>IFERROR(AK60+AK61+AK62+AK63+AK64,"")</f>
        <v>0</v>
      </c>
      <c r="AL59" s="59">
        <f>IFERROR(AL60+AL61+AL62+AL63+AL64,"")</f>
        <v>0</v>
      </c>
      <c r="AM59" s="60">
        <f>AL59</f>
        <v>0</v>
      </c>
      <c r="AN59" s="59">
        <f>IFERROR(AN60+AN61+AN62+AN63+AN64,"")</f>
        <v>0</v>
      </c>
      <c r="AO59" s="59">
        <f>IFERROR(AO60+AO61+AO62+AO63+AO64,"")</f>
        <v>0</v>
      </c>
      <c r="AP59" s="59">
        <f>IFERROR(AP60+AP61+AP62+AP63+AP64,"")</f>
        <v>0</v>
      </c>
      <c r="AQ59" s="59">
        <f>IFERROR(AQ60+AQ61+AQ62+AQ63+AQ64,"")</f>
        <v>0</v>
      </c>
      <c r="AR59" s="60">
        <f>AQ59</f>
        <v>0</v>
      </c>
      <c r="AS59" s="59">
        <f>IFERROR(AS60+AS61+AS62+AS63+AS64,"")</f>
        <v>0</v>
      </c>
      <c r="AT59" s="59">
        <f>IFERROR(AT60+AT61+AT62+AT63+AT64,"")</f>
        <v>0</v>
      </c>
      <c r="AU59" s="59">
        <f>IFERROR(AU60+AU61+AU62+AU63+AU64,"")</f>
        <v>0</v>
      </c>
      <c r="AV59" s="59">
        <f>IFERROR(AV60+AV61+AV62+AV63+AV64,"")</f>
        <v>0</v>
      </c>
      <c r="AW59" s="60">
        <f>AV59</f>
        <v>0</v>
      </c>
      <c r="AX59" s="59">
        <f>IFERROR(AX60+AX61+AX62+AX63+AX64,"")</f>
        <v>0</v>
      </c>
      <c r="AY59" s="59">
        <f>IFERROR(AY60+AY61+AY62+AY63+AY64,"")</f>
        <v>0</v>
      </c>
      <c r="AZ59" s="59">
        <f>IFERROR(AZ60+AZ61+AZ62+AZ63+AZ64,"")</f>
        <v>0</v>
      </c>
      <c r="BA59" s="59">
        <f>IFERROR(BA60+BA61+BA62+BA63+BA64,"")</f>
        <v>0</v>
      </c>
      <c r="BB59" s="60">
        <f>BA59</f>
        <v>0</v>
      </c>
      <c r="BC59" s="59">
        <f>IFERROR(BC60+BC61+BC62+BC63+BC64,"")</f>
        <v>0</v>
      </c>
      <c r="BD59" s="59">
        <f>IFERROR(BD60+BD61+BD62+BD63+BD64,"")</f>
        <v>0</v>
      </c>
      <c r="BE59" s="59">
        <f>IFERROR(BE60+BE61+BE62+BE63+BE64,"")</f>
        <v>0</v>
      </c>
      <c r="BF59" s="59">
        <f>IFERROR(BF60+BF61+BF62+BF63+BF64,"")</f>
        <v>0</v>
      </c>
      <c r="BG59" s="60">
        <f>BF59</f>
        <v>0</v>
      </c>
    </row>
    <row r="60" hidden="1" outlineLevel="1">
      <c r="B60" s="56" t="inlineStr">
        <is>
          <t>cap_social</t>
        </is>
      </c>
      <c r="C60" s="61" t="inlineStr">
        <is>
          <t>Capital Social</t>
        </is>
      </c>
      <c r="D60" s="62" t="inlineStr">
        <is>
          <t>Share Capital</t>
        </is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2565.891</v>
      </c>
      <c r="F60" s="57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>2565.892</v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2565.892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2594.681</v>
      </c>
      <c r="I60" s="58">
        <f>H60</f>
        <v>2594.681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2657.156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2657.156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2657.156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4315.017</v>
      </c>
      <c r="N60" s="58">
        <f>M60</f>
        <v>4315.017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4315.017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4315.017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4315.017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4315.017</v>
      </c>
      <c r="S60" s="58">
        <f>R60</f>
        <v>4315.017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4315.017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4315.017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4472.13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4472.131</v>
      </c>
      <c r="X60" s="58">
        <f>W60</f>
        <v>4472.131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4618.602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4618.603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4618.602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4618.603</v>
      </c>
      <c r="AC60" s="58">
        <f>AB60</f>
        <v>4618.603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5698.603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5698.603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5698.603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5698.603</v>
      </c>
      <c r="AH60" s="58">
        <f>AG60</f>
        <v>5698.603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6012.663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6012.663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>AL60</f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>AQ60</f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>AV60</f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>BA60</f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>BF60</f>
        <v>0</v>
      </c>
    </row>
    <row r="61" hidden="1" outlineLevel="1">
      <c r="B61" s="56" t="inlineStr">
        <is>
          <t>res_cap</t>
        </is>
      </c>
      <c r="C61" s="61" t="inlineStr">
        <is>
          <t>Reservas de Capital</t>
        </is>
      </c>
      <c r="D61" s="62" t="inlineStr">
        <is>
          <t>Capital Reserves</t>
        </is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29.446</v>
      </c>
      <c r="F61" s="57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>43.259</v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32.434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38.596</v>
      </c>
      <c r="I61" s="58">
        <f>H61</f>
        <v>38.596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27.202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31.268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27.788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32.246</v>
      </c>
      <c r="N61" s="58">
        <f>M61</f>
        <v>32.246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24.752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43.198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45.832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57.334</v>
      </c>
      <c r="S61" s="58">
        <f>R61</f>
        <v>57.334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53.331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66.314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72.462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82.53</v>
      </c>
      <c r="X61" s="58">
        <f>W61</f>
        <v>82.53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77.872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88.47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84.711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97.239</v>
      </c>
      <c r="AC61" s="58">
        <f>AB61</f>
        <v>97.239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87.917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88.589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87.088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95.222</v>
      </c>
      <c r="AH61" s="58">
        <f>AG61</f>
        <v>95.222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75.528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85.896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>AL61</f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>AQ61</f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>AV61</f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>BA61</f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>BF61</f>
        <v>0</v>
      </c>
    </row>
    <row r="62" hidden="1" outlineLevel="1">
      <c r="B62" s="56" t="inlineStr">
        <is>
          <t>res_luc</t>
        </is>
      </c>
      <c r="C62" s="61" t="inlineStr">
        <is>
          <t>Reservas de Lucros</t>
        </is>
      </c>
      <c r="D62" s="62" t="inlineStr">
        <is>
          <t>Retained Earnings Reserves</t>
        </is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1450.194</v>
      </c>
      <c r="F62" s="57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>1496.022</v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1606.062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1656.003</v>
      </c>
      <c r="I62" s="58">
        <f>H62</f>
        <v>1656.003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1721.644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1784.139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1883.951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332.412</v>
      </c>
      <c r="N62" s="58">
        <f>M62</f>
        <v>332.412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452.21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576.339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720.609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836.432</v>
      </c>
      <c r="S62" s="58">
        <f>R62</f>
        <v>836.432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942.407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1046.769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1193.958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1343.691</v>
      </c>
      <c r="X62" s="58">
        <f>W62</f>
        <v>1343.691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1489.869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1619.194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1773.363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1911.299</v>
      </c>
      <c r="AC62" s="58">
        <f>AB62</f>
        <v>1911.299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758.891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866.038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982.796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1029.852</v>
      </c>
      <c r="AH62" s="58">
        <f>AG62</f>
        <v>1029.852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1112.965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1216.392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>AL62</f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>AQ62</f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>AV62</f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>BA62</f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>BF62</f>
        <v>0</v>
      </c>
    </row>
    <row r="63" hidden="1" outlineLevel="1">
      <c r="B63" s="56" t="inlineStr">
        <is>
          <t>ora</t>
        </is>
      </c>
      <c r="C63" s="61" t="inlineStr">
        <is>
          <t>Outros Resultados Abrangentes</t>
        </is>
      </c>
      <c r="D63" s="62" t="inlineStr">
        <is>
          <t>Other Comprehensive Income</t>
        </is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1.148</v>
      </c>
      <c r="F63" s="57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>-11.874</v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-16.831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-1.017</v>
      </c>
      <c r="I63" s="58">
        <f>H63</f>
        <v>-1.017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-14.05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-13.393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-13.935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-10.212</v>
      </c>
      <c r="N63" s="58">
        <f>M63</f>
        <v>-10.212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-17.707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-23.982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-10.734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-3.397</v>
      </c>
      <c r="S63" s="58">
        <f>R63</f>
        <v>-3.397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-7.649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-7.289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-16.743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-26.623</v>
      </c>
      <c r="X63" s="58">
        <f>W63</f>
        <v>-26.623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-48.214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-91.201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-98.372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-239.794</v>
      </c>
      <c r="AC63" s="58">
        <f>AB63</f>
        <v>-239.794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3.469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4.745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-0.631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-0.813</v>
      </c>
      <c r="AH63" s="58">
        <f>AG63</f>
        <v>-0.813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0.949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0.682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>AL63</f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>AQ63</f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>AV63</f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>BA63</f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>BF63</f>
        <v>0</v>
      </c>
    </row>
    <row r="64" hidden="1" outlineLevel="1">
      <c r="B64" s="56" t="inlineStr">
        <is>
          <t>tesour</t>
        </is>
      </c>
      <c r="C64" s="61" t="inlineStr">
        <is>
          <t>(Ações em Tesouraria)</t>
        </is>
      </c>
      <c r="D64" s="62" t="inlineStr">
        <is>
          <t>(Treasury Shares)</t>
        </is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0</v>
      </c>
      <c r="F64" s="57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>0</v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0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0</v>
      </c>
      <c r="I64" s="58">
        <f>H64</f>
        <v>0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0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0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0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0</v>
      </c>
      <c r="N64" s="58">
        <f>M64</f>
        <v>0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0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0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0</v>
      </c>
      <c r="S64" s="58">
        <f>R64</f>
        <v>0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0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0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0</v>
      </c>
      <c r="X64" s="58">
        <f>W64</f>
        <v>0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0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0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0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0</v>
      </c>
      <c r="AC64" s="58">
        <f>AB64</f>
        <v>0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-76.573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-76.573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-67.48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-63.916</v>
      </c>
      <c r="AH64" s="58">
        <f>AG64</f>
        <v>-63.916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-54.512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-56.718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>AL64</f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>AQ64</f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>AV64</f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>BA64</f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>BF64</f>
        <v>0</v>
      </c>
    </row>
    <row r="65">
      <c r="B65" s="56" t="inlineStr">
        <is>
          <t>minor</t>
        </is>
      </c>
      <c r="C65" s="11" t="inlineStr">
        <is>
          <t>Participação de Acionistas Não Controladores</t>
        </is>
      </c>
      <c r="D65" s="12" t="inlineStr">
        <is>
          <t>Non-Controlling Interests</t>
        </is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0</v>
      </c>
      <c r="F65" s="57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>0</v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0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0</v>
      </c>
      <c r="I65" s="58">
        <f>H65</f>
        <v>0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0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0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0.731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1.195</v>
      </c>
      <c r="N65" s="58">
        <f>M65</f>
        <v>1.195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0.915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1.444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1.337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2.017</v>
      </c>
      <c r="S65" s="58">
        <f>R65</f>
        <v>2.017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1.153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1.911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1.45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13.642</v>
      </c>
      <c r="X65" s="58">
        <f>W65</f>
        <v>13.642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8.93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18.282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17.779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23.767</v>
      </c>
      <c r="AC65" s="58">
        <f>AB65</f>
        <v>23.767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15.273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22.657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22.667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17.178</v>
      </c>
      <c r="AH65" s="58">
        <f>AG65</f>
        <v>17.178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17.378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19.765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>AL65</f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>AQ65</f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>AV65</f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>BA65</f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>BF65</f>
        <v>0</v>
      </c>
    </row>
    <row r="66">
      <c r="C66" s="53" t="inlineStr">
        <is>
          <t>TOTAL DO PATRIMÔNIO LÍQUIDO</t>
        </is>
      </c>
      <c r="D66" s="54" t="inlineStr">
        <is>
          <t>TOTAL EQUITY</t>
        </is>
      </c>
      <c r="E66" s="59">
        <f>IFERROR(E59+E65,"")</f>
        <v>4046.679</v>
      </c>
      <c r="F66" s="59">
        <f>IFERROR(F59+F65,"")</f>
        <v>4093.299</v>
      </c>
      <c r="G66" s="59">
        <f>IFERROR(G59+G65,"")</f>
        <v>4187.557</v>
      </c>
      <c r="H66" s="59">
        <f>IFERROR(H59+H65,"")</f>
        <v>4288.263</v>
      </c>
      <c r="I66" s="60">
        <f>H66</f>
        <v>4288.263</v>
      </c>
      <c r="J66" s="59">
        <f>IFERROR(J59+J65,"")</f>
        <v>4391.952</v>
      </c>
      <c r="K66" s="59">
        <f>IFERROR(K59+K65,"")</f>
        <v>4459.17</v>
      </c>
      <c r="L66" s="59">
        <f>IFERROR(L59+L65,"")</f>
        <v>4555.691</v>
      </c>
      <c r="M66" s="59">
        <f>IFERROR(M59+M65,"")</f>
        <v>4670.658</v>
      </c>
      <c r="N66" s="60">
        <f>M66</f>
        <v>4670.658</v>
      </c>
      <c r="O66" s="59">
        <f>IFERROR(O59+O65,"")</f>
        <v>4775.187</v>
      </c>
      <c r="P66" s="59">
        <f>IFERROR(P59+P65,"")</f>
        <v>4912.016</v>
      </c>
      <c r="Q66" s="59">
        <f>IFERROR(Q59+Q65,"")</f>
        <v>5072.061</v>
      </c>
      <c r="R66" s="59">
        <f>IFERROR(R59+R65,"")</f>
        <v>5207.403</v>
      </c>
      <c r="S66" s="60">
        <f>R66</f>
        <v>5207.403</v>
      </c>
      <c r="T66" s="59">
        <f>IFERROR(T59+T65,"")</f>
        <v>5304.259</v>
      </c>
      <c r="U66" s="59">
        <f>IFERROR(U59+U65,"")</f>
        <v>5422.722</v>
      </c>
      <c r="V66" s="59">
        <f>IFERROR(V59+V65,"")</f>
        <v>5723.257</v>
      </c>
      <c r="W66" s="59">
        <f>IFERROR(W59+W65,"")</f>
        <v>5885.371</v>
      </c>
      <c r="X66" s="60">
        <f>W66</f>
        <v>5885.371</v>
      </c>
      <c r="Y66" s="59">
        <f>IFERROR(Y59+Y65,"")</f>
        <v>6147.059</v>
      </c>
      <c r="Z66" s="59">
        <f>IFERROR(Z59+Z65,"")</f>
        <v>6253.348</v>
      </c>
      <c r="AA66" s="59">
        <f>IFERROR(AA59+AA65,"")</f>
        <v>6396.083</v>
      </c>
      <c r="AB66" s="59">
        <f>IFERROR(AB59+AB65,"")</f>
        <v>6411.114</v>
      </c>
      <c r="AC66" s="60">
        <f>AB66</f>
        <v>6411.114</v>
      </c>
      <c r="AD66" s="59">
        <f>IFERROR(AD59+AD65,"")</f>
        <v>6487.58</v>
      </c>
      <c r="AE66" s="59">
        <f>IFERROR(AE59+AE65,"")</f>
        <v>6604.059</v>
      </c>
      <c r="AF66" s="59">
        <f>IFERROR(AF59+AF65,"")</f>
        <v>6723.043</v>
      </c>
      <c r="AG66" s="59">
        <f>IFERROR(AG59+AG65,"")</f>
        <v>6776.126</v>
      </c>
      <c r="AH66" s="60">
        <f>AG66</f>
        <v>6776.126</v>
      </c>
      <c r="AI66" s="59">
        <f>IFERROR(AI59+AI65,"")</f>
        <v>7164.971</v>
      </c>
      <c r="AJ66" s="59">
        <f>IFERROR(AJ59+AJ65,"")</f>
        <v>7278.68</v>
      </c>
      <c r="AK66" s="59">
        <f>IFERROR(AK59+AK65,"")</f>
        <v>0</v>
      </c>
      <c r="AL66" s="59">
        <f>IFERROR(AL59+AL65,"")</f>
        <v>0</v>
      </c>
      <c r="AM66" s="60">
        <f>AL66</f>
        <v>0</v>
      </c>
      <c r="AN66" s="59">
        <f>IFERROR(AN59+AN65,"")</f>
        <v>0</v>
      </c>
      <c r="AO66" s="59">
        <f>IFERROR(AO59+AO65,"")</f>
        <v>0</v>
      </c>
      <c r="AP66" s="59">
        <f>IFERROR(AP59+AP65,"")</f>
        <v>0</v>
      </c>
      <c r="AQ66" s="59">
        <f>IFERROR(AQ59+AQ65,"")</f>
        <v>0</v>
      </c>
      <c r="AR66" s="60">
        <f>AQ66</f>
        <v>0</v>
      </c>
      <c r="AS66" s="59">
        <f>IFERROR(AS59+AS65,"")</f>
        <v>0</v>
      </c>
      <c r="AT66" s="59">
        <f>IFERROR(AT59+AT65,"")</f>
        <v>0</v>
      </c>
      <c r="AU66" s="59">
        <f>IFERROR(AU59+AU65,"")</f>
        <v>0</v>
      </c>
      <c r="AV66" s="59">
        <f>IFERROR(AV59+AV65,"")</f>
        <v>0</v>
      </c>
      <c r="AW66" s="60">
        <f>AV66</f>
        <v>0</v>
      </c>
      <c r="AX66" s="59">
        <f>IFERROR(AX59+AX65,"")</f>
        <v>0</v>
      </c>
      <c r="AY66" s="59">
        <f>IFERROR(AY59+AY65,"")</f>
        <v>0</v>
      </c>
      <c r="AZ66" s="59">
        <f>IFERROR(AZ59+AZ65,"")</f>
        <v>0</v>
      </c>
      <c r="BA66" s="59">
        <f>IFERROR(BA59+BA65,"")</f>
        <v>0</v>
      </c>
      <c r="BB66" s="60">
        <f>BA66</f>
        <v>0</v>
      </c>
      <c r="BC66" s="59">
        <f>IFERROR(BC59+BC65,"")</f>
        <v>0</v>
      </c>
      <c r="BD66" s="59">
        <f>IFERROR(BD59+BD65,"")</f>
        <v>0</v>
      </c>
      <c r="BE66" s="59">
        <f>IFERROR(BE59+BE65,"")</f>
        <v>0</v>
      </c>
      <c r="BF66" s="59">
        <f>IFERROR(BF59+BF65,"")</f>
        <v>0</v>
      </c>
      <c r="BG66" s="60">
        <f>BF66</f>
        <v>0</v>
      </c>
    </row>
    <row r="67">
      <c r="C67" s="53" t="inlineStr">
        <is>
          <t>TOTAL DO PASSIVO E DO PATRIMÔNIO LÍQUIDO</t>
        </is>
      </c>
      <c r="D67" s="54" t="inlineStr">
        <is>
          <t>TOTAL LIABILITIES AND EQUITY</t>
        </is>
      </c>
      <c r="E67" s="59">
        <f>IFERROR(E32+E38+E42+E47+E50+E51+E52+E53+E54+E55+E56+E66,"")</f>
        <v>49645.71387</v>
      </c>
      <c r="F67" s="59">
        <f>IFERROR(F32+F38+F42+F47+F50+F51+F52+F53+F54+F55+F56+F66,"")</f>
        <v>49868.571</v>
      </c>
      <c r="G67" s="59">
        <f>IFERROR(G32+G38+G42+G47+G50+G51+G52+G53+G54+G55+G56+G66,"")</f>
        <v>46154.238</v>
      </c>
      <c r="H67" s="59">
        <f>IFERROR(H32+H38+H42+H47+H50+H51+H52+H53+H54+H55+H56+H66,"")</f>
        <v>43328.841</v>
      </c>
      <c r="I67" s="60">
        <f>H67</f>
        <v>43328.841</v>
      </c>
      <c r="J67" s="59">
        <f>IFERROR(J32+J38+J42+J47+J50+J51+J52+J53+J54+J55+J56+J66,"")</f>
        <v>48700.959</v>
      </c>
      <c r="K67" s="59">
        <f>IFERROR(K32+K38+K42+K47+K50+K51+K52+K53+K54+K55+K56+K66,"")</f>
        <v>44456.064</v>
      </c>
      <c r="L67" s="59">
        <f>IFERROR(L32+L38+L42+L47+L50+L51+L52+L53+L54+L55+L56+L66,"")</f>
        <v>50115.185</v>
      </c>
      <c r="M67" s="59">
        <f>IFERROR(M32+M38+M42+M47+M50+M51+M52+M53+M54+M55+M56+M66,"")</f>
        <v>49565.97</v>
      </c>
      <c r="N67" s="60">
        <f>M67</f>
        <v>49565.97</v>
      </c>
      <c r="O67" s="59">
        <f>IFERROR(O32+O38+O42+O47+O50+O51+O52+O53+O54+O55+O56+O66,"")</f>
        <v>46285.496</v>
      </c>
      <c r="P67" s="59">
        <f>IFERROR(P32+P38+P42+P47+P50+P51+P52+P53+P54+P55+P56+P66,"")</f>
        <v>50954.581</v>
      </c>
      <c r="Q67" s="59">
        <f>IFERROR(Q32+Q38+Q42+Q47+Q50+Q51+Q52+Q53+Q54+Q55+Q56+Q66,"")</f>
        <v>52616.157</v>
      </c>
      <c r="R67" s="59">
        <f>IFERROR(R32+R38+R42+R47+R50+R51+R52+R53+R54+R55+R56+R66,"")</f>
        <v>57408.844</v>
      </c>
      <c r="S67" s="60">
        <f>R67</f>
        <v>57408.844</v>
      </c>
      <c r="T67" s="59">
        <f>IFERROR(T32+T38+T42+T47+T50+T51+T52+T53+T54+T55+T56+T66,"")</f>
        <v>54154.888</v>
      </c>
      <c r="U67" s="59">
        <f>IFERROR(U32+U38+U42+U47+U50+U51+U52+U53+U54+U55+U56+U66,"")</f>
        <v>54930.563</v>
      </c>
      <c r="V67" s="59">
        <f>IFERROR(V32+V38+V42+V47+V50+V51+V52+V53+V54+V55+V56+V66,"")</f>
        <v>56726.762</v>
      </c>
      <c r="W67" s="59">
        <f>IFERROR(W32+W38+W42+W47+W50+W51+W52+W53+W54+W55+W56+W66,"")</f>
        <v>60632.612</v>
      </c>
      <c r="X67" s="60">
        <f>W67</f>
        <v>60632.612</v>
      </c>
      <c r="Y67" s="59">
        <f>IFERROR(Y32+Y38+Y42+Y47+Y50+Y51+Y52+Y53+Y54+Y55+Y56+Y66,"")</f>
        <v>61265.674</v>
      </c>
      <c r="Z67" s="59">
        <f>IFERROR(Z32+Z38+Z42+Z47+Z50+Z51+Z52+Z53+Z54+Z55+Z56+Z66,"")</f>
        <v>69077.989</v>
      </c>
      <c r="AA67" s="59">
        <f>IFERROR(AA32+AA38+AA42+AA47+AA50+AA51+AA52+AA53+AA54+AA55+AA56+AA66,"")</f>
        <v>72065.13</v>
      </c>
      <c r="AB67" s="59">
        <f>IFERROR(AB32+AB38+AB42+AB47+AB50+AB51+AB52+AB53+AB54+AB55+AB56+AB66,"")</f>
        <v>73585.977</v>
      </c>
      <c r="AC67" s="60">
        <f>AB67</f>
        <v>73585.977</v>
      </c>
      <c r="AD67" s="59">
        <f>IFERROR(AD32+AD38+AD42+AD47+AD50+AD51+AD52+AD53+AD54+AD55+AD56+AD66,"")</f>
        <v>64225.601</v>
      </c>
      <c r="AE67" s="59">
        <f>IFERROR(AE32+AE38+AE42+AE47+AE50+AE51+AE52+AE53+AE54+AE55+AE56+AE66,"")</f>
        <v>64438.277</v>
      </c>
      <c r="AF67" s="59">
        <f>IFERROR(AF32+AF38+AF42+AF47+AF50+AF51+AF52+AF53+AF54+AF55+AF56+AF66,"")</f>
        <v>63238.744</v>
      </c>
      <c r="AG67" s="59">
        <f>IFERROR(AG32+AG38+AG42+AG47+AG50+AG51+AG52+AG53+AG54+AG55+AG56+AG66,"")</f>
        <v>66316.409</v>
      </c>
      <c r="AH67" s="60">
        <f>AG67</f>
        <v>66316.409</v>
      </c>
      <c r="AI67" s="59">
        <f>IFERROR(AI32+AI38+AI42+AI47+AI50+AI51+AI52+AI53+AI54+AI55+AI56+AI66,"")</f>
        <v>69283.222</v>
      </c>
      <c r="AJ67" s="59">
        <f>IFERROR(AJ32+AJ38+AJ42+AJ47+AJ50+AJ51+AJ52+AJ53+AJ54+AJ55+AJ56+AJ66,"")</f>
        <v>69584.916</v>
      </c>
      <c r="AK67" s="59">
        <f>IFERROR(AK32+AK38+AK42+AK47+AK50+AK51+AK52+AK53+AK54+AK55+AK56+AK66,"")</f>
        <v>0</v>
      </c>
      <c r="AL67" s="59">
        <f>IFERROR(AL32+AL38+AL42+AL47+AL50+AL51+AL52+AL53+AL54+AL55+AL56+AL66,"")</f>
        <v>0</v>
      </c>
      <c r="AM67" s="60">
        <f>AL67</f>
        <v>0</v>
      </c>
      <c r="AN67" s="59">
        <f>IFERROR(AN32+AN38+AN42+AN47+AN50+AN51+AN52+AN53+AN54+AN55+AN56+AN66,"")</f>
        <v>0</v>
      </c>
      <c r="AO67" s="59">
        <f>IFERROR(AO32+AO38+AO42+AO47+AO50+AO51+AO52+AO53+AO54+AO55+AO56+AO66,"")</f>
        <v>0</v>
      </c>
      <c r="AP67" s="59">
        <f>IFERROR(AP32+AP38+AP42+AP47+AP50+AP51+AP52+AP53+AP54+AP55+AP56+AP66,"")</f>
        <v>0</v>
      </c>
      <c r="AQ67" s="59">
        <f>IFERROR(AQ32+AQ38+AQ42+AQ47+AQ50+AQ51+AQ52+AQ53+AQ54+AQ55+AQ56+AQ66,"")</f>
        <v>0</v>
      </c>
      <c r="AR67" s="60">
        <f>AQ67</f>
        <v>0</v>
      </c>
      <c r="AS67" s="59">
        <f>IFERROR(AS32+AS38+AS42+AS47+AS50+AS51+AS52+AS53+AS54+AS55+AS56+AS66,"")</f>
        <v>0</v>
      </c>
      <c r="AT67" s="59">
        <f>IFERROR(AT32+AT38+AT42+AT47+AT50+AT51+AT52+AT53+AT54+AT55+AT56+AT66,"")</f>
        <v>0</v>
      </c>
      <c r="AU67" s="59">
        <f>IFERROR(AU32+AU38+AU42+AU47+AU50+AU51+AU52+AU53+AU54+AU55+AU56+AU66,"")</f>
        <v>0</v>
      </c>
      <c r="AV67" s="59">
        <f>IFERROR(AV32+AV38+AV42+AV47+AV50+AV51+AV52+AV53+AV54+AV55+AV56+AV66,"")</f>
        <v>0</v>
      </c>
      <c r="AW67" s="60">
        <f>AV67</f>
        <v>0</v>
      </c>
      <c r="AX67" s="59">
        <f>IFERROR(AX32+AX38+AX42+AX47+AX50+AX51+AX52+AX53+AX54+AX55+AX56+AX66,"")</f>
        <v>0</v>
      </c>
      <c r="AY67" s="59">
        <f>IFERROR(AY32+AY38+AY42+AY47+AY50+AY51+AY52+AY53+AY54+AY55+AY56+AY66,"")</f>
        <v>0</v>
      </c>
      <c r="AZ67" s="59">
        <f>IFERROR(AZ32+AZ38+AZ42+AZ47+AZ50+AZ51+AZ52+AZ53+AZ54+AZ55+AZ56+AZ66,"")</f>
        <v>0</v>
      </c>
      <c r="BA67" s="59">
        <f>IFERROR(BA32+BA38+BA42+BA47+BA50+BA51+BA52+BA53+BA54+BA55+BA56+BA66,"")</f>
        <v>0</v>
      </c>
      <c r="BB67" s="60">
        <f>BA67</f>
        <v>0</v>
      </c>
      <c r="BC67" s="59">
        <f>IFERROR(BC32+BC38+BC42+BC47+BC50+BC51+BC52+BC53+BC54+BC55+BC56+BC66,"")</f>
        <v>0</v>
      </c>
      <c r="BD67" s="59">
        <f>IFERROR(BD32+BD38+BD42+BD47+BD50+BD51+BD52+BD53+BD54+BD55+BD56+BD66,"")</f>
        <v>0</v>
      </c>
      <c r="BE67" s="59">
        <f>IFERROR(BE32+BE38+BE42+BE47+BE50+BE51+BE52+BE53+BE54+BE55+BE56+BE66,"")</f>
        <v>0</v>
      </c>
      <c r="BF67" s="59">
        <f>IFERROR(BF32+BF38+BF42+BF47+BF50+BF51+BF52+BF53+BF54+BF55+BF56+BF66,"")</f>
        <v>0</v>
      </c>
      <c r="BG67" s="60">
        <f>BF67</f>
        <v>0</v>
      </c>
    </row>
    <row r="69">
      <c r="B69" s="7" t="n"/>
      <c r="C69" s="7" t="inlineStr">
        <is>
          <t>DEMONSTRAÇÃO DO RESULTADO</t>
        </is>
      </c>
      <c r="D69" s="7" t="inlineStr">
        <is>
          <t>INCOME STATEMENT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>
      <c r="C70" s="15" t="inlineStr">
        <is>
          <t>Receitas da Intermediação Financeira</t>
        </is>
      </c>
      <c r="D70" s="16" t="inlineStr">
        <is>
          <t>Financial Intermediation Income</t>
        </is>
      </c>
      <c r="E70" s="59">
        <f>IFERROR(E71+E72+E73+E74,"")</f>
        <v>3616.515</v>
      </c>
      <c r="F70" s="59">
        <f>IFERROR(F71+F72+F73+F74,"")</f>
        <v>1548.385</v>
      </c>
      <c r="G70" s="59">
        <f>IFERROR(G71+G72+G73+G74,"")</f>
        <v>1216.579</v>
      </c>
      <c r="H70" s="59">
        <f>IFERROR(H71+H72+H73+H74,"")</f>
        <v>-458.708</v>
      </c>
      <c r="I70" s="60">
        <f>SUM(E70:H70)</f>
        <v>5922.771</v>
      </c>
      <c r="J70" s="59">
        <f>IFERROR(J71+J72+J73+J74,"")</f>
        <v>1960.499</v>
      </c>
      <c r="K70" s="59">
        <f>IFERROR(K71+K72+K73+K74,"")</f>
        <v>-1155.484</v>
      </c>
      <c r="L70" s="59">
        <f>IFERROR(L71+L72+L73+L74,"")</f>
        <v>1939.217</v>
      </c>
      <c r="M70" s="59">
        <f>IFERROR(M71+M72+M73+M74,"")</f>
        <v>1398.146</v>
      </c>
      <c r="N70" s="60">
        <f>SUM(J70:M70)</f>
        <v>4142.378</v>
      </c>
      <c r="O70" s="59">
        <f>IFERROR(O71+O72+O73+O74,"")</f>
        <v>-1238.623</v>
      </c>
      <c r="P70" s="59">
        <f>IFERROR(P71+P72+P73+P74,"")</f>
        <v>2511.498</v>
      </c>
      <c r="Q70" s="59">
        <f>IFERROR(Q71+Q72+Q73+Q74,"")</f>
        <v>1901.37</v>
      </c>
      <c r="R70" s="59">
        <f>IFERROR(R71+R72+R73+R74,"")</f>
        <v>1006.821</v>
      </c>
      <c r="S70" s="60">
        <f>SUM(O70:R70)</f>
        <v>4181.066</v>
      </c>
      <c r="T70" s="59">
        <f>IFERROR(T71+T72+T73+T74,"")</f>
        <v>1295.634</v>
      </c>
      <c r="U70" s="59">
        <f>IFERROR(U71+U72+U73+U74,"")</f>
        <v>925.124</v>
      </c>
      <c r="V70" s="59">
        <f>IFERROR(V71+V72+V73+V74,"")</f>
        <v>2326.408</v>
      </c>
      <c r="W70" s="59">
        <f>IFERROR(W71+W72+W73+W74,"")</f>
        <v>1069.267</v>
      </c>
      <c r="X70" s="60">
        <f>SUM(T70:W70)</f>
        <v>5616.433</v>
      </c>
      <c r="Y70" s="59">
        <f>IFERROR(Y71+Y72+Y73+Y74,"")</f>
        <v>2062.078</v>
      </c>
      <c r="Z70" s="59">
        <f>IFERROR(Z71+Z72+Z73+Z74,"")</f>
        <v>3039.955</v>
      </c>
      <c r="AA70" s="59">
        <f>IFERROR(AA71+AA72+AA73+AA74,"")</f>
        <v>1411.113</v>
      </c>
      <c r="AB70" s="59">
        <f>IFERROR(AB71+AB72+AB73+AB74,"")</f>
        <v>3796.787</v>
      </c>
      <c r="AC70" s="60">
        <f>SUM(Y70:AB70)</f>
        <v>10309.933</v>
      </c>
      <c r="AD70" s="59">
        <f>IFERROR(AD71+AD72+AD73+AD74,"")</f>
        <v>1755.292</v>
      </c>
      <c r="AE70" s="59">
        <f>IFERROR(AE71+AE72+AE73+AE74,"")</f>
        <v>1818.562</v>
      </c>
      <c r="AF70" s="59">
        <f>IFERROR(AF71+AF72+AF73+AF74,"")</f>
        <v>2113.375</v>
      </c>
      <c r="AG70" s="59">
        <f>IFERROR(AG71+AG72+AG73+AG74,"")</f>
        <v>2121.3</v>
      </c>
      <c r="AH70" s="60">
        <f>SUM(AD70:AG70)</f>
        <v>7808.529</v>
      </c>
      <c r="AI70" s="59">
        <f>IFERROR(AI71+AI72+AI73+AI74,"")</f>
        <v>2035.362</v>
      </c>
      <c r="AJ70" s="59">
        <f>IFERROR(AJ71+AJ72+AJ73+AJ74,"")</f>
        <v>2094.818</v>
      </c>
      <c r="AK70" s="59">
        <f>IFERROR(AK71+AK72+AK73+AK74,"")</f>
        <v>0</v>
      </c>
      <c r="AL70" s="59">
        <f>IFERROR(AL71+AL72+AL73+AL74,"")</f>
        <v>0</v>
      </c>
      <c r="AM70" s="60">
        <f>SUM(AI70:AL70)</f>
        <v>4130.18</v>
      </c>
      <c r="AN70" s="59">
        <f>IFERROR(AN71+AN72+AN73+AN74,"")</f>
        <v>0</v>
      </c>
      <c r="AO70" s="59">
        <f>IFERROR(AO71+AO72+AO73+AO74,"")</f>
        <v>0</v>
      </c>
      <c r="AP70" s="59">
        <f>IFERROR(AP71+AP72+AP73+AP74,"")</f>
        <v>0</v>
      </c>
      <c r="AQ70" s="59">
        <f>IFERROR(AQ71+AQ72+AQ73+AQ74,"")</f>
        <v>0</v>
      </c>
      <c r="AR70" s="60">
        <f>SUM(AN70:AQ70)</f>
        <v>0</v>
      </c>
      <c r="AS70" s="59">
        <f>IFERROR(AS71+AS72+AS73+AS74,"")</f>
        <v>0</v>
      </c>
      <c r="AT70" s="59">
        <f>IFERROR(AT71+AT72+AT73+AT74,"")</f>
        <v>0</v>
      </c>
      <c r="AU70" s="59">
        <f>IFERROR(AU71+AU72+AU73+AU74,"")</f>
        <v>0</v>
      </c>
      <c r="AV70" s="59">
        <f>IFERROR(AV71+AV72+AV73+AV74,"")</f>
        <v>0</v>
      </c>
      <c r="AW70" s="60">
        <f>SUM(AS70:AV70)</f>
        <v>0</v>
      </c>
      <c r="AX70" s="59">
        <f>IFERROR(AX71+AX72+AX73+AX74,"")</f>
        <v>0</v>
      </c>
      <c r="AY70" s="59">
        <f>IFERROR(AY71+AY72+AY73+AY74,"")</f>
        <v>0</v>
      </c>
      <c r="AZ70" s="59">
        <f>IFERROR(AZ71+AZ72+AZ73+AZ74,"")</f>
        <v>0</v>
      </c>
      <c r="BA70" s="59">
        <f>IFERROR(BA71+BA72+BA73+BA74,"")</f>
        <v>0</v>
      </c>
      <c r="BB70" s="60">
        <f>SUM(AX70:BA70)</f>
        <v>0</v>
      </c>
      <c r="BC70" s="59">
        <f>IFERROR(BC71+BC72+BC73+BC74,"")</f>
        <v>0</v>
      </c>
      <c r="BD70" s="59">
        <f>IFERROR(BD71+BD72+BD73+BD74,"")</f>
        <v>0</v>
      </c>
      <c r="BE70" s="59">
        <f>IFERROR(BE71+BE72+BE73+BE74,"")</f>
        <v>0</v>
      </c>
      <c r="BF70" s="59">
        <f>IFERROR(BF71+BF72+BF73+BF74,"")</f>
        <v>0</v>
      </c>
      <c r="BG70" s="60">
        <f>SUM(BC70:BF70)</f>
        <v>0</v>
      </c>
    </row>
    <row r="71" hidden="1" outlineLevel="1">
      <c r="B71" s="56" t="inlineStr">
        <is>
          <t>rec_cred</t>
        </is>
      </c>
      <c r="C71" s="61" t="inlineStr">
        <is>
          <t>Resultado com Operações de Concessão de Crédito</t>
        </is>
      </c>
      <c r="D71" s="62" t="inlineStr">
        <is>
          <t>Result from Credit-Granting Transactions</t>
        </is>
      </c>
      <c r="E71" s="57">
        <f>IF(ISNA(SUMIFS(INDEX(Inputs!$B$2:$AZ$190,,MATCH(SUBSTITUTE(E$3,"Q","T"),Inputs!$B$2:$AZ$2,0)),Inputs!$B$2:$B$190,$B71)*Inputs!$D$1),"",SUMIFS(INDEX(Inputs!$B$2:$AZ$190,,MATCH(SUBSTITUTE(E$3,"Q","T"),Inputs!$B$2:$AZ$2,0)),Inputs!$B$2:$B$190,$B71)*Inputs!$D$1)</f>
        <v>1902.888</v>
      </c>
      <c r="F71" s="57">
        <f>IF(ISNA(SUMIFS(INDEX(Inputs!$B$2:$AZ$190,,MATCH(SUBSTITUTE(F$3,"Q","T"),Inputs!$B$2:$AZ$2,0)),Inputs!$B$2:$B$190,$B71)*Inputs!$D$1),"",SUMIFS(INDEX(Inputs!$B$2:$AZ$190,,MATCH(SUBSTITUTE(F$3,"Q","T"),Inputs!$B$2:$AZ$2,0)),Inputs!$B$2:$B$190,$B71)*Inputs!$D$1)</f>
        <v>859.709</v>
      </c>
      <c r="G71" s="57">
        <f>IF(ISNA(SUMIFS(INDEX(Inputs!$B$2:$AZ$190,,MATCH(SUBSTITUTE(G$3,"Q","T"),Inputs!$B$2:$AZ$2,0)),Inputs!$B$2:$B$190,$B71)*Inputs!$D$1),"",SUMIFS(INDEX(Inputs!$B$2:$AZ$190,,MATCH(SUBSTITUTE(G$3,"Q","T"),Inputs!$B$2:$AZ$2,0)),Inputs!$B$2:$B$190,$B71)*Inputs!$D$1)</f>
        <v>700.75</v>
      </c>
      <c r="H71" s="57">
        <f>IF(ISNA(SUMIFS(INDEX(Inputs!$B$2:$AZ$190,,MATCH(SUBSTITUTE(H$3,"Q","T"),Inputs!$B$2:$AZ$2,0)),Inputs!$B$2:$B$190,$B71)*Inputs!$D$1),"",SUMIFS(INDEX(Inputs!$B$2:$AZ$190,,MATCH(SUBSTITUTE(H$3,"Q","T"),Inputs!$B$2:$AZ$2,0)),Inputs!$B$2:$B$190,$B71)*Inputs!$D$1)</f>
        <v>-402.142</v>
      </c>
      <c r="I71" s="58">
        <f>SUM(E71:H71)</f>
        <v>3061.205</v>
      </c>
      <c r="J71" s="57">
        <f>IF(ISNA(SUMIFS(INDEX(Inputs!$B$2:$AZ$190,,MATCH(SUBSTITUTE(J$3,"Q","T"),Inputs!$B$2:$AZ$2,0)),Inputs!$B$2:$B$190,$B71)*Inputs!$D$1),"",SUMIFS(INDEX(Inputs!$B$2:$AZ$190,,MATCH(SUBSTITUTE(J$3,"Q","T"),Inputs!$B$2:$AZ$2,0)),Inputs!$B$2:$B$190,$B71)*Inputs!$D$1)</f>
        <v>1164.237</v>
      </c>
      <c r="K71" s="57">
        <f>IF(ISNA(SUMIFS(INDEX(Inputs!$B$2:$AZ$190,,MATCH(SUBSTITUTE(K$3,"Q","T"),Inputs!$B$2:$AZ$2,0)),Inputs!$B$2:$B$190,$B71)*Inputs!$D$1),"",SUMIFS(INDEX(Inputs!$B$2:$AZ$190,,MATCH(SUBSTITUTE(K$3,"Q","T"),Inputs!$B$2:$AZ$2,0)),Inputs!$B$2:$B$190,$B71)*Inputs!$D$1)</f>
        <v>-761.364</v>
      </c>
      <c r="L71" s="57">
        <f>IF(ISNA(SUMIFS(INDEX(Inputs!$B$2:$AZ$190,,MATCH(SUBSTITUTE(L$3,"Q","T"),Inputs!$B$2:$AZ$2,0)),Inputs!$B$2:$B$190,$B71)*Inputs!$D$1),"",SUMIFS(INDEX(Inputs!$B$2:$AZ$190,,MATCH(SUBSTITUTE(L$3,"Q","T"),Inputs!$B$2:$AZ$2,0)),Inputs!$B$2:$B$190,$B71)*Inputs!$D$1)</f>
        <v>1099.465</v>
      </c>
      <c r="M71" s="57">
        <f>IF(ISNA(SUMIFS(INDEX(Inputs!$B$2:$AZ$190,,MATCH(SUBSTITUTE(M$3,"Q","T"),Inputs!$B$2:$AZ$2,0)),Inputs!$B$2:$B$190,$B71)*Inputs!$D$1),"",SUMIFS(INDEX(Inputs!$B$2:$AZ$190,,MATCH(SUBSTITUTE(M$3,"Q","T"),Inputs!$B$2:$AZ$2,0)),Inputs!$B$2:$B$190,$B71)*Inputs!$D$1)</f>
        <v>743.025</v>
      </c>
      <c r="N71" s="58">
        <f>SUM(J71:M71)</f>
        <v>2245.363</v>
      </c>
      <c r="O71" s="57">
        <f>IF(ISNA(SUMIFS(INDEX(Inputs!$B$2:$AZ$190,,MATCH(SUBSTITUTE(O$3,"Q","T"),Inputs!$B$2:$AZ$2,0)),Inputs!$B$2:$B$190,$B71)*Inputs!$D$1),"",SUMIFS(INDEX(Inputs!$B$2:$AZ$190,,MATCH(SUBSTITUTE(O$3,"Q","T"),Inputs!$B$2:$AZ$2,0)),Inputs!$B$2:$B$190,$B71)*Inputs!$D$1)</f>
        <v>-310.481</v>
      </c>
      <c r="P71" s="57">
        <f>IF(ISNA(SUMIFS(INDEX(Inputs!$B$2:$AZ$190,,MATCH(SUBSTITUTE(P$3,"Q","T"),Inputs!$B$2:$AZ$2,0)),Inputs!$B$2:$B$190,$B71)*Inputs!$D$1),"",SUMIFS(INDEX(Inputs!$B$2:$AZ$190,,MATCH(SUBSTITUTE(P$3,"Q","T"),Inputs!$B$2:$AZ$2,0)),Inputs!$B$2:$B$190,$B71)*Inputs!$D$1)</f>
        <v>1194.427</v>
      </c>
      <c r="Q71" s="57">
        <f>IF(ISNA(SUMIFS(INDEX(Inputs!$B$2:$AZ$190,,MATCH(SUBSTITUTE(Q$3,"Q","T"),Inputs!$B$2:$AZ$2,0)),Inputs!$B$2:$B$190,$B71)*Inputs!$D$1),"",SUMIFS(INDEX(Inputs!$B$2:$AZ$190,,MATCH(SUBSTITUTE(Q$3,"Q","T"),Inputs!$B$2:$AZ$2,0)),Inputs!$B$2:$B$190,$B71)*Inputs!$D$1)</f>
        <v>1089.235</v>
      </c>
      <c r="R71" s="57">
        <f>IF(ISNA(SUMIFS(INDEX(Inputs!$B$2:$AZ$190,,MATCH(SUBSTITUTE(R$3,"Q","T"),Inputs!$B$2:$AZ$2,0)),Inputs!$B$2:$B$190,$B71)*Inputs!$D$1),"",SUMIFS(INDEX(Inputs!$B$2:$AZ$190,,MATCH(SUBSTITUTE(R$3,"Q","T"),Inputs!$B$2:$AZ$2,0)),Inputs!$B$2:$B$190,$B71)*Inputs!$D$1)</f>
        <v>478.395</v>
      </c>
      <c r="S71" s="58">
        <f>SUM(O71:R71)</f>
        <v>2451.576</v>
      </c>
      <c r="T71" s="57">
        <f>IF(ISNA(SUMIFS(INDEX(Inputs!$B$2:$AZ$190,,MATCH(SUBSTITUTE(T$3,"Q","T"),Inputs!$B$2:$AZ$2,0)),Inputs!$B$2:$B$190,$B71)*Inputs!$D$1),"",SUMIFS(INDEX(Inputs!$B$2:$AZ$190,,MATCH(SUBSTITUTE(T$3,"Q","T"),Inputs!$B$2:$AZ$2,0)),Inputs!$B$2:$B$190,$B71)*Inputs!$D$1)</f>
        <v>657.71</v>
      </c>
      <c r="U71" s="57">
        <f>IF(ISNA(SUMIFS(INDEX(Inputs!$B$2:$AZ$190,,MATCH(SUBSTITUTE(U$3,"Q","T"),Inputs!$B$2:$AZ$2,0)),Inputs!$B$2:$B$190,$B71)*Inputs!$D$1),"",SUMIFS(INDEX(Inputs!$B$2:$AZ$190,,MATCH(SUBSTITUTE(U$3,"Q","T"),Inputs!$B$2:$AZ$2,0)),Inputs!$B$2:$B$190,$B71)*Inputs!$D$1)</f>
        <v>479.663</v>
      </c>
      <c r="V71" s="57">
        <f>IF(ISNA(SUMIFS(INDEX(Inputs!$B$2:$AZ$190,,MATCH(SUBSTITUTE(V$3,"Q","T"),Inputs!$B$2:$AZ$2,0)),Inputs!$B$2:$B$190,$B71)*Inputs!$D$1),"",SUMIFS(INDEX(Inputs!$B$2:$AZ$190,,MATCH(SUBSTITUTE(V$3,"Q","T"),Inputs!$B$2:$AZ$2,0)),Inputs!$B$2:$B$190,$B71)*Inputs!$D$1)</f>
        <v>1123.86</v>
      </c>
      <c r="W71" s="57">
        <f>IF(ISNA(SUMIFS(INDEX(Inputs!$B$2:$AZ$190,,MATCH(SUBSTITUTE(W$3,"Q","T"),Inputs!$B$2:$AZ$2,0)),Inputs!$B$2:$B$190,$B71)*Inputs!$D$1),"",SUMIFS(INDEX(Inputs!$B$2:$AZ$190,,MATCH(SUBSTITUTE(W$3,"Q","T"),Inputs!$B$2:$AZ$2,0)),Inputs!$B$2:$B$190,$B71)*Inputs!$D$1)</f>
        <v>414.58</v>
      </c>
      <c r="X71" s="58">
        <f>SUM(T71:W71)</f>
        <v>2675.813</v>
      </c>
      <c r="Y71" s="57">
        <f>IF(ISNA(SUMIFS(INDEX(Inputs!$B$2:$AZ$190,,MATCH(SUBSTITUTE(Y$3,"Q","T"),Inputs!$B$2:$AZ$2,0)),Inputs!$B$2:$B$190,$B71)*Inputs!$D$1),"",SUMIFS(INDEX(Inputs!$B$2:$AZ$190,,MATCH(SUBSTITUTE(Y$3,"Q","T"),Inputs!$B$2:$AZ$2,0)),Inputs!$B$2:$B$190,$B71)*Inputs!$D$1)</f>
        <v>990.666</v>
      </c>
      <c r="Z71" s="57">
        <f>IF(ISNA(SUMIFS(INDEX(Inputs!$B$2:$AZ$190,,MATCH(SUBSTITUTE(Z$3,"Q","T"),Inputs!$B$2:$AZ$2,0)),Inputs!$B$2:$B$190,$B71)*Inputs!$D$1),"",SUMIFS(INDEX(Inputs!$B$2:$AZ$190,,MATCH(SUBSTITUTE(Z$3,"Q","T"),Inputs!$B$2:$AZ$2,0)),Inputs!$B$2:$B$190,$B71)*Inputs!$D$1)</f>
        <v>1671.211</v>
      </c>
      <c r="AA71" s="57">
        <f>IF(ISNA(SUMIFS(INDEX(Inputs!$B$2:$AZ$190,,MATCH(SUBSTITUTE(AA$3,"Q","T"),Inputs!$B$2:$AZ$2,0)),Inputs!$B$2:$B$190,$B71)*Inputs!$D$1),"",SUMIFS(INDEX(Inputs!$B$2:$AZ$190,,MATCH(SUBSTITUTE(AA$3,"Q","T"),Inputs!$B$2:$AZ$2,0)),Inputs!$B$2:$B$190,$B71)*Inputs!$D$1)</f>
        <v>417.453</v>
      </c>
      <c r="AB71" s="57">
        <f>IF(ISNA(SUMIFS(INDEX(Inputs!$B$2:$AZ$190,,MATCH(SUBSTITUTE(AB$3,"Q","T"),Inputs!$B$2:$AZ$2,0)),Inputs!$B$2:$B$190,$B71)*Inputs!$D$1),"",SUMIFS(INDEX(Inputs!$B$2:$AZ$190,,MATCH(SUBSTITUTE(AB$3,"Q","T"),Inputs!$B$2:$AZ$2,0)),Inputs!$B$2:$B$190,$B71)*Inputs!$D$1)</f>
        <v>1951.698</v>
      </c>
      <c r="AC71" s="58">
        <f>SUM(Y71:AB71)</f>
        <v>5031.028</v>
      </c>
      <c r="AD71" s="57">
        <f>IF(ISNA(SUMIFS(INDEX(Inputs!$B$2:$AZ$190,,MATCH(SUBSTITUTE(AD$3,"Q","T"),Inputs!$B$2:$AZ$2,0)),Inputs!$B$2:$B$190,$B71)*Inputs!$D$1),"",SUMIFS(INDEX(Inputs!$B$2:$AZ$190,,MATCH(SUBSTITUTE(AD$3,"Q","T"),Inputs!$B$2:$AZ$2,0)),Inputs!$B$2:$B$190,$B71)*Inputs!$D$1)</f>
        <v>820.187</v>
      </c>
      <c r="AE71" s="57">
        <f>IF(ISNA(SUMIFS(INDEX(Inputs!$B$2:$AZ$190,,MATCH(SUBSTITUTE(AE$3,"Q","T"),Inputs!$B$2:$AZ$2,0)),Inputs!$B$2:$B$190,$B71)*Inputs!$D$1),"",SUMIFS(INDEX(Inputs!$B$2:$AZ$190,,MATCH(SUBSTITUTE(AE$3,"Q","T"),Inputs!$B$2:$AZ$2,0)),Inputs!$B$2:$B$190,$B71)*Inputs!$D$1)</f>
        <v>1022</v>
      </c>
      <c r="AF71" s="57">
        <f>IF(ISNA(SUMIFS(INDEX(Inputs!$B$2:$AZ$190,,MATCH(SUBSTITUTE(AF$3,"Q","T"),Inputs!$B$2:$AZ$2,0)),Inputs!$B$2:$B$190,$B71)*Inputs!$D$1),"",SUMIFS(INDEX(Inputs!$B$2:$AZ$190,,MATCH(SUBSTITUTE(AF$3,"Q","T"),Inputs!$B$2:$AZ$2,0)),Inputs!$B$2:$B$190,$B71)*Inputs!$D$1)</f>
        <v>971.114</v>
      </c>
      <c r="AG71" s="57">
        <f>IF(ISNA(SUMIFS(INDEX(Inputs!$B$2:$AZ$190,,MATCH(SUBSTITUTE(AG$3,"Q","T"),Inputs!$B$2:$AZ$2,0)),Inputs!$B$2:$B$190,$B71)*Inputs!$D$1),"",SUMIFS(INDEX(Inputs!$B$2:$AZ$190,,MATCH(SUBSTITUTE(AG$3,"Q","T"),Inputs!$B$2:$AZ$2,0)),Inputs!$B$2:$B$190,$B71)*Inputs!$D$1)</f>
        <v>491.848</v>
      </c>
      <c r="AH71" s="58">
        <f>SUM(AD71:AG71)</f>
        <v>3305.149</v>
      </c>
      <c r="AI71" s="57">
        <f>IF(ISNA(SUMIFS(INDEX(Inputs!$B$2:$AZ$190,,MATCH(SUBSTITUTE(AI$3,"Q","T"),Inputs!$B$2:$AZ$2,0)),Inputs!$B$2:$B$190,$B71)*Inputs!$D$1),"",SUMIFS(INDEX(Inputs!$B$2:$AZ$190,,MATCH(SUBSTITUTE(AI$3,"Q","T"),Inputs!$B$2:$AZ$2,0)),Inputs!$B$2:$B$190,$B71)*Inputs!$D$1)</f>
        <v>762.05</v>
      </c>
      <c r="AJ71" s="57">
        <f>IF(ISNA(SUMIFS(INDEX(Inputs!$B$2:$AZ$190,,MATCH(SUBSTITUTE(AJ$3,"Q","T"),Inputs!$B$2:$AZ$2,0)),Inputs!$B$2:$B$190,$B71)*Inputs!$D$1),"",SUMIFS(INDEX(Inputs!$B$2:$AZ$190,,MATCH(SUBSTITUTE(AJ$3,"Q","T"),Inputs!$B$2:$AZ$2,0)),Inputs!$B$2:$B$190,$B71)*Inputs!$D$1)</f>
        <v>696.511</v>
      </c>
      <c r="AK71" s="57">
        <f>IF(ISNA(SUMIFS(INDEX(Inputs!$B$2:$AZ$190,,MATCH(SUBSTITUTE(AK$3,"Q","T"),Inputs!$B$2:$AZ$2,0)),Inputs!$B$2:$B$190,$B71)*Inputs!$D$1),"",SUMIFS(INDEX(Inputs!$B$2:$AZ$190,,MATCH(SUBSTITUTE(AK$3,"Q","T"),Inputs!$B$2:$AZ$2,0)),Inputs!$B$2:$B$190,$B71)*Inputs!$D$1)</f>
        <v>0</v>
      </c>
      <c r="AL71" s="57">
        <f>IF(ISNA(SUMIFS(INDEX(Inputs!$B$2:$AZ$190,,MATCH(SUBSTITUTE(AL$3,"Q","T"),Inputs!$B$2:$AZ$2,0)),Inputs!$B$2:$B$190,$B71)*Inputs!$D$1),"",SUMIFS(INDEX(Inputs!$B$2:$AZ$190,,MATCH(SUBSTITUTE(AL$3,"Q","T"),Inputs!$B$2:$AZ$2,0)),Inputs!$B$2:$B$190,$B71)*Inputs!$D$1)</f>
        <v>0</v>
      </c>
      <c r="AM71" s="58">
        <f>SUM(AI71:AL71)</f>
        <v>1458.561</v>
      </c>
      <c r="AN71" s="57">
        <f>IF(ISNA(SUMIFS(INDEX(Inputs!$B$2:$AZ$190,,MATCH(SUBSTITUTE(AN$3,"Q","T"),Inputs!$B$2:$AZ$2,0)),Inputs!$B$2:$B$190,$B71)*Inputs!$D$1),"",SUMIFS(INDEX(Inputs!$B$2:$AZ$190,,MATCH(SUBSTITUTE(AN$3,"Q","T"),Inputs!$B$2:$AZ$2,0)),Inputs!$B$2:$B$190,$B71)*Inputs!$D$1)</f>
        <v>0</v>
      </c>
      <c r="AO71" s="57">
        <f>IF(ISNA(SUMIFS(INDEX(Inputs!$B$2:$AZ$190,,MATCH(SUBSTITUTE(AO$3,"Q","T"),Inputs!$B$2:$AZ$2,0)),Inputs!$B$2:$B$190,$B71)*Inputs!$D$1),"",SUMIFS(INDEX(Inputs!$B$2:$AZ$190,,MATCH(SUBSTITUTE(AO$3,"Q","T"),Inputs!$B$2:$AZ$2,0)),Inputs!$B$2:$B$190,$B71)*Inputs!$D$1)</f>
        <v>0</v>
      </c>
      <c r="AP71" s="57">
        <f>IF(ISNA(SUMIFS(INDEX(Inputs!$B$2:$AZ$190,,MATCH(SUBSTITUTE(AP$3,"Q","T"),Inputs!$B$2:$AZ$2,0)),Inputs!$B$2:$B$190,$B71)*Inputs!$D$1),"",SUMIFS(INDEX(Inputs!$B$2:$AZ$190,,MATCH(SUBSTITUTE(AP$3,"Q","T"),Inputs!$B$2:$AZ$2,0)),Inputs!$B$2:$B$190,$B71)*Inputs!$D$1)</f>
        <v>0</v>
      </c>
      <c r="AQ71" s="57">
        <f>IF(ISNA(SUMIFS(INDEX(Inputs!$B$2:$AZ$190,,MATCH(SUBSTITUTE(AQ$3,"Q","T"),Inputs!$B$2:$AZ$2,0)),Inputs!$B$2:$B$190,$B71)*Inputs!$D$1),"",SUMIFS(INDEX(Inputs!$B$2:$AZ$190,,MATCH(SUBSTITUTE(AQ$3,"Q","T"),Inputs!$B$2:$AZ$2,0)),Inputs!$B$2:$B$190,$B71)*Inputs!$D$1)</f>
        <v>0</v>
      </c>
      <c r="AR71" s="58">
        <f>SUM(AN71:AQ71)</f>
        <v>0</v>
      </c>
      <c r="AS71" s="57">
        <f>IF(ISNA(SUMIFS(INDEX(Inputs!$B$2:$AZ$190,,MATCH(SUBSTITUTE(AS$3,"Q","T"),Inputs!$B$2:$AZ$2,0)),Inputs!$B$2:$B$190,$B71)*Inputs!$D$1),"",SUMIFS(INDEX(Inputs!$B$2:$AZ$190,,MATCH(SUBSTITUTE(AS$3,"Q","T"),Inputs!$B$2:$AZ$2,0)),Inputs!$B$2:$B$190,$B71)*Inputs!$D$1)</f>
        <v>0</v>
      </c>
      <c r="AT71" s="57">
        <f>IF(ISNA(SUMIFS(INDEX(Inputs!$B$2:$AZ$190,,MATCH(SUBSTITUTE(AT$3,"Q","T"),Inputs!$B$2:$AZ$2,0)),Inputs!$B$2:$B$190,$B71)*Inputs!$D$1),"",SUMIFS(INDEX(Inputs!$B$2:$AZ$190,,MATCH(SUBSTITUTE(AT$3,"Q","T"),Inputs!$B$2:$AZ$2,0)),Inputs!$B$2:$B$190,$B71)*Inputs!$D$1)</f>
        <v>0</v>
      </c>
      <c r="AU71" s="57">
        <f>IF(ISNA(SUMIFS(INDEX(Inputs!$B$2:$AZ$190,,MATCH(SUBSTITUTE(AU$3,"Q","T"),Inputs!$B$2:$AZ$2,0)),Inputs!$B$2:$B$190,$B71)*Inputs!$D$1),"",SUMIFS(INDEX(Inputs!$B$2:$AZ$190,,MATCH(SUBSTITUTE(AU$3,"Q","T"),Inputs!$B$2:$AZ$2,0)),Inputs!$B$2:$B$190,$B71)*Inputs!$D$1)</f>
        <v>0</v>
      </c>
      <c r="AV71" s="57">
        <f>IF(ISNA(SUMIFS(INDEX(Inputs!$B$2:$AZ$190,,MATCH(SUBSTITUTE(AV$3,"Q","T"),Inputs!$B$2:$AZ$2,0)),Inputs!$B$2:$B$190,$B71)*Inputs!$D$1),"",SUMIFS(INDEX(Inputs!$B$2:$AZ$190,,MATCH(SUBSTITUTE(AV$3,"Q","T"),Inputs!$B$2:$AZ$2,0)),Inputs!$B$2:$B$190,$B71)*Inputs!$D$1)</f>
        <v>0</v>
      </c>
      <c r="AW71" s="58">
        <f>SUM(AS71:AV71)</f>
        <v>0</v>
      </c>
      <c r="AX71" s="57">
        <f>IF(ISNA(SUMIFS(INDEX(Inputs!$B$2:$AZ$190,,MATCH(SUBSTITUTE(AX$3,"Q","T"),Inputs!$B$2:$AZ$2,0)),Inputs!$B$2:$B$190,$B71)*Inputs!$D$1),"",SUMIFS(INDEX(Inputs!$B$2:$AZ$190,,MATCH(SUBSTITUTE(AX$3,"Q","T"),Inputs!$B$2:$AZ$2,0)),Inputs!$B$2:$B$190,$B71)*Inputs!$D$1)</f>
        <v>0</v>
      </c>
      <c r="AY71" s="57">
        <f>IF(ISNA(SUMIFS(INDEX(Inputs!$B$2:$AZ$190,,MATCH(SUBSTITUTE(AY$3,"Q","T"),Inputs!$B$2:$AZ$2,0)),Inputs!$B$2:$B$190,$B71)*Inputs!$D$1),"",SUMIFS(INDEX(Inputs!$B$2:$AZ$190,,MATCH(SUBSTITUTE(AY$3,"Q","T"),Inputs!$B$2:$AZ$2,0)),Inputs!$B$2:$B$190,$B71)*Inputs!$D$1)</f>
        <v>0</v>
      </c>
      <c r="AZ71" s="57">
        <f>IF(ISNA(SUMIFS(INDEX(Inputs!$B$2:$AZ$190,,MATCH(SUBSTITUTE(AZ$3,"Q","T"),Inputs!$B$2:$AZ$2,0)),Inputs!$B$2:$B$190,$B71)*Inputs!$D$1),"",SUMIFS(INDEX(Inputs!$B$2:$AZ$190,,MATCH(SUBSTITUTE(AZ$3,"Q","T"),Inputs!$B$2:$AZ$2,0)),Inputs!$B$2:$B$190,$B71)*Inputs!$D$1)</f>
        <v>0</v>
      </c>
      <c r="BA71" s="57">
        <f>IF(ISNA(SUMIFS(INDEX(Inputs!$B$2:$AZ$190,,MATCH(SUBSTITUTE(BA$3,"Q","T"),Inputs!$B$2:$AZ$2,0)),Inputs!$B$2:$B$190,$B71)*Inputs!$D$1),"",SUMIFS(INDEX(Inputs!$B$2:$AZ$190,,MATCH(SUBSTITUTE(BA$3,"Q","T"),Inputs!$B$2:$AZ$2,0)),Inputs!$B$2:$B$190,$B71)*Inputs!$D$1)</f>
        <v>0</v>
      </c>
      <c r="BB71" s="58">
        <f>SUM(AX71:BA71)</f>
        <v>0</v>
      </c>
      <c r="BC71" s="57">
        <f>IF(ISNA(SUMIFS(INDEX(Inputs!$B$2:$AZ$190,,MATCH(SUBSTITUTE(BC$3,"Q","T"),Inputs!$B$2:$AZ$2,0)),Inputs!$B$2:$B$190,$B71)*Inputs!$D$1),"",SUMIFS(INDEX(Inputs!$B$2:$AZ$190,,MATCH(SUBSTITUTE(BC$3,"Q","T"),Inputs!$B$2:$AZ$2,0)),Inputs!$B$2:$B$190,$B71)*Inputs!$D$1)</f>
        <v>0</v>
      </c>
      <c r="BD71" s="57">
        <f>IF(ISNA(SUMIFS(INDEX(Inputs!$B$2:$AZ$190,,MATCH(SUBSTITUTE(BD$3,"Q","T"),Inputs!$B$2:$AZ$2,0)),Inputs!$B$2:$B$190,$B71)*Inputs!$D$1),"",SUMIFS(INDEX(Inputs!$B$2:$AZ$190,,MATCH(SUBSTITUTE(BD$3,"Q","T"),Inputs!$B$2:$AZ$2,0)),Inputs!$B$2:$B$190,$B71)*Inputs!$D$1)</f>
        <v>0</v>
      </c>
      <c r="BE71" s="57">
        <f>IF(ISNA(SUMIFS(INDEX(Inputs!$B$2:$AZ$190,,MATCH(SUBSTITUTE(BE$3,"Q","T"),Inputs!$B$2:$AZ$2,0)),Inputs!$B$2:$B$190,$B71)*Inputs!$D$1),"",SUMIFS(INDEX(Inputs!$B$2:$AZ$190,,MATCH(SUBSTITUTE(BE$3,"Q","T"),Inputs!$B$2:$AZ$2,0)),Inputs!$B$2:$B$190,$B71)*Inputs!$D$1)</f>
        <v>0</v>
      </c>
      <c r="BF71" s="57">
        <f>IF(ISNA(SUMIFS(INDEX(Inputs!$B$2:$AZ$190,,MATCH(SUBSTITUTE(BF$3,"Q","T"),Inputs!$B$2:$AZ$2,0)),Inputs!$B$2:$B$190,$B71)*Inputs!$D$1),"",SUMIFS(INDEX(Inputs!$B$2:$AZ$190,,MATCH(SUBSTITUTE(BF$3,"Q","T"),Inputs!$B$2:$AZ$2,0)),Inputs!$B$2:$B$190,$B71)*Inputs!$D$1)</f>
        <v>0</v>
      </c>
      <c r="BG71" s="58">
        <f>SUM(BC71:BF71)</f>
        <v>0</v>
      </c>
    </row>
    <row r="72" hidden="1" outlineLevel="1">
      <c r="B72" s="56" t="inlineStr">
        <is>
          <t>rec_tvm</t>
        </is>
      </c>
      <c r="C72" s="61" t="inlineStr">
        <is>
          <t>Resultado de TVM, Derivativos e Outros</t>
        </is>
      </c>
      <c r="D72" s="62" t="inlineStr">
        <is>
          <t>Result from Securities and Derivatives</t>
        </is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1713.627</v>
      </c>
      <c r="F72" s="57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>688.676</v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515.829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-56.566</v>
      </c>
      <c r="I72" s="58">
        <f>SUM(E72:H72)</f>
        <v>2861.566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796.262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-394.12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839.752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655.121</v>
      </c>
      <c r="N72" s="58">
        <f>SUM(J72:M72)</f>
        <v>1897.015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-928.787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1317.071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812.135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528.426</v>
      </c>
      <c r="S72" s="58">
        <f>SUM(O72:R72)</f>
        <v>1728.845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637.924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445.461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1202.548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654.687</v>
      </c>
      <c r="X72" s="58">
        <f>SUM(T72:W72)</f>
        <v>2940.62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1071.412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1368.744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993.66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1845.089</v>
      </c>
      <c r="AC72" s="58">
        <f>SUM(Y72:AB72)</f>
        <v>5278.905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935.105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796.562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1142.261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1629.452</v>
      </c>
      <c r="AH72" s="58">
        <f>SUM(AD72:AG72)</f>
        <v>4503.38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1273.312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1398.307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>SUM(AI72:AL72)</f>
        <v>2671.619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>SUM(AN72:AQ72)</f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>SUM(AS72:AV72)</f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>SUM(AX72:BA72)</f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>SUM(BC72:BF72)</f>
        <v>0</v>
      </c>
    </row>
    <row r="73" hidden="1" outlineLevel="1">
      <c r="B73" s="56" t="inlineStr">
        <is>
          <t>rec_rg</t>
        </is>
      </c>
      <c r="C73" s="61" t="inlineStr">
        <is>
          <t>Receitas Fin. de Recursos Garantidores de Prov. Técnicas</t>
        </is>
      </c>
      <c r="D73" s="62" t="inlineStr">
        <is>
          <t>Income from Assets Guaranteeing Provisions</t>
        </is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0</v>
      </c>
      <c r="F73" s="57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>0</v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0</v>
      </c>
      <c r="I73" s="58">
        <f>SUM(E73:H73)</f>
        <v>0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0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0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0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0</v>
      </c>
      <c r="N73" s="58">
        <f>SUM(J73:M73)</f>
        <v>0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0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0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0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0</v>
      </c>
      <c r="S73" s="58">
        <f>SUM(O73:R73)</f>
        <v>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0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0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0</v>
      </c>
      <c r="X73" s="58">
        <f>SUM(T73:W73)</f>
        <v>0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0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0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0</v>
      </c>
      <c r="AC73" s="58">
        <f>SUM(Y73:AB73)</f>
        <v>0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0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0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0</v>
      </c>
      <c r="AH73" s="58">
        <f>SUM(AD73:AG73)</f>
        <v>0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0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0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>SUM(AI73:AL73)</f>
        <v>0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>SUM(AN73:AQ73)</f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>SUM(AS73:AV73)</f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>SUM(AX73:BA73)</f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>SUM(BC73:BF73)</f>
        <v>0</v>
      </c>
    </row>
    <row r="74" hidden="1" outlineLevel="1">
      <c r="B74" s="56" t="inlineStr">
        <is>
          <t>rec_aplic</t>
        </is>
      </c>
      <c r="C74" s="61" t="inlineStr">
        <is>
          <t>Resultado das Aplicações Interfinanceiras de Liquidez</t>
        </is>
      </c>
      <c r="D74" s="62" t="inlineStr">
        <is>
          <t>Result from Interbank Investments</t>
        </is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0</v>
      </c>
      <c r="F74" s="57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>0</v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0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0</v>
      </c>
      <c r="I74" s="58">
        <f>SUM(E74:H74)</f>
        <v>0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0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0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0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0</v>
      </c>
      <c r="N74" s="58">
        <f>SUM(J74:M74)</f>
        <v>0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0.645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0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0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0</v>
      </c>
      <c r="S74" s="58">
        <f>SUM(O74:R74)</f>
        <v>0.645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0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0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0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0</v>
      </c>
      <c r="X74" s="58">
        <f>SUM(T74:W74)</f>
        <v>0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0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0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0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0</v>
      </c>
      <c r="AC74" s="58">
        <f>SUM(Y74:AB74)</f>
        <v>0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0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0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0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0</v>
      </c>
      <c r="AH74" s="58">
        <f>SUM(AD74:AG74)</f>
        <v>0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0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0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>SUM(AI74:AL74)</f>
        <v>0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>SUM(AN74:AQ74)</f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>SUM(AS74:AV74)</f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>SUM(AX74:BA74)</f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>SUM(BC74:BF74)</f>
        <v>0</v>
      </c>
    </row>
    <row r="75">
      <c r="C75" s="15" t="inlineStr">
        <is>
          <t>(Despesas da Intermediação Financeira)</t>
        </is>
      </c>
      <c r="D75" s="16" t="inlineStr">
        <is>
          <t>(Financial Intermediation Expenses)</t>
        </is>
      </c>
      <c r="E75" s="59">
        <f>IFERROR(E76+E77+E78+E79,"")</f>
        <v>-3855.61</v>
      </c>
      <c r="F75" s="59">
        <f>IFERROR(F76+F77+F78+F79,"")</f>
        <v>-1471.534</v>
      </c>
      <c r="G75" s="59">
        <f>IFERROR(G76+G77+G78+G79,"")</f>
        <v>-1021.38</v>
      </c>
      <c r="H75" s="59">
        <f>IFERROR(H76+H77+H78+H79,"")</f>
        <v>816.1</v>
      </c>
      <c r="I75" s="60">
        <f>SUM(E75:H75)</f>
        <v>-5532.424</v>
      </c>
      <c r="J75" s="59">
        <f>IFERROR(J76+J77+J78+J79,"")</f>
        <v>-1762.983</v>
      </c>
      <c r="K75" s="59">
        <f>IFERROR(K76+K77+K78+K79,"")</f>
        <v>1611.746</v>
      </c>
      <c r="L75" s="59">
        <f>IFERROR(L76+L77+L78+L79,"")</f>
        <v>-1696.662</v>
      </c>
      <c r="M75" s="59">
        <f>IFERROR(M76+M77+M78+M79,"")</f>
        <v>-1104.078</v>
      </c>
      <c r="N75" s="60">
        <f>SUM(J75:M75)</f>
        <v>-2951.977</v>
      </c>
      <c r="O75" s="59">
        <f>IFERROR(O76+O77+O78+O79,"")</f>
        <v>1670</v>
      </c>
      <c r="P75" s="59">
        <f>IFERROR(P76+P77+P78+P79,"")</f>
        <v>-2105.879</v>
      </c>
      <c r="Q75" s="59">
        <f>IFERROR(Q76+Q77+Q78+Q79,"")</f>
        <v>-1429.945</v>
      </c>
      <c r="R75" s="59">
        <f>IFERROR(R76+R77+R78+R79,"")</f>
        <v>-511.806</v>
      </c>
      <c r="S75" s="60">
        <f>SUM(O75:R75)</f>
        <v>-2377.63</v>
      </c>
      <c r="T75" s="59">
        <f>IFERROR(T76+T77+T78+T79,"")</f>
        <v>-841.257</v>
      </c>
      <c r="U75" s="59">
        <f>IFERROR(U76+U77+U78+U79,"")</f>
        <v>-452.432</v>
      </c>
      <c r="V75" s="59">
        <f>IFERROR(V76+V77+V78+V79,"")</f>
        <v>-1847.983</v>
      </c>
      <c r="W75" s="59">
        <f>IFERROR(W76+W77+W78+W79,"")</f>
        <v>-621.05</v>
      </c>
      <c r="X75" s="60">
        <f>SUM(T75:W75)</f>
        <v>-3762.722</v>
      </c>
      <c r="Y75" s="59">
        <f>IFERROR(Y76+Y77+Y78+Y79,"")</f>
        <v>-1631.131</v>
      </c>
      <c r="Z75" s="59">
        <f>IFERROR(Z76+Z77+Z78+Z79,"")</f>
        <v>-2588.081</v>
      </c>
      <c r="AA75" s="59">
        <f>IFERROR(AA76+AA77+AA78+AA79,"")</f>
        <v>-845.068</v>
      </c>
      <c r="AB75" s="59">
        <f>IFERROR(AB76+AB77+AB78+AB79,"")</f>
        <v>-3293.969</v>
      </c>
      <c r="AC75" s="60">
        <f>SUM(Y75:AB75)</f>
        <v>-8358.249</v>
      </c>
      <c r="AD75" s="59">
        <f>IFERROR(AD76+AD77+AD78+AD79,"")</f>
        <v>-1234.525</v>
      </c>
      <c r="AE75" s="59">
        <f>IFERROR(AE76+AE77+AE78+AE79,"")</f>
        <v>-1289.918</v>
      </c>
      <c r="AF75" s="59">
        <f>IFERROR(AF76+AF77+AF78+AF79,"")</f>
        <v>-1463.028</v>
      </c>
      <c r="AG75" s="59">
        <f>IFERROR(AG76+AG77+AG78+AG79,"")</f>
        <v>-1516.016</v>
      </c>
      <c r="AH75" s="60">
        <f>SUM(AD75:AG75)</f>
        <v>-5503.487</v>
      </c>
      <c r="AI75" s="59">
        <f>IFERROR(AI76+AI77+AI78+AI79,"")</f>
        <v>-1451.094</v>
      </c>
      <c r="AJ75" s="59">
        <f>IFERROR(AJ76+AJ77+AJ78+AJ79,"")</f>
        <v>-1466.625</v>
      </c>
      <c r="AK75" s="59">
        <f>IFERROR(AK76+AK77+AK78+AK79,"")</f>
        <v>0</v>
      </c>
      <c r="AL75" s="59">
        <f>IFERROR(AL76+AL77+AL78+AL79,"")</f>
        <v>0</v>
      </c>
      <c r="AM75" s="60">
        <f>SUM(AI75:AL75)</f>
        <v>-2917.719</v>
      </c>
      <c r="AN75" s="59">
        <f>IFERROR(AN76+AN77+AN78+AN79,"")</f>
        <v>0</v>
      </c>
      <c r="AO75" s="59">
        <f>IFERROR(AO76+AO77+AO78+AO79,"")</f>
        <v>0</v>
      </c>
      <c r="AP75" s="59">
        <f>IFERROR(AP76+AP77+AP78+AP79,"")</f>
        <v>0</v>
      </c>
      <c r="AQ75" s="59">
        <f>IFERROR(AQ76+AQ77+AQ78+AQ79,"")</f>
        <v>0</v>
      </c>
      <c r="AR75" s="60">
        <f>SUM(AN75:AQ75)</f>
        <v>0</v>
      </c>
      <c r="AS75" s="59">
        <f>IFERROR(AS76+AS77+AS78+AS79,"")</f>
        <v>0</v>
      </c>
      <c r="AT75" s="59">
        <f>IFERROR(AT76+AT77+AT78+AT79,"")</f>
        <v>0</v>
      </c>
      <c r="AU75" s="59">
        <f>IFERROR(AU76+AU77+AU78+AU79,"")</f>
        <v>0</v>
      </c>
      <c r="AV75" s="59">
        <f>IFERROR(AV76+AV77+AV78+AV79,"")</f>
        <v>0</v>
      </c>
      <c r="AW75" s="60">
        <f>SUM(AS75:AV75)</f>
        <v>0</v>
      </c>
      <c r="AX75" s="59">
        <f>IFERROR(AX76+AX77+AX78+AX79,"")</f>
        <v>0</v>
      </c>
      <c r="AY75" s="59">
        <f>IFERROR(AY76+AY77+AY78+AY79,"")</f>
        <v>0</v>
      </c>
      <c r="AZ75" s="59">
        <f>IFERROR(AZ76+AZ77+AZ78+AZ79,"")</f>
        <v>0</v>
      </c>
      <c r="BA75" s="59">
        <f>IFERROR(BA76+BA77+BA78+BA79,"")</f>
        <v>0</v>
      </c>
      <c r="BB75" s="60">
        <f>SUM(AX75:BA75)</f>
        <v>0</v>
      </c>
      <c r="BC75" s="59">
        <f>IFERROR(BC76+BC77+BC78+BC79,"")</f>
        <v>0</v>
      </c>
      <c r="BD75" s="59">
        <f>IFERROR(BD76+BD77+BD78+BD79,"")</f>
        <v>0</v>
      </c>
      <c r="BE75" s="59">
        <f>IFERROR(BE76+BE77+BE78+BE79,"")</f>
        <v>0</v>
      </c>
      <c r="BF75" s="59">
        <f>IFERROR(BF76+BF77+BF78+BF79,"")</f>
        <v>0</v>
      </c>
      <c r="BG75" s="60">
        <f>SUM(BC75:BF75)</f>
        <v>0</v>
      </c>
      <c r="BI75" s="14" t="inlineStr">
        <is>
          <t>Convenção: toda despesa entra com sinal NEGATIVO. Todas as linhas de subtotal somam.</t>
        </is>
      </c>
    </row>
    <row r="76" hidden="1" outlineLevel="1">
      <c r="B76" s="56" t="inlineStr">
        <is>
          <t>desp_dep</t>
        </is>
      </c>
      <c r="C76" s="61" t="inlineStr">
        <is>
          <t>(Depósitos e Captações no Mercado Aberto)</t>
        </is>
      </c>
      <c r="D76" s="62" t="inlineStr">
        <is>
          <t>(Deposits and Open Market Funding)</t>
        </is>
      </c>
      <c r="E76" s="57">
        <f>IF(ISNA(SUMIFS(INDEX(Inputs!$B$2:$AZ$190,,MATCH(SUBSTITUTE(E$3,"Q","T"),Inputs!$B$2:$AZ$2,0)),Inputs!$B$2:$B$190,$B76)*Inputs!$D$1),"",SUMIFS(INDEX(Inputs!$B$2:$AZ$190,,MATCH(SUBSTITUTE(E$3,"Q","T"),Inputs!$B$2:$AZ$2,0)),Inputs!$B$2:$B$190,$B76)*Inputs!$D$1)</f>
        <v>-390.078</v>
      </c>
      <c r="F76" s="57">
        <f>IF(ISNA(SUMIFS(INDEX(Inputs!$B$2:$AZ$190,,MATCH(SUBSTITUTE(F$3,"Q","T"),Inputs!$B$2:$AZ$2,0)),Inputs!$B$2:$B$190,$B76)*Inputs!$D$1),"",SUMIFS(INDEX(Inputs!$B$2:$AZ$190,,MATCH(SUBSTITUTE(F$3,"Q","T"),Inputs!$B$2:$AZ$2,0)),Inputs!$B$2:$B$190,$B76)*Inputs!$D$1)</f>
        <v>-187.43</v>
      </c>
      <c r="G76" s="57">
        <f>IF(ISNA(SUMIFS(INDEX(Inputs!$B$2:$AZ$190,,MATCH(SUBSTITUTE(G$3,"Q","T"),Inputs!$B$2:$AZ$2,0)),Inputs!$B$2:$B$190,$B76)*Inputs!$D$1),"",SUMIFS(INDEX(Inputs!$B$2:$AZ$190,,MATCH(SUBSTITUTE(G$3,"Q","T"),Inputs!$B$2:$AZ$2,0)),Inputs!$B$2:$B$190,$B76)*Inputs!$D$1)</f>
        <v>-128.158</v>
      </c>
      <c r="H76" s="57">
        <f>IF(ISNA(SUMIFS(INDEX(Inputs!$B$2:$AZ$190,,MATCH(SUBSTITUTE(H$3,"Q","T"),Inputs!$B$2:$AZ$2,0)),Inputs!$B$2:$B$190,$B76)*Inputs!$D$1),"",SUMIFS(INDEX(Inputs!$B$2:$AZ$190,,MATCH(SUBSTITUTE(H$3,"Q","T"),Inputs!$B$2:$AZ$2,0)),Inputs!$B$2:$B$190,$B76)*Inputs!$D$1)</f>
        <v>-135.843</v>
      </c>
      <c r="I76" s="58">
        <f>SUM(E76:H76)</f>
        <v>-841.509</v>
      </c>
      <c r="J76" s="57">
        <f>IF(ISNA(SUMIFS(INDEX(Inputs!$B$2:$AZ$190,,MATCH(SUBSTITUTE(J$3,"Q","T"),Inputs!$B$2:$AZ$2,0)),Inputs!$B$2:$B$190,$B76)*Inputs!$D$1),"",SUMIFS(INDEX(Inputs!$B$2:$AZ$190,,MATCH(SUBSTITUTE(J$3,"Q","T"),Inputs!$B$2:$AZ$2,0)),Inputs!$B$2:$B$190,$B76)*Inputs!$D$1)</f>
        <v>-189.311</v>
      </c>
      <c r="K76" s="57">
        <f>IF(ISNA(SUMIFS(INDEX(Inputs!$B$2:$AZ$190,,MATCH(SUBSTITUTE(K$3,"Q","T"),Inputs!$B$2:$AZ$2,0)),Inputs!$B$2:$B$190,$B76)*Inputs!$D$1),"",SUMIFS(INDEX(Inputs!$B$2:$AZ$190,,MATCH(SUBSTITUTE(K$3,"Q","T"),Inputs!$B$2:$AZ$2,0)),Inputs!$B$2:$B$190,$B76)*Inputs!$D$1)</f>
        <v>-159.553</v>
      </c>
      <c r="L76" s="57">
        <f>IF(ISNA(SUMIFS(INDEX(Inputs!$B$2:$AZ$190,,MATCH(SUBSTITUTE(L$3,"Q","T"),Inputs!$B$2:$AZ$2,0)),Inputs!$B$2:$B$190,$B76)*Inputs!$D$1),"",SUMIFS(INDEX(Inputs!$B$2:$AZ$190,,MATCH(SUBSTITUTE(L$3,"Q","T"),Inputs!$B$2:$AZ$2,0)),Inputs!$B$2:$B$190,$B76)*Inputs!$D$1)</f>
        <v>-329.202</v>
      </c>
      <c r="M76" s="57">
        <f>IF(ISNA(SUMIFS(INDEX(Inputs!$B$2:$AZ$190,,MATCH(SUBSTITUTE(M$3,"Q","T"),Inputs!$B$2:$AZ$2,0)),Inputs!$B$2:$B$190,$B76)*Inputs!$D$1),"",SUMIFS(INDEX(Inputs!$B$2:$AZ$190,,MATCH(SUBSTITUTE(M$3,"Q","T"),Inputs!$B$2:$AZ$2,0)),Inputs!$B$2:$B$190,$B76)*Inputs!$D$1)</f>
        <v>-469.13</v>
      </c>
      <c r="N76" s="58">
        <f>SUM(J76:M76)</f>
        <v>-1147.196</v>
      </c>
      <c r="O76" s="57">
        <f>IF(ISNA(SUMIFS(INDEX(Inputs!$B$2:$AZ$190,,MATCH(SUBSTITUTE(O$3,"Q","T"),Inputs!$B$2:$AZ$2,0)),Inputs!$B$2:$B$190,$B76)*Inputs!$D$1),"",SUMIFS(INDEX(Inputs!$B$2:$AZ$190,,MATCH(SUBSTITUTE(O$3,"Q","T"),Inputs!$B$2:$AZ$2,0)),Inputs!$B$2:$B$190,$B76)*Inputs!$D$1)</f>
        <v>-471.074</v>
      </c>
      <c r="P76" s="57">
        <f>IF(ISNA(SUMIFS(INDEX(Inputs!$B$2:$AZ$190,,MATCH(SUBSTITUTE(P$3,"Q","T"),Inputs!$B$2:$AZ$2,0)),Inputs!$B$2:$B$190,$B76)*Inputs!$D$1),"",SUMIFS(INDEX(Inputs!$B$2:$AZ$190,,MATCH(SUBSTITUTE(P$3,"Q","T"),Inputs!$B$2:$AZ$2,0)),Inputs!$B$2:$B$190,$B76)*Inputs!$D$1)</f>
        <v>-781.035</v>
      </c>
      <c r="Q76" s="57">
        <f>IF(ISNA(SUMIFS(INDEX(Inputs!$B$2:$AZ$190,,MATCH(SUBSTITUTE(Q$3,"Q","T"),Inputs!$B$2:$AZ$2,0)),Inputs!$B$2:$B$190,$B76)*Inputs!$D$1),"",SUMIFS(INDEX(Inputs!$B$2:$AZ$190,,MATCH(SUBSTITUTE(Q$3,"Q","T"),Inputs!$B$2:$AZ$2,0)),Inputs!$B$2:$B$190,$B76)*Inputs!$D$1)</f>
        <v>-858.045</v>
      </c>
      <c r="R76" s="57">
        <f>IF(ISNA(SUMIFS(INDEX(Inputs!$B$2:$AZ$190,,MATCH(SUBSTITUTE(R$3,"Q","T"),Inputs!$B$2:$AZ$2,0)),Inputs!$B$2:$B$190,$B76)*Inputs!$D$1),"",SUMIFS(INDEX(Inputs!$B$2:$AZ$190,,MATCH(SUBSTITUTE(R$3,"Q","T"),Inputs!$B$2:$AZ$2,0)),Inputs!$B$2:$B$190,$B76)*Inputs!$D$1)</f>
        <v>-869.666</v>
      </c>
      <c r="S76" s="58">
        <f>SUM(O76:R76)</f>
        <v>-2979.82</v>
      </c>
      <c r="T76" s="57">
        <f>IF(ISNA(SUMIFS(INDEX(Inputs!$B$2:$AZ$190,,MATCH(SUBSTITUTE(T$3,"Q","T"),Inputs!$B$2:$AZ$2,0)),Inputs!$B$2:$B$190,$B76)*Inputs!$D$1),"",SUMIFS(INDEX(Inputs!$B$2:$AZ$190,,MATCH(SUBSTITUTE(T$3,"Q","T"),Inputs!$B$2:$AZ$2,0)),Inputs!$B$2:$B$190,$B76)*Inputs!$D$1)</f>
        <v>-920.519</v>
      </c>
      <c r="U76" s="57">
        <f>IF(ISNA(SUMIFS(INDEX(Inputs!$B$2:$AZ$190,,MATCH(SUBSTITUTE(U$3,"Q","T"),Inputs!$B$2:$AZ$2,0)),Inputs!$B$2:$B$190,$B76)*Inputs!$D$1),"",SUMIFS(INDEX(Inputs!$B$2:$AZ$190,,MATCH(SUBSTITUTE(U$3,"Q","T"),Inputs!$B$2:$AZ$2,0)),Inputs!$B$2:$B$190,$B76)*Inputs!$D$1)</f>
        <v>-852.999</v>
      </c>
      <c r="V76" s="57">
        <f>IF(ISNA(SUMIFS(INDEX(Inputs!$B$2:$AZ$190,,MATCH(SUBSTITUTE(V$3,"Q","T"),Inputs!$B$2:$AZ$2,0)),Inputs!$B$2:$B$190,$B76)*Inputs!$D$1),"",SUMIFS(INDEX(Inputs!$B$2:$AZ$190,,MATCH(SUBSTITUTE(V$3,"Q","T"),Inputs!$B$2:$AZ$2,0)),Inputs!$B$2:$B$190,$B76)*Inputs!$D$1)</f>
        <v>-1021.629</v>
      </c>
      <c r="W76" s="57">
        <f>IF(ISNA(SUMIFS(INDEX(Inputs!$B$2:$AZ$190,,MATCH(SUBSTITUTE(W$3,"Q","T"),Inputs!$B$2:$AZ$2,0)),Inputs!$B$2:$B$190,$B76)*Inputs!$D$1),"",SUMIFS(INDEX(Inputs!$B$2:$AZ$190,,MATCH(SUBSTITUTE(W$3,"Q","T"),Inputs!$B$2:$AZ$2,0)),Inputs!$B$2:$B$190,$B76)*Inputs!$D$1)</f>
        <v>-909.616</v>
      </c>
      <c r="X76" s="58">
        <f>SUM(T76:W76)</f>
        <v>-3704.763</v>
      </c>
      <c r="Y76" s="57">
        <f>IF(ISNA(SUMIFS(INDEX(Inputs!$B$2:$AZ$190,,MATCH(SUBSTITUTE(Y$3,"Q","T"),Inputs!$B$2:$AZ$2,0)),Inputs!$B$2:$B$190,$B76)*Inputs!$D$1),"",SUMIFS(INDEX(Inputs!$B$2:$AZ$190,,MATCH(SUBSTITUTE(Y$3,"Q","T"),Inputs!$B$2:$AZ$2,0)),Inputs!$B$2:$B$190,$B76)*Inputs!$D$1)</f>
        <v>-1002.717</v>
      </c>
      <c r="Z76" s="57">
        <f>IF(ISNA(SUMIFS(INDEX(Inputs!$B$2:$AZ$190,,MATCH(SUBSTITUTE(Z$3,"Q","T"),Inputs!$B$2:$AZ$2,0)),Inputs!$B$2:$B$190,$B76)*Inputs!$D$1),"",SUMIFS(INDEX(Inputs!$B$2:$AZ$190,,MATCH(SUBSTITUTE(Z$3,"Q","T"),Inputs!$B$2:$AZ$2,0)),Inputs!$B$2:$B$190,$B76)*Inputs!$D$1)</f>
        <v>-1052.707</v>
      </c>
      <c r="AA76" s="57">
        <f>IF(ISNA(SUMIFS(INDEX(Inputs!$B$2:$AZ$190,,MATCH(SUBSTITUTE(AA$3,"Q","T"),Inputs!$B$2:$AZ$2,0)),Inputs!$B$2:$B$190,$B76)*Inputs!$D$1),"",SUMIFS(INDEX(Inputs!$B$2:$AZ$190,,MATCH(SUBSTITUTE(AA$3,"Q","T"),Inputs!$B$2:$AZ$2,0)),Inputs!$B$2:$B$190,$B76)*Inputs!$D$1)</f>
        <v>-989.5</v>
      </c>
      <c r="AB76" s="57">
        <f>IF(ISNA(SUMIFS(INDEX(Inputs!$B$2:$AZ$190,,MATCH(SUBSTITUTE(AB$3,"Q","T"),Inputs!$B$2:$AZ$2,0)),Inputs!$B$2:$B$190,$B76)*Inputs!$D$1),"",SUMIFS(INDEX(Inputs!$B$2:$AZ$190,,MATCH(SUBSTITUTE(AB$3,"Q","T"),Inputs!$B$2:$AZ$2,0)),Inputs!$B$2:$B$190,$B76)*Inputs!$D$1)</f>
        <v>-1231.478</v>
      </c>
      <c r="AC76" s="58">
        <f>SUM(Y76:AB76)</f>
        <v>-4276.402</v>
      </c>
      <c r="AD76" s="57">
        <f>IF(ISNA(SUMIFS(INDEX(Inputs!$B$2:$AZ$190,,MATCH(SUBSTITUTE(AD$3,"Q","T"),Inputs!$B$2:$AZ$2,0)),Inputs!$B$2:$B$190,$B76)*Inputs!$D$1),"",SUMIFS(INDEX(Inputs!$B$2:$AZ$190,,MATCH(SUBSTITUTE(AD$3,"Q","T"),Inputs!$B$2:$AZ$2,0)),Inputs!$B$2:$B$190,$B76)*Inputs!$D$1)</f>
        <v>-1102.322</v>
      </c>
      <c r="AE76" s="57">
        <f>IF(ISNA(SUMIFS(INDEX(Inputs!$B$2:$AZ$190,,MATCH(SUBSTITUTE(AE$3,"Q","T"),Inputs!$B$2:$AZ$2,0)),Inputs!$B$2:$B$190,$B76)*Inputs!$D$1),"",SUMIFS(INDEX(Inputs!$B$2:$AZ$190,,MATCH(SUBSTITUTE(AE$3,"Q","T"),Inputs!$B$2:$AZ$2,0)),Inputs!$B$2:$B$190,$B76)*Inputs!$D$1)</f>
        <v>-1208.458</v>
      </c>
      <c r="AF76" s="57">
        <f>IF(ISNA(SUMIFS(INDEX(Inputs!$B$2:$AZ$190,,MATCH(SUBSTITUTE(AF$3,"Q","T"),Inputs!$B$2:$AZ$2,0)),Inputs!$B$2:$B$190,$B76)*Inputs!$D$1),"",SUMIFS(INDEX(Inputs!$B$2:$AZ$190,,MATCH(SUBSTITUTE(AF$3,"Q","T"),Inputs!$B$2:$AZ$2,0)),Inputs!$B$2:$B$190,$B76)*Inputs!$D$1)</f>
        <v>-1266.366</v>
      </c>
      <c r="AG76" s="57">
        <f>IF(ISNA(SUMIFS(INDEX(Inputs!$B$2:$AZ$190,,MATCH(SUBSTITUTE(AG$3,"Q","T"),Inputs!$B$2:$AZ$2,0)),Inputs!$B$2:$B$190,$B76)*Inputs!$D$1),"",SUMIFS(INDEX(Inputs!$B$2:$AZ$190,,MATCH(SUBSTITUTE(AG$3,"Q","T"),Inputs!$B$2:$AZ$2,0)),Inputs!$B$2:$B$190,$B76)*Inputs!$D$1)</f>
        <v>-1284.879</v>
      </c>
      <c r="AH76" s="58">
        <f>SUM(AD76:AG76)</f>
        <v>-4862.025</v>
      </c>
      <c r="AI76" s="57">
        <f>IF(ISNA(SUMIFS(INDEX(Inputs!$B$2:$AZ$190,,MATCH(SUBSTITUTE(AI$3,"Q","T"),Inputs!$B$2:$AZ$2,0)),Inputs!$B$2:$B$190,$B76)*Inputs!$D$1),"",SUMIFS(INDEX(Inputs!$B$2:$AZ$190,,MATCH(SUBSTITUTE(AI$3,"Q","T"),Inputs!$B$2:$AZ$2,0)),Inputs!$B$2:$B$190,$B76)*Inputs!$D$1)</f>
        <v>-1232.596</v>
      </c>
      <c r="AJ76" s="57">
        <f>IF(ISNA(SUMIFS(INDEX(Inputs!$B$2:$AZ$190,,MATCH(SUBSTITUTE(AJ$3,"Q","T"),Inputs!$B$2:$AZ$2,0)),Inputs!$B$2:$B$190,$B76)*Inputs!$D$1),"",SUMIFS(INDEX(Inputs!$B$2:$AZ$190,,MATCH(SUBSTITUTE(AJ$3,"Q","T"),Inputs!$B$2:$AZ$2,0)),Inputs!$B$2:$B$190,$B76)*Inputs!$D$1)</f>
        <v>-1224.818</v>
      </c>
      <c r="AK76" s="57">
        <f>IF(ISNA(SUMIFS(INDEX(Inputs!$B$2:$AZ$190,,MATCH(SUBSTITUTE(AK$3,"Q","T"),Inputs!$B$2:$AZ$2,0)),Inputs!$B$2:$B$190,$B76)*Inputs!$D$1),"",SUMIFS(INDEX(Inputs!$B$2:$AZ$190,,MATCH(SUBSTITUTE(AK$3,"Q","T"),Inputs!$B$2:$AZ$2,0)),Inputs!$B$2:$B$190,$B76)*Inputs!$D$1)</f>
        <v>0</v>
      </c>
      <c r="AL76" s="57">
        <f>IF(ISNA(SUMIFS(INDEX(Inputs!$B$2:$AZ$190,,MATCH(SUBSTITUTE(AL$3,"Q","T"),Inputs!$B$2:$AZ$2,0)),Inputs!$B$2:$B$190,$B76)*Inputs!$D$1),"",SUMIFS(INDEX(Inputs!$B$2:$AZ$190,,MATCH(SUBSTITUTE(AL$3,"Q","T"),Inputs!$B$2:$AZ$2,0)),Inputs!$B$2:$B$190,$B76)*Inputs!$D$1)</f>
        <v>0</v>
      </c>
      <c r="AM76" s="58">
        <f>SUM(AI76:AL76)</f>
        <v>-2457.414</v>
      </c>
      <c r="AN76" s="57">
        <f>IF(ISNA(SUMIFS(INDEX(Inputs!$B$2:$AZ$190,,MATCH(SUBSTITUTE(AN$3,"Q","T"),Inputs!$B$2:$AZ$2,0)),Inputs!$B$2:$B$190,$B76)*Inputs!$D$1),"",SUMIFS(INDEX(Inputs!$B$2:$AZ$190,,MATCH(SUBSTITUTE(AN$3,"Q","T"),Inputs!$B$2:$AZ$2,0)),Inputs!$B$2:$B$190,$B76)*Inputs!$D$1)</f>
        <v>0</v>
      </c>
      <c r="AO76" s="57">
        <f>IF(ISNA(SUMIFS(INDEX(Inputs!$B$2:$AZ$190,,MATCH(SUBSTITUTE(AO$3,"Q","T"),Inputs!$B$2:$AZ$2,0)),Inputs!$B$2:$B$190,$B76)*Inputs!$D$1),"",SUMIFS(INDEX(Inputs!$B$2:$AZ$190,,MATCH(SUBSTITUTE(AO$3,"Q","T"),Inputs!$B$2:$AZ$2,0)),Inputs!$B$2:$B$190,$B76)*Inputs!$D$1)</f>
        <v>0</v>
      </c>
      <c r="AP76" s="57">
        <f>IF(ISNA(SUMIFS(INDEX(Inputs!$B$2:$AZ$190,,MATCH(SUBSTITUTE(AP$3,"Q","T"),Inputs!$B$2:$AZ$2,0)),Inputs!$B$2:$B$190,$B76)*Inputs!$D$1),"",SUMIFS(INDEX(Inputs!$B$2:$AZ$190,,MATCH(SUBSTITUTE(AP$3,"Q","T"),Inputs!$B$2:$AZ$2,0)),Inputs!$B$2:$B$190,$B76)*Inputs!$D$1)</f>
        <v>0</v>
      </c>
      <c r="AQ76" s="57">
        <f>IF(ISNA(SUMIFS(INDEX(Inputs!$B$2:$AZ$190,,MATCH(SUBSTITUTE(AQ$3,"Q","T"),Inputs!$B$2:$AZ$2,0)),Inputs!$B$2:$B$190,$B76)*Inputs!$D$1),"",SUMIFS(INDEX(Inputs!$B$2:$AZ$190,,MATCH(SUBSTITUTE(AQ$3,"Q","T"),Inputs!$B$2:$AZ$2,0)),Inputs!$B$2:$B$190,$B76)*Inputs!$D$1)</f>
        <v>0</v>
      </c>
      <c r="AR76" s="58">
        <f>SUM(AN76:AQ76)</f>
        <v>0</v>
      </c>
      <c r="AS76" s="57">
        <f>IF(ISNA(SUMIFS(INDEX(Inputs!$B$2:$AZ$190,,MATCH(SUBSTITUTE(AS$3,"Q","T"),Inputs!$B$2:$AZ$2,0)),Inputs!$B$2:$B$190,$B76)*Inputs!$D$1),"",SUMIFS(INDEX(Inputs!$B$2:$AZ$190,,MATCH(SUBSTITUTE(AS$3,"Q","T"),Inputs!$B$2:$AZ$2,0)),Inputs!$B$2:$B$190,$B76)*Inputs!$D$1)</f>
        <v>0</v>
      </c>
      <c r="AT76" s="57">
        <f>IF(ISNA(SUMIFS(INDEX(Inputs!$B$2:$AZ$190,,MATCH(SUBSTITUTE(AT$3,"Q","T"),Inputs!$B$2:$AZ$2,0)),Inputs!$B$2:$B$190,$B76)*Inputs!$D$1),"",SUMIFS(INDEX(Inputs!$B$2:$AZ$190,,MATCH(SUBSTITUTE(AT$3,"Q","T"),Inputs!$B$2:$AZ$2,0)),Inputs!$B$2:$B$190,$B76)*Inputs!$D$1)</f>
        <v>0</v>
      </c>
      <c r="AU76" s="57">
        <f>IF(ISNA(SUMIFS(INDEX(Inputs!$B$2:$AZ$190,,MATCH(SUBSTITUTE(AU$3,"Q","T"),Inputs!$B$2:$AZ$2,0)),Inputs!$B$2:$B$190,$B76)*Inputs!$D$1),"",SUMIFS(INDEX(Inputs!$B$2:$AZ$190,,MATCH(SUBSTITUTE(AU$3,"Q","T"),Inputs!$B$2:$AZ$2,0)),Inputs!$B$2:$B$190,$B76)*Inputs!$D$1)</f>
        <v>0</v>
      </c>
      <c r="AV76" s="57">
        <f>IF(ISNA(SUMIFS(INDEX(Inputs!$B$2:$AZ$190,,MATCH(SUBSTITUTE(AV$3,"Q","T"),Inputs!$B$2:$AZ$2,0)),Inputs!$B$2:$B$190,$B76)*Inputs!$D$1),"",SUMIFS(INDEX(Inputs!$B$2:$AZ$190,,MATCH(SUBSTITUTE(AV$3,"Q","T"),Inputs!$B$2:$AZ$2,0)),Inputs!$B$2:$B$190,$B76)*Inputs!$D$1)</f>
        <v>0</v>
      </c>
      <c r="AW76" s="58">
        <f>SUM(AS76:AV76)</f>
        <v>0</v>
      </c>
      <c r="AX76" s="57">
        <f>IF(ISNA(SUMIFS(INDEX(Inputs!$B$2:$AZ$190,,MATCH(SUBSTITUTE(AX$3,"Q","T"),Inputs!$B$2:$AZ$2,0)),Inputs!$B$2:$B$190,$B76)*Inputs!$D$1),"",SUMIFS(INDEX(Inputs!$B$2:$AZ$190,,MATCH(SUBSTITUTE(AX$3,"Q","T"),Inputs!$B$2:$AZ$2,0)),Inputs!$B$2:$B$190,$B76)*Inputs!$D$1)</f>
        <v>0</v>
      </c>
      <c r="AY76" s="57">
        <f>IF(ISNA(SUMIFS(INDEX(Inputs!$B$2:$AZ$190,,MATCH(SUBSTITUTE(AY$3,"Q","T"),Inputs!$B$2:$AZ$2,0)),Inputs!$B$2:$B$190,$B76)*Inputs!$D$1),"",SUMIFS(INDEX(Inputs!$B$2:$AZ$190,,MATCH(SUBSTITUTE(AY$3,"Q","T"),Inputs!$B$2:$AZ$2,0)),Inputs!$B$2:$B$190,$B76)*Inputs!$D$1)</f>
        <v>0</v>
      </c>
      <c r="AZ76" s="57">
        <f>IF(ISNA(SUMIFS(INDEX(Inputs!$B$2:$AZ$190,,MATCH(SUBSTITUTE(AZ$3,"Q","T"),Inputs!$B$2:$AZ$2,0)),Inputs!$B$2:$B$190,$B76)*Inputs!$D$1),"",SUMIFS(INDEX(Inputs!$B$2:$AZ$190,,MATCH(SUBSTITUTE(AZ$3,"Q","T"),Inputs!$B$2:$AZ$2,0)),Inputs!$B$2:$B$190,$B76)*Inputs!$D$1)</f>
        <v>0</v>
      </c>
      <c r="BA76" s="57">
        <f>IF(ISNA(SUMIFS(INDEX(Inputs!$B$2:$AZ$190,,MATCH(SUBSTITUTE(BA$3,"Q","T"),Inputs!$B$2:$AZ$2,0)),Inputs!$B$2:$B$190,$B76)*Inputs!$D$1),"",SUMIFS(INDEX(Inputs!$B$2:$AZ$190,,MATCH(SUBSTITUTE(BA$3,"Q","T"),Inputs!$B$2:$AZ$2,0)),Inputs!$B$2:$B$190,$B76)*Inputs!$D$1)</f>
        <v>0</v>
      </c>
      <c r="BB76" s="58">
        <f>SUM(AX76:BA76)</f>
        <v>0</v>
      </c>
      <c r="BC76" s="57">
        <f>IF(ISNA(SUMIFS(INDEX(Inputs!$B$2:$AZ$190,,MATCH(SUBSTITUTE(BC$3,"Q","T"),Inputs!$B$2:$AZ$2,0)),Inputs!$B$2:$B$190,$B76)*Inputs!$D$1),"",SUMIFS(INDEX(Inputs!$B$2:$AZ$190,,MATCH(SUBSTITUTE(BC$3,"Q","T"),Inputs!$B$2:$AZ$2,0)),Inputs!$B$2:$B$190,$B76)*Inputs!$D$1)</f>
        <v>0</v>
      </c>
      <c r="BD76" s="57">
        <f>IF(ISNA(SUMIFS(INDEX(Inputs!$B$2:$AZ$190,,MATCH(SUBSTITUTE(BD$3,"Q","T"),Inputs!$B$2:$AZ$2,0)),Inputs!$B$2:$B$190,$B76)*Inputs!$D$1),"",SUMIFS(INDEX(Inputs!$B$2:$AZ$190,,MATCH(SUBSTITUTE(BD$3,"Q","T"),Inputs!$B$2:$AZ$2,0)),Inputs!$B$2:$B$190,$B76)*Inputs!$D$1)</f>
        <v>0</v>
      </c>
      <c r="BE76" s="57">
        <f>IF(ISNA(SUMIFS(INDEX(Inputs!$B$2:$AZ$190,,MATCH(SUBSTITUTE(BE$3,"Q","T"),Inputs!$B$2:$AZ$2,0)),Inputs!$B$2:$B$190,$B76)*Inputs!$D$1),"",SUMIFS(INDEX(Inputs!$B$2:$AZ$190,,MATCH(SUBSTITUTE(BE$3,"Q","T"),Inputs!$B$2:$AZ$2,0)),Inputs!$B$2:$B$190,$B76)*Inputs!$D$1)</f>
        <v>0</v>
      </c>
      <c r="BF76" s="57">
        <f>IF(ISNA(SUMIFS(INDEX(Inputs!$B$2:$AZ$190,,MATCH(SUBSTITUTE(BF$3,"Q","T"),Inputs!$B$2:$AZ$2,0)),Inputs!$B$2:$B$190,$B76)*Inputs!$D$1),"",SUMIFS(INDEX(Inputs!$B$2:$AZ$190,,MATCH(SUBSTITUTE(BF$3,"Q","T"),Inputs!$B$2:$AZ$2,0)),Inputs!$B$2:$B$190,$B76)*Inputs!$D$1)</f>
        <v>0</v>
      </c>
      <c r="BG76" s="58">
        <f>SUM(BC76:BF76)</f>
        <v>0</v>
      </c>
    </row>
    <row r="77" hidden="1" outlineLevel="1">
      <c r="B77" s="56" t="inlineStr">
        <is>
          <t>desp_div</t>
        </is>
      </c>
      <c r="C77" s="61" t="inlineStr">
        <is>
          <t>(Instrumentos de Dívida)</t>
        </is>
      </c>
      <c r="D77" s="62" t="inlineStr">
        <is>
          <t>(Debt Instruments)</t>
        </is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0</v>
      </c>
      <c r="F77" s="57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>0</v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0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0</v>
      </c>
      <c r="I77" s="58">
        <f>SUM(E77:H77)</f>
        <v>0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0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0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0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0</v>
      </c>
      <c r="N77" s="58">
        <f>SUM(J77:M77)</f>
        <v>0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0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0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0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0</v>
      </c>
      <c r="S77" s="58">
        <f>SUM(O77:R77)</f>
        <v>0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0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0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0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0</v>
      </c>
      <c r="X77" s="58">
        <f>SUM(T77:W77)</f>
        <v>0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0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0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0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0</v>
      </c>
      <c r="AC77" s="58">
        <f>SUM(Y77:AB77)</f>
        <v>0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0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0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0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0</v>
      </c>
      <c r="AH77" s="58">
        <f>SUM(AD77:AG77)</f>
        <v>0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0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0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>SUM(AI77:AL77)</f>
        <v>0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>SUM(AN77:AQ77)</f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>SUM(AS77:AV77)</f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>SUM(AX77:BA77)</f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>SUM(BC77:BF77)</f>
        <v>0</v>
      </c>
    </row>
    <row r="78" hidden="1" outlineLevel="1">
      <c r="B78" s="56" t="inlineStr">
        <is>
          <t>desp_emp</t>
        </is>
      </c>
      <c r="C78" s="61" t="inlineStr">
        <is>
          <t>(Empréstimos e Repasses)</t>
        </is>
      </c>
      <c r="D78" s="62" t="inlineStr">
        <is>
          <t>(Borrowings and On-lending)</t>
        </is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-3465.532</v>
      </c>
      <c r="F78" s="57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>-1284.104</v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-893.222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951.943</v>
      </c>
      <c r="I78" s="58">
        <f>SUM(E78:H78)</f>
        <v>-4690.915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-1573.672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1771.299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-1367.46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-634.948</v>
      </c>
      <c r="N78" s="58">
        <f>SUM(J78:M78)</f>
        <v>-1804.781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2141.074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-1324.844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-571.9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357.86</v>
      </c>
      <c r="S78" s="58">
        <f>SUM(O78:R78)</f>
        <v>602.19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79.262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400.567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-826.354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288.566</v>
      </c>
      <c r="X78" s="58">
        <f>SUM(T78:W78)</f>
        <v>-57.9590000000001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-628.414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-1535.374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144.432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-2062.491</v>
      </c>
      <c r="AC78" s="58">
        <f>SUM(Y78:AB78)</f>
        <v>-4081.847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-132.203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-81.46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-196.662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-231.137</v>
      </c>
      <c r="AH78" s="58">
        <f>SUM(AD78:AG78)</f>
        <v>-641.462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-218.498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-241.807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>SUM(AI78:AL78)</f>
        <v>-460.305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>SUM(AN78:AQ78)</f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>SUM(AS78:AV78)</f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>SUM(AX78:BA78)</f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>SUM(BC78:BF78)</f>
        <v>0</v>
      </c>
    </row>
    <row r="79" hidden="1" outlineLevel="1">
      <c r="B79" s="56" t="inlineStr">
        <is>
          <t>desp_prov_tec</t>
        </is>
      </c>
      <c r="C79" s="61" t="inlineStr">
        <is>
          <t>(Despesas Fin. de Provisões Técnicas)</t>
        </is>
      </c>
      <c r="D79" s="62" t="inlineStr">
        <is>
          <t>(Financial Expenses from Technical Provisions)</t>
        </is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0</v>
      </c>
      <c r="F79" s="57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>0</v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0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0</v>
      </c>
      <c r="I79" s="58">
        <f>SUM(E79:H79)</f>
        <v>0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0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0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0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0</v>
      </c>
      <c r="N79" s="58">
        <f>SUM(J79:M79)</f>
        <v>0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0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0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0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0</v>
      </c>
      <c r="S79" s="58">
        <f>SUM(O79:R79)</f>
        <v>0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0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0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0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0</v>
      </c>
      <c r="X79" s="58">
        <f>SUM(T79:W79)</f>
        <v>0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0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0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0</v>
      </c>
      <c r="AC79" s="58">
        <f>SUM(Y79:AB79)</f>
        <v>0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0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0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0</v>
      </c>
      <c r="AH79" s="58">
        <f>SUM(AD79:AG79)</f>
        <v>0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0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0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>SUM(AI79:AL79)</f>
        <v>0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>SUM(AN79:AQ79)</f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>SUM(AS79:AV79)</f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>SUM(AX79:BA79)</f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>SUM(BC79:BF79)</f>
        <v>0</v>
      </c>
    </row>
    <row r="80">
      <c r="C80" s="53" t="inlineStr">
        <is>
          <t>Resultado da Intermediação antes da Perda Esperada</t>
        </is>
      </c>
      <c r="D80" s="54" t="inlineStr">
        <is>
          <t>Intermediation Result before ECL</t>
        </is>
      </c>
      <c r="E80" s="59">
        <f>IFERROR(E70+E75,"")</f>
        <v>-239.095</v>
      </c>
      <c r="F80" s="59">
        <f>IFERROR(F70+F75,"")</f>
        <v>76.8509999999999</v>
      </c>
      <c r="G80" s="59">
        <f>IFERROR(G70+G75,"")</f>
        <v>195.199</v>
      </c>
      <c r="H80" s="59">
        <f>IFERROR(H70+H75,"")</f>
        <v>357.392</v>
      </c>
      <c r="I80" s="60">
        <f>SUM(E80:H80)</f>
        <v>390.347</v>
      </c>
      <c r="J80" s="59">
        <f>IFERROR(J70+J75,"")</f>
        <v>197.516</v>
      </c>
      <c r="K80" s="59">
        <f>IFERROR(K70+K75,"")</f>
        <v>456.262</v>
      </c>
      <c r="L80" s="59">
        <f>IFERROR(L70+L75,"")</f>
        <v>242.555</v>
      </c>
      <c r="M80" s="59">
        <f>IFERROR(M70+M75,"")</f>
        <v>294.068</v>
      </c>
      <c r="N80" s="60">
        <f>SUM(J80:M80)</f>
        <v>1190.401</v>
      </c>
      <c r="O80" s="59">
        <f>IFERROR(O70+O75,"")</f>
        <v>431.377</v>
      </c>
      <c r="P80" s="59">
        <f>IFERROR(P70+P75,"")</f>
        <v>405.619</v>
      </c>
      <c r="Q80" s="59">
        <f>IFERROR(Q70+Q75,"")</f>
        <v>471.425</v>
      </c>
      <c r="R80" s="59">
        <f>IFERROR(R70+R75,"")</f>
        <v>495.015</v>
      </c>
      <c r="S80" s="60">
        <f>SUM(O80:R80)</f>
        <v>1803.436</v>
      </c>
      <c r="T80" s="59">
        <f>IFERROR(T70+T75,"")</f>
        <v>454.377</v>
      </c>
      <c r="U80" s="59">
        <f>IFERROR(U70+U75,"")</f>
        <v>472.692</v>
      </c>
      <c r="V80" s="59">
        <f>IFERROR(V70+V75,"")</f>
        <v>478.425</v>
      </c>
      <c r="W80" s="59">
        <f>IFERROR(W70+W75,"")</f>
        <v>448.217</v>
      </c>
      <c r="X80" s="60">
        <f>SUM(T80:W80)</f>
        <v>1853.711</v>
      </c>
      <c r="Y80" s="59">
        <f>IFERROR(Y70+Y75,"")</f>
        <v>430.947</v>
      </c>
      <c r="Z80" s="59">
        <f>IFERROR(Z70+Z75,"")</f>
        <v>451.874</v>
      </c>
      <c r="AA80" s="59">
        <f>IFERROR(AA70+AA75,"")</f>
        <v>566.045</v>
      </c>
      <c r="AB80" s="59">
        <f>IFERROR(AB70+AB75,"")</f>
        <v>502.818</v>
      </c>
      <c r="AC80" s="60">
        <f>SUM(Y80:AB80)</f>
        <v>1951.684</v>
      </c>
      <c r="AD80" s="59">
        <f>IFERROR(AD70+AD75,"")</f>
        <v>520.767</v>
      </c>
      <c r="AE80" s="59">
        <f>IFERROR(AE70+AE75,"")</f>
        <v>528.644</v>
      </c>
      <c r="AF80" s="59">
        <f>IFERROR(AF70+AF75,"")</f>
        <v>650.347</v>
      </c>
      <c r="AG80" s="59">
        <f>IFERROR(AG70+AG75,"")</f>
        <v>605.284</v>
      </c>
      <c r="AH80" s="60">
        <f>SUM(AD80:AG80)</f>
        <v>2305.042</v>
      </c>
      <c r="AI80" s="59">
        <f>IFERROR(AI70+AI75,"")</f>
        <v>584.268</v>
      </c>
      <c r="AJ80" s="59">
        <f>IFERROR(AJ70+AJ75,"")</f>
        <v>628.193</v>
      </c>
      <c r="AK80" s="59">
        <f>IFERROR(AK70+AK75,"")</f>
        <v>0</v>
      </c>
      <c r="AL80" s="59">
        <f>IFERROR(AL70+AL75,"")</f>
        <v>0</v>
      </c>
      <c r="AM80" s="60">
        <f>SUM(AI80:AL80)</f>
        <v>1212.461</v>
      </c>
      <c r="AN80" s="59">
        <f>IFERROR(AN70+AN75,"")</f>
        <v>0</v>
      </c>
      <c r="AO80" s="59">
        <f>IFERROR(AO70+AO75,"")</f>
        <v>0</v>
      </c>
      <c r="AP80" s="59">
        <f>IFERROR(AP70+AP75,"")</f>
        <v>0</v>
      </c>
      <c r="AQ80" s="59">
        <f>IFERROR(AQ70+AQ75,"")</f>
        <v>0</v>
      </c>
      <c r="AR80" s="60">
        <f>SUM(AN80:AQ80)</f>
        <v>0</v>
      </c>
      <c r="AS80" s="59">
        <f>IFERROR(AS70+AS75,"")</f>
        <v>0</v>
      </c>
      <c r="AT80" s="59">
        <f>IFERROR(AT70+AT75,"")</f>
        <v>0</v>
      </c>
      <c r="AU80" s="59">
        <f>IFERROR(AU70+AU75,"")</f>
        <v>0</v>
      </c>
      <c r="AV80" s="59">
        <f>IFERROR(AV70+AV75,"")</f>
        <v>0</v>
      </c>
      <c r="AW80" s="60">
        <f>SUM(AS80:AV80)</f>
        <v>0</v>
      </c>
      <c r="AX80" s="59">
        <f>IFERROR(AX70+AX75,"")</f>
        <v>0</v>
      </c>
      <c r="AY80" s="59">
        <f>IFERROR(AY70+AY75,"")</f>
        <v>0</v>
      </c>
      <c r="AZ80" s="59">
        <f>IFERROR(AZ70+AZ75,"")</f>
        <v>0</v>
      </c>
      <c r="BA80" s="59">
        <f>IFERROR(BA70+BA75,"")</f>
        <v>0</v>
      </c>
      <c r="BB80" s="60">
        <f>SUM(AX80:BA80)</f>
        <v>0</v>
      </c>
      <c r="BC80" s="59">
        <f>IFERROR(BC70+BC75,"")</f>
        <v>0</v>
      </c>
      <c r="BD80" s="59">
        <f>IFERROR(BD70+BD75,"")</f>
        <v>0</v>
      </c>
      <c r="BE80" s="59">
        <f>IFERROR(BE70+BE75,"")</f>
        <v>0</v>
      </c>
      <c r="BF80" s="59">
        <f>IFERROR(BF70+BF75,"")</f>
        <v>0</v>
      </c>
      <c r="BG80" s="60">
        <f>SUM(BC80:BF80)</f>
        <v>0</v>
      </c>
    </row>
    <row r="81">
      <c r="C81" s="15" t="inlineStr">
        <is>
          <t>Resultado de Perda de Crédito Esperada</t>
        </is>
      </c>
      <c r="D81" s="16" t="inlineStr">
        <is>
          <t>Result from Expected Credit Losses</t>
        </is>
      </c>
      <c r="E81" s="59">
        <f>IFERROR(E82+E83,"")</f>
        <v>-60.816</v>
      </c>
      <c r="F81" s="59">
        <f>IFERROR(F82+F83,"")</f>
        <v>-93.205</v>
      </c>
      <c r="G81" s="59">
        <f>IFERROR(G82+G83,"")</f>
        <v>-64.548</v>
      </c>
      <c r="H81" s="59">
        <f>IFERROR(H82+H83,"")</f>
        <v>-36.205</v>
      </c>
      <c r="I81" s="60">
        <f>SUM(E81:H81)</f>
        <v>-254.774</v>
      </c>
      <c r="J81" s="59">
        <f>IFERROR(J82+J83,"")</f>
        <v>-34.449</v>
      </c>
      <c r="K81" s="59">
        <f>IFERROR(K82+K83,"")</f>
        <v>-46.535</v>
      </c>
      <c r="L81" s="59">
        <f>IFERROR(L82+L83,"")</f>
        <v>-35.722</v>
      </c>
      <c r="M81" s="59">
        <f>IFERROR(M82+M83,"")</f>
        <v>-42.185</v>
      </c>
      <c r="N81" s="60">
        <f>SUM(J81:M81)</f>
        <v>-158.891</v>
      </c>
      <c r="O81" s="59">
        <f>IFERROR(O82+O83,"")</f>
        <v>-26.486</v>
      </c>
      <c r="P81" s="59">
        <f>IFERROR(P82+P83,"")</f>
        <v>-31.46</v>
      </c>
      <c r="Q81" s="59">
        <f>IFERROR(Q82+Q83,"")</f>
        <v>-52.909</v>
      </c>
      <c r="R81" s="59">
        <f>IFERROR(R82+R83,"")</f>
        <v>-119.171</v>
      </c>
      <c r="S81" s="60">
        <f>SUM(O81:R81)</f>
        <v>-230.026</v>
      </c>
      <c r="T81" s="59">
        <f>IFERROR(T82+T83,"")</f>
        <v>-104.705</v>
      </c>
      <c r="U81" s="59">
        <f>IFERROR(U82+U83,"")</f>
        <v>-68.878</v>
      </c>
      <c r="V81" s="59">
        <f>IFERROR(V82+V83,"")</f>
        <v>-68.327</v>
      </c>
      <c r="W81" s="59">
        <f>IFERROR(W82+W83,"")</f>
        <v>-83.143</v>
      </c>
      <c r="X81" s="60">
        <f>SUM(T81:W81)</f>
        <v>-325.053</v>
      </c>
      <c r="Y81" s="59">
        <f>IFERROR(Y82+Y83,"")</f>
        <v>-37.15</v>
      </c>
      <c r="Z81" s="59">
        <f>IFERROR(Z82+Z83,"")</f>
        <v>-16.347</v>
      </c>
      <c r="AA81" s="59">
        <f>IFERROR(AA82+AA83,"")</f>
        <v>-70.824</v>
      </c>
      <c r="AB81" s="59">
        <f>IFERROR(AB82+AB83,"")</f>
        <v>-68.977</v>
      </c>
      <c r="AC81" s="60">
        <f>SUM(Y81:AB81)</f>
        <v>-193.298</v>
      </c>
      <c r="AD81" s="59">
        <f>IFERROR(AD82+AD83,"")</f>
        <v>-89.497</v>
      </c>
      <c r="AE81" s="59">
        <f>IFERROR(AE82+AE83,"")</f>
        <v>-80.387</v>
      </c>
      <c r="AF81" s="59">
        <f>IFERROR(AF82+AF83,"")</f>
        <v>-118.877</v>
      </c>
      <c r="AG81" s="59">
        <f>IFERROR(AG82+AG83,"")</f>
        <v>-124.871</v>
      </c>
      <c r="AH81" s="60">
        <f>SUM(AD81:AG81)</f>
        <v>-413.632</v>
      </c>
      <c r="AI81" s="59">
        <f>IFERROR(AI82+AI83,"")</f>
        <v>-110.326</v>
      </c>
      <c r="AJ81" s="59">
        <f>IFERROR(AJ82+AJ83,"")</f>
        <v>-107.725</v>
      </c>
      <c r="AK81" s="59">
        <f>IFERROR(AK82+AK83,"")</f>
        <v>0</v>
      </c>
      <c r="AL81" s="59">
        <f>IFERROR(AL82+AL83,"")</f>
        <v>0</v>
      </c>
      <c r="AM81" s="60">
        <f>SUM(AI81:AL81)</f>
        <v>-218.051</v>
      </c>
      <c r="AN81" s="59">
        <f>IFERROR(AN82+AN83,"")</f>
        <v>0</v>
      </c>
      <c r="AO81" s="59">
        <f>IFERROR(AO82+AO83,"")</f>
        <v>0</v>
      </c>
      <c r="AP81" s="59">
        <f>IFERROR(AP82+AP83,"")</f>
        <v>0</v>
      </c>
      <c r="AQ81" s="59">
        <f>IFERROR(AQ82+AQ83,"")</f>
        <v>0</v>
      </c>
      <c r="AR81" s="60">
        <f>SUM(AN81:AQ81)</f>
        <v>0</v>
      </c>
      <c r="AS81" s="59">
        <f>IFERROR(AS82+AS83,"")</f>
        <v>0</v>
      </c>
      <c r="AT81" s="59">
        <f>IFERROR(AT82+AT83,"")</f>
        <v>0</v>
      </c>
      <c r="AU81" s="59">
        <f>IFERROR(AU82+AU83,"")</f>
        <v>0</v>
      </c>
      <c r="AV81" s="59">
        <f>IFERROR(AV82+AV83,"")</f>
        <v>0</v>
      </c>
      <c r="AW81" s="60">
        <f>SUM(AS81:AV81)</f>
        <v>0</v>
      </c>
      <c r="AX81" s="59">
        <f>IFERROR(AX82+AX83,"")</f>
        <v>0</v>
      </c>
      <c r="AY81" s="59">
        <f>IFERROR(AY82+AY83,"")</f>
        <v>0</v>
      </c>
      <c r="AZ81" s="59">
        <f>IFERROR(AZ82+AZ83,"")</f>
        <v>0</v>
      </c>
      <c r="BA81" s="59">
        <f>IFERROR(BA82+BA83,"")</f>
        <v>0</v>
      </c>
      <c r="BB81" s="60">
        <f>SUM(AX81:BA81)</f>
        <v>0</v>
      </c>
      <c r="BC81" s="59">
        <f>IFERROR(BC82+BC83,"")</f>
        <v>0</v>
      </c>
      <c r="BD81" s="59">
        <f>IFERROR(BD82+BD83,"")</f>
        <v>0</v>
      </c>
      <c r="BE81" s="59">
        <f>IFERROR(BE82+BE83,"")</f>
        <v>0</v>
      </c>
      <c r="BF81" s="59">
        <f>IFERROR(BF82+BF83,"")</f>
        <v>0</v>
      </c>
      <c r="BG81" s="60">
        <f>SUM(BC81:BF81)</f>
        <v>0</v>
      </c>
    </row>
    <row r="82" hidden="1" outlineLevel="1">
      <c r="B82" s="56" t="inlineStr">
        <is>
          <t>pdd_desp</t>
        </is>
      </c>
      <c r="C82" s="61" t="inlineStr">
        <is>
          <t>(Despesa de Provisão para Perda Esperada)</t>
        </is>
      </c>
      <c r="D82" s="62" t="inlineStr">
        <is>
          <t>(ECL Provision Expense)</t>
        </is>
      </c>
      <c r="E82" s="57">
        <f>IF(ISNA(SUMIFS(INDEX(Inputs!$B$2:$AZ$190,,MATCH(SUBSTITUTE(E$3,"Q","T"),Inputs!$B$2:$AZ$2,0)),Inputs!$B$2:$B$190,$B82)*Inputs!$D$1),"",SUMIFS(INDEX(Inputs!$B$2:$AZ$190,,MATCH(SUBSTITUTE(E$3,"Q","T"),Inputs!$B$2:$AZ$2,0)),Inputs!$B$2:$B$190,$B82)*Inputs!$D$1)</f>
        <v>-60.816</v>
      </c>
      <c r="F82" s="57">
        <f>IF(ISNA(SUMIFS(INDEX(Inputs!$B$2:$AZ$190,,MATCH(SUBSTITUTE(F$3,"Q","T"),Inputs!$B$2:$AZ$2,0)),Inputs!$B$2:$B$190,$B82)*Inputs!$D$1),"",SUMIFS(INDEX(Inputs!$B$2:$AZ$190,,MATCH(SUBSTITUTE(F$3,"Q","T"),Inputs!$B$2:$AZ$2,0)),Inputs!$B$2:$B$190,$B82)*Inputs!$D$1)</f>
        <v>-93.205</v>
      </c>
      <c r="G82" s="57">
        <f>IF(ISNA(SUMIFS(INDEX(Inputs!$B$2:$AZ$190,,MATCH(SUBSTITUTE(G$3,"Q","T"),Inputs!$B$2:$AZ$2,0)),Inputs!$B$2:$B$190,$B82)*Inputs!$D$1),"",SUMIFS(INDEX(Inputs!$B$2:$AZ$190,,MATCH(SUBSTITUTE(G$3,"Q","T"),Inputs!$B$2:$AZ$2,0)),Inputs!$B$2:$B$190,$B82)*Inputs!$D$1)</f>
        <v>-64.548</v>
      </c>
      <c r="H82" s="57">
        <f>IF(ISNA(SUMIFS(INDEX(Inputs!$B$2:$AZ$190,,MATCH(SUBSTITUTE(H$3,"Q","T"),Inputs!$B$2:$AZ$2,0)),Inputs!$B$2:$B$190,$B82)*Inputs!$D$1),"",SUMIFS(INDEX(Inputs!$B$2:$AZ$190,,MATCH(SUBSTITUTE(H$3,"Q","T"),Inputs!$B$2:$AZ$2,0)),Inputs!$B$2:$B$190,$B82)*Inputs!$D$1)</f>
        <v>-36.205</v>
      </c>
      <c r="I82" s="58">
        <f>SUM(E82:H82)</f>
        <v>-254.774</v>
      </c>
      <c r="J82" s="57">
        <f>IF(ISNA(SUMIFS(INDEX(Inputs!$B$2:$AZ$190,,MATCH(SUBSTITUTE(J$3,"Q","T"),Inputs!$B$2:$AZ$2,0)),Inputs!$B$2:$B$190,$B82)*Inputs!$D$1),"",SUMIFS(INDEX(Inputs!$B$2:$AZ$190,,MATCH(SUBSTITUTE(J$3,"Q","T"),Inputs!$B$2:$AZ$2,0)),Inputs!$B$2:$B$190,$B82)*Inputs!$D$1)</f>
        <v>-34.449</v>
      </c>
      <c r="K82" s="57">
        <f>IF(ISNA(SUMIFS(INDEX(Inputs!$B$2:$AZ$190,,MATCH(SUBSTITUTE(K$3,"Q","T"),Inputs!$B$2:$AZ$2,0)),Inputs!$B$2:$B$190,$B82)*Inputs!$D$1),"",SUMIFS(INDEX(Inputs!$B$2:$AZ$190,,MATCH(SUBSTITUTE(K$3,"Q","T"),Inputs!$B$2:$AZ$2,0)),Inputs!$B$2:$B$190,$B82)*Inputs!$D$1)</f>
        <v>-46.535</v>
      </c>
      <c r="L82" s="57">
        <f>IF(ISNA(SUMIFS(INDEX(Inputs!$B$2:$AZ$190,,MATCH(SUBSTITUTE(L$3,"Q","T"),Inputs!$B$2:$AZ$2,0)),Inputs!$B$2:$B$190,$B82)*Inputs!$D$1),"",SUMIFS(INDEX(Inputs!$B$2:$AZ$190,,MATCH(SUBSTITUTE(L$3,"Q","T"),Inputs!$B$2:$AZ$2,0)),Inputs!$B$2:$B$190,$B82)*Inputs!$D$1)</f>
        <v>-35.722</v>
      </c>
      <c r="M82" s="57">
        <f>IF(ISNA(SUMIFS(INDEX(Inputs!$B$2:$AZ$190,,MATCH(SUBSTITUTE(M$3,"Q","T"),Inputs!$B$2:$AZ$2,0)),Inputs!$B$2:$B$190,$B82)*Inputs!$D$1),"",SUMIFS(INDEX(Inputs!$B$2:$AZ$190,,MATCH(SUBSTITUTE(M$3,"Q","T"),Inputs!$B$2:$AZ$2,0)),Inputs!$B$2:$B$190,$B82)*Inputs!$D$1)</f>
        <v>-42.185</v>
      </c>
      <c r="N82" s="58">
        <f>SUM(J82:M82)</f>
        <v>-158.891</v>
      </c>
      <c r="O82" s="57">
        <f>IF(ISNA(SUMIFS(INDEX(Inputs!$B$2:$AZ$190,,MATCH(SUBSTITUTE(O$3,"Q","T"),Inputs!$B$2:$AZ$2,0)),Inputs!$B$2:$B$190,$B82)*Inputs!$D$1),"",SUMIFS(INDEX(Inputs!$B$2:$AZ$190,,MATCH(SUBSTITUTE(O$3,"Q","T"),Inputs!$B$2:$AZ$2,0)),Inputs!$B$2:$B$190,$B82)*Inputs!$D$1)</f>
        <v>-26.486</v>
      </c>
      <c r="P82" s="57">
        <f>IF(ISNA(SUMIFS(INDEX(Inputs!$B$2:$AZ$190,,MATCH(SUBSTITUTE(P$3,"Q","T"),Inputs!$B$2:$AZ$2,0)),Inputs!$B$2:$B$190,$B82)*Inputs!$D$1),"",SUMIFS(INDEX(Inputs!$B$2:$AZ$190,,MATCH(SUBSTITUTE(P$3,"Q","T"),Inputs!$B$2:$AZ$2,0)),Inputs!$B$2:$B$190,$B82)*Inputs!$D$1)</f>
        <v>-31.46</v>
      </c>
      <c r="Q82" s="57">
        <f>IF(ISNA(SUMIFS(INDEX(Inputs!$B$2:$AZ$190,,MATCH(SUBSTITUTE(Q$3,"Q","T"),Inputs!$B$2:$AZ$2,0)),Inputs!$B$2:$B$190,$B82)*Inputs!$D$1),"",SUMIFS(INDEX(Inputs!$B$2:$AZ$190,,MATCH(SUBSTITUTE(Q$3,"Q","T"),Inputs!$B$2:$AZ$2,0)),Inputs!$B$2:$B$190,$B82)*Inputs!$D$1)</f>
        <v>-52.909</v>
      </c>
      <c r="R82" s="57">
        <f>IF(ISNA(SUMIFS(INDEX(Inputs!$B$2:$AZ$190,,MATCH(SUBSTITUTE(R$3,"Q","T"),Inputs!$B$2:$AZ$2,0)),Inputs!$B$2:$B$190,$B82)*Inputs!$D$1),"",SUMIFS(INDEX(Inputs!$B$2:$AZ$190,,MATCH(SUBSTITUTE(R$3,"Q","T"),Inputs!$B$2:$AZ$2,0)),Inputs!$B$2:$B$190,$B82)*Inputs!$D$1)</f>
        <v>-119.171</v>
      </c>
      <c r="S82" s="58">
        <f>SUM(O82:R82)</f>
        <v>-230.026</v>
      </c>
      <c r="T82" s="57">
        <f>IF(ISNA(SUMIFS(INDEX(Inputs!$B$2:$AZ$190,,MATCH(SUBSTITUTE(T$3,"Q","T"),Inputs!$B$2:$AZ$2,0)),Inputs!$B$2:$B$190,$B82)*Inputs!$D$1),"",SUMIFS(INDEX(Inputs!$B$2:$AZ$190,,MATCH(SUBSTITUTE(T$3,"Q","T"),Inputs!$B$2:$AZ$2,0)),Inputs!$B$2:$B$190,$B82)*Inputs!$D$1)</f>
        <v>-104.705</v>
      </c>
      <c r="U82" s="57">
        <f>IF(ISNA(SUMIFS(INDEX(Inputs!$B$2:$AZ$190,,MATCH(SUBSTITUTE(U$3,"Q","T"),Inputs!$B$2:$AZ$2,0)),Inputs!$B$2:$B$190,$B82)*Inputs!$D$1),"",SUMIFS(INDEX(Inputs!$B$2:$AZ$190,,MATCH(SUBSTITUTE(U$3,"Q","T"),Inputs!$B$2:$AZ$2,0)),Inputs!$B$2:$B$190,$B82)*Inputs!$D$1)</f>
        <v>-68.878</v>
      </c>
      <c r="V82" s="57">
        <f>IF(ISNA(SUMIFS(INDEX(Inputs!$B$2:$AZ$190,,MATCH(SUBSTITUTE(V$3,"Q","T"),Inputs!$B$2:$AZ$2,0)),Inputs!$B$2:$B$190,$B82)*Inputs!$D$1),"",SUMIFS(INDEX(Inputs!$B$2:$AZ$190,,MATCH(SUBSTITUTE(V$3,"Q","T"),Inputs!$B$2:$AZ$2,0)),Inputs!$B$2:$B$190,$B82)*Inputs!$D$1)</f>
        <v>-68.327</v>
      </c>
      <c r="W82" s="57">
        <f>IF(ISNA(SUMIFS(INDEX(Inputs!$B$2:$AZ$190,,MATCH(SUBSTITUTE(W$3,"Q","T"),Inputs!$B$2:$AZ$2,0)),Inputs!$B$2:$B$190,$B82)*Inputs!$D$1),"",SUMIFS(INDEX(Inputs!$B$2:$AZ$190,,MATCH(SUBSTITUTE(W$3,"Q","T"),Inputs!$B$2:$AZ$2,0)),Inputs!$B$2:$B$190,$B82)*Inputs!$D$1)</f>
        <v>-83.143</v>
      </c>
      <c r="X82" s="58">
        <f>SUM(T82:W82)</f>
        <v>-325.053</v>
      </c>
      <c r="Y82" s="57">
        <f>IF(ISNA(SUMIFS(INDEX(Inputs!$B$2:$AZ$190,,MATCH(SUBSTITUTE(Y$3,"Q","T"),Inputs!$B$2:$AZ$2,0)),Inputs!$B$2:$B$190,$B82)*Inputs!$D$1),"",SUMIFS(INDEX(Inputs!$B$2:$AZ$190,,MATCH(SUBSTITUTE(Y$3,"Q","T"),Inputs!$B$2:$AZ$2,0)),Inputs!$B$2:$B$190,$B82)*Inputs!$D$1)</f>
        <v>-37.15</v>
      </c>
      <c r="Z82" s="57">
        <f>IF(ISNA(SUMIFS(INDEX(Inputs!$B$2:$AZ$190,,MATCH(SUBSTITUTE(Z$3,"Q","T"),Inputs!$B$2:$AZ$2,0)),Inputs!$B$2:$B$190,$B82)*Inputs!$D$1),"",SUMIFS(INDEX(Inputs!$B$2:$AZ$190,,MATCH(SUBSTITUTE(Z$3,"Q","T"),Inputs!$B$2:$AZ$2,0)),Inputs!$B$2:$B$190,$B82)*Inputs!$D$1)</f>
        <v>-16.347</v>
      </c>
      <c r="AA82" s="57">
        <f>IF(ISNA(SUMIFS(INDEX(Inputs!$B$2:$AZ$190,,MATCH(SUBSTITUTE(AA$3,"Q","T"),Inputs!$B$2:$AZ$2,0)),Inputs!$B$2:$B$190,$B82)*Inputs!$D$1),"",SUMIFS(INDEX(Inputs!$B$2:$AZ$190,,MATCH(SUBSTITUTE(AA$3,"Q","T"),Inputs!$B$2:$AZ$2,0)),Inputs!$B$2:$B$190,$B82)*Inputs!$D$1)</f>
        <v>-70.824</v>
      </c>
      <c r="AB82" s="57">
        <f>IF(ISNA(SUMIFS(INDEX(Inputs!$B$2:$AZ$190,,MATCH(SUBSTITUTE(AB$3,"Q","T"),Inputs!$B$2:$AZ$2,0)),Inputs!$B$2:$B$190,$B82)*Inputs!$D$1),"",SUMIFS(INDEX(Inputs!$B$2:$AZ$190,,MATCH(SUBSTITUTE(AB$3,"Q","T"),Inputs!$B$2:$AZ$2,0)),Inputs!$B$2:$B$190,$B82)*Inputs!$D$1)</f>
        <v>-68.977</v>
      </c>
      <c r="AC82" s="58">
        <f>SUM(Y82:AB82)</f>
        <v>-193.298</v>
      </c>
      <c r="AD82" s="57">
        <f>IF(ISNA(SUMIFS(INDEX(Inputs!$B$2:$AZ$190,,MATCH(SUBSTITUTE(AD$3,"Q","T"),Inputs!$B$2:$AZ$2,0)),Inputs!$B$2:$B$190,$B82)*Inputs!$D$1),"",SUMIFS(INDEX(Inputs!$B$2:$AZ$190,,MATCH(SUBSTITUTE(AD$3,"Q","T"),Inputs!$B$2:$AZ$2,0)),Inputs!$B$2:$B$190,$B82)*Inputs!$D$1)</f>
        <v>-89.497</v>
      </c>
      <c r="AE82" s="57">
        <f>IF(ISNA(SUMIFS(INDEX(Inputs!$B$2:$AZ$190,,MATCH(SUBSTITUTE(AE$3,"Q","T"),Inputs!$B$2:$AZ$2,0)),Inputs!$B$2:$B$190,$B82)*Inputs!$D$1),"",SUMIFS(INDEX(Inputs!$B$2:$AZ$190,,MATCH(SUBSTITUTE(AE$3,"Q","T"),Inputs!$B$2:$AZ$2,0)),Inputs!$B$2:$B$190,$B82)*Inputs!$D$1)</f>
        <v>-80.387</v>
      </c>
      <c r="AF82" s="57">
        <f>IF(ISNA(SUMIFS(INDEX(Inputs!$B$2:$AZ$190,,MATCH(SUBSTITUTE(AF$3,"Q","T"),Inputs!$B$2:$AZ$2,0)),Inputs!$B$2:$B$190,$B82)*Inputs!$D$1),"",SUMIFS(INDEX(Inputs!$B$2:$AZ$190,,MATCH(SUBSTITUTE(AF$3,"Q","T"),Inputs!$B$2:$AZ$2,0)),Inputs!$B$2:$B$190,$B82)*Inputs!$D$1)</f>
        <v>-118.877</v>
      </c>
      <c r="AG82" s="57">
        <f>IF(ISNA(SUMIFS(INDEX(Inputs!$B$2:$AZ$190,,MATCH(SUBSTITUTE(AG$3,"Q","T"),Inputs!$B$2:$AZ$2,0)),Inputs!$B$2:$B$190,$B82)*Inputs!$D$1),"",SUMIFS(INDEX(Inputs!$B$2:$AZ$190,,MATCH(SUBSTITUTE(AG$3,"Q","T"),Inputs!$B$2:$AZ$2,0)),Inputs!$B$2:$B$190,$B82)*Inputs!$D$1)</f>
        <v>-124.871</v>
      </c>
      <c r="AH82" s="58">
        <f>SUM(AD82:AG82)</f>
        <v>-413.632</v>
      </c>
      <c r="AI82" s="57">
        <f>IF(ISNA(SUMIFS(INDEX(Inputs!$B$2:$AZ$190,,MATCH(SUBSTITUTE(AI$3,"Q","T"),Inputs!$B$2:$AZ$2,0)),Inputs!$B$2:$B$190,$B82)*Inputs!$D$1),"",SUMIFS(INDEX(Inputs!$B$2:$AZ$190,,MATCH(SUBSTITUTE(AI$3,"Q","T"),Inputs!$B$2:$AZ$2,0)),Inputs!$B$2:$B$190,$B82)*Inputs!$D$1)</f>
        <v>-110.326</v>
      </c>
      <c r="AJ82" s="57">
        <f>IF(ISNA(SUMIFS(INDEX(Inputs!$B$2:$AZ$190,,MATCH(SUBSTITUTE(AJ$3,"Q","T"),Inputs!$B$2:$AZ$2,0)),Inputs!$B$2:$B$190,$B82)*Inputs!$D$1),"",SUMIFS(INDEX(Inputs!$B$2:$AZ$190,,MATCH(SUBSTITUTE(AJ$3,"Q","T"),Inputs!$B$2:$AZ$2,0)),Inputs!$B$2:$B$190,$B82)*Inputs!$D$1)</f>
        <v>-107.725</v>
      </c>
      <c r="AK82" s="57">
        <f>IF(ISNA(SUMIFS(INDEX(Inputs!$B$2:$AZ$190,,MATCH(SUBSTITUTE(AK$3,"Q","T"),Inputs!$B$2:$AZ$2,0)),Inputs!$B$2:$B$190,$B82)*Inputs!$D$1),"",SUMIFS(INDEX(Inputs!$B$2:$AZ$190,,MATCH(SUBSTITUTE(AK$3,"Q","T"),Inputs!$B$2:$AZ$2,0)),Inputs!$B$2:$B$190,$B82)*Inputs!$D$1)</f>
        <v>0</v>
      </c>
      <c r="AL82" s="57">
        <f>IF(ISNA(SUMIFS(INDEX(Inputs!$B$2:$AZ$190,,MATCH(SUBSTITUTE(AL$3,"Q","T"),Inputs!$B$2:$AZ$2,0)),Inputs!$B$2:$B$190,$B82)*Inputs!$D$1),"",SUMIFS(INDEX(Inputs!$B$2:$AZ$190,,MATCH(SUBSTITUTE(AL$3,"Q","T"),Inputs!$B$2:$AZ$2,0)),Inputs!$B$2:$B$190,$B82)*Inputs!$D$1)</f>
        <v>0</v>
      </c>
      <c r="AM82" s="58">
        <f>SUM(AI82:AL82)</f>
        <v>-218.051</v>
      </c>
      <c r="AN82" s="57">
        <f>IF(ISNA(SUMIFS(INDEX(Inputs!$B$2:$AZ$190,,MATCH(SUBSTITUTE(AN$3,"Q","T"),Inputs!$B$2:$AZ$2,0)),Inputs!$B$2:$B$190,$B82)*Inputs!$D$1),"",SUMIFS(INDEX(Inputs!$B$2:$AZ$190,,MATCH(SUBSTITUTE(AN$3,"Q","T"),Inputs!$B$2:$AZ$2,0)),Inputs!$B$2:$B$190,$B82)*Inputs!$D$1)</f>
        <v>0</v>
      </c>
      <c r="AO82" s="57">
        <f>IF(ISNA(SUMIFS(INDEX(Inputs!$B$2:$AZ$190,,MATCH(SUBSTITUTE(AO$3,"Q","T"),Inputs!$B$2:$AZ$2,0)),Inputs!$B$2:$B$190,$B82)*Inputs!$D$1),"",SUMIFS(INDEX(Inputs!$B$2:$AZ$190,,MATCH(SUBSTITUTE(AO$3,"Q","T"),Inputs!$B$2:$AZ$2,0)),Inputs!$B$2:$B$190,$B82)*Inputs!$D$1)</f>
        <v>0</v>
      </c>
      <c r="AP82" s="57">
        <f>IF(ISNA(SUMIFS(INDEX(Inputs!$B$2:$AZ$190,,MATCH(SUBSTITUTE(AP$3,"Q","T"),Inputs!$B$2:$AZ$2,0)),Inputs!$B$2:$B$190,$B82)*Inputs!$D$1),"",SUMIFS(INDEX(Inputs!$B$2:$AZ$190,,MATCH(SUBSTITUTE(AP$3,"Q","T"),Inputs!$B$2:$AZ$2,0)),Inputs!$B$2:$B$190,$B82)*Inputs!$D$1)</f>
        <v>0</v>
      </c>
      <c r="AQ82" s="57">
        <f>IF(ISNA(SUMIFS(INDEX(Inputs!$B$2:$AZ$190,,MATCH(SUBSTITUTE(AQ$3,"Q","T"),Inputs!$B$2:$AZ$2,0)),Inputs!$B$2:$B$190,$B82)*Inputs!$D$1),"",SUMIFS(INDEX(Inputs!$B$2:$AZ$190,,MATCH(SUBSTITUTE(AQ$3,"Q","T"),Inputs!$B$2:$AZ$2,0)),Inputs!$B$2:$B$190,$B82)*Inputs!$D$1)</f>
        <v>0</v>
      </c>
      <c r="AR82" s="58">
        <f>SUM(AN82:AQ82)</f>
        <v>0</v>
      </c>
      <c r="AS82" s="57">
        <f>IF(ISNA(SUMIFS(INDEX(Inputs!$B$2:$AZ$190,,MATCH(SUBSTITUTE(AS$3,"Q","T"),Inputs!$B$2:$AZ$2,0)),Inputs!$B$2:$B$190,$B82)*Inputs!$D$1),"",SUMIFS(INDEX(Inputs!$B$2:$AZ$190,,MATCH(SUBSTITUTE(AS$3,"Q","T"),Inputs!$B$2:$AZ$2,0)),Inputs!$B$2:$B$190,$B82)*Inputs!$D$1)</f>
        <v>0</v>
      </c>
      <c r="AT82" s="57">
        <f>IF(ISNA(SUMIFS(INDEX(Inputs!$B$2:$AZ$190,,MATCH(SUBSTITUTE(AT$3,"Q","T"),Inputs!$B$2:$AZ$2,0)),Inputs!$B$2:$B$190,$B82)*Inputs!$D$1),"",SUMIFS(INDEX(Inputs!$B$2:$AZ$190,,MATCH(SUBSTITUTE(AT$3,"Q","T"),Inputs!$B$2:$AZ$2,0)),Inputs!$B$2:$B$190,$B82)*Inputs!$D$1)</f>
        <v>0</v>
      </c>
      <c r="AU82" s="57">
        <f>IF(ISNA(SUMIFS(INDEX(Inputs!$B$2:$AZ$190,,MATCH(SUBSTITUTE(AU$3,"Q","T"),Inputs!$B$2:$AZ$2,0)),Inputs!$B$2:$B$190,$B82)*Inputs!$D$1),"",SUMIFS(INDEX(Inputs!$B$2:$AZ$190,,MATCH(SUBSTITUTE(AU$3,"Q","T"),Inputs!$B$2:$AZ$2,0)),Inputs!$B$2:$B$190,$B82)*Inputs!$D$1)</f>
        <v>0</v>
      </c>
      <c r="AV82" s="57">
        <f>IF(ISNA(SUMIFS(INDEX(Inputs!$B$2:$AZ$190,,MATCH(SUBSTITUTE(AV$3,"Q","T"),Inputs!$B$2:$AZ$2,0)),Inputs!$B$2:$B$190,$B82)*Inputs!$D$1),"",SUMIFS(INDEX(Inputs!$B$2:$AZ$190,,MATCH(SUBSTITUTE(AV$3,"Q","T"),Inputs!$B$2:$AZ$2,0)),Inputs!$B$2:$B$190,$B82)*Inputs!$D$1)</f>
        <v>0</v>
      </c>
      <c r="AW82" s="58">
        <f>SUM(AS82:AV82)</f>
        <v>0</v>
      </c>
      <c r="AX82" s="57">
        <f>IF(ISNA(SUMIFS(INDEX(Inputs!$B$2:$AZ$190,,MATCH(SUBSTITUTE(AX$3,"Q","T"),Inputs!$B$2:$AZ$2,0)),Inputs!$B$2:$B$190,$B82)*Inputs!$D$1),"",SUMIFS(INDEX(Inputs!$B$2:$AZ$190,,MATCH(SUBSTITUTE(AX$3,"Q","T"),Inputs!$B$2:$AZ$2,0)),Inputs!$B$2:$B$190,$B82)*Inputs!$D$1)</f>
        <v>0</v>
      </c>
      <c r="AY82" s="57">
        <f>IF(ISNA(SUMIFS(INDEX(Inputs!$B$2:$AZ$190,,MATCH(SUBSTITUTE(AY$3,"Q","T"),Inputs!$B$2:$AZ$2,0)),Inputs!$B$2:$B$190,$B82)*Inputs!$D$1),"",SUMIFS(INDEX(Inputs!$B$2:$AZ$190,,MATCH(SUBSTITUTE(AY$3,"Q","T"),Inputs!$B$2:$AZ$2,0)),Inputs!$B$2:$B$190,$B82)*Inputs!$D$1)</f>
        <v>0</v>
      </c>
      <c r="AZ82" s="57">
        <f>IF(ISNA(SUMIFS(INDEX(Inputs!$B$2:$AZ$190,,MATCH(SUBSTITUTE(AZ$3,"Q","T"),Inputs!$B$2:$AZ$2,0)),Inputs!$B$2:$B$190,$B82)*Inputs!$D$1),"",SUMIFS(INDEX(Inputs!$B$2:$AZ$190,,MATCH(SUBSTITUTE(AZ$3,"Q","T"),Inputs!$B$2:$AZ$2,0)),Inputs!$B$2:$B$190,$B82)*Inputs!$D$1)</f>
        <v>0</v>
      </c>
      <c r="BA82" s="57">
        <f>IF(ISNA(SUMIFS(INDEX(Inputs!$B$2:$AZ$190,,MATCH(SUBSTITUTE(BA$3,"Q","T"),Inputs!$B$2:$AZ$2,0)),Inputs!$B$2:$B$190,$B82)*Inputs!$D$1),"",SUMIFS(INDEX(Inputs!$B$2:$AZ$190,,MATCH(SUBSTITUTE(BA$3,"Q","T"),Inputs!$B$2:$AZ$2,0)),Inputs!$B$2:$B$190,$B82)*Inputs!$D$1)</f>
        <v>0</v>
      </c>
      <c r="BB82" s="58">
        <f>SUM(AX82:BA82)</f>
        <v>0</v>
      </c>
      <c r="BC82" s="57">
        <f>IF(ISNA(SUMIFS(INDEX(Inputs!$B$2:$AZ$190,,MATCH(SUBSTITUTE(BC$3,"Q","T"),Inputs!$B$2:$AZ$2,0)),Inputs!$B$2:$B$190,$B82)*Inputs!$D$1),"",SUMIFS(INDEX(Inputs!$B$2:$AZ$190,,MATCH(SUBSTITUTE(BC$3,"Q","T"),Inputs!$B$2:$AZ$2,0)),Inputs!$B$2:$B$190,$B82)*Inputs!$D$1)</f>
        <v>0</v>
      </c>
      <c r="BD82" s="57">
        <f>IF(ISNA(SUMIFS(INDEX(Inputs!$B$2:$AZ$190,,MATCH(SUBSTITUTE(BD$3,"Q","T"),Inputs!$B$2:$AZ$2,0)),Inputs!$B$2:$B$190,$B82)*Inputs!$D$1),"",SUMIFS(INDEX(Inputs!$B$2:$AZ$190,,MATCH(SUBSTITUTE(BD$3,"Q","T"),Inputs!$B$2:$AZ$2,0)),Inputs!$B$2:$B$190,$B82)*Inputs!$D$1)</f>
        <v>0</v>
      </c>
      <c r="BE82" s="57">
        <f>IF(ISNA(SUMIFS(INDEX(Inputs!$B$2:$AZ$190,,MATCH(SUBSTITUTE(BE$3,"Q","T"),Inputs!$B$2:$AZ$2,0)),Inputs!$B$2:$B$190,$B82)*Inputs!$D$1),"",SUMIFS(INDEX(Inputs!$B$2:$AZ$190,,MATCH(SUBSTITUTE(BE$3,"Q","T"),Inputs!$B$2:$AZ$2,0)),Inputs!$B$2:$B$190,$B82)*Inputs!$D$1)</f>
        <v>0</v>
      </c>
      <c r="BF82" s="57">
        <f>IF(ISNA(SUMIFS(INDEX(Inputs!$B$2:$AZ$190,,MATCH(SUBSTITUTE(BF$3,"Q","T"),Inputs!$B$2:$AZ$2,0)),Inputs!$B$2:$B$190,$B82)*Inputs!$D$1),"",SUMIFS(INDEX(Inputs!$B$2:$AZ$190,,MATCH(SUBSTITUTE(BF$3,"Q","T"),Inputs!$B$2:$AZ$2,0)),Inputs!$B$2:$B$190,$B82)*Inputs!$D$1)</f>
        <v>0</v>
      </c>
      <c r="BG82" s="58">
        <f>SUM(BC82:BF82)</f>
        <v>0</v>
      </c>
    </row>
    <row r="83" hidden="1" outlineLevel="1">
      <c r="B83" s="56" t="inlineStr">
        <is>
          <t>pdd_recup</t>
        </is>
      </c>
      <c r="C83" s="61" t="inlineStr">
        <is>
          <t>Recuperação de Créditos Baixados como Prejuízo</t>
        </is>
      </c>
      <c r="D83" s="62" t="inlineStr">
        <is>
          <t>Recovery of Written-Off Credits</t>
        </is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0</v>
      </c>
      <c r="F83" s="57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>0</v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0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0</v>
      </c>
      <c r="I83" s="58">
        <f>SUM(E83:H83)</f>
        <v>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0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0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0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0</v>
      </c>
      <c r="N83" s="58">
        <f>SUM(J83:M83)</f>
        <v>0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0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0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0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0</v>
      </c>
      <c r="S83" s="58">
        <f>SUM(O83:R83)</f>
        <v>0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0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0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0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0</v>
      </c>
      <c r="X83" s="58">
        <f>SUM(T83:W83)</f>
        <v>0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0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0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0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0</v>
      </c>
      <c r="AC83" s="58">
        <f>SUM(Y83:AB83)</f>
        <v>0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0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0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0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0</v>
      </c>
      <c r="AH83" s="58">
        <f>SUM(AD83:AG83)</f>
        <v>0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0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0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>SUM(AI83:AL83)</f>
        <v>0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>SUM(AN83:AQ83)</f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>SUM(AS83:AV83)</f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>SUM(AX83:BA83)</f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>SUM(BC83:BF83)</f>
        <v>0</v>
      </c>
    </row>
    <row r="84">
      <c r="C84" s="53" t="inlineStr">
        <is>
          <t>Resultado Bruto da Intermediação Financeira</t>
        </is>
      </c>
      <c r="D84" s="54" t="inlineStr">
        <is>
          <t>Gross Financial Intermediation Result</t>
        </is>
      </c>
      <c r="E84" s="59">
        <f>IFERROR(E80+E81,"")</f>
        <v>-299.911</v>
      </c>
      <c r="F84" s="59">
        <f>IFERROR(F80+F81,"")</f>
        <v>-16.3540000000001</v>
      </c>
      <c r="G84" s="59">
        <f>IFERROR(G80+G81,"")</f>
        <v>130.651</v>
      </c>
      <c r="H84" s="59">
        <f>IFERROR(H80+H81,"")</f>
        <v>321.187</v>
      </c>
      <c r="I84" s="60">
        <f>SUM(E84:H84)</f>
        <v>135.573</v>
      </c>
      <c r="J84" s="59">
        <f>IFERROR(J80+J81,"")</f>
        <v>163.067</v>
      </c>
      <c r="K84" s="59">
        <f>IFERROR(K80+K81,"")</f>
        <v>409.727</v>
      </c>
      <c r="L84" s="59">
        <f>IFERROR(L80+L81,"")</f>
        <v>206.833</v>
      </c>
      <c r="M84" s="59">
        <f>IFERROR(M80+M81,"")</f>
        <v>251.883</v>
      </c>
      <c r="N84" s="60">
        <f>SUM(J84:M84)</f>
        <v>1031.51</v>
      </c>
      <c r="O84" s="59">
        <f>IFERROR(O80+O81,"")</f>
        <v>404.891</v>
      </c>
      <c r="P84" s="59">
        <f>IFERROR(P80+P81,"")</f>
        <v>374.159</v>
      </c>
      <c r="Q84" s="59">
        <f>IFERROR(Q80+Q81,"")</f>
        <v>418.516</v>
      </c>
      <c r="R84" s="59">
        <f>IFERROR(R80+R81,"")</f>
        <v>375.844</v>
      </c>
      <c r="S84" s="60">
        <f>SUM(O84:R84)</f>
        <v>1573.41</v>
      </c>
      <c r="T84" s="59">
        <f>IFERROR(T80+T81,"")</f>
        <v>349.672</v>
      </c>
      <c r="U84" s="59">
        <f>IFERROR(U80+U81,"")</f>
        <v>403.814</v>
      </c>
      <c r="V84" s="59">
        <f>IFERROR(V80+V81,"")</f>
        <v>410.098</v>
      </c>
      <c r="W84" s="59">
        <f>IFERROR(W80+W81,"")</f>
        <v>365.074</v>
      </c>
      <c r="X84" s="60">
        <f>SUM(T84:W84)</f>
        <v>1528.658</v>
      </c>
      <c r="Y84" s="59">
        <f>IFERROR(Y80+Y81,"")</f>
        <v>393.797</v>
      </c>
      <c r="Z84" s="59">
        <f>IFERROR(Z80+Z81,"")</f>
        <v>435.527</v>
      </c>
      <c r="AA84" s="59">
        <f>IFERROR(AA80+AA81,"")</f>
        <v>495.221</v>
      </c>
      <c r="AB84" s="59">
        <f>IFERROR(AB80+AB81,"")</f>
        <v>433.841</v>
      </c>
      <c r="AC84" s="60">
        <f>SUM(Y84:AB84)</f>
        <v>1758.386</v>
      </c>
      <c r="AD84" s="59">
        <f>IFERROR(AD80+AD81,"")</f>
        <v>431.27</v>
      </c>
      <c r="AE84" s="59">
        <f>IFERROR(AE80+AE81,"")</f>
        <v>448.257</v>
      </c>
      <c r="AF84" s="59">
        <f>IFERROR(AF80+AF81,"")</f>
        <v>531.47</v>
      </c>
      <c r="AG84" s="59">
        <f>IFERROR(AG80+AG81,"")</f>
        <v>480.413</v>
      </c>
      <c r="AH84" s="60">
        <f>SUM(AD84:AG84)</f>
        <v>1891.41</v>
      </c>
      <c r="AI84" s="59">
        <f>IFERROR(AI80+AI81,"")</f>
        <v>473.942</v>
      </c>
      <c r="AJ84" s="59">
        <f>IFERROR(AJ80+AJ81,"")</f>
        <v>520.468</v>
      </c>
      <c r="AK84" s="59">
        <f>IFERROR(AK80+AK81,"")</f>
        <v>0</v>
      </c>
      <c r="AL84" s="59">
        <f>IFERROR(AL80+AL81,"")</f>
        <v>0</v>
      </c>
      <c r="AM84" s="60">
        <f>SUM(AI84:AL84)</f>
        <v>994.41</v>
      </c>
      <c r="AN84" s="59">
        <f>IFERROR(AN80+AN81,"")</f>
        <v>0</v>
      </c>
      <c r="AO84" s="59">
        <f>IFERROR(AO80+AO81,"")</f>
        <v>0</v>
      </c>
      <c r="AP84" s="59">
        <f>IFERROR(AP80+AP81,"")</f>
        <v>0</v>
      </c>
      <c r="AQ84" s="59">
        <f>IFERROR(AQ80+AQ81,"")</f>
        <v>0</v>
      </c>
      <c r="AR84" s="60">
        <f>SUM(AN84:AQ84)</f>
        <v>0</v>
      </c>
      <c r="AS84" s="59">
        <f>IFERROR(AS80+AS81,"")</f>
        <v>0</v>
      </c>
      <c r="AT84" s="59">
        <f>IFERROR(AT80+AT81,"")</f>
        <v>0</v>
      </c>
      <c r="AU84" s="59">
        <f>IFERROR(AU80+AU81,"")</f>
        <v>0</v>
      </c>
      <c r="AV84" s="59">
        <f>IFERROR(AV80+AV81,"")</f>
        <v>0</v>
      </c>
      <c r="AW84" s="60">
        <f>SUM(AS84:AV84)</f>
        <v>0</v>
      </c>
      <c r="AX84" s="59">
        <f>IFERROR(AX80+AX81,"")</f>
        <v>0</v>
      </c>
      <c r="AY84" s="59">
        <f>IFERROR(AY80+AY81,"")</f>
        <v>0</v>
      </c>
      <c r="AZ84" s="59">
        <f>IFERROR(AZ80+AZ81,"")</f>
        <v>0</v>
      </c>
      <c r="BA84" s="59">
        <f>IFERROR(BA80+BA81,"")</f>
        <v>0</v>
      </c>
      <c r="BB84" s="60">
        <f>SUM(AX84:BA84)</f>
        <v>0</v>
      </c>
      <c r="BC84" s="59">
        <f>IFERROR(BC80+BC81,"")</f>
        <v>0</v>
      </c>
      <c r="BD84" s="59">
        <f>IFERROR(BD80+BD81,"")</f>
        <v>0</v>
      </c>
      <c r="BE84" s="59">
        <f>IFERROR(BE80+BE81,"")</f>
        <v>0</v>
      </c>
      <c r="BF84" s="59">
        <f>IFERROR(BF80+BF81,"")</f>
        <v>0</v>
      </c>
      <c r="BG84" s="60">
        <f>SUM(BC84:BF84)</f>
        <v>0</v>
      </c>
    </row>
    <row r="85">
      <c r="C85" s="15" t="inlineStr">
        <is>
          <t>Outras Receitas / (Despesas) Operacionais</t>
        </is>
      </c>
      <c r="D85" s="16" t="inlineStr">
        <is>
          <t>Other Operating Income / (Expenses)</t>
        </is>
      </c>
      <c r="E85" s="59">
        <f>IFERROR(E86+E87+E88+E89+E90+E94+E95+E96+E97,"")</f>
        <v>-95.238</v>
      </c>
      <c r="F85" s="59">
        <f>IFERROR(F86+F87+F88+F89+F90+F94+F95+F96+F97,"")</f>
        <v>-86.133</v>
      </c>
      <c r="G85" s="59">
        <f>IFERROR(G86+G87+G88+G89+G90+G94+G95+G96+G97,"")</f>
        <v>-79.662</v>
      </c>
      <c r="H85" s="59">
        <f>IFERROR(H86+H87+H88+H89+H90+H94+H95+H96+H97,"")</f>
        <v>-92.135</v>
      </c>
      <c r="I85" s="60">
        <f>SUM(E85:H85)</f>
        <v>-353.168</v>
      </c>
      <c r="J85" s="59">
        <f>IFERROR(J86+J87+J88+J89+J90+J94+J95+J96+J97,"")</f>
        <v>-72.547</v>
      </c>
      <c r="K85" s="59">
        <f>IFERROR(K86+K87+K88+K89+K90+K94+K95+K96+K97,"")</f>
        <v>-108.647</v>
      </c>
      <c r="L85" s="59">
        <f>IFERROR(L86+L87+L88+L89+L90+L94+L95+L96+L97,"")</f>
        <v>-87.429</v>
      </c>
      <c r="M85" s="59">
        <f>IFERROR(M86+M87+M88+M89+M90+M94+M95+M96+M97,"")</f>
        <v>-128.264</v>
      </c>
      <c r="N85" s="60">
        <f>SUM(J85:M85)</f>
        <v>-396.887</v>
      </c>
      <c r="O85" s="59">
        <f>IFERROR(O86+O87+O88+O89+O90+O94+O95+O96+O97,"")</f>
        <v>-165.72</v>
      </c>
      <c r="P85" s="59">
        <f>IFERROR(P86+P87+P88+P89+P90+P94+P95+P96+P97,"")</f>
        <v>-147.468</v>
      </c>
      <c r="Q85" s="59">
        <f>IFERROR(Q86+Q87+Q88+Q89+Q90+Q94+Q95+Q96+Q97,"")</f>
        <v>-173.006</v>
      </c>
      <c r="R85" s="59">
        <f>IFERROR(R86+R87+R88+R89+R90+R94+R95+R96+R97,"")</f>
        <v>-169.705</v>
      </c>
      <c r="S85" s="60">
        <f>SUM(O85:R85)</f>
        <v>-655.899</v>
      </c>
      <c r="T85" s="59">
        <f>IFERROR(T86+T87+T88+T89+T90+T94+T95+T96+T97,"")</f>
        <v>-179.083</v>
      </c>
      <c r="U85" s="59">
        <f>IFERROR(U86+U87+U88+U89+U90+U94+U95+U96+U97,"")</f>
        <v>-215.583</v>
      </c>
      <c r="V85" s="59">
        <f>IFERROR(V86+V87+V88+V89+V90+V94+V95+V96+V97,"")</f>
        <v>-181.749</v>
      </c>
      <c r="W85" s="59">
        <f>IFERROR(W86+W87+W88+W89+W90+W94+W95+W96+W97,"")</f>
        <v>-150.862</v>
      </c>
      <c r="X85" s="60">
        <f>SUM(T85:W85)</f>
        <v>-727.277</v>
      </c>
      <c r="Y85" s="59">
        <f>IFERROR(Y86+Y87+Y88+Y89+Y90+Y94+Y95+Y96+Y97,"")</f>
        <v>-168.731</v>
      </c>
      <c r="Z85" s="59">
        <f>IFERROR(Z86+Z87+Z88+Z89+Z90+Z94+Z95+Z96+Z97,"")</f>
        <v>-174.773</v>
      </c>
      <c r="AA85" s="59">
        <f>IFERROR(AA86+AA87+AA88+AA89+AA90+AA94+AA95+AA96+AA97,"")</f>
        <v>-216.806</v>
      </c>
      <c r="AB85" s="59">
        <f>IFERROR(AB86+AB87+AB88+AB89+AB90+AB94+AB95+AB96+AB97,"")</f>
        <v>-202.573</v>
      </c>
      <c r="AC85" s="60">
        <f>SUM(Y85:AB85)</f>
        <v>-762.883</v>
      </c>
      <c r="AD85" s="59">
        <f>IFERROR(AD86+AD87+AD88+AD89+AD90+AD94+AD95+AD96+AD97,"")</f>
        <v>-194.055</v>
      </c>
      <c r="AE85" s="59">
        <f>IFERROR(AE86+AE87+AE88+AE89+AE90+AE94+AE95+AE96+AE97,"")</f>
        <v>-185.21</v>
      </c>
      <c r="AF85" s="59">
        <f>IFERROR(AF86+AF87+AF88+AF89+AF90+AF94+AF95+AF96+AF97,"")</f>
        <v>-246.597</v>
      </c>
      <c r="AG85" s="59">
        <f>IFERROR(AG86+AG87+AG88+AG89+AG90+AG94+AG95+AG96+AG97,"")</f>
        <v>-235.438</v>
      </c>
      <c r="AH85" s="60">
        <f>SUM(AD85:AG85)</f>
        <v>-861.3</v>
      </c>
      <c r="AI85" s="59">
        <f>IFERROR(AI86+AI87+AI88+AI89+AI90+AI94+AI95+AI96+AI97,"")</f>
        <v>-232.016</v>
      </c>
      <c r="AJ85" s="59">
        <f>IFERROR(AJ86+AJ87+AJ88+AJ89+AJ90+AJ94+AJ95+AJ96+AJ97,"")</f>
        <v>-250.779</v>
      </c>
      <c r="AK85" s="59">
        <f>IFERROR(AK86+AK87+AK88+AK89+AK90+AK94+AK95+AK96+AK97,"")</f>
        <v>0</v>
      </c>
      <c r="AL85" s="59">
        <f>IFERROR(AL86+AL87+AL88+AL89+AL90+AL94+AL95+AL96+AL97,"")</f>
        <v>0</v>
      </c>
      <c r="AM85" s="60">
        <f>SUM(AI85:AL85)</f>
        <v>-482.795</v>
      </c>
      <c r="AN85" s="59">
        <f>IFERROR(AN86+AN87+AN88+AN89+AN90+AN94+AN95+AN96+AN97,"")</f>
        <v>0</v>
      </c>
      <c r="AO85" s="59">
        <f>IFERROR(AO86+AO87+AO88+AO89+AO90+AO94+AO95+AO96+AO97,"")</f>
        <v>0</v>
      </c>
      <c r="AP85" s="59">
        <f>IFERROR(AP86+AP87+AP88+AP89+AP90+AP94+AP95+AP96+AP97,"")</f>
        <v>0</v>
      </c>
      <c r="AQ85" s="59">
        <f>IFERROR(AQ86+AQ87+AQ88+AQ89+AQ90+AQ94+AQ95+AQ96+AQ97,"")</f>
        <v>0</v>
      </c>
      <c r="AR85" s="60">
        <f>SUM(AN85:AQ85)</f>
        <v>0</v>
      </c>
      <c r="AS85" s="59">
        <f>IFERROR(AS86+AS87+AS88+AS89+AS90+AS94+AS95+AS96+AS97,"")</f>
        <v>0</v>
      </c>
      <c r="AT85" s="59">
        <f>IFERROR(AT86+AT87+AT88+AT89+AT90+AT94+AT95+AT96+AT97,"")</f>
        <v>0</v>
      </c>
      <c r="AU85" s="59">
        <f>IFERROR(AU86+AU87+AU88+AU89+AU90+AU94+AU95+AU96+AU97,"")</f>
        <v>0</v>
      </c>
      <c r="AV85" s="59">
        <f>IFERROR(AV86+AV87+AV88+AV89+AV90+AV94+AV95+AV96+AV97,"")</f>
        <v>0</v>
      </c>
      <c r="AW85" s="60">
        <f>SUM(AS85:AV85)</f>
        <v>0</v>
      </c>
      <c r="AX85" s="59">
        <f>IFERROR(AX86+AX87+AX88+AX89+AX90+AX94+AX95+AX96+AX97,"")</f>
        <v>0</v>
      </c>
      <c r="AY85" s="59">
        <f>IFERROR(AY86+AY87+AY88+AY89+AY90+AY94+AY95+AY96+AY97,"")</f>
        <v>0</v>
      </c>
      <c r="AZ85" s="59">
        <f>IFERROR(AZ86+AZ87+AZ88+AZ89+AZ90+AZ94+AZ95+AZ96+AZ97,"")</f>
        <v>0</v>
      </c>
      <c r="BA85" s="59">
        <f>IFERROR(BA86+BA87+BA88+BA89+BA90+BA94+BA95+BA96+BA97,"")</f>
        <v>0</v>
      </c>
      <c r="BB85" s="60">
        <f>SUM(AX85:BA85)</f>
        <v>0</v>
      </c>
      <c r="BC85" s="59">
        <f>IFERROR(BC86+BC87+BC88+BC89+BC90+BC94+BC95+BC96+BC97,"")</f>
        <v>0</v>
      </c>
      <c r="BD85" s="59">
        <f>IFERROR(BD86+BD87+BD88+BD89+BD90+BD94+BD95+BD96+BD97,"")</f>
        <v>0</v>
      </c>
      <c r="BE85" s="59">
        <f>IFERROR(BE86+BE87+BE88+BE89+BE90+BE94+BE95+BE96+BE97,"")</f>
        <v>0</v>
      </c>
      <c r="BF85" s="59">
        <f>IFERROR(BF86+BF87+BF88+BF89+BF90+BF94+BF95+BF96+BF97,"")</f>
        <v>0</v>
      </c>
      <c r="BG85" s="60">
        <f>SUM(BC85:BF85)</f>
        <v>0</v>
      </c>
    </row>
    <row r="86" hidden="1" outlineLevel="1">
      <c r="B86" s="56" t="inlineStr">
        <is>
          <t>serv</t>
        </is>
      </c>
      <c r="C86" s="61" t="inlineStr">
        <is>
          <t>Receitas de Prestação de Serviços e Tarifas Bancárias</t>
        </is>
      </c>
      <c r="D86" s="62" t="inlineStr">
        <is>
          <t>Fee and Commission Income</t>
        </is>
      </c>
      <c r="E86" s="57">
        <f>IF(ISNA(SUMIFS(INDEX(Inputs!$B$2:$AZ$190,,MATCH(SUBSTITUTE(E$3,"Q","T"),Inputs!$B$2:$AZ$2,0)),Inputs!$B$2:$B$190,$B86)*Inputs!$D$1),"",SUMIFS(INDEX(Inputs!$B$2:$AZ$190,,MATCH(SUBSTITUTE(E$3,"Q","T"),Inputs!$B$2:$AZ$2,0)),Inputs!$B$2:$B$190,$B86)*Inputs!$D$1)</f>
        <v>52.652</v>
      </c>
      <c r="F86" s="57">
        <f>IF(ISNA(SUMIFS(INDEX(Inputs!$B$2:$AZ$190,,MATCH(SUBSTITUTE(F$3,"Q","T"),Inputs!$B$2:$AZ$2,0)),Inputs!$B$2:$B$190,$B86)*Inputs!$D$1),"",SUMIFS(INDEX(Inputs!$B$2:$AZ$190,,MATCH(SUBSTITUTE(F$3,"Q","T"),Inputs!$B$2:$AZ$2,0)),Inputs!$B$2:$B$190,$B86)*Inputs!$D$1)</f>
        <v>60.772</v>
      </c>
      <c r="G86" s="57">
        <f>IF(ISNA(SUMIFS(INDEX(Inputs!$B$2:$AZ$190,,MATCH(SUBSTITUTE(G$3,"Q","T"),Inputs!$B$2:$AZ$2,0)),Inputs!$B$2:$B$190,$B86)*Inputs!$D$1),"",SUMIFS(INDEX(Inputs!$B$2:$AZ$190,,MATCH(SUBSTITUTE(G$3,"Q","T"),Inputs!$B$2:$AZ$2,0)),Inputs!$B$2:$B$190,$B86)*Inputs!$D$1)</f>
        <v>77.969</v>
      </c>
      <c r="H86" s="57">
        <f>IF(ISNA(SUMIFS(INDEX(Inputs!$B$2:$AZ$190,,MATCH(SUBSTITUTE(H$3,"Q","T"),Inputs!$B$2:$AZ$2,0)),Inputs!$B$2:$B$190,$B86)*Inputs!$D$1),"",SUMIFS(INDEX(Inputs!$B$2:$AZ$190,,MATCH(SUBSTITUTE(H$3,"Q","T"),Inputs!$B$2:$AZ$2,0)),Inputs!$B$2:$B$190,$B86)*Inputs!$D$1)</f>
        <v>92.583</v>
      </c>
      <c r="I86" s="58">
        <f>SUM(E86:H86)</f>
        <v>283.976</v>
      </c>
      <c r="J86" s="57">
        <f>IF(ISNA(SUMIFS(INDEX(Inputs!$B$2:$AZ$190,,MATCH(SUBSTITUTE(J$3,"Q","T"),Inputs!$B$2:$AZ$2,0)),Inputs!$B$2:$B$190,$B86)*Inputs!$D$1),"",SUMIFS(INDEX(Inputs!$B$2:$AZ$190,,MATCH(SUBSTITUTE(J$3,"Q","T"),Inputs!$B$2:$AZ$2,0)),Inputs!$B$2:$B$190,$B86)*Inputs!$D$1)</f>
        <v>75.637</v>
      </c>
      <c r="K86" s="57">
        <f>IF(ISNA(SUMIFS(INDEX(Inputs!$B$2:$AZ$190,,MATCH(SUBSTITUTE(K$3,"Q","T"),Inputs!$B$2:$AZ$2,0)),Inputs!$B$2:$B$190,$B86)*Inputs!$D$1),"",SUMIFS(INDEX(Inputs!$B$2:$AZ$190,,MATCH(SUBSTITUTE(K$3,"Q","T"),Inputs!$B$2:$AZ$2,0)),Inputs!$B$2:$B$190,$B86)*Inputs!$D$1)</f>
        <v>75.813</v>
      </c>
      <c r="L86" s="57">
        <f>IF(ISNA(SUMIFS(INDEX(Inputs!$B$2:$AZ$190,,MATCH(SUBSTITUTE(L$3,"Q","T"),Inputs!$B$2:$AZ$2,0)),Inputs!$B$2:$B$190,$B86)*Inputs!$D$1),"",SUMIFS(INDEX(Inputs!$B$2:$AZ$190,,MATCH(SUBSTITUTE(L$3,"Q","T"),Inputs!$B$2:$AZ$2,0)),Inputs!$B$2:$B$190,$B86)*Inputs!$D$1)</f>
        <v>101.75</v>
      </c>
      <c r="M86" s="57">
        <f>IF(ISNA(SUMIFS(INDEX(Inputs!$B$2:$AZ$190,,MATCH(SUBSTITUTE(M$3,"Q","T"),Inputs!$B$2:$AZ$2,0)),Inputs!$B$2:$B$190,$B86)*Inputs!$D$1),"",SUMIFS(INDEX(Inputs!$B$2:$AZ$190,,MATCH(SUBSTITUTE(M$3,"Q","T"),Inputs!$B$2:$AZ$2,0)),Inputs!$B$2:$B$190,$B86)*Inputs!$D$1)</f>
        <v>92.239</v>
      </c>
      <c r="N86" s="58">
        <f>SUM(J86:M86)</f>
        <v>345.439</v>
      </c>
      <c r="O86" s="57">
        <f>IF(ISNA(SUMIFS(INDEX(Inputs!$B$2:$AZ$190,,MATCH(SUBSTITUTE(O$3,"Q","T"),Inputs!$B$2:$AZ$2,0)),Inputs!$B$2:$B$190,$B86)*Inputs!$D$1),"",SUMIFS(INDEX(Inputs!$B$2:$AZ$190,,MATCH(SUBSTITUTE(O$3,"Q","T"),Inputs!$B$2:$AZ$2,0)),Inputs!$B$2:$B$190,$B86)*Inputs!$D$1)</f>
        <v>63.498</v>
      </c>
      <c r="P86" s="57">
        <f>IF(ISNA(SUMIFS(INDEX(Inputs!$B$2:$AZ$190,,MATCH(SUBSTITUTE(P$3,"Q","T"),Inputs!$B$2:$AZ$2,0)),Inputs!$B$2:$B$190,$B86)*Inputs!$D$1),"",SUMIFS(INDEX(Inputs!$B$2:$AZ$190,,MATCH(SUBSTITUTE(P$3,"Q","T"),Inputs!$B$2:$AZ$2,0)),Inputs!$B$2:$B$190,$B86)*Inputs!$D$1)</f>
        <v>109.585</v>
      </c>
      <c r="Q86" s="57">
        <f>IF(ISNA(SUMIFS(INDEX(Inputs!$B$2:$AZ$190,,MATCH(SUBSTITUTE(Q$3,"Q","T"),Inputs!$B$2:$AZ$2,0)),Inputs!$B$2:$B$190,$B86)*Inputs!$D$1),"",SUMIFS(INDEX(Inputs!$B$2:$AZ$190,,MATCH(SUBSTITUTE(Q$3,"Q","T"),Inputs!$B$2:$AZ$2,0)),Inputs!$B$2:$B$190,$B86)*Inputs!$D$1)</f>
        <v>128.49</v>
      </c>
      <c r="R86" s="57">
        <f>IF(ISNA(SUMIFS(INDEX(Inputs!$B$2:$AZ$190,,MATCH(SUBSTITUTE(R$3,"Q","T"),Inputs!$B$2:$AZ$2,0)),Inputs!$B$2:$B$190,$B86)*Inputs!$D$1),"",SUMIFS(INDEX(Inputs!$B$2:$AZ$190,,MATCH(SUBSTITUTE(R$3,"Q","T"),Inputs!$B$2:$AZ$2,0)),Inputs!$B$2:$B$190,$B86)*Inputs!$D$1)</f>
        <v>100.291</v>
      </c>
      <c r="S86" s="58">
        <f>SUM(O86:R86)</f>
        <v>401.864</v>
      </c>
      <c r="T86" s="57">
        <f>IF(ISNA(SUMIFS(INDEX(Inputs!$B$2:$AZ$190,,MATCH(SUBSTITUTE(T$3,"Q","T"),Inputs!$B$2:$AZ$2,0)),Inputs!$B$2:$B$190,$B86)*Inputs!$D$1),"",SUMIFS(INDEX(Inputs!$B$2:$AZ$190,,MATCH(SUBSTITUTE(T$3,"Q","T"),Inputs!$B$2:$AZ$2,0)),Inputs!$B$2:$B$190,$B86)*Inputs!$D$1)</f>
        <v>83.546</v>
      </c>
      <c r="U86" s="57">
        <f>IF(ISNA(SUMIFS(INDEX(Inputs!$B$2:$AZ$190,,MATCH(SUBSTITUTE(U$3,"Q","T"),Inputs!$B$2:$AZ$2,0)),Inputs!$B$2:$B$190,$B86)*Inputs!$D$1),"",SUMIFS(INDEX(Inputs!$B$2:$AZ$190,,MATCH(SUBSTITUTE(U$3,"Q","T"),Inputs!$B$2:$AZ$2,0)),Inputs!$B$2:$B$190,$B86)*Inputs!$D$1)</f>
        <v>81.606</v>
      </c>
      <c r="V86" s="57">
        <f>IF(ISNA(SUMIFS(INDEX(Inputs!$B$2:$AZ$190,,MATCH(SUBSTITUTE(V$3,"Q","T"),Inputs!$B$2:$AZ$2,0)),Inputs!$B$2:$B$190,$B86)*Inputs!$D$1),"",SUMIFS(INDEX(Inputs!$B$2:$AZ$190,,MATCH(SUBSTITUTE(V$3,"Q","T"),Inputs!$B$2:$AZ$2,0)),Inputs!$B$2:$B$190,$B86)*Inputs!$D$1)</f>
        <v>120.158</v>
      </c>
      <c r="W86" s="57">
        <f>IF(ISNA(SUMIFS(INDEX(Inputs!$B$2:$AZ$190,,MATCH(SUBSTITUTE(W$3,"Q","T"),Inputs!$B$2:$AZ$2,0)),Inputs!$B$2:$B$190,$B86)*Inputs!$D$1),"",SUMIFS(INDEX(Inputs!$B$2:$AZ$190,,MATCH(SUBSTITUTE(W$3,"Q","T"),Inputs!$B$2:$AZ$2,0)),Inputs!$B$2:$B$190,$B86)*Inputs!$D$1)</f>
        <v>110.427</v>
      </c>
      <c r="X86" s="58">
        <f>SUM(T86:W86)</f>
        <v>395.737</v>
      </c>
      <c r="Y86" s="57">
        <f>IF(ISNA(SUMIFS(INDEX(Inputs!$B$2:$AZ$190,,MATCH(SUBSTITUTE(Y$3,"Q","T"),Inputs!$B$2:$AZ$2,0)),Inputs!$B$2:$B$190,$B86)*Inputs!$D$1),"",SUMIFS(INDEX(Inputs!$B$2:$AZ$190,,MATCH(SUBSTITUTE(Y$3,"Q","T"),Inputs!$B$2:$AZ$2,0)),Inputs!$B$2:$B$190,$B86)*Inputs!$D$1)</f>
        <v>106.302</v>
      </c>
      <c r="Z86" s="57">
        <f>IF(ISNA(SUMIFS(INDEX(Inputs!$B$2:$AZ$190,,MATCH(SUBSTITUTE(Z$3,"Q","T"),Inputs!$B$2:$AZ$2,0)),Inputs!$B$2:$B$190,$B86)*Inputs!$D$1),"",SUMIFS(INDEX(Inputs!$B$2:$AZ$190,,MATCH(SUBSTITUTE(Z$3,"Q","T"),Inputs!$B$2:$AZ$2,0)),Inputs!$B$2:$B$190,$B86)*Inputs!$D$1)</f>
        <v>123.887</v>
      </c>
      <c r="AA86" s="57">
        <f>IF(ISNA(SUMIFS(INDEX(Inputs!$B$2:$AZ$190,,MATCH(SUBSTITUTE(AA$3,"Q","T"),Inputs!$B$2:$AZ$2,0)),Inputs!$B$2:$B$190,$B86)*Inputs!$D$1),"",SUMIFS(INDEX(Inputs!$B$2:$AZ$190,,MATCH(SUBSTITUTE(AA$3,"Q","T"),Inputs!$B$2:$AZ$2,0)),Inputs!$B$2:$B$190,$B86)*Inputs!$D$1)</f>
        <v>118.502</v>
      </c>
      <c r="AB86" s="57">
        <f>IF(ISNA(SUMIFS(INDEX(Inputs!$B$2:$AZ$190,,MATCH(SUBSTITUTE(AB$3,"Q","T"),Inputs!$B$2:$AZ$2,0)),Inputs!$B$2:$B$190,$B86)*Inputs!$D$1),"",SUMIFS(INDEX(Inputs!$B$2:$AZ$190,,MATCH(SUBSTITUTE(AB$3,"Q","T"),Inputs!$B$2:$AZ$2,0)),Inputs!$B$2:$B$190,$B86)*Inputs!$D$1)</f>
        <v>142.175</v>
      </c>
      <c r="AC86" s="58">
        <f>SUM(Y86:AB86)</f>
        <v>490.866</v>
      </c>
      <c r="AD86" s="57">
        <f>IF(ISNA(SUMIFS(INDEX(Inputs!$B$2:$AZ$190,,MATCH(SUBSTITUTE(AD$3,"Q","T"),Inputs!$B$2:$AZ$2,0)),Inputs!$B$2:$B$190,$B86)*Inputs!$D$1),"",SUMIFS(INDEX(Inputs!$B$2:$AZ$190,,MATCH(SUBSTITUTE(AD$3,"Q","T"),Inputs!$B$2:$AZ$2,0)),Inputs!$B$2:$B$190,$B86)*Inputs!$D$1)</f>
        <v>106.83</v>
      </c>
      <c r="AE86" s="57">
        <f>IF(ISNA(SUMIFS(INDEX(Inputs!$B$2:$AZ$190,,MATCH(SUBSTITUTE(AE$3,"Q","T"),Inputs!$B$2:$AZ$2,0)),Inputs!$B$2:$B$190,$B86)*Inputs!$D$1),"",SUMIFS(INDEX(Inputs!$B$2:$AZ$190,,MATCH(SUBSTITUTE(AE$3,"Q","T"),Inputs!$B$2:$AZ$2,0)),Inputs!$B$2:$B$190,$B86)*Inputs!$D$1)</f>
        <v>116.296</v>
      </c>
      <c r="AF86" s="57">
        <f>IF(ISNA(SUMIFS(INDEX(Inputs!$B$2:$AZ$190,,MATCH(SUBSTITUTE(AF$3,"Q","T"),Inputs!$B$2:$AZ$2,0)),Inputs!$B$2:$B$190,$B86)*Inputs!$D$1),"",SUMIFS(INDEX(Inputs!$B$2:$AZ$190,,MATCH(SUBSTITUTE(AF$3,"Q","T"),Inputs!$B$2:$AZ$2,0)),Inputs!$B$2:$B$190,$B86)*Inputs!$D$1)</f>
        <v>109.203</v>
      </c>
      <c r="AG86" s="57">
        <f>IF(ISNA(SUMIFS(INDEX(Inputs!$B$2:$AZ$190,,MATCH(SUBSTITUTE(AG$3,"Q","T"),Inputs!$B$2:$AZ$2,0)),Inputs!$B$2:$B$190,$B86)*Inputs!$D$1),"",SUMIFS(INDEX(Inputs!$B$2:$AZ$190,,MATCH(SUBSTITUTE(AG$3,"Q","T"),Inputs!$B$2:$AZ$2,0)),Inputs!$B$2:$B$190,$B86)*Inputs!$D$1)</f>
        <v>134.017</v>
      </c>
      <c r="AH86" s="58">
        <f>SUM(AD86:AG86)</f>
        <v>466.346</v>
      </c>
      <c r="AI86" s="57">
        <f>IF(ISNA(SUMIFS(INDEX(Inputs!$B$2:$AZ$190,,MATCH(SUBSTITUTE(AI$3,"Q","T"),Inputs!$B$2:$AZ$2,0)),Inputs!$B$2:$B$190,$B86)*Inputs!$D$1),"",SUMIFS(INDEX(Inputs!$B$2:$AZ$190,,MATCH(SUBSTITUTE(AI$3,"Q","T"),Inputs!$B$2:$AZ$2,0)),Inputs!$B$2:$B$190,$B86)*Inputs!$D$1)</f>
        <v>129.966</v>
      </c>
      <c r="AJ86" s="57">
        <f>IF(ISNA(SUMIFS(INDEX(Inputs!$B$2:$AZ$190,,MATCH(SUBSTITUTE(AJ$3,"Q","T"),Inputs!$B$2:$AZ$2,0)),Inputs!$B$2:$B$190,$B86)*Inputs!$D$1),"",SUMIFS(INDEX(Inputs!$B$2:$AZ$190,,MATCH(SUBSTITUTE(AJ$3,"Q","T"),Inputs!$B$2:$AZ$2,0)),Inputs!$B$2:$B$190,$B86)*Inputs!$D$1)</f>
        <v>113.136</v>
      </c>
      <c r="AK86" s="57">
        <f>IF(ISNA(SUMIFS(INDEX(Inputs!$B$2:$AZ$190,,MATCH(SUBSTITUTE(AK$3,"Q","T"),Inputs!$B$2:$AZ$2,0)),Inputs!$B$2:$B$190,$B86)*Inputs!$D$1),"",SUMIFS(INDEX(Inputs!$B$2:$AZ$190,,MATCH(SUBSTITUTE(AK$3,"Q","T"),Inputs!$B$2:$AZ$2,0)),Inputs!$B$2:$B$190,$B86)*Inputs!$D$1)</f>
        <v>0</v>
      </c>
      <c r="AL86" s="57">
        <f>IF(ISNA(SUMIFS(INDEX(Inputs!$B$2:$AZ$190,,MATCH(SUBSTITUTE(AL$3,"Q","T"),Inputs!$B$2:$AZ$2,0)),Inputs!$B$2:$B$190,$B86)*Inputs!$D$1),"",SUMIFS(INDEX(Inputs!$B$2:$AZ$190,,MATCH(SUBSTITUTE(AL$3,"Q","T"),Inputs!$B$2:$AZ$2,0)),Inputs!$B$2:$B$190,$B86)*Inputs!$D$1)</f>
        <v>0</v>
      </c>
      <c r="AM86" s="58">
        <f>SUM(AI86:AL86)</f>
        <v>243.102</v>
      </c>
      <c r="AN86" s="57">
        <f>IF(ISNA(SUMIFS(INDEX(Inputs!$B$2:$AZ$190,,MATCH(SUBSTITUTE(AN$3,"Q","T"),Inputs!$B$2:$AZ$2,0)),Inputs!$B$2:$B$190,$B86)*Inputs!$D$1),"",SUMIFS(INDEX(Inputs!$B$2:$AZ$190,,MATCH(SUBSTITUTE(AN$3,"Q","T"),Inputs!$B$2:$AZ$2,0)),Inputs!$B$2:$B$190,$B86)*Inputs!$D$1)</f>
        <v>0</v>
      </c>
      <c r="AO86" s="57">
        <f>IF(ISNA(SUMIFS(INDEX(Inputs!$B$2:$AZ$190,,MATCH(SUBSTITUTE(AO$3,"Q","T"),Inputs!$B$2:$AZ$2,0)),Inputs!$B$2:$B$190,$B86)*Inputs!$D$1),"",SUMIFS(INDEX(Inputs!$B$2:$AZ$190,,MATCH(SUBSTITUTE(AO$3,"Q","T"),Inputs!$B$2:$AZ$2,0)),Inputs!$B$2:$B$190,$B86)*Inputs!$D$1)</f>
        <v>0</v>
      </c>
      <c r="AP86" s="57">
        <f>IF(ISNA(SUMIFS(INDEX(Inputs!$B$2:$AZ$190,,MATCH(SUBSTITUTE(AP$3,"Q","T"),Inputs!$B$2:$AZ$2,0)),Inputs!$B$2:$B$190,$B86)*Inputs!$D$1),"",SUMIFS(INDEX(Inputs!$B$2:$AZ$190,,MATCH(SUBSTITUTE(AP$3,"Q","T"),Inputs!$B$2:$AZ$2,0)),Inputs!$B$2:$B$190,$B86)*Inputs!$D$1)</f>
        <v>0</v>
      </c>
      <c r="AQ86" s="57">
        <f>IF(ISNA(SUMIFS(INDEX(Inputs!$B$2:$AZ$190,,MATCH(SUBSTITUTE(AQ$3,"Q","T"),Inputs!$B$2:$AZ$2,0)),Inputs!$B$2:$B$190,$B86)*Inputs!$D$1),"",SUMIFS(INDEX(Inputs!$B$2:$AZ$190,,MATCH(SUBSTITUTE(AQ$3,"Q","T"),Inputs!$B$2:$AZ$2,0)),Inputs!$B$2:$B$190,$B86)*Inputs!$D$1)</f>
        <v>0</v>
      </c>
      <c r="AR86" s="58">
        <f>SUM(AN86:AQ86)</f>
        <v>0</v>
      </c>
      <c r="AS86" s="57">
        <f>IF(ISNA(SUMIFS(INDEX(Inputs!$B$2:$AZ$190,,MATCH(SUBSTITUTE(AS$3,"Q","T"),Inputs!$B$2:$AZ$2,0)),Inputs!$B$2:$B$190,$B86)*Inputs!$D$1),"",SUMIFS(INDEX(Inputs!$B$2:$AZ$190,,MATCH(SUBSTITUTE(AS$3,"Q","T"),Inputs!$B$2:$AZ$2,0)),Inputs!$B$2:$B$190,$B86)*Inputs!$D$1)</f>
        <v>0</v>
      </c>
      <c r="AT86" s="57">
        <f>IF(ISNA(SUMIFS(INDEX(Inputs!$B$2:$AZ$190,,MATCH(SUBSTITUTE(AT$3,"Q","T"),Inputs!$B$2:$AZ$2,0)),Inputs!$B$2:$B$190,$B86)*Inputs!$D$1),"",SUMIFS(INDEX(Inputs!$B$2:$AZ$190,,MATCH(SUBSTITUTE(AT$3,"Q","T"),Inputs!$B$2:$AZ$2,0)),Inputs!$B$2:$B$190,$B86)*Inputs!$D$1)</f>
        <v>0</v>
      </c>
      <c r="AU86" s="57">
        <f>IF(ISNA(SUMIFS(INDEX(Inputs!$B$2:$AZ$190,,MATCH(SUBSTITUTE(AU$3,"Q","T"),Inputs!$B$2:$AZ$2,0)),Inputs!$B$2:$B$190,$B86)*Inputs!$D$1),"",SUMIFS(INDEX(Inputs!$B$2:$AZ$190,,MATCH(SUBSTITUTE(AU$3,"Q","T"),Inputs!$B$2:$AZ$2,0)),Inputs!$B$2:$B$190,$B86)*Inputs!$D$1)</f>
        <v>0</v>
      </c>
      <c r="AV86" s="57">
        <f>IF(ISNA(SUMIFS(INDEX(Inputs!$B$2:$AZ$190,,MATCH(SUBSTITUTE(AV$3,"Q","T"),Inputs!$B$2:$AZ$2,0)),Inputs!$B$2:$B$190,$B86)*Inputs!$D$1),"",SUMIFS(INDEX(Inputs!$B$2:$AZ$190,,MATCH(SUBSTITUTE(AV$3,"Q","T"),Inputs!$B$2:$AZ$2,0)),Inputs!$B$2:$B$190,$B86)*Inputs!$D$1)</f>
        <v>0</v>
      </c>
      <c r="AW86" s="58">
        <f>SUM(AS86:AV86)</f>
        <v>0</v>
      </c>
      <c r="AX86" s="57">
        <f>IF(ISNA(SUMIFS(INDEX(Inputs!$B$2:$AZ$190,,MATCH(SUBSTITUTE(AX$3,"Q","T"),Inputs!$B$2:$AZ$2,0)),Inputs!$B$2:$B$190,$B86)*Inputs!$D$1),"",SUMIFS(INDEX(Inputs!$B$2:$AZ$190,,MATCH(SUBSTITUTE(AX$3,"Q","T"),Inputs!$B$2:$AZ$2,0)),Inputs!$B$2:$B$190,$B86)*Inputs!$D$1)</f>
        <v>0</v>
      </c>
      <c r="AY86" s="57">
        <f>IF(ISNA(SUMIFS(INDEX(Inputs!$B$2:$AZ$190,,MATCH(SUBSTITUTE(AY$3,"Q","T"),Inputs!$B$2:$AZ$2,0)),Inputs!$B$2:$B$190,$B86)*Inputs!$D$1),"",SUMIFS(INDEX(Inputs!$B$2:$AZ$190,,MATCH(SUBSTITUTE(AY$3,"Q","T"),Inputs!$B$2:$AZ$2,0)),Inputs!$B$2:$B$190,$B86)*Inputs!$D$1)</f>
        <v>0</v>
      </c>
      <c r="AZ86" s="57">
        <f>IF(ISNA(SUMIFS(INDEX(Inputs!$B$2:$AZ$190,,MATCH(SUBSTITUTE(AZ$3,"Q","T"),Inputs!$B$2:$AZ$2,0)),Inputs!$B$2:$B$190,$B86)*Inputs!$D$1),"",SUMIFS(INDEX(Inputs!$B$2:$AZ$190,,MATCH(SUBSTITUTE(AZ$3,"Q","T"),Inputs!$B$2:$AZ$2,0)),Inputs!$B$2:$B$190,$B86)*Inputs!$D$1)</f>
        <v>0</v>
      </c>
      <c r="BA86" s="57">
        <f>IF(ISNA(SUMIFS(INDEX(Inputs!$B$2:$AZ$190,,MATCH(SUBSTITUTE(BA$3,"Q","T"),Inputs!$B$2:$AZ$2,0)),Inputs!$B$2:$B$190,$B86)*Inputs!$D$1),"",SUMIFS(INDEX(Inputs!$B$2:$AZ$190,,MATCH(SUBSTITUTE(BA$3,"Q","T"),Inputs!$B$2:$AZ$2,0)),Inputs!$B$2:$B$190,$B86)*Inputs!$D$1)</f>
        <v>0</v>
      </c>
      <c r="BB86" s="58">
        <f>SUM(AX86:BA86)</f>
        <v>0</v>
      </c>
      <c r="BC86" s="57">
        <f>IF(ISNA(SUMIFS(INDEX(Inputs!$B$2:$AZ$190,,MATCH(SUBSTITUTE(BC$3,"Q","T"),Inputs!$B$2:$AZ$2,0)),Inputs!$B$2:$B$190,$B86)*Inputs!$D$1),"",SUMIFS(INDEX(Inputs!$B$2:$AZ$190,,MATCH(SUBSTITUTE(BC$3,"Q","T"),Inputs!$B$2:$AZ$2,0)),Inputs!$B$2:$B$190,$B86)*Inputs!$D$1)</f>
        <v>0</v>
      </c>
      <c r="BD86" s="57">
        <f>IF(ISNA(SUMIFS(INDEX(Inputs!$B$2:$AZ$190,,MATCH(SUBSTITUTE(BD$3,"Q","T"),Inputs!$B$2:$AZ$2,0)),Inputs!$B$2:$B$190,$B86)*Inputs!$D$1),"",SUMIFS(INDEX(Inputs!$B$2:$AZ$190,,MATCH(SUBSTITUTE(BD$3,"Q","T"),Inputs!$B$2:$AZ$2,0)),Inputs!$B$2:$B$190,$B86)*Inputs!$D$1)</f>
        <v>0</v>
      </c>
      <c r="BE86" s="57">
        <f>IF(ISNA(SUMIFS(INDEX(Inputs!$B$2:$AZ$190,,MATCH(SUBSTITUTE(BE$3,"Q","T"),Inputs!$B$2:$AZ$2,0)),Inputs!$B$2:$B$190,$B86)*Inputs!$D$1),"",SUMIFS(INDEX(Inputs!$B$2:$AZ$190,,MATCH(SUBSTITUTE(BE$3,"Q","T"),Inputs!$B$2:$AZ$2,0)),Inputs!$B$2:$B$190,$B86)*Inputs!$D$1)</f>
        <v>0</v>
      </c>
      <c r="BF86" s="57">
        <f>IF(ISNA(SUMIFS(INDEX(Inputs!$B$2:$AZ$190,,MATCH(SUBSTITUTE(BF$3,"Q","T"),Inputs!$B$2:$AZ$2,0)),Inputs!$B$2:$B$190,$B86)*Inputs!$D$1),"",SUMIFS(INDEX(Inputs!$B$2:$AZ$190,,MATCH(SUBSTITUTE(BF$3,"Q","T"),Inputs!$B$2:$AZ$2,0)),Inputs!$B$2:$B$190,$B86)*Inputs!$D$1)</f>
        <v>0</v>
      </c>
      <c r="BG86" s="58">
        <f>SUM(BC86:BF86)</f>
        <v>0</v>
      </c>
    </row>
    <row r="87" hidden="1" outlineLevel="1">
      <c r="B87" s="56" t="inlineStr">
        <is>
          <t>seguros</t>
        </is>
      </c>
      <c r="C87" s="61" t="inlineStr">
        <is>
          <t>Resultado de Seguros, Previdência e Capitalização</t>
        </is>
      </c>
      <c r="D87" s="62" t="inlineStr">
        <is>
          <t>Insurance and Pension Result</t>
        </is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0</v>
      </c>
      <c r="F87" s="57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>0</v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0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0</v>
      </c>
      <c r="I87" s="58">
        <f>SUM(E87:H87)</f>
        <v>0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0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0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0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0</v>
      </c>
      <c r="N87" s="58">
        <f>SUM(J87:M87)</f>
        <v>0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0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0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0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0</v>
      </c>
      <c r="S87" s="58">
        <f>SUM(O87:R87)</f>
        <v>0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0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0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0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0</v>
      </c>
      <c r="X87" s="58">
        <f>SUM(T87:W87)</f>
        <v>0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0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0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0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0</v>
      </c>
      <c r="AC87" s="58">
        <f>SUM(Y87:AB87)</f>
        <v>0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0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0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0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0</v>
      </c>
      <c r="AH87" s="58">
        <f>SUM(AD87:AG87)</f>
        <v>0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0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0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>SUM(AI87:AL87)</f>
        <v>0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>SUM(AN87:AQ87)</f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>SUM(AS87:AV87)</f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>SUM(AX87:BA87)</f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>SUM(BC87:BF87)</f>
        <v>0</v>
      </c>
    </row>
    <row r="88" hidden="1" outlineLevel="1">
      <c r="B88" s="56" t="inlineStr">
        <is>
          <t>pessoal</t>
        </is>
      </c>
      <c r="C88" s="61" t="inlineStr">
        <is>
          <t>(Despesas de Pessoal)</t>
        </is>
      </c>
      <c r="D88" s="62" t="inlineStr">
        <is>
          <t>(Personnel Expenses)</t>
        </is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-97.63</v>
      </c>
      <c r="F88" s="57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>-87.811</v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-89.314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-98.417</v>
      </c>
      <c r="I88" s="58">
        <f>SUM(E88:H88)</f>
        <v>-373.172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-104.394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-106.329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-112.23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-124.27</v>
      </c>
      <c r="N88" s="58">
        <f>SUM(J88:M88)</f>
        <v>-447.223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-146.568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-155.449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-176.984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-176.463</v>
      </c>
      <c r="S88" s="58">
        <f>SUM(O88:R88)</f>
        <v>-655.464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-172.06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-175.931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-196.158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-192.507</v>
      </c>
      <c r="X88" s="58">
        <f>SUM(T88:W88)</f>
        <v>-736.656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-186.606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-190.803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-199.502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-203.663</v>
      </c>
      <c r="AC88" s="58">
        <f>SUM(Y88:AB88)</f>
        <v>-780.574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-194.99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-182.363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-208.114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-216.139</v>
      </c>
      <c r="AH88" s="58">
        <f>SUM(AD88:AG88)</f>
        <v>-801.606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-218.313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-218.71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>SUM(AI88:AL88)</f>
        <v>-437.023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>SUM(AN88:AQ88)</f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>SUM(AS88:AV88)</f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>SUM(AX88:BA88)</f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>SUM(BC88:BF88)</f>
        <v>0</v>
      </c>
    </row>
    <row r="89" hidden="1" outlineLevel="1">
      <c r="B89" s="56" t="inlineStr">
        <is>
          <t>admin</t>
        </is>
      </c>
      <c r="C89" s="61" t="inlineStr">
        <is>
          <t>(Outras Despesas Administrativas)</t>
        </is>
      </c>
      <c r="D89" s="62" t="inlineStr">
        <is>
          <t>(Other Administrative Expenses)</t>
        </is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-40.065</v>
      </c>
      <c r="F89" s="57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>-36.804</v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-37.382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-46.465</v>
      </c>
      <c r="I89" s="58">
        <f>SUM(E89:H89)</f>
        <v>-160.716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-37.439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-46.162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-47.23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-50.687</v>
      </c>
      <c r="N89" s="58">
        <f>SUM(J89:M89)</f>
        <v>-181.518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-52.673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-64.818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-68.453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-77.202</v>
      </c>
      <c r="S89" s="58">
        <f>SUM(O89:R89)</f>
        <v>-263.146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-70.243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-74.885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-77.791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-80.517</v>
      </c>
      <c r="X89" s="58">
        <f>SUM(T89:W89)</f>
        <v>-303.436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-83.904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-84.789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-89.42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-95.019</v>
      </c>
      <c r="AC89" s="58">
        <f>SUM(Y89:AB89)</f>
        <v>-353.132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-92.788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-87.201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-96.091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-101.798</v>
      </c>
      <c r="AH89" s="58">
        <f>SUM(AD89:AG89)</f>
        <v>-377.878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-93.559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-104.929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>SUM(AI89:AL89)</f>
        <v>-198.488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>SUM(AN89:AQ89)</f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>SUM(AS89:AV89)</f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>SUM(AX89:BA89)</f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>SUM(BC89:BF89)</f>
        <v>0</v>
      </c>
    </row>
    <row r="90" hidden="1" outlineLevel="1">
      <c r="C90" s="63" t="inlineStr">
        <is>
          <t>(Despesas de Demais Provisões)</t>
        </is>
      </c>
      <c r="D90" s="64" t="inlineStr">
        <is>
          <t>(Other Provision Expenses)</t>
        </is>
      </c>
      <c r="E90" s="59">
        <f>IFERROR(E91+E92+E93,"")</f>
        <v>0</v>
      </c>
      <c r="F90" s="59">
        <f>IFERROR(F91+F92+F93,"")</f>
        <v>0</v>
      </c>
      <c r="G90" s="59">
        <f>IFERROR(G91+G92+G93,"")</f>
        <v>0</v>
      </c>
      <c r="H90" s="59">
        <f>IFERROR(H91+H92+H93,"")</f>
        <v>0</v>
      </c>
      <c r="I90" s="60">
        <f>SUM(E90:H90)</f>
        <v>0</v>
      </c>
      <c r="J90" s="59">
        <f>IFERROR(J91+J92+J93,"")</f>
        <v>0</v>
      </c>
      <c r="K90" s="59">
        <f>IFERROR(K91+K92+K93,"")</f>
        <v>0</v>
      </c>
      <c r="L90" s="59">
        <f>IFERROR(L91+L92+L93,"")</f>
        <v>0</v>
      </c>
      <c r="M90" s="59">
        <f>IFERROR(M91+M92+M93,"")</f>
        <v>0</v>
      </c>
      <c r="N90" s="60">
        <f>SUM(J90:M90)</f>
        <v>0</v>
      </c>
      <c r="O90" s="59">
        <f>IFERROR(O91+O92+O93,"")</f>
        <v>0</v>
      </c>
      <c r="P90" s="59">
        <f>IFERROR(P91+P92+P93,"")</f>
        <v>0</v>
      </c>
      <c r="Q90" s="59">
        <f>IFERROR(Q91+Q92+Q93,"")</f>
        <v>0</v>
      </c>
      <c r="R90" s="59">
        <f>IFERROR(R91+R92+R93,"")</f>
        <v>0</v>
      </c>
      <c r="S90" s="60">
        <f>SUM(O90:R90)</f>
        <v>0</v>
      </c>
      <c r="T90" s="59">
        <f>IFERROR(T91+T92+T93,"")</f>
        <v>0</v>
      </c>
      <c r="U90" s="59">
        <f>IFERROR(U91+U92+U93,"")</f>
        <v>0</v>
      </c>
      <c r="V90" s="59">
        <f>IFERROR(V91+V92+V93,"")</f>
        <v>0</v>
      </c>
      <c r="W90" s="59">
        <f>IFERROR(W91+W92+W93,"")</f>
        <v>0</v>
      </c>
      <c r="X90" s="60">
        <f>SUM(T90:W90)</f>
        <v>0</v>
      </c>
      <c r="Y90" s="59">
        <f>IFERROR(Y91+Y92+Y93,"")</f>
        <v>0</v>
      </c>
      <c r="Z90" s="59">
        <f>IFERROR(Z91+Z92+Z93,"")</f>
        <v>0</v>
      </c>
      <c r="AA90" s="59">
        <f>IFERROR(AA91+AA92+AA93,"")</f>
        <v>0</v>
      </c>
      <c r="AB90" s="59">
        <f>IFERROR(AB91+AB92+AB93,"")</f>
        <v>0</v>
      </c>
      <c r="AC90" s="60">
        <f>SUM(Y90:AB90)</f>
        <v>0</v>
      </c>
      <c r="AD90" s="59">
        <f>IFERROR(AD91+AD92+AD93,"")</f>
        <v>0</v>
      </c>
      <c r="AE90" s="59">
        <f>IFERROR(AE91+AE92+AE93,"")</f>
        <v>0</v>
      </c>
      <c r="AF90" s="59">
        <f>IFERROR(AF91+AF92+AF93,"")</f>
        <v>0</v>
      </c>
      <c r="AG90" s="59">
        <f>IFERROR(AG91+AG92+AG93,"")</f>
        <v>0</v>
      </c>
      <c r="AH90" s="60">
        <f>SUM(AD90:AG90)</f>
        <v>0</v>
      </c>
      <c r="AI90" s="59">
        <f>IFERROR(AI91+AI92+AI93,"")</f>
        <v>0</v>
      </c>
      <c r="AJ90" s="59">
        <f>IFERROR(AJ91+AJ92+AJ93,"")</f>
        <v>0</v>
      </c>
      <c r="AK90" s="59">
        <f>IFERROR(AK91+AK92+AK93,"")</f>
        <v>0</v>
      </c>
      <c r="AL90" s="59">
        <f>IFERROR(AL91+AL92+AL93,"")</f>
        <v>0</v>
      </c>
      <c r="AM90" s="60">
        <f>SUM(AI90:AL90)</f>
        <v>0</v>
      </c>
      <c r="AN90" s="59">
        <f>IFERROR(AN91+AN92+AN93,"")</f>
        <v>0</v>
      </c>
      <c r="AO90" s="59">
        <f>IFERROR(AO91+AO92+AO93,"")</f>
        <v>0</v>
      </c>
      <c r="AP90" s="59">
        <f>IFERROR(AP91+AP92+AP93,"")</f>
        <v>0</v>
      </c>
      <c r="AQ90" s="59">
        <f>IFERROR(AQ91+AQ92+AQ93,"")</f>
        <v>0</v>
      </c>
      <c r="AR90" s="60">
        <f>SUM(AN90:AQ90)</f>
        <v>0</v>
      </c>
      <c r="AS90" s="59">
        <f>IFERROR(AS91+AS92+AS93,"")</f>
        <v>0</v>
      </c>
      <c r="AT90" s="59">
        <f>IFERROR(AT91+AT92+AT93,"")</f>
        <v>0</v>
      </c>
      <c r="AU90" s="59">
        <f>IFERROR(AU91+AU92+AU93,"")</f>
        <v>0</v>
      </c>
      <c r="AV90" s="59">
        <f>IFERROR(AV91+AV92+AV93,"")</f>
        <v>0</v>
      </c>
      <c r="AW90" s="60">
        <f>SUM(AS90:AV90)</f>
        <v>0</v>
      </c>
      <c r="AX90" s="59">
        <f>IFERROR(AX91+AX92+AX93,"")</f>
        <v>0</v>
      </c>
      <c r="AY90" s="59">
        <f>IFERROR(AY91+AY92+AY93,"")</f>
        <v>0</v>
      </c>
      <c r="AZ90" s="59">
        <f>IFERROR(AZ91+AZ92+AZ93,"")</f>
        <v>0</v>
      </c>
      <c r="BA90" s="59">
        <f>IFERROR(BA91+BA92+BA93,"")</f>
        <v>0</v>
      </c>
      <c r="BB90" s="60">
        <f>SUM(AX90:BA90)</f>
        <v>0</v>
      </c>
      <c r="BC90" s="59">
        <f>IFERROR(BC91+BC92+BC93,"")</f>
        <v>0</v>
      </c>
      <c r="BD90" s="59">
        <f>IFERROR(BD91+BD92+BD93,"")</f>
        <v>0</v>
      </c>
      <c r="BE90" s="59">
        <f>IFERROR(BE91+BE92+BE93,"")</f>
        <v>0</v>
      </c>
      <c r="BF90" s="59">
        <f>IFERROR(BF91+BF92+BF93,"")</f>
        <v>0</v>
      </c>
      <c r="BG90" s="60">
        <f>SUM(BC90:BF90)</f>
        <v>0</v>
      </c>
    </row>
    <row r="91" hidden="1" outlineLevel="2">
      <c r="B91" s="56" t="inlineStr">
        <is>
          <t>prov_civ</t>
        </is>
      </c>
      <c r="C91" s="65" t="inlineStr">
        <is>
          <t>(Provisões Cíveis)</t>
        </is>
      </c>
      <c r="D91" s="66" t="inlineStr">
        <is>
          <t>(Civil Provisions)</t>
        </is>
      </c>
      <c r="E91" s="57">
        <f>IF(ISNA(SUMIFS(INDEX(Inputs!$B$2:$AZ$190,,MATCH(SUBSTITUTE(E$3,"Q","T"),Inputs!$B$2:$AZ$2,0)),Inputs!$B$2:$B$190,$B91)*Inputs!$D$1),"",SUMIFS(INDEX(Inputs!$B$2:$AZ$190,,MATCH(SUBSTITUTE(E$3,"Q","T"),Inputs!$B$2:$AZ$2,0)),Inputs!$B$2:$B$190,$B91)*Inputs!$D$1)</f>
        <v>0</v>
      </c>
      <c r="F91" s="57">
        <f>IF(ISNA(SUMIFS(INDEX(Inputs!$B$2:$AZ$190,,MATCH(SUBSTITUTE(F$3,"Q","T"),Inputs!$B$2:$AZ$2,0)),Inputs!$B$2:$B$190,$B91)*Inputs!$D$1),"",SUMIFS(INDEX(Inputs!$B$2:$AZ$190,,MATCH(SUBSTITUTE(F$3,"Q","T"),Inputs!$B$2:$AZ$2,0)),Inputs!$B$2:$B$190,$B91)*Inputs!$D$1)</f>
        <v>0</v>
      </c>
      <c r="G91" s="57">
        <f>IF(ISNA(SUMIFS(INDEX(Inputs!$B$2:$AZ$190,,MATCH(SUBSTITUTE(G$3,"Q","T"),Inputs!$B$2:$AZ$2,0)),Inputs!$B$2:$B$190,$B91)*Inputs!$D$1),"",SUMIFS(INDEX(Inputs!$B$2:$AZ$190,,MATCH(SUBSTITUTE(G$3,"Q","T"),Inputs!$B$2:$AZ$2,0)),Inputs!$B$2:$B$190,$B91)*Inputs!$D$1)</f>
        <v>0</v>
      </c>
      <c r="H91" s="57">
        <f>IF(ISNA(SUMIFS(INDEX(Inputs!$B$2:$AZ$190,,MATCH(SUBSTITUTE(H$3,"Q","T"),Inputs!$B$2:$AZ$2,0)),Inputs!$B$2:$B$190,$B91)*Inputs!$D$1),"",SUMIFS(INDEX(Inputs!$B$2:$AZ$190,,MATCH(SUBSTITUTE(H$3,"Q","T"),Inputs!$B$2:$AZ$2,0)),Inputs!$B$2:$B$190,$B91)*Inputs!$D$1)</f>
        <v>0</v>
      </c>
      <c r="I91" s="58">
        <f>SUM(E91:H91)</f>
        <v>0</v>
      </c>
      <c r="J91" s="57">
        <f>IF(ISNA(SUMIFS(INDEX(Inputs!$B$2:$AZ$190,,MATCH(SUBSTITUTE(J$3,"Q","T"),Inputs!$B$2:$AZ$2,0)),Inputs!$B$2:$B$190,$B91)*Inputs!$D$1),"",SUMIFS(INDEX(Inputs!$B$2:$AZ$190,,MATCH(SUBSTITUTE(J$3,"Q","T"),Inputs!$B$2:$AZ$2,0)),Inputs!$B$2:$B$190,$B91)*Inputs!$D$1)</f>
        <v>0</v>
      </c>
      <c r="K91" s="57">
        <f>IF(ISNA(SUMIFS(INDEX(Inputs!$B$2:$AZ$190,,MATCH(SUBSTITUTE(K$3,"Q","T"),Inputs!$B$2:$AZ$2,0)),Inputs!$B$2:$B$190,$B91)*Inputs!$D$1),"",SUMIFS(INDEX(Inputs!$B$2:$AZ$190,,MATCH(SUBSTITUTE(K$3,"Q","T"),Inputs!$B$2:$AZ$2,0)),Inputs!$B$2:$B$190,$B91)*Inputs!$D$1)</f>
        <v>0</v>
      </c>
      <c r="L91" s="57">
        <f>IF(ISNA(SUMIFS(INDEX(Inputs!$B$2:$AZ$190,,MATCH(SUBSTITUTE(L$3,"Q","T"),Inputs!$B$2:$AZ$2,0)),Inputs!$B$2:$B$190,$B91)*Inputs!$D$1),"",SUMIFS(INDEX(Inputs!$B$2:$AZ$190,,MATCH(SUBSTITUTE(L$3,"Q","T"),Inputs!$B$2:$AZ$2,0)),Inputs!$B$2:$B$190,$B91)*Inputs!$D$1)</f>
        <v>0</v>
      </c>
      <c r="M91" s="57">
        <f>IF(ISNA(SUMIFS(INDEX(Inputs!$B$2:$AZ$190,,MATCH(SUBSTITUTE(M$3,"Q","T"),Inputs!$B$2:$AZ$2,0)),Inputs!$B$2:$B$190,$B91)*Inputs!$D$1),"",SUMIFS(INDEX(Inputs!$B$2:$AZ$190,,MATCH(SUBSTITUTE(M$3,"Q","T"),Inputs!$B$2:$AZ$2,0)),Inputs!$B$2:$B$190,$B91)*Inputs!$D$1)</f>
        <v>0</v>
      </c>
      <c r="N91" s="58">
        <f>SUM(J91:M91)</f>
        <v>0</v>
      </c>
      <c r="O91" s="57">
        <f>IF(ISNA(SUMIFS(INDEX(Inputs!$B$2:$AZ$190,,MATCH(SUBSTITUTE(O$3,"Q","T"),Inputs!$B$2:$AZ$2,0)),Inputs!$B$2:$B$190,$B91)*Inputs!$D$1),"",SUMIFS(INDEX(Inputs!$B$2:$AZ$190,,MATCH(SUBSTITUTE(O$3,"Q","T"),Inputs!$B$2:$AZ$2,0)),Inputs!$B$2:$B$190,$B91)*Inputs!$D$1)</f>
        <v>0</v>
      </c>
      <c r="P91" s="57">
        <f>IF(ISNA(SUMIFS(INDEX(Inputs!$B$2:$AZ$190,,MATCH(SUBSTITUTE(P$3,"Q","T"),Inputs!$B$2:$AZ$2,0)),Inputs!$B$2:$B$190,$B91)*Inputs!$D$1),"",SUMIFS(INDEX(Inputs!$B$2:$AZ$190,,MATCH(SUBSTITUTE(P$3,"Q","T"),Inputs!$B$2:$AZ$2,0)),Inputs!$B$2:$B$190,$B91)*Inputs!$D$1)</f>
        <v>0</v>
      </c>
      <c r="Q91" s="57">
        <f>IF(ISNA(SUMIFS(INDEX(Inputs!$B$2:$AZ$190,,MATCH(SUBSTITUTE(Q$3,"Q","T"),Inputs!$B$2:$AZ$2,0)),Inputs!$B$2:$B$190,$B91)*Inputs!$D$1),"",SUMIFS(INDEX(Inputs!$B$2:$AZ$190,,MATCH(SUBSTITUTE(Q$3,"Q","T"),Inputs!$B$2:$AZ$2,0)),Inputs!$B$2:$B$190,$B91)*Inputs!$D$1)</f>
        <v>0</v>
      </c>
      <c r="R91" s="57">
        <f>IF(ISNA(SUMIFS(INDEX(Inputs!$B$2:$AZ$190,,MATCH(SUBSTITUTE(R$3,"Q","T"),Inputs!$B$2:$AZ$2,0)),Inputs!$B$2:$B$190,$B91)*Inputs!$D$1),"",SUMIFS(INDEX(Inputs!$B$2:$AZ$190,,MATCH(SUBSTITUTE(R$3,"Q","T"),Inputs!$B$2:$AZ$2,0)),Inputs!$B$2:$B$190,$B91)*Inputs!$D$1)</f>
        <v>0</v>
      </c>
      <c r="S91" s="58">
        <f>SUM(O91:R91)</f>
        <v>0</v>
      </c>
      <c r="T91" s="57">
        <f>IF(ISNA(SUMIFS(INDEX(Inputs!$B$2:$AZ$190,,MATCH(SUBSTITUTE(T$3,"Q","T"),Inputs!$B$2:$AZ$2,0)),Inputs!$B$2:$B$190,$B91)*Inputs!$D$1),"",SUMIFS(INDEX(Inputs!$B$2:$AZ$190,,MATCH(SUBSTITUTE(T$3,"Q","T"),Inputs!$B$2:$AZ$2,0)),Inputs!$B$2:$B$190,$B91)*Inputs!$D$1)</f>
        <v>0</v>
      </c>
      <c r="U91" s="57">
        <f>IF(ISNA(SUMIFS(INDEX(Inputs!$B$2:$AZ$190,,MATCH(SUBSTITUTE(U$3,"Q","T"),Inputs!$B$2:$AZ$2,0)),Inputs!$B$2:$B$190,$B91)*Inputs!$D$1),"",SUMIFS(INDEX(Inputs!$B$2:$AZ$190,,MATCH(SUBSTITUTE(U$3,"Q","T"),Inputs!$B$2:$AZ$2,0)),Inputs!$B$2:$B$190,$B91)*Inputs!$D$1)</f>
        <v>0</v>
      </c>
      <c r="V91" s="57">
        <f>IF(ISNA(SUMIFS(INDEX(Inputs!$B$2:$AZ$190,,MATCH(SUBSTITUTE(V$3,"Q","T"),Inputs!$B$2:$AZ$2,0)),Inputs!$B$2:$B$190,$B91)*Inputs!$D$1),"",SUMIFS(INDEX(Inputs!$B$2:$AZ$190,,MATCH(SUBSTITUTE(V$3,"Q","T"),Inputs!$B$2:$AZ$2,0)),Inputs!$B$2:$B$190,$B91)*Inputs!$D$1)</f>
        <v>0</v>
      </c>
      <c r="W91" s="57">
        <f>IF(ISNA(SUMIFS(INDEX(Inputs!$B$2:$AZ$190,,MATCH(SUBSTITUTE(W$3,"Q","T"),Inputs!$B$2:$AZ$2,0)),Inputs!$B$2:$B$190,$B91)*Inputs!$D$1),"",SUMIFS(INDEX(Inputs!$B$2:$AZ$190,,MATCH(SUBSTITUTE(W$3,"Q","T"),Inputs!$B$2:$AZ$2,0)),Inputs!$B$2:$B$190,$B91)*Inputs!$D$1)</f>
        <v>0</v>
      </c>
      <c r="X91" s="58">
        <f>SUM(T91:W91)</f>
        <v>0</v>
      </c>
      <c r="Y91" s="57">
        <f>IF(ISNA(SUMIFS(INDEX(Inputs!$B$2:$AZ$190,,MATCH(SUBSTITUTE(Y$3,"Q","T"),Inputs!$B$2:$AZ$2,0)),Inputs!$B$2:$B$190,$B91)*Inputs!$D$1),"",SUMIFS(INDEX(Inputs!$B$2:$AZ$190,,MATCH(SUBSTITUTE(Y$3,"Q","T"),Inputs!$B$2:$AZ$2,0)),Inputs!$B$2:$B$190,$B91)*Inputs!$D$1)</f>
        <v>0</v>
      </c>
      <c r="Z91" s="57">
        <f>IF(ISNA(SUMIFS(INDEX(Inputs!$B$2:$AZ$190,,MATCH(SUBSTITUTE(Z$3,"Q","T"),Inputs!$B$2:$AZ$2,0)),Inputs!$B$2:$B$190,$B91)*Inputs!$D$1),"",SUMIFS(INDEX(Inputs!$B$2:$AZ$190,,MATCH(SUBSTITUTE(Z$3,"Q","T"),Inputs!$B$2:$AZ$2,0)),Inputs!$B$2:$B$190,$B91)*Inputs!$D$1)</f>
        <v>0</v>
      </c>
      <c r="AA91" s="57">
        <f>IF(ISNA(SUMIFS(INDEX(Inputs!$B$2:$AZ$190,,MATCH(SUBSTITUTE(AA$3,"Q","T"),Inputs!$B$2:$AZ$2,0)),Inputs!$B$2:$B$190,$B91)*Inputs!$D$1),"",SUMIFS(INDEX(Inputs!$B$2:$AZ$190,,MATCH(SUBSTITUTE(AA$3,"Q","T"),Inputs!$B$2:$AZ$2,0)),Inputs!$B$2:$B$190,$B91)*Inputs!$D$1)</f>
        <v>0</v>
      </c>
      <c r="AB91" s="57">
        <f>IF(ISNA(SUMIFS(INDEX(Inputs!$B$2:$AZ$190,,MATCH(SUBSTITUTE(AB$3,"Q","T"),Inputs!$B$2:$AZ$2,0)),Inputs!$B$2:$B$190,$B91)*Inputs!$D$1),"",SUMIFS(INDEX(Inputs!$B$2:$AZ$190,,MATCH(SUBSTITUTE(AB$3,"Q","T"),Inputs!$B$2:$AZ$2,0)),Inputs!$B$2:$B$190,$B91)*Inputs!$D$1)</f>
        <v>0</v>
      </c>
      <c r="AC91" s="58">
        <f>SUM(Y91:AB91)</f>
        <v>0</v>
      </c>
      <c r="AD91" s="57">
        <f>IF(ISNA(SUMIFS(INDEX(Inputs!$B$2:$AZ$190,,MATCH(SUBSTITUTE(AD$3,"Q","T"),Inputs!$B$2:$AZ$2,0)),Inputs!$B$2:$B$190,$B91)*Inputs!$D$1),"",SUMIFS(INDEX(Inputs!$B$2:$AZ$190,,MATCH(SUBSTITUTE(AD$3,"Q","T"),Inputs!$B$2:$AZ$2,0)),Inputs!$B$2:$B$190,$B91)*Inputs!$D$1)</f>
        <v>0</v>
      </c>
      <c r="AE91" s="57">
        <f>IF(ISNA(SUMIFS(INDEX(Inputs!$B$2:$AZ$190,,MATCH(SUBSTITUTE(AE$3,"Q","T"),Inputs!$B$2:$AZ$2,0)),Inputs!$B$2:$B$190,$B91)*Inputs!$D$1),"",SUMIFS(INDEX(Inputs!$B$2:$AZ$190,,MATCH(SUBSTITUTE(AE$3,"Q","T"),Inputs!$B$2:$AZ$2,0)),Inputs!$B$2:$B$190,$B91)*Inputs!$D$1)</f>
        <v>0</v>
      </c>
      <c r="AF91" s="57">
        <f>IF(ISNA(SUMIFS(INDEX(Inputs!$B$2:$AZ$190,,MATCH(SUBSTITUTE(AF$3,"Q","T"),Inputs!$B$2:$AZ$2,0)),Inputs!$B$2:$B$190,$B91)*Inputs!$D$1),"",SUMIFS(INDEX(Inputs!$B$2:$AZ$190,,MATCH(SUBSTITUTE(AF$3,"Q","T"),Inputs!$B$2:$AZ$2,0)),Inputs!$B$2:$B$190,$B91)*Inputs!$D$1)</f>
        <v>0</v>
      </c>
      <c r="AG91" s="57">
        <f>IF(ISNA(SUMIFS(INDEX(Inputs!$B$2:$AZ$190,,MATCH(SUBSTITUTE(AG$3,"Q","T"),Inputs!$B$2:$AZ$2,0)),Inputs!$B$2:$B$190,$B91)*Inputs!$D$1),"",SUMIFS(INDEX(Inputs!$B$2:$AZ$190,,MATCH(SUBSTITUTE(AG$3,"Q","T"),Inputs!$B$2:$AZ$2,0)),Inputs!$B$2:$B$190,$B91)*Inputs!$D$1)</f>
        <v>0</v>
      </c>
      <c r="AH91" s="58">
        <f>SUM(AD91:AG91)</f>
        <v>0</v>
      </c>
      <c r="AI91" s="57">
        <f>IF(ISNA(SUMIFS(INDEX(Inputs!$B$2:$AZ$190,,MATCH(SUBSTITUTE(AI$3,"Q","T"),Inputs!$B$2:$AZ$2,0)),Inputs!$B$2:$B$190,$B91)*Inputs!$D$1),"",SUMIFS(INDEX(Inputs!$B$2:$AZ$190,,MATCH(SUBSTITUTE(AI$3,"Q","T"),Inputs!$B$2:$AZ$2,0)),Inputs!$B$2:$B$190,$B91)*Inputs!$D$1)</f>
        <v>0</v>
      </c>
      <c r="AJ91" s="57">
        <f>IF(ISNA(SUMIFS(INDEX(Inputs!$B$2:$AZ$190,,MATCH(SUBSTITUTE(AJ$3,"Q","T"),Inputs!$B$2:$AZ$2,0)),Inputs!$B$2:$B$190,$B91)*Inputs!$D$1),"",SUMIFS(INDEX(Inputs!$B$2:$AZ$190,,MATCH(SUBSTITUTE(AJ$3,"Q","T"),Inputs!$B$2:$AZ$2,0)),Inputs!$B$2:$B$190,$B91)*Inputs!$D$1)</f>
        <v>0</v>
      </c>
      <c r="AK91" s="57">
        <f>IF(ISNA(SUMIFS(INDEX(Inputs!$B$2:$AZ$190,,MATCH(SUBSTITUTE(AK$3,"Q","T"),Inputs!$B$2:$AZ$2,0)),Inputs!$B$2:$B$190,$B91)*Inputs!$D$1),"",SUMIFS(INDEX(Inputs!$B$2:$AZ$190,,MATCH(SUBSTITUTE(AK$3,"Q","T"),Inputs!$B$2:$AZ$2,0)),Inputs!$B$2:$B$190,$B91)*Inputs!$D$1)</f>
        <v>0</v>
      </c>
      <c r="AL91" s="57">
        <f>IF(ISNA(SUMIFS(INDEX(Inputs!$B$2:$AZ$190,,MATCH(SUBSTITUTE(AL$3,"Q","T"),Inputs!$B$2:$AZ$2,0)),Inputs!$B$2:$B$190,$B91)*Inputs!$D$1),"",SUMIFS(INDEX(Inputs!$B$2:$AZ$190,,MATCH(SUBSTITUTE(AL$3,"Q","T"),Inputs!$B$2:$AZ$2,0)),Inputs!$B$2:$B$190,$B91)*Inputs!$D$1)</f>
        <v>0</v>
      </c>
      <c r="AM91" s="58">
        <f>SUM(AI91:AL91)</f>
        <v>0</v>
      </c>
      <c r="AN91" s="57">
        <f>IF(ISNA(SUMIFS(INDEX(Inputs!$B$2:$AZ$190,,MATCH(SUBSTITUTE(AN$3,"Q","T"),Inputs!$B$2:$AZ$2,0)),Inputs!$B$2:$B$190,$B91)*Inputs!$D$1),"",SUMIFS(INDEX(Inputs!$B$2:$AZ$190,,MATCH(SUBSTITUTE(AN$3,"Q","T"),Inputs!$B$2:$AZ$2,0)),Inputs!$B$2:$B$190,$B91)*Inputs!$D$1)</f>
        <v>0</v>
      </c>
      <c r="AO91" s="57">
        <f>IF(ISNA(SUMIFS(INDEX(Inputs!$B$2:$AZ$190,,MATCH(SUBSTITUTE(AO$3,"Q","T"),Inputs!$B$2:$AZ$2,0)),Inputs!$B$2:$B$190,$B91)*Inputs!$D$1),"",SUMIFS(INDEX(Inputs!$B$2:$AZ$190,,MATCH(SUBSTITUTE(AO$3,"Q","T"),Inputs!$B$2:$AZ$2,0)),Inputs!$B$2:$B$190,$B91)*Inputs!$D$1)</f>
        <v>0</v>
      </c>
      <c r="AP91" s="57">
        <f>IF(ISNA(SUMIFS(INDEX(Inputs!$B$2:$AZ$190,,MATCH(SUBSTITUTE(AP$3,"Q","T"),Inputs!$B$2:$AZ$2,0)),Inputs!$B$2:$B$190,$B91)*Inputs!$D$1),"",SUMIFS(INDEX(Inputs!$B$2:$AZ$190,,MATCH(SUBSTITUTE(AP$3,"Q","T"),Inputs!$B$2:$AZ$2,0)),Inputs!$B$2:$B$190,$B91)*Inputs!$D$1)</f>
        <v>0</v>
      </c>
      <c r="AQ91" s="57">
        <f>IF(ISNA(SUMIFS(INDEX(Inputs!$B$2:$AZ$190,,MATCH(SUBSTITUTE(AQ$3,"Q","T"),Inputs!$B$2:$AZ$2,0)),Inputs!$B$2:$B$190,$B91)*Inputs!$D$1),"",SUMIFS(INDEX(Inputs!$B$2:$AZ$190,,MATCH(SUBSTITUTE(AQ$3,"Q","T"),Inputs!$B$2:$AZ$2,0)),Inputs!$B$2:$B$190,$B91)*Inputs!$D$1)</f>
        <v>0</v>
      </c>
      <c r="AR91" s="58">
        <f>SUM(AN91:AQ91)</f>
        <v>0</v>
      </c>
      <c r="AS91" s="57">
        <f>IF(ISNA(SUMIFS(INDEX(Inputs!$B$2:$AZ$190,,MATCH(SUBSTITUTE(AS$3,"Q","T"),Inputs!$B$2:$AZ$2,0)),Inputs!$B$2:$B$190,$B91)*Inputs!$D$1),"",SUMIFS(INDEX(Inputs!$B$2:$AZ$190,,MATCH(SUBSTITUTE(AS$3,"Q","T"),Inputs!$B$2:$AZ$2,0)),Inputs!$B$2:$B$190,$B91)*Inputs!$D$1)</f>
        <v>0</v>
      </c>
      <c r="AT91" s="57">
        <f>IF(ISNA(SUMIFS(INDEX(Inputs!$B$2:$AZ$190,,MATCH(SUBSTITUTE(AT$3,"Q","T"),Inputs!$B$2:$AZ$2,0)),Inputs!$B$2:$B$190,$B91)*Inputs!$D$1),"",SUMIFS(INDEX(Inputs!$B$2:$AZ$190,,MATCH(SUBSTITUTE(AT$3,"Q","T"),Inputs!$B$2:$AZ$2,0)),Inputs!$B$2:$B$190,$B91)*Inputs!$D$1)</f>
        <v>0</v>
      </c>
      <c r="AU91" s="57">
        <f>IF(ISNA(SUMIFS(INDEX(Inputs!$B$2:$AZ$190,,MATCH(SUBSTITUTE(AU$3,"Q","T"),Inputs!$B$2:$AZ$2,0)),Inputs!$B$2:$B$190,$B91)*Inputs!$D$1),"",SUMIFS(INDEX(Inputs!$B$2:$AZ$190,,MATCH(SUBSTITUTE(AU$3,"Q","T"),Inputs!$B$2:$AZ$2,0)),Inputs!$B$2:$B$190,$B91)*Inputs!$D$1)</f>
        <v>0</v>
      </c>
      <c r="AV91" s="57">
        <f>IF(ISNA(SUMIFS(INDEX(Inputs!$B$2:$AZ$190,,MATCH(SUBSTITUTE(AV$3,"Q","T"),Inputs!$B$2:$AZ$2,0)),Inputs!$B$2:$B$190,$B91)*Inputs!$D$1),"",SUMIFS(INDEX(Inputs!$B$2:$AZ$190,,MATCH(SUBSTITUTE(AV$3,"Q","T"),Inputs!$B$2:$AZ$2,0)),Inputs!$B$2:$B$190,$B91)*Inputs!$D$1)</f>
        <v>0</v>
      </c>
      <c r="AW91" s="58">
        <f>SUM(AS91:AV91)</f>
        <v>0</v>
      </c>
      <c r="AX91" s="57">
        <f>IF(ISNA(SUMIFS(INDEX(Inputs!$B$2:$AZ$190,,MATCH(SUBSTITUTE(AX$3,"Q","T"),Inputs!$B$2:$AZ$2,0)),Inputs!$B$2:$B$190,$B91)*Inputs!$D$1),"",SUMIFS(INDEX(Inputs!$B$2:$AZ$190,,MATCH(SUBSTITUTE(AX$3,"Q","T"),Inputs!$B$2:$AZ$2,0)),Inputs!$B$2:$B$190,$B91)*Inputs!$D$1)</f>
        <v>0</v>
      </c>
      <c r="AY91" s="57">
        <f>IF(ISNA(SUMIFS(INDEX(Inputs!$B$2:$AZ$190,,MATCH(SUBSTITUTE(AY$3,"Q","T"),Inputs!$B$2:$AZ$2,0)),Inputs!$B$2:$B$190,$B91)*Inputs!$D$1),"",SUMIFS(INDEX(Inputs!$B$2:$AZ$190,,MATCH(SUBSTITUTE(AY$3,"Q","T"),Inputs!$B$2:$AZ$2,0)),Inputs!$B$2:$B$190,$B91)*Inputs!$D$1)</f>
        <v>0</v>
      </c>
      <c r="AZ91" s="57">
        <f>IF(ISNA(SUMIFS(INDEX(Inputs!$B$2:$AZ$190,,MATCH(SUBSTITUTE(AZ$3,"Q","T"),Inputs!$B$2:$AZ$2,0)),Inputs!$B$2:$B$190,$B91)*Inputs!$D$1),"",SUMIFS(INDEX(Inputs!$B$2:$AZ$190,,MATCH(SUBSTITUTE(AZ$3,"Q","T"),Inputs!$B$2:$AZ$2,0)),Inputs!$B$2:$B$190,$B91)*Inputs!$D$1)</f>
        <v>0</v>
      </c>
      <c r="BA91" s="57">
        <f>IF(ISNA(SUMIFS(INDEX(Inputs!$B$2:$AZ$190,,MATCH(SUBSTITUTE(BA$3,"Q","T"),Inputs!$B$2:$AZ$2,0)),Inputs!$B$2:$B$190,$B91)*Inputs!$D$1),"",SUMIFS(INDEX(Inputs!$B$2:$AZ$190,,MATCH(SUBSTITUTE(BA$3,"Q","T"),Inputs!$B$2:$AZ$2,0)),Inputs!$B$2:$B$190,$B91)*Inputs!$D$1)</f>
        <v>0</v>
      </c>
      <c r="BB91" s="58">
        <f>SUM(AX91:BA91)</f>
        <v>0</v>
      </c>
      <c r="BC91" s="57">
        <f>IF(ISNA(SUMIFS(INDEX(Inputs!$B$2:$AZ$190,,MATCH(SUBSTITUTE(BC$3,"Q","T"),Inputs!$B$2:$AZ$2,0)),Inputs!$B$2:$B$190,$B91)*Inputs!$D$1),"",SUMIFS(INDEX(Inputs!$B$2:$AZ$190,,MATCH(SUBSTITUTE(BC$3,"Q","T"),Inputs!$B$2:$AZ$2,0)),Inputs!$B$2:$B$190,$B91)*Inputs!$D$1)</f>
        <v>0</v>
      </c>
      <c r="BD91" s="57">
        <f>IF(ISNA(SUMIFS(INDEX(Inputs!$B$2:$AZ$190,,MATCH(SUBSTITUTE(BD$3,"Q","T"),Inputs!$B$2:$AZ$2,0)),Inputs!$B$2:$B$190,$B91)*Inputs!$D$1),"",SUMIFS(INDEX(Inputs!$B$2:$AZ$190,,MATCH(SUBSTITUTE(BD$3,"Q","T"),Inputs!$B$2:$AZ$2,0)),Inputs!$B$2:$B$190,$B91)*Inputs!$D$1)</f>
        <v>0</v>
      </c>
      <c r="BE91" s="57">
        <f>IF(ISNA(SUMIFS(INDEX(Inputs!$B$2:$AZ$190,,MATCH(SUBSTITUTE(BE$3,"Q","T"),Inputs!$B$2:$AZ$2,0)),Inputs!$B$2:$B$190,$B91)*Inputs!$D$1),"",SUMIFS(INDEX(Inputs!$B$2:$AZ$190,,MATCH(SUBSTITUTE(BE$3,"Q","T"),Inputs!$B$2:$AZ$2,0)),Inputs!$B$2:$B$190,$B91)*Inputs!$D$1)</f>
        <v>0</v>
      </c>
      <c r="BF91" s="57">
        <f>IF(ISNA(SUMIFS(INDEX(Inputs!$B$2:$AZ$190,,MATCH(SUBSTITUTE(BF$3,"Q","T"),Inputs!$B$2:$AZ$2,0)),Inputs!$B$2:$B$190,$B91)*Inputs!$D$1),"",SUMIFS(INDEX(Inputs!$B$2:$AZ$190,,MATCH(SUBSTITUTE(BF$3,"Q","T"),Inputs!$B$2:$AZ$2,0)),Inputs!$B$2:$B$190,$B91)*Inputs!$D$1)</f>
        <v>0</v>
      </c>
      <c r="BG91" s="58">
        <f>SUM(BC91:BF91)</f>
        <v>0</v>
      </c>
    </row>
    <row r="92" hidden="1" outlineLevel="2">
      <c r="B92" s="56" t="inlineStr">
        <is>
          <t>prov_trab</t>
        </is>
      </c>
      <c r="C92" s="65" t="inlineStr">
        <is>
          <t>(Provisões Trabalhistas)</t>
        </is>
      </c>
      <c r="D92" s="66" t="inlineStr">
        <is>
          <t>(Labor Provisions)</t>
        </is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>0</v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>SUM(E92:H92)</f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>SUM(J92:M92)</f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>SUM(O92:R92)</f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>SUM(T92:W92)</f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>SUM(Y92:AB92)</f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>SUM(AD92:AG92)</f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>SUM(AI92:AL92)</f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>SUM(AN92:AQ92)</f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>SUM(AS92:AV92)</f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>SUM(AX92:BA92)</f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>SUM(BC92:BF92)</f>
        <v>0</v>
      </c>
    </row>
    <row r="93" hidden="1" outlineLevel="2">
      <c r="B93" s="56" t="inlineStr">
        <is>
          <t>prov_fisc</t>
        </is>
      </c>
      <c r="C93" s="65" t="inlineStr">
        <is>
          <t>(Provisões Fiscais, Previdenciárias e Outros Riscos)</t>
        </is>
      </c>
      <c r="D93" s="66" t="inlineStr">
        <is>
          <t>(Tax and Social Security Provisions)</t>
        </is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>0</v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>SUM(E93:H93)</f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>SUM(J93:M93)</f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>SUM(O93:R93)</f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>SUM(T93:W93)</f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>SUM(Y93:AB93)</f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>SUM(AD93:AG93)</f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>SUM(AI93:AL93)</f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>SUM(AN93:AQ93)</f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>SUM(AS93:AV93)</f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>SUM(AX93:BA93)</f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>SUM(BC93:BF93)</f>
        <v>0</v>
      </c>
    </row>
    <row r="94" hidden="1" outlineLevel="1">
      <c r="B94" s="56" t="inlineStr">
        <is>
          <t>desp_trib</t>
        </is>
      </c>
      <c r="C94" s="61" t="inlineStr">
        <is>
          <t>(Despesas Tributárias)</t>
        </is>
      </c>
      <c r="D94" s="62" t="inlineStr">
        <is>
          <t>(Tax Expenses)</t>
        </is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-11.848</v>
      </c>
      <c r="F94" s="57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>-14.522</v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-12.688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-19.973</v>
      </c>
      <c r="I94" s="58">
        <f>SUM(E94:H94)</f>
        <v>-59.031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-10.147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-15.303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-18.913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-25.026</v>
      </c>
      <c r="N94" s="58">
        <f>SUM(J94:M94)</f>
        <v>-69.389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-14.78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-31.632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-27.669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-38.251</v>
      </c>
      <c r="S94" s="58">
        <f>SUM(O94:R94)</f>
        <v>-112.332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-27.774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-23.551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-36.15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-49.101</v>
      </c>
      <c r="X94" s="58">
        <f>SUM(T94:W94)</f>
        <v>-136.576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-19.357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-23.144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-45.477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-32.943</v>
      </c>
      <c r="AC94" s="58">
        <f>SUM(Y94:AB94)</f>
        <v>-120.921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-21.435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-43.218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-54.756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-54.776</v>
      </c>
      <c r="AH94" s="58">
        <f>SUM(AD94:AG94)</f>
        <v>-174.185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-34.419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-42.092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>SUM(AI94:AL94)</f>
        <v>-76.511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>SUM(AN94:AQ94)</f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>SUM(AS94:AV94)</f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>SUM(AX94:BA94)</f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>SUM(BC94:BF94)</f>
        <v>0</v>
      </c>
    </row>
    <row r="95" hidden="1" outlineLevel="1">
      <c r="B95" s="56" t="inlineStr">
        <is>
          <t>res_part</t>
        </is>
      </c>
      <c r="C95" s="61" t="inlineStr">
        <is>
          <t>Resultado de Participações em Coligadas e Controladas</t>
        </is>
      </c>
      <c r="D95" s="62" t="inlineStr">
        <is>
          <t>Equity in Earnings of Associates</t>
        </is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0</v>
      </c>
      <c r="F95" s="57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>0</v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0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0</v>
      </c>
      <c r="I95" s="58">
        <f>SUM(E95:H95)</f>
        <v>0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0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0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0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0</v>
      </c>
      <c r="N95" s="58">
        <f>SUM(J95:M95)</f>
        <v>0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0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0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0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0</v>
      </c>
      <c r="S95" s="58">
        <f>SUM(O95:R95)</f>
        <v>0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0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0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0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0</v>
      </c>
      <c r="X95" s="58">
        <f>SUM(T95:W95)</f>
        <v>0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0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0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0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0</v>
      </c>
      <c r="AC95" s="58">
        <f>SUM(Y95:AB95)</f>
        <v>0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0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0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0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0</v>
      </c>
      <c r="AH95" s="58">
        <f>SUM(AD95:AG95)</f>
        <v>0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0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0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>SUM(AI95:AL95)</f>
        <v>0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>SUM(AN95:AQ95)</f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>SUM(AS95:AV95)</f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>SUM(AX95:BA95)</f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>SUM(BC95:BF95)</f>
        <v>0</v>
      </c>
    </row>
    <row r="96" hidden="1" outlineLevel="1">
      <c r="B96" s="56" t="inlineStr">
        <is>
          <t>out_rec</t>
        </is>
      </c>
      <c r="C96" s="61" t="inlineStr">
        <is>
          <t>Outras Receitas Operacionais</t>
        </is>
      </c>
      <c r="D96" s="62" t="inlineStr">
        <is>
          <t>Other Operating Income</t>
        </is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1.653</v>
      </c>
      <c r="F96" s="57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>-7.768</v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-18.247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-19.863</v>
      </c>
      <c r="I96" s="58">
        <f>SUM(E96:H96)</f>
        <v>-44.225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3.796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-16.666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-10.806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-20.52</v>
      </c>
      <c r="N96" s="58">
        <f>SUM(J96:M96)</f>
        <v>-44.196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-15.197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-5.154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-28.39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21.92</v>
      </c>
      <c r="S96" s="58">
        <f>SUM(O96:R96)</f>
        <v>-26.821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7.448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-22.822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8.192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60.836</v>
      </c>
      <c r="X96" s="58">
        <f>SUM(T96:W96)</f>
        <v>53.654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14.834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0.076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-0.909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-13.123</v>
      </c>
      <c r="AC96" s="58">
        <f>SUM(Y96:AB96)</f>
        <v>0.878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8.328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11.276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3.161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3.258</v>
      </c>
      <c r="AH96" s="58">
        <f>SUM(AD96:AG96)</f>
        <v>26.023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-15.691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1.816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>SUM(AI96:AL96)</f>
        <v>-13.875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>SUM(AN96:AQ96)</f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>SUM(AS96:AV96)</f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>SUM(AX96:BA96)</f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>SUM(BC96:BF96)</f>
        <v>0</v>
      </c>
    </row>
    <row r="97" hidden="1" outlineLevel="1">
      <c r="B97" s="56" t="inlineStr">
        <is>
          <t>out_desp</t>
        </is>
      </c>
      <c r="C97" s="61" t="inlineStr">
        <is>
          <t>(Outras Despesas Operacionais)</t>
        </is>
      </c>
      <c r="D97" s="62" t="inlineStr">
        <is>
          <t>(Other Operating Expenses)</t>
        </is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0</v>
      </c>
      <c r="F97" s="57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>0</v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0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0</v>
      </c>
      <c r="I97" s="58">
        <f>SUM(E97:H97)</f>
        <v>0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0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0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0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0</v>
      </c>
      <c r="N97" s="58">
        <f>SUM(J97:M97)</f>
        <v>0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0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0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0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0</v>
      </c>
      <c r="S97" s="58">
        <f>SUM(O97:R97)</f>
        <v>0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0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0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0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0</v>
      </c>
      <c r="X97" s="58">
        <f>SUM(T97:W97)</f>
        <v>0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0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0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0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0</v>
      </c>
      <c r="AC97" s="58">
        <f>SUM(Y97:AB97)</f>
        <v>0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0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0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0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0</v>
      </c>
      <c r="AH97" s="58">
        <f>SUM(AD97:AG97)</f>
        <v>0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0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0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>SUM(AI97:AL97)</f>
        <v>0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>SUM(AN97:AQ97)</f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>SUM(AS97:AV97)</f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>SUM(AX97:BA97)</f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>SUM(BC97:BF97)</f>
        <v>0</v>
      </c>
    </row>
    <row r="98">
      <c r="C98" s="53" t="inlineStr">
        <is>
          <t>Resultado Operacional</t>
        </is>
      </c>
      <c r="D98" s="54" t="inlineStr">
        <is>
          <t>Operating Result</t>
        </is>
      </c>
      <c r="E98" s="59">
        <f>IFERROR(E84+E85,"")</f>
        <v>-395.149</v>
      </c>
      <c r="F98" s="59">
        <f>IFERROR(F84+F85,"")</f>
        <v>-102.487</v>
      </c>
      <c r="G98" s="59">
        <f>IFERROR(G84+G85,"")</f>
        <v>50.989</v>
      </c>
      <c r="H98" s="59">
        <f>IFERROR(H84+H85,"")</f>
        <v>229.052</v>
      </c>
      <c r="I98" s="60">
        <f>SUM(E98:H98)</f>
        <v>-217.595</v>
      </c>
      <c r="J98" s="59">
        <f>IFERROR(J84+J85,"")</f>
        <v>90.5200000000001</v>
      </c>
      <c r="K98" s="59">
        <f>IFERROR(K84+K85,"")</f>
        <v>301.08</v>
      </c>
      <c r="L98" s="59">
        <f>IFERROR(L84+L85,"")</f>
        <v>119.404</v>
      </c>
      <c r="M98" s="59">
        <f>IFERROR(M84+M85,"")</f>
        <v>123.619</v>
      </c>
      <c r="N98" s="60">
        <f>SUM(J98:M98)</f>
        <v>634.623</v>
      </c>
      <c r="O98" s="59">
        <f>IFERROR(O84+O85,"")</f>
        <v>239.171</v>
      </c>
      <c r="P98" s="59">
        <f>IFERROR(P84+P85,"")</f>
        <v>226.691</v>
      </c>
      <c r="Q98" s="59">
        <f>IFERROR(Q84+Q85,"")</f>
        <v>245.51</v>
      </c>
      <c r="R98" s="59">
        <f>IFERROR(R84+R85,"")</f>
        <v>206.139</v>
      </c>
      <c r="S98" s="60">
        <f>SUM(O98:R98)</f>
        <v>917.511</v>
      </c>
      <c r="T98" s="59">
        <f>IFERROR(T84+T85,"")</f>
        <v>170.589</v>
      </c>
      <c r="U98" s="59">
        <f>IFERROR(U84+U85,"")</f>
        <v>188.231</v>
      </c>
      <c r="V98" s="59">
        <f>IFERROR(V84+V85,"")</f>
        <v>228.349</v>
      </c>
      <c r="W98" s="59">
        <f>IFERROR(W84+W85,"")</f>
        <v>214.212</v>
      </c>
      <c r="X98" s="60">
        <f>SUM(T98:W98)</f>
        <v>801.381</v>
      </c>
      <c r="Y98" s="59">
        <f>IFERROR(Y84+Y85,"")</f>
        <v>225.066</v>
      </c>
      <c r="Z98" s="59">
        <f>IFERROR(Z84+Z85,"")</f>
        <v>260.754</v>
      </c>
      <c r="AA98" s="59">
        <f>IFERROR(AA84+AA85,"")</f>
        <v>278.415</v>
      </c>
      <c r="AB98" s="59">
        <f>IFERROR(AB84+AB85,"")</f>
        <v>231.268</v>
      </c>
      <c r="AC98" s="60">
        <f>SUM(Y98:AB98)</f>
        <v>995.503</v>
      </c>
      <c r="AD98" s="59">
        <f>IFERROR(AD84+AD85,"")</f>
        <v>237.215</v>
      </c>
      <c r="AE98" s="59">
        <f>IFERROR(AE84+AE85,"")</f>
        <v>263.047</v>
      </c>
      <c r="AF98" s="59">
        <f>IFERROR(AF84+AF85,"")</f>
        <v>284.873</v>
      </c>
      <c r="AG98" s="59">
        <f>IFERROR(AG84+AG85,"")</f>
        <v>244.975</v>
      </c>
      <c r="AH98" s="60">
        <f>SUM(AD98:AG98)</f>
        <v>1030.11</v>
      </c>
      <c r="AI98" s="59">
        <f>IFERROR(AI84+AI85,"")</f>
        <v>241.926</v>
      </c>
      <c r="AJ98" s="59">
        <f>IFERROR(AJ84+AJ85,"")</f>
        <v>269.689</v>
      </c>
      <c r="AK98" s="59">
        <f>IFERROR(AK84+AK85,"")</f>
        <v>0</v>
      </c>
      <c r="AL98" s="59">
        <f>IFERROR(AL84+AL85,"")</f>
        <v>0</v>
      </c>
      <c r="AM98" s="60">
        <f>SUM(AI98:AL98)</f>
        <v>511.615</v>
      </c>
      <c r="AN98" s="59">
        <f>IFERROR(AN84+AN85,"")</f>
        <v>0</v>
      </c>
      <c r="AO98" s="59">
        <f>IFERROR(AO84+AO85,"")</f>
        <v>0</v>
      </c>
      <c r="AP98" s="59">
        <f>IFERROR(AP84+AP85,"")</f>
        <v>0</v>
      </c>
      <c r="AQ98" s="59">
        <f>IFERROR(AQ84+AQ85,"")</f>
        <v>0</v>
      </c>
      <c r="AR98" s="60">
        <f>SUM(AN98:AQ98)</f>
        <v>0</v>
      </c>
      <c r="AS98" s="59">
        <f>IFERROR(AS84+AS85,"")</f>
        <v>0</v>
      </c>
      <c r="AT98" s="59">
        <f>IFERROR(AT84+AT85,"")</f>
        <v>0</v>
      </c>
      <c r="AU98" s="59">
        <f>IFERROR(AU84+AU85,"")</f>
        <v>0</v>
      </c>
      <c r="AV98" s="59">
        <f>IFERROR(AV84+AV85,"")</f>
        <v>0</v>
      </c>
      <c r="AW98" s="60">
        <f>SUM(AS98:AV98)</f>
        <v>0</v>
      </c>
      <c r="AX98" s="59">
        <f>IFERROR(AX84+AX85,"")</f>
        <v>0</v>
      </c>
      <c r="AY98" s="59">
        <f>IFERROR(AY84+AY85,"")</f>
        <v>0</v>
      </c>
      <c r="AZ98" s="59">
        <f>IFERROR(AZ84+AZ85,"")</f>
        <v>0</v>
      </c>
      <c r="BA98" s="59">
        <f>IFERROR(BA84+BA85,"")</f>
        <v>0</v>
      </c>
      <c r="BB98" s="60">
        <f>SUM(AX98:BA98)</f>
        <v>0</v>
      </c>
      <c r="BC98" s="59">
        <f>IFERROR(BC84+BC85,"")</f>
        <v>0</v>
      </c>
      <c r="BD98" s="59">
        <f>IFERROR(BD84+BD85,"")</f>
        <v>0</v>
      </c>
      <c r="BE98" s="59">
        <f>IFERROR(BE84+BE85,"")</f>
        <v>0</v>
      </c>
      <c r="BF98" s="59">
        <f>IFERROR(BF84+BF85,"")</f>
        <v>0</v>
      </c>
      <c r="BG98" s="60">
        <f>SUM(BC98:BF98)</f>
        <v>0</v>
      </c>
    </row>
    <row r="99">
      <c r="B99" s="56" t="inlineStr">
        <is>
          <t>nao_op</t>
        </is>
      </c>
      <c r="C99" s="11" t="inlineStr">
        <is>
          <t>Resultado Não Operacional</t>
        </is>
      </c>
      <c r="D99" s="12" t="inlineStr">
        <is>
          <t>Non-Operating Result</t>
        </is>
      </c>
      <c r="E99" s="57">
        <f>IF(ISNA(SUMIFS(INDEX(Inputs!$B$2:$AZ$190,,MATCH(SUBSTITUTE(E$3,"Q","T"),Inputs!$B$2:$AZ$2,0)),Inputs!$B$2:$B$190,$B99)*Inputs!$D$1),"",SUMIFS(INDEX(Inputs!$B$2:$AZ$190,,MATCH(SUBSTITUTE(E$3,"Q","T"),Inputs!$B$2:$AZ$2,0)),Inputs!$B$2:$B$190,$B99)*Inputs!$D$1)</f>
        <v>-0.973</v>
      </c>
      <c r="F99" s="57">
        <f>IF(ISNA(SUMIFS(INDEX(Inputs!$B$2:$AZ$190,,MATCH(SUBSTITUTE(F$3,"Q","T"),Inputs!$B$2:$AZ$2,0)),Inputs!$B$2:$B$190,$B99)*Inputs!$D$1),"",SUMIFS(INDEX(Inputs!$B$2:$AZ$190,,MATCH(SUBSTITUTE(F$3,"Q","T"),Inputs!$B$2:$AZ$2,0)),Inputs!$B$2:$B$190,$B99)*Inputs!$D$1)</f>
        <v>-0.04</v>
      </c>
      <c r="G99" s="57">
        <f>IF(ISNA(SUMIFS(INDEX(Inputs!$B$2:$AZ$190,,MATCH(SUBSTITUTE(G$3,"Q","T"),Inputs!$B$2:$AZ$2,0)),Inputs!$B$2:$B$190,$B99)*Inputs!$D$1),"",SUMIFS(INDEX(Inputs!$B$2:$AZ$190,,MATCH(SUBSTITUTE(G$3,"Q","T"),Inputs!$B$2:$AZ$2,0)),Inputs!$B$2:$B$190,$B99)*Inputs!$D$1)</f>
        <v>-0.023</v>
      </c>
      <c r="H99" s="57">
        <f>IF(ISNA(SUMIFS(INDEX(Inputs!$B$2:$AZ$190,,MATCH(SUBSTITUTE(H$3,"Q","T"),Inputs!$B$2:$AZ$2,0)),Inputs!$B$2:$B$190,$B99)*Inputs!$D$1),"",SUMIFS(INDEX(Inputs!$B$2:$AZ$190,,MATCH(SUBSTITUTE(H$3,"Q","T"),Inputs!$B$2:$AZ$2,0)),Inputs!$B$2:$B$190,$B99)*Inputs!$D$1)</f>
        <v>-9.911</v>
      </c>
      <c r="I99" s="58">
        <f>SUM(E99:H99)</f>
        <v>-10.947</v>
      </c>
      <c r="J99" s="57">
        <f>IF(ISNA(SUMIFS(INDEX(Inputs!$B$2:$AZ$190,,MATCH(SUBSTITUTE(J$3,"Q","T"),Inputs!$B$2:$AZ$2,0)),Inputs!$B$2:$B$190,$B99)*Inputs!$D$1),"",SUMIFS(INDEX(Inputs!$B$2:$AZ$190,,MATCH(SUBSTITUTE(J$3,"Q","T"),Inputs!$B$2:$AZ$2,0)),Inputs!$B$2:$B$190,$B99)*Inputs!$D$1)</f>
        <v>-0.309</v>
      </c>
      <c r="K99" s="57">
        <f>IF(ISNA(SUMIFS(INDEX(Inputs!$B$2:$AZ$190,,MATCH(SUBSTITUTE(K$3,"Q","T"),Inputs!$B$2:$AZ$2,0)),Inputs!$B$2:$B$190,$B99)*Inputs!$D$1),"",SUMIFS(INDEX(Inputs!$B$2:$AZ$190,,MATCH(SUBSTITUTE(K$3,"Q","T"),Inputs!$B$2:$AZ$2,0)),Inputs!$B$2:$B$190,$B99)*Inputs!$D$1)</f>
        <v>-18.028</v>
      </c>
      <c r="L99" s="57">
        <f>IF(ISNA(SUMIFS(INDEX(Inputs!$B$2:$AZ$190,,MATCH(SUBSTITUTE(L$3,"Q","T"),Inputs!$B$2:$AZ$2,0)),Inputs!$B$2:$B$190,$B99)*Inputs!$D$1),"",SUMIFS(INDEX(Inputs!$B$2:$AZ$190,,MATCH(SUBSTITUTE(L$3,"Q","T"),Inputs!$B$2:$AZ$2,0)),Inputs!$B$2:$B$190,$B99)*Inputs!$D$1)</f>
        <v>0.556</v>
      </c>
      <c r="M99" s="57">
        <f>IF(ISNA(SUMIFS(INDEX(Inputs!$B$2:$AZ$190,,MATCH(SUBSTITUTE(M$3,"Q","T"),Inputs!$B$2:$AZ$2,0)),Inputs!$B$2:$B$190,$B99)*Inputs!$D$1),"",SUMIFS(INDEX(Inputs!$B$2:$AZ$190,,MATCH(SUBSTITUTE(M$3,"Q","T"),Inputs!$B$2:$AZ$2,0)),Inputs!$B$2:$B$190,$B99)*Inputs!$D$1)</f>
        <v>-5.716</v>
      </c>
      <c r="N99" s="58">
        <f>SUM(J99:M99)</f>
        <v>-23.497</v>
      </c>
      <c r="O99" s="57">
        <f>IF(ISNA(SUMIFS(INDEX(Inputs!$B$2:$AZ$190,,MATCH(SUBSTITUTE(O$3,"Q","T"),Inputs!$B$2:$AZ$2,0)),Inputs!$B$2:$B$190,$B99)*Inputs!$D$1),"",SUMIFS(INDEX(Inputs!$B$2:$AZ$190,,MATCH(SUBSTITUTE(O$3,"Q","T"),Inputs!$B$2:$AZ$2,0)),Inputs!$B$2:$B$190,$B99)*Inputs!$D$1)</f>
        <v>-9.76</v>
      </c>
      <c r="P99" s="57">
        <f>IF(ISNA(SUMIFS(INDEX(Inputs!$B$2:$AZ$190,,MATCH(SUBSTITUTE(P$3,"Q","T"),Inputs!$B$2:$AZ$2,0)),Inputs!$B$2:$B$190,$B99)*Inputs!$D$1),"",SUMIFS(INDEX(Inputs!$B$2:$AZ$190,,MATCH(SUBSTITUTE(P$3,"Q","T"),Inputs!$B$2:$AZ$2,0)),Inputs!$B$2:$B$190,$B99)*Inputs!$D$1)</f>
        <v>6.015</v>
      </c>
      <c r="Q99" s="57">
        <f>IF(ISNA(SUMIFS(INDEX(Inputs!$B$2:$AZ$190,,MATCH(SUBSTITUTE(Q$3,"Q","T"),Inputs!$B$2:$AZ$2,0)),Inputs!$B$2:$B$190,$B99)*Inputs!$D$1),"",SUMIFS(INDEX(Inputs!$B$2:$AZ$190,,MATCH(SUBSTITUTE(Q$3,"Q","T"),Inputs!$B$2:$AZ$2,0)),Inputs!$B$2:$B$190,$B99)*Inputs!$D$1)</f>
        <v>3.123</v>
      </c>
      <c r="R99" s="57">
        <f>IF(ISNA(SUMIFS(INDEX(Inputs!$B$2:$AZ$190,,MATCH(SUBSTITUTE(R$3,"Q","T"),Inputs!$B$2:$AZ$2,0)),Inputs!$B$2:$B$190,$B99)*Inputs!$D$1),"",SUMIFS(INDEX(Inputs!$B$2:$AZ$190,,MATCH(SUBSTITUTE(R$3,"Q","T"),Inputs!$B$2:$AZ$2,0)),Inputs!$B$2:$B$190,$B99)*Inputs!$D$1)</f>
        <v>1.31</v>
      </c>
      <c r="S99" s="58">
        <f>SUM(O99:R99)</f>
        <v>0.688</v>
      </c>
      <c r="T99" s="57">
        <f>IF(ISNA(SUMIFS(INDEX(Inputs!$B$2:$AZ$190,,MATCH(SUBSTITUTE(T$3,"Q","T"),Inputs!$B$2:$AZ$2,0)),Inputs!$B$2:$B$190,$B99)*Inputs!$D$1),"",SUMIFS(INDEX(Inputs!$B$2:$AZ$190,,MATCH(SUBSTITUTE(T$3,"Q","T"),Inputs!$B$2:$AZ$2,0)),Inputs!$B$2:$B$190,$B99)*Inputs!$D$1)</f>
        <v>0.433</v>
      </c>
      <c r="U99" s="57">
        <f>IF(ISNA(SUMIFS(INDEX(Inputs!$B$2:$AZ$190,,MATCH(SUBSTITUTE(U$3,"Q","T"),Inputs!$B$2:$AZ$2,0)),Inputs!$B$2:$B$190,$B99)*Inputs!$D$1),"",SUMIFS(INDEX(Inputs!$B$2:$AZ$190,,MATCH(SUBSTITUTE(U$3,"Q","T"),Inputs!$B$2:$AZ$2,0)),Inputs!$B$2:$B$190,$B99)*Inputs!$D$1)</f>
        <v>0.078</v>
      </c>
      <c r="V99" s="57">
        <f>IF(ISNA(SUMIFS(INDEX(Inputs!$B$2:$AZ$190,,MATCH(SUBSTITUTE(V$3,"Q","T"),Inputs!$B$2:$AZ$2,0)),Inputs!$B$2:$B$190,$B99)*Inputs!$D$1),"",SUMIFS(INDEX(Inputs!$B$2:$AZ$190,,MATCH(SUBSTITUTE(V$3,"Q","T"),Inputs!$B$2:$AZ$2,0)),Inputs!$B$2:$B$190,$B99)*Inputs!$D$1)</f>
        <v>-0.696</v>
      </c>
      <c r="W99" s="57">
        <f>IF(ISNA(SUMIFS(INDEX(Inputs!$B$2:$AZ$190,,MATCH(SUBSTITUTE(W$3,"Q","T"),Inputs!$B$2:$AZ$2,0)),Inputs!$B$2:$B$190,$B99)*Inputs!$D$1),"",SUMIFS(INDEX(Inputs!$B$2:$AZ$190,,MATCH(SUBSTITUTE(W$3,"Q","T"),Inputs!$B$2:$AZ$2,0)),Inputs!$B$2:$B$190,$B99)*Inputs!$D$1)</f>
        <v>4.219</v>
      </c>
      <c r="X99" s="58">
        <f>SUM(T99:W99)</f>
        <v>4.034</v>
      </c>
      <c r="Y99" s="57">
        <f>IF(ISNA(SUMIFS(INDEX(Inputs!$B$2:$AZ$190,,MATCH(SUBSTITUTE(Y$3,"Q","T"),Inputs!$B$2:$AZ$2,0)),Inputs!$B$2:$B$190,$B99)*Inputs!$D$1),"",SUMIFS(INDEX(Inputs!$B$2:$AZ$190,,MATCH(SUBSTITUTE(Y$3,"Q","T"),Inputs!$B$2:$AZ$2,0)),Inputs!$B$2:$B$190,$B99)*Inputs!$D$1)</f>
        <v>4.683</v>
      </c>
      <c r="Z99" s="57">
        <f>IF(ISNA(SUMIFS(INDEX(Inputs!$B$2:$AZ$190,,MATCH(SUBSTITUTE(Z$3,"Q","T"),Inputs!$B$2:$AZ$2,0)),Inputs!$B$2:$B$190,$B99)*Inputs!$D$1),"",SUMIFS(INDEX(Inputs!$B$2:$AZ$190,,MATCH(SUBSTITUTE(Z$3,"Q","T"),Inputs!$B$2:$AZ$2,0)),Inputs!$B$2:$B$190,$B99)*Inputs!$D$1)</f>
        <v>0.904</v>
      </c>
      <c r="AA99" s="57">
        <f>IF(ISNA(SUMIFS(INDEX(Inputs!$B$2:$AZ$190,,MATCH(SUBSTITUTE(AA$3,"Q","T"),Inputs!$B$2:$AZ$2,0)),Inputs!$B$2:$B$190,$B99)*Inputs!$D$1),"",SUMIFS(INDEX(Inputs!$B$2:$AZ$190,,MATCH(SUBSTITUTE(AA$3,"Q","T"),Inputs!$B$2:$AZ$2,0)),Inputs!$B$2:$B$190,$B99)*Inputs!$D$1)</f>
        <v>2.299</v>
      </c>
      <c r="AB99" s="57">
        <f>IF(ISNA(SUMIFS(INDEX(Inputs!$B$2:$AZ$190,,MATCH(SUBSTITUTE(AB$3,"Q","T"),Inputs!$B$2:$AZ$2,0)),Inputs!$B$2:$B$190,$B99)*Inputs!$D$1),"",SUMIFS(INDEX(Inputs!$B$2:$AZ$190,,MATCH(SUBSTITUTE(AB$3,"Q","T"),Inputs!$B$2:$AZ$2,0)),Inputs!$B$2:$B$190,$B99)*Inputs!$D$1)</f>
        <v>0.701</v>
      </c>
      <c r="AC99" s="58">
        <f>SUM(Y99:AB99)</f>
        <v>8.587</v>
      </c>
      <c r="AD99" s="57">
        <f>IF(ISNA(SUMIFS(INDEX(Inputs!$B$2:$AZ$190,,MATCH(SUBSTITUTE(AD$3,"Q","T"),Inputs!$B$2:$AZ$2,0)),Inputs!$B$2:$B$190,$B99)*Inputs!$D$1),"",SUMIFS(INDEX(Inputs!$B$2:$AZ$190,,MATCH(SUBSTITUTE(AD$3,"Q","T"),Inputs!$B$2:$AZ$2,0)),Inputs!$B$2:$B$190,$B99)*Inputs!$D$1)</f>
        <v>5.563</v>
      </c>
      <c r="AE99" s="57">
        <f>IF(ISNA(SUMIFS(INDEX(Inputs!$B$2:$AZ$190,,MATCH(SUBSTITUTE(AE$3,"Q","T"),Inputs!$B$2:$AZ$2,0)),Inputs!$B$2:$B$190,$B99)*Inputs!$D$1),"",SUMIFS(INDEX(Inputs!$B$2:$AZ$190,,MATCH(SUBSTITUTE(AE$3,"Q","T"),Inputs!$B$2:$AZ$2,0)),Inputs!$B$2:$B$190,$B99)*Inputs!$D$1)</f>
        <v>0.284</v>
      </c>
      <c r="AF99" s="57">
        <f>IF(ISNA(SUMIFS(INDEX(Inputs!$B$2:$AZ$190,,MATCH(SUBSTITUTE(AF$3,"Q","T"),Inputs!$B$2:$AZ$2,0)),Inputs!$B$2:$B$190,$B99)*Inputs!$D$1),"",SUMIFS(INDEX(Inputs!$B$2:$AZ$190,,MATCH(SUBSTITUTE(AF$3,"Q","T"),Inputs!$B$2:$AZ$2,0)),Inputs!$B$2:$B$190,$B99)*Inputs!$D$1)</f>
        <v>-0.97</v>
      </c>
      <c r="AG99" s="57">
        <f>IF(ISNA(SUMIFS(INDEX(Inputs!$B$2:$AZ$190,,MATCH(SUBSTITUTE(AG$3,"Q","T"),Inputs!$B$2:$AZ$2,0)),Inputs!$B$2:$B$190,$B99)*Inputs!$D$1),"",SUMIFS(INDEX(Inputs!$B$2:$AZ$190,,MATCH(SUBSTITUTE(AG$3,"Q","T"),Inputs!$B$2:$AZ$2,0)),Inputs!$B$2:$B$190,$B99)*Inputs!$D$1)</f>
        <v>0.564</v>
      </c>
      <c r="AH99" s="58">
        <f>SUM(AD99:AG99)</f>
        <v>5.441</v>
      </c>
      <c r="AI99" s="57">
        <f>IF(ISNA(SUMIFS(INDEX(Inputs!$B$2:$AZ$190,,MATCH(SUBSTITUTE(AI$3,"Q","T"),Inputs!$B$2:$AZ$2,0)),Inputs!$B$2:$B$190,$B99)*Inputs!$D$1),"",SUMIFS(INDEX(Inputs!$B$2:$AZ$190,,MATCH(SUBSTITUTE(AI$3,"Q","T"),Inputs!$B$2:$AZ$2,0)),Inputs!$B$2:$B$190,$B99)*Inputs!$D$1)</f>
        <v>-0.235</v>
      </c>
      <c r="AJ99" s="57">
        <f>IF(ISNA(SUMIFS(INDEX(Inputs!$B$2:$AZ$190,,MATCH(SUBSTITUTE(AJ$3,"Q","T"),Inputs!$B$2:$AZ$2,0)),Inputs!$B$2:$B$190,$B99)*Inputs!$D$1),"",SUMIFS(INDEX(Inputs!$B$2:$AZ$190,,MATCH(SUBSTITUTE(AJ$3,"Q","T"),Inputs!$B$2:$AZ$2,0)),Inputs!$B$2:$B$190,$B99)*Inputs!$D$1)</f>
        <v>1.311</v>
      </c>
      <c r="AK99" s="57">
        <f>IF(ISNA(SUMIFS(INDEX(Inputs!$B$2:$AZ$190,,MATCH(SUBSTITUTE(AK$3,"Q","T"),Inputs!$B$2:$AZ$2,0)),Inputs!$B$2:$B$190,$B99)*Inputs!$D$1),"",SUMIFS(INDEX(Inputs!$B$2:$AZ$190,,MATCH(SUBSTITUTE(AK$3,"Q","T"),Inputs!$B$2:$AZ$2,0)),Inputs!$B$2:$B$190,$B99)*Inputs!$D$1)</f>
        <v>0</v>
      </c>
      <c r="AL99" s="57">
        <f>IF(ISNA(SUMIFS(INDEX(Inputs!$B$2:$AZ$190,,MATCH(SUBSTITUTE(AL$3,"Q","T"),Inputs!$B$2:$AZ$2,0)),Inputs!$B$2:$B$190,$B99)*Inputs!$D$1),"",SUMIFS(INDEX(Inputs!$B$2:$AZ$190,,MATCH(SUBSTITUTE(AL$3,"Q","T"),Inputs!$B$2:$AZ$2,0)),Inputs!$B$2:$B$190,$B99)*Inputs!$D$1)</f>
        <v>0</v>
      </c>
      <c r="AM99" s="58">
        <f>SUM(AI99:AL99)</f>
        <v>1.076</v>
      </c>
      <c r="AN99" s="57">
        <f>IF(ISNA(SUMIFS(INDEX(Inputs!$B$2:$AZ$190,,MATCH(SUBSTITUTE(AN$3,"Q","T"),Inputs!$B$2:$AZ$2,0)),Inputs!$B$2:$B$190,$B99)*Inputs!$D$1),"",SUMIFS(INDEX(Inputs!$B$2:$AZ$190,,MATCH(SUBSTITUTE(AN$3,"Q","T"),Inputs!$B$2:$AZ$2,0)),Inputs!$B$2:$B$190,$B99)*Inputs!$D$1)</f>
        <v>0</v>
      </c>
      <c r="AO99" s="57">
        <f>IF(ISNA(SUMIFS(INDEX(Inputs!$B$2:$AZ$190,,MATCH(SUBSTITUTE(AO$3,"Q","T"),Inputs!$B$2:$AZ$2,0)),Inputs!$B$2:$B$190,$B99)*Inputs!$D$1),"",SUMIFS(INDEX(Inputs!$B$2:$AZ$190,,MATCH(SUBSTITUTE(AO$3,"Q","T"),Inputs!$B$2:$AZ$2,0)),Inputs!$B$2:$B$190,$B99)*Inputs!$D$1)</f>
        <v>0</v>
      </c>
      <c r="AP99" s="57">
        <f>IF(ISNA(SUMIFS(INDEX(Inputs!$B$2:$AZ$190,,MATCH(SUBSTITUTE(AP$3,"Q","T"),Inputs!$B$2:$AZ$2,0)),Inputs!$B$2:$B$190,$B99)*Inputs!$D$1),"",SUMIFS(INDEX(Inputs!$B$2:$AZ$190,,MATCH(SUBSTITUTE(AP$3,"Q","T"),Inputs!$B$2:$AZ$2,0)),Inputs!$B$2:$B$190,$B99)*Inputs!$D$1)</f>
        <v>0</v>
      </c>
      <c r="AQ99" s="57">
        <f>IF(ISNA(SUMIFS(INDEX(Inputs!$B$2:$AZ$190,,MATCH(SUBSTITUTE(AQ$3,"Q","T"),Inputs!$B$2:$AZ$2,0)),Inputs!$B$2:$B$190,$B99)*Inputs!$D$1),"",SUMIFS(INDEX(Inputs!$B$2:$AZ$190,,MATCH(SUBSTITUTE(AQ$3,"Q","T"),Inputs!$B$2:$AZ$2,0)),Inputs!$B$2:$B$190,$B99)*Inputs!$D$1)</f>
        <v>0</v>
      </c>
      <c r="AR99" s="58">
        <f>SUM(AN99:AQ99)</f>
        <v>0</v>
      </c>
      <c r="AS99" s="57">
        <f>IF(ISNA(SUMIFS(INDEX(Inputs!$B$2:$AZ$190,,MATCH(SUBSTITUTE(AS$3,"Q","T"),Inputs!$B$2:$AZ$2,0)),Inputs!$B$2:$B$190,$B99)*Inputs!$D$1),"",SUMIFS(INDEX(Inputs!$B$2:$AZ$190,,MATCH(SUBSTITUTE(AS$3,"Q","T"),Inputs!$B$2:$AZ$2,0)),Inputs!$B$2:$B$190,$B99)*Inputs!$D$1)</f>
        <v>0</v>
      </c>
      <c r="AT99" s="57">
        <f>IF(ISNA(SUMIFS(INDEX(Inputs!$B$2:$AZ$190,,MATCH(SUBSTITUTE(AT$3,"Q","T"),Inputs!$B$2:$AZ$2,0)),Inputs!$B$2:$B$190,$B99)*Inputs!$D$1),"",SUMIFS(INDEX(Inputs!$B$2:$AZ$190,,MATCH(SUBSTITUTE(AT$3,"Q","T"),Inputs!$B$2:$AZ$2,0)),Inputs!$B$2:$B$190,$B99)*Inputs!$D$1)</f>
        <v>0</v>
      </c>
      <c r="AU99" s="57">
        <f>IF(ISNA(SUMIFS(INDEX(Inputs!$B$2:$AZ$190,,MATCH(SUBSTITUTE(AU$3,"Q","T"),Inputs!$B$2:$AZ$2,0)),Inputs!$B$2:$B$190,$B99)*Inputs!$D$1),"",SUMIFS(INDEX(Inputs!$B$2:$AZ$190,,MATCH(SUBSTITUTE(AU$3,"Q","T"),Inputs!$B$2:$AZ$2,0)),Inputs!$B$2:$B$190,$B99)*Inputs!$D$1)</f>
        <v>0</v>
      </c>
      <c r="AV99" s="57">
        <f>IF(ISNA(SUMIFS(INDEX(Inputs!$B$2:$AZ$190,,MATCH(SUBSTITUTE(AV$3,"Q","T"),Inputs!$B$2:$AZ$2,0)),Inputs!$B$2:$B$190,$B99)*Inputs!$D$1),"",SUMIFS(INDEX(Inputs!$B$2:$AZ$190,,MATCH(SUBSTITUTE(AV$3,"Q","T"),Inputs!$B$2:$AZ$2,0)),Inputs!$B$2:$B$190,$B99)*Inputs!$D$1)</f>
        <v>0</v>
      </c>
      <c r="AW99" s="58">
        <f>SUM(AS99:AV99)</f>
        <v>0</v>
      </c>
      <c r="AX99" s="57">
        <f>IF(ISNA(SUMIFS(INDEX(Inputs!$B$2:$AZ$190,,MATCH(SUBSTITUTE(AX$3,"Q","T"),Inputs!$B$2:$AZ$2,0)),Inputs!$B$2:$B$190,$B99)*Inputs!$D$1),"",SUMIFS(INDEX(Inputs!$B$2:$AZ$190,,MATCH(SUBSTITUTE(AX$3,"Q","T"),Inputs!$B$2:$AZ$2,0)),Inputs!$B$2:$B$190,$B99)*Inputs!$D$1)</f>
        <v>0</v>
      </c>
      <c r="AY99" s="57">
        <f>IF(ISNA(SUMIFS(INDEX(Inputs!$B$2:$AZ$190,,MATCH(SUBSTITUTE(AY$3,"Q","T"),Inputs!$B$2:$AZ$2,0)),Inputs!$B$2:$B$190,$B99)*Inputs!$D$1),"",SUMIFS(INDEX(Inputs!$B$2:$AZ$190,,MATCH(SUBSTITUTE(AY$3,"Q","T"),Inputs!$B$2:$AZ$2,0)),Inputs!$B$2:$B$190,$B99)*Inputs!$D$1)</f>
        <v>0</v>
      </c>
      <c r="AZ99" s="57">
        <f>IF(ISNA(SUMIFS(INDEX(Inputs!$B$2:$AZ$190,,MATCH(SUBSTITUTE(AZ$3,"Q","T"),Inputs!$B$2:$AZ$2,0)),Inputs!$B$2:$B$190,$B99)*Inputs!$D$1),"",SUMIFS(INDEX(Inputs!$B$2:$AZ$190,,MATCH(SUBSTITUTE(AZ$3,"Q","T"),Inputs!$B$2:$AZ$2,0)),Inputs!$B$2:$B$190,$B99)*Inputs!$D$1)</f>
        <v>0</v>
      </c>
      <c r="BA99" s="57">
        <f>IF(ISNA(SUMIFS(INDEX(Inputs!$B$2:$AZ$190,,MATCH(SUBSTITUTE(BA$3,"Q","T"),Inputs!$B$2:$AZ$2,0)),Inputs!$B$2:$B$190,$B99)*Inputs!$D$1),"",SUMIFS(INDEX(Inputs!$B$2:$AZ$190,,MATCH(SUBSTITUTE(BA$3,"Q","T"),Inputs!$B$2:$AZ$2,0)),Inputs!$B$2:$B$190,$B99)*Inputs!$D$1)</f>
        <v>0</v>
      </c>
      <c r="BB99" s="58">
        <f>SUM(AX99:BA99)</f>
        <v>0</v>
      </c>
      <c r="BC99" s="57">
        <f>IF(ISNA(SUMIFS(INDEX(Inputs!$B$2:$AZ$190,,MATCH(SUBSTITUTE(BC$3,"Q","T"),Inputs!$B$2:$AZ$2,0)),Inputs!$B$2:$B$190,$B99)*Inputs!$D$1),"",SUMIFS(INDEX(Inputs!$B$2:$AZ$190,,MATCH(SUBSTITUTE(BC$3,"Q","T"),Inputs!$B$2:$AZ$2,0)),Inputs!$B$2:$B$190,$B99)*Inputs!$D$1)</f>
        <v>0</v>
      </c>
      <c r="BD99" s="57">
        <f>IF(ISNA(SUMIFS(INDEX(Inputs!$B$2:$AZ$190,,MATCH(SUBSTITUTE(BD$3,"Q","T"),Inputs!$B$2:$AZ$2,0)),Inputs!$B$2:$B$190,$B99)*Inputs!$D$1),"",SUMIFS(INDEX(Inputs!$B$2:$AZ$190,,MATCH(SUBSTITUTE(BD$3,"Q","T"),Inputs!$B$2:$AZ$2,0)),Inputs!$B$2:$B$190,$B99)*Inputs!$D$1)</f>
        <v>0</v>
      </c>
      <c r="BE99" s="57">
        <f>IF(ISNA(SUMIFS(INDEX(Inputs!$B$2:$AZ$190,,MATCH(SUBSTITUTE(BE$3,"Q","T"),Inputs!$B$2:$AZ$2,0)),Inputs!$B$2:$B$190,$B99)*Inputs!$D$1),"",SUMIFS(INDEX(Inputs!$B$2:$AZ$190,,MATCH(SUBSTITUTE(BE$3,"Q","T"),Inputs!$B$2:$AZ$2,0)),Inputs!$B$2:$B$190,$B99)*Inputs!$D$1)</f>
        <v>0</v>
      </c>
      <c r="BF99" s="57">
        <f>IF(ISNA(SUMIFS(INDEX(Inputs!$B$2:$AZ$190,,MATCH(SUBSTITUTE(BF$3,"Q","T"),Inputs!$B$2:$AZ$2,0)),Inputs!$B$2:$B$190,$B99)*Inputs!$D$1),"",SUMIFS(INDEX(Inputs!$B$2:$AZ$190,,MATCH(SUBSTITUTE(BF$3,"Q","T"),Inputs!$B$2:$AZ$2,0)),Inputs!$B$2:$B$190,$B99)*Inputs!$D$1)</f>
        <v>0</v>
      </c>
      <c r="BG99" s="58">
        <f>SUM(BC99:BF99)</f>
        <v>0</v>
      </c>
    </row>
    <row r="100">
      <c r="C100" s="53" t="inlineStr">
        <is>
          <t>Resultado antes da Tributação e Participações</t>
        </is>
      </c>
      <c r="D100" s="54" t="inlineStr">
        <is>
          <t>Result before Taxes</t>
        </is>
      </c>
      <c r="E100" s="59">
        <f>IFERROR(E98+E99,"")</f>
        <v>-396.122</v>
      </c>
      <c r="F100" s="59">
        <f>IFERROR(F98+F99,"")</f>
        <v>-102.527</v>
      </c>
      <c r="G100" s="59">
        <f>IFERROR(G98+G99,"")</f>
        <v>50.9659999999999</v>
      </c>
      <c r="H100" s="59">
        <f>IFERROR(H98+H99,"")</f>
        <v>219.141</v>
      </c>
      <c r="I100" s="60">
        <f>SUM(E100:H100)</f>
        <v>-228.542</v>
      </c>
      <c r="J100" s="59">
        <f>IFERROR(J98+J99,"")</f>
        <v>90.2110000000001</v>
      </c>
      <c r="K100" s="59">
        <f>IFERROR(K98+K99,"")</f>
        <v>283.052</v>
      </c>
      <c r="L100" s="59">
        <f>IFERROR(L98+L99,"")</f>
        <v>119.96</v>
      </c>
      <c r="M100" s="59">
        <f>IFERROR(M98+M99,"")</f>
        <v>117.903</v>
      </c>
      <c r="N100" s="60">
        <f>SUM(J100:M100)</f>
        <v>611.126</v>
      </c>
      <c r="O100" s="59">
        <f>IFERROR(O98+O99,"")</f>
        <v>229.411</v>
      </c>
      <c r="P100" s="59">
        <f>IFERROR(P98+P99,"")</f>
        <v>232.706</v>
      </c>
      <c r="Q100" s="59">
        <f>IFERROR(Q98+Q99,"")</f>
        <v>248.633</v>
      </c>
      <c r="R100" s="59">
        <f>IFERROR(R98+R99,"")</f>
        <v>207.449</v>
      </c>
      <c r="S100" s="60">
        <f>SUM(O100:R100)</f>
        <v>918.199</v>
      </c>
      <c r="T100" s="59">
        <f>IFERROR(T98+T99,"")</f>
        <v>171.022</v>
      </c>
      <c r="U100" s="59">
        <f>IFERROR(U98+U99,"")</f>
        <v>188.309</v>
      </c>
      <c r="V100" s="59">
        <f>IFERROR(V98+V99,"")</f>
        <v>227.653</v>
      </c>
      <c r="W100" s="59">
        <f>IFERROR(W98+W99,"")</f>
        <v>218.431</v>
      </c>
      <c r="X100" s="60">
        <f>SUM(T100:W100)</f>
        <v>805.415</v>
      </c>
      <c r="Y100" s="59">
        <f>IFERROR(Y98+Y99,"")</f>
        <v>229.749</v>
      </c>
      <c r="Z100" s="59">
        <f>IFERROR(Z98+Z99,"")</f>
        <v>261.658</v>
      </c>
      <c r="AA100" s="59">
        <f>IFERROR(AA98+AA99,"")</f>
        <v>280.714</v>
      </c>
      <c r="AB100" s="59">
        <f>IFERROR(AB98+AB99,"")</f>
        <v>231.969</v>
      </c>
      <c r="AC100" s="60">
        <f>SUM(Y100:AB100)</f>
        <v>1004.09</v>
      </c>
      <c r="AD100" s="59">
        <f>IFERROR(AD98+AD99,"")</f>
        <v>242.778</v>
      </c>
      <c r="AE100" s="59">
        <f>IFERROR(AE98+AE99,"")</f>
        <v>263.331</v>
      </c>
      <c r="AF100" s="59">
        <f>IFERROR(AF98+AF99,"")</f>
        <v>283.903</v>
      </c>
      <c r="AG100" s="59">
        <f>IFERROR(AG98+AG99,"")</f>
        <v>245.539</v>
      </c>
      <c r="AH100" s="60">
        <f>SUM(AD100:AG100)</f>
        <v>1035.551</v>
      </c>
      <c r="AI100" s="59">
        <f>IFERROR(AI98+AI99,"")</f>
        <v>241.691</v>
      </c>
      <c r="AJ100" s="59">
        <f>IFERROR(AJ98+AJ99,"")</f>
        <v>271</v>
      </c>
      <c r="AK100" s="59">
        <f>IFERROR(AK98+AK99,"")</f>
        <v>0</v>
      </c>
      <c r="AL100" s="59">
        <f>IFERROR(AL98+AL99,"")</f>
        <v>0</v>
      </c>
      <c r="AM100" s="60">
        <f>SUM(AI100:AL100)</f>
        <v>512.691</v>
      </c>
      <c r="AN100" s="59">
        <f>IFERROR(AN98+AN99,"")</f>
        <v>0</v>
      </c>
      <c r="AO100" s="59">
        <f>IFERROR(AO98+AO99,"")</f>
        <v>0</v>
      </c>
      <c r="AP100" s="59">
        <f>IFERROR(AP98+AP99,"")</f>
        <v>0</v>
      </c>
      <c r="AQ100" s="59">
        <f>IFERROR(AQ98+AQ99,"")</f>
        <v>0</v>
      </c>
      <c r="AR100" s="60">
        <f>SUM(AN100:AQ100)</f>
        <v>0</v>
      </c>
      <c r="AS100" s="59">
        <f>IFERROR(AS98+AS99,"")</f>
        <v>0</v>
      </c>
      <c r="AT100" s="59">
        <f>IFERROR(AT98+AT99,"")</f>
        <v>0</v>
      </c>
      <c r="AU100" s="59">
        <f>IFERROR(AU98+AU99,"")</f>
        <v>0</v>
      </c>
      <c r="AV100" s="59">
        <f>IFERROR(AV98+AV99,"")</f>
        <v>0</v>
      </c>
      <c r="AW100" s="60">
        <f>SUM(AS100:AV100)</f>
        <v>0</v>
      </c>
      <c r="AX100" s="59">
        <f>IFERROR(AX98+AX99,"")</f>
        <v>0</v>
      </c>
      <c r="AY100" s="59">
        <f>IFERROR(AY98+AY99,"")</f>
        <v>0</v>
      </c>
      <c r="AZ100" s="59">
        <f>IFERROR(AZ98+AZ99,"")</f>
        <v>0</v>
      </c>
      <c r="BA100" s="59">
        <f>IFERROR(BA98+BA99,"")</f>
        <v>0</v>
      </c>
      <c r="BB100" s="60">
        <f>SUM(AX100:BA100)</f>
        <v>0</v>
      </c>
      <c r="BC100" s="59">
        <f>IFERROR(BC98+BC99,"")</f>
        <v>0</v>
      </c>
      <c r="BD100" s="59">
        <f>IFERROR(BD98+BD99,"")</f>
        <v>0</v>
      </c>
      <c r="BE100" s="59">
        <f>IFERROR(BE98+BE99,"")</f>
        <v>0</v>
      </c>
      <c r="BF100" s="59">
        <f>IFERROR(BF98+BF99,"")</f>
        <v>0</v>
      </c>
      <c r="BG100" s="60">
        <f>SUM(BC100:BF100)</f>
        <v>0</v>
      </c>
    </row>
    <row r="101">
      <c r="C101" s="15" t="inlineStr">
        <is>
          <t>Imposto de Renda e Contribuição Social</t>
        </is>
      </c>
      <c r="D101" s="16" t="inlineStr">
        <is>
          <t>Income Tax and Social Contribution</t>
        </is>
      </c>
      <c r="E101" s="59">
        <f>IFERROR(E102+E103,"")</f>
        <v>477.119</v>
      </c>
      <c r="F101" s="59">
        <f>IFERROR(F102+F103,"")</f>
        <v>164.143</v>
      </c>
      <c r="G101" s="59">
        <f>IFERROR(G102+G103,"")</f>
        <v>22.509</v>
      </c>
      <c r="H101" s="59">
        <f>IFERROR(H102+H103,"")</f>
        <v>-113.154</v>
      </c>
      <c r="I101" s="60">
        <f>SUM(E101:H101)</f>
        <v>550.617</v>
      </c>
      <c r="J101" s="59">
        <f>IFERROR(J102+J103,"")</f>
        <v>32.195</v>
      </c>
      <c r="K101" s="59">
        <f>IFERROR(K102+K103,"")</f>
        <v>-146.712</v>
      </c>
      <c r="L101" s="59">
        <f>IFERROR(L102+L103,"")</f>
        <v>31.731</v>
      </c>
      <c r="M101" s="59">
        <f>IFERROR(M102+M103,"")</f>
        <v>44.528</v>
      </c>
      <c r="N101" s="60">
        <f>SUM(J101:M101)</f>
        <v>-38.258</v>
      </c>
      <c r="O101" s="59">
        <f>IFERROR(O102+O103,"")</f>
        <v>-45.835</v>
      </c>
      <c r="P101" s="59">
        <f>IFERROR(P102+P103,"")</f>
        <v>-30.524</v>
      </c>
      <c r="Q101" s="59">
        <f>IFERROR(Q102+Q103,"")</f>
        <v>-29.648</v>
      </c>
      <c r="R101" s="59">
        <f>IFERROR(R102+R103,"")</f>
        <v>-9.497</v>
      </c>
      <c r="S101" s="60">
        <f>SUM(O101:R101)</f>
        <v>-115.504</v>
      </c>
      <c r="T101" s="59">
        <f>IFERROR(T102+T103,"")</f>
        <v>19.654</v>
      </c>
      <c r="U101" s="59">
        <f>IFERROR(U102+U103,"")</f>
        <v>14.327</v>
      </c>
      <c r="V101" s="59">
        <f>IFERROR(V102+V103,"")</f>
        <v>1.515</v>
      </c>
      <c r="W101" s="59">
        <f>IFERROR(W102+W103,"")</f>
        <v>24.215</v>
      </c>
      <c r="X101" s="60">
        <f>SUM(T101:W101)</f>
        <v>59.711</v>
      </c>
      <c r="Y101" s="59">
        <f>IFERROR(Y102+Y103,"")</f>
        <v>-3.232</v>
      </c>
      <c r="Z101" s="59">
        <f>IFERROR(Z102+Z103,"")</f>
        <v>-4.449</v>
      </c>
      <c r="AA101" s="59">
        <f>IFERROR(AA102+AA103,"")</f>
        <v>-21.642</v>
      </c>
      <c r="AB101" s="59">
        <f>IFERROR(AB102+AB103,"")</f>
        <v>17.091</v>
      </c>
      <c r="AC101" s="60">
        <f>SUM(Y101:AB101)</f>
        <v>-12.232</v>
      </c>
      <c r="AD101" s="59">
        <f>IFERROR(AD102+AD103,"")</f>
        <v>-14.106</v>
      </c>
      <c r="AE101" s="59">
        <f>IFERROR(AE102+AE103,"")</f>
        <v>-13.833</v>
      </c>
      <c r="AF101" s="59">
        <f>IFERROR(AF102+AF103,"")</f>
        <v>-21.802</v>
      </c>
      <c r="AG101" s="59">
        <f>IFERROR(AG102+AG103,"")</f>
        <v>33.776</v>
      </c>
      <c r="AH101" s="60">
        <f>SUM(AD101:AG101)</f>
        <v>-15.965</v>
      </c>
      <c r="AI101" s="59">
        <f>IFERROR(AI102+AI103,"")</f>
        <v>-8.661</v>
      </c>
      <c r="AJ101" s="59">
        <f>IFERROR(AJ102+AJ103,"")</f>
        <v>-10.839</v>
      </c>
      <c r="AK101" s="59">
        <f>IFERROR(AK102+AK103,"")</f>
        <v>0</v>
      </c>
      <c r="AL101" s="59">
        <f>IFERROR(AL102+AL103,"")</f>
        <v>0</v>
      </c>
      <c r="AM101" s="60">
        <f>SUM(AI101:AL101)</f>
        <v>-19.5</v>
      </c>
      <c r="AN101" s="59">
        <f>IFERROR(AN102+AN103,"")</f>
        <v>0</v>
      </c>
      <c r="AO101" s="59">
        <f>IFERROR(AO102+AO103,"")</f>
        <v>0</v>
      </c>
      <c r="AP101" s="59">
        <f>IFERROR(AP102+AP103,"")</f>
        <v>0</v>
      </c>
      <c r="AQ101" s="59">
        <f>IFERROR(AQ102+AQ103,"")</f>
        <v>0</v>
      </c>
      <c r="AR101" s="60">
        <f>SUM(AN101:AQ101)</f>
        <v>0</v>
      </c>
      <c r="AS101" s="59">
        <f>IFERROR(AS102+AS103,"")</f>
        <v>0</v>
      </c>
      <c r="AT101" s="59">
        <f>IFERROR(AT102+AT103,"")</f>
        <v>0</v>
      </c>
      <c r="AU101" s="59">
        <f>IFERROR(AU102+AU103,"")</f>
        <v>0</v>
      </c>
      <c r="AV101" s="59">
        <f>IFERROR(AV102+AV103,"")</f>
        <v>0</v>
      </c>
      <c r="AW101" s="60">
        <f>SUM(AS101:AV101)</f>
        <v>0</v>
      </c>
      <c r="AX101" s="59">
        <f>IFERROR(AX102+AX103,"")</f>
        <v>0</v>
      </c>
      <c r="AY101" s="59">
        <f>IFERROR(AY102+AY103,"")</f>
        <v>0</v>
      </c>
      <c r="AZ101" s="59">
        <f>IFERROR(AZ102+AZ103,"")</f>
        <v>0</v>
      </c>
      <c r="BA101" s="59">
        <f>IFERROR(BA102+BA103,"")</f>
        <v>0</v>
      </c>
      <c r="BB101" s="60">
        <f>SUM(AX101:BA101)</f>
        <v>0</v>
      </c>
      <c r="BC101" s="59">
        <f>IFERROR(BC102+BC103,"")</f>
        <v>0</v>
      </c>
      <c r="BD101" s="59">
        <f>IFERROR(BD102+BD103,"")</f>
        <v>0</v>
      </c>
      <c r="BE101" s="59">
        <f>IFERROR(BE102+BE103,"")</f>
        <v>0</v>
      </c>
      <c r="BF101" s="59">
        <f>IFERROR(BF102+BF103,"")</f>
        <v>0</v>
      </c>
      <c r="BG101" s="60">
        <f>SUM(BC101:BF101)</f>
        <v>0</v>
      </c>
    </row>
    <row r="102" hidden="1" outlineLevel="1">
      <c r="B102" s="56" t="inlineStr">
        <is>
          <t>ir_corr</t>
        </is>
      </c>
      <c r="C102" s="61" t="inlineStr">
        <is>
          <t>(Devidos sobre Operações do Período)</t>
        </is>
      </c>
      <c r="D102" s="62" t="inlineStr">
        <is>
          <t>(Current Tax)</t>
        </is>
      </c>
      <c r="E102" s="57">
        <f>IF(ISNA(SUMIFS(INDEX(Inputs!$B$2:$AZ$190,,MATCH(SUBSTITUTE(E$3,"Q","T"),Inputs!$B$2:$AZ$2,0)),Inputs!$B$2:$B$190,$B102)*Inputs!$D$1),"",SUMIFS(INDEX(Inputs!$B$2:$AZ$190,,MATCH(SUBSTITUTE(E$3,"Q","T"),Inputs!$B$2:$AZ$2,0)),Inputs!$B$2:$B$190,$B102)*Inputs!$D$1)</f>
        <v>477.119</v>
      </c>
      <c r="F102" s="57">
        <f>IF(ISNA(SUMIFS(INDEX(Inputs!$B$2:$AZ$190,,MATCH(SUBSTITUTE(F$3,"Q","T"),Inputs!$B$2:$AZ$2,0)),Inputs!$B$2:$B$190,$B102)*Inputs!$D$1),"",SUMIFS(INDEX(Inputs!$B$2:$AZ$190,,MATCH(SUBSTITUTE(F$3,"Q","T"),Inputs!$B$2:$AZ$2,0)),Inputs!$B$2:$B$190,$B102)*Inputs!$D$1)</f>
        <v>164.143</v>
      </c>
      <c r="G102" s="57">
        <f>IF(ISNA(SUMIFS(INDEX(Inputs!$B$2:$AZ$190,,MATCH(SUBSTITUTE(G$3,"Q","T"),Inputs!$B$2:$AZ$2,0)),Inputs!$B$2:$B$190,$B102)*Inputs!$D$1),"",SUMIFS(INDEX(Inputs!$B$2:$AZ$190,,MATCH(SUBSTITUTE(G$3,"Q","T"),Inputs!$B$2:$AZ$2,0)),Inputs!$B$2:$B$190,$B102)*Inputs!$D$1)</f>
        <v>22.509</v>
      </c>
      <c r="H102" s="57">
        <f>IF(ISNA(SUMIFS(INDEX(Inputs!$B$2:$AZ$190,,MATCH(SUBSTITUTE(H$3,"Q","T"),Inputs!$B$2:$AZ$2,0)),Inputs!$B$2:$B$190,$B102)*Inputs!$D$1),"",SUMIFS(INDEX(Inputs!$B$2:$AZ$190,,MATCH(SUBSTITUTE(H$3,"Q","T"),Inputs!$B$2:$AZ$2,0)),Inputs!$B$2:$B$190,$B102)*Inputs!$D$1)</f>
        <v>-113.154</v>
      </c>
      <c r="I102" s="58">
        <f>SUM(E102:H102)</f>
        <v>550.617</v>
      </c>
      <c r="J102" s="57">
        <f>IF(ISNA(SUMIFS(INDEX(Inputs!$B$2:$AZ$190,,MATCH(SUBSTITUTE(J$3,"Q","T"),Inputs!$B$2:$AZ$2,0)),Inputs!$B$2:$B$190,$B102)*Inputs!$D$1),"",SUMIFS(INDEX(Inputs!$B$2:$AZ$190,,MATCH(SUBSTITUTE(J$3,"Q","T"),Inputs!$B$2:$AZ$2,0)),Inputs!$B$2:$B$190,$B102)*Inputs!$D$1)</f>
        <v>32.195</v>
      </c>
      <c r="K102" s="57">
        <f>IF(ISNA(SUMIFS(INDEX(Inputs!$B$2:$AZ$190,,MATCH(SUBSTITUTE(K$3,"Q","T"),Inputs!$B$2:$AZ$2,0)),Inputs!$B$2:$B$190,$B102)*Inputs!$D$1),"",SUMIFS(INDEX(Inputs!$B$2:$AZ$190,,MATCH(SUBSTITUTE(K$3,"Q","T"),Inputs!$B$2:$AZ$2,0)),Inputs!$B$2:$B$190,$B102)*Inputs!$D$1)</f>
        <v>-146.712</v>
      </c>
      <c r="L102" s="57">
        <f>IF(ISNA(SUMIFS(INDEX(Inputs!$B$2:$AZ$190,,MATCH(SUBSTITUTE(L$3,"Q","T"),Inputs!$B$2:$AZ$2,0)),Inputs!$B$2:$B$190,$B102)*Inputs!$D$1),"",SUMIFS(INDEX(Inputs!$B$2:$AZ$190,,MATCH(SUBSTITUTE(L$3,"Q","T"),Inputs!$B$2:$AZ$2,0)),Inputs!$B$2:$B$190,$B102)*Inputs!$D$1)</f>
        <v>31.731</v>
      </c>
      <c r="M102" s="57">
        <f>IF(ISNA(SUMIFS(INDEX(Inputs!$B$2:$AZ$190,,MATCH(SUBSTITUTE(M$3,"Q","T"),Inputs!$B$2:$AZ$2,0)),Inputs!$B$2:$B$190,$B102)*Inputs!$D$1),"",SUMIFS(INDEX(Inputs!$B$2:$AZ$190,,MATCH(SUBSTITUTE(M$3,"Q","T"),Inputs!$B$2:$AZ$2,0)),Inputs!$B$2:$B$190,$B102)*Inputs!$D$1)</f>
        <v>44.528</v>
      </c>
      <c r="N102" s="58">
        <f>SUM(J102:M102)</f>
        <v>-38.258</v>
      </c>
      <c r="O102" s="57">
        <f>IF(ISNA(SUMIFS(INDEX(Inputs!$B$2:$AZ$190,,MATCH(SUBSTITUTE(O$3,"Q","T"),Inputs!$B$2:$AZ$2,0)),Inputs!$B$2:$B$190,$B102)*Inputs!$D$1),"",SUMIFS(INDEX(Inputs!$B$2:$AZ$190,,MATCH(SUBSTITUTE(O$3,"Q","T"),Inputs!$B$2:$AZ$2,0)),Inputs!$B$2:$B$190,$B102)*Inputs!$D$1)</f>
        <v>-45.835</v>
      </c>
      <c r="P102" s="57">
        <f>IF(ISNA(SUMIFS(INDEX(Inputs!$B$2:$AZ$190,,MATCH(SUBSTITUTE(P$3,"Q","T"),Inputs!$B$2:$AZ$2,0)),Inputs!$B$2:$B$190,$B102)*Inputs!$D$1),"",SUMIFS(INDEX(Inputs!$B$2:$AZ$190,,MATCH(SUBSTITUTE(P$3,"Q","T"),Inputs!$B$2:$AZ$2,0)),Inputs!$B$2:$B$190,$B102)*Inputs!$D$1)</f>
        <v>-30.524</v>
      </c>
      <c r="Q102" s="57">
        <f>IF(ISNA(SUMIFS(INDEX(Inputs!$B$2:$AZ$190,,MATCH(SUBSTITUTE(Q$3,"Q","T"),Inputs!$B$2:$AZ$2,0)),Inputs!$B$2:$B$190,$B102)*Inputs!$D$1),"",SUMIFS(INDEX(Inputs!$B$2:$AZ$190,,MATCH(SUBSTITUTE(Q$3,"Q","T"),Inputs!$B$2:$AZ$2,0)),Inputs!$B$2:$B$190,$B102)*Inputs!$D$1)</f>
        <v>-29.648</v>
      </c>
      <c r="R102" s="57">
        <f>IF(ISNA(SUMIFS(INDEX(Inputs!$B$2:$AZ$190,,MATCH(SUBSTITUTE(R$3,"Q","T"),Inputs!$B$2:$AZ$2,0)),Inputs!$B$2:$B$190,$B102)*Inputs!$D$1),"",SUMIFS(INDEX(Inputs!$B$2:$AZ$190,,MATCH(SUBSTITUTE(R$3,"Q","T"),Inputs!$B$2:$AZ$2,0)),Inputs!$B$2:$B$190,$B102)*Inputs!$D$1)</f>
        <v>-9.497</v>
      </c>
      <c r="S102" s="58">
        <f>SUM(O102:R102)</f>
        <v>-115.504</v>
      </c>
      <c r="T102" s="57">
        <f>IF(ISNA(SUMIFS(INDEX(Inputs!$B$2:$AZ$190,,MATCH(SUBSTITUTE(T$3,"Q","T"),Inputs!$B$2:$AZ$2,0)),Inputs!$B$2:$B$190,$B102)*Inputs!$D$1),"",SUMIFS(INDEX(Inputs!$B$2:$AZ$190,,MATCH(SUBSTITUTE(T$3,"Q","T"),Inputs!$B$2:$AZ$2,0)),Inputs!$B$2:$B$190,$B102)*Inputs!$D$1)</f>
        <v>19.654</v>
      </c>
      <c r="U102" s="57">
        <f>IF(ISNA(SUMIFS(INDEX(Inputs!$B$2:$AZ$190,,MATCH(SUBSTITUTE(U$3,"Q","T"),Inputs!$B$2:$AZ$2,0)),Inputs!$B$2:$B$190,$B102)*Inputs!$D$1),"",SUMIFS(INDEX(Inputs!$B$2:$AZ$190,,MATCH(SUBSTITUTE(U$3,"Q","T"),Inputs!$B$2:$AZ$2,0)),Inputs!$B$2:$B$190,$B102)*Inputs!$D$1)</f>
        <v>14.327</v>
      </c>
      <c r="V102" s="57">
        <f>IF(ISNA(SUMIFS(INDEX(Inputs!$B$2:$AZ$190,,MATCH(SUBSTITUTE(V$3,"Q","T"),Inputs!$B$2:$AZ$2,0)),Inputs!$B$2:$B$190,$B102)*Inputs!$D$1),"",SUMIFS(INDEX(Inputs!$B$2:$AZ$190,,MATCH(SUBSTITUTE(V$3,"Q","T"),Inputs!$B$2:$AZ$2,0)),Inputs!$B$2:$B$190,$B102)*Inputs!$D$1)</f>
        <v>1.515</v>
      </c>
      <c r="W102" s="57">
        <f>IF(ISNA(SUMIFS(INDEX(Inputs!$B$2:$AZ$190,,MATCH(SUBSTITUTE(W$3,"Q","T"),Inputs!$B$2:$AZ$2,0)),Inputs!$B$2:$B$190,$B102)*Inputs!$D$1),"",SUMIFS(INDEX(Inputs!$B$2:$AZ$190,,MATCH(SUBSTITUTE(W$3,"Q","T"),Inputs!$B$2:$AZ$2,0)),Inputs!$B$2:$B$190,$B102)*Inputs!$D$1)</f>
        <v>24.215</v>
      </c>
      <c r="X102" s="58">
        <f>SUM(T102:W102)</f>
        <v>59.711</v>
      </c>
      <c r="Y102" s="57">
        <f>IF(ISNA(SUMIFS(INDEX(Inputs!$B$2:$AZ$190,,MATCH(SUBSTITUTE(Y$3,"Q","T"),Inputs!$B$2:$AZ$2,0)),Inputs!$B$2:$B$190,$B102)*Inputs!$D$1),"",SUMIFS(INDEX(Inputs!$B$2:$AZ$190,,MATCH(SUBSTITUTE(Y$3,"Q","T"),Inputs!$B$2:$AZ$2,0)),Inputs!$B$2:$B$190,$B102)*Inputs!$D$1)</f>
        <v>-3.232</v>
      </c>
      <c r="Z102" s="57">
        <f>IF(ISNA(SUMIFS(INDEX(Inputs!$B$2:$AZ$190,,MATCH(SUBSTITUTE(Z$3,"Q","T"),Inputs!$B$2:$AZ$2,0)),Inputs!$B$2:$B$190,$B102)*Inputs!$D$1),"",SUMIFS(INDEX(Inputs!$B$2:$AZ$190,,MATCH(SUBSTITUTE(Z$3,"Q","T"),Inputs!$B$2:$AZ$2,0)),Inputs!$B$2:$B$190,$B102)*Inputs!$D$1)</f>
        <v>-4.449</v>
      </c>
      <c r="AA102" s="57">
        <f>IF(ISNA(SUMIFS(INDEX(Inputs!$B$2:$AZ$190,,MATCH(SUBSTITUTE(AA$3,"Q","T"),Inputs!$B$2:$AZ$2,0)),Inputs!$B$2:$B$190,$B102)*Inputs!$D$1),"",SUMIFS(INDEX(Inputs!$B$2:$AZ$190,,MATCH(SUBSTITUTE(AA$3,"Q","T"),Inputs!$B$2:$AZ$2,0)),Inputs!$B$2:$B$190,$B102)*Inputs!$D$1)</f>
        <v>-21.642</v>
      </c>
      <c r="AB102" s="57">
        <f>IF(ISNA(SUMIFS(INDEX(Inputs!$B$2:$AZ$190,,MATCH(SUBSTITUTE(AB$3,"Q","T"),Inputs!$B$2:$AZ$2,0)),Inputs!$B$2:$B$190,$B102)*Inputs!$D$1),"",SUMIFS(INDEX(Inputs!$B$2:$AZ$190,,MATCH(SUBSTITUTE(AB$3,"Q","T"),Inputs!$B$2:$AZ$2,0)),Inputs!$B$2:$B$190,$B102)*Inputs!$D$1)</f>
        <v>17.091</v>
      </c>
      <c r="AC102" s="58">
        <f>SUM(Y102:AB102)</f>
        <v>-12.232</v>
      </c>
      <c r="AD102" s="57">
        <f>IF(ISNA(SUMIFS(INDEX(Inputs!$B$2:$AZ$190,,MATCH(SUBSTITUTE(AD$3,"Q","T"),Inputs!$B$2:$AZ$2,0)),Inputs!$B$2:$B$190,$B102)*Inputs!$D$1),"",SUMIFS(INDEX(Inputs!$B$2:$AZ$190,,MATCH(SUBSTITUTE(AD$3,"Q","T"),Inputs!$B$2:$AZ$2,0)),Inputs!$B$2:$B$190,$B102)*Inputs!$D$1)</f>
        <v>-14.106</v>
      </c>
      <c r="AE102" s="57">
        <f>IF(ISNA(SUMIFS(INDEX(Inputs!$B$2:$AZ$190,,MATCH(SUBSTITUTE(AE$3,"Q","T"),Inputs!$B$2:$AZ$2,0)),Inputs!$B$2:$B$190,$B102)*Inputs!$D$1),"",SUMIFS(INDEX(Inputs!$B$2:$AZ$190,,MATCH(SUBSTITUTE(AE$3,"Q","T"),Inputs!$B$2:$AZ$2,0)),Inputs!$B$2:$B$190,$B102)*Inputs!$D$1)</f>
        <v>-13.833</v>
      </c>
      <c r="AF102" s="57">
        <f>IF(ISNA(SUMIFS(INDEX(Inputs!$B$2:$AZ$190,,MATCH(SUBSTITUTE(AF$3,"Q","T"),Inputs!$B$2:$AZ$2,0)),Inputs!$B$2:$B$190,$B102)*Inputs!$D$1),"",SUMIFS(INDEX(Inputs!$B$2:$AZ$190,,MATCH(SUBSTITUTE(AF$3,"Q","T"),Inputs!$B$2:$AZ$2,0)),Inputs!$B$2:$B$190,$B102)*Inputs!$D$1)</f>
        <v>-21.802</v>
      </c>
      <c r="AG102" s="57">
        <f>IF(ISNA(SUMIFS(INDEX(Inputs!$B$2:$AZ$190,,MATCH(SUBSTITUTE(AG$3,"Q","T"),Inputs!$B$2:$AZ$2,0)),Inputs!$B$2:$B$190,$B102)*Inputs!$D$1),"",SUMIFS(INDEX(Inputs!$B$2:$AZ$190,,MATCH(SUBSTITUTE(AG$3,"Q","T"),Inputs!$B$2:$AZ$2,0)),Inputs!$B$2:$B$190,$B102)*Inputs!$D$1)</f>
        <v>33.776</v>
      </c>
      <c r="AH102" s="58">
        <f>SUM(AD102:AG102)</f>
        <v>-15.965</v>
      </c>
      <c r="AI102" s="57">
        <f>IF(ISNA(SUMIFS(INDEX(Inputs!$B$2:$AZ$190,,MATCH(SUBSTITUTE(AI$3,"Q","T"),Inputs!$B$2:$AZ$2,0)),Inputs!$B$2:$B$190,$B102)*Inputs!$D$1),"",SUMIFS(INDEX(Inputs!$B$2:$AZ$190,,MATCH(SUBSTITUTE(AI$3,"Q","T"),Inputs!$B$2:$AZ$2,0)),Inputs!$B$2:$B$190,$B102)*Inputs!$D$1)</f>
        <v>-8.661</v>
      </c>
      <c r="AJ102" s="57">
        <f>IF(ISNA(SUMIFS(INDEX(Inputs!$B$2:$AZ$190,,MATCH(SUBSTITUTE(AJ$3,"Q","T"),Inputs!$B$2:$AZ$2,0)),Inputs!$B$2:$B$190,$B102)*Inputs!$D$1),"",SUMIFS(INDEX(Inputs!$B$2:$AZ$190,,MATCH(SUBSTITUTE(AJ$3,"Q","T"),Inputs!$B$2:$AZ$2,0)),Inputs!$B$2:$B$190,$B102)*Inputs!$D$1)</f>
        <v>-10.839</v>
      </c>
      <c r="AK102" s="57">
        <f>IF(ISNA(SUMIFS(INDEX(Inputs!$B$2:$AZ$190,,MATCH(SUBSTITUTE(AK$3,"Q","T"),Inputs!$B$2:$AZ$2,0)),Inputs!$B$2:$B$190,$B102)*Inputs!$D$1),"",SUMIFS(INDEX(Inputs!$B$2:$AZ$190,,MATCH(SUBSTITUTE(AK$3,"Q","T"),Inputs!$B$2:$AZ$2,0)),Inputs!$B$2:$B$190,$B102)*Inputs!$D$1)</f>
        <v>0</v>
      </c>
      <c r="AL102" s="57">
        <f>IF(ISNA(SUMIFS(INDEX(Inputs!$B$2:$AZ$190,,MATCH(SUBSTITUTE(AL$3,"Q","T"),Inputs!$B$2:$AZ$2,0)),Inputs!$B$2:$B$190,$B102)*Inputs!$D$1),"",SUMIFS(INDEX(Inputs!$B$2:$AZ$190,,MATCH(SUBSTITUTE(AL$3,"Q","T"),Inputs!$B$2:$AZ$2,0)),Inputs!$B$2:$B$190,$B102)*Inputs!$D$1)</f>
        <v>0</v>
      </c>
      <c r="AM102" s="58">
        <f>SUM(AI102:AL102)</f>
        <v>-19.5</v>
      </c>
      <c r="AN102" s="57">
        <f>IF(ISNA(SUMIFS(INDEX(Inputs!$B$2:$AZ$190,,MATCH(SUBSTITUTE(AN$3,"Q","T"),Inputs!$B$2:$AZ$2,0)),Inputs!$B$2:$B$190,$B102)*Inputs!$D$1),"",SUMIFS(INDEX(Inputs!$B$2:$AZ$190,,MATCH(SUBSTITUTE(AN$3,"Q","T"),Inputs!$B$2:$AZ$2,0)),Inputs!$B$2:$B$190,$B102)*Inputs!$D$1)</f>
        <v>0</v>
      </c>
      <c r="AO102" s="57">
        <f>IF(ISNA(SUMIFS(INDEX(Inputs!$B$2:$AZ$190,,MATCH(SUBSTITUTE(AO$3,"Q","T"),Inputs!$B$2:$AZ$2,0)),Inputs!$B$2:$B$190,$B102)*Inputs!$D$1),"",SUMIFS(INDEX(Inputs!$B$2:$AZ$190,,MATCH(SUBSTITUTE(AO$3,"Q","T"),Inputs!$B$2:$AZ$2,0)),Inputs!$B$2:$B$190,$B102)*Inputs!$D$1)</f>
        <v>0</v>
      </c>
      <c r="AP102" s="57">
        <f>IF(ISNA(SUMIFS(INDEX(Inputs!$B$2:$AZ$190,,MATCH(SUBSTITUTE(AP$3,"Q","T"),Inputs!$B$2:$AZ$2,0)),Inputs!$B$2:$B$190,$B102)*Inputs!$D$1),"",SUMIFS(INDEX(Inputs!$B$2:$AZ$190,,MATCH(SUBSTITUTE(AP$3,"Q","T"),Inputs!$B$2:$AZ$2,0)),Inputs!$B$2:$B$190,$B102)*Inputs!$D$1)</f>
        <v>0</v>
      </c>
      <c r="AQ102" s="57">
        <f>IF(ISNA(SUMIFS(INDEX(Inputs!$B$2:$AZ$190,,MATCH(SUBSTITUTE(AQ$3,"Q","T"),Inputs!$B$2:$AZ$2,0)),Inputs!$B$2:$B$190,$B102)*Inputs!$D$1),"",SUMIFS(INDEX(Inputs!$B$2:$AZ$190,,MATCH(SUBSTITUTE(AQ$3,"Q","T"),Inputs!$B$2:$AZ$2,0)),Inputs!$B$2:$B$190,$B102)*Inputs!$D$1)</f>
        <v>0</v>
      </c>
      <c r="AR102" s="58">
        <f>SUM(AN102:AQ102)</f>
        <v>0</v>
      </c>
      <c r="AS102" s="57">
        <f>IF(ISNA(SUMIFS(INDEX(Inputs!$B$2:$AZ$190,,MATCH(SUBSTITUTE(AS$3,"Q","T"),Inputs!$B$2:$AZ$2,0)),Inputs!$B$2:$B$190,$B102)*Inputs!$D$1),"",SUMIFS(INDEX(Inputs!$B$2:$AZ$190,,MATCH(SUBSTITUTE(AS$3,"Q","T"),Inputs!$B$2:$AZ$2,0)),Inputs!$B$2:$B$190,$B102)*Inputs!$D$1)</f>
        <v>0</v>
      </c>
      <c r="AT102" s="57">
        <f>IF(ISNA(SUMIFS(INDEX(Inputs!$B$2:$AZ$190,,MATCH(SUBSTITUTE(AT$3,"Q","T"),Inputs!$B$2:$AZ$2,0)),Inputs!$B$2:$B$190,$B102)*Inputs!$D$1),"",SUMIFS(INDEX(Inputs!$B$2:$AZ$190,,MATCH(SUBSTITUTE(AT$3,"Q","T"),Inputs!$B$2:$AZ$2,0)),Inputs!$B$2:$B$190,$B102)*Inputs!$D$1)</f>
        <v>0</v>
      </c>
      <c r="AU102" s="57">
        <f>IF(ISNA(SUMIFS(INDEX(Inputs!$B$2:$AZ$190,,MATCH(SUBSTITUTE(AU$3,"Q","T"),Inputs!$B$2:$AZ$2,0)),Inputs!$B$2:$B$190,$B102)*Inputs!$D$1),"",SUMIFS(INDEX(Inputs!$B$2:$AZ$190,,MATCH(SUBSTITUTE(AU$3,"Q","T"),Inputs!$B$2:$AZ$2,0)),Inputs!$B$2:$B$190,$B102)*Inputs!$D$1)</f>
        <v>0</v>
      </c>
      <c r="AV102" s="57">
        <f>IF(ISNA(SUMIFS(INDEX(Inputs!$B$2:$AZ$190,,MATCH(SUBSTITUTE(AV$3,"Q","T"),Inputs!$B$2:$AZ$2,0)),Inputs!$B$2:$B$190,$B102)*Inputs!$D$1),"",SUMIFS(INDEX(Inputs!$B$2:$AZ$190,,MATCH(SUBSTITUTE(AV$3,"Q","T"),Inputs!$B$2:$AZ$2,0)),Inputs!$B$2:$B$190,$B102)*Inputs!$D$1)</f>
        <v>0</v>
      </c>
      <c r="AW102" s="58">
        <f>SUM(AS102:AV102)</f>
        <v>0</v>
      </c>
      <c r="AX102" s="57">
        <f>IF(ISNA(SUMIFS(INDEX(Inputs!$B$2:$AZ$190,,MATCH(SUBSTITUTE(AX$3,"Q","T"),Inputs!$B$2:$AZ$2,0)),Inputs!$B$2:$B$190,$B102)*Inputs!$D$1),"",SUMIFS(INDEX(Inputs!$B$2:$AZ$190,,MATCH(SUBSTITUTE(AX$3,"Q","T"),Inputs!$B$2:$AZ$2,0)),Inputs!$B$2:$B$190,$B102)*Inputs!$D$1)</f>
        <v>0</v>
      </c>
      <c r="AY102" s="57">
        <f>IF(ISNA(SUMIFS(INDEX(Inputs!$B$2:$AZ$190,,MATCH(SUBSTITUTE(AY$3,"Q","T"),Inputs!$B$2:$AZ$2,0)),Inputs!$B$2:$B$190,$B102)*Inputs!$D$1),"",SUMIFS(INDEX(Inputs!$B$2:$AZ$190,,MATCH(SUBSTITUTE(AY$3,"Q","T"),Inputs!$B$2:$AZ$2,0)),Inputs!$B$2:$B$190,$B102)*Inputs!$D$1)</f>
        <v>0</v>
      </c>
      <c r="AZ102" s="57">
        <f>IF(ISNA(SUMIFS(INDEX(Inputs!$B$2:$AZ$190,,MATCH(SUBSTITUTE(AZ$3,"Q","T"),Inputs!$B$2:$AZ$2,0)),Inputs!$B$2:$B$190,$B102)*Inputs!$D$1),"",SUMIFS(INDEX(Inputs!$B$2:$AZ$190,,MATCH(SUBSTITUTE(AZ$3,"Q","T"),Inputs!$B$2:$AZ$2,0)),Inputs!$B$2:$B$190,$B102)*Inputs!$D$1)</f>
        <v>0</v>
      </c>
      <c r="BA102" s="57">
        <f>IF(ISNA(SUMIFS(INDEX(Inputs!$B$2:$AZ$190,,MATCH(SUBSTITUTE(BA$3,"Q","T"),Inputs!$B$2:$AZ$2,0)),Inputs!$B$2:$B$190,$B102)*Inputs!$D$1),"",SUMIFS(INDEX(Inputs!$B$2:$AZ$190,,MATCH(SUBSTITUTE(BA$3,"Q","T"),Inputs!$B$2:$AZ$2,0)),Inputs!$B$2:$B$190,$B102)*Inputs!$D$1)</f>
        <v>0</v>
      </c>
      <c r="BB102" s="58">
        <f>SUM(AX102:BA102)</f>
        <v>0</v>
      </c>
      <c r="BC102" s="57">
        <f>IF(ISNA(SUMIFS(INDEX(Inputs!$B$2:$AZ$190,,MATCH(SUBSTITUTE(BC$3,"Q","T"),Inputs!$B$2:$AZ$2,0)),Inputs!$B$2:$B$190,$B102)*Inputs!$D$1),"",SUMIFS(INDEX(Inputs!$B$2:$AZ$190,,MATCH(SUBSTITUTE(BC$3,"Q","T"),Inputs!$B$2:$AZ$2,0)),Inputs!$B$2:$B$190,$B102)*Inputs!$D$1)</f>
        <v>0</v>
      </c>
      <c r="BD102" s="57">
        <f>IF(ISNA(SUMIFS(INDEX(Inputs!$B$2:$AZ$190,,MATCH(SUBSTITUTE(BD$3,"Q","T"),Inputs!$B$2:$AZ$2,0)),Inputs!$B$2:$B$190,$B102)*Inputs!$D$1),"",SUMIFS(INDEX(Inputs!$B$2:$AZ$190,,MATCH(SUBSTITUTE(BD$3,"Q","T"),Inputs!$B$2:$AZ$2,0)),Inputs!$B$2:$B$190,$B102)*Inputs!$D$1)</f>
        <v>0</v>
      </c>
      <c r="BE102" s="57">
        <f>IF(ISNA(SUMIFS(INDEX(Inputs!$B$2:$AZ$190,,MATCH(SUBSTITUTE(BE$3,"Q","T"),Inputs!$B$2:$AZ$2,0)),Inputs!$B$2:$B$190,$B102)*Inputs!$D$1),"",SUMIFS(INDEX(Inputs!$B$2:$AZ$190,,MATCH(SUBSTITUTE(BE$3,"Q","T"),Inputs!$B$2:$AZ$2,0)),Inputs!$B$2:$B$190,$B102)*Inputs!$D$1)</f>
        <v>0</v>
      </c>
      <c r="BF102" s="57">
        <f>IF(ISNA(SUMIFS(INDEX(Inputs!$B$2:$AZ$190,,MATCH(SUBSTITUTE(BF$3,"Q","T"),Inputs!$B$2:$AZ$2,0)),Inputs!$B$2:$B$190,$B102)*Inputs!$D$1),"",SUMIFS(INDEX(Inputs!$B$2:$AZ$190,,MATCH(SUBSTITUTE(BF$3,"Q","T"),Inputs!$B$2:$AZ$2,0)),Inputs!$B$2:$B$190,$B102)*Inputs!$D$1)</f>
        <v>0</v>
      </c>
      <c r="BG102" s="58">
        <f>SUM(BC102:BF102)</f>
        <v>0</v>
      </c>
    </row>
    <row r="103" hidden="1" outlineLevel="1">
      <c r="B103" s="56" t="inlineStr">
        <is>
          <t>ir_dif</t>
        </is>
      </c>
      <c r="C103" s="61" t="inlineStr">
        <is>
          <t>Referentes a Diferenças Temporárias</t>
        </is>
      </c>
      <c r="D103" s="62" t="inlineStr">
        <is>
          <t>Deferred Tax</t>
        </is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0</v>
      </c>
      <c r="F103" s="57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>0</v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0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0</v>
      </c>
      <c r="I103" s="58">
        <f>SUM(E103:H103)</f>
        <v>0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0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0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0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0</v>
      </c>
      <c r="N103" s="58">
        <f>SUM(J103:M103)</f>
        <v>0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0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0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0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0</v>
      </c>
      <c r="S103" s="58">
        <f>SUM(O103:R103)</f>
        <v>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0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0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0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0</v>
      </c>
      <c r="X103" s="58">
        <f>SUM(T103:W103)</f>
        <v>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0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0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0</v>
      </c>
      <c r="AC103" s="58">
        <f>SUM(Y103:AB103)</f>
        <v>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0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0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0</v>
      </c>
      <c r="AH103" s="58">
        <f>SUM(AD103:AG103)</f>
        <v>0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0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0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>SUM(AI103:AL103)</f>
        <v>0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>SUM(AN103:AQ103)</f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>SUM(AS103:AV103)</f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>SUM(AX103:BA103)</f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>SUM(BC103:BF103)</f>
        <v>0</v>
      </c>
    </row>
    <row r="104">
      <c r="C104" s="53" t="inlineStr">
        <is>
          <t>LUCRO LÍQUIDO</t>
        </is>
      </c>
      <c r="D104" s="54" t="inlineStr">
        <is>
          <t>NET INCOME</t>
        </is>
      </c>
      <c r="E104" s="59">
        <f>IFERROR(E100+E101,"")</f>
        <v>80.9969999999997</v>
      </c>
      <c r="F104" s="59">
        <f>IFERROR(F100+F101,"")</f>
        <v>61.6159999999999</v>
      </c>
      <c r="G104" s="59">
        <f>IFERROR(G100+G101,"")</f>
        <v>73.4749999999999</v>
      </c>
      <c r="H104" s="59">
        <f>IFERROR(H100+H101,"")</f>
        <v>105.987</v>
      </c>
      <c r="I104" s="60">
        <f>SUM(E104:H104)</f>
        <v>322.075</v>
      </c>
      <c r="J104" s="59">
        <f>IFERROR(J100+J101,"")</f>
        <v>122.406</v>
      </c>
      <c r="K104" s="59">
        <f>IFERROR(K100+K101,"")</f>
        <v>136.34</v>
      </c>
      <c r="L104" s="59">
        <f>IFERROR(L100+L101,"")</f>
        <v>151.691</v>
      </c>
      <c r="M104" s="59">
        <f>IFERROR(M100+M101,"")</f>
        <v>162.431</v>
      </c>
      <c r="N104" s="60">
        <f>SUM(J104:M104)</f>
        <v>572.868</v>
      </c>
      <c r="O104" s="59">
        <f>IFERROR(O100+O101,"")</f>
        <v>183.576</v>
      </c>
      <c r="P104" s="59">
        <f>IFERROR(P100+P101,"")</f>
        <v>202.182</v>
      </c>
      <c r="Q104" s="59">
        <f>IFERROR(Q100+Q101,"")</f>
        <v>218.985</v>
      </c>
      <c r="R104" s="59">
        <f>IFERROR(R100+R101,"")</f>
        <v>197.952</v>
      </c>
      <c r="S104" s="60">
        <f>SUM(O104:R104)</f>
        <v>802.695</v>
      </c>
      <c r="T104" s="59">
        <f>IFERROR(T100+T101,"")</f>
        <v>190.676</v>
      </c>
      <c r="U104" s="59">
        <f>IFERROR(U100+U101,"")</f>
        <v>202.636</v>
      </c>
      <c r="V104" s="59">
        <f>IFERROR(V100+V101,"")</f>
        <v>229.168</v>
      </c>
      <c r="W104" s="59">
        <f>IFERROR(W100+W101,"")</f>
        <v>242.646</v>
      </c>
      <c r="X104" s="60">
        <f>SUM(T104:W104)</f>
        <v>865.126</v>
      </c>
      <c r="Y104" s="59">
        <f>IFERROR(Y100+Y101,"")</f>
        <v>226.517</v>
      </c>
      <c r="Z104" s="59">
        <f>IFERROR(Z100+Z101,"")</f>
        <v>257.209</v>
      </c>
      <c r="AA104" s="59">
        <f>IFERROR(AA100+AA101,"")</f>
        <v>259.072</v>
      </c>
      <c r="AB104" s="59">
        <f>IFERROR(AB100+AB101,"")</f>
        <v>249.06</v>
      </c>
      <c r="AC104" s="60">
        <f>SUM(Y104:AB104)</f>
        <v>991.858</v>
      </c>
      <c r="AD104" s="59">
        <f>IFERROR(AD100+AD101,"")</f>
        <v>228.672</v>
      </c>
      <c r="AE104" s="59">
        <f>IFERROR(AE100+AE101,"")</f>
        <v>249.498</v>
      </c>
      <c r="AF104" s="59">
        <f>IFERROR(AF100+AF101,"")</f>
        <v>262.101</v>
      </c>
      <c r="AG104" s="59">
        <f>IFERROR(AG100+AG101,"")</f>
        <v>279.315</v>
      </c>
      <c r="AH104" s="60">
        <f>SUM(AD104:AG104)</f>
        <v>1019.586</v>
      </c>
      <c r="AI104" s="59">
        <f>IFERROR(AI100+AI101,"")</f>
        <v>233.03</v>
      </c>
      <c r="AJ104" s="59">
        <f>IFERROR(AJ100+AJ101,"")</f>
        <v>260.161</v>
      </c>
      <c r="AK104" s="59">
        <f>IFERROR(AK100+AK101,"")</f>
        <v>0</v>
      </c>
      <c r="AL104" s="59">
        <f>IFERROR(AL100+AL101,"")</f>
        <v>0</v>
      </c>
      <c r="AM104" s="60">
        <f>SUM(AI104:AL104)</f>
        <v>493.191</v>
      </c>
      <c r="AN104" s="59">
        <f>IFERROR(AN100+AN101,"")</f>
        <v>0</v>
      </c>
      <c r="AO104" s="59">
        <f>IFERROR(AO100+AO101,"")</f>
        <v>0</v>
      </c>
      <c r="AP104" s="59">
        <f>IFERROR(AP100+AP101,"")</f>
        <v>0</v>
      </c>
      <c r="AQ104" s="59">
        <f>IFERROR(AQ100+AQ101,"")</f>
        <v>0</v>
      </c>
      <c r="AR104" s="60">
        <f>SUM(AN104:AQ104)</f>
        <v>0</v>
      </c>
      <c r="AS104" s="59">
        <f>IFERROR(AS100+AS101,"")</f>
        <v>0</v>
      </c>
      <c r="AT104" s="59">
        <f>IFERROR(AT100+AT101,"")</f>
        <v>0</v>
      </c>
      <c r="AU104" s="59">
        <f>IFERROR(AU100+AU101,"")</f>
        <v>0</v>
      </c>
      <c r="AV104" s="59">
        <f>IFERROR(AV100+AV101,"")</f>
        <v>0</v>
      </c>
      <c r="AW104" s="60">
        <f>SUM(AS104:AV104)</f>
        <v>0</v>
      </c>
      <c r="AX104" s="59">
        <f>IFERROR(AX100+AX101,"")</f>
        <v>0</v>
      </c>
      <c r="AY104" s="59">
        <f>IFERROR(AY100+AY101,"")</f>
        <v>0</v>
      </c>
      <c r="AZ104" s="59">
        <f>IFERROR(AZ100+AZ101,"")</f>
        <v>0</v>
      </c>
      <c r="BA104" s="59">
        <f>IFERROR(BA100+BA101,"")</f>
        <v>0</v>
      </c>
      <c r="BB104" s="60">
        <f>SUM(AX104:BA104)</f>
        <v>0</v>
      </c>
      <c r="BC104" s="59">
        <f>IFERROR(BC100+BC101,"")</f>
        <v>0</v>
      </c>
      <c r="BD104" s="59">
        <f>IFERROR(BD100+BD101,"")</f>
        <v>0</v>
      </c>
      <c r="BE104" s="59">
        <f>IFERROR(BE100+BE101,"")</f>
        <v>0</v>
      </c>
      <c r="BF104" s="59">
        <f>IFERROR(BF100+BF101,"")</f>
        <v>0</v>
      </c>
      <c r="BG104" s="60">
        <f>SUM(BC104:BF104)</f>
        <v>0</v>
      </c>
    </row>
    <row r="105">
      <c r="B105" s="56" t="inlineStr">
        <is>
          <t>ll_minor</t>
        </is>
      </c>
      <c r="C105" s="11" t="inlineStr">
        <is>
          <t>(Participação de Não Controladores)</t>
        </is>
      </c>
      <c r="D105" s="12" t="inlineStr">
        <is>
          <t>(Non-Controlling Interests)</t>
        </is>
      </c>
      <c r="E105" s="57">
        <f>IF(ISNA(SUMIFS(INDEX(Inputs!$B$2:$AZ$190,,MATCH(SUBSTITUTE(E$3,"Q","T"),Inputs!$B$2:$AZ$2,0)),Inputs!$B$2:$B$190,$B105)*Inputs!$D$1),"",SUMIFS(INDEX(Inputs!$B$2:$AZ$190,,MATCH(SUBSTITUTE(E$3,"Q","T"),Inputs!$B$2:$AZ$2,0)),Inputs!$B$2:$B$190,$B105)*Inputs!$D$1)</f>
        <v>0</v>
      </c>
      <c r="F105" s="57">
        <f>IF(ISNA(SUMIFS(INDEX(Inputs!$B$2:$AZ$190,,MATCH(SUBSTITUTE(F$3,"Q","T"),Inputs!$B$2:$AZ$2,0)),Inputs!$B$2:$B$190,$B105)*Inputs!$D$1),"",SUMIFS(INDEX(Inputs!$B$2:$AZ$190,,MATCH(SUBSTITUTE(F$3,"Q","T"),Inputs!$B$2:$AZ$2,0)),Inputs!$B$2:$B$190,$B105)*Inputs!$D$1)</f>
        <v>0</v>
      </c>
      <c r="G105" s="57">
        <f>IF(ISNA(SUMIFS(INDEX(Inputs!$B$2:$AZ$190,,MATCH(SUBSTITUTE(G$3,"Q","T"),Inputs!$B$2:$AZ$2,0)),Inputs!$B$2:$B$190,$B105)*Inputs!$D$1),"",SUMIFS(INDEX(Inputs!$B$2:$AZ$190,,MATCH(SUBSTITUTE(G$3,"Q","T"),Inputs!$B$2:$AZ$2,0)),Inputs!$B$2:$B$190,$B105)*Inputs!$D$1)</f>
        <v>0</v>
      </c>
      <c r="H105" s="57">
        <f>IF(ISNA(SUMIFS(INDEX(Inputs!$B$2:$AZ$190,,MATCH(SUBSTITUTE(H$3,"Q","T"),Inputs!$B$2:$AZ$2,0)),Inputs!$B$2:$B$190,$B105)*Inputs!$D$1),"",SUMIFS(INDEX(Inputs!$B$2:$AZ$190,,MATCH(SUBSTITUTE(H$3,"Q","T"),Inputs!$B$2:$AZ$2,0)),Inputs!$B$2:$B$190,$B105)*Inputs!$D$1)</f>
        <v>0</v>
      </c>
      <c r="I105" s="58">
        <f>SUM(E105:H105)</f>
        <v>0</v>
      </c>
      <c r="J105" s="57">
        <f>IF(ISNA(SUMIFS(INDEX(Inputs!$B$2:$AZ$190,,MATCH(SUBSTITUTE(J$3,"Q","T"),Inputs!$B$2:$AZ$2,0)),Inputs!$B$2:$B$190,$B105)*Inputs!$D$1),"",SUMIFS(INDEX(Inputs!$B$2:$AZ$190,,MATCH(SUBSTITUTE(J$3,"Q","T"),Inputs!$B$2:$AZ$2,0)),Inputs!$B$2:$B$190,$B105)*Inputs!$D$1)</f>
        <v>0</v>
      </c>
      <c r="K105" s="57">
        <f>IF(ISNA(SUMIFS(INDEX(Inputs!$B$2:$AZ$190,,MATCH(SUBSTITUTE(K$3,"Q","T"),Inputs!$B$2:$AZ$2,0)),Inputs!$B$2:$B$190,$B105)*Inputs!$D$1),"",SUMIFS(INDEX(Inputs!$B$2:$AZ$190,,MATCH(SUBSTITUTE(K$3,"Q","T"),Inputs!$B$2:$AZ$2,0)),Inputs!$B$2:$B$190,$B105)*Inputs!$D$1)</f>
        <v>0</v>
      </c>
      <c r="L105" s="57">
        <f>IF(ISNA(SUMIFS(INDEX(Inputs!$B$2:$AZ$190,,MATCH(SUBSTITUTE(L$3,"Q","T"),Inputs!$B$2:$AZ$2,0)),Inputs!$B$2:$B$190,$B105)*Inputs!$D$1),"",SUMIFS(INDEX(Inputs!$B$2:$AZ$190,,MATCH(SUBSTITUTE(L$3,"Q","T"),Inputs!$B$2:$AZ$2,0)),Inputs!$B$2:$B$190,$B105)*Inputs!$D$1)</f>
        <v>-0.231</v>
      </c>
      <c r="M105" s="57">
        <f>IF(ISNA(SUMIFS(INDEX(Inputs!$B$2:$AZ$190,,MATCH(SUBSTITUTE(M$3,"Q","T"),Inputs!$B$2:$AZ$2,0)),Inputs!$B$2:$B$190,$B105)*Inputs!$D$1),"",SUMIFS(INDEX(Inputs!$B$2:$AZ$190,,MATCH(SUBSTITUTE(M$3,"Q","T"),Inputs!$B$2:$AZ$2,0)),Inputs!$B$2:$B$190,$B105)*Inputs!$D$1)</f>
        <v>-0.464</v>
      </c>
      <c r="N105" s="58">
        <f>SUM(J105:M105)</f>
        <v>-0.695</v>
      </c>
      <c r="O105" s="57">
        <f>IF(ISNA(SUMIFS(INDEX(Inputs!$B$2:$AZ$190,,MATCH(SUBSTITUTE(O$3,"Q","T"),Inputs!$B$2:$AZ$2,0)),Inputs!$B$2:$B$190,$B105)*Inputs!$D$1),"",SUMIFS(INDEX(Inputs!$B$2:$AZ$190,,MATCH(SUBSTITUTE(O$3,"Q","T"),Inputs!$B$2:$AZ$2,0)),Inputs!$B$2:$B$190,$B105)*Inputs!$D$1)</f>
        <v>-0.414</v>
      </c>
      <c r="P105" s="57">
        <f>IF(ISNA(SUMIFS(INDEX(Inputs!$B$2:$AZ$190,,MATCH(SUBSTITUTE(P$3,"Q","T"),Inputs!$B$2:$AZ$2,0)),Inputs!$B$2:$B$190,$B105)*Inputs!$D$1),"",SUMIFS(INDEX(Inputs!$B$2:$AZ$190,,MATCH(SUBSTITUTE(P$3,"Q","T"),Inputs!$B$2:$AZ$2,0)),Inputs!$B$2:$B$190,$B105)*Inputs!$D$1)</f>
        <v>-0.53</v>
      </c>
      <c r="Q105" s="57">
        <f>IF(ISNA(SUMIFS(INDEX(Inputs!$B$2:$AZ$190,,MATCH(SUBSTITUTE(Q$3,"Q","T"),Inputs!$B$2:$AZ$2,0)),Inputs!$B$2:$B$190,$B105)*Inputs!$D$1),"",SUMIFS(INDEX(Inputs!$B$2:$AZ$190,,MATCH(SUBSTITUTE(Q$3,"Q","T"),Inputs!$B$2:$AZ$2,0)),Inputs!$B$2:$B$190,$B105)*Inputs!$D$1)</f>
        <v>-0.837</v>
      </c>
      <c r="R105" s="57">
        <f>IF(ISNA(SUMIFS(INDEX(Inputs!$B$2:$AZ$190,,MATCH(SUBSTITUTE(R$3,"Q","T"),Inputs!$B$2:$AZ$2,0)),Inputs!$B$2:$B$190,$B105)*Inputs!$D$1),"",SUMIFS(INDEX(Inputs!$B$2:$AZ$190,,MATCH(SUBSTITUTE(R$3,"Q","T"),Inputs!$B$2:$AZ$2,0)),Inputs!$B$2:$B$190,$B105)*Inputs!$D$1)</f>
        <v>-0.68</v>
      </c>
      <c r="S105" s="58">
        <f>SUM(O105:R105)</f>
        <v>-2.461</v>
      </c>
      <c r="T105" s="57">
        <f>IF(ISNA(SUMIFS(INDEX(Inputs!$B$2:$AZ$190,,MATCH(SUBSTITUTE(T$3,"Q","T"),Inputs!$B$2:$AZ$2,0)),Inputs!$B$2:$B$190,$B105)*Inputs!$D$1),"",SUMIFS(INDEX(Inputs!$B$2:$AZ$190,,MATCH(SUBSTITUTE(T$3,"Q","T"),Inputs!$B$2:$AZ$2,0)),Inputs!$B$2:$B$190,$B105)*Inputs!$D$1)</f>
        <v>-0.653</v>
      </c>
      <c r="U105" s="57">
        <f>IF(ISNA(SUMIFS(INDEX(Inputs!$B$2:$AZ$190,,MATCH(SUBSTITUTE(U$3,"Q","T"),Inputs!$B$2:$AZ$2,0)),Inputs!$B$2:$B$190,$B105)*Inputs!$D$1),"",SUMIFS(INDEX(Inputs!$B$2:$AZ$190,,MATCH(SUBSTITUTE(U$3,"Q","T"),Inputs!$B$2:$AZ$2,0)),Inputs!$B$2:$B$190,$B105)*Inputs!$D$1)</f>
        <v>-0.758</v>
      </c>
      <c r="V105" s="57">
        <f>IF(ISNA(SUMIFS(INDEX(Inputs!$B$2:$AZ$190,,MATCH(SUBSTITUTE(V$3,"Q","T"),Inputs!$B$2:$AZ$2,0)),Inputs!$B$2:$B$190,$B105)*Inputs!$D$1),"",SUMIFS(INDEX(Inputs!$B$2:$AZ$190,,MATCH(SUBSTITUTE(V$3,"Q","T"),Inputs!$B$2:$AZ$2,0)),Inputs!$B$2:$B$190,$B105)*Inputs!$D$1)</f>
        <v>-0.95</v>
      </c>
      <c r="W105" s="57">
        <f>IF(ISNA(SUMIFS(INDEX(Inputs!$B$2:$AZ$190,,MATCH(SUBSTITUTE(W$3,"Q","T"),Inputs!$B$2:$AZ$2,0)),Inputs!$B$2:$B$190,$B105)*Inputs!$D$1),"",SUMIFS(INDEX(Inputs!$B$2:$AZ$190,,MATCH(SUBSTITUTE(W$3,"Q","T"),Inputs!$B$2:$AZ$2,0)),Inputs!$B$2:$B$190,$B105)*Inputs!$D$1)</f>
        <v>-11.183</v>
      </c>
      <c r="X105" s="58">
        <f>SUM(T105:W105)</f>
        <v>-13.544</v>
      </c>
      <c r="Y105" s="57">
        <f>IF(ISNA(SUMIFS(INDEX(Inputs!$B$2:$AZ$190,,MATCH(SUBSTITUTE(Y$3,"Q","T"),Inputs!$B$2:$AZ$2,0)),Inputs!$B$2:$B$190,$B105)*Inputs!$D$1),"",SUMIFS(INDEX(Inputs!$B$2:$AZ$190,,MATCH(SUBSTITUTE(Y$3,"Q","T"),Inputs!$B$2:$AZ$2,0)),Inputs!$B$2:$B$190,$B105)*Inputs!$D$1)</f>
        <v>-3.489</v>
      </c>
      <c r="Z105" s="57">
        <f>IF(ISNA(SUMIFS(INDEX(Inputs!$B$2:$AZ$190,,MATCH(SUBSTITUTE(Z$3,"Q","T"),Inputs!$B$2:$AZ$2,0)),Inputs!$B$2:$B$190,$B105)*Inputs!$D$1),"",SUMIFS(INDEX(Inputs!$B$2:$AZ$190,,MATCH(SUBSTITUTE(Z$3,"Q","T"),Inputs!$B$2:$AZ$2,0)),Inputs!$B$2:$B$190,$B105)*Inputs!$D$1)</f>
        <v>-7.104</v>
      </c>
      <c r="AA105" s="57">
        <f>IF(ISNA(SUMIFS(INDEX(Inputs!$B$2:$AZ$190,,MATCH(SUBSTITUTE(AA$3,"Q","T"),Inputs!$B$2:$AZ$2,0)),Inputs!$B$2:$B$190,$B105)*Inputs!$D$1),"",SUMIFS(INDEX(Inputs!$B$2:$AZ$190,,MATCH(SUBSTITUTE(AA$3,"Q","T"),Inputs!$B$2:$AZ$2,0)),Inputs!$B$2:$B$190,$B105)*Inputs!$D$1)</f>
        <v>-4.002</v>
      </c>
      <c r="AB105" s="57">
        <f>IF(ISNA(SUMIFS(INDEX(Inputs!$B$2:$AZ$190,,MATCH(SUBSTITUTE(AB$3,"Q","T"),Inputs!$B$2:$AZ$2,0)),Inputs!$B$2:$B$190,$B105)*Inputs!$D$1),"",SUMIFS(INDEX(Inputs!$B$2:$AZ$190,,MATCH(SUBSTITUTE(AB$3,"Q","T"),Inputs!$B$2:$AZ$2,0)),Inputs!$B$2:$B$190,$B105)*Inputs!$D$1)</f>
        <v>-5.989</v>
      </c>
      <c r="AC105" s="58">
        <f>SUM(Y105:AB105)</f>
        <v>-20.584</v>
      </c>
      <c r="AD105" s="57">
        <f>IF(ISNA(SUMIFS(INDEX(Inputs!$B$2:$AZ$190,,MATCH(SUBSTITUTE(AD$3,"Q","T"),Inputs!$B$2:$AZ$2,0)),Inputs!$B$2:$B$190,$B105)*Inputs!$D$1),"",SUMIFS(INDEX(Inputs!$B$2:$AZ$190,,MATCH(SUBSTITUTE(AD$3,"Q","T"),Inputs!$B$2:$AZ$2,0)),Inputs!$B$2:$B$190,$B105)*Inputs!$D$1)</f>
        <v>-3.104</v>
      </c>
      <c r="AE105" s="57">
        <f>IF(ISNA(SUMIFS(INDEX(Inputs!$B$2:$AZ$190,,MATCH(SUBSTITUTE(AE$3,"Q","T"),Inputs!$B$2:$AZ$2,0)),Inputs!$B$2:$B$190,$B105)*Inputs!$D$1),"",SUMIFS(INDEX(Inputs!$B$2:$AZ$190,,MATCH(SUBSTITUTE(AE$3,"Q","T"),Inputs!$B$2:$AZ$2,0)),Inputs!$B$2:$B$190,$B105)*Inputs!$D$1)</f>
        <v>-5.399</v>
      </c>
      <c r="AF105" s="57">
        <f>IF(ISNA(SUMIFS(INDEX(Inputs!$B$2:$AZ$190,,MATCH(SUBSTITUTE(AF$3,"Q","T"),Inputs!$B$2:$AZ$2,0)),Inputs!$B$2:$B$190,$B105)*Inputs!$D$1),"",SUMIFS(INDEX(Inputs!$B$2:$AZ$190,,MATCH(SUBSTITUTE(AF$3,"Q","T"),Inputs!$B$2:$AZ$2,0)),Inputs!$B$2:$B$190,$B105)*Inputs!$D$1)</f>
        <v>-5.29</v>
      </c>
      <c r="AG105" s="57">
        <f>IF(ISNA(SUMIFS(INDEX(Inputs!$B$2:$AZ$190,,MATCH(SUBSTITUTE(AG$3,"Q","T"),Inputs!$B$2:$AZ$2,0)),Inputs!$B$2:$B$190,$B105)*Inputs!$D$1),"",SUMIFS(INDEX(Inputs!$B$2:$AZ$190,,MATCH(SUBSTITUTE(AG$3,"Q","T"),Inputs!$B$2:$AZ$2,0)),Inputs!$B$2:$B$190,$B105)*Inputs!$D$1)</f>
        <v>-3.788</v>
      </c>
      <c r="AH105" s="58">
        <f>SUM(AD105:AG105)</f>
        <v>-17.581</v>
      </c>
      <c r="AI105" s="57">
        <f>IF(ISNA(SUMIFS(INDEX(Inputs!$B$2:$AZ$190,,MATCH(SUBSTITUTE(AI$3,"Q","T"),Inputs!$B$2:$AZ$2,0)),Inputs!$B$2:$B$190,$B105)*Inputs!$D$1),"",SUMIFS(INDEX(Inputs!$B$2:$AZ$190,,MATCH(SUBSTITUTE(AI$3,"Q","T"),Inputs!$B$2:$AZ$2,0)),Inputs!$B$2:$B$190,$B105)*Inputs!$D$1)</f>
        <v>-2.82</v>
      </c>
      <c r="AJ105" s="57">
        <f>IF(ISNA(SUMIFS(INDEX(Inputs!$B$2:$AZ$190,,MATCH(SUBSTITUTE(AJ$3,"Q","T"),Inputs!$B$2:$AZ$2,0)),Inputs!$B$2:$B$190,$B105)*Inputs!$D$1),"",SUMIFS(INDEX(Inputs!$B$2:$AZ$190,,MATCH(SUBSTITUTE(AJ$3,"Q","T"),Inputs!$B$2:$AZ$2,0)),Inputs!$B$2:$B$190,$B105)*Inputs!$D$1)</f>
        <v>-2.837</v>
      </c>
      <c r="AK105" s="57">
        <f>IF(ISNA(SUMIFS(INDEX(Inputs!$B$2:$AZ$190,,MATCH(SUBSTITUTE(AK$3,"Q","T"),Inputs!$B$2:$AZ$2,0)),Inputs!$B$2:$B$190,$B105)*Inputs!$D$1),"",SUMIFS(INDEX(Inputs!$B$2:$AZ$190,,MATCH(SUBSTITUTE(AK$3,"Q","T"),Inputs!$B$2:$AZ$2,0)),Inputs!$B$2:$B$190,$B105)*Inputs!$D$1)</f>
        <v>0</v>
      </c>
      <c r="AL105" s="57">
        <f>IF(ISNA(SUMIFS(INDEX(Inputs!$B$2:$AZ$190,,MATCH(SUBSTITUTE(AL$3,"Q","T"),Inputs!$B$2:$AZ$2,0)),Inputs!$B$2:$B$190,$B105)*Inputs!$D$1),"",SUMIFS(INDEX(Inputs!$B$2:$AZ$190,,MATCH(SUBSTITUTE(AL$3,"Q","T"),Inputs!$B$2:$AZ$2,0)),Inputs!$B$2:$B$190,$B105)*Inputs!$D$1)</f>
        <v>0</v>
      </c>
      <c r="AM105" s="58">
        <f>SUM(AI105:AL105)</f>
        <v>-5.657</v>
      </c>
      <c r="AN105" s="57">
        <f>IF(ISNA(SUMIFS(INDEX(Inputs!$B$2:$AZ$190,,MATCH(SUBSTITUTE(AN$3,"Q","T"),Inputs!$B$2:$AZ$2,0)),Inputs!$B$2:$B$190,$B105)*Inputs!$D$1),"",SUMIFS(INDEX(Inputs!$B$2:$AZ$190,,MATCH(SUBSTITUTE(AN$3,"Q","T"),Inputs!$B$2:$AZ$2,0)),Inputs!$B$2:$B$190,$B105)*Inputs!$D$1)</f>
        <v>0</v>
      </c>
      <c r="AO105" s="57">
        <f>IF(ISNA(SUMIFS(INDEX(Inputs!$B$2:$AZ$190,,MATCH(SUBSTITUTE(AO$3,"Q","T"),Inputs!$B$2:$AZ$2,0)),Inputs!$B$2:$B$190,$B105)*Inputs!$D$1),"",SUMIFS(INDEX(Inputs!$B$2:$AZ$190,,MATCH(SUBSTITUTE(AO$3,"Q","T"),Inputs!$B$2:$AZ$2,0)),Inputs!$B$2:$B$190,$B105)*Inputs!$D$1)</f>
        <v>0</v>
      </c>
      <c r="AP105" s="57">
        <f>IF(ISNA(SUMIFS(INDEX(Inputs!$B$2:$AZ$190,,MATCH(SUBSTITUTE(AP$3,"Q","T"),Inputs!$B$2:$AZ$2,0)),Inputs!$B$2:$B$190,$B105)*Inputs!$D$1),"",SUMIFS(INDEX(Inputs!$B$2:$AZ$190,,MATCH(SUBSTITUTE(AP$3,"Q","T"),Inputs!$B$2:$AZ$2,0)),Inputs!$B$2:$B$190,$B105)*Inputs!$D$1)</f>
        <v>0</v>
      </c>
      <c r="AQ105" s="57">
        <f>IF(ISNA(SUMIFS(INDEX(Inputs!$B$2:$AZ$190,,MATCH(SUBSTITUTE(AQ$3,"Q","T"),Inputs!$B$2:$AZ$2,0)),Inputs!$B$2:$B$190,$B105)*Inputs!$D$1),"",SUMIFS(INDEX(Inputs!$B$2:$AZ$190,,MATCH(SUBSTITUTE(AQ$3,"Q","T"),Inputs!$B$2:$AZ$2,0)),Inputs!$B$2:$B$190,$B105)*Inputs!$D$1)</f>
        <v>0</v>
      </c>
      <c r="AR105" s="58">
        <f>SUM(AN105:AQ105)</f>
        <v>0</v>
      </c>
      <c r="AS105" s="57">
        <f>IF(ISNA(SUMIFS(INDEX(Inputs!$B$2:$AZ$190,,MATCH(SUBSTITUTE(AS$3,"Q","T"),Inputs!$B$2:$AZ$2,0)),Inputs!$B$2:$B$190,$B105)*Inputs!$D$1),"",SUMIFS(INDEX(Inputs!$B$2:$AZ$190,,MATCH(SUBSTITUTE(AS$3,"Q","T"),Inputs!$B$2:$AZ$2,0)),Inputs!$B$2:$B$190,$B105)*Inputs!$D$1)</f>
        <v>0</v>
      </c>
      <c r="AT105" s="57">
        <f>IF(ISNA(SUMIFS(INDEX(Inputs!$B$2:$AZ$190,,MATCH(SUBSTITUTE(AT$3,"Q","T"),Inputs!$B$2:$AZ$2,0)),Inputs!$B$2:$B$190,$B105)*Inputs!$D$1),"",SUMIFS(INDEX(Inputs!$B$2:$AZ$190,,MATCH(SUBSTITUTE(AT$3,"Q","T"),Inputs!$B$2:$AZ$2,0)),Inputs!$B$2:$B$190,$B105)*Inputs!$D$1)</f>
        <v>0</v>
      </c>
      <c r="AU105" s="57">
        <f>IF(ISNA(SUMIFS(INDEX(Inputs!$B$2:$AZ$190,,MATCH(SUBSTITUTE(AU$3,"Q","T"),Inputs!$B$2:$AZ$2,0)),Inputs!$B$2:$B$190,$B105)*Inputs!$D$1),"",SUMIFS(INDEX(Inputs!$B$2:$AZ$190,,MATCH(SUBSTITUTE(AU$3,"Q","T"),Inputs!$B$2:$AZ$2,0)),Inputs!$B$2:$B$190,$B105)*Inputs!$D$1)</f>
        <v>0</v>
      </c>
      <c r="AV105" s="57">
        <f>IF(ISNA(SUMIFS(INDEX(Inputs!$B$2:$AZ$190,,MATCH(SUBSTITUTE(AV$3,"Q","T"),Inputs!$B$2:$AZ$2,0)),Inputs!$B$2:$B$190,$B105)*Inputs!$D$1),"",SUMIFS(INDEX(Inputs!$B$2:$AZ$190,,MATCH(SUBSTITUTE(AV$3,"Q","T"),Inputs!$B$2:$AZ$2,0)),Inputs!$B$2:$B$190,$B105)*Inputs!$D$1)</f>
        <v>0</v>
      </c>
      <c r="AW105" s="58">
        <f>SUM(AS105:AV105)</f>
        <v>0</v>
      </c>
      <c r="AX105" s="57">
        <f>IF(ISNA(SUMIFS(INDEX(Inputs!$B$2:$AZ$190,,MATCH(SUBSTITUTE(AX$3,"Q","T"),Inputs!$B$2:$AZ$2,0)),Inputs!$B$2:$B$190,$B105)*Inputs!$D$1),"",SUMIFS(INDEX(Inputs!$B$2:$AZ$190,,MATCH(SUBSTITUTE(AX$3,"Q","T"),Inputs!$B$2:$AZ$2,0)),Inputs!$B$2:$B$190,$B105)*Inputs!$D$1)</f>
        <v>0</v>
      </c>
      <c r="AY105" s="57">
        <f>IF(ISNA(SUMIFS(INDEX(Inputs!$B$2:$AZ$190,,MATCH(SUBSTITUTE(AY$3,"Q","T"),Inputs!$B$2:$AZ$2,0)),Inputs!$B$2:$B$190,$B105)*Inputs!$D$1),"",SUMIFS(INDEX(Inputs!$B$2:$AZ$190,,MATCH(SUBSTITUTE(AY$3,"Q","T"),Inputs!$B$2:$AZ$2,0)),Inputs!$B$2:$B$190,$B105)*Inputs!$D$1)</f>
        <v>0</v>
      </c>
      <c r="AZ105" s="57">
        <f>IF(ISNA(SUMIFS(INDEX(Inputs!$B$2:$AZ$190,,MATCH(SUBSTITUTE(AZ$3,"Q","T"),Inputs!$B$2:$AZ$2,0)),Inputs!$B$2:$B$190,$B105)*Inputs!$D$1),"",SUMIFS(INDEX(Inputs!$B$2:$AZ$190,,MATCH(SUBSTITUTE(AZ$3,"Q","T"),Inputs!$B$2:$AZ$2,0)),Inputs!$B$2:$B$190,$B105)*Inputs!$D$1)</f>
        <v>0</v>
      </c>
      <c r="BA105" s="57">
        <f>IF(ISNA(SUMIFS(INDEX(Inputs!$B$2:$AZ$190,,MATCH(SUBSTITUTE(BA$3,"Q","T"),Inputs!$B$2:$AZ$2,0)),Inputs!$B$2:$B$190,$B105)*Inputs!$D$1),"",SUMIFS(INDEX(Inputs!$B$2:$AZ$190,,MATCH(SUBSTITUTE(BA$3,"Q","T"),Inputs!$B$2:$AZ$2,0)),Inputs!$B$2:$B$190,$B105)*Inputs!$D$1)</f>
        <v>0</v>
      </c>
      <c r="BB105" s="58">
        <f>SUM(AX105:BA105)</f>
        <v>0</v>
      </c>
      <c r="BC105" s="57">
        <f>IF(ISNA(SUMIFS(INDEX(Inputs!$B$2:$AZ$190,,MATCH(SUBSTITUTE(BC$3,"Q","T"),Inputs!$B$2:$AZ$2,0)),Inputs!$B$2:$B$190,$B105)*Inputs!$D$1),"",SUMIFS(INDEX(Inputs!$B$2:$AZ$190,,MATCH(SUBSTITUTE(BC$3,"Q","T"),Inputs!$B$2:$AZ$2,0)),Inputs!$B$2:$B$190,$B105)*Inputs!$D$1)</f>
        <v>0</v>
      </c>
      <c r="BD105" s="57">
        <f>IF(ISNA(SUMIFS(INDEX(Inputs!$B$2:$AZ$190,,MATCH(SUBSTITUTE(BD$3,"Q","T"),Inputs!$B$2:$AZ$2,0)),Inputs!$B$2:$B$190,$B105)*Inputs!$D$1),"",SUMIFS(INDEX(Inputs!$B$2:$AZ$190,,MATCH(SUBSTITUTE(BD$3,"Q","T"),Inputs!$B$2:$AZ$2,0)),Inputs!$B$2:$B$190,$B105)*Inputs!$D$1)</f>
        <v>0</v>
      </c>
      <c r="BE105" s="57">
        <f>IF(ISNA(SUMIFS(INDEX(Inputs!$B$2:$AZ$190,,MATCH(SUBSTITUTE(BE$3,"Q","T"),Inputs!$B$2:$AZ$2,0)),Inputs!$B$2:$B$190,$B105)*Inputs!$D$1),"",SUMIFS(INDEX(Inputs!$B$2:$AZ$190,,MATCH(SUBSTITUTE(BE$3,"Q","T"),Inputs!$B$2:$AZ$2,0)),Inputs!$B$2:$B$190,$B105)*Inputs!$D$1)</f>
        <v>0</v>
      </c>
      <c r="BF105" s="57">
        <f>IF(ISNA(SUMIFS(INDEX(Inputs!$B$2:$AZ$190,,MATCH(SUBSTITUTE(BF$3,"Q","T"),Inputs!$B$2:$AZ$2,0)),Inputs!$B$2:$B$190,$B105)*Inputs!$D$1),"",SUMIFS(INDEX(Inputs!$B$2:$AZ$190,,MATCH(SUBSTITUTE(BF$3,"Q","T"),Inputs!$B$2:$AZ$2,0)),Inputs!$B$2:$B$190,$B105)*Inputs!$D$1)</f>
        <v>0</v>
      </c>
      <c r="BG105" s="58">
        <f>SUM(BC105:BF105)</f>
        <v>0</v>
      </c>
    </row>
    <row r="106">
      <c r="C106" s="53" t="inlineStr">
        <is>
          <t>LUCRO LÍQUIDO DOS CONTROLADORES</t>
        </is>
      </c>
      <c r="D106" s="54" t="inlineStr">
        <is>
          <t>NET INCOME — CONTROLLING</t>
        </is>
      </c>
      <c r="E106" s="59">
        <f>IFERROR(E104+E105,"")</f>
        <v>80.9969999999997</v>
      </c>
      <c r="F106" s="59">
        <f>IFERROR(F104+F105,"")</f>
        <v>61.6159999999999</v>
      </c>
      <c r="G106" s="59">
        <f>IFERROR(G104+G105,"")</f>
        <v>73.4749999999999</v>
      </c>
      <c r="H106" s="59">
        <f>IFERROR(H104+H105,"")</f>
        <v>105.987</v>
      </c>
      <c r="I106" s="60">
        <f>SUM(E106:H106)</f>
        <v>322.075</v>
      </c>
      <c r="J106" s="59">
        <f>IFERROR(J104+J105,"")</f>
        <v>122.406</v>
      </c>
      <c r="K106" s="59">
        <f>IFERROR(K104+K105,"")</f>
        <v>136.34</v>
      </c>
      <c r="L106" s="59">
        <f>IFERROR(L104+L105,"")</f>
        <v>151.46</v>
      </c>
      <c r="M106" s="59">
        <f>IFERROR(M104+M105,"")</f>
        <v>161.967</v>
      </c>
      <c r="N106" s="60">
        <f>SUM(J106:M106)</f>
        <v>572.173</v>
      </c>
      <c r="O106" s="59">
        <f>IFERROR(O104+O105,"")</f>
        <v>183.162</v>
      </c>
      <c r="P106" s="59">
        <f>IFERROR(P104+P105,"")</f>
        <v>201.652</v>
      </c>
      <c r="Q106" s="59">
        <f>IFERROR(Q104+Q105,"")</f>
        <v>218.148</v>
      </c>
      <c r="R106" s="59">
        <f>IFERROR(R104+R105,"")</f>
        <v>197.272</v>
      </c>
      <c r="S106" s="60">
        <f>SUM(O106:R106)</f>
        <v>800.234</v>
      </c>
      <c r="T106" s="59">
        <f>IFERROR(T104+T105,"")</f>
        <v>190.023</v>
      </c>
      <c r="U106" s="59">
        <f>IFERROR(U104+U105,"")</f>
        <v>201.878</v>
      </c>
      <c r="V106" s="59">
        <f>IFERROR(V104+V105,"")</f>
        <v>228.218</v>
      </c>
      <c r="W106" s="59">
        <f>IFERROR(W104+W105,"")</f>
        <v>231.463</v>
      </c>
      <c r="X106" s="60">
        <f>SUM(T106:W106)</f>
        <v>851.582</v>
      </c>
      <c r="Y106" s="59">
        <f>IFERROR(Y104+Y105,"")</f>
        <v>223.028</v>
      </c>
      <c r="Z106" s="59">
        <f>IFERROR(Z104+Z105,"")</f>
        <v>250.105</v>
      </c>
      <c r="AA106" s="59">
        <f>IFERROR(AA104+AA105,"")</f>
        <v>255.07</v>
      </c>
      <c r="AB106" s="59">
        <f>IFERROR(AB104+AB105,"")</f>
        <v>243.071</v>
      </c>
      <c r="AC106" s="60">
        <f>SUM(Y106:AB106)</f>
        <v>971.274</v>
      </c>
      <c r="AD106" s="59">
        <f>IFERROR(AD104+AD105,"")</f>
        <v>225.568</v>
      </c>
      <c r="AE106" s="59">
        <f>IFERROR(AE104+AE105,"")</f>
        <v>244.099</v>
      </c>
      <c r="AF106" s="59">
        <f>IFERROR(AF104+AF105,"")</f>
        <v>256.811</v>
      </c>
      <c r="AG106" s="59">
        <f>IFERROR(AG104+AG105,"")</f>
        <v>275.527</v>
      </c>
      <c r="AH106" s="60">
        <f>SUM(AD106:AG106)</f>
        <v>1002.005</v>
      </c>
      <c r="AI106" s="59">
        <f>IFERROR(AI104+AI105,"")</f>
        <v>230.21</v>
      </c>
      <c r="AJ106" s="59">
        <f>IFERROR(AJ104+AJ105,"")</f>
        <v>257.324</v>
      </c>
      <c r="AK106" s="59">
        <f>IFERROR(AK104+AK105,"")</f>
        <v>0</v>
      </c>
      <c r="AL106" s="59">
        <f>IFERROR(AL104+AL105,"")</f>
        <v>0</v>
      </c>
      <c r="AM106" s="60">
        <f>SUM(AI106:AL106)</f>
        <v>487.534</v>
      </c>
      <c r="AN106" s="59">
        <f>IFERROR(AN104+AN105,"")</f>
        <v>0</v>
      </c>
      <c r="AO106" s="59">
        <f>IFERROR(AO104+AO105,"")</f>
        <v>0</v>
      </c>
      <c r="AP106" s="59">
        <f>IFERROR(AP104+AP105,"")</f>
        <v>0</v>
      </c>
      <c r="AQ106" s="59">
        <f>IFERROR(AQ104+AQ105,"")</f>
        <v>0</v>
      </c>
      <c r="AR106" s="60">
        <f>SUM(AN106:AQ106)</f>
        <v>0</v>
      </c>
      <c r="AS106" s="59">
        <f>IFERROR(AS104+AS105,"")</f>
        <v>0</v>
      </c>
      <c r="AT106" s="59">
        <f>IFERROR(AT104+AT105,"")</f>
        <v>0</v>
      </c>
      <c r="AU106" s="59">
        <f>IFERROR(AU104+AU105,"")</f>
        <v>0</v>
      </c>
      <c r="AV106" s="59">
        <f>IFERROR(AV104+AV105,"")</f>
        <v>0</v>
      </c>
      <c r="AW106" s="60">
        <f>SUM(AS106:AV106)</f>
        <v>0</v>
      </c>
      <c r="AX106" s="59">
        <f>IFERROR(AX104+AX105,"")</f>
        <v>0</v>
      </c>
      <c r="AY106" s="59">
        <f>IFERROR(AY104+AY105,"")</f>
        <v>0</v>
      </c>
      <c r="AZ106" s="59">
        <f>IFERROR(AZ104+AZ105,"")</f>
        <v>0</v>
      </c>
      <c r="BA106" s="59">
        <f>IFERROR(BA104+BA105,"")</f>
        <v>0</v>
      </c>
      <c r="BB106" s="60">
        <f>SUM(AX106:BA106)</f>
        <v>0</v>
      </c>
      <c r="BC106" s="59">
        <f>IFERROR(BC104+BC105,"")</f>
        <v>0</v>
      </c>
      <c r="BD106" s="59">
        <f>IFERROR(BD104+BD105,"")</f>
        <v>0</v>
      </c>
      <c r="BE106" s="59">
        <f>IFERROR(BE104+BE105,"")</f>
        <v>0</v>
      </c>
      <c r="BF106" s="59">
        <f>IFERROR(BF104+BF105,"")</f>
        <v>0</v>
      </c>
      <c r="BG106" s="60">
        <f>SUM(BC106:BF106)</f>
        <v>0</v>
      </c>
    </row>
    <row r="108">
      <c r="B108" s="7" t="n"/>
      <c r="C108" s="7" t="inlineStr">
        <is>
          <t>DADOS COMPLEMENTARES</t>
        </is>
      </c>
      <c r="D108" s="7" t="inlineStr">
        <is>
          <t>SUPPLEMENTARY DATA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10">
      <c r="B110" s="29" t="n"/>
      <c r="C110" s="29" t="inlineStr">
        <is>
          <t>Carteira de crédito e qualidade de ativos</t>
        </is>
      </c>
      <c r="D110" s="29" t="inlineStr">
        <is>
          <t>Loan book and asset quality</t>
        </is>
      </c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  <c r="AA110" s="29" t="n"/>
      <c r="AB110" s="29" t="n"/>
      <c r="AC110" s="29" t="n"/>
      <c r="AD110" s="29" t="n"/>
      <c r="AE110" s="29" t="n"/>
      <c r="AF110" s="29" t="n"/>
      <c r="AG110" s="29" t="n"/>
      <c r="AH110" s="29" t="n"/>
      <c r="AI110" s="29" t="n"/>
      <c r="AJ110" s="29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  <c r="AW110" s="29" t="n"/>
      <c r="AX110" s="29" t="n"/>
      <c r="AY110" s="29" t="n"/>
      <c r="AZ110" s="29" t="n"/>
      <c r="BA110" s="29" t="n"/>
      <c r="BB110" s="29" t="n"/>
      <c r="BC110" s="29" t="n"/>
      <c r="BD110" s="29" t="n"/>
      <c r="BE110" s="29" t="n"/>
      <c r="BF110" s="29" t="n"/>
      <c r="BG110" s="29" t="n"/>
      <c r="BH110" s="29" t="n"/>
      <c r="BI110" s="29" t="n"/>
    </row>
    <row r="111">
      <c r="B111" s="56" t="inlineStr">
        <is>
          <t>cart_ampl</t>
        </is>
      </c>
      <c r="C111" s="11" t="inlineStr">
        <is>
          <t>Carteira de crédito ampliada</t>
        </is>
      </c>
      <c r="D111" s="12" t="inlineStr">
        <is>
          <t>Expanded loan portfolio</t>
        </is>
      </c>
      <c r="E111" s="57">
        <f>IF(ISNA(SUMIFS(INDEX(Inputs!$B$2:$AZ$190,,MATCH(SUBSTITUTE(E$3,"Q","T"),Inputs!$B$2:$AZ$2,0)),Inputs!$B$2:$B$190,$B111)*Inputs!$D$1),"",SUMIFS(INDEX(Inputs!$B$2:$AZ$190,,MATCH(SUBSTITUTE(E$3,"Q","T"),Inputs!$B$2:$AZ$2,0)),Inputs!$B$2:$B$190,$B111)*Inputs!$D$1)</f>
        <v>31101.183677</v>
      </c>
      <c r="F111" s="57">
        <f>IF(ISNA(SUMIFS(INDEX(Inputs!$B$2:$AZ$190,,MATCH(SUBSTITUTE(F$3,"Q","T"),Inputs!$B$2:$AZ$2,0)),Inputs!$B$2:$B$190,$B111)*Inputs!$D$1),"",SUMIFS(INDEX(Inputs!$B$2:$AZ$190,,MATCH(SUBSTITUTE(F$3,"Q","T"),Inputs!$B$2:$AZ$2,0)),Inputs!$B$2:$B$190,$B111)*Inputs!$D$1)</f>
        <v>32064.849109</v>
      </c>
      <c r="G111" s="57">
        <f>IF(ISNA(SUMIFS(INDEX(Inputs!$B$2:$AZ$190,,MATCH(SUBSTITUTE(G$3,"Q","T"),Inputs!$B$2:$AZ$2,0)),Inputs!$B$2:$B$190,$B111)*Inputs!$D$1),"",SUMIFS(INDEX(Inputs!$B$2:$AZ$190,,MATCH(SUBSTITUTE(G$3,"Q","T"),Inputs!$B$2:$AZ$2,0)),Inputs!$B$2:$B$190,$B111)*Inputs!$D$1)</f>
        <v>32928.57422</v>
      </c>
      <c r="H111" s="57">
        <f>IF(ISNA(SUMIFS(INDEX(Inputs!$B$2:$AZ$190,,MATCH(SUBSTITUTE(H$3,"Q","T"),Inputs!$B$2:$AZ$2,0)),Inputs!$B$2:$B$190,$B111)*Inputs!$D$1),"",SUMIFS(INDEX(Inputs!$B$2:$AZ$190,,MATCH(SUBSTITUTE(H$3,"Q","T"),Inputs!$B$2:$AZ$2,0)),Inputs!$B$2:$B$190,$B111)*Inputs!$D$1)</f>
        <v>34378.415026</v>
      </c>
      <c r="I111" s="58">
        <f>H111</f>
        <v>34378.415026</v>
      </c>
      <c r="J111" s="57">
        <f>IF(ISNA(SUMIFS(INDEX(Inputs!$B$2:$AZ$190,,MATCH(SUBSTITUTE(J$3,"Q","T"),Inputs!$B$2:$AZ$2,0)),Inputs!$B$2:$B$190,$B111)*Inputs!$D$1),"",SUMIFS(INDEX(Inputs!$B$2:$AZ$190,,MATCH(SUBSTITUTE(J$3,"Q","T"),Inputs!$B$2:$AZ$2,0)),Inputs!$B$2:$B$190,$B111)*Inputs!$D$1)</f>
        <v>35484.799786</v>
      </c>
      <c r="K111" s="57">
        <f>IF(ISNA(SUMIFS(INDEX(Inputs!$B$2:$AZ$190,,MATCH(SUBSTITUTE(K$3,"Q","T"),Inputs!$B$2:$AZ$2,0)),Inputs!$B$2:$B$190,$B111)*Inputs!$D$1),"",SUMIFS(INDEX(Inputs!$B$2:$AZ$190,,MATCH(SUBSTITUTE(K$3,"Q","T"),Inputs!$B$2:$AZ$2,0)),Inputs!$B$2:$B$190,$B111)*Inputs!$D$1)</f>
        <v>35202.101868</v>
      </c>
      <c r="L111" s="57">
        <f>IF(ISNA(SUMIFS(INDEX(Inputs!$B$2:$AZ$190,,MATCH(SUBSTITUTE(L$3,"Q","T"),Inputs!$B$2:$AZ$2,0)),Inputs!$B$2:$B$190,$B111)*Inputs!$D$1),"",SUMIFS(INDEX(Inputs!$B$2:$AZ$190,,MATCH(SUBSTITUTE(L$3,"Q","T"),Inputs!$B$2:$AZ$2,0)),Inputs!$B$2:$B$190,$B111)*Inputs!$D$1)</f>
        <v>37275.775287</v>
      </c>
      <c r="M111" s="57">
        <f>IF(ISNA(SUMIFS(INDEX(Inputs!$B$2:$AZ$190,,MATCH(SUBSTITUTE(M$3,"Q","T"),Inputs!$B$2:$AZ$2,0)),Inputs!$B$2:$B$190,$B111)*Inputs!$D$1),"",SUMIFS(INDEX(Inputs!$B$2:$AZ$190,,MATCH(SUBSTITUTE(M$3,"Q","T"),Inputs!$B$2:$AZ$2,0)),Inputs!$B$2:$B$190,$B111)*Inputs!$D$1)</f>
        <v>37715.46936</v>
      </c>
      <c r="N111" s="58">
        <f>M111</f>
        <v>37715.46936</v>
      </c>
      <c r="O111" s="57">
        <f>IF(ISNA(SUMIFS(INDEX(Inputs!$B$2:$AZ$190,,MATCH(SUBSTITUTE(O$3,"Q","T"),Inputs!$B$2:$AZ$2,0)),Inputs!$B$2:$B$190,$B111)*Inputs!$D$1),"",SUMIFS(INDEX(Inputs!$B$2:$AZ$190,,MATCH(SUBSTITUTE(O$3,"Q","T"),Inputs!$B$2:$AZ$2,0)),Inputs!$B$2:$B$190,$B111)*Inputs!$D$1)</f>
        <v>37563.732925</v>
      </c>
      <c r="P111" s="57">
        <f>IF(ISNA(SUMIFS(INDEX(Inputs!$B$2:$AZ$190,,MATCH(SUBSTITUTE(P$3,"Q","T"),Inputs!$B$2:$AZ$2,0)),Inputs!$B$2:$B$190,$B111)*Inputs!$D$1),"",SUMIFS(INDEX(Inputs!$B$2:$AZ$190,,MATCH(SUBSTITUTE(P$3,"Q","T"),Inputs!$B$2:$AZ$2,0)),Inputs!$B$2:$B$190,$B111)*Inputs!$D$1)</f>
        <v>39973.197435</v>
      </c>
      <c r="Q111" s="57">
        <f>IF(ISNA(SUMIFS(INDEX(Inputs!$B$2:$AZ$190,,MATCH(SUBSTITUTE(Q$3,"Q","T"),Inputs!$B$2:$AZ$2,0)),Inputs!$B$2:$B$190,$B111)*Inputs!$D$1),"",SUMIFS(INDEX(Inputs!$B$2:$AZ$190,,MATCH(SUBSTITUTE(Q$3,"Q","T"),Inputs!$B$2:$AZ$2,0)),Inputs!$B$2:$B$190,$B111)*Inputs!$D$1)</f>
        <v>41535.209841</v>
      </c>
      <c r="R111" s="57">
        <f>IF(ISNA(SUMIFS(INDEX(Inputs!$B$2:$AZ$190,,MATCH(SUBSTITUTE(R$3,"Q","T"),Inputs!$B$2:$AZ$2,0)),Inputs!$B$2:$B$190,$B111)*Inputs!$D$1),"",SUMIFS(INDEX(Inputs!$B$2:$AZ$190,,MATCH(SUBSTITUTE(R$3,"Q","T"),Inputs!$B$2:$AZ$2,0)),Inputs!$B$2:$B$190,$B111)*Inputs!$D$1)</f>
        <v>43255.439013</v>
      </c>
      <c r="S111" s="58">
        <f>R111</f>
        <v>43255.439013</v>
      </c>
      <c r="T111" s="57">
        <f>IF(ISNA(SUMIFS(INDEX(Inputs!$B$2:$AZ$190,,MATCH(SUBSTITUTE(T$3,"Q","T"),Inputs!$B$2:$AZ$2,0)),Inputs!$B$2:$B$190,$B111)*Inputs!$D$1),"",SUMIFS(INDEX(Inputs!$B$2:$AZ$190,,MATCH(SUBSTITUTE(T$3,"Q","T"),Inputs!$B$2:$AZ$2,0)),Inputs!$B$2:$B$190,$B111)*Inputs!$D$1)</f>
        <v>43652.450506</v>
      </c>
      <c r="U111" s="57">
        <f>IF(ISNA(SUMIFS(INDEX(Inputs!$B$2:$AZ$190,,MATCH(SUBSTITUTE(U$3,"Q","T"),Inputs!$B$2:$AZ$2,0)),Inputs!$B$2:$B$190,$B111)*Inputs!$D$1),"",SUMIFS(INDEX(Inputs!$B$2:$AZ$190,,MATCH(SUBSTITUTE(U$3,"Q","T"),Inputs!$B$2:$AZ$2,0)),Inputs!$B$2:$B$190,$B111)*Inputs!$D$1)</f>
        <v>43325.881996</v>
      </c>
      <c r="V111" s="57">
        <f>IF(ISNA(SUMIFS(INDEX(Inputs!$B$2:$AZ$190,,MATCH(SUBSTITUTE(V$3,"Q","T"),Inputs!$B$2:$AZ$2,0)),Inputs!$B$2:$B$190,$B111)*Inputs!$D$1),"",SUMIFS(INDEX(Inputs!$B$2:$AZ$190,,MATCH(SUBSTITUTE(V$3,"Q","T"),Inputs!$B$2:$AZ$2,0)),Inputs!$B$2:$B$190,$B111)*Inputs!$D$1)</f>
        <v>43693.093536</v>
      </c>
      <c r="W111" s="57">
        <f>IF(ISNA(SUMIFS(INDEX(Inputs!$B$2:$AZ$190,,MATCH(SUBSTITUTE(W$3,"Q","T"),Inputs!$B$2:$AZ$2,0)),Inputs!$B$2:$B$190,$B111)*Inputs!$D$1),"",SUMIFS(INDEX(Inputs!$B$2:$AZ$190,,MATCH(SUBSTITUTE(W$3,"Q","T"),Inputs!$B$2:$AZ$2,0)),Inputs!$B$2:$B$190,$B111)*Inputs!$D$1)</f>
        <v>46380.704593</v>
      </c>
      <c r="X111" s="58">
        <f>W111</f>
        <v>46380.704593</v>
      </c>
      <c r="Y111" s="57">
        <f>IF(ISNA(SUMIFS(INDEX(Inputs!$B$2:$AZ$190,,MATCH(SUBSTITUTE(Y$3,"Q","T"),Inputs!$B$2:$AZ$2,0)),Inputs!$B$2:$B$190,$B111)*Inputs!$D$1),"",SUMIFS(INDEX(Inputs!$B$2:$AZ$190,,MATCH(SUBSTITUTE(Y$3,"Q","T"),Inputs!$B$2:$AZ$2,0)),Inputs!$B$2:$B$190,$B111)*Inputs!$D$1)</f>
        <v>45979.877987</v>
      </c>
      <c r="Z111" s="57">
        <f>IF(ISNA(SUMIFS(INDEX(Inputs!$B$2:$AZ$190,,MATCH(SUBSTITUTE(Z$3,"Q","T"),Inputs!$B$2:$AZ$2,0)),Inputs!$B$2:$B$190,$B111)*Inputs!$D$1),"",SUMIFS(INDEX(Inputs!$B$2:$AZ$190,,MATCH(SUBSTITUTE(Z$3,"Q","T"),Inputs!$B$2:$AZ$2,0)),Inputs!$B$2:$B$190,$B111)*Inputs!$D$1)</f>
        <v>48284.333735</v>
      </c>
      <c r="AA111" s="57">
        <f>IF(ISNA(SUMIFS(INDEX(Inputs!$B$2:$AZ$190,,MATCH(SUBSTITUTE(AA$3,"Q","T"),Inputs!$B$2:$AZ$2,0)),Inputs!$B$2:$B$190,$B111)*Inputs!$D$1),"",SUMIFS(INDEX(Inputs!$B$2:$AZ$190,,MATCH(SUBSTITUTE(AA$3,"Q","T"),Inputs!$B$2:$AZ$2,0)),Inputs!$B$2:$B$190,$B111)*Inputs!$D$1)</f>
        <v>50010.403281</v>
      </c>
      <c r="AB111" s="57">
        <f>IF(ISNA(SUMIFS(INDEX(Inputs!$B$2:$AZ$190,,MATCH(SUBSTITUTE(AB$3,"Q","T"),Inputs!$B$2:$AZ$2,0)),Inputs!$B$2:$B$190,$B111)*Inputs!$D$1),"",SUMIFS(INDEX(Inputs!$B$2:$AZ$190,,MATCH(SUBSTITUTE(AB$3,"Q","T"),Inputs!$B$2:$AZ$2,0)),Inputs!$B$2:$B$190,$B111)*Inputs!$D$1)</f>
        <v>53171.079086</v>
      </c>
      <c r="AC111" s="58">
        <f>AB111</f>
        <v>53171.079086</v>
      </c>
      <c r="AD111" s="57">
        <f>IF(ISNA(SUMIFS(INDEX(Inputs!$B$2:$AZ$190,,MATCH(SUBSTITUTE(AD$3,"Q","T"),Inputs!$B$2:$AZ$2,0)),Inputs!$B$2:$B$190,$B111)*Inputs!$D$1),"",SUMIFS(INDEX(Inputs!$B$2:$AZ$190,,MATCH(SUBSTITUTE(AD$3,"Q","T"),Inputs!$B$2:$AZ$2,0)),Inputs!$B$2:$B$190,$B111)*Inputs!$D$1)</f>
        <v>51205.717616</v>
      </c>
      <c r="AE111" s="57">
        <f>IF(ISNA(SUMIFS(INDEX(Inputs!$B$2:$AZ$190,,MATCH(SUBSTITUTE(AE$3,"Q","T"),Inputs!$B$2:$AZ$2,0)),Inputs!$B$2:$B$190,$B111)*Inputs!$D$1),"",SUMIFS(INDEX(Inputs!$B$2:$AZ$190,,MATCH(SUBSTITUTE(AE$3,"Q","T"),Inputs!$B$2:$AZ$2,0)),Inputs!$B$2:$B$190,$B111)*Inputs!$D$1)</f>
        <v>52119.928927</v>
      </c>
      <c r="AF111" s="57">
        <f>IF(ISNA(SUMIFS(INDEX(Inputs!$B$2:$AZ$190,,MATCH(SUBSTITUTE(AF$3,"Q","T"),Inputs!$B$2:$AZ$2,0)),Inputs!$B$2:$B$190,$B111)*Inputs!$D$1),"",SUMIFS(INDEX(Inputs!$B$2:$AZ$190,,MATCH(SUBSTITUTE(AF$3,"Q","T"),Inputs!$B$2:$AZ$2,0)),Inputs!$B$2:$B$190,$B111)*Inputs!$D$1)</f>
        <v>52302.954302</v>
      </c>
      <c r="AG111" s="57">
        <f>IF(ISNA(SUMIFS(INDEX(Inputs!$B$2:$AZ$190,,MATCH(SUBSTITUTE(AG$3,"Q","T"),Inputs!$B$2:$AZ$2,0)),Inputs!$B$2:$B$190,$B111)*Inputs!$D$1),"",SUMIFS(INDEX(Inputs!$B$2:$AZ$190,,MATCH(SUBSTITUTE(AG$3,"Q","T"),Inputs!$B$2:$AZ$2,0)),Inputs!$B$2:$B$190,$B111)*Inputs!$D$1)</f>
        <v>54742.128769</v>
      </c>
      <c r="AH111" s="58">
        <f>AG111</f>
        <v>54742.128769</v>
      </c>
      <c r="AI111" s="57">
        <f>IF(ISNA(SUMIFS(INDEX(Inputs!$B$2:$AZ$190,,MATCH(SUBSTITUTE(AI$3,"Q","T"),Inputs!$B$2:$AZ$2,0)),Inputs!$B$2:$B$190,$B111)*Inputs!$D$1),"",SUMIFS(INDEX(Inputs!$B$2:$AZ$190,,MATCH(SUBSTITUTE(AI$3,"Q","T"),Inputs!$B$2:$AZ$2,0)),Inputs!$B$2:$B$190,$B111)*Inputs!$D$1)</f>
        <v>54426.872357</v>
      </c>
      <c r="AJ111" s="57">
        <f>IF(ISNA(SUMIFS(INDEX(Inputs!$B$2:$AZ$190,,MATCH(SUBSTITUTE(AJ$3,"Q","T"),Inputs!$B$2:$AZ$2,0)),Inputs!$B$2:$B$190,$B111)*Inputs!$D$1),"",SUMIFS(INDEX(Inputs!$B$2:$AZ$190,,MATCH(SUBSTITUTE(AJ$3,"Q","T"),Inputs!$B$2:$AZ$2,0)),Inputs!$B$2:$B$190,$B111)*Inputs!$D$1)</f>
        <v>56463.502659</v>
      </c>
      <c r="AK111" s="57">
        <f>IF(ISNA(SUMIFS(INDEX(Inputs!$B$2:$AZ$190,,MATCH(SUBSTITUTE(AK$3,"Q","T"),Inputs!$B$2:$AZ$2,0)),Inputs!$B$2:$B$190,$B111)*Inputs!$D$1),"",SUMIFS(INDEX(Inputs!$B$2:$AZ$190,,MATCH(SUBSTITUTE(AK$3,"Q","T"),Inputs!$B$2:$AZ$2,0)),Inputs!$B$2:$B$190,$B111)*Inputs!$D$1)</f>
        <v>0</v>
      </c>
      <c r="AL111" s="57">
        <f>IF(ISNA(SUMIFS(INDEX(Inputs!$B$2:$AZ$190,,MATCH(SUBSTITUTE(AL$3,"Q","T"),Inputs!$B$2:$AZ$2,0)),Inputs!$B$2:$B$190,$B111)*Inputs!$D$1),"",SUMIFS(INDEX(Inputs!$B$2:$AZ$190,,MATCH(SUBSTITUTE(AL$3,"Q","T"),Inputs!$B$2:$AZ$2,0)),Inputs!$B$2:$B$190,$B111)*Inputs!$D$1)</f>
        <v>0</v>
      </c>
      <c r="AM111" s="58">
        <f>AL111</f>
        <v>0</v>
      </c>
      <c r="AN111" s="57">
        <f>IF(ISNA(SUMIFS(INDEX(Inputs!$B$2:$AZ$190,,MATCH(SUBSTITUTE(AN$3,"Q","T"),Inputs!$B$2:$AZ$2,0)),Inputs!$B$2:$B$190,$B111)*Inputs!$D$1),"",SUMIFS(INDEX(Inputs!$B$2:$AZ$190,,MATCH(SUBSTITUTE(AN$3,"Q","T"),Inputs!$B$2:$AZ$2,0)),Inputs!$B$2:$B$190,$B111)*Inputs!$D$1)</f>
        <v>0</v>
      </c>
      <c r="AO111" s="57">
        <f>IF(ISNA(SUMIFS(INDEX(Inputs!$B$2:$AZ$190,,MATCH(SUBSTITUTE(AO$3,"Q","T"),Inputs!$B$2:$AZ$2,0)),Inputs!$B$2:$B$190,$B111)*Inputs!$D$1),"",SUMIFS(INDEX(Inputs!$B$2:$AZ$190,,MATCH(SUBSTITUTE(AO$3,"Q","T"),Inputs!$B$2:$AZ$2,0)),Inputs!$B$2:$B$190,$B111)*Inputs!$D$1)</f>
        <v>0</v>
      </c>
      <c r="AP111" s="57">
        <f>IF(ISNA(SUMIFS(INDEX(Inputs!$B$2:$AZ$190,,MATCH(SUBSTITUTE(AP$3,"Q","T"),Inputs!$B$2:$AZ$2,0)),Inputs!$B$2:$B$190,$B111)*Inputs!$D$1),"",SUMIFS(INDEX(Inputs!$B$2:$AZ$190,,MATCH(SUBSTITUTE(AP$3,"Q","T"),Inputs!$B$2:$AZ$2,0)),Inputs!$B$2:$B$190,$B111)*Inputs!$D$1)</f>
        <v>0</v>
      </c>
      <c r="AQ111" s="57">
        <f>IF(ISNA(SUMIFS(INDEX(Inputs!$B$2:$AZ$190,,MATCH(SUBSTITUTE(AQ$3,"Q","T"),Inputs!$B$2:$AZ$2,0)),Inputs!$B$2:$B$190,$B111)*Inputs!$D$1),"",SUMIFS(INDEX(Inputs!$B$2:$AZ$190,,MATCH(SUBSTITUTE(AQ$3,"Q","T"),Inputs!$B$2:$AZ$2,0)),Inputs!$B$2:$B$190,$B111)*Inputs!$D$1)</f>
        <v>0</v>
      </c>
      <c r="AR111" s="58">
        <f>AQ111</f>
        <v>0</v>
      </c>
      <c r="AS111" s="57">
        <f>IF(ISNA(SUMIFS(INDEX(Inputs!$B$2:$AZ$190,,MATCH(SUBSTITUTE(AS$3,"Q","T"),Inputs!$B$2:$AZ$2,0)),Inputs!$B$2:$B$190,$B111)*Inputs!$D$1),"",SUMIFS(INDEX(Inputs!$B$2:$AZ$190,,MATCH(SUBSTITUTE(AS$3,"Q","T"),Inputs!$B$2:$AZ$2,0)),Inputs!$B$2:$B$190,$B111)*Inputs!$D$1)</f>
        <v>0</v>
      </c>
      <c r="AT111" s="57">
        <f>IF(ISNA(SUMIFS(INDEX(Inputs!$B$2:$AZ$190,,MATCH(SUBSTITUTE(AT$3,"Q","T"),Inputs!$B$2:$AZ$2,0)),Inputs!$B$2:$B$190,$B111)*Inputs!$D$1),"",SUMIFS(INDEX(Inputs!$B$2:$AZ$190,,MATCH(SUBSTITUTE(AT$3,"Q","T"),Inputs!$B$2:$AZ$2,0)),Inputs!$B$2:$B$190,$B111)*Inputs!$D$1)</f>
        <v>0</v>
      </c>
      <c r="AU111" s="57">
        <f>IF(ISNA(SUMIFS(INDEX(Inputs!$B$2:$AZ$190,,MATCH(SUBSTITUTE(AU$3,"Q","T"),Inputs!$B$2:$AZ$2,0)),Inputs!$B$2:$B$190,$B111)*Inputs!$D$1),"",SUMIFS(INDEX(Inputs!$B$2:$AZ$190,,MATCH(SUBSTITUTE(AU$3,"Q","T"),Inputs!$B$2:$AZ$2,0)),Inputs!$B$2:$B$190,$B111)*Inputs!$D$1)</f>
        <v>0</v>
      </c>
      <c r="AV111" s="57">
        <f>IF(ISNA(SUMIFS(INDEX(Inputs!$B$2:$AZ$190,,MATCH(SUBSTITUTE(AV$3,"Q","T"),Inputs!$B$2:$AZ$2,0)),Inputs!$B$2:$B$190,$B111)*Inputs!$D$1),"",SUMIFS(INDEX(Inputs!$B$2:$AZ$190,,MATCH(SUBSTITUTE(AV$3,"Q","T"),Inputs!$B$2:$AZ$2,0)),Inputs!$B$2:$B$190,$B111)*Inputs!$D$1)</f>
        <v>0</v>
      </c>
      <c r="AW111" s="58">
        <f>AV111</f>
        <v>0</v>
      </c>
      <c r="AX111" s="57">
        <f>IF(ISNA(SUMIFS(INDEX(Inputs!$B$2:$AZ$190,,MATCH(SUBSTITUTE(AX$3,"Q","T"),Inputs!$B$2:$AZ$2,0)),Inputs!$B$2:$B$190,$B111)*Inputs!$D$1),"",SUMIFS(INDEX(Inputs!$B$2:$AZ$190,,MATCH(SUBSTITUTE(AX$3,"Q","T"),Inputs!$B$2:$AZ$2,0)),Inputs!$B$2:$B$190,$B111)*Inputs!$D$1)</f>
        <v>0</v>
      </c>
      <c r="AY111" s="57">
        <f>IF(ISNA(SUMIFS(INDEX(Inputs!$B$2:$AZ$190,,MATCH(SUBSTITUTE(AY$3,"Q","T"),Inputs!$B$2:$AZ$2,0)),Inputs!$B$2:$B$190,$B111)*Inputs!$D$1),"",SUMIFS(INDEX(Inputs!$B$2:$AZ$190,,MATCH(SUBSTITUTE(AY$3,"Q","T"),Inputs!$B$2:$AZ$2,0)),Inputs!$B$2:$B$190,$B111)*Inputs!$D$1)</f>
        <v>0</v>
      </c>
      <c r="AZ111" s="57">
        <f>IF(ISNA(SUMIFS(INDEX(Inputs!$B$2:$AZ$190,,MATCH(SUBSTITUTE(AZ$3,"Q","T"),Inputs!$B$2:$AZ$2,0)),Inputs!$B$2:$B$190,$B111)*Inputs!$D$1),"",SUMIFS(INDEX(Inputs!$B$2:$AZ$190,,MATCH(SUBSTITUTE(AZ$3,"Q","T"),Inputs!$B$2:$AZ$2,0)),Inputs!$B$2:$B$190,$B111)*Inputs!$D$1)</f>
        <v>0</v>
      </c>
      <c r="BA111" s="57">
        <f>IF(ISNA(SUMIFS(INDEX(Inputs!$B$2:$AZ$190,,MATCH(SUBSTITUTE(BA$3,"Q","T"),Inputs!$B$2:$AZ$2,0)),Inputs!$B$2:$B$190,$B111)*Inputs!$D$1),"",SUMIFS(INDEX(Inputs!$B$2:$AZ$190,,MATCH(SUBSTITUTE(BA$3,"Q","T"),Inputs!$B$2:$AZ$2,0)),Inputs!$B$2:$B$190,$B111)*Inputs!$D$1)</f>
        <v>0</v>
      </c>
      <c r="BB111" s="58">
        <f>BA111</f>
        <v>0</v>
      </c>
      <c r="BC111" s="57">
        <f>IF(ISNA(SUMIFS(INDEX(Inputs!$B$2:$AZ$190,,MATCH(SUBSTITUTE(BC$3,"Q","T"),Inputs!$B$2:$AZ$2,0)),Inputs!$B$2:$B$190,$B111)*Inputs!$D$1),"",SUMIFS(INDEX(Inputs!$B$2:$AZ$190,,MATCH(SUBSTITUTE(BC$3,"Q","T"),Inputs!$B$2:$AZ$2,0)),Inputs!$B$2:$B$190,$B111)*Inputs!$D$1)</f>
        <v>0</v>
      </c>
      <c r="BD111" s="57">
        <f>IF(ISNA(SUMIFS(INDEX(Inputs!$B$2:$AZ$190,,MATCH(SUBSTITUTE(BD$3,"Q","T"),Inputs!$B$2:$AZ$2,0)),Inputs!$B$2:$B$190,$B111)*Inputs!$D$1),"",SUMIFS(INDEX(Inputs!$B$2:$AZ$190,,MATCH(SUBSTITUTE(BD$3,"Q","T"),Inputs!$B$2:$AZ$2,0)),Inputs!$B$2:$B$190,$B111)*Inputs!$D$1)</f>
        <v>0</v>
      </c>
      <c r="BE111" s="57">
        <f>IF(ISNA(SUMIFS(INDEX(Inputs!$B$2:$AZ$190,,MATCH(SUBSTITUTE(BE$3,"Q","T"),Inputs!$B$2:$AZ$2,0)),Inputs!$B$2:$B$190,$B111)*Inputs!$D$1),"",SUMIFS(INDEX(Inputs!$B$2:$AZ$190,,MATCH(SUBSTITUTE(BE$3,"Q","T"),Inputs!$B$2:$AZ$2,0)),Inputs!$B$2:$B$190,$B111)*Inputs!$D$1)</f>
        <v>0</v>
      </c>
      <c r="BF111" s="57">
        <f>IF(ISNA(SUMIFS(INDEX(Inputs!$B$2:$AZ$190,,MATCH(SUBSTITUTE(BF$3,"Q","T"),Inputs!$B$2:$AZ$2,0)),Inputs!$B$2:$B$190,$B111)*Inputs!$D$1),"",SUMIFS(INDEX(Inputs!$B$2:$AZ$190,,MATCH(SUBSTITUTE(BF$3,"Q","T"),Inputs!$B$2:$AZ$2,0)),Inputs!$B$2:$B$190,$B111)*Inputs!$D$1)</f>
        <v>0</v>
      </c>
      <c r="BG111" s="58">
        <f>BF111</f>
        <v>0</v>
      </c>
      <c r="BI111" s="14" t="inlineStr">
        <is>
          <t>Carteira ampliada inclui avais, fianças e títulos privados. Base dos indicadores de qualidade.</t>
        </is>
      </c>
    </row>
    <row r="112">
      <c r="B112" s="56" t="inlineStr">
        <is>
          <t>cart_pf</t>
        </is>
      </c>
      <c r="C112" s="11" t="inlineStr">
        <is>
          <t>Pessoa física</t>
        </is>
      </c>
      <c r="D112" s="12" t="inlineStr">
        <is>
          <t>Individuals</t>
        </is>
      </c>
      <c r="E112" s="57">
        <f>IF(ISNA(SUMIFS(INDEX(Inputs!$B$2:$AZ$190,,MATCH(SUBSTITUTE(E$3,"Q","T"),Inputs!$B$2:$AZ$2,0)),Inputs!$B$2:$B$190,$B112)*Inputs!$D$1),"",SUMIFS(INDEX(Inputs!$B$2:$AZ$190,,MATCH(SUBSTITUTE(E$3,"Q","T"),Inputs!$B$2:$AZ$2,0)),Inputs!$B$2:$B$190,$B112)*Inputs!$D$1)</f>
        <v>0</v>
      </c>
      <c r="F112" s="57">
        <f>IF(ISNA(SUMIFS(INDEX(Inputs!$B$2:$AZ$190,,MATCH(SUBSTITUTE(F$3,"Q","T"),Inputs!$B$2:$AZ$2,0)),Inputs!$B$2:$B$190,$B112)*Inputs!$D$1),"",SUMIFS(INDEX(Inputs!$B$2:$AZ$190,,MATCH(SUBSTITUTE(F$3,"Q","T"),Inputs!$B$2:$AZ$2,0)),Inputs!$B$2:$B$190,$B112)*Inputs!$D$1)</f>
        <v>0</v>
      </c>
      <c r="G112" s="57">
        <f>IF(ISNA(SUMIFS(INDEX(Inputs!$B$2:$AZ$190,,MATCH(SUBSTITUTE(G$3,"Q","T"),Inputs!$B$2:$AZ$2,0)),Inputs!$B$2:$B$190,$B112)*Inputs!$D$1),"",SUMIFS(INDEX(Inputs!$B$2:$AZ$190,,MATCH(SUBSTITUTE(G$3,"Q","T"),Inputs!$B$2:$AZ$2,0)),Inputs!$B$2:$B$190,$B112)*Inputs!$D$1)</f>
        <v>0</v>
      </c>
      <c r="H112" s="57">
        <f>IF(ISNA(SUMIFS(INDEX(Inputs!$B$2:$AZ$190,,MATCH(SUBSTITUTE(H$3,"Q","T"),Inputs!$B$2:$AZ$2,0)),Inputs!$B$2:$B$190,$B112)*Inputs!$D$1),"",SUMIFS(INDEX(Inputs!$B$2:$AZ$190,,MATCH(SUBSTITUTE(H$3,"Q","T"),Inputs!$B$2:$AZ$2,0)),Inputs!$B$2:$B$190,$B112)*Inputs!$D$1)</f>
        <v>0</v>
      </c>
      <c r="I112" s="58">
        <f>H112</f>
        <v>0</v>
      </c>
      <c r="J112" s="57">
        <f>IF(ISNA(SUMIFS(INDEX(Inputs!$B$2:$AZ$190,,MATCH(SUBSTITUTE(J$3,"Q","T"),Inputs!$B$2:$AZ$2,0)),Inputs!$B$2:$B$190,$B112)*Inputs!$D$1),"",SUMIFS(INDEX(Inputs!$B$2:$AZ$190,,MATCH(SUBSTITUTE(J$3,"Q","T"),Inputs!$B$2:$AZ$2,0)),Inputs!$B$2:$B$190,$B112)*Inputs!$D$1)</f>
        <v>0</v>
      </c>
      <c r="K112" s="57">
        <f>IF(ISNA(SUMIFS(INDEX(Inputs!$B$2:$AZ$190,,MATCH(SUBSTITUTE(K$3,"Q","T"),Inputs!$B$2:$AZ$2,0)),Inputs!$B$2:$B$190,$B112)*Inputs!$D$1),"",SUMIFS(INDEX(Inputs!$B$2:$AZ$190,,MATCH(SUBSTITUTE(K$3,"Q","T"),Inputs!$B$2:$AZ$2,0)),Inputs!$B$2:$B$190,$B112)*Inputs!$D$1)</f>
        <v>0</v>
      </c>
      <c r="L112" s="57">
        <f>IF(ISNA(SUMIFS(INDEX(Inputs!$B$2:$AZ$190,,MATCH(SUBSTITUTE(L$3,"Q","T"),Inputs!$B$2:$AZ$2,0)),Inputs!$B$2:$B$190,$B112)*Inputs!$D$1),"",SUMIFS(INDEX(Inputs!$B$2:$AZ$190,,MATCH(SUBSTITUTE(L$3,"Q","T"),Inputs!$B$2:$AZ$2,0)),Inputs!$B$2:$B$190,$B112)*Inputs!$D$1)</f>
        <v>0</v>
      </c>
      <c r="M112" s="57">
        <f>IF(ISNA(SUMIFS(INDEX(Inputs!$B$2:$AZ$190,,MATCH(SUBSTITUTE(M$3,"Q","T"),Inputs!$B$2:$AZ$2,0)),Inputs!$B$2:$B$190,$B112)*Inputs!$D$1),"",SUMIFS(INDEX(Inputs!$B$2:$AZ$190,,MATCH(SUBSTITUTE(M$3,"Q","T"),Inputs!$B$2:$AZ$2,0)),Inputs!$B$2:$B$190,$B112)*Inputs!$D$1)</f>
        <v>0</v>
      </c>
      <c r="N112" s="58">
        <f>M112</f>
        <v>0</v>
      </c>
      <c r="O112" s="57">
        <f>IF(ISNA(SUMIFS(INDEX(Inputs!$B$2:$AZ$190,,MATCH(SUBSTITUTE(O$3,"Q","T"),Inputs!$B$2:$AZ$2,0)),Inputs!$B$2:$B$190,$B112)*Inputs!$D$1),"",SUMIFS(INDEX(Inputs!$B$2:$AZ$190,,MATCH(SUBSTITUTE(O$3,"Q","T"),Inputs!$B$2:$AZ$2,0)),Inputs!$B$2:$B$190,$B112)*Inputs!$D$1)</f>
        <v>0</v>
      </c>
      <c r="P112" s="57">
        <f>IF(ISNA(SUMIFS(INDEX(Inputs!$B$2:$AZ$190,,MATCH(SUBSTITUTE(P$3,"Q","T"),Inputs!$B$2:$AZ$2,0)),Inputs!$B$2:$B$190,$B112)*Inputs!$D$1),"",SUMIFS(INDEX(Inputs!$B$2:$AZ$190,,MATCH(SUBSTITUTE(P$3,"Q","T"),Inputs!$B$2:$AZ$2,0)),Inputs!$B$2:$B$190,$B112)*Inputs!$D$1)</f>
        <v>0</v>
      </c>
      <c r="Q112" s="57">
        <f>IF(ISNA(SUMIFS(INDEX(Inputs!$B$2:$AZ$190,,MATCH(SUBSTITUTE(Q$3,"Q","T"),Inputs!$B$2:$AZ$2,0)),Inputs!$B$2:$B$190,$B112)*Inputs!$D$1),"",SUMIFS(INDEX(Inputs!$B$2:$AZ$190,,MATCH(SUBSTITUTE(Q$3,"Q","T"),Inputs!$B$2:$AZ$2,0)),Inputs!$B$2:$B$190,$B112)*Inputs!$D$1)</f>
        <v>0</v>
      </c>
      <c r="R112" s="57">
        <f>IF(ISNA(SUMIFS(INDEX(Inputs!$B$2:$AZ$190,,MATCH(SUBSTITUTE(R$3,"Q","T"),Inputs!$B$2:$AZ$2,0)),Inputs!$B$2:$B$190,$B112)*Inputs!$D$1),"",SUMIFS(INDEX(Inputs!$B$2:$AZ$190,,MATCH(SUBSTITUTE(R$3,"Q","T"),Inputs!$B$2:$AZ$2,0)),Inputs!$B$2:$B$190,$B112)*Inputs!$D$1)</f>
        <v>0</v>
      </c>
      <c r="S112" s="58">
        <f>R112</f>
        <v>0</v>
      </c>
      <c r="T112" s="57">
        <f>IF(ISNA(SUMIFS(INDEX(Inputs!$B$2:$AZ$190,,MATCH(SUBSTITUTE(T$3,"Q","T"),Inputs!$B$2:$AZ$2,0)),Inputs!$B$2:$B$190,$B112)*Inputs!$D$1),"",SUMIFS(INDEX(Inputs!$B$2:$AZ$190,,MATCH(SUBSTITUTE(T$3,"Q","T"),Inputs!$B$2:$AZ$2,0)),Inputs!$B$2:$B$190,$B112)*Inputs!$D$1)</f>
        <v>0</v>
      </c>
      <c r="U112" s="57">
        <f>IF(ISNA(SUMIFS(INDEX(Inputs!$B$2:$AZ$190,,MATCH(SUBSTITUTE(U$3,"Q","T"),Inputs!$B$2:$AZ$2,0)),Inputs!$B$2:$B$190,$B112)*Inputs!$D$1),"",SUMIFS(INDEX(Inputs!$B$2:$AZ$190,,MATCH(SUBSTITUTE(U$3,"Q","T"),Inputs!$B$2:$AZ$2,0)),Inputs!$B$2:$B$190,$B112)*Inputs!$D$1)</f>
        <v>0</v>
      </c>
      <c r="V112" s="57">
        <f>IF(ISNA(SUMIFS(INDEX(Inputs!$B$2:$AZ$190,,MATCH(SUBSTITUTE(V$3,"Q","T"),Inputs!$B$2:$AZ$2,0)),Inputs!$B$2:$B$190,$B112)*Inputs!$D$1),"",SUMIFS(INDEX(Inputs!$B$2:$AZ$190,,MATCH(SUBSTITUTE(V$3,"Q","T"),Inputs!$B$2:$AZ$2,0)),Inputs!$B$2:$B$190,$B112)*Inputs!$D$1)</f>
        <v>0</v>
      </c>
      <c r="W112" s="57">
        <f>IF(ISNA(SUMIFS(INDEX(Inputs!$B$2:$AZ$190,,MATCH(SUBSTITUTE(W$3,"Q","T"),Inputs!$B$2:$AZ$2,0)),Inputs!$B$2:$B$190,$B112)*Inputs!$D$1),"",SUMIFS(INDEX(Inputs!$B$2:$AZ$190,,MATCH(SUBSTITUTE(W$3,"Q","T"),Inputs!$B$2:$AZ$2,0)),Inputs!$B$2:$B$190,$B112)*Inputs!$D$1)</f>
        <v>0</v>
      </c>
      <c r="X112" s="58">
        <f>W112</f>
        <v>0</v>
      </c>
      <c r="Y112" s="57">
        <f>IF(ISNA(SUMIFS(INDEX(Inputs!$B$2:$AZ$190,,MATCH(SUBSTITUTE(Y$3,"Q","T"),Inputs!$B$2:$AZ$2,0)),Inputs!$B$2:$B$190,$B112)*Inputs!$D$1),"",SUMIFS(INDEX(Inputs!$B$2:$AZ$190,,MATCH(SUBSTITUTE(Y$3,"Q","T"),Inputs!$B$2:$AZ$2,0)),Inputs!$B$2:$B$190,$B112)*Inputs!$D$1)</f>
        <v>0</v>
      </c>
      <c r="Z112" s="57">
        <f>IF(ISNA(SUMIFS(INDEX(Inputs!$B$2:$AZ$190,,MATCH(SUBSTITUTE(Z$3,"Q","T"),Inputs!$B$2:$AZ$2,0)),Inputs!$B$2:$B$190,$B112)*Inputs!$D$1),"",SUMIFS(INDEX(Inputs!$B$2:$AZ$190,,MATCH(SUBSTITUTE(Z$3,"Q","T"),Inputs!$B$2:$AZ$2,0)),Inputs!$B$2:$B$190,$B112)*Inputs!$D$1)</f>
        <v>0</v>
      </c>
      <c r="AA112" s="57">
        <f>IF(ISNA(SUMIFS(INDEX(Inputs!$B$2:$AZ$190,,MATCH(SUBSTITUTE(AA$3,"Q","T"),Inputs!$B$2:$AZ$2,0)),Inputs!$B$2:$B$190,$B112)*Inputs!$D$1),"",SUMIFS(INDEX(Inputs!$B$2:$AZ$190,,MATCH(SUBSTITUTE(AA$3,"Q","T"),Inputs!$B$2:$AZ$2,0)),Inputs!$B$2:$B$190,$B112)*Inputs!$D$1)</f>
        <v>0</v>
      </c>
      <c r="AB112" s="57">
        <f>IF(ISNA(SUMIFS(INDEX(Inputs!$B$2:$AZ$190,,MATCH(SUBSTITUTE(AB$3,"Q","T"),Inputs!$B$2:$AZ$2,0)),Inputs!$B$2:$B$190,$B112)*Inputs!$D$1),"",SUMIFS(INDEX(Inputs!$B$2:$AZ$190,,MATCH(SUBSTITUTE(AB$3,"Q","T"),Inputs!$B$2:$AZ$2,0)),Inputs!$B$2:$B$190,$B112)*Inputs!$D$1)</f>
        <v>0</v>
      </c>
      <c r="AC112" s="58">
        <f>AB112</f>
        <v>0</v>
      </c>
      <c r="AD112" s="57">
        <f>IF(ISNA(SUMIFS(INDEX(Inputs!$B$2:$AZ$190,,MATCH(SUBSTITUTE(AD$3,"Q","T"),Inputs!$B$2:$AZ$2,0)),Inputs!$B$2:$B$190,$B112)*Inputs!$D$1),"",SUMIFS(INDEX(Inputs!$B$2:$AZ$190,,MATCH(SUBSTITUTE(AD$3,"Q","T"),Inputs!$B$2:$AZ$2,0)),Inputs!$B$2:$B$190,$B112)*Inputs!$D$1)</f>
        <v>0</v>
      </c>
      <c r="AE112" s="57">
        <f>IF(ISNA(SUMIFS(INDEX(Inputs!$B$2:$AZ$190,,MATCH(SUBSTITUTE(AE$3,"Q","T"),Inputs!$B$2:$AZ$2,0)),Inputs!$B$2:$B$190,$B112)*Inputs!$D$1),"",SUMIFS(INDEX(Inputs!$B$2:$AZ$190,,MATCH(SUBSTITUTE(AE$3,"Q","T"),Inputs!$B$2:$AZ$2,0)),Inputs!$B$2:$B$190,$B112)*Inputs!$D$1)</f>
        <v>0</v>
      </c>
      <c r="AF112" s="57">
        <f>IF(ISNA(SUMIFS(INDEX(Inputs!$B$2:$AZ$190,,MATCH(SUBSTITUTE(AF$3,"Q","T"),Inputs!$B$2:$AZ$2,0)),Inputs!$B$2:$B$190,$B112)*Inputs!$D$1),"",SUMIFS(INDEX(Inputs!$B$2:$AZ$190,,MATCH(SUBSTITUTE(AF$3,"Q","T"),Inputs!$B$2:$AZ$2,0)),Inputs!$B$2:$B$190,$B112)*Inputs!$D$1)</f>
        <v>0</v>
      </c>
      <c r="AG112" s="57">
        <f>IF(ISNA(SUMIFS(INDEX(Inputs!$B$2:$AZ$190,,MATCH(SUBSTITUTE(AG$3,"Q","T"),Inputs!$B$2:$AZ$2,0)),Inputs!$B$2:$B$190,$B112)*Inputs!$D$1),"",SUMIFS(INDEX(Inputs!$B$2:$AZ$190,,MATCH(SUBSTITUTE(AG$3,"Q","T"),Inputs!$B$2:$AZ$2,0)),Inputs!$B$2:$B$190,$B112)*Inputs!$D$1)</f>
        <v>0</v>
      </c>
      <c r="AH112" s="58">
        <f>AG112</f>
        <v>0</v>
      </c>
      <c r="AI112" s="57">
        <f>IF(ISNA(SUMIFS(INDEX(Inputs!$B$2:$AZ$190,,MATCH(SUBSTITUTE(AI$3,"Q","T"),Inputs!$B$2:$AZ$2,0)),Inputs!$B$2:$B$190,$B112)*Inputs!$D$1),"",SUMIFS(INDEX(Inputs!$B$2:$AZ$190,,MATCH(SUBSTITUTE(AI$3,"Q","T"),Inputs!$B$2:$AZ$2,0)),Inputs!$B$2:$B$190,$B112)*Inputs!$D$1)</f>
        <v>0</v>
      </c>
      <c r="AJ112" s="57">
        <f>IF(ISNA(SUMIFS(INDEX(Inputs!$B$2:$AZ$190,,MATCH(SUBSTITUTE(AJ$3,"Q","T"),Inputs!$B$2:$AZ$2,0)),Inputs!$B$2:$B$190,$B112)*Inputs!$D$1),"",SUMIFS(INDEX(Inputs!$B$2:$AZ$190,,MATCH(SUBSTITUTE(AJ$3,"Q","T"),Inputs!$B$2:$AZ$2,0)),Inputs!$B$2:$B$190,$B112)*Inputs!$D$1)</f>
        <v>0</v>
      </c>
      <c r="AK112" s="57">
        <f>IF(ISNA(SUMIFS(INDEX(Inputs!$B$2:$AZ$190,,MATCH(SUBSTITUTE(AK$3,"Q","T"),Inputs!$B$2:$AZ$2,0)),Inputs!$B$2:$B$190,$B112)*Inputs!$D$1),"",SUMIFS(INDEX(Inputs!$B$2:$AZ$190,,MATCH(SUBSTITUTE(AK$3,"Q","T"),Inputs!$B$2:$AZ$2,0)),Inputs!$B$2:$B$190,$B112)*Inputs!$D$1)</f>
        <v>0</v>
      </c>
      <c r="AL112" s="57">
        <f>IF(ISNA(SUMIFS(INDEX(Inputs!$B$2:$AZ$190,,MATCH(SUBSTITUTE(AL$3,"Q","T"),Inputs!$B$2:$AZ$2,0)),Inputs!$B$2:$B$190,$B112)*Inputs!$D$1),"",SUMIFS(INDEX(Inputs!$B$2:$AZ$190,,MATCH(SUBSTITUTE(AL$3,"Q","T"),Inputs!$B$2:$AZ$2,0)),Inputs!$B$2:$B$190,$B112)*Inputs!$D$1)</f>
        <v>0</v>
      </c>
      <c r="AM112" s="58">
        <f>AL112</f>
        <v>0</v>
      </c>
      <c r="AN112" s="57">
        <f>IF(ISNA(SUMIFS(INDEX(Inputs!$B$2:$AZ$190,,MATCH(SUBSTITUTE(AN$3,"Q","T"),Inputs!$B$2:$AZ$2,0)),Inputs!$B$2:$B$190,$B112)*Inputs!$D$1),"",SUMIFS(INDEX(Inputs!$B$2:$AZ$190,,MATCH(SUBSTITUTE(AN$3,"Q","T"),Inputs!$B$2:$AZ$2,0)),Inputs!$B$2:$B$190,$B112)*Inputs!$D$1)</f>
        <v>0</v>
      </c>
      <c r="AO112" s="57">
        <f>IF(ISNA(SUMIFS(INDEX(Inputs!$B$2:$AZ$190,,MATCH(SUBSTITUTE(AO$3,"Q","T"),Inputs!$B$2:$AZ$2,0)),Inputs!$B$2:$B$190,$B112)*Inputs!$D$1),"",SUMIFS(INDEX(Inputs!$B$2:$AZ$190,,MATCH(SUBSTITUTE(AO$3,"Q","T"),Inputs!$B$2:$AZ$2,0)),Inputs!$B$2:$B$190,$B112)*Inputs!$D$1)</f>
        <v>0</v>
      </c>
      <c r="AP112" s="57">
        <f>IF(ISNA(SUMIFS(INDEX(Inputs!$B$2:$AZ$190,,MATCH(SUBSTITUTE(AP$3,"Q","T"),Inputs!$B$2:$AZ$2,0)),Inputs!$B$2:$B$190,$B112)*Inputs!$D$1),"",SUMIFS(INDEX(Inputs!$B$2:$AZ$190,,MATCH(SUBSTITUTE(AP$3,"Q","T"),Inputs!$B$2:$AZ$2,0)),Inputs!$B$2:$B$190,$B112)*Inputs!$D$1)</f>
        <v>0</v>
      </c>
      <c r="AQ112" s="57">
        <f>IF(ISNA(SUMIFS(INDEX(Inputs!$B$2:$AZ$190,,MATCH(SUBSTITUTE(AQ$3,"Q","T"),Inputs!$B$2:$AZ$2,0)),Inputs!$B$2:$B$190,$B112)*Inputs!$D$1),"",SUMIFS(INDEX(Inputs!$B$2:$AZ$190,,MATCH(SUBSTITUTE(AQ$3,"Q","T"),Inputs!$B$2:$AZ$2,0)),Inputs!$B$2:$B$190,$B112)*Inputs!$D$1)</f>
        <v>0</v>
      </c>
      <c r="AR112" s="58">
        <f>AQ112</f>
        <v>0</v>
      </c>
      <c r="AS112" s="57">
        <f>IF(ISNA(SUMIFS(INDEX(Inputs!$B$2:$AZ$190,,MATCH(SUBSTITUTE(AS$3,"Q","T"),Inputs!$B$2:$AZ$2,0)),Inputs!$B$2:$B$190,$B112)*Inputs!$D$1),"",SUMIFS(INDEX(Inputs!$B$2:$AZ$190,,MATCH(SUBSTITUTE(AS$3,"Q","T"),Inputs!$B$2:$AZ$2,0)),Inputs!$B$2:$B$190,$B112)*Inputs!$D$1)</f>
        <v>0</v>
      </c>
      <c r="AT112" s="57">
        <f>IF(ISNA(SUMIFS(INDEX(Inputs!$B$2:$AZ$190,,MATCH(SUBSTITUTE(AT$3,"Q","T"),Inputs!$B$2:$AZ$2,0)),Inputs!$B$2:$B$190,$B112)*Inputs!$D$1),"",SUMIFS(INDEX(Inputs!$B$2:$AZ$190,,MATCH(SUBSTITUTE(AT$3,"Q","T"),Inputs!$B$2:$AZ$2,0)),Inputs!$B$2:$B$190,$B112)*Inputs!$D$1)</f>
        <v>0</v>
      </c>
      <c r="AU112" s="57">
        <f>IF(ISNA(SUMIFS(INDEX(Inputs!$B$2:$AZ$190,,MATCH(SUBSTITUTE(AU$3,"Q","T"),Inputs!$B$2:$AZ$2,0)),Inputs!$B$2:$B$190,$B112)*Inputs!$D$1),"",SUMIFS(INDEX(Inputs!$B$2:$AZ$190,,MATCH(SUBSTITUTE(AU$3,"Q","T"),Inputs!$B$2:$AZ$2,0)),Inputs!$B$2:$B$190,$B112)*Inputs!$D$1)</f>
        <v>0</v>
      </c>
      <c r="AV112" s="57">
        <f>IF(ISNA(SUMIFS(INDEX(Inputs!$B$2:$AZ$190,,MATCH(SUBSTITUTE(AV$3,"Q","T"),Inputs!$B$2:$AZ$2,0)),Inputs!$B$2:$B$190,$B112)*Inputs!$D$1),"",SUMIFS(INDEX(Inputs!$B$2:$AZ$190,,MATCH(SUBSTITUTE(AV$3,"Q","T"),Inputs!$B$2:$AZ$2,0)),Inputs!$B$2:$B$190,$B112)*Inputs!$D$1)</f>
        <v>0</v>
      </c>
      <c r="AW112" s="58">
        <f>AV112</f>
        <v>0</v>
      </c>
      <c r="AX112" s="57">
        <f>IF(ISNA(SUMIFS(INDEX(Inputs!$B$2:$AZ$190,,MATCH(SUBSTITUTE(AX$3,"Q","T"),Inputs!$B$2:$AZ$2,0)),Inputs!$B$2:$B$190,$B112)*Inputs!$D$1),"",SUMIFS(INDEX(Inputs!$B$2:$AZ$190,,MATCH(SUBSTITUTE(AX$3,"Q","T"),Inputs!$B$2:$AZ$2,0)),Inputs!$B$2:$B$190,$B112)*Inputs!$D$1)</f>
        <v>0</v>
      </c>
      <c r="AY112" s="57">
        <f>IF(ISNA(SUMIFS(INDEX(Inputs!$B$2:$AZ$190,,MATCH(SUBSTITUTE(AY$3,"Q","T"),Inputs!$B$2:$AZ$2,0)),Inputs!$B$2:$B$190,$B112)*Inputs!$D$1),"",SUMIFS(INDEX(Inputs!$B$2:$AZ$190,,MATCH(SUBSTITUTE(AY$3,"Q","T"),Inputs!$B$2:$AZ$2,0)),Inputs!$B$2:$B$190,$B112)*Inputs!$D$1)</f>
        <v>0</v>
      </c>
      <c r="AZ112" s="57">
        <f>IF(ISNA(SUMIFS(INDEX(Inputs!$B$2:$AZ$190,,MATCH(SUBSTITUTE(AZ$3,"Q","T"),Inputs!$B$2:$AZ$2,0)),Inputs!$B$2:$B$190,$B112)*Inputs!$D$1),"",SUMIFS(INDEX(Inputs!$B$2:$AZ$190,,MATCH(SUBSTITUTE(AZ$3,"Q","T"),Inputs!$B$2:$AZ$2,0)),Inputs!$B$2:$B$190,$B112)*Inputs!$D$1)</f>
        <v>0</v>
      </c>
      <c r="BA112" s="57">
        <f>IF(ISNA(SUMIFS(INDEX(Inputs!$B$2:$AZ$190,,MATCH(SUBSTITUTE(BA$3,"Q","T"),Inputs!$B$2:$AZ$2,0)),Inputs!$B$2:$B$190,$B112)*Inputs!$D$1),"",SUMIFS(INDEX(Inputs!$B$2:$AZ$190,,MATCH(SUBSTITUTE(BA$3,"Q","T"),Inputs!$B$2:$AZ$2,0)),Inputs!$B$2:$B$190,$B112)*Inputs!$D$1)</f>
        <v>0</v>
      </c>
      <c r="BB112" s="58">
        <f>BA112</f>
        <v>0</v>
      </c>
      <c r="BC112" s="57">
        <f>IF(ISNA(SUMIFS(INDEX(Inputs!$B$2:$AZ$190,,MATCH(SUBSTITUTE(BC$3,"Q","T"),Inputs!$B$2:$AZ$2,0)),Inputs!$B$2:$B$190,$B112)*Inputs!$D$1),"",SUMIFS(INDEX(Inputs!$B$2:$AZ$190,,MATCH(SUBSTITUTE(BC$3,"Q","T"),Inputs!$B$2:$AZ$2,0)),Inputs!$B$2:$B$190,$B112)*Inputs!$D$1)</f>
        <v>0</v>
      </c>
      <c r="BD112" s="57">
        <f>IF(ISNA(SUMIFS(INDEX(Inputs!$B$2:$AZ$190,,MATCH(SUBSTITUTE(BD$3,"Q","T"),Inputs!$B$2:$AZ$2,0)),Inputs!$B$2:$B$190,$B112)*Inputs!$D$1),"",SUMIFS(INDEX(Inputs!$B$2:$AZ$190,,MATCH(SUBSTITUTE(BD$3,"Q","T"),Inputs!$B$2:$AZ$2,0)),Inputs!$B$2:$B$190,$B112)*Inputs!$D$1)</f>
        <v>0</v>
      </c>
      <c r="BE112" s="57">
        <f>IF(ISNA(SUMIFS(INDEX(Inputs!$B$2:$AZ$190,,MATCH(SUBSTITUTE(BE$3,"Q","T"),Inputs!$B$2:$AZ$2,0)),Inputs!$B$2:$B$190,$B112)*Inputs!$D$1),"",SUMIFS(INDEX(Inputs!$B$2:$AZ$190,,MATCH(SUBSTITUTE(BE$3,"Q","T"),Inputs!$B$2:$AZ$2,0)),Inputs!$B$2:$B$190,$B112)*Inputs!$D$1)</f>
        <v>0</v>
      </c>
      <c r="BF112" s="57">
        <f>IF(ISNA(SUMIFS(INDEX(Inputs!$B$2:$AZ$190,,MATCH(SUBSTITUTE(BF$3,"Q","T"),Inputs!$B$2:$AZ$2,0)),Inputs!$B$2:$B$190,$B112)*Inputs!$D$1),"",SUMIFS(INDEX(Inputs!$B$2:$AZ$190,,MATCH(SUBSTITUTE(BF$3,"Q","T"),Inputs!$B$2:$AZ$2,0)),Inputs!$B$2:$B$190,$B112)*Inputs!$D$1)</f>
        <v>0</v>
      </c>
      <c r="BG112" s="58">
        <f>BF112</f>
        <v>0</v>
      </c>
    </row>
    <row r="113">
      <c r="B113" s="56" t="inlineStr">
        <is>
          <t>cart_pj</t>
        </is>
      </c>
      <c r="C113" s="11" t="inlineStr">
        <is>
          <t>Pessoa jurídica</t>
        </is>
      </c>
      <c r="D113" s="12" t="inlineStr">
        <is>
          <t>Corporates</t>
        </is>
      </c>
      <c r="E113" s="57">
        <f>IF(ISNA(SUMIFS(INDEX(Inputs!$B$2:$AZ$190,,MATCH(SUBSTITUTE(E$3,"Q","T"),Inputs!$B$2:$AZ$2,0)),Inputs!$B$2:$B$190,$B113)*Inputs!$D$1),"",SUMIFS(INDEX(Inputs!$B$2:$AZ$190,,MATCH(SUBSTITUTE(E$3,"Q","T"),Inputs!$B$2:$AZ$2,0)),Inputs!$B$2:$B$190,$B113)*Inputs!$D$1)</f>
        <v>31101.183677</v>
      </c>
      <c r="F113" s="57">
        <f>IF(ISNA(SUMIFS(INDEX(Inputs!$B$2:$AZ$190,,MATCH(SUBSTITUTE(F$3,"Q","T"),Inputs!$B$2:$AZ$2,0)),Inputs!$B$2:$B$190,$B113)*Inputs!$D$1),"",SUMIFS(INDEX(Inputs!$B$2:$AZ$190,,MATCH(SUBSTITUTE(F$3,"Q","T"),Inputs!$B$2:$AZ$2,0)),Inputs!$B$2:$B$190,$B113)*Inputs!$D$1)</f>
        <v>32064.849109</v>
      </c>
      <c r="G113" s="57">
        <f>IF(ISNA(SUMIFS(INDEX(Inputs!$B$2:$AZ$190,,MATCH(SUBSTITUTE(G$3,"Q","T"),Inputs!$B$2:$AZ$2,0)),Inputs!$B$2:$B$190,$B113)*Inputs!$D$1),"",SUMIFS(INDEX(Inputs!$B$2:$AZ$190,,MATCH(SUBSTITUTE(G$3,"Q","T"),Inputs!$B$2:$AZ$2,0)),Inputs!$B$2:$B$190,$B113)*Inputs!$D$1)</f>
        <v>32928.57422</v>
      </c>
      <c r="H113" s="57">
        <f>IF(ISNA(SUMIFS(INDEX(Inputs!$B$2:$AZ$190,,MATCH(SUBSTITUTE(H$3,"Q","T"),Inputs!$B$2:$AZ$2,0)),Inputs!$B$2:$B$190,$B113)*Inputs!$D$1),"",SUMIFS(INDEX(Inputs!$B$2:$AZ$190,,MATCH(SUBSTITUTE(H$3,"Q","T"),Inputs!$B$2:$AZ$2,0)),Inputs!$B$2:$B$190,$B113)*Inputs!$D$1)</f>
        <v>34378.415026</v>
      </c>
      <c r="I113" s="58">
        <f>H113</f>
        <v>34378.415026</v>
      </c>
      <c r="J113" s="57">
        <f>IF(ISNA(SUMIFS(INDEX(Inputs!$B$2:$AZ$190,,MATCH(SUBSTITUTE(J$3,"Q","T"),Inputs!$B$2:$AZ$2,0)),Inputs!$B$2:$B$190,$B113)*Inputs!$D$1),"",SUMIFS(INDEX(Inputs!$B$2:$AZ$190,,MATCH(SUBSTITUTE(J$3,"Q","T"),Inputs!$B$2:$AZ$2,0)),Inputs!$B$2:$B$190,$B113)*Inputs!$D$1)</f>
        <v>35484.799786</v>
      </c>
      <c r="K113" s="57">
        <f>IF(ISNA(SUMIFS(INDEX(Inputs!$B$2:$AZ$190,,MATCH(SUBSTITUTE(K$3,"Q","T"),Inputs!$B$2:$AZ$2,0)),Inputs!$B$2:$B$190,$B113)*Inputs!$D$1),"",SUMIFS(INDEX(Inputs!$B$2:$AZ$190,,MATCH(SUBSTITUTE(K$3,"Q","T"),Inputs!$B$2:$AZ$2,0)),Inputs!$B$2:$B$190,$B113)*Inputs!$D$1)</f>
        <v>35202.101868</v>
      </c>
      <c r="L113" s="57">
        <f>IF(ISNA(SUMIFS(INDEX(Inputs!$B$2:$AZ$190,,MATCH(SUBSTITUTE(L$3,"Q","T"),Inputs!$B$2:$AZ$2,0)),Inputs!$B$2:$B$190,$B113)*Inputs!$D$1),"",SUMIFS(INDEX(Inputs!$B$2:$AZ$190,,MATCH(SUBSTITUTE(L$3,"Q","T"),Inputs!$B$2:$AZ$2,0)),Inputs!$B$2:$B$190,$B113)*Inputs!$D$1)</f>
        <v>37275.775287</v>
      </c>
      <c r="M113" s="57">
        <f>IF(ISNA(SUMIFS(INDEX(Inputs!$B$2:$AZ$190,,MATCH(SUBSTITUTE(M$3,"Q","T"),Inputs!$B$2:$AZ$2,0)),Inputs!$B$2:$B$190,$B113)*Inputs!$D$1),"",SUMIFS(INDEX(Inputs!$B$2:$AZ$190,,MATCH(SUBSTITUTE(M$3,"Q","T"),Inputs!$B$2:$AZ$2,0)),Inputs!$B$2:$B$190,$B113)*Inputs!$D$1)</f>
        <v>37715.46936</v>
      </c>
      <c r="N113" s="58">
        <f>M113</f>
        <v>37715.46936</v>
      </c>
      <c r="O113" s="57">
        <f>IF(ISNA(SUMIFS(INDEX(Inputs!$B$2:$AZ$190,,MATCH(SUBSTITUTE(O$3,"Q","T"),Inputs!$B$2:$AZ$2,0)),Inputs!$B$2:$B$190,$B113)*Inputs!$D$1),"",SUMIFS(INDEX(Inputs!$B$2:$AZ$190,,MATCH(SUBSTITUTE(O$3,"Q","T"),Inputs!$B$2:$AZ$2,0)),Inputs!$B$2:$B$190,$B113)*Inputs!$D$1)</f>
        <v>37563.732925</v>
      </c>
      <c r="P113" s="57">
        <f>IF(ISNA(SUMIFS(INDEX(Inputs!$B$2:$AZ$190,,MATCH(SUBSTITUTE(P$3,"Q","T"),Inputs!$B$2:$AZ$2,0)),Inputs!$B$2:$B$190,$B113)*Inputs!$D$1),"",SUMIFS(INDEX(Inputs!$B$2:$AZ$190,,MATCH(SUBSTITUTE(P$3,"Q","T"),Inputs!$B$2:$AZ$2,0)),Inputs!$B$2:$B$190,$B113)*Inputs!$D$1)</f>
        <v>39973.197435</v>
      </c>
      <c r="Q113" s="57">
        <f>IF(ISNA(SUMIFS(INDEX(Inputs!$B$2:$AZ$190,,MATCH(SUBSTITUTE(Q$3,"Q","T"),Inputs!$B$2:$AZ$2,0)),Inputs!$B$2:$B$190,$B113)*Inputs!$D$1),"",SUMIFS(INDEX(Inputs!$B$2:$AZ$190,,MATCH(SUBSTITUTE(Q$3,"Q","T"),Inputs!$B$2:$AZ$2,0)),Inputs!$B$2:$B$190,$B113)*Inputs!$D$1)</f>
        <v>41535.209841</v>
      </c>
      <c r="R113" s="57">
        <f>IF(ISNA(SUMIFS(INDEX(Inputs!$B$2:$AZ$190,,MATCH(SUBSTITUTE(R$3,"Q","T"),Inputs!$B$2:$AZ$2,0)),Inputs!$B$2:$B$190,$B113)*Inputs!$D$1),"",SUMIFS(INDEX(Inputs!$B$2:$AZ$190,,MATCH(SUBSTITUTE(R$3,"Q","T"),Inputs!$B$2:$AZ$2,0)),Inputs!$B$2:$B$190,$B113)*Inputs!$D$1)</f>
        <v>43255.439013</v>
      </c>
      <c r="S113" s="58">
        <f>R113</f>
        <v>43255.439013</v>
      </c>
      <c r="T113" s="57">
        <f>IF(ISNA(SUMIFS(INDEX(Inputs!$B$2:$AZ$190,,MATCH(SUBSTITUTE(T$3,"Q","T"),Inputs!$B$2:$AZ$2,0)),Inputs!$B$2:$B$190,$B113)*Inputs!$D$1),"",SUMIFS(INDEX(Inputs!$B$2:$AZ$190,,MATCH(SUBSTITUTE(T$3,"Q","T"),Inputs!$B$2:$AZ$2,0)),Inputs!$B$2:$B$190,$B113)*Inputs!$D$1)</f>
        <v>43652.450506</v>
      </c>
      <c r="U113" s="57">
        <f>IF(ISNA(SUMIFS(INDEX(Inputs!$B$2:$AZ$190,,MATCH(SUBSTITUTE(U$3,"Q","T"),Inputs!$B$2:$AZ$2,0)),Inputs!$B$2:$B$190,$B113)*Inputs!$D$1),"",SUMIFS(INDEX(Inputs!$B$2:$AZ$190,,MATCH(SUBSTITUTE(U$3,"Q","T"),Inputs!$B$2:$AZ$2,0)),Inputs!$B$2:$B$190,$B113)*Inputs!$D$1)</f>
        <v>43325.881996</v>
      </c>
      <c r="V113" s="57">
        <f>IF(ISNA(SUMIFS(INDEX(Inputs!$B$2:$AZ$190,,MATCH(SUBSTITUTE(V$3,"Q","T"),Inputs!$B$2:$AZ$2,0)),Inputs!$B$2:$B$190,$B113)*Inputs!$D$1),"",SUMIFS(INDEX(Inputs!$B$2:$AZ$190,,MATCH(SUBSTITUTE(V$3,"Q","T"),Inputs!$B$2:$AZ$2,0)),Inputs!$B$2:$B$190,$B113)*Inputs!$D$1)</f>
        <v>43693.093536</v>
      </c>
      <c r="W113" s="57">
        <f>IF(ISNA(SUMIFS(INDEX(Inputs!$B$2:$AZ$190,,MATCH(SUBSTITUTE(W$3,"Q","T"),Inputs!$B$2:$AZ$2,0)),Inputs!$B$2:$B$190,$B113)*Inputs!$D$1),"",SUMIFS(INDEX(Inputs!$B$2:$AZ$190,,MATCH(SUBSTITUTE(W$3,"Q","T"),Inputs!$B$2:$AZ$2,0)),Inputs!$B$2:$B$190,$B113)*Inputs!$D$1)</f>
        <v>46380.704593</v>
      </c>
      <c r="X113" s="58">
        <f>W113</f>
        <v>46380.704593</v>
      </c>
      <c r="Y113" s="57">
        <f>IF(ISNA(SUMIFS(INDEX(Inputs!$B$2:$AZ$190,,MATCH(SUBSTITUTE(Y$3,"Q","T"),Inputs!$B$2:$AZ$2,0)),Inputs!$B$2:$B$190,$B113)*Inputs!$D$1),"",SUMIFS(INDEX(Inputs!$B$2:$AZ$190,,MATCH(SUBSTITUTE(Y$3,"Q","T"),Inputs!$B$2:$AZ$2,0)),Inputs!$B$2:$B$190,$B113)*Inputs!$D$1)</f>
        <v>45979.877987</v>
      </c>
      <c r="Z113" s="57">
        <f>IF(ISNA(SUMIFS(INDEX(Inputs!$B$2:$AZ$190,,MATCH(SUBSTITUTE(Z$3,"Q","T"),Inputs!$B$2:$AZ$2,0)),Inputs!$B$2:$B$190,$B113)*Inputs!$D$1),"",SUMIFS(INDEX(Inputs!$B$2:$AZ$190,,MATCH(SUBSTITUTE(Z$3,"Q","T"),Inputs!$B$2:$AZ$2,0)),Inputs!$B$2:$B$190,$B113)*Inputs!$D$1)</f>
        <v>48284.333735</v>
      </c>
      <c r="AA113" s="57">
        <f>IF(ISNA(SUMIFS(INDEX(Inputs!$B$2:$AZ$190,,MATCH(SUBSTITUTE(AA$3,"Q","T"),Inputs!$B$2:$AZ$2,0)),Inputs!$B$2:$B$190,$B113)*Inputs!$D$1),"",SUMIFS(INDEX(Inputs!$B$2:$AZ$190,,MATCH(SUBSTITUTE(AA$3,"Q","T"),Inputs!$B$2:$AZ$2,0)),Inputs!$B$2:$B$190,$B113)*Inputs!$D$1)</f>
        <v>50010.403281</v>
      </c>
      <c r="AB113" s="57">
        <f>IF(ISNA(SUMIFS(INDEX(Inputs!$B$2:$AZ$190,,MATCH(SUBSTITUTE(AB$3,"Q","T"),Inputs!$B$2:$AZ$2,0)),Inputs!$B$2:$B$190,$B113)*Inputs!$D$1),"",SUMIFS(INDEX(Inputs!$B$2:$AZ$190,,MATCH(SUBSTITUTE(AB$3,"Q","T"),Inputs!$B$2:$AZ$2,0)),Inputs!$B$2:$B$190,$B113)*Inputs!$D$1)</f>
        <v>53171.079086</v>
      </c>
      <c r="AC113" s="58">
        <f>AB113</f>
        <v>53171.079086</v>
      </c>
      <c r="AD113" s="57">
        <f>IF(ISNA(SUMIFS(INDEX(Inputs!$B$2:$AZ$190,,MATCH(SUBSTITUTE(AD$3,"Q","T"),Inputs!$B$2:$AZ$2,0)),Inputs!$B$2:$B$190,$B113)*Inputs!$D$1),"",SUMIFS(INDEX(Inputs!$B$2:$AZ$190,,MATCH(SUBSTITUTE(AD$3,"Q","T"),Inputs!$B$2:$AZ$2,0)),Inputs!$B$2:$B$190,$B113)*Inputs!$D$1)</f>
        <v>51205.717616</v>
      </c>
      <c r="AE113" s="57">
        <f>IF(ISNA(SUMIFS(INDEX(Inputs!$B$2:$AZ$190,,MATCH(SUBSTITUTE(AE$3,"Q","T"),Inputs!$B$2:$AZ$2,0)),Inputs!$B$2:$B$190,$B113)*Inputs!$D$1),"",SUMIFS(INDEX(Inputs!$B$2:$AZ$190,,MATCH(SUBSTITUTE(AE$3,"Q","T"),Inputs!$B$2:$AZ$2,0)),Inputs!$B$2:$B$190,$B113)*Inputs!$D$1)</f>
        <v>52119.928927</v>
      </c>
      <c r="AF113" s="57">
        <f>IF(ISNA(SUMIFS(INDEX(Inputs!$B$2:$AZ$190,,MATCH(SUBSTITUTE(AF$3,"Q","T"),Inputs!$B$2:$AZ$2,0)),Inputs!$B$2:$B$190,$B113)*Inputs!$D$1),"",SUMIFS(INDEX(Inputs!$B$2:$AZ$190,,MATCH(SUBSTITUTE(AF$3,"Q","T"),Inputs!$B$2:$AZ$2,0)),Inputs!$B$2:$B$190,$B113)*Inputs!$D$1)</f>
        <v>52302.954302</v>
      </c>
      <c r="AG113" s="57">
        <f>IF(ISNA(SUMIFS(INDEX(Inputs!$B$2:$AZ$190,,MATCH(SUBSTITUTE(AG$3,"Q","T"),Inputs!$B$2:$AZ$2,0)),Inputs!$B$2:$B$190,$B113)*Inputs!$D$1),"",SUMIFS(INDEX(Inputs!$B$2:$AZ$190,,MATCH(SUBSTITUTE(AG$3,"Q","T"),Inputs!$B$2:$AZ$2,0)),Inputs!$B$2:$B$190,$B113)*Inputs!$D$1)</f>
        <v>54742.128769</v>
      </c>
      <c r="AH113" s="58">
        <f>AG113</f>
        <v>54742.128769</v>
      </c>
      <c r="AI113" s="57">
        <f>IF(ISNA(SUMIFS(INDEX(Inputs!$B$2:$AZ$190,,MATCH(SUBSTITUTE(AI$3,"Q","T"),Inputs!$B$2:$AZ$2,0)),Inputs!$B$2:$B$190,$B113)*Inputs!$D$1),"",SUMIFS(INDEX(Inputs!$B$2:$AZ$190,,MATCH(SUBSTITUTE(AI$3,"Q","T"),Inputs!$B$2:$AZ$2,0)),Inputs!$B$2:$B$190,$B113)*Inputs!$D$1)</f>
        <v>54426.872357</v>
      </c>
      <c r="AJ113" s="57">
        <f>IF(ISNA(SUMIFS(INDEX(Inputs!$B$2:$AZ$190,,MATCH(SUBSTITUTE(AJ$3,"Q","T"),Inputs!$B$2:$AZ$2,0)),Inputs!$B$2:$B$190,$B113)*Inputs!$D$1),"",SUMIFS(INDEX(Inputs!$B$2:$AZ$190,,MATCH(SUBSTITUTE(AJ$3,"Q","T"),Inputs!$B$2:$AZ$2,0)),Inputs!$B$2:$B$190,$B113)*Inputs!$D$1)</f>
        <v>56463.502659</v>
      </c>
      <c r="AK113" s="57">
        <f>IF(ISNA(SUMIFS(INDEX(Inputs!$B$2:$AZ$190,,MATCH(SUBSTITUTE(AK$3,"Q","T"),Inputs!$B$2:$AZ$2,0)),Inputs!$B$2:$B$190,$B113)*Inputs!$D$1),"",SUMIFS(INDEX(Inputs!$B$2:$AZ$190,,MATCH(SUBSTITUTE(AK$3,"Q","T"),Inputs!$B$2:$AZ$2,0)),Inputs!$B$2:$B$190,$B113)*Inputs!$D$1)</f>
        <v>0</v>
      </c>
      <c r="AL113" s="57">
        <f>IF(ISNA(SUMIFS(INDEX(Inputs!$B$2:$AZ$190,,MATCH(SUBSTITUTE(AL$3,"Q","T"),Inputs!$B$2:$AZ$2,0)),Inputs!$B$2:$B$190,$B113)*Inputs!$D$1),"",SUMIFS(INDEX(Inputs!$B$2:$AZ$190,,MATCH(SUBSTITUTE(AL$3,"Q","T"),Inputs!$B$2:$AZ$2,0)),Inputs!$B$2:$B$190,$B113)*Inputs!$D$1)</f>
        <v>0</v>
      </c>
      <c r="AM113" s="58">
        <f>AL113</f>
        <v>0</v>
      </c>
      <c r="AN113" s="57">
        <f>IF(ISNA(SUMIFS(INDEX(Inputs!$B$2:$AZ$190,,MATCH(SUBSTITUTE(AN$3,"Q","T"),Inputs!$B$2:$AZ$2,0)),Inputs!$B$2:$B$190,$B113)*Inputs!$D$1),"",SUMIFS(INDEX(Inputs!$B$2:$AZ$190,,MATCH(SUBSTITUTE(AN$3,"Q","T"),Inputs!$B$2:$AZ$2,0)),Inputs!$B$2:$B$190,$B113)*Inputs!$D$1)</f>
        <v>0</v>
      </c>
      <c r="AO113" s="57">
        <f>IF(ISNA(SUMIFS(INDEX(Inputs!$B$2:$AZ$190,,MATCH(SUBSTITUTE(AO$3,"Q","T"),Inputs!$B$2:$AZ$2,0)),Inputs!$B$2:$B$190,$B113)*Inputs!$D$1),"",SUMIFS(INDEX(Inputs!$B$2:$AZ$190,,MATCH(SUBSTITUTE(AO$3,"Q","T"),Inputs!$B$2:$AZ$2,0)),Inputs!$B$2:$B$190,$B113)*Inputs!$D$1)</f>
        <v>0</v>
      </c>
      <c r="AP113" s="57">
        <f>IF(ISNA(SUMIFS(INDEX(Inputs!$B$2:$AZ$190,,MATCH(SUBSTITUTE(AP$3,"Q","T"),Inputs!$B$2:$AZ$2,0)),Inputs!$B$2:$B$190,$B113)*Inputs!$D$1),"",SUMIFS(INDEX(Inputs!$B$2:$AZ$190,,MATCH(SUBSTITUTE(AP$3,"Q","T"),Inputs!$B$2:$AZ$2,0)),Inputs!$B$2:$B$190,$B113)*Inputs!$D$1)</f>
        <v>0</v>
      </c>
      <c r="AQ113" s="57">
        <f>IF(ISNA(SUMIFS(INDEX(Inputs!$B$2:$AZ$190,,MATCH(SUBSTITUTE(AQ$3,"Q","T"),Inputs!$B$2:$AZ$2,0)),Inputs!$B$2:$B$190,$B113)*Inputs!$D$1),"",SUMIFS(INDEX(Inputs!$B$2:$AZ$190,,MATCH(SUBSTITUTE(AQ$3,"Q","T"),Inputs!$B$2:$AZ$2,0)),Inputs!$B$2:$B$190,$B113)*Inputs!$D$1)</f>
        <v>0</v>
      </c>
      <c r="AR113" s="58">
        <f>AQ113</f>
        <v>0</v>
      </c>
      <c r="AS113" s="57">
        <f>IF(ISNA(SUMIFS(INDEX(Inputs!$B$2:$AZ$190,,MATCH(SUBSTITUTE(AS$3,"Q","T"),Inputs!$B$2:$AZ$2,0)),Inputs!$B$2:$B$190,$B113)*Inputs!$D$1),"",SUMIFS(INDEX(Inputs!$B$2:$AZ$190,,MATCH(SUBSTITUTE(AS$3,"Q","T"),Inputs!$B$2:$AZ$2,0)),Inputs!$B$2:$B$190,$B113)*Inputs!$D$1)</f>
        <v>0</v>
      </c>
      <c r="AT113" s="57">
        <f>IF(ISNA(SUMIFS(INDEX(Inputs!$B$2:$AZ$190,,MATCH(SUBSTITUTE(AT$3,"Q","T"),Inputs!$B$2:$AZ$2,0)),Inputs!$B$2:$B$190,$B113)*Inputs!$D$1),"",SUMIFS(INDEX(Inputs!$B$2:$AZ$190,,MATCH(SUBSTITUTE(AT$3,"Q","T"),Inputs!$B$2:$AZ$2,0)),Inputs!$B$2:$B$190,$B113)*Inputs!$D$1)</f>
        <v>0</v>
      </c>
      <c r="AU113" s="57">
        <f>IF(ISNA(SUMIFS(INDEX(Inputs!$B$2:$AZ$190,,MATCH(SUBSTITUTE(AU$3,"Q","T"),Inputs!$B$2:$AZ$2,0)),Inputs!$B$2:$B$190,$B113)*Inputs!$D$1),"",SUMIFS(INDEX(Inputs!$B$2:$AZ$190,,MATCH(SUBSTITUTE(AU$3,"Q","T"),Inputs!$B$2:$AZ$2,0)),Inputs!$B$2:$B$190,$B113)*Inputs!$D$1)</f>
        <v>0</v>
      </c>
      <c r="AV113" s="57">
        <f>IF(ISNA(SUMIFS(INDEX(Inputs!$B$2:$AZ$190,,MATCH(SUBSTITUTE(AV$3,"Q","T"),Inputs!$B$2:$AZ$2,0)),Inputs!$B$2:$B$190,$B113)*Inputs!$D$1),"",SUMIFS(INDEX(Inputs!$B$2:$AZ$190,,MATCH(SUBSTITUTE(AV$3,"Q","T"),Inputs!$B$2:$AZ$2,0)),Inputs!$B$2:$B$190,$B113)*Inputs!$D$1)</f>
        <v>0</v>
      </c>
      <c r="AW113" s="58">
        <f>AV113</f>
        <v>0</v>
      </c>
      <c r="AX113" s="57">
        <f>IF(ISNA(SUMIFS(INDEX(Inputs!$B$2:$AZ$190,,MATCH(SUBSTITUTE(AX$3,"Q","T"),Inputs!$B$2:$AZ$2,0)),Inputs!$B$2:$B$190,$B113)*Inputs!$D$1),"",SUMIFS(INDEX(Inputs!$B$2:$AZ$190,,MATCH(SUBSTITUTE(AX$3,"Q","T"),Inputs!$B$2:$AZ$2,0)),Inputs!$B$2:$B$190,$B113)*Inputs!$D$1)</f>
        <v>0</v>
      </c>
      <c r="AY113" s="57">
        <f>IF(ISNA(SUMIFS(INDEX(Inputs!$B$2:$AZ$190,,MATCH(SUBSTITUTE(AY$3,"Q","T"),Inputs!$B$2:$AZ$2,0)),Inputs!$B$2:$B$190,$B113)*Inputs!$D$1),"",SUMIFS(INDEX(Inputs!$B$2:$AZ$190,,MATCH(SUBSTITUTE(AY$3,"Q","T"),Inputs!$B$2:$AZ$2,0)),Inputs!$B$2:$B$190,$B113)*Inputs!$D$1)</f>
        <v>0</v>
      </c>
      <c r="AZ113" s="57">
        <f>IF(ISNA(SUMIFS(INDEX(Inputs!$B$2:$AZ$190,,MATCH(SUBSTITUTE(AZ$3,"Q","T"),Inputs!$B$2:$AZ$2,0)),Inputs!$B$2:$B$190,$B113)*Inputs!$D$1),"",SUMIFS(INDEX(Inputs!$B$2:$AZ$190,,MATCH(SUBSTITUTE(AZ$3,"Q","T"),Inputs!$B$2:$AZ$2,0)),Inputs!$B$2:$B$190,$B113)*Inputs!$D$1)</f>
        <v>0</v>
      </c>
      <c r="BA113" s="57">
        <f>IF(ISNA(SUMIFS(INDEX(Inputs!$B$2:$AZ$190,,MATCH(SUBSTITUTE(BA$3,"Q","T"),Inputs!$B$2:$AZ$2,0)),Inputs!$B$2:$B$190,$B113)*Inputs!$D$1),"",SUMIFS(INDEX(Inputs!$B$2:$AZ$190,,MATCH(SUBSTITUTE(BA$3,"Q","T"),Inputs!$B$2:$AZ$2,0)),Inputs!$B$2:$B$190,$B113)*Inputs!$D$1)</f>
        <v>0</v>
      </c>
      <c r="BB113" s="58">
        <f>BA113</f>
        <v>0</v>
      </c>
      <c r="BC113" s="57">
        <f>IF(ISNA(SUMIFS(INDEX(Inputs!$B$2:$AZ$190,,MATCH(SUBSTITUTE(BC$3,"Q","T"),Inputs!$B$2:$AZ$2,0)),Inputs!$B$2:$B$190,$B113)*Inputs!$D$1),"",SUMIFS(INDEX(Inputs!$B$2:$AZ$190,,MATCH(SUBSTITUTE(BC$3,"Q","T"),Inputs!$B$2:$AZ$2,0)),Inputs!$B$2:$B$190,$B113)*Inputs!$D$1)</f>
        <v>0</v>
      </c>
      <c r="BD113" s="57">
        <f>IF(ISNA(SUMIFS(INDEX(Inputs!$B$2:$AZ$190,,MATCH(SUBSTITUTE(BD$3,"Q","T"),Inputs!$B$2:$AZ$2,0)),Inputs!$B$2:$B$190,$B113)*Inputs!$D$1),"",SUMIFS(INDEX(Inputs!$B$2:$AZ$190,,MATCH(SUBSTITUTE(BD$3,"Q","T"),Inputs!$B$2:$AZ$2,0)),Inputs!$B$2:$B$190,$B113)*Inputs!$D$1)</f>
        <v>0</v>
      </c>
      <c r="BE113" s="57">
        <f>IF(ISNA(SUMIFS(INDEX(Inputs!$B$2:$AZ$190,,MATCH(SUBSTITUTE(BE$3,"Q","T"),Inputs!$B$2:$AZ$2,0)),Inputs!$B$2:$B$190,$B113)*Inputs!$D$1),"",SUMIFS(INDEX(Inputs!$B$2:$AZ$190,,MATCH(SUBSTITUTE(BE$3,"Q","T"),Inputs!$B$2:$AZ$2,0)),Inputs!$B$2:$B$190,$B113)*Inputs!$D$1)</f>
        <v>0</v>
      </c>
      <c r="BF113" s="57">
        <f>IF(ISNA(SUMIFS(INDEX(Inputs!$B$2:$AZ$190,,MATCH(SUBSTITUTE(BF$3,"Q","T"),Inputs!$B$2:$AZ$2,0)),Inputs!$B$2:$B$190,$B113)*Inputs!$D$1),"",SUMIFS(INDEX(Inputs!$B$2:$AZ$190,,MATCH(SUBSTITUTE(BF$3,"Q","T"),Inputs!$B$2:$AZ$2,0)),Inputs!$B$2:$B$190,$B113)*Inputs!$D$1)</f>
        <v>0</v>
      </c>
      <c r="BG113" s="58">
        <f>BF113</f>
        <v>0</v>
      </c>
    </row>
    <row r="114">
      <c r="B114" s="56" t="inlineStr">
        <is>
          <t>est1</t>
        </is>
      </c>
      <c r="C114" s="11" t="inlineStr">
        <is>
          <t>Carteira em Estágio 1</t>
        </is>
      </c>
      <c r="D114" s="12" t="inlineStr">
        <is>
          <t>Stage 1 portfolio</t>
        </is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0</v>
      </c>
      <c r="F114" s="57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>0</v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0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0</v>
      </c>
      <c r="I114" s="58">
        <f>H114</f>
        <v>0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0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0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0</v>
      </c>
      <c r="N114" s="58">
        <f>M114</f>
        <v>0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0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0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0</v>
      </c>
      <c r="S114" s="58">
        <f>R114</f>
        <v>0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0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0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0</v>
      </c>
      <c r="X114" s="58">
        <f>W114</f>
        <v>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0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0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0</v>
      </c>
      <c r="AC114" s="58">
        <f>AB114</f>
        <v>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48406.74326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49080.93965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49141.949567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51482.093642</v>
      </c>
      <c r="AH114" s="58">
        <f>AG114</f>
        <v>51482.093642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50693.032947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52802.604828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>AL114</f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>AQ114</f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>AV114</f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>BA114</f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>BF114</f>
        <v>0</v>
      </c>
    </row>
    <row r="115">
      <c r="B115" s="56" t="inlineStr">
        <is>
          <t>est2</t>
        </is>
      </c>
      <c r="C115" s="11" t="inlineStr">
        <is>
          <t>Carteira em Estágio 2</t>
        </is>
      </c>
      <c r="D115" s="12" t="inlineStr">
        <is>
          <t>Stage 2 portfolio</t>
        </is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>0</v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0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0</v>
      </c>
      <c r="I115" s="58">
        <f>H115</f>
        <v>0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0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0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0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0</v>
      </c>
      <c r="N115" s="58">
        <f>M115</f>
        <v>0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0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0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0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0</v>
      </c>
      <c r="S115" s="58">
        <f>R115</f>
        <v>0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0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0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0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0</v>
      </c>
      <c r="X115" s="58">
        <f>W115</f>
        <v>0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0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0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0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0</v>
      </c>
      <c r="AC115" s="58">
        <f>AB115</f>
        <v>0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1575.554317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1778.28027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1777.555134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1853.672238</v>
      </c>
      <c r="AH115" s="58">
        <f>AG115</f>
        <v>1853.672238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2211.836684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2014.22721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>AL115</f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>AQ115</f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>AV115</f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>BA115</f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>BF115</f>
        <v>0</v>
      </c>
    </row>
    <row r="116">
      <c r="B116" s="56" t="inlineStr">
        <is>
          <t>est3</t>
        </is>
      </c>
      <c r="C116" s="11" t="inlineStr">
        <is>
          <t>Carteira em Estágio 3</t>
        </is>
      </c>
      <c r="D116" s="12" t="inlineStr">
        <is>
          <t>Stage 3 portfolio</t>
        </is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>0</v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0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0</v>
      </c>
      <c r="I116" s="58">
        <f>H116</f>
        <v>0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0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0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0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0</v>
      </c>
      <c r="N116" s="58">
        <f>M116</f>
        <v>0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0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0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0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0</v>
      </c>
      <c r="S116" s="58">
        <f>R116</f>
        <v>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0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0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0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0</v>
      </c>
      <c r="X116" s="58">
        <f>W116</f>
        <v>0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0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0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0</v>
      </c>
      <c r="AC116" s="58">
        <f>AB116</f>
        <v>0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1223.420039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1260.709007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1383.449601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1406.362889</v>
      </c>
      <c r="AH116" s="58">
        <f>AG116</f>
        <v>1406.362889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1522.002712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1646.670605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>AL116</f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>AQ116</f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>AV116</f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>BA116</f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>BF116</f>
        <v>0</v>
      </c>
    </row>
    <row r="117">
      <c r="B117" s="56" t="inlineStr">
        <is>
          <t>prov_e1</t>
        </is>
      </c>
      <c r="C117" s="11" t="inlineStr">
        <is>
          <t>Saldo de provisão — Estágio 1</t>
        </is>
      </c>
      <c r="D117" s="12" t="inlineStr">
        <is>
          <t>Stage 1 allowance</t>
        </is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>0</v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0</v>
      </c>
      <c r="I117" s="58">
        <f>H117</f>
        <v>0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0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0</v>
      </c>
      <c r="N117" s="58">
        <f>M117</f>
        <v>0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0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0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0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0</v>
      </c>
      <c r="S117" s="58">
        <f>R117</f>
        <v>0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0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0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0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0</v>
      </c>
      <c r="X117" s="58">
        <f>W117</f>
        <v>0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0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0</v>
      </c>
      <c r="AC117" s="58">
        <f>AB117</f>
        <v>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191.344629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181.210181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178.381779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178.79163</v>
      </c>
      <c r="AH117" s="58">
        <f>AG117</f>
        <v>178.79163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164.885256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169.495599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>AL117</f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>AQ117</f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>AV117</f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>BA117</f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>BF117</f>
        <v>0</v>
      </c>
    </row>
    <row r="118">
      <c r="B118" s="56" t="inlineStr">
        <is>
          <t>prov_e2</t>
        </is>
      </c>
      <c r="C118" s="11" t="inlineStr">
        <is>
          <t>Saldo de provisão — Estágio 2</t>
        </is>
      </c>
      <c r="D118" s="12" t="inlineStr">
        <is>
          <t>Stage 2 allowance</t>
        </is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>0</v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>H118</f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>M118</f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>R118</f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>W118</f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>AB118</f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81.75061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87.393585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86.656481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88.362002</v>
      </c>
      <c r="AH118" s="58">
        <f>AG118</f>
        <v>88.362002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123.080266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95.312654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>AL118</f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>AQ118</f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>AV118</f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>BA118</f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>BF118</f>
        <v>0</v>
      </c>
    </row>
    <row r="119">
      <c r="B119" s="56" t="inlineStr">
        <is>
          <t>prov_e3</t>
        </is>
      </c>
      <c r="C119" s="11" t="inlineStr">
        <is>
          <t>Saldo de provisão — Estágio 3</t>
        </is>
      </c>
      <c r="D119" s="12" t="inlineStr">
        <is>
          <t>Stage 3 allowance</t>
        </is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>0</v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>H119</f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>M119</f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>R119</f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>W119</f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>AB119</f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636.966761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713.796265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786.272845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856.401977</v>
      </c>
      <c r="AH119" s="58">
        <f>AG119</f>
        <v>856.401977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766.873213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795.904977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>AL119</f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>AQ119</f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>AV119</f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>BA119</f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>BF119</f>
        <v>0</v>
      </c>
    </row>
    <row r="120">
      <c r="B120" s="56" t="inlineStr">
        <is>
          <t>prov_tot</t>
        </is>
      </c>
      <c r="C120" s="15" t="inlineStr">
        <is>
          <t>Saldo total de provisão</t>
        </is>
      </c>
      <c r="D120" s="16" t="inlineStr">
        <is>
          <t>Total allowance</t>
        </is>
      </c>
      <c r="E120" s="67">
        <f>IFERROR(IF(AND(ISNUMBER(IF(ISNA(SUMIFS(INDEX(Inputs!$B$2:$AZ$190,,MATCH(SUBSTITUTE(E$3,"Q","T"),Inputs!$B$2:$AZ$2,0)),Inputs!$B$2:$B$190,$B120)*Inputs!$D$1),"",SUMIFS(INDEX(Inputs!$B$2:$AZ$190,,MATCH(SUBSTITUTE(E$3,"Q","T"),Inputs!$B$2:$AZ$2,0)),Inputs!$B$2:$B$190,$B120)*Inputs!$D$1)),IF(ISNA(SUMIFS(INDEX(Inputs!$B$2:$AZ$190,,MATCH(SUBSTITUTE(E$3,"Q","T"),Inputs!$B$2:$AZ$2,0)),Inputs!$B$2:$B$190,$B120)*Inputs!$D$1),"",SUMIFS(INDEX(Inputs!$B$2:$AZ$190,,MATCH(SUBSTITUTE(E$3,"Q","T"),Inputs!$B$2:$AZ$2,0)),Inputs!$B$2:$B$190,$B120)*Inputs!$D$1)&lt;&gt;0),IF(ISNA(SUMIFS(INDEX(Inputs!$B$2:$AZ$190,,MATCH(SUBSTITUTE(E$3,"Q","T"),Inputs!$B$2:$AZ$2,0)),Inputs!$B$2:$B$190,$B120)*Inputs!$D$1),"",SUMIFS(INDEX(Inputs!$B$2:$AZ$190,,MATCH(SUBSTITUTE(E$3,"Q","T"),Inputs!$B$2:$AZ$2,0)),Inputs!$B$2:$B$190,$B120)*Inputs!$D$1),E117+E118+E119),"")</f>
        <v>0</v>
      </c>
      <c r="F120" s="67">
        <f>IFERROR(IF(AND(ISNUMBER(IF(ISNA(SUMIFS(INDEX(Inputs!$B$2:$AZ$190,,MATCH(SUBSTITUTE(F$3,"Q","T"),Inputs!$B$2:$AZ$2,0)),Inputs!$B$2:$B$190,$B120)*Inputs!$D$1),"",SUMIFS(INDEX(Inputs!$B$2:$AZ$190,,MATCH(SUBSTITUTE(F$3,"Q","T"),Inputs!$B$2:$AZ$2,0)),Inputs!$B$2:$B$190,$B120)*Inputs!$D$1)),IF(ISNA(SUMIFS(INDEX(Inputs!$B$2:$AZ$190,,MATCH(SUBSTITUTE(F$3,"Q","T"),Inputs!$B$2:$AZ$2,0)),Inputs!$B$2:$B$190,$B120)*Inputs!$D$1),"",SUMIFS(INDEX(Inputs!$B$2:$AZ$190,,MATCH(SUBSTITUTE(F$3,"Q","T"),Inputs!$B$2:$AZ$2,0)),Inputs!$B$2:$B$190,$B120)*Inputs!$D$1)&lt;&gt;0),IF(ISNA(SUMIFS(INDEX(Inputs!$B$2:$AZ$190,,MATCH(SUBSTITUTE(F$3,"Q","T"),Inputs!$B$2:$AZ$2,0)),Inputs!$B$2:$B$190,$B120)*Inputs!$D$1),"",SUMIFS(INDEX(Inputs!$B$2:$AZ$190,,MATCH(SUBSTITUTE(F$3,"Q","T"),Inputs!$B$2:$AZ$2,0)),Inputs!$B$2:$B$190,$B120)*Inputs!$D$1),F117+F118+F119),"")</f>
        <v>0</v>
      </c>
      <c r="G120" s="67">
        <f>IFERROR(IF(AND(ISNUMBER(IF(ISNA(SUMIFS(INDEX(Inputs!$B$2:$AZ$190,,MATCH(SUBSTITUTE(G$3,"Q","T"),Inputs!$B$2:$AZ$2,0)),Inputs!$B$2:$B$190,$B120)*Inputs!$D$1),"",SUMIFS(INDEX(Inputs!$B$2:$AZ$190,,MATCH(SUBSTITUTE(G$3,"Q","T"),Inputs!$B$2:$AZ$2,0)),Inputs!$B$2:$B$190,$B120)*Inputs!$D$1)),IF(ISNA(SUMIFS(INDEX(Inputs!$B$2:$AZ$190,,MATCH(SUBSTITUTE(G$3,"Q","T"),Inputs!$B$2:$AZ$2,0)),Inputs!$B$2:$B$190,$B120)*Inputs!$D$1),"",SUMIFS(INDEX(Inputs!$B$2:$AZ$190,,MATCH(SUBSTITUTE(G$3,"Q","T"),Inputs!$B$2:$AZ$2,0)),Inputs!$B$2:$B$190,$B120)*Inputs!$D$1)&lt;&gt;0),IF(ISNA(SUMIFS(INDEX(Inputs!$B$2:$AZ$190,,MATCH(SUBSTITUTE(G$3,"Q","T"),Inputs!$B$2:$AZ$2,0)),Inputs!$B$2:$B$190,$B120)*Inputs!$D$1),"",SUMIFS(INDEX(Inputs!$B$2:$AZ$190,,MATCH(SUBSTITUTE(G$3,"Q","T"),Inputs!$B$2:$AZ$2,0)),Inputs!$B$2:$B$190,$B120)*Inputs!$D$1),G117+G118+G119),"")</f>
        <v>0</v>
      </c>
      <c r="H120" s="67">
        <f>IFERROR(IF(AND(ISNUMBER(IF(ISNA(SUMIFS(INDEX(Inputs!$B$2:$AZ$190,,MATCH(SUBSTITUTE(H$3,"Q","T"),Inputs!$B$2:$AZ$2,0)),Inputs!$B$2:$B$190,$B120)*Inputs!$D$1),"",SUMIFS(INDEX(Inputs!$B$2:$AZ$190,,MATCH(SUBSTITUTE(H$3,"Q","T"),Inputs!$B$2:$AZ$2,0)),Inputs!$B$2:$B$190,$B120)*Inputs!$D$1)),IF(ISNA(SUMIFS(INDEX(Inputs!$B$2:$AZ$190,,MATCH(SUBSTITUTE(H$3,"Q","T"),Inputs!$B$2:$AZ$2,0)),Inputs!$B$2:$B$190,$B120)*Inputs!$D$1),"",SUMIFS(INDEX(Inputs!$B$2:$AZ$190,,MATCH(SUBSTITUTE(H$3,"Q","T"),Inputs!$B$2:$AZ$2,0)),Inputs!$B$2:$B$190,$B120)*Inputs!$D$1)&lt;&gt;0),IF(ISNA(SUMIFS(INDEX(Inputs!$B$2:$AZ$190,,MATCH(SUBSTITUTE(H$3,"Q","T"),Inputs!$B$2:$AZ$2,0)),Inputs!$B$2:$B$190,$B120)*Inputs!$D$1),"",SUMIFS(INDEX(Inputs!$B$2:$AZ$190,,MATCH(SUBSTITUTE(H$3,"Q","T"),Inputs!$B$2:$AZ$2,0)),Inputs!$B$2:$B$190,$B120)*Inputs!$D$1),H117+H118+H119),"")</f>
        <v>0</v>
      </c>
      <c r="I120" s="58">
        <f>H120</f>
        <v>0</v>
      </c>
      <c r="J120" s="67">
        <f>IFERROR(IF(AND(ISNUMBER(IF(ISNA(SUMIFS(INDEX(Inputs!$B$2:$AZ$190,,MATCH(SUBSTITUTE(J$3,"Q","T"),Inputs!$B$2:$AZ$2,0)),Inputs!$B$2:$B$190,$B120)*Inputs!$D$1),"",SUMIFS(INDEX(Inputs!$B$2:$AZ$190,,MATCH(SUBSTITUTE(J$3,"Q","T"),Inputs!$B$2:$AZ$2,0)),Inputs!$B$2:$B$190,$B120)*Inputs!$D$1)),IF(ISNA(SUMIFS(INDEX(Inputs!$B$2:$AZ$190,,MATCH(SUBSTITUTE(J$3,"Q","T"),Inputs!$B$2:$AZ$2,0)),Inputs!$B$2:$B$190,$B120)*Inputs!$D$1),"",SUMIFS(INDEX(Inputs!$B$2:$AZ$190,,MATCH(SUBSTITUTE(J$3,"Q","T"),Inputs!$B$2:$AZ$2,0)),Inputs!$B$2:$B$190,$B120)*Inputs!$D$1)&lt;&gt;0),IF(ISNA(SUMIFS(INDEX(Inputs!$B$2:$AZ$190,,MATCH(SUBSTITUTE(J$3,"Q","T"),Inputs!$B$2:$AZ$2,0)),Inputs!$B$2:$B$190,$B120)*Inputs!$D$1),"",SUMIFS(INDEX(Inputs!$B$2:$AZ$190,,MATCH(SUBSTITUTE(J$3,"Q","T"),Inputs!$B$2:$AZ$2,0)),Inputs!$B$2:$B$190,$B120)*Inputs!$D$1),J117+J118+J119),"")</f>
        <v>621.202756</v>
      </c>
      <c r="K120" s="67">
        <f>IFERROR(IF(AND(ISNUMBER(IF(ISNA(SUMIFS(INDEX(Inputs!$B$2:$AZ$190,,MATCH(SUBSTITUTE(K$3,"Q","T"),Inputs!$B$2:$AZ$2,0)),Inputs!$B$2:$B$190,$B120)*Inputs!$D$1),"",SUMIFS(INDEX(Inputs!$B$2:$AZ$190,,MATCH(SUBSTITUTE(K$3,"Q","T"),Inputs!$B$2:$AZ$2,0)),Inputs!$B$2:$B$190,$B120)*Inputs!$D$1)),IF(ISNA(SUMIFS(INDEX(Inputs!$B$2:$AZ$190,,MATCH(SUBSTITUTE(K$3,"Q","T"),Inputs!$B$2:$AZ$2,0)),Inputs!$B$2:$B$190,$B120)*Inputs!$D$1),"",SUMIFS(INDEX(Inputs!$B$2:$AZ$190,,MATCH(SUBSTITUTE(K$3,"Q","T"),Inputs!$B$2:$AZ$2,0)),Inputs!$B$2:$B$190,$B120)*Inputs!$D$1)&lt;&gt;0),IF(ISNA(SUMIFS(INDEX(Inputs!$B$2:$AZ$190,,MATCH(SUBSTITUTE(K$3,"Q","T"),Inputs!$B$2:$AZ$2,0)),Inputs!$B$2:$B$190,$B120)*Inputs!$D$1),"",SUMIFS(INDEX(Inputs!$B$2:$AZ$190,,MATCH(SUBSTITUTE(K$3,"Q","T"),Inputs!$B$2:$AZ$2,0)),Inputs!$B$2:$B$190,$B120)*Inputs!$D$1),K117+K118+K119),"")</f>
        <v>657.408277</v>
      </c>
      <c r="L120" s="67">
        <f>IFERROR(IF(AND(ISNUMBER(IF(ISNA(SUMIFS(INDEX(Inputs!$B$2:$AZ$190,,MATCH(SUBSTITUTE(L$3,"Q","T"),Inputs!$B$2:$AZ$2,0)),Inputs!$B$2:$B$190,$B120)*Inputs!$D$1),"",SUMIFS(INDEX(Inputs!$B$2:$AZ$190,,MATCH(SUBSTITUTE(L$3,"Q","T"),Inputs!$B$2:$AZ$2,0)),Inputs!$B$2:$B$190,$B120)*Inputs!$D$1)),IF(ISNA(SUMIFS(INDEX(Inputs!$B$2:$AZ$190,,MATCH(SUBSTITUTE(L$3,"Q","T"),Inputs!$B$2:$AZ$2,0)),Inputs!$B$2:$B$190,$B120)*Inputs!$D$1),"",SUMIFS(INDEX(Inputs!$B$2:$AZ$190,,MATCH(SUBSTITUTE(L$3,"Q","T"),Inputs!$B$2:$AZ$2,0)),Inputs!$B$2:$B$190,$B120)*Inputs!$D$1)&lt;&gt;0),IF(ISNA(SUMIFS(INDEX(Inputs!$B$2:$AZ$190,,MATCH(SUBSTITUTE(L$3,"Q","T"),Inputs!$B$2:$AZ$2,0)),Inputs!$B$2:$B$190,$B120)*Inputs!$D$1),"",SUMIFS(INDEX(Inputs!$B$2:$AZ$190,,MATCH(SUBSTITUTE(L$3,"Q","T"),Inputs!$B$2:$AZ$2,0)),Inputs!$B$2:$B$190,$B120)*Inputs!$D$1),L117+L118+L119),"")</f>
        <v>691.713776</v>
      </c>
      <c r="M120" s="67">
        <f>IFERROR(IF(AND(ISNUMBER(IF(ISNA(SUMIFS(INDEX(Inputs!$B$2:$AZ$190,,MATCH(SUBSTITUTE(M$3,"Q","T"),Inputs!$B$2:$AZ$2,0)),Inputs!$B$2:$B$190,$B120)*Inputs!$D$1),"",SUMIFS(INDEX(Inputs!$B$2:$AZ$190,,MATCH(SUBSTITUTE(M$3,"Q","T"),Inputs!$B$2:$AZ$2,0)),Inputs!$B$2:$B$190,$B120)*Inputs!$D$1)),IF(ISNA(SUMIFS(INDEX(Inputs!$B$2:$AZ$190,,MATCH(SUBSTITUTE(M$3,"Q","T"),Inputs!$B$2:$AZ$2,0)),Inputs!$B$2:$B$190,$B120)*Inputs!$D$1),"",SUMIFS(INDEX(Inputs!$B$2:$AZ$190,,MATCH(SUBSTITUTE(M$3,"Q","T"),Inputs!$B$2:$AZ$2,0)),Inputs!$B$2:$B$190,$B120)*Inputs!$D$1)&lt;&gt;0),IF(ISNA(SUMIFS(INDEX(Inputs!$B$2:$AZ$190,,MATCH(SUBSTITUTE(M$3,"Q","T"),Inputs!$B$2:$AZ$2,0)),Inputs!$B$2:$B$190,$B120)*Inputs!$D$1),"",SUMIFS(INDEX(Inputs!$B$2:$AZ$190,,MATCH(SUBSTITUTE(M$3,"Q","T"),Inputs!$B$2:$AZ$2,0)),Inputs!$B$2:$B$190,$B120)*Inputs!$D$1),M117+M118+M119),"")</f>
        <v>723.723076</v>
      </c>
      <c r="N120" s="58">
        <f>M120</f>
        <v>723.723076</v>
      </c>
      <c r="O120" s="67">
        <f>IFERROR(IF(AND(ISNUMBER(IF(ISNA(SUMIFS(INDEX(Inputs!$B$2:$AZ$190,,MATCH(SUBSTITUTE(O$3,"Q","T"),Inputs!$B$2:$AZ$2,0)),Inputs!$B$2:$B$190,$B120)*Inputs!$D$1),"",SUMIFS(INDEX(Inputs!$B$2:$AZ$190,,MATCH(SUBSTITUTE(O$3,"Q","T"),Inputs!$B$2:$AZ$2,0)),Inputs!$B$2:$B$190,$B120)*Inputs!$D$1)),IF(ISNA(SUMIFS(INDEX(Inputs!$B$2:$AZ$190,,MATCH(SUBSTITUTE(O$3,"Q","T"),Inputs!$B$2:$AZ$2,0)),Inputs!$B$2:$B$190,$B120)*Inputs!$D$1),"",SUMIFS(INDEX(Inputs!$B$2:$AZ$190,,MATCH(SUBSTITUTE(O$3,"Q","T"),Inputs!$B$2:$AZ$2,0)),Inputs!$B$2:$B$190,$B120)*Inputs!$D$1)&lt;&gt;0),IF(ISNA(SUMIFS(INDEX(Inputs!$B$2:$AZ$190,,MATCH(SUBSTITUTE(O$3,"Q","T"),Inputs!$B$2:$AZ$2,0)),Inputs!$B$2:$B$190,$B120)*Inputs!$D$1),"",SUMIFS(INDEX(Inputs!$B$2:$AZ$190,,MATCH(SUBSTITUTE(O$3,"Q","T"),Inputs!$B$2:$AZ$2,0)),Inputs!$B$2:$B$190,$B120)*Inputs!$D$1),O117+O118+O119),"")</f>
        <v>649.360397</v>
      </c>
      <c r="P120" s="67">
        <f>IFERROR(IF(AND(ISNUMBER(IF(ISNA(SUMIFS(INDEX(Inputs!$B$2:$AZ$190,,MATCH(SUBSTITUTE(P$3,"Q","T"),Inputs!$B$2:$AZ$2,0)),Inputs!$B$2:$B$190,$B120)*Inputs!$D$1),"",SUMIFS(INDEX(Inputs!$B$2:$AZ$190,,MATCH(SUBSTITUTE(P$3,"Q","T"),Inputs!$B$2:$AZ$2,0)),Inputs!$B$2:$B$190,$B120)*Inputs!$D$1)),IF(ISNA(SUMIFS(INDEX(Inputs!$B$2:$AZ$190,,MATCH(SUBSTITUTE(P$3,"Q","T"),Inputs!$B$2:$AZ$2,0)),Inputs!$B$2:$B$190,$B120)*Inputs!$D$1),"",SUMIFS(INDEX(Inputs!$B$2:$AZ$190,,MATCH(SUBSTITUTE(P$3,"Q","T"),Inputs!$B$2:$AZ$2,0)),Inputs!$B$2:$B$190,$B120)*Inputs!$D$1)&lt;&gt;0),IF(ISNA(SUMIFS(INDEX(Inputs!$B$2:$AZ$190,,MATCH(SUBSTITUTE(P$3,"Q","T"),Inputs!$B$2:$AZ$2,0)),Inputs!$B$2:$B$190,$B120)*Inputs!$D$1),"",SUMIFS(INDEX(Inputs!$B$2:$AZ$190,,MATCH(SUBSTITUTE(P$3,"Q","T"),Inputs!$B$2:$AZ$2,0)),Inputs!$B$2:$B$190,$B120)*Inputs!$D$1),P117+P118+P119),"")</f>
        <v>558.387617</v>
      </c>
      <c r="Q120" s="67">
        <f>IFERROR(IF(AND(ISNUMBER(IF(ISNA(SUMIFS(INDEX(Inputs!$B$2:$AZ$190,,MATCH(SUBSTITUTE(Q$3,"Q","T"),Inputs!$B$2:$AZ$2,0)),Inputs!$B$2:$B$190,$B120)*Inputs!$D$1),"",SUMIFS(INDEX(Inputs!$B$2:$AZ$190,,MATCH(SUBSTITUTE(Q$3,"Q","T"),Inputs!$B$2:$AZ$2,0)),Inputs!$B$2:$B$190,$B120)*Inputs!$D$1)),IF(ISNA(SUMIFS(INDEX(Inputs!$B$2:$AZ$190,,MATCH(SUBSTITUTE(Q$3,"Q","T"),Inputs!$B$2:$AZ$2,0)),Inputs!$B$2:$B$190,$B120)*Inputs!$D$1),"",SUMIFS(INDEX(Inputs!$B$2:$AZ$190,,MATCH(SUBSTITUTE(Q$3,"Q","T"),Inputs!$B$2:$AZ$2,0)),Inputs!$B$2:$B$190,$B120)*Inputs!$D$1)&lt;&gt;0),IF(ISNA(SUMIFS(INDEX(Inputs!$B$2:$AZ$190,,MATCH(SUBSTITUTE(Q$3,"Q","T"),Inputs!$B$2:$AZ$2,0)),Inputs!$B$2:$B$190,$B120)*Inputs!$D$1),"",SUMIFS(INDEX(Inputs!$B$2:$AZ$190,,MATCH(SUBSTITUTE(Q$3,"Q","T"),Inputs!$B$2:$AZ$2,0)),Inputs!$B$2:$B$190,$B120)*Inputs!$D$1),Q117+Q118+Q119),"")</f>
        <v>587.622449</v>
      </c>
      <c r="R120" s="67">
        <f>IFERROR(IF(AND(ISNUMBER(IF(ISNA(SUMIFS(INDEX(Inputs!$B$2:$AZ$190,,MATCH(SUBSTITUTE(R$3,"Q","T"),Inputs!$B$2:$AZ$2,0)),Inputs!$B$2:$B$190,$B120)*Inputs!$D$1),"",SUMIFS(INDEX(Inputs!$B$2:$AZ$190,,MATCH(SUBSTITUTE(R$3,"Q","T"),Inputs!$B$2:$AZ$2,0)),Inputs!$B$2:$B$190,$B120)*Inputs!$D$1)),IF(ISNA(SUMIFS(INDEX(Inputs!$B$2:$AZ$190,,MATCH(SUBSTITUTE(R$3,"Q","T"),Inputs!$B$2:$AZ$2,0)),Inputs!$B$2:$B$190,$B120)*Inputs!$D$1),"",SUMIFS(INDEX(Inputs!$B$2:$AZ$190,,MATCH(SUBSTITUTE(R$3,"Q","T"),Inputs!$B$2:$AZ$2,0)),Inputs!$B$2:$B$190,$B120)*Inputs!$D$1)&lt;&gt;0),IF(ISNA(SUMIFS(INDEX(Inputs!$B$2:$AZ$190,,MATCH(SUBSTITUTE(R$3,"Q","T"),Inputs!$B$2:$AZ$2,0)),Inputs!$B$2:$B$190,$B120)*Inputs!$D$1),"",SUMIFS(INDEX(Inputs!$B$2:$AZ$190,,MATCH(SUBSTITUTE(R$3,"Q","T"),Inputs!$B$2:$AZ$2,0)),Inputs!$B$2:$B$190,$B120)*Inputs!$D$1),R117+R118+R119),"")</f>
        <v>698.027026</v>
      </c>
      <c r="S120" s="58">
        <f>R120</f>
        <v>698.027026</v>
      </c>
      <c r="T120" s="67">
        <f>IFERROR(IF(AND(ISNUMBER(IF(ISNA(SUMIFS(INDEX(Inputs!$B$2:$AZ$190,,MATCH(SUBSTITUTE(T$3,"Q","T"),Inputs!$B$2:$AZ$2,0)),Inputs!$B$2:$B$190,$B120)*Inputs!$D$1),"",SUMIFS(INDEX(Inputs!$B$2:$AZ$190,,MATCH(SUBSTITUTE(T$3,"Q","T"),Inputs!$B$2:$AZ$2,0)),Inputs!$B$2:$B$190,$B120)*Inputs!$D$1)),IF(ISNA(SUMIFS(INDEX(Inputs!$B$2:$AZ$190,,MATCH(SUBSTITUTE(T$3,"Q","T"),Inputs!$B$2:$AZ$2,0)),Inputs!$B$2:$B$190,$B120)*Inputs!$D$1),"",SUMIFS(INDEX(Inputs!$B$2:$AZ$190,,MATCH(SUBSTITUTE(T$3,"Q","T"),Inputs!$B$2:$AZ$2,0)),Inputs!$B$2:$B$190,$B120)*Inputs!$D$1)&lt;&gt;0),IF(ISNA(SUMIFS(INDEX(Inputs!$B$2:$AZ$190,,MATCH(SUBSTITUTE(T$3,"Q","T"),Inputs!$B$2:$AZ$2,0)),Inputs!$B$2:$B$190,$B120)*Inputs!$D$1),"",SUMIFS(INDEX(Inputs!$B$2:$AZ$190,,MATCH(SUBSTITUTE(T$3,"Q","T"),Inputs!$B$2:$AZ$2,0)),Inputs!$B$2:$B$190,$B120)*Inputs!$D$1),T117+T118+T119),"")</f>
        <v>761.492937</v>
      </c>
      <c r="U120" s="67">
        <f>IFERROR(IF(AND(ISNUMBER(IF(ISNA(SUMIFS(INDEX(Inputs!$B$2:$AZ$190,,MATCH(SUBSTITUTE(U$3,"Q","T"),Inputs!$B$2:$AZ$2,0)),Inputs!$B$2:$B$190,$B120)*Inputs!$D$1),"",SUMIFS(INDEX(Inputs!$B$2:$AZ$190,,MATCH(SUBSTITUTE(U$3,"Q","T"),Inputs!$B$2:$AZ$2,0)),Inputs!$B$2:$B$190,$B120)*Inputs!$D$1)),IF(ISNA(SUMIFS(INDEX(Inputs!$B$2:$AZ$190,,MATCH(SUBSTITUTE(U$3,"Q","T"),Inputs!$B$2:$AZ$2,0)),Inputs!$B$2:$B$190,$B120)*Inputs!$D$1),"",SUMIFS(INDEX(Inputs!$B$2:$AZ$190,,MATCH(SUBSTITUTE(U$3,"Q","T"),Inputs!$B$2:$AZ$2,0)),Inputs!$B$2:$B$190,$B120)*Inputs!$D$1)&lt;&gt;0),IF(ISNA(SUMIFS(INDEX(Inputs!$B$2:$AZ$190,,MATCH(SUBSTITUTE(U$3,"Q","T"),Inputs!$B$2:$AZ$2,0)),Inputs!$B$2:$B$190,$B120)*Inputs!$D$1),"",SUMIFS(INDEX(Inputs!$B$2:$AZ$190,,MATCH(SUBSTITUTE(U$3,"Q","T"),Inputs!$B$2:$AZ$2,0)),Inputs!$B$2:$B$190,$B120)*Inputs!$D$1),U117+U118+U119),"")</f>
        <v>795.378075</v>
      </c>
      <c r="V120" s="67">
        <f>IFERROR(IF(AND(ISNUMBER(IF(ISNA(SUMIFS(INDEX(Inputs!$B$2:$AZ$190,,MATCH(SUBSTITUTE(V$3,"Q","T"),Inputs!$B$2:$AZ$2,0)),Inputs!$B$2:$B$190,$B120)*Inputs!$D$1),"",SUMIFS(INDEX(Inputs!$B$2:$AZ$190,,MATCH(SUBSTITUTE(V$3,"Q","T"),Inputs!$B$2:$AZ$2,0)),Inputs!$B$2:$B$190,$B120)*Inputs!$D$1)),IF(ISNA(SUMIFS(INDEX(Inputs!$B$2:$AZ$190,,MATCH(SUBSTITUTE(V$3,"Q","T"),Inputs!$B$2:$AZ$2,0)),Inputs!$B$2:$B$190,$B120)*Inputs!$D$1),"",SUMIFS(INDEX(Inputs!$B$2:$AZ$190,,MATCH(SUBSTITUTE(V$3,"Q","T"),Inputs!$B$2:$AZ$2,0)),Inputs!$B$2:$B$190,$B120)*Inputs!$D$1)&lt;&gt;0),IF(ISNA(SUMIFS(INDEX(Inputs!$B$2:$AZ$190,,MATCH(SUBSTITUTE(V$3,"Q","T"),Inputs!$B$2:$AZ$2,0)),Inputs!$B$2:$B$190,$B120)*Inputs!$D$1),"",SUMIFS(INDEX(Inputs!$B$2:$AZ$190,,MATCH(SUBSTITUTE(V$3,"Q","T"),Inputs!$B$2:$AZ$2,0)),Inputs!$B$2:$B$190,$B120)*Inputs!$D$1),V117+V118+V119),"")</f>
        <v>826.452035</v>
      </c>
      <c r="W120" s="67">
        <f>IFERROR(IF(AND(ISNUMBER(IF(ISNA(SUMIFS(INDEX(Inputs!$B$2:$AZ$190,,MATCH(SUBSTITUTE(W$3,"Q","T"),Inputs!$B$2:$AZ$2,0)),Inputs!$B$2:$B$190,$B120)*Inputs!$D$1),"",SUMIFS(INDEX(Inputs!$B$2:$AZ$190,,MATCH(SUBSTITUTE(W$3,"Q","T"),Inputs!$B$2:$AZ$2,0)),Inputs!$B$2:$B$190,$B120)*Inputs!$D$1)),IF(ISNA(SUMIFS(INDEX(Inputs!$B$2:$AZ$190,,MATCH(SUBSTITUTE(W$3,"Q","T"),Inputs!$B$2:$AZ$2,0)),Inputs!$B$2:$B$190,$B120)*Inputs!$D$1),"",SUMIFS(INDEX(Inputs!$B$2:$AZ$190,,MATCH(SUBSTITUTE(W$3,"Q","T"),Inputs!$B$2:$AZ$2,0)),Inputs!$B$2:$B$190,$B120)*Inputs!$D$1)&lt;&gt;0),IF(ISNA(SUMIFS(INDEX(Inputs!$B$2:$AZ$190,,MATCH(SUBSTITUTE(W$3,"Q","T"),Inputs!$B$2:$AZ$2,0)),Inputs!$B$2:$B$190,$B120)*Inputs!$D$1),"",SUMIFS(INDEX(Inputs!$B$2:$AZ$190,,MATCH(SUBSTITUTE(W$3,"Q","T"),Inputs!$B$2:$AZ$2,0)),Inputs!$B$2:$B$190,$B120)*Inputs!$D$1),W117+W118+W119),"")</f>
        <v>867.147163</v>
      </c>
      <c r="X120" s="58">
        <f>W120</f>
        <v>867.147163</v>
      </c>
      <c r="Y120" s="67">
        <f>IFERROR(IF(AND(ISNUMBER(IF(ISNA(SUMIFS(INDEX(Inputs!$B$2:$AZ$190,,MATCH(SUBSTITUTE(Y$3,"Q","T"),Inputs!$B$2:$AZ$2,0)),Inputs!$B$2:$B$190,$B120)*Inputs!$D$1),"",SUMIFS(INDEX(Inputs!$B$2:$AZ$190,,MATCH(SUBSTITUTE(Y$3,"Q","T"),Inputs!$B$2:$AZ$2,0)),Inputs!$B$2:$B$190,$B120)*Inputs!$D$1)),IF(ISNA(SUMIFS(INDEX(Inputs!$B$2:$AZ$190,,MATCH(SUBSTITUTE(Y$3,"Q","T"),Inputs!$B$2:$AZ$2,0)),Inputs!$B$2:$B$190,$B120)*Inputs!$D$1),"",SUMIFS(INDEX(Inputs!$B$2:$AZ$190,,MATCH(SUBSTITUTE(Y$3,"Q","T"),Inputs!$B$2:$AZ$2,0)),Inputs!$B$2:$B$190,$B120)*Inputs!$D$1)&lt;&gt;0),IF(ISNA(SUMIFS(INDEX(Inputs!$B$2:$AZ$190,,MATCH(SUBSTITUTE(Y$3,"Q","T"),Inputs!$B$2:$AZ$2,0)),Inputs!$B$2:$B$190,$B120)*Inputs!$D$1),"",SUMIFS(INDEX(Inputs!$B$2:$AZ$190,,MATCH(SUBSTITUTE(Y$3,"Q","T"),Inputs!$B$2:$AZ$2,0)),Inputs!$B$2:$B$190,$B120)*Inputs!$D$1),Y117+Y118+Y119),"")</f>
        <v>854.584638</v>
      </c>
      <c r="Z120" s="67">
        <f>IFERROR(IF(AND(ISNUMBER(IF(ISNA(SUMIFS(INDEX(Inputs!$B$2:$AZ$190,,MATCH(SUBSTITUTE(Z$3,"Q","T"),Inputs!$B$2:$AZ$2,0)),Inputs!$B$2:$B$190,$B120)*Inputs!$D$1),"",SUMIFS(INDEX(Inputs!$B$2:$AZ$190,,MATCH(SUBSTITUTE(Z$3,"Q","T"),Inputs!$B$2:$AZ$2,0)),Inputs!$B$2:$B$190,$B120)*Inputs!$D$1)),IF(ISNA(SUMIFS(INDEX(Inputs!$B$2:$AZ$190,,MATCH(SUBSTITUTE(Z$3,"Q","T"),Inputs!$B$2:$AZ$2,0)),Inputs!$B$2:$B$190,$B120)*Inputs!$D$1),"",SUMIFS(INDEX(Inputs!$B$2:$AZ$190,,MATCH(SUBSTITUTE(Z$3,"Q","T"),Inputs!$B$2:$AZ$2,0)),Inputs!$B$2:$B$190,$B120)*Inputs!$D$1)&lt;&gt;0),IF(ISNA(SUMIFS(INDEX(Inputs!$B$2:$AZ$190,,MATCH(SUBSTITUTE(Z$3,"Q","T"),Inputs!$B$2:$AZ$2,0)),Inputs!$B$2:$B$190,$B120)*Inputs!$D$1),"",SUMIFS(INDEX(Inputs!$B$2:$AZ$190,,MATCH(SUBSTITUTE(Z$3,"Q","T"),Inputs!$B$2:$AZ$2,0)),Inputs!$B$2:$B$190,$B120)*Inputs!$D$1),Z117+Z118+Z119),"")</f>
        <v>813.241426</v>
      </c>
      <c r="AA120" s="67">
        <f>IFERROR(IF(AND(ISNUMBER(IF(ISNA(SUMIFS(INDEX(Inputs!$B$2:$AZ$190,,MATCH(SUBSTITUTE(AA$3,"Q","T"),Inputs!$B$2:$AZ$2,0)),Inputs!$B$2:$B$190,$B120)*Inputs!$D$1),"",SUMIFS(INDEX(Inputs!$B$2:$AZ$190,,MATCH(SUBSTITUTE(AA$3,"Q","T"),Inputs!$B$2:$AZ$2,0)),Inputs!$B$2:$B$190,$B120)*Inputs!$D$1)),IF(ISNA(SUMIFS(INDEX(Inputs!$B$2:$AZ$190,,MATCH(SUBSTITUTE(AA$3,"Q","T"),Inputs!$B$2:$AZ$2,0)),Inputs!$B$2:$B$190,$B120)*Inputs!$D$1),"",SUMIFS(INDEX(Inputs!$B$2:$AZ$190,,MATCH(SUBSTITUTE(AA$3,"Q","T"),Inputs!$B$2:$AZ$2,0)),Inputs!$B$2:$B$190,$B120)*Inputs!$D$1)&lt;&gt;0),IF(ISNA(SUMIFS(INDEX(Inputs!$B$2:$AZ$190,,MATCH(SUBSTITUTE(AA$3,"Q","T"),Inputs!$B$2:$AZ$2,0)),Inputs!$B$2:$B$190,$B120)*Inputs!$D$1),"",SUMIFS(INDEX(Inputs!$B$2:$AZ$190,,MATCH(SUBSTITUTE(AA$3,"Q","T"),Inputs!$B$2:$AZ$2,0)),Inputs!$B$2:$B$190,$B120)*Inputs!$D$1),AA117+AA118+AA119),"")</f>
        <v>530.73811</v>
      </c>
      <c r="AB120" s="67">
        <f>IFERROR(IF(AND(ISNUMBER(IF(ISNA(SUMIFS(INDEX(Inputs!$B$2:$AZ$190,,MATCH(SUBSTITUTE(AB$3,"Q","T"),Inputs!$B$2:$AZ$2,0)),Inputs!$B$2:$B$190,$B120)*Inputs!$D$1),"",SUMIFS(INDEX(Inputs!$B$2:$AZ$190,,MATCH(SUBSTITUTE(AB$3,"Q","T"),Inputs!$B$2:$AZ$2,0)),Inputs!$B$2:$B$190,$B120)*Inputs!$D$1)),IF(ISNA(SUMIFS(INDEX(Inputs!$B$2:$AZ$190,,MATCH(SUBSTITUTE(AB$3,"Q","T"),Inputs!$B$2:$AZ$2,0)),Inputs!$B$2:$B$190,$B120)*Inputs!$D$1),"",SUMIFS(INDEX(Inputs!$B$2:$AZ$190,,MATCH(SUBSTITUTE(AB$3,"Q","T"),Inputs!$B$2:$AZ$2,0)),Inputs!$B$2:$B$190,$B120)*Inputs!$D$1)&lt;&gt;0),IF(ISNA(SUMIFS(INDEX(Inputs!$B$2:$AZ$190,,MATCH(SUBSTITUTE(AB$3,"Q","T"),Inputs!$B$2:$AZ$2,0)),Inputs!$B$2:$B$190,$B120)*Inputs!$D$1),"",SUMIFS(INDEX(Inputs!$B$2:$AZ$190,,MATCH(SUBSTITUTE(AB$3,"Q","T"),Inputs!$B$2:$AZ$2,0)),Inputs!$B$2:$B$190,$B120)*Inputs!$D$1),AB117+AB118+AB119),"")</f>
        <v>541.157144</v>
      </c>
      <c r="AC120" s="58">
        <f>AB120</f>
        <v>541.157144</v>
      </c>
      <c r="AD120" s="67">
        <f>IFERROR(IF(AND(ISNUMBER(IF(ISNA(SUMIFS(INDEX(Inputs!$B$2:$AZ$190,,MATCH(SUBSTITUTE(AD$3,"Q","T"),Inputs!$B$2:$AZ$2,0)),Inputs!$B$2:$B$190,$B120)*Inputs!$D$1),"",SUMIFS(INDEX(Inputs!$B$2:$AZ$190,,MATCH(SUBSTITUTE(AD$3,"Q","T"),Inputs!$B$2:$AZ$2,0)),Inputs!$B$2:$B$190,$B120)*Inputs!$D$1)),IF(ISNA(SUMIFS(INDEX(Inputs!$B$2:$AZ$190,,MATCH(SUBSTITUTE(AD$3,"Q","T"),Inputs!$B$2:$AZ$2,0)),Inputs!$B$2:$B$190,$B120)*Inputs!$D$1),"",SUMIFS(INDEX(Inputs!$B$2:$AZ$190,,MATCH(SUBSTITUTE(AD$3,"Q","T"),Inputs!$B$2:$AZ$2,0)),Inputs!$B$2:$B$190,$B120)*Inputs!$D$1)&lt;&gt;0),IF(ISNA(SUMIFS(INDEX(Inputs!$B$2:$AZ$190,,MATCH(SUBSTITUTE(AD$3,"Q","T"),Inputs!$B$2:$AZ$2,0)),Inputs!$B$2:$B$190,$B120)*Inputs!$D$1),"",SUMIFS(INDEX(Inputs!$B$2:$AZ$190,,MATCH(SUBSTITUTE(AD$3,"Q","T"),Inputs!$B$2:$AZ$2,0)),Inputs!$B$2:$B$190,$B120)*Inputs!$D$1),AD117+AD118+AD119),"")</f>
        <v>1100.062</v>
      </c>
      <c r="AE120" s="67">
        <f>IFERROR(IF(AND(ISNUMBER(IF(ISNA(SUMIFS(INDEX(Inputs!$B$2:$AZ$190,,MATCH(SUBSTITUTE(AE$3,"Q","T"),Inputs!$B$2:$AZ$2,0)),Inputs!$B$2:$B$190,$B120)*Inputs!$D$1),"",SUMIFS(INDEX(Inputs!$B$2:$AZ$190,,MATCH(SUBSTITUTE(AE$3,"Q","T"),Inputs!$B$2:$AZ$2,0)),Inputs!$B$2:$B$190,$B120)*Inputs!$D$1)),IF(ISNA(SUMIFS(INDEX(Inputs!$B$2:$AZ$190,,MATCH(SUBSTITUTE(AE$3,"Q","T"),Inputs!$B$2:$AZ$2,0)),Inputs!$B$2:$B$190,$B120)*Inputs!$D$1),"",SUMIFS(INDEX(Inputs!$B$2:$AZ$190,,MATCH(SUBSTITUTE(AE$3,"Q","T"),Inputs!$B$2:$AZ$2,0)),Inputs!$B$2:$B$190,$B120)*Inputs!$D$1)&lt;&gt;0),IF(ISNA(SUMIFS(INDEX(Inputs!$B$2:$AZ$190,,MATCH(SUBSTITUTE(AE$3,"Q","T"),Inputs!$B$2:$AZ$2,0)),Inputs!$B$2:$B$190,$B120)*Inputs!$D$1),"",SUMIFS(INDEX(Inputs!$B$2:$AZ$190,,MATCH(SUBSTITUTE(AE$3,"Q","T"),Inputs!$B$2:$AZ$2,0)),Inputs!$B$2:$B$190,$B120)*Inputs!$D$1),AE117+AE118+AE119),"")</f>
        <v>1172.400031</v>
      </c>
      <c r="AF120" s="67">
        <f>IFERROR(IF(AND(ISNUMBER(IF(ISNA(SUMIFS(INDEX(Inputs!$B$2:$AZ$190,,MATCH(SUBSTITUTE(AF$3,"Q","T"),Inputs!$B$2:$AZ$2,0)),Inputs!$B$2:$B$190,$B120)*Inputs!$D$1),"",SUMIFS(INDEX(Inputs!$B$2:$AZ$190,,MATCH(SUBSTITUTE(AF$3,"Q","T"),Inputs!$B$2:$AZ$2,0)),Inputs!$B$2:$B$190,$B120)*Inputs!$D$1)),IF(ISNA(SUMIFS(INDEX(Inputs!$B$2:$AZ$190,,MATCH(SUBSTITUTE(AF$3,"Q","T"),Inputs!$B$2:$AZ$2,0)),Inputs!$B$2:$B$190,$B120)*Inputs!$D$1),"",SUMIFS(INDEX(Inputs!$B$2:$AZ$190,,MATCH(SUBSTITUTE(AF$3,"Q","T"),Inputs!$B$2:$AZ$2,0)),Inputs!$B$2:$B$190,$B120)*Inputs!$D$1)&lt;&gt;0),IF(ISNA(SUMIFS(INDEX(Inputs!$B$2:$AZ$190,,MATCH(SUBSTITUTE(AF$3,"Q","T"),Inputs!$B$2:$AZ$2,0)),Inputs!$B$2:$B$190,$B120)*Inputs!$D$1),"",SUMIFS(INDEX(Inputs!$B$2:$AZ$190,,MATCH(SUBSTITUTE(AF$3,"Q","T"),Inputs!$B$2:$AZ$2,0)),Inputs!$B$2:$B$190,$B120)*Inputs!$D$1),AF117+AF118+AF119),"")</f>
        <v>1241.311106</v>
      </c>
      <c r="AG120" s="67">
        <f>IFERROR(IF(AND(ISNUMBER(IF(ISNA(SUMIFS(INDEX(Inputs!$B$2:$AZ$190,,MATCH(SUBSTITUTE(AG$3,"Q","T"),Inputs!$B$2:$AZ$2,0)),Inputs!$B$2:$B$190,$B120)*Inputs!$D$1),"",SUMIFS(INDEX(Inputs!$B$2:$AZ$190,,MATCH(SUBSTITUTE(AG$3,"Q","T"),Inputs!$B$2:$AZ$2,0)),Inputs!$B$2:$B$190,$B120)*Inputs!$D$1)),IF(ISNA(SUMIFS(INDEX(Inputs!$B$2:$AZ$190,,MATCH(SUBSTITUTE(AG$3,"Q","T"),Inputs!$B$2:$AZ$2,0)),Inputs!$B$2:$B$190,$B120)*Inputs!$D$1),"",SUMIFS(INDEX(Inputs!$B$2:$AZ$190,,MATCH(SUBSTITUTE(AG$3,"Q","T"),Inputs!$B$2:$AZ$2,0)),Inputs!$B$2:$B$190,$B120)*Inputs!$D$1)&lt;&gt;0),IF(ISNA(SUMIFS(INDEX(Inputs!$B$2:$AZ$190,,MATCH(SUBSTITUTE(AG$3,"Q","T"),Inputs!$B$2:$AZ$2,0)),Inputs!$B$2:$B$190,$B120)*Inputs!$D$1),"",SUMIFS(INDEX(Inputs!$B$2:$AZ$190,,MATCH(SUBSTITUTE(AG$3,"Q","T"),Inputs!$B$2:$AZ$2,0)),Inputs!$B$2:$B$190,$B120)*Inputs!$D$1),AG117+AG118+AG119),"")</f>
        <v>1313.555609</v>
      </c>
      <c r="AH120" s="58">
        <f>AG120</f>
        <v>1313.555609</v>
      </c>
      <c r="AI120" s="67">
        <f>IFERROR(IF(AND(ISNUMBER(IF(ISNA(SUMIFS(INDEX(Inputs!$B$2:$AZ$190,,MATCH(SUBSTITUTE(AI$3,"Q","T"),Inputs!$B$2:$AZ$2,0)),Inputs!$B$2:$B$190,$B120)*Inputs!$D$1),"",SUMIFS(INDEX(Inputs!$B$2:$AZ$190,,MATCH(SUBSTITUTE(AI$3,"Q","T"),Inputs!$B$2:$AZ$2,0)),Inputs!$B$2:$B$190,$B120)*Inputs!$D$1)),IF(ISNA(SUMIFS(INDEX(Inputs!$B$2:$AZ$190,,MATCH(SUBSTITUTE(AI$3,"Q","T"),Inputs!$B$2:$AZ$2,0)),Inputs!$B$2:$B$190,$B120)*Inputs!$D$1),"",SUMIFS(INDEX(Inputs!$B$2:$AZ$190,,MATCH(SUBSTITUTE(AI$3,"Q","T"),Inputs!$B$2:$AZ$2,0)),Inputs!$B$2:$B$190,$B120)*Inputs!$D$1)&lt;&gt;0),IF(ISNA(SUMIFS(INDEX(Inputs!$B$2:$AZ$190,,MATCH(SUBSTITUTE(AI$3,"Q","T"),Inputs!$B$2:$AZ$2,0)),Inputs!$B$2:$B$190,$B120)*Inputs!$D$1),"",SUMIFS(INDEX(Inputs!$B$2:$AZ$190,,MATCH(SUBSTITUTE(AI$3,"Q","T"),Inputs!$B$2:$AZ$2,0)),Inputs!$B$2:$B$190,$B120)*Inputs!$D$1),AI117+AI118+AI119),"")</f>
        <v>1244.838735</v>
      </c>
      <c r="AJ120" s="67">
        <f>IFERROR(IF(AND(ISNUMBER(IF(ISNA(SUMIFS(INDEX(Inputs!$B$2:$AZ$190,,MATCH(SUBSTITUTE(AJ$3,"Q","T"),Inputs!$B$2:$AZ$2,0)),Inputs!$B$2:$B$190,$B120)*Inputs!$D$1),"",SUMIFS(INDEX(Inputs!$B$2:$AZ$190,,MATCH(SUBSTITUTE(AJ$3,"Q","T"),Inputs!$B$2:$AZ$2,0)),Inputs!$B$2:$B$190,$B120)*Inputs!$D$1)),IF(ISNA(SUMIFS(INDEX(Inputs!$B$2:$AZ$190,,MATCH(SUBSTITUTE(AJ$3,"Q","T"),Inputs!$B$2:$AZ$2,0)),Inputs!$B$2:$B$190,$B120)*Inputs!$D$1),"",SUMIFS(INDEX(Inputs!$B$2:$AZ$190,,MATCH(SUBSTITUTE(AJ$3,"Q","T"),Inputs!$B$2:$AZ$2,0)),Inputs!$B$2:$B$190,$B120)*Inputs!$D$1)&lt;&gt;0),IF(ISNA(SUMIFS(INDEX(Inputs!$B$2:$AZ$190,,MATCH(SUBSTITUTE(AJ$3,"Q","T"),Inputs!$B$2:$AZ$2,0)),Inputs!$B$2:$B$190,$B120)*Inputs!$D$1),"",SUMIFS(INDEX(Inputs!$B$2:$AZ$190,,MATCH(SUBSTITUTE(AJ$3,"Q","T"),Inputs!$B$2:$AZ$2,0)),Inputs!$B$2:$B$190,$B120)*Inputs!$D$1),AJ117+AJ118+AJ119),"")</f>
        <v>1250.71323</v>
      </c>
      <c r="AK120" s="67">
        <f>IFERROR(IF(AND(ISNUMBER(IF(ISNA(SUMIFS(INDEX(Inputs!$B$2:$AZ$190,,MATCH(SUBSTITUTE(AK$3,"Q","T"),Inputs!$B$2:$AZ$2,0)),Inputs!$B$2:$B$190,$B120)*Inputs!$D$1),"",SUMIFS(INDEX(Inputs!$B$2:$AZ$190,,MATCH(SUBSTITUTE(AK$3,"Q","T"),Inputs!$B$2:$AZ$2,0)),Inputs!$B$2:$B$190,$B120)*Inputs!$D$1)),IF(ISNA(SUMIFS(INDEX(Inputs!$B$2:$AZ$190,,MATCH(SUBSTITUTE(AK$3,"Q","T"),Inputs!$B$2:$AZ$2,0)),Inputs!$B$2:$B$190,$B120)*Inputs!$D$1),"",SUMIFS(INDEX(Inputs!$B$2:$AZ$190,,MATCH(SUBSTITUTE(AK$3,"Q","T"),Inputs!$B$2:$AZ$2,0)),Inputs!$B$2:$B$190,$B120)*Inputs!$D$1)&lt;&gt;0),IF(ISNA(SUMIFS(INDEX(Inputs!$B$2:$AZ$190,,MATCH(SUBSTITUTE(AK$3,"Q","T"),Inputs!$B$2:$AZ$2,0)),Inputs!$B$2:$B$190,$B120)*Inputs!$D$1),"",SUMIFS(INDEX(Inputs!$B$2:$AZ$190,,MATCH(SUBSTITUTE(AK$3,"Q","T"),Inputs!$B$2:$AZ$2,0)),Inputs!$B$2:$B$190,$B120)*Inputs!$D$1),AK117+AK118+AK119),"")</f>
        <v>0</v>
      </c>
      <c r="AL120" s="67">
        <f>IFERROR(IF(AND(ISNUMBER(IF(ISNA(SUMIFS(INDEX(Inputs!$B$2:$AZ$190,,MATCH(SUBSTITUTE(AL$3,"Q","T"),Inputs!$B$2:$AZ$2,0)),Inputs!$B$2:$B$190,$B120)*Inputs!$D$1),"",SUMIFS(INDEX(Inputs!$B$2:$AZ$190,,MATCH(SUBSTITUTE(AL$3,"Q","T"),Inputs!$B$2:$AZ$2,0)),Inputs!$B$2:$B$190,$B120)*Inputs!$D$1)),IF(ISNA(SUMIFS(INDEX(Inputs!$B$2:$AZ$190,,MATCH(SUBSTITUTE(AL$3,"Q","T"),Inputs!$B$2:$AZ$2,0)),Inputs!$B$2:$B$190,$B120)*Inputs!$D$1),"",SUMIFS(INDEX(Inputs!$B$2:$AZ$190,,MATCH(SUBSTITUTE(AL$3,"Q","T"),Inputs!$B$2:$AZ$2,0)),Inputs!$B$2:$B$190,$B120)*Inputs!$D$1)&lt;&gt;0),IF(ISNA(SUMIFS(INDEX(Inputs!$B$2:$AZ$190,,MATCH(SUBSTITUTE(AL$3,"Q","T"),Inputs!$B$2:$AZ$2,0)),Inputs!$B$2:$B$190,$B120)*Inputs!$D$1),"",SUMIFS(INDEX(Inputs!$B$2:$AZ$190,,MATCH(SUBSTITUTE(AL$3,"Q","T"),Inputs!$B$2:$AZ$2,0)),Inputs!$B$2:$B$190,$B120)*Inputs!$D$1),AL117+AL118+AL119),"")</f>
        <v>0</v>
      </c>
      <c r="AM120" s="58">
        <f>AL120</f>
        <v>0</v>
      </c>
      <c r="AN120" s="67">
        <f>IFERROR(IF(AND(ISNUMBER(IF(ISNA(SUMIFS(INDEX(Inputs!$B$2:$AZ$190,,MATCH(SUBSTITUTE(AN$3,"Q","T"),Inputs!$B$2:$AZ$2,0)),Inputs!$B$2:$B$190,$B120)*Inputs!$D$1),"",SUMIFS(INDEX(Inputs!$B$2:$AZ$190,,MATCH(SUBSTITUTE(AN$3,"Q","T"),Inputs!$B$2:$AZ$2,0)),Inputs!$B$2:$B$190,$B120)*Inputs!$D$1)),IF(ISNA(SUMIFS(INDEX(Inputs!$B$2:$AZ$190,,MATCH(SUBSTITUTE(AN$3,"Q","T"),Inputs!$B$2:$AZ$2,0)),Inputs!$B$2:$B$190,$B120)*Inputs!$D$1),"",SUMIFS(INDEX(Inputs!$B$2:$AZ$190,,MATCH(SUBSTITUTE(AN$3,"Q","T"),Inputs!$B$2:$AZ$2,0)),Inputs!$B$2:$B$190,$B120)*Inputs!$D$1)&lt;&gt;0),IF(ISNA(SUMIFS(INDEX(Inputs!$B$2:$AZ$190,,MATCH(SUBSTITUTE(AN$3,"Q","T"),Inputs!$B$2:$AZ$2,0)),Inputs!$B$2:$B$190,$B120)*Inputs!$D$1),"",SUMIFS(INDEX(Inputs!$B$2:$AZ$190,,MATCH(SUBSTITUTE(AN$3,"Q","T"),Inputs!$B$2:$AZ$2,0)),Inputs!$B$2:$B$190,$B120)*Inputs!$D$1),AN117+AN118+AN119),"")</f>
        <v>0</v>
      </c>
      <c r="AO120" s="67">
        <f>IFERROR(IF(AND(ISNUMBER(IF(ISNA(SUMIFS(INDEX(Inputs!$B$2:$AZ$190,,MATCH(SUBSTITUTE(AO$3,"Q","T"),Inputs!$B$2:$AZ$2,0)),Inputs!$B$2:$B$190,$B120)*Inputs!$D$1),"",SUMIFS(INDEX(Inputs!$B$2:$AZ$190,,MATCH(SUBSTITUTE(AO$3,"Q","T"),Inputs!$B$2:$AZ$2,0)),Inputs!$B$2:$B$190,$B120)*Inputs!$D$1)),IF(ISNA(SUMIFS(INDEX(Inputs!$B$2:$AZ$190,,MATCH(SUBSTITUTE(AO$3,"Q","T"),Inputs!$B$2:$AZ$2,0)),Inputs!$B$2:$B$190,$B120)*Inputs!$D$1),"",SUMIFS(INDEX(Inputs!$B$2:$AZ$190,,MATCH(SUBSTITUTE(AO$3,"Q","T"),Inputs!$B$2:$AZ$2,0)),Inputs!$B$2:$B$190,$B120)*Inputs!$D$1)&lt;&gt;0),IF(ISNA(SUMIFS(INDEX(Inputs!$B$2:$AZ$190,,MATCH(SUBSTITUTE(AO$3,"Q","T"),Inputs!$B$2:$AZ$2,0)),Inputs!$B$2:$B$190,$B120)*Inputs!$D$1),"",SUMIFS(INDEX(Inputs!$B$2:$AZ$190,,MATCH(SUBSTITUTE(AO$3,"Q","T"),Inputs!$B$2:$AZ$2,0)),Inputs!$B$2:$B$190,$B120)*Inputs!$D$1),AO117+AO118+AO119),"")</f>
        <v>0</v>
      </c>
      <c r="AP120" s="67">
        <f>IFERROR(IF(AND(ISNUMBER(IF(ISNA(SUMIFS(INDEX(Inputs!$B$2:$AZ$190,,MATCH(SUBSTITUTE(AP$3,"Q","T"),Inputs!$B$2:$AZ$2,0)),Inputs!$B$2:$B$190,$B120)*Inputs!$D$1),"",SUMIFS(INDEX(Inputs!$B$2:$AZ$190,,MATCH(SUBSTITUTE(AP$3,"Q","T"),Inputs!$B$2:$AZ$2,0)),Inputs!$B$2:$B$190,$B120)*Inputs!$D$1)),IF(ISNA(SUMIFS(INDEX(Inputs!$B$2:$AZ$190,,MATCH(SUBSTITUTE(AP$3,"Q","T"),Inputs!$B$2:$AZ$2,0)),Inputs!$B$2:$B$190,$B120)*Inputs!$D$1),"",SUMIFS(INDEX(Inputs!$B$2:$AZ$190,,MATCH(SUBSTITUTE(AP$3,"Q","T"),Inputs!$B$2:$AZ$2,0)),Inputs!$B$2:$B$190,$B120)*Inputs!$D$1)&lt;&gt;0),IF(ISNA(SUMIFS(INDEX(Inputs!$B$2:$AZ$190,,MATCH(SUBSTITUTE(AP$3,"Q","T"),Inputs!$B$2:$AZ$2,0)),Inputs!$B$2:$B$190,$B120)*Inputs!$D$1),"",SUMIFS(INDEX(Inputs!$B$2:$AZ$190,,MATCH(SUBSTITUTE(AP$3,"Q","T"),Inputs!$B$2:$AZ$2,0)),Inputs!$B$2:$B$190,$B120)*Inputs!$D$1),AP117+AP118+AP119),"")</f>
        <v>0</v>
      </c>
      <c r="AQ120" s="67">
        <f>IFERROR(IF(AND(ISNUMBER(IF(ISNA(SUMIFS(INDEX(Inputs!$B$2:$AZ$190,,MATCH(SUBSTITUTE(AQ$3,"Q","T"),Inputs!$B$2:$AZ$2,0)),Inputs!$B$2:$B$190,$B120)*Inputs!$D$1),"",SUMIFS(INDEX(Inputs!$B$2:$AZ$190,,MATCH(SUBSTITUTE(AQ$3,"Q","T"),Inputs!$B$2:$AZ$2,0)),Inputs!$B$2:$B$190,$B120)*Inputs!$D$1)),IF(ISNA(SUMIFS(INDEX(Inputs!$B$2:$AZ$190,,MATCH(SUBSTITUTE(AQ$3,"Q","T"),Inputs!$B$2:$AZ$2,0)),Inputs!$B$2:$B$190,$B120)*Inputs!$D$1),"",SUMIFS(INDEX(Inputs!$B$2:$AZ$190,,MATCH(SUBSTITUTE(AQ$3,"Q","T"),Inputs!$B$2:$AZ$2,0)),Inputs!$B$2:$B$190,$B120)*Inputs!$D$1)&lt;&gt;0),IF(ISNA(SUMIFS(INDEX(Inputs!$B$2:$AZ$190,,MATCH(SUBSTITUTE(AQ$3,"Q","T"),Inputs!$B$2:$AZ$2,0)),Inputs!$B$2:$B$190,$B120)*Inputs!$D$1),"",SUMIFS(INDEX(Inputs!$B$2:$AZ$190,,MATCH(SUBSTITUTE(AQ$3,"Q","T"),Inputs!$B$2:$AZ$2,0)),Inputs!$B$2:$B$190,$B120)*Inputs!$D$1),AQ117+AQ118+AQ119),"")</f>
        <v>0</v>
      </c>
      <c r="AR120" s="58">
        <f>AQ120</f>
        <v>0</v>
      </c>
      <c r="AS120" s="67">
        <f>IFERROR(IF(AND(ISNUMBER(IF(ISNA(SUMIFS(INDEX(Inputs!$B$2:$AZ$190,,MATCH(SUBSTITUTE(AS$3,"Q","T"),Inputs!$B$2:$AZ$2,0)),Inputs!$B$2:$B$190,$B120)*Inputs!$D$1),"",SUMIFS(INDEX(Inputs!$B$2:$AZ$190,,MATCH(SUBSTITUTE(AS$3,"Q","T"),Inputs!$B$2:$AZ$2,0)),Inputs!$B$2:$B$190,$B120)*Inputs!$D$1)),IF(ISNA(SUMIFS(INDEX(Inputs!$B$2:$AZ$190,,MATCH(SUBSTITUTE(AS$3,"Q","T"),Inputs!$B$2:$AZ$2,0)),Inputs!$B$2:$B$190,$B120)*Inputs!$D$1),"",SUMIFS(INDEX(Inputs!$B$2:$AZ$190,,MATCH(SUBSTITUTE(AS$3,"Q","T"),Inputs!$B$2:$AZ$2,0)),Inputs!$B$2:$B$190,$B120)*Inputs!$D$1)&lt;&gt;0),IF(ISNA(SUMIFS(INDEX(Inputs!$B$2:$AZ$190,,MATCH(SUBSTITUTE(AS$3,"Q","T"),Inputs!$B$2:$AZ$2,0)),Inputs!$B$2:$B$190,$B120)*Inputs!$D$1),"",SUMIFS(INDEX(Inputs!$B$2:$AZ$190,,MATCH(SUBSTITUTE(AS$3,"Q","T"),Inputs!$B$2:$AZ$2,0)),Inputs!$B$2:$B$190,$B120)*Inputs!$D$1),AS117+AS118+AS119),"")</f>
        <v>0</v>
      </c>
      <c r="AT120" s="67">
        <f>IFERROR(IF(AND(ISNUMBER(IF(ISNA(SUMIFS(INDEX(Inputs!$B$2:$AZ$190,,MATCH(SUBSTITUTE(AT$3,"Q","T"),Inputs!$B$2:$AZ$2,0)),Inputs!$B$2:$B$190,$B120)*Inputs!$D$1),"",SUMIFS(INDEX(Inputs!$B$2:$AZ$190,,MATCH(SUBSTITUTE(AT$3,"Q","T"),Inputs!$B$2:$AZ$2,0)),Inputs!$B$2:$B$190,$B120)*Inputs!$D$1)),IF(ISNA(SUMIFS(INDEX(Inputs!$B$2:$AZ$190,,MATCH(SUBSTITUTE(AT$3,"Q","T"),Inputs!$B$2:$AZ$2,0)),Inputs!$B$2:$B$190,$B120)*Inputs!$D$1),"",SUMIFS(INDEX(Inputs!$B$2:$AZ$190,,MATCH(SUBSTITUTE(AT$3,"Q","T"),Inputs!$B$2:$AZ$2,0)),Inputs!$B$2:$B$190,$B120)*Inputs!$D$1)&lt;&gt;0),IF(ISNA(SUMIFS(INDEX(Inputs!$B$2:$AZ$190,,MATCH(SUBSTITUTE(AT$3,"Q","T"),Inputs!$B$2:$AZ$2,0)),Inputs!$B$2:$B$190,$B120)*Inputs!$D$1),"",SUMIFS(INDEX(Inputs!$B$2:$AZ$190,,MATCH(SUBSTITUTE(AT$3,"Q","T"),Inputs!$B$2:$AZ$2,0)),Inputs!$B$2:$B$190,$B120)*Inputs!$D$1),AT117+AT118+AT119),"")</f>
        <v>0</v>
      </c>
      <c r="AU120" s="67">
        <f>IFERROR(IF(AND(ISNUMBER(IF(ISNA(SUMIFS(INDEX(Inputs!$B$2:$AZ$190,,MATCH(SUBSTITUTE(AU$3,"Q","T"),Inputs!$B$2:$AZ$2,0)),Inputs!$B$2:$B$190,$B120)*Inputs!$D$1),"",SUMIFS(INDEX(Inputs!$B$2:$AZ$190,,MATCH(SUBSTITUTE(AU$3,"Q","T"),Inputs!$B$2:$AZ$2,0)),Inputs!$B$2:$B$190,$B120)*Inputs!$D$1)),IF(ISNA(SUMIFS(INDEX(Inputs!$B$2:$AZ$190,,MATCH(SUBSTITUTE(AU$3,"Q","T"),Inputs!$B$2:$AZ$2,0)),Inputs!$B$2:$B$190,$B120)*Inputs!$D$1),"",SUMIFS(INDEX(Inputs!$B$2:$AZ$190,,MATCH(SUBSTITUTE(AU$3,"Q","T"),Inputs!$B$2:$AZ$2,0)),Inputs!$B$2:$B$190,$B120)*Inputs!$D$1)&lt;&gt;0),IF(ISNA(SUMIFS(INDEX(Inputs!$B$2:$AZ$190,,MATCH(SUBSTITUTE(AU$3,"Q","T"),Inputs!$B$2:$AZ$2,0)),Inputs!$B$2:$B$190,$B120)*Inputs!$D$1),"",SUMIFS(INDEX(Inputs!$B$2:$AZ$190,,MATCH(SUBSTITUTE(AU$3,"Q","T"),Inputs!$B$2:$AZ$2,0)),Inputs!$B$2:$B$190,$B120)*Inputs!$D$1),AU117+AU118+AU119),"")</f>
        <v>0</v>
      </c>
      <c r="AV120" s="67">
        <f>IFERROR(IF(AND(ISNUMBER(IF(ISNA(SUMIFS(INDEX(Inputs!$B$2:$AZ$190,,MATCH(SUBSTITUTE(AV$3,"Q","T"),Inputs!$B$2:$AZ$2,0)),Inputs!$B$2:$B$190,$B120)*Inputs!$D$1),"",SUMIFS(INDEX(Inputs!$B$2:$AZ$190,,MATCH(SUBSTITUTE(AV$3,"Q","T"),Inputs!$B$2:$AZ$2,0)),Inputs!$B$2:$B$190,$B120)*Inputs!$D$1)),IF(ISNA(SUMIFS(INDEX(Inputs!$B$2:$AZ$190,,MATCH(SUBSTITUTE(AV$3,"Q","T"),Inputs!$B$2:$AZ$2,0)),Inputs!$B$2:$B$190,$B120)*Inputs!$D$1),"",SUMIFS(INDEX(Inputs!$B$2:$AZ$190,,MATCH(SUBSTITUTE(AV$3,"Q","T"),Inputs!$B$2:$AZ$2,0)),Inputs!$B$2:$B$190,$B120)*Inputs!$D$1)&lt;&gt;0),IF(ISNA(SUMIFS(INDEX(Inputs!$B$2:$AZ$190,,MATCH(SUBSTITUTE(AV$3,"Q","T"),Inputs!$B$2:$AZ$2,0)),Inputs!$B$2:$B$190,$B120)*Inputs!$D$1),"",SUMIFS(INDEX(Inputs!$B$2:$AZ$190,,MATCH(SUBSTITUTE(AV$3,"Q","T"),Inputs!$B$2:$AZ$2,0)),Inputs!$B$2:$B$190,$B120)*Inputs!$D$1),AV117+AV118+AV119),"")</f>
        <v>0</v>
      </c>
      <c r="AW120" s="58">
        <f>AV120</f>
        <v>0</v>
      </c>
      <c r="AX120" s="67">
        <f>IFERROR(IF(AND(ISNUMBER(IF(ISNA(SUMIFS(INDEX(Inputs!$B$2:$AZ$190,,MATCH(SUBSTITUTE(AX$3,"Q","T"),Inputs!$B$2:$AZ$2,0)),Inputs!$B$2:$B$190,$B120)*Inputs!$D$1),"",SUMIFS(INDEX(Inputs!$B$2:$AZ$190,,MATCH(SUBSTITUTE(AX$3,"Q","T"),Inputs!$B$2:$AZ$2,0)),Inputs!$B$2:$B$190,$B120)*Inputs!$D$1)),IF(ISNA(SUMIFS(INDEX(Inputs!$B$2:$AZ$190,,MATCH(SUBSTITUTE(AX$3,"Q","T"),Inputs!$B$2:$AZ$2,0)),Inputs!$B$2:$B$190,$B120)*Inputs!$D$1),"",SUMIFS(INDEX(Inputs!$B$2:$AZ$190,,MATCH(SUBSTITUTE(AX$3,"Q","T"),Inputs!$B$2:$AZ$2,0)),Inputs!$B$2:$B$190,$B120)*Inputs!$D$1)&lt;&gt;0),IF(ISNA(SUMIFS(INDEX(Inputs!$B$2:$AZ$190,,MATCH(SUBSTITUTE(AX$3,"Q","T"),Inputs!$B$2:$AZ$2,0)),Inputs!$B$2:$B$190,$B120)*Inputs!$D$1),"",SUMIFS(INDEX(Inputs!$B$2:$AZ$190,,MATCH(SUBSTITUTE(AX$3,"Q","T"),Inputs!$B$2:$AZ$2,0)),Inputs!$B$2:$B$190,$B120)*Inputs!$D$1),AX117+AX118+AX119),"")</f>
        <v>0</v>
      </c>
      <c r="AY120" s="67">
        <f>IFERROR(IF(AND(ISNUMBER(IF(ISNA(SUMIFS(INDEX(Inputs!$B$2:$AZ$190,,MATCH(SUBSTITUTE(AY$3,"Q","T"),Inputs!$B$2:$AZ$2,0)),Inputs!$B$2:$B$190,$B120)*Inputs!$D$1),"",SUMIFS(INDEX(Inputs!$B$2:$AZ$190,,MATCH(SUBSTITUTE(AY$3,"Q","T"),Inputs!$B$2:$AZ$2,0)),Inputs!$B$2:$B$190,$B120)*Inputs!$D$1)),IF(ISNA(SUMIFS(INDEX(Inputs!$B$2:$AZ$190,,MATCH(SUBSTITUTE(AY$3,"Q","T"),Inputs!$B$2:$AZ$2,0)),Inputs!$B$2:$B$190,$B120)*Inputs!$D$1),"",SUMIFS(INDEX(Inputs!$B$2:$AZ$190,,MATCH(SUBSTITUTE(AY$3,"Q","T"),Inputs!$B$2:$AZ$2,0)),Inputs!$B$2:$B$190,$B120)*Inputs!$D$1)&lt;&gt;0),IF(ISNA(SUMIFS(INDEX(Inputs!$B$2:$AZ$190,,MATCH(SUBSTITUTE(AY$3,"Q","T"),Inputs!$B$2:$AZ$2,0)),Inputs!$B$2:$B$190,$B120)*Inputs!$D$1),"",SUMIFS(INDEX(Inputs!$B$2:$AZ$190,,MATCH(SUBSTITUTE(AY$3,"Q","T"),Inputs!$B$2:$AZ$2,0)),Inputs!$B$2:$B$190,$B120)*Inputs!$D$1),AY117+AY118+AY119),"")</f>
        <v>0</v>
      </c>
      <c r="AZ120" s="67">
        <f>IFERROR(IF(AND(ISNUMBER(IF(ISNA(SUMIFS(INDEX(Inputs!$B$2:$AZ$190,,MATCH(SUBSTITUTE(AZ$3,"Q","T"),Inputs!$B$2:$AZ$2,0)),Inputs!$B$2:$B$190,$B120)*Inputs!$D$1),"",SUMIFS(INDEX(Inputs!$B$2:$AZ$190,,MATCH(SUBSTITUTE(AZ$3,"Q","T"),Inputs!$B$2:$AZ$2,0)),Inputs!$B$2:$B$190,$B120)*Inputs!$D$1)),IF(ISNA(SUMIFS(INDEX(Inputs!$B$2:$AZ$190,,MATCH(SUBSTITUTE(AZ$3,"Q","T"),Inputs!$B$2:$AZ$2,0)),Inputs!$B$2:$B$190,$B120)*Inputs!$D$1),"",SUMIFS(INDEX(Inputs!$B$2:$AZ$190,,MATCH(SUBSTITUTE(AZ$3,"Q","T"),Inputs!$B$2:$AZ$2,0)),Inputs!$B$2:$B$190,$B120)*Inputs!$D$1)&lt;&gt;0),IF(ISNA(SUMIFS(INDEX(Inputs!$B$2:$AZ$190,,MATCH(SUBSTITUTE(AZ$3,"Q","T"),Inputs!$B$2:$AZ$2,0)),Inputs!$B$2:$B$190,$B120)*Inputs!$D$1),"",SUMIFS(INDEX(Inputs!$B$2:$AZ$190,,MATCH(SUBSTITUTE(AZ$3,"Q","T"),Inputs!$B$2:$AZ$2,0)),Inputs!$B$2:$B$190,$B120)*Inputs!$D$1),AZ117+AZ118+AZ119),"")</f>
        <v>0</v>
      </c>
      <c r="BA120" s="67">
        <f>IFERROR(IF(AND(ISNUMBER(IF(ISNA(SUMIFS(INDEX(Inputs!$B$2:$AZ$190,,MATCH(SUBSTITUTE(BA$3,"Q","T"),Inputs!$B$2:$AZ$2,0)),Inputs!$B$2:$B$190,$B120)*Inputs!$D$1),"",SUMIFS(INDEX(Inputs!$B$2:$AZ$190,,MATCH(SUBSTITUTE(BA$3,"Q","T"),Inputs!$B$2:$AZ$2,0)),Inputs!$B$2:$B$190,$B120)*Inputs!$D$1)),IF(ISNA(SUMIFS(INDEX(Inputs!$B$2:$AZ$190,,MATCH(SUBSTITUTE(BA$3,"Q","T"),Inputs!$B$2:$AZ$2,0)),Inputs!$B$2:$B$190,$B120)*Inputs!$D$1),"",SUMIFS(INDEX(Inputs!$B$2:$AZ$190,,MATCH(SUBSTITUTE(BA$3,"Q","T"),Inputs!$B$2:$AZ$2,0)),Inputs!$B$2:$B$190,$B120)*Inputs!$D$1)&lt;&gt;0),IF(ISNA(SUMIFS(INDEX(Inputs!$B$2:$AZ$190,,MATCH(SUBSTITUTE(BA$3,"Q","T"),Inputs!$B$2:$AZ$2,0)),Inputs!$B$2:$B$190,$B120)*Inputs!$D$1),"",SUMIFS(INDEX(Inputs!$B$2:$AZ$190,,MATCH(SUBSTITUTE(BA$3,"Q","T"),Inputs!$B$2:$AZ$2,0)),Inputs!$B$2:$B$190,$B120)*Inputs!$D$1),BA117+BA118+BA119),"")</f>
        <v>0</v>
      </c>
      <c r="BB120" s="58">
        <f>BA120</f>
        <v>0</v>
      </c>
      <c r="BC120" s="67">
        <f>IFERROR(IF(AND(ISNUMBER(IF(ISNA(SUMIFS(INDEX(Inputs!$B$2:$AZ$190,,MATCH(SUBSTITUTE(BC$3,"Q","T"),Inputs!$B$2:$AZ$2,0)),Inputs!$B$2:$B$190,$B120)*Inputs!$D$1),"",SUMIFS(INDEX(Inputs!$B$2:$AZ$190,,MATCH(SUBSTITUTE(BC$3,"Q","T"),Inputs!$B$2:$AZ$2,0)),Inputs!$B$2:$B$190,$B120)*Inputs!$D$1)),IF(ISNA(SUMIFS(INDEX(Inputs!$B$2:$AZ$190,,MATCH(SUBSTITUTE(BC$3,"Q","T"),Inputs!$B$2:$AZ$2,0)),Inputs!$B$2:$B$190,$B120)*Inputs!$D$1),"",SUMIFS(INDEX(Inputs!$B$2:$AZ$190,,MATCH(SUBSTITUTE(BC$3,"Q","T"),Inputs!$B$2:$AZ$2,0)),Inputs!$B$2:$B$190,$B120)*Inputs!$D$1)&lt;&gt;0),IF(ISNA(SUMIFS(INDEX(Inputs!$B$2:$AZ$190,,MATCH(SUBSTITUTE(BC$3,"Q","T"),Inputs!$B$2:$AZ$2,0)),Inputs!$B$2:$B$190,$B120)*Inputs!$D$1),"",SUMIFS(INDEX(Inputs!$B$2:$AZ$190,,MATCH(SUBSTITUTE(BC$3,"Q","T"),Inputs!$B$2:$AZ$2,0)),Inputs!$B$2:$B$190,$B120)*Inputs!$D$1),BC117+BC118+BC119),"")</f>
        <v>0</v>
      </c>
      <c r="BD120" s="67">
        <f>IFERROR(IF(AND(ISNUMBER(IF(ISNA(SUMIFS(INDEX(Inputs!$B$2:$AZ$190,,MATCH(SUBSTITUTE(BD$3,"Q","T"),Inputs!$B$2:$AZ$2,0)),Inputs!$B$2:$B$190,$B120)*Inputs!$D$1),"",SUMIFS(INDEX(Inputs!$B$2:$AZ$190,,MATCH(SUBSTITUTE(BD$3,"Q","T"),Inputs!$B$2:$AZ$2,0)),Inputs!$B$2:$B$190,$B120)*Inputs!$D$1)),IF(ISNA(SUMIFS(INDEX(Inputs!$B$2:$AZ$190,,MATCH(SUBSTITUTE(BD$3,"Q","T"),Inputs!$B$2:$AZ$2,0)),Inputs!$B$2:$B$190,$B120)*Inputs!$D$1),"",SUMIFS(INDEX(Inputs!$B$2:$AZ$190,,MATCH(SUBSTITUTE(BD$3,"Q","T"),Inputs!$B$2:$AZ$2,0)),Inputs!$B$2:$B$190,$B120)*Inputs!$D$1)&lt;&gt;0),IF(ISNA(SUMIFS(INDEX(Inputs!$B$2:$AZ$190,,MATCH(SUBSTITUTE(BD$3,"Q","T"),Inputs!$B$2:$AZ$2,0)),Inputs!$B$2:$B$190,$B120)*Inputs!$D$1),"",SUMIFS(INDEX(Inputs!$B$2:$AZ$190,,MATCH(SUBSTITUTE(BD$3,"Q","T"),Inputs!$B$2:$AZ$2,0)),Inputs!$B$2:$B$190,$B120)*Inputs!$D$1),BD117+BD118+BD119),"")</f>
        <v>0</v>
      </c>
      <c r="BE120" s="67">
        <f>IFERROR(IF(AND(ISNUMBER(IF(ISNA(SUMIFS(INDEX(Inputs!$B$2:$AZ$190,,MATCH(SUBSTITUTE(BE$3,"Q","T"),Inputs!$B$2:$AZ$2,0)),Inputs!$B$2:$B$190,$B120)*Inputs!$D$1),"",SUMIFS(INDEX(Inputs!$B$2:$AZ$190,,MATCH(SUBSTITUTE(BE$3,"Q","T"),Inputs!$B$2:$AZ$2,0)),Inputs!$B$2:$B$190,$B120)*Inputs!$D$1)),IF(ISNA(SUMIFS(INDEX(Inputs!$B$2:$AZ$190,,MATCH(SUBSTITUTE(BE$3,"Q","T"),Inputs!$B$2:$AZ$2,0)),Inputs!$B$2:$B$190,$B120)*Inputs!$D$1),"",SUMIFS(INDEX(Inputs!$B$2:$AZ$190,,MATCH(SUBSTITUTE(BE$3,"Q","T"),Inputs!$B$2:$AZ$2,0)),Inputs!$B$2:$B$190,$B120)*Inputs!$D$1)&lt;&gt;0),IF(ISNA(SUMIFS(INDEX(Inputs!$B$2:$AZ$190,,MATCH(SUBSTITUTE(BE$3,"Q","T"),Inputs!$B$2:$AZ$2,0)),Inputs!$B$2:$B$190,$B120)*Inputs!$D$1),"",SUMIFS(INDEX(Inputs!$B$2:$AZ$190,,MATCH(SUBSTITUTE(BE$3,"Q","T"),Inputs!$B$2:$AZ$2,0)),Inputs!$B$2:$B$190,$B120)*Inputs!$D$1),BE117+BE118+BE119),"")</f>
        <v>0</v>
      </c>
      <c r="BF120" s="67">
        <f>IFERROR(IF(AND(ISNUMBER(IF(ISNA(SUMIFS(INDEX(Inputs!$B$2:$AZ$190,,MATCH(SUBSTITUTE(BF$3,"Q","T"),Inputs!$B$2:$AZ$2,0)),Inputs!$B$2:$B$190,$B120)*Inputs!$D$1),"",SUMIFS(INDEX(Inputs!$B$2:$AZ$190,,MATCH(SUBSTITUTE(BF$3,"Q","T"),Inputs!$B$2:$AZ$2,0)),Inputs!$B$2:$B$190,$B120)*Inputs!$D$1)),IF(ISNA(SUMIFS(INDEX(Inputs!$B$2:$AZ$190,,MATCH(SUBSTITUTE(BF$3,"Q","T"),Inputs!$B$2:$AZ$2,0)),Inputs!$B$2:$B$190,$B120)*Inputs!$D$1),"",SUMIFS(INDEX(Inputs!$B$2:$AZ$190,,MATCH(SUBSTITUTE(BF$3,"Q","T"),Inputs!$B$2:$AZ$2,0)),Inputs!$B$2:$B$190,$B120)*Inputs!$D$1)&lt;&gt;0),IF(ISNA(SUMIFS(INDEX(Inputs!$B$2:$AZ$190,,MATCH(SUBSTITUTE(BF$3,"Q","T"),Inputs!$B$2:$AZ$2,0)),Inputs!$B$2:$B$190,$B120)*Inputs!$D$1),"",SUMIFS(INDEX(Inputs!$B$2:$AZ$190,,MATCH(SUBSTITUTE(BF$3,"Q","T"),Inputs!$B$2:$AZ$2,0)),Inputs!$B$2:$B$190,$B120)*Inputs!$D$1),BF117+BF118+BF119),"")</f>
        <v>0</v>
      </c>
      <c r="BG120" s="58">
        <f>BF120</f>
        <v>0</v>
      </c>
    </row>
    <row r="121">
      <c r="B121" s="56" t="inlineStr">
        <is>
          <t>npl90</t>
        </is>
      </c>
      <c r="C121" s="11" t="inlineStr">
        <is>
          <t>Operações vencidas acima de 90 dias</t>
        </is>
      </c>
      <c r="D121" s="12" t="inlineStr">
        <is>
          <t>Loans overdue &gt; 90 days</t>
        </is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>0</v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>H121</f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53.743411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249.352622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267.352637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261.13785</v>
      </c>
      <c r="N121" s="58">
        <f>M121</f>
        <v>261.13785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146.163658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90.227108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87.351807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128.623392</v>
      </c>
      <c r="S121" s="58">
        <f>R121</f>
        <v>128.623392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153.441073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276.50696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406.250464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648.624446</v>
      </c>
      <c r="X121" s="58">
        <f>W121</f>
        <v>648.624446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674.881726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702.654276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271.493234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273.367166</v>
      </c>
      <c r="AC121" s="58">
        <f>AB121</f>
        <v>273.367166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485.355128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382.383911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319.116443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262.331092</v>
      </c>
      <c r="AH121" s="58">
        <f>AG121</f>
        <v>262.331092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278.5884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332.061309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>AL121</f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>AQ121</f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>AV121</f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>BA121</f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>BF121</f>
        <v>0</v>
      </c>
    </row>
    <row r="122">
      <c r="B122" s="56" t="inlineStr">
        <is>
          <t>npl15</t>
        </is>
      </c>
      <c r="C122" s="11" t="inlineStr">
        <is>
          <t>Operações vencidas de 15 a 90 dias</t>
        </is>
      </c>
      <c r="D122" s="12" t="inlineStr">
        <is>
          <t>Loans overdue 15-90 days</t>
        </is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>0</v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>H122</f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>M122</f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>R122</f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0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0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0</v>
      </c>
      <c r="X122" s="58">
        <f>W122</f>
        <v>0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0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0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0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0</v>
      </c>
      <c r="AC122" s="58">
        <f>AB122</f>
        <v>0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0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0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0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0</v>
      </c>
      <c r="AH122" s="58">
        <f>AG122</f>
        <v>0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0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0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>AL122</f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>AQ122</f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>AV122</f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>BA122</f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>BF122</f>
        <v>0</v>
      </c>
    </row>
    <row r="123">
      <c r="B123" s="56" t="inlineStr">
        <is>
          <t>wo</t>
        </is>
      </c>
      <c r="C123" s="11" t="inlineStr">
        <is>
          <t>Write-off do período</t>
        </is>
      </c>
      <c r="D123" s="12" t="inlineStr">
        <is>
          <t>Write-offs in the period</t>
        </is>
      </c>
      <c r="E123" s="57">
        <f>IF(ISNA(SUMIFS(INDEX(Inputs!$B$2:$AZ$190,,MATCH(SUBSTITUTE(E$3,"Q","T"),Inputs!$B$2:$AZ$2,0)),Inputs!$B$2:$B$190,$B123)*Inputs!$D$1),"",SUMIFS(INDEX(Inputs!$B$2:$AZ$190,,MATCH(SUBSTITUTE(E$3,"Q","T"),Inputs!$B$2:$AZ$2,0)),Inputs!$B$2:$B$190,$B123)*Inputs!$D$1)</f>
        <v>0</v>
      </c>
      <c r="F123" s="57">
        <f>IF(ISNA(SUMIFS(INDEX(Inputs!$B$2:$AZ$190,,MATCH(SUBSTITUTE(F$3,"Q","T"),Inputs!$B$2:$AZ$2,0)),Inputs!$B$2:$B$190,$B123)*Inputs!$D$1),"",SUMIFS(INDEX(Inputs!$B$2:$AZ$190,,MATCH(SUBSTITUTE(F$3,"Q","T"),Inputs!$B$2:$AZ$2,0)),Inputs!$B$2:$B$190,$B123)*Inputs!$D$1)</f>
        <v>0</v>
      </c>
      <c r="G123" s="57">
        <f>IF(ISNA(SUMIFS(INDEX(Inputs!$B$2:$AZ$190,,MATCH(SUBSTITUTE(G$3,"Q","T"),Inputs!$B$2:$AZ$2,0)),Inputs!$B$2:$B$190,$B123)*Inputs!$D$1),"",SUMIFS(INDEX(Inputs!$B$2:$AZ$190,,MATCH(SUBSTITUTE(G$3,"Q","T"),Inputs!$B$2:$AZ$2,0)),Inputs!$B$2:$B$190,$B123)*Inputs!$D$1)</f>
        <v>0</v>
      </c>
      <c r="H123" s="57">
        <f>IF(ISNA(SUMIFS(INDEX(Inputs!$B$2:$AZ$190,,MATCH(SUBSTITUTE(H$3,"Q","T"),Inputs!$B$2:$AZ$2,0)),Inputs!$B$2:$B$190,$B123)*Inputs!$D$1),"",SUMIFS(INDEX(Inputs!$B$2:$AZ$190,,MATCH(SUBSTITUTE(H$3,"Q","T"),Inputs!$B$2:$AZ$2,0)),Inputs!$B$2:$B$190,$B123)*Inputs!$D$1)</f>
        <v>0</v>
      </c>
      <c r="I123" s="58">
        <f>SUM(E123:H123)</f>
        <v>0</v>
      </c>
      <c r="J123" s="57">
        <f>IF(ISNA(SUMIFS(INDEX(Inputs!$B$2:$AZ$190,,MATCH(SUBSTITUTE(J$3,"Q","T"),Inputs!$B$2:$AZ$2,0)),Inputs!$B$2:$B$190,$B123)*Inputs!$D$1),"",SUMIFS(INDEX(Inputs!$B$2:$AZ$190,,MATCH(SUBSTITUTE(J$3,"Q","T"),Inputs!$B$2:$AZ$2,0)),Inputs!$B$2:$B$190,$B123)*Inputs!$D$1)</f>
        <v>0</v>
      </c>
      <c r="K123" s="57">
        <f>IF(ISNA(SUMIFS(INDEX(Inputs!$B$2:$AZ$190,,MATCH(SUBSTITUTE(K$3,"Q","T"),Inputs!$B$2:$AZ$2,0)),Inputs!$B$2:$B$190,$B123)*Inputs!$D$1),"",SUMIFS(INDEX(Inputs!$B$2:$AZ$190,,MATCH(SUBSTITUTE(K$3,"Q","T"),Inputs!$B$2:$AZ$2,0)),Inputs!$B$2:$B$190,$B123)*Inputs!$D$1)</f>
        <v>0</v>
      </c>
      <c r="L123" s="57">
        <f>IF(ISNA(SUMIFS(INDEX(Inputs!$B$2:$AZ$190,,MATCH(SUBSTITUTE(L$3,"Q","T"),Inputs!$B$2:$AZ$2,0)),Inputs!$B$2:$B$190,$B123)*Inputs!$D$1),"",SUMIFS(INDEX(Inputs!$B$2:$AZ$190,,MATCH(SUBSTITUTE(L$3,"Q","T"),Inputs!$B$2:$AZ$2,0)),Inputs!$B$2:$B$190,$B123)*Inputs!$D$1)</f>
        <v>0</v>
      </c>
      <c r="M123" s="57">
        <f>IF(ISNA(SUMIFS(INDEX(Inputs!$B$2:$AZ$190,,MATCH(SUBSTITUTE(M$3,"Q","T"),Inputs!$B$2:$AZ$2,0)),Inputs!$B$2:$B$190,$B123)*Inputs!$D$1),"",SUMIFS(INDEX(Inputs!$B$2:$AZ$190,,MATCH(SUBSTITUTE(M$3,"Q","T"),Inputs!$B$2:$AZ$2,0)),Inputs!$B$2:$B$190,$B123)*Inputs!$D$1)</f>
        <v>0</v>
      </c>
      <c r="N123" s="58">
        <f>SUM(J123:M123)</f>
        <v>0</v>
      </c>
      <c r="O123" s="57">
        <f>IF(ISNA(SUMIFS(INDEX(Inputs!$B$2:$AZ$190,,MATCH(SUBSTITUTE(O$3,"Q","T"),Inputs!$B$2:$AZ$2,0)),Inputs!$B$2:$B$190,$B123)*Inputs!$D$1),"",SUMIFS(INDEX(Inputs!$B$2:$AZ$190,,MATCH(SUBSTITUTE(O$3,"Q","T"),Inputs!$B$2:$AZ$2,0)),Inputs!$B$2:$B$190,$B123)*Inputs!$D$1)</f>
        <v>0</v>
      </c>
      <c r="P123" s="57">
        <f>IF(ISNA(SUMIFS(INDEX(Inputs!$B$2:$AZ$190,,MATCH(SUBSTITUTE(P$3,"Q","T"),Inputs!$B$2:$AZ$2,0)),Inputs!$B$2:$B$190,$B123)*Inputs!$D$1),"",SUMIFS(INDEX(Inputs!$B$2:$AZ$190,,MATCH(SUBSTITUTE(P$3,"Q","T"),Inputs!$B$2:$AZ$2,0)),Inputs!$B$2:$B$190,$B123)*Inputs!$D$1)</f>
        <v>0</v>
      </c>
      <c r="Q123" s="57">
        <f>IF(ISNA(SUMIFS(INDEX(Inputs!$B$2:$AZ$190,,MATCH(SUBSTITUTE(Q$3,"Q","T"),Inputs!$B$2:$AZ$2,0)),Inputs!$B$2:$B$190,$B123)*Inputs!$D$1),"",SUMIFS(INDEX(Inputs!$B$2:$AZ$190,,MATCH(SUBSTITUTE(Q$3,"Q","T"),Inputs!$B$2:$AZ$2,0)),Inputs!$B$2:$B$190,$B123)*Inputs!$D$1)</f>
        <v>0</v>
      </c>
      <c r="R123" s="57">
        <f>IF(ISNA(SUMIFS(INDEX(Inputs!$B$2:$AZ$190,,MATCH(SUBSTITUTE(R$3,"Q","T"),Inputs!$B$2:$AZ$2,0)),Inputs!$B$2:$B$190,$B123)*Inputs!$D$1),"",SUMIFS(INDEX(Inputs!$B$2:$AZ$190,,MATCH(SUBSTITUTE(R$3,"Q","T"),Inputs!$B$2:$AZ$2,0)),Inputs!$B$2:$B$190,$B123)*Inputs!$D$1)</f>
        <v>0</v>
      </c>
      <c r="S123" s="58">
        <f>SUM(O123:R123)</f>
        <v>0</v>
      </c>
      <c r="T123" s="57">
        <f>IF(ISNA(SUMIFS(INDEX(Inputs!$B$2:$AZ$190,,MATCH(SUBSTITUTE(T$3,"Q","T"),Inputs!$B$2:$AZ$2,0)),Inputs!$B$2:$B$190,$B123)*Inputs!$D$1),"",SUMIFS(INDEX(Inputs!$B$2:$AZ$190,,MATCH(SUBSTITUTE(T$3,"Q","T"),Inputs!$B$2:$AZ$2,0)),Inputs!$B$2:$B$190,$B123)*Inputs!$D$1)</f>
        <v>0</v>
      </c>
      <c r="U123" s="57">
        <f>IF(ISNA(SUMIFS(INDEX(Inputs!$B$2:$AZ$190,,MATCH(SUBSTITUTE(U$3,"Q","T"),Inputs!$B$2:$AZ$2,0)),Inputs!$B$2:$B$190,$B123)*Inputs!$D$1),"",SUMIFS(INDEX(Inputs!$B$2:$AZ$190,,MATCH(SUBSTITUTE(U$3,"Q","T"),Inputs!$B$2:$AZ$2,0)),Inputs!$B$2:$B$190,$B123)*Inputs!$D$1)</f>
        <v>0</v>
      </c>
      <c r="V123" s="57">
        <f>IF(ISNA(SUMIFS(INDEX(Inputs!$B$2:$AZ$190,,MATCH(SUBSTITUTE(V$3,"Q","T"),Inputs!$B$2:$AZ$2,0)),Inputs!$B$2:$B$190,$B123)*Inputs!$D$1),"",SUMIFS(INDEX(Inputs!$B$2:$AZ$190,,MATCH(SUBSTITUTE(V$3,"Q","T"),Inputs!$B$2:$AZ$2,0)),Inputs!$B$2:$B$190,$B123)*Inputs!$D$1)</f>
        <v>0</v>
      </c>
      <c r="W123" s="57">
        <f>IF(ISNA(SUMIFS(INDEX(Inputs!$B$2:$AZ$190,,MATCH(SUBSTITUTE(W$3,"Q","T"),Inputs!$B$2:$AZ$2,0)),Inputs!$B$2:$B$190,$B123)*Inputs!$D$1),"",SUMIFS(INDEX(Inputs!$B$2:$AZ$190,,MATCH(SUBSTITUTE(W$3,"Q","T"),Inputs!$B$2:$AZ$2,0)),Inputs!$B$2:$B$190,$B123)*Inputs!$D$1)</f>
        <v>0</v>
      </c>
      <c r="X123" s="58">
        <f>SUM(T123:W123)</f>
        <v>0</v>
      </c>
      <c r="Y123" s="57">
        <f>IF(ISNA(SUMIFS(INDEX(Inputs!$B$2:$AZ$190,,MATCH(SUBSTITUTE(Y$3,"Q","T"),Inputs!$B$2:$AZ$2,0)),Inputs!$B$2:$B$190,$B123)*Inputs!$D$1),"",SUMIFS(INDEX(Inputs!$B$2:$AZ$190,,MATCH(SUBSTITUTE(Y$3,"Q","T"),Inputs!$B$2:$AZ$2,0)),Inputs!$B$2:$B$190,$B123)*Inputs!$D$1)</f>
        <v>48.25142</v>
      </c>
      <c r="Z123" s="57">
        <f>IF(ISNA(SUMIFS(INDEX(Inputs!$B$2:$AZ$190,,MATCH(SUBSTITUTE(Z$3,"Q","T"),Inputs!$B$2:$AZ$2,0)),Inputs!$B$2:$B$190,$B123)*Inputs!$D$1),"",SUMIFS(INDEX(Inputs!$B$2:$AZ$190,,MATCH(SUBSTITUTE(Z$3,"Q","T"),Inputs!$B$2:$AZ$2,0)),Inputs!$B$2:$B$190,$B123)*Inputs!$D$1)</f>
        <v>58.370506</v>
      </c>
      <c r="AA123" s="57">
        <f>IF(ISNA(SUMIFS(INDEX(Inputs!$B$2:$AZ$190,,MATCH(SUBSTITUTE(AA$3,"Q","T"),Inputs!$B$2:$AZ$2,0)),Inputs!$B$2:$B$190,$B123)*Inputs!$D$1),"",SUMIFS(INDEX(Inputs!$B$2:$AZ$190,,MATCH(SUBSTITUTE(AA$3,"Q","T"),Inputs!$B$2:$AZ$2,0)),Inputs!$B$2:$B$190,$B123)*Inputs!$D$1)</f>
        <v>355.615254</v>
      </c>
      <c r="AB123" s="57">
        <f>IF(ISNA(SUMIFS(INDEX(Inputs!$B$2:$AZ$190,,MATCH(SUBSTITUTE(AB$3,"Q","T"),Inputs!$B$2:$AZ$2,0)),Inputs!$B$2:$B$190,$B123)*Inputs!$D$1),"",SUMIFS(INDEX(Inputs!$B$2:$AZ$190,,MATCH(SUBSTITUTE(AB$3,"Q","T"),Inputs!$B$2:$AZ$2,0)),Inputs!$B$2:$B$190,$B123)*Inputs!$D$1)</f>
        <v>61.709473</v>
      </c>
      <c r="AC123" s="58">
        <f>SUM(Y123:AB123)</f>
        <v>523.946653</v>
      </c>
      <c r="AD123" s="57">
        <f>IF(ISNA(SUMIFS(INDEX(Inputs!$B$2:$AZ$190,,MATCH(SUBSTITUTE(AD$3,"Q","T"),Inputs!$B$2:$AZ$2,0)),Inputs!$B$2:$B$190,$B123)*Inputs!$D$1),"",SUMIFS(INDEX(Inputs!$B$2:$AZ$190,,MATCH(SUBSTITUTE(AD$3,"Q","T"),Inputs!$B$2:$AZ$2,0)),Inputs!$B$2:$B$190,$B123)*Inputs!$D$1)</f>
        <v>21.174702</v>
      </c>
      <c r="AE123" s="57">
        <f>IF(ISNA(SUMIFS(INDEX(Inputs!$B$2:$AZ$190,,MATCH(SUBSTITUTE(AE$3,"Q","T"),Inputs!$B$2:$AZ$2,0)),Inputs!$B$2:$B$190,$B123)*Inputs!$D$1),"",SUMIFS(INDEX(Inputs!$B$2:$AZ$190,,MATCH(SUBSTITUTE(AE$3,"Q","T"),Inputs!$B$2:$AZ$2,0)),Inputs!$B$2:$B$190,$B123)*Inputs!$D$1)</f>
        <v>3.862832</v>
      </c>
      <c r="AF123" s="57">
        <f>IF(ISNA(SUMIFS(INDEX(Inputs!$B$2:$AZ$190,,MATCH(SUBSTITUTE(AF$3,"Q","T"),Inputs!$B$2:$AZ$2,0)),Inputs!$B$2:$B$190,$B123)*Inputs!$D$1),"",SUMIFS(INDEX(Inputs!$B$2:$AZ$190,,MATCH(SUBSTITUTE(AF$3,"Q","T"),Inputs!$B$2:$AZ$2,0)),Inputs!$B$2:$B$190,$B123)*Inputs!$D$1)</f>
        <v>55.137887</v>
      </c>
      <c r="AG123" s="57">
        <f>IF(ISNA(SUMIFS(INDEX(Inputs!$B$2:$AZ$190,,MATCH(SUBSTITUTE(AG$3,"Q","T"),Inputs!$B$2:$AZ$2,0)),Inputs!$B$2:$B$190,$B123)*Inputs!$D$1),"",SUMIFS(INDEX(Inputs!$B$2:$AZ$190,,MATCH(SUBSTITUTE(AG$3,"Q","T"),Inputs!$B$2:$AZ$2,0)),Inputs!$B$2:$B$190,$B123)*Inputs!$D$1)</f>
        <v>52.707827</v>
      </c>
      <c r="AH123" s="58">
        <f>SUM(AD123:AG123)</f>
        <v>132.883248</v>
      </c>
      <c r="AI123" s="57">
        <f>IF(ISNA(SUMIFS(INDEX(Inputs!$B$2:$AZ$190,,MATCH(SUBSTITUTE(AI$3,"Q","T"),Inputs!$B$2:$AZ$2,0)),Inputs!$B$2:$B$190,$B123)*Inputs!$D$1),"",SUMIFS(INDEX(Inputs!$B$2:$AZ$190,,MATCH(SUBSTITUTE(AI$3,"Q","T"),Inputs!$B$2:$AZ$2,0)),Inputs!$B$2:$B$190,$B123)*Inputs!$D$1)</f>
        <v>33.332458</v>
      </c>
      <c r="AJ123" s="57">
        <f>IF(ISNA(SUMIFS(INDEX(Inputs!$B$2:$AZ$190,,MATCH(SUBSTITUTE(AJ$3,"Q","T"),Inputs!$B$2:$AZ$2,0)),Inputs!$B$2:$B$190,$B123)*Inputs!$D$1),"",SUMIFS(INDEX(Inputs!$B$2:$AZ$190,,MATCH(SUBSTITUTE(AJ$3,"Q","T"),Inputs!$B$2:$AZ$2,0)),Inputs!$B$2:$B$190,$B123)*Inputs!$D$1)</f>
        <v>101.183683</v>
      </c>
      <c r="AK123" s="57">
        <f>IF(ISNA(SUMIFS(INDEX(Inputs!$B$2:$AZ$190,,MATCH(SUBSTITUTE(AK$3,"Q","T"),Inputs!$B$2:$AZ$2,0)),Inputs!$B$2:$B$190,$B123)*Inputs!$D$1),"",SUMIFS(INDEX(Inputs!$B$2:$AZ$190,,MATCH(SUBSTITUTE(AK$3,"Q","T"),Inputs!$B$2:$AZ$2,0)),Inputs!$B$2:$B$190,$B123)*Inputs!$D$1)</f>
        <v>0</v>
      </c>
      <c r="AL123" s="57">
        <f>IF(ISNA(SUMIFS(INDEX(Inputs!$B$2:$AZ$190,,MATCH(SUBSTITUTE(AL$3,"Q","T"),Inputs!$B$2:$AZ$2,0)),Inputs!$B$2:$B$190,$B123)*Inputs!$D$1),"",SUMIFS(INDEX(Inputs!$B$2:$AZ$190,,MATCH(SUBSTITUTE(AL$3,"Q","T"),Inputs!$B$2:$AZ$2,0)),Inputs!$B$2:$B$190,$B123)*Inputs!$D$1)</f>
        <v>0</v>
      </c>
      <c r="AM123" s="58">
        <f>SUM(AI123:AL123)</f>
        <v>134.516141</v>
      </c>
      <c r="AN123" s="57">
        <f>IF(ISNA(SUMIFS(INDEX(Inputs!$B$2:$AZ$190,,MATCH(SUBSTITUTE(AN$3,"Q","T"),Inputs!$B$2:$AZ$2,0)),Inputs!$B$2:$B$190,$B123)*Inputs!$D$1),"",SUMIFS(INDEX(Inputs!$B$2:$AZ$190,,MATCH(SUBSTITUTE(AN$3,"Q","T"),Inputs!$B$2:$AZ$2,0)),Inputs!$B$2:$B$190,$B123)*Inputs!$D$1)</f>
        <v>0</v>
      </c>
      <c r="AO123" s="57">
        <f>IF(ISNA(SUMIFS(INDEX(Inputs!$B$2:$AZ$190,,MATCH(SUBSTITUTE(AO$3,"Q","T"),Inputs!$B$2:$AZ$2,0)),Inputs!$B$2:$B$190,$B123)*Inputs!$D$1),"",SUMIFS(INDEX(Inputs!$B$2:$AZ$190,,MATCH(SUBSTITUTE(AO$3,"Q","T"),Inputs!$B$2:$AZ$2,0)),Inputs!$B$2:$B$190,$B123)*Inputs!$D$1)</f>
        <v>0</v>
      </c>
      <c r="AP123" s="57">
        <f>IF(ISNA(SUMIFS(INDEX(Inputs!$B$2:$AZ$190,,MATCH(SUBSTITUTE(AP$3,"Q","T"),Inputs!$B$2:$AZ$2,0)),Inputs!$B$2:$B$190,$B123)*Inputs!$D$1),"",SUMIFS(INDEX(Inputs!$B$2:$AZ$190,,MATCH(SUBSTITUTE(AP$3,"Q","T"),Inputs!$B$2:$AZ$2,0)),Inputs!$B$2:$B$190,$B123)*Inputs!$D$1)</f>
        <v>0</v>
      </c>
      <c r="AQ123" s="57">
        <f>IF(ISNA(SUMIFS(INDEX(Inputs!$B$2:$AZ$190,,MATCH(SUBSTITUTE(AQ$3,"Q","T"),Inputs!$B$2:$AZ$2,0)),Inputs!$B$2:$B$190,$B123)*Inputs!$D$1),"",SUMIFS(INDEX(Inputs!$B$2:$AZ$190,,MATCH(SUBSTITUTE(AQ$3,"Q","T"),Inputs!$B$2:$AZ$2,0)),Inputs!$B$2:$B$190,$B123)*Inputs!$D$1)</f>
        <v>0</v>
      </c>
      <c r="AR123" s="58">
        <f>SUM(AN123:AQ123)</f>
        <v>0</v>
      </c>
      <c r="AS123" s="57">
        <f>IF(ISNA(SUMIFS(INDEX(Inputs!$B$2:$AZ$190,,MATCH(SUBSTITUTE(AS$3,"Q","T"),Inputs!$B$2:$AZ$2,0)),Inputs!$B$2:$B$190,$B123)*Inputs!$D$1),"",SUMIFS(INDEX(Inputs!$B$2:$AZ$190,,MATCH(SUBSTITUTE(AS$3,"Q","T"),Inputs!$B$2:$AZ$2,0)),Inputs!$B$2:$B$190,$B123)*Inputs!$D$1)</f>
        <v>0</v>
      </c>
      <c r="AT123" s="57">
        <f>IF(ISNA(SUMIFS(INDEX(Inputs!$B$2:$AZ$190,,MATCH(SUBSTITUTE(AT$3,"Q","T"),Inputs!$B$2:$AZ$2,0)),Inputs!$B$2:$B$190,$B123)*Inputs!$D$1),"",SUMIFS(INDEX(Inputs!$B$2:$AZ$190,,MATCH(SUBSTITUTE(AT$3,"Q","T"),Inputs!$B$2:$AZ$2,0)),Inputs!$B$2:$B$190,$B123)*Inputs!$D$1)</f>
        <v>0</v>
      </c>
      <c r="AU123" s="57">
        <f>IF(ISNA(SUMIFS(INDEX(Inputs!$B$2:$AZ$190,,MATCH(SUBSTITUTE(AU$3,"Q","T"),Inputs!$B$2:$AZ$2,0)),Inputs!$B$2:$B$190,$B123)*Inputs!$D$1),"",SUMIFS(INDEX(Inputs!$B$2:$AZ$190,,MATCH(SUBSTITUTE(AU$3,"Q","T"),Inputs!$B$2:$AZ$2,0)),Inputs!$B$2:$B$190,$B123)*Inputs!$D$1)</f>
        <v>0</v>
      </c>
      <c r="AV123" s="57">
        <f>IF(ISNA(SUMIFS(INDEX(Inputs!$B$2:$AZ$190,,MATCH(SUBSTITUTE(AV$3,"Q","T"),Inputs!$B$2:$AZ$2,0)),Inputs!$B$2:$B$190,$B123)*Inputs!$D$1),"",SUMIFS(INDEX(Inputs!$B$2:$AZ$190,,MATCH(SUBSTITUTE(AV$3,"Q","T"),Inputs!$B$2:$AZ$2,0)),Inputs!$B$2:$B$190,$B123)*Inputs!$D$1)</f>
        <v>0</v>
      </c>
      <c r="AW123" s="58">
        <f>SUM(AS123:AV123)</f>
        <v>0</v>
      </c>
      <c r="AX123" s="57">
        <f>IF(ISNA(SUMIFS(INDEX(Inputs!$B$2:$AZ$190,,MATCH(SUBSTITUTE(AX$3,"Q","T"),Inputs!$B$2:$AZ$2,0)),Inputs!$B$2:$B$190,$B123)*Inputs!$D$1),"",SUMIFS(INDEX(Inputs!$B$2:$AZ$190,,MATCH(SUBSTITUTE(AX$3,"Q","T"),Inputs!$B$2:$AZ$2,0)),Inputs!$B$2:$B$190,$B123)*Inputs!$D$1)</f>
        <v>0</v>
      </c>
      <c r="AY123" s="57">
        <f>IF(ISNA(SUMIFS(INDEX(Inputs!$B$2:$AZ$190,,MATCH(SUBSTITUTE(AY$3,"Q","T"),Inputs!$B$2:$AZ$2,0)),Inputs!$B$2:$B$190,$B123)*Inputs!$D$1),"",SUMIFS(INDEX(Inputs!$B$2:$AZ$190,,MATCH(SUBSTITUTE(AY$3,"Q","T"),Inputs!$B$2:$AZ$2,0)),Inputs!$B$2:$B$190,$B123)*Inputs!$D$1)</f>
        <v>0</v>
      </c>
      <c r="AZ123" s="57">
        <f>IF(ISNA(SUMIFS(INDEX(Inputs!$B$2:$AZ$190,,MATCH(SUBSTITUTE(AZ$3,"Q","T"),Inputs!$B$2:$AZ$2,0)),Inputs!$B$2:$B$190,$B123)*Inputs!$D$1),"",SUMIFS(INDEX(Inputs!$B$2:$AZ$190,,MATCH(SUBSTITUTE(AZ$3,"Q","T"),Inputs!$B$2:$AZ$2,0)),Inputs!$B$2:$B$190,$B123)*Inputs!$D$1)</f>
        <v>0</v>
      </c>
      <c r="BA123" s="57">
        <f>IF(ISNA(SUMIFS(INDEX(Inputs!$B$2:$AZ$190,,MATCH(SUBSTITUTE(BA$3,"Q","T"),Inputs!$B$2:$AZ$2,0)),Inputs!$B$2:$B$190,$B123)*Inputs!$D$1),"",SUMIFS(INDEX(Inputs!$B$2:$AZ$190,,MATCH(SUBSTITUTE(BA$3,"Q","T"),Inputs!$B$2:$AZ$2,0)),Inputs!$B$2:$B$190,$B123)*Inputs!$D$1)</f>
        <v>0</v>
      </c>
      <c r="BB123" s="58">
        <f>SUM(AX123:BA123)</f>
        <v>0</v>
      </c>
      <c r="BC123" s="57">
        <f>IF(ISNA(SUMIFS(INDEX(Inputs!$B$2:$AZ$190,,MATCH(SUBSTITUTE(BC$3,"Q","T"),Inputs!$B$2:$AZ$2,0)),Inputs!$B$2:$B$190,$B123)*Inputs!$D$1),"",SUMIFS(INDEX(Inputs!$B$2:$AZ$190,,MATCH(SUBSTITUTE(BC$3,"Q","T"),Inputs!$B$2:$AZ$2,0)),Inputs!$B$2:$B$190,$B123)*Inputs!$D$1)</f>
        <v>0</v>
      </c>
      <c r="BD123" s="57">
        <f>IF(ISNA(SUMIFS(INDEX(Inputs!$B$2:$AZ$190,,MATCH(SUBSTITUTE(BD$3,"Q","T"),Inputs!$B$2:$AZ$2,0)),Inputs!$B$2:$B$190,$B123)*Inputs!$D$1),"",SUMIFS(INDEX(Inputs!$B$2:$AZ$190,,MATCH(SUBSTITUTE(BD$3,"Q","T"),Inputs!$B$2:$AZ$2,0)),Inputs!$B$2:$B$190,$B123)*Inputs!$D$1)</f>
        <v>0</v>
      </c>
      <c r="BE123" s="57">
        <f>IF(ISNA(SUMIFS(INDEX(Inputs!$B$2:$AZ$190,,MATCH(SUBSTITUTE(BE$3,"Q","T"),Inputs!$B$2:$AZ$2,0)),Inputs!$B$2:$B$190,$B123)*Inputs!$D$1),"",SUMIFS(INDEX(Inputs!$B$2:$AZ$190,,MATCH(SUBSTITUTE(BE$3,"Q","T"),Inputs!$B$2:$AZ$2,0)),Inputs!$B$2:$B$190,$B123)*Inputs!$D$1)</f>
        <v>0</v>
      </c>
      <c r="BF123" s="57">
        <f>IF(ISNA(SUMIFS(INDEX(Inputs!$B$2:$AZ$190,,MATCH(SUBSTITUTE(BF$3,"Q","T"),Inputs!$B$2:$AZ$2,0)),Inputs!$B$2:$B$190,$B123)*Inputs!$D$1),"",SUMIFS(INDEX(Inputs!$B$2:$AZ$190,,MATCH(SUBSTITUTE(BF$3,"Q","T"),Inputs!$B$2:$AZ$2,0)),Inputs!$B$2:$B$190,$B123)*Inputs!$D$1)</f>
        <v>0</v>
      </c>
      <c r="BG123" s="58">
        <f>SUM(BC123:BF123)</f>
        <v>0</v>
      </c>
    </row>
    <row r="124">
      <c r="B124" s="56" t="inlineStr">
        <is>
          <t>reneg</t>
        </is>
      </c>
      <c r="C124" s="11" t="inlineStr">
        <is>
          <t>Carteira renegociada</t>
        </is>
      </c>
      <c r="D124" s="12" t="inlineStr">
        <is>
          <t>Renegotiated portfolio</t>
        </is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>0</v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0</v>
      </c>
      <c r="I124" s="58">
        <f>H124</f>
        <v>0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0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0</v>
      </c>
      <c r="N124" s="58">
        <f>M124</f>
        <v>0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0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0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0</v>
      </c>
      <c r="S124" s="58">
        <f>R124</f>
        <v>0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0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0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0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0</v>
      </c>
      <c r="X124" s="58">
        <f>W124</f>
        <v>0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220.06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214.852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156.273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159.637</v>
      </c>
      <c r="AC124" s="58">
        <f>AB124</f>
        <v>159.637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77.2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96.44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82.7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92.909</v>
      </c>
      <c r="AH124" s="58">
        <f>AG124</f>
        <v>92.909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93.856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107.5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6">
      <c r="B126" s="29" t="n"/>
      <c r="C126" s="29" t="inlineStr">
        <is>
          <t>Margem financeira e base de ativos</t>
        </is>
      </c>
      <c r="D126" s="29" t="inlineStr">
        <is>
          <t>Net interest income and asset base</t>
        </is>
      </c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  <c r="AW126" s="29" t="n"/>
      <c r="AX126" s="29" t="n"/>
      <c r="AY126" s="29" t="n"/>
      <c r="AZ126" s="29" t="n"/>
      <c r="BA126" s="29" t="n"/>
      <c r="BB126" s="29" t="n"/>
      <c r="BC126" s="29" t="n"/>
      <c r="BD126" s="29" t="n"/>
      <c r="BE126" s="29" t="n"/>
      <c r="BF126" s="29" t="n"/>
      <c r="BG126" s="29" t="n"/>
      <c r="BH126" s="29" t="n"/>
      <c r="BI126" s="29" t="n"/>
    </row>
    <row r="127">
      <c r="B127" s="56" t="inlineStr">
        <is>
          <t>mf_cli</t>
        </is>
      </c>
      <c r="C127" s="11" t="inlineStr">
        <is>
          <t>Margem financeira com clientes (reportada)</t>
        </is>
      </c>
      <c r="D127" s="12" t="inlineStr">
        <is>
          <t>NII with clients</t>
        </is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>0</v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SUM(E127:H127)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SUM(J127:M127)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SUM(O127:R127)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SUM(T127:W127)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SUM(Y127:AB127)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SUM(AD127:AG127)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SUM(AI127:AL127)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SUM(AN127:AQ127)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SUM(AS127:AV127)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SUM(AX127:BA127)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SUM(BC127:BF127)</f>
        <v>0</v>
      </c>
    </row>
    <row r="128">
      <c r="B128" s="56" t="inlineStr">
        <is>
          <t>mf_mkt</t>
        </is>
      </c>
      <c r="C128" s="11" t="inlineStr">
        <is>
          <t>Margem financeira com o mercado (reportada)</t>
        </is>
      </c>
      <c r="D128" s="12" t="inlineStr">
        <is>
          <t>NII with market</t>
        </is>
      </c>
      <c r="E128" s="57">
        <f>IF(ISNA(SUMIFS(INDEX(Inputs!$B$2:$AZ$190,,MATCH(SUBSTITUTE(E$3,"Q","T"),Inputs!$B$2:$AZ$2,0)),Inputs!$B$2:$B$190,$B128)*Inputs!$D$1),"",SUMIFS(INDEX(Inputs!$B$2:$AZ$190,,MATCH(SUBSTITUTE(E$3,"Q","T"),Inputs!$B$2:$AZ$2,0)),Inputs!$B$2:$B$190,$B128)*Inputs!$D$1)</f>
        <v>0</v>
      </c>
      <c r="F128" s="57">
        <f>IF(ISNA(SUMIFS(INDEX(Inputs!$B$2:$AZ$190,,MATCH(SUBSTITUTE(F$3,"Q","T"),Inputs!$B$2:$AZ$2,0)),Inputs!$B$2:$B$190,$B128)*Inputs!$D$1),"",SUMIFS(INDEX(Inputs!$B$2:$AZ$190,,MATCH(SUBSTITUTE(F$3,"Q","T"),Inputs!$B$2:$AZ$2,0)),Inputs!$B$2:$B$190,$B128)*Inputs!$D$1)</f>
        <v>0</v>
      </c>
      <c r="G128" s="57">
        <f>IF(ISNA(SUMIFS(INDEX(Inputs!$B$2:$AZ$190,,MATCH(SUBSTITUTE(G$3,"Q","T"),Inputs!$B$2:$AZ$2,0)),Inputs!$B$2:$B$190,$B128)*Inputs!$D$1),"",SUMIFS(INDEX(Inputs!$B$2:$AZ$190,,MATCH(SUBSTITUTE(G$3,"Q","T"),Inputs!$B$2:$AZ$2,0)),Inputs!$B$2:$B$190,$B128)*Inputs!$D$1)</f>
        <v>0</v>
      </c>
      <c r="H128" s="57">
        <f>IF(ISNA(SUMIFS(INDEX(Inputs!$B$2:$AZ$190,,MATCH(SUBSTITUTE(H$3,"Q","T"),Inputs!$B$2:$AZ$2,0)),Inputs!$B$2:$B$190,$B128)*Inputs!$D$1),"",SUMIFS(INDEX(Inputs!$B$2:$AZ$190,,MATCH(SUBSTITUTE(H$3,"Q","T"),Inputs!$B$2:$AZ$2,0)),Inputs!$B$2:$B$190,$B128)*Inputs!$D$1)</f>
        <v>0</v>
      </c>
      <c r="I128" s="58">
        <f>SUM(E128:H128)</f>
        <v>0</v>
      </c>
      <c r="J128" s="57">
        <f>IF(ISNA(SUMIFS(INDEX(Inputs!$B$2:$AZ$190,,MATCH(SUBSTITUTE(J$3,"Q","T"),Inputs!$B$2:$AZ$2,0)),Inputs!$B$2:$B$190,$B128)*Inputs!$D$1),"",SUMIFS(INDEX(Inputs!$B$2:$AZ$190,,MATCH(SUBSTITUTE(J$3,"Q","T"),Inputs!$B$2:$AZ$2,0)),Inputs!$B$2:$B$190,$B128)*Inputs!$D$1)</f>
        <v>0</v>
      </c>
      <c r="K128" s="57">
        <f>IF(ISNA(SUMIFS(INDEX(Inputs!$B$2:$AZ$190,,MATCH(SUBSTITUTE(K$3,"Q","T"),Inputs!$B$2:$AZ$2,0)),Inputs!$B$2:$B$190,$B128)*Inputs!$D$1),"",SUMIFS(INDEX(Inputs!$B$2:$AZ$190,,MATCH(SUBSTITUTE(K$3,"Q","T"),Inputs!$B$2:$AZ$2,0)),Inputs!$B$2:$B$190,$B128)*Inputs!$D$1)</f>
        <v>0</v>
      </c>
      <c r="L128" s="57">
        <f>IF(ISNA(SUMIFS(INDEX(Inputs!$B$2:$AZ$190,,MATCH(SUBSTITUTE(L$3,"Q","T"),Inputs!$B$2:$AZ$2,0)),Inputs!$B$2:$B$190,$B128)*Inputs!$D$1),"",SUMIFS(INDEX(Inputs!$B$2:$AZ$190,,MATCH(SUBSTITUTE(L$3,"Q","T"),Inputs!$B$2:$AZ$2,0)),Inputs!$B$2:$B$190,$B128)*Inputs!$D$1)</f>
        <v>0</v>
      </c>
      <c r="M128" s="57">
        <f>IF(ISNA(SUMIFS(INDEX(Inputs!$B$2:$AZ$190,,MATCH(SUBSTITUTE(M$3,"Q","T"),Inputs!$B$2:$AZ$2,0)),Inputs!$B$2:$B$190,$B128)*Inputs!$D$1),"",SUMIFS(INDEX(Inputs!$B$2:$AZ$190,,MATCH(SUBSTITUTE(M$3,"Q","T"),Inputs!$B$2:$AZ$2,0)),Inputs!$B$2:$B$190,$B128)*Inputs!$D$1)</f>
        <v>0</v>
      </c>
      <c r="N128" s="58">
        <f>SUM(J128:M128)</f>
        <v>0</v>
      </c>
      <c r="O128" s="57">
        <f>IF(ISNA(SUMIFS(INDEX(Inputs!$B$2:$AZ$190,,MATCH(SUBSTITUTE(O$3,"Q","T"),Inputs!$B$2:$AZ$2,0)),Inputs!$B$2:$B$190,$B128)*Inputs!$D$1),"",SUMIFS(INDEX(Inputs!$B$2:$AZ$190,,MATCH(SUBSTITUTE(O$3,"Q","T"),Inputs!$B$2:$AZ$2,0)),Inputs!$B$2:$B$190,$B128)*Inputs!$D$1)</f>
        <v>0</v>
      </c>
      <c r="P128" s="57">
        <f>IF(ISNA(SUMIFS(INDEX(Inputs!$B$2:$AZ$190,,MATCH(SUBSTITUTE(P$3,"Q","T"),Inputs!$B$2:$AZ$2,0)),Inputs!$B$2:$B$190,$B128)*Inputs!$D$1),"",SUMIFS(INDEX(Inputs!$B$2:$AZ$190,,MATCH(SUBSTITUTE(P$3,"Q","T"),Inputs!$B$2:$AZ$2,0)),Inputs!$B$2:$B$190,$B128)*Inputs!$D$1)</f>
        <v>0</v>
      </c>
      <c r="Q128" s="57">
        <f>IF(ISNA(SUMIFS(INDEX(Inputs!$B$2:$AZ$190,,MATCH(SUBSTITUTE(Q$3,"Q","T"),Inputs!$B$2:$AZ$2,0)),Inputs!$B$2:$B$190,$B128)*Inputs!$D$1),"",SUMIFS(INDEX(Inputs!$B$2:$AZ$190,,MATCH(SUBSTITUTE(Q$3,"Q","T"),Inputs!$B$2:$AZ$2,0)),Inputs!$B$2:$B$190,$B128)*Inputs!$D$1)</f>
        <v>0</v>
      </c>
      <c r="R128" s="57">
        <f>IF(ISNA(SUMIFS(INDEX(Inputs!$B$2:$AZ$190,,MATCH(SUBSTITUTE(R$3,"Q","T"),Inputs!$B$2:$AZ$2,0)),Inputs!$B$2:$B$190,$B128)*Inputs!$D$1),"",SUMIFS(INDEX(Inputs!$B$2:$AZ$190,,MATCH(SUBSTITUTE(R$3,"Q","T"),Inputs!$B$2:$AZ$2,0)),Inputs!$B$2:$B$190,$B128)*Inputs!$D$1)</f>
        <v>0</v>
      </c>
      <c r="S128" s="58">
        <f>SUM(O128:R128)</f>
        <v>0</v>
      </c>
      <c r="T128" s="57">
        <f>IF(ISNA(SUMIFS(INDEX(Inputs!$B$2:$AZ$190,,MATCH(SUBSTITUTE(T$3,"Q","T"),Inputs!$B$2:$AZ$2,0)),Inputs!$B$2:$B$190,$B128)*Inputs!$D$1),"",SUMIFS(INDEX(Inputs!$B$2:$AZ$190,,MATCH(SUBSTITUTE(T$3,"Q","T"),Inputs!$B$2:$AZ$2,0)),Inputs!$B$2:$B$190,$B128)*Inputs!$D$1)</f>
        <v>0</v>
      </c>
      <c r="U128" s="57">
        <f>IF(ISNA(SUMIFS(INDEX(Inputs!$B$2:$AZ$190,,MATCH(SUBSTITUTE(U$3,"Q","T"),Inputs!$B$2:$AZ$2,0)),Inputs!$B$2:$B$190,$B128)*Inputs!$D$1),"",SUMIFS(INDEX(Inputs!$B$2:$AZ$190,,MATCH(SUBSTITUTE(U$3,"Q","T"),Inputs!$B$2:$AZ$2,0)),Inputs!$B$2:$B$190,$B128)*Inputs!$D$1)</f>
        <v>0</v>
      </c>
      <c r="V128" s="57">
        <f>IF(ISNA(SUMIFS(INDEX(Inputs!$B$2:$AZ$190,,MATCH(SUBSTITUTE(V$3,"Q","T"),Inputs!$B$2:$AZ$2,0)),Inputs!$B$2:$B$190,$B128)*Inputs!$D$1),"",SUMIFS(INDEX(Inputs!$B$2:$AZ$190,,MATCH(SUBSTITUTE(V$3,"Q","T"),Inputs!$B$2:$AZ$2,0)),Inputs!$B$2:$B$190,$B128)*Inputs!$D$1)</f>
        <v>0</v>
      </c>
      <c r="W128" s="57">
        <f>IF(ISNA(SUMIFS(INDEX(Inputs!$B$2:$AZ$190,,MATCH(SUBSTITUTE(W$3,"Q","T"),Inputs!$B$2:$AZ$2,0)),Inputs!$B$2:$B$190,$B128)*Inputs!$D$1),"",SUMIFS(INDEX(Inputs!$B$2:$AZ$190,,MATCH(SUBSTITUTE(W$3,"Q","T"),Inputs!$B$2:$AZ$2,0)),Inputs!$B$2:$B$190,$B128)*Inputs!$D$1)</f>
        <v>0</v>
      </c>
      <c r="X128" s="58">
        <f>SUM(T128:W128)</f>
        <v>0</v>
      </c>
      <c r="Y128" s="57">
        <f>IF(ISNA(SUMIFS(INDEX(Inputs!$B$2:$AZ$190,,MATCH(SUBSTITUTE(Y$3,"Q","T"),Inputs!$B$2:$AZ$2,0)),Inputs!$B$2:$B$190,$B128)*Inputs!$D$1),"",SUMIFS(INDEX(Inputs!$B$2:$AZ$190,,MATCH(SUBSTITUTE(Y$3,"Q","T"),Inputs!$B$2:$AZ$2,0)),Inputs!$B$2:$B$190,$B128)*Inputs!$D$1)</f>
        <v>0</v>
      </c>
      <c r="Z128" s="57">
        <f>IF(ISNA(SUMIFS(INDEX(Inputs!$B$2:$AZ$190,,MATCH(SUBSTITUTE(Z$3,"Q","T"),Inputs!$B$2:$AZ$2,0)),Inputs!$B$2:$B$190,$B128)*Inputs!$D$1),"",SUMIFS(INDEX(Inputs!$B$2:$AZ$190,,MATCH(SUBSTITUTE(Z$3,"Q","T"),Inputs!$B$2:$AZ$2,0)),Inputs!$B$2:$B$190,$B128)*Inputs!$D$1)</f>
        <v>0</v>
      </c>
      <c r="AA128" s="57">
        <f>IF(ISNA(SUMIFS(INDEX(Inputs!$B$2:$AZ$190,,MATCH(SUBSTITUTE(AA$3,"Q","T"),Inputs!$B$2:$AZ$2,0)),Inputs!$B$2:$B$190,$B128)*Inputs!$D$1),"",SUMIFS(INDEX(Inputs!$B$2:$AZ$190,,MATCH(SUBSTITUTE(AA$3,"Q","T"),Inputs!$B$2:$AZ$2,0)),Inputs!$B$2:$B$190,$B128)*Inputs!$D$1)</f>
        <v>0</v>
      </c>
      <c r="AB128" s="57">
        <f>IF(ISNA(SUMIFS(INDEX(Inputs!$B$2:$AZ$190,,MATCH(SUBSTITUTE(AB$3,"Q","T"),Inputs!$B$2:$AZ$2,0)),Inputs!$B$2:$B$190,$B128)*Inputs!$D$1),"",SUMIFS(INDEX(Inputs!$B$2:$AZ$190,,MATCH(SUBSTITUTE(AB$3,"Q","T"),Inputs!$B$2:$AZ$2,0)),Inputs!$B$2:$B$190,$B128)*Inputs!$D$1)</f>
        <v>0</v>
      </c>
      <c r="AC128" s="58">
        <f>SUM(Y128:AB128)</f>
        <v>0</v>
      </c>
      <c r="AD128" s="57">
        <f>IF(ISNA(SUMIFS(INDEX(Inputs!$B$2:$AZ$190,,MATCH(SUBSTITUTE(AD$3,"Q","T"),Inputs!$B$2:$AZ$2,0)),Inputs!$B$2:$B$190,$B128)*Inputs!$D$1),"",SUMIFS(INDEX(Inputs!$B$2:$AZ$190,,MATCH(SUBSTITUTE(AD$3,"Q","T"),Inputs!$B$2:$AZ$2,0)),Inputs!$B$2:$B$190,$B128)*Inputs!$D$1)</f>
        <v>0</v>
      </c>
      <c r="AE128" s="57">
        <f>IF(ISNA(SUMIFS(INDEX(Inputs!$B$2:$AZ$190,,MATCH(SUBSTITUTE(AE$3,"Q","T"),Inputs!$B$2:$AZ$2,0)),Inputs!$B$2:$B$190,$B128)*Inputs!$D$1),"",SUMIFS(INDEX(Inputs!$B$2:$AZ$190,,MATCH(SUBSTITUTE(AE$3,"Q","T"),Inputs!$B$2:$AZ$2,0)),Inputs!$B$2:$B$190,$B128)*Inputs!$D$1)</f>
        <v>0</v>
      </c>
      <c r="AF128" s="57">
        <f>IF(ISNA(SUMIFS(INDEX(Inputs!$B$2:$AZ$190,,MATCH(SUBSTITUTE(AF$3,"Q","T"),Inputs!$B$2:$AZ$2,0)),Inputs!$B$2:$B$190,$B128)*Inputs!$D$1),"",SUMIFS(INDEX(Inputs!$B$2:$AZ$190,,MATCH(SUBSTITUTE(AF$3,"Q","T"),Inputs!$B$2:$AZ$2,0)),Inputs!$B$2:$B$190,$B128)*Inputs!$D$1)</f>
        <v>0</v>
      </c>
      <c r="AG128" s="57">
        <f>IF(ISNA(SUMIFS(INDEX(Inputs!$B$2:$AZ$190,,MATCH(SUBSTITUTE(AG$3,"Q","T"),Inputs!$B$2:$AZ$2,0)),Inputs!$B$2:$B$190,$B128)*Inputs!$D$1),"",SUMIFS(INDEX(Inputs!$B$2:$AZ$190,,MATCH(SUBSTITUTE(AG$3,"Q","T"),Inputs!$B$2:$AZ$2,0)),Inputs!$B$2:$B$190,$B128)*Inputs!$D$1)</f>
        <v>0</v>
      </c>
      <c r="AH128" s="58">
        <f>SUM(AD128:AG128)</f>
        <v>0</v>
      </c>
      <c r="AI128" s="57">
        <f>IF(ISNA(SUMIFS(INDEX(Inputs!$B$2:$AZ$190,,MATCH(SUBSTITUTE(AI$3,"Q","T"),Inputs!$B$2:$AZ$2,0)),Inputs!$B$2:$B$190,$B128)*Inputs!$D$1),"",SUMIFS(INDEX(Inputs!$B$2:$AZ$190,,MATCH(SUBSTITUTE(AI$3,"Q","T"),Inputs!$B$2:$AZ$2,0)),Inputs!$B$2:$B$190,$B128)*Inputs!$D$1)</f>
        <v>0</v>
      </c>
      <c r="AJ128" s="57">
        <f>IF(ISNA(SUMIFS(INDEX(Inputs!$B$2:$AZ$190,,MATCH(SUBSTITUTE(AJ$3,"Q","T"),Inputs!$B$2:$AZ$2,0)),Inputs!$B$2:$B$190,$B128)*Inputs!$D$1),"",SUMIFS(INDEX(Inputs!$B$2:$AZ$190,,MATCH(SUBSTITUTE(AJ$3,"Q","T"),Inputs!$B$2:$AZ$2,0)),Inputs!$B$2:$B$190,$B128)*Inputs!$D$1)</f>
        <v>0</v>
      </c>
      <c r="AK128" s="57">
        <f>IF(ISNA(SUMIFS(INDEX(Inputs!$B$2:$AZ$190,,MATCH(SUBSTITUTE(AK$3,"Q","T"),Inputs!$B$2:$AZ$2,0)),Inputs!$B$2:$B$190,$B128)*Inputs!$D$1),"",SUMIFS(INDEX(Inputs!$B$2:$AZ$190,,MATCH(SUBSTITUTE(AK$3,"Q","T"),Inputs!$B$2:$AZ$2,0)),Inputs!$B$2:$B$190,$B128)*Inputs!$D$1)</f>
        <v>0</v>
      </c>
      <c r="AL128" s="57">
        <f>IF(ISNA(SUMIFS(INDEX(Inputs!$B$2:$AZ$190,,MATCH(SUBSTITUTE(AL$3,"Q","T"),Inputs!$B$2:$AZ$2,0)),Inputs!$B$2:$B$190,$B128)*Inputs!$D$1),"",SUMIFS(INDEX(Inputs!$B$2:$AZ$190,,MATCH(SUBSTITUTE(AL$3,"Q","T"),Inputs!$B$2:$AZ$2,0)),Inputs!$B$2:$B$190,$B128)*Inputs!$D$1)</f>
        <v>0</v>
      </c>
      <c r="AM128" s="58">
        <f>SUM(AI128:AL128)</f>
        <v>0</v>
      </c>
      <c r="AN128" s="57">
        <f>IF(ISNA(SUMIFS(INDEX(Inputs!$B$2:$AZ$190,,MATCH(SUBSTITUTE(AN$3,"Q","T"),Inputs!$B$2:$AZ$2,0)),Inputs!$B$2:$B$190,$B128)*Inputs!$D$1),"",SUMIFS(INDEX(Inputs!$B$2:$AZ$190,,MATCH(SUBSTITUTE(AN$3,"Q","T"),Inputs!$B$2:$AZ$2,0)),Inputs!$B$2:$B$190,$B128)*Inputs!$D$1)</f>
        <v>0</v>
      </c>
      <c r="AO128" s="57">
        <f>IF(ISNA(SUMIFS(INDEX(Inputs!$B$2:$AZ$190,,MATCH(SUBSTITUTE(AO$3,"Q","T"),Inputs!$B$2:$AZ$2,0)),Inputs!$B$2:$B$190,$B128)*Inputs!$D$1),"",SUMIFS(INDEX(Inputs!$B$2:$AZ$190,,MATCH(SUBSTITUTE(AO$3,"Q","T"),Inputs!$B$2:$AZ$2,0)),Inputs!$B$2:$B$190,$B128)*Inputs!$D$1)</f>
        <v>0</v>
      </c>
      <c r="AP128" s="57">
        <f>IF(ISNA(SUMIFS(INDEX(Inputs!$B$2:$AZ$190,,MATCH(SUBSTITUTE(AP$3,"Q","T"),Inputs!$B$2:$AZ$2,0)),Inputs!$B$2:$B$190,$B128)*Inputs!$D$1),"",SUMIFS(INDEX(Inputs!$B$2:$AZ$190,,MATCH(SUBSTITUTE(AP$3,"Q","T"),Inputs!$B$2:$AZ$2,0)),Inputs!$B$2:$B$190,$B128)*Inputs!$D$1)</f>
        <v>0</v>
      </c>
      <c r="AQ128" s="57">
        <f>IF(ISNA(SUMIFS(INDEX(Inputs!$B$2:$AZ$190,,MATCH(SUBSTITUTE(AQ$3,"Q","T"),Inputs!$B$2:$AZ$2,0)),Inputs!$B$2:$B$190,$B128)*Inputs!$D$1),"",SUMIFS(INDEX(Inputs!$B$2:$AZ$190,,MATCH(SUBSTITUTE(AQ$3,"Q","T"),Inputs!$B$2:$AZ$2,0)),Inputs!$B$2:$B$190,$B128)*Inputs!$D$1)</f>
        <v>0</v>
      </c>
      <c r="AR128" s="58">
        <f>SUM(AN128:AQ128)</f>
        <v>0</v>
      </c>
      <c r="AS128" s="57">
        <f>IF(ISNA(SUMIFS(INDEX(Inputs!$B$2:$AZ$190,,MATCH(SUBSTITUTE(AS$3,"Q","T"),Inputs!$B$2:$AZ$2,0)),Inputs!$B$2:$B$190,$B128)*Inputs!$D$1),"",SUMIFS(INDEX(Inputs!$B$2:$AZ$190,,MATCH(SUBSTITUTE(AS$3,"Q","T"),Inputs!$B$2:$AZ$2,0)),Inputs!$B$2:$B$190,$B128)*Inputs!$D$1)</f>
        <v>0</v>
      </c>
      <c r="AT128" s="57">
        <f>IF(ISNA(SUMIFS(INDEX(Inputs!$B$2:$AZ$190,,MATCH(SUBSTITUTE(AT$3,"Q","T"),Inputs!$B$2:$AZ$2,0)),Inputs!$B$2:$B$190,$B128)*Inputs!$D$1),"",SUMIFS(INDEX(Inputs!$B$2:$AZ$190,,MATCH(SUBSTITUTE(AT$3,"Q","T"),Inputs!$B$2:$AZ$2,0)),Inputs!$B$2:$B$190,$B128)*Inputs!$D$1)</f>
        <v>0</v>
      </c>
      <c r="AU128" s="57">
        <f>IF(ISNA(SUMIFS(INDEX(Inputs!$B$2:$AZ$190,,MATCH(SUBSTITUTE(AU$3,"Q","T"),Inputs!$B$2:$AZ$2,0)),Inputs!$B$2:$B$190,$B128)*Inputs!$D$1),"",SUMIFS(INDEX(Inputs!$B$2:$AZ$190,,MATCH(SUBSTITUTE(AU$3,"Q","T"),Inputs!$B$2:$AZ$2,0)),Inputs!$B$2:$B$190,$B128)*Inputs!$D$1)</f>
        <v>0</v>
      </c>
      <c r="AV128" s="57">
        <f>IF(ISNA(SUMIFS(INDEX(Inputs!$B$2:$AZ$190,,MATCH(SUBSTITUTE(AV$3,"Q","T"),Inputs!$B$2:$AZ$2,0)),Inputs!$B$2:$B$190,$B128)*Inputs!$D$1),"",SUMIFS(INDEX(Inputs!$B$2:$AZ$190,,MATCH(SUBSTITUTE(AV$3,"Q","T"),Inputs!$B$2:$AZ$2,0)),Inputs!$B$2:$B$190,$B128)*Inputs!$D$1)</f>
        <v>0</v>
      </c>
      <c r="AW128" s="58">
        <f>SUM(AS128:AV128)</f>
        <v>0</v>
      </c>
      <c r="AX128" s="57">
        <f>IF(ISNA(SUMIFS(INDEX(Inputs!$B$2:$AZ$190,,MATCH(SUBSTITUTE(AX$3,"Q","T"),Inputs!$B$2:$AZ$2,0)),Inputs!$B$2:$B$190,$B128)*Inputs!$D$1),"",SUMIFS(INDEX(Inputs!$B$2:$AZ$190,,MATCH(SUBSTITUTE(AX$3,"Q","T"),Inputs!$B$2:$AZ$2,0)),Inputs!$B$2:$B$190,$B128)*Inputs!$D$1)</f>
        <v>0</v>
      </c>
      <c r="AY128" s="57">
        <f>IF(ISNA(SUMIFS(INDEX(Inputs!$B$2:$AZ$190,,MATCH(SUBSTITUTE(AY$3,"Q","T"),Inputs!$B$2:$AZ$2,0)),Inputs!$B$2:$B$190,$B128)*Inputs!$D$1),"",SUMIFS(INDEX(Inputs!$B$2:$AZ$190,,MATCH(SUBSTITUTE(AY$3,"Q","T"),Inputs!$B$2:$AZ$2,0)),Inputs!$B$2:$B$190,$B128)*Inputs!$D$1)</f>
        <v>0</v>
      </c>
      <c r="AZ128" s="57">
        <f>IF(ISNA(SUMIFS(INDEX(Inputs!$B$2:$AZ$190,,MATCH(SUBSTITUTE(AZ$3,"Q","T"),Inputs!$B$2:$AZ$2,0)),Inputs!$B$2:$B$190,$B128)*Inputs!$D$1),"",SUMIFS(INDEX(Inputs!$B$2:$AZ$190,,MATCH(SUBSTITUTE(AZ$3,"Q","T"),Inputs!$B$2:$AZ$2,0)),Inputs!$B$2:$B$190,$B128)*Inputs!$D$1)</f>
        <v>0</v>
      </c>
      <c r="BA128" s="57">
        <f>IF(ISNA(SUMIFS(INDEX(Inputs!$B$2:$AZ$190,,MATCH(SUBSTITUTE(BA$3,"Q","T"),Inputs!$B$2:$AZ$2,0)),Inputs!$B$2:$B$190,$B128)*Inputs!$D$1),"",SUMIFS(INDEX(Inputs!$B$2:$AZ$190,,MATCH(SUBSTITUTE(BA$3,"Q","T"),Inputs!$B$2:$AZ$2,0)),Inputs!$B$2:$B$190,$B128)*Inputs!$D$1)</f>
        <v>0</v>
      </c>
      <c r="BB128" s="58">
        <f>SUM(AX128:BA128)</f>
        <v>0</v>
      </c>
      <c r="BC128" s="57">
        <f>IF(ISNA(SUMIFS(INDEX(Inputs!$B$2:$AZ$190,,MATCH(SUBSTITUTE(BC$3,"Q","T"),Inputs!$B$2:$AZ$2,0)),Inputs!$B$2:$B$190,$B128)*Inputs!$D$1),"",SUMIFS(INDEX(Inputs!$B$2:$AZ$190,,MATCH(SUBSTITUTE(BC$3,"Q","T"),Inputs!$B$2:$AZ$2,0)),Inputs!$B$2:$B$190,$B128)*Inputs!$D$1)</f>
        <v>0</v>
      </c>
      <c r="BD128" s="57">
        <f>IF(ISNA(SUMIFS(INDEX(Inputs!$B$2:$AZ$190,,MATCH(SUBSTITUTE(BD$3,"Q","T"),Inputs!$B$2:$AZ$2,0)),Inputs!$B$2:$B$190,$B128)*Inputs!$D$1),"",SUMIFS(INDEX(Inputs!$B$2:$AZ$190,,MATCH(SUBSTITUTE(BD$3,"Q","T"),Inputs!$B$2:$AZ$2,0)),Inputs!$B$2:$B$190,$B128)*Inputs!$D$1)</f>
        <v>0</v>
      </c>
      <c r="BE128" s="57">
        <f>IF(ISNA(SUMIFS(INDEX(Inputs!$B$2:$AZ$190,,MATCH(SUBSTITUTE(BE$3,"Q","T"),Inputs!$B$2:$AZ$2,0)),Inputs!$B$2:$B$190,$B128)*Inputs!$D$1),"",SUMIFS(INDEX(Inputs!$B$2:$AZ$190,,MATCH(SUBSTITUTE(BE$3,"Q","T"),Inputs!$B$2:$AZ$2,0)),Inputs!$B$2:$B$190,$B128)*Inputs!$D$1)</f>
        <v>0</v>
      </c>
      <c r="BF128" s="57">
        <f>IF(ISNA(SUMIFS(INDEX(Inputs!$B$2:$AZ$190,,MATCH(SUBSTITUTE(BF$3,"Q","T"),Inputs!$B$2:$AZ$2,0)),Inputs!$B$2:$B$190,$B128)*Inputs!$D$1),"",SUMIFS(INDEX(Inputs!$B$2:$AZ$190,,MATCH(SUBSTITUTE(BF$3,"Q","T"),Inputs!$B$2:$AZ$2,0)),Inputs!$B$2:$B$190,$B128)*Inputs!$D$1)</f>
        <v>0</v>
      </c>
      <c r="BG128" s="58">
        <f>SUM(BC128:BF128)</f>
        <v>0</v>
      </c>
    </row>
    <row r="129">
      <c r="B129" s="56" t="inlineStr">
        <is>
          <t>at_rent</t>
        </is>
      </c>
      <c r="C129" s="11" t="inlineStr">
        <is>
          <t>Ativos rentáveis (saldo fim de período)</t>
        </is>
      </c>
      <c r="D129" s="12" t="inlineStr">
        <is>
          <t>Earning assets, eop</t>
        </is>
      </c>
      <c r="E129" s="57">
        <f>IF(ISNA(SUMIFS(INDEX(Inputs!$B$2:$AZ$190,,MATCH(SUBSTITUTE(E$3,"Q","T"),Inputs!$B$2:$AZ$2,0)),Inputs!$B$2:$B$190,$B129)*Inputs!$D$1),"",SUMIFS(INDEX(Inputs!$B$2:$AZ$190,,MATCH(SUBSTITUTE(E$3,"Q","T"),Inputs!$B$2:$AZ$2,0)),Inputs!$B$2:$B$190,$B129)*Inputs!$D$1)</f>
        <v>33965.892238</v>
      </c>
      <c r="F129" s="57">
        <f>IF(ISNA(SUMIFS(INDEX(Inputs!$B$2:$AZ$190,,MATCH(SUBSTITUTE(F$3,"Q","T"),Inputs!$B$2:$AZ$2,0)),Inputs!$B$2:$B$190,$B129)*Inputs!$D$1),"",SUMIFS(INDEX(Inputs!$B$2:$AZ$190,,MATCH(SUBSTITUTE(F$3,"Q","T"),Inputs!$B$2:$AZ$2,0)),Inputs!$B$2:$B$190,$B129)*Inputs!$D$1)</f>
        <v>37550.093916</v>
      </c>
      <c r="G129" s="57">
        <f>IF(ISNA(SUMIFS(INDEX(Inputs!$B$2:$AZ$190,,MATCH(SUBSTITUTE(G$3,"Q","T"),Inputs!$B$2:$AZ$2,0)),Inputs!$B$2:$B$190,$B129)*Inputs!$D$1),"",SUMIFS(INDEX(Inputs!$B$2:$AZ$190,,MATCH(SUBSTITUTE(G$3,"Q","T"),Inputs!$B$2:$AZ$2,0)),Inputs!$B$2:$B$190,$B129)*Inputs!$D$1)</f>
        <v>37966.584368</v>
      </c>
      <c r="H129" s="57">
        <f>IF(ISNA(SUMIFS(INDEX(Inputs!$B$2:$AZ$190,,MATCH(SUBSTITUTE(H$3,"Q","T"),Inputs!$B$2:$AZ$2,0)),Inputs!$B$2:$B$190,$B129)*Inputs!$D$1),"",SUMIFS(INDEX(Inputs!$B$2:$AZ$190,,MATCH(SUBSTITUTE(H$3,"Q","T"),Inputs!$B$2:$AZ$2,0)),Inputs!$B$2:$B$190,$B129)*Inputs!$D$1)</f>
        <v>37753.344972</v>
      </c>
      <c r="I129" s="58">
        <f>H129</f>
        <v>37753.344972</v>
      </c>
      <c r="J129" s="57">
        <f>IF(ISNA(SUMIFS(INDEX(Inputs!$B$2:$AZ$190,,MATCH(SUBSTITUTE(J$3,"Q","T"),Inputs!$B$2:$AZ$2,0)),Inputs!$B$2:$B$190,$B129)*Inputs!$D$1),"",SUMIFS(INDEX(Inputs!$B$2:$AZ$190,,MATCH(SUBSTITUTE(J$3,"Q","T"),Inputs!$B$2:$AZ$2,0)),Inputs!$B$2:$B$190,$B129)*Inputs!$D$1)</f>
        <v>39094.483718</v>
      </c>
      <c r="K129" s="57">
        <f>IF(ISNA(SUMIFS(INDEX(Inputs!$B$2:$AZ$190,,MATCH(SUBSTITUTE(K$3,"Q","T"),Inputs!$B$2:$AZ$2,0)),Inputs!$B$2:$B$190,$B129)*Inputs!$D$1),"",SUMIFS(INDEX(Inputs!$B$2:$AZ$190,,MATCH(SUBSTITUTE(K$3,"Q","T"),Inputs!$B$2:$AZ$2,0)),Inputs!$B$2:$B$190,$B129)*Inputs!$D$1)</f>
        <v>39522.843122</v>
      </c>
      <c r="L129" s="57">
        <f>IF(ISNA(SUMIFS(INDEX(Inputs!$B$2:$AZ$190,,MATCH(SUBSTITUTE(L$3,"Q","T"),Inputs!$B$2:$AZ$2,0)),Inputs!$B$2:$B$190,$B129)*Inputs!$D$1),"",SUMIFS(INDEX(Inputs!$B$2:$AZ$190,,MATCH(SUBSTITUTE(L$3,"Q","T"),Inputs!$B$2:$AZ$2,0)),Inputs!$B$2:$B$190,$B129)*Inputs!$D$1)</f>
        <v>40011.660908</v>
      </c>
      <c r="M129" s="57">
        <f>IF(ISNA(SUMIFS(INDEX(Inputs!$B$2:$AZ$190,,MATCH(SUBSTITUTE(M$3,"Q","T"),Inputs!$B$2:$AZ$2,0)),Inputs!$B$2:$B$190,$B129)*Inputs!$D$1),"",SUMIFS(INDEX(Inputs!$B$2:$AZ$190,,MATCH(SUBSTITUTE(M$3,"Q","T"),Inputs!$B$2:$AZ$2,0)),Inputs!$B$2:$B$190,$B129)*Inputs!$D$1)</f>
        <v>40995.245614</v>
      </c>
      <c r="N129" s="58">
        <f>M129</f>
        <v>40995.245614</v>
      </c>
      <c r="O129" s="57">
        <f>IF(ISNA(SUMIFS(INDEX(Inputs!$B$2:$AZ$190,,MATCH(SUBSTITUTE(O$3,"Q","T"),Inputs!$B$2:$AZ$2,0)),Inputs!$B$2:$B$190,$B129)*Inputs!$D$1),"",SUMIFS(INDEX(Inputs!$B$2:$AZ$190,,MATCH(SUBSTITUTE(O$3,"Q","T"),Inputs!$B$2:$AZ$2,0)),Inputs!$B$2:$B$190,$B129)*Inputs!$D$1)</f>
        <v>40737.965664</v>
      </c>
      <c r="P129" s="57">
        <f>IF(ISNA(SUMIFS(INDEX(Inputs!$B$2:$AZ$190,,MATCH(SUBSTITUTE(P$3,"Q","T"),Inputs!$B$2:$AZ$2,0)),Inputs!$B$2:$B$190,$B129)*Inputs!$D$1),"",SUMIFS(INDEX(Inputs!$B$2:$AZ$190,,MATCH(SUBSTITUTE(P$3,"Q","T"),Inputs!$B$2:$AZ$2,0)),Inputs!$B$2:$B$190,$B129)*Inputs!$D$1)</f>
        <v>42683.968749</v>
      </c>
      <c r="Q129" s="57">
        <f>IF(ISNA(SUMIFS(INDEX(Inputs!$B$2:$AZ$190,,MATCH(SUBSTITUTE(Q$3,"Q","T"),Inputs!$B$2:$AZ$2,0)),Inputs!$B$2:$B$190,$B129)*Inputs!$D$1),"",SUMIFS(INDEX(Inputs!$B$2:$AZ$190,,MATCH(SUBSTITUTE(Q$3,"Q","T"),Inputs!$B$2:$AZ$2,0)),Inputs!$B$2:$B$190,$B129)*Inputs!$D$1)</f>
        <v>45122.586843</v>
      </c>
      <c r="R129" s="57">
        <f>IF(ISNA(SUMIFS(INDEX(Inputs!$B$2:$AZ$190,,MATCH(SUBSTITUTE(R$3,"Q","T"),Inputs!$B$2:$AZ$2,0)),Inputs!$B$2:$B$190,$B129)*Inputs!$D$1),"",SUMIFS(INDEX(Inputs!$B$2:$AZ$190,,MATCH(SUBSTITUTE(R$3,"Q","T"),Inputs!$B$2:$AZ$2,0)),Inputs!$B$2:$B$190,$B129)*Inputs!$D$1)</f>
        <v>46537.044019</v>
      </c>
      <c r="S129" s="58">
        <f>R129</f>
        <v>46537.044019</v>
      </c>
      <c r="T129" s="57">
        <f>IF(ISNA(SUMIFS(INDEX(Inputs!$B$2:$AZ$190,,MATCH(SUBSTITUTE(T$3,"Q","T"),Inputs!$B$2:$AZ$2,0)),Inputs!$B$2:$B$190,$B129)*Inputs!$D$1),"",SUMIFS(INDEX(Inputs!$B$2:$AZ$190,,MATCH(SUBSTITUTE(T$3,"Q","T"),Inputs!$B$2:$AZ$2,0)),Inputs!$B$2:$B$190,$B129)*Inputs!$D$1)</f>
        <v>46468.396995</v>
      </c>
      <c r="U129" s="57">
        <f>IF(ISNA(SUMIFS(INDEX(Inputs!$B$2:$AZ$190,,MATCH(SUBSTITUTE(U$3,"Q","T"),Inputs!$B$2:$AZ$2,0)),Inputs!$B$2:$B$190,$B129)*Inputs!$D$1),"",SUMIFS(INDEX(Inputs!$B$2:$AZ$190,,MATCH(SUBSTITUTE(U$3,"Q","T"),Inputs!$B$2:$AZ$2,0)),Inputs!$B$2:$B$190,$B129)*Inputs!$D$1)</f>
        <v>47367.82804</v>
      </c>
      <c r="V129" s="57">
        <f>IF(ISNA(SUMIFS(INDEX(Inputs!$B$2:$AZ$190,,MATCH(SUBSTITUTE(V$3,"Q","T"),Inputs!$B$2:$AZ$2,0)),Inputs!$B$2:$B$190,$B129)*Inputs!$D$1),"",SUMIFS(INDEX(Inputs!$B$2:$AZ$190,,MATCH(SUBSTITUTE(V$3,"Q","T"),Inputs!$B$2:$AZ$2,0)),Inputs!$B$2:$B$190,$B129)*Inputs!$D$1)</f>
        <v>49106.402985</v>
      </c>
      <c r="W129" s="57">
        <f>IF(ISNA(SUMIFS(INDEX(Inputs!$B$2:$AZ$190,,MATCH(SUBSTITUTE(W$3,"Q","T"),Inputs!$B$2:$AZ$2,0)),Inputs!$B$2:$B$190,$B129)*Inputs!$D$1),"",SUMIFS(INDEX(Inputs!$B$2:$AZ$190,,MATCH(SUBSTITUTE(W$3,"Q","T"),Inputs!$B$2:$AZ$2,0)),Inputs!$B$2:$B$190,$B129)*Inputs!$D$1)</f>
        <v>50394.827303</v>
      </c>
      <c r="X129" s="58">
        <f>W129</f>
        <v>50394.827303</v>
      </c>
      <c r="Y129" s="57">
        <f>IF(ISNA(SUMIFS(INDEX(Inputs!$B$2:$AZ$190,,MATCH(SUBSTITUTE(Y$3,"Q","T"),Inputs!$B$2:$AZ$2,0)),Inputs!$B$2:$B$190,$B129)*Inputs!$D$1),"",SUMIFS(INDEX(Inputs!$B$2:$AZ$190,,MATCH(SUBSTITUTE(Y$3,"Q","T"),Inputs!$B$2:$AZ$2,0)),Inputs!$B$2:$B$190,$B129)*Inputs!$D$1)</f>
        <v>51600.678567</v>
      </c>
      <c r="Z129" s="57">
        <f>IF(ISNA(SUMIFS(INDEX(Inputs!$B$2:$AZ$190,,MATCH(SUBSTITUTE(Z$3,"Q","T"),Inputs!$B$2:$AZ$2,0)),Inputs!$B$2:$B$190,$B129)*Inputs!$D$1),"",SUMIFS(INDEX(Inputs!$B$2:$AZ$190,,MATCH(SUBSTITUTE(Z$3,"Q","T"),Inputs!$B$2:$AZ$2,0)),Inputs!$B$2:$B$190,$B129)*Inputs!$D$1)</f>
        <v>53712.132513</v>
      </c>
      <c r="AA129" s="57">
        <f>IF(ISNA(SUMIFS(INDEX(Inputs!$B$2:$AZ$190,,MATCH(SUBSTITUTE(AA$3,"Q","T"),Inputs!$B$2:$AZ$2,0)),Inputs!$B$2:$B$190,$B129)*Inputs!$D$1),"",SUMIFS(INDEX(Inputs!$B$2:$AZ$190,,MATCH(SUBSTITUTE(AA$3,"Q","T"),Inputs!$B$2:$AZ$2,0)),Inputs!$B$2:$B$190,$B129)*Inputs!$D$1)</f>
        <v>57124.138435</v>
      </c>
      <c r="AB129" s="57">
        <f>IF(ISNA(SUMIFS(INDEX(Inputs!$B$2:$AZ$190,,MATCH(SUBSTITUTE(AB$3,"Q","T"),Inputs!$B$2:$AZ$2,0)),Inputs!$B$2:$B$190,$B129)*Inputs!$D$1),"",SUMIFS(INDEX(Inputs!$B$2:$AZ$190,,MATCH(SUBSTITUTE(AB$3,"Q","T"),Inputs!$B$2:$AZ$2,0)),Inputs!$B$2:$B$190,$B129)*Inputs!$D$1)</f>
        <v>59870.431545</v>
      </c>
      <c r="AC129" s="58">
        <f>AB129</f>
        <v>59870.431545</v>
      </c>
      <c r="AD129" s="57">
        <f>IF(ISNA(SUMIFS(INDEX(Inputs!$B$2:$AZ$190,,MATCH(SUBSTITUTE(AD$3,"Q","T"),Inputs!$B$2:$AZ$2,0)),Inputs!$B$2:$B$190,$B129)*Inputs!$D$1),"",SUMIFS(INDEX(Inputs!$B$2:$AZ$190,,MATCH(SUBSTITUTE(AD$3,"Q","T"),Inputs!$B$2:$AZ$2,0)),Inputs!$B$2:$B$190,$B129)*Inputs!$D$1)</f>
        <v>60081.465437</v>
      </c>
      <c r="AE129" s="57">
        <f>IF(ISNA(SUMIFS(INDEX(Inputs!$B$2:$AZ$190,,MATCH(SUBSTITUTE(AE$3,"Q","T"),Inputs!$B$2:$AZ$2,0)),Inputs!$B$2:$B$190,$B129)*Inputs!$D$1),"",SUMIFS(INDEX(Inputs!$B$2:$AZ$190,,MATCH(SUBSTITUTE(AE$3,"Q","T"),Inputs!$B$2:$AZ$2,0)),Inputs!$B$2:$B$190,$B129)*Inputs!$D$1)</f>
        <v>59374.575095</v>
      </c>
      <c r="AF129" s="57">
        <f>IF(ISNA(SUMIFS(INDEX(Inputs!$B$2:$AZ$190,,MATCH(SUBSTITUTE(AF$3,"Q","T"),Inputs!$B$2:$AZ$2,0)),Inputs!$B$2:$B$190,$B129)*Inputs!$D$1),"",SUMIFS(INDEX(Inputs!$B$2:$AZ$190,,MATCH(SUBSTITUTE(AF$3,"Q","T"),Inputs!$B$2:$AZ$2,0)),Inputs!$B$2:$B$190,$B129)*Inputs!$D$1)</f>
        <v>59065.688734</v>
      </c>
      <c r="AG129" s="57">
        <f>IF(ISNA(SUMIFS(INDEX(Inputs!$B$2:$AZ$190,,MATCH(SUBSTITUTE(AG$3,"Q","T"),Inputs!$B$2:$AZ$2,0)),Inputs!$B$2:$B$190,$B129)*Inputs!$D$1),"",SUMIFS(INDEX(Inputs!$B$2:$AZ$190,,MATCH(SUBSTITUTE(AG$3,"Q","T"),Inputs!$B$2:$AZ$2,0)),Inputs!$B$2:$B$190,$B129)*Inputs!$D$1)</f>
        <v>60166.673386</v>
      </c>
      <c r="AH129" s="58">
        <f>AG129</f>
        <v>60166.673386</v>
      </c>
      <c r="AI129" s="57">
        <f>IF(ISNA(SUMIFS(INDEX(Inputs!$B$2:$AZ$190,,MATCH(SUBSTITUTE(AI$3,"Q","T"),Inputs!$B$2:$AZ$2,0)),Inputs!$B$2:$B$190,$B129)*Inputs!$D$1),"",SUMIFS(INDEX(Inputs!$B$2:$AZ$190,,MATCH(SUBSTITUTE(AI$3,"Q","T"),Inputs!$B$2:$AZ$2,0)),Inputs!$B$2:$B$190,$B129)*Inputs!$D$1)</f>
        <v>63010.690869</v>
      </c>
      <c r="AJ129" s="57">
        <f>IF(ISNA(SUMIFS(INDEX(Inputs!$B$2:$AZ$190,,MATCH(SUBSTITUTE(AJ$3,"Q","T"),Inputs!$B$2:$AZ$2,0)),Inputs!$B$2:$B$190,$B129)*Inputs!$D$1),"",SUMIFS(INDEX(Inputs!$B$2:$AZ$190,,MATCH(SUBSTITUTE(AJ$3,"Q","T"),Inputs!$B$2:$AZ$2,0)),Inputs!$B$2:$B$190,$B129)*Inputs!$D$1)</f>
        <v>64572.210751</v>
      </c>
      <c r="AK129" s="57">
        <f>IF(ISNA(SUMIFS(INDEX(Inputs!$B$2:$AZ$190,,MATCH(SUBSTITUTE(AK$3,"Q","T"),Inputs!$B$2:$AZ$2,0)),Inputs!$B$2:$B$190,$B129)*Inputs!$D$1),"",SUMIFS(INDEX(Inputs!$B$2:$AZ$190,,MATCH(SUBSTITUTE(AK$3,"Q","T"),Inputs!$B$2:$AZ$2,0)),Inputs!$B$2:$B$190,$B129)*Inputs!$D$1)</f>
        <v>0</v>
      </c>
      <c r="AL129" s="57">
        <f>IF(ISNA(SUMIFS(INDEX(Inputs!$B$2:$AZ$190,,MATCH(SUBSTITUTE(AL$3,"Q","T"),Inputs!$B$2:$AZ$2,0)),Inputs!$B$2:$B$190,$B129)*Inputs!$D$1),"",SUMIFS(INDEX(Inputs!$B$2:$AZ$190,,MATCH(SUBSTITUTE(AL$3,"Q","T"),Inputs!$B$2:$AZ$2,0)),Inputs!$B$2:$B$190,$B129)*Inputs!$D$1)</f>
        <v>0</v>
      </c>
      <c r="AM129" s="58">
        <f>AL129</f>
        <v>0</v>
      </c>
      <c r="AN129" s="57">
        <f>IF(ISNA(SUMIFS(INDEX(Inputs!$B$2:$AZ$190,,MATCH(SUBSTITUTE(AN$3,"Q","T"),Inputs!$B$2:$AZ$2,0)),Inputs!$B$2:$B$190,$B129)*Inputs!$D$1),"",SUMIFS(INDEX(Inputs!$B$2:$AZ$190,,MATCH(SUBSTITUTE(AN$3,"Q","T"),Inputs!$B$2:$AZ$2,0)),Inputs!$B$2:$B$190,$B129)*Inputs!$D$1)</f>
        <v>0</v>
      </c>
      <c r="AO129" s="57">
        <f>IF(ISNA(SUMIFS(INDEX(Inputs!$B$2:$AZ$190,,MATCH(SUBSTITUTE(AO$3,"Q","T"),Inputs!$B$2:$AZ$2,0)),Inputs!$B$2:$B$190,$B129)*Inputs!$D$1),"",SUMIFS(INDEX(Inputs!$B$2:$AZ$190,,MATCH(SUBSTITUTE(AO$3,"Q","T"),Inputs!$B$2:$AZ$2,0)),Inputs!$B$2:$B$190,$B129)*Inputs!$D$1)</f>
        <v>0</v>
      </c>
      <c r="AP129" s="57">
        <f>IF(ISNA(SUMIFS(INDEX(Inputs!$B$2:$AZ$190,,MATCH(SUBSTITUTE(AP$3,"Q","T"),Inputs!$B$2:$AZ$2,0)),Inputs!$B$2:$B$190,$B129)*Inputs!$D$1),"",SUMIFS(INDEX(Inputs!$B$2:$AZ$190,,MATCH(SUBSTITUTE(AP$3,"Q","T"),Inputs!$B$2:$AZ$2,0)),Inputs!$B$2:$B$190,$B129)*Inputs!$D$1)</f>
        <v>0</v>
      </c>
      <c r="AQ129" s="57">
        <f>IF(ISNA(SUMIFS(INDEX(Inputs!$B$2:$AZ$190,,MATCH(SUBSTITUTE(AQ$3,"Q","T"),Inputs!$B$2:$AZ$2,0)),Inputs!$B$2:$B$190,$B129)*Inputs!$D$1),"",SUMIFS(INDEX(Inputs!$B$2:$AZ$190,,MATCH(SUBSTITUTE(AQ$3,"Q","T"),Inputs!$B$2:$AZ$2,0)),Inputs!$B$2:$B$190,$B129)*Inputs!$D$1)</f>
        <v>0</v>
      </c>
      <c r="AR129" s="58">
        <f>AQ129</f>
        <v>0</v>
      </c>
      <c r="AS129" s="57">
        <f>IF(ISNA(SUMIFS(INDEX(Inputs!$B$2:$AZ$190,,MATCH(SUBSTITUTE(AS$3,"Q","T"),Inputs!$B$2:$AZ$2,0)),Inputs!$B$2:$B$190,$B129)*Inputs!$D$1),"",SUMIFS(INDEX(Inputs!$B$2:$AZ$190,,MATCH(SUBSTITUTE(AS$3,"Q","T"),Inputs!$B$2:$AZ$2,0)),Inputs!$B$2:$B$190,$B129)*Inputs!$D$1)</f>
        <v>0</v>
      </c>
      <c r="AT129" s="57">
        <f>IF(ISNA(SUMIFS(INDEX(Inputs!$B$2:$AZ$190,,MATCH(SUBSTITUTE(AT$3,"Q","T"),Inputs!$B$2:$AZ$2,0)),Inputs!$B$2:$B$190,$B129)*Inputs!$D$1),"",SUMIFS(INDEX(Inputs!$B$2:$AZ$190,,MATCH(SUBSTITUTE(AT$3,"Q","T"),Inputs!$B$2:$AZ$2,0)),Inputs!$B$2:$B$190,$B129)*Inputs!$D$1)</f>
        <v>0</v>
      </c>
      <c r="AU129" s="57">
        <f>IF(ISNA(SUMIFS(INDEX(Inputs!$B$2:$AZ$190,,MATCH(SUBSTITUTE(AU$3,"Q","T"),Inputs!$B$2:$AZ$2,0)),Inputs!$B$2:$B$190,$B129)*Inputs!$D$1),"",SUMIFS(INDEX(Inputs!$B$2:$AZ$190,,MATCH(SUBSTITUTE(AU$3,"Q","T"),Inputs!$B$2:$AZ$2,0)),Inputs!$B$2:$B$190,$B129)*Inputs!$D$1)</f>
        <v>0</v>
      </c>
      <c r="AV129" s="57">
        <f>IF(ISNA(SUMIFS(INDEX(Inputs!$B$2:$AZ$190,,MATCH(SUBSTITUTE(AV$3,"Q","T"),Inputs!$B$2:$AZ$2,0)),Inputs!$B$2:$B$190,$B129)*Inputs!$D$1),"",SUMIFS(INDEX(Inputs!$B$2:$AZ$190,,MATCH(SUBSTITUTE(AV$3,"Q","T"),Inputs!$B$2:$AZ$2,0)),Inputs!$B$2:$B$190,$B129)*Inputs!$D$1)</f>
        <v>0</v>
      </c>
      <c r="AW129" s="58">
        <f>AV129</f>
        <v>0</v>
      </c>
      <c r="AX129" s="57">
        <f>IF(ISNA(SUMIFS(INDEX(Inputs!$B$2:$AZ$190,,MATCH(SUBSTITUTE(AX$3,"Q","T"),Inputs!$B$2:$AZ$2,0)),Inputs!$B$2:$B$190,$B129)*Inputs!$D$1),"",SUMIFS(INDEX(Inputs!$B$2:$AZ$190,,MATCH(SUBSTITUTE(AX$3,"Q","T"),Inputs!$B$2:$AZ$2,0)),Inputs!$B$2:$B$190,$B129)*Inputs!$D$1)</f>
        <v>0</v>
      </c>
      <c r="AY129" s="57">
        <f>IF(ISNA(SUMIFS(INDEX(Inputs!$B$2:$AZ$190,,MATCH(SUBSTITUTE(AY$3,"Q","T"),Inputs!$B$2:$AZ$2,0)),Inputs!$B$2:$B$190,$B129)*Inputs!$D$1),"",SUMIFS(INDEX(Inputs!$B$2:$AZ$190,,MATCH(SUBSTITUTE(AY$3,"Q","T"),Inputs!$B$2:$AZ$2,0)),Inputs!$B$2:$B$190,$B129)*Inputs!$D$1)</f>
        <v>0</v>
      </c>
      <c r="AZ129" s="57">
        <f>IF(ISNA(SUMIFS(INDEX(Inputs!$B$2:$AZ$190,,MATCH(SUBSTITUTE(AZ$3,"Q","T"),Inputs!$B$2:$AZ$2,0)),Inputs!$B$2:$B$190,$B129)*Inputs!$D$1),"",SUMIFS(INDEX(Inputs!$B$2:$AZ$190,,MATCH(SUBSTITUTE(AZ$3,"Q","T"),Inputs!$B$2:$AZ$2,0)),Inputs!$B$2:$B$190,$B129)*Inputs!$D$1)</f>
        <v>0</v>
      </c>
      <c r="BA129" s="57">
        <f>IF(ISNA(SUMIFS(INDEX(Inputs!$B$2:$AZ$190,,MATCH(SUBSTITUTE(BA$3,"Q","T"),Inputs!$B$2:$AZ$2,0)),Inputs!$B$2:$B$190,$B129)*Inputs!$D$1),"",SUMIFS(INDEX(Inputs!$B$2:$AZ$190,,MATCH(SUBSTITUTE(BA$3,"Q","T"),Inputs!$B$2:$AZ$2,0)),Inputs!$B$2:$B$190,$B129)*Inputs!$D$1)</f>
        <v>0</v>
      </c>
      <c r="BB129" s="58">
        <f>BA129</f>
        <v>0</v>
      </c>
      <c r="BC129" s="57">
        <f>IF(ISNA(SUMIFS(INDEX(Inputs!$B$2:$AZ$190,,MATCH(SUBSTITUTE(BC$3,"Q","T"),Inputs!$B$2:$AZ$2,0)),Inputs!$B$2:$B$190,$B129)*Inputs!$D$1),"",SUMIFS(INDEX(Inputs!$B$2:$AZ$190,,MATCH(SUBSTITUTE(BC$3,"Q","T"),Inputs!$B$2:$AZ$2,0)),Inputs!$B$2:$B$190,$B129)*Inputs!$D$1)</f>
        <v>0</v>
      </c>
      <c r="BD129" s="57">
        <f>IF(ISNA(SUMIFS(INDEX(Inputs!$B$2:$AZ$190,,MATCH(SUBSTITUTE(BD$3,"Q","T"),Inputs!$B$2:$AZ$2,0)),Inputs!$B$2:$B$190,$B129)*Inputs!$D$1),"",SUMIFS(INDEX(Inputs!$B$2:$AZ$190,,MATCH(SUBSTITUTE(BD$3,"Q","T"),Inputs!$B$2:$AZ$2,0)),Inputs!$B$2:$B$190,$B129)*Inputs!$D$1)</f>
        <v>0</v>
      </c>
      <c r="BE129" s="57">
        <f>IF(ISNA(SUMIFS(INDEX(Inputs!$B$2:$AZ$190,,MATCH(SUBSTITUTE(BE$3,"Q","T"),Inputs!$B$2:$AZ$2,0)),Inputs!$B$2:$B$190,$B129)*Inputs!$D$1),"",SUMIFS(INDEX(Inputs!$B$2:$AZ$190,,MATCH(SUBSTITUTE(BE$3,"Q","T"),Inputs!$B$2:$AZ$2,0)),Inputs!$B$2:$B$190,$B129)*Inputs!$D$1)</f>
        <v>0</v>
      </c>
      <c r="BF129" s="57">
        <f>IF(ISNA(SUMIFS(INDEX(Inputs!$B$2:$AZ$190,,MATCH(SUBSTITUTE(BF$3,"Q","T"),Inputs!$B$2:$AZ$2,0)),Inputs!$B$2:$B$190,$B129)*Inputs!$D$1),"",SUMIFS(INDEX(Inputs!$B$2:$AZ$190,,MATCH(SUBSTITUTE(BF$3,"Q","T"),Inputs!$B$2:$AZ$2,0)),Inputs!$B$2:$B$190,$B129)*Inputs!$D$1)</f>
        <v>0</v>
      </c>
      <c r="BG129" s="58">
        <f>BF129</f>
        <v>0</v>
      </c>
    </row>
    <row r="130">
      <c r="B130" s="56" t="inlineStr">
        <is>
          <t>pas_oner</t>
        </is>
      </c>
      <c r="C130" s="11" t="inlineStr">
        <is>
          <t>Passivos onerosos (saldo fim de período)</t>
        </is>
      </c>
      <c r="D130" s="12" t="inlineStr">
        <is>
          <t>Interest-bearing liabilities, eop</t>
        </is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>0</v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H130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M130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R130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W130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AB130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AG130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AL130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AQ130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AV130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BA130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BF130</f>
        <v>0</v>
      </c>
    </row>
    <row r="132">
      <c r="B132" s="29" t="n"/>
      <c r="C132" s="29" t="inlineStr">
        <is>
          <t>Capital regulatório e liquidez</t>
        </is>
      </c>
      <c r="D132" s="29" t="inlineStr">
        <is>
          <t>Regulatory capital and liquidity</t>
        </is>
      </c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  <c r="AA132" s="29" t="n"/>
      <c r="AB132" s="29" t="n"/>
      <c r="AC132" s="29" t="n"/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  <c r="BA132" s="29" t="n"/>
      <c r="BB132" s="29" t="n"/>
      <c r="BC132" s="29" t="n"/>
      <c r="BD132" s="29" t="n"/>
      <c r="BE132" s="29" t="n"/>
      <c r="BF132" s="29" t="n"/>
      <c r="BG132" s="29" t="n"/>
      <c r="BH132" s="29" t="n"/>
      <c r="BI132" s="29" t="n"/>
    </row>
    <row r="133">
      <c r="B133" s="56" t="inlineStr">
        <is>
          <t>rwa</t>
        </is>
      </c>
      <c r="C133" s="11" t="inlineStr">
        <is>
          <t>Ativos Ponderados pelo Risco (RWA)</t>
        </is>
      </c>
      <c r="D133" s="12" t="inlineStr">
        <is>
          <t>Risk-Weighted Assets</t>
        </is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35665.119</v>
      </c>
      <c r="F133" s="57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>34156.504</v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34020.188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31971.818</v>
      </c>
      <c r="I133" s="58">
        <f>H133</f>
        <v>31971.818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33883.294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34508.799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37677.875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37168.493</v>
      </c>
      <c r="N133" s="58">
        <f>M133</f>
        <v>37168.493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36818.161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40025.036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41348.556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42269.548</v>
      </c>
      <c r="S133" s="58">
        <f>R133</f>
        <v>42269.548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44220.898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44071.564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45822.963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48346.069</v>
      </c>
      <c r="X133" s="58">
        <f>W133</f>
        <v>48346.069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48642.955496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50606.591275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51931.40534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54387.264573</v>
      </c>
      <c r="AC133" s="58">
        <f>AB133</f>
        <v>54387.264573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52757.233806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53044.659038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54685.693747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55605.560395</v>
      </c>
      <c r="AH133" s="58">
        <f>AG133</f>
        <v>55605.560395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56363.733937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57474.915256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>BF133</f>
        <v>0</v>
      </c>
      <c r="BI133" s="14" t="inlineStr">
        <is>
          <t>Se o RWA não for divulgado, use RWA = Ativo total × driver em Inputs!RWA/Ativo.</t>
        </is>
      </c>
    </row>
    <row r="134">
      <c r="B134" s="56" t="inlineStr">
        <is>
          <t>rwa_cred</t>
        </is>
      </c>
      <c r="C134" s="11" t="inlineStr">
        <is>
          <t>RWA de crédito</t>
        </is>
      </c>
      <c r="D134" s="12" t="inlineStr">
        <is>
          <t>Credit RWA</t>
        </is>
      </c>
      <c r="E134" s="57">
        <f>IF(ISNA(SUMIFS(INDEX(Inputs!$B$2:$AZ$190,,MATCH(SUBSTITUTE(E$3,"Q","T"),Inputs!$B$2:$AZ$2,0)),Inputs!$B$2:$B$190,$B134)*Inputs!$D$1),"",SUMIFS(INDEX(Inputs!$B$2:$AZ$190,,MATCH(SUBSTITUTE(E$3,"Q","T"),Inputs!$B$2:$AZ$2,0)),Inputs!$B$2:$B$190,$B134)*Inputs!$D$1)</f>
        <v>29620.95</v>
      </c>
      <c r="F134" s="57">
        <f>IF(ISNA(SUMIFS(INDEX(Inputs!$B$2:$AZ$190,,MATCH(SUBSTITUTE(F$3,"Q","T"),Inputs!$B$2:$AZ$2,0)),Inputs!$B$2:$B$190,$B134)*Inputs!$D$1),"",SUMIFS(INDEX(Inputs!$B$2:$AZ$190,,MATCH(SUBSTITUTE(F$3,"Q","T"),Inputs!$B$2:$AZ$2,0)),Inputs!$B$2:$B$190,$B134)*Inputs!$D$1)</f>
        <v>30171.365</v>
      </c>
      <c r="G134" s="57">
        <f>IF(ISNA(SUMIFS(INDEX(Inputs!$B$2:$AZ$190,,MATCH(SUBSTITUTE(G$3,"Q","T"),Inputs!$B$2:$AZ$2,0)),Inputs!$B$2:$B$190,$B134)*Inputs!$D$1),"",SUMIFS(INDEX(Inputs!$B$2:$AZ$190,,MATCH(SUBSTITUTE(G$3,"Q","T"),Inputs!$B$2:$AZ$2,0)),Inputs!$B$2:$B$190,$B134)*Inputs!$D$1)</f>
        <v>30359.438</v>
      </c>
      <c r="H134" s="57">
        <f>IF(ISNA(SUMIFS(INDEX(Inputs!$B$2:$AZ$190,,MATCH(SUBSTITUTE(H$3,"Q","T"),Inputs!$B$2:$AZ$2,0)),Inputs!$B$2:$B$190,$B134)*Inputs!$D$1),"",SUMIFS(INDEX(Inputs!$B$2:$AZ$190,,MATCH(SUBSTITUTE(H$3,"Q","T"),Inputs!$B$2:$AZ$2,0)),Inputs!$B$2:$B$190,$B134)*Inputs!$D$1)</f>
        <v>28854.946</v>
      </c>
      <c r="I134" s="58">
        <f>H134</f>
        <v>28854.946</v>
      </c>
      <c r="J134" s="57">
        <f>IF(ISNA(SUMIFS(INDEX(Inputs!$B$2:$AZ$190,,MATCH(SUBSTITUTE(J$3,"Q","T"),Inputs!$B$2:$AZ$2,0)),Inputs!$B$2:$B$190,$B134)*Inputs!$D$1),"",SUMIFS(INDEX(Inputs!$B$2:$AZ$190,,MATCH(SUBSTITUTE(J$3,"Q","T"),Inputs!$B$2:$AZ$2,0)),Inputs!$B$2:$B$190,$B134)*Inputs!$D$1)</f>
        <v>30293.081</v>
      </c>
      <c r="K134" s="57">
        <f>IF(ISNA(SUMIFS(INDEX(Inputs!$B$2:$AZ$190,,MATCH(SUBSTITUTE(K$3,"Q","T"),Inputs!$B$2:$AZ$2,0)),Inputs!$B$2:$B$190,$B134)*Inputs!$D$1),"",SUMIFS(INDEX(Inputs!$B$2:$AZ$190,,MATCH(SUBSTITUTE(K$3,"Q","T"),Inputs!$B$2:$AZ$2,0)),Inputs!$B$2:$B$190,$B134)*Inputs!$D$1)</f>
        <v>30550.477</v>
      </c>
      <c r="L134" s="57">
        <f>IF(ISNA(SUMIFS(INDEX(Inputs!$B$2:$AZ$190,,MATCH(SUBSTITUTE(L$3,"Q","T"),Inputs!$B$2:$AZ$2,0)),Inputs!$B$2:$B$190,$B134)*Inputs!$D$1),"",SUMIFS(INDEX(Inputs!$B$2:$AZ$190,,MATCH(SUBSTITUTE(L$3,"Q","T"),Inputs!$B$2:$AZ$2,0)),Inputs!$B$2:$B$190,$B134)*Inputs!$D$1)</f>
        <v>32439.839</v>
      </c>
      <c r="M134" s="57">
        <f>IF(ISNA(SUMIFS(INDEX(Inputs!$B$2:$AZ$190,,MATCH(SUBSTITUTE(M$3,"Q","T"),Inputs!$B$2:$AZ$2,0)),Inputs!$B$2:$B$190,$B134)*Inputs!$D$1),"",SUMIFS(INDEX(Inputs!$B$2:$AZ$190,,MATCH(SUBSTITUTE(M$3,"Q","T"),Inputs!$B$2:$AZ$2,0)),Inputs!$B$2:$B$190,$B134)*Inputs!$D$1)</f>
        <v>32929.842</v>
      </c>
      <c r="N134" s="58">
        <f>M134</f>
        <v>32929.842</v>
      </c>
      <c r="O134" s="57">
        <f>IF(ISNA(SUMIFS(INDEX(Inputs!$B$2:$AZ$190,,MATCH(SUBSTITUTE(O$3,"Q","T"),Inputs!$B$2:$AZ$2,0)),Inputs!$B$2:$B$190,$B134)*Inputs!$D$1),"",SUMIFS(INDEX(Inputs!$B$2:$AZ$190,,MATCH(SUBSTITUTE(O$3,"Q","T"),Inputs!$B$2:$AZ$2,0)),Inputs!$B$2:$B$190,$B134)*Inputs!$D$1)</f>
        <v>32222.417</v>
      </c>
      <c r="P134" s="57">
        <f>IF(ISNA(SUMIFS(INDEX(Inputs!$B$2:$AZ$190,,MATCH(SUBSTITUTE(P$3,"Q","T"),Inputs!$B$2:$AZ$2,0)),Inputs!$B$2:$B$190,$B134)*Inputs!$D$1),"",SUMIFS(INDEX(Inputs!$B$2:$AZ$190,,MATCH(SUBSTITUTE(P$3,"Q","T"),Inputs!$B$2:$AZ$2,0)),Inputs!$B$2:$B$190,$B134)*Inputs!$D$1)</f>
        <v>35036.807</v>
      </c>
      <c r="Q134" s="57">
        <f>IF(ISNA(SUMIFS(INDEX(Inputs!$B$2:$AZ$190,,MATCH(SUBSTITUTE(Q$3,"Q","T"),Inputs!$B$2:$AZ$2,0)),Inputs!$B$2:$B$190,$B134)*Inputs!$D$1),"",SUMIFS(INDEX(Inputs!$B$2:$AZ$190,,MATCH(SUBSTITUTE(Q$3,"Q","T"),Inputs!$B$2:$AZ$2,0)),Inputs!$B$2:$B$190,$B134)*Inputs!$D$1)</f>
        <v>36150.483</v>
      </c>
      <c r="R134" s="57">
        <f>IF(ISNA(SUMIFS(INDEX(Inputs!$B$2:$AZ$190,,MATCH(SUBSTITUTE(R$3,"Q","T"),Inputs!$B$2:$AZ$2,0)),Inputs!$B$2:$B$190,$B134)*Inputs!$D$1),"",SUMIFS(INDEX(Inputs!$B$2:$AZ$190,,MATCH(SUBSTITUTE(R$3,"Q","T"),Inputs!$B$2:$AZ$2,0)),Inputs!$B$2:$B$190,$B134)*Inputs!$D$1)</f>
        <v>37220.79</v>
      </c>
      <c r="S134" s="58">
        <f>R134</f>
        <v>37220.79</v>
      </c>
      <c r="T134" s="57">
        <f>IF(ISNA(SUMIFS(INDEX(Inputs!$B$2:$AZ$190,,MATCH(SUBSTITUTE(T$3,"Q","T"),Inputs!$B$2:$AZ$2,0)),Inputs!$B$2:$B$190,$B134)*Inputs!$D$1),"",SUMIFS(INDEX(Inputs!$B$2:$AZ$190,,MATCH(SUBSTITUTE(T$3,"Q","T"),Inputs!$B$2:$AZ$2,0)),Inputs!$B$2:$B$190,$B134)*Inputs!$D$1)</f>
        <v>38675.229</v>
      </c>
      <c r="U134" s="57">
        <f>IF(ISNA(SUMIFS(INDEX(Inputs!$B$2:$AZ$190,,MATCH(SUBSTITUTE(U$3,"Q","T"),Inputs!$B$2:$AZ$2,0)),Inputs!$B$2:$B$190,$B134)*Inputs!$D$1),"",SUMIFS(INDEX(Inputs!$B$2:$AZ$190,,MATCH(SUBSTITUTE(U$3,"Q","T"),Inputs!$B$2:$AZ$2,0)),Inputs!$B$2:$B$190,$B134)*Inputs!$D$1)</f>
        <v>38110.357</v>
      </c>
      <c r="V134" s="57">
        <f>IF(ISNA(SUMIFS(INDEX(Inputs!$B$2:$AZ$190,,MATCH(SUBSTITUTE(V$3,"Q","T"),Inputs!$B$2:$AZ$2,0)),Inputs!$B$2:$B$190,$B134)*Inputs!$D$1),"",SUMIFS(INDEX(Inputs!$B$2:$AZ$190,,MATCH(SUBSTITUTE(V$3,"Q","T"),Inputs!$B$2:$AZ$2,0)),Inputs!$B$2:$B$190,$B134)*Inputs!$D$1)</f>
        <v>37696.52</v>
      </c>
      <c r="W134" s="57">
        <f>IF(ISNA(SUMIFS(INDEX(Inputs!$B$2:$AZ$190,,MATCH(SUBSTITUTE(W$3,"Q","T"),Inputs!$B$2:$AZ$2,0)),Inputs!$B$2:$B$190,$B134)*Inputs!$D$1),"",SUMIFS(INDEX(Inputs!$B$2:$AZ$190,,MATCH(SUBSTITUTE(W$3,"Q","T"),Inputs!$B$2:$AZ$2,0)),Inputs!$B$2:$B$190,$B134)*Inputs!$D$1)</f>
        <v>40051.359</v>
      </c>
      <c r="X134" s="58">
        <f>W134</f>
        <v>40051.359</v>
      </c>
      <c r="Y134" s="57">
        <f>IF(ISNA(SUMIFS(INDEX(Inputs!$B$2:$AZ$190,,MATCH(SUBSTITUTE(Y$3,"Q","T"),Inputs!$B$2:$AZ$2,0)),Inputs!$B$2:$B$190,$B134)*Inputs!$D$1),"",SUMIFS(INDEX(Inputs!$B$2:$AZ$190,,MATCH(SUBSTITUTE(Y$3,"Q","T"),Inputs!$B$2:$AZ$2,0)),Inputs!$B$2:$B$190,$B134)*Inputs!$D$1)</f>
        <v>40801.635057</v>
      </c>
      <c r="Z134" s="57">
        <f>IF(ISNA(SUMIFS(INDEX(Inputs!$B$2:$AZ$190,,MATCH(SUBSTITUTE(Z$3,"Q","T"),Inputs!$B$2:$AZ$2,0)),Inputs!$B$2:$B$190,$B134)*Inputs!$D$1),"",SUMIFS(INDEX(Inputs!$B$2:$AZ$190,,MATCH(SUBSTITUTE(Z$3,"Q","T"),Inputs!$B$2:$AZ$2,0)),Inputs!$B$2:$B$190,$B134)*Inputs!$D$1)</f>
        <v>43311.055255</v>
      </c>
      <c r="AA134" s="57">
        <f>IF(ISNA(SUMIFS(INDEX(Inputs!$B$2:$AZ$190,,MATCH(SUBSTITUTE(AA$3,"Q","T"),Inputs!$B$2:$AZ$2,0)),Inputs!$B$2:$B$190,$B134)*Inputs!$D$1),"",SUMIFS(INDEX(Inputs!$B$2:$AZ$190,,MATCH(SUBSTITUTE(AA$3,"Q","T"),Inputs!$B$2:$AZ$2,0)),Inputs!$B$2:$B$190,$B134)*Inputs!$D$1)</f>
        <v>43959.412203</v>
      </c>
      <c r="AB134" s="57">
        <f>IF(ISNA(SUMIFS(INDEX(Inputs!$B$2:$AZ$190,,MATCH(SUBSTITUTE(AB$3,"Q","T"),Inputs!$B$2:$AZ$2,0)),Inputs!$B$2:$B$190,$B134)*Inputs!$D$1),"",SUMIFS(INDEX(Inputs!$B$2:$AZ$190,,MATCH(SUBSTITUTE(AB$3,"Q","T"),Inputs!$B$2:$AZ$2,0)),Inputs!$B$2:$B$190,$B134)*Inputs!$D$1)</f>
        <v>45887.483598</v>
      </c>
      <c r="AC134" s="58">
        <f>AB134</f>
        <v>45887.483598</v>
      </c>
      <c r="AD134" s="57">
        <f>IF(ISNA(SUMIFS(INDEX(Inputs!$B$2:$AZ$190,,MATCH(SUBSTITUTE(AD$3,"Q","T"),Inputs!$B$2:$AZ$2,0)),Inputs!$B$2:$B$190,$B134)*Inputs!$D$1),"",SUMIFS(INDEX(Inputs!$B$2:$AZ$190,,MATCH(SUBSTITUTE(AD$3,"Q","T"),Inputs!$B$2:$AZ$2,0)),Inputs!$B$2:$B$190,$B134)*Inputs!$D$1)</f>
        <v>45144.337</v>
      </c>
      <c r="AE134" s="57">
        <f>IF(ISNA(SUMIFS(INDEX(Inputs!$B$2:$AZ$190,,MATCH(SUBSTITUTE(AE$3,"Q","T"),Inputs!$B$2:$AZ$2,0)),Inputs!$B$2:$B$190,$B134)*Inputs!$D$1),"",SUMIFS(INDEX(Inputs!$B$2:$AZ$190,,MATCH(SUBSTITUTE(AE$3,"Q","T"),Inputs!$B$2:$AZ$2,0)),Inputs!$B$2:$B$190,$B134)*Inputs!$D$1)</f>
        <v>45660.308397</v>
      </c>
      <c r="AF134" s="57">
        <f>IF(ISNA(SUMIFS(INDEX(Inputs!$B$2:$AZ$190,,MATCH(SUBSTITUTE(AF$3,"Q","T"),Inputs!$B$2:$AZ$2,0)),Inputs!$B$2:$B$190,$B134)*Inputs!$D$1),"",SUMIFS(INDEX(Inputs!$B$2:$AZ$190,,MATCH(SUBSTITUTE(AF$3,"Q","T"),Inputs!$B$2:$AZ$2,0)),Inputs!$B$2:$B$190,$B134)*Inputs!$D$1)</f>
        <v>46916.319641</v>
      </c>
      <c r="AG134" s="57">
        <f>IF(ISNA(SUMIFS(INDEX(Inputs!$B$2:$AZ$190,,MATCH(SUBSTITUTE(AG$3,"Q","T"),Inputs!$B$2:$AZ$2,0)),Inputs!$B$2:$B$190,$B134)*Inputs!$D$1),"",SUMIFS(INDEX(Inputs!$B$2:$AZ$190,,MATCH(SUBSTITUTE(AG$3,"Q","T"),Inputs!$B$2:$AZ$2,0)),Inputs!$B$2:$B$190,$B134)*Inputs!$D$1)</f>
        <v>47588.997008</v>
      </c>
      <c r="AH134" s="58">
        <f>AG134</f>
        <v>47588.997008</v>
      </c>
      <c r="AI134" s="57">
        <f>IF(ISNA(SUMIFS(INDEX(Inputs!$B$2:$AZ$190,,MATCH(SUBSTITUTE(AI$3,"Q","T"),Inputs!$B$2:$AZ$2,0)),Inputs!$B$2:$B$190,$B134)*Inputs!$D$1),"",SUMIFS(INDEX(Inputs!$B$2:$AZ$190,,MATCH(SUBSTITUTE(AI$3,"Q","T"),Inputs!$B$2:$AZ$2,0)),Inputs!$B$2:$B$190,$B134)*Inputs!$D$1)</f>
        <v>47910.897025</v>
      </c>
      <c r="AJ134" s="57">
        <f>IF(ISNA(SUMIFS(INDEX(Inputs!$B$2:$AZ$190,,MATCH(SUBSTITUTE(AJ$3,"Q","T"),Inputs!$B$2:$AZ$2,0)),Inputs!$B$2:$B$190,$B134)*Inputs!$D$1),"",SUMIFS(INDEX(Inputs!$B$2:$AZ$190,,MATCH(SUBSTITUTE(AJ$3,"Q","T"),Inputs!$B$2:$AZ$2,0)),Inputs!$B$2:$B$190,$B134)*Inputs!$D$1)</f>
        <v>48923.536369</v>
      </c>
      <c r="AK134" s="57">
        <f>IF(ISNA(SUMIFS(INDEX(Inputs!$B$2:$AZ$190,,MATCH(SUBSTITUTE(AK$3,"Q","T"),Inputs!$B$2:$AZ$2,0)),Inputs!$B$2:$B$190,$B134)*Inputs!$D$1),"",SUMIFS(INDEX(Inputs!$B$2:$AZ$190,,MATCH(SUBSTITUTE(AK$3,"Q","T"),Inputs!$B$2:$AZ$2,0)),Inputs!$B$2:$B$190,$B134)*Inputs!$D$1)</f>
        <v>0</v>
      </c>
      <c r="AL134" s="57">
        <f>IF(ISNA(SUMIFS(INDEX(Inputs!$B$2:$AZ$190,,MATCH(SUBSTITUTE(AL$3,"Q","T"),Inputs!$B$2:$AZ$2,0)),Inputs!$B$2:$B$190,$B134)*Inputs!$D$1),"",SUMIFS(INDEX(Inputs!$B$2:$AZ$190,,MATCH(SUBSTITUTE(AL$3,"Q","T"),Inputs!$B$2:$AZ$2,0)),Inputs!$B$2:$B$190,$B134)*Inputs!$D$1)</f>
        <v>0</v>
      </c>
      <c r="AM134" s="58">
        <f>AL134</f>
        <v>0</v>
      </c>
      <c r="AN134" s="57">
        <f>IF(ISNA(SUMIFS(INDEX(Inputs!$B$2:$AZ$190,,MATCH(SUBSTITUTE(AN$3,"Q","T"),Inputs!$B$2:$AZ$2,0)),Inputs!$B$2:$B$190,$B134)*Inputs!$D$1),"",SUMIFS(INDEX(Inputs!$B$2:$AZ$190,,MATCH(SUBSTITUTE(AN$3,"Q","T"),Inputs!$B$2:$AZ$2,0)),Inputs!$B$2:$B$190,$B134)*Inputs!$D$1)</f>
        <v>0</v>
      </c>
      <c r="AO134" s="57">
        <f>IF(ISNA(SUMIFS(INDEX(Inputs!$B$2:$AZ$190,,MATCH(SUBSTITUTE(AO$3,"Q","T"),Inputs!$B$2:$AZ$2,0)),Inputs!$B$2:$B$190,$B134)*Inputs!$D$1),"",SUMIFS(INDEX(Inputs!$B$2:$AZ$190,,MATCH(SUBSTITUTE(AO$3,"Q","T"),Inputs!$B$2:$AZ$2,0)),Inputs!$B$2:$B$190,$B134)*Inputs!$D$1)</f>
        <v>0</v>
      </c>
      <c r="AP134" s="57">
        <f>IF(ISNA(SUMIFS(INDEX(Inputs!$B$2:$AZ$190,,MATCH(SUBSTITUTE(AP$3,"Q","T"),Inputs!$B$2:$AZ$2,0)),Inputs!$B$2:$B$190,$B134)*Inputs!$D$1),"",SUMIFS(INDEX(Inputs!$B$2:$AZ$190,,MATCH(SUBSTITUTE(AP$3,"Q","T"),Inputs!$B$2:$AZ$2,0)),Inputs!$B$2:$B$190,$B134)*Inputs!$D$1)</f>
        <v>0</v>
      </c>
      <c r="AQ134" s="57">
        <f>IF(ISNA(SUMIFS(INDEX(Inputs!$B$2:$AZ$190,,MATCH(SUBSTITUTE(AQ$3,"Q","T"),Inputs!$B$2:$AZ$2,0)),Inputs!$B$2:$B$190,$B134)*Inputs!$D$1),"",SUMIFS(INDEX(Inputs!$B$2:$AZ$190,,MATCH(SUBSTITUTE(AQ$3,"Q","T"),Inputs!$B$2:$AZ$2,0)),Inputs!$B$2:$B$190,$B134)*Inputs!$D$1)</f>
        <v>0</v>
      </c>
      <c r="AR134" s="58">
        <f>AQ134</f>
        <v>0</v>
      </c>
      <c r="AS134" s="57">
        <f>IF(ISNA(SUMIFS(INDEX(Inputs!$B$2:$AZ$190,,MATCH(SUBSTITUTE(AS$3,"Q","T"),Inputs!$B$2:$AZ$2,0)),Inputs!$B$2:$B$190,$B134)*Inputs!$D$1),"",SUMIFS(INDEX(Inputs!$B$2:$AZ$190,,MATCH(SUBSTITUTE(AS$3,"Q","T"),Inputs!$B$2:$AZ$2,0)),Inputs!$B$2:$B$190,$B134)*Inputs!$D$1)</f>
        <v>0</v>
      </c>
      <c r="AT134" s="57">
        <f>IF(ISNA(SUMIFS(INDEX(Inputs!$B$2:$AZ$190,,MATCH(SUBSTITUTE(AT$3,"Q","T"),Inputs!$B$2:$AZ$2,0)),Inputs!$B$2:$B$190,$B134)*Inputs!$D$1),"",SUMIFS(INDEX(Inputs!$B$2:$AZ$190,,MATCH(SUBSTITUTE(AT$3,"Q","T"),Inputs!$B$2:$AZ$2,0)),Inputs!$B$2:$B$190,$B134)*Inputs!$D$1)</f>
        <v>0</v>
      </c>
      <c r="AU134" s="57">
        <f>IF(ISNA(SUMIFS(INDEX(Inputs!$B$2:$AZ$190,,MATCH(SUBSTITUTE(AU$3,"Q","T"),Inputs!$B$2:$AZ$2,0)),Inputs!$B$2:$B$190,$B134)*Inputs!$D$1),"",SUMIFS(INDEX(Inputs!$B$2:$AZ$190,,MATCH(SUBSTITUTE(AU$3,"Q","T"),Inputs!$B$2:$AZ$2,0)),Inputs!$B$2:$B$190,$B134)*Inputs!$D$1)</f>
        <v>0</v>
      </c>
      <c r="AV134" s="57">
        <f>IF(ISNA(SUMIFS(INDEX(Inputs!$B$2:$AZ$190,,MATCH(SUBSTITUTE(AV$3,"Q","T"),Inputs!$B$2:$AZ$2,0)),Inputs!$B$2:$B$190,$B134)*Inputs!$D$1),"",SUMIFS(INDEX(Inputs!$B$2:$AZ$190,,MATCH(SUBSTITUTE(AV$3,"Q","T"),Inputs!$B$2:$AZ$2,0)),Inputs!$B$2:$B$190,$B134)*Inputs!$D$1)</f>
        <v>0</v>
      </c>
      <c r="AW134" s="58">
        <f>AV134</f>
        <v>0</v>
      </c>
      <c r="AX134" s="57">
        <f>IF(ISNA(SUMIFS(INDEX(Inputs!$B$2:$AZ$190,,MATCH(SUBSTITUTE(AX$3,"Q","T"),Inputs!$B$2:$AZ$2,0)),Inputs!$B$2:$B$190,$B134)*Inputs!$D$1),"",SUMIFS(INDEX(Inputs!$B$2:$AZ$190,,MATCH(SUBSTITUTE(AX$3,"Q","T"),Inputs!$B$2:$AZ$2,0)),Inputs!$B$2:$B$190,$B134)*Inputs!$D$1)</f>
        <v>0</v>
      </c>
      <c r="AY134" s="57">
        <f>IF(ISNA(SUMIFS(INDEX(Inputs!$B$2:$AZ$190,,MATCH(SUBSTITUTE(AY$3,"Q","T"),Inputs!$B$2:$AZ$2,0)),Inputs!$B$2:$B$190,$B134)*Inputs!$D$1),"",SUMIFS(INDEX(Inputs!$B$2:$AZ$190,,MATCH(SUBSTITUTE(AY$3,"Q","T"),Inputs!$B$2:$AZ$2,0)),Inputs!$B$2:$B$190,$B134)*Inputs!$D$1)</f>
        <v>0</v>
      </c>
      <c r="AZ134" s="57">
        <f>IF(ISNA(SUMIFS(INDEX(Inputs!$B$2:$AZ$190,,MATCH(SUBSTITUTE(AZ$3,"Q","T"),Inputs!$B$2:$AZ$2,0)),Inputs!$B$2:$B$190,$B134)*Inputs!$D$1),"",SUMIFS(INDEX(Inputs!$B$2:$AZ$190,,MATCH(SUBSTITUTE(AZ$3,"Q","T"),Inputs!$B$2:$AZ$2,0)),Inputs!$B$2:$B$190,$B134)*Inputs!$D$1)</f>
        <v>0</v>
      </c>
      <c r="BA134" s="57">
        <f>IF(ISNA(SUMIFS(INDEX(Inputs!$B$2:$AZ$190,,MATCH(SUBSTITUTE(BA$3,"Q","T"),Inputs!$B$2:$AZ$2,0)),Inputs!$B$2:$B$190,$B134)*Inputs!$D$1),"",SUMIFS(INDEX(Inputs!$B$2:$AZ$190,,MATCH(SUBSTITUTE(BA$3,"Q","T"),Inputs!$B$2:$AZ$2,0)),Inputs!$B$2:$B$190,$B134)*Inputs!$D$1)</f>
        <v>0</v>
      </c>
      <c r="BB134" s="58">
        <f>BA134</f>
        <v>0</v>
      </c>
      <c r="BC134" s="57">
        <f>IF(ISNA(SUMIFS(INDEX(Inputs!$B$2:$AZ$190,,MATCH(SUBSTITUTE(BC$3,"Q","T"),Inputs!$B$2:$AZ$2,0)),Inputs!$B$2:$B$190,$B134)*Inputs!$D$1),"",SUMIFS(INDEX(Inputs!$B$2:$AZ$190,,MATCH(SUBSTITUTE(BC$3,"Q","T"),Inputs!$B$2:$AZ$2,0)),Inputs!$B$2:$B$190,$B134)*Inputs!$D$1)</f>
        <v>0</v>
      </c>
      <c r="BD134" s="57">
        <f>IF(ISNA(SUMIFS(INDEX(Inputs!$B$2:$AZ$190,,MATCH(SUBSTITUTE(BD$3,"Q","T"),Inputs!$B$2:$AZ$2,0)),Inputs!$B$2:$B$190,$B134)*Inputs!$D$1),"",SUMIFS(INDEX(Inputs!$B$2:$AZ$190,,MATCH(SUBSTITUTE(BD$3,"Q","T"),Inputs!$B$2:$AZ$2,0)),Inputs!$B$2:$B$190,$B134)*Inputs!$D$1)</f>
        <v>0</v>
      </c>
      <c r="BE134" s="57">
        <f>IF(ISNA(SUMIFS(INDEX(Inputs!$B$2:$AZ$190,,MATCH(SUBSTITUTE(BE$3,"Q","T"),Inputs!$B$2:$AZ$2,0)),Inputs!$B$2:$B$190,$B134)*Inputs!$D$1),"",SUMIFS(INDEX(Inputs!$B$2:$AZ$190,,MATCH(SUBSTITUTE(BE$3,"Q","T"),Inputs!$B$2:$AZ$2,0)),Inputs!$B$2:$B$190,$B134)*Inputs!$D$1)</f>
        <v>0</v>
      </c>
      <c r="BF134" s="57">
        <f>IF(ISNA(SUMIFS(INDEX(Inputs!$B$2:$AZ$190,,MATCH(SUBSTITUTE(BF$3,"Q","T"),Inputs!$B$2:$AZ$2,0)),Inputs!$B$2:$B$190,$B134)*Inputs!$D$1),"",SUMIFS(INDEX(Inputs!$B$2:$AZ$190,,MATCH(SUBSTITUTE(BF$3,"Q","T"),Inputs!$B$2:$AZ$2,0)),Inputs!$B$2:$B$190,$B134)*Inputs!$D$1)</f>
        <v>0</v>
      </c>
      <c r="BG134" s="58">
        <f>BF134</f>
        <v>0</v>
      </c>
    </row>
    <row r="135">
      <c r="B135" s="56" t="inlineStr">
        <is>
          <t>rwa_mkt</t>
        </is>
      </c>
      <c r="C135" s="11" t="inlineStr">
        <is>
          <t>RWA de mercado</t>
        </is>
      </c>
      <c r="D135" s="12" t="inlineStr">
        <is>
          <t>Market RWA</t>
        </is>
      </c>
      <c r="E135" s="57">
        <f>IF(ISNA(SUMIFS(INDEX(Inputs!$B$2:$AZ$190,,MATCH(SUBSTITUTE(E$3,"Q","T"),Inputs!$B$2:$AZ$2,0)),Inputs!$B$2:$B$190,$B135)*Inputs!$D$1),"",SUMIFS(INDEX(Inputs!$B$2:$AZ$190,,MATCH(SUBSTITUTE(E$3,"Q","T"),Inputs!$B$2:$AZ$2,0)),Inputs!$B$2:$B$190,$B135)*Inputs!$D$1)</f>
        <v>3848.88</v>
      </c>
      <c r="F135" s="57">
        <f>IF(ISNA(SUMIFS(INDEX(Inputs!$B$2:$AZ$190,,MATCH(SUBSTITUTE(F$3,"Q","T"),Inputs!$B$2:$AZ$2,0)),Inputs!$B$2:$B$190,$B135)*Inputs!$D$1),"",SUMIFS(INDEX(Inputs!$B$2:$AZ$190,,MATCH(SUBSTITUTE(F$3,"Q","T"),Inputs!$B$2:$AZ$2,0)),Inputs!$B$2:$B$190,$B135)*Inputs!$D$1)</f>
        <v>1789.85</v>
      </c>
      <c r="G135" s="57">
        <f>IF(ISNA(SUMIFS(INDEX(Inputs!$B$2:$AZ$190,,MATCH(SUBSTITUTE(G$3,"Q","T"),Inputs!$B$2:$AZ$2,0)),Inputs!$B$2:$B$190,$B135)*Inputs!$D$1),"",SUMIFS(INDEX(Inputs!$B$2:$AZ$190,,MATCH(SUBSTITUTE(G$3,"Q","T"),Inputs!$B$2:$AZ$2,0)),Inputs!$B$2:$B$190,$B135)*Inputs!$D$1)</f>
        <v>1854.894</v>
      </c>
      <c r="H135" s="57">
        <f>IF(ISNA(SUMIFS(INDEX(Inputs!$B$2:$AZ$190,,MATCH(SUBSTITUTE(H$3,"Q","T"),Inputs!$B$2:$AZ$2,0)),Inputs!$B$2:$B$190,$B135)*Inputs!$D$1),"",SUMIFS(INDEX(Inputs!$B$2:$AZ$190,,MATCH(SUBSTITUTE(H$3,"Q","T"),Inputs!$B$2:$AZ$2,0)),Inputs!$B$2:$B$190,$B135)*Inputs!$D$1)</f>
        <v>1311.017</v>
      </c>
      <c r="I135" s="58">
        <f>H135</f>
        <v>1311.017</v>
      </c>
      <c r="J135" s="57">
        <f>IF(ISNA(SUMIFS(INDEX(Inputs!$B$2:$AZ$190,,MATCH(SUBSTITUTE(J$3,"Q","T"),Inputs!$B$2:$AZ$2,0)),Inputs!$B$2:$B$190,$B135)*Inputs!$D$1),"",SUMIFS(INDEX(Inputs!$B$2:$AZ$190,,MATCH(SUBSTITUTE(J$3,"Q","T"),Inputs!$B$2:$AZ$2,0)),Inputs!$B$2:$B$190,$B135)*Inputs!$D$1)</f>
        <v>1606.404</v>
      </c>
      <c r="K135" s="57">
        <f>IF(ISNA(SUMIFS(INDEX(Inputs!$B$2:$AZ$190,,MATCH(SUBSTITUTE(K$3,"Q","T"),Inputs!$B$2:$AZ$2,0)),Inputs!$B$2:$B$190,$B135)*Inputs!$D$1),"",SUMIFS(INDEX(Inputs!$B$2:$AZ$190,,MATCH(SUBSTITUTE(K$3,"Q","T"),Inputs!$B$2:$AZ$2,0)),Inputs!$B$2:$B$190,$B135)*Inputs!$D$1)</f>
        <v>1974.513</v>
      </c>
      <c r="L135" s="57">
        <f>IF(ISNA(SUMIFS(INDEX(Inputs!$B$2:$AZ$190,,MATCH(SUBSTITUTE(L$3,"Q","T"),Inputs!$B$2:$AZ$2,0)),Inputs!$B$2:$B$190,$B135)*Inputs!$D$1),"",SUMIFS(INDEX(Inputs!$B$2:$AZ$190,,MATCH(SUBSTITUTE(L$3,"Q","T"),Inputs!$B$2:$AZ$2,0)),Inputs!$B$2:$B$190,$B135)*Inputs!$D$1)</f>
        <v>2984.28</v>
      </c>
      <c r="M135" s="57">
        <f>IF(ISNA(SUMIFS(INDEX(Inputs!$B$2:$AZ$190,,MATCH(SUBSTITUTE(M$3,"Q","T"),Inputs!$B$2:$AZ$2,0)),Inputs!$B$2:$B$190,$B135)*Inputs!$D$1),"",SUMIFS(INDEX(Inputs!$B$2:$AZ$190,,MATCH(SUBSTITUTE(M$3,"Q","T"),Inputs!$B$2:$AZ$2,0)),Inputs!$B$2:$B$190,$B135)*Inputs!$D$1)</f>
        <v>1984.895</v>
      </c>
      <c r="N135" s="58">
        <f>M135</f>
        <v>1984.895</v>
      </c>
      <c r="O135" s="57">
        <f>IF(ISNA(SUMIFS(INDEX(Inputs!$B$2:$AZ$190,,MATCH(SUBSTITUTE(O$3,"Q","T"),Inputs!$B$2:$AZ$2,0)),Inputs!$B$2:$B$190,$B135)*Inputs!$D$1),"",SUMIFS(INDEX(Inputs!$B$2:$AZ$190,,MATCH(SUBSTITUTE(O$3,"Q","T"),Inputs!$B$2:$AZ$2,0)),Inputs!$B$2:$B$190,$B135)*Inputs!$D$1)</f>
        <v>2269.792</v>
      </c>
      <c r="P135" s="57">
        <f>IF(ISNA(SUMIFS(INDEX(Inputs!$B$2:$AZ$190,,MATCH(SUBSTITUTE(P$3,"Q","T"),Inputs!$B$2:$AZ$2,0)),Inputs!$B$2:$B$190,$B135)*Inputs!$D$1),"",SUMIFS(INDEX(Inputs!$B$2:$AZ$190,,MATCH(SUBSTITUTE(P$3,"Q","T"),Inputs!$B$2:$AZ$2,0)),Inputs!$B$2:$B$190,$B135)*Inputs!$D$1)</f>
        <v>2662.277</v>
      </c>
      <c r="Q135" s="57">
        <f>IF(ISNA(SUMIFS(INDEX(Inputs!$B$2:$AZ$190,,MATCH(SUBSTITUTE(Q$3,"Q","T"),Inputs!$B$2:$AZ$2,0)),Inputs!$B$2:$B$190,$B135)*Inputs!$D$1),"",SUMIFS(INDEX(Inputs!$B$2:$AZ$190,,MATCH(SUBSTITUTE(Q$3,"Q","T"),Inputs!$B$2:$AZ$2,0)),Inputs!$B$2:$B$190,$B135)*Inputs!$D$1)</f>
        <v>2692.684</v>
      </c>
      <c r="R135" s="57">
        <f>IF(ISNA(SUMIFS(INDEX(Inputs!$B$2:$AZ$190,,MATCH(SUBSTITUTE(R$3,"Q","T"),Inputs!$B$2:$AZ$2,0)),Inputs!$B$2:$B$190,$B135)*Inputs!$D$1),"",SUMIFS(INDEX(Inputs!$B$2:$AZ$190,,MATCH(SUBSTITUTE(R$3,"Q","T"),Inputs!$B$2:$AZ$2,0)),Inputs!$B$2:$B$190,$B135)*Inputs!$D$1)</f>
        <v>2543.369</v>
      </c>
      <c r="S135" s="58">
        <f>R135</f>
        <v>2543.369</v>
      </c>
      <c r="T135" s="57">
        <f>IF(ISNA(SUMIFS(INDEX(Inputs!$B$2:$AZ$190,,MATCH(SUBSTITUTE(T$3,"Q","T"),Inputs!$B$2:$AZ$2,0)),Inputs!$B$2:$B$190,$B135)*Inputs!$D$1),"",SUMIFS(INDEX(Inputs!$B$2:$AZ$190,,MATCH(SUBSTITUTE(T$3,"Q","T"),Inputs!$B$2:$AZ$2,0)),Inputs!$B$2:$B$190,$B135)*Inputs!$D$1)</f>
        <v>2837.013</v>
      </c>
      <c r="U135" s="57">
        <f>IF(ISNA(SUMIFS(INDEX(Inputs!$B$2:$AZ$190,,MATCH(SUBSTITUTE(U$3,"Q","T"),Inputs!$B$2:$AZ$2,0)),Inputs!$B$2:$B$190,$B135)*Inputs!$D$1),"",SUMIFS(INDEX(Inputs!$B$2:$AZ$190,,MATCH(SUBSTITUTE(U$3,"Q","T"),Inputs!$B$2:$AZ$2,0)),Inputs!$B$2:$B$190,$B135)*Inputs!$D$1)</f>
        <v>3252.551</v>
      </c>
      <c r="V135" s="57">
        <f>IF(ISNA(SUMIFS(INDEX(Inputs!$B$2:$AZ$190,,MATCH(SUBSTITUTE(V$3,"Q","T"),Inputs!$B$2:$AZ$2,0)),Inputs!$B$2:$B$190,$B135)*Inputs!$D$1),"",SUMIFS(INDEX(Inputs!$B$2:$AZ$190,,MATCH(SUBSTITUTE(V$3,"Q","T"),Inputs!$B$2:$AZ$2,0)),Inputs!$B$2:$B$190,$B135)*Inputs!$D$1)</f>
        <v>4751.015</v>
      </c>
      <c r="W135" s="57">
        <f>IF(ISNA(SUMIFS(INDEX(Inputs!$B$2:$AZ$190,,MATCH(SUBSTITUTE(W$3,"Q","T"),Inputs!$B$2:$AZ$2,0)),Inputs!$B$2:$B$190,$B135)*Inputs!$D$1),"",SUMIFS(INDEX(Inputs!$B$2:$AZ$190,,MATCH(SUBSTITUTE(W$3,"Q","T"),Inputs!$B$2:$AZ$2,0)),Inputs!$B$2:$B$190,$B135)*Inputs!$D$1)</f>
        <v>4919.282</v>
      </c>
      <c r="X135" s="58">
        <f>W135</f>
        <v>4919.282</v>
      </c>
      <c r="Y135" s="57">
        <f>IF(ISNA(SUMIFS(INDEX(Inputs!$B$2:$AZ$190,,MATCH(SUBSTITUTE(Y$3,"Q","T"),Inputs!$B$2:$AZ$2,0)),Inputs!$B$2:$B$190,$B135)*Inputs!$D$1),"",SUMIFS(INDEX(Inputs!$B$2:$AZ$190,,MATCH(SUBSTITUTE(Y$3,"Q","T"),Inputs!$B$2:$AZ$2,0)),Inputs!$B$2:$B$190,$B135)*Inputs!$D$1)</f>
        <v>4476.900245</v>
      </c>
      <c r="Z135" s="57">
        <f>IF(ISNA(SUMIFS(INDEX(Inputs!$B$2:$AZ$190,,MATCH(SUBSTITUTE(Z$3,"Q","T"),Inputs!$B$2:$AZ$2,0)),Inputs!$B$2:$B$190,$B135)*Inputs!$D$1),"",SUMIFS(INDEX(Inputs!$B$2:$AZ$190,,MATCH(SUBSTITUTE(Z$3,"Q","T"),Inputs!$B$2:$AZ$2,0)),Inputs!$B$2:$B$190,$B135)*Inputs!$D$1)</f>
        <v>3931.115826</v>
      </c>
      <c r="AA135" s="57">
        <f>IF(ISNA(SUMIFS(INDEX(Inputs!$B$2:$AZ$190,,MATCH(SUBSTITUTE(AA$3,"Q","T"),Inputs!$B$2:$AZ$2,0)),Inputs!$B$2:$B$190,$B135)*Inputs!$D$1),"",SUMIFS(INDEX(Inputs!$B$2:$AZ$190,,MATCH(SUBSTITUTE(AA$3,"Q","T"),Inputs!$B$2:$AZ$2,0)),Inputs!$B$2:$B$190,$B135)*Inputs!$D$1)</f>
        <v>4503.096742</v>
      </c>
      <c r="AB135" s="57">
        <f>IF(ISNA(SUMIFS(INDEX(Inputs!$B$2:$AZ$190,,MATCH(SUBSTITUTE(AB$3,"Q","T"),Inputs!$B$2:$AZ$2,0)),Inputs!$B$2:$B$190,$B135)*Inputs!$D$1),"",SUMIFS(INDEX(Inputs!$B$2:$AZ$190,,MATCH(SUBSTITUTE(AB$3,"Q","T"),Inputs!$B$2:$AZ$2,0)),Inputs!$B$2:$B$190,$B135)*Inputs!$D$1)</f>
        <v>5030.884579</v>
      </c>
      <c r="AC135" s="58">
        <f>AB135</f>
        <v>5030.884579</v>
      </c>
      <c r="AD135" s="57">
        <f>IF(ISNA(SUMIFS(INDEX(Inputs!$B$2:$AZ$190,,MATCH(SUBSTITUTE(AD$3,"Q","T"),Inputs!$B$2:$AZ$2,0)),Inputs!$B$2:$B$190,$B135)*Inputs!$D$1),"",SUMIFS(INDEX(Inputs!$B$2:$AZ$190,,MATCH(SUBSTITUTE(AD$3,"Q","T"),Inputs!$B$2:$AZ$2,0)),Inputs!$B$2:$B$190,$B135)*Inputs!$D$1)</f>
        <v>4210.076806</v>
      </c>
      <c r="AE135" s="57">
        <f>IF(ISNA(SUMIFS(INDEX(Inputs!$B$2:$AZ$190,,MATCH(SUBSTITUTE(AE$3,"Q","T"),Inputs!$B$2:$AZ$2,0)),Inputs!$B$2:$B$190,$B135)*Inputs!$D$1),"",SUMIFS(INDEX(Inputs!$B$2:$AZ$190,,MATCH(SUBSTITUTE(AE$3,"Q","T"),Inputs!$B$2:$AZ$2,0)),Inputs!$B$2:$B$190,$B135)*Inputs!$D$1)</f>
        <v>3981.53103</v>
      </c>
      <c r="AF135" s="57">
        <f>IF(ISNA(SUMIFS(INDEX(Inputs!$B$2:$AZ$190,,MATCH(SUBSTITUTE(AF$3,"Q","T"),Inputs!$B$2:$AZ$2,0)),Inputs!$B$2:$B$190,$B135)*Inputs!$D$1),"",SUMIFS(INDEX(Inputs!$B$2:$AZ$190,,MATCH(SUBSTITUTE(AF$3,"Q","T"),Inputs!$B$2:$AZ$2,0)),Inputs!$B$2:$B$190,$B135)*Inputs!$D$1)</f>
        <v>4437.916816</v>
      </c>
      <c r="AG135" s="57">
        <f>IF(ISNA(SUMIFS(INDEX(Inputs!$B$2:$AZ$190,,MATCH(SUBSTITUTE(AG$3,"Q","T"),Inputs!$B$2:$AZ$2,0)),Inputs!$B$2:$B$190,$B135)*Inputs!$D$1),"",SUMIFS(INDEX(Inputs!$B$2:$AZ$190,,MATCH(SUBSTITUTE(AG$3,"Q","T"),Inputs!$B$2:$AZ$2,0)),Inputs!$B$2:$B$190,$B135)*Inputs!$D$1)</f>
        <v>4685.106096</v>
      </c>
      <c r="AH135" s="58">
        <f>AG135</f>
        <v>4685.106096</v>
      </c>
      <c r="AI135" s="57">
        <f>IF(ISNA(SUMIFS(INDEX(Inputs!$B$2:$AZ$190,,MATCH(SUBSTITUTE(AI$3,"Q","T"),Inputs!$B$2:$AZ$2,0)),Inputs!$B$2:$B$190,$B135)*Inputs!$D$1),"",SUMIFS(INDEX(Inputs!$B$2:$AZ$190,,MATCH(SUBSTITUTE(AI$3,"Q","T"),Inputs!$B$2:$AZ$2,0)),Inputs!$B$2:$B$190,$B135)*Inputs!$D$1)</f>
        <v>5121.379621</v>
      </c>
      <c r="AJ135" s="57">
        <f>IF(ISNA(SUMIFS(INDEX(Inputs!$B$2:$AZ$190,,MATCH(SUBSTITUTE(AJ$3,"Q","T"),Inputs!$B$2:$AZ$2,0)),Inputs!$B$2:$B$190,$B135)*Inputs!$D$1),"",SUMIFS(INDEX(Inputs!$B$2:$AZ$190,,MATCH(SUBSTITUTE(AJ$3,"Q","T"),Inputs!$B$2:$AZ$2,0)),Inputs!$B$2:$B$190,$B135)*Inputs!$D$1)</f>
        <v>5075.934198</v>
      </c>
      <c r="AK135" s="57">
        <f>IF(ISNA(SUMIFS(INDEX(Inputs!$B$2:$AZ$190,,MATCH(SUBSTITUTE(AK$3,"Q","T"),Inputs!$B$2:$AZ$2,0)),Inputs!$B$2:$B$190,$B135)*Inputs!$D$1),"",SUMIFS(INDEX(Inputs!$B$2:$AZ$190,,MATCH(SUBSTITUTE(AK$3,"Q","T"),Inputs!$B$2:$AZ$2,0)),Inputs!$B$2:$B$190,$B135)*Inputs!$D$1)</f>
        <v>0</v>
      </c>
      <c r="AL135" s="57">
        <f>IF(ISNA(SUMIFS(INDEX(Inputs!$B$2:$AZ$190,,MATCH(SUBSTITUTE(AL$3,"Q","T"),Inputs!$B$2:$AZ$2,0)),Inputs!$B$2:$B$190,$B135)*Inputs!$D$1),"",SUMIFS(INDEX(Inputs!$B$2:$AZ$190,,MATCH(SUBSTITUTE(AL$3,"Q","T"),Inputs!$B$2:$AZ$2,0)),Inputs!$B$2:$B$190,$B135)*Inputs!$D$1)</f>
        <v>0</v>
      </c>
      <c r="AM135" s="58">
        <f>AL135</f>
        <v>0</v>
      </c>
      <c r="AN135" s="57">
        <f>IF(ISNA(SUMIFS(INDEX(Inputs!$B$2:$AZ$190,,MATCH(SUBSTITUTE(AN$3,"Q","T"),Inputs!$B$2:$AZ$2,0)),Inputs!$B$2:$B$190,$B135)*Inputs!$D$1),"",SUMIFS(INDEX(Inputs!$B$2:$AZ$190,,MATCH(SUBSTITUTE(AN$3,"Q","T"),Inputs!$B$2:$AZ$2,0)),Inputs!$B$2:$B$190,$B135)*Inputs!$D$1)</f>
        <v>0</v>
      </c>
      <c r="AO135" s="57">
        <f>IF(ISNA(SUMIFS(INDEX(Inputs!$B$2:$AZ$190,,MATCH(SUBSTITUTE(AO$3,"Q","T"),Inputs!$B$2:$AZ$2,0)),Inputs!$B$2:$B$190,$B135)*Inputs!$D$1),"",SUMIFS(INDEX(Inputs!$B$2:$AZ$190,,MATCH(SUBSTITUTE(AO$3,"Q","T"),Inputs!$B$2:$AZ$2,0)),Inputs!$B$2:$B$190,$B135)*Inputs!$D$1)</f>
        <v>0</v>
      </c>
      <c r="AP135" s="57">
        <f>IF(ISNA(SUMIFS(INDEX(Inputs!$B$2:$AZ$190,,MATCH(SUBSTITUTE(AP$3,"Q","T"),Inputs!$B$2:$AZ$2,0)),Inputs!$B$2:$B$190,$B135)*Inputs!$D$1),"",SUMIFS(INDEX(Inputs!$B$2:$AZ$190,,MATCH(SUBSTITUTE(AP$3,"Q","T"),Inputs!$B$2:$AZ$2,0)),Inputs!$B$2:$B$190,$B135)*Inputs!$D$1)</f>
        <v>0</v>
      </c>
      <c r="AQ135" s="57">
        <f>IF(ISNA(SUMIFS(INDEX(Inputs!$B$2:$AZ$190,,MATCH(SUBSTITUTE(AQ$3,"Q","T"),Inputs!$B$2:$AZ$2,0)),Inputs!$B$2:$B$190,$B135)*Inputs!$D$1),"",SUMIFS(INDEX(Inputs!$B$2:$AZ$190,,MATCH(SUBSTITUTE(AQ$3,"Q","T"),Inputs!$B$2:$AZ$2,0)),Inputs!$B$2:$B$190,$B135)*Inputs!$D$1)</f>
        <v>0</v>
      </c>
      <c r="AR135" s="58">
        <f>AQ135</f>
        <v>0</v>
      </c>
      <c r="AS135" s="57">
        <f>IF(ISNA(SUMIFS(INDEX(Inputs!$B$2:$AZ$190,,MATCH(SUBSTITUTE(AS$3,"Q","T"),Inputs!$B$2:$AZ$2,0)),Inputs!$B$2:$B$190,$B135)*Inputs!$D$1),"",SUMIFS(INDEX(Inputs!$B$2:$AZ$190,,MATCH(SUBSTITUTE(AS$3,"Q","T"),Inputs!$B$2:$AZ$2,0)),Inputs!$B$2:$B$190,$B135)*Inputs!$D$1)</f>
        <v>0</v>
      </c>
      <c r="AT135" s="57">
        <f>IF(ISNA(SUMIFS(INDEX(Inputs!$B$2:$AZ$190,,MATCH(SUBSTITUTE(AT$3,"Q","T"),Inputs!$B$2:$AZ$2,0)),Inputs!$B$2:$B$190,$B135)*Inputs!$D$1),"",SUMIFS(INDEX(Inputs!$B$2:$AZ$190,,MATCH(SUBSTITUTE(AT$3,"Q","T"),Inputs!$B$2:$AZ$2,0)),Inputs!$B$2:$B$190,$B135)*Inputs!$D$1)</f>
        <v>0</v>
      </c>
      <c r="AU135" s="57">
        <f>IF(ISNA(SUMIFS(INDEX(Inputs!$B$2:$AZ$190,,MATCH(SUBSTITUTE(AU$3,"Q","T"),Inputs!$B$2:$AZ$2,0)),Inputs!$B$2:$B$190,$B135)*Inputs!$D$1),"",SUMIFS(INDEX(Inputs!$B$2:$AZ$190,,MATCH(SUBSTITUTE(AU$3,"Q","T"),Inputs!$B$2:$AZ$2,0)),Inputs!$B$2:$B$190,$B135)*Inputs!$D$1)</f>
        <v>0</v>
      </c>
      <c r="AV135" s="57">
        <f>IF(ISNA(SUMIFS(INDEX(Inputs!$B$2:$AZ$190,,MATCH(SUBSTITUTE(AV$3,"Q","T"),Inputs!$B$2:$AZ$2,0)),Inputs!$B$2:$B$190,$B135)*Inputs!$D$1),"",SUMIFS(INDEX(Inputs!$B$2:$AZ$190,,MATCH(SUBSTITUTE(AV$3,"Q","T"),Inputs!$B$2:$AZ$2,0)),Inputs!$B$2:$B$190,$B135)*Inputs!$D$1)</f>
        <v>0</v>
      </c>
      <c r="AW135" s="58">
        <f>AV135</f>
        <v>0</v>
      </c>
      <c r="AX135" s="57">
        <f>IF(ISNA(SUMIFS(INDEX(Inputs!$B$2:$AZ$190,,MATCH(SUBSTITUTE(AX$3,"Q","T"),Inputs!$B$2:$AZ$2,0)),Inputs!$B$2:$B$190,$B135)*Inputs!$D$1),"",SUMIFS(INDEX(Inputs!$B$2:$AZ$190,,MATCH(SUBSTITUTE(AX$3,"Q","T"),Inputs!$B$2:$AZ$2,0)),Inputs!$B$2:$B$190,$B135)*Inputs!$D$1)</f>
        <v>0</v>
      </c>
      <c r="AY135" s="57">
        <f>IF(ISNA(SUMIFS(INDEX(Inputs!$B$2:$AZ$190,,MATCH(SUBSTITUTE(AY$3,"Q","T"),Inputs!$B$2:$AZ$2,0)),Inputs!$B$2:$B$190,$B135)*Inputs!$D$1),"",SUMIFS(INDEX(Inputs!$B$2:$AZ$190,,MATCH(SUBSTITUTE(AY$3,"Q","T"),Inputs!$B$2:$AZ$2,0)),Inputs!$B$2:$B$190,$B135)*Inputs!$D$1)</f>
        <v>0</v>
      </c>
      <c r="AZ135" s="57">
        <f>IF(ISNA(SUMIFS(INDEX(Inputs!$B$2:$AZ$190,,MATCH(SUBSTITUTE(AZ$3,"Q","T"),Inputs!$B$2:$AZ$2,0)),Inputs!$B$2:$B$190,$B135)*Inputs!$D$1),"",SUMIFS(INDEX(Inputs!$B$2:$AZ$190,,MATCH(SUBSTITUTE(AZ$3,"Q","T"),Inputs!$B$2:$AZ$2,0)),Inputs!$B$2:$B$190,$B135)*Inputs!$D$1)</f>
        <v>0</v>
      </c>
      <c r="BA135" s="57">
        <f>IF(ISNA(SUMIFS(INDEX(Inputs!$B$2:$AZ$190,,MATCH(SUBSTITUTE(BA$3,"Q","T"),Inputs!$B$2:$AZ$2,0)),Inputs!$B$2:$B$190,$B135)*Inputs!$D$1),"",SUMIFS(INDEX(Inputs!$B$2:$AZ$190,,MATCH(SUBSTITUTE(BA$3,"Q","T"),Inputs!$B$2:$AZ$2,0)),Inputs!$B$2:$B$190,$B135)*Inputs!$D$1)</f>
        <v>0</v>
      </c>
      <c r="BB135" s="58">
        <f>BA135</f>
        <v>0</v>
      </c>
      <c r="BC135" s="57">
        <f>IF(ISNA(SUMIFS(INDEX(Inputs!$B$2:$AZ$190,,MATCH(SUBSTITUTE(BC$3,"Q","T"),Inputs!$B$2:$AZ$2,0)),Inputs!$B$2:$B$190,$B135)*Inputs!$D$1),"",SUMIFS(INDEX(Inputs!$B$2:$AZ$190,,MATCH(SUBSTITUTE(BC$3,"Q","T"),Inputs!$B$2:$AZ$2,0)),Inputs!$B$2:$B$190,$B135)*Inputs!$D$1)</f>
        <v>0</v>
      </c>
      <c r="BD135" s="57">
        <f>IF(ISNA(SUMIFS(INDEX(Inputs!$B$2:$AZ$190,,MATCH(SUBSTITUTE(BD$3,"Q","T"),Inputs!$B$2:$AZ$2,0)),Inputs!$B$2:$B$190,$B135)*Inputs!$D$1),"",SUMIFS(INDEX(Inputs!$B$2:$AZ$190,,MATCH(SUBSTITUTE(BD$3,"Q","T"),Inputs!$B$2:$AZ$2,0)),Inputs!$B$2:$B$190,$B135)*Inputs!$D$1)</f>
        <v>0</v>
      </c>
      <c r="BE135" s="57">
        <f>IF(ISNA(SUMIFS(INDEX(Inputs!$B$2:$AZ$190,,MATCH(SUBSTITUTE(BE$3,"Q","T"),Inputs!$B$2:$AZ$2,0)),Inputs!$B$2:$B$190,$B135)*Inputs!$D$1),"",SUMIFS(INDEX(Inputs!$B$2:$AZ$190,,MATCH(SUBSTITUTE(BE$3,"Q","T"),Inputs!$B$2:$AZ$2,0)),Inputs!$B$2:$B$190,$B135)*Inputs!$D$1)</f>
        <v>0</v>
      </c>
      <c r="BF135" s="57">
        <f>IF(ISNA(SUMIFS(INDEX(Inputs!$B$2:$AZ$190,,MATCH(SUBSTITUTE(BF$3,"Q","T"),Inputs!$B$2:$AZ$2,0)),Inputs!$B$2:$B$190,$B135)*Inputs!$D$1),"",SUMIFS(INDEX(Inputs!$B$2:$AZ$190,,MATCH(SUBSTITUTE(BF$3,"Q","T"),Inputs!$B$2:$AZ$2,0)),Inputs!$B$2:$B$190,$B135)*Inputs!$D$1)</f>
        <v>0</v>
      </c>
      <c r="BG135" s="58">
        <f>BF135</f>
        <v>0</v>
      </c>
    </row>
    <row r="136">
      <c r="B136" s="56" t="inlineStr">
        <is>
          <t>rwa_op</t>
        </is>
      </c>
      <c r="C136" s="11" t="inlineStr">
        <is>
          <t>RWA operacional</t>
        </is>
      </c>
      <c r="D136" s="12" t="inlineStr">
        <is>
          <t>Operational RWA</t>
        </is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2195.289</v>
      </c>
      <c r="F136" s="57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>2195.289</v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1805.856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1805.855</v>
      </c>
      <c r="I136" s="58">
        <f>H136</f>
        <v>1805.855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1983.809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1983.809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2253.756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2253.756</v>
      </c>
      <c r="N136" s="58">
        <f>M136</f>
        <v>2253.756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2325.952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2325.952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2505.389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2505.389</v>
      </c>
      <c r="S136" s="58">
        <f>R136</f>
        <v>2505.389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2708.656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2708.656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3375.428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3375.428</v>
      </c>
      <c r="X136" s="58">
        <f>W136</f>
        <v>3375.428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3364.420194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3364.420194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3468.896396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3468.896396</v>
      </c>
      <c r="AC136" s="58">
        <f>AB136</f>
        <v>3468.896396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3402.82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3402.819611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3331.457291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3331.457291</v>
      </c>
      <c r="AH136" s="58">
        <f>AG136</f>
        <v>3331.457291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3331.457291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3475.44469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>AL136</f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>AQ136</f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>AV136</f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>BA136</f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>BF136</f>
        <v>0</v>
      </c>
    </row>
    <row r="137">
      <c r="B137" s="56" t="inlineStr">
        <is>
          <t>pr</t>
        </is>
      </c>
      <c r="C137" s="11" t="inlineStr">
        <is>
          <t>Patrimônio de Referência (PR)</t>
        </is>
      </c>
      <c r="D137" s="12" t="inlineStr">
        <is>
          <t>Regulatory capital</t>
        </is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5227.236141</v>
      </c>
      <c r="F137" s="57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>5370.656959</v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5343.739283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5388.427276</v>
      </c>
      <c r="I137" s="58">
        <f>H137</f>
        <v>5388.427276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5400.672865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5481.870388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5504.329782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5609.360854</v>
      </c>
      <c r="N137" s="58">
        <f>M137</f>
        <v>5609.360854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5552.220124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5992.182042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6089.29222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6439.379126</v>
      </c>
      <c r="S137" s="58">
        <f>R137</f>
        <v>6439.379126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6551.663805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6592.685356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6699.076664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7225.300022</v>
      </c>
      <c r="X137" s="58">
        <f>W137</f>
        <v>7225.300022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8061.960449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8254.52638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8345.251528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8961.598205</v>
      </c>
      <c r="AC137" s="58">
        <f>AB137</f>
        <v>8961.598205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9071.821881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9174.218873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9138.41833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9055.204148</v>
      </c>
      <c r="AH137" s="58">
        <f>AG137</f>
        <v>9055.204148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8947.079536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9299.605699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>AL137</f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>AQ137</f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>AV137</f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>BA137</f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>BF137</f>
        <v>0</v>
      </c>
    </row>
    <row r="138">
      <c r="B138" s="56" t="inlineStr">
        <is>
          <t>nivel1</t>
        </is>
      </c>
      <c r="C138" s="11" t="inlineStr">
        <is>
          <t>Capital Nível I</t>
        </is>
      </c>
      <c r="D138" s="12" t="inlineStr">
        <is>
          <t>Tier 1 capital</t>
        </is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0</v>
      </c>
      <c r="F138" s="57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>0</v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0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0</v>
      </c>
      <c r="I138" s="58">
        <f>H138</f>
        <v>0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4736.615076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4850.167749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4956.287839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5066.247752</v>
      </c>
      <c r="N138" s="58">
        <f>M138</f>
        <v>5066.247752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4973.905973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5256.855644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5430.154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5543.499205</v>
      </c>
      <c r="S138" s="58">
        <f>R138</f>
        <v>5543.499205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5645.381745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5688.665766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0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6145.692386</v>
      </c>
      <c r="X138" s="58">
        <f>W138</f>
        <v>6145.692386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6722.654562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6975.70465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7088.423927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7687.867437</v>
      </c>
      <c r="AC138" s="58">
        <f>AB138</f>
        <v>7687.867437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7777.63457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7865.887384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7811.172045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7696.707794</v>
      </c>
      <c r="AH138" s="58">
        <f>AG138</f>
        <v>7696.707794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7559.012791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7894.180096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>AL138</f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>AQ138</f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>AV138</f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>BA138</f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>BF138</f>
        <v>0</v>
      </c>
    </row>
    <row r="139">
      <c r="B139" s="56" t="inlineStr">
        <is>
          <t>cet1</t>
        </is>
      </c>
      <c r="C139" s="11" t="inlineStr">
        <is>
          <t>Capital Principal (CET1)</t>
        </is>
      </c>
      <c r="D139" s="12" t="inlineStr">
        <is>
          <t>Common Equity Tier 1</t>
        </is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0</v>
      </c>
      <c r="F139" s="57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>0</v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0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0</v>
      </c>
      <c r="I139" s="58">
        <f>H139</f>
        <v>0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4253.188285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4362.085931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4469.700375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4575.578662</v>
      </c>
      <c r="N139" s="58">
        <f>M139</f>
        <v>4575.578662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4468.562837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4733.385601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4920.251964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5038.461728</v>
      </c>
      <c r="S139" s="58">
        <f>R139</f>
        <v>5038.461728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5120.183623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5143.070253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0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5643.235504</v>
      </c>
      <c r="X139" s="58">
        <f>W139</f>
        <v>5643.235504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5700.973405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5921.836861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6045.111548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6120.200118</v>
      </c>
      <c r="AC139" s="58">
        <f>AB139</f>
        <v>6120.200118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6154.217128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6259.732557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6494.562338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6618.731329</v>
      </c>
      <c r="AH139" s="58">
        <f>AG139</f>
        <v>6618.731329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6438.707854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6822.339227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>AL139</f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>AQ139</f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>AV139</f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>BA139</f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>BF139</f>
        <v>0</v>
      </c>
    </row>
    <row r="140">
      <c r="B140" s="56" t="inlineStr">
        <is>
          <t>ib_rep</t>
        </is>
      </c>
      <c r="C140" s="11" t="inlineStr">
        <is>
          <t>Índice de Basileia reportado (%)</t>
        </is>
      </c>
      <c r="D140" s="12" t="inlineStr">
        <is>
          <t>Reported Basel ratio</t>
        </is>
      </c>
      <c r="E140" s="68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0.146564</v>
      </c>
      <c r="F140" s="68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>0.157237</v>
      </c>
      <c r="G140" s="68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0.157076</v>
      </c>
      <c r="H140" s="68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0.168537</v>
      </c>
      <c r="I140" s="69">
        <f>H140</f>
        <v>0.168537</v>
      </c>
      <c r="J140" s="68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0.15939</v>
      </c>
      <c r="K140" s="68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0.158854</v>
      </c>
      <c r="L140" s="68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0.146089</v>
      </c>
      <c r="M140" s="68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0.150917</v>
      </c>
      <c r="N140" s="69">
        <f>M140</f>
        <v>0.150917</v>
      </c>
      <c r="O140" s="68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0.150801</v>
      </c>
      <c r="P140" s="68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0.149711</v>
      </c>
      <c r="Q140" s="68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0.147267</v>
      </c>
      <c r="R140" s="68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0.152341</v>
      </c>
      <c r="S140" s="69">
        <f>R140</f>
        <v>0.152341</v>
      </c>
      <c r="T140" s="68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0.148158</v>
      </c>
      <c r="U140" s="68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0.149591</v>
      </c>
      <c r="V140" s="68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0.146195</v>
      </c>
      <c r="W140" s="68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0.14945</v>
      </c>
      <c r="X140" s="69">
        <f>W140</f>
        <v>0.14945</v>
      </c>
      <c r="Y140" s="68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0.165737</v>
      </c>
      <c r="Z140" s="68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0.163112</v>
      </c>
      <c r="AA140" s="68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0.160698</v>
      </c>
      <c r="AB140" s="68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0.164774</v>
      </c>
      <c r="AC140" s="69">
        <f>AB140</f>
        <v>0.164774</v>
      </c>
      <c r="AD140" s="68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0.171954</v>
      </c>
      <c r="AE140" s="68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0.172953</v>
      </c>
      <c r="AF140" s="68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0.167108</v>
      </c>
      <c r="AG140" s="68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0.162847</v>
      </c>
      <c r="AH140" s="69">
        <f>AG140</f>
        <v>0.162847</v>
      </c>
      <c r="AI140" s="68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0.158738</v>
      </c>
      <c r="AJ140" s="68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0.161803</v>
      </c>
      <c r="AK140" s="68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68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69">
        <f>AL140</f>
        <v>0</v>
      </c>
      <c r="AN140" s="68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68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68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68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69">
        <f>AQ140</f>
        <v>0</v>
      </c>
      <c r="AS140" s="68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68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68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68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69">
        <f>AV140</f>
        <v>0</v>
      </c>
      <c r="AX140" s="68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68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68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68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69">
        <f>BA140</f>
        <v>0</v>
      </c>
      <c r="BC140" s="68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68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68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68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69">
        <f>BF140</f>
        <v>0</v>
      </c>
    </row>
    <row r="141">
      <c r="B141" s="56" t="inlineStr">
        <is>
          <t>in1_rep</t>
        </is>
      </c>
      <c r="C141" s="11" t="inlineStr">
        <is>
          <t>Índice de Nível I reportado (%)</t>
        </is>
      </c>
      <c r="D141" s="12" t="inlineStr">
        <is>
          <t>Reported Tier 1 ratio</t>
        </is>
      </c>
      <c r="E141" s="68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0.121728</v>
      </c>
      <c r="F141" s="68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>0.133206</v>
      </c>
      <c r="G141" s="68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0.135583</v>
      </c>
      <c r="H141" s="68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0.146957</v>
      </c>
      <c r="I141" s="69">
        <f>H141</f>
        <v>0.146957</v>
      </c>
      <c r="J141" s="68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0.139792</v>
      </c>
      <c r="K141" s="68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0.140549</v>
      </c>
      <c r="L141" s="68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0.131544</v>
      </c>
      <c r="M141" s="68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0.136305</v>
      </c>
      <c r="N141" s="69">
        <f>M141</f>
        <v>0.136305</v>
      </c>
      <c r="O141" s="68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0.135094</v>
      </c>
      <c r="P141" s="68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0.131339</v>
      </c>
      <c r="Q141" s="68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0.131326</v>
      </c>
      <c r="R141" s="68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0.131146</v>
      </c>
      <c r="S141" s="69">
        <f>R141</f>
        <v>0.131146</v>
      </c>
      <c r="T141" s="68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0.127663</v>
      </c>
      <c r="U141" s="68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0.129078</v>
      </c>
      <c r="V141" s="68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0.127437</v>
      </c>
      <c r="W141" s="68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0.127119</v>
      </c>
      <c r="X141" s="69">
        <f>W141</f>
        <v>0.127119</v>
      </c>
      <c r="Y141" s="68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0.138204</v>
      </c>
      <c r="Z141" s="68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0.137842</v>
      </c>
      <c r="AA141" s="68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0.136496</v>
      </c>
      <c r="AB141" s="68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0.141354</v>
      </c>
      <c r="AC141" s="69">
        <f>AB141</f>
        <v>0.141354</v>
      </c>
      <c r="AD141" s="68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0.147423</v>
      </c>
      <c r="AE141" s="68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0.148288</v>
      </c>
      <c r="AF141" s="68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0.142838</v>
      </c>
      <c r="AG141" s="68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0.138416</v>
      </c>
      <c r="AH141" s="69">
        <f>AG141</f>
        <v>0.138416</v>
      </c>
      <c r="AI141" s="68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0.134111</v>
      </c>
      <c r="AJ141" s="68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0.13735</v>
      </c>
      <c r="AK141" s="68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68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69">
        <f>AL141</f>
        <v>0</v>
      </c>
      <c r="AN141" s="68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68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68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68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69">
        <f>AQ141</f>
        <v>0</v>
      </c>
      <c r="AS141" s="68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68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68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68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69">
        <f>AV141</f>
        <v>0</v>
      </c>
      <c r="AX141" s="68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68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68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68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69">
        <f>BA141</f>
        <v>0</v>
      </c>
      <c r="BC141" s="68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68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68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68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69">
        <f>BF141</f>
        <v>0</v>
      </c>
    </row>
    <row r="142">
      <c r="B142" s="56" t="inlineStr">
        <is>
          <t>icp_rep</t>
        </is>
      </c>
      <c r="C142" s="11" t="inlineStr">
        <is>
          <t>Índice de Capital Principal reportado (%)</t>
        </is>
      </c>
      <c r="D142" s="12" t="inlineStr">
        <is>
          <t>Reported CET1 ratio</t>
        </is>
      </c>
      <c r="E142" s="68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0.107476</v>
      </c>
      <c r="F142" s="68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>0.118189</v>
      </c>
      <c r="G142" s="68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0.121163</v>
      </c>
      <c r="H142" s="68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0.131926</v>
      </c>
      <c r="I142" s="69">
        <f>H142</f>
        <v>0.131926</v>
      </c>
      <c r="J142" s="68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0.125525</v>
      </c>
      <c r="K142" s="68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0.126405</v>
      </c>
      <c r="L142" s="68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0.118629</v>
      </c>
      <c r="M142" s="68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0.123104</v>
      </c>
      <c r="N142" s="69">
        <f>M142</f>
        <v>0.123104</v>
      </c>
      <c r="O142" s="68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0.121368</v>
      </c>
      <c r="P142" s="68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0.118261</v>
      </c>
      <c r="Q142" s="68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0.118995</v>
      </c>
      <c r="R142" s="68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0.119198</v>
      </c>
      <c r="S142" s="69">
        <f>R142</f>
        <v>0.119198</v>
      </c>
      <c r="T142" s="68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0.115787</v>
      </c>
      <c r="U142" s="68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0.116698</v>
      </c>
      <c r="V142" s="68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0.116207</v>
      </c>
      <c r="W142" s="68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0.116726</v>
      </c>
      <c r="X142" s="69">
        <f>W142</f>
        <v>0.116726</v>
      </c>
      <c r="Y142" s="68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0.1172</v>
      </c>
      <c r="Z142" s="68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0.117017</v>
      </c>
      <c r="AA142" s="68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0.116406</v>
      </c>
      <c r="AB142" s="68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0.11253</v>
      </c>
      <c r="AC142" s="69">
        <f>AB142</f>
        <v>0.11253</v>
      </c>
      <c r="AD142" s="68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0.116652</v>
      </c>
      <c r="AE142" s="68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0.118009</v>
      </c>
      <c r="AF142" s="68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0.118762</v>
      </c>
      <c r="AG142" s="68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0.11903</v>
      </c>
      <c r="AH142" s="69">
        <f>AG142</f>
        <v>0.11903</v>
      </c>
      <c r="AI142" s="68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0.114235</v>
      </c>
      <c r="AJ142" s="68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0.118701</v>
      </c>
      <c r="AK142" s="68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68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69">
        <f>AL142</f>
        <v>0</v>
      </c>
      <c r="AN142" s="68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68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68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68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69">
        <f>AQ142</f>
        <v>0</v>
      </c>
      <c r="AS142" s="68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68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68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68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69">
        <f>AV142</f>
        <v>0</v>
      </c>
      <c r="AX142" s="68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68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68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68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69">
        <f>BA142</f>
        <v>0</v>
      </c>
      <c r="BC142" s="68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68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68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68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69">
        <f>BF142</f>
        <v>0</v>
      </c>
    </row>
    <row r="143">
      <c r="B143" s="56" t="inlineStr">
        <is>
          <t>alav</t>
        </is>
      </c>
      <c r="C143" s="11" t="inlineStr">
        <is>
          <t>Razão de Alavancagem (%)</t>
        </is>
      </c>
      <c r="D143" s="12" t="inlineStr">
        <is>
          <t>Leverage ratio</t>
        </is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</v>
      </c>
      <c r="F143" s="68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>0</v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</v>
      </c>
      <c r="I143" s="69">
        <f>H143</f>
        <v>0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</v>
      </c>
      <c r="N143" s="69">
        <f>M143</f>
        <v>0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</v>
      </c>
      <c r="S143" s="69">
        <f>R143</f>
        <v>0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</v>
      </c>
      <c r="X143" s="69">
        <f>W143</f>
        <v>0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</v>
      </c>
      <c r="AC143" s="69">
        <f>AB143</f>
        <v>0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</v>
      </c>
      <c r="AH143" s="69">
        <f>AG143</f>
        <v>0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>AL143</f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>AQ143</f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>AV143</f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>BA143</f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>BF143</f>
        <v>0</v>
      </c>
    </row>
    <row r="144">
      <c r="B144" s="56" t="inlineStr">
        <is>
          <t>lcr</t>
        </is>
      </c>
      <c r="C144" s="11" t="inlineStr">
        <is>
          <t>LCR (%)</t>
        </is>
      </c>
      <c r="D144" s="12" t="inlineStr">
        <is>
          <t>Liquidity Coverage Ratio</t>
        </is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</v>
      </c>
      <c r="F144" s="68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>0</v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</v>
      </c>
      <c r="I144" s="69">
        <f>H144</f>
        <v>0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</v>
      </c>
      <c r="N144" s="69">
        <f>M144</f>
        <v>0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</v>
      </c>
      <c r="S144" s="69">
        <f>R144</f>
        <v>0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</v>
      </c>
      <c r="X144" s="69">
        <f>W144</f>
        <v>0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</v>
      </c>
      <c r="AC144" s="69">
        <f>AB144</f>
        <v>0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</v>
      </c>
      <c r="AH144" s="69">
        <f>AG144</f>
        <v>0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>AL144</f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>AQ144</f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>AV144</f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>BA144</f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>BF144</f>
        <v>0</v>
      </c>
    </row>
    <row r="145">
      <c r="B145" s="56" t="inlineStr">
        <is>
          <t>nsfr</t>
        </is>
      </c>
      <c r="C145" s="11" t="inlineStr">
        <is>
          <t>NSFR (%)</t>
        </is>
      </c>
      <c r="D145" s="12" t="inlineStr">
        <is>
          <t>Net Stable Funding Ratio</t>
        </is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</v>
      </c>
      <c r="F145" s="68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>0</v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</v>
      </c>
      <c r="I145" s="69">
        <f>H145</f>
        <v>0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</v>
      </c>
      <c r="N145" s="69">
        <f>M145</f>
        <v>0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</v>
      </c>
      <c r="S145" s="69">
        <f>R145</f>
        <v>0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</v>
      </c>
      <c r="X145" s="69">
        <f>W145</f>
        <v>0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</v>
      </c>
      <c r="AC145" s="69">
        <f>AB145</f>
        <v>0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</v>
      </c>
      <c r="AH145" s="69">
        <f>AG145</f>
        <v>0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>AL145</f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>AQ145</f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>AV145</f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>BA145</f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>BF145</f>
        <v>0</v>
      </c>
    </row>
    <row r="147">
      <c r="B147" s="29" t="n"/>
      <c r="C147" s="29" t="inlineStr">
        <is>
          <t>Ações, proventos e dados operacionais</t>
        </is>
      </c>
      <c r="D147" s="29" t="inlineStr">
        <is>
          <t>Shares, dividends and operating data</t>
        </is>
      </c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  <c r="AB147" s="29" t="n"/>
      <c r="AC147" s="29" t="n"/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  <c r="BA147" s="29" t="n"/>
      <c r="BB147" s="29" t="n"/>
      <c r="BC147" s="29" t="n"/>
      <c r="BD147" s="29" t="n"/>
      <c r="BE147" s="29" t="n"/>
      <c r="BF147" s="29" t="n"/>
      <c r="BG147" s="29" t="n"/>
      <c r="BH147" s="29" t="n"/>
      <c r="BI147" s="29" t="n"/>
    </row>
    <row r="148">
      <c r="B148" s="56" t="inlineStr">
        <is>
          <t>acoes</t>
        </is>
      </c>
      <c r="C148" s="11" t="inlineStr">
        <is>
          <t>Ações ex-tesouraria no fim do período (milhões)</t>
        </is>
      </c>
      <c r="D148" s="12" t="inlineStr">
        <is>
          <t>Shares outstanding, eop (mn)</t>
        </is>
      </c>
      <c r="E148" s="70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0</v>
      </c>
      <c r="F148" s="70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>0</v>
      </c>
      <c r="G148" s="70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0</v>
      </c>
      <c r="H148" s="70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0</v>
      </c>
      <c r="I148" s="71">
        <f>H148</f>
        <v>0</v>
      </c>
      <c r="J148" s="70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215.66015</v>
      </c>
      <c r="K148" s="70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220.134383</v>
      </c>
      <c r="L148" s="70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220.007594</v>
      </c>
      <c r="M148" s="70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220.092561</v>
      </c>
      <c r="N148" s="71">
        <f>M148</f>
        <v>220.092561</v>
      </c>
      <c r="O148" s="70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220.142613</v>
      </c>
      <c r="P148" s="70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220.449141</v>
      </c>
      <c r="Q148" s="70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220.835816</v>
      </c>
      <c r="R148" s="70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220.852807</v>
      </c>
      <c r="S148" s="71">
        <f>R148</f>
        <v>220.852807</v>
      </c>
      <c r="T148" s="70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221.282841</v>
      </c>
      <c r="U148" s="70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221.099621</v>
      </c>
      <c r="V148" s="70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0</v>
      </c>
      <c r="W148" s="70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232.550368</v>
      </c>
      <c r="X148" s="71">
        <f>W148</f>
        <v>232.550368</v>
      </c>
      <c r="Y148" s="70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233.372404</v>
      </c>
      <c r="Z148" s="70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240.095061</v>
      </c>
      <c r="AA148" s="70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240.192959</v>
      </c>
      <c r="AB148" s="70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240.295897</v>
      </c>
      <c r="AC148" s="71">
        <f>AB148</f>
        <v>240.295897</v>
      </c>
      <c r="AD148" s="70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240.526177</v>
      </c>
      <c r="AE148" s="70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240.631922</v>
      </c>
      <c r="AF148" s="70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241.072503</v>
      </c>
      <c r="AG148" s="70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241.176845</v>
      </c>
      <c r="AH148" s="71">
        <f>AG148</f>
        <v>241.176845</v>
      </c>
      <c r="AI148" s="70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241.983677</v>
      </c>
      <c r="AJ148" s="70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257.699789</v>
      </c>
      <c r="AK148" s="70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70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71">
        <f>AL148</f>
        <v>0</v>
      </c>
      <c r="AN148" s="70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70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70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70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71">
        <f>AQ148</f>
        <v>0</v>
      </c>
      <c r="AS148" s="70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70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70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70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71">
        <f>AV148</f>
        <v>0</v>
      </c>
      <c r="AX148" s="70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70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70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70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71">
        <f>BA148</f>
        <v>0</v>
      </c>
      <c r="BC148" s="70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70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70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70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71">
        <f>BF148</f>
        <v>0</v>
      </c>
    </row>
    <row r="149">
      <c r="B149" s="56" t="inlineStr">
        <is>
          <t>div_decl</t>
        </is>
      </c>
      <c r="C149" s="11" t="inlineStr">
        <is>
          <t>Dividendos declarados no período</t>
        </is>
      </c>
      <c r="D149" s="12" t="inlineStr">
        <is>
          <t>Dividends declared</t>
        </is>
      </c>
      <c r="E149" s="57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</v>
      </c>
      <c r="F149" s="57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>0</v>
      </c>
      <c r="G149" s="57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</v>
      </c>
      <c r="H149" s="57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</v>
      </c>
      <c r="I149" s="58">
        <f>SUM(E149:H149)</f>
        <v>0</v>
      </c>
      <c r="J149" s="57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</v>
      </c>
      <c r="K149" s="57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</v>
      </c>
      <c r="L149" s="57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</v>
      </c>
      <c r="M149" s="57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</v>
      </c>
      <c r="N149" s="58">
        <f>SUM(J149:M149)</f>
        <v>0</v>
      </c>
      <c r="O149" s="57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</v>
      </c>
      <c r="P149" s="57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</v>
      </c>
      <c r="Q149" s="57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</v>
      </c>
      <c r="R149" s="57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</v>
      </c>
      <c r="S149" s="58">
        <f>SUM(O149:R149)</f>
        <v>0</v>
      </c>
      <c r="T149" s="57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</v>
      </c>
      <c r="U149" s="57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</v>
      </c>
      <c r="V149" s="57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</v>
      </c>
      <c r="W149" s="57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</v>
      </c>
      <c r="X149" s="58">
        <f>SUM(T149:W149)</f>
        <v>0</v>
      </c>
      <c r="Y149" s="57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</v>
      </c>
      <c r="Z149" s="57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</v>
      </c>
      <c r="AA149" s="57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</v>
      </c>
      <c r="AB149" s="57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</v>
      </c>
      <c r="AC149" s="58">
        <f>SUM(Y149:AB149)</f>
        <v>0</v>
      </c>
      <c r="AD149" s="57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</v>
      </c>
      <c r="AE149" s="57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</v>
      </c>
      <c r="AF149" s="57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</v>
      </c>
      <c r="AG149" s="57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</v>
      </c>
      <c r="AH149" s="58">
        <f>SUM(AD149:AG149)</f>
        <v>0</v>
      </c>
      <c r="AI149" s="57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</v>
      </c>
      <c r="AJ149" s="57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</v>
      </c>
      <c r="AK149" s="57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57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58">
        <f>SUM(AI149:AL149)</f>
        <v>0</v>
      </c>
      <c r="AN149" s="57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57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57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57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58">
        <f>SUM(AN149:AQ149)</f>
        <v>0</v>
      </c>
      <c r="AS149" s="57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57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57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57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58">
        <f>SUM(AS149:AV149)</f>
        <v>0</v>
      </c>
      <c r="AX149" s="57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57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57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57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58">
        <f>SUM(AX149:BA149)</f>
        <v>0</v>
      </c>
      <c r="BC149" s="57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57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57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57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58">
        <f>SUM(BC149:BF149)</f>
        <v>0</v>
      </c>
    </row>
    <row r="150">
      <c r="B150" s="56" t="inlineStr">
        <is>
          <t>jcp_decl</t>
        </is>
      </c>
      <c r="C150" s="11" t="inlineStr">
        <is>
          <t>Juros sobre capital próprio declarados</t>
        </is>
      </c>
      <c r="D150" s="12" t="inlineStr">
        <is>
          <t>Interest on own capital</t>
        </is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0</v>
      </c>
      <c r="F150" s="57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>0</v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0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0</v>
      </c>
      <c r="I150" s="58">
        <f>SUM(E150:H150)</f>
        <v>0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45.935612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48.20943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51.041762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55.463325</v>
      </c>
      <c r="N150" s="58">
        <f>SUM(J150:M150)</f>
        <v>200.650129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68.904638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77.598098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79.942565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81.715539</v>
      </c>
      <c r="S150" s="58">
        <f>SUM(O150:R150)</f>
        <v>308.16084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0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184.839283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0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172.319823</v>
      </c>
      <c r="X150" s="58">
        <f>SUM(T150:W150)</f>
        <v>357.159106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0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188.474582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0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206.654471</v>
      </c>
      <c r="AC150" s="58">
        <f>SUM(Y150:AB150)</f>
        <v>395.129053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0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261.326267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0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369.482927</v>
      </c>
      <c r="AH150" s="58">
        <f>SUM(AD150:AG150)</f>
        <v>630.809194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0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300.993354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SUM(AI150:AL150)</f>
        <v>300.993354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SUM(AN150:AQ150)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SUM(AS150:AV150)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SUM(AX150:BA150)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SUM(BC150:BF150)</f>
        <v>0</v>
      </c>
    </row>
    <row r="151">
      <c r="B151" s="56" t="inlineStr">
        <is>
          <t>preco</t>
        </is>
      </c>
      <c r="C151" s="11" t="inlineStr">
        <is>
          <t>Preço da ação no fechamento</t>
        </is>
      </c>
      <c r="D151" s="12" t="inlineStr">
        <is>
          <t>Closing share price</t>
        </is>
      </c>
      <c r="E151" s="72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</v>
      </c>
      <c r="F151" s="72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>0</v>
      </c>
      <c r="G151" s="72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</v>
      </c>
      <c r="H151" s="72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</v>
      </c>
      <c r="I151" s="73">
        <f>H151</f>
        <v>0</v>
      </c>
      <c r="J151" s="72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14.5</v>
      </c>
      <c r="K151" s="72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15.88</v>
      </c>
      <c r="L151" s="72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14.89</v>
      </c>
      <c r="M151" s="72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15.87</v>
      </c>
      <c r="N151" s="73">
        <f>M151</f>
        <v>15.87</v>
      </c>
      <c r="O151" s="72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17.23</v>
      </c>
      <c r="P151" s="72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15.52</v>
      </c>
      <c r="Q151" s="72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20.9</v>
      </c>
      <c r="R151" s="72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19.64</v>
      </c>
      <c r="S151" s="73">
        <f>R151</f>
        <v>19.64</v>
      </c>
      <c r="T151" s="72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16.83</v>
      </c>
      <c r="U151" s="72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19.07</v>
      </c>
      <c r="V151" s="72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</v>
      </c>
      <c r="W151" s="72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25.04</v>
      </c>
      <c r="X151" s="73">
        <f>W151</f>
        <v>25.04</v>
      </c>
      <c r="Y151" s="72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24.23</v>
      </c>
      <c r="Z151" s="72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22.14</v>
      </c>
      <c r="AA151" s="72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21.79</v>
      </c>
      <c r="AB151" s="72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19.31</v>
      </c>
      <c r="AC151" s="73">
        <f>AB151</f>
        <v>19.31</v>
      </c>
      <c r="AD151" s="72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20.5</v>
      </c>
      <c r="AE151" s="72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22.39</v>
      </c>
      <c r="AF151" s="72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23.25</v>
      </c>
      <c r="AG151" s="72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23.7</v>
      </c>
      <c r="AH151" s="73">
        <f>AG151</f>
        <v>23.7</v>
      </c>
      <c r="AI151" s="72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25.4</v>
      </c>
      <c r="AJ151" s="72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23.77</v>
      </c>
      <c r="AK151" s="72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72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73">
        <f>AL151</f>
        <v>0</v>
      </c>
      <c r="AN151" s="72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72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72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72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73">
        <f>AQ151</f>
        <v>0</v>
      </c>
      <c r="AS151" s="72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72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72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72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73">
        <f>AV151</f>
        <v>0</v>
      </c>
      <c r="AX151" s="72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72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72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72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73">
        <f>BA151</f>
        <v>0</v>
      </c>
      <c r="BC151" s="72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72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72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72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73">
        <f>BF151</f>
        <v>0</v>
      </c>
    </row>
    <row r="153">
      <c r="B153" s="29" t="n"/>
      <c r="C153" s="29" t="inlineStr">
        <is>
          <t>Dados operacionais</t>
        </is>
      </c>
      <c r="D153" s="29" t="inlineStr">
        <is>
          <t>Operating data</t>
        </is>
      </c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  <c r="AW153" s="29" t="n"/>
      <c r="AX153" s="29" t="n"/>
      <c r="AY153" s="29" t="n"/>
      <c r="AZ153" s="29" t="n"/>
      <c r="BA153" s="29" t="n"/>
      <c r="BB153" s="29" t="n"/>
      <c r="BC153" s="29" t="n"/>
      <c r="BD153" s="29" t="n"/>
      <c r="BE153" s="29" t="n"/>
      <c r="BF153" s="29" t="n"/>
      <c r="BG153" s="29" t="n"/>
      <c r="BH153" s="29" t="n"/>
      <c r="BI153" s="29" t="n"/>
    </row>
    <row r="154">
      <c r="B154" s="56" t="inlineStr">
        <is>
          <t>funcion</t>
        </is>
      </c>
      <c r="C154" s="11" t="inlineStr">
        <is>
          <t>Número de colaboradores</t>
        </is>
      </c>
      <c r="D154" s="12" t="inlineStr">
        <is>
          <t>Headcount</t>
        </is>
      </c>
      <c r="E154" s="57">
        <f>IF(ISNA(SUMIFS(INDEX(Inputs!$B$2:$AZ$190,,MATCH(SUBSTITUTE(E$3,"Q","T"),Inputs!$B$2:$AZ$2,0)),Inputs!$B$2:$B$190,$B154)*Inputs!$D$1),"",SUMIFS(INDEX(Inputs!$B$2:$AZ$190,,MATCH(SUBSTITUTE(E$3,"Q","T"),Inputs!$B$2:$AZ$2,0)),Inputs!$B$2:$B$190,$B154)*Inputs!$D$1)</f>
        <v>0</v>
      </c>
      <c r="F154" s="57">
        <f>IF(ISNA(SUMIFS(INDEX(Inputs!$B$2:$AZ$190,,MATCH(SUBSTITUTE(F$3,"Q","T"),Inputs!$B$2:$AZ$2,0)),Inputs!$B$2:$B$190,$B154)*Inputs!$D$1),"",SUMIFS(INDEX(Inputs!$B$2:$AZ$190,,MATCH(SUBSTITUTE(F$3,"Q","T"),Inputs!$B$2:$AZ$2,0)),Inputs!$B$2:$B$190,$B154)*Inputs!$D$1)</f>
        <v>0</v>
      </c>
      <c r="G154" s="57">
        <f>IF(ISNA(SUMIFS(INDEX(Inputs!$B$2:$AZ$190,,MATCH(SUBSTITUTE(G$3,"Q","T"),Inputs!$B$2:$AZ$2,0)),Inputs!$B$2:$B$190,$B154)*Inputs!$D$1),"",SUMIFS(INDEX(Inputs!$B$2:$AZ$190,,MATCH(SUBSTITUTE(G$3,"Q","T"),Inputs!$B$2:$AZ$2,0)),Inputs!$B$2:$B$190,$B154)*Inputs!$D$1)</f>
        <v>0</v>
      </c>
      <c r="H154" s="57">
        <f>IF(ISNA(SUMIFS(INDEX(Inputs!$B$2:$AZ$190,,MATCH(SUBSTITUTE(H$3,"Q","T"),Inputs!$B$2:$AZ$2,0)),Inputs!$B$2:$B$190,$B154)*Inputs!$D$1),"",SUMIFS(INDEX(Inputs!$B$2:$AZ$190,,MATCH(SUBSTITUTE(H$3,"Q","T"),Inputs!$B$2:$AZ$2,0)),Inputs!$B$2:$B$190,$B154)*Inputs!$D$1)</f>
        <v>0</v>
      </c>
      <c r="I154" s="58">
        <f>H154</f>
        <v>0</v>
      </c>
      <c r="J154" s="57">
        <f>IF(ISNA(SUMIFS(INDEX(Inputs!$B$2:$AZ$190,,MATCH(SUBSTITUTE(J$3,"Q","T"),Inputs!$B$2:$AZ$2,0)),Inputs!$B$2:$B$190,$B154)*Inputs!$D$1),"",SUMIFS(INDEX(Inputs!$B$2:$AZ$190,,MATCH(SUBSTITUTE(J$3,"Q","T"),Inputs!$B$2:$AZ$2,0)),Inputs!$B$2:$B$190,$B154)*Inputs!$D$1)</f>
        <v>776</v>
      </c>
      <c r="K154" s="57">
        <f>IF(ISNA(SUMIFS(INDEX(Inputs!$B$2:$AZ$190,,MATCH(SUBSTITUTE(K$3,"Q","T"),Inputs!$B$2:$AZ$2,0)),Inputs!$B$2:$B$190,$B154)*Inputs!$D$1),"",SUMIFS(INDEX(Inputs!$B$2:$AZ$190,,MATCH(SUBSTITUTE(K$3,"Q","T"),Inputs!$B$2:$AZ$2,0)),Inputs!$B$2:$B$190,$B154)*Inputs!$D$1)</f>
        <v>843</v>
      </c>
      <c r="L154" s="57">
        <f>IF(ISNA(SUMIFS(INDEX(Inputs!$B$2:$AZ$190,,MATCH(SUBSTITUTE(L$3,"Q","T"),Inputs!$B$2:$AZ$2,0)),Inputs!$B$2:$B$190,$B154)*Inputs!$D$1),"",SUMIFS(INDEX(Inputs!$B$2:$AZ$190,,MATCH(SUBSTITUTE(L$3,"Q","T"),Inputs!$B$2:$AZ$2,0)),Inputs!$B$2:$B$190,$B154)*Inputs!$D$1)</f>
        <v>856</v>
      </c>
      <c r="M154" s="57">
        <f>IF(ISNA(SUMIFS(INDEX(Inputs!$B$2:$AZ$190,,MATCH(SUBSTITUTE(M$3,"Q","T"),Inputs!$B$2:$AZ$2,0)),Inputs!$B$2:$B$190,$B154)*Inputs!$D$1),"",SUMIFS(INDEX(Inputs!$B$2:$AZ$190,,MATCH(SUBSTITUTE(M$3,"Q","T"),Inputs!$B$2:$AZ$2,0)),Inputs!$B$2:$B$190,$B154)*Inputs!$D$1)</f>
        <v>899</v>
      </c>
      <c r="N154" s="58">
        <f>M154</f>
        <v>899</v>
      </c>
      <c r="O154" s="57">
        <f>IF(ISNA(SUMIFS(INDEX(Inputs!$B$2:$AZ$190,,MATCH(SUBSTITUTE(O$3,"Q","T"),Inputs!$B$2:$AZ$2,0)),Inputs!$B$2:$B$190,$B154)*Inputs!$D$1),"",SUMIFS(INDEX(Inputs!$B$2:$AZ$190,,MATCH(SUBSTITUTE(O$3,"Q","T"),Inputs!$B$2:$AZ$2,0)),Inputs!$B$2:$B$190,$B154)*Inputs!$D$1)</f>
        <v>986</v>
      </c>
      <c r="P154" s="57">
        <f>IF(ISNA(SUMIFS(INDEX(Inputs!$B$2:$AZ$190,,MATCH(SUBSTITUTE(P$3,"Q","T"),Inputs!$B$2:$AZ$2,0)),Inputs!$B$2:$B$190,$B154)*Inputs!$D$1),"",SUMIFS(INDEX(Inputs!$B$2:$AZ$190,,MATCH(SUBSTITUTE(P$3,"Q","T"),Inputs!$B$2:$AZ$2,0)),Inputs!$B$2:$B$190,$B154)*Inputs!$D$1)</f>
        <v>1111</v>
      </c>
      <c r="Q154" s="57">
        <f>IF(ISNA(SUMIFS(INDEX(Inputs!$B$2:$AZ$190,,MATCH(SUBSTITUTE(Q$3,"Q","T"),Inputs!$B$2:$AZ$2,0)),Inputs!$B$2:$B$190,$B154)*Inputs!$D$1),"",SUMIFS(INDEX(Inputs!$B$2:$AZ$190,,MATCH(SUBSTITUTE(Q$3,"Q","T"),Inputs!$B$2:$AZ$2,0)),Inputs!$B$2:$B$190,$B154)*Inputs!$D$1)</f>
        <v>1151</v>
      </c>
      <c r="R154" s="57">
        <f>IF(ISNA(SUMIFS(INDEX(Inputs!$B$2:$AZ$190,,MATCH(SUBSTITUTE(R$3,"Q","T"),Inputs!$B$2:$AZ$2,0)),Inputs!$B$2:$B$190,$B154)*Inputs!$D$1),"",SUMIFS(INDEX(Inputs!$B$2:$AZ$190,,MATCH(SUBSTITUTE(R$3,"Q","T"),Inputs!$B$2:$AZ$2,0)),Inputs!$B$2:$B$190,$B154)*Inputs!$D$1)</f>
        <v>1193</v>
      </c>
      <c r="S154" s="58">
        <f>R154</f>
        <v>1193</v>
      </c>
      <c r="T154" s="57">
        <f>IF(ISNA(SUMIFS(INDEX(Inputs!$B$2:$AZ$190,,MATCH(SUBSTITUTE(T$3,"Q","T"),Inputs!$B$2:$AZ$2,0)),Inputs!$B$2:$B$190,$B154)*Inputs!$D$1),"",SUMIFS(INDEX(Inputs!$B$2:$AZ$190,,MATCH(SUBSTITUTE(T$3,"Q","T"),Inputs!$B$2:$AZ$2,0)),Inputs!$B$2:$B$190,$B154)*Inputs!$D$1)</f>
        <v>1191</v>
      </c>
      <c r="U154" s="57">
        <f>IF(ISNA(SUMIFS(INDEX(Inputs!$B$2:$AZ$190,,MATCH(SUBSTITUTE(U$3,"Q","T"),Inputs!$B$2:$AZ$2,0)),Inputs!$B$2:$B$190,$B154)*Inputs!$D$1),"",SUMIFS(INDEX(Inputs!$B$2:$AZ$190,,MATCH(SUBSTITUTE(U$3,"Q","T"),Inputs!$B$2:$AZ$2,0)),Inputs!$B$2:$B$190,$B154)*Inputs!$D$1)</f>
        <v>1235</v>
      </c>
      <c r="V154" s="57">
        <f>IF(ISNA(SUMIFS(INDEX(Inputs!$B$2:$AZ$190,,MATCH(SUBSTITUTE(V$3,"Q","T"),Inputs!$B$2:$AZ$2,0)),Inputs!$B$2:$B$190,$B154)*Inputs!$D$1),"",SUMIFS(INDEX(Inputs!$B$2:$AZ$190,,MATCH(SUBSTITUTE(V$3,"Q","T"),Inputs!$B$2:$AZ$2,0)),Inputs!$B$2:$B$190,$B154)*Inputs!$D$1)</f>
        <v>0</v>
      </c>
      <c r="W154" s="57">
        <f>IF(ISNA(SUMIFS(INDEX(Inputs!$B$2:$AZ$190,,MATCH(SUBSTITUTE(W$3,"Q","T"),Inputs!$B$2:$AZ$2,0)),Inputs!$B$2:$B$190,$B154)*Inputs!$D$1),"",SUMIFS(INDEX(Inputs!$B$2:$AZ$190,,MATCH(SUBSTITUTE(W$3,"Q","T"),Inputs!$B$2:$AZ$2,0)),Inputs!$B$2:$B$190,$B154)*Inputs!$D$1)</f>
        <v>1257</v>
      </c>
      <c r="X154" s="58">
        <f>W154</f>
        <v>1257</v>
      </c>
      <c r="Y154" s="57">
        <f>IF(ISNA(SUMIFS(INDEX(Inputs!$B$2:$AZ$190,,MATCH(SUBSTITUTE(Y$3,"Q","T"),Inputs!$B$2:$AZ$2,0)),Inputs!$B$2:$B$190,$B154)*Inputs!$D$1),"",SUMIFS(INDEX(Inputs!$B$2:$AZ$190,,MATCH(SUBSTITUTE(Y$3,"Q","T"),Inputs!$B$2:$AZ$2,0)),Inputs!$B$2:$B$190,$B154)*Inputs!$D$1)</f>
        <v>1276</v>
      </c>
      <c r="Z154" s="57">
        <f>IF(ISNA(SUMIFS(INDEX(Inputs!$B$2:$AZ$190,,MATCH(SUBSTITUTE(Z$3,"Q","T"),Inputs!$B$2:$AZ$2,0)),Inputs!$B$2:$B$190,$B154)*Inputs!$D$1),"",SUMIFS(INDEX(Inputs!$B$2:$AZ$190,,MATCH(SUBSTITUTE(Z$3,"Q","T"),Inputs!$B$2:$AZ$2,0)),Inputs!$B$2:$B$190,$B154)*Inputs!$D$1)</f>
        <v>1294</v>
      </c>
      <c r="AA154" s="57">
        <f>IF(ISNA(SUMIFS(INDEX(Inputs!$B$2:$AZ$190,,MATCH(SUBSTITUTE(AA$3,"Q","T"),Inputs!$B$2:$AZ$2,0)),Inputs!$B$2:$B$190,$B154)*Inputs!$D$1),"",SUMIFS(INDEX(Inputs!$B$2:$AZ$190,,MATCH(SUBSTITUTE(AA$3,"Q","T"),Inputs!$B$2:$AZ$2,0)),Inputs!$B$2:$B$190,$B154)*Inputs!$D$1)</f>
        <v>1293</v>
      </c>
      <c r="AB154" s="57">
        <f>IF(ISNA(SUMIFS(INDEX(Inputs!$B$2:$AZ$190,,MATCH(SUBSTITUTE(AB$3,"Q","T"),Inputs!$B$2:$AZ$2,0)),Inputs!$B$2:$B$190,$B154)*Inputs!$D$1),"",SUMIFS(INDEX(Inputs!$B$2:$AZ$190,,MATCH(SUBSTITUTE(AB$3,"Q","T"),Inputs!$B$2:$AZ$2,0)),Inputs!$B$2:$B$190,$B154)*Inputs!$D$1)</f>
        <v>1300</v>
      </c>
      <c r="AC154" s="58">
        <f>AB154</f>
        <v>1300</v>
      </c>
      <c r="AD154" s="57">
        <f>IF(ISNA(SUMIFS(INDEX(Inputs!$B$2:$AZ$190,,MATCH(SUBSTITUTE(AD$3,"Q","T"),Inputs!$B$2:$AZ$2,0)),Inputs!$B$2:$B$190,$B154)*Inputs!$D$1),"",SUMIFS(INDEX(Inputs!$B$2:$AZ$190,,MATCH(SUBSTITUTE(AD$3,"Q","T"),Inputs!$B$2:$AZ$2,0)),Inputs!$B$2:$B$190,$B154)*Inputs!$D$1)</f>
        <v>1291</v>
      </c>
      <c r="AE154" s="57">
        <f>IF(ISNA(SUMIFS(INDEX(Inputs!$B$2:$AZ$190,,MATCH(SUBSTITUTE(AE$3,"Q","T"),Inputs!$B$2:$AZ$2,0)),Inputs!$B$2:$B$190,$B154)*Inputs!$D$1),"",SUMIFS(INDEX(Inputs!$B$2:$AZ$190,,MATCH(SUBSTITUTE(AE$3,"Q","T"),Inputs!$B$2:$AZ$2,0)),Inputs!$B$2:$B$190,$B154)*Inputs!$D$1)</f>
        <v>1295</v>
      </c>
      <c r="AF154" s="57">
        <f>IF(ISNA(SUMIFS(INDEX(Inputs!$B$2:$AZ$190,,MATCH(SUBSTITUTE(AF$3,"Q","T"),Inputs!$B$2:$AZ$2,0)),Inputs!$B$2:$B$190,$B154)*Inputs!$D$1),"",SUMIFS(INDEX(Inputs!$B$2:$AZ$190,,MATCH(SUBSTITUTE(AF$3,"Q","T"),Inputs!$B$2:$AZ$2,0)),Inputs!$B$2:$B$190,$B154)*Inputs!$D$1)</f>
        <v>1298</v>
      </c>
      <c r="AG154" s="57">
        <f>IF(ISNA(SUMIFS(INDEX(Inputs!$B$2:$AZ$190,,MATCH(SUBSTITUTE(AG$3,"Q","T"),Inputs!$B$2:$AZ$2,0)),Inputs!$B$2:$B$190,$B154)*Inputs!$D$1),"",SUMIFS(INDEX(Inputs!$B$2:$AZ$190,,MATCH(SUBSTITUTE(AG$3,"Q","T"),Inputs!$B$2:$AZ$2,0)),Inputs!$B$2:$B$190,$B154)*Inputs!$D$1)</f>
        <v>1328</v>
      </c>
      <c r="AH154" s="58">
        <f>AG154</f>
        <v>1328</v>
      </c>
      <c r="AI154" s="57">
        <f>IF(ISNA(SUMIFS(INDEX(Inputs!$B$2:$AZ$190,,MATCH(SUBSTITUTE(AI$3,"Q","T"),Inputs!$B$2:$AZ$2,0)),Inputs!$B$2:$B$190,$B154)*Inputs!$D$1),"",SUMIFS(INDEX(Inputs!$B$2:$AZ$190,,MATCH(SUBSTITUTE(AI$3,"Q","T"),Inputs!$B$2:$AZ$2,0)),Inputs!$B$2:$B$190,$B154)*Inputs!$D$1)</f>
        <v>1343</v>
      </c>
      <c r="AJ154" s="57">
        <f>IF(ISNA(SUMIFS(INDEX(Inputs!$B$2:$AZ$190,,MATCH(SUBSTITUTE(AJ$3,"Q","T"),Inputs!$B$2:$AZ$2,0)),Inputs!$B$2:$B$190,$B154)*Inputs!$D$1),"",SUMIFS(INDEX(Inputs!$B$2:$AZ$190,,MATCH(SUBSTITUTE(AJ$3,"Q","T"),Inputs!$B$2:$AZ$2,0)),Inputs!$B$2:$B$190,$B154)*Inputs!$D$1)</f>
        <v>1357</v>
      </c>
      <c r="AK154" s="57">
        <f>IF(ISNA(SUMIFS(INDEX(Inputs!$B$2:$AZ$190,,MATCH(SUBSTITUTE(AK$3,"Q","T"),Inputs!$B$2:$AZ$2,0)),Inputs!$B$2:$B$190,$B154)*Inputs!$D$1),"",SUMIFS(INDEX(Inputs!$B$2:$AZ$190,,MATCH(SUBSTITUTE(AK$3,"Q","T"),Inputs!$B$2:$AZ$2,0)),Inputs!$B$2:$B$190,$B154)*Inputs!$D$1)</f>
        <v>0</v>
      </c>
      <c r="AL154" s="57">
        <f>IF(ISNA(SUMIFS(INDEX(Inputs!$B$2:$AZ$190,,MATCH(SUBSTITUTE(AL$3,"Q","T"),Inputs!$B$2:$AZ$2,0)),Inputs!$B$2:$B$190,$B154)*Inputs!$D$1),"",SUMIFS(INDEX(Inputs!$B$2:$AZ$190,,MATCH(SUBSTITUTE(AL$3,"Q","T"),Inputs!$B$2:$AZ$2,0)),Inputs!$B$2:$B$190,$B154)*Inputs!$D$1)</f>
        <v>0</v>
      </c>
      <c r="AM154" s="58">
        <f>AL154</f>
        <v>0</v>
      </c>
      <c r="AN154" s="57">
        <f>IF(ISNA(SUMIFS(INDEX(Inputs!$B$2:$AZ$190,,MATCH(SUBSTITUTE(AN$3,"Q","T"),Inputs!$B$2:$AZ$2,0)),Inputs!$B$2:$B$190,$B154)*Inputs!$D$1),"",SUMIFS(INDEX(Inputs!$B$2:$AZ$190,,MATCH(SUBSTITUTE(AN$3,"Q","T"),Inputs!$B$2:$AZ$2,0)),Inputs!$B$2:$B$190,$B154)*Inputs!$D$1)</f>
        <v>0</v>
      </c>
      <c r="AO154" s="57">
        <f>IF(ISNA(SUMIFS(INDEX(Inputs!$B$2:$AZ$190,,MATCH(SUBSTITUTE(AO$3,"Q","T"),Inputs!$B$2:$AZ$2,0)),Inputs!$B$2:$B$190,$B154)*Inputs!$D$1),"",SUMIFS(INDEX(Inputs!$B$2:$AZ$190,,MATCH(SUBSTITUTE(AO$3,"Q","T"),Inputs!$B$2:$AZ$2,0)),Inputs!$B$2:$B$190,$B154)*Inputs!$D$1)</f>
        <v>0</v>
      </c>
      <c r="AP154" s="57">
        <f>IF(ISNA(SUMIFS(INDEX(Inputs!$B$2:$AZ$190,,MATCH(SUBSTITUTE(AP$3,"Q","T"),Inputs!$B$2:$AZ$2,0)),Inputs!$B$2:$B$190,$B154)*Inputs!$D$1),"",SUMIFS(INDEX(Inputs!$B$2:$AZ$190,,MATCH(SUBSTITUTE(AP$3,"Q","T"),Inputs!$B$2:$AZ$2,0)),Inputs!$B$2:$B$190,$B154)*Inputs!$D$1)</f>
        <v>0</v>
      </c>
      <c r="AQ154" s="57">
        <f>IF(ISNA(SUMIFS(INDEX(Inputs!$B$2:$AZ$190,,MATCH(SUBSTITUTE(AQ$3,"Q","T"),Inputs!$B$2:$AZ$2,0)),Inputs!$B$2:$B$190,$B154)*Inputs!$D$1),"",SUMIFS(INDEX(Inputs!$B$2:$AZ$190,,MATCH(SUBSTITUTE(AQ$3,"Q","T"),Inputs!$B$2:$AZ$2,0)),Inputs!$B$2:$B$190,$B154)*Inputs!$D$1)</f>
        <v>0</v>
      </c>
      <c r="AR154" s="58">
        <f>AQ154</f>
        <v>0</v>
      </c>
      <c r="AS154" s="57">
        <f>IF(ISNA(SUMIFS(INDEX(Inputs!$B$2:$AZ$190,,MATCH(SUBSTITUTE(AS$3,"Q","T"),Inputs!$B$2:$AZ$2,0)),Inputs!$B$2:$B$190,$B154)*Inputs!$D$1),"",SUMIFS(INDEX(Inputs!$B$2:$AZ$190,,MATCH(SUBSTITUTE(AS$3,"Q","T"),Inputs!$B$2:$AZ$2,0)),Inputs!$B$2:$B$190,$B154)*Inputs!$D$1)</f>
        <v>0</v>
      </c>
      <c r="AT154" s="57">
        <f>IF(ISNA(SUMIFS(INDEX(Inputs!$B$2:$AZ$190,,MATCH(SUBSTITUTE(AT$3,"Q","T"),Inputs!$B$2:$AZ$2,0)),Inputs!$B$2:$B$190,$B154)*Inputs!$D$1),"",SUMIFS(INDEX(Inputs!$B$2:$AZ$190,,MATCH(SUBSTITUTE(AT$3,"Q","T"),Inputs!$B$2:$AZ$2,0)),Inputs!$B$2:$B$190,$B154)*Inputs!$D$1)</f>
        <v>0</v>
      </c>
      <c r="AU154" s="57">
        <f>IF(ISNA(SUMIFS(INDEX(Inputs!$B$2:$AZ$190,,MATCH(SUBSTITUTE(AU$3,"Q","T"),Inputs!$B$2:$AZ$2,0)),Inputs!$B$2:$B$190,$B154)*Inputs!$D$1),"",SUMIFS(INDEX(Inputs!$B$2:$AZ$190,,MATCH(SUBSTITUTE(AU$3,"Q","T"),Inputs!$B$2:$AZ$2,0)),Inputs!$B$2:$B$190,$B154)*Inputs!$D$1)</f>
        <v>0</v>
      </c>
      <c r="AV154" s="57">
        <f>IF(ISNA(SUMIFS(INDEX(Inputs!$B$2:$AZ$190,,MATCH(SUBSTITUTE(AV$3,"Q","T"),Inputs!$B$2:$AZ$2,0)),Inputs!$B$2:$B$190,$B154)*Inputs!$D$1),"",SUMIFS(INDEX(Inputs!$B$2:$AZ$190,,MATCH(SUBSTITUTE(AV$3,"Q","T"),Inputs!$B$2:$AZ$2,0)),Inputs!$B$2:$B$190,$B154)*Inputs!$D$1)</f>
        <v>0</v>
      </c>
      <c r="AW154" s="58">
        <f>AV154</f>
        <v>0</v>
      </c>
      <c r="AX154" s="57">
        <f>IF(ISNA(SUMIFS(INDEX(Inputs!$B$2:$AZ$190,,MATCH(SUBSTITUTE(AX$3,"Q","T"),Inputs!$B$2:$AZ$2,0)),Inputs!$B$2:$B$190,$B154)*Inputs!$D$1),"",SUMIFS(INDEX(Inputs!$B$2:$AZ$190,,MATCH(SUBSTITUTE(AX$3,"Q","T"),Inputs!$B$2:$AZ$2,0)),Inputs!$B$2:$B$190,$B154)*Inputs!$D$1)</f>
        <v>0</v>
      </c>
      <c r="AY154" s="57">
        <f>IF(ISNA(SUMIFS(INDEX(Inputs!$B$2:$AZ$190,,MATCH(SUBSTITUTE(AY$3,"Q","T"),Inputs!$B$2:$AZ$2,0)),Inputs!$B$2:$B$190,$B154)*Inputs!$D$1),"",SUMIFS(INDEX(Inputs!$B$2:$AZ$190,,MATCH(SUBSTITUTE(AY$3,"Q","T"),Inputs!$B$2:$AZ$2,0)),Inputs!$B$2:$B$190,$B154)*Inputs!$D$1)</f>
        <v>0</v>
      </c>
      <c r="AZ154" s="57">
        <f>IF(ISNA(SUMIFS(INDEX(Inputs!$B$2:$AZ$190,,MATCH(SUBSTITUTE(AZ$3,"Q","T"),Inputs!$B$2:$AZ$2,0)),Inputs!$B$2:$B$190,$B154)*Inputs!$D$1),"",SUMIFS(INDEX(Inputs!$B$2:$AZ$190,,MATCH(SUBSTITUTE(AZ$3,"Q","T"),Inputs!$B$2:$AZ$2,0)),Inputs!$B$2:$B$190,$B154)*Inputs!$D$1)</f>
        <v>0</v>
      </c>
      <c r="BA154" s="57">
        <f>IF(ISNA(SUMIFS(INDEX(Inputs!$B$2:$AZ$190,,MATCH(SUBSTITUTE(BA$3,"Q","T"),Inputs!$B$2:$AZ$2,0)),Inputs!$B$2:$B$190,$B154)*Inputs!$D$1),"",SUMIFS(INDEX(Inputs!$B$2:$AZ$190,,MATCH(SUBSTITUTE(BA$3,"Q","T"),Inputs!$B$2:$AZ$2,0)),Inputs!$B$2:$B$190,$B154)*Inputs!$D$1)</f>
        <v>0</v>
      </c>
      <c r="BB154" s="58">
        <f>BA154</f>
        <v>0</v>
      </c>
      <c r="BC154" s="57">
        <f>IF(ISNA(SUMIFS(INDEX(Inputs!$B$2:$AZ$190,,MATCH(SUBSTITUTE(BC$3,"Q","T"),Inputs!$B$2:$AZ$2,0)),Inputs!$B$2:$B$190,$B154)*Inputs!$D$1),"",SUMIFS(INDEX(Inputs!$B$2:$AZ$190,,MATCH(SUBSTITUTE(BC$3,"Q","T"),Inputs!$B$2:$AZ$2,0)),Inputs!$B$2:$B$190,$B154)*Inputs!$D$1)</f>
        <v>0</v>
      </c>
      <c r="BD154" s="57">
        <f>IF(ISNA(SUMIFS(INDEX(Inputs!$B$2:$AZ$190,,MATCH(SUBSTITUTE(BD$3,"Q","T"),Inputs!$B$2:$AZ$2,0)),Inputs!$B$2:$B$190,$B154)*Inputs!$D$1),"",SUMIFS(INDEX(Inputs!$B$2:$AZ$190,,MATCH(SUBSTITUTE(BD$3,"Q","T"),Inputs!$B$2:$AZ$2,0)),Inputs!$B$2:$B$190,$B154)*Inputs!$D$1)</f>
        <v>0</v>
      </c>
      <c r="BE154" s="57">
        <f>IF(ISNA(SUMIFS(INDEX(Inputs!$B$2:$AZ$190,,MATCH(SUBSTITUTE(BE$3,"Q","T"),Inputs!$B$2:$AZ$2,0)),Inputs!$B$2:$B$190,$B154)*Inputs!$D$1),"",SUMIFS(INDEX(Inputs!$B$2:$AZ$190,,MATCH(SUBSTITUTE(BE$3,"Q","T"),Inputs!$B$2:$AZ$2,0)),Inputs!$B$2:$B$190,$B154)*Inputs!$D$1)</f>
        <v>0</v>
      </c>
      <c r="BF154" s="57">
        <f>IF(ISNA(SUMIFS(INDEX(Inputs!$B$2:$AZ$190,,MATCH(SUBSTITUTE(BF$3,"Q","T"),Inputs!$B$2:$AZ$2,0)),Inputs!$B$2:$B$190,$B154)*Inputs!$D$1),"",SUMIFS(INDEX(Inputs!$B$2:$AZ$190,,MATCH(SUBSTITUTE(BF$3,"Q","T"),Inputs!$B$2:$AZ$2,0)),Inputs!$B$2:$B$190,$B154)*Inputs!$D$1)</f>
        <v>0</v>
      </c>
      <c r="BG154" s="58">
        <f>BF154</f>
        <v>0</v>
      </c>
    </row>
    <row r="155">
      <c r="B155" s="56" t="inlineStr">
        <is>
          <t>agencias</t>
        </is>
      </c>
      <c r="C155" s="11" t="inlineStr">
        <is>
          <t>Número de agências e postos de atendimento</t>
        </is>
      </c>
      <c r="D155" s="12" t="inlineStr">
        <is>
          <t>Branches and service points</t>
        </is>
      </c>
      <c r="E155" s="57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0</v>
      </c>
      <c r="F155" s="57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>0</v>
      </c>
      <c r="G155" s="57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0</v>
      </c>
      <c r="H155" s="57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0</v>
      </c>
      <c r="I155" s="58">
        <f>H155</f>
        <v>0</v>
      </c>
      <c r="J155" s="57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0</v>
      </c>
      <c r="K155" s="57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0</v>
      </c>
      <c r="L155" s="57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0</v>
      </c>
      <c r="M155" s="57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0</v>
      </c>
      <c r="N155" s="58">
        <f>M155</f>
        <v>0</v>
      </c>
      <c r="O155" s="57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0</v>
      </c>
      <c r="P155" s="57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0</v>
      </c>
      <c r="Q155" s="57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0</v>
      </c>
      <c r="R155" s="57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0</v>
      </c>
      <c r="S155" s="58">
        <f>R155</f>
        <v>0</v>
      </c>
      <c r="T155" s="57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0</v>
      </c>
      <c r="U155" s="57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0</v>
      </c>
      <c r="V155" s="57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0</v>
      </c>
      <c r="W155" s="57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0</v>
      </c>
      <c r="X155" s="58">
        <f>W155</f>
        <v>0</v>
      </c>
      <c r="Y155" s="57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0</v>
      </c>
      <c r="Z155" s="57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0</v>
      </c>
      <c r="AA155" s="57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0</v>
      </c>
      <c r="AB155" s="57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0</v>
      </c>
      <c r="AC155" s="58">
        <f>AB155</f>
        <v>0</v>
      </c>
      <c r="AD155" s="57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0</v>
      </c>
      <c r="AE155" s="57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0</v>
      </c>
      <c r="AF155" s="57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0</v>
      </c>
      <c r="AG155" s="57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0</v>
      </c>
      <c r="AH155" s="58">
        <f>AG155</f>
        <v>0</v>
      </c>
      <c r="AI155" s="57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0</v>
      </c>
      <c r="AJ155" s="57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0</v>
      </c>
      <c r="AK155" s="57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57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58">
        <f>AL155</f>
        <v>0</v>
      </c>
      <c r="AN155" s="57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57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57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57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58">
        <f>AQ155</f>
        <v>0</v>
      </c>
      <c r="AS155" s="57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57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57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57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58">
        <f>AV155</f>
        <v>0</v>
      </c>
      <c r="AX155" s="57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57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57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57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58">
        <f>BA155</f>
        <v>0</v>
      </c>
      <c r="BC155" s="57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57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57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57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58">
        <f>BF155</f>
        <v>0</v>
      </c>
    </row>
    <row r="156">
      <c r="B156" s="56" t="inlineStr">
        <is>
          <t>clientes</t>
        </is>
      </c>
      <c r="C156" s="11" t="inlineStr">
        <is>
          <t>Base de clientes (mil)</t>
        </is>
      </c>
      <c r="D156" s="12" t="inlineStr">
        <is>
          <t>Client base (k)</t>
        </is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0</v>
      </c>
      <c r="F156" s="57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>0</v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0</v>
      </c>
      <c r="I156" s="58">
        <f>H156</f>
        <v>0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2.788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3.022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3.169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3.49</v>
      </c>
      <c r="N156" s="58">
        <f>M156</f>
        <v>3.49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3.441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3.988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4.309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4.494</v>
      </c>
      <c r="S156" s="58">
        <f>R156</f>
        <v>4.494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4.395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4.58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4.93</v>
      </c>
      <c r="X156" s="58">
        <f>W156</f>
        <v>4.93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4.894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4.946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5.033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5.207</v>
      </c>
      <c r="AC156" s="58">
        <f>AB156</f>
        <v>5.207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4.854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4.753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4.699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4.676</v>
      </c>
      <c r="AH156" s="58">
        <f>AG156</f>
        <v>4.676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4.525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4.467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AL156</f>
        <v>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AQ156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AV156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BA156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BF156</f>
        <v>0</v>
      </c>
    </row>
    <row r="158">
      <c r="B158" s="29" t="n"/>
      <c r="C158" s="29" t="inlineStr">
        <is>
          <t>Carteira de crédito por produto (quando a fonte abre)</t>
        </is>
      </c>
      <c r="D158" s="29" t="inlineStr">
        <is>
          <t>Loan book by product, when disclosed</t>
        </is>
      </c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  <c r="AA158" s="29" t="n"/>
      <c r="AB158" s="29" t="n"/>
      <c r="AC158" s="29" t="n"/>
      <c r="AD158" s="29" t="n"/>
      <c r="AE158" s="29" t="n"/>
      <c r="AF158" s="29" t="n"/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  <c r="AW158" s="29" t="n"/>
      <c r="AX158" s="29" t="n"/>
      <c r="AY158" s="29" t="n"/>
      <c r="AZ158" s="29" t="n"/>
      <c r="BA158" s="29" t="n"/>
      <c r="BB158" s="29" t="n"/>
      <c r="BC158" s="29" t="n"/>
      <c r="BD158" s="29" t="n"/>
      <c r="BE158" s="29" t="n"/>
      <c r="BF158" s="29" t="n"/>
      <c r="BG158" s="29" t="n"/>
      <c r="BH158" s="29" t="n"/>
      <c r="BI158" s="29" t="n"/>
    </row>
    <row r="159" hidden="1" outlineLevel="1">
      <c r="B159" s="56" t="inlineStr">
        <is>
          <t>cart_cartao</t>
        </is>
      </c>
      <c r="C159" s="11" t="inlineStr">
        <is>
          <t>Cartão de crédito</t>
        </is>
      </c>
      <c r="D159" s="12" t="inlineStr">
        <is>
          <t>Credit card</t>
        </is>
      </c>
      <c r="E159" s="57">
        <f>IF(ISNA(SUMIFS(INDEX(Inputs!$B$2:$AZ$190,,MATCH(SUBSTITUTE(E$3,"Q","T"),Inputs!$B$2:$AZ$2,0)),Inputs!$B$2:$B$190,$B159)*Inputs!$D$1),"",SUMIFS(INDEX(Inputs!$B$2:$AZ$190,,MATCH(SUBSTITUTE(E$3,"Q","T"),Inputs!$B$2:$AZ$2,0)),Inputs!$B$2:$B$190,$B159)*Inputs!$D$1)</f>
        <v>0</v>
      </c>
      <c r="F159" s="57">
        <f>IF(ISNA(SUMIFS(INDEX(Inputs!$B$2:$AZ$190,,MATCH(SUBSTITUTE(F$3,"Q","T"),Inputs!$B$2:$AZ$2,0)),Inputs!$B$2:$B$190,$B159)*Inputs!$D$1),"",SUMIFS(INDEX(Inputs!$B$2:$AZ$190,,MATCH(SUBSTITUTE(F$3,"Q","T"),Inputs!$B$2:$AZ$2,0)),Inputs!$B$2:$B$190,$B159)*Inputs!$D$1)</f>
        <v>0</v>
      </c>
      <c r="G159" s="57">
        <f>IF(ISNA(SUMIFS(INDEX(Inputs!$B$2:$AZ$190,,MATCH(SUBSTITUTE(G$3,"Q","T"),Inputs!$B$2:$AZ$2,0)),Inputs!$B$2:$B$190,$B159)*Inputs!$D$1),"",SUMIFS(INDEX(Inputs!$B$2:$AZ$190,,MATCH(SUBSTITUTE(G$3,"Q","T"),Inputs!$B$2:$AZ$2,0)),Inputs!$B$2:$B$190,$B159)*Inputs!$D$1)</f>
        <v>0</v>
      </c>
      <c r="H159" s="57">
        <f>IF(ISNA(SUMIFS(INDEX(Inputs!$B$2:$AZ$190,,MATCH(SUBSTITUTE(H$3,"Q","T"),Inputs!$B$2:$AZ$2,0)),Inputs!$B$2:$B$190,$B159)*Inputs!$D$1),"",SUMIFS(INDEX(Inputs!$B$2:$AZ$190,,MATCH(SUBSTITUTE(H$3,"Q","T"),Inputs!$B$2:$AZ$2,0)),Inputs!$B$2:$B$190,$B159)*Inputs!$D$1)</f>
        <v>0</v>
      </c>
      <c r="I159" s="58">
        <f>H159</f>
        <v>0</v>
      </c>
      <c r="J159" s="57">
        <f>IF(ISNA(SUMIFS(INDEX(Inputs!$B$2:$AZ$190,,MATCH(SUBSTITUTE(J$3,"Q","T"),Inputs!$B$2:$AZ$2,0)),Inputs!$B$2:$B$190,$B159)*Inputs!$D$1),"",SUMIFS(INDEX(Inputs!$B$2:$AZ$190,,MATCH(SUBSTITUTE(J$3,"Q","T"),Inputs!$B$2:$AZ$2,0)),Inputs!$B$2:$B$190,$B159)*Inputs!$D$1)</f>
        <v>0</v>
      </c>
      <c r="K159" s="57">
        <f>IF(ISNA(SUMIFS(INDEX(Inputs!$B$2:$AZ$190,,MATCH(SUBSTITUTE(K$3,"Q","T"),Inputs!$B$2:$AZ$2,0)),Inputs!$B$2:$B$190,$B159)*Inputs!$D$1),"",SUMIFS(INDEX(Inputs!$B$2:$AZ$190,,MATCH(SUBSTITUTE(K$3,"Q","T"),Inputs!$B$2:$AZ$2,0)),Inputs!$B$2:$B$190,$B159)*Inputs!$D$1)</f>
        <v>0</v>
      </c>
      <c r="L159" s="57">
        <f>IF(ISNA(SUMIFS(INDEX(Inputs!$B$2:$AZ$190,,MATCH(SUBSTITUTE(L$3,"Q","T"),Inputs!$B$2:$AZ$2,0)),Inputs!$B$2:$B$190,$B159)*Inputs!$D$1),"",SUMIFS(INDEX(Inputs!$B$2:$AZ$190,,MATCH(SUBSTITUTE(L$3,"Q","T"),Inputs!$B$2:$AZ$2,0)),Inputs!$B$2:$B$190,$B159)*Inputs!$D$1)</f>
        <v>0</v>
      </c>
      <c r="M159" s="57">
        <f>IF(ISNA(SUMIFS(INDEX(Inputs!$B$2:$AZ$190,,MATCH(SUBSTITUTE(M$3,"Q","T"),Inputs!$B$2:$AZ$2,0)),Inputs!$B$2:$B$190,$B159)*Inputs!$D$1),"",SUMIFS(INDEX(Inputs!$B$2:$AZ$190,,MATCH(SUBSTITUTE(M$3,"Q","T"),Inputs!$B$2:$AZ$2,0)),Inputs!$B$2:$B$190,$B159)*Inputs!$D$1)</f>
        <v>0</v>
      </c>
      <c r="N159" s="58">
        <f>M159</f>
        <v>0</v>
      </c>
      <c r="O159" s="57">
        <f>IF(ISNA(SUMIFS(INDEX(Inputs!$B$2:$AZ$190,,MATCH(SUBSTITUTE(O$3,"Q","T"),Inputs!$B$2:$AZ$2,0)),Inputs!$B$2:$B$190,$B159)*Inputs!$D$1),"",SUMIFS(INDEX(Inputs!$B$2:$AZ$190,,MATCH(SUBSTITUTE(O$3,"Q","T"),Inputs!$B$2:$AZ$2,0)),Inputs!$B$2:$B$190,$B159)*Inputs!$D$1)</f>
        <v>0</v>
      </c>
      <c r="P159" s="57">
        <f>IF(ISNA(SUMIFS(INDEX(Inputs!$B$2:$AZ$190,,MATCH(SUBSTITUTE(P$3,"Q","T"),Inputs!$B$2:$AZ$2,0)),Inputs!$B$2:$B$190,$B159)*Inputs!$D$1),"",SUMIFS(INDEX(Inputs!$B$2:$AZ$190,,MATCH(SUBSTITUTE(P$3,"Q","T"),Inputs!$B$2:$AZ$2,0)),Inputs!$B$2:$B$190,$B159)*Inputs!$D$1)</f>
        <v>0</v>
      </c>
      <c r="Q159" s="57">
        <f>IF(ISNA(SUMIFS(INDEX(Inputs!$B$2:$AZ$190,,MATCH(SUBSTITUTE(Q$3,"Q","T"),Inputs!$B$2:$AZ$2,0)),Inputs!$B$2:$B$190,$B159)*Inputs!$D$1),"",SUMIFS(INDEX(Inputs!$B$2:$AZ$190,,MATCH(SUBSTITUTE(Q$3,"Q","T"),Inputs!$B$2:$AZ$2,0)),Inputs!$B$2:$B$190,$B159)*Inputs!$D$1)</f>
        <v>0</v>
      </c>
      <c r="R159" s="57">
        <f>IF(ISNA(SUMIFS(INDEX(Inputs!$B$2:$AZ$190,,MATCH(SUBSTITUTE(R$3,"Q","T"),Inputs!$B$2:$AZ$2,0)),Inputs!$B$2:$B$190,$B159)*Inputs!$D$1),"",SUMIFS(INDEX(Inputs!$B$2:$AZ$190,,MATCH(SUBSTITUTE(R$3,"Q","T"),Inputs!$B$2:$AZ$2,0)),Inputs!$B$2:$B$190,$B159)*Inputs!$D$1)</f>
        <v>0</v>
      </c>
      <c r="S159" s="58">
        <f>R159</f>
        <v>0</v>
      </c>
      <c r="T159" s="57">
        <f>IF(ISNA(SUMIFS(INDEX(Inputs!$B$2:$AZ$190,,MATCH(SUBSTITUTE(T$3,"Q","T"),Inputs!$B$2:$AZ$2,0)),Inputs!$B$2:$B$190,$B159)*Inputs!$D$1),"",SUMIFS(INDEX(Inputs!$B$2:$AZ$190,,MATCH(SUBSTITUTE(T$3,"Q","T"),Inputs!$B$2:$AZ$2,0)),Inputs!$B$2:$B$190,$B159)*Inputs!$D$1)</f>
        <v>0</v>
      </c>
      <c r="U159" s="57">
        <f>IF(ISNA(SUMIFS(INDEX(Inputs!$B$2:$AZ$190,,MATCH(SUBSTITUTE(U$3,"Q","T"),Inputs!$B$2:$AZ$2,0)),Inputs!$B$2:$B$190,$B159)*Inputs!$D$1),"",SUMIFS(INDEX(Inputs!$B$2:$AZ$190,,MATCH(SUBSTITUTE(U$3,"Q","T"),Inputs!$B$2:$AZ$2,0)),Inputs!$B$2:$B$190,$B159)*Inputs!$D$1)</f>
        <v>0</v>
      </c>
      <c r="V159" s="57">
        <f>IF(ISNA(SUMIFS(INDEX(Inputs!$B$2:$AZ$190,,MATCH(SUBSTITUTE(V$3,"Q","T"),Inputs!$B$2:$AZ$2,0)),Inputs!$B$2:$B$190,$B159)*Inputs!$D$1),"",SUMIFS(INDEX(Inputs!$B$2:$AZ$190,,MATCH(SUBSTITUTE(V$3,"Q","T"),Inputs!$B$2:$AZ$2,0)),Inputs!$B$2:$B$190,$B159)*Inputs!$D$1)</f>
        <v>0</v>
      </c>
      <c r="W159" s="57">
        <f>IF(ISNA(SUMIFS(INDEX(Inputs!$B$2:$AZ$190,,MATCH(SUBSTITUTE(W$3,"Q","T"),Inputs!$B$2:$AZ$2,0)),Inputs!$B$2:$B$190,$B159)*Inputs!$D$1),"",SUMIFS(INDEX(Inputs!$B$2:$AZ$190,,MATCH(SUBSTITUTE(W$3,"Q","T"),Inputs!$B$2:$AZ$2,0)),Inputs!$B$2:$B$190,$B159)*Inputs!$D$1)</f>
        <v>0</v>
      </c>
      <c r="X159" s="58">
        <f>W159</f>
        <v>0</v>
      </c>
      <c r="Y159" s="57">
        <f>IF(ISNA(SUMIFS(INDEX(Inputs!$B$2:$AZ$190,,MATCH(SUBSTITUTE(Y$3,"Q","T"),Inputs!$B$2:$AZ$2,0)),Inputs!$B$2:$B$190,$B159)*Inputs!$D$1),"",SUMIFS(INDEX(Inputs!$B$2:$AZ$190,,MATCH(SUBSTITUTE(Y$3,"Q","T"),Inputs!$B$2:$AZ$2,0)),Inputs!$B$2:$B$190,$B159)*Inputs!$D$1)</f>
        <v>0</v>
      </c>
      <c r="Z159" s="57">
        <f>IF(ISNA(SUMIFS(INDEX(Inputs!$B$2:$AZ$190,,MATCH(SUBSTITUTE(Z$3,"Q","T"),Inputs!$B$2:$AZ$2,0)),Inputs!$B$2:$B$190,$B159)*Inputs!$D$1),"",SUMIFS(INDEX(Inputs!$B$2:$AZ$190,,MATCH(SUBSTITUTE(Z$3,"Q","T"),Inputs!$B$2:$AZ$2,0)),Inputs!$B$2:$B$190,$B159)*Inputs!$D$1)</f>
        <v>0</v>
      </c>
      <c r="AA159" s="57">
        <f>IF(ISNA(SUMIFS(INDEX(Inputs!$B$2:$AZ$190,,MATCH(SUBSTITUTE(AA$3,"Q","T"),Inputs!$B$2:$AZ$2,0)),Inputs!$B$2:$B$190,$B159)*Inputs!$D$1),"",SUMIFS(INDEX(Inputs!$B$2:$AZ$190,,MATCH(SUBSTITUTE(AA$3,"Q","T"),Inputs!$B$2:$AZ$2,0)),Inputs!$B$2:$B$190,$B159)*Inputs!$D$1)</f>
        <v>0</v>
      </c>
      <c r="AB159" s="57">
        <f>IF(ISNA(SUMIFS(INDEX(Inputs!$B$2:$AZ$190,,MATCH(SUBSTITUTE(AB$3,"Q","T"),Inputs!$B$2:$AZ$2,0)),Inputs!$B$2:$B$190,$B159)*Inputs!$D$1),"",SUMIFS(INDEX(Inputs!$B$2:$AZ$190,,MATCH(SUBSTITUTE(AB$3,"Q","T"),Inputs!$B$2:$AZ$2,0)),Inputs!$B$2:$B$190,$B159)*Inputs!$D$1)</f>
        <v>0</v>
      </c>
      <c r="AC159" s="58">
        <f>AB159</f>
        <v>0</v>
      </c>
      <c r="AD159" s="57">
        <f>IF(ISNA(SUMIFS(INDEX(Inputs!$B$2:$AZ$190,,MATCH(SUBSTITUTE(AD$3,"Q","T"),Inputs!$B$2:$AZ$2,0)),Inputs!$B$2:$B$190,$B159)*Inputs!$D$1),"",SUMIFS(INDEX(Inputs!$B$2:$AZ$190,,MATCH(SUBSTITUTE(AD$3,"Q","T"),Inputs!$B$2:$AZ$2,0)),Inputs!$B$2:$B$190,$B159)*Inputs!$D$1)</f>
        <v>0</v>
      </c>
      <c r="AE159" s="57">
        <f>IF(ISNA(SUMIFS(INDEX(Inputs!$B$2:$AZ$190,,MATCH(SUBSTITUTE(AE$3,"Q","T"),Inputs!$B$2:$AZ$2,0)),Inputs!$B$2:$B$190,$B159)*Inputs!$D$1),"",SUMIFS(INDEX(Inputs!$B$2:$AZ$190,,MATCH(SUBSTITUTE(AE$3,"Q","T"),Inputs!$B$2:$AZ$2,0)),Inputs!$B$2:$B$190,$B159)*Inputs!$D$1)</f>
        <v>0</v>
      </c>
      <c r="AF159" s="57">
        <f>IF(ISNA(SUMIFS(INDEX(Inputs!$B$2:$AZ$190,,MATCH(SUBSTITUTE(AF$3,"Q","T"),Inputs!$B$2:$AZ$2,0)),Inputs!$B$2:$B$190,$B159)*Inputs!$D$1),"",SUMIFS(INDEX(Inputs!$B$2:$AZ$190,,MATCH(SUBSTITUTE(AF$3,"Q","T"),Inputs!$B$2:$AZ$2,0)),Inputs!$B$2:$B$190,$B159)*Inputs!$D$1)</f>
        <v>0</v>
      </c>
      <c r="AG159" s="57">
        <f>IF(ISNA(SUMIFS(INDEX(Inputs!$B$2:$AZ$190,,MATCH(SUBSTITUTE(AG$3,"Q","T"),Inputs!$B$2:$AZ$2,0)),Inputs!$B$2:$B$190,$B159)*Inputs!$D$1),"",SUMIFS(INDEX(Inputs!$B$2:$AZ$190,,MATCH(SUBSTITUTE(AG$3,"Q","T"),Inputs!$B$2:$AZ$2,0)),Inputs!$B$2:$B$190,$B159)*Inputs!$D$1)</f>
        <v>0</v>
      </c>
      <c r="AH159" s="58">
        <f>AG159</f>
        <v>0</v>
      </c>
      <c r="AI159" s="57">
        <f>IF(ISNA(SUMIFS(INDEX(Inputs!$B$2:$AZ$190,,MATCH(SUBSTITUTE(AI$3,"Q","T"),Inputs!$B$2:$AZ$2,0)),Inputs!$B$2:$B$190,$B159)*Inputs!$D$1),"",SUMIFS(INDEX(Inputs!$B$2:$AZ$190,,MATCH(SUBSTITUTE(AI$3,"Q","T"),Inputs!$B$2:$AZ$2,0)),Inputs!$B$2:$B$190,$B159)*Inputs!$D$1)</f>
        <v>0</v>
      </c>
      <c r="AJ159" s="57">
        <f>IF(ISNA(SUMIFS(INDEX(Inputs!$B$2:$AZ$190,,MATCH(SUBSTITUTE(AJ$3,"Q","T"),Inputs!$B$2:$AZ$2,0)),Inputs!$B$2:$B$190,$B159)*Inputs!$D$1),"",SUMIFS(INDEX(Inputs!$B$2:$AZ$190,,MATCH(SUBSTITUTE(AJ$3,"Q","T"),Inputs!$B$2:$AZ$2,0)),Inputs!$B$2:$B$190,$B159)*Inputs!$D$1)</f>
        <v>0</v>
      </c>
      <c r="AK159" s="57">
        <f>IF(ISNA(SUMIFS(INDEX(Inputs!$B$2:$AZ$190,,MATCH(SUBSTITUTE(AK$3,"Q","T"),Inputs!$B$2:$AZ$2,0)),Inputs!$B$2:$B$190,$B159)*Inputs!$D$1),"",SUMIFS(INDEX(Inputs!$B$2:$AZ$190,,MATCH(SUBSTITUTE(AK$3,"Q","T"),Inputs!$B$2:$AZ$2,0)),Inputs!$B$2:$B$190,$B159)*Inputs!$D$1)</f>
        <v>0</v>
      </c>
      <c r="AL159" s="57">
        <f>IF(ISNA(SUMIFS(INDEX(Inputs!$B$2:$AZ$190,,MATCH(SUBSTITUTE(AL$3,"Q","T"),Inputs!$B$2:$AZ$2,0)),Inputs!$B$2:$B$190,$B159)*Inputs!$D$1),"",SUMIFS(INDEX(Inputs!$B$2:$AZ$190,,MATCH(SUBSTITUTE(AL$3,"Q","T"),Inputs!$B$2:$AZ$2,0)),Inputs!$B$2:$B$190,$B159)*Inputs!$D$1)</f>
        <v>0</v>
      </c>
      <c r="AM159" s="58">
        <f>AL159</f>
        <v>0</v>
      </c>
      <c r="AN159" s="57">
        <f>IF(ISNA(SUMIFS(INDEX(Inputs!$B$2:$AZ$190,,MATCH(SUBSTITUTE(AN$3,"Q","T"),Inputs!$B$2:$AZ$2,0)),Inputs!$B$2:$B$190,$B159)*Inputs!$D$1),"",SUMIFS(INDEX(Inputs!$B$2:$AZ$190,,MATCH(SUBSTITUTE(AN$3,"Q","T"),Inputs!$B$2:$AZ$2,0)),Inputs!$B$2:$B$190,$B159)*Inputs!$D$1)</f>
        <v>0</v>
      </c>
      <c r="AO159" s="57">
        <f>IF(ISNA(SUMIFS(INDEX(Inputs!$B$2:$AZ$190,,MATCH(SUBSTITUTE(AO$3,"Q","T"),Inputs!$B$2:$AZ$2,0)),Inputs!$B$2:$B$190,$B159)*Inputs!$D$1),"",SUMIFS(INDEX(Inputs!$B$2:$AZ$190,,MATCH(SUBSTITUTE(AO$3,"Q","T"),Inputs!$B$2:$AZ$2,0)),Inputs!$B$2:$B$190,$B159)*Inputs!$D$1)</f>
        <v>0</v>
      </c>
      <c r="AP159" s="57">
        <f>IF(ISNA(SUMIFS(INDEX(Inputs!$B$2:$AZ$190,,MATCH(SUBSTITUTE(AP$3,"Q","T"),Inputs!$B$2:$AZ$2,0)),Inputs!$B$2:$B$190,$B159)*Inputs!$D$1),"",SUMIFS(INDEX(Inputs!$B$2:$AZ$190,,MATCH(SUBSTITUTE(AP$3,"Q","T"),Inputs!$B$2:$AZ$2,0)),Inputs!$B$2:$B$190,$B159)*Inputs!$D$1)</f>
        <v>0</v>
      </c>
      <c r="AQ159" s="57">
        <f>IF(ISNA(SUMIFS(INDEX(Inputs!$B$2:$AZ$190,,MATCH(SUBSTITUTE(AQ$3,"Q","T"),Inputs!$B$2:$AZ$2,0)),Inputs!$B$2:$B$190,$B159)*Inputs!$D$1),"",SUMIFS(INDEX(Inputs!$B$2:$AZ$190,,MATCH(SUBSTITUTE(AQ$3,"Q","T"),Inputs!$B$2:$AZ$2,0)),Inputs!$B$2:$B$190,$B159)*Inputs!$D$1)</f>
        <v>0</v>
      </c>
      <c r="AR159" s="58">
        <f>AQ159</f>
        <v>0</v>
      </c>
      <c r="AS159" s="57">
        <f>IF(ISNA(SUMIFS(INDEX(Inputs!$B$2:$AZ$190,,MATCH(SUBSTITUTE(AS$3,"Q","T"),Inputs!$B$2:$AZ$2,0)),Inputs!$B$2:$B$190,$B159)*Inputs!$D$1),"",SUMIFS(INDEX(Inputs!$B$2:$AZ$190,,MATCH(SUBSTITUTE(AS$3,"Q","T"),Inputs!$B$2:$AZ$2,0)),Inputs!$B$2:$B$190,$B159)*Inputs!$D$1)</f>
        <v>0</v>
      </c>
      <c r="AT159" s="57">
        <f>IF(ISNA(SUMIFS(INDEX(Inputs!$B$2:$AZ$190,,MATCH(SUBSTITUTE(AT$3,"Q","T"),Inputs!$B$2:$AZ$2,0)),Inputs!$B$2:$B$190,$B159)*Inputs!$D$1),"",SUMIFS(INDEX(Inputs!$B$2:$AZ$190,,MATCH(SUBSTITUTE(AT$3,"Q","T"),Inputs!$B$2:$AZ$2,0)),Inputs!$B$2:$B$190,$B159)*Inputs!$D$1)</f>
        <v>0</v>
      </c>
      <c r="AU159" s="57">
        <f>IF(ISNA(SUMIFS(INDEX(Inputs!$B$2:$AZ$190,,MATCH(SUBSTITUTE(AU$3,"Q","T"),Inputs!$B$2:$AZ$2,0)),Inputs!$B$2:$B$190,$B159)*Inputs!$D$1),"",SUMIFS(INDEX(Inputs!$B$2:$AZ$190,,MATCH(SUBSTITUTE(AU$3,"Q","T"),Inputs!$B$2:$AZ$2,0)),Inputs!$B$2:$B$190,$B159)*Inputs!$D$1)</f>
        <v>0</v>
      </c>
      <c r="AV159" s="57">
        <f>IF(ISNA(SUMIFS(INDEX(Inputs!$B$2:$AZ$190,,MATCH(SUBSTITUTE(AV$3,"Q","T"),Inputs!$B$2:$AZ$2,0)),Inputs!$B$2:$B$190,$B159)*Inputs!$D$1),"",SUMIFS(INDEX(Inputs!$B$2:$AZ$190,,MATCH(SUBSTITUTE(AV$3,"Q","T"),Inputs!$B$2:$AZ$2,0)),Inputs!$B$2:$B$190,$B159)*Inputs!$D$1)</f>
        <v>0</v>
      </c>
      <c r="AW159" s="58">
        <f>AV159</f>
        <v>0</v>
      </c>
      <c r="AX159" s="57">
        <f>IF(ISNA(SUMIFS(INDEX(Inputs!$B$2:$AZ$190,,MATCH(SUBSTITUTE(AX$3,"Q","T"),Inputs!$B$2:$AZ$2,0)),Inputs!$B$2:$B$190,$B159)*Inputs!$D$1),"",SUMIFS(INDEX(Inputs!$B$2:$AZ$190,,MATCH(SUBSTITUTE(AX$3,"Q","T"),Inputs!$B$2:$AZ$2,0)),Inputs!$B$2:$B$190,$B159)*Inputs!$D$1)</f>
        <v>0</v>
      </c>
      <c r="AY159" s="57">
        <f>IF(ISNA(SUMIFS(INDEX(Inputs!$B$2:$AZ$190,,MATCH(SUBSTITUTE(AY$3,"Q","T"),Inputs!$B$2:$AZ$2,0)),Inputs!$B$2:$B$190,$B159)*Inputs!$D$1),"",SUMIFS(INDEX(Inputs!$B$2:$AZ$190,,MATCH(SUBSTITUTE(AY$3,"Q","T"),Inputs!$B$2:$AZ$2,0)),Inputs!$B$2:$B$190,$B159)*Inputs!$D$1)</f>
        <v>0</v>
      </c>
      <c r="AZ159" s="57">
        <f>IF(ISNA(SUMIFS(INDEX(Inputs!$B$2:$AZ$190,,MATCH(SUBSTITUTE(AZ$3,"Q","T"),Inputs!$B$2:$AZ$2,0)),Inputs!$B$2:$B$190,$B159)*Inputs!$D$1),"",SUMIFS(INDEX(Inputs!$B$2:$AZ$190,,MATCH(SUBSTITUTE(AZ$3,"Q","T"),Inputs!$B$2:$AZ$2,0)),Inputs!$B$2:$B$190,$B159)*Inputs!$D$1)</f>
        <v>0</v>
      </c>
      <c r="BA159" s="57">
        <f>IF(ISNA(SUMIFS(INDEX(Inputs!$B$2:$AZ$190,,MATCH(SUBSTITUTE(BA$3,"Q","T"),Inputs!$B$2:$AZ$2,0)),Inputs!$B$2:$B$190,$B159)*Inputs!$D$1),"",SUMIFS(INDEX(Inputs!$B$2:$AZ$190,,MATCH(SUBSTITUTE(BA$3,"Q","T"),Inputs!$B$2:$AZ$2,0)),Inputs!$B$2:$B$190,$B159)*Inputs!$D$1)</f>
        <v>0</v>
      </c>
      <c r="BB159" s="58">
        <f>BA159</f>
        <v>0</v>
      </c>
      <c r="BC159" s="57">
        <f>IF(ISNA(SUMIFS(INDEX(Inputs!$B$2:$AZ$190,,MATCH(SUBSTITUTE(BC$3,"Q","T"),Inputs!$B$2:$AZ$2,0)),Inputs!$B$2:$B$190,$B159)*Inputs!$D$1),"",SUMIFS(INDEX(Inputs!$B$2:$AZ$190,,MATCH(SUBSTITUTE(BC$3,"Q","T"),Inputs!$B$2:$AZ$2,0)),Inputs!$B$2:$B$190,$B159)*Inputs!$D$1)</f>
        <v>0</v>
      </c>
      <c r="BD159" s="57">
        <f>IF(ISNA(SUMIFS(INDEX(Inputs!$B$2:$AZ$190,,MATCH(SUBSTITUTE(BD$3,"Q","T"),Inputs!$B$2:$AZ$2,0)),Inputs!$B$2:$B$190,$B159)*Inputs!$D$1),"",SUMIFS(INDEX(Inputs!$B$2:$AZ$190,,MATCH(SUBSTITUTE(BD$3,"Q","T"),Inputs!$B$2:$AZ$2,0)),Inputs!$B$2:$B$190,$B159)*Inputs!$D$1)</f>
        <v>0</v>
      </c>
      <c r="BE159" s="57">
        <f>IF(ISNA(SUMIFS(INDEX(Inputs!$B$2:$AZ$190,,MATCH(SUBSTITUTE(BE$3,"Q","T"),Inputs!$B$2:$AZ$2,0)),Inputs!$B$2:$B$190,$B159)*Inputs!$D$1),"",SUMIFS(INDEX(Inputs!$B$2:$AZ$190,,MATCH(SUBSTITUTE(BE$3,"Q","T"),Inputs!$B$2:$AZ$2,0)),Inputs!$B$2:$B$190,$B159)*Inputs!$D$1)</f>
        <v>0</v>
      </c>
      <c r="BF159" s="57">
        <f>IF(ISNA(SUMIFS(INDEX(Inputs!$B$2:$AZ$190,,MATCH(SUBSTITUTE(BF$3,"Q","T"),Inputs!$B$2:$AZ$2,0)),Inputs!$B$2:$B$190,$B159)*Inputs!$D$1),"",SUMIFS(INDEX(Inputs!$B$2:$AZ$190,,MATCH(SUBSTITUTE(BF$3,"Q","T"),Inputs!$B$2:$AZ$2,0)),Inputs!$B$2:$B$190,$B159)*Inputs!$D$1)</f>
        <v>0</v>
      </c>
      <c r="BG159" s="58">
        <f>BF159</f>
        <v>0</v>
      </c>
    </row>
    <row r="160" hidden="1" outlineLevel="1">
      <c r="B160" s="56" t="inlineStr">
        <is>
          <t>cart_consig</t>
        </is>
      </c>
      <c r="C160" s="11" t="inlineStr">
        <is>
          <t>Crédito consignado</t>
        </is>
      </c>
      <c r="D160" s="12" t="inlineStr">
        <is>
          <t>Payroll loans</t>
        </is>
      </c>
      <c r="E160" s="57">
        <f>IF(ISNA(SUMIFS(INDEX(Inputs!$B$2:$AZ$190,,MATCH(SUBSTITUTE(E$3,"Q","T"),Inputs!$B$2:$AZ$2,0)),Inputs!$B$2:$B$190,$B160)*Inputs!$D$1),"",SUMIFS(INDEX(Inputs!$B$2:$AZ$190,,MATCH(SUBSTITUTE(E$3,"Q","T"),Inputs!$B$2:$AZ$2,0)),Inputs!$B$2:$B$190,$B160)*Inputs!$D$1)</f>
        <v>0</v>
      </c>
      <c r="F160" s="57">
        <f>IF(ISNA(SUMIFS(INDEX(Inputs!$B$2:$AZ$190,,MATCH(SUBSTITUTE(F$3,"Q","T"),Inputs!$B$2:$AZ$2,0)),Inputs!$B$2:$B$190,$B160)*Inputs!$D$1),"",SUMIFS(INDEX(Inputs!$B$2:$AZ$190,,MATCH(SUBSTITUTE(F$3,"Q","T"),Inputs!$B$2:$AZ$2,0)),Inputs!$B$2:$B$190,$B160)*Inputs!$D$1)</f>
        <v>0</v>
      </c>
      <c r="G160" s="57">
        <f>IF(ISNA(SUMIFS(INDEX(Inputs!$B$2:$AZ$190,,MATCH(SUBSTITUTE(G$3,"Q","T"),Inputs!$B$2:$AZ$2,0)),Inputs!$B$2:$B$190,$B160)*Inputs!$D$1),"",SUMIFS(INDEX(Inputs!$B$2:$AZ$190,,MATCH(SUBSTITUTE(G$3,"Q","T"),Inputs!$B$2:$AZ$2,0)),Inputs!$B$2:$B$190,$B160)*Inputs!$D$1)</f>
        <v>0</v>
      </c>
      <c r="H160" s="57">
        <f>IF(ISNA(SUMIFS(INDEX(Inputs!$B$2:$AZ$190,,MATCH(SUBSTITUTE(H$3,"Q","T"),Inputs!$B$2:$AZ$2,0)),Inputs!$B$2:$B$190,$B160)*Inputs!$D$1),"",SUMIFS(INDEX(Inputs!$B$2:$AZ$190,,MATCH(SUBSTITUTE(H$3,"Q","T"),Inputs!$B$2:$AZ$2,0)),Inputs!$B$2:$B$190,$B160)*Inputs!$D$1)</f>
        <v>0</v>
      </c>
      <c r="I160" s="58">
        <f>H160</f>
        <v>0</v>
      </c>
      <c r="J160" s="57">
        <f>IF(ISNA(SUMIFS(INDEX(Inputs!$B$2:$AZ$190,,MATCH(SUBSTITUTE(J$3,"Q","T"),Inputs!$B$2:$AZ$2,0)),Inputs!$B$2:$B$190,$B160)*Inputs!$D$1),"",SUMIFS(INDEX(Inputs!$B$2:$AZ$190,,MATCH(SUBSTITUTE(J$3,"Q","T"),Inputs!$B$2:$AZ$2,0)),Inputs!$B$2:$B$190,$B160)*Inputs!$D$1)</f>
        <v>0</v>
      </c>
      <c r="K160" s="57">
        <f>IF(ISNA(SUMIFS(INDEX(Inputs!$B$2:$AZ$190,,MATCH(SUBSTITUTE(K$3,"Q","T"),Inputs!$B$2:$AZ$2,0)),Inputs!$B$2:$B$190,$B160)*Inputs!$D$1),"",SUMIFS(INDEX(Inputs!$B$2:$AZ$190,,MATCH(SUBSTITUTE(K$3,"Q","T"),Inputs!$B$2:$AZ$2,0)),Inputs!$B$2:$B$190,$B160)*Inputs!$D$1)</f>
        <v>0</v>
      </c>
      <c r="L160" s="57">
        <f>IF(ISNA(SUMIFS(INDEX(Inputs!$B$2:$AZ$190,,MATCH(SUBSTITUTE(L$3,"Q","T"),Inputs!$B$2:$AZ$2,0)),Inputs!$B$2:$B$190,$B160)*Inputs!$D$1),"",SUMIFS(INDEX(Inputs!$B$2:$AZ$190,,MATCH(SUBSTITUTE(L$3,"Q","T"),Inputs!$B$2:$AZ$2,0)),Inputs!$B$2:$B$190,$B160)*Inputs!$D$1)</f>
        <v>0</v>
      </c>
      <c r="M160" s="57">
        <f>IF(ISNA(SUMIFS(INDEX(Inputs!$B$2:$AZ$190,,MATCH(SUBSTITUTE(M$3,"Q","T"),Inputs!$B$2:$AZ$2,0)),Inputs!$B$2:$B$190,$B160)*Inputs!$D$1),"",SUMIFS(INDEX(Inputs!$B$2:$AZ$190,,MATCH(SUBSTITUTE(M$3,"Q","T"),Inputs!$B$2:$AZ$2,0)),Inputs!$B$2:$B$190,$B160)*Inputs!$D$1)</f>
        <v>0</v>
      </c>
      <c r="N160" s="58">
        <f>M160</f>
        <v>0</v>
      </c>
      <c r="O160" s="57">
        <f>IF(ISNA(SUMIFS(INDEX(Inputs!$B$2:$AZ$190,,MATCH(SUBSTITUTE(O$3,"Q","T"),Inputs!$B$2:$AZ$2,0)),Inputs!$B$2:$B$190,$B160)*Inputs!$D$1),"",SUMIFS(INDEX(Inputs!$B$2:$AZ$190,,MATCH(SUBSTITUTE(O$3,"Q","T"),Inputs!$B$2:$AZ$2,0)),Inputs!$B$2:$B$190,$B160)*Inputs!$D$1)</f>
        <v>0</v>
      </c>
      <c r="P160" s="57">
        <f>IF(ISNA(SUMIFS(INDEX(Inputs!$B$2:$AZ$190,,MATCH(SUBSTITUTE(P$3,"Q","T"),Inputs!$B$2:$AZ$2,0)),Inputs!$B$2:$B$190,$B160)*Inputs!$D$1),"",SUMIFS(INDEX(Inputs!$B$2:$AZ$190,,MATCH(SUBSTITUTE(P$3,"Q","T"),Inputs!$B$2:$AZ$2,0)),Inputs!$B$2:$B$190,$B160)*Inputs!$D$1)</f>
        <v>0</v>
      </c>
      <c r="Q160" s="57">
        <f>IF(ISNA(SUMIFS(INDEX(Inputs!$B$2:$AZ$190,,MATCH(SUBSTITUTE(Q$3,"Q","T"),Inputs!$B$2:$AZ$2,0)),Inputs!$B$2:$B$190,$B160)*Inputs!$D$1),"",SUMIFS(INDEX(Inputs!$B$2:$AZ$190,,MATCH(SUBSTITUTE(Q$3,"Q","T"),Inputs!$B$2:$AZ$2,0)),Inputs!$B$2:$B$190,$B160)*Inputs!$D$1)</f>
        <v>0</v>
      </c>
      <c r="R160" s="57">
        <f>IF(ISNA(SUMIFS(INDEX(Inputs!$B$2:$AZ$190,,MATCH(SUBSTITUTE(R$3,"Q","T"),Inputs!$B$2:$AZ$2,0)),Inputs!$B$2:$B$190,$B160)*Inputs!$D$1),"",SUMIFS(INDEX(Inputs!$B$2:$AZ$190,,MATCH(SUBSTITUTE(R$3,"Q","T"),Inputs!$B$2:$AZ$2,0)),Inputs!$B$2:$B$190,$B160)*Inputs!$D$1)</f>
        <v>0</v>
      </c>
      <c r="S160" s="58">
        <f>R160</f>
        <v>0</v>
      </c>
      <c r="T160" s="57">
        <f>IF(ISNA(SUMIFS(INDEX(Inputs!$B$2:$AZ$190,,MATCH(SUBSTITUTE(T$3,"Q","T"),Inputs!$B$2:$AZ$2,0)),Inputs!$B$2:$B$190,$B160)*Inputs!$D$1),"",SUMIFS(INDEX(Inputs!$B$2:$AZ$190,,MATCH(SUBSTITUTE(T$3,"Q","T"),Inputs!$B$2:$AZ$2,0)),Inputs!$B$2:$B$190,$B160)*Inputs!$D$1)</f>
        <v>0</v>
      </c>
      <c r="U160" s="57">
        <f>IF(ISNA(SUMIFS(INDEX(Inputs!$B$2:$AZ$190,,MATCH(SUBSTITUTE(U$3,"Q","T"),Inputs!$B$2:$AZ$2,0)),Inputs!$B$2:$B$190,$B160)*Inputs!$D$1),"",SUMIFS(INDEX(Inputs!$B$2:$AZ$190,,MATCH(SUBSTITUTE(U$3,"Q","T"),Inputs!$B$2:$AZ$2,0)),Inputs!$B$2:$B$190,$B160)*Inputs!$D$1)</f>
        <v>0</v>
      </c>
      <c r="V160" s="57">
        <f>IF(ISNA(SUMIFS(INDEX(Inputs!$B$2:$AZ$190,,MATCH(SUBSTITUTE(V$3,"Q","T"),Inputs!$B$2:$AZ$2,0)),Inputs!$B$2:$B$190,$B160)*Inputs!$D$1),"",SUMIFS(INDEX(Inputs!$B$2:$AZ$190,,MATCH(SUBSTITUTE(V$3,"Q","T"),Inputs!$B$2:$AZ$2,0)),Inputs!$B$2:$B$190,$B160)*Inputs!$D$1)</f>
        <v>0</v>
      </c>
      <c r="W160" s="57">
        <f>IF(ISNA(SUMIFS(INDEX(Inputs!$B$2:$AZ$190,,MATCH(SUBSTITUTE(W$3,"Q","T"),Inputs!$B$2:$AZ$2,0)),Inputs!$B$2:$B$190,$B160)*Inputs!$D$1),"",SUMIFS(INDEX(Inputs!$B$2:$AZ$190,,MATCH(SUBSTITUTE(W$3,"Q","T"),Inputs!$B$2:$AZ$2,0)),Inputs!$B$2:$B$190,$B160)*Inputs!$D$1)</f>
        <v>0</v>
      </c>
      <c r="X160" s="58">
        <f>W160</f>
        <v>0</v>
      </c>
      <c r="Y160" s="57">
        <f>IF(ISNA(SUMIFS(INDEX(Inputs!$B$2:$AZ$190,,MATCH(SUBSTITUTE(Y$3,"Q","T"),Inputs!$B$2:$AZ$2,0)),Inputs!$B$2:$B$190,$B160)*Inputs!$D$1),"",SUMIFS(INDEX(Inputs!$B$2:$AZ$190,,MATCH(SUBSTITUTE(Y$3,"Q","T"),Inputs!$B$2:$AZ$2,0)),Inputs!$B$2:$B$190,$B160)*Inputs!$D$1)</f>
        <v>0</v>
      </c>
      <c r="Z160" s="57">
        <f>IF(ISNA(SUMIFS(INDEX(Inputs!$B$2:$AZ$190,,MATCH(SUBSTITUTE(Z$3,"Q","T"),Inputs!$B$2:$AZ$2,0)),Inputs!$B$2:$B$190,$B160)*Inputs!$D$1),"",SUMIFS(INDEX(Inputs!$B$2:$AZ$190,,MATCH(SUBSTITUTE(Z$3,"Q","T"),Inputs!$B$2:$AZ$2,0)),Inputs!$B$2:$B$190,$B160)*Inputs!$D$1)</f>
        <v>0</v>
      </c>
      <c r="AA160" s="57">
        <f>IF(ISNA(SUMIFS(INDEX(Inputs!$B$2:$AZ$190,,MATCH(SUBSTITUTE(AA$3,"Q","T"),Inputs!$B$2:$AZ$2,0)),Inputs!$B$2:$B$190,$B160)*Inputs!$D$1),"",SUMIFS(INDEX(Inputs!$B$2:$AZ$190,,MATCH(SUBSTITUTE(AA$3,"Q","T"),Inputs!$B$2:$AZ$2,0)),Inputs!$B$2:$B$190,$B160)*Inputs!$D$1)</f>
        <v>0</v>
      </c>
      <c r="AB160" s="57">
        <f>IF(ISNA(SUMIFS(INDEX(Inputs!$B$2:$AZ$190,,MATCH(SUBSTITUTE(AB$3,"Q","T"),Inputs!$B$2:$AZ$2,0)),Inputs!$B$2:$B$190,$B160)*Inputs!$D$1),"",SUMIFS(INDEX(Inputs!$B$2:$AZ$190,,MATCH(SUBSTITUTE(AB$3,"Q","T"),Inputs!$B$2:$AZ$2,0)),Inputs!$B$2:$B$190,$B160)*Inputs!$D$1)</f>
        <v>0</v>
      </c>
      <c r="AC160" s="58">
        <f>AB160</f>
        <v>0</v>
      </c>
      <c r="AD160" s="57">
        <f>IF(ISNA(SUMIFS(INDEX(Inputs!$B$2:$AZ$190,,MATCH(SUBSTITUTE(AD$3,"Q","T"),Inputs!$B$2:$AZ$2,0)),Inputs!$B$2:$B$190,$B160)*Inputs!$D$1),"",SUMIFS(INDEX(Inputs!$B$2:$AZ$190,,MATCH(SUBSTITUTE(AD$3,"Q","T"),Inputs!$B$2:$AZ$2,0)),Inputs!$B$2:$B$190,$B160)*Inputs!$D$1)</f>
        <v>0</v>
      </c>
      <c r="AE160" s="57">
        <f>IF(ISNA(SUMIFS(INDEX(Inputs!$B$2:$AZ$190,,MATCH(SUBSTITUTE(AE$3,"Q","T"),Inputs!$B$2:$AZ$2,0)),Inputs!$B$2:$B$190,$B160)*Inputs!$D$1),"",SUMIFS(INDEX(Inputs!$B$2:$AZ$190,,MATCH(SUBSTITUTE(AE$3,"Q","T"),Inputs!$B$2:$AZ$2,0)),Inputs!$B$2:$B$190,$B160)*Inputs!$D$1)</f>
        <v>0</v>
      </c>
      <c r="AF160" s="57">
        <f>IF(ISNA(SUMIFS(INDEX(Inputs!$B$2:$AZ$190,,MATCH(SUBSTITUTE(AF$3,"Q","T"),Inputs!$B$2:$AZ$2,0)),Inputs!$B$2:$B$190,$B160)*Inputs!$D$1),"",SUMIFS(INDEX(Inputs!$B$2:$AZ$190,,MATCH(SUBSTITUTE(AF$3,"Q","T"),Inputs!$B$2:$AZ$2,0)),Inputs!$B$2:$B$190,$B160)*Inputs!$D$1)</f>
        <v>0</v>
      </c>
      <c r="AG160" s="57">
        <f>IF(ISNA(SUMIFS(INDEX(Inputs!$B$2:$AZ$190,,MATCH(SUBSTITUTE(AG$3,"Q","T"),Inputs!$B$2:$AZ$2,0)),Inputs!$B$2:$B$190,$B160)*Inputs!$D$1),"",SUMIFS(INDEX(Inputs!$B$2:$AZ$190,,MATCH(SUBSTITUTE(AG$3,"Q","T"),Inputs!$B$2:$AZ$2,0)),Inputs!$B$2:$B$190,$B160)*Inputs!$D$1)</f>
        <v>0</v>
      </c>
      <c r="AH160" s="58">
        <f>AG160</f>
        <v>0</v>
      </c>
      <c r="AI160" s="57">
        <f>IF(ISNA(SUMIFS(INDEX(Inputs!$B$2:$AZ$190,,MATCH(SUBSTITUTE(AI$3,"Q","T"),Inputs!$B$2:$AZ$2,0)),Inputs!$B$2:$B$190,$B160)*Inputs!$D$1),"",SUMIFS(INDEX(Inputs!$B$2:$AZ$190,,MATCH(SUBSTITUTE(AI$3,"Q","T"),Inputs!$B$2:$AZ$2,0)),Inputs!$B$2:$B$190,$B160)*Inputs!$D$1)</f>
        <v>0</v>
      </c>
      <c r="AJ160" s="57">
        <f>IF(ISNA(SUMIFS(INDEX(Inputs!$B$2:$AZ$190,,MATCH(SUBSTITUTE(AJ$3,"Q","T"),Inputs!$B$2:$AZ$2,0)),Inputs!$B$2:$B$190,$B160)*Inputs!$D$1),"",SUMIFS(INDEX(Inputs!$B$2:$AZ$190,,MATCH(SUBSTITUTE(AJ$3,"Q","T"),Inputs!$B$2:$AZ$2,0)),Inputs!$B$2:$B$190,$B160)*Inputs!$D$1)</f>
        <v>0</v>
      </c>
      <c r="AK160" s="57">
        <f>IF(ISNA(SUMIFS(INDEX(Inputs!$B$2:$AZ$190,,MATCH(SUBSTITUTE(AK$3,"Q","T"),Inputs!$B$2:$AZ$2,0)),Inputs!$B$2:$B$190,$B160)*Inputs!$D$1),"",SUMIFS(INDEX(Inputs!$B$2:$AZ$190,,MATCH(SUBSTITUTE(AK$3,"Q","T"),Inputs!$B$2:$AZ$2,0)),Inputs!$B$2:$B$190,$B160)*Inputs!$D$1)</f>
        <v>0</v>
      </c>
      <c r="AL160" s="57">
        <f>IF(ISNA(SUMIFS(INDEX(Inputs!$B$2:$AZ$190,,MATCH(SUBSTITUTE(AL$3,"Q","T"),Inputs!$B$2:$AZ$2,0)),Inputs!$B$2:$B$190,$B160)*Inputs!$D$1),"",SUMIFS(INDEX(Inputs!$B$2:$AZ$190,,MATCH(SUBSTITUTE(AL$3,"Q","T"),Inputs!$B$2:$AZ$2,0)),Inputs!$B$2:$B$190,$B160)*Inputs!$D$1)</f>
        <v>0</v>
      </c>
      <c r="AM160" s="58">
        <f>AL160</f>
        <v>0</v>
      </c>
      <c r="AN160" s="57">
        <f>IF(ISNA(SUMIFS(INDEX(Inputs!$B$2:$AZ$190,,MATCH(SUBSTITUTE(AN$3,"Q","T"),Inputs!$B$2:$AZ$2,0)),Inputs!$B$2:$B$190,$B160)*Inputs!$D$1),"",SUMIFS(INDEX(Inputs!$B$2:$AZ$190,,MATCH(SUBSTITUTE(AN$3,"Q","T"),Inputs!$B$2:$AZ$2,0)),Inputs!$B$2:$B$190,$B160)*Inputs!$D$1)</f>
        <v>0</v>
      </c>
      <c r="AO160" s="57">
        <f>IF(ISNA(SUMIFS(INDEX(Inputs!$B$2:$AZ$190,,MATCH(SUBSTITUTE(AO$3,"Q","T"),Inputs!$B$2:$AZ$2,0)),Inputs!$B$2:$B$190,$B160)*Inputs!$D$1),"",SUMIFS(INDEX(Inputs!$B$2:$AZ$190,,MATCH(SUBSTITUTE(AO$3,"Q","T"),Inputs!$B$2:$AZ$2,0)),Inputs!$B$2:$B$190,$B160)*Inputs!$D$1)</f>
        <v>0</v>
      </c>
      <c r="AP160" s="57">
        <f>IF(ISNA(SUMIFS(INDEX(Inputs!$B$2:$AZ$190,,MATCH(SUBSTITUTE(AP$3,"Q","T"),Inputs!$B$2:$AZ$2,0)),Inputs!$B$2:$B$190,$B160)*Inputs!$D$1),"",SUMIFS(INDEX(Inputs!$B$2:$AZ$190,,MATCH(SUBSTITUTE(AP$3,"Q","T"),Inputs!$B$2:$AZ$2,0)),Inputs!$B$2:$B$190,$B160)*Inputs!$D$1)</f>
        <v>0</v>
      </c>
      <c r="AQ160" s="57">
        <f>IF(ISNA(SUMIFS(INDEX(Inputs!$B$2:$AZ$190,,MATCH(SUBSTITUTE(AQ$3,"Q","T"),Inputs!$B$2:$AZ$2,0)),Inputs!$B$2:$B$190,$B160)*Inputs!$D$1),"",SUMIFS(INDEX(Inputs!$B$2:$AZ$190,,MATCH(SUBSTITUTE(AQ$3,"Q","T"),Inputs!$B$2:$AZ$2,0)),Inputs!$B$2:$B$190,$B160)*Inputs!$D$1)</f>
        <v>0</v>
      </c>
      <c r="AR160" s="58">
        <f>AQ160</f>
        <v>0</v>
      </c>
      <c r="AS160" s="57">
        <f>IF(ISNA(SUMIFS(INDEX(Inputs!$B$2:$AZ$190,,MATCH(SUBSTITUTE(AS$3,"Q","T"),Inputs!$B$2:$AZ$2,0)),Inputs!$B$2:$B$190,$B160)*Inputs!$D$1),"",SUMIFS(INDEX(Inputs!$B$2:$AZ$190,,MATCH(SUBSTITUTE(AS$3,"Q","T"),Inputs!$B$2:$AZ$2,0)),Inputs!$B$2:$B$190,$B160)*Inputs!$D$1)</f>
        <v>0</v>
      </c>
      <c r="AT160" s="57">
        <f>IF(ISNA(SUMIFS(INDEX(Inputs!$B$2:$AZ$190,,MATCH(SUBSTITUTE(AT$3,"Q","T"),Inputs!$B$2:$AZ$2,0)),Inputs!$B$2:$B$190,$B160)*Inputs!$D$1),"",SUMIFS(INDEX(Inputs!$B$2:$AZ$190,,MATCH(SUBSTITUTE(AT$3,"Q","T"),Inputs!$B$2:$AZ$2,0)),Inputs!$B$2:$B$190,$B160)*Inputs!$D$1)</f>
        <v>0</v>
      </c>
      <c r="AU160" s="57">
        <f>IF(ISNA(SUMIFS(INDEX(Inputs!$B$2:$AZ$190,,MATCH(SUBSTITUTE(AU$3,"Q","T"),Inputs!$B$2:$AZ$2,0)),Inputs!$B$2:$B$190,$B160)*Inputs!$D$1),"",SUMIFS(INDEX(Inputs!$B$2:$AZ$190,,MATCH(SUBSTITUTE(AU$3,"Q","T"),Inputs!$B$2:$AZ$2,0)),Inputs!$B$2:$B$190,$B160)*Inputs!$D$1)</f>
        <v>0</v>
      </c>
      <c r="AV160" s="57">
        <f>IF(ISNA(SUMIFS(INDEX(Inputs!$B$2:$AZ$190,,MATCH(SUBSTITUTE(AV$3,"Q","T"),Inputs!$B$2:$AZ$2,0)),Inputs!$B$2:$B$190,$B160)*Inputs!$D$1),"",SUMIFS(INDEX(Inputs!$B$2:$AZ$190,,MATCH(SUBSTITUTE(AV$3,"Q","T"),Inputs!$B$2:$AZ$2,0)),Inputs!$B$2:$B$190,$B160)*Inputs!$D$1)</f>
        <v>0</v>
      </c>
      <c r="AW160" s="58">
        <f>AV160</f>
        <v>0</v>
      </c>
      <c r="AX160" s="57">
        <f>IF(ISNA(SUMIFS(INDEX(Inputs!$B$2:$AZ$190,,MATCH(SUBSTITUTE(AX$3,"Q","T"),Inputs!$B$2:$AZ$2,0)),Inputs!$B$2:$B$190,$B160)*Inputs!$D$1),"",SUMIFS(INDEX(Inputs!$B$2:$AZ$190,,MATCH(SUBSTITUTE(AX$3,"Q","T"),Inputs!$B$2:$AZ$2,0)),Inputs!$B$2:$B$190,$B160)*Inputs!$D$1)</f>
        <v>0</v>
      </c>
      <c r="AY160" s="57">
        <f>IF(ISNA(SUMIFS(INDEX(Inputs!$B$2:$AZ$190,,MATCH(SUBSTITUTE(AY$3,"Q","T"),Inputs!$B$2:$AZ$2,0)),Inputs!$B$2:$B$190,$B160)*Inputs!$D$1),"",SUMIFS(INDEX(Inputs!$B$2:$AZ$190,,MATCH(SUBSTITUTE(AY$3,"Q","T"),Inputs!$B$2:$AZ$2,0)),Inputs!$B$2:$B$190,$B160)*Inputs!$D$1)</f>
        <v>0</v>
      </c>
      <c r="AZ160" s="57">
        <f>IF(ISNA(SUMIFS(INDEX(Inputs!$B$2:$AZ$190,,MATCH(SUBSTITUTE(AZ$3,"Q","T"),Inputs!$B$2:$AZ$2,0)),Inputs!$B$2:$B$190,$B160)*Inputs!$D$1),"",SUMIFS(INDEX(Inputs!$B$2:$AZ$190,,MATCH(SUBSTITUTE(AZ$3,"Q","T"),Inputs!$B$2:$AZ$2,0)),Inputs!$B$2:$B$190,$B160)*Inputs!$D$1)</f>
        <v>0</v>
      </c>
      <c r="BA160" s="57">
        <f>IF(ISNA(SUMIFS(INDEX(Inputs!$B$2:$AZ$190,,MATCH(SUBSTITUTE(BA$3,"Q","T"),Inputs!$B$2:$AZ$2,0)),Inputs!$B$2:$B$190,$B160)*Inputs!$D$1),"",SUMIFS(INDEX(Inputs!$B$2:$AZ$190,,MATCH(SUBSTITUTE(BA$3,"Q","T"),Inputs!$B$2:$AZ$2,0)),Inputs!$B$2:$B$190,$B160)*Inputs!$D$1)</f>
        <v>0</v>
      </c>
      <c r="BB160" s="58">
        <f>BA160</f>
        <v>0</v>
      </c>
      <c r="BC160" s="57">
        <f>IF(ISNA(SUMIFS(INDEX(Inputs!$B$2:$AZ$190,,MATCH(SUBSTITUTE(BC$3,"Q","T"),Inputs!$B$2:$AZ$2,0)),Inputs!$B$2:$B$190,$B160)*Inputs!$D$1),"",SUMIFS(INDEX(Inputs!$B$2:$AZ$190,,MATCH(SUBSTITUTE(BC$3,"Q","T"),Inputs!$B$2:$AZ$2,0)),Inputs!$B$2:$B$190,$B160)*Inputs!$D$1)</f>
        <v>0</v>
      </c>
      <c r="BD160" s="57">
        <f>IF(ISNA(SUMIFS(INDEX(Inputs!$B$2:$AZ$190,,MATCH(SUBSTITUTE(BD$3,"Q","T"),Inputs!$B$2:$AZ$2,0)),Inputs!$B$2:$B$190,$B160)*Inputs!$D$1),"",SUMIFS(INDEX(Inputs!$B$2:$AZ$190,,MATCH(SUBSTITUTE(BD$3,"Q","T"),Inputs!$B$2:$AZ$2,0)),Inputs!$B$2:$B$190,$B160)*Inputs!$D$1)</f>
        <v>0</v>
      </c>
      <c r="BE160" s="57">
        <f>IF(ISNA(SUMIFS(INDEX(Inputs!$B$2:$AZ$190,,MATCH(SUBSTITUTE(BE$3,"Q","T"),Inputs!$B$2:$AZ$2,0)),Inputs!$B$2:$B$190,$B160)*Inputs!$D$1),"",SUMIFS(INDEX(Inputs!$B$2:$AZ$190,,MATCH(SUBSTITUTE(BE$3,"Q","T"),Inputs!$B$2:$AZ$2,0)),Inputs!$B$2:$B$190,$B160)*Inputs!$D$1)</f>
        <v>0</v>
      </c>
      <c r="BF160" s="57">
        <f>IF(ISNA(SUMIFS(INDEX(Inputs!$B$2:$AZ$190,,MATCH(SUBSTITUTE(BF$3,"Q","T"),Inputs!$B$2:$AZ$2,0)),Inputs!$B$2:$B$190,$B160)*Inputs!$D$1),"",SUMIFS(INDEX(Inputs!$B$2:$AZ$190,,MATCH(SUBSTITUTE(BF$3,"Q","T"),Inputs!$B$2:$AZ$2,0)),Inputs!$B$2:$B$190,$B160)*Inputs!$D$1)</f>
        <v>0</v>
      </c>
      <c r="BG160" s="58">
        <f>BF160</f>
        <v>0</v>
      </c>
    </row>
    <row r="161" hidden="1" outlineLevel="1">
      <c r="B161" s="56" t="inlineStr">
        <is>
          <t>cart_veic</t>
        </is>
      </c>
      <c r="C161" s="11" t="inlineStr">
        <is>
          <t>Veículos</t>
        </is>
      </c>
      <c r="D161" s="12" t="inlineStr">
        <is>
          <t>Auto loans</t>
        </is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>0</v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>H161</f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0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0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0</v>
      </c>
      <c r="N161" s="58">
        <f>M161</f>
        <v>0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0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0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0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0</v>
      </c>
      <c r="S161" s="58">
        <f>R161</f>
        <v>0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0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0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0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0</v>
      </c>
      <c r="X161" s="58">
        <f>W161</f>
        <v>0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0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0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0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0</v>
      </c>
      <c r="AC161" s="58">
        <f>AB161</f>
        <v>0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0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0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0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0</v>
      </c>
      <c r="AH161" s="58">
        <f>AG161</f>
        <v>0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0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0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>AL161</f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>AQ161</f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>AV161</f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>BA161</f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>BF161</f>
        <v>0</v>
      </c>
    </row>
    <row r="162" hidden="1" outlineLevel="1">
      <c r="B162" s="56" t="inlineStr">
        <is>
          <t>cart_imob</t>
        </is>
      </c>
      <c r="C162" s="11" t="inlineStr">
        <is>
          <t>Imobiliário</t>
        </is>
      </c>
      <c r="D162" s="12" t="inlineStr">
        <is>
          <t>Mortgages</t>
        </is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0</v>
      </c>
      <c r="F162" s="57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>0</v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0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0</v>
      </c>
      <c r="I162" s="58">
        <f>H162</f>
        <v>0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0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0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0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0</v>
      </c>
      <c r="N162" s="58">
        <f>M162</f>
        <v>0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0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0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0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0</v>
      </c>
      <c r="S162" s="58">
        <f>R162</f>
        <v>0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0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0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0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0</v>
      </c>
      <c r="X162" s="58">
        <f>W162</f>
        <v>0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0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0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0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0</v>
      </c>
      <c r="AC162" s="58">
        <f>AB162</f>
        <v>0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0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0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0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0</v>
      </c>
      <c r="AH162" s="58">
        <f>AG162</f>
        <v>0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0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0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>AL162</f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>AQ162</f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>AV162</f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>BA162</f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>BF162</f>
        <v>0</v>
      </c>
    </row>
    <row r="163" hidden="1" outlineLevel="1">
      <c r="B163" s="56" t="inlineStr">
        <is>
          <t>cart_rural</t>
        </is>
      </c>
      <c r="C163" s="11" t="inlineStr">
        <is>
          <t>Rural e agronegócio</t>
        </is>
      </c>
      <c r="D163" s="12" t="inlineStr">
        <is>
          <t>Agribusiness</t>
        </is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0</v>
      </c>
      <c r="F163" s="57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>0</v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0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0</v>
      </c>
      <c r="I163" s="58">
        <f>H163</f>
        <v>0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0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0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0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0</v>
      </c>
      <c r="N163" s="58">
        <f>M163</f>
        <v>0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0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0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0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0</v>
      </c>
      <c r="S163" s="58">
        <f>R163</f>
        <v>0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0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0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0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0</v>
      </c>
      <c r="X163" s="58">
        <f>W163</f>
        <v>0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0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0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0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0</v>
      </c>
      <c r="AC163" s="58">
        <f>AB163</f>
        <v>0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0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0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0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0</v>
      </c>
      <c r="AH163" s="58">
        <f>AG163</f>
        <v>0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0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0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>AL163</f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>AQ163</f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>AV163</f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>BA163</f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>BF163</f>
        <v>0</v>
      </c>
    </row>
    <row r="164" hidden="1" outlineLevel="1">
      <c r="B164" s="56" t="inlineStr">
        <is>
          <t>cart_pf_out</t>
        </is>
      </c>
      <c r="C164" s="11" t="inlineStr">
        <is>
          <t>Demais pessoa física</t>
        </is>
      </c>
      <c r="D164" s="12" t="inlineStr">
        <is>
          <t>Other individuals</t>
        </is>
      </c>
      <c r="E164" s="57">
        <f>IF(ISNA(SUMIFS(INDEX(Inputs!$B$2:$AZ$190,,MATCH(SUBSTITUTE(E$3,"Q","T"),Inputs!$B$2:$AZ$2,0)),Inputs!$B$2:$B$190,$B164)*Inputs!$D$1),"",SUMIFS(INDEX(Inputs!$B$2:$AZ$190,,MATCH(SUBSTITUTE(E$3,"Q","T"),Inputs!$B$2:$AZ$2,0)),Inputs!$B$2:$B$190,$B164)*Inputs!$D$1)</f>
        <v>0</v>
      </c>
      <c r="F164" s="57">
        <f>IF(ISNA(SUMIFS(INDEX(Inputs!$B$2:$AZ$190,,MATCH(SUBSTITUTE(F$3,"Q","T"),Inputs!$B$2:$AZ$2,0)),Inputs!$B$2:$B$190,$B164)*Inputs!$D$1),"",SUMIFS(INDEX(Inputs!$B$2:$AZ$190,,MATCH(SUBSTITUTE(F$3,"Q","T"),Inputs!$B$2:$AZ$2,0)),Inputs!$B$2:$B$190,$B164)*Inputs!$D$1)</f>
        <v>0</v>
      </c>
      <c r="G164" s="57">
        <f>IF(ISNA(SUMIFS(INDEX(Inputs!$B$2:$AZ$190,,MATCH(SUBSTITUTE(G$3,"Q","T"),Inputs!$B$2:$AZ$2,0)),Inputs!$B$2:$B$190,$B164)*Inputs!$D$1),"",SUMIFS(INDEX(Inputs!$B$2:$AZ$190,,MATCH(SUBSTITUTE(G$3,"Q","T"),Inputs!$B$2:$AZ$2,0)),Inputs!$B$2:$B$190,$B164)*Inputs!$D$1)</f>
        <v>0</v>
      </c>
      <c r="H164" s="57">
        <f>IF(ISNA(SUMIFS(INDEX(Inputs!$B$2:$AZ$190,,MATCH(SUBSTITUTE(H$3,"Q","T"),Inputs!$B$2:$AZ$2,0)),Inputs!$B$2:$B$190,$B164)*Inputs!$D$1),"",SUMIFS(INDEX(Inputs!$B$2:$AZ$190,,MATCH(SUBSTITUTE(H$3,"Q","T"),Inputs!$B$2:$AZ$2,0)),Inputs!$B$2:$B$190,$B164)*Inputs!$D$1)</f>
        <v>0</v>
      </c>
      <c r="I164" s="58">
        <f>H164</f>
        <v>0</v>
      </c>
      <c r="J164" s="57">
        <f>IF(ISNA(SUMIFS(INDEX(Inputs!$B$2:$AZ$190,,MATCH(SUBSTITUTE(J$3,"Q","T"),Inputs!$B$2:$AZ$2,0)),Inputs!$B$2:$B$190,$B164)*Inputs!$D$1),"",SUMIFS(INDEX(Inputs!$B$2:$AZ$190,,MATCH(SUBSTITUTE(J$3,"Q","T"),Inputs!$B$2:$AZ$2,0)),Inputs!$B$2:$B$190,$B164)*Inputs!$D$1)</f>
        <v>0</v>
      </c>
      <c r="K164" s="57">
        <f>IF(ISNA(SUMIFS(INDEX(Inputs!$B$2:$AZ$190,,MATCH(SUBSTITUTE(K$3,"Q","T"),Inputs!$B$2:$AZ$2,0)),Inputs!$B$2:$B$190,$B164)*Inputs!$D$1),"",SUMIFS(INDEX(Inputs!$B$2:$AZ$190,,MATCH(SUBSTITUTE(K$3,"Q","T"),Inputs!$B$2:$AZ$2,0)),Inputs!$B$2:$B$190,$B164)*Inputs!$D$1)</f>
        <v>0</v>
      </c>
      <c r="L164" s="57">
        <f>IF(ISNA(SUMIFS(INDEX(Inputs!$B$2:$AZ$190,,MATCH(SUBSTITUTE(L$3,"Q","T"),Inputs!$B$2:$AZ$2,0)),Inputs!$B$2:$B$190,$B164)*Inputs!$D$1),"",SUMIFS(INDEX(Inputs!$B$2:$AZ$190,,MATCH(SUBSTITUTE(L$3,"Q","T"),Inputs!$B$2:$AZ$2,0)),Inputs!$B$2:$B$190,$B164)*Inputs!$D$1)</f>
        <v>0</v>
      </c>
      <c r="M164" s="57">
        <f>IF(ISNA(SUMIFS(INDEX(Inputs!$B$2:$AZ$190,,MATCH(SUBSTITUTE(M$3,"Q","T"),Inputs!$B$2:$AZ$2,0)),Inputs!$B$2:$B$190,$B164)*Inputs!$D$1),"",SUMIFS(INDEX(Inputs!$B$2:$AZ$190,,MATCH(SUBSTITUTE(M$3,"Q","T"),Inputs!$B$2:$AZ$2,0)),Inputs!$B$2:$B$190,$B164)*Inputs!$D$1)</f>
        <v>0</v>
      </c>
      <c r="N164" s="58">
        <f>M164</f>
        <v>0</v>
      </c>
      <c r="O164" s="57">
        <f>IF(ISNA(SUMIFS(INDEX(Inputs!$B$2:$AZ$190,,MATCH(SUBSTITUTE(O$3,"Q","T"),Inputs!$B$2:$AZ$2,0)),Inputs!$B$2:$B$190,$B164)*Inputs!$D$1),"",SUMIFS(INDEX(Inputs!$B$2:$AZ$190,,MATCH(SUBSTITUTE(O$3,"Q","T"),Inputs!$B$2:$AZ$2,0)),Inputs!$B$2:$B$190,$B164)*Inputs!$D$1)</f>
        <v>0</v>
      </c>
      <c r="P164" s="57">
        <f>IF(ISNA(SUMIFS(INDEX(Inputs!$B$2:$AZ$190,,MATCH(SUBSTITUTE(P$3,"Q","T"),Inputs!$B$2:$AZ$2,0)),Inputs!$B$2:$B$190,$B164)*Inputs!$D$1),"",SUMIFS(INDEX(Inputs!$B$2:$AZ$190,,MATCH(SUBSTITUTE(P$3,"Q","T"),Inputs!$B$2:$AZ$2,0)),Inputs!$B$2:$B$190,$B164)*Inputs!$D$1)</f>
        <v>0</v>
      </c>
      <c r="Q164" s="57">
        <f>IF(ISNA(SUMIFS(INDEX(Inputs!$B$2:$AZ$190,,MATCH(SUBSTITUTE(Q$3,"Q","T"),Inputs!$B$2:$AZ$2,0)),Inputs!$B$2:$B$190,$B164)*Inputs!$D$1),"",SUMIFS(INDEX(Inputs!$B$2:$AZ$190,,MATCH(SUBSTITUTE(Q$3,"Q","T"),Inputs!$B$2:$AZ$2,0)),Inputs!$B$2:$B$190,$B164)*Inputs!$D$1)</f>
        <v>0</v>
      </c>
      <c r="R164" s="57">
        <f>IF(ISNA(SUMIFS(INDEX(Inputs!$B$2:$AZ$190,,MATCH(SUBSTITUTE(R$3,"Q","T"),Inputs!$B$2:$AZ$2,0)),Inputs!$B$2:$B$190,$B164)*Inputs!$D$1),"",SUMIFS(INDEX(Inputs!$B$2:$AZ$190,,MATCH(SUBSTITUTE(R$3,"Q","T"),Inputs!$B$2:$AZ$2,0)),Inputs!$B$2:$B$190,$B164)*Inputs!$D$1)</f>
        <v>0</v>
      </c>
      <c r="S164" s="58">
        <f>R164</f>
        <v>0</v>
      </c>
      <c r="T164" s="57">
        <f>IF(ISNA(SUMIFS(INDEX(Inputs!$B$2:$AZ$190,,MATCH(SUBSTITUTE(T$3,"Q","T"),Inputs!$B$2:$AZ$2,0)),Inputs!$B$2:$B$190,$B164)*Inputs!$D$1),"",SUMIFS(INDEX(Inputs!$B$2:$AZ$190,,MATCH(SUBSTITUTE(T$3,"Q","T"),Inputs!$B$2:$AZ$2,0)),Inputs!$B$2:$B$190,$B164)*Inputs!$D$1)</f>
        <v>0</v>
      </c>
      <c r="U164" s="57">
        <f>IF(ISNA(SUMIFS(INDEX(Inputs!$B$2:$AZ$190,,MATCH(SUBSTITUTE(U$3,"Q","T"),Inputs!$B$2:$AZ$2,0)),Inputs!$B$2:$B$190,$B164)*Inputs!$D$1),"",SUMIFS(INDEX(Inputs!$B$2:$AZ$190,,MATCH(SUBSTITUTE(U$3,"Q","T"),Inputs!$B$2:$AZ$2,0)),Inputs!$B$2:$B$190,$B164)*Inputs!$D$1)</f>
        <v>0</v>
      </c>
      <c r="V164" s="57">
        <f>IF(ISNA(SUMIFS(INDEX(Inputs!$B$2:$AZ$190,,MATCH(SUBSTITUTE(V$3,"Q","T"),Inputs!$B$2:$AZ$2,0)),Inputs!$B$2:$B$190,$B164)*Inputs!$D$1),"",SUMIFS(INDEX(Inputs!$B$2:$AZ$190,,MATCH(SUBSTITUTE(V$3,"Q","T"),Inputs!$B$2:$AZ$2,0)),Inputs!$B$2:$B$190,$B164)*Inputs!$D$1)</f>
        <v>0</v>
      </c>
      <c r="W164" s="57">
        <f>IF(ISNA(SUMIFS(INDEX(Inputs!$B$2:$AZ$190,,MATCH(SUBSTITUTE(W$3,"Q","T"),Inputs!$B$2:$AZ$2,0)),Inputs!$B$2:$B$190,$B164)*Inputs!$D$1),"",SUMIFS(INDEX(Inputs!$B$2:$AZ$190,,MATCH(SUBSTITUTE(W$3,"Q","T"),Inputs!$B$2:$AZ$2,0)),Inputs!$B$2:$B$190,$B164)*Inputs!$D$1)</f>
        <v>0</v>
      </c>
      <c r="X164" s="58">
        <f>W164</f>
        <v>0</v>
      </c>
      <c r="Y164" s="57">
        <f>IF(ISNA(SUMIFS(INDEX(Inputs!$B$2:$AZ$190,,MATCH(SUBSTITUTE(Y$3,"Q","T"),Inputs!$B$2:$AZ$2,0)),Inputs!$B$2:$B$190,$B164)*Inputs!$D$1),"",SUMIFS(INDEX(Inputs!$B$2:$AZ$190,,MATCH(SUBSTITUTE(Y$3,"Q","T"),Inputs!$B$2:$AZ$2,0)),Inputs!$B$2:$B$190,$B164)*Inputs!$D$1)</f>
        <v>0</v>
      </c>
      <c r="Z164" s="57">
        <f>IF(ISNA(SUMIFS(INDEX(Inputs!$B$2:$AZ$190,,MATCH(SUBSTITUTE(Z$3,"Q","T"),Inputs!$B$2:$AZ$2,0)),Inputs!$B$2:$B$190,$B164)*Inputs!$D$1),"",SUMIFS(INDEX(Inputs!$B$2:$AZ$190,,MATCH(SUBSTITUTE(Z$3,"Q","T"),Inputs!$B$2:$AZ$2,0)),Inputs!$B$2:$B$190,$B164)*Inputs!$D$1)</f>
        <v>0</v>
      </c>
      <c r="AA164" s="57">
        <f>IF(ISNA(SUMIFS(INDEX(Inputs!$B$2:$AZ$190,,MATCH(SUBSTITUTE(AA$3,"Q","T"),Inputs!$B$2:$AZ$2,0)),Inputs!$B$2:$B$190,$B164)*Inputs!$D$1),"",SUMIFS(INDEX(Inputs!$B$2:$AZ$190,,MATCH(SUBSTITUTE(AA$3,"Q","T"),Inputs!$B$2:$AZ$2,0)),Inputs!$B$2:$B$190,$B164)*Inputs!$D$1)</f>
        <v>0</v>
      </c>
      <c r="AB164" s="57">
        <f>IF(ISNA(SUMIFS(INDEX(Inputs!$B$2:$AZ$190,,MATCH(SUBSTITUTE(AB$3,"Q","T"),Inputs!$B$2:$AZ$2,0)),Inputs!$B$2:$B$190,$B164)*Inputs!$D$1),"",SUMIFS(INDEX(Inputs!$B$2:$AZ$190,,MATCH(SUBSTITUTE(AB$3,"Q","T"),Inputs!$B$2:$AZ$2,0)),Inputs!$B$2:$B$190,$B164)*Inputs!$D$1)</f>
        <v>0</v>
      </c>
      <c r="AC164" s="58">
        <f>AB164</f>
        <v>0</v>
      </c>
      <c r="AD164" s="57">
        <f>IF(ISNA(SUMIFS(INDEX(Inputs!$B$2:$AZ$190,,MATCH(SUBSTITUTE(AD$3,"Q","T"),Inputs!$B$2:$AZ$2,0)),Inputs!$B$2:$B$190,$B164)*Inputs!$D$1),"",SUMIFS(INDEX(Inputs!$B$2:$AZ$190,,MATCH(SUBSTITUTE(AD$3,"Q","T"),Inputs!$B$2:$AZ$2,0)),Inputs!$B$2:$B$190,$B164)*Inputs!$D$1)</f>
        <v>0</v>
      </c>
      <c r="AE164" s="57">
        <f>IF(ISNA(SUMIFS(INDEX(Inputs!$B$2:$AZ$190,,MATCH(SUBSTITUTE(AE$3,"Q","T"),Inputs!$B$2:$AZ$2,0)),Inputs!$B$2:$B$190,$B164)*Inputs!$D$1),"",SUMIFS(INDEX(Inputs!$B$2:$AZ$190,,MATCH(SUBSTITUTE(AE$3,"Q","T"),Inputs!$B$2:$AZ$2,0)),Inputs!$B$2:$B$190,$B164)*Inputs!$D$1)</f>
        <v>0</v>
      </c>
      <c r="AF164" s="57">
        <f>IF(ISNA(SUMIFS(INDEX(Inputs!$B$2:$AZ$190,,MATCH(SUBSTITUTE(AF$3,"Q","T"),Inputs!$B$2:$AZ$2,0)),Inputs!$B$2:$B$190,$B164)*Inputs!$D$1),"",SUMIFS(INDEX(Inputs!$B$2:$AZ$190,,MATCH(SUBSTITUTE(AF$3,"Q","T"),Inputs!$B$2:$AZ$2,0)),Inputs!$B$2:$B$190,$B164)*Inputs!$D$1)</f>
        <v>0</v>
      </c>
      <c r="AG164" s="57">
        <f>IF(ISNA(SUMIFS(INDEX(Inputs!$B$2:$AZ$190,,MATCH(SUBSTITUTE(AG$3,"Q","T"),Inputs!$B$2:$AZ$2,0)),Inputs!$B$2:$B$190,$B164)*Inputs!$D$1),"",SUMIFS(INDEX(Inputs!$B$2:$AZ$190,,MATCH(SUBSTITUTE(AG$3,"Q","T"),Inputs!$B$2:$AZ$2,0)),Inputs!$B$2:$B$190,$B164)*Inputs!$D$1)</f>
        <v>0</v>
      </c>
      <c r="AH164" s="58">
        <f>AG164</f>
        <v>0</v>
      </c>
      <c r="AI164" s="57">
        <f>IF(ISNA(SUMIFS(INDEX(Inputs!$B$2:$AZ$190,,MATCH(SUBSTITUTE(AI$3,"Q","T"),Inputs!$B$2:$AZ$2,0)),Inputs!$B$2:$B$190,$B164)*Inputs!$D$1),"",SUMIFS(INDEX(Inputs!$B$2:$AZ$190,,MATCH(SUBSTITUTE(AI$3,"Q","T"),Inputs!$B$2:$AZ$2,0)),Inputs!$B$2:$B$190,$B164)*Inputs!$D$1)</f>
        <v>0</v>
      </c>
      <c r="AJ164" s="57">
        <f>IF(ISNA(SUMIFS(INDEX(Inputs!$B$2:$AZ$190,,MATCH(SUBSTITUTE(AJ$3,"Q","T"),Inputs!$B$2:$AZ$2,0)),Inputs!$B$2:$B$190,$B164)*Inputs!$D$1),"",SUMIFS(INDEX(Inputs!$B$2:$AZ$190,,MATCH(SUBSTITUTE(AJ$3,"Q","T"),Inputs!$B$2:$AZ$2,0)),Inputs!$B$2:$B$190,$B164)*Inputs!$D$1)</f>
        <v>0</v>
      </c>
      <c r="AK164" s="57">
        <f>IF(ISNA(SUMIFS(INDEX(Inputs!$B$2:$AZ$190,,MATCH(SUBSTITUTE(AK$3,"Q","T"),Inputs!$B$2:$AZ$2,0)),Inputs!$B$2:$B$190,$B164)*Inputs!$D$1),"",SUMIFS(INDEX(Inputs!$B$2:$AZ$190,,MATCH(SUBSTITUTE(AK$3,"Q","T"),Inputs!$B$2:$AZ$2,0)),Inputs!$B$2:$B$190,$B164)*Inputs!$D$1)</f>
        <v>0</v>
      </c>
      <c r="AL164" s="57">
        <f>IF(ISNA(SUMIFS(INDEX(Inputs!$B$2:$AZ$190,,MATCH(SUBSTITUTE(AL$3,"Q","T"),Inputs!$B$2:$AZ$2,0)),Inputs!$B$2:$B$190,$B164)*Inputs!$D$1),"",SUMIFS(INDEX(Inputs!$B$2:$AZ$190,,MATCH(SUBSTITUTE(AL$3,"Q","T"),Inputs!$B$2:$AZ$2,0)),Inputs!$B$2:$B$190,$B164)*Inputs!$D$1)</f>
        <v>0</v>
      </c>
      <c r="AM164" s="58">
        <f>AL164</f>
        <v>0</v>
      </c>
      <c r="AN164" s="57">
        <f>IF(ISNA(SUMIFS(INDEX(Inputs!$B$2:$AZ$190,,MATCH(SUBSTITUTE(AN$3,"Q","T"),Inputs!$B$2:$AZ$2,0)),Inputs!$B$2:$B$190,$B164)*Inputs!$D$1),"",SUMIFS(INDEX(Inputs!$B$2:$AZ$190,,MATCH(SUBSTITUTE(AN$3,"Q","T"),Inputs!$B$2:$AZ$2,0)),Inputs!$B$2:$B$190,$B164)*Inputs!$D$1)</f>
        <v>0</v>
      </c>
      <c r="AO164" s="57">
        <f>IF(ISNA(SUMIFS(INDEX(Inputs!$B$2:$AZ$190,,MATCH(SUBSTITUTE(AO$3,"Q","T"),Inputs!$B$2:$AZ$2,0)),Inputs!$B$2:$B$190,$B164)*Inputs!$D$1),"",SUMIFS(INDEX(Inputs!$B$2:$AZ$190,,MATCH(SUBSTITUTE(AO$3,"Q","T"),Inputs!$B$2:$AZ$2,0)),Inputs!$B$2:$B$190,$B164)*Inputs!$D$1)</f>
        <v>0</v>
      </c>
      <c r="AP164" s="57">
        <f>IF(ISNA(SUMIFS(INDEX(Inputs!$B$2:$AZ$190,,MATCH(SUBSTITUTE(AP$3,"Q","T"),Inputs!$B$2:$AZ$2,0)),Inputs!$B$2:$B$190,$B164)*Inputs!$D$1),"",SUMIFS(INDEX(Inputs!$B$2:$AZ$190,,MATCH(SUBSTITUTE(AP$3,"Q","T"),Inputs!$B$2:$AZ$2,0)),Inputs!$B$2:$B$190,$B164)*Inputs!$D$1)</f>
        <v>0</v>
      </c>
      <c r="AQ164" s="57">
        <f>IF(ISNA(SUMIFS(INDEX(Inputs!$B$2:$AZ$190,,MATCH(SUBSTITUTE(AQ$3,"Q","T"),Inputs!$B$2:$AZ$2,0)),Inputs!$B$2:$B$190,$B164)*Inputs!$D$1),"",SUMIFS(INDEX(Inputs!$B$2:$AZ$190,,MATCH(SUBSTITUTE(AQ$3,"Q","T"),Inputs!$B$2:$AZ$2,0)),Inputs!$B$2:$B$190,$B164)*Inputs!$D$1)</f>
        <v>0</v>
      </c>
      <c r="AR164" s="58">
        <f>AQ164</f>
        <v>0</v>
      </c>
      <c r="AS164" s="57">
        <f>IF(ISNA(SUMIFS(INDEX(Inputs!$B$2:$AZ$190,,MATCH(SUBSTITUTE(AS$3,"Q","T"),Inputs!$B$2:$AZ$2,0)),Inputs!$B$2:$B$190,$B164)*Inputs!$D$1),"",SUMIFS(INDEX(Inputs!$B$2:$AZ$190,,MATCH(SUBSTITUTE(AS$3,"Q","T"),Inputs!$B$2:$AZ$2,0)),Inputs!$B$2:$B$190,$B164)*Inputs!$D$1)</f>
        <v>0</v>
      </c>
      <c r="AT164" s="57">
        <f>IF(ISNA(SUMIFS(INDEX(Inputs!$B$2:$AZ$190,,MATCH(SUBSTITUTE(AT$3,"Q","T"),Inputs!$B$2:$AZ$2,0)),Inputs!$B$2:$B$190,$B164)*Inputs!$D$1),"",SUMIFS(INDEX(Inputs!$B$2:$AZ$190,,MATCH(SUBSTITUTE(AT$3,"Q","T"),Inputs!$B$2:$AZ$2,0)),Inputs!$B$2:$B$190,$B164)*Inputs!$D$1)</f>
        <v>0</v>
      </c>
      <c r="AU164" s="57">
        <f>IF(ISNA(SUMIFS(INDEX(Inputs!$B$2:$AZ$190,,MATCH(SUBSTITUTE(AU$3,"Q","T"),Inputs!$B$2:$AZ$2,0)),Inputs!$B$2:$B$190,$B164)*Inputs!$D$1),"",SUMIFS(INDEX(Inputs!$B$2:$AZ$190,,MATCH(SUBSTITUTE(AU$3,"Q","T"),Inputs!$B$2:$AZ$2,0)),Inputs!$B$2:$B$190,$B164)*Inputs!$D$1)</f>
        <v>0</v>
      </c>
      <c r="AV164" s="57">
        <f>IF(ISNA(SUMIFS(INDEX(Inputs!$B$2:$AZ$190,,MATCH(SUBSTITUTE(AV$3,"Q","T"),Inputs!$B$2:$AZ$2,0)),Inputs!$B$2:$B$190,$B164)*Inputs!$D$1),"",SUMIFS(INDEX(Inputs!$B$2:$AZ$190,,MATCH(SUBSTITUTE(AV$3,"Q","T"),Inputs!$B$2:$AZ$2,0)),Inputs!$B$2:$B$190,$B164)*Inputs!$D$1)</f>
        <v>0</v>
      </c>
      <c r="AW164" s="58">
        <f>AV164</f>
        <v>0</v>
      </c>
      <c r="AX164" s="57">
        <f>IF(ISNA(SUMIFS(INDEX(Inputs!$B$2:$AZ$190,,MATCH(SUBSTITUTE(AX$3,"Q","T"),Inputs!$B$2:$AZ$2,0)),Inputs!$B$2:$B$190,$B164)*Inputs!$D$1),"",SUMIFS(INDEX(Inputs!$B$2:$AZ$190,,MATCH(SUBSTITUTE(AX$3,"Q","T"),Inputs!$B$2:$AZ$2,0)),Inputs!$B$2:$B$190,$B164)*Inputs!$D$1)</f>
        <v>0</v>
      </c>
      <c r="AY164" s="57">
        <f>IF(ISNA(SUMIFS(INDEX(Inputs!$B$2:$AZ$190,,MATCH(SUBSTITUTE(AY$3,"Q","T"),Inputs!$B$2:$AZ$2,0)),Inputs!$B$2:$B$190,$B164)*Inputs!$D$1),"",SUMIFS(INDEX(Inputs!$B$2:$AZ$190,,MATCH(SUBSTITUTE(AY$3,"Q","T"),Inputs!$B$2:$AZ$2,0)),Inputs!$B$2:$B$190,$B164)*Inputs!$D$1)</f>
        <v>0</v>
      </c>
      <c r="AZ164" s="57">
        <f>IF(ISNA(SUMIFS(INDEX(Inputs!$B$2:$AZ$190,,MATCH(SUBSTITUTE(AZ$3,"Q","T"),Inputs!$B$2:$AZ$2,0)),Inputs!$B$2:$B$190,$B164)*Inputs!$D$1),"",SUMIFS(INDEX(Inputs!$B$2:$AZ$190,,MATCH(SUBSTITUTE(AZ$3,"Q","T"),Inputs!$B$2:$AZ$2,0)),Inputs!$B$2:$B$190,$B164)*Inputs!$D$1)</f>
        <v>0</v>
      </c>
      <c r="BA164" s="57">
        <f>IF(ISNA(SUMIFS(INDEX(Inputs!$B$2:$AZ$190,,MATCH(SUBSTITUTE(BA$3,"Q","T"),Inputs!$B$2:$AZ$2,0)),Inputs!$B$2:$B$190,$B164)*Inputs!$D$1),"",SUMIFS(INDEX(Inputs!$B$2:$AZ$190,,MATCH(SUBSTITUTE(BA$3,"Q","T"),Inputs!$B$2:$AZ$2,0)),Inputs!$B$2:$B$190,$B164)*Inputs!$D$1)</f>
        <v>0</v>
      </c>
      <c r="BB164" s="58">
        <f>BA164</f>
        <v>0</v>
      </c>
      <c r="BC164" s="57">
        <f>IF(ISNA(SUMIFS(INDEX(Inputs!$B$2:$AZ$190,,MATCH(SUBSTITUTE(BC$3,"Q","T"),Inputs!$B$2:$AZ$2,0)),Inputs!$B$2:$B$190,$B164)*Inputs!$D$1),"",SUMIFS(INDEX(Inputs!$B$2:$AZ$190,,MATCH(SUBSTITUTE(BC$3,"Q","T"),Inputs!$B$2:$AZ$2,0)),Inputs!$B$2:$B$190,$B164)*Inputs!$D$1)</f>
        <v>0</v>
      </c>
      <c r="BD164" s="57">
        <f>IF(ISNA(SUMIFS(INDEX(Inputs!$B$2:$AZ$190,,MATCH(SUBSTITUTE(BD$3,"Q","T"),Inputs!$B$2:$AZ$2,0)),Inputs!$B$2:$B$190,$B164)*Inputs!$D$1),"",SUMIFS(INDEX(Inputs!$B$2:$AZ$190,,MATCH(SUBSTITUTE(BD$3,"Q","T"),Inputs!$B$2:$AZ$2,0)),Inputs!$B$2:$B$190,$B164)*Inputs!$D$1)</f>
        <v>0</v>
      </c>
      <c r="BE164" s="57">
        <f>IF(ISNA(SUMIFS(INDEX(Inputs!$B$2:$AZ$190,,MATCH(SUBSTITUTE(BE$3,"Q","T"),Inputs!$B$2:$AZ$2,0)),Inputs!$B$2:$B$190,$B164)*Inputs!$D$1),"",SUMIFS(INDEX(Inputs!$B$2:$AZ$190,,MATCH(SUBSTITUTE(BE$3,"Q","T"),Inputs!$B$2:$AZ$2,0)),Inputs!$B$2:$B$190,$B164)*Inputs!$D$1)</f>
        <v>0</v>
      </c>
      <c r="BF164" s="57">
        <f>IF(ISNA(SUMIFS(INDEX(Inputs!$B$2:$AZ$190,,MATCH(SUBSTITUTE(BF$3,"Q","T"),Inputs!$B$2:$AZ$2,0)),Inputs!$B$2:$B$190,$B164)*Inputs!$D$1),"",SUMIFS(INDEX(Inputs!$B$2:$AZ$190,,MATCH(SUBSTITUTE(BF$3,"Q","T"),Inputs!$B$2:$AZ$2,0)),Inputs!$B$2:$B$190,$B164)*Inputs!$D$1)</f>
        <v>0</v>
      </c>
      <c r="BG164" s="58">
        <f>BF164</f>
        <v>0</v>
      </c>
    </row>
    <row r="165" hidden="1" outlineLevel="1">
      <c r="B165" s="56" t="inlineStr">
        <is>
          <t>cart_mpe</t>
        </is>
      </c>
      <c r="C165" s="11" t="inlineStr">
        <is>
          <t>Micro, pequenas e médias empresas</t>
        </is>
      </c>
      <c r="D165" s="12" t="inlineStr">
        <is>
          <t>SMEs</t>
        </is>
      </c>
      <c r="E165" s="57">
        <f>IF(ISNA(SUMIFS(INDEX(Inputs!$B$2:$AZ$190,,MATCH(SUBSTITUTE(E$3,"Q","T"),Inputs!$B$2:$AZ$2,0)),Inputs!$B$2:$B$190,$B165)*Inputs!$D$1),"",SUMIFS(INDEX(Inputs!$B$2:$AZ$190,,MATCH(SUBSTITUTE(E$3,"Q","T"),Inputs!$B$2:$AZ$2,0)),Inputs!$B$2:$B$190,$B165)*Inputs!$D$1)</f>
        <v>847.18765</v>
      </c>
      <c r="F165" s="57">
        <f>IF(ISNA(SUMIFS(INDEX(Inputs!$B$2:$AZ$190,,MATCH(SUBSTITUTE(F$3,"Q","T"),Inputs!$B$2:$AZ$2,0)),Inputs!$B$2:$B$190,$B165)*Inputs!$D$1),"",SUMIFS(INDEX(Inputs!$B$2:$AZ$190,,MATCH(SUBSTITUTE(F$3,"Q","T"),Inputs!$B$2:$AZ$2,0)),Inputs!$B$2:$B$190,$B165)*Inputs!$D$1)</f>
        <v>886.391672</v>
      </c>
      <c r="G165" s="57">
        <f>IF(ISNA(SUMIFS(INDEX(Inputs!$B$2:$AZ$190,,MATCH(SUBSTITUTE(G$3,"Q","T"),Inputs!$B$2:$AZ$2,0)),Inputs!$B$2:$B$190,$B165)*Inputs!$D$1),"",SUMIFS(INDEX(Inputs!$B$2:$AZ$190,,MATCH(SUBSTITUTE(G$3,"Q","T"),Inputs!$B$2:$AZ$2,0)),Inputs!$B$2:$B$190,$B165)*Inputs!$D$1)</f>
        <v>1522.142229</v>
      </c>
      <c r="H165" s="57">
        <f>IF(ISNA(SUMIFS(INDEX(Inputs!$B$2:$AZ$190,,MATCH(SUBSTITUTE(H$3,"Q","T"),Inputs!$B$2:$AZ$2,0)),Inputs!$B$2:$B$190,$B165)*Inputs!$D$1),"",SUMIFS(INDEX(Inputs!$B$2:$AZ$190,,MATCH(SUBSTITUTE(H$3,"Q","T"),Inputs!$B$2:$AZ$2,0)),Inputs!$B$2:$B$190,$B165)*Inputs!$D$1)</f>
        <v>2122.982337</v>
      </c>
      <c r="I165" s="58">
        <f>H165</f>
        <v>2122.982337</v>
      </c>
      <c r="J165" s="57">
        <f>IF(ISNA(SUMIFS(INDEX(Inputs!$B$2:$AZ$190,,MATCH(SUBSTITUTE(J$3,"Q","T"),Inputs!$B$2:$AZ$2,0)),Inputs!$B$2:$B$190,$B165)*Inputs!$D$1),"",SUMIFS(INDEX(Inputs!$B$2:$AZ$190,,MATCH(SUBSTITUTE(J$3,"Q","T"),Inputs!$B$2:$AZ$2,0)),Inputs!$B$2:$B$190,$B165)*Inputs!$D$1)</f>
        <v>2227.959387</v>
      </c>
      <c r="K165" s="57">
        <f>IF(ISNA(SUMIFS(INDEX(Inputs!$B$2:$AZ$190,,MATCH(SUBSTITUTE(K$3,"Q","T"),Inputs!$B$2:$AZ$2,0)),Inputs!$B$2:$B$190,$B165)*Inputs!$D$1),"",SUMIFS(INDEX(Inputs!$B$2:$AZ$190,,MATCH(SUBSTITUTE(K$3,"Q","T"),Inputs!$B$2:$AZ$2,0)),Inputs!$B$2:$B$190,$B165)*Inputs!$D$1)</f>
        <v>2419.320689</v>
      </c>
      <c r="L165" s="57">
        <f>IF(ISNA(SUMIFS(INDEX(Inputs!$B$2:$AZ$190,,MATCH(SUBSTITUTE(L$3,"Q","T"),Inputs!$B$2:$AZ$2,0)),Inputs!$B$2:$B$190,$B165)*Inputs!$D$1),"",SUMIFS(INDEX(Inputs!$B$2:$AZ$190,,MATCH(SUBSTITUTE(L$3,"Q","T"),Inputs!$B$2:$AZ$2,0)),Inputs!$B$2:$B$190,$B165)*Inputs!$D$1)</f>
        <v>2653.876096</v>
      </c>
      <c r="M165" s="57">
        <f>IF(ISNA(SUMIFS(INDEX(Inputs!$B$2:$AZ$190,,MATCH(SUBSTITUTE(M$3,"Q","T"),Inputs!$B$2:$AZ$2,0)),Inputs!$B$2:$B$190,$B165)*Inputs!$D$1),"",SUMIFS(INDEX(Inputs!$B$2:$AZ$190,,MATCH(SUBSTITUTE(M$3,"Q","T"),Inputs!$B$2:$AZ$2,0)),Inputs!$B$2:$B$190,$B165)*Inputs!$D$1)</f>
        <v>2971.758741</v>
      </c>
      <c r="N165" s="58">
        <f>M165</f>
        <v>2971.758741</v>
      </c>
      <c r="O165" s="57">
        <f>IF(ISNA(SUMIFS(INDEX(Inputs!$B$2:$AZ$190,,MATCH(SUBSTITUTE(O$3,"Q","T"),Inputs!$B$2:$AZ$2,0)),Inputs!$B$2:$B$190,$B165)*Inputs!$D$1),"",SUMIFS(INDEX(Inputs!$B$2:$AZ$190,,MATCH(SUBSTITUTE(O$3,"Q","T"),Inputs!$B$2:$AZ$2,0)),Inputs!$B$2:$B$190,$B165)*Inputs!$D$1)</f>
        <v>2876.267447</v>
      </c>
      <c r="P165" s="57">
        <f>IF(ISNA(SUMIFS(INDEX(Inputs!$B$2:$AZ$190,,MATCH(SUBSTITUTE(P$3,"Q","T"),Inputs!$B$2:$AZ$2,0)),Inputs!$B$2:$B$190,$B165)*Inputs!$D$1),"",SUMIFS(INDEX(Inputs!$B$2:$AZ$190,,MATCH(SUBSTITUTE(P$3,"Q","T"),Inputs!$B$2:$AZ$2,0)),Inputs!$B$2:$B$190,$B165)*Inputs!$D$1)</f>
        <v>3243.814459</v>
      </c>
      <c r="Q165" s="57">
        <f>IF(ISNA(SUMIFS(INDEX(Inputs!$B$2:$AZ$190,,MATCH(SUBSTITUTE(Q$3,"Q","T"),Inputs!$B$2:$AZ$2,0)),Inputs!$B$2:$B$190,$B165)*Inputs!$D$1),"",SUMIFS(INDEX(Inputs!$B$2:$AZ$190,,MATCH(SUBSTITUTE(Q$3,"Q","T"),Inputs!$B$2:$AZ$2,0)),Inputs!$B$2:$B$190,$B165)*Inputs!$D$1)</f>
        <v>3934.256017</v>
      </c>
      <c r="R165" s="57">
        <f>IF(ISNA(SUMIFS(INDEX(Inputs!$B$2:$AZ$190,,MATCH(SUBSTITUTE(R$3,"Q","T"),Inputs!$B$2:$AZ$2,0)),Inputs!$B$2:$B$190,$B165)*Inputs!$D$1),"",SUMIFS(INDEX(Inputs!$B$2:$AZ$190,,MATCH(SUBSTITUTE(R$3,"Q","T"),Inputs!$B$2:$AZ$2,0)),Inputs!$B$2:$B$190,$B165)*Inputs!$D$1)</f>
        <v>4163.460146</v>
      </c>
      <c r="S165" s="58">
        <f>R165</f>
        <v>4163.460146</v>
      </c>
      <c r="T165" s="57">
        <f>IF(ISNA(SUMIFS(INDEX(Inputs!$B$2:$AZ$190,,MATCH(SUBSTITUTE(T$3,"Q","T"),Inputs!$B$2:$AZ$2,0)),Inputs!$B$2:$B$190,$B165)*Inputs!$D$1),"",SUMIFS(INDEX(Inputs!$B$2:$AZ$190,,MATCH(SUBSTITUTE(T$3,"Q","T"),Inputs!$B$2:$AZ$2,0)),Inputs!$B$2:$B$190,$B165)*Inputs!$D$1)</f>
        <v>3968.201984</v>
      </c>
      <c r="U165" s="57">
        <f>IF(ISNA(SUMIFS(INDEX(Inputs!$B$2:$AZ$190,,MATCH(SUBSTITUTE(U$3,"Q","T"),Inputs!$B$2:$AZ$2,0)),Inputs!$B$2:$B$190,$B165)*Inputs!$D$1),"",SUMIFS(INDEX(Inputs!$B$2:$AZ$190,,MATCH(SUBSTITUTE(U$3,"Q","T"),Inputs!$B$2:$AZ$2,0)),Inputs!$B$2:$B$190,$B165)*Inputs!$D$1)</f>
        <v>3963.586539</v>
      </c>
      <c r="V165" s="57">
        <f>IF(ISNA(SUMIFS(INDEX(Inputs!$B$2:$AZ$190,,MATCH(SUBSTITUTE(V$3,"Q","T"),Inputs!$B$2:$AZ$2,0)),Inputs!$B$2:$B$190,$B165)*Inputs!$D$1),"",SUMIFS(INDEX(Inputs!$B$2:$AZ$190,,MATCH(SUBSTITUTE(V$3,"Q","T"),Inputs!$B$2:$AZ$2,0)),Inputs!$B$2:$B$190,$B165)*Inputs!$D$1)</f>
        <v>4142.124028</v>
      </c>
      <c r="W165" s="57">
        <f>IF(ISNA(SUMIFS(INDEX(Inputs!$B$2:$AZ$190,,MATCH(SUBSTITUTE(W$3,"Q","T"),Inputs!$B$2:$AZ$2,0)),Inputs!$B$2:$B$190,$B165)*Inputs!$D$1),"",SUMIFS(INDEX(Inputs!$B$2:$AZ$190,,MATCH(SUBSTITUTE(W$3,"Q","T"),Inputs!$B$2:$AZ$2,0)),Inputs!$B$2:$B$190,$B165)*Inputs!$D$1)</f>
        <v>4266.606409</v>
      </c>
      <c r="X165" s="58">
        <f>W165</f>
        <v>4266.606409</v>
      </c>
      <c r="Y165" s="57">
        <f>IF(ISNA(SUMIFS(INDEX(Inputs!$B$2:$AZ$190,,MATCH(SUBSTITUTE(Y$3,"Q","T"),Inputs!$B$2:$AZ$2,0)),Inputs!$B$2:$B$190,$B165)*Inputs!$D$1),"",SUMIFS(INDEX(Inputs!$B$2:$AZ$190,,MATCH(SUBSTITUTE(Y$3,"Q","T"),Inputs!$B$2:$AZ$2,0)),Inputs!$B$2:$B$190,$B165)*Inputs!$D$1)</f>
        <v>4053.700364</v>
      </c>
      <c r="Z165" s="57">
        <f>IF(ISNA(SUMIFS(INDEX(Inputs!$B$2:$AZ$190,,MATCH(SUBSTITUTE(Z$3,"Q","T"),Inputs!$B$2:$AZ$2,0)),Inputs!$B$2:$B$190,$B165)*Inputs!$D$1),"",SUMIFS(INDEX(Inputs!$B$2:$AZ$190,,MATCH(SUBSTITUTE(Z$3,"Q","T"),Inputs!$B$2:$AZ$2,0)),Inputs!$B$2:$B$190,$B165)*Inputs!$D$1)</f>
        <v>4036.372044</v>
      </c>
      <c r="AA165" s="57">
        <f>IF(ISNA(SUMIFS(INDEX(Inputs!$B$2:$AZ$190,,MATCH(SUBSTITUTE(AA$3,"Q","T"),Inputs!$B$2:$AZ$2,0)),Inputs!$B$2:$B$190,$B165)*Inputs!$D$1),"",SUMIFS(INDEX(Inputs!$B$2:$AZ$190,,MATCH(SUBSTITUTE(AA$3,"Q","T"),Inputs!$B$2:$AZ$2,0)),Inputs!$B$2:$B$190,$B165)*Inputs!$D$1)</f>
        <v>4073.181455</v>
      </c>
      <c r="AB165" s="57">
        <f>IF(ISNA(SUMIFS(INDEX(Inputs!$B$2:$AZ$190,,MATCH(SUBSTITUTE(AB$3,"Q","T"),Inputs!$B$2:$AZ$2,0)),Inputs!$B$2:$B$190,$B165)*Inputs!$D$1),"",SUMIFS(INDEX(Inputs!$B$2:$AZ$190,,MATCH(SUBSTITUTE(AB$3,"Q","T"),Inputs!$B$2:$AZ$2,0)),Inputs!$B$2:$B$190,$B165)*Inputs!$D$1)</f>
        <v>4116.059925</v>
      </c>
      <c r="AC165" s="58">
        <f>AB165</f>
        <v>4116.059925</v>
      </c>
      <c r="AD165" s="57">
        <f>IF(ISNA(SUMIFS(INDEX(Inputs!$B$2:$AZ$190,,MATCH(SUBSTITUTE(AD$3,"Q","T"),Inputs!$B$2:$AZ$2,0)),Inputs!$B$2:$B$190,$B165)*Inputs!$D$1),"",SUMIFS(INDEX(Inputs!$B$2:$AZ$190,,MATCH(SUBSTITUTE(AD$3,"Q","T"),Inputs!$B$2:$AZ$2,0)),Inputs!$B$2:$B$190,$B165)*Inputs!$D$1)</f>
        <v>3910.496585</v>
      </c>
      <c r="AE165" s="57">
        <f>IF(ISNA(SUMIFS(INDEX(Inputs!$B$2:$AZ$190,,MATCH(SUBSTITUTE(AE$3,"Q","T"),Inputs!$B$2:$AZ$2,0)),Inputs!$B$2:$B$190,$B165)*Inputs!$D$1),"",SUMIFS(INDEX(Inputs!$B$2:$AZ$190,,MATCH(SUBSTITUTE(AE$3,"Q","T"),Inputs!$B$2:$AZ$2,0)),Inputs!$B$2:$B$190,$B165)*Inputs!$D$1)</f>
        <v>3942.501645</v>
      </c>
      <c r="AF165" s="57">
        <f>IF(ISNA(SUMIFS(INDEX(Inputs!$B$2:$AZ$190,,MATCH(SUBSTITUTE(AF$3,"Q","T"),Inputs!$B$2:$AZ$2,0)),Inputs!$B$2:$B$190,$B165)*Inputs!$D$1),"",SUMIFS(INDEX(Inputs!$B$2:$AZ$190,,MATCH(SUBSTITUTE(AF$3,"Q","T"),Inputs!$B$2:$AZ$2,0)),Inputs!$B$2:$B$190,$B165)*Inputs!$D$1)</f>
        <v>4348.328935</v>
      </c>
      <c r="AG165" s="57">
        <f>IF(ISNA(SUMIFS(INDEX(Inputs!$B$2:$AZ$190,,MATCH(SUBSTITUTE(AG$3,"Q","T"),Inputs!$B$2:$AZ$2,0)),Inputs!$B$2:$B$190,$B165)*Inputs!$D$1),"",SUMIFS(INDEX(Inputs!$B$2:$AZ$190,,MATCH(SUBSTITUTE(AG$3,"Q","T"),Inputs!$B$2:$AZ$2,0)),Inputs!$B$2:$B$190,$B165)*Inputs!$D$1)</f>
        <v>4734.142492</v>
      </c>
      <c r="AH165" s="58">
        <f>AG165</f>
        <v>4734.142492</v>
      </c>
      <c r="AI165" s="57">
        <f>IF(ISNA(SUMIFS(INDEX(Inputs!$B$2:$AZ$190,,MATCH(SUBSTITUTE(AI$3,"Q","T"),Inputs!$B$2:$AZ$2,0)),Inputs!$B$2:$B$190,$B165)*Inputs!$D$1),"",SUMIFS(INDEX(Inputs!$B$2:$AZ$190,,MATCH(SUBSTITUTE(AI$3,"Q","T"),Inputs!$B$2:$AZ$2,0)),Inputs!$B$2:$B$190,$B165)*Inputs!$D$1)</f>
        <v>4867.694797</v>
      </c>
      <c r="AJ165" s="57">
        <f>IF(ISNA(SUMIFS(INDEX(Inputs!$B$2:$AZ$190,,MATCH(SUBSTITUTE(AJ$3,"Q","T"),Inputs!$B$2:$AZ$2,0)),Inputs!$B$2:$B$190,$B165)*Inputs!$D$1),"",SUMIFS(INDEX(Inputs!$B$2:$AZ$190,,MATCH(SUBSTITUTE(AJ$3,"Q","T"),Inputs!$B$2:$AZ$2,0)),Inputs!$B$2:$B$190,$B165)*Inputs!$D$1)</f>
        <v>5075.657274</v>
      </c>
      <c r="AK165" s="57">
        <f>IF(ISNA(SUMIFS(INDEX(Inputs!$B$2:$AZ$190,,MATCH(SUBSTITUTE(AK$3,"Q","T"),Inputs!$B$2:$AZ$2,0)),Inputs!$B$2:$B$190,$B165)*Inputs!$D$1),"",SUMIFS(INDEX(Inputs!$B$2:$AZ$190,,MATCH(SUBSTITUTE(AK$3,"Q","T"),Inputs!$B$2:$AZ$2,0)),Inputs!$B$2:$B$190,$B165)*Inputs!$D$1)</f>
        <v>0</v>
      </c>
      <c r="AL165" s="57">
        <f>IF(ISNA(SUMIFS(INDEX(Inputs!$B$2:$AZ$190,,MATCH(SUBSTITUTE(AL$3,"Q","T"),Inputs!$B$2:$AZ$2,0)),Inputs!$B$2:$B$190,$B165)*Inputs!$D$1),"",SUMIFS(INDEX(Inputs!$B$2:$AZ$190,,MATCH(SUBSTITUTE(AL$3,"Q","T"),Inputs!$B$2:$AZ$2,0)),Inputs!$B$2:$B$190,$B165)*Inputs!$D$1)</f>
        <v>0</v>
      </c>
      <c r="AM165" s="58">
        <f>AL165</f>
        <v>0</v>
      </c>
      <c r="AN165" s="57">
        <f>IF(ISNA(SUMIFS(INDEX(Inputs!$B$2:$AZ$190,,MATCH(SUBSTITUTE(AN$3,"Q","T"),Inputs!$B$2:$AZ$2,0)),Inputs!$B$2:$B$190,$B165)*Inputs!$D$1),"",SUMIFS(INDEX(Inputs!$B$2:$AZ$190,,MATCH(SUBSTITUTE(AN$3,"Q","T"),Inputs!$B$2:$AZ$2,0)),Inputs!$B$2:$B$190,$B165)*Inputs!$D$1)</f>
        <v>0</v>
      </c>
      <c r="AO165" s="57">
        <f>IF(ISNA(SUMIFS(INDEX(Inputs!$B$2:$AZ$190,,MATCH(SUBSTITUTE(AO$3,"Q","T"),Inputs!$B$2:$AZ$2,0)),Inputs!$B$2:$B$190,$B165)*Inputs!$D$1),"",SUMIFS(INDEX(Inputs!$B$2:$AZ$190,,MATCH(SUBSTITUTE(AO$3,"Q","T"),Inputs!$B$2:$AZ$2,0)),Inputs!$B$2:$B$190,$B165)*Inputs!$D$1)</f>
        <v>0</v>
      </c>
      <c r="AP165" s="57">
        <f>IF(ISNA(SUMIFS(INDEX(Inputs!$B$2:$AZ$190,,MATCH(SUBSTITUTE(AP$3,"Q","T"),Inputs!$B$2:$AZ$2,0)),Inputs!$B$2:$B$190,$B165)*Inputs!$D$1),"",SUMIFS(INDEX(Inputs!$B$2:$AZ$190,,MATCH(SUBSTITUTE(AP$3,"Q","T"),Inputs!$B$2:$AZ$2,0)),Inputs!$B$2:$B$190,$B165)*Inputs!$D$1)</f>
        <v>0</v>
      </c>
      <c r="AQ165" s="57">
        <f>IF(ISNA(SUMIFS(INDEX(Inputs!$B$2:$AZ$190,,MATCH(SUBSTITUTE(AQ$3,"Q","T"),Inputs!$B$2:$AZ$2,0)),Inputs!$B$2:$B$190,$B165)*Inputs!$D$1),"",SUMIFS(INDEX(Inputs!$B$2:$AZ$190,,MATCH(SUBSTITUTE(AQ$3,"Q","T"),Inputs!$B$2:$AZ$2,0)),Inputs!$B$2:$B$190,$B165)*Inputs!$D$1)</f>
        <v>0</v>
      </c>
      <c r="AR165" s="58">
        <f>AQ165</f>
        <v>0</v>
      </c>
      <c r="AS165" s="57">
        <f>IF(ISNA(SUMIFS(INDEX(Inputs!$B$2:$AZ$190,,MATCH(SUBSTITUTE(AS$3,"Q","T"),Inputs!$B$2:$AZ$2,0)),Inputs!$B$2:$B$190,$B165)*Inputs!$D$1),"",SUMIFS(INDEX(Inputs!$B$2:$AZ$190,,MATCH(SUBSTITUTE(AS$3,"Q","T"),Inputs!$B$2:$AZ$2,0)),Inputs!$B$2:$B$190,$B165)*Inputs!$D$1)</f>
        <v>0</v>
      </c>
      <c r="AT165" s="57">
        <f>IF(ISNA(SUMIFS(INDEX(Inputs!$B$2:$AZ$190,,MATCH(SUBSTITUTE(AT$3,"Q","T"),Inputs!$B$2:$AZ$2,0)),Inputs!$B$2:$B$190,$B165)*Inputs!$D$1),"",SUMIFS(INDEX(Inputs!$B$2:$AZ$190,,MATCH(SUBSTITUTE(AT$3,"Q","T"),Inputs!$B$2:$AZ$2,0)),Inputs!$B$2:$B$190,$B165)*Inputs!$D$1)</f>
        <v>0</v>
      </c>
      <c r="AU165" s="57">
        <f>IF(ISNA(SUMIFS(INDEX(Inputs!$B$2:$AZ$190,,MATCH(SUBSTITUTE(AU$3,"Q","T"),Inputs!$B$2:$AZ$2,0)),Inputs!$B$2:$B$190,$B165)*Inputs!$D$1),"",SUMIFS(INDEX(Inputs!$B$2:$AZ$190,,MATCH(SUBSTITUTE(AU$3,"Q","T"),Inputs!$B$2:$AZ$2,0)),Inputs!$B$2:$B$190,$B165)*Inputs!$D$1)</f>
        <v>0</v>
      </c>
      <c r="AV165" s="57">
        <f>IF(ISNA(SUMIFS(INDEX(Inputs!$B$2:$AZ$190,,MATCH(SUBSTITUTE(AV$3,"Q","T"),Inputs!$B$2:$AZ$2,0)),Inputs!$B$2:$B$190,$B165)*Inputs!$D$1),"",SUMIFS(INDEX(Inputs!$B$2:$AZ$190,,MATCH(SUBSTITUTE(AV$3,"Q","T"),Inputs!$B$2:$AZ$2,0)),Inputs!$B$2:$B$190,$B165)*Inputs!$D$1)</f>
        <v>0</v>
      </c>
      <c r="AW165" s="58">
        <f>AV165</f>
        <v>0</v>
      </c>
      <c r="AX165" s="57">
        <f>IF(ISNA(SUMIFS(INDEX(Inputs!$B$2:$AZ$190,,MATCH(SUBSTITUTE(AX$3,"Q","T"),Inputs!$B$2:$AZ$2,0)),Inputs!$B$2:$B$190,$B165)*Inputs!$D$1),"",SUMIFS(INDEX(Inputs!$B$2:$AZ$190,,MATCH(SUBSTITUTE(AX$3,"Q","T"),Inputs!$B$2:$AZ$2,0)),Inputs!$B$2:$B$190,$B165)*Inputs!$D$1)</f>
        <v>0</v>
      </c>
      <c r="AY165" s="57">
        <f>IF(ISNA(SUMIFS(INDEX(Inputs!$B$2:$AZ$190,,MATCH(SUBSTITUTE(AY$3,"Q","T"),Inputs!$B$2:$AZ$2,0)),Inputs!$B$2:$B$190,$B165)*Inputs!$D$1),"",SUMIFS(INDEX(Inputs!$B$2:$AZ$190,,MATCH(SUBSTITUTE(AY$3,"Q","T"),Inputs!$B$2:$AZ$2,0)),Inputs!$B$2:$B$190,$B165)*Inputs!$D$1)</f>
        <v>0</v>
      </c>
      <c r="AZ165" s="57">
        <f>IF(ISNA(SUMIFS(INDEX(Inputs!$B$2:$AZ$190,,MATCH(SUBSTITUTE(AZ$3,"Q","T"),Inputs!$B$2:$AZ$2,0)),Inputs!$B$2:$B$190,$B165)*Inputs!$D$1),"",SUMIFS(INDEX(Inputs!$B$2:$AZ$190,,MATCH(SUBSTITUTE(AZ$3,"Q","T"),Inputs!$B$2:$AZ$2,0)),Inputs!$B$2:$B$190,$B165)*Inputs!$D$1)</f>
        <v>0</v>
      </c>
      <c r="BA165" s="57">
        <f>IF(ISNA(SUMIFS(INDEX(Inputs!$B$2:$AZ$190,,MATCH(SUBSTITUTE(BA$3,"Q","T"),Inputs!$B$2:$AZ$2,0)),Inputs!$B$2:$B$190,$B165)*Inputs!$D$1),"",SUMIFS(INDEX(Inputs!$B$2:$AZ$190,,MATCH(SUBSTITUTE(BA$3,"Q","T"),Inputs!$B$2:$AZ$2,0)),Inputs!$B$2:$B$190,$B165)*Inputs!$D$1)</f>
        <v>0</v>
      </c>
      <c r="BB165" s="58">
        <f>BA165</f>
        <v>0</v>
      </c>
      <c r="BC165" s="57">
        <f>IF(ISNA(SUMIFS(INDEX(Inputs!$B$2:$AZ$190,,MATCH(SUBSTITUTE(BC$3,"Q","T"),Inputs!$B$2:$AZ$2,0)),Inputs!$B$2:$B$190,$B165)*Inputs!$D$1),"",SUMIFS(INDEX(Inputs!$B$2:$AZ$190,,MATCH(SUBSTITUTE(BC$3,"Q","T"),Inputs!$B$2:$AZ$2,0)),Inputs!$B$2:$B$190,$B165)*Inputs!$D$1)</f>
        <v>0</v>
      </c>
      <c r="BD165" s="57">
        <f>IF(ISNA(SUMIFS(INDEX(Inputs!$B$2:$AZ$190,,MATCH(SUBSTITUTE(BD$3,"Q","T"),Inputs!$B$2:$AZ$2,0)),Inputs!$B$2:$B$190,$B165)*Inputs!$D$1),"",SUMIFS(INDEX(Inputs!$B$2:$AZ$190,,MATCH(SUBSTITUTE(BD$3,"Q","T"),Inputs!$B$2:$AZ$2,0)),Inputs!$B$2:$B$190,$B165)*Inputs!$D$1)</f>
        <v>0</v>
      </c>
      <c r="BE165" s="57">
        <f>IF(ISNA(SUMIFS(INDEX(Inputs!$B$2:$AZ$190,,MATCH(SUBSTITUTE(BE$3,"Q","T"),Inputs!$B$2:$AZ$2,0)),Inputs!$B$2:$B$190,$B165)*Inputs!$D$1),"",SUMIFS(INDEX(Inputs!$B$2:$AZ$190,,MATCH(SUBSTITUTE(BE$3,"Q","T"),Inputs!$B$2:$AZ$2,0)),Inputs!$B$2:$B$190,$B165)*Inputs!$D$1)</f>
        <v>0</v>
      </c>
      <c r="BF165" s="57">
        <f>IF(ISNA(SUMIFS(INDEX(Inputs!$B$2:$AZ$190,,MATCH(SUBSTITUTE(BF$3,"Q","T"),Inputs!$B$2:$AZ$2,0)),Inputs!$B$2:$B$190,$B165)*Inputs!$D$1),"",SUMIFS(INDEX(Inputs!$B$2:$AZ$190,,MATCH(SUBSTITUTE(BF$3,"Q","T"),Inputs!$B$2:$AZ$2,0)),Inputs!$B$2:$B$190,$B165)*Inputs!$D$1)</f>
        <v>0</v>
      </c>
      <c r="BG165" s="58">
        <f>BF165</f>
        <v>0</v>
      </c>
    </row>
    <row r="166" hidden="1" outlineLevel="1">
      <c r="B166" s="56" t="inlineStr">
        <is>
          <t>cart_grandes</t>
        </is>
      </c>
      <c r="C166" s="11" t="inlineStr">
        <is>
          <t>Grandes empresas</t>
        </is>
      </c>
      <c r="D166" s="12" t="inlineStr">
        <is>
          <t>Large corporates</t>
        </is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12764.079871</v>
      </c>
      <c r="F166" s="57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>13761.693553</v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13372.686751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13829.295566</v>
      </c>
      <c r="I166" s="58">
        <f>H166</f>
        <v>13829.295566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14595.697589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14002.412976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14995.776047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14373.939046</v>
      </c>
      <c r="N166" s="58">
        <f>M166</f>
        <v>14373.939046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14075.69872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14058.918068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13534.094993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14594.02981</v>
      </c>
      <c r="S166" s="58">
        <f>R166</f>
        <v>14594.02981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14561.873862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14022.144874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13749.742322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14658.358051</v>
      </c>
      <c r="X166" s="58">
        <f>W166</f>
        <v>14658.358051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15556.488448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16305.424018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15850.667504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16379.243299</v>
      </c>
      <c r="AC166" s="58">
        <f>AB166</f>
        <v>16379.243299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15264.018604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16065.85796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15806.461073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16227.658832</v>
      </c>
      <c r="AH166" s="58">
        <f>AG166</f>
        <v>16227.658832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16639.248308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15704.923908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>AL166</f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>AQ166</f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>AV166</f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>BA166</f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>BF166</f>
        <v>0</v>
      </c>
    </row>
    <row r="167" hidden="1" outlineLevel="1">
      <c r="B167" s="56" t="inlineStr">
        <is>
          <t>cart_pj_out</t>
        </is>
      </c>
      <c r="C167" s="11" t="inlineStr">
        <is>
          <t>Demais pessoa jurídica</t>
        </is>
      </c>
      <c r="D167" s="12" t="inlineStr">
        <is>
          <t>Other corporates</t>
        </is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17489.916156</v>
      </c>
      <c r="F167" s="57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>17416.763884</v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18033.74524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18426.137122</v>
      </c>
      <c r="I167" s="58">
        <f>H167</f>
        <v>18426.137122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18661.14281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18780.368203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19626.123143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20369.771573</v>
      </c>
      <c r="N167" s="58">
        <f>M167</f>
        <v>20369.771573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20611.766757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22670.464908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24066.858831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24497.949057</v>
      </c>
      <c r="S167" s="58">
        <f>R167</f>
        <v>24497.949057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25122.37466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25340.150583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25801.227185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27455.740133</v>
      </c>
      <c r="X167" s="58">
        <f>W167</f>
        <v>27455.740133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26369.689175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27942.537673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30086.554322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32675.775861</v>
      </c>
      <c r="AC167" s="58">
        <f>AB167</f>
        <v>32675.775861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32031.202427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32111.569322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32148.164293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33780.327445</v>
      </c>
      <c r="AH167" s="58">
        <f>AG167</f>
        <v>33780.327445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32919.929252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35682.921477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>AL167</f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>AQ167</f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>AV167</f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>BA167</f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>BF167</f>
        <v>0</v>
      </c>
    </row>
    <row r="169">
      <c r="B169" s="29" t="n"/>
      <c r="C169" s="29" t="inlineStr">
        <is>
          <t>Receitas de serviços por origem</t>
        </is>
      </c>
      <c r="D169" s="29" t="inlineStr">
        <is>
          <t>Fee income by source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 hidden="1" outlineLevel="1">
      <c r="B170" s="56" t="inlineStr">
        <is>
          <t>serv_tarifas</t>
        </is>
      </c>
      <c r="C170" s="11" t="inlineStr">
        <is>
          <t>Tarifas de conta e pacotes</t>
        </is>
      </c>
      <c r="D170" s="12" t="inlineStr">
        <is>
          <t>Account fees</t>
        </is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0</v>
      </c>
      <c r="F170" s="57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>0</v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0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0</v>
      </c>
      <c r="I170" s="58">
        <f>SUM(E170:H170)</f>
        <v>0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0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0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0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0</v>
      </c>
      <c r="N170" s="58">
        <f>SUM(J170:M170)</f>
        <v>0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0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0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0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0</v>
      </c>
      <c r="S170" s="58">
        <f>SUM(O170:R170)</f>
        <v>0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0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0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0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0</v>
      </c>
      <c r="X170" s="58">
        <f>SUM(T170:W170)</f>
        <v>0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0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0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0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0</v>
      </c>
      <c r="AC170" s="58">
        <f>SUM(Y170:AB170)</f>
        <v>0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0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0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0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0</v>
      </c>
      <c r="AH170" s="58">
        <f>SUM(AD170:AG170)</f>
        <v>0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0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0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>SUM(AI170:AL170)</f>
        <v>0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>SUM(AN170:AQ170)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>SUM(AS170:AV170)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>SUM(AX170:BA170)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>SUM(BC170:BF170)</f>
        <v>0</v>
      </c>
    </row>
    <row r="171" hidden="1" outlineLevel="1">
      <c r="B171" s="56" t="inlineStr">
        <is>
          <t>serv_cartoes</t>
        </is>
      </c>
      <c r="C171" s="11" t="inlineStr">
        <is>
          <t>Cartões</t>
        </is>
      </c>
      <c r="D171" s="12" t="inlineStr">
        <is>
          <t>Cards</t>
        </is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0</v>
      </c>
      <c r="F171" s="57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>0</v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0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0</v>
      </c>
      <c r="I171" s="58">
        <f>SUM(E171:H171)</f>
        <v>0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0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0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0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0</v>
      </c>
      <c r="N171" s="58">
        <f>SUM(J171:M171)</f>
        <v>0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0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0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0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0</v>
      </c>
      <c r="S171" s="58">
        <f>SUM(O171:R171)</f>
        <v>0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0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0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0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0</v>
      </c>
      <c r="X171" s="58">
        <f>SUM(T171:W171)</f>
        <v>0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0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0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0</v>
      </c>
      <c r="AC171" s="58">
        <f>SUM(Y171:AB171)</f>
        <v>0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0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0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0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0</v>
      </c>
      <c r="AH171" s="58">
        <f>SUM(AD171:AG171)</f>
        <v>0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0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0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>SUM(AI171:AL171)</f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>SUM(AN171:AQ171)</f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>SUM(AS171:AV171)</f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>SUM(AX171:BA171)</f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>SUM(BC171:BF171)</f>
        <v>0</v>
      </c>
    </row>
    <row r="172" hidden="1" outlineLevel="1">
      <c r="B172" s="56" t="inlineStr">
        <is>
          <t>serv_adm_rec</t>
        </is>
      </c>
      <c r="C172" s="11" t="inlineStr">
        <is>
          <t>Administração de recursos e fundos</t>
        </is>
      </c>
      <c r="D172" s="12" t="inlineStr">
        <is>
          <t>Asset management</t>
        </is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0</v>
      </c>
      <c r="F172" s="57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>0</v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0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0</v>
      </c>
      <c r="I172" s="58">
        <f>SUM(E172:H172)</f>
        <v>0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0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0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0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0</v>
      </c>
      <c r="N172" s="58">
        <f>SUM(J172:M172)</f>
        <v>0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0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0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0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0</v>
      </c>
      <c r="S172" s="58">
        <f>SUM(O172:R172)</f>
        <v>0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0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0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0</v>
      </c>
      <c r="X172" s="58">
        <f>SUM(T172:W172)</f>
        <v>0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0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0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0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0</v>
      </c>
      <c r="AC172" s="58">
        <f>SUM(Y172:AB172)</f>
        <v>0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0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0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0</v>
      </c>
      <c r="AH172" s="58">
        <f>SUM(AD172:AG172)</f>
        <v>0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0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0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>SUM(AI172:AL172)</f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>SUM(AN172:AQ172)</f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>SUM(AS172:AV172)</f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>SUM(AX172:BA172)</f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>SUM(BC172:BF172)</f>
        <v>0</v>
      </c>
    </row>
    <row r="173" hidden="1" outlineLevel="1">
      <c r="B173" s="56" t="inlineStr">
        <is>
          <t>serv_seg_corr</t>
        </is>
      </c>
      <c r="C173" s="11" t="inlineStr">
        <is>
          <t>Corretagem de seguros e previdência</t>
        </is>
      </c>
      <c r="D173" s="12" t="inlineStr">
        <is>
          <t>Insurance brokerage</t>
        </is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0</v>
      </c>
      <c r="F173" s="57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>0</v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0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0</v>
      </c>
      <c r="I173" s="58">
        <f>SUM(E173:H173)</f>
        <v>0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0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0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0</v>
      </c>
      <c r="N173" s="58">
        <f>SUM(J173:M173)</f>
        <v>0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0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0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0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0</v>
      </c>
      <c r="S173" s="58">
        <f>SUM(O173:R173)</f>
        <v>0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0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0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0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0</v>
      </c>
      <c r="X173" s="58">
        <f>SUM(T173:W173)</f>
        <v>0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0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0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0</v>
      </c>
      <c r="AC173" s="58">
        <f>SUM(Y173:AB173)</f>
        <v>0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0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0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0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0</v>
      </c>
      <c r="AH173" s="58">
        <f>SUM(AD173:AG173)</f>
        <v>0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0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0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>SUM(AI173:AL173)</f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>SUM(AN173:AQ173)</f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>SUM(AS173:AV173)</f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>SUM(AX173:BA173)</f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>SUM(BC173:BF173)</f>
        <v>0</v>
      </c>
    </row>
    <row r="174" hidden="1" outlineLevel="1">
      <c r="B174" s="56" t="inlineStr">
        <is>
          <t>serv_merc_cap</t>
        </is>
      </c>
      <c r="C174" s="11" t="inlineStr">
        <is>
          <t>Mercado de capitais e banco de investimento</t>
        </is>
      </c>
      <c r="D174" s="12" t="inlineStr">
        <is>
          <t>Capital markets</t>
        </is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0</v>
      </c>
      <c r="F174" s="57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>0</v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0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0</v>
      </c>
      <c r="I174" s="58">
        <f>SUM(E174:H174)</f>
        <v>0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0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0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0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0</v>
      </c>
      <c r="N174" s="58">
        <f>SUM(J174:M174)</f>
        <v>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0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0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0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0</v>
      </c>
      <c r="S174" s="58">
        <f>SUM(O174:R174)</f>
        <v>0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0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0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0</v>
      </c>
      <c r="X174" s="58">
        <f>SUM(T174:W174)</f>
        <v>0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0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0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0</v>
      </c>
      <c r="AC174" s="58">
        <f>SUM(Y174:AB174)</f>
        <v>0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0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0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0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0</v>
      </c>
      <c r="AH174" s="58">
        <f>SUM(AD174:AG174)</f>
        <v>0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0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0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>SUM(AI174:AL174)</f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>SUM(AN174:AQ174)</f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>SUM(AS174:AV174)</f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>SUM(AX174:BA174)</f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>SUM(BC174:BF174)</f>
        <v>0</v>
      </c>
    </row>
    <row r="175" hidden="1" outlineLevel="1">
      <c r="B175" s="56" t="inlineStr">
        <is>
          <t>serv_out</t>
        </is>
      </c>
      <c r="C175" s="11" t="inlineStr">
        <is>
          <t>Demais serviços</t>
        </is>
      </c>
      <c r="D175" s="12" t="inlineStr">
        <is>
          <t>Other fees</t>
        </is>
      </c>
      <c r="E175" s="57">
        <f>IF(ISNA(SUMIFS(INDEX(Inputs!$B$2:$AZ$190,,MATCH(SUBSTITUTE(E$3,"Q","T"),Inputs!$B$2:$AZ$2,0)),Inputs!$B$2:$B$190,$B175)*Inputs!$D$1),"",SUMIFS(INDEX(Inputs!$B$2:$AZ$190,,MATCH(SUBSTITUTE(E$3,"Q","T"),Inputs!$B$2:$AZ$2,0)),Inputs!$B$2:$B$190,$B175)*Inputs!$D$1)</f>
        <v>0</v>
      </c>
      <c r="F175" s="57">
        <f>IF(ISNA(SUMIFS(INDEX(Inputs!$B$2:$AZ$190,,MATCH(SUBSTITUTE(F$3,"Q","T"),Inputs!$B$2:$AZ$2,0)),Inputs!$B$2:$B$190,$B175)*Inputs!$D$1),"",SUMIFS(INDEX(Inputs!$B$2:$AZ$190,,MATCH(SUBSTITUTE(F$3,"Q","T"),Inputs!$B$2:$AZ$2,0)),Inputs!$B$2:$B$190,$B175)*Inputs!$D$1)</f>
        <v>0</v>
      </c>
      <c r="G175" s="57">
        <f>IF(ISNA(SUMIFS(INDEX(Inputs!$B$2:$AZ$190,,MATCH(SUBSTITUTE(G$3,"Q","T"),Inputs!$B$2:$AZ$2,0)),Inputs!$B$2:$B$190,$B175)*Inputs!$D$1),"",SUMIFS(INDEX(Inputs!$B$2:$AZ$190,,MATCH(SUBSTITUTE(G$3,"Q","T"),Inputs!$B$2:$AZ$2,0)),Inputs!$B$2:$B$190,$B175)*Inputs!$D$1)</f>
        <v>0</v>
      </c>
      <c r="H175" s="57">
        <f>IF(ISNA(SUMIFS(INDEX(Inputs!$B$2:$AZ$190,,MATCH(SUBSTITUTE(H$3,"Q","T"),Inputs!$B$2:$AZ$2,0)),Inputs!$B$2:$B$190,$B175)*Inputs!$D$1),"",SUMIFS(INDEX(Inputs!$B$2:$AZ$190,,MATCH(SUBSTITUTE(H$3,"Q","T"),Inputs!$B$2:$AZ$2,0)),Inputs!$B$2:$B$190,$B175)*Inputs!$D$1)</f>
        <v>0</v>
      </c>
      <c r="I175" s="58">
        <f>SUM(E175:H175)</f>
        <v>0</v>
      </c>
      <c r="J175" s="57">
        <f>IF(ISNA(SUMIFS(INDEX(Inputs!$B$2:$AZ$190,,MATCH(SUBSTITUTE(J$3,"Q","T"),Inputs!$B$2:$AZ$2,0)),Inputs!$B$2:$B$190,$B175)*Inputs!$D$1),"",SUMIFS(INDEX(Inputs!$B$2:$AZ$190,,MATCH(SUBSTITUTE(J$3,"Q","T"),Inputs!$B$2:$AZ$2,0)),Inputs!$B$2:$B$190,$B175)*Inputs!$D$1)</f>
        <v>0</v>
      </c>
      <c r="K175" s="57">
        <f>IF(ISNA(SUMIFS(INDEX(Inputs!$B$2:$AZ$190,,MATCH(SUBSTITUTE(K$3,"Q","T"),Inputs!$B$2:$AZ$2,0)),Inputs!$B$2:$B$190,$B175)*Inputs!$D$1),"",SUMIFS(INDEX(Inputs!$B$2:$AZ$190,,MATCH(SUBSTITUTE(K$3,"Q","T"),Inputs!$B$2:$AZ$2,0)),Inputs!$B$2:$B$190,$B175)*Inputs!$D$1)</f>
        <v>0</v>
      </c>
      <c r="L175" s="57">
        <f>IF(ISNA(SUMIFS(INDEX(Inputs!$B$2:$AZ$190,,MATCH(SUBSTITUTE(L$3,"Q","T"),Inputs!$B$2:$AZ$2,0)),Inputs!$B$2:$B$190,$B175)*Inputs!$D$1),"",SUMIFS(INDEX(Inputs!$B$2:$AZ$190,,MATCH(SUBSTITUTE(L$3,"Q","T"),Inputs!$B$2:$AZ$2,0)),Inputs!$B$2:$B$190,$B175)*Inputs!$D$1)</f>
        <v>0</v>
      </c>
      <c r="M175" s="57">
        <f>IF(ISNA(SUMIFS(INDEX(Inputs!$B$2:$AZ$190,,MATCH(SUBSTITUTE(M$3,"Q","T"),Inputs!$B$2:$AZ$2,0)),Inputs!$B$2:$B$190,$B175)*Inputs!$D$1),"",SUMIFS(INDEX(Inputs!$B$2:$AZ$190,,MATCH(SUBSTITUTE(M$3,"Q","T"),Inputs!$B$2:$AZ$2,0)),Inputs!$B$2:$B$190,$B175)*Inputs!$D$1)</f>
        <v>0</v>
      </c>
      <c r="N175" s="58">
        <f>SUM(J175:M175)</f>
        <v>0</v>
      </c>
      <c r="O175" s="57">
        <f>IF(ISNA(SUMIFS(INDEX(Inputs!$B$2:$AZ$190,,MATCH(SUBSTITUTE(O$3,"Q","T"),Inputs!$B$2:$AZ$2,0)),Inputs!$B$2:$B$190,$B175)*Inputs!$D$1),"",SUMIFS(INDEX(Inputs!$B$2:$AZ$190,,MATCH(SUBSTITUTE(O$3,"Q","T"),Inputs!$B$2:$AZ$2,0)),Inputs!$B$2:$B$190,$B175)*Inputs!$D$1)</f>
        <v>0</v>
      </c>
      <c r="P175" s="57">
        <f>IF(ISNA(SUMIFS(INDEX(Inputs!$B$2:$AZ$190,,MATCH(SUBSTITUTE(P$3,"Q","T"),Inputs!$B$2:$AZ$2,0)),Inputs!$B$2:$B$190,$B175)*Inputs!$D$1),"",SUMIFS(INDEX(Inputs!$B$2:$AZ$190,,MATCH(SUBSTITUTE(P$3,"Q","T"),Inputs!$B$2:$AZ$2,0)),Inputs!$B$2:$B$190,$B175)*Inputs!$D$1)</f>
        <v>0</v>
      </c>
      <c r="Q175" s="57">
        <f>IF(ISNA(SUMIFS(INDEX(Inputs!$B$2:$AZ$190,,MATCH(SUBSTITUTE(Q$3,"Q","T"),Inputs!$B$2:$AZ$2,0)),Inputs!$B$2:$B$190,$B175)*Inputs!$D$1),"",SUMIFS(INDEX(Inputs!$B$2:$AZ$190,,MATCH(SUBSTITUTE(Q$3,"Q","T"),Inputs!$B$2:$AZ$2,0)),Inputs!$B$2:$B$190,$B175)*Inputs!$D$1)</f>
        <v>0</v>
      </c>
      <c r="R175" s="57">
        <f>IF(ISNA(SUMIFS(INDEX(Inputs!$B$2:$AZ$190,,MATCH(SUBSTITUTE(R$3,"Q","T"),Inputs!$B$2:$AZ$2,0)),Inputs!$B$2:$B$190,$B175)*Inputs!$D$1),"",SUMIFS(INDEX(Inputs!$B$2:$AZ$190,,MATCH(SUBSTITUTE(R$3,"Q","T"),Inputs!$B$2:$AZ$2,0)),Inputs!$B$2:$B$190,$B175)*Inputs!$D$1)</f>
        <v>0</v>
      </c>
      <c r="S175" s="58">
        <f>SUM(O175:R175)</f>
        <v>0</v>
      </c>
      <c r="T175" s="57">
        <f>IF(ISNA(SUMIFS(INDEX(Inputs!$B$2:$AZ$190,,MATCH(SUBSTITUTE(T$3,"Q","T"),Inputs!$B$2:$AZ$2,0)),Inputs!$B$2:$B$190,$B175)*Inputs!$D$1),"",SUMIFS(INDEX(Inputs!$B$2:$AZ$190,,MATCH(SUBSTITUTE(T$3,"Q","T"),Inputs!$B$2:$AZ$2,0)),Inputs!$B$2:$B$190,$B175)*Inputs!$D$1)</f>
        <v>0</v>
      </c>
      <c r="U175" s="57">
        <f>IF(ISNA(SUMIFS(INDEX(Inputs!$B$2:$AZ$190,,MATCH(SUBSTITUTE(U$3,"Q","T"),Inputs!$B$2:$AZ$2,0)),Inputs!$B$2:$B$190,$B175)*Inputs!$D$1),"",SUMIFS(INDEX(Inputs!$B$2:$AZ$190,,MATCH(SUBSTITUTE(U$3,"Q","T"),Inputs!$B$2:$AZ$2,0)),Inputs!$B$2:$B$190,$B175)*Inputs!$D$1)</f>
        <v>0</v>
      </c>
      <c r="V175" s="57">
        <f>IF(ISNA(SUMIFS(INDEX(Inputs!$B$2:$AZ$190,,MATCH(SUBSTITUTE(V$3,"Q","T"),Inputs!$B$2:$AZ$2,0)),Inputs!$B$2:$B$190,$B175)*Inputs!$D$1),"",SUMIFS(INDEX(Inputs!$B$2:$AZ$190,,MATCH(SUBSTITUTE(V$3,"Q","T"),Inputs!$B$2:$AZ$2,0)),Inputs!$B$2:$B$190,$B175)*Inputs!$D$1)</f>
        <v>0</v>
      </c>
      <c r="W175" s="57">
        <f>IF(ISNA(SUMIFS(INDEX(Inputs!$B$2:$AZ$190,,MATCH(SUBSTITUTE(W$3,"Q","T"),Inputs!$B$2:$AZ$2,0)),Inputs!$B$2:$B$190,$B175)*Inputs!$D$1),"",SUMIFS(INDEX(Inputs!$B$2:$AZ$190,,MATCH(SUBSTITUTE(W$3,"Q","T"),Inputs!$B$2:$AZ$2,0)),Inputs!$B$2:$B$190,$B175)*Inputs!$D$1)</f>
        <v>0</v>
      </c>
      <c r="X175" s="58">
        <f>SUM(T175:W175)</f>
        <v>0</v>
      </c>
      <c r="Y175" s="57">
        <f>IF(ISNA(SUMIFS(INDEX(Inputs!$B$2:$AZ$190,,MATCH(SUBSTITUTE(Y$3,"Q","T"),Inputs!$B$2:$AZ$2,0)),Inputs!$B$2:$B$190,$B175)*Inputs!$D$1),"",SUMIFS(INDEX(Inputs!$B$2:$AZ$190,,MATCH(SUBSTITUTE(Y$3,"Q","T"),Inputs!$B$2:$AZ$2,0)),Inputs!$B$2:$B$190,$B175)*Inputs!$D$1)</f>
        <v>0</v>
      </c>
      <c r="Z175" s="57">
        <f>IF(ISNA(SUMIFS(INDEX(Inputs!$B$2:$AZ$190,,MATCH(SUBSTITUTE(Z$3,"Q","T"),Inputs!$B$2:$AZ$2,0)),Inputs!$B$2:$B$190,$B175)*Inputs!$D$1),"",SUMIFS(INDEX(Inputs!$B$2:$AZ$190,,MATCH(SUBSTITUTE(Z$3,"Q","T"),Inputs!$B$2:$AZ$2,0)),Inputs!$B$2:$B$190,$B175)*Inputs!$D$1)</f>
        <v>0</v>
      </c>
      <c r="AA175" s="57">
        <f>IF(ISNA(SUMIFS(INDEX(Inputs!$B$2:$AZ$190,,MATCH(SUBSTITUTE(AA$3,"Q","T"),Inputs!$B$2:$AZ$2,0)),Inputs!$B$2:$B$190,$B175)*Inputs!$D$1),"",SUMIFS(INDEX(Inputs!$B$2:$AZ$190,,MATCH(SUBSTITUTE(AA$3,"Q","T"),Inputs!$B$2:$AZ$2,0)),Inputs!$B$2:$B$190,$B175)*Inputs!$D$1)</f>
        <v>0</v>
      </c>
      <c r="AB175" s="57">
        <f>IF(ISNA(SUMIFS(INDEX(Inputs!$B$2:$AZ$190,,MATCH(SUBSTITUTE(AB$3,"Q","T"),Inputs!$B$2:$AZ$2,0)),Inputs!$B$2:$B$190,$B175)*Inputs!$D$1),"",SUMIFS(INDEX(Inputs!$B$2:$AZ$190,,MATCH(SUBSTITUTE(AB$3,"Q","T"),Inputs!$B$2:$AZ$2,0)),Inputs!$B$2:$B$190,$B175)*Inputs!$D$1)</f>
        <v>0</v>
      </c>
      <c r="AC175" s="58">
        <f>SUM(Y175:AB175)</f>
        <v>0</v>
      </c>
      <c r="AD175" s="57">
        <f>IF(ISNA(SUMIFS(INDEX(Inputs!$B$2:$AZ$190,,MATCH(SUBSTITUTE(AD$3,"Q","T"),Inputs!$B$2:$AZ$2,0)),Inputs!$B$2:$B$190,$B175)*Inputs!$D$1),"",SUMIFS(INDEX(Inputs!$B$2:$AZ$190,,MATCH(SUBSTITUTE(AD$3,"Q","T"),Inputs!$B$2:$AZ$2,0)),Inputs!$B$2:$B$190,$B175)*Inputs!$D$1)</f>
        <v>0</v>
      </c>
      <c r="AE175" s="57">
        <f>IF(ISNA(SUMIFS(INDEX(Inputs!$B$2:$AZ$190,,MATCH(SUBSTITUTE(AE$3,"Q","T"),Inputs!$B$2:$AZ$2,0)),Inputs!$B$2:$B$190,$B175)*Inputs!$D$1),"",SUMIFS(INDEX(Inputs!$B$2:$AZ$190,,MATCH(SUBSTITUTE(AE$3,"Q","T"),Inputs!$B$2:$AZ$2,0)),Inputs!$B$2:$B$190,$B175)*Inputs!$D$1)</f>
        <v>0</v>
      </c>
      <c r="AF175" s="57">
        <f>IF(ISNA(SUMIFS(INDEX(Inputs!$B$2:$AZ$190,,MATCH(SUBSTITUTE(AF$3,"Q","T"),Inputs!$B$2:$AZ$2,0)),Inputs!$B$2:$B$190,$B175)*Inputs!$D$1),"",SUMIFS(INDEX(Inputs!$B$2:$AZ$190,,MATCH(SUBSTITUTE(AF$3,"Q","T"),Inputs!$B$2:$AZ$2,0)),Inputs!$B$2:$B$190,$B175)*Inputs!$D$1)</f>
        <v>0</v>
      </c>
      <c r="AG175" s="57">
        <f>IF(ISNA(SUMIFS(INDEX(Inputs!$B$2:$AZ$190,,MATCH(SUBSTITUTE(AG$3,"Q","T"),Inputs!$B$2:$AZ$2,0)),Inputs!$B$2:$B$190,$B175)*Inputs!$D$1),"",SUMIFS(INDEX(Inputs!$B$2:$AZ$190,,MATCH(SUBSTITUTE(AG$3,"Q","T"),Inputs!$B$2:$AZ$2,0)),Inputs!$B$2:$B$190,$B175)*Inputs!$D$1)</f>
        <v>0</v>
      </c>
      <c r="AH175" s="58">
        <f>SUM(AD175:AG175)</f>
        <v>0</v>
      </c>
      <c r="AI175" s="57">
        <f>IF(ISNA(SUMIFS(INDEX(Inputs!$B$2:$AZ$190,,MATCH(SUBSTITUTE(AI$3,"Q","T"),Inputs!$B$2:$AZ$2,0)),Inputs!$B$2:$B$190,$B175)*Inputs!$D$1),"",SUMIFS(INDEX(Inputs!$B$2:$AZ$190,,MATCH(SUBSTITUTE(AI$3,"Q","T"),Inputs!$B$2:$AZ$2,0)),Inputs!$B$2:$B$190,$B175)*Inputs!$D$1)</f>
        <v>0</v>
      </c>
      <c r="AJ175" s="57">
        <f>IF(ISNA(SUMIFS(INDEX(Inputs!$B$2:$AZ$190,,MATCH(SUBSTITUTE(AJ$3,"Q","T"),Inputs!$B$2:$AZ$2,0)),Inputs!$B$2:$B$190,$B175)*Inputs!$D$1),"",SUMIFS(INDEX(Inputs!$B$2:$AZ$190,,MATCH(SUBSTITUTE(AJ$3,"Q","T"),Inputs!$B$2:$AZ$2,0)),Inputs!$B$2:$B$190,$B175)*Inputs!$D$1)</f>
        <v>0</v>
      </c>
      <c r="AK175" s="57">
        <f>IF(ISNA(SUMIFS(INDEX(Inputs!$B$2:$AZ$190,,MATCH(SUBSTITUTE(AK$3,"Q","T"),Inputs!$B$2:$AZ$2,0)),Inputs!$B$2:$B$190,$B175)*Inputs!$D$1),"",SUMIFS(INDEX(Inputs!$B$2:$AZ$190,,MATCH(SUBSTITUTE(AK$3,"Q","T"),Inputs!$B$2:$AZ$2,0)),Inputs!$B$2:$B$190,$B175)*Inputs!$D$1)</f>
        <v>0</v>
      </c>
      <c r="AL175" s="57">
        <f>IF(ISNA(SUMIFS(INDEX(Inputs!$B$2:$AZ$190,,MATCH(SUBSTITUTE(AL$3,"Q","T"),Inputs!$B$2:$AZ$2,0)),Inputs!$B$2:$B$190,$B175)*Inputs!$D$1),"",SUMIFS(INDEX(Inputs!$B$2:$AZ$190,,MATCH(SUBSTITUTE(AL$3,"Q","T"),Inputs!$B$2:$AZ$2,0)),Inputs!$B$2:$B$190,$B175)*Inputs!$D$1)</f>
        <v>0</v>
      </c>
      <c r="AM175" s="58">
        <f>SUM(AI175:AL175)</f>
        <v>0</v>
      </c>
      <c r="AN175" s="57">
        <f>IF(ISNA(SUMIFS(INDEX(Inputs!$B$2:$AZ$190,,MATCH(SUBSTITUTE(AN$3,"Q","T"),Inputs!$B$2:$AZ$2,0)),Inputs!$B$2:$B$190,$B175)*Inputs!$D$1),"",SUMIFS(INDEX(Inputs!$B$2:$AZ$190,,MATCH(SUBSTITUTE(AN$3,"Q","T"),Inputs!$B$2:$AZ$2,0)),Inputs!$B$2:$B$190,$B175)*Inputs!$D$1)</f>
        <v>0</v>
      </c>
      <c r="AO175" s="57">
        <f>IF(ISNA(SUMIFS(INDEX(Inputs!$B$2:$AZ$190,,MATCH(SUBSTITUTE(AO$3,"Q","T"),Inputs!$B$2:$AZ$2,0)),Inputs!$B$2:$B$190,$B175)*Inputs!$D$1),"",SUMIFS(INDEX(Inputs!$B$2:$AZ$190,,MATCH(SUBSTITUTE(AO$3,"Q","T"),Inputs!$B$2:$AZ$2,0)),Inputs!$B$2:$B$190,$B175)*Inputs!$D$1)</f>
        <v>0</v>
      </c>
      <c r="AP175" s="57">
        <f>IF(ISNA(SUMIFS(INDEX(Inputs!$B$2:$AZ$190,,MATCH(SUBSTITUTE(AP$3,"Q","T"),Inputs!$B$2:$AZ$2,0)),Inputs!$B$2:$B$190,$B175)*Inputs!$D$1),"",SUMIFS(INDEX(Inputs!$B$2:$AZ$190,,MATCH(SUBSTITUTE(AP$3,"Q","T"),Inputs!$B$2:$AZ$2,0)),Inputs!$B$2:$B$190,$B175)*Inputs!$D$1)</f>
        <v>0</v>
      </c>
      <c r="AQ175" s="57">
        <f>IF(ISNA(SUMIFS(INDEX(Inputs!$B$2:$AZ$190,,MATCH(SUBSTITUTE(AQ$3,"Q","T"),Inputs!$B$2:$AZ$2,0)),Inputs!$B$2:$B$190,$B175)*Inputs!$D$1),"",SUMIFS(INDEX(Inputs!$B$2:$AZ$190,,MATCH(SUBSTITUTE(AQ$3,"Q","T"),Inputs!$B$2:$AZ$2,0)),Inputs!$B$2:$B$190,$B175)*Inputs!$D$1)</f>
        <v>0</v>
      </c>
      <c r="AR175" s="58">
        <f>SUM(AN175:AQ175)</f>
        <v>0</v>
      </c>
      <c r="AS175" s="57">
        <f>IF(ISNA(SUMIFS(INDEX(Inputs!$B$2:$AZ$190,,MATCH(SUBSTITUTE(AS$3,"Q","T"),Inputs!$B$2:$AZ$2,0)),Inputs!$B$2:$B$190,$B175)*Inputs!$D$1),"",SUMIFS(INDEX(Inputs!$B$2:$AZ$190,,MATCH(SUBSTITUTE(AS$3,"Q","T"),Inputs!$B$2:$AZ$2,0)),Inputs!$B$2:$B$190,$B175)*Inputs!$D$1)</f>
        <v>0</v>
      </c>
      <c r="AT175" s="57">
        <f>IF(ISNA(SUMIFS(INDEX(Inputs!$B$2:$AZ$190,,MATCH(SUBSTITUTE(AT$3,"Q","T"),Inputs!$B$2:$AZ$2,0)),Inputs!$B$2:$B$190,$B175)*Inputs!$D$1),"",SUMIFS(INDEX(Inputs!$B$2:$AZ$190,,MATCH(SUBSTITUTE(AT$3,"Q","T"),Inputs!$B$2:$AZ$2,0)),Inputs!$B$2:$B$190,$B175)*Inputs!$D$1)</f>
        <v>0</v>
      </c>
      <c r="AU175" s="57">
        <f>IF(ISNA(SUMIFS(INDEX(Inputs!$B$2:$AZ$190,,MATCH(SUBSTITUTE(AU$3,"Q","T"),Inputs!$B$2:$AZ$2,0)),Inputs!$B$2:$B$190,$B175)*Inputs!$D$1),"",SUMIFS(INDEX(Inputs!$B$2:$AZ$190,,MATCH(SUBSTITUTE(AU$3,"Q","T"),Inputs!$B$2:$AZ$2,0)),Inputs!$B$2:$B$190,$B175)*Inputs!$D$1)</f>
        <v>0</v>
      </c>
      <c r="AV175" s="57">
        <f>IF(ISNA(SUMIFS(INDEX(Inputs!$B$2:$AZ$190,,MATCH(SUBSTITUTE(AV$3,"Q","T"),Inputs!$B$2:$AZ$2,0)),Inputs!$B$2:$B$190,$B175)*Inputs!$D$1),"",SUMIFS(INDEX(Inputs!$B$2:$AZ$190,,MATCH(SUBSTITUTE(AV$3,"Q","T"),Inputs!$B$2:$AZ$2,0)),Inputs!$B$2:$B$190,$B175)*Inputs!$D$1)</f>
        <v>0</v>
      </c>
      <c r="AW175" s="58">
        <f>SUM(AS175:AV175)</f>
        <v>0</v>
      </c>
      <c r="AX175" s="57">
        <f>IF(ISNA(SUMIFS(INDEX(Inputs!$B$2:$AZ$190,,MATCH(SUBSTITUTE(AX$3,"Q","T"),Inputs!$B$2:$AZ$2,0)),Inputs!$B$2:$B$190,$B175)*Inputs!$D$1),"",SUMIFS(INDEX(Inputs!$B$2:$AZ$190,,MATCH(SUBSTITUTE(AX$3,"Q","T"),Inputs!$B$2:$AZ$2,0)),Inputs!$B$2:$B$190,$B175)*Inputs!$D$1)</f>
        <v>0</v>
      </c>
      <c r="AY175" s="57">
        <f>IF(ISNA(SUMIFS(INDEX(Inputs!$B$2:$AZ$190,,MATCH(SUBSTITUTE(AY$3,"Q","T"),Inputs!$B$2:$AZ$2,0)),Inputs!$B$2:$B$190,$B175)*Inputs!$D$1),"",SUMIFS(INDEX(Inputs!$B$2:$AZ$190,,MATCH(SUBSTITUTE(AY$3,"Q","T"),Inputs!$B$2:$AZ$2,0)),Inputs!$B$2:$B$190,$B175)*Inputs!$D$1)</f>
        <v>0</v>
      </c>
      <c r="AZ175" s="57">
        <f>IF(ISNA(SUMIFS(INDEX(Inputs!$B$2:$AZ$190,,MATCH(SUBSTITUTE(AZ$3,"Q","T"),Inputs!$B$2:$AZ$2,0)),Inputs!$B$2:$B$190,$B175)*Inputs!$D$1),"",SUMIFS(INDEX(Inputs!$B$2:$AZ$190,,MATCH(SUBSTITUTE(AZ$3,"Q","T"),Inputs!$B$2:$AZ$2,0)),Inputs!$B$2:$B$190,$B175)*Inputs!$D$1)</f>
        <v>0</v>
      </c>
      <c r="BA175" s="57">
        <f>IF(ISNA(SUMIFS(INDEX(Inputs!$B$2:$AZ$190,,MATCH(SUBSTITUTE(BA$3,"Q","T"),Inputs!$B$2:$AZ$2,0)),Inputs!$B$2:$B$190,$B175)*Inputs!$D$1),"",SUMIFS(INDEX(Inputs!$B$2:$AZ$190,,MATCH(SUBSTITUTE(BA$3,"Q","T"),Inputs!$B$2:$AZ$2,0)),Inputs!$B$2:$B$190,$B175)*Inputs!$D$1)</f>
        <v>0</v>
      </c>
      <c r="BB175" s="58">
        <f>SUM(AX175:BA175)</f>
        <v>0</v>
      </c>
      <c r="BC175" s="57">
        <f>IF(ISNA(SUMIFS(INDEX(Inputs!$B$2:$AZ$190,,MATCH(SUBSTITUTE(BC$3,"Q","T"),Inputs!$B$2:$AZ$2,0)),Inputs!$B$2:$B$190,$B175)*Inputs!$D$1),"",SUMIFS(INDEX(Inputs!$B$2:$AZ$190,,MATCH(SUBSTITUTE(BC$3,"Q","T"),Inputs!$B$2:$AZ$2,0)),Inputs!$B$2:$B$190,$B175)*Inputs!$D$1)</f>
        <v>0</v>
      </c>
      <c r="BD175" s="57">
        <f>IF(ISNA(SUMIFS(INDEX(Inputs!$B$2:$AZ$190,,MATCH(SUBSTITUTE(BD$3,"Q","T"),Inputs!$B$2:$AZ$2,0)),Inputs!$B$2:$B$190,$B175)*Inputs!$D$1),"",SUMIFS(INDEX(Inputs!$B$2:$AZ$190,,MATCH(SUBSTITUTE(BD$3,"Q","T"),Inputs!$B$2:$AZ$2,0)),Inputs!$B$2:$B$190,$B175)*Inputs!$D$1)</f>
        <v>0</v>
      </c>
      <c r="BE175" s="57">
        <f>IF(ISNA(SUMIFS(INDEX(Inputs!$B$2:$AZ$190,,MATCH(SUBSTITUTE(BE$3,"Q","T"),Inputs!$B$2:$AZ$2,0)),Inputs!$B$2:$B$190,$B175)*Inputs!$D$1),"",SUMIFS(INDEX(Inputs!$B$2:$AZ$190,,MATCH(SUBSTITUTE(BE$3,"Q","T"),Inputs!$B$2:$AZ$2,0)),Inputs!$B$2:$B$190,$B175)*Inputs!$D$1)</f>
        <v>0</v>
      </c>
      <c r="BF175" s="57">
        <f>IF(ISNA(SUMIFS(INDEX(Inputs!$B$2:$AZ$190,,MATCH(SUBSTITUTE(BF$3,"Q","T"),Inputs!$B$2:$AZ$2,0)),Inputs!$B$2:$B$190,$B175)*Inputs!$D$1),"",SUMIFS(INDEX(Inputs!$B$2:$AZ$190,,MATCH(SUBSTITUTE(BF$3,"Q","T"),Inputs!$B$2:$AZ$2,0)),Inputs!$B$2:$B$190,$B175)*Inputs!$D$1)</f>
        <v>0</v>
      </c>
      <c r="BG175" s="58">
        <f>SUM(BC175:BF175)</f>
        <v>0</v>
      </c>
    </row>
    <row r="177">
      <c r="B177" s="29" t="n"/>
      <c r="C177" s="29" t="inlineStr">
        <is>
          <t>Despesas de pessoal por natureza</t>
        </is>
      </c>
      <c r="D177" s="29" t="inlineStr">
        <is>
          <t>Personnel expenses by nature</t>
        </is>
      </c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  <c r="AA177" s="29" t="n"/>
      <c r="AB177" s="29" t="n"/>
      <c r="AC177" s="29" t="n"/>
      <c r="AD177" s="29" t="n"/>
      <c r="AE177" s="29" t="n"/>
      <c r="AF177" s="29" t="n"/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  <c r="AW177" s="29" t="n"/>
      <c r="AX177" s="29" t="n"/>
      <c r="AY177" s="29" t="n"/>
      <c r="AZ177" s="29" t="n"/>
      <c r="BA177" s="29" t="n"/>
      <c r="BB177" s="29" t="n"/>
      <c r="BC177" s="29" t="n"/>
      <c r="BD177" s="29" t="n"/>
      <c r="BE177" s="29" t="n"/>
      <c r="BF177" s="29" t="n"/>
      <c r="BG177" s="29" t="n"/>
      <c r="BH177" s="29" t="n"/>
      <c r="BI177" s="29" t="n"/>
    </row>
    <row r="178" hidden="1" outlineLevel="1">
      <c r="B178" s="56" t="inlineStr">
        <is>
          <t>pes_proventos</t>
        </is>
      </c>
      <c r="C178" s="11" t="inlineStr">
        <is>
          <t>(Proventos e encargos)</t>
        </is>
      </c>
      <c r="D178" s="12" t="inlineStr">
        <is>
          <t>(Salaries and charges)</t>
        </is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0</v>
      </c>
      <c r="F178" s="57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>0</v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0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0</v>
      </c>
      <c r="I178" s="58">
        <f>SUM(E178:H178)</f>
        <v>0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0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0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0</v>
      </c>
      <c r="N178" s="58">
        <f>SUM(J178:M178)</f>
        <v>0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0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0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0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0</v>
      </c>
      <c r="S178" s="58">
        <f>SUM(O178:R178)</f>
        <v>0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0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0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0</v>
      </c>
      <c r="X178" s="58">
        <f>SUM(T178:W178)</f>
        <v>0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0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0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0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0</v>
      </c>
      <c r="AC178" s="58">
        <f>SUM(Y178:AB178)</f>
        <v>0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0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0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0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0</v>
      </c>
      <c r="AH178" s="58">
        <f>SUM(AD178:AG178)</f>
        <v>0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0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0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0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hidden="1" outlineLevel="1">
      <c r="B179" s="56" t="inlineStr">
        <is>
          <t>pes_benef</t>
        </is>
      </c>
      <c r="C179" s="11" t="inlineStr">
        <is>
          <t>(Benefícios)</t>
        </is>
      </c>
      <c r="D179" s="12" t="inlineStr">
        <is>
          <t>(Benefits)</t>
        </is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0</v>
      </c>
      <c r="F179" s="57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>0</v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0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0</v>
      </c>
      <c r="I179" s="58">
        <f>SUM(E179:H179)</f>
        <v>0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0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0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0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0</v>
      </c>
      <c r="N179" s="58">
        <f>SUM(J179:M179)</f>
        <v>0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0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0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0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0</v>
      </c>
      <c r="S179" s="58">
        <f>SUM(O179:R179)</f>
        <v>0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0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0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0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0</v>
      </c>
      <c r="X179" s="58">
        <f>SUM(T179:W179)</f>
        <v>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0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0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0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0</v>
      </c>
      <c r="AC179" s="58">
        <f>SUM(Y179:AB179)</f>
        <v>0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0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0</v>
      </c>
      <c r="AH179" s="58">
        <f>SUM(AD179:AG179)</f>
        <v>0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0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0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0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hidden="1" outlineLevel="1">
      <c r="B180" s="56" t="inlineStr">
        <is>
          <t>pes_plr</t>
        </is>
      </c>
      <c r="C180" s="11" t="inlineStr">
        <is>
          <t>(Participação nos lucros)</t>
        </is>
      </c>
      <c r="D180" s="12" t="inlineStr">
        <is>
          <t>(Profit sharing)</t>
        </is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-37.132</v>
      </c>
      <c r="F180" s="57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>-27.399</v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-28.749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-34.619</v>
      </c>
      <c r="I180" s="58">
        <f>SUM(E180:H180)</f>
        <v>-127.899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-38.966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-38.118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-39.165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-45.809</v>
      </c>
      <c r="N180" s="58">
        <f>SUM(J180:M180)</f>
        <v>-162.058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-54.758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-56.027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-73.075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-66.95</v>
      </c>
      <c r="S180" s="58">
        <f>SUM(O180:R180)</f>
        <v>-250.81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-61.356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-58.791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-76.078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-63.266</v>
      </c>
      <c r="X180" s="58">
        <f>SUM(T180:W180)</f>
        <v>-259.491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-59.38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-63.837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-64.349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-71.754</v>
      </c>
      <c r="AC180" s="58">
        <f>SUM(Y180:AB180)</f>
        <v>-259.32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-61.793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-50.063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-74.978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-74.185</v>
      </c>
      <c r="AH180" s="58">
        <f>SUM(AD180:AG180)</f>
        <v>-261.019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-73.178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-72.707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-145.885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hidden="1" outlineLevel="1">
      <c r="B181" s="56" t="inlineStr">
        <is>
          <t>pes_out</t>
        </is>
      </c>
      <c r="C181" s="11" t="inlineStr">
        <is>
          <t>(Demais despesas de pessoal)</t>
        </is>
      </c>
      <c r="D181" s="12" t="inlineStr">
        <is>
          <t>(Other personnel)</t>
        </is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0</v>
      </c>
      <c r="F181" s="57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>0</v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0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0</v>
      </c>
      <c r="I181" s="58">
        <f>SUM(E181:H181)</f>
        <v>0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0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0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0</v>
      </c>
      <c r="N181" s="58">
        <f>SUM(J181:M181)</f>
        <v>0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0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0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0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0</v>
      </c>
      <c r="S181" s="58">
        <f>SUM(O181:R181)</f>
        <v>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0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0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0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0</v>
      </c>
      <c r="X181" s="58">
        <f>SUM(T181:W181)</f>
        <v>0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0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0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0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0</v>
      </c>
      <c r="AC181" s="58">
        <f>SUM(Y181:AB181)</f>
        <v>0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0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0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0</v>
      </c>
      <c r="AH181" s="58">
        <f>SUM(AD181:AG181)</f>
        <v>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0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0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3">
      <c r="B183" s="29" t="n"/>
      <c r="C183" s="29" t="inlineStr">
        <is>
          <t>Despesas administrativas por natureza</t>
        </is>
      </c>
      <c r="D183" s="29" t="inlineStr">
        <is>
          <t>Admin expenses by nature</t>
        </is>
      </c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  <c r="AA183" s="29" t="n"/>
      <c r="AB183" s="29" t="n"/>
      <c r="AC183" s="29" t="n"/>
      <c r="AD183" s="29" t="n"/>
      <c r="AE183" s="29" t="n"/>
      <c r="AF183" s="29" t="n"/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  <c r="AW183" s="29" t="n"/>
      <c r="AX183" s="29" t="n"/>
      <c r="AY183" s="29" t="n"/>
      <c r="AZ183" s="29" t="n"/>
      <c r="BA183" s="29" t="n"/>
      <c r="BB183" s="29" t="n"/>
      <c r="BC183" s="29" t="n"/>
      <c r="BD183" s="29" t="n"/>
      <c r="BE183" s="29" t="n"/>
      <c r="BF183" s="29" t="n"/>
      <c r="BG183" s="29" t="n"/>
      <c r="BH183" s="29" t="n"/>
      <c r="BI183" s="29" t="n"/>
    </row>
    <row r="184" hidden="1" outlineLevel="1">
      <c r="B184" s="56" t="inlineStr">
        <is>
          <t>adm_proc</t>
        </is>
      </c>
      <c r="C184" s="11" t="inlineStr">
        <is>
          <t>(Processamento de dados e tecnologia)</t>
        </is>
      </c>
      <c r="D184" s="12" t="inlineStr">
        <is>
          <t>(Data processing and IT)</t>
        </is>
      </c>
      <c r="E184" s="57">
        <f>IF(ISNA(SUMIFS(INDEX(Inputs!$B$2:$AZ$190,,MATCH(SUBSTITUTE(E$3,"Q","T"),Inputs!$B$2:$AZ$2,0)),Inputs!$B$2:$B$190,$B184)*Inputs!$D$1),"",SUMIFS(INDEX(Inputs!$B$2:$AZ$190,,MATCH(SUBSTITUTE(E$3,"Q","T"),Inputs!$B$2:$AZ$2,0)),Inputs!$B$2:$B$190,$B184)*Inputs!$D$1)</f>
        <v>0</v>
      </c>
      <c r="F184" s="57">
        <f>IF(ISNA(SUMIFS(INDEX(Inputs!$B$2:$AZ$190,,MATCH(SUBSTITUTE(F$3,"Q","T"),Inputs!$B$2:$AZ$2,0)),Inputs!$B$2:$B$190,$B184)*Inputs!$D$1),"",SUMIFS(INDEX(Inputs!$B$2:$AZ$190,,MATCH(SUBSTITUTE(F$3,"Q","T"),Inputs!$B$2:$AZ$2,0)),Inputs!$B$2:$B$190,$B184)*Inputs!$D$1)</f>
        <v>0</v>
      </c>
      <c r="G184" s="57">
        <f>IF(ISNA(SUMIFS(INDEX(Inputs!$B$2:$AZ$190,,MATCH(SUBSTITUTE(G$3,"Q","T"),Inputs!$B$2:$AZ$2,0)),Inputs!$B$2:$B$190,$B184)*Inputs!$D$1),"",SUMIFS(INDEX(Inputs!$B$2:$AZ$190,,MATCH(SUBSTITUTE(G$3,"Q","T"),Inputs!$B$2:$AZ$2,0)),Inputs!$B$2:$B$190,$B184)*Inputs!$D$1)</f>
        <v>0</v>
      </c>
      <c r="H184" s="57">
        <f>IF(ISNA(SUMIFS(INDEX(Inputs!$B$2:$AZ$190,,MATCH(SUBSTITUTE(H$3,"Q","T"),Inputs!$B$2:$AZ$2,0)),Inputs!$B$2:$B$190,$B184)*Inputs!$D$1),"",SUMIFS(INDEX(Inputs!$B$2:$AZ$190,,MATCH(SUBSTITUTE(H$3,"Q","T"),Inputs!$B$2:$AZ$2,0)),Inputs!$B$2:$B$190,$B184)*Inputs!$D$1)</f>
        <v>0</v>
      </c>
      <c r="I184" s="58">
        <f>SUM(E184:H184)</f>
        <v>0</v>
      </c>
      <c r="J184" s="57">
        <f>IF(ISNA(SUMIFS(INDEX(Inputs!$B$2:$AZ$190,,MATCH(SUBSTITUTE(J$3,"Q","T"),Inputs!$B$2:$AZ$2,0)),Inputs!$B$2:$B$190,$B184)*Inputs!$D$1),"",SUMIFS(INDEX(Inputs!$B$2:$AZ$190,,MATCH(SUBSTITUTE(J$3,"Q","T"),Inputs!$B$2:$AZ$2,0)),Inputs!$B$2:$B$190,$B184)*Inputs!$D$1)</f>
        <v>0</v>
      </c>
      <c r="K184" s="57">
        <f>IF(ISNA(SUMIFS(INDEX(Inputs!$B$2:$AZ$190,,MATCH(SUBSTITUTE(K$3,"Q","T"),Inputs!$B$2:$AZ$2,0)),Inputs!$B$2:$B$190,$B184)*Inputs!$D$1),"",SUMIFS(INDEX(Inputs!$B$2:$AZ$190,,MATCH(SUBSTITUTE(K$3,"Q","T"),Inputs!$B$2:$AZ$2,0)),Inputs!$B$2:$B$190,$B184)*Inputs!$D$1)</f>
        <v>0</v>
      </c>
      <c r="L184" s="57">
        <f>IF(ISNA(SUMIFS(INDEX(Inputs!$B$2:$AZ$190,,MATCH(SUBSTITUTE(L$3,"Q","T"),Inputs!$B$2:$AZ$2,0)),Inputs!$B$2:$B$190,$B184)*Inputs!$D$1),"",SUMIFS(INDEX(Inputs!$B$2:$AZ$190,,MATCH(SUBSTITUTE(L$3,"Q","T"),Inputs!$B$2:$AZ$2,0)),Inputs!$B$2:$B$190,$B184)*Inputs!$D$1)</f>
        <v>0</v>
      </c>
      <c r="M184" s="57">
        <f>IF(ISNA(SUMIFS(INDEX(Inputs!$B$2:$AZ$190,,MATCH(SUBSTITUTE(M$3,"Q","T"),Inputs!$B$2:$AZ$2,0)),Inputs!$B$2:$B$190,$B184)*Inputs!$D$1),"",SUMIFS(INDEX(Inputs!$B$2:$AZ$190,,MATCH(SUBSTITUTE(M$3,"Q","T"),Inputs!$B$2:$AZ$2,0)),Inputs!$B$2:$B$190,$B184)*Inputs!$D$1)</f>
        <v>0</v>
      </c>
      <c r="N184" s="58">
        <f>SUM(J184:M184)</f>
        <v>0</v>
      </c>
      <c r="O184" s="57">
        <f>IF(ISNA(SUMIFS(INDEX(Inputs!$B$2:$AZ$190,,MATCH(SUBSTITUTE(O$3,"Q","T"),Inputs!$B$2:$AZ$2,0)),Inputs!$B$2:$B$190,$B184)*Inputs!$D$1),"",SUMIFS(INDEX(Inputs!$B$2:$AZ$190,,MATCH(SUBSTITUTE(O$3,"Q","T"),Inputs!$B$2:$AZ$2,0)),Inputs!$B$2:$B$190,$B184)*Inputs!$D$1)</f>
        <v>0</v>
      </c>
      <c r="P184" s="57">
        <f>IF(ISNA(SUMIFS(INDEX(Inputs!$B$2:$AZ$190,,MATCH(SUBSTITUTE(P$3,"Q","T"),Inputs!$B$2:$AZ$2,0)),Inputs!$B$2:$B$190,$B184)*Inputs!$D$1),"",SUMIFS(INDEX(Inputs!$B$2:$AZ$190,,MATCH(SUBSTITUTE(P$3,"Q","T"),Inputs!$B$2:$AZ$2,0)),Inputs!$B$2:$B$190,$B184)*Inputs!$D$1)</f>
        <v>0</v>
      </c>
      <c r="Q184" s="57">
        <f>IF(ISNA(SUMIFS(INDEX(Inputs!$B$2:$AZ$190,,MATCH(SUBSTITUTE(Q$3,"Q","T"),Inputs!$B$2:$AZ$2,0)),Inputs!$B$2:$B$190,$B184)*Inputs!$D$1),"",SUMIFS(INDEX(Inputs!$B$2:$AZ$190,,MATCH(SUBSTITUTE(Q$3,"Q","T"),Inputs!$B$2:$AZ$2,0)),Inputs!$B$2:$B$190,$B184)*Inputs!$D$1)</f>
        <v>0</v>
      </c>
      <c r="R184" s="57">
        <f>IF(ISNA(SUMIFS(INDEX(Inputs!$B$2:$AZ$190,,MATCH(SUBSTITUTE(R$3,"Q","T"),Inputs!$B$2:$AZ$2,0)),Inputs!$B$2:$B$190,$B184)*Inputs!$D$1),"",SUMIFS(INDEX(Inputs!$B$2:$AZ$190,,MATCH(SUBSTITUTE(R$3,"Q","T"),Inputs!$B$2:$AZ$2,0)),Inputs!$B$2:$B$190,$B184)*Inputs!$D$1)</f>
        <v>0</v>
      </c>
      <c r="S184" s="58">
        <f>SUM(O184:R184)</f>
        <v>0</v>
      </c>
      <c r="T184" s="57">
        <f>IF(ISNA(SUMIFS(INDEX(Inputs!$B$2:$AZ$190,,MATCH(SUBSTITUTE(T$3,"Q","T"),Inputs!$B$2:$AZ$2,0)),Inputs!$B$2:$B$190,$B184)*Inputs!$D$1),"",SUMIFS(INDEX(Inputs!$B$2:$AZ$190,,MATCH(SUBSTITUTE(T$3,"Q","T"),Inputs!$B$2:$AZ$2,0)),Inputs!$B$2:$B$190,$B184)*Inputs!$D$1)</f>
        <v>0</v>
      </c>
      <c r="U184" s="57">
        <f>IF(ISNA(SUMIFS(INDEX(Inputs!$B$2:$AZ$190,,MATCH(SUBSTITUTE(U$3,"Q","T"),Inputs!$B$2:$AZ$2,0)),Inputs!$B$2:$B$190,$B184)*Inputs!$D$1),"",SUMIFS(INDEX(Inputs!$B$2:$AZ$190,,MATCH(SUBSTITUTE(U$3,"Q","T"),Inputs!$B$2:$AZ$2,0)),Inputs!$B$2:$B$190,$B184)*Inputs!$D$1)</f>
        <v>0</v>
      </c>
      <c r="V184" s="57">
        <f>IF(ISNA(SUMIFS(INDEX(Inputs!$B$2:$AZ$190,,MATCH(SUBSTITUTE(V$3,"Q","T"),Inputs!$B$2:$AZ$2,0)),Inputs!$B$2:$B$190,$B184)*Inputs!$D$1),"",SUMIFS(INDEX(Inputs!$B$2:$AZ$190,,MATCH(SUBSTITUTE(V$3,"Q","T"),Inputs!$B$2:$AZ$2,0)),Inputs!$B$2:$B$190,$B184)*Inputs!$D$1)</f>
        <v>0</v>
      </c>
      <c r="W184" s="57">
        <f>IF(ISNA(SUMIFS(INDEX(Inputs!$B$2:$AZ$190,,MATCH(SUBSTITUTE(W$3,"Q","T"),Inputs!$B$2:$AZ$2,0)),Inputs!$B$2:$B$190,$B184)*Inputs!$D$1),"",SUMIFS(INDEX(Inputs!$B$2:$AZ$190,,MATCH(SUBSTITUTE(W$3,"Q","T"),Inputs!$B$2:$AZ$2,0)),Inputs!$B$2:$B$190,$B184)*Inputs!$D$1)</f>
        <v>0</v>
      </c>
      <c r="X184" s="58">
        <f>SUM(T184:W184)</f>
        <v>0</v>
      </c>
      <c r="Y184" s="57">
        <f>IF(ISNA(SUMIFS(INDEX(Inputs!$B$2:$AZ$190,,MATCH(SUBSTITUTE(Y$3,"Q","T"),Inputs!$B$2:$AZ$2,0)),Inputs!$B$2:$B$190,$B184)*Inputs!$D$1),"",SUMIFS(INDEX(Inputs!$B$2:$AZ$190,,MATCH(SUBSTITUTE(Y$3,"Q","T"),Inputs!$B$2:$AZ$2,0)),Inputs!$B$2:$B$190,$B184)*Inputs!$D$1)</f>
        <v>0</v>
      </c>
      <c r="Z184" s="57">
        <f>IF(ISNA(SUMIFS(INDEX(Inputs!$B$2:$AZ$190,,MATCH(SUBSTITUTE(Z$3,"Q","T"),Inputs!$B$2:$AZ$2,0)),Inputs!$B$2:$B$190,$B184)*Inputs!$D$1),"",SUMIFS(INDEX(Inputs!$B$2:$AZ$190,,MATCH(SUBSTITUTE(Z$3,"Q","T"),Inputs!$B$2:$AZ$2,0)),Inputs!$B$2:$B$190,$B184)*Inputs!$D$1)</f>
        <v>0</v>
      </c>
      <c r="AA184" s="57">
        <f>IF(ISNA(SUMIFS(INDEX(Inputs!$B$2:$AZ$190,,MATCH(SUBSTITUTE(AA$3,"Q","T"),Inputs!$B$2:$AZ$2,0)),Inputs!$B$2:$B$190,$B184)*Inputs!$D$1),"",SUMIFS(INDEX(Inputs!$B$2:$AZ$190,,MATCH(SUBSTITUTE(AA$3,"Q","T"),Inputs!$B$2:$AZ$2,0)),Inputs!$B$2:$B$190,$B184)*Inputs!$D$1)</f>
        <v>0</v>
      </c>
      <c r="AB184" s="57">
        <f>IF(ISNA(SUMIFS(INDEX(Inputs!$B$2:$AZ$190,,MATCH(SUBSTITUTE(AB$3,"Q","T"),Inputs!$B$2:$AZ$2,0)),Inputs!$B$2:$B$190,$B184)*Inputs!$D$1),"",SUMIFS(INDEX(Inputs!$B$2:$AZ$190,,MATCH(SUBSTITUTE(AB$3,"Q","T"),Inputs!$B$2:$AZ$2,0)),Inputs!$B$2:$B$190,$B184)*Inputs!$D$1)</f>
        <v>0</v>
      </c>
      <c r="AC184" s="58">
        <f>SUM(Y184:AB184)</f>
        <v>0</v>
      </c>
      <c r="AD184" s="57">
        <f>IF(ISNA(SUMIFS(INDEX(Inputs!$B$2:$AZ$190,,MATCH(SUBSTITUTE(AD$3,"Q","T"),Inputs!$B$2:$AZ$2,0)),Inputs!$B$2:$B$190,$B184)*Inputs!$D$1),"",SUMIFS(INDEX(Inputs!$B$2:$AZ$190,,MATCH(SUBSTITUTE(AD$3,"Q","T"),Inputs!$B$2:$AZ$2,0)),Inputs!$B$2:$B$190,$B184)*Inputs!$D$1)</f>
        <v>0</v>
      </c>
      <c r="AE184" s="57">
        <f>IF(ISNA(SUMIFS(INDEX(Inputs!$B$2:$AZ$190,,MATCH(SUBSTITUTE(AE$3,"Q","T"),Inputs!$B$2:$AZ$2,0)),Inputs!$B$2:$B$190,$B184)*Inputs!$D$1),"",SUMIFS(INDEX(Inputs!$B$2:$AZ$190,,MATCH(SUBSTITUTE(AE$3,"Q","T"),Inputs!$B$2:$AZ$2,0)),Inputs!$B$2:$B$190,$B184)*Inputs!$D$1)</f>
        <v>0</v>
      </c>
      <c r="AF184" s="57">
        <f>IF(ISNA(SUMIFS(INDEX(Inputs!$B$2:$AZ$190,,MATCH(SUBSTITUTE(AF$3,"Q","T"),Inputs!$B$2:$AZ$2,0)),Inputs!$B$2:$B$190,$B184)*Inputs!$D$1),"",SUMIFS(INDEX(Inputs!$B$2:$AZ$190,,MATCH(SUBSTITUTE(AF$3,"Q","T"),Inputs!$B$2:$AZ$2,0)),Inputs!$B$2:$B$190,$B184)*Inputs!$D$1)</f>
        <v>0</v>
      </c>
      <c r="AG184" s="57">
        <f>IF(ISNA(SUMIFS(INDEX(Inputs!$B$2:$AZ$190,,MATCH(SUBSTITUTE(AG$3,"Q","T"),Inputs!$B$2:$AZ$2,0)),Inputs!$B$2:$B$190,$B184)*Inputs!$D$1),"",SUMIFS(INDEX(Inputs!$B$2:$AZ$190,,MATCH(SUBSTITUTE(AG$3,"Q","T"),Inputs!$B$2:$AZ$2,0)),Inputs!$B$2:$B$190,$B184)*Inputs!$D$1)</f>
        <v>0</v>
      </c>
      <c r="AH184" s="58">
        <f>SUM(AD184:AG184)</f>
        <v>0</v>
      </c>
      <c r="AI184" s="57">
        <f>IF(ISNA(SUMIFS(INDEX(Inputs!$B$2:$AZ$190,,MATCH(SUBSTITUTE(AI$3,"Q","T"),Inputs!$B$2:$AZ$2,0)),Inputs!$B$2:$B$190,$B184)*Inputs!$D$1),"",SUMIFS(INDEX(Inputs!$B$2:$AZ$190,,MATCH(SUBSTITUTE(AI$3,"Q","T"),Inputs!$B$2:$AZ$2,0)),Inputs!$B$2:$B$190,$B184)*Inputs!$D$1)</f>
        <v>0</v>
      </c>
      <c r="AJ184" s="57">
        <f>IF(ISNA(SUMIFS(INDEX(Inputs!$B$2:$AZ$190,,MATCH(SUBSTITUTE(AJ$3,"Q","T"),Inputs!$B$2:$AZ$2,0)),Inputs!$B$2:$B$190,$B184)*Inputs!$D$1),"",SUMIFS(INDEX(Inputs!$B$2:$AZ$190,,MATCH(SUBSTITUTE(AJ$3,"Q","T"),Inputs!$B$2:$AZ$2,0)),Inputs!$B$2:$B$190,$B184)*Inputs!$D$1)</f>
        <v>0</v>
      </c>
      <c r="AK184" s="57">
        <f>IF(ISNA(SUMIFS(INDEX(Inputs!$B$2:$AZ$190,,MATCH(SUBSTITUTE(AK$3,"Q","T"),Inputs!$B$2:$AZ$2,0)),Inputs!$B$2:$B$190,$B184)*Inputs!$D$1),"",SUMIFS(INDEX(Inputs!$B$2:$AZ$190,,MATCH(SUBSTITUTE(AK$3,"Q","T"),Inputs!$B$2:$AZ$2,0)),Inputs!$B$2:$B$190,$B184)*Inputs!$D$1)</f>
        <v>0</v>
      </c>
      <c r="AL184" s="57">
        <f>IF(ISNA(SUMIFS(INDEX(Inputs!$B$2:$AZ$190,,MATCH(SUBSTITUTE(AL$3,"Q","T"),Inputs!$B$2:$AZ$2,0)),Inputs!$B$2:$B$190,$B184)*Inputs!$D$1),"",SUMIFS(INDEX(Inputs!$B$2:$AZ$190,,MATCH(SUBSTITUTE(AL$3,"Q","T"),Inputs!$B$2:$AZ$2,0)),Inputs!$B$2:$B$190,$B184)*Inputs!$D$1)</f>
        <v>0</v>
      </c>
      <c r="AM184" s="58">
        <f>SUM(AI184:AL184)</f>
        <v>0</v>
      </c>
      <c r="AN184" s="57">
        <f>IF(ISNA(SUMIFS(INDEX(Inputs!$B$2:$AZ$190,,MATCH(SUBSTITUTE(AN$3,"Q","T"),Inputs!$B$2:$AZ$2,0)),Inputs!$B$2:$B$190,$B184)*Inputs!$D$1),"",SUMIFS(INDEX(Inputs!$B$2:$AZ$190,,MATCH(SUBSTITUTE(AN$3,"Q","T"),Inputs!$B$2:$AZ$2,0)),Inputs!$B$2:$B$190,$B184)*Inputs!$D$1)</f>
        <v>0</v>
      </c>
      <c r="AO184" s="57">
        <f>IF(ISNA(SUMIFS(INDEX(Inputs!$B$2:$AZ$190,,MATCH(SUBSTITUTE(AO$3,"Q","T"),Inputs!$B$2:$AZ$2,0)),Inputs!$B$2:$B$190,$B184)*Inputs!$D$1),"",SUMIFS(INDEX(Inputs!$B$2:$AZ$190,,MATCH(SUBSTITUTE(AO$3,"Q","T"),Inputs!$B$2:$AZ$2,0)),Inputs!$B$2:$B$190,$B184)*Inputs!$D$1)</f>
        <v>0</v>
      </c>
      <c r="AP184" s="57">
        <f>IF(ISNA(SUMIFS(INDEX(Inputs!$B$2:$AZ$190,,MATCH(SUBSTITUTE(AP$3,"Q","T"),Inputs!$B$2:$AZ$2,0)),Inputs!$B$2:$B$190,$B184)*Inputs!$D$1),"",SUMIFS(INDEX(Inputs!$B$2:$AZ$190,,MATCH(SUBSTITUTE(AP$3,"Q","T"),Inputs!$B$2:$AZ$2,0)),Inputs!$B$2:$B$190,$B184)*Inputs!$D$1)</f>
        <v>0</v>
      </c>
      <c r="AQ184" s="57">
        <f>IF(ISNA(SUMIFS(INDEX(Inputs!$B$2:$AZ$190,,MATCH(SUBSTITUTE(AQ$3,"Q","T"),Inputs!$B$2:$AZ$2,0)),Inputs!$B$2:$B$190,$B184)*Inputs!$D$1),"",SUMIFS(INDEX(Inputs!$B$2:$AZ$190,,MATCH(SUBSTITUTE(AQ$3,"Q","T"),Inputs!$B$2:$AZ$2,0)),Inputs!$B$2:$B$190,$B184)*Inputs!$D$1)</f>
        <v>0</v>
      </c>
      <c r="AR184" s="58">
        <f>SUM(AN184:AQ184)</f>
        <v>0</v>
      </c>
      <c r="AS184" s="57">
        <f>IF(ISNA(SUMIFS(INDEX(Inputs!$B$2:$AZ$190,,MATCH(SUBSTITUTE(AS$3,"Q","T"),Inputs!$B$2:$AZ$2,0)),Inputs!$B$2:$B$190,$B184)*Inputs!$D$1),"",SUMIFS(INDEX(Inputs!$B$2:$AZ$190,,MATCH(SUBSTITUTE(AS$3,"Q","T"),Inputs!$B$2:$AZ$2,0)),Inputs!$B$2:$B$190,$B184)*Inputs!$D$1)</f>
        <v>0</v>
      </c>
      <c r="AT184" s="57">
        <f>IF(ISNA(SUMIFS(INDEX(Inputs!$B$2:$AZ$190,,MATCH(SUBSTITUTE(AT$3,"Q","T"),Inputs!$B$2:$AZ$2,0)),Inputs!$B$2:$B$190,$B184)*Inputs!$D$1),"",SUMIFS(INDEX(Inputs!$B$2:$AZ$190,,MATCH(SUBSTITUTE(AT$3,"Q","T"),Inputs!$B$2:$AZ$2,0)),Inputs!$B$2:$B$190,$B184)*Inputs!$D$1)</f>
        <v>0</v>
      </c>
      <c r="AU184" s="57">
        <f>IF(ISNA(SUMIFS(INDEX(Inputs!$B$2:$AZ$190,,MATCH(SUBSTITUTE(AU$3,"Q","T"),Inputs!$B$2:$AZ$2,0)),Inputs!$B$2:$B$190,$B184)*Inputs!$D$1),"",SUMIFS(INDEX(Inputs!$B$2:$AZ$190,,MATCH(SUBSTITUTE(AU$3,"Q","T"),Inputs!$B$2:$AZ$2,0)),Inputs!$B$2:$B$190,$B184)*Inputs!$D$1)</f>
        <v>0</v>
      </c>
      <c r="AV184" s="57">
        <f>IF(ISNA(SUMIFS(INDEX(Inputs!$B$2:$AZ$190,,MATCH(SUBSTITUTE(AV$3,"Q","T"),Inputs!$B$2:$AZ$2,0)),Inputs!$B$2:$B$190,$B184)*Inputs!$D$1),"",SUMIFS(INDEX(Inputs!$B$2:$AZ$190,,MATCH(SUBSTITUTE(AV$3,"Q","T"),Inputs!$B$2:$AZ$2,0)),Inputs!$B$2:$B$190,$B184)*Inputs!$D$1)</f>
        <v>0</v>
      </c>
      <c r="AW184" s="58">
        <f>SUM(AS184:AV184)</f>
        <v>0</v>
      </c>
      <c r="AX184" s="57">
        <f>IF(ISNA(SUMIFS(INDEX(Inputs!$B$2:$AZ$190,,MATCH(SUBSTITUTE(AX$3,"Q","T"),Inputs!$B$2:$AZ$2,0)),Inputs!$B$2:$B$190,$B184)*Inputs!$D$1),"",SUMIFS(INDEX(Inputs!$B$2:$AZ$190,,MATCH(SUBSTITUTE(AX$3,"Q","T"),Inputs!$B$2:$AZ$2,0)),Inputs!$B$2:$B$190,$B184)*Inputs!$D$1)</f>
        <v>0</v>
      </c>
      <c r="AY184" s="57">
        <f>IF(ISNA(SUMIFS(INDEX(Inputs!$B$2:$AZ$190,,MATCH(SUBSTITUTE(AY$3,"Q","T"),Inputs!$B$2:$AZ$2,0)),Inputs!$B$2:$B$190,$B184)*Inputs!$D$1),"",SUMIFS(INDEX(Inputs!$B$2:$AZ$190,,MATCH(SUBSTITUTE(AY$3,"Q","T"),Inputs!$B$2:$AZ$2,0)),Inputs!$B$2:$B$190,$B184)*Inputs!$D$1)</f>
        <v>0</v>
      </c>
      <c r="AZ184" s="57">
        <f>IF(ISNA(SUMIFS(INDEX(Inputs!$B$2:$AZ$190,,MATCH(SUBSTITUTE(AZ$3,"Q","T"),Inputs!$B$2:$AZ$2,0)),Inputs!$B$2:$B$190,$B184)*Inputs!$D$1),"",SUMIFS(INDEX(Inputs!$B$2:$AZ$190,,MATCH(SUBSTITUTE(AZ$3,"Q","T"),Inputs!$B$2:$AZ$2,0)),Inputs!$B$2:$B$190,$B184)*Inputs!$D$1)</f>
        <v>0</v>
      </c>
      <c r="BA184" s="57">
        <f>IF(ISNA(SUMIFS(INDEX(Inputs!$B$2:$AZ$190,,MATCH(SUBSTITUTE(BA$3,"Q","T"),Inputs!$B$2:$AZ$2,0)),Inputs!$B$2:$B$190,$B184)*Inputs!$D$1),"",SUMIFS(INDEX(Inputs!$B$2:$AZ$190,,MATCH(SUBSTITUTE(BA$3,"Q","T"),Inputs!$B$2:$AZ$2,0)),Inputs!$B$2:$B$190,$B184)*Inputs!$D$1)</f>
        <v>0</v>
      </c>
      <c r="BB184" s="58">
        <f>SUM(AX184:BA184)</f>
        <v>0</v>
      </c>
      <c r="BC184" s="57">
        <f>IF(ISNA(SUMIFS(INDEX(Inputs!$B$2:$AZ$190,,MATCH(SUBSTITUTE(BC$3,"Q","T"),Inputs!$B$2:$AZ$2,0)),Inputs!$B$2:$B$190,$B184)*Inputs!$D$1),"",SUMIFS(INDEX(Inputs!$B$2:$AZ$190,,MATCH(SUBSTITUTE(BC$3,"Q","T"),Inputs!$B$2:$AZ$2,0)),Inputs!$B$2:$B$190,$B184)*Inputs!$D$1)</f>
        <v>0</v>
      </c>
      <c r="BD184" s="57">
        <f>IF(ISNA(SUMIFS(INDEX(Inputs!$B$2:$AZ$190,,MATCH(SUBSTITUTE(BD$3,"Q","T"),Inputs!$B$2:$AZ$2,0)),Inputs!$B$2:$B$190,$B184)*Inputs!$D$1),"",SUMIFS(INDEX(Inputs!$B$2:$AZ$190,,MATCH(SUBSTITUTE(BD$3,"Q","T"),Inputs!$B$2:$AZ$2,0)),Inputs!$B$2:$B$190,$B184)*Inputs!$D$1)</f>
        <v>0</v>
      </c>
      <c r="BE184" s="57">
        <f>IF(ISNA(SUMIFS(INDEX(Inputs!$B$2:$AZ$190,,MATCH(SUBSTITUTE(BE$3,"Q","T"),Inputs!$B$2:$AZ$2,0)),Inputs!$B$2:$B$190,$B184)*Inputs!$D$1),"",SUMIFS(INDEX(Inputs!$B$2:$AZ$190,,MATCH(SUBSTITUTE(BE$3,"Q","T"),Inputs!$B$2:$AZ$2,0)),Inputs!$B$2:$B$190,$B184)*Inputs!$D$1)</f>
        <v>0</v>
      </c>
      <c r="BF184" s="57">
        <f>IF(ISNA(SUMIFS(INDEX(Inputs!$B$2:$AZ$190,,MATCH(SUBSTITUTE(BF$3,"Q","T"),Inputs!$B$2:$AZ$2,0)),Inputs!$B$2:$B$190,$B184)*Inputs!$D$1),"",SUMIFS(INDEX(Inputs!$B$2:$AZ$190,,MATCH(SUBSTITUTE(BF$3,"Q","T"),Inputs!$B$2:$AZ$2,0)),Inputs!$B$2:$B$190,$B184)*Inputs!$D$1)</f>
        <v>0</v>
      </c>
      <c r="BG184" s="58">
        <f>SUM(BC184:BF184)</f>
        <v>0</v>
      </c>
    </row>
    <row r="185" hidden="1" outlineLevel="1">
      <c r="B185" s="56" t="inlineStr">
        <is>
          <t>adm_alug</t>
        </is>
      </c>
      <c r="C185" s="11" t="inlineStr">
        <is>
          <t>(Aluguéis e manutenção)</t>
        </is>
      </c>
      <c r="D185" s="12" t="inlineStr">
        <is>
          <t>(Rent and maintenance)</t>
        </is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>0</v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>SUM(E185:H185)</f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>SUM(J185:M185)</f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>SUM(O185:R185)</f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>SUM(T185:W185)</f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>SUM(Y185:AB185)</f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>SUM(AD185:AG185)</f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>SUM(AI185:AL185)</f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>SUM(AN185:AQ185)</f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>SUM(AS185:AV185)</f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>SUM(AX185:BA185)</f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>SUM(BC185:BF185)</f>
        <v>0</v>
      </c>
    </row>
    <row r="186" hidden="1" outlineLevel="1">
      <c r="B186" s="56" t="inlineStr">
        <is>
          <t>adm_mkt</t>
        </is>
      </c>
      <c r="C186" s="11" t="inlineStr">
        <is>
          <t>(Propaganda e marketing)</t>
        </is>
      </c>
      <c r="D186" s="12" t="inlineStr">
        <is>
          <t>(Marketing)</t>
        </is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>0</v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>SUM(E186:H186)</f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>SUM(J186:M186)</f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>SUM(O186:R186)</f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>SUM(T186:W186)</f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>SUM(Y186:AB186)</f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>SUM(AD186:AG186)</f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>SUM(AI186:AL186)</f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>SUM(AN186:AQ186)</f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>SUM(AS186:AV186)</f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>SUM(AX186:BA186)</f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>SUM(BC186:BF186)</f>
        <v>0</v>
      </c>
    </row>
    <row r="187" hidden="1" outlineLevel="1">
      <c r="B187" s="56" t="inlineStr">
        <is>
          <t>adm_terc</t>
        </is>
      </c>
      <c r="C187" s="11" t="inlineStr">
        <is>
          <t>(Serviços de terceiros)</t>
        </is>
      </c>
      <c r="D187" s="12" t="inlineStr">
        <is>
          <t>(Third-party services)</t>
        </is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>0</v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>SUM(E187:H187)</f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>SUM(J187:M187)</f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>SUM(O187:R187)</f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>SUM(T187:W187)</f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>SUM(Y187:AB187)</f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>SUM(AD187:AG187)</f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>SUM(AI187:AL187)</f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>SUM(AN187:AQ187)</f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>SUM(AS187:AV187)</f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>SUM(AX187:BA187)</f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>SUM(BC187:BF187)</f>
        <v>0</v>
      </c>
    </row>
    <row r="188" hidden="1" outlineLevel="1">
      <c r="B188" s="56" t="inlineStr">
        <is>
          <t>adm_deprec</t>
        </is>
      </c>
      <c r="C188" s="11" t="inlineStr">
        <is>
          <t>(Depreciação e amortização)</t>
        </is>
      </c>
      <c r="D188" s="12" t="inlineStr">
        <is>
          <t>(Depreciation and amortisation)</t>
        </is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>0</v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>SUM(E188:H188)</f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>SUM(J188:M188)</f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>SUM(O188:R188)</f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>SUM(T188:W188)</f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>SUM(Y188:AB188)</f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>SUM(AD188:AG188)</f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>SUM(AI188:AL188)</f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>SUM(AN188:AQ188)</f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>SUM(AS188:AV188)</f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>SUM(AX188:BA188)</f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>SUM(BC188:BF188)</f>
        <v>0</v>
      </c>
    </row>
    <row r="189" hidden="1" outlineLevel="1">
      <c r="B189" s="56" t="inlineStr">
        <is>
          <t>adm_out</t>
        </is>
      </c>
      <c r="C189" s="11" t="inlineStr">
        <is>
          <t>(Demais despesas administrativas)</t>
        </is>
      </c>
      <c r="D189" s="12" t="inlineStr">
        <is>
          <t>(Other admin)</t>
        </is>
      </c>
      <c r="E189" s="57">
        <f>IF(ISNA(SUMIFS(INDEX(Inputs!$B$2:$AZ$190,,MATCH(SUBSTITUTE(E$3,"Q","T"),Inputs!$B$2:$AZ$2,0)),Inputs!$B$2:$B$190,$B189)*Inputs!$D$1),"",SUMIFS(INDEX(Inputs!$B$2:$AZ$190,,MATCH(SUBSTITUTE(E$3,"Q","T"),Inputs!$B$2:$AZ$2,0)),Inputs!$B$2:$B$190,$B189)*Inputs!$D$1)</f>
        <v>0</v>
      </c>
      <c r="F189" s="57">
        <f>IF(ISNA(SUMIFS(INDEX(Inputs!$B$2:$AZ$190,,MATCH(SUBSTITUTE(F$3,"Q","T"),Inputs!$B$2:$AZ$2,0)),Inputs!$B$2:$B$190,$B189)*Inputs!$D$1),"",SUMIFS(INDEX(Inputs!$B$2:$AZ$190,,MATCH(SUBSTITUTE(F$3,"Q","T"),Inputs!$B$2:$AZ$2,0)),Inputs!$B$2:$B$190,$B189)*Inputs!$D$1)</f>
        <v>0</v>
      </c>
      <c r="G189" s="57">
        <f>IF(ISNA(SUMIFS(INDEX(Inputs!$B$2:$AZ$190,,MATCH(SUBSTITUTE(G$3,"Q","T"),Inputs!$B$2:$AZ$2,0)),Inputs!$B$2:$B$190,$B189)*Inputs!$D$1),"",SUMIFS(INDEX(Inputs!$B$2:$AZ$190,,MATCH(SUBSTITUTE(G$3,"Q","T"),Inputs!$B$2:$AZ$2,0)),Inputs!$B$2:$B$190,$B189)*Inputs!$D$1)</f>
        <v>0</v>
      </c>
      <c r="H189" s="57">
        <f>IF(ISNA(SUMIFS(INDEX(Inputs!$B$2:$AZ$190,,MATCH(SUBSTITUTE(H$3,"Q","T"),Inputs!$B$2:$AZ$2,0)),Inputs!$B$2:$B$190,$B189)*Inputs!$D$1),"",SUMIFS(INDEX(Inputs!$B$2:$AZ$190,,MATCH(SUBSTITUTE(H$3,"Q","T"),Inputs!$B$2:$AZ$2,0)),Inputs!$B$2:$B$190,$B189)*Inputs!$D$1)</f>
        <v>0</v>
      </c>
      <c r="I189" s="58">
        <f>SUM(E189:H189)</f>
        <v>0</v>
      </c>
      <c r="J189" s="57">
        <f>IF(ISNA(SUMIFS(INDEX(Inputs!$B$2:$AZ$190,,MATCH(SUBSTITUTE(J$3,"Q","T"),Inputs!$B$2:$AZ$2,0)),Inputs!$B$2:$B$190,$B189)*Inputs!$D$1),"",SUMIFS(INDEX(Inputs!$B$2:$AZ$190,,MATCH(SUBSTITUTE(J$3,"Q","T"),Inputs!$B$2:$AZ$2,0)),Inputs!$B$2:$B$190,$B189)*Inputs!$D$1)</f>
        <v>0</v>
      </c>
      <c r="K189" s="57">
        <f>IF(ISNA(SUMIFS(INDEX(Inputs!$B$2:$AZ$190,,MATCH(SUBSTITUTE(K$3,"Q","T"),Inputs!$B$2:$AZ$2,0)),Inputs!$B$2:$B$190,$B189)*Inputs!$D$1),"",SUMIFS(INDEX(Inputs!$B$2:$AZ$190,,MATCH(SUBSTITUTE(K$3,"Q","T"),Inputs!$B$2:$AZ$2,0)),Inputs!$B$2:$B$190,$B189)*Inputs!$D$1)</f>
        <v>0</v>
      </c>
      <c r="L189" s="57">
        <f>IF(ISNA(SUMIFS(INDEX(Inputs!$B$2:$AZ$190,,MATCH(SUBSTITUTE(L$3,"Q","T"),Inputs!$B$2:$AZ$2,0)),Inputs!$B$2:$B$190,$B189)*Inputs!$D$1),"",SUMIFS(INDEX(Inputs!$B$2:$AZ$190,,MATCH(SUBSTITUTE(L$3,"Q","T"),Inputs!$B$2:$AZ$2,0)),Inputs!$B$2:$B$190,$B189)*Inputs!$D$1)</f>
        <v>0</v>
      </c>
      <c r="M189" s="57">
        <f>IF(ISNA(SUMIFS(INDEX(Inputs!$B$2:$AZ$190,,MATCH(SUBSTITUTE(M$3,"Q","T"),Inputs!$B$2:$AZ$2,0)),Inputs!$B$2:$B$190,$B189)*Inputs!$D$1),"",SUMIFS(INDEX(Inputs!$B$2:$AZ$190,,MATCH(SUBSTITUTE(M$3,"Q","T"),Inputs!$B$2:$AZ$2,0)),Inputs!$B$2:$B$190,$B189)*Inputs!$D$1)</f>
        <v>0</v>
      </c>
      <c r="N189" s="58">
        <f>SUM(J189:M189)</f>
        <v>0</v>
      </c>
      <c r="O189" s="57">
        <f>IF(ISNA(SUMIFS(INDEX(Inputs!$B$2:$AZ$190,,MATCH(SUBSTITUTE(O$3,"Q","T"),Inputs!$B$2:$AZ$2,0)),Inputs!$B$2:$B$190,$B189)*Inputs!$D$1),"",SUMIFS(INDEX(Inputs!$B$2:$AZ$190,,MATCH(SUBSTITUTE(O$3,"Q","T"),Inputs!$B$2:$AZ$2,0)),Inputs!$B$2:$B$190,$B189)*Inputs!$D$1)</f>
        <v>0</v>
      </c>
      <c r="P189" s="57">
        <f>IF(ISNA(SUMIFS(INDEX(Inputs!$B$2:$AZ$190,,MATCH(SUBSTITUTE(P$3,"Q","T"),Inputs!$B$2:$AZ$2,0)),Inputs!$B$2:$B$190,$B189)*Inputs!$D$1),"",SUMIFS(INDEX(Inputs!$B$2:$AZ$190,,MATCH(SUBSTITUTE(P$3,"Q","T"),Inputs!$B$2:$AZ$2,0)),Inputs!$B$2:$B$190,$B189)*Inputs!$D$1)</f>
        <v>0</v>
      </c>
      <c r="Q189" s="57">
        <f>IF(ISNA(SUMIFS(INDEX(Inputs!$B$2:$AZ$190,,MATCH(SUBSTITUTE(Q$3,"Q","T"),Inputs!$B$2:$AZ$2,0)),Inputs!$B$2:$B$190,$B189)*Inputs!$D$1),"",SUMIFS(INDEX(Inputs!$B$2:$AZ$190,,MATCH(SUBSTITUTE(Q$3,"Q","T"),Inputs!$B$2:$AZ$2,0)),Inputs!$B$2:$B$190,$B189)*Inputs!$D$1)</f>
        <v>0</v>
      </c>
      <c r="R189" s="57">
        <f>IF(ISNA(SUMIFS(INDEX(Inputs!$B$2:$AZ$190,,MATCH(SUBSTITUTE(R$3,"Q","T"),Inputs!$B$2:$AZ$2,0)),Inputs!$B$2:$B$190,$B189)*Inputs!$D$1),"",SUMIFS(INDEX(Inputs!$B$2:$AZ$190,,MATCH(SUBSTITUTE(R$3,"Q","T"),Inputs!$B$2:$AZ$2,0)),Inputs!$B$2:$B$190,$B189)*Inputs!$D$1)</f>
        <v>0</v>
      </c>
      <c r="S189" s="58">
        <f>SUM(O189:R189)</f>
        <v>0</v>
      </c>
      <c r="T189" s="57">
        <f>IF(ISNA(SUMIFS(INDEX(Inputs!$B$2:$AZ$190,,MATCH(SUBSTITUTE(T$3,"Q","T"),Inputs!$B$2:$AZ$2,0)),Inputs!$B$2:$B$190,$B189)*Inputs!$D$1),"",SUMIFS(INDEX(Inputs!$B$2:$AZ$190,,MATCH(SUBSTITUTE(T$3,"Q","T"),Inputs!$B$2:$AZ$2,0)),Inputs!$B$2:$B$190,$B189)*Inputs!$D$1)</f>
        <v>0</v>
      </c>
      <c r="U189" s="57">
        <f>IF(ISNA(SUMIFS(INDEX(Inputs!$B$2:$AZ$190,,MATCH(SUBSTITUTE(U$3,"Q","T"),Inputs!$B$2:$AZ$2,0)),Inputs!$B$2:$B$190,$B189)*Inputs!$D$1),"",SUMIFS(INDEX(Inputs!$B$2:$AZ$190,,MATCH(SUBSTITUTE(U$3,"Q","T"),Inputs!$B$2:$AZ$2,0)),Inputs!$B$2:$B$190,$B189)*Inputs!$D$1)</f>
        <v>0</v>
      </c>
      <c r="V189" s="57">
        <f>IF(ISNA(SUMIFS(INDEX(Inputs!$B$2:$AZ$190,,MATCH(SUBSTITUTE(V$3,"Q","T"),Inputs!$B$2:$AZ$2,0)),Inputs!$B$2:$B$190,$B189)*Inputs!$D$1),"",SUMIFS(INDEX(Inputs!$B$2:$AZ$190,,MATCH(SUBSTITUTE(V$3,"Q","T"),Inputs!$B$2:$AZ$2,0)),Inputs!$B$2:$B$190,$B189)*Inputs!$D$1)</f>
        <v>0</v>
      </c>
      <c r="W189" s="57">
        <f>IF(ISNA(SUMIFS(INDEX(Inputs!$B$2:$AZ$190,,MATCH(SUBSTITUTE(W$3,"Q","T"),Inputs!$B$2:$AZ$2,0)),Inputs!$B$2:$B$190,$B189)*Inputs!$D$1),"",SUMIFS(INDEX(Inputs!$B$2:$AZ$190,,MATCH(SUBSTITUTE(W$3,"Q","T"),Inputs!$B$2:$AZ$2,0)),Inputs!$B$2:$B$190,$B189)*Inputs!$D$1)</f>
        <v>0</v>
      </c>
      <c r="X189" s="58">
        <f>SUM(T189:W189)</f>
        <v>0</v>
      </c>
      <c r="Y189" s="57">
        <f>IF(ISNA(SUMIFS(INDEX(Inputs!$B$2:$AZ$190,,MATCH(SUBSTITUTE(Y$3,"Q","T"),Inputs!$B$2:$AZ$2,0)),Inputs!$B$2:$B$190,$B189)*Inputs!$D$1),"",SUMIFS(INDEX(Inputs!$B$2:$AZ$190,,MATCH(SUBSTITUTE(Y$3,"Q","T"),Inputs!$B$2:$AZ$2,0)),Inputs!$B$2:$B$190,$B189)*Inputs!$D$1)</f>
        <v>0</v>
      </c>
      <c r="Z189" s="57">
        <f>IF(ISNA(SUMIFS(INDEX(Inputs!$B$2:$AZ$190,,MATCH(SUBSTITUTE(Z$3,"Q","T"),Inputs!$B$2:$AZ$2,0)),Inputs!$B$2:$B$190,$B189)*Inputs!$D$1),"",SUMIFS(INDEX(Inputs!$B$2:$AZ$190,,MATCH(SUBSTITUTE(Z$3,"Q","T"),Inputs!$B$2:$AZ$2,0)),Inputs!$B$2:$B$190,$B189)*Inputs!$D$1)</f>
        <v>0</v>
      </c>
      <c r="AA189" s="57">
        <f>IF(ISNA(SUMIFS(INDEX(Inputs!$B$2:$AZ$190,,MATCH(SUBSTITUTE(AA$3,"Q","T"),Inputs!$B$2:$AZ$2,0)),Inputs!$B$2:$B$190,$B189)*Inputs!$D$1),"",SUMIFS(INDEX(Inputs!$B$2:$AZ$190,,MATCH(SUBSTITUTE(AA$3,"Q","T"),Inputs!$B$2:$AZ$2,0)),Inputs!$B$2:$B$190,$B189)*Inputs!$D$1)</f>
        <v>0</v>
      </c>
      <c r="AB189" s="57">
        <f>IF(ISNA(SUMIFS(INDEX(Inputs!$B$2:$AZ$190,,MATCH(SUBSTITUTE(AB$3,"Q","T"),Inputs!$B$2:$AZ$2,0)),Inputs!$B$2:$B$190,$B189)*Inputs!$D$1),"",SUMIFS(INDEX(Inputs!$B$2:$AZ$190,,MATCH(SUBSTITUTE(AB$3,"Q","T"),Inputs!$B$2:$AZ$2,0)),Inputs!$B$2:$B$190,$B189)*Inputs!$D$1)</f>
        <v>0</v>
      </c>
      <c r="AC189" s="58">
        <f>SUM(Y189:AB189)</f>
        <v>0</v>
      </c>
      <c r="AD189" s="57">
        <f>IF(ISNA(SUMIFS(INDEX(Inputs!$B$2:$AZ$190,,MATCH(SUBSTITUTE(AD$3,"Q","T"),Inputs!$B$2:$AZ$2,0)),Inputs!$B$2:$B$190,$B189)*Inputs!$D$1),"",SUMIFS(INDEX(Inputs!$B$2:$AZ$190,,MATCH(SUBSTITUTE(AD$3,"Q","T"),Inputs!$B$2:$AZ$2,0)),Inputs!$B$2:$B$190,$B189)*Inputs!$D$1)</f>
        <v>0</v>
      </c>
      <c r="AE189" s="57">
        <f>IF(ISNA(SUMIFS(INDEX(Inputs!$B$2:$AZ$190,,MATCH(SUBSTITUTE(AE$3,"Q","T"),Inputs!$B$2:$AZ$2,0)),Inputs!$B$2:$B$190,$B189)*Inputs!$D$1),"",SUMIFS(INDEX(Inputs!$B$2:$AZ$190,,MATCH(SUBSTITUTE(AE$3,"Q","T"),Inputs!$B$2:$AZ$2,0)),Inputs!$B$2:$B$190,$B189)*Inputs!$D$1)</f>
        <v>0</v>
      </c>
      <c r="AF189" s="57">
        <f>IF(ISNA(SUMIFS(INDEX(Inputs!$B$2:$AZ$190,,MATCH(SUBSTITUTE(AF$3,"Q","T"),Inputs!$B$2:$AZ$2,0)),Inputs!$B$2:$B$190,$B189)*Inputs!$D$1),"",SUMIFS(INDEX(Inputs!$B$2:$AZ$190,,MATCH(SUBSTITUTE(AF$3,"Q","T"),Inputs!$B$2:$AZ$2,0)),Inputs!$B$2:$B$190,$B189)*Inputs!$D$1)</f>
        <v>0</v>
      </c>
      <c r="AG189" s="57">
        <f>IF(ISNA(SUMIFS(INDEX(Inputs!$B$2:$AZ$190,,MATCH(SUBSTITUTE(AG$3,"Q","T"),Inputs!$B$2:$AZ$2,0)),Inputs!$B$2:$B$190,$B189)*Inputs!$D$1),"",SUMIFS(INDEX(Inputs!$B$2:$AZ$190,,MATCH(SUBSTITUTE(AG$3,"Q","T"),Inputs!$B$2:$AZ$2,0)),Inputs!$B$2:$B$190,$B189)*Inputs!$D$1)</f>
        <v>0</v>
      </c>
      <c r="AH189" s="58">
        <f>SUM(AD189:AG189)</f>
        <v>0</v>
      </c>
      <c r="AI189" s="57">
        <f>IF(ISNA(SUMIFS(INDEX(Inputs!$B$2:$AZ$190,,MATCH(SUBSTITUTE(AI$3,"Q","T"),Inputs!$B$2:$AZ$2,0)),Inputs!$B$2:$B$190,$B189)*Inputs!$D$1),"",SUMIFS(INDEX(Inputs!$B$2:$AZ$190,,MATCH(SUBSTITUTE(AI$3,"Q","T"),Inputs!$B$2:$AZ$2,0)),Inputs!$B$2:$B$190,$B189)*Inputs!$D$1)</f>
        <v>0</v>
      </c>
      <c r="AJ189" s="57">
        <f>IF(ISNA(SUMIFS(INDEX(Inputs!$B$2:$AZ$190,,MATCH(SUBSTITUTE(AJ$3,"Q","T"),Inputs!$B$2:$AZ$2,0)),Inputs!$B$2:$B$190,$B189)*Inputs!$D$1),"",SUMIFS(INDEX(Inputs!$B$2:$AZ$190,,MATCH(SUBSTITUTE(AJ$3,"Q","T"),Inputs!$B$2:$AZ$2,0)),Inputs!$B$2:$B$190,$B189)*Inputs!$D$1)</f>
        <v>0</v>
      </c>
      <c r="AK189" s="57">
        <f>IF(ISNA(SUMIFS(INDEX(Inputs!$B$2:$AZ$190,,MATCH(SUBSTITUTE(AK$3,"Q","T"),Inputs!$B$2:$AZ$2,0)),Inputs!$B$2:$B$190,$B189)*Inputs!$D$1),"",SUMIFS(INDEX(Inputs!$B$2:$AZ$190,,MATCH(SUBSTITUTE(AK$3,"Q","T"),Inputs!$B$2:$AZ$2,0)),Inputs!$B$2:$B$190,$B189)*Inputs!$D$1)</f>
        <v>0</v>
      </c>
      <c r="AL189" s="57">
        <f>IF(ISNA(SUMIFS(INDEX(Inputs!$B$2:$AZ$190,,MATCH(SUBSTITUTE(AL$3,"Q","T"),Inputs!$B$2:$AZ$2,0)),Inputs!$B$2:$B$190,$B189)*Inputs!$D$1),"",SUMIFS(INDEX(Inputs!$B$2:$AZ$190,,MATCH(SUBSTITUTE(AL$3,"Q","T"),Inputs!$B$2:$AZ$2,0)),Inputs!$B$2:$B$190,$B189)*Inputs!$D$1)</f>
        <v>0</v>
      </c>
      <c r="AM189" s="58">
        <f>SUM(AI189:AL189)</f>
        <v>0</v>
      </c>
      <c r="AN189" s="57">
        <f>IF(ISNA(SUMIFS(INDEX(Inputs!$B$2:$AZ$190,,MATCH(SUBSTITUTE(AN$3,"Q","T"),Inputs!$B$2:$AZ$2,0)),Inputs!$B$2:$B$190,$B189)*Inputs!$D$1),"",SUMIFS(INDEX(Inputs!$B$2:$AZ$190,,MATCH(SUBSTITUTE(AN$3,"Q","T"),Inputs!$B$2:$AZ$2,0)),Inputs!$B$2:$B$190,$B189)*Inputs!$D$1)</f>
        <v>0</v>
      </c>
      <c r="AO189" s="57">
        <f>IF(ISNA(SUMIFS(INDEX(Inputs!$B$2:$AZ$190,,MATCH(SUBSTITUTE(AO$3,"Q","T"),Inputs!$B$2:$AZ$2,0)),Inputs!$B$2:$B$190,$B189)*Inputs!$D$1),"",SUMIFS(INDEX(Inputs!$B$2:$AZ$190,,MATCH(SUBSTITUTE(AO$3,"Q","T"),Inputs!$B$2:$AZ$2,0)),Inputs!$B$2:$B$190,$B189)*Inputs!$D$1)</f>
        <v>0</v>
      </c>
      <c r="AP189" s="57">
        <f>IF(ISNA(SUMIFS(INDEX(Inputs!$B$2:$AZ$190,,MATCH(SUBSTITUTE(AP$3,"Q","T"),Inputs!$B$2:$AZ$2,0)),Inputs!$B$2:$B$190,$B189)*Inputs!$D$1),"",SUMIFS(INDEX(Inputs!$B$2:$AZ$190,,MATCH(SUBSTITUTE(AP$3,"Q","T"),Inputs!$B$2:$AZ$2,0)),Inputs!$B$2:$B$190,$B189)*Inputs!$D$1)</f>
        <v>0</v>
      </c>
      <c r="AQ189" s="57">
        <f>IF(ISNA(SUMIFS(INDEX(Inputs!$B$2:$AZ$190,,MATCH(SUBSTITUTE(AQ$3,"Q","T"),Inputs!$B$2:$AZ$2,0)),Inputs!$B$2:$B$190,$B189)*Inputs!$D$1),"",SUMIFS(INDEX(Inputs!$B$2:$AZ$190,,MATCH(SUBSTITUTE(AQ$3,"Q","T"),Inputs!$B$2:$AZ$2,0)),Inputs!$B$2:$B$190,$B189)*Inputs!$D$1)</f>
        <v>0</v>
      </c>
      <c r="AR189" s="58">
        <f>SUM(AN189:AQ189)</f>
        <v>0</v>
      </c>
      <c r="AS189" s="57">
        <f>IF(ISNA(SUMIFS(INDEX(Inputs!$B$2:$AZ$190,,MATCH(SUBSTITUTE(AS$3,"Q","T"),Inputs!$B$2:$AZ$2,0)),Inputs!$B$2:$B$190,$B189)*Inputs!$D$1),"",SUMIFS(INDEX(Inputs!$B$2:$AZ$190,,MATCH(SUBSTITUTE(AS$3,"Q","T"),Inputs!$B$2:$AZ$2,0)),Inputs!$B$2:$B$190,$B189)*Inputs!$D$1)</f>
        <v>0</v>
      </c>
      <c r="AT189" s="57">
        <f>IF(ISNA(SUMIFS(INDEX(Inputs!$B$2:$AZ$190,,MATCH(SUBSTITUTE(AT$3,"Q","T"),Inputs!$B$2:$AZ$2,0)),Inputs!$B$2:$B$190,$B189)*Inputs!$D$1),"",SUMIFS(INDEX(Inputs!$B$2:$AZ$190,,MATCH(SUBSTITUTE(AT$3,"Q","T"),Inputs!$B$2:$AZ$2,0)),Inputs!$B$2:$B$190,$B189)*Inputs!$D$1)</f>
        <v>0</v>
      </c>
      <c r="AU189" s="57">
        <f>IF(ISNA(SUMIFS(INDEX(Inputs!$B$2:$AZ$190,,MATCH(SUBSTITUTE(AU$3,"Q","T"),Inputs!$B$2:$AZ$2,0)),Inputs!$B$2:$B$190,$B189)*Inputs!$D$1),"",SUMIFS(INDEX(Inputs!$B$2:$AZ$190,,MATCH(SUBSTITUTE(AU$3,"Q","T"),Inputs!$B$2:$AZ$2,0)),Inputs!$B$2:$B$190,$B189)*Inputs!$D$1)</f>
        <v>0</v>
      </c>
      <c r="AV189" s="57">
        <f>IF(ISNA(SUMIFS(INDEX(Inputs!$B$2:$AZ$190,,MATCH(SUBSTITUTE(AV$3,"Q","T"),Inputs!$B$2:$AZ$2,0)),Inputs!$B$2:$B$190,$B189)*Inputs!$D$1),"",SUMIFS(INDEX(Inputs!$B$2:$AZ$190,,MATCH(SUBSTITUTE(AV$3,"Q","T"),Inputs!$B$2:$AZ$2,0)),Inputs!$B$2:$B$190,$B189)*Inputs!$D$1)</f>
        <v>0</v>
      </c>
      <c r="AW189" s="58">
        <f>SUM(AS189:AV189)</f>
        <v>0</v>
      </c>
      <c r="AX189" s="57">
        <f>IF(ISNA(SUMIFS(INDEX(Inputs!$B$2:$AZ$190,,MATCH(SUBSTITUTE(AX$3,"Q","T"),Inputs!$B$2:$AZ$2,0)),Inputs!$B$2:$B$190,$B189)*Inputs!$D$1),"",SUMIFS(INDEX(Inputs!$B$2:$AZ$190,,MATCH(SUBSTITUTE(AX$3,"Q","T"),Inputs!$B$2:$AZ$2,0)),Inputs!$B$2:$B$190,$B189)*Inputs!$D$1)</f>
        <v>0</v>
      </c>
      <c r="AY189" s="57">
        <f>IF(ISNA(SUMIFS(INDEX(Inputs!$B$2:$AZ$190,,MATCH(SUBSTITUTE(AY$3,"Q","T"),Inputs!$B$2:$AZ$2,0)),Inputs!$B$2:$B$190,$B189)*Inputs!$D$1),"",SUMIFS(INDEX(Inputs!$B$2:$AZ$190,,MATCH(SUBSTITUTE(AY$3,"Q","T"),Inputs!$B$2:$AZ$2,0)),Inputs!$B$2:$B$190,$B189)*Inputs!$D$1)</f>
        <v>0</v>
      </c>
      <c r="AZ189" s="57">
        <f>IF(ISNA(SUMIFS(INDEX(Inputs!$B$2:$AZ$190,,MATCH(SUBSTITUTE(AZ$3,"Q","T"),Inputs!$B$2:$AZ$2,0)),Inputs!$B$2:$B$190,$B189)*Inputs!$D$1),"",SUMIFS(INDEX(Inputs!$B$2:$AZ$190,,MATCH(SUBSTITUTE(AZ$3,"Q","T"),Inputs!$B$2:$AZ$2,0)),Inputs!$B$2:$B$190,$B189)*Inputs!$D$1)</f>
        <v>0</v>
      </c>
      <c r="BA189" s="57">
        <f>IF(ISNA(SUMIFS(INDEX(Inputs!$B$2:$AZ$190,,MATCH(SUBSTITUTE(BA$3,"Q","T"),Inputs!$B$2:$AZ$2,0)),Inputs!$B$2:$B$190,$B189)*Inputs!$D$1),"",SUMIFS(INDEX(Inputs!$B$2:$AZ$190,,MATCH(SUBSTITUTE(BA$3,"Q","T"),Inputs!$B$2:$AZ$2,0)),Inputs!$B$2:$B$190,$B189)*Inputs!$D$1)</f>
        <v>0</v>
      </c>
      <c r="BB189" s="58">
        <f>SUM(AX189:BA189)</f>
        <v>0</v>
      </c>
      <c r="BC189" s="57">
        <f>IF(ISNA(SUMIFS(INDEX(Inputs!$B$2:$AZ$190,,MATCH(SUBSTITUTE(BC$3,"Q","T"),Inputs!$B$2:$AZ$2,0)),Inputs!$B$2:$B$190,$B189)*Inputs!$D$1),"",SUMIFS(INDEX(Inputs!$B$2:$AZ$190,,MATCH(SUBSTITUTE(BC$3,"Q","T"),Inputs!$B$2:$AZ$2,0)),Inputs!$B$2:$B$190,$B189)*Inputs!$D$1)</f>
        <v>0</v>
      </c>
      <c r="BD189" s="57">
        <f>IF(ISNA(SUMIFS(INDEX(Inputs!$B$2:$AZ$190,,MATCH(SUBSTITUTE(BD$3,"Q","T"),Inputs!$B$2:$AZ$2,0)),Inputs!$B$2:$B$190,$B189)*Inputs!$D$1),"",SUMIFS(INDEX(Inputs!$B$2:$AZ$190,,MATCH(SUBSTITUTE(BD$3,"Q","T"),Inputs!$B$2:$AZ$2,0)),Inputs!$B$2:$B$190,$B189)*Inputs!$D$1)</f>
        <v>0</v>
      </c>
      <c r="BE189" s="57">
        <f>IF(ISNA(SUMIFS(INDEX(Inputs!$B$2:$AZ$190,,MATCH(SUBSTITUTE(BE$3,"Q","T"),Inputs!$B$2:$AZ$2,0)),Inputs!$B$2:$B$190,$B189)*Inputs!$D$1),"",SUMIFS(INDEX(Inputs!$B$2:$AZ$190,,MATCH(SUBSTITUTE(BE$3,"Q","T"),Inputs!$B$2:$AZ$2,0)),Inputs!$B$2:$B$190,$B189)*Inputs!$D$1)</f>
        <v>0</v>
      </c>
      <c r="BF189" s="57">
        <f>IF(ISNA(SUMIFS(INDEX(Inputs!$B$2:$AZ$190,,MATCH(SUBSTITUTE(BF$3,"Q","T"),Inputs!$B$2:$AZ$2,0)),Inputs!$B$2:$B$190,$B189)*Inputs!$D$1),"",SUMIFS(INDEX(Inputs!$B$2:$AZ$190,,MATCH(SUBSTITUTE(BF$3,"Q","T"),Inputs!$B$2:$AZ$2,0)),Inputs!$B$2:$B$190,$B189)*Inputs!$D$1)</f>
        <v>0</v>
      </c>
      <c r="BG189" s="58">
        <f>SUM(BC189:BF189)</f>
        <v>0</v>
      </c>
    </row>
    <row r="192">
      <c r="B192" s="29" t="n"/>
      <c r="C192" s="29" t="inlineStr">
        <is>
          <t>CHECKS DO REPORTADO</t>
        </is>
      </c>
      <c r="D192" s="29" t="inlineStr">
        <is>
          <t>REPORTED DATA CHECKS</t>
        </is>
      </c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  <c r="AA192" s="29" t="n"/>
      <c r="AB192" s="29" t="n"/>
      <c r="AC192" s="29" t="n"/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  <c r="AW192" s="29" t="n"/>
      <c r="AX192" s="29" t="n"/>
      <c r="AY192" s="29" t="n"/>
      <c r="AZ192" s="29" t="n"/>
      <c r="BA192" s="29" t="n"/>
      <c r="BB192" s="29" t="n"/>
      <c r="BC192" s="29" t="n"/>
      <c r="BD192" s="29" t="n"/>
      <c r="BE192" s="29" t="n"/>
      <c r="BF192" s="29" t="n"/>
      <c r="BG192" s="29" t="n"/>
      <c r="BH192" s="29" t="n"/>
      <c r="BI192" s="29" t="n"/>
    </row>
    <row r="193" hidden="1" outlineLevel="1">
      <c r="C193" s="11" t="inlineStr">
        <is>
          <t>Ativo – Passivo + PL (deve ser zero)</t>
        </is>
      </c>
      <c r="D193" s="12" t="inlineStr">
        <is>
          <t>Assets less Liabilities and Equity</t>
        </is>
      </c>
      <c r="E193" s="74">
        <f>IFERROR(ROUND(E29-E67,0),"")</f>
        <v>0</v>
      </c>
      <c r="F193" s="74">
        <f>IFERROR(ROUND(F29-F67,0),"")</f>
        <v>0</v>
      </c>
      <c r="G193" s="74">
        <f>IFERROR(ROUND(G29-G67,0),"")</f>
        <v>0</v>
      </c>
      <c r="H193" s="74">
        <f>IFERROR(ROUND(H29-H67,0),"")</f>
        <v>0</v>
      </c>
      <c r="I193" s="74">
        <f>IFERROR(ROUND(I29-I67,0),"")</f>
        <v>0</v>
      </c>
      <c r="J193" s="74">
        <f>IFERROR(ROUND(J29-J67,0),"")</f>
        <v>0</v>
      </c>
      <c r="K193" s="74">
        <f>IFERROR(ROUND(K29-K67,0),"")</f>
        <v>0</v>
      </c>
      <c r="L193" s="74">
        <f>IFERROR(ROUND(L29-L67,0),"")</f>
        <v>0</v>
      </c>
      <c r="M193" s="74">
        <f>IFERROR(ROUND(M29-M67,0),"")</f>
        <v>0</v>
      </c>
      <c r="N193" s="74">
        <f>IFERROR(ROUND(N29-N67,0),"")</f>
        <v>0</v>
      </c>
      <c r="O193" s="74">
        <f>IFERROR(ROUND(O29-O67,0),"")</f>
        <v>0</v>
      </c>
      <c r="P193" s="74">
        <f>IFERROR(ROUND(P29-P67,0),"")</f>
        <v>0</v>
      </c>
      <c r="Q193" s="74">
        <f>IFERROR(ROUND(Q29-Q67,0),"")</f>
        <v>0</v>
      </c>
      <c r="R193" s="74">
        <f>IFERROR(ROUND(R29-R67,0),"")</f>
        <v>0</v>
      </c>
      <c r="S193" s="74">
        <f>IFERROR(ROUND(S29-S67,0),"")</f>
        <v>0</v>
      </c>
      <c r="T193" s="74">
        <f>IFERROR(ROUND(T29-T67,0),"")</f>
        <v>0</v>
      </c>
      <c r="U193" s="74">
        <f>IFERROR(ROUND(U29-U67,0),"")</f>
        <v>0</v>
      </c>
      <c r="V193" s="74">
        <f>IFERROR(ROUND(V29-V67,0),"")</f>
        <v>0</v>
      </c>
      <c r="W193" s="74">
        <f>IFERROR(ROUND(W29-W67,0),"")</f>
        <v>0</v>
      </c>
      <c r="X193" s="74">
        <f>IFERROR(ROUND(X29-X67,0),"")</f>
        <v>0</v>
      </c>
      <c r="Y193" s="74">
        <f>IFERROR(ROUND(Y29-Y67,0),"")</f>
        <v>0</v>
      </c>
      <c r="Z193" s="74">
        <f>IFERROR(ROUND(Z29-Z67,0),"")</f>
        <v>0</v>
      </c>
      <c r="AA193" s="74">
        <f>IFERROR(ROUND(AA29-AA67,0),"")</f>
        <v>0</v>
      </c>
      <c r="AB193" s="74">
        <f>IFERROR(ROUND(AB29-AB67,0),"")</f>
        <v>0</v>
      </c>
      <c r="AC193" s="74">
        <f>IFERROR(ROUND(AC29-AC67,0),"")</f>
        <v>0</v>
      </c>
      <c r="AD193" s="74">
        <f>IFERROR(ROUND(AD29-AD67,0),"")</f>
        <v>0</v>
      </c>
      <c r="AE193" s="74">
        <f>IFERROR(ROUND(AE29-AE67,0),"")</f>
        <v>0</v>
      </c>
      <c r="AF193" s="74">
        <f>IFERROR(ROUND(AF29-AF67,0),"")</f>
        <v>0</v>
      </c>
      <c r="AG193" s="74">
        <f>IFERROR(ROUND(AG29-AG67,0),"")</f>
        <v>0</v>
      </c>
      <c r="AH193" s="74">
        <f>IFERROR(ROUND(AH29-AH67,0),"")</f>
        <v>0</v>
      </c>
      <c r="AI193" s="74">
        <f>IFERROR(ROUND(AI29-AI67,0),"")</f>
        <v>0</v>
      </c>
      <c r="AJ193" s="74">
        <f>IFERROR(ROUND(AJ29-AJ67,0),"")</f>
        <v>0</v>
      </c>
      <c r="AK193" s="74">
        <f>IFERROR(ROUND(AK29-AK67,0),"")</f>
        <v>0</v>
      </c>
      <c r="AL193" s="74">
        <f>IFERROR(ROUND(AL29-AL67,0),"")</f>
        <v>0</v>
      </c>
      <c r="AM193" s="74">
        <f>IFERROR(ROUND(AM29-AM67,0),"")</f>
        <v>0</v>
      </c>
      <c r="AN193" s="74">
        <f>IFERROR(ROUND(AN29-AN67,0),"")</f>
        <v>0</v>
      </c>
      <c r="AO193" s="74">
        <f>IFERROR(ROUND(AO29-AO67,0),"")</f>
        <v>0</v>
      </c>
      <c r="AP193" s="74">
        <f>IFERROR(ROUND(AP29-AP67,0),"")</f>
        <v>0</v>
      </c>
      <c r="AQ193" s="74">
        <f>IFERROR(ROUND(AQ29-AQ67,0),"")</f>
        <v>0</v>
      </c>
      <c r="AR193" s="74">
        <f>IFERROR(ROUND(AR29-AR67,0),"")</f>
        <v>0</v>
      </c>
      <c r="AS193" s="74">
        <f>IFERROR(ROUND(AS29-AS67,0),"")</f>
        <v>0</v>
      </c>
      <c r="AT193" s="74">
        <f>IFERROR(ROUND(AT29-AT67,0),"")</f>
        <v>0</v>
      </c>
      <c r="AU193" s="74">
        <f>IFERROR(ROUND(AU29-AU67,0),"")</f>
        <v>0</v>
      </c>
      <c r="AV193" s="74">
        <f>IFERROR(ROUND(AV29-AV67,0),"")</f>
        <v>0</v>
      </c>
      <c r="AW193" s="74">
        <f>IFERROR(ROUND(AW29-AW67,0),"")</f>
        <v>0</v>
      </c>
      <c r="AX193" s="74">
        <f>IFERROR(ROUND(AX29-AX67,0),"")</f>
        <v>0</v>
      </c>
      <c r="AY193" s="74">
        <f>IFERROR(ROUND(AY29-AY67,0),"")</f>
        <v>0</v>
      </c>
      <c r="AZ193" s="74">
        <f>IFERROR(ROUND(AZ29-AZ67,0),"")</f>
        <v>0</v>
      </c>
      <c r="BA193" s="74">
        <f>IFERROR(ROUND(BA29-BA67,0),"")</f>
        <v>0</v>
      </c>
      <c r="BB193" s="74">
        <f>IFERROR(ROUND(BB29-BB67,0),"")</f>
        <v>0</v>
      </c>
      <c r="BC193" s="74">
        <f>IFERROR(ROUND(BC29-BC67,0),"")</f>
        <v>0</v>
      </c>
      <c r="BD193" s="74">
        <f>IFERROR(ROUND(BD29-BD67,0),"")</f>
        <v>0</v>
      </c>
      <c r="BE193" s="74">
        <f>IFERROR(ROUND(BE29-BE67,0),"")</f>
        <v>0</v>
      </c>
      <c r="BF193" s="74">
        <f>IFERROR(ROUND(BF29-BF67,0),"")</f>
        <v>0</v>
      </c>
      <c r="BG193" s="74">
        <f>IFERROR(ROUND(BG29-BG67,0),"")</f>
        <v>0</v>
      </c>
    </row>
    <row r="194" hidden="1" outlineLevel="1">
      <c r="C194" s="11" t="inlineStr">
        <is>
          <t>Carteira ampliada – soma dos estágios</t>
        </is>
      </c>
      <c r="D194" s="12" t="inlineStr">
        <is>
          <t>Expanded book less sum of stages</t>
        </is>
      </c>
      <c r="E194" s="74" t="str">
        <f>IFERROR(IF(N(E114+E115+E116)=0,"",ROUND(E111-(E114+E115+E116),0)),"")</f>
        <v/>
      </c>
      <c r="F194" s="74" t="str">
        <f>IFERROR(IF(N(F114+F115+F116)=0,"",ROUND(F111-(F114+F115+F116),0)),"")</f>
        <v/>
      </c>
      <c r="G194" s="74" t="str">
        <f>IFERROR(IF(N(G114+G115+G116)=0,"",ROUND(G111-(G114+G115+G116),0)),"")</f>
        <v/>
      </c>
      <c r="H194" s="74" t="str">
        <f>IFERROR(IF(N(H114+H115+H116)=0,"",ROUND(H111-(H114+H115+H116),0)),"")</f>
        <v/>
      </c>
      <c r="I194" s="74" t="str">
        <f>IFERROR(IF(N(I114+I115+I116)=0,"",ROUND(I111-(I114+I115+I116),0)),"")</f>
        <v/>
      </c>
      <c r="J194" s="74" t="str">
        <f>IFERROR(IF(N(J114+J115+J116)=0,"",ROUND(J111-(J114+J115+J116),0)),"")</f>
        <v/>
      </c>
      <c r="K194" s="74" t="str">
        <f>IFERROR(IF(N(K114+K115+K116)=0,"",ROUND(K111-(K114+K115+K116),0)),"")</f>
        <v/>
      </c>
      <c r="L194" s="74" t="str">
        <f>IFERROR(IF(N(L114+L115+L116)=0,"",ROUND(L111-(L114+L115+L116),0)),"")</f>
        <v/>
      </c>
      <c r="M194" s="74" t="str">
        <f>IFERROR(IF(N(M114+M115+M116)=0,"",ROUND(M111-(M114+M115+M116),0)),"")</f>
        <v/>
      </c>
      <c r="N194" s="74" t="str">
        <f>IFERROR(IF(N(N114+N115+N116)=0,"",ROUND(N111-(N114+N115+N116),0)),"")</f>
        <v/>
      </c>
      <c r="O194" s="74" t="str">
        <f>IFERROR(IF(N(O114+O115+O116)=0,"",ROUND(O111-(O114+O115+O116),0)),"")</f>
        <v/>
      </c>
      <c r="P194" s="74" t="str">
        <f>IFERROR(IF(N(P114+P115+P116)=0,"",ROUND(P111-(P114+P115+P116),0)),"")</f>
        <v/>
      </c>
      <c r="Q194" s="74" t="str">
        <f>IFERROR(IF(N(Q114+Q115+Q116)=0,"",ROUND(Q111-(Q114+Q115+Q116),0)),"")</f>
        <v/>
      </c>
      <c r="R194" s="74" t="str">
        <f>IFERROR(IF(N(R114+R115+R116)=0,"",ROUND(R111-(R114+R115+R116),0)),"")</f>
        <v/>
      </c>
      <c r="S194" s="74" t="str">
        <f>IFERROR(IF(N(S114+S115+S116)=0,"",ROUND(S111-(S114+S115+S116),0)),"")</f>
        <v/>
      </c>
      <c r="T194" s="74" t="str">
        <f>IFERROR(IF(N(T114+T115+T116)=0,"",ROUND(T111-(T114+T115+T116),0)),"")</f>
        <v/>
      </c>
      <c r="U194" s="74" t="str">
        <f>IFERROR(IF(N(U114+U115+U116)=0,"",ROUND(U111-(U114+U115+U116),0)),"")</f>
        <v/>
      </c>
      <c r="V194" s="74" t="str">
        <f>IFERROR(IF(N(V114+V115+V116)=0,"",ROUND(V111-(V114+V115+V116),0)),"")</f>
        <v/>
      </c>
      <c r="W194" s="74" t="str">
        <f>IFERROR(IF(N(W114+W115+W116)=0,"",ROUND(W111-(W114+W115+W116),0)),"")</f>
        <v/>
      </c>
      <c r="X194" s="74" t="str">
        <f>IFERROR(IF(N(X114+X115+X116)=0,"",ROUND(X111-(X114+X115+X116),0)),"")</f>
        <v/>
      </c>
      <c r="Y194" s="74" t="str">
        <f>IFERROR(IF(N(Y114+Y115+Y116)=0,"",ROUND(Y111-(Y114+Y115+Y116),0)),"")</f>
        <v/>
      </c>
      <c r="Z194" s="74" t="str">
        <f>IFERROR(IF(N(Z114+Z115+Z116)=0,"",ROUND(Z111-(Z114+Z115+Z116),0)),"")</f>
        <v/>
      </c>
      <c r="AA194" s="74" t="str">
        <f>IFERROR(IF(N(AA114+AA115+AA116)=0,"",ROUND(AA111-(AA114+AA115+AA116),0)),"")</f>
        <v/>
      </c>
      <c r="AB194" s="74" t="str">
        <f>IFERROR(IF(N(AB114+AB115+AB116)=0,"",ROUND(AB111-(AB114+AB115+AB116),0)),"")</f>
        <v/>
      </c>
      <c r="AC194" s="74" t="str">
        <f>IFERROR(IF(N(AC114+AC115+AC116)=0,"",ROUND(AC111-(AC114+AC115+AC116),0)),"")</f>
        <v/>
      </c>
      <c r="AD194" s="74">
        <f>IFERROR(IF(N(AD114+AD115+AD116)=0,"",ROUND(AD111-(AD114+AD115+AD116),0)),"")</f>
        <v>0</v>
      </c>
      <c r="AE194" s="74">
        <f>IFERROR(IF(N(AE114+AE115+AE116)=0,"",ROUND(AE111-(AE114+AE115+AE116),0)),"")</f>
        <v>0</v>
      </c>
      <c r="AF194" s="74">
        <f>IFERROR(IF(N(AF114+AF115+AF116)=0,"",ROUND(AF111-(AF114+AF115+AF116),0)),"")</f>
        <v>0</v>
      </c>
      <c r="AG194" s="74">
        <f>IFERROR(IF(N(AG114+AG115+AG116)=0,"",ROUND(AG111-(AG114+AG115+AG116),0)),"")</f>
        <v>0</v>
      </c>
      <c r="AH194" s="74">
        <f>IFERROR(IF(N(AH114+AH115+AH116)=0,"",ROUND(AH111-(AH114+AH115+AH116),0)),"")</f>
        <v>0</v>
      </c>
      <c r="AI194" s="74">
        <f>IFERROR(IF(N(AI114+AI115+AI116)=0,"",ROUND(AI111-(AI114+AI115+AI116),0)),"")</f>
        <v>0</v>
      </c>
      <c r="AJ194" s="74">
        <f>IFERROR(IF(N(AJ114+AJ115+AJ116)=0,"",ROUND(AJ111-(AJ114+AJ115+AJ116),0)),"")</f>
        <v>0</v>
      </c>
      <c r="AK194" s="74" t="str">
        <f>IFERROR(IF(N(AK114+AK115+AK116)=0,"",ROUND(AK111-(AK114+AK115+AK116),0)),"")</f>
        <v/>
      </c>
      <c r="AL194" s="74" t="str">
        <f>IFERROR(IF(N(AL114+AL115+AL116)=0,"",ROUND(AL111-(AL114+AL115+AL116),0)),"")</f>
        <v/>
      </c>
      <c r="AM194" s="74" t="str">
        <f>IFERROR(IF(N(AM114+AM115+AM116)=0,"",ROUND(AM111-(AM114+AM115+AM116),0)),"")</f>
        <v/>
      </c>
      <c r="AN194" s="74" t="str">
        <f>IFERROR(IF(N(AN114+AN115+AN116)=0,"",ROUND(AN111-(AN114+AN115+AN116),0)),"")</f>
        <v/>
      </c>
      <c r="AO194" s="74" t="str">
        <f>IFERROR(IF(N(AO114+AO115+AO116)=0,"",ROUND(AO111-(AO114+AO115+AO116),0)),"")</f>
        <v/>
      </c>
      <c r="AP194" s="74" t="str">
        <f>IFERROR(IF(N(AP114+AP115+AP116)=0,"",ROUND(AP111-(AP114+AP115+AP116),0)),"")</f>
        <v/>
      </c>
      <c r="AQ194" s="74" t="str">
        <f>IFERROR(IF(N(AQ114+AQ115+AQ116)=0,"",ROUND(AQ111-(AQ114+AQ115+AQ116),0)),"")</f>
        <v/>
      </c>
      <c r="AR194" s="74" t="str">
        <f>IFERROR(IF(N(AR114+AR115+AR116)=0,"",ROUND(AR111-(AR114+AR115+AR116),0)),"")</f>
        <v/>
      </c>
      <c r="AS194" s="74" t="str">
        <f>IFERROR(IF(N(AS114+AS115+AS116)=0,"",ROUND(AS111-(AS114+AS115+AS116),0)),"")</f>
        <v/>
      </c>
      <c r="AT194" s="74" t="str">
        <f>IFERROR(IF(N(AT114+AT115+AT116)=0,"",ROUND(AT111-(AT114+AT115+AT116),0)),"")</f>
        <v/>
      </c>
      <c r="AU194" s="74" t="str">
        <f>IFERROR(IF(N(AU114+AU115+AU116)=0,"",ROUND(AU111-(AU114+AU115+AU116),0)),"")</f>
        <v/>
      </c>
      <c r="AV194" s="74" t="str">
        <f>IFERROR(IF(N(AV114+AV115+AV116)=0,"",ROUND(AV111-(AV114+AV115+AV116),0)),"")</f>
        <v/>
      </c>
      <c r="AW194" s="74" t="str">
        <f>IFERROR(IF(N(AW114+AW115+AW116)=0,"",ROUND(AW111-(AW114+AW115+AW116),0)),"")</f>
        <v/>
      </c>
      <c r="AX194" s="74" t="str">
        <f>IFERROR(IF(N(AX114+AX115+AX116)=0,"",ROUND(AX111-(AX114+AX115+AX116),0)),"")</f>
        <v/>
      </c>
      <c r="AY194" s="74" t="str">
        <f>IFERROR(IF(N(AY114+AY115+AY116)=0,"",ROUND(AY111-(AY114+AY115+AY116),0)),"")</f>
        <v/>
      </c>
      <c r="AZ194" s="74" t="str">
        <f>IFERROR(IF(N(AZ114+AZ115+AZ116)=0,"",ROUND(AZ111-(AZ114+AZ115+AZ116),0)),"")</f>
        <v/>
      </c>
      <c r="BA194" s="74" t="str">
        <f>IFERROR(IF(N(BA114+BA115+BA116)=0,"",ROUND(BA111-(BA114+BA115+BA116),0)),"")</f>
        <v/>
      </c>
      <c r="BB194" s="74" t="str">
        <f>IFERROR(IF(N(BB114+BB115+BB116)=0,"",ROUND(BB111-(BB114+BB115+BB116),0)),"")</f>
        <v/>
      </c>
      <c r="BC194" s="74" t="str">
        <f>IFERROR(IF(N(BC114+BC115+BC116)=0,"",ROUND(BC111-(BC114+BC115+BC116),0)),"")</f>
        <v/>
      </c>
      <c r="BD194" s="74" t="str">
        <f>IFERROR(IF(N(BD114+BD115+BD116)=0,"",ROUND(BD111-(BD114+BD115+BD116),0)),"")</f>
        <v/>
      </c>
      <c r="BE194" s="74" t="str">
        <f>IFERROR(IF(N(BE114+BE115+BE116)=0,"",ROUND(BE111-(BE114+BE115+BE116),0)),"")</f>
        <v/>
      </c>
      <c r="BF194" s="74" t="str">
        <f>IFERROR(IF(N(BF114+BF115+BF116)=0,"",ROUND(BF111-(BF114+BF115+BF116),0)),"")</f>
        <v/>
      </c>
      <c r="BG194" s="74" t="str">
        <f>IFERROR(IF(N(BG114+BG115+BG116)=0,"",ROUND(BG111-(BG114+BG115+BG116),0)),"")</f>
        <v/>
      </c>
      <c r="BI194" s="14" t="inlineStr">
        <is>
          <t>Fica em branco quando a fonte não abre a carteira por estágio da 4.966.</t>
        </is>
      </c>
    </row>
    <row r="195" hidden="1" outlineLevel="1">
      <c r="C195" s="11" t="inlineStr">
        <is>
          <t>Provisão do balanço – provisão por estágio</t>
        </is>
      </c>
      <c r="D195" s="12" t="inlineStr">
        <is>
          <t>BS allowance less staged allowance</t>
        </is>
      </c>
      <c r="E195" s="74" t="str">
        <f>IFERROR(IF(OR(N(E120)=0,N(E20)=0),"",ROUND(ABS(E20)-ABS(E120),0)),"")</f>
        <v/>
      </c>
      <c r="F195" s="74" t="str">
        <f>IFERROR(IF(OR(N(F120)=0,N(F20)=0),"",ROUND(ABS(F20)-ABS(F120),0)),"")</f>
        <v/>
      </c>
      <c r="G195" s="74" t="str">
        <f>IFERROR(IF(OR(N(G120)=0,N(G20)=0),"",ROUND(ABS(G20)-ABS(G120),0)),"")</f>
        <v/>
      </c>
      <c r="H195" s="74" t="str">
        <f>IFERROR(IF(OR(N(H120)=0,N(H20)=0),"",ROUND(ABS(H20)-ABS(H120),0)),"")</f>
        <v/>
      </c>
      <c r="I195" s="74" t="str">
        <f>IFERROR(IF(OR(N(I120)=0,N(I20)=0),"",ROUND(ABS(I20)-ABS(I120),0)),"")</f>
        <v/>
      </c>
      <c r="J195" s="74" t="str">
        <f>IFERROR(IF(OR(N(J120)=0,N(J20)=0),"",ROUND(ABS(J20)-ABS(J120),0)),"")</f>
        <v/>
      </c>
      <c r="K195" s="74" t="str">
        <f>IFERROR(IF(OR(N(K120)=0,N(K20)=0),"",ROUND(ABS(K20)-ABS(K120),0)),"")</f>
        <v/>
      </c>
      <c r="L195" s="74" t="str">
        <f>IFERROR(IF(OR(N(L120)=0,N(L20)=0),"",ROUND(ABS(L20)-ABS(L120),0)),"")</f>
        <v/>
      </c>
      <c r="M195" s="74" t="str">
        <f>IFERROR(IF(OR(N(M120)=0,N(M20)=0),"",ROUND(ABS(M20)-ABS(M120),0)),"")</f>
        <v/>
      </c>
      <c r="N195" s="74" t="str">
        <f>IFERROR(IF(OR(N(N120)=0,N(N20)=0),"",ROUND(ABS(N20)-ABS(N120),0)),"")</f>
        <v/>
      </c>
      <c r="O195" s="74" t="str">
        <f>IFERROR(IF(OR(N(O120)=0,N(O20)=0),"",ROUND(ABS(O20)-ABS(O120),0)),"")</f>
        <v/>
      </c>
      <c r="P195" s="74" t="str">
        <f>IFERROR(IF(OR(N(P120)=0,N(P20)=0),"",ROUND(ABS(P20)-ABS(P120),0)),"")</f>
        <v/>
      </c>
      <c r="Q195" s="74" t="str">
        <f>IFERROR(IF(OR(N(Q120)=0,N(Q20)=0),"",ROUND(ABS(Q20)-ABS(Q120),0)),"")</f>
        <v/>
      </c>
      <c r="R195" s="74" t="str">
        <f>IFERROR(IF(OR(N(R120)=0,N(R20)=0),"",ROUND(ABS(R20)-ABS(R120),0)),"")</f>
        <v/>
      </c>
      <c r="S195" s="74" t="str">
        <f>IFERROR(IF(OR(N(S120)=0,N(S20)=0),"",ROUND(ABS(S20)-ABS(S120),0)),"")</f>
        <v/>
      </c>
      <c r="T195" s="74" t="str">
        <f>IFERROR(IF(OR(N(T120)=0,N(T20)=0),"",ROUND(ABS(T20)-ABS(T120),0)),"")</f>
        <v/>
      </c>
      <c r="U195" s="74" t="str">
        <f>IFERROR(IF(OR(N(U120)=0,N(U20)=0),"",ROUND(ABS(U20)-ABS(U120),0)),"")</f>
        <v/>
      </c>
      <c r="V195" s="74" t="str">
        <f>IFERROR(IF(OR(N(V120)=0,N(V20)=0),"",ROUND(ABS(V20)-ABS(V120),0)),"")</f>
        <v/>
      </c>
      <c r="W195" s="74" t="str">
        <f>IFERROR(IF(OR(N(W120)=0,N(W20)=0),"",ROUND(ABS(W20)-ABS(W120),0)),"")</f>
        <v/>
      </c>
      <c r="X195" s="74" t="str">
        <f>IFERROR(IF(OR(N(X120)=0,N(X20)=0),"",ROUND(ABS(X20)-ABS(X120),0)),"")</f>
        <v/>
      </c>
      <c r="Y195" s="74" t="str">
        <f>IFERROR(IF(OR(N(Y120)=0,N(Y20)=0),"",ROUND(ABS(Y20)-ABS(Y120),0)),"")</f>
        <v/>
      </c>
      <c r="Z195" s="74" t="str">
        <f>IFERROR(IF(OR(N(Z120)=0,N(Z20)=0),"",ROUND(ABS(Z20)-ABS(Z120),0)),"")</f>
        <v/>
      </c>
      <c r="AA195" s="74" t="str">
        <f>IFERROR(IF(OR(N(AA120)=0,N(AA20)=0),"",ROUND(ABS(AA20)-ABS(AA120),0)),"")</f>
        <v/>
      </c>
      <c r="AB195" s="74" t="str">
        <f>IFERROR(IF(OR(N(AB120)=0,N(AB20)=0),"",ROUND(ABS(AB20)-ABS(AB120),0)),"")</f>
        <v/>
      </c>
      <c r="AC195" s="74" t="str">
        <f>IFERROR(IF(OR(N(AC120)=0,N(AC20)=0),"",ROUND(ABS(AC20)-ABS(AC120),0)),"")</f>
        <v/>
      </c>
      <c r="AD195" s="74">
        <f>IFERROR(IF(OR(N(AD120)=0,N(AD20)=0),"",ROUND(ABS(AD20)-ABS(AD120),0)),"")</f>
        <v>-149</v>
      </c>
      <c r="AE195" s="74">
        <f>IFERROR(IF(OR(N(AE120)=0,N(AE20)=0),"",ROUND(ABS(AE20)-ABS(AE120),0)),"")</f>
        <v>-149</v>
      </c>
      <c r="AF195" s="74">
        <f>IFERROR(IF(OR(N(AF120)=0,N(AF20)=0),"",ROUND(ABS(AF20)-ABS(AF120),0)),"")</f>
        <v>-159</v>
      </c>
      <c r="AG195" s="74">
        <f>IFERROR(IF(OR(N(AG120)=0,N(AG20)=0),"",ROUND(ABS(AG20)-ABS(AG120),0)),"")</f>
        <v>-151</v>
      </c>
      <c r="AH195" s="74">
        <f>IFERROR(IF(OR(N(AH120)=0,N(AH20)=0),"",ROUND(ABS(AH20)-ABS(AH120),0)),"")</f>
        <v>-151</v>
      </c>
      <c r="AI195" s="74">
        <f>IFERROR(IF(OR(N(AI120)=0,N(AI20)=0),"",ROUND(ABS(AI20)-ABS(AI120),0)),"")</f>
        <v>-55</v>
      </c>
      <c r="AJ195" s="74">
        <f>IFERROR(IF(OR(N(AJ120)=0,N(AJ20)=0),"",ROUND(ABS(AJ20)-ABS(AJ120),0)),"")</f>
        <v>-36</v>
      </c>
      <c r="AK195" s="74" t="str">
        <f>IFERROR(IF(OR(N(AK120)=0,N(AK20)=0),"",ROUND(ABS(AK20)-ABS(AK120),0)),"")</f>
        <v/>
      </c>
      <c r="AL195" s="74" t="str">
        <f>IFERROR(IF(OR(N(AL120)=0,N(AL20)=0),"",ROUND(ABS(AL20)-ABS(AL120),0)),"")</f>
        <v/>
      </c>
      <c r="AM195" s="74" t="str">
        <f>IFERROR(IF(OR(N(AM120)=0,N(AM20)=0),"",ROUND(ABS(AM20)-ABS(AM120),0)),"")</f>
        <v/>
      </c>
      <c r="AN195" s="74" t="str">
        <f>IFERROR(IF(OR(N(AN120)=0,N(AN20)=0),"",ROUND(ABS(AN20)-ABS(AN120),0)),"")</f>
        <v/>
      </c>
      <c r="AO195" s="74" t="str">
        <f>IFERROR(IF(OR(N(AO120)=0,N(AO20)=0),"",ROUND(ABS(AO20)-ABS(AO120),0)),"")</f>
        <v/>
      </c>
      <c r="AP195" s="74" t="str">
        <f>IFERROR(IF(OR(N(AP120)=0,N(AP20)=0),"",ROUND(ABS(AP20)-ABS(AP120),0)),"")</f>
        <v/>
      </c>
      <c r="AQ195" s="74" t="str">
        <f>IFERROR(IF(OR(N(AQ120)=0,N(AQ20)=0),"",ROUND(ABS(AQ20)-ABS(AQ120),0)),"")</f>
        <v/>
      </c>
      <c r="AR195" s="74" t="str">
        <f>IFERROR(IF(OR(N(AR120)=0,N(AR20)=0),"",ROUND(ABS(AR20)-ABS(AR120),0)),"")</f>
        <v/>
      </c>
      <c r="AS195" s="74" t="str">
        <f>IFERROR(IF(OR(N(AS120)=0,N(AS20)=0),"",ROUND(ABS(AS20)-ABS(AS120),0)),"")</f>
        <v/>
      </c>
      <c r="AT195" s="74" t="str">
        <f>IFERROR(IF(OR(N(AT120)=0,N(AT20)=0),"",ROUND(ABS(AT20)-ABS(AT120),0)),"")</f>
        <v/>
      </c>
      <c r="AU195" s="74" t="str">
        <f>IFERROR(IF(OR(N(AU120)=0,N(AU20)=0),"",ROUND(ABS(AU20)-ABS(AU120),0)),"")</f>
        <v/>
      </c>
      <c r="AV195" s="74" t="str">
        <f>IFERROR(IF(OR(N(AV120)=0,N(AV20)=0),"",ROUND(ABS(AV20)-ABS(AV120),0)),"")</f>
        <v/>
      </c>
      <c r="AW195" s="74" t="str">
        <f>IFERROR(IF(OR(N(AW120)=0,N(AW20)=0),"",ROUND(ABS(AW20)-ABS(AW120),0)),"")</f>
        <v/>
      </c>
      <c r="AX195" s="74" t="str">
        <f>IFERROR(IF(OR(N(AX120)=0,N(AX20)=0),"",ROUND(ABS(AX20)-ABS(AX120),0)),"")</f>
        <v/>
      </c>
      <c r="AY195" s="74" t="str">
        <f>IFERROR(IF(OR(N(AY120)=0,N(AY20)=0),"",ROUND(ABS(AY20)-ABS(AY120),0)),"")</f>
        <v/>
      </c>
      <c r="AZ195" s="74" t="str">
        <f>IFERROR(IF(OR(N(AZ120)=0,N(AZ20)=0),"",ROUND(ABS(AZ20)-ABS(AZ120),0)),"")</f>
        <v/>
      </c>
      <c r="BA195" s="74" t="str">
        <f>IFERROR(IF(OR(N(BA120)=0,N(BA20)=0),"",ROUND(ABS(BA20)-ABS(BA120),0)),"")</f>
        <v/>
      </c>
      <c r="BB195" s="74" t="str">
        <f>IFERROR(IF(OR(N(BB120)=0,N(BB20)=0),"",ROUND(ABS(BB20)-ABS(BB120),0)),"")</f>
        <v/>
      </c>
      <c r="BC195" s="74" t="str">
        <f>IFERROR(IF(OR(N(BC120)=0,N(BC20)=0),"",ROUND(ABS(BC20)-ABS(BC120),0)),"")</f>
        <v/>
      </c>
      <c r="BD195" s="74" t="str">
        <f>IFERROR(IF(OR(N(BD120)=0,N(BD20)=0),"",ROUND(ABS(BD20)-ABS(BD120),0)),"")</f>
        <v/>
      </c>
      <c r="BE195" s="74" t="str">
        <f>IFERROR(IF(OR(N(BE120)=0,N(BE20)=0),"",ROUND(ABS(BE20)-ABS(BE120),0)),"")</f>
        <v/>
      </c>
      <c r="BF195" s="74" t="str">
        <f>IFERROR(IF(OR(N(BF120)=0,N(BF20)=0),"",ROUND(ABS(BF20)-ABS(BF120),0)),"")</f>
        <v/>
      </c>
      <c r="BG195" s="74" t="str">
        <f>IFERROR(IF(OR(N(BG120)=0,N(BG20)=0),"",ROUND(ABS(BG20)-ABS(BG120),0)),"")</f>
        <v/>
      </c>
      <c r="BI195" s="14" t="inlineStr">
        <is>
          <t>Comparação em valor absoluto: a provisão do balanço entra negativa e a abertura por estágio costuma ser divulgada positiva. Em branco quando a fonte não abre.</t>
        </is>
      </c>
    </row>
  </sheetData>
  <conditionalFormatting sqref="E193:BG195">
    <cfRule type="cellIs" priority="1" operator="notBetween" dxfId="0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B2:BI203"/>
  <sheetViews>
    <sheetView showGridLines="0" workbookViewId="0">
      <pane xSplit="4" ySplit="14" topLeftCell="E15" activePane="bottomRight" state="frozen"/>
      <selection pane="topRight" activeCell="A1" sqref="A1"/>
      <selection pane="bottomLeft" activeCell="A1" sqref="A1"/>
      <selection pane="bottomRight" activeCell="H43" sqref="H43"/>
    </sheetView>
  </sheetViews>
  <sheetFormatPr baseColWidth="8" defaultRowHeight="15" outlineLevelRow="2"/>
  <cols>
    <col width="2.42578125" customWidth="1" min="1" max="1"/>
    <col width="5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2" ht="18" customHeight="1">
      <c r="C2" s="75" t="inlineStr">
        <is>
          <t>MODELO OPERACIONAL — BALANÇO, RESULTADO E INDICADORES</t>
        </is>
      </c>
    </row>
    <row r="3">
      <c r="C3" s="76" t="str">
        <f>"Todos os valores monetários em "&amp;Inputs!$E$202&amp;". Percentuais, múltiplos e métricas por ação seguem a unidade indicada em cada linha."</f>
        <v>Todos os valores monetários em R$ milhões. Percentuais, múltiplos e métricas por ação seguem a unidade indicada em cada linha.</v>
      </c>
    </row>
    <row r="4">
      <c r="B4" s="7" t="n"/>
      <c r="C4" s="7" t="inlineStr">
        <is>
          <t>CHECKS</t>
        </is>
      </c>
      <c r="D4" s="7" t="inlineStr">
        <is>
          <t>INTEGRITY CHECKS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idden="1" outlineLevel="1">
      <c r="C5" s="11" t="inlineStr">
        <is>
          <t>Balanço: Ativo – (Passivo + PL)</t>
        </is>
      </c>
      <c r="D5" s="12" t="inlineStr">
        <is>
          <t>Balance sheet tie-out</t>
        </is>
      </c>
      <c r="E5" s="74">
        <f>ROUND(E42-E79,0)</f>
        <v>0</v>
      </c>
      <c r="F5" s="74">
        <f>ROUND(F42-F79,0)</f>
        <v>0</v>
      </c>
      <c r="G5" s="74">
        <f>ROUND(G42-G79,0)</f>
        <v>0</v>
      </c>
      <c r="H5" s="74">
        <f>ROUND(H42-H79,0)</f>
        <v>0</v>
      </c>
      <c r="I5" s="77">
        <f>ROUND(I42-I79,0)</f>
        <v>0</v>
      </c>
      <c r="J5" s="74">
        <f>ROUND(J42-J79,0)</f>
        <v>0</v>
      </c>
      <c r="K5" s="74">
        <f>ROUND(K42-K79,0)</f>
        <v>0</v>
      </c>
      <c r="L5" s="74">
        <f>ROUND(L42-L79,0)</f>
        <v>0</v>
      </c>
      <c r="M5" s="74">
        <f>ROUND(M42-M79,0)</f>
        <v>0</v>
      </c>
      <c r="N5" s="77">
        <f>ROUND(N42-N79,0)</f>
        <v>0</v>
      </c>
      <c r="O5" s="74">
        <f>ROUND(O42-O79,0)</f>
        <v>0</v>
      </c>
      <c r="P5" s="74">
        <f>ROUND(P42-P79,0)</f>
        <v>0</v>
      </c>
      <c r="Q5" s="74">
        <f>ROUND(Q42-Q79,0)</f>
        <v>0</v>
      </c>
      <c r="R5" s="74">
        <f>ROUND(R42-R79,0)</f>
        <v>0</v>
      </c>
      <c r="S5" s="77">
        <f>ROUND(S42-S79,0)</f>
        <v>0</v>
      </c>
      <c r="T5" s="74">
        <f>ROUND(T42-T79,0)</f>
        <v>0</v>
      </c>
      <c r="U5" s="74">
        <f>ROUND(U42-U79,0)</f>
        <v>0</v>
      </c>
      <c r="V5" s="74">
        <f>ROUND(V42-V79,0)</f>
        <v>0</v>
      </c>
      <c r="W5" s="74">
        <f>ROUND(W42-W79,0)</f>
        <v>0</v>
      </c>
      <c r="X5" s="77">
        <f>ROUND(X42-X79,0)</f>
        <v>0</v>
      </c>
      <c r="Y5" s="74">
        <f>ROUND(Y42-Y79,0)</f>
        <v>0</v>
      </c>
      <c r="Z5" s="74">
        <f>ROUND(Z42-Z79,0)</f>
        <v>0</v>
      </c>
      <c r="AA5" s="74">
        <f>ROUND(AA42-AA79,0)</f>
        <v>0</v>
      </c>
      <c r="AB5" s="74">
        <f>ROUND(AB42-AB79,0)</f>
        <v>0</v>
      </c>
      <c r="AC5" s="77">
        <f>ROUND(AC42-AC79,0)</f>
        <v>0</v>
      </c>
      <c r="AD5" s="74">
        <f>ROUND(AD42-AD79,0)</f>
        <v>0</v>
      </c>
      <c r="AE5" s="74">
        <f>ROUND(AE42-AE79,0)</f>
        <v>0</v>
      </c>
      <c r="AF5" s="74">
        <f>ROUND(AF42-AF79,0)</f>
        <v>0</v>
      </c>
      <c r="AG5" s="74">
        <f>ROUND(AG42-AG79,0)</f>
        <v>0</v>
      </c>
      <c r="AH5" s="77">
        <f>ROUND(AH42-AH79,0)</f>
        <v>0</v>
      </c>
      <c r="AI5" s="74">
        <f>ROUND(AI42-AI79,0)</f>
        <v>0</v>
      </c>
      <c r="AJ5" s="74">
        <f>ROUND(AJ42-AJ79,0)</f>
        <v>0</v>
      </c>
      <c r="AK5" s="74">
        <f>ROUND(AK42-AK79,0)</f>
        <v>0</v>
      </c>
      <c r="AL5" s="74">
        <f>ROUND(AL42-AL79,0)</f>
        <v>0</v>
      </c>
      <c r="AM5" s="77">
        <f>ROUND(AM42-AM79,0)</f>
        <v>0</v>
      </c>
      <c r="AN5" s="74">
        <f>ROUND(AN42-AN79,0)</f>
        <v>0</v>
      </c>
      <c r="AO5" s="74">
        <f>ROUND(AO42-AO79,0)</f>
        <v>0</v>
      </c>
      <c r="AP5" s="74">
        <f>ROUND(AP42-AP79,0)</f>
        <v>0</v>
      </c>
      <c r="AQ5" s="74">
        <f>ROUND(AQ42-AQ79,0)</f>
        <v>0</v>
      </c>
      <c r="AR5" s="77">
        <f>ROUND(AR42-AR79,0)</f>
        <v>0</v>
      </c>
      <c r="AS5" s="74">
        <f>ROUND(AS42-AS79,0)</f>
        <v>0</v>
      </c>
      <c r="AT5" s="74">
        <f>ROUND(AT42-AT79,0)</f>
        <v>0</v>
      </c>
      <c r="AU5" s="74">
        <f>ROUND(AU42-AU79,0)</f>
        <v>0</v>
      </c>
      <c r="AV5" s="74">
        <f>ROUND(AV42-AV79,0)</f>
        <v>0</v>
      </c>
      <c r="AW5" s="77">
        <f>ROUND(AW42-AW79,0)</f>
        <v>0</v>
      </c>
      <c r="AX5" s="74">
        <f>ROUND(AX42-AX79,0)</f>
        <v>0</v>
      </c>
      <c r="AY5" s="74">
        <f>ROUND(AY42-AY79,0)</f>
        <v>0</v>
      </c>
      <c r="AZ5" s="74">
        <f>ROUND(AZ42-AZ79,0)</f>
        <v>0</v>
      </c>
      <c r="BA5" s="74">
        <f>ROUND(BA42-BA79,0)</f>
        <v>0</v>
      </c>
      <c r="BB5" s="77">
        <f>ROUND(BB42-BB79,0)</f>
        <v>0</v>
      </c>
      <c r="BC5" s="74">
        <f>ROUND(BC42-BC79,0)</f>
        <v>0</v>
      </c>
      <c r="BD5" s="74">
        <f>ROUND(BD42-BD79,0)</f>
        <v>0</v>
      </c>
      <c r="BE5" s="74">
        <f>ROUND(BE42-BE79,0)</f>
        <v>0</v>
      </c>
      <c r="BF5" s="74">
        <f>ROUND(BF42-BF79,0)</f>
        <v>0</v>
      </c>
      <c r="BG5" s="77">
        <f>ROUND(BG42-BG79,0)</f>
        <v>0</v>
      </c>
    </row>
    <row r="6" hidden="1" outlineLevel="1">
      <c r="C6" s="11" t="inlineStr">
        <is>
          <t>DRE: lucro do modelo – lucro reportado</t>
        </is>
      </c>
      <c r="D6" s="12" t="inlineStr">
        <is>
          <t>Income statement tie-out</t>
        </is>
      </c>
      <c r="E6" s="74">
        <f>IF(E$14=1,ROUND(E125-'Inputs (2)'!E104,0),0)</f>
        <v>0</v>
      </c>
      <c r="F6" s="74">
        <f>IF(F$14=1,ROUND(F125-'Inputs (2)'!F104,0),0)</f>
        <v>0</v>
      </c>
      <c r="G6" s="74">
        <f>IF(G$14=1,ROUND(G125-'Inputs (2)'!G104,0),0)</f>
        <v>0</v>
      </c>
      <c r="H6" s="74">
        <f>IF(H$14=1,ROUND(H125-'Inputs (2)'!H104,0),0)</f>
        <v>0</v>
      </c>
      <c r="I6" s="77">
        <f>IF(I$14=1,ROUND(I125-'Inputs (2)'!I104,0),0)</f>
        <v>0</v>
      </c>
      <c r="J6" s="74">
        <f>IF(J$14=1,ROUND(J125-'Inputs (2)'!J104,0),0)</f>
        <v>0</v>
      </c>
      <c r="K6" s="74">
        <f>IF(K$14=1,ROUND(K125-'Inputs (2)'!K104,0),0)</f>
        <v>0</v>
      </c>
      <c r="L6" s="74">
        <f>IF(L$14=1,ROUND(L125-'Inputs (2)'!L104,0),0)</f>
        <v>0</v>
      </c>
      <c r="M6" s="74">
        <f>IF(M$14=1,ROUND(M125-'Inputs (2)'!M104,0),0)</f>
        <v>0</v>
      </c>
      <c r="N6" s="77">
        <f>IF(N$14=1,ROUND(N125-'Inputs (2)'!N104,0),0)</f>
        <v>0</v>
      </c>
      <c r="O6" s="74">
        <f>IF(O$14=1,ROUND(O125-'Inputs (2)'!O104,0),0)</f>
        <v>0</v>
      </c>
      <c r="P6" s="74">
        <f>IF(P$14=1,ROUND(P125-'Inputs (2)'!P104,0),0)</f>
        <v>0</v>
      </c>
      <c r="Q6" s="74">
        <f>IF(Q$14=1,ROUND(Q125-'Inputs (2)'!Q104,0),0)</f>
        <v>0</v>
      </c>
      <c r="R6" s="74">
        <f>IF(R$14=1,ROUND(R125-'Inputs (2)'!R104,0),0)</f>
        <v>0</v>
      </c>
      <c r="S6" s="77">
        <f>IF(S$14=1,ROUND(S125-'Inputs (2)'!S104,0),0)</f>
        <v>0</v>
      </c>
      <c r="T6" s="74">
        <f>IF(T$14=1,ROUND(T125-'Inputs (2)'!T104,0),0)</f>
        <v>0</v>
      </c>
      <c r="U6" s="74">
        <f>IF(U$14=1,ROUND(U125-'Inputs (2)'!U104,0),0)</f>
        <v>0</v>
      </c>
      <c r="V6" s="74">
        <f>IF(V$14=1,ROUND(V125-'Inputs (2)'!V104,0),0)</f>
        <v>0</v>
      </c>
      <c r="W6" s="74">
        <f>IF(W$14=1,ROUND(W125-'Inputs (2)'!W104,0),0)</f>
        <v>0</v>
      </c>
      <c r="X6" s="77">
        <f>IF(X$14=1,ROUND(X125-'Inputs (2)'!X104,0),0)</f>
        <v>0</v>
      </c>
      <c r="Y6" s="74">
        <f>IF(Y$14=1,ROUND(Y125-'Inputs (2)'!Y104,0),0)</f>
        <v>0</v>
      </c>
      <c r="Z6" s="74">
        <f>IF(Z$14=1,ROUND(Z125-'Inputs (2)'!Z104,0),0)</f>
        <v>0</v>
      </c>
      <c r="AA6" s="74">
        <f>IF(AA$14=1,ROUND(AA125-'Inputs (2)'!AA104,0),0)</f>
        <v>0</v>
      </c>
      <c r="AB6" s="74">
        <f>IF(AB$14=1,ROUND(AB125-'Inputs (2)'!AB104,0),0)</f>
        <v>0</v>
      </c>
      <c r="AC6" s="77">
        <f>IF(AC$14=1,ROUND(AC125-'Inputs (2)'!AC104,0),0)</f>
        <v>0</v>
      </c>
      <c r="AD6" s="74">
        <f>IF(AD$14=1,ROUND(AD125-'Inputs (2)'!AD104,0),0)</f>
        <v>0</v>
      </c>
      <c r="AE6" s="74">
        <f>IF(AE$14=1,ROUND(AE125-'Inputs (2)'!AE104,0),0)</f>
        <v>0</v>
      </c>
      <c r="AF6" s="74">
        <f>IF(AF$14=1,ROUND(AF125-'Inputs (2)'!AF104,0),0)</f>
        <v>0</v>
      </c>
      <c r="AG6" s="74">
        <f>IF(AG$14=1,ROUND(AG125-'Inputs (2)'!AG104,0),0)</f>
        <v>0</v>
      </c>
      <c r="AH6" s="77">
        <f>IF(AH$14=1,ROUND(AH125-'Inputs (2)'!AH104,0),0)</f>
        <v>0</v>
      </c>
      <c r="AI6" s="74">
        <f>IF(AI$14=1,ROUND(AI125-'Inputs (2)'!AI104,0),0)</f>
        <v>0</v>
      </c>
      <c r="AJ6" s="74">
        <f>IF(AJ$14=1,ROUND(AJ125-'Inputs (2)'!AJ104,0),0)</f>
        <v>0</v>
      </c>
      <c r="AK6" s="74">
        <f>IF(AK$14=1,ROUND(AK125-'Inputs (2)'!AK104,0),0)</f>
        <v>0</v>
      </c>
      <c r="AL6" s="74">
        <f>IF(AL$14=1,ROUND(AL125-'Inputs (2)'!AL104,0),0)</f>
        <v>0</v>
      </c>
      <c r="AM6" s="77">
        <f>IF(AM$14=1,ROUND(AM125-'Inputs (2)'!AM104,0),0)</f>
        <v>0</v>
      </c>
      <c r="AN6" s="74">
        <f>IF(AN$14=1,ROUND(AN125-'Inputs (2)'!AN104,0),0)</f>
        <v>0</v>
      </c>
      <c r="AO6" s="74">
        <f>IF(AO$14=1,ROUND(AO125-'Inputs (2)'!AO104,0),0)</f>
        <v>0</v>
      </c>
      <c r="AP6" s="74">
        <f>IF(AP$14=1,ROUND(AP125-'Inputs (2)'!AP104,0),0)</f>
        <v>0</v>
      </c>
      <c r="AQ6" s="74">
        <f>IF(AQ$14=1,ROUND(AQ125-'Inputs (2)'!AQ104,0),0)</f>
        <v>0</v>
      </c>
      <c r="AR6" s="77">
        <f>IF(AR$14=1,ROUND(AR125-'Inputs (2)'!AR104,0),0)</f>
        <v>0</v>
      </c>
      <c r="AS6" s="74">
        <f>IF(AS$14=1,ROUND(AS125-'Inputs (2)'!AS104,0),0)</f>
        <v>0</v>
      </c>
      <c r="AT6" s="74">
        <f>IF(AT$14=1,ROUND(AT125-'Inputs (2)'!AT104,0),0)</f>
        <v>0</v>
      </c>
      <c r="AU6" s="74">
        <f>IF(AU$14=1,ROUND(AU125-'Inputs (2)'!AU104,0),0)</f>
        <v>0</v>
      </c>
      <c r="AV6" s="74">
        <f>IF(AV$14=1,ROUND(AV125-'Inputs (2)'!AV104,0),0)</f>
        <v>0</v>
      </c>
      <c r="AW6" s="77">
        <f>IF(AW$14=1,ROUND(AW125-'Inputs (2)'!AW104,0),0)</f>
        <v>0</v>
      </c>
      <c r="AX6" s="74">
        <f>IF(AX$14=1,ROUND(AX125-'Inputs (2)'!AX104,0),0)</f>
        <v>0</v>
      </c>
      <c r="AY6" s="74">
        <f>IF(AY$14=1,ROUND(AY125-'Inputs (2)'!AY104,0),0)</f>
        <v>0</v>
      </c>
      <c r="AZ6" s="74">
        <f>IF(AZ$14=1,ROUND(AZ125-'Inputs (2)'!AZ104,0),0)</f>
        <v>0</v>
      </c>
      <c r="BA6" s="74">
        <f>IF(BA$14=1,ROUND(BA125-'Inputs (2)'!BA104,0),0)</f>
        <v>0</v>
      </c>
      <c r="BB6" s="77">
        <f>IF(BB$14=1,ROUND(BB125-'Inputs (2)'!BB104,0),0)</f>
        <v>0</v>
      </c>
      <c r="BC6" s="74">
        <f>IF(BC$14=1,ROUND(BC125-'Inputs (2)'!BC104,0),0)</f>
        <v>0</v>
      </c>
      <c r="BD6" s="74">
        <f>IF(BD$14=1,ROUND(BD125-'Inputs (2)'!BD104,0),0)</f>
        <v>0</v>
      </c>
      <c r="BE6" s="74">
        <f>IF(BE$14=1,ROUND(BE125-'Inputs (2)'!BE104,0),0)</f>
        <v>0</v>
      </c>
      <c r="BF6" s="74">
        <f>IF(BF$14=1,ROUND(BF125-'Inputs (2)'!BF104,0),0)</f>
        <v>0</v>
      </c>
      <c r="BG6" s="77">
        <f>IF(BG$14=1,ROUND(BG125-'Inputs (2)'!BG104,0),0)</f>
        <v>0</v>
      </c>
    </row>
    <row r="7" hidden="1" outlineLevel="1">
      <c r="C7" s="11" t="inlineStr">
        <is>
          <t>PL: saldo final – roll-forward</t>
        </is>
      </c>
      <c r="D7" s="12" t="inlineStr">
        <is>
          <t>Equity roll-forward tie-out</t>
        </is>
      </c>
      <c r="E7" s="74">
        <f>ROUND(E78-E88,0)</f>
        <v>0</v>
      </c>
      <c r="F7" s="74">
        <f>ROUND(F78-F88,0)</f>
        <v>0</v>
      </c>
      <c r="G7" s="74">
        <f>ROUND(G78-G88,0)</f>
        <v>0</v>
      </c>
      <c r="H7" s="74">
        <f>ROUND(H78-H88,0)</f>
        <v>0</v>
      </c>
      <c r="I7" s="77">
        <f>ROUND(I78-I88,0)</f>
        <v>0</v>
      </c>
      <c r="J7" s="74">
        <f>ROUND(J78-J88,0)</f>
        <v>0</v>
      </c>
      <c r="K7" s="74">
        <f>ROUND(K78-K88,0)</f>
        <v>0</v>
      </c>
      <c r="L7" s="74">
        <f>ROUND(L78-L88,0)</f>
        <v>0</v>
      </c>
      <c r="M7" s="74">
        <f>ROUND(M78-M88,0)</f>
        <v>0</v>
      </c>
      <c r="N7" s="77">
        <f>ROUND(N78-N88,0)</f>
        <v>0</v>
      </c>
      <c r="O7" s="74">
        <f>ROUND(O78-O88,0)</f>
        <v>0</v>
      </c>
      <c r="P7" s="74">
        <f>ROUND(P78-P88,0)</f>
        <v>0</v>
      </c>
      <c r="Q7" s="74">
        <f>ROUND(Q78-Q88,0)</f>
        <v>0</v>
      </c>
      <c r="R7" s="74">
        <f>ROUND(R78-R88,0)</f>
        <v>0</v>
      </c>
      <c r="S7" s="77">
        <f>ROUND(S78-S88,0)</f>
        <v>0</v>
      </c>
      <c r="T7" s="74">
        <f>ROUND(T78-T88,0)</f>
        <v>0</v>
      </c>
      <c r="U7" s="74">
        <f>ROUND(U78-U88,0)</f>
        <v>0</v>
      </c>
      <c r="V7" s="74">
        <f>ROUND(V78-V88,0)</f>
        <v>0</v>
      </c>
      <c r="W7" s="74">
        <f>ROUND(W78-W88,0)</f>
        <v>0</v>
      </c>
      <c r="X7" s="77">
        <f>ROUND(X78-X88,0)</f>
        <v>0</v>
      </c>
      <c r="Y7" s="74">
        <f>ROUND(Y78-Y88,0)</f>
        <v>0</v>
      </c>
      <c r="Z7" s="74">
        <f>ROUND(Z78-Z88,0)</f>
        <v>0</v>
      </c>
      <c r="AA7" s="74">
        <f>ROUND(AA78-AA88,0)</f>
        <v>0</v>
      </c>
      <c r="AB7" s="74">
        <f>ROUND(AB78-AB88,0)</f>
        <v>0</v>
      </c>
      <c r="AC7" s="77">
        <f>ROUND(AC78-AC88,0)</f>
        <v>0</v>
      </c>
      <c r="AD7" s="74">
        <f>ROUND(AD78-AD88,0)</f>
        <v>0</v>
      </c>
      <c r="AE7" s="74">
        <f>ROUND(AE78-AE88,0)</f>
        <v>0</v>
      </c>
      <c r="AF7" s="74">
        <f>ROUND(AF78-AF88,0)</f>
        <v>0</v>
      </c>
      <c r="AG7" s="74">
        <f>ROUND(AG78-AG88,0)</f>
        <v>0</v>
      </c>
      <c r="AH7" s="77">
        <f>ROUND(AH78-AH88,0)</f>
        <v>0</v>
      </c>
      <c r="AI7" s="74">
        <f>ROUND(AI78-AI88,0)</f>
        <v>0</v>
      </c>
      <c r="AJ7" s="74">
        <f>ROUND(AJ78-AJ88,0)</f>
        <v>0</v>
      </c>
      <c r="AK7" s="74">
        <f>ROUND(AK78-AK88,0)</f>
        <v>0</v>
      </c>
      <c r="AL7" s="74">
        <f>ROUND(AL78-AL88,0)</f>
        <v>0</v>
      </c>
      <c r="AM7" s="77">
        <f>ROUND(AM78-AM88,0)</f>
        <v>0</v>
      </c>
      <c r="AN7" s="74">
        <f>ROUND(AN78-AN88,0)</f>
        <v>0</v>
      </c>
      <c r="AO7" s="74">
        <f>ROUND(AO78-AO88,0)</f>
        <v>0</v>
      </c>
      <c r="AP7" s="74">
        <f>ROUND(AP78-AP88,0)</f>
        <v>0</v>
      </c>
      <c r="AQ7" s="74">
        <f>ROUND(AQ78-AQ88,0)</f>
        <v>0</v>
      </c>
      <c r="AR7" s="77">
        <f>ROUND(AR78-AR88,0)</f>
        <v>0</v>
      </c>
      <c r="AS7" s="74">
        <f>ROUND(AS78-AS88,0)</f>
        <v>0</v>
      </c>
      <c r="AT7" s="74">
        <f>ROUND(AT78-AT88,0)</f>
        <v>0</v>
      </c>
      <c r="AU7" s="74">
        <f>ROUND(AU78-AU88,0)</f>
        <v>0</v>
      </c>
      <c r="AV7" s="74">
        <f>ROUND(AV78-AV88,0)</f>
        <v>0</v>
      </c>
      <c r="AW7" s="77">
        <f>ROUND(AW78-AW88,0)</f>
        <v>0</v>
      </c>
      <c r="AX7" s="74">
        <f>ROUND(AX78-AX88,0)</f>
        <v>0</v>
      </c>
      <c r="AY7" s="74">
        <f>ROUND(AY78-AY88,0)</f>
        <v>0</v>
      </c>
      <c r="AZ7" s="74">
        <f>ROUND(AZ78-AZ88,0)</f>
        <v>0</v>
      </c>
      <c r="BA7" s="74">
        <f>ROUND(BA78-BA88,0)</f>
        <v>0</v>
      </c>
      <c r="BB7" s="77">
        <f>ROUND(BB78-BB88,0)</f>
        <v>0</v>
      </c>
      <c r="BC7" s="74">
        <f>ROUND(BC78-BC88,0)</f>
        <v>0</v>
      </c>
      <c r="BD7" s="74">
        <f>ROUND(BD78-BD88,0)</f>
        <v>0</v>
      </c>
      <c r="BE7" s="74">
        <f>ROUND(BE78-BE88,0)</f>
        <v>0</v>
      </c>
      <c r="BF7" s="74">
        <f>ROUND(BF78-BF88,0)</f>
        <v>0</v>
      </c>
      <c r="BG7" s="77">
        <f>ROUND(BG78-BG88,0)</f>
        <v>0</v>
      </c>
    </row>
    <row r="8" collapsed="1">
      <c r="C8" s="15" t="inlineStr">
        <is>
          <t>STATUS DO MODELO</t>
        </is>
      </c>
      <c r="D8" s="78" t="n">
        <v>5</v>
      </c>
      <c r="E8" s="79" t="str">
        <f>IF(AND(MAX(E5:BG7)&lt;=$D$8,MIN(E5:BG7)&gt;=-$D$8),"MODELO CONSISTENTE","VERIFICAR CHECKS ACIMA")</f>
        <v>MODELO CONSISTENTE</v>
      </c>
      <c r="BI8" s="14" t="inlineStr">
        <is>
          <t>A célula amarela é a tolerância de arredondamento aceita, na mesma unidade das demonstrações. Diferença acima dela acende o alerta.</t>
        </is>
      </c>
    </row>
    <row r="10">
      <c r="B10" s="7" t="n"/>
      <c r="C10" s="7" t="inlineStr">
        <is>
          <t>GRADE DE PERÍODOS</t>
        </is>
      </c>
      <c r="D10" s="7" t="inlineStr">
        <is>
          <t>PERIOD GRID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C11" s="11" t="inlineStr">
        <is>
          <t>Data de fechamento</t>
        </is>
      </c>
      <c r="D11" s="12" t="inlineStr">
        <is>
          <t>Period end</t>
        </is>
      </c>
      <c r="E11" s="23">
        <f>DATE(2020,4,1)-1</f>
        <v>43921.0</v>
      </c>
      <c r="F11" s="23">
        <f>DATE(2020,7,1)-1</f>
        <v>44012.0</v>
      </c>
      <c r="G11" s="23">
        <f>DATE(2020,10,1)-1</f>
        <v>44104.0</v>
      </c>
      <c r="H11" s="23">
        <f>DATE(2020,13,1)-1</f>
        <v>44196.0</v>
      </c>
      <c r="I11" s="23">
        <f>H11</f>
        <v>44196.0</v>
      </c>
      <c r="J11" s="23">
        <f>DATE(2021,4,1)-1</f>
        <v>44286.0</v>
      </c>
      <c r="K11" s="23">
        <f>DATE(2021,7,1)-1</f>
        <v>44377.0</v>
      </c>
      <c r="L11" s="23">
        <f>DATE(2021,10,1)-1</f>
        <v>44469.0</v>
      </c>
      <c r="M11" s="23">
        <f>DATE(2021,13,1)-1</f>
        <v>44561.0</v>
      </c>
      <c r="N11" s="23">
        <f>M11</f>
        <v>44561.0</v>
      </c>
      <c r="O11" s="23">
        <f>DATE(2022,4,1)-1</f>
        <v>44651.0</v>
      </c>
      <c r="P11" s="23">
        <f>DATE(2022,7,1)-1</f>
        <v>44742.0</v>
      </c>
      <c r="Q11" s="23">
        <f>DATE(2022,10,1)-1</f>
        <v>44834.0</v>
      </c>
      <c r="R11" s="23">
        <f>DATE(2022,13,1)-1</f>
        <v>44926.0</v>
      </c>
      <c r="S11" s="23">
        <f>R11</f>
        <v>44926.0</v>
      </c>
      <c r="T11" s="23">
        <f>DATE(2023,4,1)-1</f>
        <v>45016.0</v>
      </c>
      <c r="U11" s="23">
        <f>DATE(2023,7,1)-1</f>
        <v>45107.0</v>
      </c>
      <c r="V11" s="23">
        <f>DATE(2023,10,1)-1</f>
        <v>45199.0</v>
      </c>
      <c r="W11" s="23">
        <f>DATE(2023,13,1)-1</f>
        <v>45291.0</v>
      </c>
      <c r="X11" s="23">
        <f>W11</f>
        <v>45291.0</v>
      </c>
      <c r="Y11" s="23">
        <f>DATE(2024,4,1)-1</f>
        <v>45382.0</v>
      </c>
      <c r="Z11" s="23">
        <f>DATE(2024,7,1)-1</f>
        <v>45473.0</v>
      </c>
      <c r="AA11" s="23">
        <f>DATE(2024,10,1)-1</f>
        <v>45565.0</v>
      </c>
      <c r="AB11" s="23">
        <f>DATE(2024,13,1)-1</f>
        <v>45657.0</v>
      </c>
      <c r="AC11" s="23">
        <f>AB11</f>
        <v>45657.0</v>
      </c>
      <c r="AD11" s="23">
        <f>DATE(2025,4,1)-1</f>
        <v>45747.0</v>
      </c>
      <c r="AE11" s="23">
        <f>DATE(2025,7,1)-1</f>
        <v>45838.0</v>
      </c>
      <c r="AF11" s="23">
        <f>DATE(2025,10,1)-1</f>
        <v>45930.0</v>
      </c>
      <c r="AG11" s="23">
        <f>DATE(2025,13,1)-1</f>
        <v>46022.0</v>
      </c>
      <c r="AH11" s="23">
        <f>AG11</f>
        <v>46022.0</v>
      </c>
      <c r="AI11" s="23">
        <f>DATE(2026,4,1)-1</f>
        <v>46112.0</v>
      </c>
      <c r="AJ11" s="23">
        <f>DATE(2026,7,1)-1</f>
        <v>46203.0</v>
      </c>
      <c r="AK11" s="23">
        <f>DATE(2026,10,1)-1</f>
        <v>46295.0</v>
      </c>
      <c r="AL11" s="23">
        <f>DATE(2026,13,1)-1</f>
        <v>46387.0</v>
      </c>
      <c r="AM11" s="23">
        <f>AL11</f>
        <v>46387.0</v>
      </c>
      <c r="AN11" s="23">
        <f>DATE(2027,4,1)-1</f>
        <v>46477.0</v>
      </c>
      <c r="AO11" s="23">
        <f>DATE(2027,7,1)-1</f>
        <v>46568.0</v>
      </c>
      <c r="AP11" s="23">
        <f>DATE(2027,10,1)-1</f>
        <v>46660.0</v>
      </c>
      <c r="AQ11" s="23">
        <f>DATE(2027,13,1)-1</f>
        <v>46752.0</v>
      </c>
      <c r="AR11" s="23">
        <f>AQ11</f>
        <v>46752.0</v>
      </c>
      <c r="AS11" s="23">
        <f>DATE(2028,4,1)-1</f>
        <v>46843.0</v>
      </c>
      <c r="AT11" s="23">
        <f>DATE(2028,7,1)-1</f>
        <v>46934.0</v>
      </c>
      <c r="AU11" s="23">
        <f>DATE(2028,10,1)-1</f>
        <v>47026.0</v>
      </c>
      <c r="AV11" s="23">
        <f>DATE(2028,13,1)-1</f>
        <v>47118.0</v>
      </c>
      <c r="AW11" s="23">
        <f>AV11</f>
        <v>47118.0</v>
      </c>
      <c r="AX11" s="23">
        <f>DATE(2029,4,1)-1</f>
        <v>47208.0</v>
      </c>
      <c r="AY11" s="23">
        <f>DATE(2029,7,1)-1</f>
        <v>47299.0</v>
      </c>
      <c r="AZ11" s="23">
        <f>DATE(2029,10,1)-1</f>
        <v>47391.0</v>
      </c>
      <c r="BA11" s="23">
        <f>DATE(2029,13,1)-1</f>
        <v>47483.0</v>
      </c>
      <c r="BB11" s="23">
        <f>BA11</f>
        <v>47483.0</v>
      </c>
      <c r="BC11" s="23">
        <f>DATE(2030,4,1)-1</f>
        <v>47573.0</v>
      </c>
      <c r="BD11" s="23">
        <f>DATE(2030,7,1)-1</f>
        <v>47664.0</v>
      </c>
      <c r="BE11" s="23">
        <f>DATE(2030,10,1)-1</f>
        <v>47756.0</v>
      </c>
      <c r="BF11" s="23">
        <f>DATE(2030,13,1)-1</f>
        <v>47848.0</v>
      </c>
      <c r="BG11" s="23">
        <f>BF11</f>
        <v>47848.0</v>
      </c>
    </row>
    <row r="12" hidden="1">
      <c r="E12" s="24" t="n">
        <v>2020</v>
      </c>
      <c r="F12" s="24" t="n">
        <v>2020</v>
      </c>
      <c r="G12" s="24" t="n">
        <v>2020</v>
      </c>
      <c r="H12" s="24" t="n">
        <v>2020</v>
      </c>
      <c r="I12" s="24" t="n">
        <v>2020</v>
      </c>
      <c r="J12" s="24" t="n">
        <v>2021</v>
      </c>
      <c r="K12" s="24" t="n">
        <v>2021</v>
      </c>
      <c r="L12" s="24" t="n">
        <v>2021</v>
      </c>
      <c r="M12" s="24" t="n">
        <v>2021</v>
      </c>
      <c r="N12" s="24" t="n">
        <v>2021</v>
      </c>
      <c r="O12" s="24" t="n">
        <v>2022</v>
      </c>
      <c r="P12" s="24" t="n">
        <v>2022</v>
      </c>
      <c r="Q12" s="24" t="n">
        <v>2022</v>
      </c>
      <c r="R12" s="24" t="n">
        <v>2022</v>
      </c>
      <c r="S12" s="24" t="n">
        <v>2022</v>
      </c>
      <c r="T12" s="24" t="n">
        <v>2023</v>
      </c>
      <c r="U12" s="24" t="n">
        <v>2023</v>
      </c>
      <c r="V12" s="24" t="n">
        <v>2023</v>
      </c>
      <c r="W12" s="24" t="n">
        <v>2023</v>
      </c>
      <c r="X12" s="24" t="n">
        <v>2023</v>
      </c>
      <c r="Y12" s="24" t="n">
        <v>2024</v>
      </c>
      <c r="Z12" s="24" t="n">
        <v>2024</v>
      </c>
      <c r="AA12" s="24" t="n">
        <v>2024</v>
      </c>
      <c r="AB12" s="24" t="n">
        <v>2024</v>
      </c>
      <c r="AC12" s="24" t="n">
        <v>2024</v>
      </c>
      <c r="AD12" s="24" t="n">
        <v>2025</v>
      </c>
      <c r="AE12" s="24" t="n">
        <v>2025</v>
      </c>
      <c r="AF12" s="24" t="n">
        <v>2025</v>
      </c>
      <c r="AG12" s="24" t="n">
        <v>2025</v>
      </c>
      <c r="AH12" s="24" t="n">
        <v>2025</v>
      </c>
      <c r="AI12" s="24" t="n">
        <v>2026</v>
      </c>
      <c r="AJ12" s="24" t="n">
        <v>2026</v>
      </c>
      <c r="AK12" s="24" t="n">
        <v>2026</v>
      </c>
      <c r="AL12" s="24" t="n">
        <v>2026</v>
      </c>
      <c r="AM12" s="24" t="n">
        <v>2026</v>
      </c>
      <c r="AN12" s="24" t="n">
        <v>2027</v>
      </c>
      <c r="AO12" s="24" t="n">
        <v>2027</v>
      </c>
      <c r="AP12" s="24" t="n">
        <v>2027</v>
      </c>
      <c r="AQ12" s="24" t="n">
        <v>2027</v>
      </c>
      <c r="AR12" s="24" t="n">
        <v>2027</v>
      </c>
      <c r="AS12" s="24" t="n">
        <v>2028</v>
      </c>
      <c r="AT12" s="24" t="n">
        <v>2028</v>
      </c>
      <c r="AU12" s="24" t="n">
        <v>2028</v>
      </c>
      <c r="AV12" s="24" t="n">
        <v>2028</v>
      </c>
      <c r="AW12" s="24" t="n">
        <v>2028</v>
      </c>
      <c r="AX12" s="24" t="n">
        <v>2029</v>
      </c>
      <c r="AY12" s="24" t="n">
        <v>2029</v>
      </c>
      <c r="AZ12" s="24" t="n">
        <v>2029</v>
      </c>
      <c r="BA12" s="24" t="n">
        <v>2029</v>
      </c>
      <c r="BB12" s="24" t="n">
        <v>2029</v>
      </c>
      <c r="BC12" s="24" t="n">
        <v>2030</v>
      </c>
      <c r="BD12" s="24" t="n">
        <v>2030</v>
      </c>
      <c r="BE12" s="24" t="n">
        <v>2030</v>
      </c>
      <c r="BF12" s="24" t="n">
        <v>2030</v>
      </c>
      <c r="BG12" s="24" t="n">
        <v>2030</v>
      </c>
    </row>
    <row r="13">
      <c r="C13" s="15" t="inlineStr">
        <is>
          <t>Período</t>
        </is>
      </c>
      <c r="D13" s="16" t="inlineStr">
        <is>
          <t>Period</t>
        </is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>
      <c r="C14" s="26" t="inlineStr">
        <is>
          <t>Realizado (1) / Projetado (0)</t>
        </is>
      </c>
      <c r="D14" s="12" t="inlineStr">
        <is>
          <t>Actual / Forecast</t>
        </is>
      </c>
      <c r="E14" s="27">
        <f>IF(AND(E11&gt;=Inputs!$E$204,E11&lt;=Inputs!$E$203),1,0)</f>
        <v>1</v>
      </c>
      <c r="F14" s="27">
        <f>IF(AND(F11&gt;=Inputs!$E$204,F11&lt;=Inputs!$E$203),1,0)</f>
        <v>1</v>
      </c>
      <c r="G14" s="27">
        <f>IF(AND(G11&gt;=Inputs!$E$204,G11&lt;=Inputs!$E$203),1,0)</f>
        <v>1</v>
      </c>
      <c r="H14" s="27">
        <f>IF(AND(H11&gt;=Inputs!$E$204,H11&lt;=Inputs!$E$203),1,0)</f>
        <v>1</v>
      </c>
      <c r="I14" s="27">
        <f>IF(AND(I11&gt;=Inputs!$E$204,I11&lt;=Inputs!$E$203),1,0)</f>
        <v>1</v>
      </c>
      <c r="J14" s="27">
        <f>IF(AND(J11&gt;=Inputs!$E$204,J11&lt;=Inputs!$E$203),1,0)</f>
        <v>1</v>
      </c>
      <c r="K14" s="27">
        <f>IF(AND(K11&gt;=Inputs!$E$204,K11&lt;=Inputs!$E$203),1,0)</f>
        <v>1</v>
      </c>
      <c r="L14" s="27">
        <f>IF(AND(L11&gt;=Inputs!$E$204,L11&lt;=Inputs!$E$203),1,0)</f>
        <v>1</v>
      </c>
      <c r="M14" s="27">
        <f>IF(AND(M11&gt;=Inputs!$E$204,M11&lt;=Inputs!$E$203),1,0)</f>
        <v>1</v>
      </c>
      <c r="N14" s="27">
        <f>IF(AND(N11&gt;=Inputs!$E$204,N11&lt;=Inputs!$E$203),1,0)</f>
        <v>1</v>
      </c>
      <c r="O14" s="27">
        <f>IF(AND(O11&gt;=Inputs!$E$204,O11&lt;=Inputs!$E$203),1,0)</f>
        <v>1</v>
      </c>
      <c r="P14" s="27">
        <f>IF(AND(P11&gt;=Inputs!$E$204,P11&lt;=Inputs!$E$203),1,0)</f>
        <v>1</v>
      </c>
      <c r="Q14" s="27">
        <f>IF(AND(Q11&gt;=Inputs!$E$204,Q11&lt;=Inputs!$E$203),1,0)</f>
        <v>1</v>
      </c>
      <c r="R14" s="27">
        <f>IF(AND(R11&gt;=Inputs!$E$204,R11&lt;=Inputs!$E$203),1,0)</f>
        <v>1</v>
      </c>
      <c r="S14" s="27">
        <f>IF(AND(S11&gt;=Inputs!$E$204,S11&lt;=Inputs!$E$203),1,0)</f>
        <v>1</v>
      </c>
      <c r="T14" s="27">
        <f>IF(AND(T11&gt;=Inputs!$E$204,T11&lt;=Inputs!$E$203),1,0)</f>
        <v>1</v>
      </c>
      <c r="U14" s="27">
        <f>IF(AND(U11&gt;=Inputs!$E$204,U11&lt;=Inputs!$E$203),1,0)</f>
        <v>1</v>
      </c>
      <c r="V14" s="27">
        <f>IF(AND(V11&gt;=Inputs!$E$204,V11&lt;=Inputs!$E$203),1,0)</f>
        <v>1</v>
      </c>
      <c r="W14" s="27">
        <f>IF(AND(W11&gt;=Inputs!$E$204,W11&lt;=Inputs!$E$203),1,0)</f>
        <v>1</v>
      </c>
      <c r="X14" s="27">
        <f>IF(AND(X11&gt;=Inputs!$E$204,X11&lt;=Inputs!$E$203),1,0)</f>
        <v>1</v>
      </c>
      <c r="Y14" s="27">
        <f>IF(AND(Y11&gt;=Inputs!$E$204,Y11&lt;=Inputs!$E$203),1,0)</f>
        <v>1</v>
      </c>
      <c r="Z14" s="27">
        <f>IF(AND(Z11&gt;=Inputs!$E$204,Z11&lt;=Inputs!$E$203),1,0)</f>
        <v>1</v>
      </c>
      <c r="AA14" s="27">
        <f>IF(AND(AA11&gt;=Inputs!$E$204,AA11&lt;=Inputs!$E$203),1,0)</f>
        <v>1</v>
      </c>
      <c r="AB14" s="27">
        <f>IF(AND(AB11&gt;=Inputs!$E$204,AB11&lt;=Inputs!$E$203),1,0)</f>
        <v>1</v>
      </c>
      <c r="AC14" s="27">
        <f>IF(AND(AC11&gt;=Inputs!$E$204,AC11&lt;=Inputs!$E$203),1,0)</f>
        <v>1</v>
      </c>
      <c r="AD14" s="27">
        <f>IF(AND(AD11&gt;=Inputs!$E$204,AD11&lt;=Inputs!$E$203),1,0)</f>
        <v>1</v>
      </c>
      <c r="AE14" s="27">
        <f>IF(AND(AE11&gt;=Inputs!$E$204,AE11&lt;=Inputs!$E$203),1,0)</f>
        <v>1</v>
      </c>
      <c r="AF14" s="27">
        <f>IF(AND(AF11&gt;=Inputs!$E$204,AF11&lt;=Inputs!$E$203),1,0)</f>
        <v>1</v>
      </c>
      <c r="AG14" s="27">
        <f>IF(AND(AG11&gt;=Inputs!$E$204,AG11&lt;=Inputs!$E$203),1,0)</f>
        <v>1</v>
      </c>
      <c r="AH14" s="27">
        <f>IF(AND(AH11&gt;=Inputs!$E$204,AH11&lt;=Inputs!$E$203),1,0)</f>
        <v>1</v>
      </c>
      <c r="AI14" s="27">
        <f>IF(AND(AI11&gt;=Inputs!$E$204,AI11&lt;=Inputs!$E$203),1,0)</f>
        <v>1</v>
      </c>
      <c r="AJ14" s="27">
        <f>IF(AND(AJ11&gt;=Inputs!$E$204,AJ11&lt;=Inputs!$E$203),1,0)</f>
        <v>1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>
      <c r="B16" s="7" t="n"/>
      <c r="C16" s="7" t="str">
        <f>"BALANÇO PATRIMONIAL ("&amp;Inputs!$E$202&amp;")"</f>
        <v>BALANÇO PATRIMONIAL (R$ milhões)</v>
      </c>
      <c r="D16" s="7" t="inlineStr">
        <is>
          <t>BALANCE SHEET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B17" s="29" t="n"/>
      <c r="C17" s="29" t="inlineStr">
        <is>
          <t>Ativo</t>
        </is>
      </c>
      <c r="D17" s="29" t="inlineStr">
        <is>
          <t>Assets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</row>
    <row r="18">
      <c r="C18" s="80" t="inlineStr">
        <is>
          <t>Disponibilidades</t>
        </is>
      </c>
      <c r="D18" s="81" t="inlineStr">
        <is>
          <t>Cash and Cash Equivalents</t>
        </is>
      </c>
      <c r="E18" s="82">
        <f>'Inputs (2)'!E5</f>
        <v>625.253</v>
      </c>
      <c r="F18" s="82">
        <f>IF(F$14=1,'Inputs (2)'!F5,E18*(1+Inputs!F$281))</f>
        <v>635.624</v>
      </c>
      <c r="G18" s="82">
        <f>IF(G$14=1,'Inputs (2)'!G5,F18*(1+Inputs!G$281))</f>
        <v>670.993</v>
      </c>
      <c r="H18" s="82">
        <f>IF(H$14=1,'Inputs (2)'!H5,G18*(1+Inputs!H$281))</f>
        <v>513.293</v>
      </c>
      <c r="I18" s="77">
        <f>H18</f>
        <v>513.293</v>
      </c>
      <c r="J18" s="82">
        <f>IF(J$14=1,'Inputs (2)'!J5,H18*(1+Inputs!J$281))</f>
        <v>1361.952</v>
      </c>
      <c r="K18" s="82">
        <f>IF(K$14=1,'Inputs (2)'!K5,J18*(1+Inputs!K$281))</f>
        <v>2853.186</v>
      </c>
      <c r="L18" s="82">
        <f>IF(L$14=1,'Inputs (2)'!L5,K18*(1+Inputs!L$281))</f>
        <v>1710.865</v>
      </c>
      <c r="M18" s="82">
        <f>IF(M$14=1,'Inputs (2)'!M5,L18*(1+Inputs!M$281))</f>
        <v>731.092</v>
      </c>
      <c r="N18" s="77">
        <f>M18</f>
        <v>731.092</v>
      </c>
      <c r="O18" s="82">
        <f>IF(O$14=1,'Inputs (2)'!O5,M18*(1+Inputs!O$281))</f>
        <v>362.712</v>
      </c>
      <c r="P18" s="82">
        <f>IF(P$14=1,'Inputs (2)'!P5,O18*(1+Inputs!P$281))</f>
        <v>553.937</v>
      </c>
      <c r="Q18" s="82">
        <f>IF(Q$14=1,'Inputs (2)'!Q5,P18*(1+Inputs!Q$281))</f>
        <v>506.227</v>
      </c>
      <c r="R18" s="82">
        <f>IF(R$14=1,'Inputs (2)'!R5,Q18*(1+Inputs!R$281))</f>
        <v>329.879</v>
      </c>
      <c r="S18" s="77">
        <f>R18</f>
        <v>329.879</v>
      </c>
      <c r="T18" s="82">
        <f>IF(T$14=1,'Inputs (2)'!T5,R18*(1+Inputs!T$281))</f>
        <v>324.33</v>
      </c>
      <c r="U18" s="82">
        <f>IF(U$14=1,'Inputs (2)'!U5,T18*(1+Inputs!U$281))</f>
        <v>371.967</v>
      </c>
      <c r="V18" s="82">
        <f>IF(V$14=1,'Inputs (2)'!V5,U18*(1+Inputs!V$281))</f>
        <v>106.93</v>
      </c>
      <c r="W18" s="82">
        <f>IF(W$14=1,'Inputs (2)'!W5,V18*(1+Inputs!W$281))</f>
        <v>647.009</v>
      </c>
      <c r="X18" s="77">
        <f>W18</f>
        <v>647.009</v>
      </c>
      <c r="Y18" s="82">
        <f>IF(Y$14=1,'Inputs (2)'!Y5,W18*(1+Inputs!Y$281))</f>
        <v>247.586</v>
      </c>
      <c r="Z18" s="82">
        <f>IF(Z$14=1,'Inputs (2)'!Z5,Y18*(1+Inputs!Z$281))</f>
        <v>436.112</v>
      </c>
      <c r="AA18" s="82">
        <f>IF(AA$14=1,'Inputs (2)'!AA5,Z18*(1+Inputs!AA$281))</f>
        <v>381.925</v>
      </c>
      <c r="AB18" s="82">
        <f>IF(AB$14=1,'Inputs (2)'!AB5,AA18*(1+Inputs!AB$281))</f>
        <v>540.043</v>
      </c>
      <c r="AC18" s="77">
        <f>AB18</f>
        <v>540.043</v>
      </c>
      <c r="AD18" s="82">
        <f>IF(AD$14=1,'Inputs (2)'!AD5,AB18*(1+Inputs!AD$281))</f>
        <v>746.683</v>
      </c>
      <c r="AE18" s="82">
        <f>IF(AE$14=1,'Inputs (2)'!AE5,AD18*(1+Inputs!AE$281))</f>
        <v>572.853</v>
      </c>
      <c r="AF18" s="82">
        <f>IF(AF$14=1,'Inputs (2)'!AF5,AE18*(1+Inputs!AF$281))</f>
        <v>916.165</v>
      </c>
      <c r="AG18" s="82">
        <f>IF(AG$14=1,'Inputs (2)'!AG5,AF18*(1+Inputs!AG$281))</f>
        <v>785.784</v>
      </c>
      <c r="AH18" s="77">
        <f>AG18</f>
        <v>785.784</v>
      </c>
      <c r="AI18" s="82">
        <f>IF(AI$14=1,'Inputs (2)'!AI5,AG18*(1+Inputs!AI$281))</f>
        <v>1355.602</v>
      </c>
      <c r="AJ18" s="82">
        <f>IF(AJ$14=1,'Inputs (2)'!AJ5,AI18*(1+Inputs!AJ$281))</f>
        <v>1303.677</v>
      </c>
      <c r="AK18" s="82">
        <f>IF(AK$14=1,'Inputs (2)'!AK5,AJ18*(1+Inputs!AK$281))</f>
        <v>1303.677</v>
      </c>
      <c r="AL18" s="82">
        <f>IF(AL$14=1,'Inputs (2)'!AL5,AK18*(1+Inputs!AL$281))</f>
        <v>1303.677</v>
      </c>
      <c r="AM18" s="77">
        <f>AL18</f>
        <v>1303.677</v>
      </c>
      <c r="AN18" s="82">
        <f>IF(AN$14=1,'Inputs (2)'!AN5,AL18*(1+Inputs!AN$281))</f>
        <v>1303.677</v>
      </c>
      <c r="AO18" s="82">
        <f>IF(AO$14=1,'Inputs (2)'!AO5,AN18*(1+Inputs!AO$281))</f>
        <v>1303.677</v>
      </c>
      <c r="AP18" s="82">
        <f>IF(AP$14=1,'Inputs (2)'!AP5,AO18*(1+Inputs!AP$281))</f>
        <v>1303.677</v>
      </c>
      <c r="AQ18" s="82">
        <f>IF(AQ$14=1,'Inputs (2)'!AQ5,AP18*(1+Inputs!AQ$281))</f>
        <v>1303.677</v>
      </c>
      <c r="AR18" s="77">
        <f>AQ18</f>
        <v>1303.677</v>
      </c>
      <c r="AS18" s="82">
        <f>IF(AS$14=1,'Inputs (2)'!AS5,AQ18*(1+Inputs!AS$281))</f>
        <v>1303.677</v>
      </c>
      <c r="AT18" s="82">
        <f>IF(AT$14=1,'Inputs (2)'!AT5,AS18*(1+Inputs!AT$281))</f>
        <v>1303.677</v>
      </c>
      <c r="AU18" s="82">
        <f>IF(AU$14=1,'Inputs (2)'!AU5,AT18*(1+Inputs!AU$281))</f>
        <v>1303.677</v>
      </c>
      <c r="AV18" s="82">
        <f>IF(AV$14=1,'Inputs (2)'!AV5,AU18*(1+Inputs!AV$281))</f>
        <v>1303.677</v>
      </c>
      <c r="AW18" s="77">
        <f>AV18</f>
        <v>1303.677</v>
      </c>
      <c r="AX18" s="82">
        <f>IF(AX$14=1,'Inputs (2)'!AX5,AV18*(1+Inputs!AX$281))</f>
        <v>1303.677</v>
      </c>
      <c r="AY18" s="82">
        <f>IF(AY$14=1,'Inputs (2)'!AY5,AX18*(1+Inputs!AY$281))</f>
        <v>1303.677</v>
      </c>
      <c r="AZ18" s="82">
        <f>IF(AZ$14=1,'Inputs (2)'!AZ5,AY18*(1+Inputs!AZ$281))</f>
        <v>1303.677</v>
      </c>
      <c r="BA18" s="82">
        <f>IF(BA$14=1,'Inputs (2)'!BA5,AZ18*(1+Inputs!BA$281))</f>
        <v>1303.677</v>
      </c>
      <c r="BB18" s="77">
        <f>BA18</f>
        <v>1303.677</v>
      </c>
      <c r="BC18" s="82">
        <f>IF(BC$14=1,'Inputs (2)'!BC5,BA18*(1+Inputs!BC$281))</f>
        <v>1303.677</v>
      </c>
      <c r="BD18" s="82">
        <f>IF(BD$14=1,'Inputs (2)'!BD5,BC18*(1+Inputs!BD$281))</f>
        <v>1303.677</v>
      </c>
      <c r="BE18" s="82">
        <f>IF(BE$14=1,'Inputs (2)'!BE5,BD18*(1+Inputs!BE$281))</f>
        <v>1303.677</v>
      </c>
      <c r="BF18" s="82">
        <f>IF(BF$14=1,'Inputs (2)'!BF5,BE18*(1+Inputs!BF$281))</f>
        <v>1303.677</v>
      </c>
      <c r="BG18" s="77">
        <f>BF18</f>
        <v>1303.677</v>
      </c>
    </row>
    <row r="19">
      <c r="C19" s="83" t="inlineStr">
        <is>
          <t>Aplicações Interfinanceiras de Liquidez</t>
        </is>
      </c>
      <c r="D19" s="84" t="inlineStr">
        <is>
          <t>Interbank Investments</t>
        </is>
      </c>
      <c r="E19" s="85">
        <f>E20+E21+E22+E23</f>
        <v>6287.182</v>
      </c>
      <c r="F19" s="85">
        <f>F20+F21+F22+F23</f>
        <v>6918.924</v>
      </c>
      <c r="G19" s="85">
        <f>G20+G21+G22+G23</f>
        <v>6756.612</v>
      </c>
      <c r="H19" s="85">
        <f>H20+H21+H22+H23</f>
        <v>7472.641</v>
      </c>
      <c r="I19" s="60">
        <f>H19</f>
        <v>7472.641</v>
      </c>
      <c r="J19" s="85">
        <f>J20+J21+J22+J23</f>
        <v>6328.132</v>
      </c>
      <c r="K19" s="85">
        <f>K20+K21+K22+K23</f>
        <v>3670.203</v>
      </c>
      <c r="L19" s="85">
        <f>L20+L21+L22+L23</f>
        <v>5352.269</v>
      </c>
      <c r="M19" s="85">
        <f>M20+M21+M22+M23</f>
        <v>3057.021</v>
      </c>
      <c r="N19" s="60">
        <f>M19</f>
        <v>3057.021</v>
      </c>
      <c r="O19" s="85">
        <f>O20+O21+O22+O23</f>
        <v>2750.835</v>
      </c>
      <c r="P19" s="85">
        <f>P20+P21+P22+P23</f>
        <v>3878.663</v>
      </c>
      <c r="Q19" s="85">
        <f>Q20+Q21+Q22+Q23</f>
        <v>5247.951</v>
      </c>
      <c r="R19" s="85">
        <f>R20+R21+R22+R23</f>
        <v>6149.351</v>
      </c>
      <c r="S19" s="60">
        <f>R19</f>
        <v>6149.351</v>
      </c>
      <c r="T19" s="85">
        <f>T20+T21+T22+T23</f>
        <v>3072.846</v>
      </c>
      <c r="U19" s="85">
        <f>U20+U21+U22+U23</f>
        <v>4348.497</v>
      </c>
      <c r="V19" s="85">
        <f>V20+V21+V22+V23</f>
        <v>5311.44</v>
      </c>
      <c r="W19" s="85">
        <f>W20+W21+W22+W23</f>
        <v>5092.91</v>
      </c>
      <c r="X19" s="60">
        <f>W19</f>
        <v>5092.91</v>
      </c>
      <c r="Y19" s="85">
        <f>Y20+Y21+Y22+Y23</f>
        <v>5337.415</v>
      </c>
      <c r="Z19" s="85">
        <f>Z20+Z21+Z22+Z23</f>
        <v>5336.253</v>
      </c>
      <c r="AA19" s="85">
        <f>AA20+AA21+AA22+AA23</f>
        <v>5855.393</v>
      </c>
      <c r="AB19" s="85">
        <f>AB20+AB21+AB22+AB23</f>
        <v>6062.533</v>
      </c>
      <c r="AC19" s="60">
        <f>AB19</f>
        <v>6062.533</v>
      </c>
      <c r="AD19" s="85">
        <f>AD20+AD21+AD22+AD23</f>
        <v>5756.539</v>
      </c>
      <c r="AE19" s="85">
        <f>AE20+AE21+AE22+AE23</f>
        <v>4612.047</v>
      </c>
      <c r="AF19" s="85">
        <f>AF20+AF21+AF22+AF23</f>
        <v>2519.911</v>
      </c>
      <c r="AG19" s="85">
        <f>AG20+AG21+AG22+AG23</f>
        <v>5150.125</v>
      </c>
      <c r="AH19" s="60">
        <f>AG19</f>
        <v>5150.125</v>
      </c>
      <c r="AI19" s="85">
        <f>AI20+AI21+AI22+AI23</f>
        <v>3999.708</v>
      </c>
      <c r="AJ19" s="85">
        <f>AJ20+AJ21+AJ22+AJ23</f>
        <v>3944.531</v>
      </c>
      <c r="AK19" s="85">
        <f>AK20+AK21+AK22+AK23</f>
        <v>3944.531</v>
      </c>
      <c r="AL19" s="85">
        <f>AL20+AL21+AL22+AL23</f>
        <v>3944.531</v>
      </c>
      <c r="AM19" s="60">
        <f>AL19</f>
        <v>3944.531</v>
      </c>
      <c r="AN19" s="85">
        <f>AN20+AN21+AN22+AN23</f>
        <v>3944.531</v>
      </c>
      <c r="AO19" s="85">
        <f>AO20+AO21+AO22+AO23</f>
        <v>3944.531</v>
      </c>
      <c r="AP19" s="85">
        <f>AP20+AP21+AP22+AP23</f>
        <v>3944.531</v>
      </c>
      <c r="AQ19" s="85">
        <f>AQ20+AQ21+AQ22+AQ23</f>
        <v>3944.531</v>
      </c>
      <c r="AR19" s="60">
        <f>AQ19</f>
        <v>3944.531</v>
      </c>
      <c r="AS19" s="85">
        <f>AS20+AS21+AS22+AS23</f>
        <v>3944.531</v>
      </c>
      <c r="AT19" s="85">
        <f>AT20+AT21+AT22+AT23</f>
        <v>3944.531</v>
      </c>
      <c r="AU19" s="85">
        <f>AU20+AU21+AU22+AU23</f>
        <v>3944.531</v>
      </c>
      <c r="AV19" s="85">
        <f>AV20+AV21+AV22+AV23</f>
        <v>3944.531</v>
      </c>
      <c r="AW19" s="60">
        <f>AV19</f>
        <v>3944.531</v>
      </c>
      <c r="AX19" s="85">
        <f>AX20+AX21+AX22+AX23</f>
        <v>3944.531</v>
      </c>
      <c r="AY19" s="85">
        <f>AY20+AY21+AY22+AY23</f>
        <v>3944.531</v>
      </c>
      <c r="AZ19" s="85">
        <f>AZ20+AZ21+AZ22+AZ23</f>
        <v>3944.531</v>
      </c>
      <c r="BA19" s="85">
        <f>BA20+BA21+BA22+BA23</f>
        <v>3944.531</v>
      </c>
      <c r="BB19" s="60">
        <f>BA19</f>
        <v>3944.531</v>
      </c>
      <c r="BC19" s="85">
        <f>BC20+BC21+BC22+BC23</f>
        <v>3944.531</v>
      </c>
      <c r="BD19" s="85">
        <f>BD20+BD21+BD22+BD23</f>
        <v>3944.531</v>
      </c>
      <c r="BE19" s="85">
        <f>BE20+BE21+BE22+BE23</f>
        <v>3944.531</v>
      </c>
      <c r="BF19" s="85">
        <f>BF20+BF21+BF22+BF23</f>
        <v>3944.531</v>
      </c>
      <c r="BG19" s="60">
        <f>BF19</f>
        <v>3944.531</v>
      </c>
    </row>
    <row r="20" hidden="1" outlineLevel="1">
      <c r="C20" s="61" t="inlineStr">
        <is>
          <t>Aplicações no Mercado Aberto</t>
        </is>
      </c>
      <c r="D20" s="62" t="inlineStr">
        <is>
          <t>Open Market Investments</t>
        </is>
      </c>
      <c r="E20" s="57">
        <f>'Inputs (2)'!E7</f>
        <v>6287.182</v>
      </c>
      <c r="F20" s="57">
        <f>IF(F$14=1,'Inputs (2)'!F7,E20*(1+Inputs!F$275))</f>
        <v>6918.924</v>
      </c>
      <c r="G20" s="57">
        <f>IF(G$14=1,'Inputs (2)'!G7,F20*(1+Inputs!G$275))</f>
        <v>6756.612</v>
      </c>
      <c r="H20" s="57">
        <f>IF(H$14=1,'Inputs (2)'!H7,G20*(1+Inputs!H$275))</f>
        <v>7472.641</v>
      </c>
      <c r="I20" s="77">
        <f>H20</f>
        <v>7472.641</v>
      </c>
      <c r="J20" s="57">
        <f>IF(J$14=1,'Inputs (2)'!J7,H20*(1+Inputs!J$275))</f>
        <v>6328.132</v>
      </c>
      <c r="K20" s="57">
        <f>IF(K$14=1,'Inputs (2)'!K7,J20*(1+Inputs!K$275))</f>
        <v>3670.203</v>
      </c>
      <c r="L20" s="57">
        <f>IF(L$14=1,'Inputs (2)'!L7,K20*(1+Inputs!L$275))</f>
        <v>5352.269</v>
      </c>
      <c r="M20" s="57">
        <f>IF(M$14=1,'Inputs (2)'!M7,L20*(1+Inputs!M$275))</f>
        <v>3057.021</v>
      </c>
      <c r="N20" s="77">
        <f>M20</f>
        <v>3057.021</v>
      </c>
      <c r="O20" s="57">
        <f>IF(O$14=1,'Inputs (2)'!O7,M20*(1+Inputs!O$275))</f>
        <v>2750.835</v>
      </c>
      <c r="P20" s="57">
        <f>IF(P$14=1,'Inputs (2)'!P7,O20*(1+Inputs!P$275))</f>
        <v>3878.663</v>
      </c>
      <c r="Q20" s="57">
        <f>IF(Q$14=1,'Inputs (2)'!Q7,P20*(1+Inputs!Q$275))</f>
        <v>5247.951</v>
      </c>
      <c r="R20" s="57">
        <f>IF(R$14=1,'Inputs (2)'!R7,Q20*(1+Inputs!R$275))</f>
        <v>6149.351</v>
      </c>
      <c r="S20" s="77">
        <f>R20</f>
        <v>6149.351</v>
      </c>
      <c r="T20" s="57">
        <f>IF(T$14=1,'Inputs (2)'!T7,R20*(1+Inputs!T$275))</f>
        <v>3072.846</v>
      </c>
      <c r="U20" s="57">
        <f>IF(U$14=1,'Inputs (2)'!U7,T20*(1+Inputs!U$275))</f>
        <v>4348.497</v>
      </c>
      <c r="V20" s="57">
        <f>IF(V$14=1,'Inputs (2)'!V7,U20*(1+Inputs!V$275))</f>
        <v>5311.44</v>
      </c>
      <c r="W20" s="57">
        <f>IF(W$14=1,'Inputs (2)'!W7,V20*(1+Inputs!W$275))</f>
        <v>5092.91</v>
      </c>
      <c r="X20" s="77">
        <f>W20</f>
        <v>5092.91</v>
      </c>
      <c r="Y20" s="57">
        <f>IF(Y$14=1,'Inputs (2)'!Y7,W20*(1+Inputs!Y$275))</f>
        <v>5337.415</v>
      </c>
      <c r="Z20" s="57">
        <f>IF(Z$14=1,'Inputs (2)'!Z7,Y20*(1+Inputs!Z$275))</f>
        <v>5336.253</v>
      </c>
      <c r="AA20" s="57">
        <f>IF(AA$14=1,'Inputs (2)'!AA7,Z20*(1+Inputs!AA$275))</f>
        <v>5855.393</v>
      </c>
      <c r="AB20" s="57">
        <f>IF(AB$14=1,'Inputs (2)'!AB7,AA20*(1+Inputs!AB$275))</f>
        <v>6062.533</v>
      </c>
      <c r="AC20" s="77">
        <f>AB20</f>
        <v>6062.533</v>
      </c>
      <c r="AD20" s="57">
        <f>IF(AD$14=1,'Inputs (2)'!AD7,AB20*(1+Inputs!AD$275))</f>
        <v>5756.539</v>
      </c>
      <c r="AE20" s="57">
        <f>IF(AE$14=1,'Inputs (2)'!AE7,AD20*(1+Inputs!AE$275))</f>
        <v>4612.047</v>
      </c>
      <c r="AF20" s="57">
        <f>IF(AF$14=1,'Inputs (2)'!AF7,AE20*(1+Inputs!AF$275))</f>
        <v>2519.911</v>
      </c>
      <c r="AG20" s="57">
        <f>IF(AG$14=1,'Inputs (2)'!AG7,AF20*(1+Inputs!AG$275))</f>
        <v>5150.125</v>
      </c>
      <c r="AH20" s="77">
        <f>AG20</f>
        <v>5150.125</v>
      </c>
      <c r="AI20" s="57">
        <f>IF(AI$14=1,'Inputs (2)'!AI7,AG20*(1+Inputs!AI$275))</f>
        <v>3999.708</v>
      </c>
      <c r="AJ20" s="57">
        <f>IF(AJ$14=1,'Inputs (2)'!AJ7,AI20*(1+Inputs!AJ$275))</f>
        <v>3944.531</v>
      </c>
      <c r="AK20" s="57">
        <f>IF(AK$14=1,'Inputs (2)'!AK7,AJ20*(1+Inputs!AK$275))</f>
        <v>3944.531</v>
      </c>
      <c r="AL20" s="57">
        <f>IF(AL$14=1,'Inputs (2)'!AL7,AK20*(1+Inputs!AL$275))</f>
        <v>3944.531</v>
      </c>
      <c r="AM20" s="77">
        <f>AL20</f>
        <v>3944.531</v>
      </c>
      <c r="AN20" s="57">
        <f>IF(AN$14=1,'Inputs (2)'!AN7,AL20*(1+Inputs!AN$275))</f>
        <v>3944.531</v>
      </c>
      <c r="AO20" s="57">
        <f>IF(AO$14=1,'Inputs (2)'!AO7,AN20*(1+Inputs!AO$275))</f>
        <v>3944.531</v>
      </c>
      <c r="AP20" s="57">
        <f>IF(AP$14=1,'Inputs (2)'!AP7,AO20*(1+Inputs!AP$275))</f>
        <v>3944.531</v>
      </c>
      <c r="AQ20" s="57">
        <f>IF(AQ$14=1,'Inputs (2)'!AQ7,AP20*(1+Inputs!AQ$275))</f>
        <v>3944.531</v>
      </c>
      <c r="AR20" s="77">
        <f>AQ20</f>
        <v>3944.531</v>
      </c>
      <c r="AS20" s="57">
        <f>IF(AS$14=1,'Inputs (2)'!AS7,AQ20*(1+Inputs!AS$275))</f>
        <v>3944.531</v>
      </c>
      <c r="AT20" s="57">
        <f>IF(AT$14=1,'Inputs (2)'!AT7,AS20*(1+Inputs!AT$275))</f>
        <v>3944.531</v>
      </c>
      <c r="AU20" s="57">
        <f>IF(AU$14=1,'Inputs (2)'!AU7,AT20*(1+Inputs!AU$275))</f>
        <v>3944.531</v>
      </c>
      <c r="AV20" s="57">
        <f>IF(AV$14=1,'Inputs (2)'!AV7,AU20*(1+Inputs!AV$275))</f>
        <v>3944.531</v>
      </c>
      <c r="AW20" s="77">
        <f>AV20</f>
        <v>3944.531</v>
      </c>
      <c r="AX20" s="57">
        <f>IF(AX$14=1,'Inputs (2)'!AX7,AV20*(1+Inputs!AX$275))</f>
        <v>3944.531</v>
      </c>
      <c r="AY20" s="57">
        <f>IF(AY$14=1,'Inputs (2)'!AY7,AX20*(1+Inputs!AY$275))</f>
        <v>3944.531</v>
      </c>
      <c r="AZ20" s="57">
        <f>IF(AZ$14=1,'Inputs (2)'!AZ7,AY20*(1+Inputs!AZ$275))</f>
        <v>3944.531</v>
      </c>
      <c r="BA20" s="57">
        <f>IF(BA$14=1,'Inputs (2)'!BA7,AZ20*(1+Inputs!BA$275))</f>
        <v>3944.531</v>
      </c>
      <c r="BB20" s="77">
        <f>BA20</f>
        <v>3944.531</v>
      </c>
      <c r="BC20" s="57">
        <f>IF(BC$14=1,'Inputs (2)'!BC7,BA20*(1+Inputs!BC$275))</f>
        <v>3944.531</v>
      </c>
      <c r="BD20" s="57">
        <f>IF(BD$14=1,'Inputs (2)'!BD7,BC20*(1+Inputs!BD$275))</f>
        <v>3944.531</v>
      </c>
      <c r="BE20" s="57">
        <f>IF(BE$14=1,'Inputs (2)'!BE7,BD20*(1+Inputs!BE$275))</f>
        <v>3944.531</v>
      </c>
      <c r="BF20" s="57">
        <f>IF(BF$14=1,'Inputs (2)'!BF7,BE20*(1+Inputs!BF$275))</f>
        <v>3944.531</v>
      </c>
      <c r="BG20" s="77">
        <f>BF20</f>
        <v>3944.531</v>
      </c>
    </row>
    <row r="21" hidden="1" outlineLevel="1">
      <c r="C21" s="61" t="inlineStr">
        <is>
          <t>Aplicações em Depósitos Interfinanceiros</t>
        </is>
      </c>
      <c r="D21" s="62" t="inlineStr">
        <is>
          <t>Interbank Deposits</t>
        </is>
      </c>
      <c r="E21" s="57">
        <f>'Inputs (2)'!E8</f>
        <v>0</v>
      </c>
      <c r="F21" s="57">
        <f>IF(F$14=1,'Inputs (2)'!F8,E21*(1+Inputs!F$275))</f>
        <v>0</v>
      </c>
      <c r="G21" s="57">
        <f>IF(G$14=1,'Inputs (2)'!G8,F21*(1+Inputs!G$275))</f>
        <v>0</v>
      </c>
      <c r="H21" s="57">
        <f>IF(H$14=1,'Inputs (2)'!H8,G21*(1+Inputs!H$275))</f>
        <v>0</v>
      </c>
      <c r="I21" s="77">
        <f>H21</f>
        <v>0</v>
      </c>
      <c r="J21" s="57">
        <f>IF(J$14=1,'Inputs (2)'!J8,H21*(1+Inputs!J$275))</f>
        <v>0</v>
      </c>
      <c r="K21" s="57">
        <f>IF(K$14=1,'Inputs (2)'!K8,J21*(1+Inputs!K$275))</f>
        <v>0</v>
      </c>
      <c r="L21" s="57">
        <f>IF(L$14=1,'Inputs (2)'!L8,K21*(1+Inputs!L$275))</f>
        <v>0</v>
      </c>
      <c r="M21" s="57">
        <f>IF(M$14=1,'Inputs (2)'!M8,L21*(1+Inputs!M$275))</f>
        <v>0</v>
      </c>
      <c r="N21" s="77">
        <f>M21</f>
        <v>0</v>
      </c>
      <c r="O21" s="57">
        <f>IF(O$14=1,'Inputs (2)'!O8,M21*(1+Inputs!O$275))</f>
        <v>0</v>
      </c>
      <c r="P21" s="57">
        <f>IF(P$14=1,'Inputs (2)'!P8,O21*(1+Inputs!P$275))</f>
        <v>0</v>
      </c>
      <c r="Q21" s="57">
        <f>IF(Q$14=1,'Inputs (2)'!Q8,P21*(1+Inputs!Q$275))</f>
        <v>0</v>
      </c>
      <c r="R21" s="57">
        <f>IF(R$14=1,'Inputs (2)'!R8,Q21*(1+Inputs!R$275))</f>
        <v>0</v>
      </c>
      <c r="S21" s="77">
        <f>R21</f>
        <v>0</v>
      </c>
      <c r="T21" s="57">
        <f>IF(T$14=1,'Inputs (2)'!T8,R21*(1+Inputs!T$275))</f>
        <v>0</v>
      </c>
      <c r="U21" s="57">
        <f>IF(U$14=1,'Inputs (2)'!U8,T21*(1+Inputs!U$275))</f>
        <v>0</v>
      </c>
      <c r="V21" s="57">
        <f>IF(V$14=1,'Inputs (2)'!V8,U21*(1+Inputs!V$275))</f>
        <v>0</v>
      </c>
      <c r="W21" s="57">
        <f>IF(W$14=1,'Inputs (2)'!W8,V21*(1+Inputs!W$275))</f>
        <v>0</v>
      </c>
      <c r="X21" s="77">
        <f>W21</f>
        <v>0</v>
      </c>
      <c r="Y21" s="57">
        <f>IF(Y$14=1,'Inputs (2)'!Y8,W21*(1+Inputs!Y$275))</f>
        <v>0</v>
      </c>
      <c r="Z21" s="57">
        <f>IF(Z$14=1,'Inputs (2)'!Z8,Y21*(1+Inputs!Z$275))</f>
        <v>0</v>
      </c>
      <c r="AA21" s="57">
        <f>IF(AA$14=1,'Inputs (2)'!AA8,Z21*(1+Inputs!AA$275))</f>
        <v>0</v>
      </c>
      <c r="AB21" s="57">
        <f>IF(AB$14=1,'Inputs (2)'!AB8,AA21*(1+Inputs!AB$275))</f>
        <v>0</v>
      </c>
      <c r="AC21" s="77">
        <f>AB21</f>
        <v>0</v>
      </c>
      <c r="AD21" s="57">
        <f>IF(AD$14=1,'Inputs (2)'!AD8,AB21*(1+Inputs!AD$275))</f>
        <v>0</v>
      </c>
      <c r="AE21" s="57">
        <f>IF(AE$14=1,'Inputs (2)'!AE8,AD21*(1+Inputs!AE$275))</f>
        <v>0</v>
      </c>
      <c r="AF21" s="57">
        <f>IF(AF$14=1,'Inputs (2)'!AF8,AE21*(1+Inputs!AF$275))</f>
        <v>0</v>
      </c>
      <c r="AG21" s="57">
        <f>IF(AG$14=1,'Inputs (2)'!AG8,AF21*(1+Inputs!AG$275))</f>
        <v>0</v>
      </c>
      <c r="AH21" s="77">
        <f>AG21</f>
        <v>0</v>
      </c>
      <c r="AI21" s="57">
        <f>IF(AI$14=1,'Inputs (2)'!AI8,AG21*(1+Inputs!AI$275))</f>
        <v>0</v>
      </c>
      <c r="AJ21" s="57">
        <f>IF(AJ$14=1,'Inputs (2)'!AJ8,AI21*(1+Inputs!AJ$275))</f>
        <v>0</v>
      </c>
      <c r="AK21" s="57">
        <f>IF(AK$14=1,'Inputs (2)'!AK8,AJ21*(1+Inputs!AK$275))</f>
        <v>0</v>
      </c>
      <c r="AL21" s="57">
        <f>IF(AL$14=1,'Inputs (2)'!AL8,AK21*(1+Inputs!AL$275))</f>
        <v>0</v>
      </c>
      <c r="AM21" s="77">
        <f>AL21</f>
        <v>0</v>
      </c>
      <c r="AN21" s="57">
        <f>IF(AN$14=1,'Inputs (2)'!AN8,AL21*(1+Inputs!AN$275))</f>
        <v>0</v>
      </c>
      <c r="AO21" s="57">
        <f>IF(AO$14=1,'Inputs (2)'!AO8,AN21*(1+Inputs!AO$275))</f>
        <v>0</v>
      </c>
      <c r="AP21" s="57">
        <f>IF(AP$14=1,'Inputs (2)'!AP8,AO21*(1+Inputs!AP$275))</f>
        <v>0</v>
      </c>
      <c r="AQ21" s="57">
        <f>IF(AQ$14=1,'Inputs (2)'!AQ8,AP21*(1+Inputs!AQ$275))</f>
        <v>0</v>
      </c>
      <c r="AR21" s="77">
        <f>AQ21</f>
        <v>0</v>
      </c>
      <c r="AS21" s="57">
        <f>IF(AS$14=1,'Inputs (2)'!AS8,AQ21*(1+Inputs!AS$275))</f>
        <v>0</v>
      </c>
      <c r="AT21" s="57">
        <f>IF(AT$14=1,'Inputs (2)'!AT8,AS21*(1+Inputs!AT$275))</f>
        <v>0</v>
      </c>
      <c r="AU21" s="57">
        <f>IF(AU$14=1,'Inputs (2)'!AU8,AT21*(1+Inputs!AU$275))</f>
        <v>0</v>
      </c>
      <c r="AV21" s="57">
        <f>IF(AV$14=1,'Inputs (2)'!AV8,AU21*(1+Inputs!AV$275))</f>
        <v>0</v>
      </c>
      <c r="AW21" s="77">
        <f>AV21</f>
        <v>0</v>
      </c>
      <c r="AX21" s="57">
        <f>IF(AX$14=1,'Inputs (2)'!AX8,AV21*(1+Inputs!AX$275))</f>
        <v>0</v>
      </c>
      <c r="AY21" s="57">
        <f>IF(AY$14=1,'Inputs (2)'!AY8,AX21*(1+Inputs!AY$275))</f>
        <v>0</v>
      </c>
      <c r="AZ21" s="57">
        <f>IF(AZ$14=1,'Inputs (2)'!AZ8,AY21*(1+Inputs!AZ$275))</f>
        <v>0</v>
      </c>
      <c r="BA21" s="57">
        <f>IF(BA$14=1,'Inputs (2)'!BA8,AZ21*(1+Inputs!BA$275))</f>
        <v>0</v>
      </c>
      <c r="BB21" s="77">
        <f>BA21</f>
        <v>0</v>
      </c>
      <c r="BC21" s="57">
        <f>IF(BC$14=1,'Inputs (2)'!BC8,BA21*(1+Inputs!BC$275))</f>
        <v>0</v>
      </c>
      <c r="BD21" s="57">
        <f>IF(BD$14=1,'Inputs (2)'!BD8,BC21*(1+Inputs!BD$275))</f>
        <v>0</v>
      </c>
      <c r="BE21" s="57">
        <f>IF(BE$14=1,'Inputs (2)'!BE8,BD21*(1+Inputs!BE$275))</f>
        <v>0</v>
      </c>
      <c r="BF21" s="57">
        <f>IF(BF$14=1,'Inputs (2)'!BF8,BE21*(1+Inputs!BF$275))</f>
        <v>0</v>
      </c>
      <c r="BG21" s="77">
        <f>BF21</f>
        <v>0</v>
      </c>
    </row>
    <row r="22" hidden="1" outlineLevel="1">
      <c r="C22" s="61" t="inlineStr">
        <is>
          <t>Recursos Garantidores das Provisões Técnicas</t>
        </is>
      </c>
      <c r="D22" s="62" t="inlineStr">
        <is>
          <t>Assets Guaranteeing Provisions</t>
        </is>
      </c>
      <c r="E22" s="57">
        <f>'Inputs (2)'!E9</f>
        <v>0</v>
      </c>
      <c r="F22" s="57">
        <f>IF(F$14=1,'Inputs (2)'!F9,E22)</f>
        <v>0</v>
      </c>
      <c r="G22" s="57">
        <f>IF(G$14=1,'Inputs (2)'!G9,F22)</f>
        <v>0</v>
      </c>
      <c r="H22" s="57">
        <f>IF(H$14=1,'Inputs (2)'!H9,G22)</f>
        <v>0</v>
      </c>
      <c r="I22" s="77">
        <f>H22</f>
        <v>0</v>
      </c>
      <c r="J22" s="57">
        <f>IF(J$14=1,'Inputs (2)'!J9,H22)</f>
        <v>0</v>
      </c>
      <c r="K22" s="57">
        <f>IF(K$14=1,'Inputs (2)'!K9,J22)</f>
        <v>0</v>
      </c>
      <c r="L22" s="57">
        <f>IF(L$14=1,'Inputs (2)'!L9,K22)</f>
        <v>0</v>
      </c>
      <c r="M22" s="57">
        <f>IF(M$14=1,'Inputs (2)'!M9,L22)</f>
        <v>0</v>
      </c>
      <c r="N22" s="77">
        <f>M22</f>
        <v>0</v>
      </c>
      <c r="O22" s="57">
        <f>IF(O$14=1,'Inputs (2)'!O9,M22)</f>
        <v>0</v>
      </c>
      <c r="P22" s="57">
        <f>IF(P$14=1,'Inputs (2)'!P9,O22)</f>
        <v>0</v>
      </c>
      <c r="Q22" s="57">
        <f>IF(Q$14=1,'Inputs (2)'!Q9,P22)</f>
        <v>0</v>
      </c>
      <c r="R22" s="57">
        <f>IF(R$14=1,'Inputs (2)'!R9,Q22)</f>
        <v>0</v>
      </c>
      <c r="S22" s="77">
        <f>R22</f>
        <v>0</v>
      </c>
      <c r="T22" s="57">
        <f>IF(T$14=1,'Inputs (2)'!T9,R22)</f>
        <v>0</v>
      </c>
      <c r="U22" s="57">
        <f>IF(U$14=1,'Inputs (2)'!U9,T22)</f>
        <v>0</v>
      </c>
      <c r="V22" s="57">
        <f>IF(V$14=1,'Inputs (2)'!V9,U22)</f>
        <v>0</v>
      </c>
      <c r="W22" s="57">
        <f>IF(W$14=1,'Inputs (2)'!W9,V22)</f>
        <v>0</v>
      </c>
      <c r="X22" s="77">
        <f>W22</f>
        <v>0</v>
      </c>
      <c r="Y22" s="57">
        <f>IF(Y$14=1,'Inputs (2)'!Y9,W22)</f>
        <v>0</v>
      </c>
      <c r="Z22" s="57">
        <f>IF(Z$14=1,'Inputs (2)'!Z9,Y22)</f>
        <v>0</v>
      </c>
      <c r="AA22" s="57">
        <f>IF(AA$14=1,'Inputs (2)'!AA9,Z22)</f>
        <v>0</v>
      </c>
      <c r="AB22" s="57">
        <f>IF(AB$14=1,'Inputs (2)'!AB9,AA22)</f>
        <v>0</v>
      </c>
      <c r="AC22" s="77">
        <f>AB22</f>
        <v>0</v>
      </c>
      <c r="AD22" s="57">
        <f>IF(AD$14=1,'Inputs (2)'!AD9,AB22)</f>
        <v>0</v>
      </c>
      <c r="AE22" s="57">
        <f>IF(AE$14=1,'Inputs (2)'!AE9,AD22)</f>
        <v>0</v>
      </c>
      <c r="AF22" s="57">
        <f>IF(AF$14=1,'Inputs (2)'!AF9,AE22)</f>
        <v>0</v>
      </c>
      <c r="AG22" s="57">
        <f>IF(AG$14=1,'Inputs (2)'!AG9,AF22)</f>
        <v>0</v>
      </c>
      <c r="AH22" s="77">
        <f>AG22</f>
        <v>0</v>
      </c>
      <c r="AI22" s="57">
        <f>IF(AI$14=1,'Inputs (2)'!AI9,AG22)</f>
        <v>0</v>
      </c>
      <c r="AJ22" s="57">
        <f>IF(AJ$14=1,'Inputs (2)'!AJ9,AI22)</f>
        <v>0</v>
      </c>
      <c r="AK22" s="57">
        <f>IF(AK$14=1,'Inputs (2)'!AK9,AJ22)</f>
        <v>0</v>
      </c>
      <c r="AL22" s="57">
        <f>IF(AL$14=1,'Inputs (2)'!AL9,AK22)</f>
        <v>0</v>
      </c>
      <c r="AM22" s="77">
        <f>AL22</f>
        <v>0</v>
      </c>
      <c r="AN22" s="57">
        <f>IF(AN$14=1,'Inputs (2)'!AN9,AL22)</f>
        <v>0</v>
      </c>
      <c r="AO22" s="57">
        <f>IF(AO$14=1,'Inputs (2)'!AO9,AN22)</f>
        <v>0</v>
      </c>
      <c r="AP22" s="57">
        <f>IF(AP$14=1,'Inputs (2)'!AP9,AO22)</f>
        <v>0</v>
      </c>
      <c r="AQ22" s="57">
        <f>IF(AQ$14=1,'Inputs (2)'!AQ9,AP22)</f>
        <v>0</v>
      </c>
      <c r="AR22" s="77">
        <f>AQ22</f>
        <v>0</v>
      </c>
      <c r="AS22" s="57">
        <f>IF(AS$14=1,'Inputs (2)'!AS9,AQ22)</f>
        <v>0</v>
      </c>
      <c r="AT22" s="57">
        <f>IF(AT$14=1,'Inputs (2)'!AT9,AS22)</f>
        <v>0</v>
      </c>
      <c r="AU22" s="57">
        <f>IF(AU$14=1,'Inputs (2)'!AU9,AT22)</f>
        <v>0</v>
      </c>
      <c r="AV22" s="57">
        <f>IF(AV$14=1,'Inputs (2)'!AV9,AU22)</f>
        <v>0</v>
      </c>
      <c r="AW22" s="77">
        <f>AV22</f>
        <v>0</v>
      </c>
      <c r="AX22" s="57">
        <f>IF(AX$14=1,'Inputs (2)'!AX9,AV22)</f>
        <v>0</v>
      </c>
      <c r="AY22" s="57">
        <f>IF(AY$14=1,'Inputs (2)'!AY9,AX22)</f>
        <v>0</v>
      </c>
      <c r="AZ22" s="57">
        <f>IF(AZ$14=1,'Inputs (2)'!AZ9,AY22)</f>
        <v>0</v>
      </c>
      <c r="BA22" s="57">
        <f>IF(BA$14=1,'Inputs (2)'!BA9,AZ22)</f>
        <v>0</v>
      </c>
      <c r="BB22" s="77">
        <f>BA22</f>
        <v>0</v>
      </c>
      <c r="BC22" s="57">
        <f>IF(BC$14=1,'Inputs (2)'!BC9,BA22)</f>
        <v>0</v>
      </c>
      <c r="BD22" s="57">
        <f>IF(BD$14=1,'Inputs (2)'!BD9,BC22)</f>
        <v>0</v>
      </c>
      <c r="BE22" s="57">
        <f>IF(BE$14=1,'Inputs (2)'!BE9,BD22)</f>
        <v>0</v>
      </c>
      <c r="BF22" s="57">
        <f>IF(BF$14=1,'Inputs (2)'!BF9,BE22)</f>
        <v>0</v>
      </c>
      <c r="BG22" s="77">
        <f>BF22</f>
        <v>0</v>
      </c>
    </row>
    <row r="23" hidden="1" outlineLevel="1">
      <c r="C23" s="61" t="inlineStr">
        <is>
          <t>(Provisão para Perda de Crédito Esperada)</t>
        </is>
      </c>
      <c r="D23" s="62" t="inlineStr">
        <is>
          <t>(ECL Allowance)</t>
        </is>
      </c>
      <c r="E23" s="57">
        <f>'Inputs (2)'!E10</f>
        <v>0</v>
      </c>
      <c r="F23" s="57">
        <f>IF(F$14=1,'Inputs (2)'!F10,E23)</f>
        <v>0</v>
      </c>
      <c r="G23" s="57">
        <f>IF(G$14=1,'Inputs (2)'!G10,F23)</f>
        <v>0</v>
      </c>
      <c r="H23" s="57">
        <f>IF(H$14=1,'Inputs (2)'!H10,G23)</f>
        <v>0</v>
      </c>
      <c r="I23" s="77">
        <f>H23</f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>M23</f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>R23</f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>W23</f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>AB23</f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>AG23</f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>AL23</f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>AQ23</f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>AV23</f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>BA23</f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>BF23</f>
        <v>0</v>
      </c>
    </row>
    <row r="24" collapsed="1">
      <c r="C24" s="83" t="inlineStr">
        <is>
          <t>Títulos e Valores Mobiliários</t>
        </is>
      </c>
      <c r="D24" s="84" t="inlineStr">
        <is>
          <t>Securities</t>
        </is>
      </c>
      <c r="E24" s="85">
        <f>E25+E26+E27+E28</f>
        <v>13363.922</v>
      </c>
      <c r="F24" s="85">
        <f>F25+F26+F27+F28</f>
        <v>13146.577</v>
      </c>
      <c r="G24" s="85">
        <f>G25+G26+G27+G28</f>
        <v>12277.635</v>
      </c>
      <c r="H24" s="85">
        <f>H25+H26+H27+H28</f>
        <v>9778.478</v>
      </c>
      <c r="I24" s="60">
        <f>H24</f>
        <v>9778.478</v>
      </c>
      <c r="J24" s="85">
        <f>J25+J26+J27+J28</f>
        <v>12583.13</v>
      </c>
      <c r="K24" s="85">
        <f>K25+K26+K27+K28</f>
        <v>11815.14</v>
      </c>
      <c r="L24" s="85">
        <f>L25+L26+L27+L28</f>
        <v>13649.935</v>
      </c>
      <c r="M24" s="85">
        <f>M25+M26+M27+M28</f>
        <v>14529.425</v>
      </c>
      <c r="N24" s="60">
        <f>M24</f>
        <v>14529.425</v>
      </c>
      <c r="O24" s="85">
        <f>O25+O26+O27+O28</f>
        <v>16074.349</v>
      </c>
      <c r="P24" s="85">
        <f>P25+P26+P27+P28</f>
        <v>16544.25</v>
      </c>
      <c r="Q24" s="85">
        <f>Q25+Q26+Q27+Q28</f>
        <v>15713.616</v>
      </c>
      <c r="R24" s="85">
        <f>R25+R26+R27+R28</f>
        <v>15959.053</v>
      </c>
      <c r="S24" s="60">
        <f>R24</f>
        <v>15959.053</v>
      </c>
      <c r="T24" s="85">
        <f>T25+T26+T27+T28</f>
        <v>19813.223</v>
      </c>
      <c r="U24" s="85">
        <f>U25+U26+U27+U28</f>
        <v>21925.001</v>
      </c>
      <c r="V24" s="85">
        <f>V25+V26+V27+V28</f>
        <v>20962.344</v>
      </c>
      <c r="W24" s="85">
        <f>W25+W26+W27+W28</f>
        <v>21935.838</v>
      </c>
      <c r="X24" s="60">
        <f>W24</f>
        <v>21935.838</v>
      </c>
      <c r="Y24" s="85">
        <f>Y25+Y26+Y27+Y28</f>
        <v>23840.662</v>
      </c>
      <c r="Z24" s="85">
        <f>Z25+Z26+Z27+Z28</f>
        <v>28191.741</v>
      </c>
      <c r="AA24" s="85">
        <f>AA25+AA26+AA27+AA28</f>
        <v>30816.017</v>
      </c>
      <c r="AB24" s="85">
        <f>AB25+AB26+AB27+AB28</f>
        <v>31698.758</v>
      </c>
      <c r="AC24" s="60">
        <f>AB24</f>
        <v>31698.758</v>
      </c>
      <c r="AD24" s="85">
        <f>AD25+AD26+AD27+AD28</f>
        <v>26454.166</v>
      </c>
      <c r="AE24" s="85">
        <f>AE25+AE26+AE27+AE28</f>
        <v>27300.082</v>
      </c>
      <c r="AF24" s="85">
        <f>AF25+AF26+AF27+AF28</f>
        <v>27534.211</v>
      </c>
      <c r="AG24" s="85">
        <f>AG25+AG26+AG27+AG28</f>
        <v>26652.522</v>
      </c>
      <c r="AH24" s="60">
        <f>AG24</f>
        <v>26652.522</v>
      </c>
      <c r="AI24" s="85">
        <f>AI25+AI26+AI27+AI28</f>
        <v>29333.765</v>
      </c>
      <c r="AJ24" s="85">
        <f>AJ25+AJ26+AJ27+AJ28</f>
        <v>29457.137</v>
      </c>
      <c r="AK24" s="85">
        <f>AK25+AK26+AK27+AK28</f>
        <v>29457.137</v>
      </c>
      <c r="AL24" s="85">
        <f>AL25+AL26+AL27+AL28</f>
        <v>29457.137</v>
      </c>
      <c r="AM24" s="60">
        <f>AL24</f>
        <v>29457.137</v>
      </c>
      <c r="AN24" s="85">
        <f>AN25+AN26+AN27+AN28</f>
        <v>29457.137</v>
      </c>
      <c r="AO24" s="85">
        <f>AO25+AO26+AO27+AO28</f>
        <v>29457.137</v>
      </c>
      <c r="AP24" s="85">
        <f>AP25+AP26+AP27+AP28</f>
        <v>29457.137</v>
      </c>
      <c r="AQ24" s="85">
        <f>AQ25+AQ26+AQ27+AQ28</f>
        <v>29457.137</v>
      </c>
      <c r="AR24" s="60">
        <f>AQ24</f>
        <v>29457.137</v>
      </c>
      <c r="AS24" s="85">
        <f>AS25+AS26+AS27+AS28</f>
        <v>29457.137</v>
      </c>
      <c r="AT24" s="85">
        <f>AT25+AT26+AT27+AT28</f>
        <v>29457.137</v>
      </c>
      <c r="AU24" s="85">
        <f>AU25+AU26+AU27+AU28</f>
        <v>29457.137</v>
      </c>
      <c r="AV24" s="85">
        <f>AV25+AV26+AV27+AV28</f>
        <v>29457.137</v>
      </c>
      <c r="AW24" s="60">
        <f>AV24</f>
        <v>29457.137</v>
      </c>
      <c r="AX24" s="85">
        <f>AX25+AX26+AX27+AX28</f>
        <v>29457.137</v>
      </c>
      <c r="AY24" s="85">
        <f>AY25+AY26+AY27+AY28</f>
        <v>29457.137</v>
      </c>
      <c r="AZ24" s="85">
        <f>AZ25+AZ26+AZ27+AZ28</f>
        <v>29457.137</v>
      </c>
      <c r="BA24" s="85">
        <f>BA25+BA26+BA27+BA28</f>
        <v>29457.137</v>
      </c>
      <c r="BB24" s="60">
        <f>BA24</f>
        <v>29457.137</v>
      </c>
      <c r="BC24" s="85">
        <f>BC25+BC26+BC27+BC28</f>
        <v>29457.137</v>
      </c>
      <c r="BD24" s="85">
        <f>BD25+BD26+BD27+BD28</f>
        <v>29457.137</v>
      </c>
      <c r="BE24" s="85">
        <f>BE25+BE26+BE27+BE28</f>
        <v>29457.137</v>
      </c>
      <c r="BF24" s="85">
        <f>BF25+BF26+BF27+BF28</f>
        <v>29457.137</v>
      </c>
      <c r="BG24" s="60">
        <f>BF24</f>
        <v>29457.137</v>
      </c>
    </row>
    <row r="25" hidden="1" outlineLevel="1">
      <c r="C25" s="61" t="inlineStr">
        <is>
          <t>Carteira própria</t>
        </is>
      </c>
      <c r="D25" s="62" t="inlineStr">
        <is>
          <t>Own Portfolio</t>
        </is>
      </c>
      <c r="E25" s="57">
        <f>'Inputs (2)'!E12</f>
        <v>13363.922</v>
      </c>
      <c r="F25" s="57">
        <f>IF(F$14=1,'Inputs (2)'!F12,E25*(1+Inputs!F$275))</f>
        <v>13146.577</v>
      </c>
      <c r="G25" s="57">
        <f>IF(G$14=1,'Inputs (2)'!G12,F25*(1+Inputs!G$275))</f>
        <v>12277.635</v>
      </c>
      <c r="H25" s="57">
        <f>IF(H$14=1,'Inputs (2)'!H12,G25*(1+Inputs!H$275))</f>
        <v>9778.478</v>
      </c>
      <c r="I25" s="77">
        <f>H25</f>
        <v>9778.478</v>
      </c>
      <c r="J25" s="57">
        <f>IF(J$14=1,'Inputs (2)'!J12,H25*(1+Inputs!J$275))</f>
        <v>12583.13</v>
      </c>
      <c r="K25" s="57">
        <f>IF(K$14=1,'Inputs (2)'!K12,J25*(1+Inputs!K$275))</f>
        <v>11815.14</v>
      </c>
      <c r="L25" s="57">
        <f>IF(L$14=1,'Inputs (2)'!L12,K25*(1+Inputs!L$275))</f>
        <v>13649.935</v>
      </c>
      <c r="M25" s="57">
        <f>IF(M$14=1,'Inputs (2)'!M12,L25*(1+Inputs!M$275))</f>
        <v>14529.425</v>
      </c>
      <c r="N25" s="77">
        <f>M25</f>
        <v>14529.425</v>
      </c>
      <c r="O25" s="57">
        <f>IF(O$14=1,'Inputs (2)'!O12,M25*(1+Inputs!O$275))</f>
        <v>16074.349</v>
      </c>
      <c r="P25" s="57">
        <f>IF(P$14=1,'Inputs (2)'!P12,O25*(1+Inputs!P$275))</f>
        <v>16544.25</v>
      </c>
      <c r="Q25" s="57">
        <f>IF(Q$14=1,'Inputs (2)'!Q12,P25*(1+Inputs!Q$275))</f>
        <v>15713.616</v>
      </c>
      <c r="R25" s="57">
        <f>IF(R$14=1,'Inputs (2)'!R12,Q25*(1+Inputs!R$275))</f>
        <v>15959.053</v>
      </c>
      <c r="S25" s="77">
        <f>R25</f>
        <v>15959.053</v>
      </c>
      <c r="T25" s="57">
        <f>IF(T$14=1,'Inputs (2)'!T12,R25*(1+Inputs!T$275))</f>
        <v>19813.223</v>
      </c>
      <c r="U25" s="57">
        <f>IF(U$14=1,'Inputs (2)'!U12,T25*(1+Inputs!U$275))</f>
        <v>21925.001</v>
      </c>
      <c r="V25" s="57">
        <f>IF(V$14=1,'Inputs (2)'!V12,U25*(1+Inputs!V$275))</f>
        <v>20962.344</v>
      </c>
      <c r="W25" s="57">
        <f>IF(W$14=1,'Inputs (2)'!W12,V25*(1+Inputs!W$275))</f>
        <v>21935.838</v>
      </c>
      <c r="X25" s="77">
        <f>W25</f>
        <v>21935.838</v>
      </c>
      <c r="Y25" s="57">
        <f>IF(Y$14=1,'Inputs (2)'!Y12,W25*(1+Inputs!Y$275))</f>
        <v>23840.662</v>
      </c>
      <c r="Z25" s="57">
        <f>IF(Z$14=1,'Inputs (2)'!Z12,Y25*(1+Inputs!Z$275))</f>
        <v>28191.741</v>
      </c>
      <c r="AA25" s="57">
        <f>IF(AA$14=1,'Inputs (2)'!AA12,Z25*(1+Inputs!AA$275))</f>
        <v>30816.017</v>
      </c>
      <c r="AB25" s="57">
        <f>IF(AB$14=1,'Inputs (2)'!AB12,AA25*(1+Inputs!AB$275))</f>
        <v>31698.758</v>
      </c>
      <c r="AC25" s="77">
        <f>AB25</f>
        <v>31698.758</v>
      </c>
      <c r="AD25" s="57">
        <f>IF(AD$14=1,'Inputs (2)'!AD12,AB25*(1+Inputs!AD$275))</f>
        <v>26554.016</v>
      </c>
      <c r="AE25" s="57">
        <f>IF(AE$14=1,'Inputs (2)'!AE12,AD25*(1+Inputs!AE$275))</f>
        <v>27401.851</v>
      </c>
      <c r="AF25" s="57">
        <f>IF(AF$14=1,'Inputs (2)'!AF12,AE25*(1+Inputs!AF$275))</f>
        <v>27638.759</v>
      </c>
      <c r="AG25" s="57">
        <f>IF(AG$14=1,'Inputs (2)'!AG12,AF25*(1+Inputs!AG$275))</f>
        <v>26760.801</v>
      </c>
      <c r="AH25" s="77">
        <f>AG25</f>
        <v>26760.801</v>
      </c>
      <c r="AI25" s="57">
        <f>IF(AI$14=1,'Inputs (2)'!AI12,AG25*(1+Inputs!AI$275))</f>
        <v>29336.731</v>
      </c>
      <c r="AJ25" s="57">
        <f>IF(AJ$14=1,'Inputs (2)'!AJ12,AI25*(1+Inputs!AJ$275))</f>
        <v>29458.27</v>
      </c>
      <c r="AK25" s="57">
        <f>IF(AK$14=1,'Inputs (2)'!AK12,AJ25*(1+Inputs!AK$275))</f>
        <v>29458.27</v>
      </c>
      <c r="AL25" s="57">
        <f>IF(AL$14=1,'Inputs (2)'!AL12,AK25*(1+Inputs!AL$275))</f>
        <v>29458.27</v>
      </c>
      <c r="AM25" s="77">
        <f>AL25</f>
        <v>29458.27</v>
      </c>
      <c r="AN25" s="57">
        <f>IF(AN$14=1,'Inputs (2)'!AN12,AL25*(1+Inputs!AN$275))</f>
        <v>29458.27</v>
      </c>
      <c r="AO25" s="57">
        <f>IF(AO$14=1,'Inputs (2)'!AO12,AN25*(1+Inputs!AO$275))</f>
        <v>29458.27</v>
      </c>
      <c r="AP25" s="57">
        <f>IF(AP$14=1,'Inputs (2)'!AP12,AO25*(1+Inputs!AP$275))</f>
        <v>29458.27</v>
      </c>
      <c r="AQ25" s="57">
        <f>IF(AQ$14=1,'Inputs (2)'!AQ12,AP25*(1+Inputs!AQ$275))</f>
        <v>29458.27</v>
      </c>
      <c r="AR25" s="77">
        <f>AQ25</f>
        <v>29458.27</v>
      </c>
      <c r="AS25" s="57">
        <f>IF(AS$14=1,'Inputs (2)'!AS12,AQ25*(1+Inputs!AS$275))</f>
        <v>29458.27</v>
      </c>
      <c r="AT25" s="57">
        <f>IF(AT$14=1,'Inputs (2)'!AT12,AS25*(1+Inputs!AT$275))</f>
        <v>29458.27</v>
      </c>
      <c r="AU25" s="57">
        <f>IF(AU$14=1,'Inputs (2)'!AU12,AT25*(1+Inputs!AU$275))</f>
        <v>29458.27</v>
      </c>
      <c r="AV25" s="57">
        <f>IF(AV$14=1,'Inputs (2)'!AV12,AU25*(1+Inputs!AV$275))</f>
        <v>29458.27</v>
      </c>
      <c r="AW25" s="77">
        <f>AV25</f>
        <v>29458.27</v>
      </c>
      <c r="AX25" s="57">
        <f>IF(AX$14=1,'Inputs (2)'!AX12,AV25*(1+Inputs!AX$275))</f>
        <v>29458.27</v>
      </c>
      <c r="AY25" s="57">
        <f>IF(AY$14=1,'Inputs (2)'!AY12,AX25*(1+Inputs!AY$275))</f>
        <v>29458.27</v>
      </c>
      <c r="AZ25" s="57">
        <f>IF(AZ$14=1,'Inputs (2)'!AZ12,AY25*(1+Inputs!AZ$275))</f>
        <v>29458.27</v>
      </c>
      <c r="BA25" s="57">
        <f>IF(BA$14=1,'Inputs (2)'!BA12,AZ25*(1+Inputs!BA$275))</f>
        <v>29458.27</v>
      </c>
      <c r="BB25" s="77">
        <f>BA25</f>
        <v>29458.27</v>
      </c>
      <c r="BC25" s="57">
        <f>IF(BC$14=1,'Inputs (2)'!BC12,BA25*(1+Inputs!BC$275))</f>
        <v>29458.27</v>
      </c>
      <c r="BD25" s="57">
        <f>IF(BD$14=1,'Inputs (2)'!BD12,BC25*(1+Inputs!BD$275))</f>
        <v>29458.27</v>
      </c>
      <c r="BE25" s="57">
        <f>IF(BE$14=1,'Inputs (2)'!BE12,BD25*(1+Inputs!BE$275))</f>
        <v>29458.27</v>
      </c>
      <c r="BF25" s="57">
        <f>IF(BF$14=1,'Inputs (2)'!BF12,BE25*(1+Inputs!BF$275))</f>
        <v>29458.27</v>
      </c>
      <c r="BG25" s="77">
        <f>BF25</f>
        <v>29458.27</v>
      </c>
    </row>
    <row r="26" hidden="1" outlineLevel="1">
      <c r="C26" s="61" t="inlineStr">
        <is>
          <t>Vinculados</t>
        </is>
      </c>
      <c r="D26" s="62" t="inlineStr">
        <is>
          <t>Pledged / Restricted</t>
        </is>
      </c>
      <c r="E26" s="57">
        <f>'Inputs (2)'!E13</f>
        <v>0</v>
      </c>
      <c r="F26" s="57">
        <f>IF(F$14=1,'Inputs (2)'!F13,E26*(1+Inputs!F$275))</f>
        <v>0</v>
      </c>
      <c r="G26" s="57">
        <f>IF(G$14=1,'Inputs (2)'!G13,F26*(1+Inputs!G$275))</f>
        <v>0</v>
      </c>
      <c r="H26" s="57">
        <f>IF(H$14=1,'Inputs (2)'!H13,G26*(1+Inputs!H$275))</f>
        <v>0</v>
      </c>
      <c r="I26" s="77">
        <f>H26</f>
        <v>0</v>
      </c>
      <c r="J26" s="57">
        <f>IF(J$14=1,'Inputs (2)'!J13,H26*(1+Inputs!J$275))</f>
        <v>0</v>
      </c>
      <c r="K26" s="57">
        <f>IF(K$14=1,'Inputs (2)'!K13,J26*(1+Inputs!K$275))</f>
        <v>0</v>
      </c>
      <c r="L26" s="57">
        <f>IF(L$14=1,'Inputs (2)'!L13,K26*(1+Inputs!L$275))</f>
        <v>0</v>
      </c>
      <c r="M26" s="57">
        <f>IF(M$14=1,'Inputs (2)'!M13,L26*(1+Inputs!M$275))</f>
        <v>0</v>
      </c>
      <c r="N26" s="77">
        <f>M26</f>
        <v>0</v>
      </c>
      <c r="O26" s="57">
        <f>IF(O$14=1,'Inputs (2)'!O13,M26*(1+Inputs!O$275))</f>
        <v>0</v>
      </c>
      <c r="P26" s="57">
        <f>IF(P$14=1,'Inputs (2)'!P13,O26*(1+Inputs!P$275))</f>
        <v>0</v>
      </c>
      <c r="Q26" s="57">
        <f>IF(Q$14=1,'Inputs (2)'!Q13,P26*(1+Inputs!Q$275))</f>
        <v>0</v>
      </c>
      <c r="R26" s="57">
        <f>IF(R$14=1,'Inputs (2)'!R13,Q26*(1+Inputs!R$275))</f>
        <v>0</v>
      </c>
      <c r="S26" s="77">
        <f>R26</f>
        <v>0</v>
      </c>
      <c r="T26" s="57">
        <f>IF(T$14=1,'Inputs (2)'!T13,R26*(1+Inputs!T$275))</f>
        <v>0</v>
      </c>
      <c r="U26" s="57">
        <f>IF(U$14=1,'Inputs (2)'!U13,T26*(1+Inputs!U$275))</f>
        <v>0</v>
      </c>
      <c r="V26" s="57">
        <f>IF(V$14=1,'Inputs (2)'!V13,U26*(1+Inputs!V$275))</f>
        <v>0</v>
      </c>
      <c r="W26" s="57">
        <f>IF(W$14=1,'Inputs (2)'!W13,V26*(1+Inputs!W$275))</f>
        <v>0</v>
      </c>
      <c r="X26" s="77">
        <f>W26</f>
        <v>0</v>
      </c>
      <c r="Y26" s="57">
        <f>IF(Y$14=1,'Inputs (2)'!Y13,W26*(1+Inputs!Y$275))</f>
        <v>0</v>
      </c>
      <c r="Z26" s="57">
        <f>IF(Z$14=1,'Inputs (2)'!Z13,Y26*(1+Inputs!Z$275))</f>
        <v>0</v>
      </c>
      <c r="AA26" s="57">
        <f>IF(AA$14=1,'Inputs (2)'!AA13,Z26*(1+Inputs!AA$275))</f>
        <v>0</v>
      </c>
      <c r="AB26" s="57">
        <f>IF(AB$14=1,'Inputs (2)'!AB13,AA26*(1+Inputs!AB$275))</f>
        <v>0</v>
      </c>
      <c r="AC26" s="77">
        <f>AB26</f>
        <v>0</v>
      </c>
      <c r="AD26" s="57">
        <f>IF(AD$14=1,'Inputs (2)'!AD13,AB26*(1+Inputs!AD$275))</f>
        <v>0</v>
      </c>
      <c r="AE26" s="57">
        <f>IF(AE$14=1,'Inputs (2)'!AE13,AD26*(1+Inputs!AE$275))</f>
        <v>0</v>
      </c>
      <c r="AF26" s="57">
        <f>IF(AF$14=1,'Inputs (2)'!AF13,AE26*(1+Inputs!AF$275))</f>
        <v>0</v>
      </c>
      <c r="AG26" s="57">
        <f>IF(AG$14=1,'Inputs (2)'!AG13,AF26*(1+Inputs!AG$275))</f>
        <v>0</v>
      </c>
      <c r="AH26" s="77">
        <f>AG26</f>
        <v>0</v>
      </c>
      <c r="AI26" s="57">
        <f>IF(AI$14=1,'Inputs (2)'!AI13,AG26*(1+Inputs!AI$275))</f>
        <v>0</v>
      </c>
      <c r="AJ26" s="57">
        <f>IF(AJ$14=1,'Inputs (2)'!AJ13,AI26*(1+Inputs!AJ$275))</f>
        <v>0</v>
      </c>
      <c r="AK26" s="57">
        <f>IF(AK$14=1,'Inputs (2)'!AK13,AJ26*(1+Inputs!AK$275))</f>
        <v>0</v>
      </c>
      <c r="AL26" s="57">
        <f>IF(AL$14=1,'Inputs (2)'!AL13,AK26*(1+Inputs!AL$275))</f>
        <v>0</v>
      </c>
      <c r="AM26" s="77">
        <f>AL26</f>
        <v>0</v>
      </c>
      <c r="AN26" s="57">
        <f>IF(AN$14=1,'Inputs (2)'!AN13,AL26*(1+Inputs!AN$275))</f>
        <v>0</v>
      </c>
      <c r="AO26" s="57">
        <f>IF(AO$14=1,'Inputs (2)'!AO13,AN26*(1+Inputs!AO$275))</f>
        <v>0</v>
      </c>
      <c r="AP26" s="57">
        <f>IF(AP$14=1,'Inputs (2)'!AP13,AO26*(1+Inputs!AP$275))</f>
        <v>0</v>
      </c>
      <c r="AQ26" s="57">
        <f>IF(AQ$14=1,'Inputs (2)'!AQ13,AP26*(1+Inputs!AQ$275))</f>
        <v>0</v>
      </c>
      <c r="AR26" s="77">
        <f>AQ26</f>
        <v>0</v>
      </c>
      <c r="AS26" s="57">
        <f>IF(AS$14=1,'Inputs (2)'!AS13,AQ26*(1+Inputs!AS$275))</f>
        <v>0</v>
      </c>
      <c r="AT26" s="57">
        <f>IF(AT$14=1,'Inputs (2)'!AT13,AS26*(1+Inputs!AT$275))</f>
        <v>0</v>
      </c>
      <c r="AU26" s="57">
        <f>IF(AU$14=1,'Inputs (2)'!AU13,AT26*(1+Inputs!AU$275))</f>
        <v>0</v>
      </c>
      <c r="AV26" s="57">
        <f>IF(AV$14=1,'Inputs (2)'!AV13,AU26*(1+Inputs!AV$275))</f>
        <v>0</v>
      </c>
      <c r="AW26" s="77">
        <f>AV26</f>
        <v>0</v>
      </c>
      <c r="AX26" s="57">
        <f>IF(AX$14=1,'Inputs (2)'!AX13,AV26*(1+Inputs!AX$275))</f>
        <v>0</v>
      </c>
      <c r="AY26" s="57">
        <f>IF(AY$14=1,'Inputs (2)'!AY13,AX26*(1+Inputs!AY$275))</f>
        <v>0</v>
      </c>
      <c r="AZ26" s="57">
        <f>IF(AZ$14=1,'Inputs (2)'!AZ13,AY26*(1+Inputs!AZ$275))</f>
        <v>0</v>
      </c>
      <c r="BA26" s="57">
        <f>IF(BA$14=1,'Inputs (2)'!BA13,AZ26*(1+Inputs!BA$275))</f>
        <v>0</v>
      </c>
      <c r="BB26" s="77">
        <f>BA26</f>
        <v>0</v>
      </c>
      <c r="BC26" s="57">
        <f>IF(BC$14=1,'Inputs (2)'!BC13,BA26*(1+Inputs!BC$275))</f>
        <v>0</v>
      </c>
      <c r="BD26" s="57">
        <f>IF(BD$14=1,'Inputs (2)'!BD13,BC26*(1+Inputs!BD$275))</f>
        <v>0</v>
      </c>
      <c r="BE26" s="57">
        <f>IF(BE$14=1,'Inputs (2)'!BE13,BD26*(1+Inputs!BE$275))</f>
        <v>0</v>
      </c>
      <c r="BF26" s="57">
        <f>IF(BF$14=1,'Inputs (2)'!BF13,BE26*(1+Inputs!BF$275))</f>
        <v>0</v>
      </c>
      <c r="BG26" s="77">
        <f>BF26</f>
        <v>0</v>
      </c>
    </row>
    <row r="27" hidden="1" outlineLevel="1">
      <c r="C27" s="61" t="inlineStr">
        <is>
          <t>Recursos Garantidores das Provisões Técnicas</t>
        </is>
      </c>
      <c r="D27" s="62" t="inlineStr">
        <is>
          <t>Assets Guaranteeing Provisions</t>
        </is>
      </c>
      <c r="E27" s="57">
        <f>'Inputs (2)'!E14</f>
        <v>0</v>
      </c>
      <c r="F27" s="57">
        <f>IF(F$14=1,'Inputs (2)'!F14,E27)</f>
        <v>0</v>
      </c>
      <c r="G27" s="57">
        <f>IF(G$14=1,'Inputs (2)'!G14,F27)</f>
        <v>0</v>
      </c>
      <c r="H27" s="57">
        <f>IF(H$14=1,'Inputs (2)'!H14,G27)</f>
        <v>0</v>
      </c>
      <c r="I27" s="77">
        <f>H27</f>
        <v>0</v>
      </c>
      <c r="J27" s="57">
        <f>IF(J$14=1,'Inputs (2)'!J14,H27)</f>
        <v>0</v>
      </c>
      <c r="K27" s="57">
        <f>IF(K$14=1,'Inputs (2)'!K14,J27)</f>
        <v>0</v>
      </c>
      <c r="L27" s="57">
        <f>IF(L$14=1,'Inputs (2)'!L14,K27)</f>
        <v>0</v>
      </c>
      <c r="M27" s="57">
        <f>IF(M$14=1,'Inputs (2)'!M14,L27)</f>
        <v>0</v>
      </c>
      <c r="N27" s="77">
        <f>M27</f>
        <v>0</v>
      </c>
      <c r="O27" s="57">
        <f>IF(O$14=1,'Inputs (2)'!O14,M27)</f>
        <v>0</v>
      </c>
      <c r="P27" s="57">
        <f>IF(P$14=1,'Inputs (2)'!P14,O27)</f>
        <v>0</v>
      </c>
      <c r="Q27" s="57">
        <f>IF(Q$14=1,'Inputs (2)'!Q14,P27)</f>
        <v>0</v>
      </c>
      <c r="R27" s="57">
        <f>IF(R$14=1,'Inputs (2)'!R14,Q27)</f>
        <v>0</v>
      </c>
      <c r="S27" s="77">
        <f>R27</f>
        <v>0</v>
      </c>
      <c r="T27" s="57">
        <f>IF(T$14=1,'Inputs (2)'!T14,R27)</f>
        <v>0</v>
      </c>
      <c r="U27" s="57">
        <f>IF(U$14=1,'Inputs (2)'!U14,T27)</f>
        <v>0</v>
      </c>
      <c r="V27" s="57">
        <f>IF(V$14=1,'Inputs (2)'!V14,U27)</f>
        <v>0</v>
      </c>
      <c r="W27" s="57">
        <f>IF(W$14=1,'Inputs (2)'!W14,V27)</f>
        <v>0</v>
      </c>
      <c r="X27" s="77">
        <f>W27</f>
        <v>0</v>
      </c>
      <c r="Y27" s="57">
        <f>IF(Y$14=1,'Inputs (2)'!Y14,W27)</f>
        <v>0</v>
      </c>
      <c r="Z27" s="57">
        <f>IF(Z$14=1,'Inputs (2)'!Z14,Y27)</f>
        <v>0</v>
      </c>
      <c r="AA27" s="57">
        <f>IF(AA$14=1,'Inputs (2)'!AA14,Z27)</f>
        <v>0</v>
      </c>
      <c r="AB27" s="57">
        <f>IF(AB$14=1,'Inputs (2)'!AB14,AA27)</f>
        <v>0</v>
      </c>
      <c r="AC27" s="77">
        <f>AB27</f>
        <v>0</v>
      </c>
      <c r="AD27" s="57">
        <f>IF(AD$14=1,'Inputs (2)'!AD14,AB27)</f>
        <v>0</v>
      </c>
      <c r="AE27" s="57">
        <f>IF(AE$14=1,'Inputs (2)'!AE14,AD27)</f>
        <v>0</v>
      </c>
      <c r="AF27" s="57">
        <f>IF(AF$14=1,'Inputs (2)'!AF14,AE27)</f>
        <v>0</v>
      </c>
      <c r="AG27" s="57">
        <f>IF(AG$14=1,'Inputs (2)'!AG14,AF27)</f>
        <v>0</v>
      </c>
      <c r="AH27" s="77">
        <f>AG27</f>
        <v>0</v>
      </c>
      <c r="AI27" s="57">
        <f>IF(AI$14=1,'Inputs (2)'!AI14,AG27)</f>
        <v>0</v>
      </c>
      <c r="AJ27" s="57">
        <f>IF(AJ$14=1,'Inputs (2)'!AJ14,AI27)</f>
        <v>0</v>
      </c>
      <c r="AK27" s="57">
        <f>IF(AK$14=1,'Inputs (2)'!AK14,AJ27)</f>
        <v>0</v>
      </c>
      <c r="AL27" s="57">
        <f>IF(AL$14=1,'Inputs (2)'!AL14,AK27)</f>
        <v>0</v>
      </c>
      <c r="AM27" s="77">
        <f>AL27</f>
        <v>0</v>
      </c>
      <c r="AN27" s="57">
        <f>IF(AN$14=1,'Inputs (2)'!AN14,AL27)</f>
        <v>0</v>
      </c>
      <c r="AO27" s="57">
        <f>IF(AO$14=1,'Inputs (2)'!AO14,AN27)</f>
        <v>0</v>
      </c>
      <c r="AP27" s="57">
        <f>IF(AP$14=1,'Inputs (2)'!AP14,AO27)</f>
        <v>0</v>
      </c>
      <c r="AQ27" s="57">
        <f>IF(AQ$14=1,'Inputs (2)'!AQ14,AP27)</f>
        <v>0</v>
      </c>
      <c r="AR27" s="77">
        <f>AQ27</f>
        <v>0</v>
      </c>
      <c r="AS27" s="57">
        <f>IF(AS$14=1,'Inputs (2)'!AS14,AQ27)</f>
        <v>0</v>
      </c>
      <c r="AT27" s="57">
        <f>IF(AT$14=1,'Inputs (2)'!AT14,AS27)</f>
        <v>0</v>
      </c>
      <c r="AU27" s="57">
        <f>IF(AU$14=1,'Inputs (2)'!AU14,AT27)</f>
        <v>0</v>
      </c>
      <c r="AV27" s="57">
        <f>IF(AV$14=1,'Inputs (2)'!AV14,AU27)</f>
        <v>0</v>
      </c>
      <c r="AW27" s="77">
        <f>AV27</f>
        <v>0</v>
      </c>
      <c r="AX27" s="57">
        <f>IF(AX$14=1,'Inputs (2)'!AX14,AV27)</f>
        <v>0</v>
      </c>
      <c r="AY27" s="57">
        <f>IF(AY$14=1,'Inputs (2)'!AY14,AX27)</f>
        <v>0</v>
      </c>
      <c r="AZ27" s="57">
        <f>IF(AZ$14=1,'Inputs (2)'!AZ14,AY27)</f>
        <v>0</v>
      </c>
      <c r="BA27" s="57">
        <f>IF(BA$14=1,'Inputs (2)'!BA14,AZ27)</f>
        <v>0</v>
      </c>
      <c r="BB27" s="77">
        <f>BA27</f>
        <v>0</v>
      </c>
      <c r="BC27" s="57">
        <f>IF(BC$14=1,'Inputs (2)'!BC14,BA27)</f>
        <v>0</v>
      </c>
      <c r="BD27" s="57">
        <f>IF(BD$14=1,'Inputs (2)'!BD14,BC27)</f>
        <v>0</v>
      </c>
      <c r="BE27" s="57">
        <f>IF(BE$14=1,'Inputs (2)'!BE14,BD27)</f>
        <v>0</v>
      </c>
      <c r="BF27" s="57">
        <f>IF(BF$14=1,'Inputs (2)'!BF14,BE27)</f>
        <v>0</v>
      </c>
      <c r="BG27" s="77">
        <f>BF27</f>
        <v>0</v>
      </c>
    </row>
    <row r="28" hidden="1" outlineLevel="1">
      <c r="C28" s="61" t="inlineStr">
        <is>
          <t>(Provisão para Perda de Crédito Esperada)</t>
        </is>
      </c>
      <c r="D28" s="62" t="inlineStr">
        <is>
          <t>(ECL Allowance)</t>
        </is>
      </c>
      <c r="E28" s="57">
        <f>'Inputs (2)'!E15</f>
        <v>0</v>
      </c>
      <c r="F28" s="57">
        <f>IF(F$14=1,'Inputs (2)'!F15,E28)</f>
        <v>0</v>
      </c>
      <c r="G28" s="57">
        <f>IF(G$14=1,'Inputs (2)'!G15,F28)</f>
        <v>0</v>
      </c>
      <c r="H28" s="57">
        <f>IF(H$14=1,'Inputs (2)'!H15,G28)</f>
        <v>0</v>
      </c>
      <c r="I28" s="77">
        <f>H28</f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>M28</f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>R28</f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>W28</f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>AB28</f>
        <v>0</v>
      </c>
      <c r="AD28" s="57">
        <f>IF(AD$14=1,'Inputs (2)'!AD15,AB28)</f>
        <v>-99.85</v>
      </c>
      <c r="AE28" s="57">
        <f>IF(AE$14=1,'Inputs (2)'!AE15,AD28)</f>
        <v>-101.769</v>
      </c>
      <c r="AF28" s="57">
        <f>IF(AF$14=1,'Inputs (2)'!AF15,AE28)</f>
        <v>-104.548</v>
      </c>
      <c r="AG28" s="57">
        <f>IF(AG$14=1,'Inputs (2)'!AG15,AF28)</f>
        <v>-108.279</v>
      </c>
      <c r="AH28" s="77">
        <f>AG28</f>
        <v>-108.279</v>
      </c>
      <c r="AI28" s="57">
        <f>IF(AI$14=1,'Inputs (2)'!AI15,AG28)</f>
        <v>-2.966</v>
      </c>
      <c r="AJ28" s="57">
        <f>IF(AJ$14=1,'Inputs (2)'!AJ15,AI28)</f>
        <v>-1.133</v>
      </c>
      <c r="AK28" s="57">
        <f>IF(AK$14=1,'Inputs (2)'!AK15,AJ28)</f>
        <v>-1.133</v>
      </c>
      <c r="AL28" s="57">
        <f>IF(AL$14=1,'Inputs (2)'!AL15,AK28)</f>
        <v>-1.133</v>
      </c>
      <c r="AM28" s="77">
        <f>AL28</f>
        <v>-1.133</v>
      </c>
      <c r="AN28" s="57">
        <f>IF(AN$14=1,'Inputs (2)'!AN15,AL28)</f>
        <v>-1.133</v>
      </c>
      <c r="AO28" s="57">
        <f>IF(AO$14=1,'Inputs (2)'!AO15,AN28)</f>
        <v>-1.133</v>
      </c>
      <c r="AP28" s="57">
        <f>IF(AP$14=1,'Inputs (2)'!AP15,AO28)</f>
        <v>-1.133</v>
      </c>
      <c r="AQ28" s="57">
        <f>IF(AQ$14=1,'Inputs (2)'!AQ15,AP28)</f>
        <v>-1.133</v>
      </c>
      <c r="AR28" s="77">
        <f>AQ28</f>
        <v>-1.133</v>
      </c>
      <c r="AS28" s="57">
        <f>IF(AS$14=1,'Inputs (2)'!AS15,AQ28)</f>
        <v>-1.133</v>
      </c>
      <c r="AT28" s="57">
        <f>IF(AT$14=1,'Inputs (2)'!AT15,AS28)</f>
        <v>-1.133</v>
      </c>
      <c r="AU28" s="57">
        <f>IF(AU$14=1,'Inputs (2)'!AU15,AT28)</f>
        <v>-1.133</v>
      </c>
      <c r="AV28" s="57">
        <f>IF(AV$14=1,'Inputs (2)'!AV15,AU28)</f>
        <v>-1.133</v>
      </c>
      <c r="AW28" s="77">
        <f>AV28</f>
        <v>-1.133</v>
      </c>
      <c r="AX28" s="57">
        <f>IF(AX$14=1,'Inputs (2)'!AX15,AV28)</f>
        <v>-1.133</v>
      </c>
      <c r="AY28" s="57">
        <f>IF(AY$14=1,'Inputs (2)'!AY15,AX28)</f>
        <v>-1.133</v>
      </c>
      <c r="AZ28" s="57">
        <f>IF(AZ$14=1,'Inputs (2)'!AZ15,AY28)</f>
        <v>-1.133</v>
      </c>
      <c r="BA28" s="57">
        <f>IF(BA$14=1,'Inputs (2)'!BA15,AZ28)</f>
        <v>-1.133</v>
      </c>
      <c r="BB28" s="77">
        <f>BA28</f>
        <v>-1.133</v>
      </c>
      <c r="BC28" s="57">
        <f>IF(BC$14=1,'Inputs (2)'!BC15,BA28)</f>
        <v>-1.133</v>
      </c>
      <c r="BD28" s="57">
        <f>IF(BD$14=1,'Inputs (2)'!BD15,BC28)</f>
        <v>-1.133</v>
      </c>
      <c r="BE28" s="57">
        <f>IF(BE$14=1,'Inputs (2)'!BE15,BD28)</f>
        <v>-1.133</v>
      </c>
      <c r="BF28" s="57">
        <f>IF(BF$14=1,'Inputs (2)'!BF15,BE28)</f>
        <v>-1.133</v>
      </c>
      <c r="BG28" s="77">
        <f>BF28</f>
        <v>-1.133</v>
      </c>
    </row>
    <row r="29" collapsed="1">
      <c r="C29" s="80" t="inlineStr">
        <is>
          <t>Derivativos</t>
        </is>
      </c>
      <c r="D29" s="81" t="inlineStr">
        <is>
          <t>Derivatives</t>
        </is>
      </c>
      <c r="E29" s="82">
        <f>'Inputs (2)'!E16</f>
        <v>0</v>
      </c>
      <c r="F29" s="82">
        <f>IF(F$14=1,'Inputs (2)'!F16,E29)</f>
        <v>0</v>
      </c>
      <c r="G29" s="82">
        <f>IF(G$14=1,'Inputs (2)'!G16,F29)</f>
        <v>0</v>
      </c>
      <c r="H29" s="82">
        <f>IF(H$14=1,'Inputs (2)'!H16,G29)</f>
        <v>0</v>
      </c>
      <c r="I29" s="77">
        <f>H29</f>
        <v>0</v>
      </c>
      <c r="J29" s="82">
        <f>IF(J$14=1,'Inputs (2)'!J16,H29)</f>
        <v>0</v>
      </c>
      <c r="K29" s="82">
        <f>IF(K$14=1,'Inputs (2)'!K16,J29)</f>
        <v>0</v>
      </c>
      <c r="L29" s="82">
        <f>IF(L$14=1,'Inputs (2)'!L16,K29)</f>
        <v>0</v>
      </c>
      <c r="M29" s="82">
        <f>IF(M$14=1,'Inputs (2)'!M16,L29)</f>
        <v>0</v>
      </c>
      <c r="N29" s="77">
        <f>M29</f>
        <v>0</v>
      </c>
      <c r="O29" s="82">
        <f>IF(O$14=1,'Inputs (2)'!O16,M29)</f>
        <v>0</v>
      </c>
      <c r="P29" s="82">
        <f>IF(P$14=1,'Inputs (2)'!P16,O29)</f>
        <v>0</v>
      </c>
      <c r="Q29" s="82">
        <f>IF(Q$14=1,'Inputs (2)'!Q16,P29)</f>
        <v>0</v>
      </c>
      <c r="R29" s="82">
        <f>IF(R$14=1,'Inputs (2)'!R16,Q29)</f>
        <v>0</v>
      </c>
      <c r="S29" s="77">
        <f>R29</f>
        <v>0</v>
      </c>
      <c r="T29" s="82">
        <f>IF(T$14=1,'Inputs (2)'!T16,R29)</f>
        <v>0</v>
      </c>
      <c r="U29" s="82">
        <f>IF(U$14=1,'Inputs (2)'!U16,T29)</f>
        <v>0</v>
      </c>
      <c r="V29" s="82">
        <f>IF(V$14=1,'Inputs (2)'!V16,U29)</f>
        <v>0</v>
      </c>
      <c r="W29" s="82">
        <f>IF(W$14=1,'Inputs (2)'!W16,V29)</f>
        <v>0</v>
      </c>
      <c r="X29" s="77">
        <f>W29</f>
        <v>0</v>
      </c>
      <c r="Y29" s="82">
        <f>IF(Y$14=1,'Inputs (2)'!Y16,W29)</f>
        <v>0</v>
      </c>
      <c r="Z29" s="82">
        <f>IF(Z$14=1,'Inputs (2)'!Z16,Y29)</f>
        <v>0</v>
      </c>
      <c r="AA29" s="82">
        <f>IF(AA$14=1,'Inputs (2)'!AA16,Z29)</f>
        <v>0</v>
      </c>
      <c r="AB29" s="82">
        <f>IF(AB$14=1,'Inputs (2)'!AB16,AA29)</f>
        <v>0</v>
      </c>
      <c r="AC29" s="77">
        <f>AB29</f>
        <v>0</v>
      </c>
      <c r="AD29" s="82">
        <f>IF(AD$14=1,'Inputs (2)'!AD16,AB29)</f>
        <v>5724.659</v>
      </c>
      <c r="AE29" s="82">
        <f>IF(AE$14=1,'Inputs (2)'!AE16,AD29)</f>
        <v>5657.316</v>
      </c>
      <c r="AF29" s="82">
        <f>IF(AF$14=1,'Inputs (2)'!AF16,AE29)</f>
        <v>6028.952</v>
      </c>
      <c r="AG29" s="82">
        <f>IF(AG$14=1,'Inputs (2)'!AG16,AF29)</f>
        <v>5684.942</v>
      </c>
      <c r="AH29" s="77">
        <f>AG29</f>
        <v>5684.942</v>
      </c>
      <c r="AI29" s="82">
        <f>IF(AI$14=1,'Inputs (2)'!AI16,AG29)</f>
        <v>7210.819</v>
      </c>
      <c r="AJ29" s="82">
        <f>IF(AJ$14=1,'Inputs (2)'!AJ16,AI29)</f>
        <v>6797.635</v>
      </c>
      <c r="AK29" s="82">
        <f>IF(AK$14=1,'Inputs (2)'!AK16,AJ29)</f>
        <v>6797.635</v>
      </c>
      <c r="AL29" s="82">
        <f>IF(AL$14=1,'Inputs (2)'!AL16,AK29)</f>
        <v>6797.635</v>
      </c>
      <c r="AM29" s="77">
        <f>AL29</f>
        <v>6797.635</v>
      </c>
      <c r="AN29" s="82">
        <f>IF(AN$14=1,'Inputs (2)'!AN16,AL29)</f>
        <v>6797.635</v>
      </c>
      <c r="AO29" s="82">
        <f>IF(AO$14=1,'Inputs (2)'!AO16,AN29)</f>
        <v>6797.635</v>
      </c>
      <c r="AP29" s="82">
        <f>IF(AP$14=1,'Inputs (2)'!AP16,AO29)</f>
        <v>6797.635</v>
      </c>
      <c r="AQ29" s="82">
        <f>IF(AQ$14=1,'Inputs (2)'!AQ16,AP29)</f>
        <v>6797.635</v>
      </c>
      <c r="AR29" s="77">
        <f>AQ29</f>
        <v>6797.635</v>
      </c>
      <c r="AS29" s="82">
        <f>IF(AS$14=1,'Inputs (2)'!AS16,AQ29)</f>
        <v>6797.635</v>
      </c>
      <c r="AT29" s="82">
        <f>IF(AT$14=1,'Inputs (2)'!AT16,AS29)</f>
        <v>6797.635</v>
      </c>
      <c r="AU29" s="82">
        <f>IF(AU$14=1,'Inputs (2)'!AU16,AT29)</f>
        <v>6797.635</v>
      </c>
      <c r="AV29" s="82">
        <f>IF(AV$14=1,'Inputs (2)'!AV16,AU29)</f>
        <v>6797.635</v>
      </c>
      <c r="AW29" s="77">
        <f>AV29</f>
        <v>6797.635</v>
      </c>
      <c r="AX29" s="82">
        <f>IF(AX$14=1,'Inputs (2)'!AX16,AV29)</f>
        <v>6797.635</v>
      </c>
      <c r="AY29" s="82">
        <f>IF(AY$14=1,'Inputs (2)'!AY16,AX29)</f>
        <v>6797.635</v>
      </c>
      <c r="AZ29" s="82">
        <f>IF(AZ$14=1,'Inputs (2)'!AZ16,AY29)</f>
        <v>6797.635</v>
      </c>
      <c r="BA29" s="82">
        <f>IF(BA$14=1,'Inputs (2)'!BA16,AZ29)</f>
        <v>6797.635</v>
      </c>
      <c r="BB29" s="77">
        <f>BA29</f>
        <v>6797.635</v>
      </c>
      <c r="BC29" s="82">
        <f>IF(BC$14=1,'Inputs (2)'!BC16,BA29)</f>
        <v>6797.635</v>
      </c>
      <c r="BD29" s="82">
        <f>IF(BD$14=1,'Inputs (2)'!BD16,BC29)</f>
        <v>6797.635</v>
      </c>
      <c r="BE29" s="82">
        <f>IF(BE$14=1,'Inputs (2)'!BE16,BD29)</f>
        <v>6797.635</v>
      </c>
      <c r="BF29" s="82">
        <f>IF(BF$14=1,'Inputs (2)'!BF16,BE29)</f>
        <v>6797.635</v>
      </c>
      <c r="BG29" s="77">
        <f>BF29</f>
        <v>6797.635</v>
      </c>
    </row>
    <row r="30">
      <c r="C30" s="83" t="inlineStr">
        <is>
          <t>Operações com Característica de Concessão de Crédito</t>
        </is>
      </c>
      <c r="D30" s="84" t="inlineStr">
        <is>
          <t>Credit-Granting Transactions</t>
        </is>
      </c>
      <c r="E30" s="85">
        <f>E31+E32+E33</f>
        <v>17590.52252</v>
      </c>
      <c r="F30" s="85">
        <f>F31+F32+F33</f>
        <v>17930.393</v>
      </c>
      <c r="G30" s="85">
        <f>G31+G32+G33</f>
        <v>18917.055</v>
      </c>
      <c r="H30" s="85">
        <f>H31+H32+H33</f>
        <v>20214.226</v>
      </c>
      <c r="I30" s="60">
        <f>H30</f>
        <v>20214.226</v>
      </c>
      <c r="J30" s="85">
        <f>J31+J32+J33</f>
        <v>20637.761</v>
      </c>
      <c r="K30" s="85">
        <f>K31+K32+K33</f>
        <v>19994.59</v>
      </c>
      <c r="L30" s="85">
        <f>L31+L32+L33</f>
        <v>21012.336</v>
      </c>
      <c r="M30" s="85">
        <f>M31+M32+M33</f>
        <v>22321.034</v>
      </c>
      <c r="N30" s="60">
        <f>M30</f>
        <v>22321.034</v>
      </c>
      <c r="O30" s="85">
        <f>O31+O32+O33</f>
        <v>22200.872</v>
      </c>
      <c r="P30" s="85">
        <f>P31+P32+P33</f>
        <v>23506.974</v>
      </c>
      <c r="Q30" s="85">
        <f>Q31+Q32+Q33</f>
        <v>24688.821</v>
      </c>
      <c r="R30" s="85">
        <f>R31+R32+R33</f>
        <v>24676.93</v>
      </c>
      <c r="S30" s="60">
        <f>R30</f>
        <v>24676.93</v>
      </c>
      <c r="T30" s="85">
        <f>T31+T32+T33</f>
        <v>22832.989</v>
      </c>
      <c r="U30" s="85">
        <f>U31+U32+U33</f>
        <v>22145.433</v>
      </c>
      <c r="V30" s="85">
        <f>V31+V32+V33</f>
        <v>22440.119</v>
      </c>
      <c r="W30" s="85">
        <f>W31+W32+W33</f>
        <v>23062.276</v>
      </c>
      <c r="X30" s="60">
        <f>W30</f>
        <v>23062.276</v>
      </c>
      <c r="Y30" s="85">
        <f>Y31+Y32+Y33</f>
        <v>21240.856</v>
      </c>
      <c r="Z30" s="85">
        <f>Z31+Z32+Z33</f>
        <v>21138.212</v>
      </c>
      <c r="AA30" s="85">
        <f>AA31+AA32+AA33</f>
        <v>21188.011</v>
      </c>
      <c r="AB30" s="85">
        <f>AB31+AB32+AB33</f>
        <v>22227.242</v>
      </c>
      <c r="AC30" s="60">
        <f>AB30</f>
        <v>22227.242</v>
      </c>
      <c r="AD30" s="85">
        <f>AD31+AD32+AD33</f>
        <v>19756.272</v>
      </c>
      <c r="AE30" s="85">
        <f>AE31+AE32+AE33</f>
        <v>19782.172</v>
      </c>
      <c r="AF30" s="85">
        <f>AF31+AF32+AF33</f>
        <v>20310.606</v>
      </c>
      <c r="AG30" s="85">
        <f>AG31+AG32+AG33</f>
        <v>22369.683</v>
      </c>
      <c r="AH30" s="60">
        <f>AG30</f>
        <v>22369.683</v>
      </c>
      <c r="AI30" s="85">
        <f>AI31+AI32+AI33</f>
        <v>20527.237</v>
      </c>
      <c r="AJ30" s="85">
        <f>AJ31+AJ32+AJ33</f>
        <v>21062.751</v>
      </c>
      <c r="AK30" s="85">
        <f>AK31+AK32+AK33</f>
        <v>21062.751</v>
      </c>
      <c r="AL30" s="85">
        <f>AL31+AL32+AL33</f>
        <v>21062.751</v>
      </c>
      <c r="AM30" s="60">
        <f>AL30</f>
        <v>21062.751</v>
      </c>
      <c r="AN30" s="85">
        <f>AN31+AN32+AN33</f>
        <v>21062.751</v>
      </c>
      <c r="AO30" s="85">
        <f>AO31+AO32+AO33</f>
        <v>21062.751</v>
      </c>
      <c r="AP30" s="85">
        <f>AP31+AP32+AP33</f>
        <v>21062.751</v>
      </c>
      <c r="AQ30" s="85">
        <f>AQ31+AQ32+AQ33</f>
        <v>21062.751</v>
      </c>
      <c r="AR30" s="60">
        <f>AQ30</f>
        <v>21062.751</v>
      </c>
      <c r="AS30" s="85">
        <f>AS31+AS32+AS33</f>
        <v>21062.751</v>
      </c>
      <c r="AT30" s="85">
        <f>AT31+AT32+AT33</f>
        <v>21062.751</v>
      </c>
      <c r="AU30" s="85">
        <f>AU31+AU32+AU33</f>
        <v>21062.751</v>
      </c>
      <c r="AV30" s="85">
        <f>AV31+AV32+AV33</f>
        <v>21062.751</v>
      </c>
      <c r="AW30" s="60">
        <f>AV30</f>
        <v>21062.751</v>
      </c>
      <c r="AX30" s="85">
        <f>AX31+AX32+AX33</f>
        <v>21062.751</v>
      </c>
      <c r="AY30" s="85">
        <f>AY31+AY32+AY33</f>
        <v>21062.751</v>
      </c>
      <c r="AZ30" s="85">
        <f>AZ31+AZ32+AZ33</f>
        <v>21062.751</v>
      </c>
      <c r="BA30" s="85">
        <f>BA31+BA32+BA33</f>
        <v>21062.751</v>
      </c>
      <c r="BB30" s="60">
        <f>BA30</f>
        <v>21062.751</v>
      </c>
      <c r="BC30" s="85">
        <f>BC31+BC32+BC33</f>
        <v>21062.751</v>
      </c>
      <c r="BD30" s="85">
        <f>BD31+BD32+BD33</f>
        <v>21062.751</v>
      </c>
      <c r="BE30" s="85">
        <f>BE31+BE32+BE33</f>
        <v>21062.751</v>
      </c>
      <c r="BF30" s="85">
        <f>BF31+BF32+BF33</f>
        <v>21062.751</v>
      </c>
      <c r="BG30" s="60">
        <f>BF30</f>
        <v>21062.751</v>
      </c>
    </row>
    <row r="31" hidden="1" outlineLevel="1">
      <c r="C31" s="61" t="inlineStr">
        <is>
          <t>Operações de Crédito, Arrendamentos e Outros Créditos</t>
        </is>
      </c>
      <c r="D31" s="62" t="inlineStr">
        <is>
          <t>Loans and Leases</t>
        </is>
      </c>
      <c r="E31" s="57">
        <f>'Inputs (2)'!E18</f>
        <v>17590.52252</v>
      </c>
      <c r="F31" s="57">
        <f>IF(F$14=1,'Inputs (2)'!F18,E31*(1+Inputs!F$270))</f>
        <v>17930.393</v>
      </c>
      <c r="G31" s="57">
        <f>IF(G$14=1,'Inputs (2)'!G18,F31*(1+Inputs!G$270))</f>
        <v>18917.055</v>
      </c>
      <c r="H31" s="57">
        <f>IF(H$14=1,'Inputs (2)'!H18,G31*(1+Inputs!H$270))</f>
        <v>20214.226</v>
      </c>
      <c r="I31" s="77">
        <f>H31</f>
        <v>20214.226</v>
      </c>
      <c r="J31" s="57">
        <f>IF(J$14=1,'Inputs (2)'!J18,H31*(1+Inputs!J$270))</f>
        <v>20637.761</v>
      </c>
      <c r="K31" s="57">
        <f>IF(K$14=1,'Inputs (2)'!K18,J31*(1+Inputs!K$270))</f>
        <v>19994.59</v>
      </c>
      <c r="L31" s="57">
        <f>IF(L$14=1,'Inputs (2)'!L18,K31*(1+Inputs!L$270))</f>
        <v>21012.336</v>
      </c>
      <c r="M31" s="57">
        <f>IF(M$14=1,'Inputs (2)'!M18,L31*(1+Inputs!M$270))</f>
        <v>22321.034</v>
      </c>
      <c r="N31" s="77">
        <f>M31</f>
        <v>22321.034</v>
      </c>
      <c r="O31" s="57">
        <f>IF(O$14=1,'Inputs (2)'!O18,M31*(1+Inputs!O$270))</f>
        <v>22200.872</v>
      </c>
      <c r="P31" s="57">
        <f>IF(P$14=1,'Inputs (2)'!P18,O31*(1+Inputs!P$270))</f>
        <v>23506.974</v>
      </c>
      <c r="Q31" s="57">
        <f>IF(Q$14=1,'Inputs (2)'!Q18,P31*(1+Inputs!Q$270))</f>
        <v>24688.821</v>
      </c>
      <c r="R31" s="57">
        <f>IF(R$14=1,'Inputs (2)'!R18,Q31*(1+Inputs!R$270))</f>
        <v>24676.93</v>
      </c>
      <c r="S31" s="77">
        <f>R31</f>
        <v>24676.93</v>
      </c>
      <c r="T31" s="57">
        <f>IF(T$14=1,'Inputs (2)'!T18,R31*(1+Inputs!T$270))</f>
        <v>22832.989</v>
      </c>
      <c r="U31" s="57">
        <f>IF(U$14=1,'Inputs (2)'!U18,T31*(1+Inputs!U$270))</f>
        <v>22145.433</v>
      </c>
      <c r="V31" s="57">
        <f>IF(V$14=1,'Inputs (2)'!V18,U31*(1+Inputs!V$270))</f>
        <v>22440.119</v>
      </c>
      <c r="W31" s="57">
        <f>IF(W$14=1,'Inputs (2)'!W18,V31*(1+Inputs!W$270))</f>
        <v>23062.276</v>
      </c>
      <c r="X31" s="77">
        <f>W31</f>
        <v>23062.276</v>
      </c>
      <c r="Y31" s="57">
        <f>IF(Y$14=1,'Inputs (2)'!Y18,W31*(1+Inputs!Y$270))</f>
        <v>21240.856</v>
      </c>
      <c r="Z31" s="57">
        <f>IF(Z$14=1,'Inputs (2)'!Z18,Y31*(1+Inputs!Z$270))</f>
        <v>21138.212</v>
      </c>
      <c r="AA31" s="57">
        <f>IF(AA$14=1,'Inputs (2)'!AA18,Z31*(1+Inputs!AA$270))</f>
        <v>21188.011</v>
      </c>
      <c r="AB31" s="57">
        <f>IF(AB$14=1,'Inputs (2)'!AB18,AA31*(1+Inputs!AB$270))</f>
        <v>22227.242</v>
      </c>
      <c r="AC31" s="77">
        <f>AB31</f>
        <v>22227.242</v>
      </c>
      <c r="AD31" s="57">
        <f>IF(AD$14=1,'Inputs (2)'!AD18,AB31*(1+Inputs!AD$270))</f>
        <v>20707.334</v>
      </c>
      <c r="AE31" s="57">
        <f>IF(AE$14=1,'Inputs (2)'!AE18,AD31*(1+Inputs!AE$270))</f>
        <v>20805.141</v>
      </c>
      <c r="AF31" s="57">
        <f>IF(AF$14=1,'Inputs (2)'!AF18,AE31*(1+Inputs!AF$270))</f>
        <v>21393.063</v>
      </c>
      <c r="AG31" s="57">
        <f>IF(AG$14=1,'Inputs (2)'!AG18,AF31*(1+Inputs!AG$270))</f>
        <v>23532.657</v>
      </c>
      <c r="AH31" s="77">
        <f>AG31</f>
        <v>23532.657</v>
      </c>
      <c r="AI31" s="57">
        <f>IF(AI$14=1,'Inputs (2)'!AI18,AG31*(1+Inputs!AI$270))</f>
        <v>21716.829</v>
      </c>
      <c r="AJ31" s="57">
        <f>IF(AJ$14=1,'Inputs (2)'!AJ18,AI31*(1+Inputs!AJ$270))</f>
        <v>22277.587</v>
      </c>
      <c r="AK31" s="57">
        <f>IF(AK$14=1,'Inputs (2)'!AK18,AJ31*(1+Inputs!AK$270))</f>
        <v>22277.587</v>
      </c>
      <c r="AL31" s="57">
        <f>IF(AL$14=1,'Inputs (2)'!AL18,AK31*(1+Inputs!AL$270))</f>
        <v>22277.587</v>
      </c>
      <c r="AM31" s="77">
        <f>AL31</f>
        <v>22277.587</v>
      </c>
      <c r="AN31" s="57">
        <f>IF(AN$14=1,'Inputs (2)'!AN18,AL31*(1+Inputs!AN$270))</f>
        <v>22277.587</v>
      </c>
      <c r="AO31" s="57">
        <f>IF(AO$14=1,'Inputs (2)'!AO18,AN31*(1+Inputs!AO$270))</f>
        <v>22277.587</v>
      </c>
      <c r="AP31" s="57">
        <f>IF(AP$14=1,'Inputs (2)'!AP18,AO31*(1+Inputs!AP$270))</f>
        <v>22277.587</v>
      </c>
      <c r="AQ31" s="57">
        <f>IF(AQ$14=1,'Inputs (2)'!AQ18,AP31*(1+Inputs!AQ$270))</f>
        <v>22277.587</v>
      </c>
      <c r="AR31" s="77">
        <f>AQ31</f>
        <v>22277.587</v>
      </c>
      <c r="AS31" s="57">
        <f>IF(AS$14=1,'Inputs (2)'!AS18,AQ31*(1+Inputs!AS$270))</f>
        <v>22277.587</v>
      </c>
      <c r="AT31" s="57">
        <f>IF(AT$14=1,'Inputs (2)'!AT18,AS31*(1+Inputs!AT$270))</f>
        <v>22277.587</v>
      </c>
      <c r="AU31" s="57">
        <f>IF(AU$14=1,'Inputs (2)'!AU18,AT31*(1+Inputs!AU$270))</f>
        <v>22277.587</v>
      </c>
      <c r="AV31" s="57">
        <f>IF(AV$14=1,'Inputs (2)'!AV18,AU31*(1+Inputs!AV$270))</f>
        <v>22277.587</v>
      </c>
      <c r="AW31" s="77">
        <f>AV31</f>
        <v>22277.587</v>
      </c>
      <c r="AX31" s="57">
        <f>IF(AX$14=1,'Inputs (2)'!AX18,AV31*(1+Inputs!AX$270))</f>
        <v>22277.587</v>
      </c>
      <c r="AY31" s="57">
        <f>IF(AY$14=1,'Inputs (2)'!AY18,AX31*(1+Inputs!AY$270))</f>
        <v>22277.587</v>
      </c>
      <c r="AZ31" s="57">
        <f>IF(AZ$14=1,'Inputs (2)'!AZ18,AY31*(1+Inputs!AZ$270))</f>
        <v>22277.587</v>
      </c>
      <c r="BA31" s="57">
        <f>IF(BA$14=1,'Inputs (2)'!BA18,AZ31*(1+Inputs!BA$270))</f>
        <v>22277.587</v>
      </c>
      <c r="BB31" s="77">
        <f>BA31</f>
        <v>22277.587</v>
      </c>
      <c r="BC31" s="57">
        <f>IF(BC$14=1,'Inputs (2)'!BC18,BA31*(1+Inputs!BC$270))</f>
        <v>22277.587</v>
      </c>
      <c r="BD31" s="57">
        <f>IF(BD$14=1,'Inputs (2)'!BD18,BC31*(1+Inputs!BD$270))</f>
        <v>22277.587</v>
      </c>
      <c r="BE31" s="57">
        <f>IF(BE$14=1,'Inputs (2)'!BE18,BD31*(1+Inputs!BE$270))</f>
        <v>22277.587</v>
      </c>
      <c r="BF31" s="57">
        <f>IF(BF$14=1,'Inputs (2)'!BF18,BE31*(1+Inputs!BF$270))</f>
        <v>22277.587</v>
      </c>
      <c r="BG31" s="77">
        <f>BF31</f>
        <v>22277.587</v>
      </c>
    </row>
    <row r="32" hidden="1" outlineLevel="1">
      <c r="C32" s="61" t="inlineStr">
        <is>
          <t>Títulos e Valores Mobiliários</t>
        </is>
      </c>
      <c r="D32" s="62" t="inlineStr">
        <is>
          <t>Securities</t>
        </is>
      </c>
      <c r="E32" s="57">
        <f>'Inputs (2)'!E19</f>
        <v>0</v>
      </c>
      <c r="F32" s="57">
        <f>IF(F$14=1,'Inputs (2)'!F19,E32*(1+Inputs!F$270))</f>
        <v>0</v>
      </c>
      <c r="G32" s="57">
        <f>IF(G$14=1,'Inputs (2)'!G19,F32*(1+Inputs!G$270))</f>
        <v>0</v>
      </c>
      <c r="H32" s="57">
        <f>IF(H$14=1,'Inputs (2)'!H19,G32*(1+Inputs!H$270))</f>
        <v>0</v>
      </c>
      <c r="I32" s="77">
        <f>H32</f>
        <v>0</v>
      </c>
      <c r="J32" s="57">
        <f>IF(J$14=1,'Inputs (2)'!J19,H32*(1+Inputs!J$270))</f>
        <v>0</v>
      </c>
      <c r="K32" s="57">
        <f>IF(K$14=1,'Inputs (2)'!K19,J32*(1+Inputs!K$270))</f>
        <v>0</v>
      </c>
      <c r="L32" s="57">
        <f>IF(L$14=1,'Inputs (2)'!L19,K32*(1+Inputs!L$270))</f>
        <v>0</v>
      </c>
      <c r="M32" s="57">
        <f>IF(M$14=1,'Inputs (2)'!M19,L32*(1+Inputs!M$270))</f>
        <v>0</v>
      </c>
      <c r="N32" s="77">
        <f>M32</f>
        <v>0</v>
      </c>
      <c r="O32" s="57">
        <f>IF(O$14=1,'Inputs (2)'!O19,M32*(1+Inputs!O$270))</f>
        <v>0</v>
      </c>
      <c r="P32" s="57">
        <f>IF(P$14=1,'Inputs (2)'!P19,O32*(1+Inputs!P$270))</f>
        <v>0</v>
      </c>
      <c r="Q32" s="57">
        <f>IF(Q$14=1,'Inputs (2)'!Q19,P32*(1+Inputs!Q$270))</f>
        <v>0</v>
      </c>
      <c r="R32" s="57">
        <f>IF(R$14=1,'Inputs (2)'!R19,Q32*(1+Inputs!R$270))</f>
        <v>0</v>
      </c>
      <c r="S32" s="77">
        <f>R32</f>
        <v>0</v>
      </c>
      <c r="T32" s="57">
        <f>IF(T$14=1,'Inputs (2)'!T19,R32*(1+Inputs!T$270))</f>
        <v>0</v>
      </c>
      <c r="U32" s="57">
        <f>IF(U$14=1,'Inputs (2)'!U19,T32*(1+Inputs!U$270))</f>
        <v>0</v>
      </c>
      <c r="V32" s="57">
        <f>IF(V$14=1,'Inputs (2)'!V19,U32*(1+Inputs!V$270))</f>
        <v>0</v>
      </c>
      <c r="W32" s="57">
        <f>IF(W$14=1,'Inputs (2)'!W19,V32*(1+Inputs!W$270))</f>
        <v>0</v>
      </c>
      <c r="X32" s="77">
        <f>W32</f>
        <v>0</v>
      </c>
      <c r="Y32" s="57">
        <f>IF(Y$14=1,'Inputs (2)'!Y19,W32*(1+Inputs!Y$270))</f>
        <v>0</v>
      </c>
      <c r="Z32" s="57">
        <f>IF(Z$14=1,'Inputs (2)'!Z19,Y32*(1+Inputs!Z$270))</f>
        <v>0</v>
      </c>
      <c r="AA32" s="57">
        <f>IF(AA$14=1,'Inputs (2)'!AA19,Z32*(1+Inputs!AA$270))</f>
        <v>0</v>
      </c>
      <c r="AB32" s="57">
        <f>IF(AB$14=1,'Inputs (2)'!AB19,AA32*(1+Inputs!AB$270))</f>
        <v>0</v>
      </c>
      <c r="AC32" s="77">
        <f>AB32</f>
        <v>0</v>
      </c>
      <c r="AD32" s="57">
        <f>IF(AD$14=1,'Inputs (2)'!AD19,AB32*(1+Inputs!AD$270))</f>
        <v>0</v>
      </c>
      <c r="AE32" s="57">
        <f>IF(AE$14=1,'Inputs (2)'!AE19,AD32*(1+Inputs!AE$270))</f>
        <v>0</v>
      </c>
      <c r="AF32" s="57">
        <f>IF(AF$14=1,'Inputs (2)'!AF19,AE32*(1+Inputs!AF$270))</f>
        <v>0</v>
      </c>
      <c r="AG32" s="57">
        <f>IF(AG$14=1,'Inputs (2)'!AG19,AF32*(1+Inputs!AG$270))</f>
        <v>0</v>
      </c>
      <c r="AH32" s="77">
        <f>AG32</f>
        <v>0</v>
      </c>
      <c r="AI32" s="57">
        <f>IF(AI$14=1,'Inputs (2)'!AI19,AG32*(1+Inputs!AI$270))</f>
        <v>0</v>
      </c>
      <c r="AJ32" s="57">
        <f>IF(AJ$14=1,'Inputs (2)'!AJ19,AI32*(1+Inputs!AJ$270))</f>
        <v>0</v>
      </c>
      <c r="AK32" s="57">
        <f>IF(AK$14=1,'Inputs (2)'!AK19,AJ32*(1+Inputs!AK$270))</f>
        <v>0</v>
      </c>
      <c r="AL32" s="57">
        <f>IF(AL$14=1,'Inputs (2)'!AL19,AK32*(1+Inputs!AL$270))</f>
        <v>0</v>
      </c>
      <c r="AM32" s="77">
        <f>AL32</f>
        <v>0</v>
      </c>
      <c r="AN32" s="57">
        <f>IF(AN$14=1,'Inputs (2)'!AN19,AL32*(1+Inputs!AN$270))</f>
        <v>0</v>
      </c>
      <c r="AO32" s="57">
        <f>IF(AO$14=1,'Inputs (2)'!AO19,AN32*(1+Inputs!AO$270))</f>
        <v>0</v>
      </c>
      <c r="AP32" s="57">
        <f>IF(AP$14=1,'Inputs (2)'!AP19,AO32*(1+Inputs!AP$270))</f>
        <v>0</v>
      </c>
      <c r="AQ32" s="57">
        <f>IF(AQ$14=1,'Inputs (2)'!AQ19,AP32*(1+Inputs!AQ$270))</f>
        <v>0</v>
      </c>
      <c r="AR32" s="77">
        <f>AQ32</f>
        <v>0</v>
      </c>
      <c r="AS32" s="57">
        <f>IF(AS$14=1,'Inputs (2)'!AS19,AQ32*(1+Inputs!AS$270))</f>
        <v>0</v>
      </c>
      <c r="AT32" s="57">
        <f>IF(AT$14=1,'Inputs (2)'!AT19,AS32*(1+Inputs!AT$270))</f>
        <v>0</v>
      </c>
      <c r="AU32" s="57">
        <f>IF(AU$14=1,'Inputs (2)'!AU19,AT32*(1+Inputs!AU$270))</f>
        <v>0</v>
      </c>
      <c r="AV32" s="57">
        <f>IF(AV$14=1,'Inputs (2)'!AV19,AU32*(1+Inputs!AV$270))</f>
        <v>0</v>
      </c>
      <c r="AW32" s="77">
        <f>AV32</f>
        <v>0</v>
      </c>
      <c r="AX32" s="57">
        <f>IF(AX$14=1,'Inputs (2)'!AX19,AV32*(1+Inputs!AX$270))</f>
        <v>0</v>
      </c>
      <c r="AY32" s="57">
        <f>IF(AY$14=1,'Inputs (2)'!AY19,AX32*(1+Inputs!AY$270))</f>
        <v>0</v>
      </c>
      <c r="AZ32" s="57">
        <f>IF(AZ$14=1,'Inputs (2)'!AZ19,AY32*(1+Inputs!AZ$270))</f>
        <v>0</v>
      </c>
      <c r="BA32" s="57">
        <f>IF(BA$14=1,'Inputs (2)'!BA19,AZ32*(1+Inputs!BA$270))</f>
        <v>0</v>
      </c>
      <c r="BB32" s="77">
        <f>BA32</f>
        <v>0</v>
      </c>
      <c r="BC32" s="57">
        <f>IF(BC$14=1,'Inputs (2)'!BC19,BA32*(1+Inputs!BC$270))</f>
        <v>0</v>
      </c>
      <c r="BD32" s="57">
        <f>IF(BD$14=1,'Inputs (2)'!BD19,BC32*(1+Inputs!BD$270))</f>
        <v>0</v>
      </c>
      <c r="BE32" s="57">
        <f>IF(BE$14=1,'Inputs (2)'!BE19,BD32*(1+Inputs!BE$270))</f>
        <v>0</v>
      </c>
      <c r="BF32" s="57">
        <f>IF(BF$14=1,'Inputs (2)'!BF19,BE32*(1+Inputs!BF$270))</f>
        <v>0</v>
      </c>
      <c r="BG32" s="77">
        <f>BF32</f>
        <v>0</v>
      </c>
    </row>
    <row r="33" hidden="1" outlineLevel="1">
      <c r="C33" s="61" t="inlineStr">
        <is>
          <t>(Provisão para Perda de Crédito Esperada)</t>
        </is>
      </c>
      <c r="D33" s="62" t="inlineStr">
        <is>
          <t>(ECL Allowance)</t>
        </is>
      </c>
      <c r="E33" s="57">
        <f>'Inputs (2)'!E20</f>
        <v>0</v>
      </c>
      <c r="F33" s="57">
        <f>IF(F$14=1,'Inputs (2)'!F20,E33+F103+F150)</f>
        <v>0</v>
      </c>
      <c r="G33" s="57">
        <f>IF(G$14=1,'Inputs (2)'!G20,F33+G103+G150)</f>
        <v>0</v>
      </c>
      <c r="H33" s="57">
        <f>IF(H$14=1,'Inputs (2)'!H20,G33+H103+H150)</f>
        <v>0</v>
      </c>
      <c r="I33" s="77">
        <f>H33</f>
        <v>0</v>
      </c>
      <c r="J33" s="57">
        <f>IF(J$14=1,'Inputs (2)'!J20,H33+J103+J150)</f>
        <v>0</v>
      </c>
      <c r="K33" s="57">
        <f>IF(K$14=1,'Inputs (2)'!K20,J33+K103+K150)</f>
        <v>0</v>
      </c>
      <c r="L33" s="57">
        <f>IF(L$14=1,'Inputs (2)'!L20,K33+L103+L150)</f>
        <v>0</v>
      </c>
      <c r="M33" s="57">
        <f>IF(M$14=1,'Inputs (2)'!M20,L33+M103+M150)</f>
        <v>0</v>
      </c>
      <c r="N33" s="77">
        <f>M33</f>
        <v>0</v>
      </c>
      <c r="O33" s="57">
        <f>IF(O$14=1,'Inputs (2)'!O20,M33+O103+O150)</f>
        <v>0</v>
      </c>
      <c r="P33" s="57">
        <f>IF(P$14=1,'Inputs (2)'!P20,O33+P103+P150)</f>
        <v>0</v>
      </c>
      <c r="Q33" s="57">
        <f>IF(Q$14=1,'Inputs (2)'!Q20,P33+Q103+Q150)</f>
        <v>0</v>
      </c>
      <c r="R33" s="57">
        <f>IF(R$14=1,'Inputs (2)'!R20,Q33+R103+R150)</f>
        <v>0</v>
      </c>
      <c r="S33" s="77">
        <f>R33</f>
        <v>0</v>
      </c>
      <c r="T33" s="57">
        <f>IF(T$14=1,'Inputs (2)'!T20,R33+T103+T150)</f>
        <v>0</v>
      </c>
      <c r="U33" s="57">
        <f>IF(U$14=1,'Inputs (2)'!U20,T33+U103+U150)</f>
        <v>0</v>
      </c>
      <c r="V33" s="57">
        <f>IF(V$14=1,'Inputs (2)'!V20,U33+V103+V150)</f>
        <v>0</v>
      </c>
      <c r="W33" s="57">
        <f>IF(W$14=1,'Inputs (2)'!W20,V33+W103+W150)</f>
        <v>0</v>
      </c>
      <c r="X33" s="77">
        <f>W33</f>
        <v>0</v>
      </c>
      <c r="Y33" s="57">
        <f>IF(Y$14=1,'Inputs (2)'!Y20,W33+Y103+Y150)</f>
        <v>0</v>
      </c>
      <c r="Z33" s="57">
        <f>IF(Z$14=1,'Inputs (2)'!Z20,Y33+Z103+Z150)</f>
        <v>0</v>
      </c>
      <c r="AA33" s="57">
        <f>IF(AA$14=1,'Inputs (2)'!AA20,Z33+AA103+AA150)</f>
        <v>0</v>
      </c>
      <c r="AB33" s="57">
        <f>IF(AB$14=1,'Inputs (2)'!AB20,AA33+AB103+AB150)</f>
        <v>0</v>
      </c>
      <c r="AC33" s="77">
        <f>AB33</f>
        <v>0</v>
      </c>
      <c r="AD33" s="57">
        <f>IF(AD$14=1,'Inputs (2)'!AD20,AB33+AD103+AD150)</f>
        <v>-951.062</v>
      </c>
      <c r="AE33" s="57">
        <f>IF(AE$14=1,'Inputs (2)'!AE20,AD33+AE103+AE150)</f>
        <v>-1022.969</v>
      </c>
      <c r="AF33" s="57">
        <f>IF(AF$14=1,'Inputs (2)'!AF20,AE33+AF103+AF150)</f>
        <v>-1082.457</v>
      </c>
      <c r="AG33" s="57">
        <f>IF(AG$14=1,'Inputs (2)'!AG20,AF33+AG103+AG150)</f>
        <v>-1162.974</v>
      </c>
      <c r="AH33" s="77">
        <f>AG33</f>
        <v>-1162.974</v>
      </c>
      <c r="AI33" s="57">
        <f>IF(AI$14=1,'Inputs (2)'!AI20,AG33+AI103+AI150)</f>
        <v>-1189.592</v>
      </c>
      <c r="AJ33" s="57">
        <f>IF(AJ$14=1,'Inputs (2)'!AJ20,AI33+AJ103+AJ150)</f>
        <v>-1214.836</v>
      </c>
      <c r="AK33" s="57">
        <f>IF(AK$14=1,'Inputs (2)'!AK20,AJ33+AK103+AK150)</f>
        <v>-1214.836</v>
      </c>
      <c r="AL33" s="57">
        <f>IF(AL$14=1,'Inputs (2)'!AL20,AK33+AL103+AL150)</f>
        <v>-1214.836</v>
      </c>
      <c r="AM33" s="77">
        <f>AL33</f>
        <v>-1214.836</v>
      </c>
      <c r="AN33" s="57">
        <f>IF(AN$14=1,'Inputs (2)'!AN20,AL33+AN103+AN150)</f>
        <v>-1214.836</v>
      </c>
      <c r="AO33" s="57">
        <f>IF(AO$14=1,'Inputs (2)'!AO20,AN33+AO103+AO150)</f>
        <v>-1214.836</v>
      </c>
      <c r="AP33" s="57">
        <f>IF(AP$14=1,'Inputs (2)'!AP20,AO33+AP103+AP150)</f>
        <v>-1214.836</v>
      </c>
      <c r="AQ33" s="57">
        <f>IF(AQ$14=1,'Inputs (2)'!AQ20,AP33+AQ103+AQ150)</f>
        <v>-1214.836</v>
      </c>
      <c r="AR33" s="77">
        <f>AQ33</f>
        <v>-1214.836</v>
      </c>
      <c r="AS33" s="57">
        <f>IF(AS$14=1,'Inputs (2)'!AS20,AQ33+AS103+AS150)</f>
        <v>-1214.836</v>
      </c>
      <c r="AT33" s="57">
        <f>IF(AT$14=1,'Inputs (2)'!AT20,AS33+AT103+AT150)</f>
        <v>-1214.836</v>
      </c>
      <c r="AU33" s="57">
        <f>IF(AU$14=1,'Inputs (2)'!AU20,AT33+AU103+AU150)</f>
        <v>-1214.836</v>
      </c>
      <c r="AV33" s="57">
        <f>IF(AV$14=1,'Inputs (2)'!AV20,AU33+AV103+AV150)</f>
        <v>-1214.836</v>
      </c>
      <c r="AW33" s="77">
        <f>AV33</f>
        <v>-1214.836</v>
      </c>
      <c r="AX33" s="57">
        <f>IF(AX$14=1,'Inputs (2)'!AX20,AV33+AX103+AX150)</f>
        <v>-1214.836</v>
      </c>
      <c r="AY33" s="57">
        <f>IF(AY$14=1,'Inputs (2)'!AY20,AX33+AY103+AY150)</f>
        <v>-1214.836</v>
      </c>
      <c r="AZ33" s="57">
        <f>IF(AZ$14=1,'Inputs (2)'!AZ20,AY33+AZ103+AZ150)</f>
        <v>-1214.836</v>
      </c>
      <c r="BA33" s="57">
        <f>IF(BA$14=1,'Inputs (2)'!BA20,AZ33+BA103+BA150)</f>
        <v>-1214.836</v>
      </c>
      <c r="BB33" s="77">
        <f>BA33</f>
        <v>-1214.836</v>
      </c>
      <c r="BC33" s="57">
        <f>IF(BC$14=1,'Inputs (2)'!BC20,BA33+BC103+BC150)</f>
        <v>-1214.836</v>
      </c>
      <c r="BD33" s="57">
        <f>IF(BD$14=1,'Inputs (2)'!BD20,BC33+BD103+BD150)</f>
        <v>-1214.836</v>
      </c>
      <c r="BE33" s="57">
        <f>IF(BE$14=1,'Inputs (2)'!BE20,BD33+BE103+BE150)</f>
        <v>-1214.836</v>
      </c>
      <c r="BF33" s="57">
        <f>IF(BF$14=1,'Inputs (2)'!BF20,BE33+BF103+BF150)</f>
        <v>-1214.836</v>
      </c>
      <c r="BG33" s="77">
        <f>BF33</f>
        <v>-1214.836</v>
      </c>
      <c r="BI33" s="14" t="inlineStr">
        <is>
          <t>Projeção por roll-forward: saldo anterior + despesa de PDD do trimestre + write-off.</t>
        </is>
      </c>
    </row>
    <row r="34" collapsed="1">
      <c r="C34" s="80" t="inlineStr">
        <is>
          <t>Relações Interfinanceiras e Interdependências</t>
        </is>
      </c>
      <c r="D34" s="81" t="inlineStr">
        <is>
          <t>Interbank Relations</t>
        </is>
      </c>
      <c r="E34" s="82">
        <f>'Inputs (2)'!E21</f>
        <v>135.209</v>
      </c>
      <c r="F34" s="82">
        <f>IF(F$14=1,'Inputs (2)'!F21,E34*(1+Inputs!F$281))</f>
        <v>189.579</v>
      </c>
      <c r="G34" s="82">
        <f>IF(G$14=1,'Inputs (2)'!G21,F34*(1+Inputs!G$281))</f>
        <v>218.263</v>
      </c>
      <c r="H34" s="82">
        <f>IF(H$14=1,'Inputs (2)'!H21,G34*(1+Inputs!H$281))</f>
        <v>157.78</v>
      </c>
      <c r="I34" s="77">
        <f>H34</f>
        <v>157.78</v>
      </c>
      <c r="J34" s="82">
        <f>IF(J$14=1,'Inputs (2)'!J21,H34*(1+Inputs!J$281))</f>
        <v>218.529</v>
      </c>
      <c r="K34" s="82">
        <f>IF(K$14=1,'Inputs (2)'!K21,J34*(1+Inputs!K$281))</f>
        <v>129.429</v>
      </c>
      <c r="L34" s="82">
        <f>IF(L$14=1,'Inputs (2)'!L21,K34*(1+Inputs!L$281))</f>
        <v>126.226</v>
      </c>
      <c r="M34" s="82">
        <f>IF(M$14=1,'Inputs (2)'!M21,L34*(1+Inputs!M$281))</f>
        <v>90.24</v>
      </c>
      <c r="N34" s="77">
        <f>M34</f>
        <v>90.24</v>
      </c>
      <c r="O34" s="82">
        <f>IF(O$14=1,'Inputs (2)'!O21,M34*(1+Inputs!O$281))</f>
        <v>149.554</v>
      </c>
      <c r="P34" s="82">
        <f>IF(P$14=1,'Inputs (2)'!P21,O34*(1+Inputs!P$281))</f>
        <v>192.353</v>
      </c>
      <c r="Q34" s="82">
        <f>IF(Q$14=1,'Inputs (2)'!Q21,P34*(1+Inputs!Q$281))</f>
        <v>442.389</v>
      </c>
      <c r="R34" s="82">
        <f>IF(R$14=1,'Inputs (2)'!R21,Q34*(1+Inputs!R$281))</f>
        <v>293.766</v>
      </c>
      <c r="S34" s="77">
        <f>R34</f>
        <v>293.766</v>
      </c>
      <c r="T34" s="82">
        <f>IF(T$14=1,'Inputs (2)'!T21,R34*(1+Inputs!T$281))</f>
        <v>356.754</v>
      </c>
      <c r="U34" s="82">
        <f>IF(U$14=1,'Inputs (2)'!U21,T34*(1+Inputs!U$281))</f>
        <v>255.739</v>
      </c>
      <c r="V34" s="82">
        <f>IF(V$14=1,'Inputs (2)'!V21,U34*(1+Inputs!V$281))</f>
        <v>412.221</v>
      </c>
      <c r="W34" s="82">
        <f>IF(W$14=1,'Inputs (2)'!W21,V34*(1+Inputs!W$281))</f>
        <v>608.284</v>
      </c>
      <c r="X34" s="77">
        <f>W34</f>
        <v>608.284</v>
      </c>
      <c r="Y34" s="82">
        <f>IF(Y$14=1,'Inputs (2)'!Y21,W34*(1+Inputs!Y$281))</f>
        <v>583.82</v>
      </c>
      <c r="Z34" s="82">
        <f>IF(Z$14=1,'Inputs (2)'!Z21,Y34*(1+Inputs!Z$281))</f>
        <v>671.003</v>
      </c>
      <c r="AA34" s="82">
        <f>IF(AA$14=1,'Inputs (2)'!AA21,Z34*(1+Inputs!AA$281))</f>
        <v>603.45</v>
      </c>
      <c r="AB34" s="82">
        <f>IF(AB$14=1,'Inputs (2)'!AB21,AA34*(1+Inputs!AB$281))</f>
        <v>751.266</v>
      </c>
      <c r="AC34" s="77">
        <f>AB34</f>
        <v>751.266</v>
      </c>
      <c r="AD34" s="82">
        <f>IF(AD$14=1,'Inputs (2)'!AD21,AB34*(1+Inputs!AD$281))</f>
        <v>0</v>
      </c>
      <c r="AE34" s="82">
        <f>IF(AE$14=1,'Inputs (2)'!AE21,AD34*(1+Inputs!AE$281))</f>
        <v>0</v>
      </c>
      <c r="AF34" s="82">
        <f>IF(AF$14=1,'Inputs (2)'!AF21,AE34*(1+Inputs!AF$281))</f>
        <v>0</v>
      </c>
      <c r="AG34" s="82">
        <f>IF(AG$14=1,'Inputs (2)'!AG21,AF34*(1+Inputs!AG$281))</f>
        <v>0</v>
      </c>
      <c r="AH34" s="77">
        <f>AG34</f>
        <v>0</v>
      </c>
      <c r="AI34" s="82">
        <f>IF(AI$14=1,'Inputs (2)'!AI21,AG34*(1+Inputs!AI$281))</f>
        <v>0</v>
      </c>
      <c r="AJ34" s="82">
        <f>IF(AJ$14=1,'Inputs (2)'!AJ21,AI34*(1+Inputs!AJ$281))</f>
        <v>0</v>
      </c>
      <c r="AK34" s="82">
        <f>IF(AK$14=1,'Inputs (2)'!AK21,AJ34*(1+Inputs!AK$281))</f>
        <v>0</v>
      </c>
      <c r="AL34" s="82">
        <f>IF(AL$14=1,'Inputs (2)'!AL21,AK34*(1+Inputs!AL$281))</f>
        <v>0</v>
      </c>
      <c r="AM34" s="77">
        <f>AL34</f>
        <v>0</v>
      </c>
      <c r="AN34" s="82">
        <f>IF(AN$14=1,'Inputs (2)'!AN21,AL34*(1+Inputs!AN$281))</f>
        <v>0</v>
      </c>
      <c r="AO34" s="82">
        <f>IF(AO$14=1,'Inputs (2)'!AO21,AN34*(1+Inputs!AO$281))</f>
        <v>0</v>
      </c>
      <c r="AP34" s="82">
        <f>IF(AP$14=1,'Inputs (2)'!AP21,AO34*(1+Inputs!AP$281))</f>
        <v>0</v>
      </c>
      <c r="AQ34" s="82">
        <f>IF(AQ$14=1,'Inputs (2)'!AQ21,AP34*(1+Inputs!AQ$281))</f>
        <v>0</v>
      </c>
      <c r="AR34" s="77">
        <f>AQ34</f>
        <v>0</v>
      </c>
      <c r="AS34" s="82">
        <f>IF(AS$14=1,'Inputs (2)'!AS21,AQ34*(1+Inputs!AS$281))</f>
        <v>0</v>
      </c>
      <c r="AT34" s="82">
        <f>IF(AT$14=1,'Inputs (2)'!AT21,AS34*(1+Inputs!AT$281))</f>
        <v>0</v>
      </c>
      <c r="AU34" s="82">
        <f>IF(AU$14=1,'Inputs (2)'!AU21,AT34*(1+Inputs!AU$281))</f>
        <v>0</v>
      </c>
      <c r="AV34" s="82">
        <f>IF(AV$14=1,'Inputs (2)'!AV21,AU34*(1+Inputs!AV$281))</f>
        <v>0</v>
      </c>
      <c r="AW34" s="77">
        <f>AV34</f>
        <v>0</v>
      </c>
      <c r="AX34" s="82">
        <f>IF(AX$14=1,'Inputs (2)'!AX21,AV34*(1+Inputs!AX$281))</f>
        <v>0</v>
      </c>
      <c r="AY34" s="82">
        <f>IF(AY$14=1,'Inputs (2)'!AY21,AX34*(1+Inputs!AY$281))</f>
        <v>0</v>
      </c>
      <c r="AZ34" s="82">
        <f>IF(AZ$14=1,'Inputs (2)'!AZ21,AY34*(1+Inputs!AZ$281))</f>
        <v>0</v>
      </c>
      <c r="BA34" s="82">
        <f>IF(BA$14=1,'Inputs (2)'!BA21,AZ34*(1+Inputs!BA$281))</f>
        <v>0</v>
      </c>
      <c r="BB34" s="77">
        <f>BA34</f>
        <v>0</v>
      </c>
      <c r="BC34" s="82">
        <f>IF(BC$14=1,'Inputs (2)'!BC21,BA34*(1+Inputs!BC$281))</f>
        <v>0</v>
      </c>
      <c r="BD34" s="82">
        <f>IF(BD$14=1,'Inputs (2)'!BD21,BC34*(1+Inputs!BD$281))</f>
        <v>0</v>
      </c>
      <c r="BE34" s="82">
        <f>IF(BE$14=1,'Inputs (2)'!BE21,BD34*(1+Inputs!BE$281))</f>
        <v>0</v>
      </c>
      <c r="BF34" s="82">
        <f>IF(BF$14=1,'Inputs (2)'!BF21,BE34*(1+Inputs!BF$281))</f>
        <v>0</v>
      </c>
      <c r="BG34" s="77">
        <f>BF34</f>
        <v>0</v>
      </c>
    </row>
    <row r="35">
      <c r="C35" s="80" t="inlineStr">
        <is>
          <t>Ativos Fiscais Correntes e Diferidos</t>
        </is>
      </c>
      <c r="D35" s="81" t="inlineStr">
        <is>
          <t>Tax Assets</t>
        </is>
      </c>
      <c r="E35" s="82">
        <f>'Inputs (2)'!E22</f>
        <v>0</v>
      </c>
      <c r="F35" s="82">
        <f>IF(F$14=1,'Inputs (2)'!F22,E35)</f>
        <v>0</v>
      </c>
      <c r="G35" s="82">
        <f>IF(G$14=1,'Inputs (2)'!G22,F35)</f>
        <v>0</v>
      </c>
      <c r="H35" s="82">
        <f>IF(H$14=1,'Inputs (2)'!H22,G35)</f>
        <v>0</v>
      </c>
      <c r="I35" s="77">
        <f>H35</f>
        <v>0</v>
      </c>
      <c r="J35" s="82">
        <f>IF(J$14=1,'Inputs (2)'!J22,H35)</f>
        <v>0</v>
      </c>
      <c r="K35" s="82">
        <f>IF(K$14=1,'Inputs (2)'!K22,J35)</f>
        <v>0</v>
      </c>
      <c r="L35" s="82">
        <f>IF(L$14=1,'Inputs (2)'!L22,K35)</f>
        <v>0</v>
      </c>
      <c r="M35" s="82">
        <f>IF(M$14=1,'Inputs (2)'!M22,L35)</f>
        <v>0</v>
      </c>
      <c r="N35" s="77">
        <f>M35</f>
        <v>0</v>
      </c>
      <c r="O35" s="82">
        <f>IF(O$14=1,'Inputs (2)'!O22,M35)</f>
        <v>0</v>
      </c>
      <c r="P35" s="82">
        <f>IF(P$14=1,'Inputs (2)'!P22,O35)</f>
        <v>0</v>
      </c>
      <c r="Q35" s="82">
        <f>IF(Q$14=1,'Inputs (2)'!Q22,P35)</f>
        <v>0</v>
      </c>
      <c r="R35" s="82">
        <f>IF(R$14=1,'Inputs (2)'!R22,Q35)</f>
        <v>0</v>
      </c>
      <c r="S35" s="77">
        <f>R35</f>
        <v>0</v>
      </c>
      <c r="T35" s="82">
        <f>IF(T$14=1,'Inputs (2)'!T22,R35)</f>
        <v>0</v>
      </c>
      <c r="U35" s="82">
        <f>IF(U$14=1,'Inputs (2)'!U22,T35)</f>
        <v>0</v>
      </c>
      <c r="V35" s="82">
        <f>IF(V$14=1,'Inputs (2)'!V22,U35)</f>
        <v>0</v>
      </c>
      <c r="W35" s="82">
        <f>IF(W$14=1,'Inputs (2)'!W22,V35)</f>
        <v>0</v>
      </c>
      <c r="X35" s="77">
        <f>W35</f>
        <v>0</v>
      </c>
      <c r="Y35" s="82">
        <f>IF(Y$14=1,'Inputs (2)'!Y22,W35)</f>
        <v>0</v>
      </c>
      <c r="Z35" s="82">
        <f>IF(Z$14=1,'Inputs (2)'!Z22,Y35)</f>
        <v>0</v>
      </c>
      <c r="AA35" s="82">
        <f>IF(AA$14=1,'Inputs (2)'!AA22,Z35)</f>
        <v>0</v>
      </c>
      <c r="AB35" s="82">
        <f>IF(AB$14=1,'Inputs (2)'!AB22,AA35)</f>
        <v>0</v>
      </c>
      <c r="AC35" s="77">
        <f>AB35</f>
        <v>0</v>
      </c>
      <c r="AD35" s="82">
        <f>IF(AD$14=1,'Inputs (2)'!AD22,AB35)</f>
        <v>2157.21</v>
      </c>
      <c r="AE35" s="82">
        <f>IF(AE$14=1,'Inputs (2)'!AE22,AD35)</f>
        <v>2466.317</v>
      </c>
      <c r="AF35" s="82">
        <f>IF(AF$14=1,'Inputs (2)'!AF22,AE35)</f>
        <v>2682.071</v>
      </c>
      <c r="AG35" s="82">
        <f>IF(AG$14=1,'Inputs (2)'!AG22,AF35)</f>
        <v>2378.748</v>
      </c>
      <c r="AH35" s="77">
        <f>AG35</f>
        <v>2378.748</v>
      </c>
      <c r="AI35" s="82">
        <f>IF(AI$14=1,'Inputs (2)'!AI22,AG35)</f>
        <v>2930.561</v>
      </c>
      <c r="AJ35" s="82">
        <f>IF(AJ$14=1,'Inputs (2)'!AJ22,AI35)</f>
        <v>3080.443</v>
      </c>
      <c r="AK35" s="82">
        <f>IF(AK$14=1,'Inputs (2)'!AK22,AJ35)</f>
        <v>3080.443</v>
      </c>
      <c r="AL35" s="82">
        <f>IF(AL$14=1,'Inputs (2)'!AL22,AK35)</f>
        <v>3080.443</v>
      </c>
      <c r="AM35" s="77">
        <f>AL35</f>
        <v>3080.443</v>
      </c>
      <c r="AN35" s="82">
        <f>IF(AN$14=1,'Inputs (2)'!AN22,AL35)</f>
        <v>3080.443</v>
      </c>
      <c r="AO35" s="82">
        <f>IF(AO$14=1,'Inputs (2)'!AO22,AN35)</f>
        <v>3080.443</v>
      </c>
      <c r="AP35" s="82">
        <f>IF(AP$14=1,'Inputs (2)'!AP22,AO35)</f>
        <v>3080.443</v>
      </c>
      <c r="AQ35" s="82">
        <f>IF(AQ$14=1,'Inputs (2)'!AQ22,AP35)</f>
        <v>3080.443</v>
      </c>
      <c r="AR35" s="77">
        <f>AQ35</f>
        <v>3080.443</v>
      </c>
      <c r="AS35" s="82">
        <f>IF(AS$14=1,'Inputs (2)'!AS22,AQ35)</f>
        <v>3080.443</v>
      </c>
      <c r="AT35" s="82">
        <f>IF(AT$14=1,'Inputs (2)'!AT22,AS35)</f>
        <v>3080.443</v>
      </c>
      <c r="AU35" s="82">
        <f>IF(AU$14=1,'Inputs (2)'!AU22,AT35)</f>
        <v>3080.443</v>
      </c>
      <c r="AV35" s="82">
        <f>IF(AV$14=1,'Inputs (2)'!AV22,AU35)</f>
        <v>3080.443</v>
      </c>
      <c r="AW35" s="77">
        <f>AV35</f>
        <v>3080.443</v>
      </c>
      <c r="AX35" s="82">
        <f>IF(AX$14=1,'Inputs (2)'!AX22,AV35)</f>
        <v>3080.443</v>
      </c>
      <c r="AY35" s="82">
        <f>IF(AY$14=1,'Inputs (2)'!AY22,AX35)</f>
        <v>3080.443</v>
      </c>
      <c r="AZ35" s="82">
        <f>IF(AZ$14=1,'Inputs (2)'!AZ22,AY35)</f>
        <v>3080.443</v>
      </c>
      <c r="BA35" s="82">
        <f>IF(BA$14=1,'Inputs (2)'!BA22,AZ35)</f>
        <v>3080.443</v>
      </c>
      <c r="BB35" s="77">
        <f>BA35</f>
        <v>3080.443</v>
      </c>
      <c r="BC35" s="82">
        <f>IF(BC$14=1,'Inputs (2)'!BC22,BA35)</f>
        <v>3080.443</v>
      </c>
      <c r="BD35" s="82">
        <f>IF(BD$14=1,'Inputs (2)'!BD22,BC35)</f>
        <v>3080.443</v>
      </c>
      <c r="BE35" s="82">
        <f>IF(BE$14=1,'Inputs (2)'!BE22,BD35)</f>
        <v>3080.443</v>
      </c>
      <c r="BF35" s="82">
        <f>IF(BF$14=1,'Inputs (2)'!BF22,BE35)</f>
        <v>3080.443</v>
      </c>
      <c r="BG35" s="77">
        <f>BF35</f>
        <v>3080.443</v>
      </c>
    </row>
    <row r="36">
      <c r="C36" s="80" t="inlineStr">
        <is>
          <t>Outros Ativos</t>
        </is>
      </c>
      <c r="D36" s="81" t="inlineStr">
        <is>
          <t>Other Assets</t>
        </is>
      </c>
      <c r="E36" s="82">
        <f>'Inputs (2)'!E23</f>
        <v>11570.14235</v>
      </c>
      <c r="F36" s="82">
        <f>IF(F$14=1,'Inputs (2)'!F23,E36*(1+Inputs!F$281))</f>
        <v>10964.392</v>
      </c>
      <c r="G36" s="82">
        <f>IF(G$14=1,'Inputs (2)'!G23,F36*(1+Inputs!G$281))</f>
        <v>7221.324</v>
      </c>
      <c r="H36" s="82">
        <f>IF(H$14=1,'Inputs (2)'!H23,G36*(1+Inputs!H$281))</f>
        <v>5095.934</v>
      </c>
      <c r="I36" s="77">
        <f>H36</f>
        <v>5095.934</v>
      </c>
      <c r="J36" s="82">
        <f>IF(J$14=1,'Inputs (2)'!J23,H36*(1+Inputs!J$281))</f>
        <v>7467.725</v>
      </c>
      <c r="K36" s="82">
        <f>IF(K$14=1,'Inputs (2)'!K23,J36*(1+Inputs!K$281))</f>
        <v>5885.965</v>
      </c>
      <c r="L36" s="82">
        <f>IF(L$14=1,'Inputs (2)'!L23,K36*(1+Inputs!L$281))</f>
        <v>8151.906</v>
      </c>
      <c r="M36" s="82">
        <f>IF(M$14=1,'Inputs (2)'!M23,L36*(1+Inputs!M$281))</f>
        <v>8715.826</v>
      </c>
      <c r="N36" s="77">
        <f>M36</f>
        <v>8715.826</v>
      </c>
      <c r="O36" s="82">
        <f>IF(O$14=1,'Inputs (2)'!O23,M36*(1+Inputs!O$281))</f>
        <v>4613.262</v>
      </c>
      <c r="P36" s="82">
        <f>IF(P$14=1,'Inputs (2)'!P23,O36*(1+Inputs!P$281))</f>
        <v>6131.949</v>
      </c>
      <c r="Q36" s="82">
        <f>IF(Q$14=1,'Inputs (2)'!Q23,P36*(1+Inputs!Q$281))</f>
        <v>5854.346</v>
      </c>
      <c r="R36" s="82">
        <f>IF(R$14=1,'Inputs (2)'!R23,Q36*(1+Inputs!R$281))</f>
        <v>9819.948</v>
      </c>
      <c r="S36" s="77">
        <f>R36</f>
        <v>9819.948</v>
      </c>
      <c r="T36" s="82">
        <f>IF(T$14=1,'Inputs (2)'!T23,R36*(1+Inputs!T$281))</f>
        <v>7551.954</v>
      </c>
      <c r="U36" s="82">
        <f>IF(U$14=1,'Inputs (2)'!U23,T36*(1+Inputs!U$281))</f>
        <v>5661.427</v>
      </c>
      <c r="V36" s="82">
        <f>IF(V$14=1,'Inputs (2)'!V23,U36*(1+Inputs!V$281))</f>
        <v>7262.961</v>
      </c>
      <c r="W36" s="82">
        <f>IF(W$14=1,'Inputs (2)'!W23,V36*(1+Inputs!W$281))</f>
        <v>9037.988</v>
      </c>
      <c r="X36" s="77">
        <f>W36</f>
        <v>9037.988</v>
      </c>
      <c r="Y36" s="82">
        <f>IF(Y$14=1,'Inputs (2)'!Y23,W36*(1+Inputs!Y$281))</f>
        <v>9758.688</v>
      </c>
      <c r="Z36" s="82">
        <f>IF(Z$14=1,'Inputs (2)'!Z23,Y36*(1+Inputs!Z$281))</f>
        <v>13040.187</v>
      </c>
      <c r="AA36" s="82">
        <f>IF(AA$14=1,'Inputs (2)'!AA23,Z36*(1+Inputs!AA$281))</f>
        <v>12953.933</v>
      </c>
      <c r="AB36" s="82">
        <f>IF(AB$14=1,'Inputs (2)'!AB23,AA36*(1+Inputs!AB$281))</f>
        <v>12023.008</v>
      </c>
      <c r="AC36" s="77">
        <f>AB36</f>
        <v>12023.008</v>
      </c>
      <c r="AD36" s="82">
        <f>IF(AD$14=1,'Inputs (2)'!AD23,AB36*(1+Inputs!AD$281))</f>
        <v>3354.177</v>
      </c>
      <c r="AE36" s="82">
        <f>IF(AE$14=1,'Inputs (2)'!AE23,AD36*(1+Inputs!AE$281))</f>
        <v>3773.757</v>
      </c>
      <c r="AF36" s="82">
        <f>IF(AF$14=1,'Inputs (2)'!AF23,AE36*(1+Inputs!AF$281))</f>
        <v>2970.286</v>
      </c>
      <c r="AG36" s="82">
        <f>IF(AG$14=1,'Inputs (2)'!AG23,AF36*(1+Inputs!AG$281))</f>
        <v>2991.036</v>
      </c>
      <c r="AH36" s="77">
        <f>AG36</f>
        <v>2991.036</v>
      </c>
      <c r="AI36" s="82">
        <f>IF(AI$14=1,'Inputs (2)'!AI23,AG36*(1+Inputs!AI$281))</f>
        <v>3629.828</v>
      </c>
      <c r="AJ36" s="82">
        <f>IF(AJ$14=1,'Inputs (2)'!AJ23,AI36*(1+Inputs!AJ$281))</f>
        <v>3637.699</v>
      </c>
      <c r="AK36" s="82">
        <f>IF(AK$14=1,'Inputs (2)'!AK23,AJ36*(1+Inputs!AK$281))</f>
        <v>3637.699</v>
      </c>
      <c r="AL36" s="82">
        <f>IF(AL$14=1,'Inputs (2)'!AL23,AK36*(1+Inputs!AL$281))</f>
        <v>3637.699</v>
      </c>
      <c r="AM36" s="77">
        <f>AL36</f>
        <v>3637.699</v>
      </c>
      <c r="AN36" s="82">
        <f>IF(AN$14=1,'Inputs (2)'!AN23,AL36*(1+Inputs!AN$281))</f>
        <v>3637.699</v>
      </c>
      <c r="AO36" s="82">
        <f>IF(AO$14=1,'Inputs (2)'!AO23,AN36*(1+Inputs!AO$281))</f>
        <v>3637.699</v>
      </c>
      <c r="AP36" s="82">
        <f>IF(AP$14=1,'Inputs (2)'!AP23,AO36*(1+Inputs!AP$281))</f>
        <v>3637.699</v>
      </c>
      <c r="AQ36" s="82">
        <f>IF(AQ$14=1,'Inputs (2)'!AQ23,AP36*(1+Inputs!AQ$281))</f>
        <v>3637.699</v>
      </c>
      <c r="AR36" s="77">
        <f>AQ36</f>
        <v>3637.699</v>
      </c>
      <c r="AS36" s="82">
        <f>IF(AS$14=1,'Inputs (2)'!AS23,AQ36*(1+Inputs!AS$281))</f>
        <v>3637.699</v>
      </c>
      <c r="AT36" s="82">
        <f>IF(AT$14=1,'Inputs (2)'!AT23,AS36*(1+Inputs!AT$281))</f>
        <v>3637.699</v>
      </c>
      <c r="AU36" s="82">
        <f>IF(AU$14=1,'Inputs (2)'!AU23,AT36*(1+Inputs!AU$281))</f>
        <v>3637.699</v>
      </c>
      <c r="AV36" s="82">
        <f>IF(AV$14=1,'Inputs (2)'!AV23,AU36*(1+Inputs!AV$281))</f>
        <v>3637.699</v>
      </c>
      <c r="AW36" s="77">
        <f>AV36</f>
        <v>3637.699</v>
      </c>
      <c r="AX36" s="82">
        <f>IF(AX$14=1,'Inputs (2)'!AX23,AV36*(1+Inputs!AX$281))</f>
        <v>3637.699</v>
      </c>
      <c r="AY36" s="82">
        <f>IF(AY$14=1,'Inputs (2)'!AY23,AX36*(1+Inputs!AY$281))</f>
        <v>3637.699</v>
      </c>
      <c r="AZ36" s="82">
        <f>IF(AZ$14=1,'Inputs (2)'!AZ23,AY36*(1+Inputs!AZ$281))</f>
        <v>3637.699</v>
      </c>
      <c r="BA36" s="82">
        <f>IF(BA$14=1,'Inputs (2)'!BA23,AZ36*(1+Inputs!BA$281))</f>
        <v>3637.699</v>
      </c>
      <c r="BB36" s="77">
        <f>BA36</f>
        <v>3637.699</v>
      </c>
      <c r="BC36" s="82">
        <f>IF(BC$14=1,'Inputs (2)'!BC23,BA36*(1+Inputs!BC$281))</f>
        <v>3637.699</v>
      </c>
      <c r="BD36" s="82">
        <f>IF(BD$14=1,'Inputs (2)'!BD23,BC36*(1+Inputs!BD$281))</f>
        <v>3637.699</v>
      </c>
      <c r="BE36" s="82">
        <f>IF(BE$14=1,'Inputs (2)'!BE23,BD36*(1+Inputs!BE$281))</f>
        <v>3637.699</v>
      </c>
      <c r="BF36" s="82">
        <f>IF(BF$14=1,'Inputs (2)'!BF23,BE36*(1+Inputs!BF$281))</f>
        <v>3637.699</v>
      </c>
      <c r="BG36" s="77">
        <f>BF36</f>
        <v>3637.699</v>
      </c>
    </row>
    <row r="37">
      <c r="C37" s="83" t="inlineStr">
        <is>
          <t>Investimentos</t>
        </is>
      </c>
      <c r="D37" s="84" t="inlineStr">
        <is>
          <t>Investments</t>
        </is>
      </c>
      <c r="E37" s="85">
        <f>E38+E39</f>
        <v>1.553</v>
      </c>
      <c r="F37" s="85">
        <f>F38+F39</f>
        <v>2.099</v>
      </c>
      <c r="G37" s="85">
        <f>G38+G39</f>
        <v>2.33</v>
      </c>
      <c r="H37" s="85">
        <f>H38+H39</f>
        <v>2.541</v>
      </c>
      <c r="I37" s="60">
        <f>H37</f>
        <v>2.541</v>
      </c>
      <c r="J37" s="85">
        <f>J38+J39</f>
        <v>2.696</v>
      </c>
      <c r="K37" s="85">
        <f>K38+K39</f>
        <v>3.03</v>
      </c>
      <c r="L37" s="85">
        <f>L38+L39</f>
        <v>3.376</v>
      </c>
      <c r="M37" s="85">
        <f>M38+M39</f>
        <v>4.753</v>
      </c>
      <c r="N37" s="60">
        <f>M37</f>
        <v>4.753</v>
      </c>
      <c r="O37" s="85">
        <f>O38+O39</f>
        <v>5.909</v>
      </c>
      <c r="P37" s="85">
        <f>P38+P39</f>
        <v>7.408</v>
      </c>
      <c r="Q37" s="85">
        <f>Q38+Q39</f>
        <v>8.812</v>
      </c>
      <c r="R37" s="85">
        <f>R38+R39</f>
        <v>10.417</v>
      </c>
      <c r="S37" s="60">
        <f>R37</f>
        <v>10.417</v>
      </c>
      <c r="T37" s="85">
        <f>T38+T39</f>
        <v>12.365</v>
      </c>
      <c r="U37" s="85">
        <f>U38+U39</f>
        <v>12.48</v>
      </c>
      <c r="V37" s="85">
        <f>V38+V39</f>
        <v>5.325</v>
      </c>
      <c r="W37" s="85">
        <f>W38+W39</f>
        <v>5.344</v>
      </c>
      <c r="X37" s="60">
        <f>W37</f>
        <v>5.344</v>
      </c>
      <c r="Y37" s="85">
        <f>Y38+Y39</f>
        <v>6.425</v>
      </c>
      <c r="Z37" s="85">
        <f>Z38+Z39</f>
        <v>6.461</v>
      </c>
      <c r="AA37" s="85">
        <f>AA38+AA39</f>
        <v>6.461</v>
      </c>
      <c r="AB37" s="85">
        <f>AB38+AB39</f>
        <v>6.461</v>
      </c>
      <c r="AC37" s="60">
        <f>AB37</f>
        <v>6.461</v>
      </c>
      <c r="AD37" s="85">
        <f>AD38+AD39</f>
        <v>0</v>
      </c>
      <c r="AE37" s="85">
        <f>AE38+AE39</f>
        <v>0</v>
      </c>
      <c r="AF37" s="85">
        <f>AF38+AF39</f>
        <v>0</v>
      </c>
      <c r="AG37" s="85">
        <f>AG38+AG39</f>
        <v>0</v>
      </c>
      <c r="AH37" s="60">
        <f>AG37</f>
        <v>0</v>
      </c>
      <c r="AI37" s="85">
        <f>AI38+AI39</f>
        <v>0</v>
      </c>
      <c r="AJ37" s="85">
        <f>AJ38+AJ39</f>
        <v>0</v>
      </c>
      <c r="AK37" s="85">
        <f>AK38+AK39</f>
        <v>0</v>
      </c>
      <c r="AL37" s="85">
        <f>AL38+AL39</f>
        <v>0</v>
      </c>
      <c r="AM37" s="60">
        <f>AL37</f>
        <v>0</v>
      </c>
      <c r="AN37" s="85">
        <f>AN38+AN39</f>
        <v>0</v>
      </c>
      <c r="AO37" s="85">
        <f>AO38+AO39</f>
        <v>0</v>
      </c>
      <c r="AP37" s="85">
        <f>AP38+AP39</f>
        <v>0</v>
      </c>
      <c r="AQ37" s="85">
        <f>AQ38+AQ39</f>
        <v>0</v>
      </c>
      <c r="AR37" s="60">
        <f>AQ37</f>
        <v>0</v>
      </c>
      <c r="AS37" s="85">
        <f>AS38+AS39</f>
        <v>0</v>
      </c>
      <c r="AT37" s="85">
        <f>AT38+AT39</f>
        <v>0</v>
      </c>
      <c r="AU37" s="85">
        <f>AU38+AU39</f>
        <v>0</v>
      </c>
      <c r="AV37" s="85">
        <f>AV38+AV39</f>
        <v>0</v>
      </c>
      <c r="AW37" s="60">
        <f>AV37</f>
        <v>0</v>
      </c>
      <c r="AX37" s="85">
        <f>AX38+AX39</f>
        <v>0</v>
      </c>
      <c r="AY37" s="85">
        <f>AY38+AY39</f>
        <v>0</v>
      </c>
      <c r="AZ37" s="85">
        <f>AZ38+AZ39</f>
        <v>0</v>
      </c>
      <c r="BA37" s="85">
        <f>BA38+BA39</f>
        <v>0</v>
      </c>
      <c r="BB37" s="60">
        <f>BA37</f>
        <v>0</v>
      </c>
      <c r="BC37" s="85">
        <f>BC38+BC39</f>
        <v>0</v>
      </c>
      <c r="BD37" s="85">
        <f>BD38+BD39</f>
        <v>0</v>
      </c>
      <c r="BE37" s="85">
        <f>BE38+BE39</f>
        <v>0</v>
      </c>
      <c r="BF37" s="85">
        <f>BF38+BF39</f>
        <v>0</v>
      </c>
      <c r="BG37" s="60">
        <f>BF37</f>
        <v>0</v>
      </c>
    </row>
    <row r="38" hidden="1" outlineLevel="1">
      <c r="C38" s="61" t="inlineStr">
        <is>
          <t>Coligadas e Entidades Controladas em Conjunto</t>
        </is>
      </c>
      <c r="D38" s="62" t="inlineStr">
        <is>
          <t>Associates and JV</t>
        </is>
      </c>
      <c r="E38" s="57">
        <f>'Inputs (2)'!E25</f>
        <v>0</v>
      </c>
      <c r="F38" s="57">
        <f>IF(F$14=1,'Inputs (2)'!F25,E38)</f>
        <v>0</v>
      </c>
      <c r="G38" s="57">
        <f>IF(G$14=1,'Inputs (2)'!G25,F38)</f>
        <v>0</v>
      </c>
      <c r="H38" s="57">
        <f>IF(H$14=1,'Inputs (2)'!H25,G38)</f>
        <v>0</v>
      </c>
      <c r="I38" s="77">
        <f>H38</f>
        <v>0</v>
      </c>
      <c r="J38" s="57">
        <f>IF(J$14=1,'Inputs (2)'!J25,H38)</f>
        <v>0</v>
      </c>
      <c r="K38" s="57">
        <f>IF(K$14=1,'Inputs (2)'!K25,J38)</f>
        <v>0</v>
      </c>
      <c r="L38" s="57">
        <f>IF(L$14=1,'Inputs (2)'!L25,K38)</f>
        <v>0</v>
      </c>
      <c r="M38" s="57">
        <f>IF(M$14=1,'Inputs (2)'!M25,L38)</f>
        <v>0</v>
      </c>
      <c r="N38" s="77">
        <f>M38</f>
        <v>0</v>
      </c>
      <c r="O38" s="57">
        <f>IF(O$14=1,'Inputs (2)'!O25,M38)</f>
        <v>0</v>
      </c>
      <c r="P38" s="57">
        <f>IF(P$14=1,'Inputs (2)'!P25,O38)</f>
        <v>0</v>
      </c>
      <c r="Q38" s="57">
        <f>IF(Q$14=1,'Inputs (2)'!Q25,P38)</f>
        <v>0</v>
      </c>
      <c r="R38" s="57">
        <f>IF(R$14=1,'Inputs (2)'!R25,Q38)</f>
        <v>0</v>
      </c>
      <c r="S38" s="77">
        <f>R38</f>
        <v>0</v>
      </c>
      <c r="T38" s="57">
        <f>IF(T$14=1,'Inputs (2)'!T25,R38)</f>
        <v>0</v>
      </c>
      <c r="U38" s="57">
        <f>IF(U$14=1,'Inputs (2)'!U25,T38)</f>
        <v>0</v>
      </c>
      <c r="V38" s="57">
        <f>IF(V$14=1,'Inputs (2)'!V25,U38)</f>
        <v>0</v>
      </c>
      <c r="W38" s="57">
        <f>IF(W$14=1,'Inputs (2)'!W25,V38)</f>
        <v>0</v>
      </c>
      <c r="X38" s="77">
        <f>W38</f>
        <v>0</v>
      </c>
      <c r="Y38" s="57">
        <f>IF(Y$14=1,'Inputs (2)'!Y25,W38)</f>
        <v>0</v>
      </c>
      <c r="Z38" s="57">
        <f>IF(Z$14=1,'Inputs (2)'!Z25,Y38)</f>
        <v>0</v>
      </c>
      <c r="AA38" s="57">
        <f>IF(AA$14=1,'Inputs (2)'!AA25,Z38)</f>
        <v>0</v>
      </c>
      <c r="AB38" s="57">
        <f>IF(AB$14=1,'Inputs (2)'!AB25,AA38)</f>
        <v>0</v>
      </c>
      <c r="AC38" s="77">
        <f>AB38</f>
        <v>0</v>
      </c>
      <c r="AD38" s="57">
        <f>IF(AD$14=1,'Inputs (2)'!AD25,AB38)</f>
        <v>0</v>
      </c>
      <c r="AE38" s="57">
        <f>IF(AE$14=1,'Inputs (2)'!AE25,AD38)</f>
        <v>0</v>
      </c>
      <c r="AF38" s="57">
        <f>IF(AF$14=1,'Inputs (2)'!AF25,AE38)</f>
        <v>0</v>
      </c>
      <c r="AG38" s="57">
        <f>IF(AG$14=1,'Inputs (2)'!AG25,AF38)</f>
        <v>0</v>
      </c>
      <c r="AH38" s="77">
        <f>AG38</f>
        <v>0</v>
      </c>
      <c r="AI38" s="57">
        <f>IF(AI$14=1,'Inputs (2)'!AI25,AG38)</f>
        <v>0</v>
      </c>
      <c r="AJ38" s="57">
        <f>IF(AJ$14=1,'Inputs (2)'!AJ25,AI38)</f>
        <v>0</v>
      </c>
      <c r="AK38" s="57">
        <f>IF(AK$14=1,'Inputs (2)'!AK25,AJ38)</f>
        <v>0</v>
      </c>
      <c r="AL38" s="57">
        <f>IF(AL$14=1,'Inputs (2)'!AL25,AK38)</f>
        <v>0</v>
      </c>
      <c r="AM38" s="77">
        <f>AL38</f>
        <v>0</v>
      </c>
      <c r="AN38" s="57">
        <f>IF(AN$14=1,'Inputs (2)'!AN25,AL38)</f>
        <v>0</v>
      </c>
      <c r="AO38" s="57">
        <f>IF(AO$14=1,'Inputs (2)'!AO25,AN38)</f>
        <v>0</v>
      </c>
      <c r="AP38" s="57">
        <f>IF(AP$14=1,'Inputs (2)'!AP25,AO38)</f>
        <v>0</v>
      </c>
      <c r="AQ38" s="57">
        <f>IF(AQ$14=1,'Inputs (2)'!AQ25,AP38)</f>
        <v>0</v>
      </c>
      <c r="AR38" s="77">
        <f>AQ38</f>
        <v>0</v>
      </c>
      <c r="AS38" s="57">
        <f>IF(AS$14=1,'Inputs (2)'!AS25,AQ38)</f>
        <v>0</v>
      </c>
      <c r="AT38" s="57">
        <f>IF(AT$14=1,'Inputs (2)'!AT25,AS38)</f>
        <v>0</v>
      </c>
      <c r="AU38" s="57">
        <f>IF(AU$14=1,'Inputs (2)'!AU25,AT38)</f>
        <v>0</v>
      </c>
      <c r="AV38" s="57">
        <f>IF(AV$14=1,'Inputs (2)'!AV25,AU38)</f>
        <v>0</v>
      </c>
      <c r="AW38" s="77">
        <f>AV38</f>
        <v>0</v>
      </c>
      <c r="AX38" s="57">
        <f>IF(AX$14=1,'Inputs (2)'!AX25,AV38)</f>
        <v>0</v>
      </c>
      <c r="AY38" s="57">
        <f>IF(AY$14=1,'Inputs (2)'!AY25,AX38)</f>
        <v>0</v>
      </c>
      <c r="AZ38" s="57">
        <f>IF(AZ$14=1,'Inputs (2)'!AZ25,AY38)</f>
        <v>0</v>
      </c>
      <c r="BA38" s="57">
        <f>IF(BA$14=1,'Inputs (2)'!BA25,AZ38)</f>
        <v>0</v>
      </c>
      <c r="BB38" s="77">
        <f>BA38</f>
        <v>0</v>
      </c>
      <c r="BC38" s="57">
        <f>IF(BC$14=1,'Inputs (2)'!BC25,BA38)</f>
        <v>0</v>
      </c>
      <c r="BD38" s="57">
        <f>IF(BD$14=1,'Inputs (2)'!BD25,BC38)</f>
        <v>0</v>
      </c>
      <c r="BE38" s="57">
        <f>IF(BE$14=1,'Inputs (2)'!BE25,BD38)</f>
        <v>0</v>
      </c>
      <c r="BF38" s="57">
        <f>IF(BF$14=1,'Inputs (2)'!BF25,BE38)</f>
        <v>0</v>
      </c>
      <c r="BG38" s="77">
        <f>BF38</f>
        <v>0</v>
      </c>
    </row>
    <row r="39" hidden="1" outlineLevel="1">
      <c r="C39" s="61" t="inlineStr">
        <is>
          <t>Outros Investimentos</t>
        </is>
      </c>
      <c r="D39" s="62" t="inlineStr">
        <is>
          <t>Other Investments</t>
        </is>
      </c>
      <c r="E39" s="57">
        <f>'Inputs (2)'!E26</f>
        <v>1.553</v>
      </c>
      <c r="F39" s="57">
        <f>IF(F$14=1,'Inputs (2)'!F26,E39)</f>
        <v>2.099</v>
      </c>
      <c r="G39" s="57">
        <f>IF(G$14=1,'Inputs (2)'!G26,F39)</f>
        <v>2.33</v>
      </c>
      <c r="H39" s="57">
        <f>IF(H$14=1,'Inputs (2)'!H26,G39)</f>
        <v>2.541</v>
      </c>
      <c r="I39" s="77">
        <f>H39</f>
        <v>2.541</v>
      </c>
      <c r="J39" s="57">
        <f>IF(J$14=1,'Inputs (2)'!J26,H39)</f>
        <v>2.696</v>
      </c>
      <c r="K39" s="57">
        <f>IF(K$14=1,'Inputs (2)'!K26,J39)</f>
        <v>3.03</v>
      </c>
      <c r="L39" s="57">
        <f>IF(L$14=1,'Inputs (2)'!L26,K39)</f>
        <v>3.376</v>
      </c>
      <c r="M39" s="57">
        <f>IF(M$14=1,'Inputs (2)'!M26,L39)</f>
        <v>4.753</v>
      </c>
      <c r="N39" s="77">
        <f>M39</f>
        <v>4.753</v>
      </c>
      <c r="O39" s="57">
        <f>IF(O$14=1,'Inputs (2)'!O26,M39)</f>
        <v>5.909</v>
      </c>
      <c r="P39" s="57">
        <f>IF(P$14=1,'Inputs (2)'!P26,O39)</f>
        <v>7.408</v>
      </c>
      <c r="Q39" s="57">
        <f>IF(Q$14=1,'Inputs (2)'!Q26,P39)</f>
        <v>8.812</v>
      </c>
      <c r="R39" s="57">
        <f>IF(R$14=1,'Inputs (2)'!R26,Q39)</f>
        <v>10.417</v>
      </c>
      <c r="S39" s="77">
        <f>R39</f>
        <v>10.417</v>
      </c>
      <c r="T39" s="57">
        <f>IF(T$14=1,'Inputs (2)'!T26,R39)</f>
        <v>12.365</v>
      </c>
      <c r="U39" s="57">
        <f>IF(U$14=1,'Inputs (2)'!U26,T39)</f>
        <v>12.48</v>
      </c>
      <c r="V39" s="57">
        <f>IF(V$14=1,'Inputs (2)'!V26,U39)</f>
        <v>5.325</v>
      </c>
      <c r="W39" s="57">
        <f>IF(W$14=1,'Inputs (2)'!W26,V39)</f>
        <v>5.344</v>
      </c>
      <c r="X39" s="77">
        <f>W39</f>
        <v>5.344</v>
      </c>
      <c r="Y39" s="57">
        <f>IF(Y$14=1,'Inputs (2)'!Y26,W39)</f>
        <v>6.425</v>
      </c>
      <c r="Z39" s="57">
        <f>IF(Z$14=1,'Inputs (2)'!Z26,Y39)</f>
        <v>6.461</v>
      </c>
      <c r="AA39" s="57">
        <f>IF(AA$14=1,'Inputs (2)'!AA26,Z39)</f>
        <v>6.461</v>
      </c>
      <c r="AB39" s="57">
        <f>IF(AB$14=1,'Inputs (2)'!AB26,AA39)</f>
        <v>6.461</v>
      </c>
      <c r="AC39" s="77">
        <f>AB39</f>
        <v>6.461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>AG39</f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>AL39</f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>AQ39</f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>AV39</f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>BA39</f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>BF39</f>
        <v>0</v>
      </c>
    </row>
    <row r="40" collapsed="1">
      <c r="C40" s="80" t="inlineStr">
        <is>
          <t>Imobilizado</t>
        </is>
      </c>
      <c r="D40" s="81" t="inlineStr">
        <is>
          <t>Property and Equipment</t>
        </is>
      </c>
      <c r="E40" s="82">
        <f>'Inputs (2)'!E27</f>
        <v>25.3</v>
      </c>
      <c r="F40" s="82">
        <f>IF(F$14=1,'Inputs (2)'!F27,E40)</f>
        <v>24.6</v>
      </c>
      <c r="G40" s="82">
        <f>IF(G$14=1,'Inputs (2)'!G27,F40)</f>
        <v>24.453</v>
      </c>
      <c r="H40" s="82">
        <f>IF(H$14=1,'Inputs (2)'!H27,G40)</f>
        <v>23.612</v>
      </c>
      <c r="I40" s="77">
        <f>H40</f>
        <v>23.612</v>
      </c>
      <c r="J40" s="82">
        <f>IF(J$14=1,'Inputs (2)'!J27,H40)</f>
        <v>24.745</v>
      </c>
      <c r="K40" s="82">
        <f>IF(K$14=1,'Inputs (2)'!K27,J40)</f>
        <v>24.457</v>
      </c>
      <c r="L40" s="82">
        <f>IF(L$14=1,'Inputs (2)'!L27,K40)</f>
        <v>23.011</v>
      </c>
      <c r="M40" s="82">
        <f>IF(M$14=1,'Inputs (2)'!M27,L40)</f>
        <v>22.694</v>
      </c>
      <c r="N40" s="77">
        <f>M40</f>
        <v>22.694</v>
      </c>
      <c r="O40" s="82">
        <f>IF(O$14=1,'Inputs (2)'!O27,M40)</f>
        <v>23.423</v>
      </c>
      <c r="P40" s="82">
        <f>IF(P$14=1,'Inputs (2)'!P27,O40)</f>
        <v>22.743</v>
      </c>
      <c r="Q40" s="82">
        <f>IF(Q$14=1,'Inputs (2)'!Q27,P40)</f>
        <v>22.848</v>
      </c>
      <c r="R40" s="82">
        <f>IF(R$14=1,'Inputs (2)'!R27,Q40)</f>
        <v>22.639</v>
      </c>
      <c r="S40" s="77">
        <f>R40</f>
        <v>22.639</v>
      </c>
      <c r="T40" s="82">
        <f>IF(T$14=1,'Inputs (2)'!T27,R40)</f>
        <v>23.97</v>
      </c>
      <c r="U40" s="82">
        <f>IF(U$14=1,'Inputs (2)'!U27,T40)</f>
        <v>28.956</v>
      </c>
      <c r="V40" s="82">
        <f>IF(V$14=1,'Inputs (2)'!V27,U40)</f>
        <v>31.553</v>
      </c>
      <c r="W40" s="82">
        <f>IF(W$14=1,'Inputs (2)'!W27,V40)</f>
        <v>31.821</v>
      </c>
      <c r="X40" s="77">
        <f>W40</f>
        <v>31.821</v>
      </c>
      <c r="Y40" s="82">
        <f>IF(Y$14=1,'Inputs (2)'!Y27,W40)</f>
        <v>38.347</v>
      </c>
      <c r="Z40" s="82">
        <f>IF(Z$14=1,'Inputs (2)'!Z27,Y40)</f>
        <v>42.058</v>
      </c>
      <c r="AA40" s="82">
        <f>IF(AA$14=1,'Inputs (2)'!AA27,Z40)</f>
        <v>41.203</v>
      </c>
      <c r="AB40" s="82">
        <f>IF(AB$14=1,'Inputs (2)'!AB27,AA40)</f>
        <v>42.272</v>
      </c>
      <c r="AC40" s="77">
        <f>AB40</f>
        <v>42.272</v>
      </c>
      <c r="AD40" s="82">
        <f>IF(AD$14=1,'Inputs (2)'!AD27,AB40)</f>
        <v>275.895</v>
      </c>
      <c r="AE40" s="82">
        <f>IF(AE$14=1,'Inputs (2)'!AE27,AD40)</f>
        <v>273.728</v>
      </c>
      <c r="AF40" s="82">
        <f>IF(AF$14=1,'Inputs (2)'!AF27,AE40)</f>
        <v>276.542</v>
      </c>
      <c r="AG40" s="82">
        <f>IF(AG$14=1,'Inputs (2)'!AG27,AF40)</f>
        <v>303.569</v>
      </c>
      <c r="AH40" s="77">
        <f>AG40</f>
        <v>303.569</v>
      </c>
      <c r="AI40" s="82">
        <f>IF(AI$14=1,'Inputs (2)'!AI27,AG40)</f>
        <v>295.702</v>
      </c>
      <c r="AJ40" s="82">
        <f>IF(AJ$14=1,'Inputs (2)'!AJ27,AI40)</f>
        <v>301.043</v>
      </c>
      <c r="AK40" s="82">
        <f>IF(AK$14=1,'Inputs (2)'!AK27,AJ40)</f>
        <v>301.043</v>
      </c>
      <c r="AL40" s="82">
        <f>IF(AL$14=1,'Inputs (2)'!AL27,AK40)</f>
        <v>301.043</v>
      </c>
      <c r="AM40" s="77">
        <f>AL40</f>
        <v>301.043</v>
      </c>
      <c r="AN40" s="82">
        <f>IF(AN$14=1,'Inputs (2)'!AN27,AL40)</f>
        <v>301.043</v>
      </c>
      <c r="AO40" s="82">
        <f>IF(AO$14=1,'Inputs (2)'!AO27,AN40)</f>
        <v>301.043</v>
      </c>
      <c r="AP40" s="82">
        <f>IF(AP$14=1,'Inputs (2)'!AP27,AO40)</f>
        <v>301.043</v>
      </c>
      <c r="AQ40" s="82">
        <f>IF(AQ$14=1,'Inputs (2)'!AQ27,AP40)</f>
        <v>301.043</v>
      </c>
      <c r="AR40" s="77">
        <f>AQ40</f>
        <v>301.043</v>
      </c>
      <c r="AS40" s="82">
        <f>IF(AS$14=1,'Inputs (2)'!AS27,AQ40)</f>
        <v>301.043</v>
      </c>
      <c r="AT40" s="82">
        <f>IF(AT$14=1,'Inputs (2)'!AT27,AS40)</f>
        <v>301.043</v>
      </c>
      <c r="AU40" s="82">
        <f>IF(AU$14=1,'Inputs (2)'!AU27,AT40)</f>
        <v>301.043</v>
      </c>
      <c r="AV40" s="82">
        <f>IF(AV$14=1,'Inputs (2)'!AV27,AU40)</f>
        <v>301.043</v>
      </c>
      <c r="AW40" s="77">
        <f>AV40</f>
        <v>301.043</v>
      </c>
      <c r="AX40" s="82">
        <f>IF(AX$14=1,'Inputs (2)'!AX27,AV40)</f>
        <v>301.043</v>
      </c>
      <c r="AY40" s="82">
        <f>IF(AY$14=1,'Inputs (2)'!AY27,AX40)</f>
        <v>301.043</v>
      </c>
      <c r="AZ40" s="82">
        <f>IF(AZ$14=1,'Inputs (2)'!AZ27,AY40)</f>
        <v>301.043</v>
      </c>
      <c r="BA40" s="82">
        <f>IF(BA$14=1,'Inputs (2)'!BA27,AZ40)</f>
        <v>301.043</v>
      </c>
      <c r="BB40" s="77">
        <f>BA40</f>
        <v>301.043</v>
      </c>
      <c r="BC40" s="82">
        <f>IF(BC$14=1,'Inputs (2)'!BC27,BA40)</f>
        <v>301.043</v>
      </c>
      <c r="BD40" s="82">
        <f>IF(BD$14=1,'Inputs (2)'!BD27,BC40)</f>
        <v>301.043</v>
      </c>
      <c r="BE40" s="82">
        <f>IF(BE$14=1,'Inputs (2)'!BE27,BD40)</f>
        <v>301.043</v>
      </c>
      <c r="BF40" s="82">
        <f>IF(BF$14=1,'Inputs (2)'!BF27,BE40)</f>
        <v>301.043</v>
      </c>
      <c r="BG40" s="77">
        <f>BF40</f>
        <v>301.043</v>
      </c>
    </row>
    <row r="41">
      <c r="C41" s="80" t="inlineStr">
        <is>
          <t>Ágio e Intangível</t>
        </is>
      </c>
      <c r="D41" s="81" t="inlineStr">
        <is>
          <t>Goodwill and Intangibles</t>
        </is>
      </c>
      <c r="E41" s="82">
        <f>'Inputs (2)'!E28</f>
        <v>46.63</v>
      </c>
      <c r="F41" s="82">
        <f>IF(F$14=1,'Inputs (2)'!F28,E41)</f>
        <v>56.383</v>
      </c>
      <c r="G41" s="82">
        <f>IF(G$14=1,'Inputs (2)'!G28,F41)</f>
        <v>65.573</v>
      </c>
      <c r="H41" s="82">
        <f>IF(H$14=1,'Inputs (2)'!H28,G41)</f>
        <v>70.336</v>
      </c>
      <c r="I41" s="77">
        <f>H41</f>
        <v>70.336</v>
      </c>
      <c r="J41" s="82">
        <f>IF(J$14=1,'Inputs (2)'!J28,H41)</f>
        <v>76.289</v>
      </c>
      <c r="K41" s="82">
        <f>IF(K$14=1,'Inputs (2)'!K28,J41)</f>
        <v>80.064</v>
      </c>
      <c r="L41" s="82">
        <f>IF(L$14=1,'Inputs (2)'!L28,K41)</f>
        <v>85.261</v>
      </c>
      <c r="M41" s="82">
        <f>IF(M$14=1,'Inputs (2)'!M28,L41)</f>
        <v>93.885</v>
      </c>
      <c r="N41" s="77">
        <f>M41</f>
        <v>93.885</v>
      </c>
      <c r="O41" s="82">
        <f>IF(O$14=1,'Inputs (2)'!O28,M41)</f>
        <v>104.58</v>
      </c>
      <c r="P41" s="82">
        <f>IF(P$14=1,'Inputs (2)'!P28,O41)</f>
        <v>116.304</v>
      </c>
      <c r="Q41" s="82">
        <f>IF(Q$14=1,'Inputs (2)'!Q28,P41)</f>
        <v>131.147</v>
      </c>
      <c r="R41" s="82">
        <f>IF(R$14=1,'Inputs (2)'!R28,Q41)</f>
        <v>146.861</v>
      </c>
      <c r="S41" s="77">
        <f>R41</f>
        <v>146.861</v>
      </c>
      <c r="T41" s="82">
        <f>IF(T$14=1,'Inputs (2)'!T28,R41)</f>
        <v>166.456</v>
      </c>
      <c r="U41" s="82">
        <f>IF(U$14=1,'Inputs (2)'!U28,T41)</f>
        <v>181.063</v>
      </c>
      <c r="V41" s="82">
        <f>IF(V$14=1,'Inputs (2)'!V28,U41)</f>
        <v>193.869</v>
      </c>
      <c r="W41" s="82">
        <f>IF(W$14=1,'Inputs (2)'!W28,V41)</f>
        <v>211.142</v>
      </c>
      <c r="X41" s="77">
        <f>W41</f>
        <v>211.142</v>
      </c>
      <c r="Y41" s="82">
        <f>IF(Y$14=1,'Inputs (2)'!Y28,W41)</f>
        <v>211.875</v>
      </c>
      <c r="Z41" s="82">
        <f>IF(Z$14=1,'Inputs (2)'!Z28,Y41)</f>
        <v>215.962</v>
      </c>
      <c r="AA41" s="82">
        <f>IF(AA$14=1,'Inputs (2)'!AA28,Z41)</f>
        <v>218.737</v>
      </c>
      <c r="AB41" s="82">
        <f>IF(AB$14=1,'Inputs (2)'!AB28,AA41)</f>
        <v>234.394</v>
      </c>
      <c r="AC41" s="77">
        <f>AB41</f>
        <v>234.394</v>
      </c>
      <c r="AD41" s="82">
        <f>IF(AD$14=1,'Inputs (2)'!AD28,AB41)</f>
        <v>0</v>
      </c>
      <c r="AE41" s="82">
        <f>IF(AE$14=1,'Inputs (2)'!AE28,AD41)</f>
        <v>0</v>
      </c>
      <c r="AF41" s="82">
        <f>IF(AF$14=1,'Inputs (2)'!AF28,AE41)</f>
        <v>0</v>
      </c>
      <c r="AG41" s="82">
        <f>IF(AG$14=1,'Inputs (2)'!AG28,AF41)</f>
        <v>0</v>
      </c>
      <c r="AH41" s="77">
        <f>AG41</f>
        <v>0</v>
      </c>
      <c r="AI41" s="82">
        <f>IF(AI$14=1,'Inputs (2)'!AI28,AG41)</f>
        <v>0</v>
      </c>
      <c r="AJ41" s="82">
        <f>IF(AJ$14=1,'Inputs (2)'!AJ28,AI41)</f>
        <v>0</v>
      </c>
      <c r="AK41" s="82">
        <f>IF(AK$14=1,'Inputs (2)'!AK28,AJ41)</f>
        <v>0</v>
      </c>
      <c r="AL41" s="82">
        <f>IF(AL$14=1,'Inputs (2)'!AL28,AK41)</f>
        <v>0</v>
      </c>
      <c r="AM41" s="77">
        <f>AL41</f>
        <v>0</v>
      </c>
      <c r="AN41" s="82">
        <f>IF(AN$14=1,'Inputs (2)'!AN28,AL41)</f>
        <v>0</v>
      </c>
      <c r="AO41" s="82">
        <f>IF(AO$14=1,'Inputs (2)'!AO28,AN41)</f>
        <v>0</v>
      </c>
      <c r="AP41" s="82">
        <f>IF(AP$14=1,'Inputs (2)'!AP28,AO41)</f>
        <v>0</v>
      </c>
      <c r="AQ41" s="82">
        <f>IF(AQ$14=1,'Inputs (2)'!AQ28,AP41)</f>
        <v>0</v>
      </c>
      <c r="AR41" s="77">
        <f>AQ41</f>
        <v>0</v>
      </c>
      <c r="AS41" s="82">
        <f>IF(AS$14=1,'Inputs (2)'!AS28,AQ41)</f>
        <v>0</v>
      </c>
      <c r="AT41" s="82">
        <f>IF(AT$14=1,'Inputs (2)'!AT28,AS41)</f>
        <v>0</v>
      </c>
      <c r="AU41" s="82">
        <f>IF(AU$14=1,'Inputs (2)'!AU28,AT41)</f>
        <v>0</v>
      </c>
      <c r="AV41" s="82">
        <f>IF(AV$14=1,'Inputs (2)'!AV28,AU41)</f>
        <v>0</v>
      </c>
      <c r="AW41" s="77">
        <f>AV41</f>
        <v>0</v>
      </c>
      <c r="AX41" s="82">
        <f>IF(AX$14=1,'Inputs (2)'!AX28,AV41)</f>
        <v>0</v>
      </c>
      <c r="AY41" s="82">
        <f>IF(AY$14=1,'Inputs (2)'!AY28,AX41)</f>
        <v>0</v>
      </c>
      <c r="AZ41" s="82">
        <f>IF(AZ$14=1,'Inputs (2)'!AZ28,AY41)</f>
        <v>0</v>
      </c>
      <c r="BA41" s="82">
        <f>IF(BA$14=1,'Inputs (2)'!BA28,AZ41)</f>
        <v>0</v>
      </c>
      <c r="BB41" s="77">
        <f>BA41</f>
        <v>0</v>
      </c>
      <c r="BC41" s="82">
        <f>IF(BC$14=1,'Inputs (2)'!BC28,BA41)</f>
        <v>0</v>
      </c>
      <c r="BD41" s="82">
        <f>IF(BD$14=1,'Inputs (2)'!BD28,BC41)</f>
        <v>0</v>
      </c>
      <c r="BE41" s="82">
        <f>IF(BE$14=1,'Inputs (2)'!BE28,BD41)</f>
        <v>0</v>
      </c>
      <c r="BF41" s="82">
        <f>IF(BF$14=1,'Inputs (2)'!BF28,BE41)</f>
        <v>0</v>
      </c>
      <c r="BG41" s="77">
        <f>BF41</f>
        <v>0</v>
      </c>
    </row>
    <row r="42">
      <c r="C42" s="53" t="inlineStr">
        <is>
          <t>TOTAL DO ATIVO</t>
        </is>
      </c>
      <c r="D42" s="54" t="inlineStr">
        <is>
          <t>TOTAL ASSETS</t>
        </is>
      </c>
      <c r="E42" s="59">
        <f>E18+E19+E24+E29+E30+E34+E35+E36+E37+E40+E41</f>
        <v>49645.71387</v>
      </c>
      <c r="F42" s="59">
        <f>F18+F19+F24+F29+F30+F34+F35+F36+F37+F40+F41</f>
        <v>49868.571</v>
      </c>
      <c r="G42" s="59">
        <f>G18+G19+G24+G29+G30+G34+G35+G36+G37+G40+G41</f>
        <v>46154.238</v>
      </c>
      <c r="H42" s="59">
        <f>H18+H19+H24+H29+H30+H34+H35+H36+H37+H40+H41</f>
        <v>43328.841</v>
      </c>
      <c r="I42" s="60">
        <f>H42</f>
        <v>43328.841</v>
      </c>
      <c r="J42" s="59">
        <f>J18+J19+J24+J29+J30+J34+J35+J36+J37+J40+J41</f>
        <v>48700.959</v>
      </c>
      <c r="K42" s="59">
        <f>K18+K19+K24+K29+K30+K34+K35+K36+K37+K40+K41</f>
        <v>44456.064</v>
      </c>
      <c r="L42" s="59">
        <f>L18+L19+L24+L29+L30+L34+L35+L36+L37+L40+L41</f>
        <v>50115.185</v>
      </c>
      <c r="M42" s="59">
        <f>M18+M19+M24+M29+M30+M34+M35+M36+M37+M40+M41</f>
        <v>49565.97</v>
      </c>
      <c r="N42" s="60">
        <f>M42</f>
        <v>49565.97</v>
      </c>
      <c r="O42" s="59">
        <f>O18+O19+O24+O29+O30+O34+O35+O36+O37+O40+O41</f>
        <v>46285.496</v>
      </c>
      <c r="P42" s="59">
        <f>P18+P19+P24+P29+P30+P34+P35+P36+P37+P40+P41</f>
        <v>50954.581</v>
      </c>
      <c r="Q42" s="59">
        <f>Q18+Q19+Q24+Q29+Q30+Q34+Q35+Q36+Q37+Q40+Q41</f>
        <v>52616.157</v>
      </c>
      <c r="R42" s="59">
        <f>R18+R19+R24+R29+R30+R34+R35+R36+R37+R40+R41</f>
        <v>57408.844</v>
      </c>
      <c r="S42" s="60">
        <f>R42</f>
        <v>57408.844</v>
      </c>
      <c r="T42" s="59">
        <f>T18+T19+T24+T29+T30+T34+T35+T36+T37+T40+T41</f>
        <v>54154.887</v>
      </c>
      <c r="U42" s="59">
        <f>U18+U19+U24+U29+U30+U34+U35+U36+U37+U40+U41</f>
        <v>54930.563</v>
      </c>
      <c r="V42" s="59">
        <f>V18+V19+V24+V29+V30+V34+V35+V36+V37+V40+V41</f>
        <v>56726.762</v>
      </c>
      <c r="W42" s="59">
        <f>W18+W19+W24+W29+W30+W34+W35+W36+W37+W40+W41</f>
        <v>60632.612</v>
      </c>
      <c r="X42" s="60">
        <f>W42</f>
        <v>60632.612</v>
      </c>
      <c r="Y42" s="59">
        <f>Y18+Y19+Y24+Y29+Y30+Y34+Y35+Y36+Y37+Y40+Y41</f>
        <v>61265.674</v>
      </c>
      <c r="Z42" s="59">
        <f>Z18+Z19+Z24+Z29+Z30+Z34+Z35+Z36+Z37+Z40+Z41</f>
        <v>69077.989</v>
      </c>
      <c r="AA42" s="59">
        <f>AA18+AA19+AA24+AA29+AA30+AA34+AA35+AA36+AA37+AA40+AA41</f>
        <v>72065.13</v>
      </c>
      <c r="AB42" s="59">
        <f>AB18+AB19+AB24+AB29+AB30+AB34+AB35+AB36+AB37+AB40+AB41</f>
        <v>73585.977</v>
      </c>
      <c r="AC42" s="60">
        <f>AB42</f>
        <v>73585.977</v>
      </c>
      <c r="AD42" s="59">
        <f>AD18+AD19+AD24+AD29+AD30+AD34+AD35+AD36+AD37+AD40+AD41</f>
        <v>64225.601</v>
      </c>
      <c r="AE42" s="59">
        <f>AE18+AE19+AE24+AE29+AE30+AE34+AE35+AE36+AE37+AE40+AE41</f>
        <v>64438.272</v>
      </c>
      <c r="AF42" s="59">
        <f>AF18+AF19+AF24+AF29+AF30+AF34+AF35+AF36+AF37+AF40+AF41</f>
        <v>63238.744</v>
      </c>
      <c r="AG42" s="59">
        <f>AG18+AG19+AG24+AG29+AG30+AG34+AG35+AG36+AG37+AG40+AG41</f>
        <v>66316.409</v>
      </c>
      <c r="AH42" s="60">
        <f>AG42</f>
        <v>66316.409</v>
      </c>
      <c r="AI42" s="59">
        <f>AI18+AI19+AI24+AI29+AI30+AI34+AI35+AI36+AI37+AI40+AI41</f>
        <v>69283.222</v>
      </c>
      <c r="AJ42" s="59">
        <f>AJ18+AJ19+AJ24+AJ29+AJ30+AJ34+AJ35+AJ36+AJ37+AJ40+AJ41</f>
        <v>69584.916</v>
      </c>
      <c r="AK42" s="59">
        <f>AK18+AK19+AK24+AK29+AK30+AK34+AK35+AK36+AK37+AK40+AK41</f>
        <v>69584.916</v>
      </c>
      <c r="AL42" s="59">
        <f>AL18+AL19+AL24+AL29+AL30+AL34+AL35+AL36+AL37+AL40+AL41</f>
        <v>69584.916</v>
      </c>
      <c r="AM42" s="60">
        <f>AL42</f>
        <v>69584.916</v>
      </c>
      <c r="AN42" s="59">
        <f>AN18+AN19+AN24+AN29+AN30+AN34+AN35+AN36+AN37+AN40+AN41</f>
        <v>69584.916</v>
      </c>
      <c r="AO42" s="59">
        <f>AO18+AO19+AO24+AO29+AO30+AO34+AO35+AO36+AO37+AO40+AO41</f>
        <v>69584.916</v>
      </c>
      <c r="AP42" s="59">
        <f>AP18+AP19+AP24+AP29+AP30+AP34+AP35+AP36+AP37+AP40+AP41</f>
        <v>69584.916</v>
      </c>
      <c r="AQ42" s="59">
        <f>AQ18+AQ19+AQ24+AQ29+AQ30+AQ34+AQ35+AQ36+AQ37+AQ40+AQ41</f>
        <v>69584.916</v>
      </c>
      <c r="AR42" s="60">
        <f>AQ42</f>
        <v>69584.916</v>
      </c>
      <c r="AS42" s="59">
        <f>AS18+AS19+AS24+AS29+AS30+AS34+AS35+AS36+AS37+AS40+AS41</f>
        <v>69584.916</v>
      </c>
      <c r="AT42" s="59">
        <f>AT18+AT19+AT24+AT29+AT30+AT34+AT35+AT36+AT37+AT40+AT41</f>
        <v>69584.916</v>
      </c>
      <c r="AU42" s="59">
        <f>AU18+AU19+AU24+AU29+AU30+AU34+AU35+AU36+AU37+AU40+AU41</f>
        <v>69584.916</v>
      </c>
      <c r="AV42" s="59">
        <f>AV18+AV19+AV24+AV29+AV30+AV34+AV35+AV36+AV37+AV40+AV41</f>
        <v>69584.916</v>
      </c>
      <c r="AW42" s="60">
        <f>AV42</f>
        <v>69584.916</v>
      </c>
      <c r="AX42" s="59">
        <f>AX18+AX19+AX24+AX29+AX30+AX34+AX35+AX36+AX37+AX40+AX41</f>
        <v>69584.916</v>
      </c>
      <c r="AY42" s="59">
        <f>AY18+AY19+AY24+AY29+AY30+AY34+AY35+AY36+AY37+AY40+AY41</f>
        <v>69584.916</v>
      </c>
      <c r="AZ42" s="59">
        <f>AZ18+AZ19+AZ24+AZ29+AZ30+AZ34+AZ35+AZ36+AZ37+AZ40+AZ41</f>
        <v>69584.916</v>
      </c>
      <c r="BA42" s="59">
        <f>BA18+BA19+BA24+BA29+BA30+BA34+BA35+BA36+BA37+BA40+BA41</f>
        <v>69584.916</v>
      </c>
      <c r="BB42" s="60">
        <f>BA42</f>
        <v>69584.916</v>
      </c>
      <c r="BC42" s="59">
        <f>BC18+BC19+BC24+BC29+BC30+BC34+BC35+BC36+BC37+BC40+BC41</f>
        <v>69584.916</v>
      </c>
      <c r="BD42" s="59">
        <f>BD18+BD19+BD24+BD29+BD30+BD34+BD35+BD36+BD37+BD40+BD41</f>
        <v>69584.916</v>
      </c>
      <c r="BE42" s="59">
        <f>BE18+BE19+BE24+BE29+BE30+BE34+BE35+BE36+BE37+BE40+BE41</f>
        <v>69584.916</v>
      </c>
      <c r="BF42" s="59">
        <f>BF18+BF19+BF24+BF29+BF30+BF34+BF35+BF36+BF37+BF40+BF41</f>
        <v>69584.916</v>
      </c>
      <c r="BG42" s="60">
        <f>BF42</f>
        <v>69584.916</v>
      </c>
    </row>
    <row r="43">
      <c r="B43" s="29" t="n"/>
      <c r="C43" s="29" t="inlineStr">
        <is>
          <t>Passivo</t>
        </is>
      </c>
      <c r="D43" s="29" t="inlineStr">
        <is>
          <t>Liabilities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  <c r="BA43" s="29" t="n"/>
      <c r="BB43" s="29" t="n"/>
      <c r="BC43" s="29" t="n"/>
      <c r="BD43" s="29" t="n"/>
      <c r="BE43" s="29" t="n"/>
      <c r="BF43" s="29" t="n"/>
      <c r="BG43" s="29" t="n"/>
      <c r="BH43" s="29" t="n"/>
      <c r="BI43" s="29" t="n"/>
    </row>
    <row r="44">
      <c r="C44" s="83" t="inlineStr">
        <is>
          <t>Depósitos</t>
        </is>
      </c>
      <c r="D44" s="84" t="inlineStr">
        <is>
          <t>Deposits</t>
        </is>
      </c>
      <c r="E44" s="85">
        <f>E45+E46+E47+E48+E49</f>
        <v>5973.045</v>
      </c>
      <c r="F44" s="85">
        <f>F45+F46+F47+F48+F49</f>
        <v>7325.682</v>
      </c>
      <c r="G44" s="85">
        <f>G45+G46+G47+G48+G49</f>
        <v>9799.911</v>
      </c>
      <c r="H44" s="85">
        <f>H45+H46+H47+H48+H49</f>
        <v>10155.328</v>
      </c>
      <c r="I44" s="60">
        <f>H44</f>
        <v>10155.328</v>
      </c>
      <c r="J44" s="85">
        <f>J45+J46+J47+J48+J49</f>
        <v>10088.439</v>
      </c>
      <c r="K44" s="85">
        <f>K45+K46+K47+K48+K49</f>
        <v>8587.066</v>
      </c>
      <c r="L44" s="85">
        <f>L45+L46+L47+L48+L49</f>
        <v>8877.224</v>
      </c>
      <c r="M44" s="85">
        <f>M45+M46+M47+M48+M49</f>
        <v>7955.799</v>
      </c>
      <c r="N44" s="60">
        <f>M44</f>
        <v>7955.799</v>
      </c>
      <c r="O44" s="85">
        <f>O45+O46+O47+O48+O49</f>
        <v>8568.042</v>
      </c>
      <c r="P44" s="85">
        <f>P45+P46+P47+P48+P49</f>
        <v>8761.658</v>
      </c>
      <c r="Q44" s="85">
        <f>Q45+Q46+Q47+Q48+Q49</f>
        <v>10007.044</v>
      </c>
      <c r="R44" s="85">
        <f>R45+R46+R47+R48+R49</f>
        <v>10354.303</v>
      </c>
      <c r="S44" s="60">
        <f>R44</f>
        <v>10354.303</v>
      </c>
      <c r="T44" s="85">
        <f>T45+T46+T47+T48+T49</f>
        <v>9315.794</v>
      </c>
      <c r="U44" s="85">
        <f>U45+U46+U47+U48+U49</f>
        <v>8062.118</v>
      </c>
      <c r="V44" s="85">
        <f>V45+V46+V47+V48+V49</f>
        <v>8442.469</v>
      </c>
      <c r="W44" s="85">
        <f>W45+W46+W47+W48+W49</f>
        <v>10472.468</v>
      </c>
      <c r="X44" s="60">
        <f>W44</f>
        <v>10472.468</v>
      </c>
      <c r="Y44" s="85">
        <f>Y45+Y46+Y47+Y48+Y49</f>
        <v>10333.463</v>
      </c>
      <c r="Z44" s="85">
        <f>Z45+Z46+Z47+Z48+Z49</f>
        <v>11563.807</v>
      </c>
      <c r="AA44" s="85">
        <f>AA45+AA46+AA47+AA48+AA49</f>
        <v>11319.11</v>
      </c>
      <c r="AB44" s="85">
        <f>AB45+AB46+AB47+AB48+AB49</f>
        <v>11333.95</v>
      </c>
      <c r="AC44" s="60">
        <f>AB44</f>
        <v>11333.95</v>
      </c>
      <c r="AD44" s="85">
        <f>AD45+AD46+AD47+AD48+AD49</f>
        <v>9541.37</v>
      </c>
      <c r="AE44" s="85">
        <f>AE45+AE46+AE47+AE48+AE49</f>
        <v>8769.019</v>
      </c>
      <c r="AF44" s="85">
        <f>AF45+AF46+AF47+AF48+AF49</f>
        <v>8177.124</v>
      </c>
      <c r="AG44" s="85">
        <f>AG45+AG46+AG47+AG48+AG49</f>
        <v>9352.378</v>
      </c>
      <c r="AH44" s="60">
        <f>AG44</f>
        <v>9352.378</v>
      </c>
      <c r="AI44" s="85">
        <f>AI45+AI46+AI47+AI48+AI49</f>
        <v>8277.709</v>
      </c>
      <c r="AJ44" s="85">
        <f>AJ45+AJ46+AJ47+AJ48+AJ49</f>
        <v>7997.141</v>
      </c>
      <c r="AK44" s="85">
        <f>AK45+AK46+AK47+AK48+AK49</f>
        <v>7997.141</v>
      </c>
      <c r="AL44" s="85">
        <f>AL45+AL46+AL47+AL48+AL49</f>
        <v>7997.141</v>
      </c>
      <c r="AM44" s="60">
        <f>AL44</f>
        <v>7997.141</v>
      </c>
      <c r="AN44" s="85">
        <f>AN45+AN46+AN47+AN48+AN49</f>
        <v>7997.141</v>
      </c>
      <c r="AO44" s="85">
        <f>AO45+AO46+AO47+AO48+AO49</f>
        <v>7997.141</v>
      </c>
      <c r="AP44" s="85">
        <f>AP45+AP46+AP47+AP48+AP49</f>
        <v>7997.141</v>
      </c>
      <c r="AQ44" s="85">
        <f>AQ45+AQ46+AQ47+AQ48+AQ49</f>
        <v>7997.141</v>
      </c>
      <c r="AR44" s="60">
        <f>AQ44</f>
        <v>7997.141</v>
      </c>
      <c r="AS44" s="85">
        <f>AS45+AS46+AS47+AS48+AS49</f>
        <v>7997.141</v>
      </c>
      <c r="AT44" s="85">
        <f>AT45+AT46+AT47+AT48+AT49</f>
        <v>7997.141</v>
      </c>
      <c r="AU44" s="85">
        <f>AU45+AU46+AU47+AU48+AU49</f>
        <v>7997.141</v>
      </c>
      <c r="AV44" s="85">
        <f>AV45+AV46+AV47+AV48+AV49</f>
        <v>7997.141</v>
      </c>
      <c r="AW44" s="60">
        <f>AV44</f>
        <v>7997.141</v>
      </c>
      <c r="AX44" s="85">
        <f>AX45+AX46+AX47+AX48+AX49</f>
        <v>7997.141</v>
      </c>
      <c r="AY44" s="85">
        <f>AY45+AY46+AY47+AY48+AY49</f>
        <v>7997.141</v>
      </c>
      <c r="AZ44" s="85">
        <f>AZ45+AZ46+AZ47+AZ48+AZ49</f>
        <v>7997.141</v>
      </c>
      <c r="BA44" s="85">
        <f>BA45+BA46+BA47+BA48+BA49</f>
        <v>7997.141</v>
      </c>
      <c r="BB44" s="60">
        <f>BA44</f>
        <v>7997.141</v>
      </c>
      <c r="BC44" s="85">
        <f>BC45+BC46+BC47+BC48+BC49</f>
        <v>7997.141</v>
      </c>
      <c r="BD44" s="85">
        <f>BD45+BD46+BD47+BD48+BD49</f>
        <v>7997.141</v>
      </c>
      <c r="BE44" s="85">
        <f>BE45+BE46+BE47+BE48+BE49</f>
        <v>7997.141</v>
      </c>
      <c r="BF44" s="85">
        <f>BF45+BF46+BF47+BF48+BF49</f>
        <v>7997.141</v>
      </c>
      <c r="BG44" s="60">
        <f>BF44</f>
        <v>7997.141</v>
      </c>
    </row>
    <row r="45" hidden="1" outlineLevel="1">
      <c r="C45" s="61" t="inlineStr">
        <is>
          <t>Depósitos à Vista</t>
        </is>
      </c>
      <c r="D45" s="62" t="inlineStr">
        <is>
          <t>Demand Deposits</t>
        </is>
      </c>
      <c r="E45" s="57">
        <f>'Inputs (2)'!E33</f>
        <v>191.194</v>
      </c>
      <c r="F45" s="57">
        <f>IF(F$14=1,'Inputs (2)'!F33,E45*(1+Inputs!F$277))</f>
        <v>317.899</v>
      </c>
      <c r="G45" s="57">
        <f>IF(G$14=1,'Inputs (2)'!G33,F45*(1+Inputs!G$277))</f>
        <v>396.663</v>
      </c>
      <c r="H45" s="57">
        <f>IF(H$14=1,'Inputs (2)'!H33,G45*(1+Inputs!H$277))</f>
        <v>383.383</v>
      </c>
      <c r="I45" s="77">
        <f>H45</f>
        <v>383.383</v>
      </c>
      <c r="J45" s="57">
        <f>IF(J$14=1,'Inputs (2)'!J33,H45*(1+Inputs!J$277))</f>
        <v>320.354</v>
      </c>
      <c r="K45" s="57">
        <f>IF(K$14=1,'Inputs (2)'!K33,J45*(1+Inputs!K$277))</f>
        <v>257.359</v>
      </c>
      <c r="L45" s="57">
        <f>IF(L$14=1,'Inputs (2)'!L33,K45*(1+Inputs!L$277))</f>
        <v>345.274</v>
      </c>
      <c r="M45" s="57">
        <f>IF(M$14=1,'Inputs (2)'!M33,L45*(1+Inputs!M$277))</f>
        <v>284.36</v>
      </c>
      <c r="N45" s="77">
        <f>M45</f>
        <v>284.36</v>
      </c>
      <c r="O45" s="57">
        <f>IF(O$14=1,'Inputs (2)'!O33,M45*(1+Inputs!O$277))</f>
        <v>460.028</v>
      </c>
      <c r="P45" s="57">
        <f>IF(P$14=1,'Inputs (2)'!P33,O45*(1+Inputs!P$277))</f>
        <v>315.71</v>
      </c>
      <c r="Q45" s="57">
        <f>IF(Q$14=1,'Inputs (2)'!Q33,P45*(1+Inputs!Q$277))</f>
        <v>379.241</v>
      </c>
      <c r="R45" s="57">
        <f>IF(R$14=1,'Inputs (2)'!R33,Q45*(1+Inputs!R$277))</f>
        <v>343.409</v>
      </c>
      <c r="S45" s="77">
        <f>R45</f>
        <v>343.409</v>
      </c>
      <c r="T45" s="57">
        <f>IF(T$14=1,'Inputs (2)'!T33,R45*(1+Inputs!T$277))</f>
        <v>352.072</v>
      </c>
      <c r="U45" s="57">
        <f>IF(U$14=1,'Inputs (2)'!U33,T45*(1+Inputs!U$277))</f>
        <v>353.212</v>
      </c>
      <c r="V45" s="57">
        <f>IF(V$14=1,'Inputs (2)'!V33,U45*(1+Inputs!V$277))</f>
        <v>502.725</v>
      </c>
      <c r="W45" s="57">
        <f>IF(W$14=1,'Inputs (2)'!W33,V45*(1+Inputs!W$277))</f>
        <v>693.078</v>
      </c>
      <c r="X45" s="77">
        <f>W45</f>
        <v>693.078</v>
      </c>
      <c r="Y45" s="57">
        <f>IF(Y$14=1,'Inputs (2)'!Y33,W45*(1+Inputs!Y$277))</f>
        <v>378.181</v>
      </c>
      <c r="Z45" s="57">
        <f>IF(Z$14=1,'Inputs (2)'!Z33,Y45*(1+Inputs!Z$277))</f>
        <v>551.196</v>
      </c>
      <c r="AA45" s="57">
        <f>IF(AA$14=1,'Inputs (2)'!AA33,Z45*(1+Inputs!AA$277))</f>
        <v>532.248</v>
      </c>
      <c r="AB45" s="57">
        <f>IF(AB$14=1,'Inputs (2)'!AB33,AA45*(1+Inputs!AB$277))</f>
        <v>631.73</v>
      </c>
      <c r="AC45" s="77">
        <f>AB45</f>
        <v>631.73</v>
      </c>
      <c r="AD45" s="57">
        <f>IF(AD$14=1,'Inputs (2)'!AD33,AB45*(1+Inputs!AD$277))</f>
        <v>486.596</v>
      </c>
      <c r="AE45" s="57">
        <f>IF(AE$14=1,'Inputs (2)'!AE33,AD45*(1+Inputs!AE$277))</f>
        <v>563.212</v>
      </c>
      <c r="AF45" s="57">
        <f>IF(AF$14=1,'Inputs (2)'!AF33,AE45*(1+Inputs!AF$277))</f>
        <v>457.223</v>
      </c>
      <c r="AG45" s="57">
        <f>IF(AG$14=1,'Inputs (2)'!AG33,AF45*(1+Inputs!AG$277))</f>
        <v>617.518</v>
      </c>
      <c r="AH45" s="77">
        <f>AG45</f>
        <v>617.518</v>
      </c>
      <c r="AI45" s="57">
        <f>IF(AI$14=1,'Inputs (2)'!AI33,AG45*(1+Inputs!AI$277))</f>
        <v>546.645</v>
      </c>
      <c r="AJ45" s="57">
        <f>IF(AJ$14=1,'Inputs (2)'!AJ33,AI45*(1+Inputs!AJ$277))</f>
        <v>594.024</v>
      </c>
      <c r="AK45" s="57">
        <f>IF(AK$14=1,'Inputs (2)'!AK33,AJ45*(1+Inputs!AK$277))</f>
        <v>594.024</v>
      </c>
      <c r="AL45" s="57">
        <f>IF(AL$14=1,'Inputs (2)'!AL33,AK45*(1+Inputs!AL$277))</f>
        <v>594.024</v>
      </c>
      <c r="AM45" s="77">
        <f>AL45</f>
        <v>594.024</v>
      </c>
      <c r="AN45" s="57">
        <f>IF(AN$14=1,'Inputs (2)'!AN33,AL45*(1+Inputs!AN$277))</f>
        <v>594.024</v>
      </c>
      <c r="AO45" s="57">
        <f>IF(AO$14=1,'Inputs (2)'!AO33,AN45*(1+Inputs!AO$277))</f>
        <v>594.024</v>
      </c>
      <c r="AP45" s="57">
        <f>IF(AP$14=1,'Inputs (2)'!AP33,AO45*(1+Inputs!AP$277))</f>
        <v>594.024</v>
      </c>
      <c r="AQ45" s="57">
        <f>IF(AQ$14=1,'Inputs (2)'!AQ33,AP45*(1+Inputs!AQ$277))</f>
        <v>594.024</v>
      </c>
      <c r="AR45" s="77">
        <f>AQ45</f>
        <v>594.024</v>
      </c>
      <c r="AS45" s="57">
        <f>IF(AS$14=1,'Inputs (2)'!AS33,AQ45*(1+Inputs!AS$277))</f>
        <v>594.024</v>
      </c>
      <c r="AT45" s="57">
        <f>IF(AT$14=1,'Inputs (2)'!AT33,AS45*(1+Inputs!AT$277))</f>
        <v>594.024</v>
      </c>
      <c r="AU45" s="57">
        <f>IF(AU$14=1,'Inputs (2)'!AU33,AT45*(1+Inputs!AU$277))</f>
        <v>594.024</v>
      </c>
      <c r="AV45" s="57">
        <f>IF(AV$14=1,'Inputs (2)'!AV33,AU45*(1+Inputs!AV$277))</f>
        <v>594.024</v>
      </c>
      <c r="AW45" s="77">
        <f>AV45</f>
        <v>594.024</v>
      </c>
      <c r="AX45" s="57">
        <f>IF(AX$14=1,'Inputs (2)'!AX33,AV45*(1+Inputs!AX$277))</f>
        <v>594.024</v>
      </c>
      <c r="AY45" s="57">
        <f>IF(AY$14=1,'Inputs (2)'!AY33,AX45*(1+Inputs!AY$277))</f>
        <v>594.024</v>
      </c>
      <c r="AZ45" s="57">
        <f>IF(AZ$14=1,'Inputs (2)'!AZ33,AY45*(1+Inputs!AZ$277))</f>
        <v>594.024</v>
      </c>
      <c r="BA45" s="57">
        <f>IF(BA$14=1,'Inputs (2)'!BA33,AZ45*(1+Inputs!BA$277))</f>
        <v>594.024</v>
      </c>
      <c r="BB45" s="77">
        <f>BA45</f>
        <v>594.024</v>
      </c>
      <c r="BC45" s="57">
        <f>IF(BC$14=1,'Inputs (2)'!BC33,BA45*(1+Inputs!BC$277))</f>
        <v>594.024</v>
      </c>
      <c r="BD45" s="57">
        <f>IF(BD$14=1,'Inputs (2)'!BD33,BC45*(1+Inputs!BD$277))</f>
        <v>594.024</v>
      </c>
      <c r="BE45" s="57">
        <f>IF(BE$14=1,'Inputs (2)'!BE33,BD45*(1+Inputs!BE$277))</f>
        <v>594.024</v>
      </c>
      <c r="BF45" s="57">
        <f>IF(BF$14=1,'Inputs (2)'!BF33,BE45*(1+Inputs!BF$277))</f>
        <v>594.024</v>
      </c>
      <c r="BG45" s="77">
        <f>BF45</f>
        <v>594.024</v>
      </c>
    </row>
    <row r="46" hidden="1" outlineLevel="1">
      <c r="C46" s="61" t="inlineStr">
        <is>
          <t>Depósitos de Poupança</t>
        </is>
      </c>
      <c r="D46" s="62" t="inlineStr">
        <is>
          <t>Savings Deposits</t>
        </is>
      </c>
      <c r="E46" s="57">
        <f>'Inputs (2)'!E34</f>
        <v>0</v>
      </c>
      <c r="F46" s="57">
        <f>IF(F$14=1,'Inputs (2)'!F34,E46*(1+Inputs!F$277))</f>
        <v>0</v>
      </c>
      <c r="G46" s="57">
        <f>IF(G$14=1,'Inputs (2)'!G34,F46*(1+Inputs!G$277))</f>
        <v>0</v>
      </c>
      <c r="H46" s="57">
        <f>IF(H$14=1,'Inputs (2)'!H34,G46*(1+Inputs!H$277))</f>
        <v>0</v>
      </c>
      <c r="I46" s="77">
        <f>H46</f>
        <v>0</v>
      </c>
      <c r="J46" s="57">
        <f>IF(J$14=1,'Inputs (2)'!J34,H46*(1+Inputs!J$277))</f>
        <v>0</v>
      </c>
      <c r="K46" s="57">
        <f>IF(K$14=1,'Inputs (2)'!K34,J46*(1+Inputs!K$277))</f>
        <v>0</v>
      </c>
      <c r="L46" s="57">
        <f>IF(L$14=1,'Inputs (2)'!L34,K46*(1+Inputs!L$277))</f>
        <v>0</v>
      </c>
      <c r="M46" s="57">
        <f>IF(M$14=1,'Inputs (2)'!M34,L46*(1+Inputs!M$277))</f>
        <v>0</v>
      </c>
      <c r="N46" s="77">
        <f>M46</f>
        <v>0</v>
      </c>
      <c r="O46" s="57">
        <f>IF(O$14=1,'Inputs (2)'!O34,M46*(1+Inputs!O$277))</f>
        <v>0</v>
      </c>
      <c r="P46" s="57">
        <f>IF(P$14=1,'Inputs (2)'!P34,O46*(1+Inputs!P$277))</f>
        <v>0</v>
      </c>
      <c r="Q46" s="57">
        <f>IF(Q$14=1,'Inputs (2)'!Q34,P46*(1+Inputs!Q$277))</f>
        <v>0</v>
      </c>
      <c r="R46" s="57">
        <f>IF(R$14=1,'Inputs (2)'!R34,Q46*(1+Inputs!R$277))</f>
        <v>0</v>
      </c>
      <c r="S46" s="77">
        <f>R46</f>
        <v>0</v>
      </c>
      <c r="T46" s="57">
        <f>IF(T$14=1,'Inputs (2)'!T34,R46*(1+Inputs!T$277))</f>
        <v>0</v>
      </c>
      <c r="U46" s="57">
        <f>IF(U$14=1,'Inputs (2)'!U34,T46*(1+Inputs!U$277))</f>
        <v>0</v>
      </c>
      <c r="V46" s="57">
        <f>IF(V$14=1,'Inputs (2)'!V34,U46*(1+Inputs!V$277))</f>
        <v>0</v>
      </c>
      <c r="W46" s="57">
        <f>IF(W$14=1,'Inputs (2)'!W34,V46*(1+Inputs!W$277))</f>
        <v>0</v>
      </c>
      <c r="X46" s="77">
        <f>W46</f>
        <v>0</v>
      </c>
      <c r="Y46" s="57">
        <f>IF(Y$14=1,'Inputs (2)'!Y34,W46*(1+Inputs!Y$277))</f>
        <v>0</v>
      </c>
      <c r="Z46" s="57">
        <f>IF(Z$14=1,'Inputs (2)'!Z34,Y46*(1+Inputs!Z$277))</f>
        <v>0</v>
      </c>
      <c r="AA46" s="57">
        <f>IF(AA$14=1,'Inputs (2)'!AA34,Z46*(1+Inputs!AA$277))</f>
        <v>0</v>
      </c>
      <c r="AB46" s="57">
        <f>IF(AB$14=1,'Inputs (2)'!AB34,AA46*(1+Inputs!AB$277))</f>
        <v>0</v>
      </c>
      <c r="AC46" s="77">
        <f>AB46</f>
        <v>0</v>
      </c>
      <c r="AD46" s="57">
        <f>IF(AD$14=1,'Inputs (2)'!AD34,AB46*(1+Inputs!AD$277))</f>
        <v>0</v>
      </c>
      <c r="AE46" s="57">
        <f>IF(AE$14=1,'Inputs (2)'!AE34,AD46*(1+Inputs!AE$277))</f>
        <v>0</v>
      </c>
      <c r="AF46" s="57">
        <f>IF(AF$14=1,'Inputs (2)'!AF34,AE46*(1+Inputs!AF$277))</f>
        <v>0</v>
      </c>
      <c r="AG46" s="57">
        <f>IF(AG$14=1,'Inputs (2)'!AG34,AF46*(1+Inputs!AG$277))</f>
        <v>0</v>
      </c>
      <c r="AH46" s="77">
        <f>AG46</f>
        <v>0</v>
      </c>
      <c r="AI46" s="57">
        <f>IF(AI$14=1,'Inputs (2)'!AI34,AG46*(1+Inputs!AI$277))</f>
        <v>0</v>
      </c>
      <c r="AJ46" s="57">
        <f>IF(AJ$14=1,'Inputs (2)'!AJ34,AI46*(1+Inputs!AJ$277))</f>
        <v>0</v>
      </c>
      <c r="AK46" s="57">
        <f>IF(AK$14=1,'Inputs (2)'!AK34,AJ46*(1+Inputs!AK$277))</f>
        <v>0</v>
      </c>
      <c r="AL46" s="57">
        <f>IF(AL$14=1,'Inputs (2)'!AL34,AK46*(1+Inputs!AL$277))</f>
        <v>0</v>
      </c>
      <c r="AM46" s="77">
        <f>AL46</f>
        <v>0</v>
      </c>
      <c r="AN46" s="57">
        <f>IF(AN$14=1,'Inputs (2)'!AN34,AL46*(1+Inputs!AN$277))</f>
        <v>0</v>
      </c>
      <c r="AO46" s="57">
        <f>IF(AO$14=1,'Inputs (2)'!AO34,AN46*(1+Inputs!AO$277))</f>
        <v>0</v>
      </c>
      <c r="AP46" s="57">
        <f>IF(AP$14=1,'Inputs (2)'!AP34,AO46*(1+Inputs!AP$277))</f>
        <v>0</v>
      </c>
      <c r="AQ46" s="57">
        <f>IF(AQ$14=1,'Inputs (2)'!AQ34,AP46*(1+Inputs!AQ$277))</f>
        <v>0</v>
      </c>
      <c r="AR46" s="77">
        <f>AQ46</f>
        <v>0</v>
      </c>
      <c r="AS46" s="57">
        <f>IF(AS$14=1,'Inputs (2)'!AS34,AQ46*(1+Inputs!AS$277))</f>
        <v>0</v>
      </c>
      <c r="AT46" s="57">
        <f>IF(AT$14=1,'Inputs (2)'!AT34,AS46*(1+Inputs!AT$277))</f>
        <v>0</v>
      </c>
      <c r="AU46" s="57">
        <f>IF(AU$14=1,'Inputs (2)'!AU34,AT46*(1+Inputs!AU$277))</f>
        <v>0</v>
      </c>
      <c r="AV46" s="57">
        <f>IF(AV$14=1,'Inputs (2)'!AV34,AU46*(1+Inputs!AV$277))</f>
        <v>0</v>
      </c>
      <c r="AW46" s="77">
        <f>AV46</f>
        <v>0</v>
      </c>
      <c r="AX46" s="57">
        <f>IF(AX$14=1,'Inputs (2)'!AX34,AV46*(1+Inputs!AX$277))</f>
        <v>0</v>
      </c>
      <c r="AY46" s="57">
        <f>IF(AY$14=1,'Inputs (2)'!AY34,AX46*(1+Inputs!AY$277))</f>
        <v>0</v>
      </c>
      <c r="AZ46" s="57">
        <f>IF(AZ$14=1,'Inputs (2)'!AZ34,AY46*(1+Inputs!AZ$277))</f>
        <v>0</v>
      </c>
      <c r="BA46" s="57">
        <f>IF(BA$14=1,'Inputs (2)'!BA34,AZ46*(1+Inputs!BA$277))</f>
        <v>0</v>
      </c>
      <c r="BB46" s="77">
        <f>BA46</f>
        <v>0</v>
      </c>
      <c r="BC46" s="57">
        <f>IF(BC$14=1,'Inputs (2)'!BC34,BA46*(1+Inputs!BC$277))</f>
        <v>0</v>
      </c>
      <c r="BD46" s="57">
        <f>IF(BD$14=1,'Inputs (2)'!BD34,BC46*(1+Inputs!BD$277))</f>
        <v>0</v>
      </c>
      <c r="BE46" s="57">
        <f>IF(BE$14=1,'Inputs (2)'!BE34,BD46*(1+Inputs!BE$277))</f>
        <v>0</v>
      </c>
      <c r="BF46" s="57">
        <f>IF(BF$14=1,'Inputs (2)'!BF34,BE46*(1+Inputs!BF$277))</f>
        <v>0</v>
      </c>
      <c r="BG46" s="77">
        <f>BF46</f>
        <v>0</v>
      </c>
    </row>
    <row r="47" hidden="1" outlineLevel="1">
      <c r="C47" s="61" t="inlineStr">
        <is>
          <t>Depósitos Interfinanceiros</t>
        </is>
      </c>
      <c r="D47" s="62" t="inlineStr">
        <is>
          <t>Interbank Deposits</t>
        </is>
      </c>
      <c r="E47" s="57">
        <f>'Inputs (2)'!E35</f>
        <v>627.564</v>
      </c>
      <c r="F47" s="57">
        <f>IF(F$14=1,'Inputs (2)'!F35,E47*(1+Inputs!F$277))</f>
        <v>379.394</v>
      </c>
      <c r="G47" s="57">
        <f>IF(G$14=1,'Inputs (2)'!G35,F47*(1+Inputs!G$277))</f>
        <v>655.64</v>
      </c>
      <c r="H47" s="57">
        <f>IF(H$14=1,'Inputs (2)'!H35,G47*(1+Inputs!H$277))</f>
        <v>710.241</v>
      </c>
      <c r="I47" s="77">
        <f>H47</f>
        <v>710.241</v>
      </c>
      <c r="J47" s="57">
        <f>IF(J$14=1,'Inputs (2)'!J35,H47*(1+Inputs!J$277))</f>
        <v>839.249</v>
      </c>
      <c r="K47" s="57">
        <f>IF(K$14=1,'Inputs (2)'!K35,J47*(1+Inputs!K$277))</f>
        <v>561.743</v>
      </c>
      <c r="L47" s="57">
        <f>IF(L$14=1,'Inputs (2)'!L35,K47*(1+Inputs!L$277))</f>
        <v>531.948</v>
      </c>
      <c r="M47" s="57">
        <f>IF(M$14=1,'Inputs (2)'!M35,L47*(1+Inputs!M$277))</f>
        <v>531.184</v>
      </c>
      <c r="N47" s="77">
        <f>M47</f>
        <v>531.184</v>
      </c>
      <c r="O47" s="57">
        <f>IF(O$14=1,'Inputs (2)'!O35,M47*(1+Inputs!O$277))</f>
        <v>539.676</v>
      </c>
      <c r="P47" s="57">
        <f>IF(P$14=1,'Inputs (2)'!P35,O47*(1+Inputs!P$277))</f>
        <v>532.077</v>
      </c>
      <c r="Q47" s="57">
        <f>IF(Q$14=1,'Inputs (2)'!Q35,P47*(1+Inputs!Q$277))</f>
        <v>226.189</v>
      </c>
      <c r="R47" s="57">
        <f>IF(R$14=1,'Inputs (2)'!R35,Q47*(1+Inputs!R$277))</f>
        <v>504.64</v>
      </c>
      <c r="S47" s="77">
        <f>R47</f>
        <v>504.64</v>
      </c>
      <c r="T47" s="57">
        <f>IF(T$14=1,'Inputs (2)'!T35,R47*(1+Inputs!T$277))</f>
        <v>503.534</v>
      </c>
      <c r="U47" s="57">
        <f>IF(U$14=1,'Inputs (2)'!U35,T47*(1+Inputs!U$277))</f>
        <v>323.164</v>
      </c>
      <c r="V47" s="57">
        <f>IF(V$14=1,'Inputs (2)'!V35,U47*(1+Inputs!V$277))</f>
        <v>235.182</v>
      </c>
      <c r="W47" s="57">
        <f>IF(W$14=1,'Inputs (2)'!W35,V47*(1+Inputs!W$277))</f>
        <v>533.296</v>
      </c>
      <c r="X47" s="77">
        <f>W47</f>
        <v>533.296</v>
      </c>
      <c r="Y47" s="57">
        <f>IF(Y$14=1,'Inputs (2)'!Y35,W47*(1+Inputs!Y$277))</f>
        <v>582.508</v>
      </c>
      <c r="Z47" s="57">
        <f>IF(Z$14=1,'Inputs (2)'!Z35,Y47*(1+Inputs!Z$277))</f>
        <v>337.499</v>
      </c>
      <c r="AA47" s="57">
        <f>IF(AA$14=1,'Inputs (2)'!AA35,Z47*(1+Inputs!AA$277))</f>
        <v>152.123</v>
      </c>
      <c r="AB47" s="57">
        <f>IF(AB$14=1,'Inputs (2)'!AB35,AA47*(1+Inputs!AB$277))</f>
        <v>226.01</v>
      </c>
      <c r="AC47" s="77">
        <f>AB47</f>
        <v>226.01</v>
      </c>
      <c r="AD47" s="57">
        <f>IF(AD$14=1,'Inputs (2)'!AD35,AB47*(1+Inputs!AD$277))</f>
        <v>187.318</v>
      </c>
      <c r="AE47" s="57">
        <f>IF(AE$14=1,'Inputs (2)'!AE35,AD47*(1+Inputs!AE$277))</f>
        <v>127.694</v>
      </c>
      <c r="AF47" s="57">
        <f>IF(AF$14=1,'Inputs (2)'!AF35,AE47*(1+Inputs!AF$277))</f>
        <v>236.54</v>
      </c>
      <c r="AG47" s="57">
        <f>IF(AG$14=1,'Inputs (2)'!AG35,AF47*(1+Inputs!AG$277))</f>
        <v>452.399</v>
      </c>
      <c r="AH47" s="77">
        <f>AG47</f>
        <v>452.399</v>
      </c>
      <c r="AI47" s="57">
        <f>IF(AI$14=1,'Inputs (2)'!AI35,AG47*(1+Inputs!AI$277))</f>
        <v>439.213</v>
      </c>
      <c r="AJ47" s="57">
        <f>IF(AJ$14=1,'Inputs (2)'!AJ35,AI47*(1+Inputs!AJ$277))</f>
        <v>418.021</v>
      </c>
      <c r="AK47" s="57">
        <f>IF(AK$14=1,'Inputs (2)'!AK35,AJ47*(1+Inputs!AK$277))</f>
        <v>418.021</v>
      </c>
      <c r="AL47" s="57">
        <f>IF(AL$14=1,'Inputs (2)'!AL35,AK47*(1+Inputs!AL$277))</f>
        <v>418.021</v>
      </c>
      <c r="AM47" s="77">
        <f>AL47</f>
        <v>418.021</v>
      </c>
      <c r="AN47" s="57">
        <f>IF(AN$14=1,'Inputs (2)'!AN35,AL47*(1+Inputs!AN$277))</f>
        <v>418.021</v>
      </c>
      <c r="AO47" s="57">
        <f>IF(AO$14=1,'Inputs (2)'!AO35,AN47*(1+Inputs!AO$277))</f>
        <v>418.021</v>
      </c>
      <c r="AP47" s="57">
        <f>IF(AP$14=1,'Inputs (2)'!AP35,AO47*(1+Inputs!AP$277))</f>
        <v>418.021</v>
      </c>
      <c r="AQ47" s="57">
        <f>IF(AQ$14=1,'Inputs (2)'!AQ35,AP47*(1+Inputs!AQ$277))</f>
        <v>418.021</v>
      </c>
      <c r="AR47" s="77">
        <f>AQ47</f>
        <v>418.021</v>
      </c>
      <c r="AS47" s="57">
        <f>IF(AS$14=1,'Inputs (2)'!AS35,AQ47*(1+Inputs!AS$277))</f>
        <v>418.021</v>
      </c>
      <c r="AT47" s="57">
        <f>IF(AT$14=1,'Inputs (2)'!AT35,AS47*(1+Inputs!AT$277))</f>
        <v>418.021</v>
      </c>
      <c r="AU47" s="57">
        <f>IF(AU$14=1,'Inputs (2)'!AU35,AT47*(1+Inputs!AU$277))</f>
        <v>418.021</v>
      </c>
      <c r="AV47" s="57">
        <f>IF(AV$14=1,'Inputs (2)'!AV35,AU47*(1+Inputs!AV$277))</f>
        <v>418.021</v>
      </c>
      <c r="AW47" s="77">
        <f>AV47</f>
        <v>418.021</v>
      </c>
      <c r="AX47" s="57">
        <f>IF(AX$14=1,'Inputs (2)'!AX35,AV47*(1+Inputs!AX$277))</f>
        <v>418.021</v>
      </c>
      <c r="AY47" s="57">
        <f>IF(AY$14=1,'Inputs (2)'!AY35,AX47*(1+Inputs!AY$277))</f>
        <v>418.021</v>
      </c>
      <c r="AZ47" s="57">
        <f>IF(AZ$14=1,'Inputs (2)'!AZ35,AY47*(1+Inputs!AZ$277))</f>
        <v>418.021</v>
      </c>
      <c r="BA47" s="57">
        <f>IF(BA$14=1,'Inputs (2)'!BA35,AZ47*(1+Inputs!BA$277))</f>
        <v>418.021</v>
      </c>
      <c r="BB47" s="77">
        <f>BA47</f>
        <v>418.021</v>
      </c>
      <c r="BC47" s="57">
        <f>IF(BC$14=1,'Inputs (2)'!BC35,BA47*(1+Inputs!BC$277))</f>
        <v>418.021</v>
      </c>
      <c r="BD47" s="57">
        <f>IF(BD$14=1,'Inputs (2)'!BD35,BC47*(1+Inputs!BD$277))</f>
        <v>418.021</v>
      </c>
      <c r="BE47" s="57">
        <f>IF(BE$14=1,'Inputs (2)'!BE35,BD47*(1+Inputs!BE$277))</f>
        <v>418.021</v>
      </c>
      <c r="BF47" s="57">
        <f>IF(BF$14=1,'Inputs (2)'!BF35,BE47*(1+Inputs!BF$277))</f>
        <v>418.021</v>
      </c>
      <c r="BG47" s="77">
        <f>BF47</f>
        <v>418.021</v>
      </c>
    </row>
    <row r="48" hidden="1" outlineLevel="1">
      <c r="C48" s="61" t="inlineStr">
        <is>
          <t>Depósitos a Prazo</t>
        </is>
      </c>
      <c r="D48" s="62" t="inlineStr">
        <is>
          <t>Time Deposits</t>
        </is>
      </c>
      <c r="E48" s="57">
        <f>'Inputs (2)'!E36</f>
        <v>5154.287</v>
      </c>
      <c r="F48" s="57">
        <f>IF(F$14=1,'Inputs (2)'!F36,E48*(1+Inputs!F$277))</f>
        <v>6628.389</v>
      </c>
      <c r="G48" s="57">
        <f>IF(G$14=1,'Inputs (2)'!G36,F48*(1+Inputs!G$277))</f>
        <v>8747.608</v>
      </c>
      <c r="H48" s="57">
        <f>IF(H$14=1,'Inputs (2)'!H36,G48*(1+Inputs!H$277))</f>
        <v>9061.704</v>
      </c>
      <c r="I48" s="77">
        <f>H48</f>
        <v>9061.704</v>
      </c>
      <c r="J48" s="57">
        <f>IF(J$14=1,'Inputs (2)'!J36,H48*(1+Inputs!J$277))</f>
        <v>8928.836</v>
      </c>
      <c r="K48" s="57">
        <f>IF(K$14=1,'Inputs (2)'!K36,J48*(1+Inputs!K$277))</f>
        <v>7767.964</v>
      </c>
      <c r="L48" s="57">
        <f>IF(L$14=1,'Inputs (2)'!L36,K48*(1+Inputs!L$277))</f>
        <v>8000.002</v>
      </c>
      <c r="M48" s="57">
        <f>IF(M$14=1,'Inputs (2)'!M36,L48*(1+Inputs!M$277))</f>
        <v>7140.255</v>
      </c>
      <c r="N48" s="77">
        <f>M48</f>
        <v>7140.255</v>
      </c>
      <c r="O48" s="57">
        <f>IF(O$14=1,'Inputs (2)'!O36,M48*(1+Inputs!O$277))</f>
        <v>7568.338</v>
      </c>
      <c r="P48" s="57">
        <f>IF(P$14=1,'Inputs (2)'!P36,O48*(1+Inputs!P$277))</f>
        <v>7913.871</v>
      </c>
      <c r="Q48" s="57">
        <f>IF(Q$14=1,'Inputs (2)'!Q36,P48*(1+Inputs!Q$277))</f>
        <v>9401.614</v>
      </c>
      <c r="R48" s="57">
        <f>IF(R$14=1,'Inputs (2)'!R36,Q48*(1+Inputs!R$277))</f>
        <v>9506.254</v>
      </c>
      <c r="S48" s="77">
        <f>R48</f>
        <v>9506.254</v>
      </c>
      <c r="T48" s="57">
        <f>IF(T$14=1,'Inputs (2)'!T36,R48*(1+Inputs!T$277))</f>
        <v>8460.188</v>
      </c>
      <c r="U48" s="57">
        <f>IF(U$14=1,'Inputs (2)'!U36,T48*(1+Inputs!U$277))</f>
        <v>7385.742</v>
      </c>
      <c r="V48" s="57">
        <f>IF(V$14=1,'Inputs (2)'!V36,U48*(1+Inputs!V$277))</f>
        <v>7704.562</v>
      </c>
      <c r="W48" s="57">
        <f>IF(W$14=1,'Inputs (2)'!W36,V48*(1+Inputs!W$277))</f>
        <v>9246.094</v>
      </c>
      <c r="X48" s="77">
        <f>W48</f>
        <v>9246.094</v>
      </c>
      <c r="Y48" s="57">
        <f>IF(Y$14=1,'Inputs (2)'!Y36,W48*(1+Inputs!Y$277))</f>
        <v>9372.774</v>
      </c>
      <c r="Z48" s="57">
        <f>IF(Z$14=1,'Inputs (2)'!Z36,Y48*(1+Inputs!Z$277))</f>
        <v>10675.112</v>
      </c>
      <c r="AA48" s="57">
        <f>IF(AA$14=1,'Inputs (2)'!AA36,Z48*(1+Inputs!AA$277))</f>
        <v>10634.739</v>
      </c>
      <c r="AB48" s="57">
        <f>IF(AB$14=1,'Inputs (2)'!AB36,AA48*(1+Inputs!AB$277))</f>
        <v>10476.21</v>
      </c>
      <c r="AC48" s="77">
        <f>AB48</f>
        <v>10476.21</v>
      </c>
      <c r="AD48" s="57">
        <f>IF(AD$14=1,'Inputs (2)'!AD36,AB48*(1+Inputs!AD$277))</f>
        <v>8867.456</v>
      </c>
      <c r="AE48" s="57">
        <f>IF(AE$14=1,'Inputs (2)'!AE36,AD48*(1+Inputs!AE$277))</f>
        <v>8078.113</v>
      </c>
      <c r="AF48" s="57">
        <f>IF(AF$14=1,'Inputs (2)'!AF36,AE48*(1+Inputs!AF$277))</f>
        <v>7483.361</v>
      </c>
      <c r="AG48" s="57">
        <f>IF(AG$14=1,'Inputs (2)'!AG36,AF48*(1+Inputs!AG$277))</f>
        <v>8282.461</v>
      </c>
      <c r="AH48" s="77">
        <f>AG48</f>
        <v>8282.461</v>
      </c>
      <c r="AI48" s="57">
        <f>IF(AI$14=1,'Inputs (2)'!AI36,AG48*(1+Inputs!AI$277))</f>
        <v>7291.851</v>
      </c>
      <c r="AJ48" s="57">
        <f>IF(AJ$14=1,'Inputs (2)'!AJ36,AI48*(1+Inputs!AJ$277))</f>
        <v>6985.096</v>
      </c>
      <c r="AK48" s="57">
        <f>IF(AK$14=1,'Inputs (2)'!AK36,AJ48*(1+Inputs!AK$277))</f>
        <v>6985.096</v>
      </c>
      <c r="AL48" s="57">
        <f>IF(AL$14=1,'Inputs (2)'!AL36,AK48*(1+Inputs!AL$277))</f>
        <v>6985.096</v>
      </c>
      <c r="AM48" s="77">
        <f>AL48</f>
        <v>6985.096</v>
      </c>
      <c r="AN48" s="57">
        <f>IF(AN$14=1,'Inputs (2)'!AN36,AL48*(1+Inputs!AN$277))</f>
        <v>6985.096</v>
      </c>
      <c r="AO48" s="57">
        <f>IF(AO$14=1,'Inputs (2)'!AO36,AN48*(1+Inputs!AO$277))</f>
        <v>6985.096</v>
      </c>
      <c r="AP48" s="57">
        <f>IF(AP$14=1,'Inputs (2)'!AP36,AO48*(1+Inputs!AP$277))</f>
        <v>6985.096</v>
      </c>
      <c r="AQ48" s="57">
        <f>IF(AQ$14=1,'Inputs (2)'!AQ36,AP48*(1+Inputs!AQ$277))</f>
        <v>6985.096</v>
      </c>
      <c r="AR48" s="77">
        <f>AQ48</f>
        <v>6985.096</v>
      </c>
      <c r="AS48" s="57">
        <f>IF(AS$14=1,'Inputs (2)'!AS36,AQ48*(1+Inputs!AS$277))</f>
        <v>6985.096</v>
      </c>
      <c r="AT48" s="57">
        <f>IF(AT$14=1,'Inputs (2)'!AT36,AS48*(1+Inputs!AT$277))</f>
        <v>6985.096</v>
      </c>
      <c r="AU48" s="57">
        <f>IF(AU$14=1,'Inputs (2)'!AU36,AT48*(1+Inputs!AU$277))</f>
        <v>6985.096</v>
      </c>
      <c r="AV48" s="57">
        <f>IF(AV$14=1,'Inputs (2)'!AV36,AU48*(1+Inputs!AV$277))</f>
        <v>6985.096</v>
      </c>
      <c r="AW48" s="77">
        <f>AV48</f>
        <v>6985.096</v>
      </c>
      <c r="AX48" s="57">
        <f>IF(AX$14=1,'Inputs (2)'!AX36,AV48*(1+Inputs!AX$277))</f>
        <v>6985.096</v>
      </c>
      <c r="AY48" s="57">
        <f>IF(AY$14=1,'Inputs (2)'!AY36,AX48*(1+Inputs!AY$277))</f>
        <v>6985.096</v>
      </c>
      <c r="AZ48" s="57">
        <f>IF(AZ$14=1,'Inputs (2)'!AZ36,AY48*(1+Inputs!AZ$277))</f>
        <v>6985.096</v>
      </c>
      <c r="BA48" s="57">
        <f>IF(BA$14=1,'Inputs (2)'!BA36,AZ48*(1+Inputs!BA$277))</f>
        <v>6985.096</v>
      </c>
      <c r="BB48" s="77">
        <f>BA48</f>
        <v>6985.096</v>
      </c>
      <c r="BC48" s="57">
        <f>IF(BC$14=1,'Inputs (2)'!BC36,BA48*(1+Inputs!BC$277))</f>
        <v>6985.096</v>
      </c>
      <c r="BD48" s="57">
        <f>IF(BD$14=1,'Inputs (2)'!BD36,BC48*(1+Inputs!BD$277))</f>
        <v>6985.096</v>
      </c>
      <c r="BE48" s="57">
        <f>IF(BE$14=1,'Inputs (2)'!BE36,BD48*(1+Inputs!BE$277))</f>
        <v>6985.096</v>
      </c>
      <c r="BF48" s="57">
        <f>IF(BF$14=1,'Inputs (2)'!BF36,BE48*(1+Inputs!BF$277))</f>
        <v>6985.096</v>
      </c>
      <c r="BG48" s="77">
        <f>BF48</f>
        <v>6985.096</v>
      </c>
    </row>
    <row r="49" hidden="1" outlineLevel="1">
      <c r="C49" s="61" t="inlineStr">
        <is>
          <t>Outros Depósitos</t>
        </is>
      </c>
      <c r="D49" s="62" t="inlineStr">
        <is>
          <t>Other Deposits</t>
        </is>
      </c>
      <c r="E49" s="57">
        <f>'Inputs (2)'!E37</f>
        <v>0</v>
      </c>
      <c r="F49" s="57">
        <f>IF(F$14=1,'Inputs (2)'!F37,E49*(1+Inputs!F$277))</f>
        <v>0</v>
      </c>
      <c r="G49" s="57">
        <f>IF(G$14=1,'Inputs (2)'!G37,F49*(1+Inputs!G$277))</f>
        <v>0</v>
      </c>
      <c r="H49" s="57">
        <f>IF(H$14=1,'Inputs (2)'!H37,G49*(1+Inputs!H$277))</f>
        <v>0</v>
      </c>
      <c r="I49" s="77">
        <f>H49</f>
        <v>0</v>
      </c>
      <c r="J49" s="57">
        <f>IF(J$14=1,'Inputs (2)'!J37,H49*(1+Inputs!J$277))</f>
        <v>0</v>
      </c>
      <c r="K49" s="57">
        <f>IF(K$14=1,'Inputs (2)'!K37,J49*(1+Inputs!K$277))</f>
        <v>0</v>
      </c>
      <c r="L49" s="57">
        <f>IF(L$14=1,'Inputs (2)'!L37,K49*(1+Inputs!L$277))</f>
        <v>0</v>
      </c>
      <c r="M49" s="57">
        <f>IF(M$14=1,'Inputs (2)'!M37,L49*(1+Inputs!M$277))</f>
        <v>0</v>
      </c>
      <c r="N49" s="77">
        <f>M49</f>
        <v>0</v>
      </c>
      <c r="O49" s="57">
        <f>IF(O$14=1,'Inputs (2)'!O37,M49*(1+Inputs!O$277))</f>
        <v>0</v>
      </c>
      <c r="P49" s="57">
        <f>IF(P$14=1,'Inputs (2)'!P37,O49*(1+Inputs!P$277))</f>
        <v>0</v>
      </c>
      <c r="Q49" s="57">
        <f>IF(Q$14=1,'Inputs (2)'!Q37,P49*(1+Inputs!Q$277))</f>
        <v>0</v>
      </c>
      <c r="R49" s="57">
        <f>IF(R$14=1,'Inputs (2)'!R37,Q49*(1+Inputs!R$277))</f>
        <v>0</v>
      </c>
      <c r="S49" s="77">
        <f>R49</f>
        <v>0</v>
      </c>
      <c r="T49" s="57">
        <f>IF(T$14=1,'Inputs (2)'!T37,R49*(1+Inputs!T$277))</f>
        <v>0</v>
      </c>
      <c r="U49" s="57">
        <f>IF(U$14=1,'Inputs (2)'!U37,T49*(1+Inputs!U$277))</f>
        <v>0</v>
      </c>
      <c r="V49" s="57">
        <f>IF(V$14=1,'Inputs (2)'!V37,U49*(1+Inputs!V$277))</f>
        <v>0</v>
      </c>
      <c r="W49" s="57">
        <f>IF(W$14=1,'Inputs (2)'!W37,V49*(1+Inputs!W$277))</f>
        <v>0</v>
      </c>
      <c r="X49" s="77">
        <f>W49</f>
        <v>0</v>
      </c>
      <c r="Y49" s="57">
        <f>IF(Y$14=1,'Inputs (2)'!Y37,W49*(1+Inputs!Y$277))</f>
        <v>0</v>
      </c>
      <c r="Z49" s="57">
        <f>IF(Z$14=1,'Inputs (2)'!Z37,Y49*(1+Inputs!Z$277))</f>
        <v>0</v>
      </c>
      <c r="AA49" s="57">
        <f>IF(AA$14=1,'Inputs (2)'!AA37,Z49*(1+Inputs!AA$277))</f>
        <v>0</v>
      </c>
      <c r="AB49" s="57">
        <f>IF(AB$14=1,'Inputs (2)'!AB37,AA49*(1+Inputs!AB$277))</f>
        <v>0</v>
      </c>
      <c r="AC49" s="77">
        <f>AB49</f>
        <v>0</v>
      </c>
      <c r="AD49" s="57">
        <f>IF(AD$14=1,'Inputs (2)'!AD37,AB49*(1+Inputs!AD$277))</f>
        <v>0</v>
      </c>
      <c r="AE49" s="57">
        <f>IF(AE$14=1,'Inputs (2)'!AE37,AD49*(1+Inputs!AE$277))</f>
        <v>0</v>
      </c>
      <c r="AF49" s="57">
        <f>IF(AF$14=1,'Inputs (2)'!AF37,AE49*(1+Inputs!AF$277))</f>
        <v>0</v>
      </c>
      <c r="AG49" s="57">
        <f>IF(AG$14=1,'Inputs (2)'!AG37,AF49*(1+Inputs!AG$277))</f>
        <v>0</v>
      </c>
      <c r="AH49" s="77">
        <f>AG49</f>
        <v>0</v>
      </c>
      <c r="AI49" s="57">
        <f>IF(AI$14=1,'Inputs (2)'!AI37,AG49*(1+Inputs!AI$277))</f>
        <v>0</v>
      </c>
      <c r="AJ49" s="57">
        <f>IF(AJ$14=1,'Inputs (2)'!AJ37,AI49*(1+Inputs!AJ$277))</f>
        <v>0</v>
      </c>
      <c r="AK49" s="57">
        <f>IF(AK$14=1,'Inputs (2)'!AK37,AJ49*(1+Inputs!AK$277))</f>
        <v>0</v>
      </c>
      <c r="AL49" s="57">
        <f>IF(AL$14=1,'Inputs (2)'!AL37,AK49*(1+Inputs!AL$277))</f>
        <v>0</v>
      </c>
      <c r="AM49" s="77">
        <f>AL49</f>
        <v>0</v>
      </c>
      <c r="AN49" s="57">
        <f>IF(AN$14=1,'Inputs (2)'!AN37,AL49*(1+Inputs!AN$277))</f>
        <v>0</v>
      </c>
      <c r="AO49" s="57">
        <f>IF(AO$14=1,'Inputs (2)'!AO37,AN49*(1+Inputs!AO$277))</f>
        <v>0</v>
      </c>
      <c r="AP49" s="57">
        <f>IF(AP$14=1,'Inputs (2)'!AP37,AO49*(1+Inputs!AP$277))</f>
        <v>0</v>
      </c>
      <c r="AQ49" s="57">
        <f>IF(AQ$14=1,'Inputs (2)'!AQ37,AP49*(1+Inputs!AQ$277))</f>
        <v>0</v>
      </c>
      <c r="AR49" s="77">
        <f>AQ49</f>
        <v>0</v>
      </c>
      <c r="AS49" s="57">
        <f>IF(AS$14=1,'Inputs (2)'!AS37,AQ49*(1+Inputs!AS$277))</f>
        <v>0</v>
      </c>
      <c r="AT49" s="57">
        <f>IF(AT$14=1,'Inputs (2)'!AT37,AS49*(1+Inputs!AT$277))</f>
        <v>0</v>
      </c>
      <c r="AU49" s="57">
        <f>IF(AU$14=1,'Inputs (2)'!AU37,AT49*(1+Inputs!AU$277))</f>
        <v>0</v>
      </c>
      <c r="AV49" s="57">
        <f>IF(AV$14=1,'Inputs (2)'!AV37,AU49*(1+Inputs!AV$277))</f>
        <v>0</v>
      </c>
      <c r="AW49" s="77">
        <f>AV49</f>
        <v>0</v>
      </c>
      <c r="AX49" s="57">
        <f>IF(AX$14=1,'Inputs (2)'!AX37,AV49*(1+Inputs!AX$277))</f>
        <v>0</v>
      </c>
      <c r="AY49" s="57">
        <f>IF(AY$14=1,'Inputs (2)'!AY37,AX49*(1+Inputs!AY$277))</f>
        <v>0</v>
      </c>
      <c r="AZ49" s="57">
        <f>IF(AZ$14=1,'Inputs (2)'!AZ37,AY49*(1+Inputs!AZ$277))</f>
        <v>0</v>
      </c>
      <c r="BA49" s="57">
        <f>IF(BA$14=1,'Inputs (2)'!BA37,AZ49*(1+Inputs!BA$277))</f>
        <v>0</v>
      </c>
      <c r="BB49" s="77">
        <f>BA49</f>
        <v>0</v>
      </c>
      <c r="BC49" s="57">
        <f>IF(BC$14=1,'Inputs (2)'!BC37,BA49*(1+Inputs!BC$277))</f>
        <v>0</v>
      </c>
      <c r="BD49" s="57">
        <f>IF(BD$14=1,'Inputs (2)'!BD37,BC49*(1+Inputs!BD$277))</f>
        <v>0</v>
      </c>
      <c r="BE49" s="57">
        <f>IF(BE$14=1,'Inputs (2)'!BE37,BD49*(1+Inputs!BE$277))</f>
        <v>0</v>
      </c>
      <c r="BF49" s="57">
        <f>IF(BF$14=1,'Inputs (2)'!BF37,BE49*(1+Inputs!BF$277))</f>
        <v>0</v>
      </c>
      <c r="BG49" s="77">
        <f>BF49</f>
        <v>0</v>
      </c>
    </row>
    <row r="50" collapsed="1">
      <c r="C50" s="83" t="inlineStr">
        <is>
          <t>Captações no Mercado Aberto</t>
        </is>
      </c>
      <c r="D50" s="84" t="inlineStr">
        <is>
          <t>Open Market Funding</t>
        </is>
      </c>
      <c r="E50" s="85">
        <f>E51+E52+E53</f>
        <v>1102.637</v>
      </c>
      <c r="F50" s="85">
        <f>F51+F52+F53</f>
        <v>1174.817</v>
      </c>
      <c r="G50" s="85">
        <f>G51+G52+G53</f>
        <v>1156.201</v>
      </c>
      <c r="H50" s="85">
        <f>H51+H52+H53</f>
        <v>1354.313</v>
      </c>
      <c r="I50" s="60">
        <f>H50</f>
        <v>1354.313</v>
      </c>
      <c r="J50" s="85">
        <f>J51+J52+J53</f>
        <v>1282.513</v>
      </c>
      <c r="K50" s="85">
        <f>K51+K52+K53</f>
        <v>970.187</v>
      </c>
      <c r="L50" s="85">
        <f>L51+L52+L53</f>
        <v>1085.669</v>
      </c>
      <c r="M50" s="85">
        <f>M51+M52+M53</f>
        <v>1328.942</v>
      </c>
      <c r="N50" s="60">
        <f>M50</f>
        <v>1328.942</v>
      </c>
      <c r="O50" s="85">
        <f>O51+O52+O53</f>
        <v>1257.923</v>
      </c>
      <c r="P50" s="85">
        <f>P51+P52+P53</f>
        <v>1275.043</v>
      </c>
      <c r="Q50" s="85">
        <f>Q51+Q52+Q53</f>
        <v>1525.199</v>
      </c>
      <c r="R50" s="85">
        <f>R51+R52+R53</f>
        <v>1448.963</v>
      </c>
      <c r="S50" s="60">
        <f>R50</f>
        <v>1448.963</v>
      </c>
      <c r="T50" s="85">
        <f>T51+T52+T53</f>
        <v>1746.102</v>
      </c>
      <c r="U50" s="85">
        <f>U51+U52+U53</f>
        <v>1542.227</v>
      </c>
      <c r="V50" s="85">
        <f>V51+V52+V53</f>
        <v>1541.678</v>
      </c>
      <c r="W50" s="85">
        <f>W51+W52+W53</f>
        <v>1683.322</v>
      </c>
      <c r="X50" s="60">
        <f>W50</f>
        <v>1683.322</v>
      </c>
      <c r="Y50" s="85">
        <f>Y51+Y52+Y53</f>
        <v>1671.471</v>
      </c>
      <c r="Z50" s="85">
        <f>Z51+Z52+Z53</f>
        <v>2217.524</v>
      </c>
      <c r="AA50" s="85">
        <f>AA51+AA52+AA53</f>
        <v>2044.687</v>
      </c>
      <c r="AB50" s="85">
        <f>AB51+AB52+AB53</f>
        <v>1957.701</v>
      </c>
      <c r="AC50" s="60">
        <f>AB50</f>
        <v>1957.701</v>
      </c>
      <c r="AD50" s="85">
        <f>AD51+AD52+AD53</f>
        <v>2250.579</v>
      </c>
      <c r="AE50" s="85">
        <f>AE51+AE52+AE53</f>
        <v>1665.678</v>
      </c>
      <c r="AF50" s="85">
        <f>AF51+AF52+AF53</f>
        <v>1758.271</v>
      </c>
      <c r="AG50" s="85">
        <f>AG51+AG52+AG53</f>
        <v>1832.236</v>
      </c>
      <c r="AH50" s="60">
        <f>AG50</f>
        <v>1832.236</v>
      </c>
      <c r="AI50" s="85">
        <f>AI51+AI52+AI53</f>
        <v>2046.819</v>
      </c>
      <c r="AJ50" s="85">
        <f>AJ51+AJ52+AJ53</f>
        <v>1649.739</v>
      </c>
      <c r="AK50" s="85">
        <f>AK51+AK52+AK53</f>
        <v>1916.02245249999</v>
      </c>
      <c r="AL50" s="85">
        <f>AL51+AL52+AL53</f>
        <v>2171.22390499999</v>
      </c>
      <c r="AM50" s="60">
        <f>AL50</f>
        <v>2171.22390499999</v>
      </c>
      <c r="AN50" s="85">
        <f>AN51+AN52+AN53</f>
        <v>2424.41135749999</v>
      </c>
      <c r="AO50" s="85">
        <f>AO51+AO52+AO53</f>
        <v>2706.19581</v>
      </c>
      <c r="AP50" s="85">
        <f>AP51+AP52+AP53</f>
        <v>2972.4792625</v>
      </c>
      <c r="AQ50" s="85">
        <f>AQ51+AQ52+AQ53</f>
        <v>3227.680715</v>
      </c>
      <c r="AR50" s="60">
        <f>AQ50</f>
        <v>3227.680715</v>
      </c>
      <c r="AS50" s="85">
        <f>AS51+AS52+AS53</f>
        <v>3480.8681675</v>
      </c>
      <c r="AT50" s="85">
        <f>AT51+AT52+AT53</f>
        <v>3762.65261999999</v>
      </c>
      <c r="AU50" s="85">
        <f>AU51+AU52+AU53</f>
        <v>4028.93607249999</v>
      </c>
      <c r="AV50" s="85">
        <f>AV51+AV52+AV53</f>
        <v>4284.137525</v>
      </c>
      <c r="AW50" s="60">
        <f>AV50</f>
        <v>4284.137525</v>
      </c>
      <c r="AX50" s="85">
        <f>AX51+AX52+AX53</f>
        <v>4537.32497749999</v>
      </c>
      <c r="AY50" s="85">
        <f>AY51+AY52+AY53</f>
        <v>4819.10943</v>
      </c>
      <c r="AZ50" s="85">
        <f>AZ51+AZ52+AZ53</f>
        <v>5085.39288249999</v>
      </c>
      <c r="BA50" s="85">
        <f>BA51+BA52+BA53</f>
        <v>5340.594335</v>
      </c>
      <c r="BB50" s="60">
        <f>BA50</f>
        <v>5340.594335</v>
      </c>
      <c r="BC50" s="85">
        <f>BC51+BC52+BC53</f>
        <v>5593.78178749999</v>
      </c>
      <c r="BD50" s="85">
        <f>BD51+BD52+BD53</f>
        <v>5875.56624</v>
      </c>
      <c r="BE50" s="85">
        <f>BE51+BE52+BE53</f>
        <v>6141.84969249999</v>
      </c>
      <c r="BF50" s="85">
        <f>BF51+BF52+BF53</f>
        <v>6397.05114499999</v>
      </c>
      <c r="BG50" s="60">
        <f>BF50</f>
        <v>6397.05114499999</v>
      </c>
    </row>
    <row r="51" hidden="1" outlineLevel="1">
      <c r="C51" s="61" t="inlineStr">
        <is>
          <t>Carteira Própria  ← PLUG DE FUNDING</t>
        </is>
      </c>
      <c r="D51" s="62" t="inlineStr">
        <is>
          <t>Own Portfolio (funding plug)</t>
        </is>
      </c>
      <c r="E51" s="57">
        <f>IF(E$14=1,'Inputs (2)'!E39,E42-E78-(E44+E52+E53+E54+E59+E62+E63+E64+E65+E66+E67+E68))</f>
        <v>1102.637</v>
      </c>
      <c r="F51" s="57">
        <f>IF(F$14=1,'Inputs (2)'!F39,F42-F78-(F44+F52+F53+F54+F59+F62+F63+F64+F65+F66+F67+F68))</f>
        <v>1174.817</v>
      </c>
      <c r="G51" s="57">
        <f>IF(G$14=1,'Inputs (2)'!G39,G42-G78-(G44+G52+G53+G54+G59+G62+G63+G64+G65+G66+G67+G68))</f>
        <v>1156.201</v>
      </c>
      <c r="H51" s="57">
        <f>IF(H$14=1,'Inputs (2)'!H39,H42-H78-(H44+H52+H53+H54+H59+H62+H63+H64+H65+H66+H67+H68))</f>
        <v>1354.313</v>
      </c>
      <c r="I51" s="77">
        <f>H51</f>
        <v>1354.313</v>
      </c>
      <c r="J51" s="57">
        <f>IF(J$14=1,'Inputs (2)'!J39,J42-J78-(J44+J52+J53+J54+J59+J62+J63+J64+J65+J66+J67+J68))</f>
        <v>1282.513</v>
      </c>
      <c r="K51" s="57">
        <f>IF(K$14=1,'Inputs (2)'!K39,K42-K78-(K44+K52+K53+K54+K59+K62+K63+K64+K65+K66+K67+K68))</f>
        <v>970.187</v>
      </c>
      <c r="L51" s="57">
        <f>IF(L$14=1,'Inputs (2)'!L39,L42-L78-(L44+L52+L53+L54+L59+L62+L63+L64+L65+L66+L67+L68))</f>
        <v>1085.669</v>
      </c>
      <c r="M51" s="57">
        <f>IF(M$14=1,'Inputs (2)'!M39,M42-M78-(M44+M52+M53+M54+M59+M62+M63+M64+M65+M66+M67+M68))</f>
        <v>1328.942</v>
      </c>
      <c r="N51" s="77">
        <f>M51</f>
        <v>1328.942</v>
      </c>
      <c r="O51" s="57">
        <f>IF(O$14=1,'Inputs (2)'!O39,O42-O78-(O44+O52+O53+O54+O59+O62+O63+O64+O65+O66+O67+O68))</f>
        <v>1257.923</v>
      </c>
      <c r="P51" s="57">
        <f>IF(P$14=1,'Inputs (2)'!P39,P42-P78-(P44+P52+P53+P54+P59+P62+P63+P64+P65+P66+P67+P68))</f>
        <v>1275.043</v>
      </c>
      <c r="Q51" s="57">
        <f>IF(Q$14=1,'Inputs (2)'!Q39,Q42-Q78-(Q44+Q52+Q53+Q54+Q59+Q62+Q63+Q64+Q65+Q66+Q67+Q68))</f>
        <v>1525.199</v>
      </c>
      <c r="R51" s="57">
        <f>IF(R$14=1,'Inputs (2)'!R39,R42-R78-(R44+R52+R53+R54+R59+R62+R63+R64+R65+R66+R67+R68))</f>
        <v>1448.963</v>
      </c>
      <c r="S51" s="77">
        <f>R51</f>
        <v>1448.963</v>
      </c>
      <c r="T51" s="57">
        <f>IF(T$14=1,'Inputs (2)'!T39,T42-T78-(T44+T52+T53+T54+T59+T62+T63+T64+T65+T66+T67+T68))</f>
        <v>1746.102</v>
      </c>
      <c r="U51" s="57">
        <f>IF(U$14=1,'Inputs (2)'!U39,U42-U78-(U44+U52+U53+U54+U59+U62+U63+U64+U65+U66+U67+U68))</f>
        <v>1542.227</v>
      </c>
      <c r="V51" s="57">
        <f>IF(V$14=1,'Inputs (2)'!V39,V42-V78-(V44+V52+V53+V54+V59+V62+V63+V64+V65+V66+V67+V68))</f>
        <v>1541.678</v>
      </c>
      <c r="W51" s="57">
        <f>IF(W$14=1,'Inputs (2)'!W39,W42-W78-(W44+W52+W53+W54+W59+W62+W63+W64+W65+W66+W67+W68))</f>
        <v>1683.322</v>
      </c>
      <c r="X51" s="77">
        <f>W51</f>
        <v>1683.322</v>
      </c>
      <c r="Y51" s="57">
        <f>IF(Y$14=1,'Inputs (2)'!Y39,Y42-Y78-(Y44+Y52+Y53+Y54+Y59+Y62+Y63+Y64+Y65+Y66+Y67+Y68))</f>
        <v>1671.471</v>
      </c>
      <c r="Z51" s="57">
        <f>IF(Z$14=1,'Inputs (2)'!Z39,Z42-Z78-(Z44+Z52+Z53+Z54+Z59+Z62+Z63+Z64+Z65+Z66+Z67+Z68))</f>
        <v>2217.524</v>
      </c>
      <c r="AA51" s="57">
        <f>IF(AA$14=1,'Inputs (2)'!AA39,AA42-AA78-(AA44+AA52+AA53+AA54+AA59+AA62+AA63+AA64+AA65+AA66+AA67+AA68))</f>
        <v>2044.687</v>
      </c>
      <c r="AB51" s="57">
        <f>IF(AB$14=1,'Inputs (2)'!AB39,AB42-AB78-(AB44+AB52+AB53+AB54+AB59+AB62+AB63+AB64+AB65+AB66+AB67+AB68))</f>
        <v>1957.701</v>
      </c>
      <c r="AC51" s="77">
        <f>AB51</f>
        <v>1957.701</v>
      </c>
      <c r="AD51" s="57">
        <f>IF(AD$14=1,'Inputs (2)'!AD39,AD42-AD78-(AD44+AD52+AD53+AD54+AD59+AD62+AD63+AD64+AD65+AD66+AD67+AD68))</f>
        <v>2250.579</v>
      </c>
      <c r="AE51" s="57">
        <f>IF(AE$14=1,'Inputs (2)'!AE39,AE42-AE78-(AE44+AE52+AE53+AE54+AE59+AE62+AE63+AE64+AE65+AE66+AE67+AE68))</f>
        <v>1665.678</v>
      </c>
      <c r="AF51" s="57">
        <f>IF(AF$14=1,'Inputs (2)'!AF39,AF42-AF78-(AF44+AF52+AF53+AF54+AF59+AF62+AF63+AF64+AF65+AF66+AF67+AF68))</f>
        <v>1758.271</v>
      </c>
      <c r="AG51" s="57">
        <f>IF(AG$14=1,'Inputs (2)'!AG39,AG42-AG78-(AG44+AG52+AG53+AG54+AG59+AG62+AG63+AG64+AG65+AG66+AG67+AG68))</f>
        <v>1832.236</v>
      </c>
      <c r="AH51" s="77">
        <f>AG51</f>
        <v>1832.236</v>
      </c>
      <c r="AI51" s="57">
        <f>IF(AI$14=1,'Inputs (2)'!AI39,AI42-AI78-(AI44+AI52+AI53+AI54+AI59+AI62+AI63+AI64+AI65+AI66+AI67+AI68))</f>
        <v>2046.819</v>
      </c>
      <c r="AJ51" s="57">
        <f>IF(AJ$14=1,'Inputs (2)'!AJ39,AJ42-AJ78-(AJ44+AJ52+AJ53+AJ54+AJ59+AJ62+AJ63+AJ64+AJ65+AJ66+AJ67+AJ68))</f>
        <v>1649.739</v>
      </c>
      <c r="AK51" s="57">
        <f>IF(AK$14=1,'Inputs (2)'!AK39,AK42-AK78-(AK44+AK52+AK53+AK54+AK59+AK62+AK63+AK64+AK65+AK66+AK67+AK68))</f>
        <v>1916.02245249999</v>
      </c>
      <c r="AL51" s="57">
        <f>IF(AL$14=1,'Inputs (2)'!AL39,AL42-AL78-(AL44+AL52+AL53+AL54+AL59+AL62+AL63+AL64+AL65+AL66+AL67+AL68))</f>
        <v>2171.22390499999</v>
      </c>
      <c r="AM51" s="77">
        <f>AL51</f>
        <v>2171.22390499999</v>
      </c>
      <c r="AN51" s="57">
        <f>IF(AN$14=1,'Inputs (2)'!AN39,AN42-AN78-(AN44+AN52+AN53+AN54+AN59+AN62+AN63+AN64+AN65+AN66+AN67+AN68))</f>
        <v>2424.41135749999</v>
      </c>
      <c r="AO51" s="57">
        <f>IF(AO$14=1,'Inputs (2)'!AO39,AO42-AO78-(AO44+AO52+AO53+AO54+AO59+AO62+AO63+AO64+AO65+AO66+AO67+AO68))</f>
        <v>2706.19581</v>
      </c>
      <c r="AP51" s="57">
        <f>IF(AP$14=1,'Inputs (2)'!AP39,AP42-AP78-(AP44+AP52+AP53+AP54+AP59+AP62+AP63+AP64+AP65+AP66+AP67+AP68))</f>
        <v>2972.4792625</v>
      </c>
      <c r="AQ51" s="57">
        <f>IF(AQ$14=1,'Inputs (2)'!AQ39,AQ42-AQ78-(AQ44+AQ52+AQ53+AQ54+AQ59+AQ62+AQ63+AQ64+AQ65+AQ66+AQ67+AQ68))</f>
        <v>3227.680715</v>
      </c>
      <c r="AR51" s="77">
        <f>AQ51</f>
        <v>3227.680715</v>
      </c>
      <c r="AS51" s="57">
        <f>IF(AS$14=1,'Inputs (2)'!AS39,AS42-AS78-(AS44+AS52+AS53+AS54+AS59+AS62+AS63+AS64+AS65+AS66+AS67+AS68))</f>
        <v>3480.8681675</v>
      </c>
      <c r="AT51" s="57">
        <f>IF(AT$14=1,'Inputs (2)'!AT39,AT42-AT78-(AT44+AT52+AT53+AT54+AT59+AT62+AT63+AT64+AT65+AT66+AT67+AT68))</f>
        <v>3762.65261999999</v>
      </c>
      <c r="AU51" s="57">
        <f>IF(AU$14=1,'Inputs (2)'!AU39,AU42-AU78-(AU44+AU52+AU53+AU54+AU59+AU62+AU63+AU64+AU65+AU66+AU67+AU68))</f>
        <v>4028.93607249999</v>
      </c>
      <c r="AV51" s="57">
        <f>IF(AV$14=1,'Inputs (2)'!AV39,AV42-AV78-(AV44+AV52+AV53+AV54+AV59+AV62+AV63+AV64+AV65+AV66+AV67+AV68))</f>
        <v>4284.137525</v>
      </c>
      <c r="AW51" s="77">
        <f>AV51</f>
        <v>4284.137525</v>
      </c>
      <c r="AX51" s="57">
        <f>IF(AX$14=1,'Inputs (2)'!AX39,AX42-AX78-(AX44+AX52+AX53+AX54+AX59+AX62+AX63+AX64+AX65+AX66+AX67+AX68))</f>
        <v>4537.32497749999</v>
      </c>
      <c r="AY51" s="57">
        <f>IF(AY$14=1,'Inputs (2)'!AY39,AY42-AY78-(AY44+AY52+AY53+AY54+AY59+AY62+AY63+AY64+AY65+AY66+AY67+AY68))</f>
        <v>4819.10943</v>
      </c>
      <c r="AZ51" s="57">
        <f>IF(AZ$14=1,'Inputs (2)'!AZ39,AZ42-AZ78-(AZ44+AZ52+AZ53+AZ54+AZ59+AZ62+AZ63+AZ64+AZ65+AZ66+AZ67+AZ68))</f>
        <v>5085.39288249999</v>
      </c>
      <c r="BA51" s="57">
        <f>IF(BA$14=1,'Inputs (2)'!BA39,BA42-BA78-(BA44+BA52+BA53+BA54+BA59+BA62+BA63+BA64+BA65+BA66+BA67+BA68))</f>
        <v>5340.594335</v>
      </c>
      <c r="BB51" s="77">
        <f>BA51</f>
        <v>5340.594335</v>
      </c>
      <c r="BC51" s="57">
        <f>IF(BC$14=1,'Inputs (2)'!BC39,BC42-BC78-(BC44+BC52+BC53+BC54+BC59+BC62+BC63+BC64+BC65+BC66+BC67+BC68))</f>
        <v>5593.78178749999</v>
      </c>
      <c r="BD51" s="57">
        <f>IF(BD$14=1,'Inputs (2)'!BD39,BD42-BD78-(BD44+BD52+BD53+BD54+BD59+BD62+BD63+BD64+BD65+BD66+BD67+BD68))</f>
        <v>5875.56624</v>
      </c>
      <c r="BE51" s="57">
        <f>IF(BE$14=1,'Inputs (2)'!BE39,BE42-BE78-(BE44+BE52+BE53+BE54+BE59+BE62+BE63+BE64+BE65+BE66+BE67+BE68))</f>
        <v>6141.84969249999</v>
      </c>
      <c r="BF51" s="57">
        <f>IF(BF$14=1,'Inputs (2)'!BF39,BF42-BF78-(BF44+BF52+BF53+BF54+BF59+BF62+BF63+BF64+BF65+BF66+BF67+BF68))</f>
        <v>6397.05114499999</v>
      </c>
      <c r="BG51" s="77">
        <f>BF51</f>
        <v>6397.05114499999</v>
      </c>
      <c r="BI51" s="14" t="inlineStr">
        <is>
          <t>Linha de fechamento do balanço na projeção: absorve a diferença entre ativo, demais passivos e patrimônio líquido. Se ficar negativa, revise os drivers de funding.</t>
        </is>
      </c>
    </row>
    <row r="52" hidden="1" outlineLevel="1">
      <c r="C52" s="61" t="inlineStr">
        <is>
          <t>Carteira de Terceiros</t>
        </is>
      </c>
      <c r="D52" s="62" t="inlineStr">
        <is>
          <t>Third-Party Portfolio</t>
        </is>
      </c>
      <c r="E52" s="57">
        <f>'Inputs (2)'!E40</f>
        <v>0</v>
      </c>
      <c r="F52" s="57">
        <f>IF(F$14=1,'Inputs (2)'!F40,E52)</f>
        <v>0</v>
      </c>
      <c r="G52" s="57">
        <f>IF(G$14=1,'Inputs (2)'!G40,F52)</f>
        <v>0</v>
      </c>
      <c r="H52" s="57">
        <f>IF(H$14=1,'Inputs (2)'!H40,G52)</f>
        <v>0</v>
      </c>
      <c r="I52" s="77">
        <f>H52</f>
        <v>0</v>
      </c>
      <c r="J52" s="57">
        <f>IF(J$14=1,'Inputs (2)'!J40,H52)</f>
        <v>0</v>
      </c>
      <c r="K52" s="57">
        <f>IF(K$14=1,'Inputs (2)'!K40,J52)</f>
        <v>0</v>
      </c>
      <c r="L52" s="57">
        <f>IF(L$14=1,'Inputs (2)'!L40,K52)</f>
        <v>0</v>
      </c>
      <c r="M52" s="57">
        <f>IF(M$14=1,'Inputs (2)'!M40,L52)</f>
        <v>0</v>
      </c>
      <c r="N52" s="77">
        <f>M52</f>
        <v>0</v>
      </c>
      <c r="O52" s="57">
        <f>IF(O$14=1,'Inputs (2)'!O40,M52)</f>
        <v>0</v>
      </c>
      <c r="P52" s="57">
        <f>IF(P$14=1,'Inputs (2)'!P40,O52)</f>
        <v>0</v>
      </c>
      <c r="Q52" s="57">
        <f>IF(Q$14=1,'Inputs (2)'!Q40,P52)</f>
        <v>0</v>
      </c>
      <c r="R52" s="57">
        <f>IF(R$14=1,'Inputs (2)'!R40,Q52)</f>
        <v>0</v>
      </c>
      <c r="S52" s="77">
        <f>R52</f>
        <v>0</v>
      </c>
      <c r="T52" s="57">
        <f>IF(T$14=1,'Inputs (2)'!T40,R52)</f>
        <v>0</v>
      </c>
      <c r="U52" s="57">
        <f>IF(U$14=1,'Inputs (2)'!U40,T52)</f>
        <v>0</v>
      </c>
      <c r="V52" s="57">
        <f>IF(V$14=1,'Inputs (2)'!V40,U52)</f>
        <v>0</v>
      </c>
      <c r="W52" s="57">
        <f>IF(W$14=1,'Inputs (2)'!W40,V52)</f>
        <v>0</v>
      </c>
      <c r="X52" s="77">
        <f>W52</f>
        <v>0</v>
      </c>
      <c r="Y52" s="57">
        <f>IF(Y$14=1,'Inputs (2)'!Y40,W52)</f>
        <v>0</v>
      </c>
      <c r="Z52" s="57">
        <f>IF(Z$14=1,'Inputs (2)'!Z40,Y52)</f>
        <v>0</v>
      </c>
      <c r="AA52" s="57">
        <f>IF(AA$14=1,'Inputs (2)'!AA40,Z52)</f>
        <v>0</v>
      </c>
      <c r="AB52" s="57">
        <f>IF(AB$14=1,'Inputs (2)'!AB40,AA52)</f>
        <v>0</v>
      </c>
      <c r="AC52" s="77">
        <f>AB52</f>
        <v>0</v>
      </c>
      <c r="AD52" s="57">
        <f>IF(AD$14=1,'Inputs (2)'!AD40,AB52)</f>
        <v>0</v>
      </c>
      <c r="AE52" s="57">
        <f>IF(AE$14=1,'Inputs (2)'!AE40,AD52)</f>
        <v>0</v>
      </c>
      <c r="AF52" s="57">
        <f>IF(AF$14=1,'Inputs (2)'!AF40,AE52)</f>
        <v>0</v>
      </c>
      <c r="AG52" s="57">
        <f>IF(AG$14=1,'Inputs (2)'!AG40,AF52)</f>
        <v>0</v>
      </c>
      <c r="AH52" s="77">
        <f>AG52</f>
        <v>0</v>
      </c>
      <c r="AI52" s="57">
        <f>IF(AI$14=1,'Inputs (2)'!AI40,AG52)</f>
        <v>0</v>
      </c>
      <c r="AJ52" s="57">
        <f>IF(AJ$14=1,'Inputs (2)'!AJ40,AI52)</f>
        <v>0</v>
      </c>
      <c r="AK52" s="57">
        <f>IF(AK$14=1,'Inputs (2)'!AK40,AJ52)</f>
        <v>0</v>
      </c>
      <c r="AL52" s="57">
        <f>IF(AL$14=1,'Inputs (2)'!AL40,AK52)</f>
        <v>0</v>
      </c>
      <c r="AM52" s="77">
        <f>AL52</f>
        <v>0</v>
      </c>
      <c r="AN52" s="57">
        <f>IF(AN$14=1,'Inputs (2)'!AN40,AL52)</f>
        <v>0</v>
      </c>
      <c r="AO52" s="57">
        <f>IF(AO$14=1,'Inputs (2)'!AO40,AN52)</f>
        <v>0</v>
      </c>
      <c r="AP52" s="57">
        <f>IF(AP$14=1,'Inputs (2)'!AP40,AO52)</f>
        <v>0</v>
      </c>
      <c r="AQ52" s="57">
        <f>IF(AQ$14=1,'Inputs (2)'!AQ40,AP52)</f>
        <v>0</v>
      </c>
      <c r="AR52" s="77">
        <f>AQ52</f>
        <v>0</v>
      </c>
      <c r="AS52" s="57">
        <f>IF(AS$14=1,'Inputs (2)'!AS40,AQ52)</f>
        <v>0</v>
      </c>
      <c r="AT52" s="57">
        <f>IF(AT$14=1,'Inputs (2)'!AT40,AS52)</f>
        <v>0</v>
      </c>
      <c r="AU52" s="57">
        <f>IF(AU$14=1,'Inputs (2)'!AU40,AT52)</f>
        <v>0</v>
      </c>
      <c r="AV52" s="57">
        <f>IF(AV$14=1,'Inputs (2)'!AV40,AU52)</f>
        <v>0</v>
      </c>
      <c r="AW52" s="77">
        <f>AV52</f>
        <v>0</v>
      </c>
      <c r="AX52" s="57">
        <f>IF(AX$14=1,'Inputs (2)'!AX40,AV52)</f>
        <v>0</v>
      </c>
      <c r="AY52" s="57">
        <f>IF(AY$14=1,'Inputs (2)'!AY40,AX52)</f>
        <v>0</v>
      </c>
      <c r="AZ52" s="57">
        <f>IF(AZ$14=1,'Inputs (2)'!AZ40,AY52)</f>
        <v>0</v>
      </c>
      <c r="BA52" s="57">
        <f>IF(BA$14=1,'Inputs (2)'!BA40,AZ52)</f>
        <v>0</v>
      </c>
      <c r="BB52" s="77">
        <f>BA52</f>
        <v>0</v>
      </c>
      <c r="BC52" s="57">
        <f>IF(BC$14=1,'Inputs (2)'!BC40,BA52)</f>
        <v>0</v>
      </c>
      <c r="BD52" s="57">
        <f>IF(BD$14=1,'Inputs (2)'!BD40,BC52)</f>
        <v>0</v>
      </c>
      <c r="BE52" s="57">
        <f>IF(BE$14=1,'Inputs (2)'!BE40,BD52)</f>
        <v>0</v>
      </c>
      <c r="BF52" s="57">
        <f>IF(BF$14=1,'Inputs (2)'!BF40,BE52)</f>
        <v>0</v>
      </c>
      <c r="BG52" s="77">
        <f>BF52</f>
        <v>0</v>
      </c>
    </row>
    <row r="53" hidden="1" outlineLevel="1">
      <c r="C53" s="61" t="inlineStr">
        <is>
          <t>Carteira de Livre Movimentação</t>
        </is>
      </c>
      <c r="D53" s="62" t="inlineStr">
        <is>
          <t>Unrestricted Portfolio</t>
        </is>
      </c>
      <c r="E53" s="57">
        <f>'Inputs (2)'!E41</f>
        <v>0</v>
      </c>
      <c r="F53" s="57">
        <f>IF(F$14=1,'Inputs (2)'!F41,E53)</f>
        <v>0</v>
      </c>
      <c r="G53" s="57">
        <f>IF(G$14=1,'Inputs (2)'!G41,F53)</f>
        <v>0</v>
      </c>
      <c r="H53" s="57">
        <f>IF(H$14=1,'Inputs (2)'!H41,G53)</f>
        <v>0</v>
      </c>
      <c r="I53" s="77">
        <f>H53</f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>M53</f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>R53</f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>W53</f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>AB53</f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>AG53</f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>AL53</f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>AQ53</f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>AV53</f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>BA53</f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>BF53</f>
        <v>0</v>
      </c>
    </row>
    <row r="54" collapsed="1">
      <c r="C54" s="83" t="inlineStr">
        <is>
          <t>Instrumentos de Dívida</t>
        </is>
      </c>
      <c r="D54" s="84" t="inlineStr">
        <is>
          <t>Debt Instruments</t>
        </is>
      </c>
      <c r="E54" s="85">
        <f>E55+E56+E57+E58</f>
        <v>9271.411</v>
      </c>
      <c r="F54" s="85">
        <f>F55+F56+F57+F58</f>
        <v>10027.319</v>
      </c>
      <c r="G54" s="85">
        <f>G55+G56+G57+G58</f>
        <v>9236.709</v>
      </c>
      <c r="H54" s="85">
        <f>H55+H56+H57+H58</f>
        <v>10432.1</v>
      </c>
      <c r="I54" s="60">
        <f>H54</f>
        <v>10432.1</v>
      </c>
      <c r="J54" s="85">
        <f>J55+J56+J57+J58</f>
        <v>10993.683</v>
      </c>
      <c r="K54" s="85">
        <f>K55+K56+K57+K58</f>
        <v>10654.499</v>
      </c>
      <c r="L54" s="85">
        <f>L55+L56+L57+L58</f>
        <v>12150.857</v>
      </c>
      <c r="M54" s="85">
        <f>M55+M56+M57+M58</f>
        <v>12345.024</v>
      </c>
      <c r="N54" s="60">
        <f>M54</f>
        <v>12345.024</v>
      </c>
      <c r="O54" s="85">
        <f>O55+O56+O57+O58</f>
        <v>14018.464</v>
      </c>
      <c r="P54" s="85">
        <f>P55+P56+P57+P58</f>
        <v>15374.139</v>
      </c>
      <c r="Q54" s="85">
        <f>Q55+Q56+Q57+Q58</f>
        <v>16595.147</v>
      </c>
      <c r="R54" s="85">
        <f>R55+R56+R57+R58</f>
        <v>17351.698</v>
      </c>
      <c r="S54" s="60">
        <f>R54</f>
        <v>17351.698</v>
      </c>
      <c r="T54" s="85">
        <f>T55+T56+T57+T58</f>
        <v>17015.763</v>
      </c>
      <c r="U54" s="85">
        <f>U55+U56+U57+U58</f>
        <v>18736.716</v>
      </c>
      <c r="V54" s="85">
        <f>V55+V56+V57+V58</f>
        <v>19393.512</v>
      </c>
      <c r="W54" s="85">
        <f>W55+W56+W57+W58</f>
        <v>19805.243</v>
      </c>
      <c r="X54" s="60">
        <f>W54</f>
        <v>19805.243</v>
      </c>
      <c r="Y54" s="85">
        <f>Y55+Y56+Y57+Y58</f>
        <v>21283.659</v>
      </c>
      <c r="Z54" s="85">
        <f>Z55+Z56+Z57+Z58</f>
        <v>21587.539</v>
      </c>
      <c r="AA54" s="85">
        <f>AA55+AA56+AA57+AA58</f>
        <v>22184.641</v>
      </c>
      <c r="AB54" s="85">
        <f>AB55+AB56+AB57+AB58</f>
        <v>23149.896</v>
      </c>
      <c r="AC54" s="60">
        <f>AB54</f>
        <v>23149.896</v>
      </c>
      <c r="AD54" s="85">
        <f>AD55+AD56+AD57+AD58</f>
        <v>27294.157</v>
      </c>
      <c r="AE54" s="85">
        <f>AE55+AE56+AE57+AE58</f>
        <v>27613.283</v>
      </c>
      <c r="AF54" s="85">
        <f>AF55+AF56+AF57+AF58</f>
        <v>27131.022</v>
      </c>
      <c r="AG54" s="85">
        <f>AG55+AG56+AG57+AG58</f>
        <v>27595.851</v>
      </c>
      <c r="AH54" s="60">
        <f>AG54</f>
        <v>27595.851</v>
      </c>
      <c r="AI54" s="85">
        <f>AI55+AI56+AI57+AI58</f>
        <v>28844.937</v>
      </c>
      <c r="AJ54" s="85">
        <f>AJ55+AJ56+AJ57+AJ58</f>
        <v>29238.981</v>
      </c>
      <c r="AK54" s="85">
        <f>AK55+AK56+AK57+AK58</f>
        <v>29238.981</v>
      </c>
      <c r="AL54" s="85">
        <f>AL55+AL56+AL57+AL58</f>
        <v>29238.981</v>
      </c>
      <c r="AM54" s="60">
        <f>AL54</f>
        <v>29238.981</v>
      </c>
      <c r="AN54" s="85">
        <f>AN55+AN56+AN57+AN58</f>
        <v>29238.981</v>
      </c>
      <c r="AO54" s="85">
        <f>AO55+AO56+AO57+AO58</f>
        <v>29238.981</v>
      </c>
      <c r="AP54" s="85">
        <f>AP55+AP56+AP57+AP58</f>
        <v>29238.981</v>
      </c>
      <c r="AQ54" s="85">
        <f>AQ55+AQ56+AQ57+AQ58</f>
        <v>29238.981</v>
      </c>
      <c r="AR54" s="60">
        <f>AQ54</f>
        <v>29238.981</v>
      </c>
      <c r="AS54" s="85">
        <f>AS55+AS56+AS57+AS58</f>
        <v>29238.981</v>
      </c>
      <c r="AT54" s="85">
        <f>AT55+AT56+AT57+AT58</f>
        <v>29238.981</v>
      </c>
      <c r="AU54" s="85">
        <f>AU55+AU56+AU57+AU58</f>
        <v>29238.981</v>
      </c>
      <c r="AV54" s="85">
        <f>AV55+AV56+AV57+AV58</f>
        <v>29238.981</v>
      </c>
      <c r="AW54" s="60">
        <f>AV54</f>
        <v>29238.981</v>
      </c>
      <c r="AX54" s="85">
        <f>AX55+AX56+AX57+AX58</f>
        <v>29238.981</v>
      </c>
      <c r="AY54" s="85">
        <f>AY55+AY56+AY57+AY58</f>
        <v>29238.981</v>
      </c>
      <c r="AZ54" s="85">
        <f>AZ55+AZ56+AZ57+AZ58</f>
        <v>29238.981</v>
      </c>
      <c r="BA54" s="85">
        <f>BA55+BA56+BA57+BA58</f>
        <v>29238.981</v>
      </c>
      <c r="BB54" s="60">
        <f>BA54</f>
        <v>29238.981</v>
      </c>
      <c r="BC54" s="85">
        <f>BC55+BC56+BC57+BC58</f>
        <v>29238.981</v>
      </c>
      <c r="BD54" s="85">
        <f>BD55+BD56+BD57+BD58</f>
        <v>29238.981</v>
      </c>
      <c r="BE54" s="85">
        <f>BE55+BE56+BE57+BE58</f>
        <v>29238.981</v>
      </c>
      <c r="BF54" s="85">
        <f>BF55+BF56+BF57+BF58</f>
        <v>29238.981</v>
      </c>
      <c r="BG54" s="60">
        <f>BF54</f>
        <v>29238.981</v>
      </c>
    </row>
    <row r="55" hidden="1" outlineLevel="1">
      <c r="C55" s="61" t="inlineStr">
        <is>
          <t>Recursos de Emissões (LF, LCI, LCA, LIG)</t>
        </is>
      </c>
      <c r="D55" s="62" t="inlineStr">
        <is>
          <t>Funds from Issuances</t>
        </is>
      </c>
      <c r="E55" s="57">
        <f>'Inputs (2)'!E43</f>
        <v>9271.411</v>
      </c>
      <c r="F55" s="57">
        <f>IF(F$14=1,'Inputs (2)'!F43,E55*(1+Inputs!F$278))</f>
        <v>10027.319</v>
      </c>
      <c r="G55" s="57">
        <f>IF(G$14=1,'Inputs (2)'!G43,F55*(1+Inputs!G$278))</f>
        <v>9236.709</v>
      </c>
      <c r="H55" s="57">
        <f>IF(H$14=1,'Inputs (2)'!H43,G55*(1+Inputs!H$278))</f>
        <v>10432.1</v>
      </c>
      <c r="I55" s="77">
        <f>H55</f>
        <v>10432.1</v>
      </c>
      <c r="J55" s="57">
        <f>IF(J$14=1,'Inputs (2)'!J43,H55*(1+Inputs!J$278))</f>
        <v>10993.683</v>
      </c>
      <c r="K55" s="57">
        <f>IF(K$14=1,'Inputs (2)'!K43,J55*(1+Inputs!K$278))</f>
        <v>10654.499</v>
      </c>
      <c r="L55" s="57">
        <f>IF(L$14=1,'Inputs (2)'!L43,K55*(1+Inputs!L$278))</f>
        <v>12150.857</v>
      </c>
      <c r="M55" s="57">
        <f>IF(M$14=1,'Inputs (2)'!M43,L55*(1+Inputs!M$278))</f>
        <v>12345.024</v>
      </c>
      <c r="N55" s="77">
        <f>M55</f>
        <v>12345.024</v>
      </c>
      <c r="O55" s="57">
        <f>IF(O$14=1,'Inputs (2)'!O43,M55*(1+Inputs!O$278))</f>
        <v>14018.464</v>
      </c>
      <c r="P55" s="57">
        <f>IF(P$14=1,'Inputs (2)'!P43,O55*(1+Inputs!P$278))</f>
        <v>15374.139</v>
      </c>
      <c r="Q55" s="57">
        <f>IF(Q$14=1,'Inputs (2)'!Q43,P55*(1+Inputs!Q$278))</f>
        <v>16595.147</v>
      </c>
      <c r="R55" s="57">
        <f>IF(R$14=1,'Inputs (2)'!R43,Q55*(1+Inputs!R$278))</f>
        <v>17351.698</v>
      </c>
      <c r="S55" s="77">
        <f>R55</f>
        <v>17351.698</v>
      </c>
      <c r="T55" s="57">
        <f>IF(T$14=1,'Inputs (2)'!T43,R55*(1+Inputs!T$278))</f>
        <v>17015.763</v>
      </c>
      <c r="U55" s="57">
        <f>IF(U$14=1,'Inputs (2)'!U43,T55*(1+Inputs!U$278))</f>
        <v>18736.716</v>
      </c>
      <c r="V55" s="57">
        <f>IF(V$14=1,'Inputs (2)'!V43,U55*(1+Inputs!V$278))</f>
        <v>19393.512</v>
      </c>
      <c r="W55" s="57">
        <f>IF(W$14=1,'Inputs (2)'!W43,V55*(1+Inputs!W$278))</f>
        <v>19805.243</v>
      </c>
      <c r="X55" s="77">
        <f>W55</f>
        <v>19805.243</v>
      </c>
      <c r="Y55" s="57">
        <f>IF(Y$14=1,'Inputs (2)'!Y43,W55*(1+Inputs!Y$278))</f>
        <v>21283.659</v>
      </c>
      <c r="Z55" s="57">
        <f>IF(Z$14=1,'Inputs (2)'!Z43,Y55*(1+Inputs!Z$278))</f>
        <v>21587.539</v>
      </c>
      <c r="AA55" s="57">
        <f>IF(AA$14=1,'Inputs (2)'!AA43,Z55*(1+Inputs!AA$278))</f>
        <v>22184.641</v>
      </c>
      <c r="AB55" s="57">
        <f>IF(AB$14=1,'Inputs (2)'!AB43,AA55*(1+Inputs!AB$278))</f>
        <v>23149.896</v>
      </c>
      <c r="AC55" s="77">
        <f>AB55</f>
        <v>23149.896</v>
      </c>
      <c r="AD55" s="57">
        <f>IF(AD$14=1,'Inputs (2)'!AD43,AB55*(1+Inputs!AD$278))</f>
        <v>23621.809</v>
      </c>
      <c r="AE55" s="57">
        <f>IF(AE$14=1,'Inputs (2)'!AE43,AD55*(1+Inputs!AE$278))</f>
        <v>24306.625</v>
      </c>
      <c r="AF55" s="57">
        <f>IF(AF$14=1,'Inputs (2)'!AF43,AE55*(1+Inputs!AF$278))</f>
        <v>24258.526</v>
      </c>
      <c r="AG55" s="57">
        <f>IF(AG$14=1,'Inputs (2)'!AG43,AF55*(1+Inputs!AG$278))</f>
        <v>24951.604</v>
      </c>
      <c r="AH55" s="77">
        <f>AG55</f>
        <v>24951.604</v>
      </c>
      <c r="AI55" s="57">
        <f>IF(AI$14=1,'Inputs (2)'!AI43,AG55*(1+Inputs!AI$278))</f>
        <v>26141.155</v>
      </c>
      <c r="AJ55" s="57">
        <f>IF(AJ$14=1,'Inputs (2)'!AJ43,AI55*(1+Inputs!AJ$278))</f>
        <v>26542.848</v>
      </c>
      <c r="AK55" s="57">
        <f>IF(AK$14=1,'Inputs (2)'!AK43,AJ55*(1+Inputs!AK$278))</f>
        <v>26542.848</v>
      </c>
      <c r="AL55" s="57">
        <f>IF(AL$14=1,'Inputs (2)'!AL43,AK55*(1+Inputs!AL$278))</f>
        <v>26542.848</v>
      </c>
      <c r="AM55" s="77">
        <f>AL55</f>
        <v>26542.848</v>
      </c>
      <c r="AN55" s="57">
        <f>IF(AN$14=1,'Inputs (2)'!AN43,AL55*(1+Inputs!AN$278))</f>
        <v>26542.848</v>
      </c>
      <c r="AO55" s="57">
        <f>IF(AO$14=1,'Inputs (2)'!AO43,AN55*(1+Inputs!AO$278))</f>
        <v>26542.848</v>
      </c>
      <c r="AP55" s="57">
        <f>IF(AP$14=1,'Inputs (2)'!AP43,AO55*(1+Inputs!AP$278))</f>
        <v>26542.848</v>
      </c>
      <c r="AQ55" s="57">
        <f>IF(AQ$14=1,'Inputs (2)'!AQ43,AP55*(1+Inputs!AQ$278))</f>
        <v>26542.848</v>
      </c>
      <c r="AR55" s="77">
        <f>AQ55</f>
        <v>26542.848</v>
      </c>
      <c r="AS55" s="57">
        <f>IF(AS$14=1,'Inputs (2)'!AS43,AQ55*(1+Inputs!AS$278))</f>
        <v>26542.848</v>
      </c>
      <c r="AT55" s="57">
        <f>IF(AT$14=1,'Inputs (2)'!AT43,AS55*(1+Inputs!AT$278))</f>
        <v>26542.848</v>
      </c>
      <c r="AU55" s="57">
        <f>IF(AU$14=1,'Inputs (2)'!AU43,AT55*(1+Inputs!AU$278))</f>
        <v>26542.848</v>
      </c>
      <c r="AV55" s="57">
        <f>IF(AV$14=1,'Inputs (2)'!AV43,AU55*(1+Inputs!AV$278))</f>
        <v>26542.848</v>
      </c>
      <c r="AW55" s="77">
        <f>AV55</f>
        <v>26542.848</v>
      </c>
      <c r="AX55" s="57">
        <f>IF(AX$14=1,'Inputs (2)'!AX43,AV55*(1+Inputs!AX$278))</f>
        <v>26542.848</v>
      </c>
      <c r="AY55" s="57">
        <f>IF(AY$14=1,'Inputs (2)'!AY43,AX55*(1+Inputs!AY$278))</f>
        <v>26542.848</v>
      </c>
      <c r="AZ55" s="57">
        <f>IF(AZ$14=1,'Inputs (2)'!AZ43,AY55*(1+Inputs!AZ$278))</f>
        <v>26542.848</v>
      </c>
      <c r="BA55" s="57">
        <f>IF(BA$14=1,'Inputs (2)'!BA43,AZ55*(1+Inputs!BA$278))</f>
        <v>26542.848</v>
      </c>
      <c r="BB55" s="77">
        <f>BA55</f>
        <v>26542.848</v>
      </c>
      <c r="BC55" s="57">
        <f>IF(BC$14=1,'Inputs (2)'!BC43,BA55*(1+Inputs!BC$278))</f>
        <v>26542.848</v>
      </c>
      <c r="BD55" s="57">
        <f>IF(BD$14=1,'Inputs (2)'!BD43,BC55*(1+Inputs!BD$278))</f>
        <v>26542.848</v>
      </c>
      <c r="BE55" s="57">
        <f>IF(BE$14=1,'Inputs (2)'!BE43,BD55*(1+Inputs!BE$278))</f>
        <v>26542.848</v>
      </c>
      <c r="BF55" s="57">
        <f>IF(BF$14=1,'Inputs (2)'!BF43,BE55*(1+Inputs!BF$278))</f>
        <v>26542.848</v>
      </c>
      <c r="BG55" s="77">
        <f>BF55</f>
        <v>26542.848</v>
      </c>
    </row>
    <row r="56" hidden="1" outlineLevel="1">
      <c r="C56" s="61" t="inlineStr">
        <is>
          <t>Obrigações por TVM no Exterior</t>
        </is>
      </c>
      <c r="D56" s="62" t="inlineStr">
        <is>
          <t>Securities Abroad</t>
        </is>
      </c>
      <c r="E56" s="57">
        <f>'Inputs (2)'!E44</f>
        <v>0</v>
      </c>
      <c r="F56" s="57">
        <f>IF(F$14=1,'Inputs (2)'!F44,E56*(1+Inputs!F$278))</f>
        <v>0</v>
      </c>
      <c r="G56" s="57">
        <f>IF(G$14=1,'Inputs (2)'!G44,F56*(1+Inputs!G$278))</f>
        <v>0</v>
      </c>
      <c r="H56" s="57">
        <f>IF(H$14=1,'Inputs (2)'!H44,G56*(1+Inputs!H$278))</f>
        <v>0</v>
      </c>
      <c r="I56" s="77">
        <f>H56</f>
        <v>0</v>
      </c>
      <c r="J56" s="57">
        <f>IF(J$14=1,'Inputs (2)'!J44,H56*(1+Inputs!J$278))</f>
        <v>0</v>
      </c>
      <c r="K56" s="57">
        <f>IF(K$14=1,'Inputs (2)'!K44,J56*(1+Inputs!K$278))</f>
        <v>0</v>
      </c>
      <c r="L56" s="57">
        <f>IF(L$14=1,'Inputs (2)'!L44,K56*(1+Inputs!L$278))</f>
        <v>0</v>
      </c>
      <c r="M56" s="57">
        <f>IF(M$14=1,'Inputs (2)'!M44,L56*(1+Inputs!M$278))</f>
        <v>0</v>
      </c>
      <c r="N56" s="77">
        <f>M56</f>
        <v>0</v>
      </c>
      <c r="O56" s="57">
        <f>IF(O$14=1,'Inputs (2)'!O44,M56*(1+Inputs!O$278))</f>
        <v>0</v>
      </c>
      <c r="P56" s="57">
        <f>IF(P$14=1,'Inputs (2)'!P44,O56*(1+Inputs!P$278))</f>
        <v>0</v>
      </c>
      <c r="Q56" s="57">
        <f>IF(Q$14=1,'Inputs (2)'!Q44,P56*(1+Inputs!Q$278))</f>
        <v>0</v>
      </c>
      <c r="R56" s="57">
        <f>IF(R$14=1,'Inputs (2)'!R44,Q56*(1+Inputs!R$278))</f>
        <v>0</v>
      </c>
      <c r="S56" s="77">
        <f>R56</f>
        <v>0</v>
      </c>
      <c r="T56" s="57">
        <f>IF(T$14=1,'Inputs (2)'!T44,R56*(1+Inputs!T$278))</f>
        <v>0</v>
      </c>
      <c r="U56" s="57">
        <f>IF(U$14=1,'Inputs (2)'!U44,T56*(1+Inputs!U$278))</f>
        <v>0</v>
      </c>
      <c r="V56" s="57">
        <f>IF(V$14=1,'Inputs (2)'!V44,U56*(1+Inputs!V$278))</f>
        <v>0</v>
      </c>
      <c r="W56" s="57">
        <f>IF(W$14=1,'Inputs (2)'!W44,V56*(1+Inputs!W$278))</f>
        <v>0</v>
      </c>
      <c r="X56" s="77">
        <f>W56</f>
        <v>0</v>
      </c>
      <c r="Y56" s="57">
        <f>IF(Y$14=1,'Inputs (2)'!Y44,W56*(1+Inputs!Y$278))</f>
        <v>0</v>
      </c>
      <c r="Z56" s="57">
        <f>IF(Z$14=1,'Inputs (2)'!Z44,Y56*(1+Inputs!Z$278))</f>
        <v>0</v>
      </c>
      <c r="AA56" s="57">
        <f>IF(AA$14=1,'Inputs (2)'!AA44,Z56*(1+Inputs!AA$278))</f>
        <v>0</v>
      </c>
      <c r="AB56" s="57">
        <f>IF(AB$14=1,'Inputs (2)'!AB44,AA56*(1+Inputs!AB$278))</f>
        <v>0</v>
      </c>
      <c r="AC56" s="77">
        <f>AB56</f>
        <v>0</v>
      </c>
      <c r="AD56" s="57">
        <f>IF(AD$14=1,'Inputs (2)'!AD44,AB56*(1+Inputs!AD$278))</f>
        <v>0</v>
      </c>
      <c r="AE56" s="57">
        <f>IF(AE$14=1,'Inputs (2)'!AE44,AD56*(1+Inputs!AE$278))</f>
        <v>0</v>
      </c>
      <c r="AF56" s="57">
        <f>IF(AF$14=1,'Inputs (2)'!AF44,AE56*(1+Inputs!AF$278))</f>
        <v>0</v>
      </c>
      <c r="AG56" s="57">
        <f>IF(AG$14=1,'Inputs (2)'!AG44,AF56*(1+Inputs!AG$278))</f>
        <v>0</v>
      </c>
      <c r="AH56" s="77">
        <f>AG56</f>
        <v>0</v>
      </c>
      <c r="AI56" s="57">
        <f>IF(AI$14=1,'Inputs (2)'!AI44,AG56*(1+Inputs!AI$278))</f>
        <v>0</v>
      </c>
      <c r="AJ56" s="57">
        <f>IF(AJ$14=1,'Inputs (2)'!AJ44,AI56*(1+Inputs!AJ$278))</f>
        <v>0</v>
      </c>
      <c r="AK56" s="57">
        <f>IF(AK$14=1,'Inputs (2)'!AK44,AJ56*(1+Inputs!AK$278))</f>
        <v>0</v>
      </c>
      <c r="AL56" s="57">
        <f>IF(AL$14=1,'Inputs (2)'!AL44,AK56*(1+Inputs!AL$278))</f>
        <v>0</v>
      </c>
      <c r="AM56" s="77">
        <f>AL56</f>
        <v>0</v>
      </c>
      <c r="AN56" s="57">
        <f>IF(AN$14=1,'Inputs (2)'!AN44,AL56*(1+Inputs!AN$278))</f>
        <v>0</v>
      </c>
      <c r="AO56" s="57">
        <f>IF(AO$14=1,'Inputs (2)'!AO44,AN56*(1+Inputs!AO$278))</f>
        <v>0</v>
      </c>
      <c r="AP56" s="57">
        <f>IF(AP$14=1,'Inputs (2)'!AP44,AO56*(1+Inputs!AP$278))</f>
        <v>0</v>
      </c>
      <c r="AQ56" s="57">
        <f>IF(AQ$14=1,'Inputs (2)'!AQ44,AP56*(1+Inputs!AQ$278))</f>
        <v>0</v>
      </c>
      <c r="AR56" s="77">
        <f>AQ56</f>
        <v>0</v>
      </c>
      <c r="AS56" s="57">
        <f>IF(AS$14=1,'Inputs (2)'!AS44,AQ56*(1+Inputs!AS$278))</f>
        <v>0</v>
      </c>
      <c r="AT56" s="57">
        <f>IF(AT$14=1,'Inputs (2)'!AT44,AS56*(1+Inputs!AT$278))</f>
        <v>0</v>
      </c>
      <c r="AU56" s="57">
        <f>IF(AU$14=1,'Inputs (2)'!AU44,AT56*(1+Inputs!AU$278))</f>
        <v>0</v>
      </c>
      <c r="AV56" s="57">
        <f>IF(AV$14=1,'Inputs (2)'!AV44,AU56*(1+Inputs!AV$278))</f>
        <v>0</v>
      </c>
      <c r="AW56" s="77">
        <f>AV56</f>
        <v>0</v>
      </c>
      <c r="AX56" s="57">
        <f>IF(AX$14=1,'Inputs (2)'!AX44,AV56*(1+Inputs!AX$278))</f>
        <v>0</v>
      </c>
      <c r="AY56" s="57">
        <f>IF(AY$14=1,'Inputs (2)'!AY44,AX56*(1+Inputs!AY$278))</f>
        <v>0</v>
      </c>
      <c r="AZ56" s="57">
        <f>IF(AZ$14=1,'Inputs (2)'!AZ44,AY56*(1+Inputs!AZ$278))</f>
        <v>0</v>
      </c>
      <c r="BA56" s="57">
        <f>IF(BA$14=1,'Inputs (2)'!BA44,AZ56*(1+Inputs!BA$278))</f>
        <v>0</v>
      </c>
      <c r="BB56" s="77">
        <f>BA56</f>
        <v>0</v>
      </c>
      <c r="BC56" s="57">
        <f>IF(BC$14=1,'Inputs (2)'!BC44,BA56*(1+Inputs!BC$278))</f>
        <v>0</v>
      </c>
      <c r="BD56" s="57">
        <f>IF(BD$14=1,'Inputs (2)'!BD44,BC56*(1+Inputs!BD$278))</f>
        <v>0</v>
      </c>
      <c r="BE56" s="57">
        <f>IF(BE$14=1,'Inputs (2)'!BE44,BD56*(1+Inputs!BE$278))</f>
        <v>0</v>
      </c>
      <c r="BF56" s="57">
        <f>IF(BF$14=1,'Inputs (2)'!BF44,BE56*(1+Inputs!BF$278))</f>
        <v>0</v>
      </c>
      <c r="BG56" s="77">
        <f>BF56</f>
        <v>0</v>
      </c>
    </row>
    <row r="57" hidden="1" outlineLevel="1">
      <c r="C57" s="61" t="inlineStr">
        <is>
          <t>Captação por Certificados de Operações Estruturadas</t>
        </is>
      </c>
      <c r="D57" s="62" t="inlineStr">
        <is>
          <t>COE</t>
        </is>
      </c>
      <c r="E57" s="57">
        <f>'Inputs (2)'!E45</f>
        <v>0</v>
      </c>
      <c r="F57" s="57">
        <f>IF(F$14=1,'Inputs (2)'!F45,E57*(1+Inputs!F$278))</f>
        <v>0</v>
      </c>
      <c r="G57" s="57">
        <f>IF(G$14=1,'Inputs (2)'!G45,F57*(1+Inputs!G$278))</f>
        <v>0</v>
      </c>
      <c r="H57" s="57">
        <f>IF(H$14=1,'Inputs (2)'!H45,G57*(1+Inputs!H$278))</f>
        <v>0</v>
      </c>
      <c r="I57" s="77">
        <f>H57</f>
        <v>0</v>
      </c>
      <c r="J57" s="57">
        <f>IF(J$14=1,'Inputs (2)'!J45,H57*(1+Inputs!J$278))</f>
        <v>0</v>
      </c>
      <c r="K57" s="57">
        <f>IF(K$14=1,'Inputs (2)'!K45,J57*(1+Inputs!K$278))</f>
        <v>0</v>
      </c>
      <c r="L57" s="57">
        <f>IF(L$14=1,'Inputs (2)'!L45,K57*(1+Inputs!L$278))</f>
        <v>0</v>
      </c>
      <c r="M57" s="57">
        <f>IF(M$14=1,'Inputs (2)'!M45,L57*(1+Inputs!M$278))</f>
        <v>0</v>
      </c>
      <c r="N57" s="77">
        <f>M57</f>
        <v>0</v>
      </c>
      <c r="O57" s="57">
        <f>IF(O$14=1,'Inputs (2)'!O45,M57*(1+Inputs!O$278))</f>
        <v>0</v>
      </c>
      <c r="P57" s="57">
        <f>IF(P$14=1,'Inputs (2)'!P45,O57*(1+Inputs!P$278))</f>
        <v>0</v>
      </c>
      <c r="Q57" s="57">
        <f>IF(Q$14=1,'Inputs (2)'!Q45,P57*(1+Inputs!Q$278))</f>
        <v>0</v>
      </c>
      <c r="R57" s="57">
        <f>IF(R$14=1,'Inputs (2)'!R45,Q57*(1+Inputs!R$278))</f>
        <v>0</v>
      </c>
      <c r="S57" s="77">
        <f>R57</f>
        <v>0</v>
      </c>
      <c r="T57" s="57">
        <f>IF(T$14=1,'Inputs (2)'!T45,R57*(1+Inputs!T$278))</f>
        <v>0</v>
      </c>
      <c r="U57" s="57">
        <f>IF(U$14=1,'Inputs (2)'!U45,T57*(1+Inputs!U$278))</f>
        <v>0</v>
      </c>
      <c r="V57" s="57">
        <f>IF(V$14=1,'Inputs (2)'!V45,U57*(1+Inputs!V$278))</f>
        <v>0</v>
      </c>
      <c r="W57" s="57">
        <f>IF(W$14=1,'Inputs (2)'!W45,V57*(1+Inputs!W$278))</f>
        <v>0</v>
      </c>
      <c r="X57" s="77">
        <f>W57</f>
        <v>0</v>
      </c>
      <c r="Y57" s="57">
        <f>IF(Y$14=1,'Inputs (2)'!Y45,W57*(1+Inputs!Y$278))</f>
        <v>0</v>
      </c>
      <c r="Z57" s="57">
        <f>IF(Z$14=1,'Inputs (2)'!Z45,Y57*(1+Inputs!Z$278))</f>
        <v>0</v>
      </c>
      <c r="AA57" s="57">
        <f>IF(AA$14=1,'Inputs (2)'!AA45,Z57*(1+Inputs!AA$278))</f>
        <v>0</v>
      </c>
      <c r="AB57" s="57">
        <f>IF(AB$14=1,'Inputs (2)'!AB45,AA57*(1+Inputs!AB$278))</f>
        <v>0</v>
      </c>
      <c r="AC57" s="77">
        <f>AB57</f>
        <v>0</v>
      </c>
      <c r="AD57" s="57">
        <f>IF(AD$14=1,'Inputs (2)'!AD45,AB57*(1+Inputs!AD$278))</f>
        <v>0</v>
      </c>
      <c r="AE57" s="57">
        <f>IF(AE$14=1,'Inputs (2)'!AE45,AD57*(1+Inputs!AE$278))</f>
        <v>0</v>
      </c>
      <c r="AF57" s="57">
        <f>IF(AF$14=1,'Inputs (2)'!AF45,AE57*(1+Inputs!AF$278))</f>
        <v>0</v>
      </c>
      <c r="AG57" s="57">
        <f>IF(AG$14=1,'Inputs (2)'!AG45,AF57*(1+Inputs!AG$278))</f>
        <v>0</v>
      </c>
      <c r="AH57" s="77">
        <f>AG57</f>
        <v>0</v>
      </c>
      <c r="AI57" s="57">
        <f>IF(AI$14=1,'Inputs (2)'!AI45,AG57*(1+Inputs!AI$278))</f>
        <v>0</v>
      </c>
      <c r="AJ57" s="57">
        <f>IF(AJ$14=1,'Inputs (2)'!AJ45,AI57*(1+Inputs!AJ$278))</f>
        <v>0</v>
      </c>
      <c r="AK57" s="57">
        <f>IF(AK$14=1,'Inputs (2)'!AK45,AJ57*(1+Inputs!AK$278))</f>
        <v>0</v>
      </c>
      <c r="AL57" s="57">
        <f>IF(AL$14=1,'Inputs (2)'!AL45,AK57*(1+Inputs!AL$278))</f>
        <v>0</v>
      </c>
      <c r="AM57" s="77">
        <f>AL57</f>
        <v>0</v>
      </c>
      <c r="AN57" s="57">
        <f>IF(AN$14=1,'Inputs (2)'!AN45,AL57*(1+Inputs!AN$278))</f>
        <v>0</v>
      </c>
      <c r="AO57" s="57">
        <f>IF(AO$14=1,'Inputs (2)'!AO45,AN57*(1+Inputs!AO$278))</f>
        <v>0</v>
      </c>
      <c r="AP57" s="57">
        <f>IF(AP$14=1,'Inputs (2)'!AP45,AO57*(1+Inputs!AP$278))</f>
        <v>0</v>
      </c>
      <c r="AQ57" s="57">
        <f>IF(AQ$14=1,'Inputs (2)'!AQ45,AP57*(1+Inputs!AQ$278))</f>
        <v>0</v>
      </c>
      <c r="AR57" s="77">
        <f>AQ57</f>
        <v>0</v>
      </c>
      <c r="AS57" s="57">
        <f>IF(AS$14=1,'Inputs (2)'!AS45,AQ57*(1+Inputs!AS$278))</f>
        <v>0</v>
      </c>
      <c r="AT57" s="57">
        <f>IF(AT$14=1,'Inputs (2)'!AT45,AS57*(1+Inputs!AT$278))</f>
        <v>0</v>
      </c>
      <c r="AU57" s="57">
        <f>IF(AU$14=1,'Inputs (2)'!AU45,AT57*(1+Inputs!AU$278))</f>
        <v>0</v>
      </c>
      <c r="AV57" s="57">
        <f>IF(AV$14=1,'Inputs (2)'!AV45,AU57*(1+Inputs!AV$278))</f>
        <v>0</v>
      </c>
      <c r="AW57" s="77">
        <f>AV57</f>
        <v>0</v>
      </c>
      <c r="AX57" s="57">
        <f>IF(AX$14=1,'Inputs (2)'!AX45,AV57*(1+Inputs!AX$278))</f>
        <v>0</v>
      </c>
      <c r="AY57" s="57">
        <f>IF(AY$14=1,'Inputs (2)'!AY45,AX57*(1+Inputs!AY$278))</f>
        <v>0</v>
      </c>
      <c r="AZ57" s="57">
        <f>IF(AZ$14=1,'Inputs (2)'!AZ45,AY57*(1+Inputs!AZ$278))</f>
        <v>0</v>
      </c>
      <c r="BA57" s="57">
        <f>IF(BA$14=1,'Inputs (2)'!BA45,AZ57*(1+Inputs!BA$278))</f>
        <v>0</v>
      </c>
      <c r="BB57" s="77">
        <f>BA57</f>
        <v>0</v>
      </c>
      <c r="BC57" s="57">
        <f>IF(BC$14=1,'Inputs (2)'!BC45,BA57*(1+Inputs!BC$278))</f>
        <v>0</v>
      </c>
      <c r="BD57" s="57">
        <f>IF(BD$14=1,'Inputs (2)'!BD45,BC57*(1+Inputs!BD$278))</f>
        <v>0</v>
      </c>
      <c r="BE57" s="57">
        <f>IF(BE$14=1,'Inputs (2)'!BE45,BD57*(1+Inputs!BE$278))</f>
        <v>0</v>
      </c>
      <c r="BF57" s="57">
        <f>IF(BF$14=1,'Inputs (2)'!BF45,BE57*(1+Inputs!BF$278))</f>
        <v>0</v>
      </c>
      <c r="BG57" s="77">
        <f>BF57</f>
        <v>0</v>
      </c>
    </row>
    <row r="58" hidden="1" outlineLevel="1">
      <c r="C58" s="61" t="inlineStr">
        <is>
          <t>Instrumentos de Dívida Subordinada</t>
        </is>
      </c>
      <c r="D58" s="62" t="inlineStr">
        <is>
          <t>Subordinated Debt</t>
        </is>
      </c>
      <c r="E58" s="57">
        <f>'Inputs (2)'!E46</f>
        <v>0</v>
      </c>
      <c r="F58" s="57">
        <f>IF(F$14=1,'Inputs (2)'!F46,E58*(1+Inputs!F$278))</f>
        <v>0</v>
      </c>
      <c r="G58" s="57">
        <f>IF(G$14=1,'Inputs (2)'!G46,F58*(1+Inputs!G$278))</f>
        <v>0</v>
      </c>
      <c r="H58" s="57">
        <f>IF(H$14=1,'Inputs (2)'!H46,G58*(1+Inputs!H$278))</f>
        <v>0</v>
      </c>
      <c r="I58" s="77">
        <f>H58</f>
        <v>0</v>
      </c>
      <c r="J58" s="57">
        <f>IF(J$14=1,'Inputs (2)'!J46,H58*(1+Inputs!J$278))</f>
        <v>0</v>
      </c>
      <c r="K58" s="57">
        <f>IF(K$14=1,'Inputs (2)'!K46,J58*(1+Inputs!K$278))</f>
        <v>0</v>
      </c>
      <c r="L58" s="57">
        <f>IF(L$14=1,'Inputs (2)'!L46,K58*(1+Inputs!L$278))</f>
        <v>0</v>
      </c>
      <c r="M58" s="57">
        <f>IF(M$14=1,'Inputs (2)'!M46,L58*(1+Inputs!M$278))</f>
        <v>0</v>
      </c>
      <c r="N58" s="77">
        <f>M58</f>
        <v>0</v>
      </c>
      <c r="O58" s="57">
        <f>IF(O$14=1,'Inputs (2)'!O46,M58*(1+Inputs!O$278))</f>
        <v>0</v>
      </c>
      <c r="P58" s="57">
        <f>IF(P$14=1,'Inputs (2)'!P46,O58*(1+Inputs!P$278))</f>
        <v>0</v>
      </c>
      <c r="Q58" s="57">
        <f>IF(Q$14=1,'Inputs (2)'!Q46,P58*(1+Inputs!Q$278))</f>
        <v>0</v>
      </c>
      <c r="R58" s="57">
        <f>IF(R$14=1,'Inputs (2)'!R46,Q58*(1+Inputs!R$278))</f>
        <v>0</v>
      </c>
      <c r="S58" s="77">
        <f>R58</f>
        <v>0</v>
      </c>
      <c r="T58" s="57">
        <f>IF(T$14=1,'Inputs (2)'!T46,R58*(1+Inputs!T$278))</f>
        <v>0</v>
      </c>
      <c r="U58" s="57">
        <f>IF(U$14=1,'Inputs (2)'!U46,T58*(1+Inputs!U$278))</f>
        <v>0</v>
      </c>
      <c r="V58" s="57">
        <f>IF(V$14=1,'Inputs (2)'!V46,U58*(1+Inputs!V$278))</f>
        <v>0</v>
      </c>
      <c r="W58" s="57">
        <f>IF(W$14=1,'Inputs (2)'!W46,V58*(1+Inputs!W$278))</f>
        <v>0</v>
      </c>
      <c r="X58" s="77">
        <f>W58</f>
        <v>0</v>
      </c>
      <c r="Y58" s="57">
        <f>IF(Y$14=1,'Inputs (2)'!Y46,W58*(1+Inputs!Y$278))</f>
        <v>0</v>
      </c>
      <c r="Z58" s="57">
        <f>IF(Z$14=1,'Inputs (2)'!Z46,Y58*(1+Inputs!Z$278))</f>
        <v>0</v>
      </c>
      <c r="AA58" s="57">
        <f>IF(AA$14=1,'Inputs (2)'!AA46,Z58*(1+Inputs!AA$278))</f>
        <v>0</v>
      </c>
      <c r="AB58" s="57">
        <f>IF(AB$14=1,'Inputs (2)'!AB46,AA58*(1+Inputs!AB$278))</f>
        <v>0</v>
      </c>
      <c r="AC58" s="77">
        <f>AB58</f>
        <v>0</v>
      </c>
      <c r="AD58" s="57">
        <f>IF(AD$14=1,'Inputs (2)'!AD46,AB58*(1+Inputs!AD$278))</f>
        <v>3672.348</v>
      </c>
      <c r="AE58" s="57">
        <f>IF(AE$14=1,'Inputs (2)'!AE46,AD58*(1+Inputs!AE$278))</f>
        <v>3306.658</v>
      </c>
      <c r="AF58" s="57">
        <f>IF(AF$14=1,'Inputs (2)'!AF46,AE58*(1+Inputs!AF$278))</f>
        <v>2872.496</v>
      </c>
      <c r="AG58" s="57">
        <f>IF(AG$14=1,'Inputs (2)'!AG46,AF58*(1+Inputs!AG$278))</f>
        <v>2644.247</v>
      </c>
      <c r="AH58" s="77">
        <f>AG58</f>
        <v>2644.247</v>
      </c>
      <c r="AI58" s="57">
        <f>IF(AI$14=1,'Inputs (2)'!AI46,AG58*(1+Inputs!AI$278))</f>
        <v>2703.782</v>
      </c>
      <c r="AJ58" s="57">
        <f>IF(AJ$14=1,'Inputs (2)'!AJ46,AI58*(1+Inputs!AJ$278))</f>
        <v>2696.133</v>
      </c>
      <c r="AK58" s="57">
        <f>IF(AK$14=1,'Inputs (2)'!AK46,AJ58*(1+Inputs!AK$278))</f>
        <v>2696.133</v>
      </c>
      <c r="AL58" s="57">
        <f>IF(AL$14=1,'Inputs (2)'!AL46,AK58*(1+Inputs!AL$278))</f>
        <v>2696.133</v>
      </c>
      <c r="AM58" s="77">
        <f>AL58</f>
        <v>2696.133</v>
      </c>
      <c r="AN58" s="57">
        <f>IF(AN$14=1,'Inputs (2)'!AN46,AL58*(1+Inputs!AN$278))</f>
        <v>2696.133</v>
      </c>
      <c r="AO58" s="57">
        <f>IF(AO$14=1,'Inputs (2)'!AO46,AN58*(1+Inputs!AO$278))</f>
        <v>2696.133</v>
      </c>
      <c r="AP58" s="57">
        <f>IF(AP$14=1,'Inputs (2)'!AP46,AO58*(1+Inputs!AP$278))</f>
        <v>2696.133</v>
      </c>
      <c r="AQ58" s="57">
        <f>IF(AQ$14=1,'Inputs (2)'!AQ46,AP58*(1+Inputs!AQ$278))</f>
        <v>2696.133</v>
      </c>
      <c r="AR58" s="77">
        <f>AQ58</f>
        <v>2696.133</v>
      </c>
      <c r="AS58" s="57">
        <f>IF(AS$14=1,'Inputs (2)'!AS46,AQ58*(1+Inputs!AS$278))</f>
        <v>2696.133</v>
      </c>
      <c r="AT58" s="57">
        <f>IF(AT$14=1,'Inputs (2)'!AT46,AS58*(1+Inputs!AT$278))</f>
        <v>2696.133</v>
      </c>
      <c r="AU58" s="57">
        <f>IF(AU$14=1,'Inputs (2)'!AU46,AT58*(1+Inputs!AU$278))</f>
        <v>2696.133</v>
      </c>
      <c r="AV58" s="57">
        <f>IF(AV$14=1,'Inputs (2)'!AV46,AU58*(1+Inputs!AV$278))</f>
        <v>2696.133</v>
      </c>
      <c r="AW58" s="77">
        <f>AV58</f>
        <v>2696.133</v>
      </c>
      <c r="AX58" s="57">
        <f>IF(AX$14=1,'Inputs (2)'!AX46,AV58*(1+Inputs!AX$278))</f>
        <v>2696.133</v>
      </c>
      <c r="AY58" s="57">
        <f>IF(AY$14=1,'Inputs (2)'!AY46,AX58*(1+Inputs!AY$278))</f>
        <v>2696.133</v>
      </c>
      <c r="AZ58" s="57">
        <f>IF(AZ$14=1,'Inputs (2)'!AZ46,AY58*(1+Inputs!AZ$278))</f>
        <v>2696.133</v>
      </c>
      <c r="BA58" s="57">
        <f>IF(BA$14=1,'Inputs (2)'!BA46,AZ58*(1+Inputs!BA$278))</f>
        <v>2696.133</v>
      </c>
      <c r="BB58" s="77">
        <f>BA58</f>
        <v>2696.133</v>
      </c>
      <c r="BC58" s="57">
        <f>IF(BC$14=1,'Inputs (2)'!BC46,BA58*(1+Inputs!BC$278))</f>
        <v>2696.133</v>
      </c>
      <c r="BD58" s="57">
        <f>IF(BD$14=1,'Inputs (2)'!BD46,BC58*(1+Inputs!BD$278))</f>
        <v>2696.133</v>
      </c>
      <c r="BE58" s="57">
        <f>IF(BE$14=1,'Inputs (2)'!BE46,BD58*(1+Inputs!BE$278))</f>
        <v>2696.133</v>
      </c>
      <c r="BF58" s="57">
        <f>IF(BF$14=1,'Inputs (2)'!BF46,BE58*(1+Inputs!BF$278))</f>
        <v>2696.133</v>
      </c>
      <c r="BG58" s="77">
        <f>BF58</f>
        <v>2696.133</v>
      </c>
    </row>
    <row r="59" collapsed="1">
      <c r="C59" s="83" t="inlineStr">
        <is>
          <t>Obrigações por Empréstimos e Repasses</t>
        </is>
      </c>
      <c r="D59" s="84" t="inlineStr">
        <is>
          <t>Borrowings and On-lending</t>
        </is>
      </c>
      <c r="E59" s="85">
        <f>E60+E61</f>
        <v>12205.542</v>
      </c>
      <c r="F59" s="85">
        <f>F60+F61</f>
        <v>11463.491</v>
      </c>
      <c r="G59" s="85">
        <f>G60+G61</f>
        <v>10565.76</v>
      </c>
      <c r="H59" s="85">
        <f>H60+H61</f>
        <v>9125.966</v>
      </c>
      <c r="I59" s="60">
        <f>H59</f>
        <v>9125.966</v>
      </c>
      <c r="J59" s="85">
        <f>J60+J61</f>
        <v>10533.468</v>
      </c>
      <c r="K59" s="85">
        <f>K60+K61</f>
        <v>10182.493</v>
      </c>
      <c r="L59" s="85">
        <f>L60+L61</f>
        <v>11985.082</v>
      </c>
      <c r="M59" s="85">
        <f>M60+M61</f>
        <v>11850.007</v>
      </c>
      <c r="N59" s="60">
        <f>M59</f>
        <v>11850.007</v>
      </c>
      <c r="O59" s="85">
        <f>O60+O61</f>
        <v>10475.433</v>
      </c>
      <c r="P59" s="85">
        <f>P60+P61</f>
        <v>11675.07</v>
      </c>
      <c r="Q59" s="85">
        <f>Q60+Q61</f>
        <v>11098.663</v>
      </c>
      <c r="R59" s="85">
        <f>R60+R61</f>
        <v>10474.74</v>
      </c>
      <c r="S59" s="60">
        <f>R59</f>
        <v>10474.74</v>
      </c>
      <c r="T59" s="85">
        <f>T60+T61</f>
        <v>10090.324</v>
      </c>
      <c r="U59" s="85">
        <f>U60+U61</f>
        <v>11348.202</v>
      </c>
      <c r="V59" s="85">
        <f>V60+V61</f>
        <v>11850.228</v>
      </c>
      <c r="W59" s="85">
        <f>W60+W61</f>
        <v>10633.277</v>
      </c>
      <c r="X59" s="60">
        <f>W59</f>
        <v>10633.277</v>
      </c>
      <c r="Y59" s="85">
        <f>Y60+Y61</f>
        <v>9386.336</v>
      </c>
      <c r="Z59" s="85">
        <f>Z60+Z61</f>
        <v>10901.047</v>
      </c>
      <c r="AA59" s="85">
        <f>AA60+AA61</f>
        <v>12620.72</v>
      </c>
      <c r="AB59" s="85">
        <f>AB60+AB61</f>
        <v>14022.797</v>
      </c>
      <c r="AC59" s="60">
        <f>AB59</f>
        <v>14022.797</v>
      </c>
      <c r="AD59" s="85">
        <f>AD60+AD61</f>
        <v>12190.552</v>
      </c>
      <c r="AE59" s="85">
        <f>AE60+AE61</f>
        <v>12674.685</v>
      </c>
      <c r="AF59" s="85">
        <f>AF60+AF61</f>
        <v>12184.736</v>
      </c>
      <c r="AG59" s="85">
        <f>AG60+AG61</f>
        <v>14210.897</v>
      </c>
      <c r="AH59" s="60">
        <f>AG59</f>
        <v>14210.897</v>
      </c>
      <c r="AI59" s="85">
        <f>AI60+AI61</f>
        <v>14961.88</v>
      </c>
      <c r="AJ59" s="85">
        <f>AJ60+AJ61</f>
        <v>15581.004</v>
      </c>
      <c r="AK59" s="85">
        <f>AK60+AK61</f>
        <v>15581.004</v>
      </c>
      <c r="AL59" s="85">
        <f>AL60+AL61</f>
        <v>15581.004</v>
      </c>
      <c r="AM59" s="60">
        <f>AL59</f>
        <v>15581.004</v>
      </c>
      <c r="AN59" s="85">
        <f>AN60+AN61</f>
        <v>15581.004</v>
      </c>
      <c r="AO59" s="85">
        <f>AO60+AO61</f>
        <v>15581.004</v>
      </c>
      <c r="AP59" s="85">
        <f>AP60+AP61</f>
        <v>15581.004</v>
      </c>
      <c r="AQ59" s="85">
        <f>AQ60+AQ61</f>
        <v>15581.004</v>
      </c>
      <c r="AR59" s="60">
        <f>AQ59</f>
        <v>15581.004</v>
      </c>
      <c r="AS59" s="85">
        <f>AS60+AS61</f>
        <v>15581.004</v>
      </c>
      <c r="AT59" s="85">
        <f>AT60+AT61</f>
        <v>15581.004</v>
      </c>
      <c r="AU59" s="85">
        <f>AU60+AU61</f>
        <v>15581.004</v>
      </c>
      <c r="AV59" s="85">
        <f>AV60+AV61</f>
        <v>15581.004</v>
      </c>
      <c r="AW59" s="60">
        <f>AV59</f>
        <v>15581.004</v>
      </c>
      <c r="AX59" s="85">
        <f>AX60+AX61</f>
        <v>15581.004</v>
      </c>
      <c r="AY59" s="85">
        <f>AY60+AY61</f>
        <v>15581.004</v>
      </c>
      <c r="AZ59" s="85">
        <f>AZ60+AZ61</f>
        <v>15581.004</v>
      </c>
      <c r="BA59" s="85">
        <f>BA60+BA61</f>
        <v>15581.004</v>
      </c>
      <c r="BB59" s="60">
        <f>BA59</f>
        <v>15581.004</v>
      </c>
      <c r="BC59" s="85">
        <f>BC60+BC61</f>
        <v>15581.004</v>
      </c>
      <c r="BD59" s="85">
        <f>BD60+BD61</f>
        <v>15581.004</v>
      </c>
      <c r="BE59" s="85">
        <f>BE60+BE61</f>
        <v>15581.004</v>
      </c>
      <c r="BF59" s="85">
        <f>BF60+BF61</f>
        <v>15581.004</v>
      </c>
      <c r="BG59" s="60">
        <f>BF59</f>
        <v>15581.004</v>
      </c>
    </row>
    <row r="60" hidden="1" outlineLevel="1">
      <c r="C60" s="61" t="inlineStr">
        <is>
          <t>Empréstimos</t>
        </is>
      </c>
      <c r="D60" s="62" t="inlineStr">
        <is>
          <t>Borrowings</t>
        </is>
      </c>
      <c r="E60" s="57">
        <f>'Inputs (2)'!E48</f>
        <v>9634.58</v>
      </c>
      <c r="F60" s="57">
        <f>IF(F$14=1,'Inputs (2)'!F48,E60*(1+Inputs!F$279))</f>
        <v>8730.62</v>
      </c>
      <c r="G60" s="57">
        <f>IF(G$14=1,'Inputs (2)'!G48,F60*(1+Inputs!G$279))</f>
        <v>7501.566</v>
      </c>
      <c r="H60" s="57">
        <f>IF(H$14=1,'Inputs (2)'!H48,G60*(1+Inputs!H$279))</f>
        <v>6612.181</v>
      </c>
      <c r="I60" s="77">
        <f>H60</f>
        <v>6612.181</v>
      </c>
      <c r="J60" s="57">
        <f>IF(J$14=1,'Inputs (2)'!J48,H60*(1+Inputs!J$279))</f>
        <v>7668.773</v>
      </c>
      <c r="K60" s="57">
        <f>IF(K$14=1,'Inputs (2)'!K48,J60*(1+Inputs!K$279))</f>
        <v>7798.124</v>
      </c>
      <c r="L60" s="57">
        <f>IF(L$14=1,'Inputs (2)'!L48,K60*(1+Inputs!L$279))</f>
        <v>8709.803</v>
      </c>
      <c r="M60" s="57">
        <f>IF(M$14=1,'Inputs (2)'!M48,L60*(1+Inputs!M$279))</f>
        <v>8478.864</v>
      </c>
      <c r="N60" s="77">
        <f>M60</f>
        <v>8478.864</v>
      </c>
      <c r="O60" s="57">
        <f>IF(O$14=1,'Inputs (2)'!O48,M60*(1+Inputs!O$279))</f>
        <v>7727.029</v>
      </c>
      <c r="P60" s="57">
        <f>IF(P$14=1,'Inputs (2)'!P48,O60*(1+Inputs!P$279))</f>
        <v>8328.388</v>
      </c>
      <c r="Q60" s="57">
        <f>IF(Q$14=1,'Inputs (2)'!Q48,P60*(1+Inputs!Q$279))</f>
        <v>7425.632</v>
      </c>
      <c r="R60" s="57">
        <f>IF(R$14=1,'Inputs (2)'!R48,Q60*(1+Inputs!R$279))</f>
        <v>6791.528</v>
      </c>
      <c r="S60" s="77">
        <f>R60</f>
        <v>6791.528</v>
      </c>
      <c r="T60" s="57">
        <f>IF(T$14=1,'Inputs (2)'!T48,R60*(1+Inputs!T$279))</f>
        <v>6569.98</v>
      </c>
      <c r="U60" s="57">
        <f>IF(U$14=1,'Inputs (2)'!U48,T60*(1+Inputs!U$279))</f>
        <v>8126.502</v>
      </c>
      <c r="V60" s="57">
        <f>IF(V$14=1,'Inputs (2)'!V48,U60*(1+Inputs!V$279))</f>
        <v>8020.526</v>
      </c>
      <c r="W60" s="57">
        <f>IF(W$14=1,'Inputs (2)'!W48,V60*(1+Inputs!W$279))</f>
        <v>6729.265</v>
      </c>
      <c r="X60" s="77">
        <f>W60</f>
        <v>6729.265</v>
      </c>
      <c r="Y60" s="57">
        <f>IF(Y$14=1,'Inputs (2)'!Y48,W60*(1+Inputs!Y$279))</f>
        <v>5989.493</v>
      </c>
      <c r="Z60" s="57">
        <f>IF(Z$14=1,'Inputs (2)'!Z48,Y60*(1+Inputs!Z$279))</f>
        <v>7430.945</v>
      </c>
      <c r="AA60" s="57">
        <f>IF(AA$14=1,'Inputs (2)'!AA48,Z60*(1+Inputs!AA$279))</f>
        <v>9138.008</v>
      </c>
      <c r="AB60" s="57">
        <f>IF(AB$14=1,'Inputs (2)'!AB48,AA60*(1+Inputs!AB$279))</f>
        <v>10218.873</v>
      </c>
      <c r="AC60" s="77">
        <f>AB60</f>
        <v>10218.873</v>
      </c>
      <c r="AD60" s="57">
        <f>IF(AD$14=1,'Inputs (2)'!AD48,AB60*(1+Inputs!AD$279))</f>
        <v>8037.345</v>
      </c>
      <c r="AE60" s="57">
        <f>IF(AE$14=1,'Inputs (2)'!AE48,AD60*(1+Inputs!AE$279))</f>
        <v>8312.433</v>
      </c>
      <c r="AF60" s="57">
        <f>IF(AF$14=1,'Inputs (2)'!AF48,AE60*(1+Inputs!AF$279))</f>
        <v>6748.785</v>
      </c>
      <c r="AG60" s="57">
        <f>IF(AG$14=1,'Inputs (2)'!AG48,AF60*(1+Inputs!AG$279))</f>
        <v>7641.189</v>
      </c>
      <c r="AH60" s="77">
        <f>AG60</f>
        <v>7641.189</v>
      </c>
      <c r="AI60" s="57">
        <f>IF(AI$14=1,'Inputs (2)'!AI48,AG60*(1+Inputs!AI$279))</f>
        <v>8973.314</v>
      </c>
      <c r="AJ60" s="57">
        <f>IF(AJ$14=1,'Inputs (2)'!AJ48,AI60*(1+Inputs!AJ$279))</f>
        <v>9248.955</v>
      </c>
      <c r="AK60" s="57">
        <f>IF(AK$14=1,'Inputs (2)'!AK48,AJ60*(1+Inputs!AK$279))</f>
        <v>9248.955</v>
      </c>
      <c r="AL60" s="57">
        <f>IF(AL$14=1,'Inputs (2)'!AL48,AK60*(1+Inputs!AL$279))</f>
        <v>9248.955</v>
      </c>
      <c r="AM60" s="77">
        <f>AL60</f>
        <v>9248.955</v>
      </c>
      <c r="AN60" s="57">
        <f>IF(AN$14=1,'Inputs (2)'!AN48,AL60*(1+Inputs!AN$279))</f>
        <v>9248.955</v>
      </c>
      <c r="AO60" s="57">
        <f>IF(AO$14=1,'Inputs (2)'!AO48,AN60*(1+Inputs!AO$279))</f>
        <v>9248.955</v>
      </c>
      <c r="AP60" s="57">
        <f>IF(AP$14=1,'Inputs (2)'!AP48,AO60*(1+Inputs!AP$279))</f>
        <v>9248.955</v>
      </c>
      <c r="AQ60" s="57">
        <f>IF(AQ$14=1,'Inputs (2)'!AQ48,AP60*(1+Inputs!AQ$279))</f>
        <v>9248.955</v>
      </c>
      <c r="AR60" s="77">
        <f>AQ60</f>
        <v>9248.955</v>
      </c>
      <c r="AS60" s="57">
        <f>IF(AS$14=1,'Inputs (2)'!AS48,AQ60*(1+Inputs!AS$279))</f>
        <v>9248.955</v>
      </c>
      <c r="AT60" s="57">
        <f>IF(AT$14=1,'Inputs (2)'!AT48,AS60*(1+Inputs!AT$279))</f>
        <v>9248.955</v>
      </c>
      <c r="AU60" s="57">
        <f>IF(AU$14=1,'Inputs (2)'!AU48,AT60*(1+Inputs!AU$279))</f>
        <v>9248.955</v>
      </c>
      <c r="AV60" s="57">
        <f>IF(AV$14=1,'Inputs (2)'!AV48,AU60*(1+Inputs!AV$279))</f>
        <v>9248.955</v>
      </c>
      <c r="AW60" s="77">
        <f>AV60</f>
        <v>9248.955</v>
      </c>
      <c r="AX60" s="57">
        <f>IF(AX$14=1,'Inputs (2)'!AX48,AV60*(1+Inputs!AX$279))</f>
        <v>9248.955</v>
      </c>
      <c r="AY60" s="57">
        <f>IF(AY$14=1,'Inputs (2)'!AY48,AX60*(1+Inputs!AY$279))</f>
        <v>9248.955</v>
      </c>
      <c r="AZ60" s="57">
        <f>IF(AZ$14=1,'Inputs (2)'!AZ48,AY60*(1+Inputs!AZ$279))</f>
        <v>9248.955</v>
      </c>
      <c r="BA60" s="57">
        <f>IF(BA$14=1,'Inputs (2)'!BA48,AZ60*(1+Inputs!BA$279))</f>
        <v>9248.955</v>
      </c>
      <c r="BB60" s="77">
        <f>BA60</f>
        <v>9248.955</v>
      </c>
      <c r="BC60" s="57">
        <f>IF(BC$14=1,'Inputs (2)'!BC48,BA60*(1+Inputs!BC$279))</f>
        <v>9248.955</v>
      </c>
      <c r="BD60" s="57">
        <f>IF(BD$14=1,'Inputs (2)'!BD48,BC60*(1+Inputs!BD$279))</f>
        <v>9248.955</v>
      </c>
      <c r="BE60" s="57">
        <f>IF(BE$14=1,'Inputs (2)'!BE48,BD60*(1+Inputs!BE$279))</f>
        <v>9248.955</v>
      </c>
      <c r="BF60" s="57">
        <f>IF(BF$14=1,'Inputs (2)'!BF48,BE60*(1+Inputs!BF$279))</f>
        <v>9248.955</v>
      </c>
      <c r="BG60" s="77">
        <f>BF60</f>
        <v>9248.955</v>
      </c>
    </row>
    <row r="61" hidden="1" outlineLevel="1">
      <c r="C61" s="61" t="inlineStr">
        <is>
          <t>Repasses</t>
        </is>
      </c>
      <c r="D61" s="62" t="inlineStr">
        <is>
          <t>On-lending</t>
        </is>
      </c>
      <c r="E61" s="57">
        <f>'Inputs (2)'!E49</f>
        <v>2570.962</v>
      </c>
      <c r="F61" s="57">
        <f>IF(F$14=1,'Inputs (2)'!F49,E61*(1+Inputs!F$279))</f>
        <v>2732.871</v>
      </c>
      <c r="G61" s="57">
        <f>IF(G$14=1,'Inputs (2)'!G49,F61*(1+Inputs!G$279))</f>
        <v>3064.194</v>
      </c>
      <c r="H61" s="57">
        <f>IF(H$14=1,'Inputs (2)'!H49,G61*(1+Inputs!H$279))</f>
        <v>2513.785</v>
      </c>
      <c r="I61" s="77">
        <f>H61</f>
        <v>2513.785</v>
      </c>
      <c r="J61" s="57">
        <f>IF(J$14=1,'Inputs (2)'!J49,H61*(1+Inputs!J$279))</f>
        <v>2864.695</v>
      </c>
      <c r="K61" s="57">
        <f>IF(K$14=1,'Inputs (2)'!K49,J61*(1+Inputs!K$279))</f>
        <v>2384.369</v>
      </c>
      <c r="L61" s="57">
        <f>IF(L$14=1,'Inputs (2)'!L49,K61*(1+Inputs!L$279))</f>
        <v>3275.279</v>
      </c>
      <c r="M61" s="57">
        <f>IF(M$14=1,'Inputs (2)'!M49,L61*(1+Inputs!M$279))</f>
        <v>3371.143</v>
      </c>
      <c r="N61" s="77">
        <f>M61</f>
        <v>3371.143</v>
      </c>
      <c r="O61" s="57">
        <f>IF(O$14=1,'Inputs (2)'!O49,M61*(1+Inputs!O$279))</f>
        <v>2748.404</v>
      </c>
      <c r="P61" s="57">
        <f>IF(P$14=1,'Inputs (2)'!P49,O61*(1+Inputs!P$279))</f>
        <v>3346.682</v>
      </c>
      <c r="Q61" s="57">
        <f>IF(Q$14=1,'Inputs (2)'!Q49,P61*(1+Inputs!Q$279))</f>
        <v>3673.031</v>
      </c>
      <c r="R61" s="57">
        <f>IF(R$14=1,'Inputs (2)'!R49,Q61*(1+Inputs!R$279))</f>
        <v>3683.212</v>
      </c>
      <c r="S61" s="77">
        <f>R61</f>
        <v>3683.212</v>
      </c>
      <c r="T61" s="57">
        <f>IF(T$14=1,'Inputs (2)'!T49,R61*(1+Inputs!T$279))</f>
        <v>3520.344</v>
      </c>
      <c r="U61" s="57">
        <f>IF(U$14=1,'Inputs (2)'!U49,T61*(1+Inputs!U$279))</f>
        <v>3221.7</v>
      </c>
      <c r="V61" s="57">
        <f>IF(V$14=1,'Inputs (2)'!V49,U61*(1+Inputs!V$279))</f>
        <v>3829.702</v>
      </c>
      <c r="W61" s="57">
        <f>IF(W$14=1,'Inputs (2)'!W49,V61*(1+Inputs!W$279))</f>
        <v>3904.012</v>
      </c>
      <c r="X61" s="77">
        <f>W61</f>
        <v>3904.012</v>
      </c>
      <c r="Y61" s="57">
        <f>IF(Y$14=1,'Inputs (2)'!Y49,W61*(1+Inputs!Y$279))</f>
        <v>3396.843</v>
      </c>
      <c r="Z61" s="57">
        <f>IF(Z$14=1,'Inputs (2)'!Z49,Y61*(1+Inputs!Z$279))</f>
        <v>3470.102</v>
      </c>
      <c r="AA61" s="57">
        <f>IF(AA$14=1,'Inputs (2)'!AA49,Z61*(1+Inputs!AA$279))</f>
        <v>3482.712</v>
      </c>
      <c r="AB61" s="57">
        <f>IF(AB$14=1,'Inputs (2)'!AB49,AA61*(1+Inputs!AB$279))</f>
        <v>3803.924</v>
      </c>
      <c r="AC61" s="77">
        <f>AB61</f>
        <v>3803.924</v>
      </c>
      <c r="AD61" s="57">
        <f>IF(AD$14=1,'Inputs (2)'!AD49,AB61*(1+Inputs!AD$279))</f>
        <v>4153.207</v>
      </c>
      <c r="AE61" s="57">
        <f>IF(AE$14=1,'Inputs (2)'!AE49,AD61*(1+Inputs!AE$279))</f>
        <v>4362.252</v>
      </c>
      <c r="AF61" s="57">
        <f>IF(AF$14=1,'Inputs (2)'!AF49,AE61*(1+Inputs!AF$279))</f>
        <v>5435.951</v>
      </c>
      <c r="AG61" s="57">
        <f>IF(AG$14=1,'Inputs (2)'!AG49,AF61*(1+Inputs!AG$279))</f>
        <v>6569.708</v>
      </c>
      <c r="AH61" s="77">
        <f>AG61</f>
        <v>6569.708</v>
      </c>
      <c r="AI61" s="57">
        <f>IF(AI$14=1,'Inputs (2)'!AI49,AG61*(1+Inputs!AI$279))</f>
        <v>5988.566</v>
      </c>
      <c r="AJ61" s="57">
        <f>IF(AJ$14=1,'Inputs (2)'!AJ49,AI61*(1+Inputs!AJ$279))</f>
        <v>6332.049</v>
      </c>
      <c r="AK61" s="57">
        <f>IF(AK$14=1,'Inputs (2)'!AK49,AJ61*(1+Inputs!AK$279))</f>
        <v>6332.049</v>
      </c>
      <c r="AL61" s="57">
        <f>IF(AL$14=1,'Inputs (2)'!AL49,AK61*(1+Inputs!AL$279))</f>
        <v>6332.049</v>
      </c>
      <c r="AM61" s="77">
        <f>AL61</f>
        <v>6332.049</v>
      </c>
      <c r="AN61" s="57">
        <f>IF(AN$14=1,'Inputs (2)'!AN49,AL61*(1+Inputs!AN$279))</f>
        <v>6332.049</v>
      </c>
      <c r="AO61" s="57">
        <f>IF(AO$14=1,'Inputs (2)'!AO49,AN61*(1+Inputs!AO$279))</f>
        <v>6332.049</v>
      </c>
      <c r="AP61" s="57">
        <f>IF(AP$14=1,'Inputs (2)'!AP49,AO61*(1+Inputs!AP$279))</f>
        <v>6332.049</v>
      </c>
      <c r="AQ61" s="57">
        <f>IF(AQ$14=1,'Inputs (2)'!AQ49,AP61*(1+Inputs!AQ$279))</f>
        <v>6332.049</v>
      </c>
      <c r="AR61" s="77">
        <f>AQ61</f>
        <v>6332.049</v>
      </c>
      <c r="AS61" s="57">
        <f>IF(AS$14=1,'Inputs (2)'!AS49,AQ61*(1+Inputs!AS$279))</f>
        <v>6332.049</v>
      </c>
      <c r="AT61" s="57">
        <f>IF(AT$14=1,'Inputs (2)'!AT49,AS61*(1+Inputs!AT$279))</f>
        <v>6332.049</v>
      </c>
      <c r="AU61" s="57">
        <f>IF(AU$14=1,'Inputs (2)'!AU49,AT61*(1+Inputs!AU$279))</f>
        <v>6332.049</v>
      </c>
      <c r="AV61" s="57">
        <f>IF(AV$14=1,'Inputs (2)'!AV49,AU61*(1+Inputs!AV$279))</f>
        <v>6332.049</v>
      </c>
      <c r="AW61" s="77">
        <f>AV61</f>
        <v>6332.049</v>
      </c>
      <c r="AX61" s="57">
        <f>IF(AX$14=1,'Inputs (2)'!AX49,AV61*(1+Inputs!AX$279))</f>
        <v>6332.049</v>
      </c>
      <c r="AY61" s="57">
        <f>IF(AY$14=1,'Inputs (2)'!AY49,AX61*(1+Inputs!AY$279))</f>
        <v>6332.049</v>
      </c>
      <c r="AZ61" s="57">
        <f>IF(AZ$14=1,'Inputs (2)'!AZ49,AY61*(1+Inputs!AZ$279))</f>
        <v>6332.049</v>
      </c>
      <c r="BA61" s="57">
        <f>IF(BA$14=1,'Inputs (2)'!BA49,AZ61*(1+Inputs!BA$279))</f>
        <v>6332.049</v>
      </c>
      <c r="BB61" s="77">
        <f>BA61</f>
        <v>6332.049</v>
      </c>
      <c r="BC61" s="57">
        <f>IF(BC$14=1,'Inputs (2)'!BC49,BA61*(1+Inputs!BC$279))</f>
        <v>6332.049</v>
      </c>
      <c r="BD61" s="57">
        <f>IF(BD$14=1,'Inputs (2)'!BD49,BC61*(1+Inputs!BD$279))</f>
        <v>6332.049</v>
      </c>
      <c r="BE61" s="57">
        <f>IF(BE$14=1,'Inputs (2)'!BE49,BD61*(1+Inputs!BE$279))</f>
        <v>6332.049</v>
      </c>
      <c r="BF61" s="57">
        <f>IF(BF$14=1,'Inputs (2)'!BF49,BE61*(1+Inputs!BF$279))</f>
        <v>6332.049</v>
      </c>
      <c r="BG61" s="77">
        <f>BF61</f>
        <v>6332.049</v>
      </c>
    </row>
    <row r="62" collapsed="1">
      <c r="C62" s="80" t="inlineStr">
        <is>
          <t>Derivativos</t>
        </is>
      </c>
      <c r="D62" s="81" t="inlineStr">
        <is>
          <t>Derivatives</t>
        </is>
      </c>
      <c r="E62" s="82">
        <f>'Inputs (2)'!E50</f>
        <v>0</v>
      </c>
      <c r="F62" s="82">
        <f>IF(F$14=1,'Inputs (2)'!F50,E62)</f>
        <v>0</v>
      </c>
      <c r="G62" s="82">
        <f>IF(G$14=1,'Inputs (2)'!G50,F62)</f>
        <v>0</v>
      </c>
      <c r="H62" s="82">
        <f>IF(H$14=1,'Inputs (2)'!H50,G62)</f>
        <v>0</v>
      </c>
      <c r="I62" s="77">
        <f>H62</f>
        <v>0</v>
      </c>
      <c r="J62" s="82">
        <f>IF(J$14=1,'Inputs (2)'!J50,H62)</f>
        <v>0</v>
      </c>
      <c r="K62" s="82">
        <f>IF(K$14=1,'Inputs (2)'!K50,J62)</f>
        <v>0</v>
      </c>
      <c r="L62" s="82">
        <f>IF(L$14=1,'Inputs (2)'!L50,K62)</f>
        <v>0</v>
      </c>
      <c r="M62" s="82">
        <f>IF(M$14=1,'Inputs (2)'!M50,L62)</f>
        <v>0</v>
      </c>
      <c r="N62" s="77">
        <f>M62</f>
        <v>0</v>
      </c>
      <c r="O62" s="82">
        <f>IF(O$14=1,'Inputs (2)'!O50,M62)</f>
        <v>0</v>
      </c>
      <c r="P62" s="82">
        <f>IF(P$14=1,'Inputs (2)'!P50,O62)</f>
        <v>0</v>
      </c>
      <c r="Q62" s="82">
        <f>IF(Q$14=1,'Inputs (2)'!Q50,P62)</f>
        <v>0</v>
      </c>
      <c r="R62" s="82">
        <f>IF(R$14=1,'Inputs (2)'!R50,Q62)</f>
        <v>0</v>
      </c>
      <c r="S62" s="77">
        <f>R62</f>
        <v>0</v>
      </c>
      <c r="T62" s="82">
        <f>IF(T$14=1,'Inputs (2)'!T50,R62)</f>
        <v>0</v>
      </c>
      <c r="U62" s="82">
        <f>IF(U$14=1,'Inputs (2)'!U50,T62)</f>
        <v>0</v>
      </c>
      <c r="V62" s="82">
        <f>IF(V$14=1,'Inputs (2)'!V50,U62)</f>
        <v>0</v>
      </c>
      <c r="W62" s="82">
        <f>IF(W$14=1,'Inputs (2)'!W50,V62)</f>
        <v>0</v>
      </c>
      <c r="X62" s="77">
        <f>W62</f>
        <v>0</v>
      </c>
      <c r="Y62" s="82">
        <f>IF(Y$14=1,'Inputs (2)'!Y50,W62)</f>
        <v>0</v>
      </c>
      <c r="Z62" s="82">
        <f>IF(Z$14=1,'Inputs (2)'!Z50,Y62)</f>
        <v>0</v>
      </c>
      <c r="AA62" s="82">
        <f>IF(AA$14=1,'Inputs (2)'!AA50,Z62)</f>
        <v>0</v>
      </c>
      <c r="AB62" s="82">
        <f>IF(AB$14=1,'Inputs (2)'!AB50,AA62)</f>
        <v>0</v>
      </c>
      <c r="AC62" s="77">
        <f>AB62</f>
        <v>0</v>
      </c>
      <c r="AD62" s="82">
        <f>IF(AD$14=1,'Inputs (2)'!AD50,AB62)</f>
        <v>3998.173</v>
      </c>
      <c r="AE62" s="82">
        <f>IF(AE$14=1,'Inputs (2)'!AE50,AD62)</f>
        <v>4131.267</v>
      </c>
      <c r="AF62" s="82">
        <f>IF(AF$14=1,'Inputs (2)'!AF50,AE62)</f>
        <v>4497.542</v>
      </c>
      <c r="AG62" s="82">
        <f>IF(AG$14=1,'Inputs (2)'!AG50,AF62)</f>
        <v>4207.002</v>
      </c>
      <c r="AH62" s="77">
        <f>AG62</f>
        <v>4207.002</v>
      </c>
      <c r="AI62" s="82">
        <f>IF(AI$14=1,'Inputs (2)'!AI50,AG62)</f>
        <v>5366.195</v>
      </c>
      <c r="AJ62" s="82">
        <f>IF(AJ$14=1,'Inputs (2)'!AJ50,AI62)</f>
        <v>4974.649</v>
      </c>
      <c r="AK62" s="82">
        <f>IF(AK$14=1,'Inputs (2)'!AK50,AJ62)</f>
        <v>4974.649</v>
      </c>
      <c r="AL62" s="82">
        <f>IF(AL$14=1,'Inputs (2)'!AL50,AK62)</f>
        <v>4974.649</v>
      </c>
      <c r="AM62" s="77">
        <f>AL62</f>
        <v>4974.649</v>
      </c>
      <c r="AN62" s="82">
        <f>IF(AN$14=1,'Inputs (2)'!AN50,AL62)</f>
        <v>4974.649</v>
      </c>
      <c r="AO62" s="82">
        <f>IF(AO$14=1,'Inputs (2)'!AO50,AN62)</f>
        <v>4974.649</v>
      </c>
      <c r="AP62" s="82">
        <f>IF(AP$14=1,'Inputs (2)'!AP50,AO62)</f>
        <v>4974.649</v>
      </c>
      <c r="AQ62" s="82">
        <f>IF(AQ$14=1,'Inputs (2)'!AQ50,AP62)</f>
        <v>4974.649</v>
      </c>
      <c r="AR62" s="77">
        <f>AQ62</f>
        <v>4974.649</v>
      </c>
      <c r="AS62" s="82">
        <f>IF(AS$14=1,'Inputs (2)'!AS50,AQ62)</f>
        <v>4974.649</v>
      </c>
      <c r="AT62" s="82">
        <f>IF(AT$14=1,'Inputs (2)'!AT50,AS62)</f>
        <v>4974.649</v>
      </c>
      <c r="AU62" s="82">
        <f>IF(AU$14=1,'Inputs (2)'!AU50,AT62)</f>
        <v>4974.649</v>
      </c>
      <c r="AV62" s="82">
        <f>IF(AV$14=1,'Inputs (2)'!AV50,AU62)</f>
        <v>4974.649</v>
      </c>
      <c r="AW62" s="77">
        <f>AV62</f>
        <v>4974.649</v>
      </c>
      <c r="AX62" s="82">
        <f>IF(AX$14=1,'Inputs (2)'!AX50,AV62)</f>
        <v>4974.649</v>
      </c>
      <c r="AY62" s="82">
        <f>IF(AY$14=1,'Inputs (2)'!AY50,AX62)</f>
        <v>4974.649</v>
      </c>
      <c r="AZ62" s="82">
        <f>IF(AZ$14=1,'Inputs (2)'!AZ50,AY62)</f>
        <v>4974.649</v>
      </c>
      <c r="BA62" s="82">
        <f>IF(BA$14=1,'Inputs (2)'!BA50,AZ62)</f>
        <v>4974.649</v>
      </c>
      <c r="BB62" s="77">
        <f>BA62</f>
        <v>4974.649</v>
      </c>
      <c r="BC62" s="82">
        <f>IF(BC$14=1,'Inputs (2)'!BC50,BA62)</f>
        <v>4974.649</v>
      </c>
      <c r="BD62" s="82">
        <f>IF(BD$14=1,'Inputs (2)'!BD50,BC62)</f>
        <v>4974.649</v>
      </c>
      <c r="BE62" s="82">
        <f>IF(BE$14=1,'Inputs (2)'!BE50,BD62)</f>
        <v>4974.649</v>
      </c>
      <c r="BF62" s="82">
        <f>IF(BF$14=1,'Inputs (2)'!BF50,BE62)</f>
        <v>4974.649</v>
      </c>
      <c r="BG62" s="77">
        <f>BF62</f>
        <v>4974.649</v>
      </c>
    </row>
    <row r="63">
      <c r="C63" s="80" t="inlineStr">
        <is>
          <t>Relações Interfinanceiras e Interdependências</t>
        </is>
      </c>
      <c r="D63" s="81" t="inlineStr">
        <is>
          <t>Interbank Relations</t>
        </is>
      </c>
      <c r="E63" s="82">
        <f>'Inputs (2)'!E51</f>
        <v>213.59</v>
      </c>
      <c r="F63" s="82">
        <f>IF(F$14=1,'Inputs (2)'!F51,E63*(1+Inputs!F$282))</f>
        <v>131.067</v>
      </c>
      <c r="G63" s="82">
        <f>IF(G$14=1,'Inputs (2)'!G51,F63*(1+Inputs!G$282))</f>
        <v>261.623</v>
      </c>
      <c r="H63" s="82">
        <f>IF(H$14=1,'Inputs (2)'!H51,G63*(1+Inputs!H$282))</f>
        <v>93.519</v>
      </c>
      <c r="I63" s="77">
        <f>H63</f>
        <v>93.519</v>
      </c>
      <c r="J63" s="82">
        <f>IF(J$14=1,'Inputs (2)'!J51,H63*(1+Inputs!J$282))</f>
        <v>115.314</v>
      </c>
      <c r="K63" s="82">
        <f>IF(K$14=1,'Inputs (2)'!K51,J63*(1+Inputs!K$282))</f>
        <v>189.278</v>
      </c>
      <c r="L63" s="82">
        <f>IF(L$14=1,'Inputs (2)'!L51,K63*(1+Inputs!L$282))</f>
        <v>315.537</v>
      </c>
      <c r="M63" s="82">
        <f>IF(M$14=1,'Inputs (2)'!M51,L63*(1+Inputs!M$282))</f>
        <v>77.966</v>
      </c>
      <c r="N63" s="77">
        <f>M63</f>
        <v>77.966</v>
      </c>
      <c r="O63" s="82">
        <f>IF(O$14=1,'Inputs (2)'!O51,M63*(1+Inputs!O$282))</f>
        <v>166.018</v>
      </c>
      <c r="P63" s="82">
        <f>IF(P$14=1,'Inputs (2)'!P51,O63*(1+Inputs!P$282))</f>
        <v>183.827</v>
      </c>
      <c r="Q63" s="82">
        <f>IF(Q$14=1,'Inputs (2)'!Q51,P63*(1+Inputs!Q$282))</f>
        <v>214.069</v>
      </c>
      <c r="R63" s="82">
        <f>IF(R$14=1,'Inputs (2)'!R51,Q63*(1+Inputs!R$282))</f>
        <v>100.229</v>
      </c>
      <c r="S63" s="77">
        <f>R63</f>
        <v>100.229</v>
      </c>
      <c r="T63" s="82">
        <f>IF(T$14=1,'Inputs (2)'!T51,R63*(1+Inputs!T$282))</f>
        <v>181.947</v>
      </c>
      <c r="U63" s="82">
        <f>IF(U$14=1,'Inputs (2)'!U51,T63*(1+Inputs!U$282))</f>
        <v>213.417</v>
      </c>
      <c r="V63" s="82">
        <f>IF(V$14=1,'Inputs (2)'!V51,U63*(1+Inputs!V$282))</f>
        <v>175.148</v>
      </c>
      <c r="W63" s="82">
        <f>IF(W$14=1,'Inputs (2)'!W51,V63*(1+Inputs!W$282))</f>
        <v>160.51</v>
      </c>
      <c r="X63" s="77">
        <f>W63</f>
        <v>160.51</v>
      </c>
      <c r="Y63" s="82">
        <f>IF(Y$14=1,'Inputs (2)'!Y51,W63*(1+Inputs!Y$282))</f>
        <v>103.341</v>
      </c>
      <c r="Z63" s="82">
        <f>IF(Z$14=1,'Inputs (2)'!Z51,Y63*(1+Inputs!Z$282))</f>
        <v>234.563</v>
      </c>
      <c r="AA63" s="82">
        <f>IF(AA$14=1,'Inputs (2)'!AA51,Z63*(1+Inputs!AA$282))</f>
        <v>200.995</v>
      </c>
      <c r="AB63" s="82">
        <f>IF(AB$14=1,'Inputs (2)'!AB51,AA63*(1+Inputs!AB$282))</f>
        <v>62.094</v>
      </c>
      <c r="AC63" s="77">
        <f>AB63</f>
        <v>62.094</v>
      </c>
      <c r="AD63" s="82">
        <f>IF(AD$14=1,'Inputs (2)'!AD51,AB63*(1+Inputs!AD$282))</f>
        <v>0</v>
      </c>
      <c r="AE63" s="82">
        <f>IF(AE$14=1,'Inputs (2)'!AE51,AD63*(1+Inputs!AE$282))</f>
        <v>0</v>
      </c>
      <c r="AF63" s="82">
        <f>IF(AF$14=1,'Inputs (2)'!AF51,AE63*(1+Inputs!AF$282))</f>
        <v>0</v>
      </c>
      <c r="AG63" s="82">
        <f>IF(AG$14=1,'Inputs (2)'!AG51,AF63*(1+Inputs!AG$282))</f>
        <v>0</v>
      </c>
      <c r="AH63" s="77">
        <f>AG63</f>
        <v>0</v>
      </c>
      <c r="AI63" s="82">
        <f>IF(AI$14=1,'Inputs (2)'!AI51,AG63*(1+Inputs!AI$282))</f>
        <v>0</v>
      </c>
      <c r="AJ63" s="82">
        <f>IF(AJ$14=1,'Inputs (2)'!AJ51,AI63*(1+Inputs!AJ$282))</f>
        <v>0</v>
      </c>
      <c r="AK63" s="82">
        <f>IF(AK$14=1,'Inputs (2)'!AK51,AJ63*(1+Inputs!AK$282))</f>
        <v>0</v>
      </c>
      <c r="AL63" s="82">
        <f>IF(AL$14=1,'Inputs (2)'!AL51,AK63*(1+Inputs!AL$282))</f>
        <v>0</v>
      </c>
      <c r="AM63" s="77">
        <f>AL63</f>
        <v>0</v>
      </c>
      <c r="AN63" s="82">
        <f>IF(AN$14=1,'Inputs (2)'!AN51,AL63*(1+Inputs!AN$282))</f>
        <v>0</v>
      </c>
      <c r="AO63" s="82">
        <f>IF(AO$14=1,'Inputs (2)'!AO51,AN63*(1+Inputs!AO$282))</f>
        <v>0</v>
      </c>
      <c r="AP63" s="82">
        <f>IF(AP$14=1,'Inputs (2)'!AP51,AO63*(1+Inputs!AP$282))</f>
        <v>0</v>
      </c>
      <c r="AQ63" s="82">
        <f>IF(AQ$14=1,'Inputs (2)'!AQ51,AP63*(1+Inputs!AQ$282))</f>
        <v>0</v>
      </c>
      <c r="AR63" s="77">
        <f>AQ63</f>
        <v>0</v>
      </c>
      <c r="AS63" s="82">
        <f>IF(AS$14=1,'Inputs (2)'!AS51,AQ63*(1+Inputs!AS$282))</f>
        <v>0</v>
      </c>
      <c r="AT63" s="82">
        <f>IF(AT$14=1,'Inputs (2)'!AT51,AS63*(1+Inputs!AT$282))</f>
        <v>0</v>
      </c>
      <c r="AU63" s="82">
        <f>IF(AU$14=1,'Inputs (2)'!AU51,AT63*(1+Inputs!AU$282))</f>
        <v>0</v>
      </c>
      <c r="AV63" s="82">
        <f>IF(AV$14=1,'Inputs (2)'!AV51,AU63*(1+Inputs!AV$282))</f>
        <v>0</v>
      </c>
      <c r="AW63" s="77">
        <f>AV63</f>
        <v>0</v>
      </c>
      <c r="AX63" s="82">
        <f>IF(AX$14=1,'Inputs (2)'!AX51,AV63*(1+Inputs!AX$282))</f>
        <v>0</v>
      </c>
      <c r="AY63" s="82">
        <f>IF(AY$14=1,'Inputs (2)'!AY51,AX63*(1+Inputs!AY$282))</f>
        <v>0</v>
      </c>
      <c r="AZ63" s="82">
        <f>IF(AZ$14=1,'Inputs (2)'!AZ51,AY63*(1+Inputs!AZ$282))</f>
        <v>0</v>
      </c>
      <c r="BA63" s="82">
        <f>IF(BA$14=1,'Inputs (2)'!BA51,AZ63*(1+Inputs!BA$282))</f>
        <v>0</v>
      </c>
      <c r="BB63" s="77">
        <f>BA63</f>
        <v>0</v>
      </c>
      <c r="BC63" s="82">
        <f>IF(BC$14=1,'Inputs (2)'!BC51,BA63*(1+Inputs!BC$282))</f>
        <v>0</v>
      </c>
      <c r="BD63" s="82">
        <f>IF(BD$14=1,'Inputs (2)'!BD51,BC63*(1+Inputs!BD$282))</f>
        <v>0</v>
      </c>
      <c r="BE63" s="82">
        <f>IF(BE$14=1,'Inputs (2)'!BE51,BD63*(1+Inputs!BE$282))</f>
        <v>0</v>
      </c>
      <c r="BF63" s="82">
        <f>IF(BF$14=1,'Inputs (2)'!BF51,BE63*(1+Inputs!BF$282))</f>
        <v>0</v>
      </c>
      <c r="BG63" s="77">
        <f>BF63</f>
        <v>0</v>
      </c>
    </row>
    <row r="64">
      <c r="C64" s="80" t="inlineStr">
        <is>
          <t>Provisões p/ Garantias Financeiras e Compromissos</t>
        </is>
      </c>
      <c r="D64" s="81" t="inlineStr">
        <is>
          <t>Provisions for Guarantees</t>
        </is>
      </c>
      <c r="E64" s="82">
        <f>'Inputs (2)'!E52</f>
        <v>0</v>
      </c>
      <c r="F64" s="82">
        <f>IF(F$14=1,'Inputs (2)'!F52,E64)</f>
        <v>0</v>
      </c>
      <c r="G64" s="82">
        <f>IF(G$14=1,'Inputs (2)'!G52,F64)</f>
        <v>0</v>
      </c>
      <c r="H64" s="82">
        <f>IF(H$14=1,'Inputs (2)'!H52,G64)</f>
        <v>0</v>
      </c>
      <c r="I64" s="77">
        <f>H64</f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>M64</f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>R64</f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>W64</f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>AB64</f>
        <v>0</v>
      </c>
      <c r="AD64" s="82">
        <f>IF(AD$14=1,'Inputs (2)'!AD52,AB64)</f>
        <v>49.15</v>
      </c>
      <c r="AE64" s="82">
        <f>IF(AE$14=1,'Inputs (2)'!AE52,AD64)</f>
        <v>47.66</v>
      </c>
      <c r="AF64" s="82">
        <f>IF(AF$14=1,'Inputs (2)'!AF52,AE64)</f>
        <v>54.282</v>
      </c>
      <c r="AG64" s="82">
        <f>IF(AG$14=1,'Inputs (2)'!AG52,AF64)</f>
        <v>42.267</v>
      </c>
      <c r="AH64" s="77">
        <f>AG64</f>
        <v>42.267</v>
      </c>
      <c r="AI64" s="82">
        <f>IF(AI$14=1,'Inputs (2)'!AI52,AG64)</f>
        <v>52.128</v>
      </c>
      <c r="AJ64" s="82">
        <f>IF(AJ$14=1,'Inputs (2)'!AJ52,AI64)</f>
        <v>34.733</v>
      </c>
      <c r="AK64" s="82">
        <f>IF(AK$14=1,'Inputs (2)'!AK52,AJ64)</f>
        <v>34.733</v>
      </c>
      <c r="AL64" s="82">
        <f>IF(AL$14=1,'Inputs (2)'!AL52,AK64)</f>
        <v>34.733</v>
      </c>
      <c r="AM64" s="77">
        <f>AL64</f>
        <v>34.733</v>
      </c>
      <c r="AN64" s="82">
        <f>IF(AN$14=1,'Inputs (2)'!AN52,AL64)</f>
        <v>34.733</v>
      </c>
      <c r="AO64" s="82">
        <f>IF(AO$14=1,'Inputs (2)'!AO52,AN64)</f>
        <v>34.733</v>
      </c>
      <c r="AP64" s="82">
        <f>IF(AP$14=1,'Inputs (2)'!AP52,AO64)</f>
        <v>34.733</v>
      </c>
      <c r="AQ64" s="82">
        <f>IF(AQ$14=1,'Inputs (2)'!AQ52,AP64)</f>
        <v>34.733</v>
      </c>
      <c r="AR64" s="77">
        <f>AQ64</f>
        <v>34.733</v>
      </c>
      <c r="AS64" s="82">
        <f>IF(AS$14=1,'Inputs (2)'!AS52,AQ64)</f>
        <v>34.733</v>
      </c>
      <c r="AT64" s="82">
        <f>IF(AT$14=1,'Inputs (2)'!AT52,AS64)</f>
        <v>34.733</v>
      </c>
      <c r="AU64" s="82">
        <f>IF(AU$14=1,'Inputs (2)'!AU52,AT64)</f>
        <v>34.733</v>
      </c>
      <c r="AV64" s="82">
        <f>IF(AV$14=1,'Inputs (2)'!AV52,AU64)</f>
        <v>34.733</v>
      </c>
      <c r="AW64" s="77">
        <f>AV64</f>
        <v>34.733</v>
      </c>
      <c r="AX64" s="82">
        <f>IF(AX$14=1,'Inputs (2)'!AX52,AV64)</f>
        <v>34.733</v>
      </c>
      <c r="AY64" s="82">
        <f>IF(AY$14=1,'Inputs (2)'!AY52,AX64)</f>
        <v>34.733</v>
      </c>
      <c r="AZ64" s="82">
        <f>IF(AZ$14=1,'Inputs (2)'!AZ52,AY64)</f>
        <v>34.733</v>
      </c>
      <c r="BA64" s="82">
        <f>IF(BA$14=1,'Inputs (2)'!BA52,AZ64)</f>
        <v>34.733</v>
      </c>
      <c r="BB64" s="77">
        <f>BA64</f>
        <v>34.733</v>
      </c>
      <c r="BC64" s="82">
        <f>IF(BC$14=1,'Inputs (2)'!BC52,BA64)</f>
        <v>34.733</v>
      </c>
      <c r="BD64" s="82">
        <f>IF(BD$14=1,'Inputs (2)'!BD52,BC64)</f>
        <v>34.733</v>
      </c>
      <c r="BE64" s="82">
        <f>IF(BE$14=1,'Inputs (2)'!BE52,BD64)</f>
        <v>34.733</v>
      </c>
      <c r="BF64" s="82">
        <f>IF(BF$14=1,'Inputs (2)'!BF52,BE64)</f>
        <v>34.733</v>
      </c>
      <c r="BG64" s="77">
        <f>BF64</f>
        <v>34.733</v>
      </c>
    </row>
    <row r="65">
      <c r="C65" s="80" t="inlineStr">
        <is>
          <t>Provisões Técnicas de Seguros e Previdência</t>
        </is>
      </c>
      <c r="D65" s="81" t="inlineStr">
        <is>
          <t>Technical Provisions</t>
        </is>
      </c>
      <c r="E65" s="82">
        <f>'Inputs (2)'!E53</f>
        <v>0</v>
      </c>
      <c r="F65" s="82">
        <f>IF(F$14=1,'Inputs (2)'!F53,E65*(1+Inputs!F$282))</f>
        <v>0</v>
      </c>
      <c r="G65" s="82">
        <f>IF(G$14=1,'Inputs (2)'!G53,F65*(1+Inputs!G$282))</f>
        <v>0</v>
      </c>
      <c r="H65" s="82">
        <f>IF(H$14=1,'Inputs (2)'!H53,G65*(1+Inputs!H$282))</f>
        <v>0</v>
      </c>
      <c r="I65" s="77">
        <f>H65</f>
        <v>0</v>
      </c>
      <c r="J65" s="82">
        <f>IF(J$14=1,'Inputs (2)'!J53,H65*(1+Inputs!J$282))</f>
        <v>0</v>
      </c>
      <c r="K65" s="82">
        <f>IF(K$14=1,'Inputs (2)'!K53,J65*(1+Inputs!K$282))</f>
        <v>0</v>
      </c>
      <c r="L65" s="82">
        <f>IF(L$14=1,'Inputs (2)'!L53,K65*(1+Inputs!L$282))</f>
        <v>0</v>
      </c>
      <c r="M65" s="82">
        <f>IF(M$14=1,'Inputs (2)'!M53,L65*(1+Inputs!M$282))</f>
        <v>0</v>
      </c>
      <c r="N65" s="77">
        <f>M65</f>
        <v>0</v>
      </c>
      <c r="O65" s="82">
        <f>IF(O$14=1,'Inputs (2)'!O53,M65*(1+Inputs!O$282))</f>
        <v>0</v>
      </c>
      <c r="P65" s="82">
        <f>IF(P$14=1,'Inputs (2)'!P53,O65*(1+Inputs!P$282))</f>
        <v>0</v>
      </c>
      <c r="Q65" s="82">
        <f>IF(Q$14=1,'Inputs (2)'!Q53,P65*(1+Inputs!Q$282))</f>
        <v>0</v>
      </c>
      <c r="R65" s="82">
        <f>IF(R$14=1,'Inputs (2)'!R53,Q65*(1+Inputs!R$282))</f>
        <v>0</v>
      </c>
      <c r="S65" s="77">
        <f>R65</f>
        <v>0</v>
      </c>
      <c r="T65" s="82">
        <f>IF(T$14=1,'Inputs (2)'!T53,R65*(1+Inputs!T$282))</f>
        <v>0</v>
      </c>
      <c r="U65" s="82">
        <f>IF(U$14=1,'Inputs (2)'!U53,T65*(1+Inputs!U$282))</f>
        <v>0</v>
      </c>
      <c r="V65" s="82">
        <f>IF(V$14=1,'Inputs (2)'!V53,U65*(1+Inputs!V$282))</f>
        <v>0</v>
      </c>
      <c r="W65" s="82">
        <f>IF(W$14=1,'Inputs (2)'!W53,V65*(1+Inputs!W$282))</f>
        <v>0</v>
      </c>
      <c r="X65" s="77">
        <f>W65</f>
        <v>0</v>
      </c>
      <c r="Y65" s="82">
        <f>IF(Y$14=1,'Inputs (2)'!Y53,W65*(1+Inputs!Y$282))</f>
        <v>0</v>
      </c>
      <c r="Z65" s="82">
        <f>IF(Z$14=1,'Inputs (2)'!Z53,Y65*(1+Inputs!Z$282))</f>
        <v>0</v>
      </c>
      <c r="AA65" s="82">
        <f>IF(AA$14=1,'Inputs (2)'!AA53,Z65*(1+Inputs!AA$282))</f>
        <v>0</v>
      </c>
      <c r="AB65" s="82">
        <f>IF(AB$14=1,'Inputs (2)'!AB53,AA65*(1+Inputs!AB$282))</f>
        <v>0</v>
      </c>
      <c r="AC65" s="77">
        <f>AB65</f>
        <v>0</v>
      </c>
      <c r="AD65" s="82">
        <f>IF(AD$14=1,'Inputs (2)'!AD53,AB65*(1+Inputs!AD$282))</f>
        <v>0</v>
      </c>
      <c r="AE65" s="82">
        <f>IF(AE$14=1,'Inputs (2)'!AE53,AD65*(1+Inputs!AE$282))</f>
        <v>0</v>
      </c>
      <c r="AF65" s="82">
        <f>IF(AF$14=1,'Inputs (2)'!AF53,AE65*(1+Inputs!AF$282))</f>
        <v>0</v>
      </c>
      <c r="AG65" s="82">
        <f>IF(AG$14=1,'Inputs (2)'!AG53,AF65*(1+Inputs!AG$282))</f>
        <v>0</v>
      </c>
      <c r="AH65" s="77">
        <f>AG65</f>
        <v>0</v>
      </c>
      <c r="AI65" s="82">
        <f>IF(AI$14=1,'Inputs (2)'!AI53,AG65*(1+Inputs!AI$282))</f>
        <v>0</v>
      </c>
      <c r="AJ65" s="82">
        <f>IF(AJ$14=1,'Inputs (2)'!AJ53,AI65*(1+Inputs!AJ$282))</f>
        <v>0</v>
      </c>
      <c r="AK65" s="82">
        <f>IF(AK$14=1,'Inputs (2)'!AK53,AJ65*(1+Inputs!AK$282))</f>
        <v>0</v>
      </c>
      <c r="AL65" s="82">
        <f>IF(AL$14=1,'Inputs (2)'!AL53,AK65*(1+Inputs!AL$282))</f>
        <v>0</v>
      </c>
      <c r="AM65" s="77">
        <f>AL65</f>
        <v>0</v>
      </c>
      <c r="AN65" s="82">
        <f>IF(AN$14=1,'Inputs (2)'!AN53,AL65*(1+Inputs!AN$282))</f>
        <v>0</v>
      </c>
      <c r="AO65" s="82">
        <f>IF(AO$14=1,'Inputs (2)'!AO53,AN65*(1+Inputs!AO$282))</f>
        <v>0</v>
      </c>
      <c r="AP65" s="82">
        <f>IF(AP$14=1,'Inputs (2)'!AP53,AO65*(1+Inputs!AP$282))</f>
        <v>0</v>
      </c>
      <c r="AQ65" s="82">
        <f>IF(AQ$14=1,'Inputs (2)'!AQ53,AP65*(1+Inputs!AQ$282))</f>
        <v>0</v>
      </c>
      <c r="AR65" s="77">
        <f>AQ65</f>
        <v>0</v>
      </c>
      <c r="AS65" s="82">
        <f>IF(AS$14=1,'Inputs (2)'!AS53,AQ65*(1+Inputs!AS$282))</f>
        <v>0</v>
      </c>
      <c r="AT65" s="82">
        <f>IF(AT$14=1,'Inputs (2)'!AT53,AS65*(1+Inputs!AT$282))</f>
        <v>0</v>
      </c>
      <c r="AU65" s="82">
        <f>IF(AU$14=1,'Inputs (2)'!AU53,AT65*(1+Inputs!AU$282))</f>
        <v>0</v>
      </c>
      <c r="AV65" s="82">
        <f>IF(AV$14=1,'Inputs (2)'!AV53,AU65*(1+Inputs!AV$282))</f>
        <v>0</v>
      </c>
      <c r="AW65" s="77">
        <f>AV65</f>
        <v>0</v>
      </c>
      <c r="AX65" s="82">
        <f>IF(AX$14=1,'Inputs (2)'!AX53,AV65*(1+Inputs!AX$282))</f>
        <v>0</v>
      </c>
      <c r="AY65" s="82">
        <f>IF(AY$14=1,'Inputs (2)'!AY53,AX65*(1+Inputs!AY$282))</f>
        <v>0</v>
      </c>
      <c r="AZ65" s="82">
        <f>IF(AZ$14=1,'Inputs (2)'!AZ53,AY65*(1+Inputs!AZ$282))</f>
        <v>0</v>
      </c>
      <c r="BA65" s="82">
        <f>IF(BA$14=1,'Inputs (2)'!BA53,AZ65*(1+Inputs!BA$282))</f>
        <v>0</v>
      </c>
      <c r="BB65" s="77">
        <f>BA65</f>
        <v>0</v>
      </c>
      <c r="BC65" s="82">
        <f>IF(BC$14=1,'Inputs (2)'!BC53,BA65*(1+Inputs!BC$282))</f>
        <v>0</v>
      </c>
      <c r="BD65" s="82">
        <f>IF(BD$14=1,'Inputs (2)'!BD53,BC65*(1+Inputs!BD$282))</f>
        <v>0</v>
      </c>
      <c r="BE65" s="82">
        <f>IF(BE$14=1,'Inputs (2)'!BE53,BD65*(1+Inputs!BE$282))</f>
        <v>0</v>
      </c>
      <c r="BF65" s="82">
        <f>IF(BF$14=1,'Inputs (2)'!BF53,BE65*(1+Inputs!BF$282))</f>
        <v>0</v>
      </c>
      <c r="BG65" s="77">
        <f>BF65</f>
        <v>0</v>
      </c>
    </row>
    <row r="66">
      <c r="C66" s="80" t="inlineStr">
        <is>
          <t>Demais Provisões</t>
        </is>
      </c>
      <c r="D66" s="81" t="inlineStr">
        <is>
          <t>Other Provisions</t>
        </is>
      </c>
      <c r="E66" s="82">
        <f>'Inputs (2)'!E54</f>
        <v>0</v>
      </c>
      <c r="F66" s="82">
        <f>IF(F$14=1,'Inputs (2)'!F54,E66)</f>
        <v>0</v>
      </c>
      <c r="G66" s="82">
        <f>IF(G$14=1,'Inputs (2)'!G54,F66)</f>
        <v>0</v>
      </c>
      <c r="H66" s="82">
        <f>IF(H$14=1,'Inputs (2)'!H54,G66)</f>
        <v>0</v>
      </c>
      <c r="I66" s="77">
        <f>H66</f>
        <v>0</v>
      </c>
      <c r="J66" s="82">
        <f>IF(J$14=1,'Inputs (2)'!J54,H66)</f>
        <v>0</v>
      </c>
      <c r="K66" s="82">
        <f>IF(K$14=1,'Inputs (2)'!K54,J66)</f>
        <v>0</v>
      </c>
      <c r="L66" s="82">
        <f>IF(L$14=1,'Inputs (2)'!L54,K66)</f>
        <v>0</v>
      </c>
      <c r="M66" s="82">
        <f>IF(M$14=1,'Inputs (2)'!M54,L66)</f>
        <v>0</v>
      </c>
      <c r="N66" s="77">
        <f>M66</f>
        <v>0</v>
      </c>
      <c r="O66" s="82">
        <f>IF(O$14=1,'Inputs (2)'!O54,M66)</f>
        <v>0</v>
      </c>
      <c r="P66" s="82">
        <f>IF(P$14=1,'Inputs (2)'!P54,O66)</f>
        <v>0</v>
      </c>
      <c r="Q66" s="82">
        <f>IF(Q$14=1,'Inputs (2)'!Q54,P66)</f>
        <v>0</v>
      </c>
      <c r="R66" s="82">
        <f>IF(R$14=1,'Inputs (2)'!R54,Q66)</f>
        <v>0</v>
      </c>
      <c r="S66" s="77">
        <f>R66</f>
        <v>0</v>
      </c>
      <c r="T66" s="82">
        <f>IF(T$14=1,'Inputs (2)'!T54,R66)</f>
        <v>0</v>
      </c>
      <c r="U66" s="82">
        <f>IF(U$14=1,'Inputs (2)'!U54,T66)</f>
        <v>0</v>
      </c>
      <c r="V66" s="82">
        <f>IF(V$14=1,'Inputs (2)'!V54,U66)</f>
        <v>0</v>
      </c>
      <c r="W66" s="82">
        <f>IF(W$14=1,'Inputs (2)'!W54,V66)</f>
        <v>0</v>
      </c>
      <c r="X66" s="77">
        <f>W66</f>
        <v>0</v>
      </c>
      <c r="Y66" s="82">
        <f>IF(Y$14=1,'Inputs (2)'!Y54,W66)</f>
        <v>0</v>
      </c>
      <c r="Z66" s="82">
        <f>IF(Z$14=1,'Inputs (2)'!Z54,Y66)</f>
        <v>0</v>
      </c>
      <c r="AA66" s="82">
        <f>IF(AA$14=1,'Inputs (2)'!AA54,Z66)</f>
        <v>0</v>
      </c>
      <c r="AB66" s="82">
        <f>IF(AB$14=1,'Inputs (2)'!AB54,AA66)</f>
        <v>0</v>
      </c>
      <c r="AC66" s="77">
        <f>AB66</f>
        <v>0</v>
      </c>
      <c r="AD66" s="82">
        <f>IF(AD$14=1,'Inputs (2)'!AD54,AB66)</f>
        <v>20.028</v>
      </c>
      <c r="AE66" s="82">
        <f>IF(AE$14=1,'Inputs (2)'!AE54,AD66)</f>
        <v>16.414</v>
      </c>
      <c r="AF66" s="82">
        <f>IF(AF$14=1,'Inputs (2)'!AF54,AE66)</f>
        <v>14.045</v>
      </c>
      <c r="AG66" s="82">
        <f>IF(AG$14=1,'Inputs (2)'!AG54,AF66)</f>
        <v>13.607</v>
      </c>
      <c r="AH66" s="77">
        <f>AG66</f>
        <v>13.607</v>
      </c>
      <c r="AI66" s="82">
        <f>IF(AI$14=1,'Inputs (2)'!AI54,AG66)</f>
        <v>15.912</v>
      </c>
      <c r="AJ66" s="82">
        <f>IF(AJ$14=1,'Inputs (2)'!AJ54,AI66)</f>
        <v>26.347</v>
      </c>
      <c r="AK66" s="82">
        <f>IF(AK$14=1,'Inputs (2)'!AK54,AJ66)</f>
        <v>26.347</v>
      </c>
      <c r="AL66" s="82">
        <f>IF(AL$14=1,'Inputs (2)'!AL54,AK66)</f>
        <v>26.347</v>
      </c>
      <c r="AM66" s="77">
        <f>AL66</f>
        <v>26.347</v>
      </c>
      <c r="AN66" s="82">
        <f>IF(AN$14=1,'Inputs (2)'!AN54,AL66)</f>
        <v>26.347</v>
      </c>
      <c r="AO66" s="82">
        <f>IF(AO$14=1,'Inputs (2)'!AO54,AN66)</f>
        <v>26.347</v>
      </c>
      <c r="AP66" s="82">
        <f>IF(AP$14=1,'Inputs (2)'!AP54,AO66)</f>
        <v>26.347</v>
      </c>
      <c r="AQ66" s="82">
        <f>IF(AQ$14=1,'Inputs (2)'!AQ54,AP66)</f>
        <v>26.347</v>
      </c>
      <c r="AR66" s="77">
        <f>AQ66</f>
        <v>26.347</v>
      </c>
      <c r="AS66" s="82">
        <f>IF(AS$14=1,'Inputs (2)'!AS54,AQ66)</f>
        <v>26.347</v>
      </c>
      <c r="AT66" s="82">
        <f>IF(AT$14=1,'Inputs (2)'!AT54,AS66)</f>
        <v>26.347</v>
      </c>
      <c r="AU66" s="82">
        <f>IF(AU$14=1,'Inputs (2)'!AU54,AT66)</f>
        <v>26.347</v>
      </c>
      <c r="AV66" s="82">
        <f>IF(AV$14=1,'Inputs (2)'!AV54,AU66)</f>
        <v>26.347</v>
      </c>
      <c r="AW66" s="77">
        <f>AV66</f>
        <v>26.347</v>
      </c>
      <c r="AX66" s="82">
        <f>IF(AX$14=1,'Inputs (2)'!AX54,AV66)</f>
        <v>26.347</v>
      </c>
      <c r="AY66" s="82">
        <f>IF(AY$14=1,'Inputs (2)'!AY54,AX66)</f>
        <v>26.347</v>
      </c>
      <c r="AZ66" s="82">
        <f>IF(AZ$14=1,'Inputs (2)'!AZ54,AY66)</f>
        <v>26.347</v>
      </c>
      <c r="BA66" s="82">
        <f>IF(BA$14=1,'Inputs (2)'!BA54,AZ66)</f>
        <v>26.347</v>
      </c>
      <c r="BB66" s="77">
        <f>BA66</f>
        <v>26.347</v>
      </c>
      <c r="BC66" s="82">
        <f>IF(BC$14=1,'Inputs (2)'!BC54,BA66)</f>
        <v>26.347</v>
      </c>
      <c r="BD66" s="82">
        <f>IF(BD$14=1,'Inputs (2)'!BD54,BC66)</f>
        <v>26.347</v>
      </c>
      <c r="BE66" s="82">
        <f>IF(BE$14=1,'Inputs (2)'!BE54,BD66)</f>
        <v>26.347</v>
      </c>
      <c r="BF66" s="82">
        <f>IF(BF$14=1,'Inputs (2)'!BF54,BE66)</f>
        <v>26.347</v>
      </c>
      <c r="BG66" s="77">
        <f>BF66</f>
        <v>26.347</v>
      </c>
    </row>
    <row r="67">
      <c r="C67" s="80" t="inlineStr">
        <is>
          <t>Obrigações Fiscais Correntes e Diferidas</t>
        </is>
      </c>
      <c r="D67" s="81" t="inlineStr">
        <is>
          <t>Tax Liabilities</t>
        </is>
      </c>
      <c r="E67" s="82">
        <f>'Inputs (2)'!E55</f>
        <v>0</v>
      </c>
      <c r="F67" s="82">
        <f>IF(F$14=1,'Inputs (2)'!F55,E67)</f>
        <v>0</v>
      </c>
      <c r="G67" s="82">
        <f>IF(G$14=1,'Inputs (2)'!G55,F67)</f>
        <v>0</v>
      </c>
      <c r="H67" s="82">
        <f>IF(H$14=1,'Inputs (2)'!H55,G67)</f>
        <v>0</v>
      </c>
      <c r="I67" s="77">
        <f>H67</f>
        <v>0</v>
      </c>
      <c r="J67" s="82">
        <f>IF(J$14=1,'Inputs (2)'!J55,H67)</f>
        <v>0</v>
      </c>
      <c r="K67" s="82">
        <f>IF(K$14=1,'Inputs (2)'!K55,J67)</f>
        <v>0</v>
      </c>
      <c r="L67" s="82">
        <f>IF(L$14=1,'Inputs (2)'!L55,K67)</f>
        <v>0</v>
      </c>
      <c r="M67" s="82">
        <f>IF(M$14=1,'Inputs (2)'!M55,L67)</f>
        <v>0</v>
      </c>
      <c r="N67" s="77">
        <f>M67</f>
        <v>0</v>
      </c>
      <c r="O67" s="82">
        <f>IF(O$14=1,'Inputs (2)'!O55,M67)</f>
        <v>0</v>
      </c>
      <c r="P67" s="82">
        <f>IF(P$14=1,'Inputs (2)'!P55,O67)</f>
        <v>0</v>
      </c>
      <c r="Q67" s="82">
        <f>IF(Q$14=1,'Inputs (2)'!Q55,P67)</f>
        <v>0</v>
      </c>
      <c r="R67" s="82">
        <f>IF(R$14=1,'Inputs (2)'!R55,Q67)</f>
        <v>0</v>
      </c>
      <c r="S67" s="77">
        <f>R67</f>
        <v>0</v>
      </c>
      <c r="T67" s="82">
        <f>IF(T$14=1,'Inputs (2)'!T55,R67)</f>
        <v>0</v>
      </c>
      <c r="U67" s="82">
        <f>IF(U$14=1,'Inputs (2)'!U55,T67)</f>
        <v>0</v>
      </c>
      <c r="V67" s="82">
        <f>IF(V$14=1,'Inputs (2)'!V55,U67)</f>
        <v>0</v>
      </c>
      <c r="W67" s="82">
        <f>IF(W$14=1,'Inputs (2)'!W55,V67)</f>
        <v>0</v>
      </c>
      <c r="X67" s="77">
        <f>W67</f>
        <v>0</v>
      </c>
      <c r="Y67" s="82">
        <f>IF(Y$14=1,'Inputs (2)'!Y55,W67)</f>
        <v>0</v>
      </c>
      <c r="Z67" s="82">
        <f>IF(Z$14=1,'Inputs (2)'!Z55,Y67)</f>
        <v>0</v>
      </c>
      <c r="AA67" s="82">
        <f>IF(AA$14=1,'Inputs (2)'!AA55,Z67)</f>
        <v>0</v>
      </c>
      <c r="AB67" s="82">
        <f>IF(AB$14=1,'Inputs (2)'!AB55,AA67)</f>
        <v>0</v>
      </c>
      <c r="AC67" s="77">
        <f>AB67</f>
        <v>0</v>
      </c>
      <c r="AD67" s="82">
        <f>IF(AD$14=1,'Inputs (2)'!AD55,AB67)</f>
        <v>1026.774</v>
      </c>
      <c r="AE67" s="82">
        <f>IF(AE$14=1,'Inputs (2)'!AE55,AD67)</f>
        <v>1380.99</v>
      </c>
      <c r="AF67" s="82">
        <f>IF(AF$14=1,'Inputs (2)'!AF55,AE67)</f>
        <v>1572.959</v>
      </c>
      <c r="AG67" s="82">
        <f>IF(AG$14=1,'Inputs (2)'!AG55,AF67)</f>
        <v>1232.181</v>
      </c>
      <c r="AH67" s="77">
        <f>AG67</f>
        <v>1232.181</v>
      </c>
      <c r="AI67" s="82">
        <f>IF(AI$14=1,'Inputs (2)'!AI55,AG67)</f>
        <v>1674.155</v>
      </c>
      <c r="AJ67" s="82">
        <f>IF(AJ$14=1,'Inputs (2)'!AJ55,AI67)</f>
        <v>1853.435</v>
      </c>
      <c r="AK67" s="82">
        <f>IF(AK$14=1,'Inputs (2)'!AK55,AJ67)</f>
        <v>1853.435</v>
      </c>
      <c r="AL67" s="82">
        <f>IF(AL$14=1,'Inputs (2)'!AL55,AK67)</f>
        <v>1853.435</v>
      </c>
      <c r="AM67" s="77">
        <f>AL67</f>
        <v>1853.435</v>
      </c>
      <c r="AN67" s="82">
        <f>IF(AN$14=1,'Inputs (2)'!AN55,AL67)</f>
        <v>1853.435</v>
      </c>
      <c r="AO67" s="82">
        <f>IF(AO$14=1,'Inputs (2)'!AO55,AN67)</f>
        <v>1853.435</v>
      </c>
      <c r="AP67" s="82">
        <f>IF(AP$14=1,'Inputs (2)'!AP55,AO67)</f>
        <v>1853.435</v>
      </c>
      <c r="AQ67" s="82">
        <f>IF(AQ$14=1,'Inputs (2)'!AQ55,AP67)</f>
        <v>1853.435</v>
      </c>
      <c r="AR67" s="77">
        <f>AQ67</f>
        <v>1853.435</v>
      </c>
      <c r="AS67" s="82">
        <f>IF(AS$14=1,'Inputs (2)'!AS55,AQ67)</f>
        <v>1853.435</v>
      </c>
      <c r="AT67" s="82">
        <f>IF(AT$14=1,'Inputs (2)'!AT55,AS67)</f>
        <v>1853.435</v>
      </c>
      <c r="AU67" s="82">
        <f>IF(AU$14=1,'Inputs (2)'!AU55,AT67)</f>
        <v>1853.435</v>
      </c>
      <c r="AV67" s="82">
        <f>IF(AV$14=1,'Inputs (2)'!AV55,AU67)</f>
        <v>1853.435</v>
      </c>
      <c r="AW67" s="77">
        <f>AV67</f>
        <v>1853.435</v>
      </c>
      <c r="AX67" s="82">
        <f>IF(AX$14=1,'Inputs (2)'!AX55,AV67)</f>
        <v>1853.435</v>
      </c>
      <c r="AY67" s="82">
        <f>IF(AY$14=1,'Inputs (2)'!AY55,AX67)</f>
        <v>1853.435</v>
      </c>
      <c r="AZ67" s="82">
        <f>IF(AZ$14=1,'Inputs (2)'!AZ55,AY67)</f>
        <v>1853.435</v>
      </c>
      <c r="BA67" s="82">
        <f>IF(BA$14=1,'Inputs (2)'!BA55,AZ67)</f>
        <v>1853.435</v>
      </c>
      <c r="BB67" s="77">
        <f>BA67</f>
        <v>1853.435</v>
      </c>
      <c r="BC67" s="82">
        <f>IF(BC$14=1,'Inputs (2)'!BC55,BA67)</f>
        <v>1853.435</v>
      </c>
      <c r="BD67" s="82">
        <f>IF(BD$14=1,'Inputs (2)'!BD55,BC67)</f>
        <v>1853.435</v>
      </c>
      <c r="BE67" s="82">
        <f>IF(BE$14=1,'Inputs (2)'!BE55,BD67)</f>
        <v>1853.435</v>
      </c>
      <c r="BF67" s="82">
        <f>IF(BF$14=1,'Inputs (2)'!BF55,BE67)</f>
        <v>1853.435</v>
      </c>
      <c r="BG67" s="77">
        <f>BF67</f>
        <v>1853.435</v>
      </c>
    </row>
    <row r="68">
      <c r="C68" s="80" t="inlineStr">
        <is>
          <t>Outros Passivos</t>
        </is>
      </c>
      <c r="D68" s="81" t="inlineStr">
        <is>
          <t>Other Liabilities</t>
        </is>
      </c>
      <c r="E68" s="82">
        <f>'Inputs (2)'!E56</f>
        <v>16832.80987</v>
      </c>
      <c r="F68" s="82">
        <f>IF(F$14=1,'Inputs (2)'!F56,E68*(1+Inputs!F$282))</f>
        <v>15652.896</v>
      </c>
      <c r="G68" s="82">
        <f>IF(G$14=1,'Inputs (2)'!G56,F68*(1+Inputs!G$282))</f>
        <v>10946.477</v>
      </c>
      <c r="H68" s="82">
        <f>IF(H$14=1,'Inputs (2)'!H56,G68*(1+Inputs!H$282))</f>
        <v>7879.352</v>
      </c>
      <c r="I68" s="77">
        <f>H68</f>
        <v>7879.352</v>
      </c>
      <c r="J68" s="82">
        <f>IF(J$14=1,'Inputs (2)'!J56,H68*(1+Inputs!J$282))</f>
        <v>11295.59</v>
      </c>
      <c r="K68" s="82">
        <f>IF(K$14=1,'Inputs (2)'!K56,J68*(1+Inputs!K$282))</f>
        <v>9413.371</v>
      </c>
      <c r="L68" s="82">
        <f>IF(L$14=1,'Inputs (2)'!L56,K68*(1+Inputs!L$282))</f>
        <v>11145.125</v>
      </c>
      <c r="M68" s="82">
        <f>IF(M$14=1,'Inputs (2)'!M56,L68*(1+Inputs!M$282))</f>
        <v>11337.574</v>
      </c>
      <c r="N68" s="77">
        <f>M68</f>
        <v>11337.574</v>
      </c>
      <c r="O68" s="82">
        <f>IF(O$14=1,'Inputs (2)'!O56,M68*(1+Inputs!O$282))</f>
        <v>7024.429</v>
      </c>
      <c r="P68" s="82">
        <f>IF(P$14=1,'Inputs (2)'!P56,O68*(1+Inputs!P$282))</f>
        <v>8772.828</v>
      </c>
      <c r="Q68" s="82">
        <f>IF(Q$14=1,'Inputs (2)'!Q56,P68*(1+Inputs!Q$282))</f>
        <v>8103.974</v>
      </c>
      <c r="R68" s="82">
        <f>IF(R$14=1,'Inputs (2)'!R56,Q68*(1+Inputs!R$282))</f>
        <v>12471.508</v>
      </c>
      <c r="S68" s="77">
        <f>R68</f>
        <v>12471.508</v>
      </c>
      <c r="T68" s="82">
        <f>IF(T$14=1,'Inputs (2)'!T56,R68*(1+Inputs!T$282))</f>
        <v>10500.699</v>
      </c>
      <c r="U68" s="82">
        <f>IF(U$14=1,'Inputs (2)'!U56,T68*(1+Inputs!U$282))</f>
        <v>9605.161</v>
      </c>
      <c r="V68" s="82">
        <f>IF(V$14=1,'Inputs (2)'!V56,U68*(1+Inputs!V$282))</f>
        <v>9600.47</v>
      </c>
      <c r="W68" s="82">
        <f>IF(W$14=1,'Inputs (2)'!W56,V68*(1+Inputs!W$282))</f>
        <v>11992.421</v>
      </c>
      <c r="X68" s="77">
        <f>W68</f>
        <v>11992.421</v>
      </c>
      <c r="Y68" s="82">
        <f>IF(Y$14=1,'Inputs (2)'!Y56,W68*(1+Inputs!Y$282))</f>
        <v>12340.345</v>
      </c>
      <c r="Z68" s="82">
        <f>IF(Z$14=1,'Inputs (2)'!Z56,Y68*(1+Inputs!Z$282))</f>
        <v>16320.161</v>
      </c>
      <c r="AA68" s="82">
        <f>IF(AA$14=1,'Inputs (2)'!AA56,Z68*(1+Inputs!AA$282))</f>
        <v>17298.894</v>
      </c>
      <c r="AB68" s="82">
        <f>IF(AB$14=1,'Inputs (2)'!AB56,AA68*(1+Inputs!AB$282))</f>
        <v>16648.425</v>
      </c>
      <c r="AC68" s="77">
        <f>AB68</f>
        <v>16648.425</v>
      </c>
      <c r="AD68" s="82">
        <f>IF(AD$14=1,'Inputs (2)'!AD56,AB68*(1+Inputs!AD$282))</f>
        <v>1367.238</v>
      </c>
      <c r="AE68" s="82">
        <f>IF(AE$14=1,'Inputs (2)'!AE56,AD68*(1+Inputs!AE$282))</f>
        <v>1535.222</v>
      </c>
      <c r="AF68" s="82">
        <f>IF(AF$14=1,'Inputs (2)'!AF56,AE68*(1+Inputs!AF$282))</f>
        <v>1125.72</v>
      </c>
      <c r="AG68" s="82">
        <f>IF(AG$14=1,'Inputs (2)'!AG56,AF68*(1+Inputs!AG$282))</f>
        <v>1053.864</v>
      </c>
      <c r="AH68" s="77">
        <f>AG68</f>
        <v>1053.864</v>
      </c>
      <c r="AI68" s="82">
        <f>IF(AI$14=1,'Inputs (2)'!AI56,AG68*(1+Inputs!AI$282))</f>
        <v>878.516</v>
      </c>
      <c r="AJ68" s="82">
        <f>IF(AJ$14=1,'Inputs (2)'!AJ56,AI68*(1+Inputs!AJ$282))</f>
        <v>950.207</v>
      </c>
      <c r="AK68" s="82">
        <f>IF(AK$14=1,'Inputs (2)'!AK56,AJ68*(1+Inputs!AK$282))</f>
        <v>950.207</v>
      </c>
      <c r="AL68" s="82">
        <f>IF(AL$14=1,'Inputs (2)'!AL56,AK68*(1+Inputs!AL$282))</f>
        <v>950.207</v>
      </c>
      <c r="AM68" s="77">
        <f>AL68</f>
        <v>950.207</v>
      </c>
      <c r="AN68" s="82">
        <f>IF(AN$14=1,'Inputs (2)'!AN56,AL68*(1+Inputs!AN$282))</f>
        <v>950.207</v>
      </c>
      <c r="AO68" s="82">
        <f>IF(AO$14=1,'Inputs (2)'!AO56,AN68*(1+Inputs!AO$282))</f>
        <v>950.207</v>
      </c>
      <c r="AP68" s="82">
        <f>IF(AP$14=1,'Inputs (2)'!AP56,AO68*(1+Inputs!AP$282))</f>
        <v>950.207</v>
      </c>
      <c r="AQ68" s="82">
        <f>IF(AQ$14=1,'Inputs (2)'!AQ56,AP68*(1+Inputs!AQ$282))</f>
        <v>950.207</v>
      </c>
      <c r="AR68" s="77">
        <f>AQ68</f>
        <v>950.207</v>
      </c>
      <c r="AS68" s="82">
        <f>IF(AS$14=1,'Inputs (2)'!AS56,AQ68*(1+Inputs!AS$282))</f>
        <v>950.207</v>
      </c>
      <c r="AT68" s="82">
        <f>IF(AT$14=1,'Inputs (2)'!AT56,AS68*(1+Inputs!AT$282))</f>
        <v>950.207</v>
      </c>
      <c r="AU68" s="82">
        <f>IF(AU$14=1,'Inputs (2)'!AU56,AT68*(1+Inputs!AU$282))</f>
        <v>950.207</v>
      </c>
      <c r="AV68" s="82">
        <f>IF(AV$14=1,'Inputs (2)'!AV56,AU68*(1+Inputs!AV$282))</f>
        <v>950.207</v>
      </c>
      <c r="AW68" s="77">
        <f>AV68</f>
        <v>950.207</v>
      </c>
      <c r="AX68" s="82">
        <f>IF(AX$14=1,'Inputs (2)'!AX56,AV68*(1+Inputs!AX$282))</f>
        <v>950.207</v>
      </c>
      <c r="AY68" s="82">
        <f>IF(AY$14=1,'Inputs (2)'!AY56,AX68*(1+Inputs!AY$282))</f>
        <v>950.207</v>
      </c>
      <c r="AZ68" s="82">
        <f>IF(AZ$14=1,'Inputs (2)'!AZ56,AY68*(1+Inputs!AZ$282))</f>
        <v>950.207</v>
      </c>
      <c r="BA68" s="82">
        <f>IF(BA$14=1,'Inputs (2)'!BA56,AZ68*(1+Inputs!BA$282))</f>
        <v>950.207</v>
      </c>
      <c r="BB68" s="77">
        <f>BA68</f>
        <v>950.207</v>
      </c>
      <c r="BC68" s="82">
        <f>IF(BC$14=1,'Inputs (2)'!BC56,BA68*(1+Inputs!BC$282))</f>
        <v>950.207</v>
      </c>
      <c r="BD68" s="82">
        <f>IF(BD$14=1,'Inputs (2)'!BD56,BC68*(1+Inputs!BD$282))</f>
        <v>950.207</v>
      </c>
      <c r="BE68" s="82">
        <f>IF(BE$14=1,'Inputs (2)'!BE56,BD68*(1+Inputs!BE$282))</f>
        <v>950.207</v>
      </c>
      <c r="BF68" s="82">
        <f>IF(BF$14=1,'Inputs (2)'!BF56,BE68*(1+Inputs!BF$282))</f>
        <v>950.207</v>
      </c>
      <c r="BG68" s="77">
        <f>BF68</f>
        <v>950.207</v>
      </c>
    </row>
    <row r="69">
      <c r="C69" s="53" t="inlineStr">
        <is>
          <t>TOTAL DO PASSIVO (EXCETO PL)</t>
        </is>
      </c>
      <c r="D69" s="54" t="inlineStr">
        <is>
          <t>TOTAL LIABILITIES</t>
        </is>
      </c>
      <c r="E69" s="59">
        <f>E44+E50+E54+E59+E62+E63+E64+E65+E66+E67+E68</f>
        <v>45599.03487</v>
      </c>
      <c r="F69" s="59">
        <f>F44+F50+F54+F59+F62+F63+F64+F65+F66+F67+F68</f>
        <v>45775.272</v>
      </c>
      <c r="G69" s="59">
        <f>G44+G50+G54+G59+G62+G63+G64+G65+G66+G67+G68</f>
        <v>41966.681</v>
      </c>
      <c r="H69" s="59">
        <f>H44+H50+H54+H59+H62+H63+H64+H65+H66+H67+H68</f>
        <v>39040.578</v>
      </c>
      <c r="I69" s="60">
        <f>H69</f>
        <v>39040.578</v>
      </c>
      <c r="J69" s="59">
        <f>J44+J50+J54+J59+J62+J63+J64+J65+J66+J67+J68</f>
        <v>44309.007</v>
      </c>
      <c r="K69" s="59">
        <f>K44+K50+K54+K59+K62+K63+K64+K65+K66+K67+K68</f>
        <v>39996.894</v>
      </c>
      <c r="L69" s="59">
        <f>L44+L50+L54+L59+L62+L63+L64+L65+L66+L67+L68</f>
        <v>45559.494</v>
      </c>
      <c r="M69" s="59">
        <f>M44+M50+M54+M59+M62+M63+M64+M65+M66+M67+M68</f>
        <v>44895.312</v>
      </c>
      <c r="N69" s="60">
        <f>M69</f>
        <v>44895.312</v>
      </c>
      <c r="O69" s="59">
        <f>O44+O50+O54+O59+O62+O63+O64+O65+O66+O67+O68</f>
        <v>41510.309</v>
      </c>
      <c r="P69" s="59">
        <f>P44+P50+P54+P59+P62+P63+P64+P65+P66+P67+P68</f>
        <v>46042.565</v>
      </c>
      <c r="Q69" s="59">
        <f>Q44+Q50+Q54+Q59+Q62+Q63+Q64+Q65+Q66+Q67+Q68</f>
        <v>47544.096</v>
      </c>
      <c r="R69" s="59">
        <f>R44+R50+R54+R59+R62+R63+R64+R65+R66+R67+R68</f>
        <v>52201.441</v>
      </c>
      <c r="S69" s="60">
        <f>R69</f>
        <v>52201.441</v>
      </c>
      <c r="T69" s="59">
        <f>T44+T50+T54+T59+T62+T63+T64+T65+T66+T67+T68</f>
        <v>48850.629</v>
      </c>
      <c r="U69" s="59">
        <f>U44+U50+U54+U59+U62+U63+U64+U65+U66+U67+U68</f>
        <v>49507.841</v>
      </c>
      <c r="V69" s="59">
        <f>V44+V50+V54+V59+V62+V63+V64+V65+V66+V67+V68</f>
        <v>51003.505</v>
      </c>
      <c r="W69" s="59">
        <f>W44+W50+W54+W59+W62+W63+W64+W65+W66+W67+W68</f>
        <v>54747.241</v>
      </c>
      <c r="X69" s="60">
        <f>W69</f>
        <v>54747.241</v>
      </c>
      <c r="Y69" s="59">
        <f>Y44+Y50+Y54+Y59+Y62+Y63+Y64+Y65+Y66+Y67+Y68</f>
        <v>55118.615</v>
      </c>
      <c r="Z69" s="59">
        <f>Z44+Z50+Z54+Z59+Z62+Z63+Z64+Z65+Z66+Z67+Z68</f>
        <v>62824.641</v>
      </c>
      <c r="AA69" s="59">
        <f>AA44+AA50+AA54+AA59+AA62+AA63+AA64+AA65+AA66+AA67+AA68</f>
        <v>65669.047</v>
      </c>
      <c r="AB69" s="59">
        <f>AB44+AB50+AB54+AB59+AB62+AB63+AB64+AB65+AB66+AB67+AB68</f>
        <v>67174.863</v>
      </c>
      <c r="AC69" s="60">
        <f>AB69</f>
        <v>67174.863</v>
      </c>
      <c r="AD69" s="59">
        <f>AD44+AD50+AD54+AD59+AD62+AD63+AD64+AD65+AD66+AD67+AD68</f>
        <v>57738.021</v>
      </c>
      <c r="AE69" s="59">
        <f>AE44+AE50+AE54+AE59+AE62+AE63+AE64+AE65+AE66+AE67+AE68</f>
        <v>57834.218</v>
      </c>
      <c r="AF69" s="59">
        <f>AF44+AF50+AF54+AF59+AF62+AF63+AF64+AF65+AF66+AF67+AF68</f>
        <v>56515.701</v>
      </c>
      <c r="AG69" s="59">
        <f>AG44+AG50+AG54+AG59+AG62+AG63+AG64+AG65+AG66+AG67+AG68</f>
        <v>59540.283</v>
      </c>
      <c r="AH69" s="60">
        <f>AG69</f>
        <v>59540.283</v>
      </c>
      <c r="AI69" s="59">
        <f>AI44+AI50+AI54+AI59+AI62+AI63+AI64+AI65+AI66+AI67+AI68</f>
        <v>62118.251</v>
      </c>
      <c r="AJ69" s="59">
        <f>AJ44+AJ50+AJ54+AJ59+AJ62+AJ63+AJ64+AJ65+AJ66+AJ67+AJ68</f>
        <v>62306.236</v>
      </c>
      <c r="AK69" s="59">
        <f>AK44+AK50+AK54+AK59+AK62+AK63+AK64+AK65+AK66+AK67+AK68</f>
        <v>62572.5194525</v>
      </c>
      <c r="AL69" s="59">
        <f>AL44+AL50+AL54+AL59+AL62+AL63+AL64+AL65+AL66+AL67+AL68</f>
        <v>62827.720905</v>
      </c>
      <c r="AM69" s="60">
        <f>AL69</f>
        <v>62827.720905</v>
      </c>
      <c r="AN69" s="59">
        <f>AN44+AN50+AN54+AN59+AN62+AN63+AN64+AN65+AN66+AN67+AN68</f>
        <v>63080.9083575</v>
      </c>
      <c r="AO69" s="59">
        <f>AO44+AO50+AO54+AO59+AO62+AO63+AO64+AO65+AO66+AO67+AO68</f>
        <v>63362.69281</v>
      </c>
      <c r="AP69" s="59">
        <f>AP44+AP50+AP54+AP59+AP62+AP63+AP64+AP65+AP66+AP67+AP68</f>
        <v>63628.9762625</v>
      </c>
      <c r="AQ69" s="59">
        <f>AQ44+AQ50+AQ54+AQ59+AQ62+AQ63+AQ64+AQ65+AQ66+AQ67+AQ68</f>
        <v>63884.177715</v>
      </c>
      <c r="AR69" s="60">
        <f>AQ69</f>
        <v>63884.177715</v>
      </c>
      <c r="AS69" s="59">
        <f>AS44+AS50+AS54+AS59+AS62+AS63+AS64+AS65+AS66+AS67+AS68</f>
        <v>64137.3651675</v>
      </c>
      <c r="AT69" s="59">
        <f>AT44+AT50+AT54+AT59+AT62+AT63+AT64+AT65+AT66+AT67+AT68</f>
        <v>64419.14962</v>
      </c>
      <c r="AU69" s="59">
        <f>AU44+AU50+AU54+AU59+AU62+AU63+AU64+AU65+AU66+AU67+AU68</f>
        <v>64685.4330725</v>
      </c>
      <c r="AV69" s="59">
        <f>AV44+AV50+AV54+AV59+AV62+AV63+AV64+AV65+AV66+AV67+AV68</f>
        <v>64940.634525</v>
      </c>
      <c r="AW69" s="60">
        <f>AV69</f>
        <v>64940.634525</v>
      </c>
      <c r="AX69" s="59">
        <f>AX44+AX50+AX54+AX59+AX62+AX63+AX64+AX65+AX66+AX67+AX68</f>
        <v>65193.8219775</v>
      </c>
      <c r="AY69" s="59">
        <f>AY44+AY50+AY54+AY59+AY62+AY63+AY64+AY65+AY66+AY67+AY68</f>
        <v>65475.60643</v>
      </c>
      <c r="AZ69" s="59">
        <f>AZ44+AZ50+AZ54+AZ59+AZ62+AZ63+AZ64+AZ65+AZ66+AZ67+AZ68</f>
        <v>65741.8898825</v>
      </c>
      <c r="BA69" s="59">
        <f>BA44+BA50+BA54+BA59+BA62+BA63+BA64+BA65+BA66+BA67+BA68</f>
        <v>65997.091335</v>
      </c>
      <c r="BB69" s="60">
        <f>BA69</f>
        <v>65997.091335</v>
      </c>
      <c r="BC69" s="59">
        <f>BC44+BC50+BC54+BC59+BC62+BC63+BC64+BC65+BC66+BC67+BC68</f>
        <v>66250.2787875</v>
      </c>
      <c r="BD69" s="59">
        <f>BD44+BD50+BD54+BD59+BD62+BD63+BD64+BD65+BD66+BD67+BD68</f>
        <v>66532.06324</v>
      </c>
      <c r="BE69" s="59">
        <f>BE44+BE50+BE54+BE59+BE62+BE63+BE64+BE65+BE66+BE67+BE68</f>
        <v>66798.3466925</v>
      </c>
      <c r="BF69" s="59">
        <f>BF44+BF50+BF54+BF59+BF62+BF63+BF64+BF65+BF66+BF67+BF68</f>
        <v>67053.548145</v>
      </c>
      <c r="BG69" s="60">
        <f>BF69</f>
        <v>67053.548145</v>
      </c>
    </row>
    <row r="70">
      <c r="B70" s="29" t="n"/>
      <c r="C70" s="29" t="inlineStr">
        <is>
          <t>Patrimônio Líquido</t>
        </is>
      </c>
      <c r="D70" s="29" t="inlineStr">
        <is>
          <t>Equity</t>
        </is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  <c r="AE70" s="29" t="n"/>
      <c r="AF70" s="29" t="n"/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  <c r="BA70" s="29" t="n"/>
      <c r="BB70" s="29" t="n"/>
      <c r="BC70" s="29" t="n"/>
      <c r="BD70" s="29" t="n"/>
      <c r="BE70" s="29" t="n"/>
      <c r="BF70" s="29" t="n"/>
      <c r="BG70" s="29" t="n"/>
      <c r="BH70" s="29" t="n"/>
      <c r="BI70" s="29" t="n"/>
    </row>
    <row r="71">
      <c r="C71" s="83" t="inlineStr">
        <is>
          <t>Patrimônio Líquido dos Controladores</t>
        </is>
      </c>
      <c r="D71" s="84" t="inlineStr">
        <is>
          <t>Equity — Controlling</t>
        </is>
      </c>
      <c r="E71" s="85">
        <f>E72+E73+E74+E75+E76</f>
        <v>4046.679</v>
      </c>
      <c r="F71" s="85">
        <f>F72+F73+F74+F75+F76</f>
        <v>4093.299</v>
      </c>
      <c r="G71" s="85">
        <f>G72+G73+G74+G75+G76</f>
        <v>4187.557</v>
      </c>
      <c r="H71" s="85">
        <f>H72+H73+H74+H75+H76</f>
        <v>4288.263</v>
      </c>
      <c r="I71" s="60">
        <f>H71</f>
        <v>4288.263</v>
      </c>
      <c r="J71" s="85">
        <f>J72+J73+J74+J75+J76</f>
        <v>4391.952</v>
      </c>
      <c r="K71" s="85">
        <f>K72+K73+K74+K75+K76</f>
        <v>4459.17</v>
      </c>
      <c r="L71" s="85">
        <f>L72+L73+L74+L75+L76</f>
        <v>4554.96</v>
      </c>
      <c r="M71" s="85">
        <f>M72+M73+M74+M75+M76</f>
        <v>4669.463</v>
      </c>
      <c r="N71" s="60">
        <f>M71</f>
        <v>4669.463</v>
      </c>
      <c r="O71" s="85">
        <f>O72+O73+O74+O75+O76</f>
        <v>4774.272</v>
      </c>
      <c r="P71" s="85">
        <f>P72+P73+P74+P75+P76</f>
        <v>4910.572</v>
      </c>
      <c r="Q71" s="85">
        <f>Q72+Q73+Q74+Q75+Q76</f>
        <v>5070.724</v>
      </c>
      <c r="R71" s="85">
        <f>R72+R73+R74+R75+R76</f>
        <v>5205.386</v>
      </c>
      <c r="S71" s="60">
        <f>R71</f>
        <v>5205.386</v>
      </c>
      <c r="T71" s="85">
        <f>T72+T73+T74+T75+T76</f>
        <v>5303.106</v>
      </c>
      <c r="U71" s="85">
        <f>U72+U73+U74+U75+U76</f>
        <v>5420.811</v>
      </c>
      <c r="V71" s="85">
        <f>V72+V73+V74+V75+V76</f>
        <v>5721.807</v>
      </c>
      <c r="W71" s="85">
        <f>W72+W73+W74+W75+W76</f>
        <v>5871.729</v>
      </c>
      <c r="X71" s="60">
        <f>W71</f>
        <v>5871.729</v>
      </c>
      <c r="Y71" s="85">
        <f>Y72+Y73+Y74+Y75+Y76</f>
        <v>6138.129</v>
      </c>
      <c r="Z71" s="85">
        <f>Z72+Z73+Z74+Z75+Z76</f>
        <v>6235.066</v>
      </c>
      <c r="AA71" s="85">
        <f>AA72+AA73+AA74+AA75+AA76</f>
        <v>6378.304</v>
      </c>
      <c r="AB71" s="85">
        <f>AB72+AB73+AB74+AB75+AB76</f>
        <v>6387.347</v>
      </c>
      <c r="AC71" s="60">
        <f>AB71</f>
        <v>6387.347</v>
      </c>
      <c r="AD71" s="85">
        <f>AD72+AD73+AD74+AD75+AD76</f>
        <v>6472.307</v>
      </c>
      <c r="AE71" s="85">
        <f>AE72+AE73+AE74+AE75+AE76</f>
        <v>6581.402</v>
      </c>
      <c r="AF71" s="85">
        <f>AF72+AF73+AF74+AF75+AF76</f>
        <v>6700.376</v>
      </c>
      <c r="AG71" s="85">
        <f>AG72+AG73+AG74+AG75+AG76</f>
        <v>6758.948</v>
      </c>
      <c r="AH71" s="60">
        <f>AG71</f>
        <v>6758.948</v>
      </c>
      <c r="AI71" s="85">
        <f>AI72+AI73+AI74+AI75+AI76</f>
        <v>7147.593</v>
      </c>
      <c r="AJ71" s="85">
        <f>AJ72+AJ73+AJ74+AJ75+AJ76</f>
        <v>7258.915</v>
      </c>
      <c r="AK71" s="85">
        <f>AK72+AK73+AK74+AK75+AK76</f>
        <v>6992.6315475</v>
      </c>
      <c r="AL71" s="85">
        <f>AL72+AL73+AL74+AL75+AL76</f>
        <v>6737.430095</v>
      </c>
      <c r="AM71" s="60">
        <f>AL71</f>
        <v>6737.430095</v>
      </c>
      <c r="AN71" s="85">
        <f>AN72+AN73+AN74+AN75+AN76</f>
        <v>6484.2426425</v>
      </c>
      <c r="AO71" s="85">
        <f>AO72+AO73+AO74+AO75+AO76</f>
        <v>6202.45819</v>
      </c>
      <c r="AP71" s="85">
        <f>AP72+AP73+AP74+AP75+AP76</f>
        <v>5936.1747375</v>
      </c>
      <c r="AQ71" s="85">
        <f>AQ72+AQ73+AQ74+AQ75+AQ76</f>
        <v>5680.973285</v>
      </c>
      <c r="AR71" s="60">
        <f>AQ71</f>
        <v>5680.973285</v>
      </c>
      <c r="AS71" s="85">
        <f>AS72+AS73+AS74+AS75+AS76</f>
        <v>5427.7858325</v>
      </c>
      <c r="AT71" s="85">
        <f>AT72+AT73+AT74+AT75+AT76</f>
        <v>5146.00138</v>
      </c>
      <c r="AU71" s="85">
        <f>AU72+AU73+AU74+AU75+AU76</f>
        <v>4879.7179275</v>
      </c>
      <c r="AV71" s="85">
        <f>AV72+AV73+AV74+AV75+AV76</f>
        <v>4624.516475</v>
      </c>
      <c r="AW71" s="60">
        <f>AV71</f>
        <v>4624.516475</v>
      </c>
      <c r="AX71" s="85">
        <f>AX72+AX73+AX74+AX75+AX76</f>
        <v>4371.3290225</v>
      </c>
      <c r="AY71" s="85">
        <f>AY72+AY73+AY74+AY75+AY76</f>
        <v>4089.54457</v>
      </c>
      <c r="AZ71" s="85">
        <f>AZ72+AZ73+AZ74+AZ75+AZ76</f>
        <v>3823.2611175</v>
      </c>
      <c r="BA71" s="85">
        <f>BA72+BA73+BA74+BA75+BA76</f>
        <v>3568.059665</v>
      </c>
      <c r="BB71" s="60">
        <f>BA71</f>
        <v>3568.059665</v>
      </c>
      <c r="BC71" s="85">
        <f>BC72+BC73+BC74+BC75+BC76</f>
        <v>3314.8722125</v>
      </c>
      <c r="BD71" s="85">
        <f>BD72+BD73+BD74+BD75+BD76</f>
        <v>3033.08776</v>
      </c>
      <c r="BE71" s="85">
        <f>BE72+BE73+BE74+BE75+BE76</f>
        <v>2766.8043075</v>
      </c>
      <c r="BF71" s="85">
        <f>BF72+BF73+BF74+BF75+BF76</f>
        <v>2511.602855</v>
      </c>
      <c r="BG71" s="60">
        <f>BF71</f>
        <v>2511.602855</v>
      </c>
    </row>
    <row r="72" hidden="1" outlineLevel="1">
      <c r="C72" s="61" t="inlineStr">
        <is>
          <t>Capital Social</t>
        </is>
      </c>
      <c r="D72" s="62" t="inlineStr">
        <is>
          <t>Share Capital</t>
        </is>
      </c>
      <c r="E72" s="57">
        <f>'Inputs (2)'!E60</f>
        <v>2565.891</v>
      </c>
      <c r="F72" s="57">
        <f>IF(F$14=1,'Inputs (2)'!F60,E72+Inputs!F$303)</f>
        <v>2565.892</v>
      </c>
      <c r="G72" s="57">
        <f>IF(G$14=1,'Inputs (2)'!G60,F72+Inputs!G$303)</f>
        <v>2565.892</v>
      </c>
      <c r="H72" s="57">
        <f>IF(H$14=1,'Inputs (2)'!H60,G72+Inputs!H$303)</f>
        <v>2594.681</v>
      </c>
      <c r="I72" s="77">
        <f>H72</f>
        <v>2594.681</v>
      </c>
      <c r="J72" s="57">
        <f>IF(J$14=1,'Inputs (2)'!J60,H72+Inputs!J$303)</f>
        <v>2657.156</v>
      </c>
      <c r="K72" s="57">
        <f>IF(K$14=1,'Inputs (2)'!K60,J72+Inputs!K$303)</f>
        <v>2657.156</v>
      </c>
      <c r="L72" s="57">
        <f>IF(L$14=1,'Inputs (2)'!L60,K72+Inputs!L$303)</f>
        <v>2657.156</v>
      </c>
      <c r="M72" s="57">
        <f>IF(M$14=1,'Inputs (2)'!M60,L72+Inputs!M$303)</f>
        <v>4315.017</v>
      </c>
      <c r="N72" s="77">
        <f>M72</f>
        <v>4315.017</v>
      </c>
      <c r="O72" s="57">
        <f>IF(O$14=1,'Inputs (2)'!O60,M72+Inputs!O$303)</f>
        <v>4315.017</v>
      </c>
      <c r="P72" s="57">
        <f>IF(P$14=1,'Inputs (2)'!P60,O72+Inputs!P$303)</f>
        <v>4315.017</v>
      </c>
      <c r="Q72" s="57">
        <f>IF(Q$14=1,'Inputs (2)'!Q60,P72+Inputs!Q$303)</f>
        <v>4315.017</v>
      </c>
      <c r="R72" s="57">
        <f>IF(R$14=1,'Inputs (2)'!R60,Q72+Inputs!R$303)</f>
        <v>4315.017</v>
      </c>
      <c r="S72" s="77">
        <f>R72</f>
        <v>4315.017</v>
      </c>
      <c r="T72" s="57">
        <f>IF(T$14=1,'Inputs (2)'!T60,R72+Inputs!T$303)</f>
        <v>4315.017</v>
      </c>
      <c r="U72" s="57">
        <f>IF(U$14=1,'Inputs (2)'!U60,T72+Inputs!U$303)</f>
        <v>4315.017</v>
      </c>
      <c r="V72" s="57">
        <f>IF(V$14=1,'Inputs (2)'!V60,U72+Inputs!V$303)</f>
        <v>4472.13</v>
      </c>
      <c r="W72" s="57">
        <f>IF(W$14=1,'Inputs (2)'!W60,V72+Inputs!W$303)</f>
        <v>4472.131</v>
      </c>
      <c r="X72" s="77">
        <f>W72</f>
        <v>4472.131</v>
      </c>
      <c r="Y72" s="57">
        <f>IF(Y$14=1,'Inputs (2)'!Y60,W72+Inputs!Y$303)</f>
        <v>4618.602</v>
      </c>
      <c r="Z72" s="57">
        <f>IF(Z$14=1,'Inputs (2)'!Z60,Y72+Inputs!Z$303)</f>
        <v>4618.603</v>
      </c>
      <c r="AA72" s="57">
        <f>IF(AA$14=1,'Inputs (2)'!AA60,Z72+Inputs!AA$303)</f>
        <v>4618.602</v>
      </c>
      <c r="AB72" s="57">
        <f>IF(AB$14=1,'Inputs (2)'!AB60,AA72+Inputs!AB$303)</f>
        <v>4618.603</v>
      </c>
      <c r="AC72" s="77">
        <f>AB72</f>
        <v>4618.603</v>
      </c>
      <c r="AD72" s="57">
        <f>IF(AD$14=1,'Inputs (2)'!AD60,AB72+Inputs!AD$303)</f>
        <v>5698.603</v>
      </c>
      <c r="AE72" s="57">
        <f>IF(AE$14=1,'Inputs (2)'!AE60,AD72+Inputs!AE$303)</f>
        <v>5698.603</v>
      </c>
      <c r="AF72" s="57">
        <f>IF(AF$14=1,'Inputs (2)'!AF60,AE72+Inputs!AF$303)</f>
        <v>5698.603</v>
      </c>
      <c r="AG72" s="57">
        <f>IF(AG$14=1,'Inputs (2)'!AG60,AF72+Inputs!AG$303)</f>
        <v>5698.603</v>
      </c>
      <c r="AH72" s="77">
        <f>AG72</f>
        <v>5698.603</v>
      </c>
      <c r="AI72" s="57">
        <f>IF(AI$14=1,'Inputs (2)'!AI60,AG72+Inputs!AI$303)</f>
        <v>6012.663</v>
      </c>
      <c r="AJ72" s="57">
        <f>IF(AJ$14=1,'Inputs (2)'!AJ60,AI72+Inputs!AJ$303)</f>
        <v>6012.663</v>
      </c>
      <c r="AK72" s="57">
        <f>IF(AK$14=1,'Inputs (2)'!AK60,AJ72+Inputs!AK$303)</f>
        <v>6012.663</v>
      </c>
      <c r="AL72" s="57">
        <f>IF(AL$14=1,'Inputs (2)'!AL60,AK72+Inputs!AL$303)</f>
        <v>6012.663</v>
      </c>
      <c r="AM72" s="77">
        <f>AL72</f>
        <v>6012.663</v>
      </c>
      <c r="AN72" s="57">
        <f>IF(AN$14=1,'Inputs (2)'!AN60,AL72+Inputs!AN$303)</f>
        <v>6012.663</v>
      </c>
      <c r="AO72" s="57">
        <f>IF(AO$14=1,'Inputs (2)'!AO60,AN72+Inputs!AO$303)</f>
        <v>6012.663</v>
      </c>
      <c r="AP72" s="57">
        <f>IF(AP$14=1,'Inputs (2)'!AP60,AO72+Inputs!AP$303)</f>
        <v>6012.663</v>
      </c>
      <c r="AQ72" s="57">
        <f>IF(AQ$14=1,'Inputs (2)'!AQ60,AP72+Inputs!AQ$303)</f>
        <v>6012.663</v>
      </c>
      <c r="AR72" s="77">
        <f>AQ72</f>
        <v>6012.663</v>
      </c>
      <c r="AS72" s="57">
        <f>IF(AS$14=1,'Inputs (2)'!AS60,AQ72+Inputs!AS$303)</f>
        <v>6012.663</v>
      </c>
      <c r="AT72" s="57">
        <f>IF(AT$14=1,'Inputs (2)'!AT60,AS72+Inputs!AT$303)</f>
        <v>6012.663</v>
      </c>
      <c r="AU72" s="57">
        <f>IF(AU$14=1,'Inputs (2)'!AU60,AT72+Inputs!AU$303)</f>
        <v>6012.663</v>
      </c>
      <c r="AV72" s="57">
        <f>IF(AV$14=1,'Inputs (2)'!AV60,AU72+Inputs!AV$303)</f>
        <v>6012.663</v>
      </c>
      <c r="AW72" s="77">
        <f>AV72</f>
        <v>6012.663</v>
      </c>
      <c r="AX72" s="57">
        <f>IF(AX$14=1,'Inputs (2)'!AX60,AV72+Inputs!AX$303)</f>
        <v>6012.663</v>
      </c>
      <c r="AY72" s="57">
        <f>IF(AY$14=1,'Inputs (2)'!AY60,AX72+Inputs!AY$303)</f>
        <v>6012.663</v>
      </c>
      <c r="AZ72" s="57">
        <f>IF(AZ$14=1,'Inputs (2)'!AZ60,AY72+Inputs!AZ$303)</f>
        <v>6012.663</v>
      </c>
      <c r="BA72" s="57">
        <f>IF(BA$14=1,'Inputs (2)'!BA60,AZ72+Inputs!BA$303)</f>
        <v>6012.663</v>
      </c>
      <c r="BB72" s="77">
        <f>BA72</f>
        <v>6012.663</v>
      </c>
      <c r="BC72" s="57">
        <f>IF(BC$14=1,'Inputs (2)'!BC60,BA72+Inputs!BC$303)</f>
        <v>6012.663</v>
      </c>
      <c r="BD72" s="57">
        <f>IF(BD$14=1,'Inputs (2)'!BD60,BC72+Inputs!BD$303)</f>
        <v>6012.663</v>
      </c>
      <c r="BE72" s="57">
        <f>IF(BE$14=1,'Inputs (2)'!BE60,BD72+Inputs!BE$303)</f>
        <v>6012.663</v>
      </c>
      <c r="BF72" s="57">
        <f>IF(BF$14=1,'Inputs (2)'!BF60,BE72+Inputs!BF$303)</f>
        <v>6012.663</v>
      </c>
      <c r="BG72" s="77">
        <f>BF72</f>
        <v>6012.663</v>
      </c>
    </row>
    <row r="73" hidden="1" outlineLevel="1">
      <c r="C73" s="61" t="inlineStr">
        <is>
          <t>Reservas de Capital</t>
        </is>
      </c>
      <c r="D73" s="62" t="inlineStr">
        <is>
          <t>Capital Reserves</t>
        </is>
      </c>
      <c r="E73" s="57">
        <f>'Inputs (2)'!E61</f>
        <v>29.446</v>
      </c>
      <c r="F73" s="57">
        <f>IF(F$14=1,'Inputs (2)'!F61,E73)</f>
        <v>43.259</v>
      </c>
      <c r="G73" s="57">
        <f>IF(G$14=1,'Inputs (2)'!G61,F73)</f>
        <v>32.434</v>
      </c>
      <c r="H73" s="57">
        <f>IF(H$14=1,'Inputs (2)'!H61,G73)</f>
        <v>38.596</v>
      </c>
      <c r="I73" s="77">
        <f>H73</f>
        <v>38.596</v>
      </c>
      <c r="J73" s="57">
        <f>IF(J$14=1,'Inputs (2)'!J61,H73)</f>
        <v>27.202</v>
      </c>
      <c r="K73" s="57">
        <f>IF(K$14=1,'Inputs (2)'!K61,J73)</f>
        <v>31.268</v>
      </c>
      <c r="L73" s="57">
        <f>IF(L$14=1,'Inputs (2)'!L61,K73)</f>
        <v>27.788</v>
      </c>
      <c r="M73" s="57">
        <f>IF(M$14=1,'Inputs (2)'!M61,L73)</f>
        <v>32.246</v>
      </c>
      <c r="N73" s="77">
        <f>M73</f>
        <v>32.246</v>
      </c>
      <c r="O73" s="57">
        <f>IF(O$14=1,'Inputs (2)'!O61,M73)</f>
        <v>24.752</v>
      </c>
      <c r="P73" s="57">
        <f>IF(P$14=1,'Inputs (2)'!P61,O73)</f>
        <v>43.198</v>
      </c>
      <c r="Q73" s="57">
        <f>IF(Q$14=1,'Inputs (2)'!Q61,P73)</f>
        <v>45.832</v>
      </c>
      <c r="R73" s="57">
        <f>IF(R$14=1,'Inputs (2)'!R61,Q73)</f>
        <v>57.334</v>
      </c>
      <c r="S73" s="77">
        <f>R73</f>
        <v>57.334</v>
      </c>
      <c r="T73" s="57">
        <f>IF(T$14=1,'Inputs (2)'!T61,R73)</f>
        <v>53.331</v>
      </c>
      <c r="U73" s="57">
        <f>IF(U$14=1,'Inputs (2)'!U61,T73)</f>
        <v>66.314</v>
      </c>
      <c r="V73" s="57">
        <f>IF(V$14=1,'Inputs (2)'!V61,U73)</f>
        <v>72.462</v>
      </c>
      <c r="W73" s="57">
        <f>IF(W$14=1,'Inputs (2)'!W61,V73)</f>
        <v>82.53</v>
      </c>
      <c r="X73" s="77">
        <f>W73</f>
        <v>82.53</v>
      </c>
      <c r="Y73" s="57">
        <f>IF(Y$14=1,'Inputs (2)'!Y61,W73)</f>
        <v>77.872</v>
      </c>
      <c r="Z73" s="57">
        <f>IF(Z$14=1,'Inputs (2)'!Z61,Y73)</f>
        <v>88.47</v>
      </c>
      <c r="AA73" s="57">
        <f>IF(AA$14=1,'Inputs (2)'!AA61,Z73)</f>
        <v>84.711</v>
      </c>
      <c r="AB73" s="57">
        <f>IF(AB$14=1,'Inputs (2)'!AB61,AA73)</f>
        <v>97.239</v>
      </c>
      <c r="AC73" s="77">
        <f>AB73</f>
        <v>97.239</v>
      </c>
      <c r="AD73" s="57">
        <f>IF(AD$14=1,'Inputs (2)'!AD61,AB73)</f>
        <v>87.917</v>
      </c>
      <c r="AE73" s="57">
        <f>IF(AE$14=1,'Inputs (2)'!AE61,AD73)</f>
        <v>88.589</v>
      </c>
      <c r="AF73" s="57">
        <f>IF(AF$14=1,'Inputs (2)'!AF61,AE73)</f>
        <v>87.088</v>
      </c>
      <c r="AG73" s="57">
        <f>IF(AG$14=1,'Inputs (2)'!AG61,AF73)</f>
        <v>95.222</v>
      </c>
      <c r="AH73" s="77">
        <f>AG73</f>
        <v>95.222</v>
      </c>
      <c r="AI73" s="57">
        <f>IF(AI$14=1,'Inputs (2)'!AI61,AG73)</f>
        <v>75.528</v>
      </c>
      <c r="AJ73" s="57">
        <f>IF(AJ$14=1,'Inputs (2)'!AJ61,AI73)</f>
        <v>85.896</v>
      </c>
      <c r="AK73" s="57">
        <f>IF(AK$14=1,'Inputs (2)'!AK61,AJ73)</f>
        <v>85.896</v>
      </c>
      <c r="AL73" s="57">
        <f>IF(AL$14=1,'Inputs (2)'!AL61,AK73)</f>
        <v>85.896</v>
      </c>
      <c r="AM73" s="77">
        <f>AL73</f>
        <v>85.896</v>
      </c>
      <c r="AN73" s="57">
        <f>IF(AN$14=1,'Inputs (2)'!AN61,AL73)</f>
        <v>85.896</v>
      </c>
      <c r="AO73" s="57">
        <f>IF(AO$14=1,'Inputs (2)'!AO61,AN73)</f>
        <v>85.896</v>
      </c>
      <c r="AP73" s="57">
        <f>IF(AP$14=1,'Inputs (2)'!AP61,AO73)</f>
        <v>85.896</v>
      </c>
      <c r="AQ73" s="57">
        <f>IF(AQ$14=1,'Inputs (2)'!AQ61,AP73)</f>
        <v>85.896</v>
      </c>
      <c r="AR73" s="77">
        <f>AQ73</f>
        <v>85.896</v>
      </c>
      <c r="AS73" s="57">
        <f>IF(AS$14=1,'Inputs (2)'!AS61,AQ73)</f>
        <v>85.896</v>
      </c>
      <c r="AT73" s="57">
        <f>IF(AT$14=1,'Inputs (2)'!AT61,AS73)</f>
        <v>85.896</v>
      </c>
      <c r="AU73" s="57">
        <f>IF(AU$14=1,'Inputs (2)'!AU61,AT73)</f>
        <v>85.896</v>
      </c>
      <c r="AV73" s="57">
        <f>IF(AV$14=1,'Inputs (2)'!AV61,AU73)</f>
        <v>85.896</v>
      </c>
      <c r="AW73" s="77">
        <f>AV73</f>
        <v>85.896</v>
      </c>
      <c r="AX73" s="57">
        <f>IF(AX$14=1,'Inputs (2)'!AX61,AV73)</f>
        <v>85.896</v>
      </c>
      <c r="AY73" s="57">
        <f>IF(AY$14=1,'Inputs (2)'!AY61,AX73)</f>
        <v>85.896</v>
      </c>
      <c r="AZ73" s="57">
        <f>IF(AZ$14=1,'Inputs (2)'!AZ61,AY73)</f>
        <v>85.896</v>
      </c>
      <c r="BA73" s="57">
        <f>IF(BA$14=1,'Inputs (2)'!BA61,AZ73)</f>
        <v>85.896</v>
      </c>
      <c r="BB73" s="77">
        <f>BA73</f>
        <v>85.896</v>
      </c>
      <c r="BC73" s="57">
        <f>IF(BC$14=1,'Inputs (2)'!BC61,BA73)</f>
        <v>85.896</v>
      </c>
      <c r="BD73" s="57">
        <f>IF(BD$14=1,'Inputs (2)'!BD61,BC73)</f>
        <v>85.896</v>
      </c>
      <c r="BE73" s="57">
        <f>IF(BE$14=1,'Inputs (2)'!BE61,BD73)</f>
        <v>85.896</v>
      </c>
      <c r="BF73" s="57">
        <f>IF(BF$14=1,'Inputs (2)'!BF61,BE73)</f>
        <v>85.896</v>
      </c>
      <c r="BG73" s="77">
        <f>BF73</f>
        <v>85.896</v>
      </c>
    </row>
    <row r="74" hidden="1" outlineLevel="1">
      <c r="C74" s="61" t="inlineStr">
        <is>
          <t>Reservas de Lucros</t>
        </is>
      </c>
      <c r="D74" s="62" t="inlineStr">
        <is>
          <t>Retained Earnings</t>
        </is>
      </c>
      <c r="E74" s="57">
        <f>'Inputs (2)'!E62</f>
        <v>1450.194</v>
      </c>
      <c r="F74" s="57">
        <f>IF(F$14=1,'Inputs (2)'!F62,E74+F127+F84)</f>
        <v>1496.022</v>
      </c>
      <c r="G74" s="57">
        <f>IF(G$14=1,'Inputs (2)'!G62,F74+G127+G84)</f>
        <v>1606.062</v>
      </c>
      <c r="H74" s="57">
        <f>IF(H$14=1,'Inputs (2)'!H62,G74+H127+H84)</f>
        <v>1656.003</v>
      </c>
      <c r="I74" s="77">
        <f>H74</f>
        <v>1656.003</v>
      </c>
      <c r="J74" s="57">
        <f>IF(J$14=1,'Inputs (2)'!J62,H74+J127+J84)</f>
        <v>1721.644</v>
      </c>
      <c r="K74" s="57">
        <f>IF(K$14=1,'Inputs (2)'!K62,J74+K127+K84)</f>
        <v>1784.139</v>
      </c>
      <c r="L74" s="57">
        <f>IF(L$14=1,'Inputs (2)'!L62,K74+L127+L84)</f>
        <v>1883.951</v>
      </c>
      <c r="M74" s="57">
        <f>IF(M$14=1,'Inputs (2)'!M62,L74+M127+M84)</f>
        <v>332.412</v>
      </c>
      <c r="N74" s="77">
        <f>M74</f>
        <v>332.412</v>
      </c>
      <c r="O74" s="57">
        <f>IF(O$14=1,'Inputs (2)'!O62,M74+O127+O84)</f>
        <v>452.21</v>
      </c>
      <c r="P74" s="57">
        <f>IF(P$14=1,'Inputs (2)'!P62,O74+P127+P84)</f>
        <v>576.339</v>
      </c>
      <c r="Q74" s="57">
        <f>IF(Q$14=1,'Inputs (2)'!Q62,P74+Q127+Q84)</f>
        <v>720.609</v>
      </c>
      <c r="R74" s="57">
        <f>IF(R$14=1,'Inputs (2)'!R62,Q74+R127+R84)</f>
        <v>836.432</v>
      </c>
      <c r="S74" s="77">
        <f>R74</f>
        <v>836.432</v>
      </c>
      <c r="T74" s="57">
        <f>IF(T$14=1,'Inputs (2)'!T62,R74+T127+T84)</f>
        <v>942.407</v>
      </c>
      <c r="U74" s="57">
        <f>IF(U$14=1,'Inputs (2)'!U62,T74+U127+U84)</f>
        <v>1046.769</v>
      </c>
      <c r="V74" s="57">
        <f>IF(V$14=1,'Inputs (2)'!V62,U74+V127+V84)</f>
        <v>1193.958</v>
      </c>
      <c r="W74" s="57">
        <f>IF(W$14=1,'Inputs (2)'!W62,V74+W127+W84)</f>
        <v>1343.691</v>
      </c>
      <c r="X74" s="77">
        <f>W74</f>
        <v>1343.691</v>
      </c>
      <c r="Y74" s="57">
        <f>IF(Y$14=1,'Inputs (2)'!Y62,W74+Y127+Y84)</f>
        <v>1489.869</v>
      </c>
      <c r="Z74" s="57">
        <f>IF(Z$14=1,'Inputs (2)'!Z62,Y74+Z127+Z84)</f>
        <v>1619.194</v>
      </c>
      <c r="AA74" s="57">
        <f>IF(AA$14=1,'Inputs (2)'!AA62,Z74+AA127+AA84)</f>
        <v>1773.363</v>
      </c>
      <c r="AB74" s="57">
        <f>IF(AB$14=1,'Inputs (2)'!AB62,AA74+AB127+AB84)</f>
        <v>1911.299</v>
      </c>
      <c r="AC74" s="77">
        <f>AB74</f>
        <v>1911.299</v>
      </c>
      <c r="AD74" s="57">
        <f>IF(AD$14=1,'Inputs (2)'!AD62,AB74+AD127+AD84)</f>
        <v>758.891</v>
      </c>
      <c r="AE74" s="57">
        <f>IF(AE$14=1,'Inputs (2)'!AE62,AD74+AE127+AE84)</f>
        <v>866.038</v>
      </c>
      <c r="AF74" s="57">
        <f>IF(AF$14=1,'Inputs (2)'!AF62,AE74+AF127+AF84)</f>
        <v>982.796</v>
      </c>
      <c r="AG74" s="57">
        <f>IF(AG$14=1,'Inputs (2)'!AG62,AF74+AG127+AG84)</f>
        <v>1029.852</v>
      </c>
      <c r="AH74" s="77">
        <f>AG74</f>
        <v>1029.852</v>
      </c>
      <c r="AI74" s="57">
        <f>IF(AI$14=1,'Inputs (2)'!AI62,AG74+AI127+AI84)</f>
        <v>1112.965</v>
      </c>
      <c r="AJ74" s="57">
        <f>IF(AJ$14=1,'Inputs (2)'!AJ62,AI74+AJ127+AJ84)</f>
        <v>1216.392</v>
      </c>
      <c r="AK74" s="57">
        <f>IF(AK$14=1,'Inputs (2)'!AK62,AJ74+AK127+AK84)</f>
        <v>950.1085475</v>
      </c>
      <c r="AL74" s="57">
        <f>IF(AL$14=1,'Inputs (2)'!AL62,AK74+AL127+AL84)</f>
        <v>694.907095</v>
      </c>
      <c r="AM74" s="77">
        <f>AL74</f>
        <v>694.907095</v>
      </c>
      <c r="AN74" s="57">
        <f>IF(AN$14=1,'Inputs (2)'!AN62,AL74+AN127+AN84)</f>
        <v>441.7196425</v>
      </c>
      <c r="AO74" s="57">
        <f>IF(AO$14=1,'Inputs (2)'!AO62,AN74+AO127+AO84)</f>
        <v>159.93519</v>
      </c>
      <c r="AP74" s="57">
        <f>IF(AP$14=1,'Inputs (2)'!AP62,AO74+AP127+AP84)</f>
        <v>-106.3482625</v>
      </c>
      <c r="AQ74" s="57">
        <f>IF(AQ$14=1,'Inputs (2)'!AQ62,AP74+AQ127+AQ84)</f>
        <v>-361.549715</v>
      </c>
      <c r="AR74" s="77">
        <f>AQ74</f>
        <v>-361.549715</v>
      </c>
      <c r="AS74" s="57">
        <f>IF(AS$14=1,'Inputs (2)'!AS62,AQ74+AS127+AS84)</f>
        <v>-614.7371675</v>
      </c>
      <c r="AT74" s="57">
        <f>IF(AT$14=1,'Inputs (2)'!AT62,AS74+AT127+AT84)</f>
        <v>-896.52162</v>
      </c>
      <c r="AU74" s="57">
        <f>IF(AU$14=1,'Inputs (2)'!AU62,AT74+AU127+AU84)</f>
        <v>-1162.8050725</v>
      </c>
      <c r="AV74" s="57">
        <f>IF(AV$14=1,'Inputs (2)'!AV62,AU74+AV127+AV84)</f>
        <v>-1418.006525</v>
      </c>
      <c r="AW74" s="77">
        <f>AV74</f>
        <v>-1418.006525</v>
      </c>
      <c r="AX74" s="57">
        <f>IF(AX$14=1,'Inputs (2)'!AX62,AV74+AX127+AX84)</f>
        <v>-1671.1939775</v>
      </c>
      <c r="AY74" s="57">
        <f>IF(AY$14=1,'Inputs (2)'!AY62,AX74+AY127+AY84)</f>
        <v>-1952.97843</v>
      </c>
      <c r="AZ74" s="57">
        <f>IF(AZ$14=1,'Inputs (2)'!AZ62,AY74+AZ127+AZ84)</f>
        <v>-2219.2618825</v>
      </c>
      <c r="BA74" s="57">
        <f>IF(BA$14=1,'Inputs (2)'!BA62,AZ74+BA127+BA84)</f>
        <v>-2474.463335</v>
      </c>
      <c r="BB74" s="77">
        <f>BA74</f>
        <v>-2474.463335</v>
      </c>
      <c r="BC74" s="57">
        <f>IF(BC$14=1,'Inputs (2)'!BC62,BA74+BC127+BC84)</f>
        <v>-2727.6507875</v>
      </c>
      <c r="BD74" s="57">
        <f>IF(BD$14=1,'Inputs (2)'!BD62,BC74+BD127+BD84)</f>
        <v>-3009.43524</v>
      </c>
      <c r="BE74" s="57">
        <f>IF(BE$14=1,'Inputs (2)'!BE62,BD74+BE127+BE84)</f>
        <v>-3275.7186925</v>
      </c>
      <c r="BF74" s="57">
        <f>IF(BF$14=1,'Inputs (2)'!BF62,BE74+BF127+BF84)</f>
        <v>-3530.920145</v>
      </c>
      <c r="BG74" s="77">
        <f>BF74</f>
        <v>-3530.920145</v>
      </c>
    </row>
    <row r="75" hidden="1" outlineLevel="1">
      <c r="C75" s="61" t="inlineStr">
        <is>
          <t>Outros Resultados Abrangentes</t>
        </is>
      </c>
      <c r="D75" s="62" t="inlineStr">
        <is>
          <t>Other Comprehensive Income</t>
        </is>
      </c>
      <c r="E75" s="57">
        <f>'Inputs (2)'!E63</f>
        <v>1.148</v>
      </c>
      <c r="F75" s="57">
        <f>IF(F$14=1,'Inputs (2)'!F63,E75+Inputs!F$302)</f>
        <v>-11.874</v>
      </c>
      <c r="G75" s="57">
        <f>IF(G$14=1,'Inputs (2)'!G63,F75+Inputs!G$302)</f>
        <v>-16.831</v>
      </c>
      <c r="H75" s="57">
        <f>IF(H$14=1,'Inputs (2)'!H63,G75+Inputs!H$302)</f>
        <v>-1.017</v>
      </c>
      <c r="I75" s="77">
        <f>H75</f>
        <v>-1.017</v>
      </c>
      <c r="J75" s="57">
        <f>IF(J$14=1,'Inputs (2)'!J63,H75+Inputs!J$302)</f>
        <v>-14.05</v>
      </c>
      <c r="K75" s="57">
        <f>IF(K$14=1,'Inputs (2)'!K63,J75+Inputs!K$302)</f>
        <v>-13.393</v>
      </c>
      <c r="L75" s="57">
        <f>IF(L$14=1,'Inputs (2)'!L63,K75+Inputs!L$302)</f>
        <v>-13.935</v>
      </c>
      <c r="M75" s="57">
        <f>IF(M$14=1,'Inputs (2)'!M63,L75+Inputs!M$302)</f>
        <v>-10.212</v>
      </c>
      <c r="N75" s="77">
        <f>M75</f>
        <v>-10.212</v>
      </c>
      <c r="O75" s="57">
        <f>IF(O$14=1,'Inputs (2)'!O63,M75+Inputs!O$302)</f>
        <v>-17.707</v>
      </c>
      <c r="P75" s="57">
        <f>IF(P$14=1,'Inputs (2)'!P63,O75+Inputs!P$302)</f>
        <v>-23.982</v>
      </c>
      <c r="Q75" s="57">
        <f>IF(Q$14=1,'Inputs (2)'!Q63,P75+Inputs!Q$302)</f>
        <v>-10.734</v>
      </c>
      <c r="R75" s="57">
        <f>IF(R$14=1,'Inputs (2)'!R63,Q75+Inputs!R$302)</f>
        <v>-3.397</v>
      </c>
      <c r="S75" s="77">
        <f>R75</f>
        <v>-3.397</v>
      </c>
      <c r="T75" s="57">
        <f>IF(T$14=1,'Inputs (2)'!T63,R75+Inputs!T$302)</f>
        <v>-7.649</v>
      </c>
      <c r="U75" s="57">
        <f>IF(U$14=1,'Inputs (2)'!U63,T75+Inputs!U$302)</f>
        <v>-7.289</v>
      </c>
      <c r="V75" s="57">
        <f>IF(V$14=1,'Inputs (2)'!V63,U75+Inputs!V$302)</f>
        <v>-16.743</v>
      </c>
      <c r="W75" s="57">
        <f>IF(W$14=1,'Inputs (2)'!W63,V75+Inputs!W$302)</f>
        <v>-26.623</v>
      </c>
      <c r="X75" s="77">
        <f>W75</f>
        <v>-26.623</v>
      </c>
      <c r="Y75" s="57">
        <f>IF(Y$14=1,'Inputs (2)'!Y63,W75+Inputs!Y$302)</f>
        <v>-48.214</v>
      </c>
      <c r="Z75" s="57">
        <f>IF(Z$14=1,'Inputs (2)'!Z63,Y75+Inputs!Z$302)</f>
        <v>-91.201</v>
      </c>
      <c r="AA75" s="57">
        <f>IF(AA$14=1,'Inputs (2)'!AA63,Z75+Inputs!AA$302)</f>
        <v>-98.372</v>
      </c>
      <c r="AB75" s="57">
        <f>IF(AB$14=1,'Inputs (2)'!AB63,AA75+Inputs!AB$302)</f>
        <v>-239.794</v>
      </c>
      <c r="AC75" s="77">
        <f>AB75</f>
        <v>-239.794</v>
      </c>
      <c r="AD75" s="57">
        <f>IF(AD$14=1,'Inputs (2)'!AD63,AB75+Inputs!AD$302)</f>
        <v>3.469</v>
      </c>
      <c r="AE75" s="57">
        <f>IF(AE$14=1,'Inputs (2)'!AE63,AD75+Inputs!AE$302)</f>
        <v>4.745</v>
      </c>
      <c r="AF75" s="57">
        <f>IF(AF$14=1,'Inputs (2)'!AF63,AE75+Inputs!AF$302)</f>
        <v>-0.631</v>
      </c>
      <c r="AG75" s="57">
        <f>IF(AG$14=1,'Inputs (2)'!AG63,AF75+Inputs!AG$302)</f>
        <v>-0.813</v>
      </c>
      <c r="AH75" s="77">
        <f>AG75</f>
        <v>-0.813</v>
      </c>
      <c r="AI75" s="57">
        <f>IF(AI$14=1,'Inputs (2)'!AI63,AG75+Inputs!AI$302)</f>
        <v>0.949</v>
      </c>
      <c r="AJ75" s="57">
        <f>IF(AJ$14=1,'Inputs (2)'!AJ63,AI75+Inputs!AJ$302)</f>
        <v>0.682</v>
      </c>
      <c r="AK75" s="57">
        <f>IF(AK$14=1,'Inputs (2)'!AK63,AJ75+Inputs!AK$302)</f>
        <v>0.682</v>
      </c>
      <c r="AL75" s="57">
        <f>IF(AL$14=1,'Inputs (2)'!AL63,AK75+Inputs!AL$302)</f>
        <v>0.682</v>
      </c>
      <c r="AM75" s="77">
        <f>AL75</f>
        <v>0.682</v>
      </c>
      <c r="AN75" s="57">
        <f>IF(AN$14=1,'Inputs (2)'!AN63,AL75+Inputs!AN$302)</f>
        <v>0.682</v>
      </c>
      <c r="AO75" s="57">
        <f>IF(AO$14=1,'Inputs (2)'!AO63,AN75+Inputs!AO$302)</f>
        <v>0.682</v>
      </c>
      <c r="AP75" s="57">
        <f>IF(AP$14=1,'Inputs (2)'!AP63,AO75+Inputs!AP$302)</f>
        <v>0.682</v>
      </c>
      <c r="AQ75" s="57">
        <f>IF(AQ$14=1,'Inputs (2)'!AQ63,AP75+Inputs!AQ$302)</f>
        <v>0.682</v>
      </c>
      <c r="AR75" s="77">
        <f>AQ75</f>
        <v>0.682</v>
      </c>
      <c r="AS75" s="57">
        <f>IF(AS$14=1,'Inputs (2)'!AS63,AQ75+Inputs!AS$302)</f>
        <v>0.682</v>
      </c>
      <c r="AT75" s="57">
        <f>IF(AT$14=1,'Inputs (2)'!AT63,AS75+Inputs!AT$302)</f>
        <v>0.682</v>
      </c>
      <c r="AU75" s="57">
        <f>IF(AU$14=1,'Inputs (2)'!AU63,AT75+Inputs!AU$302)</f>
        <v>0.682</v>
      </c>
      <c r="AV75" s="57">
        <f>IF(AV$14=1,'Inputs (2)'!AV63,AU75+Inputs!AV$302)</f>
        <v>0.682</v>
      </c>
      <c r="AW75" s="77">
        <f>AV75</f>
        <v>0.682</v>
      </c>
      <c r="AX75" s="57">
        <f>IF(AX$14=1,'Inputs (2)'!AX63,AV75+Inputs!AX$302)</f>
        <v>0.682</v>
      </c>
      <c r="AY75" s="57">
        <f>IF(AY$14=1,'Inputs (2)'!AY63,AX75+Inputs!AY$302)</f>
        <v>0.682</v>
      </c>
      <c r="AZ75" s="57">
        <f>IF(AZ$14=1,'Inputs (2)'!AZ63,AY75+Inputs!AZ$302)</f>
        <v>0.682</v>
      </c>
      <c r="BA75" s="57">
        <f>IF(BA$14=1,'Inputs (2)'!BA63,AZ75+Inputs!BA$302)</f>
        <v>0.682</v>
      </c>
      <c r="BB75" s="77">
        <f>BA75</f>
        <v>0.682</v>
      </c>
      <c r="BC75" s="57">
        <f>IF(BC$14=1,'Inputs (2)'!BC63,BA75+Inputs!BC$302)</f>
        <v>0.682</v>
      </c>
      <c r="BD75" s="57">
        <f>IF(BD$14=1,'Inputs (2)'!BD63,BC75+Inputs!BD$302)</f>
        <v>0.682</v>
      </c>
      <c r="BE75" s="57">
        <f>IF(BE$14=1,'Inputs (2)'!BE63,BD75+Inputs!BE$302)</f>
        <v>0.682</v>
      </c>
      <c r="BF75" s="57">
        <f>IF(BF$14=1,'Inputs (2)'!BF63,BE75+Inputs!BF$302)</f>
        <v>0.682</v>
      </c>
      <c r="BG75" s="77">
        <f>BF75</f>
        <v>0.682</v>
      </c>
    </row>
    <row r="76" hidden="1" outlineLevel="1">
      <c r="C76" s="61" t="inlineStr">
        <is>
          <t>(Ações em Tesouraria)</t>
        </is>
      </c>
      <c r="D76" s="62" t="inlineStr">
        <is>
          <t>(Treasury Shares)</t>
        </is>
      </c>
      <c r="E76" s="57">
        <f>'Inputs (2)'!E64</f>
        <v>0</v>
      </c>
      <c r="F76" s="57">
        <f>IF(F$14=1,'Inputs (2)'!F64,E76)</f>
        <v>0</v>
      </c>
      <c r="G76" s="57">
        <f>IF(G$14=1,'Inputs (2)'!G64,F76)</f>
        <v>0</v>
      </c>
      <c r="H76" s="57">
        <f>IF(H$14=1,'Inputs (2)'!H64,G76)</f>
        <v>0</v>
      </c>
      <c r="I76" s="77">
        <f>H76</f>
        <v>0</v>
      </c>
      <c r="J76" s="57">
        <f>IF(J$14=1,'Inputs (2)'!J64,H76)</f>
        <v>0</v>
      </c>
      <c r="K76" s="57">
        <f>IF(K$14=1,'Inputs (2)'!K64,J76)</f>
        <v>0</v>
      </c>
      <c r="L76" s="57">
        <f>IF(L$14=1,'Inputs (2)'!L64,K76)</f>
        <v>0</v>
      </c>
      <c r="M76" s="57">
        <f>IF(M$14=1,'Inputs (2)'!M64,L76)</f>
        <v>0</v>
      </c>
      <c r="N76" s="77">
        <f>M76</f>
        <v>0</v>
      </c>
      <c r="O76" s="57">
        <f>IF(O$14=1,'Inputs (2)'!O64,M76)</f>
        <v>0</v>
      </c>
      <c r="P76" s="57">
        <f>IF(P$14=1,'Inputs (2)'!P64,O76)</f>
        <v>0</v>
      </c>
      <c r="Q76" s="57">
        <f>IF(Q$14=1,'Inputs (2)'!Q64,P76)</f>
        <v>0</v>
      </c>
      <c r="R76" s="57">
        <f>IF(R$14=1,'Inputs (2)'!R64,Q76)</f>
        <v>0</v>
      </c>
      <c r="S76" s="77">
        <f>R76</f>
        <v>0</v>
      </c>
      <c r="T76" s="57">
        <f>IF(T$14=1,'Inputs (2)'!T64,R76)</f>
        <v>0</v>
      </c>
      <c r="U76" s="57">
        <f>IF(U$14=1,'Inputs (2)'!U64,T76)</f>
        <v>0</v>
      </c>
      <c r="V76" s="57">
        <f>IF(V$14=1,'Inputs (2)'!V64,U76)</f>
        <v>0</v>
      </c>
      <c r="W76" s="57">
        <f>IF(W$14=1,'Inputs (2)'!W64,V76)</f>
        <v>0</v>
      </c>
      <c r="X76" s="77">
        <f>W76</f>
        <v>0</v>
      </c>
      <c r="Y76" s="57">
        <f>IF(Y$14=1,'Inputs (2)'!Y64,W76)</f>
        <v>0</v>
      </c>
      <c r="Z76" s="57">
        <f>IF(Z$14=1,'Inputs (2)'!Z64,Y76)</f>
        <v>0</v>
      </c>
      <c r="AA76" s="57">
        <f>IF(AA$14=1,'Inputs (2)'!AA64,Z76)</f>
        <v>0</v>
      </c>
      <c r="AB76" s="57">
        <f>IF(AB$14=1,'Inputs (2)'!AB64,AA76)</f>
        <v>0</v>
      </c>
      <c r="AC76" s="77">
        <f>AB76</f>
        <v>0</v>
      </c>
      <c r="AD76" s="57">
        <f>IF(AD$14=1,'Inputs (2)'!AD64,AB76)</f>
        <v>-76.573</v>
      </c>
      <c r="AE76" s="57">
        <f>IF(AE$14=1,'Inputs (2)'!AE64,AD76)</f>
        <v>-76.573</v>
      </c>
      <c r="AF76" s="57">
        <f>IF(AF$14=1,'Inputs (2)'!AF64,AE76)</f>
        <v>-67.48</v>
      </c>
      <c r="AG76" s="57">
        <f>IF(AG$14=1,'Inputs (2)'!AG64,AF76)</f>
        <v>-63.916</v>
      </c>
      <c r="AH76" s="77">
        <f>AG76</f>
        <v>-63.916</v>
      </c>
      <c r="AI76" s="57">
        <f>IF(AI$14=1,'Inputs (2)'!AI64,AG76)</f>
        <v>-54.512</v>
      </c>
      <c r="AJ76" s="57">
        <f>IF(AJ$14=1,'Inputs (2)'!AJ64,AI76)</f>
        <v>-56.718</v>
      </c>
      <c r="AK76" s="57">
        <f>IF(AK$14=1,'Inputs (2)'!AK64,AJ76)</f>
        <v>-56.718</v>
      </c>
      <c r="AL76" s="57">
        <f>IF(AL$14=1,'Inputs (2)'!AL64,AK76)</f>
        <v>-56.718</v>
      </c>
      <c r="AM76" s="77">
        <f>AL76</f>
        <v>-56.718</v>
      </c>
      <c r="AN76" s="57">
        <f>IF(AN$14=1,'Inputs (2)'!AN64,AL76)</f>
        <v>-56.718</v>
      </c>
      <c r="AO76" s="57">
        <f>IF(AO$14=1,'Inputs (2)'!AO64,AN76)</f>
        <v>-56.718</v>
      </c>
      <c r="AP76" s="57">
        <f>IF(AP$14=1,'Inputs (2)'!AP64,AO76)</f>
        <v>-56.718</v>
      </c>
      <c r="AQ76" s="57">
        <f>IF(AQ$14=1,'Inputs (2)'!AQ64,AP76)</f>
        <v>-56.718</v>
      </c>
      <c r="AR76" s="77">
        <f>AQ76</f>
        <v>-56.718</v>
      </c>
      <c r="AS76" s="57">
        <f>IF(AS$14=1,'Inputs (2)'!AS64,AQ76)</f>
        <v>-56.718</v>
      </c>
      <c r="AT76" s="57">
        <f>IF(AT$14=1,'Inputs (2)'!AT64,AS76)</f>
        <v>-56.718</v>
      </c>
      <c r="AU76" s="57">
        <f>IF(AU$14=1,'Inputs (2)'!AU64,AT76)</f>
        <v>-56.718</v>
      </c>
      <c r="AV76" s="57">
        <f>IF(AV$14=1,'Inputs (2)'!AV64,AU76)</f>
        <v>-56.718</v>
      </c>
      <c r="AW76" s="77">
        <f>AV76</f>
        <v>-56.718</v>
      </c>
      <c r="AX76" s="57">
        <f>IF(AX$14=1,'Inputs (2)'!AX64,AV76)</f>
        <v>-56.718</v>
      </c>
      <c r="AY76" s="57">
        <f>IF(AY$14=1,'Inputs (2)'!AY64,AX76)</f>
        <v>-56.718</v>
      </c>
      <c r="AZ76" s="57">
        <f>IF(AZ$14=1,'Inputs (2)'!AZ64,AY76)</f>
        <v>-56.718</v>
      </c>
      <c r="BA76" s="57">
        <f>IF(BA$14=1,'Inputs (2)'!BA64,AZ76)</f>
        <v>-56.718</v>
      </c>
      <c r="BB76" s="77">
        <f>BA76</f>
        <v>-56.718</v>
      </c>
      <c r="BC76" s="57">
        <f>IF(BC$14=1,'Inputs (2)'!BC64,BA76)</f>
        <v>-56.718</v>
      </c>
      <c r="BD76" s="57">
        <f>IF(BD$14=1,'Inputs (2)'!BD64,BC76)</f>
        <v>-56.718</v>
      </c>
      <c r="BE76" s="57">
        <f>IF(BE$14=1,'Inputs (2)'!BE64,BD76)</f>
        <v>-56.718</v>
      </c>
      <c r="BF76" s="57">
        <f>IF(BF$14=1,'Inputs (2)'!BF64,BE76)</f>
        <v>-56.718</v>
      </c>
      <c r="BG76" s="77">
        <f>BF76</f>
        <v>-56.718</v>
      </c>
    </row>
    <row r="77" collapsed="1">
      <c r="C77" s="80" t="inlineStr">
        <is>
          <t>Participação de Acionistas Não Controladores</t>
        </is>
      </c>
      <c r="D77" s="81" t="inlineStr">
        <is>
          <t>Non-Controlling Interests</t>
        </is>
      </c>
      <c r="E77" s="82">
        <f>'Inputs (2)'!E65</f>
        <v>0</v>
      </c>
      <c r="F77" s="82">
        <f>IF(F$14=1,'Inputs (2)'!F65,E77-F126)</f>
        <v>0</v>
      </c>
      <c r="G77" s="82">
        <f>IF(G$14=1,'Inputs (2)'!G65,F77-G126)</f>
        <v>0</v>
      </c>
      <c r="H77" s="82">
        <f>IF(H$14=1,'Inputs (2)'!H65,G77-H126)</f>
        <v>0</v>
      </c>
      <c r="I77" s="77">
        <f>H77</f>
        <v>0</v>
      </c>
      <c r="J77" s="82">
        <f>IF(J$14=1,'Inputs (2)'!J65,H77-J126)</f>
        <v>0</v>
      </c>
      <c r="K77" s="82">
        <f>IF(K$14=1,'Inputs (2)'!K65,J77-K126)</f>
        <v>0</v>
      </c>
      <c r="L77" s="82">
        <f>IF(L$14=1,'Inputs (2)'!L65,K77-L126)</f>
        <v>0.731</v>
      </c>
      <c r="M77" s="82">
        <f>IF(M$14=1,'Inputs (2)'!M65,L77-M126)</f>
        <v>1.195</v>
      </c>
      <c r="N77" s="77">
        <f>M77</f>
        <v>1.195</v>
      </c>
      <c r="O77" s="82">
        <f>IF(O$14=1,'Inputs (2)'!O65,M77-O126)</f>
        <v>0.915</v>
      </c>
      <c r="P77" s="82">
        <f>IF(P$14=1,'Inputs (2)'!P65,O77-P126)</f>
        <v>1.444</v>
      </c>
      <c r="Q77" s="82">
        <f>IF(Q$14=1,'Inputs (2)'!Q65,P77-Q126)</f>
        <v>1.337</v>
      </c>
      <c r="R77" s="82">
        <f>IF(R$14=1,'Inputs (2)'!R65,Q77-R126)</f>
        <v>2.017</v>
      </c>
      <c r="S77" s="77">
        <f>R77</f>
        <v>2.017</v>
      </c>
      <c r="T77" s="82">
        <f>IF(T$14=1,'Inputs (2)'!T65,R77-T126)</f>
        <v>1.153</v>
      </c>
      <c r="U77" s="82">
        <f>IF(U$14=1,'Inputs (2)'!U65,T77-U126)</f>
        <v>1.911</v>
      </c>
      <c r="V77" s="82">
        <f>IF(V$14=1,'Inputs (2)'!V65,U77-V126)</f>
        <v>1.45</v>
      </c>
      <c r="W77" s="82">
        <f>IF(W$14=1,'Inputs (2)'!W65,V77-W126)</f>
        <v>13.642</v>
      </c>
      <c r="X77" s="77">
        <f>W77</f>
        <v>13.642</v>
      </c>
      <c r="Y77" s="82">
        <f>IF(Y$14=1,'Inputs (2)'!Y65,W77-Y126)</f>
        <v>8.93</v>
      </c>
      <c r="Z77" s="82">
        <f>IF(Z$14=1,'Inputs (2)'!Z65,Y77-Z126)</f>
        <v>18.282</v>
      </c>
      <c r="AA77" s="82">
        <f>IF(AA$14=1,'Inputs (2)'!AA65,Z77-AA126)</f>
        <v>17.779</v>
      </c>
      <c r="AB77" s="82">
        <f>IF(AB$14=1,'Inputs (2)'!AB65,AA77-AB126)</f>
        <v>23.767</v>
      </c>
      <c r="AC77" s="77">
        <f>AB77</f>
        <v>23.767</v>
      </c>
      <c r="AD77" s="82">
        <f>IF(AD$14=1,'Inputs (2)'!AD65,AB77-AD126)</f>
        <v>15.273</v>
      </c>
      <c r="AE77" s="82">
        <f>IF(AE$14=1,'Inputs (2)'!AE65,AD77-AE126)</f>
        <v>22.657</v>
      </c>
      <c r="AF77" s="82">
        <f>IF(AF$14=1,'Inputs (2)'!AF65,AE77-AF126)</f>
        <v>22.667</v>
      </c>
      <c r="AG77" s="82">
        <f>IF(AG$14=1,'Inputs (2)'!AG65,AF77-AG126)</f>
        <v>17.178</v>
      </c>
      <c r="AH77" s="77">
        <f>AG77</f>
        <v>17.178</v>
      </c>
      <c r="AI77" s="82">
        <f>IF(AI$14=1,'Inputs (2)'!AI65,AG77-AI126)</f>
        <v>17.378</v>
      </c>
      <c r="AJ77" s="82">
        <f>IF(AJ$14=1,'Inputs (2)'!AJ65,AI77-AJ126)</f>
        <v>19.765</v>
      </c>
      <c r="AK77" s="82">
        <f>IF(AK$14=1,'Inputs (2)'!AK65,AJ77-AK126)</f>
        <v>19.765</v>
      </c>
      <c r="AL77" s="82">
        <f>IF(AL$14=1,'Inputs (2)'!AL65,AK77-AL126)</f>
        <v>19.765</v>
      </c>
      <c r="AM77" s="77">
        <f>AL77</f>
        <v>19.765</v>
      </c>
      <c r="AN77" s="82">
        <f>IF(AN$14=1,'Inputs (2)'!AN65,AL77-AN126)</f>
        <v>19.765</v>
      </c>
      <c r="AO77" s="82">
        <f>IF(AO$14=1,'Inputs (2)'!AO65,AN77-AO126)</f>
        <v>19.765</v>
      </c>
      <c r="AP77" s="82">
        <f>IF(AP$14=1,'Inputs (2)'!AP65,AO77-AP126)</f>
        <v>19.765</v>
      </c>
      <c r="AQ77" s="82">
        <f>IF(AQ$14=1,'Inputs (2)'!AQ65,AP77-AQ126)</f>
        <v>19.765</v>
      </c>
      <c r="AR77" s="77">
        <f>AQ77</f>
        <v>19.765</v>
      </c>
      <c r="AS77" s="82">
        <f>IF(AS$14=1,'Inputs (2)'!AS65,AQ77-AS126)</f>
        <v>19.765</v>
      </c>
      <c r="AT77" s="82">
        <f>IF(AT$14=1,'Inputs (2)'!AT65,AS77-AT126)</f>
        <v>19.765</v>
      </c>
      <c r="AU77" s="82">
        <f>IF(AU$14=1,'Inputs (2)'!AU65,AT77-AU126)</f>
        <v>19.765</v>
      </c>
      <c r="AV77" s="82">
        <f>IF(AV$14=1,'Inputs (2)'!AV65,AU77-AV126)</f>
        <v>19.765</v>
      </c>
      <c r="AW77" s="77">
        <f>AV77</f>
        <v>19.765</v>
      </c>
      <c r="AX77" s="82">
        <f>IF(AX$14=1,'Inputs (2)'!AX65,AV77-AX126)</f>
        <v>19.765</v>
      </c>
      <c r="AY77" s="82">
        <f>IF(AY$14=1,'Inputs (2)'!AY65,AX77-AY126)</f>
        <v>19.765</v>
      </c>
      <c r="AZ77" s="82">
        <f>IF(AZ$14=1,'Inputs (2)'!AZ65,AY77-AZ126)</f>
        <v>19.765</v>
      </c>
      <c r="BA77" s="82">
        <f>IF(BA$14=1,'Inputs (2)'!BA65,AZ77-BA126)</f>
        <v>19.765</v>
      </c>
      <c r="BB77" s="77">
        <f>BA77</f>
        <v>19.765</v>
      </c>
      <c r="BC77" s="82">
        <f>IF(BC$14=1,'Inputs (2)'!BC65,BA77-BC126)</f>
        <v>19.765</v>
      </c>
      <c r="BD77" s="82">
        <f>IF(BD$14=1,'Inputs (2)'!BD65,BC77-BD126)</f>
        <v>19.765</v>
      </c>
      <c r="BE77" s="82">
        <f>IF(BE$14=1,'Inputs (2)'!BE65,BD77-BE126)</f>
        <v>19.765</v>
      </c>
      <c r="BF77" s="82">
        <f>IF(BF$14=1,'Inputs (2)'!BF65,BE77-BF126)</f>
        <v>19.765</v>
      </c>
      <c r="BG77" s="77">
        <f>BF77</f>
        <v>19.765</v>
      </c>
    </row>
    <row r="78">
      <c r="C78" s="53" t="inlineStr">
        <is>
          <t>TOTAL DO PATRIMÔNIO LÍQUIDO</t>
        </is>
      </c>
      <c r="D78" s="54" t="inlineStr">
        <is>
          <t>TOTAL EQUITY</t>
        </is>
      </c>
      <c r="E78" s="59">
        <f>E71+E77</f>
        <v>4046.679</v>
      </c>
      <c r="F78" s="59">
        <f>F71+F77</f>
        <v>4093.299</v>
      </c>
      <c r="G78" s="59">
        <f>G71+G77</f>
        <v>4187.557</v>
      </c>
      <c r="H78" s="59">
        <f>H71+H77</f>
        <v>4288.263</v>
      </c>
      <c r="I78" s="60">
        <f>H78</f>
        <v>4288.263</v>
      </c>
      <c r="J78" s="59">
        <f>J71+J77</f>
        <v>4391.952</v>
      </c>
      <c r="K78" s="59">
        <f>K71+K77</f>
        <v>4459.17</v>
      </c>
      <c r="L78" s="59">
        <f>L71+L77</f>
        <v>4555.691</v>
      </c>
      <c r="M78" s="59">
        <f>M71+M77</f>
        <v>4670.658</v>
      </c>
      <c r="N78" s="60">
        <f>M78</f>
        <v>4670.658</v>
      </c>
      <c r="O78" s="59">
        <f>O71+O77</f>
        <v>4775.187</v>
      </c>
      <c r="P78" s="59">
        <f>P71+P77</f>
        <v>4912.016</v>
      </c>
      <c r="Q78" s="59">
        <f>Q71+Q77</f>
        <v>5072.061</v>
      </c>
      <c r="R78" s="59">
        <f>R71+R77</f>
        <v>5207.403</v>
      </c>
      <c r="S78" s="60">
        <f>R78</f>
        <v>5207.403</v>
      </c>
      <c r="T78" s="59">
        <f>T71+T77</f>
        <v>5304.259</v>
      </c>
      <c r="U78" s="59">
        <f>U71+U77</f>
        <v>5422.722</v>
      </c>
      <c r="V78" s="59">
        <f>V71+V77</f>
        <v>5723.257</v>
      </c>
      <c r="W78" s="59">
        <f>W71+W77</f>
        <v>5885.371</v>
      </c>
      <c r="X78" s="60">
        <f>W78</f>
        <v>5885.371</v>
      </c>
      <c r="Y78" s="59">
        <f>Y71+Y77</f>
        <v>6147.059</v>
      </c>
      <c r="Z78" s="59">
        <f>Z71+Z77</f>
        <v>6253.348</v>
      </c>
      <c r="AA78" s="59">
        <f>AA71+AA77</f>
        <v>6396.083</v>
      </c>
      <c r="AB78" s="59">
        <f>AB71+AB77</f>
        <v>6411.114</v>
      </c>
      <c r="AC78" s="60">
        <f>AB78</f>
        <v>6411.114</v>
      </c>
      <c r="AD78" s="59">
        <f>AD71+AD77</f>
        <v>6487.58</v>
      </c>
      <c r="AE78" s="59">
        <f>AE71+AE77</f>
        <v>6604.059</v>
      </c>
      <c r="AF78" s="59">
        <f>AF71+AF77</f>
        <v>6723.043</v>
      </c>
      <c r="AG78" s="59">
        <f>AG71+AG77</f>
        <v>6776.126</v>
      </c>
      <c r="AH78" s="60">
        <f>AG78</f>
        <v>6776.126</v>
      </c>
      <c r="AI78" s="59">
        <f>AI71+AI77</f>
        <v>7164.971</v>
      </c>
      <c r="AJ78" s="59">
        <f>AJ71+AJ77</f>
        <v>7278.68</v>
      </c>
      <c r="AK78" s="59">
        <f>AK71+AK77</f>
        <v>7012.3965475</v>
      </c>
      <c r="AL78" s="59">
        <f>AL71+AL77</f>
        <v>6757.195095</v>
      </c>
      <c r="AM78" s="60">
        <f>AL78</f>
        <v>6757.195095</v>
      </c>
      <c r="AN78" s="59">
        <f>AN71+AN77</f>
        <v>6504.0076425</v>
      </c>
      <c r="AO78" s="59">
        <f>AO71+AO77</f>
        <v>6222.22319</v>
      </c>
      <c r="AP78" s="59">
        <f>AP71+AP77</f>
        <v>5955.9397375</v>
      </c>
      <c r="AQ78" s="59">
        <f>AQ71+AQ77</f>
        <v>5700.738285</v>
      </c>
      <c r="AR78" s="60">
        <f>AQ78</f>
        <v>5700.738285</v>
      </c>
      <c r="AS78" s="59">
        <f>AS71+AS77</f>
        <v>5447.5508325</v>
      </c>
      <c r="AT78" s="59">
        <f>AT71+AT77</f>
        <v>5165.76638</v>
      </c>
      <c r="AU78" s="59">
        <f>AU71+AU77</f>
        <v>4899.4829275</v>
      </c>
      <c r="AV78" s="59">
        <f>AV71+AV77</f>
        <v>4644.281475</v>
      </c>
      <c r="AW78" s="60">
        <f>AV78</f>
        <v>4644.281475</v>
      </c>
      <c r="AX78" s="59">
        <f>AX71+AX77</f>
        <v>4391.0940225</v>
      </c>
      <c r="AY78" s="59">
        <f>AY71+AY77</f>
        <v>4109.30957</v>
      </c>
      <c r="AZ78" s="59">
        <f>AZ71+AZ77</f>
        <v>3843.0261175</v>
      </c>
      <c r="BA78" s="59">
        <f>BA71+BA77</f>
        <v>3587.824665</v>
      </c>
      <c r="BB78" s="60">
        <f>BA78</f>
        <v>3587.824665</v>
      </c>
      <c r="BC78" s="59">
        <f>BC71+BC77</f>
        <v>3334.6372125</v>
      </c>
      <c r="BD78" s="59">
        <f>BD71+BD77</f>
        <v>3052.85276</v>
      </c>
      <c r="BE78" s="59">
        <f>BE71+BE77</f>
        <v>2786.5693075</v>
      </c>
      <c r="BF78" s="59">
        <f>BF71+BF77</f>
        <v>2531.367855</v>
      </c>
      <c r="BG78" s="60">
        <f>BF78</f>
        <v>2531.367855</v>
      </c>
    </row>
    <row r="79">
      <c r="C79" s="53" t="inlineStr">
        <is>
          <t>TOTAL DO PASSIVO E DO PATRIMÔNIO LÍQUIDO</t>
        </is>
      </c>
      <c r="D79" s="54" t="inlineStr">
        <is>
          <t>TOTAL LIABILITIES AND EQUITY</t>
        </is>
      </c>
      <c r="E79" s="59">
        <f>E69+E78</f>
        <v>49645.71387</v>
      </c>
      <c r="F79" s="59">
        <f>F69+F78</f>
        <v>49868.571</v>
      </c>
      <c r="G79" s="59">
        <f>G69+G78</f>
        <v>46154.238</v>
      </c>
      <c r="H79" s="59">
        <f>H69+H78</f>
        <v>43328.841</v>
      </c>
      <c r="I79" s="60">
        <f>H79</f>
        <v>43328.841</v>
      </c>
      <c r="J79" s="59">
        <f>J69+J78</f>
        <v>48700.959</v>
      </c>
      <c r="K79" s="59">
        <f>K69+K78</f>
        <v>44456.064</v>
      </c>
      <c r="L79" s="59">
        <f>L69+L78</f>
        <v>50115.185</v>
      </c>
      <c r="M79" s="59">
        <f>M69+M78</f>
        <v>49565.97</v>
      </c>
      <c r="N79" s="60">
        <f>M79</f>
        <v>49565.97</v>
      </c>
      <c r="O79" s="59">
        <f>O69+O78</f>
        <v>46285.496</v>
      </c>
      <c r="P79" s="59">
        <f>P69+P78</f>
        <v>50954.581</v>
      </c>
      <c r="Q79" s="59">
        <f>Q69+Q78</f>
        <v>52616.157</v>
      </c>
      <c r="R79" s="59">
        <f>R69+R78</f>
        <v>57408.844</v>
      </c>
      <c r="S79" s="60">
        <f>R79</f>
        <v>57408.844</v>
      </c>
      <c r="T79" s="59">
        <f>T69+T78</f>
        <v>54154.888</v>
      </c>
      <c r="U79" s="59">
        <f>U69+U78</f>
        <v>54930.563</v>
      </c>
      <c r="V79" s="59">
        <f>V69+V78</f>
        <v>56726.762</v>
      </c>
      <c r="W79" s="59">
        <f>W69+W78</f>
        <v>60632.612</v>
      </c>
      <c r="X79" s="60">
        <f>W79</f>
        <v>60632.612</v>
      </c>
      <c r="Y79" s="59">
        <f>Y69+Y78</f>
        <v>61265.674</v>
      </c>
      <c r="Z79" s="59">
        <f>Z69+Z78</f>
        <v>69077.989</v>
      </c>
      <c r="AA79" s="59">
        <f>AA69+AA78</f>
        <v>72065.13</v>
      </c>
      <c r="AB79" s="59">
        <f>AB69+AB78</f>
        <v>73585.977</v>
      </c>
      <c r="AC79" s="60">
        <f>AB79</f>
        <v>73585.977</v>
      </c>
      <c r="AD79" s="59">
        <f>AD69+AD78</f>
        <v>64225.601</v>
      </c>
      <c r="AE79" s="59">
        <f>AE69+AE78</f>
        <v>64438.277</v>
      </c>
      <c r="AF79" s="59">
        <f>AF69+AF78</f>
        <v>63238.744</v>
      </c>
      <c r="AG79" s="59">
        <f>AG69+AG78</f>
        <v>66316.409</v>
      </c>
      <c r="AH79" s="60">
        <f>AG79</f>
        <v>66316.409</v>
      </c>
      <c r="AI79" s="59">
        <f>AI69+AI78</f>
        <v>69283.222</v>
      </c>
      <c r="AJ79" s="59">
        <f>AJ69+AJ78</f>
        <v>69584.916</v>
      </c>
      <c r="AK79" s="59">
        <f>AK69+AK78</f>
        <v>69584.916</v>
      </c>
      <c r="AL79" s="59">
        <f>AL69+AL78</f>
        <v>69584.916</v>
      </c>
      <c r="AM79" s="60">
        <f>AL79</f>
        <v>69584.916</v>
      </c>
      <c r="AN79" s="59">
        <f>AN69+AN78</f>
        <v>69584.916</v>
      </c>
      <c r="AO79" s="59">
        <f>AO69+AO78</f>
        <v>69584.916</v>
      </c>
      <c r="AP79" s="59">
        <f>AP69+AP78</f>
        <v>69584.916</v>
      </c>
      <c r="AQ79" s="59">
        <f>AQ69+AQ78</f>
        <v>69584.916</v>
      </c>
      <c r="AR79" s="60">
        <f>AQ79</f>
        <v>69584.916</v>
      </c>
      <c r="AS79" s="59">
        <f>AS69+AS78</f>
        <v>69584.916</v>
      </c>
      <c r="AT79" s="59">
        <f>AT69+AT78</f>
        <v>69584.916</v>
      </c>
      <c r="AU79" s="59">
        <f>AU69+AU78</f>
        <v>69584.916</v>
      </c>
      <c r="AV79" s="59">
        <f>AV69+AV78</f>
        <v>69584.916</v>
      </c>
      <c r="AW79" s="60">
        <f>AV79</f>
        <v>69584.916</v>
      </c>
      <c r="AX79" s="59">
        <f>AX69+AX78</f>
        <v>69584.916</v>
      </c>
      <c r="AY79" s="59">
        <f>AY69+AY78</f>
        <v>69584.916</v>
      </c>
      <c r="AZ79" s="59">
        <f>AZ69+AZ78</f>
        <v>69584.916</v>
      </c>
      <c r="BA79" s="59">
        <f>BA69+BA78</f>
        <v>69584.916</v>
      </c>
      <c r="BB79" s="60">
        <f>BA79</f>
        <v>69584.916</v>
      </c>
      <c r="BC79" s="59">
        <f>BC69+BC78</f>
        <v>69584.916</v>
      </c>
      <c r="BD79" s="59">
        <f>BD69+BD78</f>
        <v>69584.916</v>
      </c>
      <c r="BE79" s="59">
        <f>BE69+BE78</f>
        <v>69584.916</v>
      </c>
      <c r="BF79" s="59">
        <f>BF69+BF78</f>
        <v>69584.916</v>
      </c>
      <c r="BG79" s="60">
        <f>BF79</f>
        <v>69584.916</v>
      </c>
    </row>
    <row r="81">
      <c r="B81" s="7" t="n"/>
      <c r="C81" s="7" t="str">
        <f>"RECONCILIAÇÃO DO PATRIMÔNIO LÍQUIDO ("&amp;Inputs!$E$202&amp;")"</f>
        <v>RECONCILIAÇÃO DO PATRIMÔNIO LÍQUIDO (R$ milhões)</v>
      </c>
      <c r="D81" s="7" t="inlineStr">
        <is>
          <t>EQUITY ROLL-FORWARD</t>
        </is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>
      <c r="C82" s="11" t="inlineStr">
        <is>
          <t>Patrimônio líquido inicial</t>
        </is>
      </c>
      <c r="D82" s="12" t="inlineStr">
        <is>
          <t>Opening equity</t>
        </is>
      </c>
      <c r="E82" s="37">
        <f>E78-E83</f>
        <v>3965.682</v>
      </c>
      <c r="F82" s="37">
        <f>E78</f>
        <v>4046.679</v>
      </c>
      <c r="G82" s="37">
        <f>F78</f>
        <v>4093.299</v>
      </c>
      <c r="H82" s="37">
        <f>G78</f>
        <v>4187.557</v>
      </c>
      <c r="I82" s="38">
        <f>E82</f>
        <v>3965.682</v>
      </c>
      <c r="J82" s="37">
        <f>H78</f>
        <v>4288.263</v>
      </c>
      <c r="K82" s="37">
        <f>J78</f>
        <v>4391.952</v>
      </c>
      <c r="L82" s="37">
        <f>K78</f>
        <v>4459.17</v>
      </c>
      <c r="M82" s="37">
        <f>L78</f>
        <v>4555.691</v>
      </c>
      <c r="N82" s="38">
        <f>J82</f>
        <v>4288.263</v>
      </c>
      <c r="O82" s="37">
        <f>M78</f>
        <v>4670.658</v>
      </c>
      <c r="P82" s="37">
        <f>O78</f>
        <v>4775.187</v>
      </c>
      <c r="Q82" s="37">
        <f>P78</f>
        <v>4912.016</v>
      </c>
      <c r="R82" s="37">
        <f>Q78</f>
        <v>5072.061</v>
      </c>
      <c r="S82" s="38">
        <f>O82</f>
        <v>4670.658</v>
      </c>
      <c r="T82" s="37">
        <f>R78</f>
        <v>5207.403</v>
      </c>
      <c r="U82" s="37">
        <f>T78</f>
        <v>5304.259</v>
      </c>
      <c r="V82" s="37">
        <f>U78</f>
        <v>5422.722</v>
      </c>
      <c r="W82" s="37">
        <f>V78</f>
        <v>5723.257</v>
      </c>
      <c r="X82" s="38">
        <f>T82</f>
        <v>5207.403</v>
      </c>
      <c r="Y82" s="37">
        <f>W78</f>
        <v>5885.371</v>
      </c>
      <c r="Z82" s="37">
        <f>Y78</f>
        <v>6147.059</v>
      </c>
      <c r="AA82" s="37">
        <f>Z78</f>
        <v>6253.348</v>
      </c>
      <c r="AB82" s="37">
        <f>AA78</f>
        <v>6396.083</v>
      </c>
      <c r="AC82" s="38">
        <f>Y82</f>
        <v>5885.371</v>
      </c>
      <c r="AD82" s="37">
        <f>AB78</f>
        <v>6411.114</v>
      </c>
      <c r="AE82" s="37">
        <f>AD78</f>
        <v>6487.58</v>
      </c>
      <c r="AF82" s="37">
        <f>AE78</f>
        <v>6604.059</v>
      </c>
      <c r="AG82" s="37">
        <f>AF78</f>
        <v>6723.043</v>
      </c>
      <c r="AH82" s="38">
        <f>AD82</f>
        <v>6411.114</v>
      </c>
      <c r="AI82" s="37">
        <f>AG78</f>
        <v>6776.126</v>
      </c>
      <c r="AJ82" s="37">
        <f>AI78</f>
        <v>7164.971</v>
      </c>
      <c r="AK82" s="37">
        <f>AJ78</f>
        <v>7278.68</v>
      </c>
      <c r="AL82" s="37">
        <f>AK78</f>
        <v>7012.3965475</v>
      </c>
      <c r="AM82" s="38">
        <f>AI82</f>
        <v>6776.126</v>
      </c>
      <c r="AN82" s="37">
        <f>AL78</f>
        <v>6757.195095</v>
      </c>
      <c r="AO82" s="37">
        <f>AN78</f>
        <v>6504.0076425</v>
      </c>
      <c r="AP82" s="37">
        <f>AO78</f>
        <v>6222.22319</v>
      </c>
      <c r="AQ82" s="37">
        <f>AP78</f>
        <v>5955.9397375</v>
      </c>
      <c r="AR82" s="38">
        <f>AN82</f>
        <v>6757.195095</v>
      </c>
      <c r="AS82" s="37">
        <f>AQ78</f>
        <v>5700.738285</v>
      </c>
      <c r="AT82" s="37">
        <f>AS78</f>
        <v>5447.5508325</v>
      </c>
      <c r="AU82" s="37">
        <f>AT78</f>
        <v>5165.76638</v>
      </c>
      <c r="AV82" s="37">
        <f>AU78</f>
        <v>4899.4829275</v>
      </c>
      <c r="AW82" s="38">
        <f>AS82</f>
        <v>5700.738285</v>
      </c>
      <c r="AX82" s="37">
        <f>AV78</f>
        <v>4644.281475</v>
      </c>
      <c r="AY82" s="37">
        <f>AX78</f>
        <v>4391.0940225</v>
      </c>
      <c r="AZ82" s="37">
        <f>AY78</f>
        <v>4109.30957</v>
      </c>
      <c r="BA82" s="37">
        <f>AZ78</f>
        <v>3843.0261175</v>
      </c>
      <c r="BB82" s="38">
        <f>AX82</f>
        <v>4644.281475</v>
      </c>
      <c r="BC82" s="37">
        <f>BA78</f>
        <v>3587.824665</v>
      </c>
      <c r="BD82" s="37">
        <f>BC78</f>
        <v>3334.6372125</v>
      </c>
      <c r="BE82" s="37">
        <f>BD78</f>
        <v>3052.85276</v>
      </c>
      <c r="BF82" s="37">
        <f>BE78</f>
        <v>2786.5693075</v>
      </c>
      <c r="BG82" s="38">
        <f>BC82</f>
        <v>3587.824665</v>
      </c>
    </row>
    <row r="83">
      <c r="C83" s="11" t="inlineStr">
        <is>
          <t>(+) Lucro líquido do período</t>
        </is>
      </c>
      <c r="D83" s="12" t="inlineStr">
        <is>
          <t>(+) Net income</t>
        </is>
      </c>
      <c r="E83" s="37">
        <f>E125</f>
        <v>80.9969999999997</v>
      </c>
      <c r="F83" s="37">
        <f>F125</f>
        <v>61.6159999999999</v>
      </c>
      <c r="G83" s="37">
        <f>G125</f>
        <v>73.4749999999999</v>
      </c>
      <c r="H83" s="37">
        <f>H125</f>
        <v>105.987</v>
      </c>
      <c r="I83" s="38">
        <f>SUM(E83:H83)</f>
        <v>322.075</v>
      </c>
      <c r="J83" s="37">
        <f>J125</f>
        <v>122.406</v>
      </c>
      <c r="K83" s="37">
        <f>K125</f>
        <v>136.34</v>
      </c>
      <c r="L83" s="37">
        <f>L125</f>
        <v>151.691</v>
      </c>
      <c r="M83" s="37">
        <f>M125</f>
        <v>162.431</v>
      </c>
      <c r="N83" s="38">
        <f>SUM(J83:M83)</f>
        <v>572.868</v>
      </c>
      <c r="O83" s="37">
        <f>O125</f>
        <v>183.576</v>
      </c>
      <c r="P83" s="37">
        <f>P125</f>
        <v>202.182</v>
      </c>
      <c r="Q83" s="37">
        <f>Q125</f>
        <v>218.985</v>
      </c>
      <c r="R83" s="37">
        <f>R125</f>
        <v>197.952</v>
      </c>
      <c r="S83" s="38">
        <f>SUM(O83:R83)</f>
        <v>802.695</v>
      </c>
      <c r="T83" s="37">
        <f>T125</f>
        <v>190.676</v>
      </c>
      <c r="U83" s="37">
        <f>U125</f>
        <v>202.636</v>
      </c>
      <c r="V83" s="37">
        <f>V125</f>
        <v>229.168</v>
      </c>
      <c r="W83" s="37">
        <f>W125</f>
        <v>242.646</v>
      </c>
      <c r="X83" s="38">
        <f>SUM(T83:W83)</f>
        <v>865.126</v>
      </c>
      <c r="Y83" s="37">
        <f>Y125</f>
        <v>226.517</v>
      </c>
      <c r="Z83" s="37">
        <f>Z125</f>
        <v>257.209</v>
      </c>
      <c r="AA83" s="37">
        <f>AA125</f>
        <v>259.072</v>
      </c>
      <c r="AB83" s="37">
        <f>AB125</f>
        <v>249.06</v>
      </c>
      <c r="AC83" s="38">
        <f>SUM(Y83:AB83)</f>
        <v>991.858</v>
      </c>
      <c r="AD83" s="37">
        <f>AD125</f>
        <v>228.672</v>
      </c>
      <c r="AE83" s="37">
        <f>AE125</f>
        <v>249.498</v>
      </c>
      <c r="AF83" s="37">
        <f>AF125</f>
        <v>262.101</v>
      </c>
      <c r="AG83" s="37">
        <f>AG125</f>
        <v>279.315</v>
      </c>
      <c r="AH83" s="38">
        <f>SUM(AD83:AG83)</f>
        <v>1019.586</v>
      </c>
      <c r="AI83" s="37">
        <f>AI125</f>
        <v>233.03</v>
      </c>
      <c r="AJ83" s="37">
        <f>AJ125</f>
        <v>260.161</v>
      </c>
      <c r="AK83" s="37">
        <f>AK125</f>
        <v>-266.2834525</v>
      </c>
      <c r="AL83" s="37">
        <f>AL125</f>
        <v>-255.2014525</v>
      </c>
      <c r="AM83" s="38">
        <f>SUM(AI83:AL83)</f>
        <v>-28.2939050000001</v>
      </c>
      <c r="AN83" s="37">
        <f>AN125</f>
        <v>-253.1874525</v>
      </c>
      <c r="AO83" s="37">
        <f>AO125</f>
        <v>-281.7844525</v>
      </c>
      <c r="AP83" s="37">
        <f>AP125</f>
        <v>-266.2834525</v>
      </c>
      <c r="AQ83" s="37">
        <f>AQ125</f>
        <v>-255.2014525</v>
      </c>
      <c r="AR83" s="38">
        <f>SUM(AN83:AQ83)</f>
        <v>-1056.45681</v>
      </c>
      <c r="AS83" s="37">
        <f>AS125</f>
        <v>-253.1874525</v>
      </c>
      <c r="AT83" s="37">
        <f>AT125</f>
        <v>-281.7844525</v>
      </c>
      <c r="AU83" s="37">
        <f>AU125</f>
        <v>-266.2834525</v>
      </c>
      <c r="AV83" s="37">
        <f>AV125</f>
        <v>-255.2014525</v>
      </c>
      <c r="AW83" s="38">
        <f>SUM(AS83:AV83)</f>
        <v>-1056.45681</v>
      </c>
      <c r="AX83" s="37">
        <f>AX125</f>
        <v>-253.1874525</v>
      </c>
      <c r="AY83" s="37">
        <f>AY125</f>
        <v>-281.7844525</v>
      </c>
      <c r="AZ83" s="37">
        <f>AZ125</f>
        <v>-266.2834525</v>
      </c>
      <c r="BA83" s="37">
        <f>BA125</f>
        <v>-255.2014525</v>
      </c>
      <c r="BB83" s="38">
        <f>SUM(AX83:BA83)</f>
        <v>-1056.45681</v>
      </c>
      <c r="BC83" s="37">
        <f>BC125</f>
        <v>-253.1874525</v>
      </c>
      <c r="BD83" s="37">
        <f>BD125</f>
        <v>-281.7844525</v>
      </c>
      <c r="BE83" s="37">
        <f>BE125</f>
        <v>-266.2834525</v>
      </c>
      <c r="BF83" s="37">
        <f>BF125</f>
        <v>-255.2014525</v>
      </c>
      <c r="BG83" s="38">
        <f>SUM(BC83:BF83)</f>
        <v>-1056.45681</v>
      </c>
    </row>
    <row r="84">
      <c r="C84" s="11" t="inlineStr">
        <is>
          <t>(–) Dividendos e juros sobre capital próprio</t>
        </is>
      </c>
      <c r="D84" s="12" t="inlineStr">
        <is>
          <t>(–) Dividends and IOC</t>
        </is>
      </c>
      <c r="E84" s="57">
        <f>IF(E$14=1,-('Inputs (2)'!E149+'Inputs (2)'!E150),-E127*Inputs!E$298)</f>
        <v>0</v>
      </c>
      <c r="F84" s="57">
        <f>IF(F$14=1,-('Inputs (2)'!F149+'Inputs (2)'!F150),-F127*Inputs!F$298)</f>
        <v>0</v>
      </c>
      <c r="G84" s="57">
        <f>IF(G$14=1,-('Inputs (2)'!G149+'Inputs (2)'!G150),-G127*Inputs!G$298)</f>
        <v>0</v>
      </c>
      <c r="H84" s="57">
        <f>IF(H$14=1,-('Inputs (2)'!H149+'Inputs (2)'!H150),-H127*Inputs!H$298)</f>
        <v>0</v>
      </c>
      <c r="I84" s="38">
        <f>SUM(E84:H84)</f>
        <v>0</v>
      </c>
      <c r="J84" s="57">
        <f>IF(J$14=1,-('Inputs (2)'!J149+'Inputs (2)'!J150),-J127*Inputs!J$298)</f>
        <v>-45.935612</v>
      </c>
      <c r="K84" s="57">
        <f>IF(K$14=1,-('Inputs (2)'!K149+'Inputs (2)'!K150),-K127*Inputs!K$298)</f>
        <v>-48.20943</v>
      </c>
      <c r="L84" s="57">
        <f>IF(L$14=1,-('Inputs (2)'!L149+'Inputs (2)'!L150),-L127*Inputs!L$298)</f>
        <v>-51.041762</v>
      </c>
      <c r="M84" s="57">
        <f>IF(M$14=1,-('Inputs (2)'!M149+'Inputs (2)'!M150),-M127*Inputs!M$298)</f>
        <v>-55.463325</v>
      </c>
      <c r="N84" s="38">
        <f>SUM(J84:M84)</f>
        <v>-200.650129</v>
      </c>
      <c r="O84" s="57">
        <f>IF(O$14=1,-('Inputs (2)'!O149+'Inputs (2)'!O150),-O127*Inputs!O$298)</f>
        <v>-68.904638</v>
      </c>
      <c r="P84" s="57">
        <f>IF(P$14=1,-('Inputs (2)'!P149+'Inputs (2)'!P150),-P127*Inputs!P$298)</f>
        <v>-77.598098</v>
      </c>
      <c r="Q84" s="57">
        <f>IF(Q$14=1,-('Inputs (2)'!Q149+'Inputs (2)'!Q150),-Q127*Inputs!Q$298)</f>
        <v>-79.942565</v>
      </c>
      <c r="R84" s="57">
        <f>IF(R$14=1,-('Inputs (2)'!R149+'Inputs (2)'!R150),-R127*Inputs!R$298)</f>
        <v>-81.715539</v>
      </c>
      <c r="S84" s="38">
        <f>SUM(O84:R84)</f>
        <v>-308.16084</v>
      </c>
      <c r="T84" s="57">
        <f>IF(T$14=1,-('Inputs (2)'!T149+'Inputs (2)'!T150),-T127*Inputs!T$298)</f>
        <v>0</v>
      </c>
      <c r="U84" s="57">
        <f>IF(U$14=1,-('Inputs (2)'!U149+'Inputs (2)'!U150),-U127*Inputs!U$298)</f>
        <v>-184.839283</v>
      </c>
      <c r="V84" s="57">
        <f>IF(V$14=1,-('Inputs (2)'!V149+'Inputs (2)'!V150),-V127*Inputs!V$298)</f>
        <v>0</v>
      </c>
      <c r="W84" s="57">
        <f>IF(W$14=1,-('Inputs (2)'!W149+'Inputs (2)'!W150),-W127*Inputs!W$298)</f>
        <v>-172.319823</v>
      </c>
      <c r="X84" s="38">
        <f>SUM(T84:W84)</f>
        <v>-357.159106</v>
      </c>
      <c r="Y84" s="57">
        <f>IF(Y$14=1,-('Inputs (2)'!Y149+'Inputs (2)'!Y150),-Y127*Inputs!Y$298)</f>
        <v>0</v>
      </c>
      <c r="Z84" s="57">
        <f>IF(Z$14=1,-('Inputs (2)'!Z149+'Inputs (2)'!Z150),-Z127*Inputs!Z$298)</f>
        <v>-188.474582</v>
      </c>
      <c r="AA84" s="57">
        <f>IF(AA$14=1,-('Inputs (2)'!AA149+'Inputs (2)'!AA150),-AA127*Inputs!AA$298)</f>
        <v>0</v>
      </c>
      <c r="AB84" s="57">
        <f>IF(AB$14=1,-('Inputs (2)'!AB149+'Inputs (2)'!AB150),-AB127*Inputs!AB$298)</f>
        <v>-206.654471</v>
      </c>
      <c r="AC84" s="38">
        <f>SUM(Y84:AB84)</f>
        <v>-395.129053</v>
      </c>
      <c r="AD84" s="57">
        <f>IF(AD$14=1,-('Inputs (2)'!AD149+'Inputs (2)'!AD150),-AD127*Inputs!AD$298)</f>
        <v>0</v>
      </c>
      <c r="AE84" s="57">
        <f>IF(AE$14=1,-('Inputs (2)'!AE149+'Inputs (2)'!AE150),-AE127*Inputs!AE$298)</f>
        <v>-261.326267</v>
      </c>
      <c r="AF84" s="57">
        <f>IF(AF$14=1,-('Inputs (2)'!AF149+'Inputs (2)'!AF150),-AF127*Inputs!AF$298)</f>
        <v>0</v>
      </c>
      <c r="AG84" s="57">
        <f>IF(AG$14=1,-('Inputs (2)'!AG149+'Inputs (2)'!AG150),-AG127*Inputs!AG$298)</f>
        <v>-369.482927</v>
      </c>
      <c r="AH84" s="38">
        <f>SUM(AD84:AG84)</f>
        <v>-630.809194</v>
      </c>
      <c r="AI84" s="57">
        <f>IF(AI$14=1,-('Inputs (2)'!AI149+'Inputs (2)'!AI150),-AI127*Inputs!AI$298)</f>
        <v>0</v>
      </c>
      <c r="AJ84" s="57">
        <f>IF(AJ$14=1,-('Inputs (2)'!AJ149+'Inputs (2)'!AJ150),-AJ127*Inputs!AJ$298)</f>
        <v>-300.993354</v>
      </c>
      <c r="AK84" s="57">
        <f>IF(AK$14=1,-('Inputs (2)'!AK149+'Inputs (2)'!AK150),-AK127*Inputs!AK$298)</f>
        <v>0</v>
      </c>
      <c r="AL84" s="57">
        <f>IF(AL$14=1,-('Inputs (2)'!AL149+'Inputs (2)'!AL150),-AL127*Inputs!AL$298)</f>
        <v>0</v>
      </c>
      <c r="AM84" s="38">
        <f>SUM(AI84:AL84)</f>
        <v>-300.993354</v>
      </c>
      <c r="AN84" s="57">
        <f>IF(AN$14=1,-('Inputs (2)'!AN149+'Inputs (2)'!AN150),-AN127*Inputs!AN$298)</f>
        <v>0</v>
      </c>
      <c r="AO84" s="57">
        <f>IF(AO$14=1,-('Inputs (2)'!AO149+'Inputs (2)'!AO150),-AO127*Inputs!AO$298)</f>
        <v>0</v>
      </c>
      <c r="AP84" s="57">
        <f>IF(AP$14=1,-('Inputs (2)'!AP149+'Inputs (2)'!AP150),-AP127*Inputs!AP$298)</f>
        <v>0</v>
      </c>
      <c r="AQ84" s="57">
        <f>IF(AQ$14=1,-('Inputs (2)'!AQ149+'Inputs (2)'!AQ150),-AQ127*Inputs!AQ$298)</f>
        <v>0</v>
      </c>
      <c r="AR84" s="38">
        <f>SUM(AN84:AQ84)</f>
        <v>0</v>
      </c>
      <c r="AS84" s="57">
        <f>IF(AS$14=1,-('Inputs (2)'!AS149+'Inputs (2)'!AS150),-AS127*Inputs!AS$298)</f>
        <v>0</v>
      </c>
      <c r="AT84" s="57">
        <f>IF(AT$14=1,-('Inputs (2)'!AT149+'Inputs (2)'!AT150),-AT127*Inputs!AT$298)</f>
        <v>0</v>
      </c>
      <c r="AU84" s="57">
        <f>IF(AU$14=1,-('Inputs (2)'!AU149+'Inputs (2)'!AU150),-AU127*Inputs!AU$298)</f>
        <v>0</v>
      </c>
      <c r="AV84" s="57">
        <f>IF(AV$14=1,-('Inputs (2)'!AV149+'Inputs (2)'!AV150),-AV127*Inputs!AV$298)</f>
        <v>0</v>
      </c>
      <c r="AW84" s="38">
        <f>SUM(AS84:AV84)</f>
        <v>0</v>
      </c>
      <c r="AX84" s="57">
        <f>IF(AX$14=1,-('Inputs (2)'!AX149+'Inputs (2)'!AX150),-AX127*Inputs!AX$298)</f>
        <v>0</v>
      </c>
      <c r="AY84" s="57">
        <f>IF(AY$14=1,-('Inputs (2)'!AY149+'Inputs (2)'!AY150),-AY127*Inputs!AY$298)</f>
        <v>0</v>
      </c>
      <c r="AZ84" s="57">
        <f>IF(AZ$14=1,-('Inputs (2)'!AZ149+'Inputs (2)'!AZ150),-AZ127*Inputs!AZ$298)</f>
        <v>0</v>
      </c>
      <c r="BA84" s="57">
        <f>IF(BA$14=1,-('Inputs (2)'!BA149+'Inputs (2)'!BA150),-BA127*Inputs!BA$298)</f>
        <v>0</v>
      </c>
      <c r="BB84" s="38">
        <f>SUM(AX84:BA84)</f>
        <v>0</v>
      </c>
      <c r="BC84" s="57">
        <f>IF(BC$14=1,-('Inputs (2)'!BC149+'Inputs (2)'!BC150),-BC127*Inputs!BC$298)</f>
        <v>0</v>
      </c>
      <c r="BD84" s="57">
        <f>IF(BD$14=1,-('Inputs (2)'!BD149+'Inputs (2)'!BD150),-BD127*Inputs!BD$298)</f>
        <v>0</v>
      </c>
      <c r="BE84" s="57">
        <f>IF(BE$14=1,-('Inputs (2)'!BE149+'Inputs (2)'!BE150),-BE127*Inputs!BE$298)</f>
        <v>0</v>
      </c>
      <c r="BF84" s="57">
        <f>IF(BF$14=1,-('Inputs (2)'!BF149+'Inputs (2)'!BF150),-BF127*Inputs!BF$298)</f>
        <v>0</v>
      </c>
      <c r="BG84" s="38">
        <f>SUM(BC84:BF84)</f>
        <v>0</v>
      </c>
    </row>
    <row r="85">
      <c r="C85" s="11" t="inlineStr">
        <is>
          <t>(+/–) Outros resultados abrangentes</t>
        </is>
      </c>
      <c r="D85" s="12" t="inlineStr">
        <is>
          <t>(+/–) OCI</t>
        </is>
      </c>
      <c r="E85" s="57">
        <f>Inputs!E$302</f>
        <v>0</v>
      </c>
      <c r="F85" s="57">
        <f>IF(F$14=1,F75-E75,Inputs!F$302)</f>
        <v>-13.022</v>
      </c>
      <c r="G85" s="57">
        <f>IF(G$14=1,G75-F75,Inputs!G$302)</f>
        <v>-4.957</v>
      </c>
      <c r="H85" s="57">
        <f>IF(H$14=1,H75-G75,Inputs!H$302)</f>
        <v>15.814</v>
      </c>
      <c r="I85" s="38">
        <f>SUM(E85:H85)</f>
        <v>-2.165</v>
      </c>
      <c r="J85" s="57">
        <f>IF(J$14=1,J75-H75,Inputs!J$302)</f>
        <v>-13.033</v>
      </c>
      <c r="K85" s="57">
        <f>IF(K$14=1,K75-J75,Inputs!K$302)</f>
        <v>0.657</v>
      </c>
      <c r="L85" s="57">
        <f>IF(L$14=1,L75-K75,Inputs!L$302)</f>
        <v>-0.542</v>
      </c>
      <c r="M85" s="57">
        <f>IF(M$14=1,M75-L75,Inputs!M$302)</f>
        <v>3.723</v>
      </c>
      <c r="N85" s="38">
        <f>SUM(J85:M85)</f>
        <v>-9.195</v>
      </c>
      <c r="O85" s="57">
        <f>IF(O$14=1,O75-M75,Inputs!O$302)</f>
        <v>-7.495</v>
      </c>
      <c r="P85" s="57">
        <f>IF(P$14=1,P75-O75,Inputs!P$302)</f>
        <v>-6.275</v>
      </c>
      <c r="Q85" s="57">
        <f>IF(Q$14=1,Q75-P75,Inputs!Q$302)</f>
        <v>13.248</v>
      </c>
      <c r="R85" s="57">
        <f>IF(R$14=1,R75-Q75,Inputs!R$302)</f>
        <v>7.337</v>
      </c>
      <c r="S85" s="38">
        <f>SUM(O85:R85)</f>
        <v>6.815</v>
      </c>
      <c r="T85" s="57">
        <f>IF(T$14=1,T75-R75,Inputs!T$302)</f>
        <v>-4.252</v>
      </c>
      <c r="U85" s="57">
        <f>IF(U$14=1,U75-T75,Inputs!U$302)</f>
        <v>0.36</v>
      </c>
      <c r="V85" s="57">
        <f>IF(V$14=1,V75-U75,Inputs!V$302)</f>
        <v>-9.454</v>
      </c>
      <c r="W85" s="57">
        <f>IF(W$14=1,W75-V75,Inputs!W$302)</f>
        <v>-9.88</v>
      </c>
      <c r="X85" s="38">
        <f>SUM(T85:W85)</f>
        <v>-23.226</v>
      </c>
      <c r="Y85" s="57">
        <f>IF(Y$14=1,Y75-W75,Inputs!Y$302)</f>
        <v>-21.591</v>
      </c>
      <c r="Z85" s="57">
        <f>IF(Z$14=1,Z75-Y75,Inputs!Z$302)</f>
        <v>-42.987</v>
      </c>
      <c r="AA85" s="57">
        <f>IF(AA$14=1,AA75-Z75,Inputs!AA$302)</f>
        <v>-7.17100000000001</v>
      </c>
      <c r="AB85" s="57">
        <f>IF(AB$14=1,AB75-AA75,Inputs!AB$302)</f>
        <v>-141.422</v>
      </c>
      <c r="AC85" s="38">
        <f>SUM(Y85:AB85)</f>
        <v>-213.171</v>
      </c>
      <c r="AD85" s="57">
        <f>IF(AD$14=1,AD75-AB75,Inputs!AD$302)</f>
        <v>243.263</v>
      </c>
      <c r="AE85" s="57">
        <f>IF(AE$14=1,AE75-AD75,Inputs!AE$302)</f>
        <v>1.276</v>
      </c>
      <c r="AF85" s="57">
        <f>IF(AF$14=1,AF75-AE75,Inputs!AF$302)</f>
        <v>-5.376</v>
      </c>
      <c r="AG85" s="57">
        <f>IF(AG$14=1,AG75-AF75,Inputs!AG$302)</f>
        <v>-0.182</v>
      </c>
      <c r="AH85" s="38">
        <f>SUM(AD85:AG85)</f>
        <v>238.981</v>
      </c>
      <c r="AI85" s="57">
        <f>IF(AI$14=1,AI75-AG75,Inputs!AI$302)</f>
        <v>1.762</v>
      </c>
      <c r="AJ85" s="57">
        <f>IF(AJ$14=1,AJ75-AI75,Inputs!AJ$302)</f>
        <v>-0.267</v>
      </c>
      <c r="AK85" s="57">
        <f>IF(AK$14=1,AK75-AJ75,Inputs!AK$302)</f>
        <v>0</v>
      </c>
      <c r="AL85" s="57">
        <f>IF(AL$14=1,AL75-AK75,Inputs!AL$302)</f>
        <v>0</v>
      </c>
      <c r="AM85" s="38">
        <f>SUM(AI85:AL85)</f>
        <v>1.495</v>
      </c>
      <c r="AN85" s="57">
        <f>IF(AN$14=1,AN75-AL75,Inputs!AN$302)</f>
        <v>0</v>
      </c>
      <c r="AO85" s="57">
        <f>IF(AO$14=1,AO75-AN75,Inputs!AO$302)</f>
        <v>0</v>
      </c>
      <c r="AP85" s="57">
        <f>IF(AP$14=1,AP75-AO75,Inputs!AP$302)</f>
        <v>0</v>
      </c>
      <c r="AQ85" s="57">
        <f>IF(AQ$14=1,AQ75-AP75,Inputs!AQ$302)</f>
        <v>0</v>
      </c>
      <c r="AR85" s="38">
        <f>SUM(AN85:AQ85)</f>
        <v>0</v>
      </c>
      <c r="AS85" s="57">
        <f>IF(AS$14=1,AS75-AQ75,Inputs!AS$302)</f>
        <v>0</v>
      </c>
      <c r="AT85" s="57">
        <f>IF(AT$14=1,AT75-AS75,Inputs!AT$302)</f>
        <v>0</v>
      </c>
      <c r="AU85" s="57">
        <f>IF(AU$14=1,AU75-AT75,Inputs!AU$302)</f>
        <v>0</v>
      </c>
      <c r="AV85" s="57">
        <f>IF(AV$14=1,AV75-AU75,Inputs!AV$302)</f>
        <v>0</v>
      </c>
      <c r="AW85" s="38">
        <f>SUM(AS85:AV85)</f>
        <v>0</v>
      </c>
      <c r="AX85" s="57">
        <f>IF(AX$14=1,AX75-AV75,Inputs!AX$302)</f>
        <v>0</v>
      </c>
      <c r="AY85" s="57">
        <f>IF(AY$14=1,AY75-AX75,Inputs!AY$302)</f>
        <v>0</v>
      </c>
      <c r="AZ85" s="57">
        <f>IF(AZ$14=1,AZ75-AY75,Inputs!AZ$302)</f>
        <v>0</v>
      </c>
      <c r="BA85" s="57">
        <f>IF(BA$14=1,BA75-AZ75,Inputs!BA$302)</f>
        <v>0</v>
      </c>
      <c r="BB85" s="38">
        <f>SUM(AX85:BA85)</f>
        <v>0</v>
      </c>
      <c r="BC85" s="57">
        <f>IF(BC$14=1,BC75-BA75,Inputs!BC$302)</f>
        <v>0</v>
      </c>
      <c r="BD85" s="57">
        <f>IF(BD$14=1,BD75-BC75,Inputs!BD$302)</f>
        <v>0</v>
      </c>
      <c r="BE85" s="57">
        <f>IF(BE$14=1,BE75-BD75,Inputs!BE$302)</f>
        <v>0</v>
      </c>
      <c r="BF85" s="57">
        <f>IF(BF$14=1,BF75-BE75,Inputs!BF$302)</f>
        <v>0</v>
      </c>
      <c r="BG85" s="38">
        <f>SUM(BC85:BF85)</f>
        <v>0</v>
      </c>
    </row>
    <row r="86">
      <c r="C86" s="11" t="inlineStr">
        <is>
          <t>(+/–) Aumento / (redução) de capital</t>
        </is>
      </c>
      <c r="D86" s="12" t="inlineStr">
        <is>
          <t>(+/–) Capital changes</t>
        </is>
      </c>
      <c r="E86" s="57">
        <f>Inputs!E$303</f>
        <v>0</v>
      </c>
      <c r="F86" s="57">
        <f>IF(F$14=1,F72-E72,Inputs!F$303)</f>
        <v>0.00099999999974898</v>
      </c>
      <c r="G86" s="57">
        <f>IF(G$14=1,G72-F72,Inputs!G$303)</f>
        <v>0</v>
      </c>
      <c r="H86" s="57">
        <f>IF(H$14=1,H72-G72,Inputs!H$303)</f>
        <v>28.7890000000002</v>
      </c>
      <c r="I86" s="38">
        <f>SUM(E86:H86)</f>
        <v>28.79</v>
      </c>
      <c r="J86" s="57">
        <f>IF(J$14=1,J72-H72,Inputs!J$303)</f>
        <v>62.4749999999999</v>
      </c>
      <c r="K86" s="57">
        <f>IF(K$14=1,K72-J72,Inputs!K$303)</f>
        <v>0</v>
      </c>
      <c r="L86" s="57">
        <f>IF(L$14=1,L72-K72,Inputs!L$303)</f>
        <v>0</v>
      </c>
      <c r="M86" s="57">
        <f>IF(M$14=1,M72-L72,Inputs!M$303)</f>
        <v>1657.861</v>
      </c>
      <c r="N86" s="38">
        <f>SUM(J86:M86)</f>
        <v>1720.336</v>
      </c>
      <c r="O86" s="57">
        <f>IF(O$14=1,O72-M72,Inputs!O$303)</f>
        <v>0</v>
      </c>
      <c r="P86" s="57">
        <f>IF(P$14=1,P72-O72,Inputs!P$303)</f>
        <v>0</v>
      </c>
      <c r="Q86" s="57">
        <f>IF(Q$14=1,Q72-P72,Inputs!Q$303)</f>
        <v>0</v>
      </c>
      <c r="R86" s="57">
        <f>IF(R$14=1,R72-Q72,Inputs!R$303)</f>
        <v>0</v>
      </c>
      <c r="S86" s="38">
        <f>SUM(O86:R86)</f>
        <v>0</v>
      </c>
      <c r="T86" s="57">
        <f>IF(T$14=1,T72-R72,Inputs!T$303)</f>
        <v>0</v>
      </c>
      <c r="U86" s="57">
        <f>IF(U$14=1,U72-T72,Inputs!U$303)</f>
        <v>0</v>
      </c>
      <c r="V86" s="57">
        <f>IF(V$14=1,V72-U72,Inputs!V$303)</f>
        <v>157.113</v>
      </c>
      <c r="W86" s="57">
        <f>IF(W$14=1,W72-V72,Inputs!W$303)</f>
        <v>0.00100000000020373</v>
      </c>
      <c r="X86" s="38">
        <f>SUM(T86:W86)</f>
        <v>157.114000000001</v>
      </c>
      <c r="Y86" s="57">
        <f>IF(Y$14=1,Y72-W72,Inputs!Y$303)</f>
        <v>146.471</v>
      </c>
      <c r="Z86" s="57">
        <f>IF(Z$14=1,Z72-Y72,Inputs!Z$303)</f>
        <v>0.00100000000020373</v>
      </c>
      <c r="AA86" s="57">
        <f>IF(AA$14=1,AA72-Z72,Inputs!AA$303)</f>
        <v>-0.00100000000020373</v>
      </c>
      <c r="AB86" s="57">
        <f>IF(AB$14=1,AB72-AA72,Inputs!AB$303)</f>
        <v>0.00100000000020373</v>
      </c>
      <c r="AC86" s="38">
        <f>SUM(Y86:AB86)</f>
        <v>146.472</v>
      </c>
      <c r="AD86" s="57">
        <f>IF(AD$14=1,AD72-AB72,Inputs!AD$303)</f>
        <v>1080</v>
      </c>
      <c r="AE86" s="57">
        <f>IF(AE$14=1,AE72-AD72,Inputs!AE$303)</f>
        <v>0</v>
      </c>
      <c r="AF86" s="57">
        <f>IF(AF$14=1,AF72-AE72,Inputs!AF$303)</f>
        <v>0</v>
      </c>
      <c r="AG86" s="57">
        <f>IF(AG$14=1,AG72-AF72,Inputs!AG$303)</f>
        <v>0</v>
      </c>
      <c r="AH86" s="38">
        <f>SUM(AD86:AG86)</f>
        <v>1080</v>
      </c>
      <c r="AI86" s="57">
        <f>IF(AI$14=1,AI72-AG72,Inputs!AI$303)</f>
        <v>314.06</v>
      </c>
      <c r="AJ86" s="57">
        <f>IF(AJ$14=1,AJ72-AI72,Inputs!AJ$303)</f>
        <v>0</v>
      </c>
      <c r="AK86" s="57">
        <f>IF(AK$14=1,AK72-AJ72,Inputs!AK$303)</f>
        <v>0</v>
      </c>
      <c r="AL86" s="57">
        <f>IF(AL$14=1,AL72-AK72,Inputs!AL$303)</f>
        <v>0</v>
      </c>
      <c r="AM86" s="38">
        <f>SUM(AI86:AL86)</f>
        <v>314.06</v>
      </c>
      <c r="AN86" s="57">
        <f>IF(AN$14=1,AN72-AL72,Inputs!AN$303)</f>
        <v>0</v>
      </c>
      <c r="AO86" s="57">
        <f>IF(AO$14=1,AO72-AN72,Inputs!AO$303)</f>
        <v>0</v>
      </c>
      <c r="AP86" s="57">
        <f>IF(AP$14=1,AP72-AO72,Inputs!AP$303)</f>
        <v>0</v>
      </c>
      <c r="AQ86" s="57">
        <f>IF(AQ$14=1,AQ72-AP72,Inputs!AQ$303)</f>
        <v>0</v>
      </c>
      <c r="AR86" s="38">
        <f>SUM(AN86:AQ86)</f>
        <v>0</v>
      </c>
      <c r="AS86" s="57">
        <f>IF(AS$14=1,AS72-AQ72,Inputs!AS$303)</f>
        <v>0</v>
      </c>
      <c r="AT86" s="57">
        <f>IF(AT$14=1,AT72-AS72,Inputs!AT$303)</f>
        <v>0</v>
      </c>
      <c r="AU86" s="57">
        <f>IF(AU$14=1,AU72-AT72,Inputs!AU$303)</f>
        <v>0</v>
      </c>
      <c r="AV86" s="57">
        <f>IF(AV$14=1,AV72-AU72,Inputs!AV$303)</f>
        <v>0</v>
      </c>
      <c r="AW86" s="38">
        <f>SUM(AS86:AV86)</f>
        <v>0</v>
      </c>
      <c r="AX86" s="57">
        <f>IF(AX$14=1,AX72-AV72,Inputs!AX$303)</f>
        <v>0</v>
      </c>
      <c r="AY86" s="57">
        <f>IF(AY$14=1,AY72-AX72,Inputs!AY$303)</f>
        <v>0</v>
      </c>
      <c r="AZ86" s="57">
        <f>IF(AZ$14=1,AZ72-AY72,Inputs!AZ$303)</f>
        <v>0</v>
      </c>
      <c r="BA86" s="57">
        <f>IF(BA$14=1,BA72-AZ72,Inputs!BA$303)</f>
        <v>0</v>
      </c>
      <c r="BB86" s="38">
        <f>SUM(AX86:BA86)</f>
        <v>0</v>
      </c>
      <c r="BC86" s="57">
        <f>IF(BC$14=1,BC72-BA72,Inputs!BC$303)</f>
        <v>0</v>
      </c>
      <c r="BD86" s="57">
        <f>IF(BD$14=1,BD72-BC72,Inputs!BD$303)</f>
        <v>0</v>
      </c>
      <c r="BE86" s="57">
        <f>IF(BE$14=1,BE72-BD72,Inputs!BE$303)</f>
        <v>0</v>
      </c>
      <c r="BF86" s="57">
        <f>IF(BF$14=1,BF72-BE72,Inputs!BF$303)</f>
        <v>0</v>
      </c>
      <c r="BG86" s="38">
        <f>SUM(BC86:BF86)</f>
        <v>0</v>
      </c>
    </row>
    <row r="87">
      <c r="C87" s="11" t="inlineStr">
        <is>
          <t>(+/–) Ajuste de conciliação (períodos realizados)</t>
        </is>
      </c>
      <c r="D87" s="12" t="inlineStr">
        <is>
          <t>(+/–) Reconciling item</t>
        </is>
      </c>
      <c r="E87" s="37">
        <f>E78-(E82+E83+E84+E85+E86)</f>
        <v>0</v>
      </c>
      <c r="F87" s="37">
        <f>F78-(F82+F83+F84+F85+F86)</f>
        <v>-1.97499999999991</v>
      </c>
      <c r="G87" s="37">
        <f>G78-(G82+G83+G84+G85+G86)</f>
        <v>25.7399999999998</v>
      </c>
      <c r="H87" s="37">
        <f>H78-(H82+H83+H84+H85+H86)</f>
        <v>-49.8840000000009</v>
      </c>
      <c r="I87" s="38">
        <f>SUM(E87:H87)</f>
        <v>-26.1190000000011</v>
      </c>
      <c r="J87" s="37">
        <f>J78-(J82+J83+J84+J85+J86)</f>
        <v>-22.2233879999994</v>
      </c>
      <c r="K87" s="37">
        <f>K78-(K82+K83+K84+K85+K86)</f>
        <v>-21.5695700000006</v>
      </c>
      <c r="L87" s="37">
        <f>L78-(L82+L83+L84+L85+L86)</f>
        <v>-3.58623799999987</v>
      </c>
      <c r="M87" s="37">
        <f>M78-(M82+M83+M84+M85+M86)</f>
        <v>-1653.584675</v>
      </c>
      <c r="N87" s="38">
        <f>SUM(J87:M87)</f>
        <v>-1700.963871</v>
      </c>
      <c r="O87" s="37">
        <f>O78-(O82+O83+O84+O85+O86)</f>
        <v>-2.6473619999997</v>
      </c>
      <c r="P87" s="37">
        <f>P78-(P82+P83+P84+P85+P86)</f>
        <v>18.5200980000009</v>
      </c>
      <c r="Q87" s="37">
        <f>Q78-(Q82+Q83+Q84+Q85+Q86)</f>
        <v>7.75456500000109</v>
      </c>
      <c r="R87" s="37">
        <f>R78-(R82+R83+R84+R85+R86)</f>
        <v>11.7685389999979</v>
      </c>
      <c r="S87" s="38">
        <f>SUM(O87:R87)</f>
        <v>35.3958400000001</v>
      </c>
      <c r="T87" s="37">
        <f>T78-(T82+T83+T84+T85+T86)</f>
        <v>-89.5679999999993</v>
      </c>
      <c r="U87" s="37">
        <f>U78-(U82+U83+U84+U85+U86)</f>
        <v>100.306283000001</v>
      </c>
      <c r="V87" s="37">
        <f>V78-(V82+V83+V84+V85+V86)</f>
        <v>-76.2920000000004</v>
      </c>
      <c r="W87" s="37">
        <f>W78-(W82+W83+W84+W85+W86)</f>
        <v>101.666823</v>
      </c>
      <c r="X87" s="38">
        <f>SUM(T87:W87)</f>
        <v>36.1131060000007</v>
      </c>
      <c r="Y87" s="37">
        <f>Y78-(Y82+Y83+Y84+Y85+Y86)</f>
        <v>-89.7089999999989</v>
      </c>
      <c r="Z87" s="37">
        <f>Z78-(Z82+Z83+Z84+Z85+Z86)</f>
        <v>80.5405819999996</v>
      </c>
      <c r="AA87" s="37">
        <f>AA78-(AA82+AA83+AA84+AA85+AA86)</f>
        <v>-109.164999999999</v>
      </c>
      <c r="AB87" s="37">
        <f>AB78-(AB82+AB83+AB84+AB85+AB86)</f>
        <v>114.046470999998</v>
      </c>
      <c r="AC87" s="38">
        <f>SUM(Y87:AB87)</f>
        <v>-4.28694700000051</v>
      </c>
      <c r="AD87" s="37">
        <f>AD78-(AD82+AD83+AD84+AD85+AD86)</f>
        <v>-1475.469</v>
      </c>
      <c r="AE87" s="37">
        <f>AE78-(AE82+AE83+AE84+AE85+AE86)</f>
        <v>127.031267</v>
      </c>
      <c r="AF87" s="37">
        <f>AF78-(AF82+AF83+AF84+AF85+AF86)</f>
        <v>-137.740999999998</v>
      </c>
      <c r="AG87" s="37">
        <f>AG78-(AG82+AG83+AG84+AG85+AG86)</f>
        <v>143.432926999998</v>
      </c>
      <c r="AH87" s="38">
        <f>SUM(AD87:AG87)</f>
        <v>-1342.745806</v>
      </c>
      <c r="AI87" s="37">
        <f>AI78-(AI82+AI83+AI84+AI85+AI86)</f>
        <v>-160.006999999999</v>
      </c>
      <c r="AJ87" s="37">
        <f>AJ78-(AJ82+AJ83+AJ84+AJ85+AJ86)</f>
        <v>154.808354</v>
      </c>
      <c r="AK87" s="37">
        <f>AK78-(AK82+AK83+AK84+AK85+AK86)</f>
        <v>0</v>
      </c>
      <c r="AL87" s="37">
        <f>AL78-(AL82+AL83+AL84+AL85+AL86)</f>
        <v>0</v>
      </c>
      <c r="AM87" s="38">
        <f>SUM(AI87:AL87)</f>
        <v>-5.19864599999892</v>
      </c>
      <c r="AN87" s="37">
        <f>AN78-(AN82+AN83+AN84+AN85+AN86)</f>
        <v>0</v>
      </c>
      <c r="AO87" s="37">
        <f>AO78-(AO82+AO83+AO84+AO85+AO86)</f>
        <v>0</v>
      </c>
      <c r="AP87" s="37">
        <f>AP78-(AP82+AP83+AP84+AP85+AP86)</f>
        <v>0</v>
      </c>
      <c r="AQ87" s="37">
        <f>AQ78-(AQ82+AQ83+AQ84+AQ85+AQ86)</f>
        <v>0</v>
      </c>
      <c r="AR87" s="38">
        <f>SUM(AN87:AQ87)</f>
        <v>0</v>
      </c>
      <c r="AS87" s="37">
        <f>AS78-(AS82+AS83+AS84+AS85+AS86)</f>
        <v>0</v>
      </c>
      <c r="AT87" s="37">
        <f>AT78-(AT82+AT83+AT84+AT85+AT86)</f>
        <v>0</v>
      </c>
      <c r="AU87" s="37">
        <f>AU78-(AU82+AU83+AU84+AU85+AU86)</f>
        <v>0</v>
      </c>
      <c r="AV87" s="37">
        <f>AV78-(AV82+AV83+AV84+AV85+AV86)</f>
        <v>0</v>
      </c>
      <c r="AW87" s="38">
        <f>SUM(AS87:AV87)</f>
        <v>0</v>
      </c>
      <c r="AX87" s="37">
        <f>AX78-(AX82+AX83+AX84+AX85+AX86)</f>
        <v>0</v>
      </c>
      <c r="AY87" s="37">
        <f>AY78-(AY82+AY83+AY84+AY85+AY86)</f>
        <v>0</v>
      </c>
      <c r="AZ87" s="37">
        <f>AZ78-(AZ82+AZ83+AZ84+AZ85+AZ86)</f>
        <v>0</v>
      </c>
      <c r="BA87" s="37">
        <f>BA78-(BA82+BA83+BA84+BA85+BA86)</f>
        <v>0</v>
      </c>
      <c r="BB87" s="38">
        <f>SUM(AX87:BA87)</f>
        <v>0</v>
      </c>
      <c r="BC87" s="37">
        <f>BC78-(BC82+BC83+BC84+BC85+BC86)</f>
        <v>0</v>
      </c>
      <c r="BD87" s="37">
        <f>BD78-(BD82+BD83+BD84+BD85+BD86)</f>
        <v>0</v>
      </c>
      <c r="BE87" s="37">
        <f>BE78-(BE82+BE83+BE84+BE85+BE86)</f>
        <v>0</v>
      </c>
      <c r="BF87" s="37">
        <f>BF78-(BF82+BF83+BF84+BF85+BF86)</f>
        <v>0</v>
      </c>
      <c r="BG87" s="38">
        <f>SUM(BC87:BF87)</f>
        <v>0</v>
      </c>
      <c r="BI87" s="14" t="inlineStr">
        <is>
          <t>Nos períodos realizados absorve reclassificações do PL. Na projeção fica zerado por construção.</t>
        </is>
      </c>
    </row>
    <row r="88">
      <c r="C88" s="15" t="inlineStr">
        <is>
          <t>Patrimônio líquido final</t>
        </is>
      </c>
      <c r="D88" s="16" t="inlineStr">
        <is>
          <t>Closing equity</t>
        </is>
      </c>
      <c r="E88" s="59">
        <f>SUM(E82:E87)</f>
        <v>4046.679</v>
      </c>
      <c r="F88" s="59">
        <f>SUM(F82:F87)</f>
        <v>4093.299</v>
      </c>
      <c r="G88" s="59">
        <f>SUM(G82:G87)</f>
        <v>4187.557</v>
      </c>
      <c r="H88" s="59">
        <f>SUM(H82:H87)</f>
        <v>4288.263</v>
      </c>
      <c r="I88" s="60">
        <f>SUM(I82:I87)</f>
        <v>4288.263</v>
      </c>
      <c r="J88" s="59">
        <f>SUM(J82:J87)</f>
        <v>4391.952</v>
      </c>
      <c r="K88" s="59">
        <f>SUM(K82:K87)</f>
        <v>4459.17</v>
      </c>
      <c r="L88" s="59">
        <f>SUM(L82:L87)</f>
        <v>4555.691</v>
      </c>
      <c r="M88" s="59">
        <f>SUM(M82:M87)</f>
        <v>4670.658</v>
      </c>
      <c r="N88" s="60">
        <f>SUM(N82:N87)</f>
        <v>4670.658</v>
      </c>
      <c r="O88" s="59">
        <f>SUM(O82:O87)</f>
        <v>4775.187</v>
      </c>
      <c r="P88" s="59">
        <f>SUM(P82:P87)</f>
        <v>4912.016</v>
      </c>
      <c r="Q88" s="59">
        <f>SUM(Q82:Q87)</f>
        <v>5072.061</v>
      </c>
      <c r="R88" s="59">
        <f>SUM(R82:R87)</f>
        <v>5207.403</v>
      </c>
      <c r="S88" s="60">
        <f>SUM(S82:S87)</f>
        <v>5207.403</v>
      </c>
      <c r="T88" s="59">
        <f>SUM(T82:T87)</f>
        <v>5304.259</v>
      </c>
      <c r="U88" s="59">
        <f>SUM(U82:U87)</f>
        <v>5422.722</v>
      </c>
      <c r="V88" s="59">
        <f>SUM(V82:V87)</f>
        <v>5723.257</v>
      </c>
      <c r="W88" s="59">
        <f>SUM(W82:W87)</f>
        <v>5885.371</v>
      </c>
      <c r="X88" s="60">
        <f>SUM(X82:X87)</f>
        <v>5885.371</v>
      </c>
      <c r="Y88" s="59">
        <f>SUM(Y82:Y87)</f>
        <v>6147.059</v>
      </c>
      <c r="Z88" s="59">
        <f>SUM(Z82:Z87)</f>
        <v>6253.348</v>
      </c>
      <c r="AA88" s="59">
        <f>SUM(AA82:AA87)</f>
        <v>6396.083</v>
      </c>
      <c r="AB88" s="59">
        <f>SUM(AB82:AB87)</f>
        <v>6411.114</v>
      </c>
      <c r="AC88" s="60">
        <f>SUM(AC82:AC87)</f>
        <v>6411.114</v>
      </c>
      <c r="AD88" s="59">
        <f>SUM(AD82:AD87)</f>
        <v>6487.58</v>
      </c>
      <c r="AE88" s="59">
        <f>SUM(AE82:AE87)</f>
        <v>6604.059</v>
      </c>
      <c r="AF88" s="59">
        <f>SUM(AF82:AF87)</f>
        <v>6723.043</v>
      </c>
      <c r="AG88" s="59">
        <f>SUM(AG82:AG87)</f>
        <v>6776.126</v>
      </c>
      <c r="AH88" s="60">
        <f>SUM(AH82:AH87)</f>
        <v>6776.126</v>
      </c>
      <c r="AI88" s="59">
        <f>SUM(AI82:AI87)</f>
        <v>7164.971</v>
      </c>
      <c r="AJ88" s="59">
        <f>SUM(AJ82:AJ87)</f>
        <v>7278.68</v>
      </c>
      <c r="AK88" s="59">
        <f>SUM(AK82:AK87)</f>
        <v>7012.3965475</v>
      </c>
      <c r="AL88" s="59">
        <f>SUM(AL82:AL87)</f>
        <v>6757.195095</v>
      </c>
      <c r="AM88" s="60">
        <f>SUM(AM82:AM87)</f>
        <v>6757.195095</v>
      </c>
      <c r="AN88" s="59">
        <f>SUM(AN82:AN87)</f>
        <v>6504.0076425</v>
      </c>
      <c r="AO88" s="59">
        <f>SUM(AO82:AO87)</f>
        <v>6222.22319</v>
      </c>
      <c r="AP88" s="59">
        <f>SUM(AP82:AP87)</f>
        <v>5955.9397375</v>
      </c>
      <c r="AQ88" s="59">
        <f>SUM(AQ82:AQ87)</f>
        <v>5700.738285</v>
      </c>
      <c r="AR88" s="60">
        <f>SUM(AR82:AR87)</f>
        <v>5700.738285</v>
      </c>
      <c r="AS88" s="59">
        <f>SUM(AS82:AS87)</f>
        <v>5447.5508325</v>
      </c>
      <c r="AT88" s="59">
        <f>SUM(AT82:AT87)</f>
        <v>5165.76638</v>
      </c>
      <c r="AU88" s="59">
        <f>SUM(AU82:AU87)</f>
        <v>4899.4829275</v>
      </c>
      <c r="AV88" s="59">
        <f>SUM(AV82:AV87)</f>
        <v>4644.281475</v>
      </c>
      <c r="AW88" s="60">
        <f>SUM(AW82:AW87)</f>
        <v>4644.281475</v>
      </c>
      <c r="AX88" s="59">
        <f>SUM(AX82:AX87)</f>
        <v>4391.0940225</v>
      </c>
      <c r="AY88" s="59">
        <f>SUM(AY82:AY87)</f>
        <v>4109.30957</v>
      </c>
      <c r="AZ88" s="59">
        <f>SUM(AZ82:AZ87)</f>
        <v>3843.0261175</v>
      </c>
      <c r="BA88" s="59">
        <f>SUM(BA82:BA87)</f>
        <v>3587.824665</v>
      </c>
      <c r="BB88" s="60">
        <f>SUM(BB82:BB87)</f>
        <v>3587.824665</v>
      </c>
      <c r="BC88" s="59">
        <f>SUM(BC82:BC87)</f>
        <v>3334.6372125</v>
      </c>
      <c r="BD88" s="59">
        <f>SUM(BD82:BD87)</f>
        <v>3052.85276</v>
      </c>
      <c r="BE88" s="59">
        <f>SUM(BE82:BE87)</f>
        <v>2786.5693075</v>
      </c>
      <c r="BF88" s="59">
        <f>SUM(BF82:BF87)</f>
        <v>2531.367855</v>
      </c>
      <c r="BG88" s="60">
        <f>SUM(BG82:BG87)</f>
        <v>2531.367855</v>
      </c>
    </row>
    <row r="90">
      <c r="B90" s="7" t="n"/>
      <c r="C90" s="7" t="str">
        <f>"DEMONSTRAÇÃO DO RESULTADO ("&amp;Inputs!$E$202&amp;")"</f>
        <v>DEMONSTRAÇÃO DO RESULTADO (R$ milhões)</v>
      </c>
      <c r="D90" s="7" t="inlineStr">
        <is>
          <t>INCOME STATEMENT</t>
        </is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>
      <c r="C91" s="83" t="inlineStr">
        <is>
          <t>Receitas da Intermediação Financeira</t>
        </is>
      </c>
      <c r="D91" s="84" t="inlineStr">
        <is>
          <t>Financial Intermediation Income</t>
        </is>
      </c>
      <c r="E91" s="85">
        <f>E92+E93+E94+E95</f>
        <v>3616.515</v>
      </c>
      <c r="F91" s="85">
        <f>F92+F93+F94+F95</f>
        <v>1548.385</v>
      </c>
      <c r="G91" s="85">
        <f>G92+G93+G94+G95</f>
        <v>1216.579</v>
      </c>
      <c r="H91" s="85">
        <f>H92+H93+H94+H95</f>
        <v>-458.708</v>
      </c>
      <c r="I91" s="60">
        <f>SUM(E91:H91)</f>
        <v>5922.771</v>
      </c>
      <c r="J91" s="85">
        <f>J92+J93+J94+J95</f>
        <v>1960.499</v>
      </c>
      <c r="K91" s="85">
        <f>K92+K93+K94+K95</f>
        <v>-1155.484</v>
      </c>
      <c r="L91" s="85">
        <f>L92+L93+L94+L95</f>
        <v>1939.217</v>
      </c>
      <c r="M91" s="85">
        <f>M92+M93+M94+M95</f>
        <v>1398.146</v>
      </c>
      <c r="N91" s="60">
        <f>SUM(J91:M91)</f>
        <v>4142.378</v>
      </c>
      <c r="O91" s="85">
        <f>O92+O93+O94+O95</f>
        <v>-1238.623</v>
      </c>
      <c r="P91" s="85">
        <f>P92+P93+P94+P95</f>
        <v>2511.498</v>
      </c>
      <c r="Q91" s="85">
        <f>Q92+Q93+Q94+Q95</f>
        <v>1901.37</v>
      </c>
      <c r="R91" s="85">
        <f>R92+R93+R94+R95</f>
        <v>1006.821</v>
      </c>
      <c r="S91" s="60">
        <f>SUM(O91:R91)</f>
        <v>4181.066</v>
      </c>
      <c r="T91" s="85">
        <f>T92+T93+T94+T95</f>
        <v>1295.634</v>
      </c>
      <c r="U91" s="85">
        <f>U92+U93+U94+U95</f>
        <v>925.124</v>
      </c>
      <c r="V91" s="85">
        <f>V92+V93+V94+V95</f>
        <v>2326.408</v>
      </c>
      <c r="W91" s="85">
        <f>W92+W93+W94+W95</f>
        <v>1069.267</v>
      </c>
      <c r="X91" s="60">
        <f>SUM(T91:W91)</f>
        <v>5616.433</v>
      </c>
      <c r="Y91" s="85">
        <f>Y92+Y93+Y94+Y95</f>
        <v>2062.078</v>
      </c>
      <c r="Z91" s="85">
        <f>Z92+Z93+Z94+Z95</f>
        <v>3039.955</v>
      </c>
      <c r="AA91" s="85">
        <f>AA92+AA93+AA94+AA95</f>
        <v>1411.113</v>
      </c>
      <c r="AB91" s="85">
        <f>AB92+AB93+AB94+AB95</f>
        <v>3796.787</v>
      </c>
      <c r="AC91" s="60">
        <f>SUM(Y91:AB91)</f>
        <v>10309.933</v>
      </c>
      <c r="AD91" s="85">
        <f>AD92+AD93+AD94+AD95</f>
        <v>1755.292</v>
      </c>
      <c r="AE91" s="85">
        <f>AE92+AE93+AE94+AE95</f>
        <v>1818.562</v>
      </c>
      <c r="AF91" s="85">
        <f>AF92+AF93+AF94+AF95</f>
        <v>2113.375</v>
      </c>
      <c r="AG91" s="85">
        <f>AG92+AG93+AG94+AG95</f>
        <v>2121.3</v>
      </c>
      <c r="AH91" s="60">
        <f>SUM(AD91:AG91)</f>
        <v>7808.529</v>
      </c>
      <c r="AI91" s="85">
        <f>AI92+AI93+AI94+AI95</f>
        <v>2035.362</v>
      </c>
      <c r="AJ91" s="85">
        <f>AJ92+AJ93+AJ94+AJ95</f>
        <v>2094.818</v>
      </c>
      <c r="AK91" s="85">
        <f>AK92+AK93+AK94+AK95</f>
        <v>0</v>
      </c>
      <c r="AL91" s="85">
        <f>AL92+AL93+AL94+AL95</f>
        <v>0</v>
      </c>
      <c r="AM91" s="60">
        <f>SUM(AI91:AL91)</f>
        <v>4130.18</v>
      </c>
      <c r="AN91" s="85">
        <f>AN92+AN93+AN94+AN95</f>
        <v>0</v>
      </c>
      <c r="AO91" s="85">
        <f>AO92+AO93+AO94+AO95</f>
        <v>0</v>
      </c>
      <c r="AP91" s="85">
        <f>AP92+AP93+AP94+AP95</f>
        <v>0</v>
      </c>
      <c r="AQ91" s="85">
        <f>AQ92+AQ93+AQ94+AQ95</f>
        <v>0</v>
      </c>
      <c r="AR91" s="60">
        <f>SUM(AN91:AQ91)</f>
        <v>0</v>
      </c>
      <c r="AS91" s="85">
        <f>AS92+AS93+AS94+AS95</f>
        <v>0</v>
      </c>
      <c r="AT91" s="85">
        <f>AT92+AT93+AT94+AT95</f>
        <v>0</v>
      </c>
      <c r="AU91" s="85">
        <f>AU92+AU93+AU94+AU95</f>
        <v>0</v>
      </c>
      <c r="AV91" s="85">
        <f>AV92+AV93+AV94+AV95</f>
        <v>0</v>
      </c>
      <c r="AW91" s="60">
        <f>SUM(AS91:AV91)</f>
        <v>0</v>
      </c>
      <c r="AX91" s="85">
        <f>AX92+AX93+AX94+AX95</f>
        <v>0</v>
      </c>
      <c r="AY91" s="85">
        <f>AY92+AY93+AY94+AY95</f>
        <v>0</v>
      </c>
      <c r="AZ91" s="85">
        <f>AZ92+AZ93+AZ94+AZ95</f>
        <v>0</v>
      </c>
      <c r="BA91" s="85">
        <f>BA92+BA93+BA94+BA95</f>
        <v>0</v>
      </c>
      <c r="BB91" s="60">
        <f>SUM(AX91:BA91)</f>
        <v>0</v>
      </c>
      <c r="BC91" s="85">
        <f>BC92+BC93+BC94+BC95</f>
        <v>0</v>
      </c>
      <c r="BD91" s="85">
        <f>BD92+BD93+BD94+BD95</f>
        <v>0</v>
      </c>
      <c r="BE91" s="85">
        <f>BE92+BE93+BE94+BE95</f>
        <v>0</v>
      </c>
      <c r="BF91" s="85">
        <f>BF92+BF93+BF94+BF95</f>
        <v>0</v>
      </c>
      <c r="BG91" s="60">
        <f>SUM(BC91:BF91)</f>
        <v>0</v>
      </c>
    </row>
    <row r="92" hidden="1" outlineLevel="1">
      <c r="C92" s="61" t="inlineStr">
        <is>
          <t>Resultado com Operações de Concessão de Crédito</t>
        </is>
      </c>
      <c r="D92" s="62" t="inlineStr">
        <is>
          <t>Credit-Granting Result</t>
        </is>
      </c>
      <c r="E92" s="57">
        <f>IF(E$14=1,'Inputs (2)'!E71,E134*Inputs!E$271/4)</f>
        <v>1902.888</v>
      </c>
      <c r="F92" s="57">
        <f>IF(F$14=1,'Inputs (2)'!F71,F134*Inputs!F$271/4)</f>
        <v>859.709</v>
      </c>
      <c r="G92" s="57">
        <f>IF(G$14=1,'Inputs (2)'!G71,G134*Inputs!G$271/4)</f>
        <v>700.75</v>
      </c>
      <c r="H92" s="57">
        <f>IF(H$14=1,'Inputs (2)'!H71,H134*Inputs!H$271/4)</f>
        <v>-402.142</v>
      </c>
      <c r="I92" s="77">
        <f>SUM(E92:H92)</f>
        <v>3061.205</v>
      </c>
      <c r="J92" s="57">
        <f>IF(J$14=1,'Inputs (2)'!J71,J134*Inputs!J$271/4)</f>
        <v>1164.237</v>
      </c>
      <c r="K92" s="57">
        <f>IF(K$14=1,'Inputs (2)'!K71,K134*Inputs!K$271/4)</f>
        <v>-761.364</v>
      </c>
      <c r="L92" s="57">
        <f>IF(L$14=1,'Inputs (2)'!L71,L134*Inputs!L$271/4)</f>
        <v>1099.465</v>
      </c>
      <c r="M92" s="57">
        <f>IF(M$14=1,'Inputs (2)'!M71,M134*Inputs!M$271/4)</f>
        <v>743.025</v>
      </c>
      <c r="N92" s="77">
        <f>SUM(J92:M92)</f>
        <v>2245.363</v>
      </c>
      <c r="O92" s="57">
        <f>IF(O$14=1,'Inputs (2)'!O71,O134*Inputs!O$271/4)</f>
        <v>-310.481</v>
      </c>
      <c r="P92" s="57">
        <f>IF(P$14=1,'Inputs (2)'!P71,P134*Inputs!P$271/4)</f>
        <v>1194.427</v>
      </c>
      <c r="Q92" s="57">
        <f>IF(Q$14=1,'Inputs (2)'!Q71,Q134*Inputs!Q$271/4)</f>
        <v>1089.235</v>
      </c>
      <c r="R92" s="57">
        <f>IF(R$14=1,'Inputs (2)'!R71,R134*Inputs!R$271/4)</f>
        <v>478.395</v>
      </c>
      <c r="S92" s="77">
        <f>SUM(O92:R92)</f>
        <v>2451.576</v>
      </c>
      <c r="T92" s="57">
        <f>IF(T$14=1,'Inputs (2)'!T71,T134*Inputs!T$271/4)</f>
        <v>657.71</v>
      </c>
      <c r="U92" s="57">
        <f>IF(U$14=1,'Inputs (2)'!U71,U134*Inputs!U$271/4)</f>
        <v>479.663</v>
      </c>
      <c r="V92" s="57">
        <f>IF(V$14=1,'Inputs (2)'!V71,V134*Inputs!V$271/4)</f>
        <v>1123.86</v>
      </c>
      <c r="W92" s="57">
        <f>IF(W$14=1,'Inputs (2)'!W71,W134*Inputs!W$271/4)</f>
        <v>414.58</v>
      </c>
      <c r="X92" s="77">
        <f>SUM(T92:W92)</f>
        <v>2675.813</v>
      </c>
      <c r="Y92" s="57">
        <f>IF(Y$14=1,'Inputs (2)'!Y71,Y134*Inputs!Y$271/4)</f>
        <v>990.666</v>
      </c>
      <c r="Z92" s="57">
        <f>IF(Z$14=1,'Inputs (2)'!Z71,Z134*Inputs!Z$271/4)</f>
        <v>1671.211</v>
      </c>
      <c r="AA92" s="57">
        <f>IF(AA$14=1,'Inputs (2)'!AA71,AA134*Inputs!AA$271/4)</f>
        <v>417.453</v>
      </c>
      <c r="AB92" s="57">
        <f>IF(AB$14=1,'Inputs (2)'!AB71,AB134*Inputs!AB$271/4)</f>
        <v>1951.698</v>
      </c>
      <c r="AC92" s="77">
        <f>SUM(Y92:AB92)</f>
        <v>5031.028</v>
      </c>
      <c r="AD92" s="57">
        <f>IF(AD$14=1,'Inputs (2)'!AD71,AD134*Inputs!AD$271/4)</f>
        <v>820.187</v>
      </c>
      <c r="AE92" s="57">
        <f>IF(AE$14=1,'Inputs (2)'!AE71,AE134*Inputs!AE$271/4)</f>
        <v>1022</v>
      </c>
      <c r="AF92" s="57">
        <f>IF(AF$14=1,'Inputs (2)'!AF71,AF134*Inputs!AF$271/4)</f>
        <v>971.114</v>
      </c>
      <c r="AG92" s="57">
        <f>IF(AG$14=1,'Inputs (2)'!AG71,AG134*Inputs!AG$271/4)</f>
        <v>491.848</v>
      </c>
      <c r="AH92" s="77">
        <f>SUM(AD92:AG92)</f>
        <v>3305.149</v>
      </c>
      <c r="AI92" s="57">
        <f>IF(AI$14=1,'Inputs (2)'!AI71,AI134*Inputs!AI$271/4)</f>
        <v>762.05</v>
      </c>
      <c r="AJ92" s="57">
        <f>IF(AJ$14=1,'Inputs (2)'!AJ71,AJ134*Inputs!AJ$271/4)</f>
        <v>696.511</v>
      </c>
      <c r="AK92" s="57">
        <f>IF(AK$14=1,'Inputs (2)'!AK71,AK134*Inputs!AK$271/4)</f>
        <v>0</v>
      </c>
      <c r="AL92" s="57">
        <f>IF(AL$14=1,'Inputs (2)'!AL71,AL134*Inputs!AL$271/4)</f>
        <v>0</v>
      </c>
      <c r="AM92" s="77">
        <f>SUM(AI92:AL92)</f>
        <v>1458.561</v>
      </c>
      <c r="AN92" s="57">
        <f>IF(AN$14=1,'Inputs (2)'!AN71,AN134*Inputs!AN$271/4)</f>
        <v>0</v>
      </c>
      <c r="AO92" s="57">
        <f>IF(AO$14=1,'Inputs (2)'!AO71,AO134*Inputs!AO$271/4)</f>
        <v>0</v>
      </c>
      <c r="AP92" s="57">
        <f>IF(AP$14=1,'Inputs (2)'!AP71,AP134*Inputs!AP$271/4)</f>
        <v>0</v>
      </c>
      <c r="AQ92" s="57">
        <f>IF(AQ$14=1,'Inputs (2)'!AQ71,AQ134*Inputs!AQ$271/4)</f>
        <v>0</v>
      </c>
      <c r="AR92" s="77">
        <f>SUM(AN92:AQ92)</f>
        <v>0</v>
      </c>
      <c r="AS92" s="57">
        <f>IF(AS$14=1,'Inputs (2)'!AS71,AS134*Inputs!AS$271/4)</f>
        <v>0</v>
      </c>
      <c r="AT92" s="57">
        <f>IF(AT$14=1,'Inputs (2)'!AT71,AT134*Inputs!AT$271/4)</f>
        <v>0</v>
      </c>
      <c r="AU92" s="57">
        <f>IF(AU$14=1,'Inputs (2)'!AU71,AU134*Inputs!AU$271/4)</f>
        <v>0</v>
      </c>
      <c r="AV92" s="57">
        <f>IF(AV$14=1,'Inputs (2)'!AV71,AV134*Inputs!AV$271/4)</f>
        <v>0</v>
      </c>
      <c r="AW92" s="77">
        <f>SUM(AS92:AV92)</f>
        <v>0</v>
      </c>
      <c r="AX92" s="57">
        <f>IF(AX$14=1,'Inputs (2)'!AX71,AX134*Inputs!AX$271/4)</f>
        <v>0</v>
      </c>
      <c r="AY92" s="57">
        <f>IF(AY$14=1,'Inputs (2)'!AY71,AY134*Inputs!AY$271/4)</f>
        <v>0</v>
      </c>
      <c r="AZ92" s="57">
        <f>IF(AZ$14=1,'Inputs (2)'!AZ71,AZ134*Inputs!AZ$271/4)</f>
        <v>0</v>
      </c>
      <c r="BA92" s="57">
        <f>IF(BA$14=1,'Inputs (2)'!BA71,BA134*Inputs!BA$271/4)</f>
        <v>0</v>
      </c>
      <c r="BB92" s="77">
        <f>SUM(AX92:BA92)</f>
        <v>0</v>
      </c>
      <c r="BC92" s="57">
        <f>IF(BC$14=1,'Inputs (2)'!BC71,BC134*Inputs!BC$271/4)</f>
        <v>0</v>
      </c>
      <c r="BD92" s="57">
        <f>IF(BD$14=1,'Inputs (2)'!BD71,BD134*Inputs!BD$271/4)</f>
        <v>0</v>
      </c>
      <c r="BE92" s="57">
        <f>IF(BE$14=1,'Inputs (2)'!BE71,BE134*Inputs!BE$271/4)</f>
        <v>0</v>
      </c>
      <c r="BF92" s="57">
        <f>IF(BF$14=1,'Inputs (2)'!BF71,BF134*Inputs!BF$271/4)</f>
        <v>0</v>
      </c>
      <c r="BG92" s="77">
        <f>SUM(BC92:BF92)</f>
        <v>0</v>
      </c>
    </row>
    <row r="93" hidden="1" outlineLevel="1">
      <c r="C93" s="61" t="inlineStr">
        <is>
          <t>Resultado de TVM, Derivativos e Outros</t>
        </is>
      </c>
      <c r="D93" s="62" t="inlineStr">
        <is>
          <t>Securities and Derivatives</t>
        </is>
      </c>
      <c r="E93" s="57">
        <f>'Inputs (2)'!E72</f>
        <v>1713.627</v>
      </c>
      <c r="F93" s="57">
        <f>IF(F$14=1,'Inputs (2)'!F72,AVERAGE(E24+E29,F24+F29)*Inputs!F$276/4)</f>
        <v>688.676</v>
      </c>
      <c r="G93" s="57">
        <f>IF(G$14=1,'Inputs (2)'!G72,AVERAGE(F24+F29,G24+G29)*Inputs!G$276/4)</f>
        <v>515.829</v>
      </c>
      <c r="H93" s="57">
        <f>IF(H$14=1,'Inputs (2)'!H72,AVERAGE(G24+G29,H24+H29)*Inputs!H$276/4)</f>
        <v>-56.566</v>
      </c>
      <c r="I93" s="77">
        <f>SUM(E93:H93)</f>
        <v>2861.566</v>
      </c>
      <c r="J93" s="57">
        <f>IF(J$14=1,'Inputs (2)'!J72,AVERAGE(H24+H29,J24+J29)*Inputs!J$276/4)</f>
        <v>796.262</v>
      </c>
      <c r="K93" s="57">
        <f>IF(K$14=1,'Inputs (2)'!K72,AVERAGE(J24+J29,K24+K29)*Inputs!K$276/4)</f>
        <v>-394.12</v>
      </c>
      <c r="L93" s="57">
        <f>IF(L$14=1,'Inputs (2)'!L72,AVERAGE(K24+K29,L24+L29)*Inputs!L$276/4)</f>
        <v>839.752</v>
      </c>
      <c r="M93" s="57">
        <f>IF(M$14=1,'Inputs (2)'!M72,AVERAGE(L24+L29,M24+M29)*Inputs!M$276/4)</f>
        <v>655.121</v>
      </c>
      <c r="N93" s="77">
        <f>SUM(J93:M93)</f>
        <v>1897.015</v>
      </c>
      <c r="O93" s="57">
        <f>IF(O$14=1,'Inputs (2)'!O72,AVERAGE(M24+M29,O24+O29)*Inputs!O$276/4)</f>
        <v>-928.787</v>
      </c>
      <c r="P93" s="57">
        <f>IF(P$14=1,'Inputs (2)'!P72,AVERAGE(O24+O29,P24+P29)*Inputs!P$276/4)</f>
        <v>1317.071</v>
      </c>
      <c r="Q93" s="57">
        <f>IF(Q$14=1,'Inputs (2)'!Q72,AVERAGE(P24+P29,Q24+Q29)*Inputs!Q$276/4)</f>
        <v>812.135</v>
      </c>
      <c r="R93" s="57">
        <f>IF(R$14=1,'Inputs (2)'!R72,AVERAGE(Q24+Q29,R24+R29)*Inputs!R$276/4)</f>
        <v>528.426</v>
      </c>
      <c r="S93" s="77">
        <f>SUM(O93:R93)</f>
        <v>1728.845</v>
      </c>
      <c r="T93" s="57">
        <f>IF(T$14=1,'Inputs (2)'!T72,AVERAGE(R24+R29,T24+T29)*Inputs!T$276/4)</f>
        <v>637.924</v>
      </c>
      <c r="U93" s="57">
        <f>IF(U$14=1,'Inputs (2)'!U72,AVERAGE(T24+T29,U24+U29)*Inputs!U$276/4)</f>
        <v>445.461</v>
      </c>
      <c r="V93" s="57">
        <f>IF(V$14=1,'Inputs (2)'!V72,AVERAGE(U24+U29,V24+V29)*Inputs!V$276/4)</f>
        <v>1202.548</v>
      </c>
      <c r="W93" s="57">
        <f>IF(W$14=1,'Inputs (2)'!W72,AVERAGE(V24+V29,W24+W29)*Inputs!W$276/4)</f>
        <v>654.687</v>
      </c>
      <c r="X93" s="77">
        <f>SUM(T93:W93)</f>
        <v>2940.62</v>
      </c>
      <c r="Y93" s="57">
        <f>IF(Y$14=1,'Inputs (2)'!Y72,AVERAGE(W24+W29,Y24+Y29)*Inputs!Y$276/4)</f>
        <v>1071.412</v>
      </c>
      <c r="Z93" s="57">
        <f>IF(Z$14=1,'Inputs (2)'!Z72,AVERAGE(Y24+Y29,Z24+Z29)*Inputs!Z$276/4)</f>
        <v>1368.744</v>
      </c>
      <c r="AA93" s="57">
        <f>IF(AA$14=1,'Inputs (2)'!AA72,AVERAGE(Z24+Z29,AA24+AA29)*Inputs!AA$276/4)</f>
        <v>993.66</v>
      </c>
      <c r="AB93" s="57">
        <f>IF(AB$14=1,'Inputs (2)'!AB72,AVERAGE(AA24+AA29,AB24+AB29)*Inputs!AB$276/4)</f>
        <v>1845.089</v>
      </c>
      <c r="AC93" s="77">
        <f>SUM(Y93:AB93)</f>
        <v>5278.905</v>
      </c>
      <c r="AD93" s="57">
        <f>IF(AD$14=1,'Inputs (2)'!AD72,AVERAGE(AB24+AB29,AD24+AD29)*Inputs!AD$276/4)</f>
        <v>935.105</v>
      </c>
      <c r="AE93" s="57">
        <f>IF(AE$14=1,'Inputs (2)'!AE72,AVERAGE(AD24+AD29,AE24+AE29)*Inputs!AE$276/4)</f>
        <v>796.562</v>
      </c>
      <c r="AF93" s="57">
        <f>IF(AF$14=1,'Inputs (2)'!AF72,AVERAGE(AE24+AE29,AF24+AF29)*Inputs!AF$276/4)</f>
        <v>1142.261</v>
      </c>
      <c r="AG93" s="57">
        <f>IF(AG$14=1,'Inputs (2)'!AG72,AVERAGE(AF24+AF29,AG24+AG29)*Inputs!AG$276/4)</f>
        <v>1629.452</v>
      </c>
      <c r="AH93" s="77">
        <f>SUM(AD93:AG93)</f>
        <v>4503.38</v>
      </c>
      <c r="AI93" s="57">
        <f>IF(AI$14=1,'Inputs (2)'!AI72,AVERAGE(AG24+AG29,AI24+AI29)*Inputs!AI$276/4)</f>
        <v>1273.312</v>
      </c>
      <c r="AJ93" s="57">
        <f>IF(AJ$14=1,'Inputs (2)'!AJ72,AVERAGE(AI24+AI29,AJ24+AJ29)*Inputs!AJ$276/4)</f>
        <v>1398.307</v>
      </c>
      <c r="AK93" s="57">
        <f>IF(AK$14=1,'Inputs (2)'!AK72,AVERAGE(AJ24+AJ29,AK24+AK29)*Inputs!AK$276/4)</f>
        <v>0</v>
      </c>
      <c r="AL93" s="57">
        <f>IF(AL$14=1,'Inputs (2)'!AL72,AVERAGE(AK24+AK29,AL24+AL29)*Inputs!AL$276/4)</f>
        <v>0</v>
      </c>
      <c r="AM93" s="77">
        <f>SUM(AI93:AL93)</f>
        <v>2671.619</v>
      </c>
      <c r="AN93" s="57">
        <f>IF(AN$14=1,'Inputs (2)'!AN72,AVERAGE(AL24+AL29,AN24+AN29)*Inputs!AN$276/4)</f>
        <v>0</v>
      </c>
      <c r="AO93" s="57">
        <f>IF(AO$14=1,'Inputs (2)'!AO72,AVERAGE(AN24+AN29,AO24+AO29)*Inputs!AO$276/4)</f>
        <v>0</v>
      </c>
      <c r="AP93" s="57">
        <f>IF(AP$14=1,'Inputs (2)'!AP72,AVERAGE(AO24+AO29,AP24+AP29)*Inputs!AP$276/4)</f>
        <v>0</v>
      </c>
      <c r="AQ93" s="57">
        <f>IF(AQ$14=1,'Inputs (2)'!AQ72,AVERAGE(AP24+AP29,AQ24+AQ29)*Inputs!AQ$276/4)</f>
        <v>0</v>
      </c>
      <c r="AR93" s="77">
        <f>SUM(AN93:AQ93)</f>
        <v>0</v>
      </c>
      <c r="AS93" s="57">
        <f>IF(AS$14=1,'Inputs (2)'!AS72,AVERAGE(AQ24+AQ29,AS24+AS29)*Inputs!AS$276/4)</f>
        <v>0</v>
      </c>
      <c r="AT93" s="57">
        <f>IF(AT$14=1,'Inputs (2)'!AT72,AVERAGE(AS24+AS29,AT24+AT29)*Inputs!AT$276/4)</f>
        <v>0</v>
      </c>
      <c r="AU93" s="57">
        <f>IF(AU$14=1,'Inputs (2)'!AU72,AVERAGE(AT24+AT29,AU24+AU29)*Inputs!AU$276/4)</f>
        <v>0</v>
      </c>
      <c r="AV93" s="57">
        <f>IF(AV$14=1,'Inputs (2)'!AV72,AVERAGE(AU24+AU29,AV24+AV29)*Inputs!AV$276/4)</f>
        <v>0</v>
      </c>
      <c r="AW93" s="77">
        <f>SUM(AS93:AV93)</f>
        <v>0</v>
      </c>
      <c r="AX93" s="57">
        <f>IF(AX$14=1,'Inputs (2)'!AX72,AVERAGE(AV24+AV29,AX24+AX29)*Inputs!AX$276/4)</f>
        <v>0</v>
      </c>
      <c r="AY93" s="57">
        <f>IF(AY$14=1,'Inputs (2)'!AY72,AVERAGE(AX24+AX29,AY24+AY29)*Inputs!AY$276/4)</f>
        <v>0</v>
      </c>
      <c r="AZ93" s="57">
        <f>IF(AZ$14=1,'Inputs (2)'!AZ72,AVERAGE(AY24+AY29,AZ24+AZ29)*Inputs!AZ$276/4)</f>
        <v>0</v>
      </c>
      <c r="BA93" s="57">
        <f>IF(BA$14=1,'Inputs (2)'!BA72,AVERAGE(AZ24+AZ29,BA24+BA29)*Inputs!BA$276/4)</f>
        <v>0</v>
      </c>
      <c r="BB93" s="77">
        <f>SUM(AX93:BA93)</f>
        <v>0</v>
      </c>
      <c r="BC93" s="57">
        <f>IF(BC$14=1,'Inputs (2)'!BC72,AVERAGE(BA24+BA29,BC24+BC29)*Inputs!BC$276/4)</f>
        <v>0</v>
      </c>
      <c r="BD93" s="57">
        <f>IF(BD$14=1,'Inputs (2)'!BD72,AVERAGE(BC24+BC29,BD24+BD29)*Inputs!BD$276/4)</f>
        <v>0</v>
      </c>
      <c r="BE93" s="57">
        <f>IF(BE$14=1,'Inputs (2)'!BE72,AVERAGE(BD24+BD29,BE24+BE29)*Inputs!BE$276/4)</f>
        <v>0</v>
      </c>
      <c r="BF93" s="57">
        <f>IF(BF$14=1,'Inputs (2)'!BF72,AVERAGE(BE24+BE29,BF24+BF29)*Inputs!BF$276/4)</f>
        <v>0</v>
      </c>
      <c r="BG93" s="77">
        <f>SUM(BC93:BF93)</f>
        <v>0</v>
      </c>
    </row>
    <row r="94" hidden="1" outlineLevel="1">
      <c r="C94" s="61" t="inlineStr">
        <is>
          <t>Receitas Fin. de Recursos Garantidores de Prov. Técnicas</t>
        </is>
      </c>
      <c r="D94" s="62" t="inlineStr">
        <is>
          <t>Income from Guaranteeing Assets</t>
        </is>
      </c>
      <c r="E94" s="57">
        <f>'Inputs (2)'!E73</f>
        <v>0</v>
      </c>
      <c r="F94" s="57">
        <f>IF(F$14=1,'Inputs (2)'!F73,E94)</f>
        <v>0</v>
      </c>
      <c r="G94" s="57">
        <f>IF(G$14=1,'Inputs (2)'!G73,F94)</f>
        <v>0</v>
      </c>
      <c r="H94" s="57">
        <f>IF(H$14=1,'Inputs (2)'!H73,G94)</f>
        <v>0</v>
      </c>
      <c r="I94" s="77">
        <f>SUM(E94:H94)</f>
        <v>0</v>
      </c>
      <c r="J94" s="57">
        <f>IF(J$14=1,'Inputs (2)'!J73,H94)</f>
        <v>0</v>
      </c>
      <c r="K94" s="57">
        <f>IF(K$14=1,'Inputs (2)'!K73,J94)</f>
        <v>0</v>
      </c>
      <c r="L94" s="57">
        <f>IF(L$14=1,'Inputs (2)'!L73,K94)</f>
        <v>0</v>
      </c>
      <c r="M94" s="57">
        <f>IF(M$14=1,'Inputs (2)'!M73,L94)</f>
        <v>0</v>
      </c>
      <c r="N94" s="77">
        <f>SUM(J94:M94)</f>
        <v>0</v>
      </c>
      <c r="O94" s="57">
        <f>IF(O$14=1,'Inputs (2)'!O73,M94)</f>
        <v>0</v>
      </c>
      <c r="P94" s="57">
        <f>IF(P$14=1,'Inputs (2)'!P73,O94)</f>
        <v>0</v>
      </c>
      <c r="Q94" s="57">
        <f>IF(Q$14=1,'Inputs (2)'!Q73,P94)</f>
        <v>0</v>
      </c>
      <c r="R94" s="57">
        <f>IF(R$14=1,'Inputs (2)'!R73,Q94)</f>
        <v>0</v>
      </c>
      <c r="S94" s="77">
        <f>SUM(O94:R94)</f>
        <v>0</v>
      </c>
      <c r="T94" s="57">
        <f>IF(T$14=1,'Inputs (2)'!T73,R94)</f>
        <v>0</v>
      </c>
      <c r="U94" s="57">
        <f>IF(U$14=1,'Inputs (2)'!U73,T94)</f>
        <v>0</v>
      </c>
      <c r="V94" s="57">
        <f>IF(V$14=1,'Inputs (2)'!V73,U94)</f>
        <v>0</v>
      </c>
      <c r="W94" s="57">
        <f>IF(W$14=1,'Inputs (2)'!W73,V94)</f>
        <v>0</v>
      </c>
      <c r="X94" s="77">
        <f>SUM(T94:W94)</f>
        <v>0</v>
      </c>
      <c r="Y94" s="57">
        <f>IF(Y$14=1,'Inputs (2)'!Y73,W94)</f>
        <v>0</v>
      </c>
      <c r="Z94" s="57">
        <f>IF(Z$14=1,'Inputs (2)'!Z73,Y94)</f>
        <v>0</v>
      </c>
      <c r="AA94" s="57">
        <f>IF(AA$14=1,'Inputs (2)'!AA73,Z94)</f>
        <v>0</v>
      </c>
      <c r="AB94" s="57">
        <f>IF(AB$14=1,'Inputs (2)'!AB73,AA94)</f>
        <v>0</v>
      </c>
      <c r="AC94" s="77">
        <f>SUM(Y94:AB94)</f>
        <v>0</v>
      </c>
      <c r="AD94" s="57">
        <f>IF(AD$14=1,'Inputs (2)'!AD73,AB94)</f>
        <v>0</v>
      </c>
      <c r="AE94" s="57">
        <f>IF(AE$14=1,'Inputs (2)'!AE73,AD94)</f>
        <v>0</v>
      </c>
      <c r="AF94" s="57">
        <f>IF(AF$14=1,'Inputs (2)'!AF73,AE94)</f>
        <v>0</v>
      </c>
      <c r="AG94" s="57">
        <f>IF(AG$14=1,'Inputs (2)'!AG73,AF94)</f>
        <v>0</v>
      </c>
      <c r="AH94" s="77">
        <f>SUM(AD94:AG94)</f>
        <v>0</v>
      </c>
      <c r="AI94" s="57">
        <f>IF(AI$14=1,'Inputs (2)'!AI73,AG94)</f>
        <v>0</v>
      </c>
      <c r="AJ94" s="57">
        <f>IF(AJ$14=1,'Inputs (2)'!AJ73,AI94)</f>
        <v>0</v>
      </c>
      <c r="AK94" s="57">
        <f>IF(AK$14=1,'Inputs (2)'!AK73,AJ94)</f>
        <v>0</v>
      </c>
      <c r="AL94" s="57">
        <f>IF(AL$14=1,'Inputs (2)'!AL73,AK94)</f>
        <v>0</v>
      </c>
      <c r="AM94" s="77">
        <f>SUM(AI94:AL94)</f>
        <v>0</v>
      </c>
      <c r="AN94" s="57">
        <f>IF(AN$14=1,'Inputs (2)'!AN73,AL94)</f>
        <v>0</v>
      </c>
      <c r="AO94" s="57">
        <f>IF(AO$14=1,'Inputs (2)'!AO73,AN94)</f>
        <v>0</v>
      </c>
      <c r="AP94" s="57">
        <f>IF(AP$14=1,'Inputs (2)'!AP73,AO94)</f>
        <v>0</v>
      </c>
      <c r="AQ94" s="57">
        <f>IF(AQ$14=1,'Inputs (2)'!AQ73,AP94)</f>
        <v>0</v>
      </c>
      <c r="AR94" s="77">
        <f>SUM(AN94:AQ94)</f>
        <v>0</v>
      </c>
      <c r="AS94" s="57">
        <f>IF(AS$14=1,'Inputs (2)'!AS73,AQ94)</f>
        <v>0</v>
      </c>
      <c r="AT94" s="57">
        <f>IF(AT$14=1,'Inputs (2)'!AT73,AS94)</f>
        <v>0</v>
      </c>
      <c r="AU94" s="57">
        <f>IF(AU$14=1,'Inputs (2)'!AU73,AT94)</f>
        <v>0</v>
      </c>
      <c r="AV94" s="57">
        <f>IF(AV$14=1,'Inputs (2)'!AV73,AU94)</f>
        <v>0</v>
      </c>
      <c r="AW94" s="77">
        <f>SUM(AS94:AV94)</f>
        <v>0</v>
      </c>
      <c r="AX94" s="57">
        <f>IF(AX$14=1,'Inputs (2)'!AX73,AV94)</f>
        <v>0</v>
      </c>
      <c r="AY94" s="57">
        <f>IF(AY$14=1,'Inputs (2)'!AY73,AX94)</f>
        <v>0</v>
      </c>
      <c r="AZ94" s="57">
        <f>IF(AZ$14=1,'Inputs (2)'!AZ73,AY94)</f>
        <v>0</v>
      </c>
      <c r="BA94" s="57">
        <f>IF(BA$14=1,'Inputs (2)'!BA73,AZ94)</f>
        <v>0</v>
      </c>
      <c r="BB94" s="77">
        <f>SUM(AX94:BA94)</f>
        <v>0</v>
      </c>
      <c r="BC94" s="57">
        <f>IF(BC$14=1,'Inputs (2)'!BC73,BA94)</f>
        <v>0</v>
      </c>
      <c r="BD94" s="57">
        <f>IF(BD$14=1,'Inputs (2)'!BD73,BC94)</f>
        <v>0</v>
      </c>
      <c r="BE94" s="57">
        <f>IF(BE$14=1,'Inputs (2)'!BE73,BD94)</f>
        <v>0</v>
      </c>
      <c r="BF94" s="57">
        <f>IF(BF$14=1,'Inputs (2)'!BF73,BE94)</f>
        <v>0</v>
      </c>
      <c r="BG94" s="77">
        <f>SUM(BC94:BF94)</f>
        <v>0</v>
      </c>
    </row>
    <row r="95" hidden="1" outlineLevel="1">
      <c r="C95" s="61" t="inlineStr">
        <is>
          <t>Resultado das Aplicações Interfinanceiras de Liquidez</t>
        </is>
      </c>
      <c r="D95" s="62" t="inlineStr">
        <is>
          <t>Interbank Investments Result</t>
        </is>
      </c>
      <c r="E95" s="57">
        <f>'Inputs (2)'!E74</f>
        <v>0</v>
      </c>
      <c r="F95" s="57">
        <f>IF(F$14=1,'Inputs (2)'!F74,AVERAGE(E19,F19)*Inputs!F$262)</f>
        <v>0</v>
      </c>
      <c r="G95" s="57">
        <f>IF(G$14=1,'Inputs (2)'!G74,AVERAGE(F19,G19)*Inputs!G$262)</f>
        <v>0</v>
      </c>
      <c r="H95" s="57">
        <f>IF(H$14=1,'Inputs (2)'!H74,AVERAGE(G19,H19)*Inputs!H$262)</f>
        <v>0</v>
      </c>
      <c r="I95" s="77">
        <f>SUM(E95:H95)</f>
        <v>0</v>
      </c>
      <c r="J95" s="57">
        <f>IF(J$14=1,'Inputs (2)'!J74,AVERAGE(H19,J19)*Inputs!J$262)</f>
        <v>0</v>
      </c>
      <c r="K95" s="57">
        <f>IF(K$14=1,'Inputs (2)'!K74,AVERAGE(J19,K19)*Inputs!K$262)</f>
        <v>0</v>
      </c>
      <c r="L95" s="57">
        <f>IF(L$14=1,'Inputs (2)'!L74,AVERAGE(K19,L19)*Inputs!L$262)</f>
        <v>0</v>
      </c>
      <c r="M95" s="57">
        <f>IF(M$14=1,'Inputs (2)'!M74,AVERAGE(L19,M19)*Inputs!M$262)</f>
        <v>0</v>
      </c>
      <c r="N95" s="77">
        <f>SUM(J95:M95)</f>
        <v>0</v>
      </c>
      <c r="O95" s="57">
        <f>IF(O$14=1,'Inputs (2)'!O74,AVERAGE(M19,O19)*Inputs!O$262)</f>
        <v>0.645</v>
      </c>
      <c r="P95" s="57">
        <f>IF(P$14=1,'Inputs (2)'!P74,AVERAGE(O19,P19)*Inputs!P$262)</f>
        <v>0</v>
      </c>
      <c r="Q95" s="57">
        <f>IF(Q$14=1,'Inputs (2)'!Q74,AVERAGE(P19,Q19)*Inputs!Q$262)</f>
        <v>0</v>
      </c>
      <c r="R95" s="57">
        <f>IF(R$14=1,'Inputs (2)'!R74,AVERAGE(Q19,R19)*Inputs!R$262)</f>
        <v>0</v>
      </c>
      <c r="S95" s="77">
        <f>SUM(O95:R95)</f>
        <v>0.645</v>
      </c>
      <c r="T95" s="57">
        <f>IF(T$14=1,'Inputs (2)'!T74,AVERAGE(R19,T19)*Inputs!T$262)</f>
        <v>0</v>
      </c>
      <c r="U95" s="57">
        <f>IF(U$14=1,'Inputs (2)'!U74,AVERAGE(T19,U19)*Inputs!U$262)</f>
        <v>0</v>
      </c>
      <c r="V95" s="57">
        <f>IF(V$14=1,'Inputs (2)'!V74,AVERAGE(U19,V19)*Inputs!V$262)</f>
        <v>0</v>
      </c>
      <c r="W95" s="57">
        <f>IF(W$14=1,'Inputs (2)'!W74,AVERAGE(V19,W19)*Inputs!W$262)</f>
        <v>0</v>
      </c>
      <c r="X95" s="77">
        <f>SUM(T95:W95)</f>
        <v>0</v>
      </c>
      <c r="Y95" s="57">
        <f>IF(Y$14=1,'Inputs (2)'!Y74,AVERAGE(W19,Y19)*Inputs!Y$262)</f>
        <v>0</v>
      </c>
      <c r="Z95" s="57">
        <f>IF(Z$14=1,'Inputs (2)'!Z74,AVERAGE(Y19,Z19)*Inputs!Z$262)</f>
        <v>0</v>
      </c>
      <c r="AA95" s="57">
        <f>IF(AA$14=1,'Inputs (2)'!AA74,AVERAGE(Z19,AA19)*Inputs!AA$262)</f>
        <v>0</v>
      </c>
      <c r="AB95" s="57">
        <f>IF(AB$14=1,'Inputs (2)'!AB74,AVERAGE(AA19,AB19)*Inputs!AB$262)</f>
        <v>0</v>
      </c>
      <c r="AC95" s="77">
        <f>SUM(Y95:AB95)</f>
        <v>0</v>
      </c>
      <c r="AD95" s="57">
        <f>IF(AD$14=1,'Inputs (2)'!AD74,AVERAGE(AB19,AD19)*Inputs!AD$262)</f>
        <v>0</v>
      </c>
      <c r="AE95" s="57">
        <f>IF(AE$14=1,'Inputs (2)'!AE74,AVERAGE(AD19,AE19)*Inputs!AE$262)</f>
        <v>0</v>
      </c>
      <c r="AF95" s="57">
        <f>IF(AF$14=1,'Inputs (2)'!AF74,AVERAGE(AE19,AF19)*Inputs!AF$262)</f>
        <v>0</v>
      </c>
      <c r="AG95" s="57">
        <f>IF(AG$14=1,'Inputs (2)'!AG74,AVERAGE(AF19,AG19)*Inputs!AG$262)</f>
        <v>0</v>
      </c>
      <c r="AH95" s="77">
        <f>SUM(AD95:AG95)</f>
        <v>0</v>
      </c>
      <c r="AI95" s="57">
        <f>IF(AI$14=1,'Inputs (2)'!AI74,AVERAGE(AG19,AI19)*Inputs!AI$262)</f>
        <v>0</v>
      </c>
      <c r="AJ95" s="57">
        <f>IF(AJ$14=1,'Inputs (2)'!AJ74,AVERAGE(AI19,AJ19)*Inputs!AJ$262)</f>
        <v>0</v>
      </c>
      <c r="AK95" s="57">
        <f>IF(AK$14=1,'Inputs (2)'!AK74,AVERAGE(AJ19,AK19)*Inputs!AK$262)</f>
        <v>0</v>
      </c>
      <c r="AL95" s="57">
        <f>IF(AL$14=1,'Inputs (2)'!AL74,AVERAGE(AK19,AL19)*Inputs!AL$262)</f>
        <v>0</v>
      </c>
      <c r="AM95" s="77">
        <f>SUM(AI95:AL95)</f>
        <v>0</v>
      </c>
      <c r="AN95" s="57">
        <f>IF(AN$14=1,'Inputs (2)'!AN74,AVERAGE(AL19,AN19)*Inputs!AN$262)</f>
        <v>0</v>
      </c>
      <c r="AO95" s="57">
        <f>IF(AO$14=1,'Inputs (2)'!AO74,AVERAGE(AN19,AO19)*Inputs!AO$262)</f>
        <v>0</v>
      </c>
      <c r="AP95" s="57">
        <f>IF(AP$14=1,'Inputs (2)'!AP74,AVERAGE(AO19,AP19)*Inputs!AP$262)</f>
        <v>0</v>
      </c>
      <c r="AQ95" s="57">
        <f>IF(AQ$14=1,'Inputs (2)'!AQ74,AVERAGE(AP19,AQ19)*Inputs!AQ$262)</f>
        <v>0</v>
      </c>
      <c r="AR95" s="77">
        <f>SUM(AN95:AQ95)</f>
        <v>0</v>
      </c>
      <c r="AS95" s="57">
        <f>IF(AS$14=1,'Inputs (2)'!AS74,AVERAGE(AQ19,AS19)*Inputs!AS$262)</f>
        <v>0</v>
      </c>
      <c r="AT95" s="57">
        <f>IF(AT$14=1,'Inputs (2)'!AT74,AVERAGE(AS19,AT19)*Inputs!AT$262)</f>
        <v>0</v>
      </c>
      <c r="AU95" s="57">
        <f>IF(AU$14=1,'Inputs (2)'!AU74,AVERAGE(AT19,AU19)*Inputs!AU$262)</f>
        <v>0</v>
      </c>
      <c r="AV95" s="57">
        <f>IF(AV$14=1,'Inputs (2)'!AV74,AVERAGE(AU19,AV19)*Inputs!AV$262)</f>
        <v>0</v>
      </c>
      <c r="AW95" s="77">
        <f>SUM(AS95:AV95)</f>
        <v>0</v>
      </c>
      <c r="AX95" s="57">
        <f>IF(AX$14=1,'Inputs (2)'!AX74,AVERAGE(AV19,AX19)*Inputs!AX$262)</f>
        <v>0</v>
      </c>
      <c r="AY95" s="57">
        <f>IF(AY$14=1,'Inputs (2)'!AY74,AVERAGE(AX19,AY19)*Inputs!AY$262)</f>
        <v>0</v>
      </c>
      <c r="AZ95" s="57">
        <f>IF(AZ$14=1,'Inputs (2)'!AZ74,AVERAGE(AY19,AZ19)*Inputs!AZ$262)</f>
        <v>0</v>
      </c>
      <c r="BA95" s="57">
        <f>IF(BA$14=1,'Inputs (2)'!BA74,AVERAGE(AZ19,BA19)*Inputs!BA$262)</f>
        <v>0</v>
      </c>
      <c r="BB95" s="77">
        <f>SUM(AX95:BA95)</f>
        <v>0</v>
      </c>
      <c r="BC95" s="57">
        <f>IF(BC$14=1,'Inputs (2)'!BC74,AVERAGE(BA19,BC19)*Inputs!BC$262)</f>
        <v>0</v>
      </c>
      <c r="BD95" s="57">
        <f>IF(BD$14=1,'Inputs (2)'!BD74,AVERAGE(BC19,BD19)*Inputs!BD$262)</f>
        <v>0</v>
      </c>
      <c r="BE95" s="57">
        <f>IF(BE$14=1,'Inputs (2)'!BE74,AVERAGE(BD19,BE19)*Inputs!BE$262)</f>
        <v>0</v>
      </c>
      <c r="BF95" s="57">
        <f>IF(BF$14=1,'Inputs (2)'!BF74,AVERAGE(BE19,BF19)*Inputs!BF$262)</f>
        <v>0</v>
      </c>
      <c r="BG95" s="77">
        <f>SUM(BC95:BF95)</f>
        <v>0</v>
      </c>
    </row>
    <row r="96" collapsed="1">
      <c r="C96" s="83" t="inlineStr">
        <is>
          <t>(Despesas da Intermediação Financeira)</t>
        </is>
      </c>
      <c r="D96" s="84" t="inlineStr">
        <is>
          <t>(Intermediation Expenses)</t>
        </is>
      </c>
      <c r="E96" s="85">
        <f>E97+E98+E99+E100</f>
        <v>-3855.61</v>
      </c>
      <c r="F96" s="85">
        <f>F97+F98+F99+F100</f>
        <v>-1471.534</v>
      </c>
      <c r="G96" s="85">
        <f>G97+G98+G99+G100</f>
        <v>-1021.38</v>
      </c>
      <c r="H96" s="85">
        <f>H97+H98+H99+H100</f>
        <v>816.1</v>
      </c>
      <c r="I96" s="60">
        <f>SUM(E96:H96)</f>
        <v>-5532.424</v>
      </c>
      <c r="J96" s="85">
        <f>J97+J98+J99+J100</f>
        <v>-1762.983</v>
      </c>
      <c r="K96" s="85">
        <f>K97+K98+K99+K100</f>
        <v>1611.746</v>
      </c>
      <c r="L96" s="85">
        <f>L97+L98+L99+L100</f>
        <v>-1696.662</v>
      </c>
      <c r="M96" s="85">
        <f>M97+M98+M99+M100</f>
        <v>-1104.078</v>
      </c>
      <c r="N96" s="60">
        <f>SUM(J96:M96)</f>
        <v>-2951.977</v>
      </c>
      <c r="O96" s="85">
        <f>O97+O98+O99+O100</f>
        <v>1670</v>
      </c>
      <c r="P96" s="85">
        <f>P97+P98+P99+P100</f>
        <v>-2105.879</v>
      </c>
      <c r="Q96" s="85">
        <f>Q97+Q98+Q99+Q100</f>
        <v>-1429.945</v>
      </c>
      <c r="R96" s="85">
        <f>R97+R98+R99+R100</f>
        <v>-511.806</v>
      </c>
      <c r="S96" s="60">
        <f>SUM(O96:R96)</f>
        <v>-2377.63</v>
      </c>
      <c r="T96" s="85">
        <f>T97+T98+T99+T100</f>
        <v>-841.257</v>
      </c>
      <c r="U96" s="85">
        <f>U97+U98+U99+U100</f>
        <v>-452.432</v>
      </c>
      <c r="V96" s="85">
        <f>V97+V98+V99+V100</f>
        <v>-1847.983</v>
      </c>
      <c r="W96" s="85">
        <f>W97+W98+W99+W100</f>
        <v>-621.05</v>
      </c>
      <c r="X96" s="60">
        <f>SUM(T96:W96)</f>
        <v>-3762.722</v>
      </c>
      <c r="Y96" s="85">
        <f>Y97+Y98+Y99+Y100</f>
        <v>-1631.131</v>
      </c>
      <c r="Z96" s="85">
        <f>Z97+Z98+Z99+Z100</f>
        <v>-2588.081</v>
      </c>
      <c r="AA96" s="85">
        <f>AA97+AA98+AA99+AA100</f>
        <v>-845.068</v>
      </c>
      <c r="AB96" s="85">
        <f>AB97+AB98+AB99+AB100</f>
        <v>-3293.969</v>
      </c>
      <c r="AC96" s="60">
        <f>SUM(Y96:AB96)</f>
        <v>-8358.249</v>
      </c>
      <c r="AD96" s="85">
        <f>AD97+AD98+AD99+AD100</f>
        <v>-1234.525</v>
      </c>
      <c r="AE96" s="85">
        <f>AE97+AE98+AE99+AE100</f>
        <v>-1289.918</v>
      </c>
      <c r="AF96" s="85">
        <f>AF97+AF98+AF99+AF100</f>
        <v>-1463.028</v>
      </c>
      <c r="AG96" s="85">
        <f>AG97+AG98+AG99+AG100</f>
        <v>-1516.016</v>
      </c>
      <c r="AH96" s="60">
        <f>SUM(AD96:AG96)</f>
        <v>-5503.487</v>
      </c>
      <c r="AI96" s="85">
        <f>AI97+AI98+AI99+AI100</f>
        <v>-1451.094</v>
      </c>
      <c r="AJ96" s="85">
        <f>AJ97+AJ98+AJ99+AJ100</f>
        <v>-1466.625</v>
      </c>
      <c r="AK96" s="85">
        <f>AK97+AK98+AK99+AK100</f>
        <v>-73.0974525</v>
      </c>
      <c r="AL96" s="85">
        <f>AL97+AL98+AL99+AL100</f>
        <v>-73.0974525</v>
      </c>
      <c r="AM96" s="60">
        <f>SUM(AI96:AL96)</f>
        <v>-3063.913905</v>
      </c>
      <c r="AN96" s="85">
        <f>AN97+AN98+AN99+AN100</f>
        <v>-73.0974525</v>
      </c>
      <c r="AO96" s="85">
        <f>AO97+AO98+AO99+AO100</f>
        <v>-73.0974525</v>
      </c>
      <c r="AP96" s="85">
        <f>AP97+AP98+AP99+AP100</f>
        <v>-73.0974525</v>
      </c>
      <c r="AQ96" s="85">
        <f>AQ97+AQ98+AQ99+AQ100</f>
        <v>-73.0974525</v>
      </c>
      <c r="AR96" s="60">
        <f>SUM(AN96:AQ96)</f>
        <v>-292.38981</v>
      </c>
      <c r="AS96" s="85">
        <f>AS97+AS98+AS99+AS100</f>
        <v>-73.0974525</v>
      </c>
      <c r="AT96" s="85">
        <f>AT97+AT98+AT99+AT100</f>
        <v>-73.0974525</v>
      </c>
      <c r="AU96" s="85">
        <f>AU97+AU98+AU99+AU100</f>
        <v>-73.0974525</v>
      </c>
      <c r="AV96" s="85">
        <f>AV97+AV98+AV99+AV100</f>
        <v>-73.0974525</v>
      </c>
      <c r="AW96" s="60">
        <f>SUM(AS96:AV96)</f>
        <v>-292.38981</v>
      </c>
      <c r="AX96" s="85">
        <f>AX97+AX98+AX99+AX100</f>
        <v>-73.0974525</v>
      </c>
      <c r="AY96" s="85">
        <f>AY97+AY98+AY99+AY100</f>
        <v>-73.0974525</v>
      </c>
      <c r="AZ96" s="85">
        <f>AZ97+AZ98+AZ99+AZ100</f>
        <v>-73.0974525</v>
      </c>
      <c r="BA96" s="85">
        <f>BA97+BA98+BA99+BA100</f>
        <v>-73.0974525</v>
      </c>
      <c r="BB96" s="60">
        <f>SUM(AX96:BA96)</f>
        <v>-292.38981</v>
      </c>
      <c r="BC96" s="85">
        <f>BC97+BC98+BC99+BC100</f>
        <v>-73.0974525</v>
      </c>
      <c r="BD96" s="85">
        <f>BD97+BD98+BD99+BD100</f>
        <v>-73.0974525</v>
      </c>
      <c r="BE96" s="85">
        <f>BE97+BE98+BE99+BE100</f>
        <v>-73.0974525</v>
      </c>
      <c r="BF96" s="85">
        <f>BF97+BF98+BF99+BF100</f>
        <v>-73.0974525</v>
      </c>
      <c r="BG96" s="60">
        <f>SUM(BC96:BF96)</f>
        <v>-292.38981</v>
      </c>
    </row>
    <row r="97" hidden="1" outlineLevel="1">
      <c r="C97" s="61" t="inlineStr">
        <is>
          <t>(Depósitos e Captações no Mercado Aberto)</t>
        </is>
      </c>
      <c r="D97" s="62" t="inlineStr">
        <is>
          <t>(Deposits and Open Market)</t>
        </is>
      </c>
      <c r="E97" s="57">
        <f>'Inputs (2)'!E76</f>
        <v>-390.078</v>
      </c>
      <c r="F97" s="57">
        <f>IF(F$14=1,'Inputs (2)'!F76,-(AVERAGE(E44,F44)+E50)*Inputs!F$280/4)</f>
        <v>-187.43</v>
      </c>
      <c r="G97" s="57">
        <f>IF(G$14=1,'Inputs (2)'!G76,-(AVERAGE(F44,G44)+F50)*Inputs!G$280/4)</f>
        <v>-128.158</v>
      </c>
      <c r="H97" s="57">
        <f>IF(H$14=1,'Inputs (2)'!H76,-(AVERAGE(G44,H44)+G50)*Inputs!H$280/4)</f>
        <v>-135.843</v>
      </c>
      <c r="I97" s="77">
        <f>SUM(E97:H97)</f>
        <v>-841.509</v>
      </c>
      <c r="J97" s="57">
        <f>IF(J$14=1,'Inputs (2)'!J76,-(AVERAGE(H44,J44)+H50)*Inputs!J$280/4)</f>
        <v>-189.311</v>
      </c>
      <c r="K97" s="57">
        <f>IF(K$14=1,'Inputs (2)'!K76,-(AVERAGE(J44,K44)+J50)*Inputs!K$280/4)</f>
        <v>-159.553</v>
      </c>
      <c r="L97" s="57">
        <f>IF(L$14=1,'Inputs (2)'!L76,-(AVERAGE(K44,L44)+K50)*Inputs!L$280/4)</f>
        <v>-329.202</v>
      </c>
      <c r="M97" s="57">
        <f>IF(M$14=1,'Inputs (2)'!M76,-(AVERAGE(L44,M44)+L50)*Inputs!M$280/4)</f>
        <v>-469.13</v>
      </c>
      <c r="N97" s="77">
        <f>SUM(J97:M97)</f>
        <v>-1147.196</v>
      </c>
      <c r="O97" s="57">
        <f>IF(O$14=1,'Inputs (2)'!O76,-(AVERAGE(M44,O44)+M50)*Inputs!O$280/4)</f>
        <v>-471.074</v>
      </c>
      <c r="P97" s="57">
        <f>IF(P$14=1,'Inputs (2)'!P76,-(AVERAGE(O44,P44)+O50)*Inputs!P$280/4)</f>
        <v>-781.035</v>
      </c>
      <c r="Q97" s="57">
        <f>IF(Q$14=1,'Inputs (2)'!Q76,-(AVERAGE(P44,Q44)+P50)*Inputs!Q$280/4)</f>
        <v>-858.045</v>
      </c>
      <c r="R97" s="57">
        <f>IF(R$14=1,'Inputs (2)'!R76,-(AVERAGE(Q44,R44)+Q50)*Inputs!R$280/4)</f>
        <v>-869.666</v>
      </c>
      <c r="S97" s="77">
        <f>SUM(O97:R97)</f>
        <v>-2979.82</v>
      </c>
      <c r="T97" s="57">
        <f>IF(T$14=1,'Inputs (2)'!T76,-(AVERAGE(R44,T44)+R50)*Inputs!T$280/4)</f>
        <v>-920.519</v>
      </c>
      <c r="U97" s="57">
        <f>IF(U$14=1,'Inputs (2)'!U76,-(AVERAGE(T44,U44)+T50)*Inputs!U$280/4)</f>
        <v>-852.999</v>
      </c>
      <c r="V97" s="57">
        <f>IF(V$14=1,'Inputs (2)'!V76,-(AVERAGE(U44,V44)+U50)*Inputs!V$280/4)</f>
        <v>-1021.629</v>
      </c>
      <c r="W97" s="57">
        <f>IF(W$14=1,'Inputs (2)'!W76,-(AVERAGE(V44,W44)+V50)*Inputs!W$280/4)</f>
        <v>-909.616</v>
      </c>
      <c r="X97" s="77">
        <f>SUM(T97:W97)</f>
        <v>-3704.763</v>
      </c>
      <c r="Y97" s="57">
        <f>IF(Y$14=1,'Inputs (2)'!Y76,-(AVERAGE(W44,Y44)+W50)*Inputs!Y$280/4)</f>
        <v>-1002.717</v>
      </c>
      <c r="Z97" s="57">
        <f>IF(Z$14=1,'Inputs (2)'!Z76,-(AVERAGE(Y44,Z44)+Y50)*Inputs!Z$280/4)</f>
        <v>-1052.707</v>
      </c>
      <c r="AA97" s="57">
        <f>IF(AA$14=1,'Inputs (2)'!AA76,-(AVERAGE(Z44,AA44)+Z50)*Inputs!AA$280/4)</f>
        <v>-989.5</v>
      </c>
      <c r="AB97" s="57">
        <f>IF(AB$14=1,'Inputs (2)'!AB76,-(AVERAGE(AA44,AB44)+AA50)*Inputs!AB$280/4)</f>
        <v>-1231.478</v>
      </c>
      <c r="AC97" s="77">
        <f>SUM(Y97:AB97)</f>
        <v>-4276.402</v>
      </c>
      <c r="AD97" s="57">
        <f>IF(AD$14=1,'Inputs (2)'!AD76,-(AVERAGE(AB44,AD44)+AB50)*Inputs!AD$280/4)</f>
        <v>-1102.322</v>
      </c>
      <c r="AE97" s="57">
        <f>IF(AE$14=1,'Inputs (2)'!AE76,-(AVERAGE(AD44,AE44)+AD50)*Inputs!AE$280/4)</f>
        <v>-1208.458</v>
      </c>
      <c r="AF97" s="57">
        <f>IF(AF$14=1,'Inputs (2)'!AF76,-(AVERAGE(AE44,AF44)+AE50)*Inputs!AF$280/4)</f>
        <v>-1266.366</v>
      </c>
      <c r="AG97" s="57">
        <f>IF(AG$14=1,'Inputs (2)'!AG76,-(AVERAGE(AF44,AG44)+AF50)*Inputs!AG$280/4)</f>
        <v>-1284.879</v>
      </c>
      <c r="AH97" s="77">
        <f>SUM(AD97:AG97)</f>
        <v>-4862.025</v>
      </c>
      <c r="AI97" s="57">
        <f>IF(AI$14=1,'Inputs (2)'!AI76,-(AVERAGE(AG44,AI44)+AG50)*Inputs!AI$280/4)</f>
        <v>-1232.596</v>
      </c>
      <c r="AJ97" s="57">
        <f>IF(AJ$14=1,'Inputs (2)'!AJ76,-(AVERAGE(AI44,AJ44)+AI50)*Inputs!AJ$280/4)</f>
        <v>-1224.818</v>
      </c>
      <c r="AK97" s="57">
        <f>IF(AK$14=1,'Inputs (2)'!AK76,-(AVERAGE(AJ44,AK44)+AJ50)*Inputs!AK$280/4)</f>
        <v>0</v>
      </c>
      <c r="AL97" s="57">
        <f>IF(AL$14=1,'Inputs (2)'!AL76,-(AVERAGE(AK44,AL44)+AK50)*Inputs!AL$280/4)</f>
        <v>0</v>
      </c>
      <c r="AM97" s="77">
        <f>SUM(AI97:AL97)</f>
        <v>-2457.414</v>
      </c>
      <c r="AN97" s="57">
        <f>IF(AN$14=1,'Inputs (2)'!AN76,-(AVERAGE(AL44,AN44)+AL50)*Inputs!AN$280/4)</f>
        <v>0</v>
      </c>
      <c r="AO97" s="57">
        <f>IF(AO$14=1,'Inputs (2)'!AO76,-(AVERAGE(AN44,AO44)+AN50)*Inputs!AO$280/4)</f>
        <v>0</v>
      </c>
      <c r="AP97" s="57">
        <f>IF(AP$14=1,'Inputs (2)'!AP76,-(AVERAGE(AO44,AP44)+AO50)*Inputs!AP$280/4)</f>
        <v>0</v>
      </c>
      <c r="AQ97" s="57">
        <f>IF(AQ$14=1,'Inputs (2)'!AQ76,-(AVERAGE(AP44,AQ44)+AP50)*Inputs!AQ$280/4)</f>
        <v>0</v>
      </c>
      <c r="AR97" s="77">
        <f>SUM(AN97:AQ97)</f>
        <v>0</v>
      </c>
      <c r="AS97" s="57">
        <f>IF(AS$14=1,'Inputs (2)'!AS76,-(AVERAGE(AQ44,AS44)+AQ50)*Inputs!AS$280/4)</f>
        <v>0</v>
      </c>
      <c r="AT97" s="57">
        <f>IF(AT$14=1,'Inputs (2)'!AT76,-(AVERAGE(AS44,AT44)+AS50)*Inputs!AT$280/4)</f>
        <v>0</v>
      </c>
      <c r="AU97" s="57">
        <f>IF(AU$14=1,'Inputs (2)'!AU76,-(AVERAGE(AT44,AU44)+AT50)*Inputs!AU$280/4)</f>
        <v>0</v>
      </c>
      <c r="AV97" s="57">
        <f>IF(AV$14=1,'Inputs (2)'!AV76,-(AVERAGE(AU44,AV44)+AU50)*Inputs!AV$280/4)</f>
        <v>0</v>
      </c>
      <c r="AW97" s="77">
        <f>SUM(AS97:AV97)</f>
        <v>0</v>
      </c>
      <c r="AX97" s="57">
        <f>IF(AX$14=1,'Inputs (2)'!AX76,-(AVERAGE(AV44,AX44)+AV50)*Inputs!AX$280/4)</f>
        <v>0</v>
      </c>
      <c r="AY97" s="57">
        <f>IF(AY$14=1,'Inputs (2)'!AY76,-(AVERAGE(AX44,AY44)+AX50)*Inputs!AY$280/4)</f>
        <v>0</v>
      </c>
      <c r="AZ97" s="57">
        <f>IF(AZ$14=1,'Inputs (2)'!AZ76,-(AVERAGE(AY44,AZ44)+AY50)*Inputs!AZ$280/4)</f>
        <v>0</v>
      </c>
      <c r="BA97" s="57">
        <f>IF(BA$14=1,'Inputs (2)'!BA76,-(AVERAGE(AZ44,BA44)+AZ50)*Inputs!BA$280/4)</f>
        <v>0</v>
      </c>
      <c r="BB97" s="77">
        <f>SUM(AX97:BA97)</f>
        <v>0</v>
      </c>
      <c r="BC97" s="57">
        <f>IF(BC$14=1,'Inputs (2)'!BC76,-(AVERAGE(BA44,BC44)+BA50)*Inputs!BC$280/4)</f>
        <v>0</v>
      </c>
      <c r="BD97" s="57">
        <f>IF(BD$14=1,'Inputs (2)'!BD76,-(AVERAGE(BC44,BD44)+BC50)*Inputs!BD$280/4)</f>
        <v>0</v>
      </c>
      <c r="BE97" s="57">
        <f>IF(BE$14=1,'Inputs (2)'!BE76,-(AVERAGE(BD44,BE44)+BD50)*Inputs!BE$280/4)</f>
        <v>0</v>
      </c>
      <c r="BF97" s="57">
        <f>IF(BF$14=1,'Inputs (2)'!BF76,-(AVERAGE(BE44,BF44)+BE50)*Inputs!BF$280/4)</f>
        <v>0</v>
      </c>
      <c r="BG97" s="77">
        <f>SUM(BC97:BF97)</f>
        <v>0</v>
      </c>
    </row>
    <row r="98" hidden="1" outlineLevel="1">
      <c r="C98" s="61" t="inlineStr">
        <is>
          <t>(Instrumentos de Dívida)</t>
        </is>
      </c>
      <c r="D98" s="62" t="inlineStr">
        <is>
          <t>(Debt Instruments)</t>
        </is>
      </c>
      <c r="E98" s="57">
        <f>'Inputs (2)'!E77</f>
        <v>0</v>
      </c>
      <c r="F98" s="57">
        <f>IF(F$14=1,'Inputs (2)'!F77,-AVERAGE(E54,F54)*(Inputs!F$280+0.01)/4)</f>
        <v>0</v>
      </c>
      <c r="G98" s="57">
        <f>IF(G$14=1,'Inputs (2)'!G77,-AVERAGE(F54,G54)*(Inputs!G$280+0.01)/4)</f>
        <v>0</v>
      </c>
      <c r="H98" s="57">
        <f>IF(H$14=1,'Inputs (2)'!H77,-AVERAGE(G54,H54)*(Inputs!H$280+0.01)/4)</f>
        <v>0</v>
      </c>
      <c r="I98" s="77">
        <f>SUM(E98:H98)</f>
        <v>0</v>
      </c>
      <c r="J98" s="57">
        <f>IF(J$14=1,'Inputs (2)'!J77,-AVERAGE(H54,J54)*(Inputs!J$280+0.01)/4)</f>
        <v>0</v>
      </c>
      <c r="K98" s="57">
        <f>IF(K$14=1,'Inputs (2)'!K77,-AVERAGE(J54,K54)*(Inputs!K$280+0.01)/4)</f>
        <v>0</v>
      </c>
      <c r="L98" s="57">
        <f>IF(L$14=1,'Inputs (2)'!L77,-AVERAGE(K54,L54)*(Inputs!L$280+0.01)/4)</f>
        <v>0</v>
      </c>
      <c r="M98" s="57">
        <f>IF(M$14=1,'Inputs (2)'!M77,-AVERAGE(L54,M54)*(Inputs!M$280+0.01)/4)</f>
        <v>0</v>
      </c>
      <c r="N98" s="77">
        <f>SUM(J98:M98)</f>
        <v>0</v>
      </c>
      <c r="O98" s="57">
        <f>IF(O$14=1,'Inputs (2)'!O77,-AVERAGE(M54,O54)*(Inputs!O$280+0.01)/4)</f>
        <v>0</v>
      </c>
      <c r="P98" s="57">
        <f>IF(P$14=1,'Inputs (2)'!P77,-AVERAGE(O54,P54)*(Inputs!P$280+0.01)/4)</f>
        <v>0</v>
      </c>
      <c r="Q98" s="57">
        <f>IF(Q$14=1,'Inputs (2)'!Q77,-AVERAGE(P54,Q54)*(Inputs!Q$280+0.01)/4)</f>
        <v>0</v>
      </c>
      <c r="R98" s="57">
        <f>IF(R$14=1,'Inputs (2)'!R77,-AVERAGE(Q54,R54)*(Inputs!R$280+0.01)/4)</f>
        <v>0</v>
      </c>
      <c r="S98" s="77">
        <f>SUM(O98:R98)</f>
        <v>0</v>
      </c>
      <c r="T98" s="57">
        <f>IF(T$14=1,'Inputs (2)'!T77,-AVERAGE(R54,T54)*(Inputs!T$280+0.01)/4)</f>
        <v>0</v>
      </c>
      <c r="U98" s="57">
        <f>IF(U$14=1,'Inputs (2)'!U77,-AVERAGE(T54,U54)*(Inputs!U$280+0.01)/4)</f>
        <v>0</v>
      </c>
      <c r="V98" s="57">
        <f>IF(V$14=1,'Inputs (2)'!V77,-AVERAGE(U54,V54)*(Inputs!V$280+0.01)/4)</f>
        <v>0</v>
      </c>
      <c r="W98" s="57">
        <f>IF(W$14=1,'Inputs (2)'!W77,-AVERAGE(V54,W54)*(Inputs!W$280+0.01)/4)</f>
        <v>0</v>
      </c>
      <c r="X98" s="77">
        <f>SUM(T98:W98)</f>
        <v>0</v>
      </c>
      <c r="Y98" s="57">
        <f>IF(Y$14=1,'Inputs (2)'!Y77,-AVERAGE(W54,Y54)*(Inputs!Y$280+0.01)/4)</f>
        <v>0</v>
      </c>
      <c r="Z98" s="57">
        <f>IF(Z$14=1,'Inputs (2)'!Z77,-AVERAGE(Y54,Z54)*(Inputs!Z$280+0.01)/4)</f>
        <v>0</v>
      </c>
      <c r="AA98" s="57">
        <f>IF(AA$14=1,'Inputs (2)'!AA77,-AVERAGE(Z54,AA54)*(Inputs!AA$280+0.01)/4)</f>
        <v>0</v>
      </c>
      <c r="AB98" s="57">
        <f>IF(AB$14=1,'Inputs (2)'!AB77,-AVERAGE(AA54,AB54)*(Inputs!AB$280+0.01)/4)</f>
        <v>0</v>
      </c>
      <c r="AC98" s="77">
        <f>SUM(Y98:AB98)</f>
        <v>0</v>
      </c>
      <c r="AD98" s="57">
        <f>IF(AD$14=1,'Inputs (2)'!AD77,-AVERAGE(AB54,AD54)*(Inputs!AD$280+0.01)/4)</f>
        <v>0</v>
      </c>
      <c r="AE98" s="57">
        <f>IF(AE$14=1,'Inputs (2)'!AE77,-AVERAGE(AD54,AE54)*(Inputs!AE$280+0.01)/4)</f>
        <v>0</v>
      </c>
      <c r="AF98" s="57">
        <f>IF(AF$14=1,'Inputs (2)'!AF77,-AVERAGE(AE54,AF54)*(Inputs!AF$280+0.01)/4)</f>
        <v>0</v>
      </c>
      <c r="AG98" s="57">
        <f>IF(AG$14=1,'Inputs (2)'!AG77,-AVERAGE(AF54,AG54)*(Inputs!AG$280+0.01)/4)</f>
        <v>0</v>
      </c>
      <c r="AH98" s="77">
        <f>SUM(AD98:AG98)</f>
        <v>0</v>
      </c>
      <c r="AI98" s="57">
        <f>IF(AI$14=1,'Inputs (2)'!AI77,-AVERAGE(AG54,AI54)*(Inputs!AI$280+0.01)/4)</f>
        <v>0</v>
      </c>
      <c r="AJ98" s="57">
        <f>IF(AJ$14=1,'Inputs (2)'!AJ77,-AVERAGE(AI54,AJ54)*(Inputs!AJ$280+0.01)/4)</f>
        <v>0</v>
      </c>
      <c r="AK98" s="57">
        <f>IF(AK$14=1,'Inputs (2)'!AK77,-AVERAGE(AJ54,AK54)*(Inputs!AK$280+0.01)/4)</f>
        <v>-73.0974525</v>
      </c>
      <c r="AL98" s="57">
        <f>IF(AL$14=1,'Inputs (2)'!AL77,-AVERAGE(AK54,AL54)*(Inputs!AL$280+0.01)/4)</f>
        <v>-73.0974525</v>
      </c>
      <c r="AM98" s="77">
        <f>SUM(AI98:AL98)</f>
        <v>-146.194905</v>
      </c>
      <c r="AN98" s="57">
        <f>IF(AN$14=1,'Inputs (2)'!AN77,-AVERAGE(AL54,AN54)*(Inputs!AN$280+0.01)/4)</f>
        <v>-73.0974525</v>
      </c>
      <c r="AO98" s="57">
        <f>IF(AO$14=1,'Inputs (2)'!AO77,-AVERAGE(AN54,AO54)*(Inputs!AO$280+0.01)/4)</f>
        <v>-73.0974525</v>
      </c>
      <c r="AP98" s="57">
        <f>IF(AP$14=1,'Inputs (2)'!AP77,-AVERAGE(AO54,AP54)*(Inputs!AP$280+0.01)/4)</f>
        <v>-73.0974525</v>
      </c>
      <c r="AQ98" s="57">
        <f>IF(AQ$14=1,'Inputs (2)'!AQ77,-AVERAGE(AP54,AQ54)*(Inputs!AQ$280+0.01)/4)</f>
        <v>-73.0974525</v>
      </c>
      <c r="AR98" s="77">
        <f>SUM(AN98:AQ98)</f>
        <v>-292.38981</v>
      </c>
      <c r="AS98" s="57">
        <f>IF(AS$14=1,'Inputs (2)'!AS77,-AVERAGE(AQ54,AS54)*(Inputs!AS$280+0.01)/4)</f>
        <v>-73.0974525</v>
      </c>
      <c r="AT98" s="57">
        <f>IF(AT$14=1,'Inputs (2)'!AT77,-AVERAGE(AS54,AT54)*(Inputs!AT$280+0.01)/4)</f>
        <v>-73.0974525</v>
      </c>
      <c r="AU98" s="57">
        <f>IF(AU$14=1,'Inputs (2)'!AU77,-AVERAGE(AT54,AU54)*(Inputs!AU$280+0.01)/4)</f>
        <v>-73.0974525</v>
      </c>
      <c r="AV98" s="57">
        <f>IF(AV$14=1,'Inputs (2)'!AV77,-AVERAGE(AU54,AV54)*(Inputs!AV$280+0.01)/4)</f>
        <v>-73.0974525</v>
      </c>
      <c r="AW98" s="77">
        <f>SUM(AS98:AV98)</f>
        <v>-292.38981</v>
      </c>
      <c r="AX98" s="57">
        <f>IF(AX$14=1,'Inputs (2)'!AX77,-AVERAGE(AV54,AX54)*(Inputs!AX$280+0.01)/4)</f>
        <v>-73.0974525</v>
      </c>
      <c r="AY98" s="57">
        <f>IF(AY$14=1,'Inputs (2)'!AY77,-AVERAGE(AX54,AY54)*(Inputs!AY$280+0.01)/4)</f>
        <v>-73.0974525</v>
      </c>
      <c r="AZ98" s="57">
        <f>IF(AZ$14=1,'Inputs (2)'!AZ77,-AVERAGE(AY54,AZ54)*(Inputs!AZ$280+0.01)/4)</f>
        <v>-73.0974525</v>
      </c>
      <c r="BA98" s="57">
        <f>IF(BA$14=1,'Inputs (2)'!BA77,-AVERAGE(AZ54,BA54)*(Inputs!BA$280+0.01)/4)</f>
        <v>-73.0974525</v>
      </c>
      <c r="BB98" s="77">
        <f>SUM(AX98:BA98)</f>
        <v>-292.38981</v>
      </c>
      <c r="BC98" s="57">
        <f>IF(BC$14=1,'Inputs (2)'!BC77,-AVERAGE(BA54,BC54)*(Inputs!BC$280+0.01)/4)</f>
        <v>-73.0974525</v>
      </c>
      <c r="BD98" s="57">
        <f>IF(BD$14=1,'Inputs (2)'!BD77,-AVERAGE(BC54,BD54)*(Inputs!BD$280+0.01)/4)</f>
        <v>-73.0974525</v>
      </c>
      <c r="BE98" s="57">
        <f>IF(BE$14=1,'Inputs (2)'!BE77,-AVERAGE(BD54,BE54)*(Inputs!BE$280+0.01)/4)</f>
        <v>-73.0974525</v>
      </c>
      <c r="BF98" s="57">
        <f>IF(BF$14=1,'Inputs (2)'!BF77,-AVERAGE(BE54,BF54)*(Inputs!BF$280+0.01)/4)</f>
        <v>-73.0974525</v>
      </c>
      <c r="BG98" s="77">
        <f>SUM(BC98:BF98)</f>
        <v>-292.38981</v>
      </c>
    </row>
    <row r="99" hidden="1" outlineLevel="1">
      <c r="C99" s="61" t="inlineStr">
        <is>
          <t>(Empréstimos e Repasses)</t>
        </is>
      </c>
      <c r="D99" s="62" t="inlineStr">
        <is>
          <t>(Borrowings and On-lending)</t>
        </is>
      </c>
      <c r="E99" s="57">
        <f>'Inputs (2)'!E78</f>
        <v>-3465.532</v>
      </c>
      <c r="F99" s="57">
        <f>IF(F$14=1,'Inputs (2)'!F78,-AVERAGE(E59,F59)*Inputs!F$267/4)</f>
        <v>-1284.104</v>
      </c>
      <c r="G99" s="57">
        <f>IF(G$14=1,'Inputs (2)'!G78,-AVERAGE(F59,G59)*Inputs!G$267/4)</f>
        <v>-893.222</v>
      </c>
      <c r="H99" s="57">
        <f>IF(H$14=1,'Inputs (2)'!H78,-AVERAGE(G59,H59)*Inputs!H$267/4)</f>
        <v>951.943</v>
      </c>
      <c r="I99" s="77">
        <f>SUM(E99:H99)</f>
        <v>-4690.915</v>
      </c>
      <c r="J99" s="57">
        <f>IF(J$14=1,'Inputs (2)'!J78,-AVERAGE(H59,J59)*Inputs!J$267/4)</f>
        <v>-1573.672</v>
      </c>
      <c r="K99" s="57">
        <f>IF(K$14=1,'Inputs (2)'!K78,-AVERAGE(J59,K59)*Inputs!K$267/4)</f>
        <v>1771.299</v>
      </c>
      <c r="L99" s="57">
        <f>IF(L$14=1,'Inputs (2)'!L78,-AVERAGE(K59,L59)*Inputs!L$267/4)</f>
        <v>-1367.46</v>
      </c>
      <c r="M99" s="57">
        <f>IF(M$14=1,'Inputs (2)'!M78,-AVERAGE(L59,M59)*Inputs!M$267/4)</f>
        <v>-634.948</v>
      </c>
      <c r="N99" s="77">
        <f>SUM(J99:M99)</f>
        <v>-1804.781</v>
      </c>
      <c r="O99" s="57">
        <f>IF(O$14=1,'Inputs (2)'!O78,-AVERAGE(M59,O59)*Inputs!O$267/4)</f>
        <v>2141.074</v>
      </c>
      <c r="P99" s="57">
        <f>IF(P$14=1,'Inputs (2)'!P78,-AVERAGE(O59,P59)*Inputs!P$267/4)</f>
        <v>-1324.844</v>
      </c>
      <c r="Q99" s="57">
        <f>IF(Q$14=1,'Inputs (2)'!Q78,-AVERAGE(P59,Q59)*Inputs!Q$267/4)</f>
        <v>-571.9</v>
      </c>
      <c r="R99" s="57">
        <f>IF(R$14=1,'Inputs (2)'!R78,-AVERAGE(Q59,R59)*Inputs!R$267/4)</f>
        <v>357.86</v>
      </c>
      <c r="S99" s="77">
        <f>SUM(O99:R99)</f>
        <v>602.19</v>
      </c>
      <c r="T99" s="57">
        <f>IF(T$14=1,'Inputs (2)'!T78,-AVERAGE(R59,T59)*Inputs!T$267/4)</f>
        <v>79.262</v>
      </c>
      <c r="U99" s="57">
        <f>IF(U$14=1,'Inputs (2)'!U78,-AVERAGE(T59,U59)*Inputs!U$267/4)</f>
        <v>400.567</v>
      </c>
      <c r="V99" s="57">
        <f>IF(V$14=1,'Inputs (2)'!V78,-AVERAGE(U59,V59)*Inputs!V$267/4)</f>
        <v>-826.354</v>
      </c>
      <c r="W99" s="57">
        <f>IF(W$14=1,'Inputs (2)'!W78,-AVERAGE(V59,W59)*Inputs!W$267/4)</f>
        <v>288.566</v>
      </c>
      <c r="X99" s="77">
        <f>SUM(T99:W99)</f>
        <v>-57.9590000000001</v>
      </c>
      <c r="Y99" s="57">
        <f>IF(Y$14=1,'Inputs (2)'!Y78,-AVERAGE(W59,Y59)*Inputs!Y$267/4)</f>
        <v>-628.414</v>
      </c>
      <c r="Z99" s="57">
        <f>IF(Z$14=1,'Inputs (2)'!Z78,-AVERAGE(Y59,Z59)*Inputs!Z$267/4)</f>
        <v>-1535.374</v>
      </c>
      <c r="AA99" s="57">
        <f>IF(AA$14=1,'Inputs (2)'!AA78,-AVERAGE(Z59,AA59)*Inputs!AA$267/4)</f>
        <v>144.432</v>
      </c>
      <c r="AB99" s="57">
        <f>IF(AB$14=1,'Inputs (2)'!AB78,-AVERAGE(AA59,AB59)*Inputs!AB$267/4)</f>
        <v>-2062.491</v>
      </c>
      <c r="AC99" s="77">
        <f>SUM(Y99:AB99)</f>
        <v>-4081.847</v>
      </c>
      <c r="AD99" s="57">
        <f>IF(AD$14=1,'Inputs (2)'!AD78,-AVERAGE(AB59,AD59)*Inputs!AD$267/4)</f>
        <v>-132.203</v>
      </c>
      <c r="AE99" s="57">
        <f>IF(AE$14=1,'Inputs (2)'!AE78,-AVERAGE(AD59,AE59)*Inputs!AE$267/4)</f>
        <v>-81.46</v>
      </c>
      <c r="AF99" s="57">
        <f>IF(AF$14=1,'Inputs (2)'!AF78,-AVERAGE(AE59,AF59)*Inputs!AF$267/4)</f>
        <v>-196.662</v>
      </c>
      <c r="AG99" s="57">
        <f>IF(AG$14=1,'Inputs (2)'!AG78,-AVERAGE(AF59,AG59)*Inputs!AG$267/4)</f>
        <v>-231.137</v>
      </c>
      <c r="AH99" s="77">
        <f>SUM(AD99:AG99)</f>
        <v>-641.462</v>
      </c>
      <c r="AI99" s="57">
        <f>IF(AI$14=1,'Inputs (2)'!AI78,-AVERAGE(AG59,AI59)*Inputs!AI$267/4)</f>
        <v>-218.498</v>
      </c>
      <c r="AJ99" s="57">
        <f>IF(AJ$14=1,'Inputs (2)'!AJ78,-AVERAGE(AI59,AJ59)*Inputs!AJ$267/4)</f>
        <v>-241.807</v>
      </c>
      <c r="AK99" s="57">
        <f>IF(AK$14=1,'Inputs (2)'!AK78,-AVERAGE(AJ59,AK59)*Inputs!AK$267/4)</f>
        <v>0</v>
      </c>
      <c r="AL99" s="57">
        <f>IF(AL$14=1,'Inputs (2)'!AL78,-AVERAGE(AK59,AL59)*Inputs!AL$267/4)</f>
        <v>0</v>
      </c>
      <c r="AM99" s="77">
        <f>SUM(AI99:AL99)</f>
        <v>-460.305</v>
      </c>
      <c r="AN99" s="57">
        <f>IF(AN$14=1,'Inputs (2)'!AN78,-AVERAGE(AL59,AN59)*Inputs!AN$267/4)</f>
        <v>0</v>
      </c>
      <c r="AO99" s="57">
        <f>IF(AO$14=1,'Inputs (2)'!AO78,-AVERAGE(AN59,AO59)*Inputs!AO$267/4)</f>
        <v>0</v>
      </c>
      <c r="AP99" s="57">
        <f>IF(AP$14=1,'Inputs (2)'!AP78,-AVERAGE(AO59,AP59)*Inputs!AP$267/4)</f>
        <v>0</v>
      </c>
      <c r="AQ99" s="57">
        <f>IF(AQ$14=1,'Inputs (2)'!AQ78,-AVERAGE(AP59,AQ59)*Inputs!AQ$267/4)</f>
        <v>0</v>
      </c>
      <c r="AR99" s="77">
        <f>SUM(AN99:AQ99)</f>
        <v>0</v>
      </c>
      <c r="AS99" s="57">
        <f>IF(AS$14=1,'Inputs (2)'!AS78,-AVERAGE(AQ59,AS59)*Inputs!AS$267/4)</f>
        <v>0</v>
      </c>
      <c r="AT99" s="57">
        <f>IF(AT$14=1,'Inputs (2)'!AT78,-AVERAGE(AS59,AT59)*Inputs!AT$267/4)</f>
        <v>0</v>
      </c>
      <c r="AU99" s="57">
        <f>IF(AU$14=1,'Inputs (2)'!AU78,-AVERAGE(AT59,AU59)*Inputs!AU$267/4)</f>
        <v>0</v>
      </c>
      <c r="AV99" s="57">
        <f>IF(AV$14=1,'Inputs (2)'!AV78,-AVERAGE(AU59,AV59)*Inputs!AV$267/4)</f>
        <v>0</v>
      </c>
      <c r="AW99" s="77">
        <f>SUM(AS99:AV99)</f>
        <v>0</v>
      </c>
      <c r="AX99" s="57">
        <f>IF(AX$14=1,'Inputs (2)'!AX78,-AVERAGE(AV59,AX59)*Inputs!AX$267/4)</f>
        <v>0</v>
      </c>
      <c r="AY99" s="57">
        <f>IF(AY$14=1,'Inputs (2)'!AY78,-AVERAGE(AX59,AY59)*Inputs!AY$267/4)</f>
        <v>0</v>
      </c>
      <c r="AZ99" s="57">
        <f>IF(AZ$14=1,'Inputs (2)'!AZ78,-AVERAGE(AY59,AZ59)*Inputs!AZ$267/4)</f>
        <v>0</v>
      </c>
      <c r="BA99" s="57">
        <f>IF(BA$14=1,'Inputs (2)'!BA78,-AVERAGE(AZ59,BA59)*Inputs!BA$267/4)</f>
        <v>0</v>
      </c>
      <c r="BB99" s="77">
        <f>SUM(AX99:BA99)</f>
        <v>0</v>
      </c>
      <c r="BC99" s="57">
        <f>IF(BC$14=1,'Inputs (2)'!BC78,-AVERAGE(BA59,BC59)*Inputs!BC$267/4)</f>
        <v>0</v>
      </c>
      <c r="BD99" s="57">
        <f>IF(BD$14=1,'Inputs (2)'!BD78,-AVERAGE(BC59,BD59)*Inputs!BD$267/4)</f>
        <v>0</v>
      </c>
      <c r="BE99" s="57">
        <f>IF(BE$14=1,'Inputs (2)'!BE78,-AVERAGE(BD59,BE59)*Inputs!BE$267/4)</f>
        <v>0</v>
      </c>
      <c r="BF99" s="57">
        <f>IF(BF$14=1,'Inputs (2)'!BF78,-AVERAGE(BE59,BF59)*Inputs!BF$267/4)</f>
        <v>0</v>
      </c>
      <c r="BG99" s="77">
        <f>SUM(BC99:BF99)</f>
        <v>0</v>
      </c>
    </row>
    <row r="100" hidden="1" outlineLevel="1">
      <c r="C100" s="61" t="inlineStr">
        <is>
          <t>(Despesas Fin. de Provisões Técnicas)</t>
        </is>
      </c>
      <c r="D100" s="62" t="inlineStr">
        <is>
          <t>(Technical Provisions Expense)</t>
        </is>
      </c>
      <c r="E100" s="57">
        <f>'Inputs (2)'!E79</f>
        <v>0</v>
      </c>
      <c r="F100" s="57">
        <f>IF(F$14=1,'Inputs (2)'!F79,-AVERAGE(E65,F65)*Inputs!F$262)</f>
        <v>0</v>
      </c>
      <c r="G100" s="57">
        <f>IF(G$14=1,'Inputs (2)'!G79,-AVERAGE(F65,G65)*Inputs!G$262)</f>
        <v>0</v>
      </c>
      <c r="H100" s="57">
        <f>IF(H$14=1,'Inputs (2)'!H79,-AVERAGE(G65,H65)*Inputs!H$262)</f>
        <v>0</v>
      </c>
      <c r="I100" s="77">
        <f>SUM(E100:H100)</f>
        <v>0</v>
      </c>
      <c r="J100" s="57">
        <f>IF(J$14=1,'Inputs (2)'!J79,-AVERAGE(H65,J65)*Inputs!J$262)</f>
        <v>0</v>
      </c>
      <c r="K100" s="57">
        <f>IF(K$14=1,'Inputs (2)'!K79,-AVERAGE(J65,K65)*Inputs!K$262)</f>
        <v>0</v>
      </c>
      <c r="L100" s="57">
        <f>IF(L$14=1,'Inputs (2)'!L79,-AVERAGE(K65,L65)*Inputs!L$262)</f>
        <v>0</v>
      </c>
      <c r="M100" s="57">
        <f>IF(M$14=1,'Inputs (2)'!M79,-AVERAGE(L65,M65)*Inputs!M$262)</f>
        <v>0</v>
      </c>
      <c r="N100" s="77">
        <f>SUM(J100:M100)</f>
        <v>0</v>
      </c>
      <c r="O100" s="57">
        <f>IF(O$14=1,'Inputs (2)'!O79,-AVERAGE(M65,O65)*Inputs!O$262)</f>
        <v>0</v>
      </c>
      <c r="P100" s="57">
        <f>IF(P$14=1,'Inputs (2)'!P79,-AVERAGE(O65,P65)*Inputs!P$262)</f>
        <v>0</v>
      </c>
      <c r="Q100" s="57">
        <f>IF(Q$14=1,'Inputs (2)'!Q79,-AVERAGE(P65,Q65)*Inputs!Q$262)</f>
        <v>0</v>
      </c>
      <c r="R100" s="57">
        <f>IF(R$14=1,'Inputs (2)'!R79,-AVERAGE(Q65,R65)*Inputs!R$262)</f>
        <v>0</v>
      </c>
      <c r="S100" s="77">
        <f>SUM(O100:R100)</f>
        <v>0</v>
      </c>
      <c r="T100" s="57">
        <f>IF(T$14=1,'Inputs (2)'!T79,-AVERAGE(R65,T65)*Inputs!T$262)</f>
        <v>0</v>
      </c>
      <c r="U100" s="57">
        <f>IF(U$14=1,'Inputs (2)'!U79,-AVERAGE(T65,U65)*Inputs!U$262)</f>
        <v>0</v>
      </c>
      <c r="V100" s="57">
        <f>IF(V$14=1,'Inputs (2)'!V79,-AVERAGE(U65,V65)*Inputs!V$262)</f>
        <v>0</v>
      </c>
      <c r="W100" s="57">
        <f>IF(W$14=1,'Inputs (2)'!W79,-AVERAGE(V65,W65)*Inputs!W$262)</f>
        <v>0</v>
      </c>
      <c r="X100" s="77">
        <f>SUM(T100:W100)</f>
        <v>0</v>
      </c>
      <c r="Y100" s="57">
        <f>IF(Y$14=1,'Inputs (2)'!Y79,-AVERAGE(W65,Y65)*Inputs!Y$262)</f>
        <v>0</v>
      </c>
      <c r="Z100" s="57">
        <f>IF(Z$14=1,'Inputs (2)'!Z79,-AVERAGE(Y65,Z65)*Inputs!Z$262)</f>
        <v>0</v>
      </c>
      <c r="AA100" s="57">
        <f>IF(AA$14=1,'Inputs (2)'!AA79,-AVERAGE(Z65,AA65)*Inputs!AA$262)</f>
        <v>0</v>
      </c>
      <c r="AB100" s="57">
        <f>IF(AB$14=1,'Inputs (2)'!AB79,-AVERAGE(AA65,AB65)*Inputs!AB$262)</f>
        <v>0</v>
      </c>
      <c r="AC100" s="77">
        <f>SUM(Y100:AB100)</f>
        <v>0</v>
      </c>
      <c r="AD100" s="57">
        <f>IF(AD$14=1,'Inputs (2)'!AD79,-AVERAGE(AB65,AD65)*Inputs!AD$262)</f>
        <v>0</v>
      </c>
      <c r="AE100" s="57">
        <f>IF(AE$14=1,'Inputs (2)'!AE79,-AVERAGE(AD65,AE65)*Inputs!AE$262)</f>
        <v>0</v>
      </c>
      <c r="AF100" s="57">
        <f>IF(AF$14=1,'Inputs (2)'!AF79,-AVERAGE(AE65,AF65)*Inputs!AF$262)</f>
        <v>0</v>
      </c>
      <c r="AG100" s="57">
        <f>IF(AG$14=1,'Inputs (2)'!AG79,-AVERAGE(AF65,AG65)*Inputs!AG$262)</f>
        <v>0</v>
      </c>
      <c r="AH100" s="77">
        <f>SUM(AD100:AG100)</f>
        <v>0</v>
      </c>
      <c r="AI100" s="57">
        <f>IF(AI$14=1,'Inputs (2)'!AI79,-AVERAGE(AG65,AI65)*Inputs!AI$262)</f>
        <v>0</v>
      </c>
      <c r="AJ100" s="57">
        <f>IF(AJ$14=1,'Inputs (2)'!AJ79,-AVERAGE(AI65,AJ65)*Inputs!AJ$262)</f>
        <v>0</v>
      </c>
      <c r="AK100" s="57">
        <f>IF(AK$14=1,'Inputs (2)'!AK79,-AVERAGE(AJ65,AK65)*Inputs!AK$262)</f>
        <v>0</v>
      </c>
      <c r="AL100" s="57">
        <f>IF(AL$14=1,'Inputs (2)'!AL79,-AVERAGE(AK65,AL65)*Inputs!AL$262)</f>
        <v>0</v>
      </c>
      <c r="AM100" s="77">
        <f>SUM(AI100:AL100)</f>
        <v>0</v>
      </c>
      <c r="AN100" s="57">
        <f>IF(AN$14=1,'Inputs (2)'!AN79,-AVERAGE(AL65,AN65)*Inputs!AN$262)</f>
        <v>0</v>
      </c>
      <c r="AO100" s="57">
        <f>IF(AO$14=1,'Inputs (2)'!AO79,-AVERAGE(AN65,AO65)*Inputs!AO$262)</f>
        <v>0</v>
      </c>
      <c r="AP100" s="57">
        <f>IF(AP$14=1,'Inputs (2)'!AP79,-AVERAGE(AO65,AP65)*Inputs!AP$262)</f>
        <v>0</v>
      </c>
      <c r="AQ100" s="57">
        <f>IF(AQ$14=1,'Inputs (2)'!AQ79,-AVERAGE(AP65,AQ65)*Inputs!AQ$262)</f>
        <v>0</v>
      </c>
      <c r="AR100" s="77">
        <f>SUM(AN100:AQ100)</f>
        <v>0</v>
      </c>
      <c r="AS100" s="57">
        <f>IF(AS$14=1,'Inputs (2)'!AS79,-AVERAGE(AQ65,AS65)*Inputs!AS$262)</f>
        <v>0</v>
      </c>
      <c r="AT100" s="57">
        <f>IF(AT$14=1,'Inputs (2)'!AT79,-AVERAGE(AS65,AT65)*Inputs!AT$262)</f>
        <v>0</v>
      </c>
      <c r="AU100" s="57">
        <f>IF(AU$14=1,'Inputs (2)'!AU79,-AVERAGE(AT65,AU65)*Inputs!AU$262)</f>
        <v>0</v>
      </c>
      <c r="AV100" s="57">
        <f>IF(AV$14=1,'Inputs (2)'!AV79,-AVERAGE(AU65,AV65)*Inputs!AV$262)</f>
        <v>0</v>
      </c>
      <c r="AW100" s="77">
        <f>SUM(AS100:AV100)</f>
        <v>0</v>
      </c>
      <c r="AX100" s="57">
        <f>IF(AX$14=1,'Inputs (2)'!AX79,-AVERAGE(AV65,AX65)*Inputs!AX$262)</f>
        <v>0</v>
      </c>
      <c r="AY100" s="57">
        <f>IF(AY$14=1,'Inputs (2)'!AY79,-AVERAGE(AX65,AY65)*Inputs!AY$262)</f>
        <v>0</v>
      </c>
      <c r="AZ100" s="57">
        <f>IF(AZ$14=1,'Inputs (2)'!AZ79,-AVERAGE(AY65,AZ65)*Inputs!AZ$262)</f>
        <v>0</v>
      </c>
      <c r="BA100" s="57">
        <f>IF(BA$14=1,'Inputs (2)'!BA79,-AVERAGE(AZ65,BA65)*Inputs!BA$262)</f>
        <v>0</v>
      </c>
      <c r="BB100" s="77">
        <f>SUM(AX100:BA100)</f>
        <v>0</v>
      </c>
      <c r="BC100" s="57">
        <f>IF(BC$14=1,'Inputs (2)'!BC79,-AVERAGE(BA65,BC65)*Inputs!BC$262)</f>
        <v>0</v>
      </c>
      <c r="BD100" s="57">
        <f>IF(BD$14=1,'Inputs (2)'!BD79,-AVERAGE(BC65,BD65)*Inputs!BD$262)</f>
        <v>0</v>
      </c>
      <c r="BE100" s="57">
        <f>IF(BE$14=1,'Inputs (2)'!BE79,-AVERAGE(BD65,BE65)*Inputs!BE$262)</f>
        <v>0</v>
      </c>
      <c r="BF100" s="57">
        <f>IF(BF$14=1,'Inputs (2)'!BF79,-AVERAGE(BE65,BF65)*Inputs!BF$262)</f>
        <v>0</v>
      </c>
      <c r="BG100" s="77">
        <f>SUM(BC100:BF100)</f>
        <v>0</v>
      </c>
    </row>
    <row r="101" collapsed="1">
      <c r="C101" s="53" t="inlineStr">
        <is>
          <t>Resultado da Intermediação antes da Perda Esperada</t>
        </is>
      </c>
      <c r="D101" s="54" t="inlineStr">
        <is>
          <t>NII before ECL</t>
        </is>
      </c>
      <c r="E101" s="59">
        <f>E91+E96</f>
        <v>-239.095</v>
      </c>
      <c r="F101" s="59">
        <f>F91+F96</f>
        <v>76.8509999999999</v>
      </c>
      <c r="G101" s="59">
        <f>G91+G96</f>
        <v>195.199</v>
      </c>
      <c r="H101" s="59">
        <f>H91+H96</f>
        <v>357.392</v>
      </c>
      <c r="I101" s="60">
        <f>SUM(E101:H101)</f>
        <v>390.347</v>
      </c>
      <c r="J101" s="59">
        <f>J91+J96</f>
        <v>197.516</v>
      </c>
      <c r="K101" s="59">
        <f>K91+K96</f>
        <v>456.262</v>
      </c>
      <c r="L101" s="59">
        <f>L91+L96</f>
        <v>242.555</v>
      </c>
      <c r="M101" s="59">
        <f>M91+M96</f>
        <v>294.068</v>
      </c>
      <c r="N101" s="60">
        <f>SUM(J101:M101)</f>
        <v>1190.401</v>
      </c>
      <c r="O101" s="59">
        <f>O91+O96</f>
        <v>431.377</v>
      </c>
      <c r="P101" s="59">
        <f>P91+P96</f>
        <v>405.619</v>
      </c>
      <c r="Q101" s="59">
        <f>Q91+Q96</f>
        <v>471.425</v>
      </c>
      <c r="R101" s="59">
        <f>R91+R96</f>
        <v>495.015</v>
      </c>
      <c r="S101" s="60">
        <f>SUM(O101:R101)</f>
        <v>1803.436</v>
      </c>
      <c r="T101" s="59">
        <f>T91+T96</f>
        <v>454.377</v>
      </c>
      <c r="U101" s="59">
        <f>U91+U96</f>
        <v>472.692</v>
      </c>
      <c r="V101" s="59">
        <f>V91+V96</f>
        <v>478.425</v>
      </c>
      <c r="W101" s="59">
        <f>W91+W96</f>
        <v>448.217</v>
      </c>
      <c r="X101" s="60">
        <f>SUM(T101:W101)</f>
        <v>1853.711</v>
      </c>
      <c r="Y101" s="59">
        <f>Y91+Y96</f>
        <v>430.947</v>
      </c>
      <c r="Z101" s="59">
        <f>Z91+Z96</f>
        <v>451.874</v>
      </c>
      <c r="AA101" s="59">
        <f>AA91+AA96</f>
        <v>566.045</v>
      </c>
      <c r="AB101" s="59">
        <f>AB91+AB96</f>
        <v>502.818</v>
      </c>
      <c r="AC101" s="60">
        <f>SUM(Y101:AB101)</f>
        <v>1951.684</v>
      </c>
      <c r="AD101" s="59">
        <f>AD91+AD96</f>
        <v>520.767</v>
      </c>
      <c r="AE101" s="59">
        <f>AE91+AE96</f>
        <v>528.644</v>
      </c>
      <c r="AF101" s="59">
        <f>AF91+AF96</f>
        <v>650.347</v>
      </c>
      <c r="AG101" s="59">
        <f>AG91+AG96</f>
        <v>605.284</v>
      </c>
      <c r="AH101" s="60">
        <f>SUM(AD101:AG101)</f>
        <v>2305.042</v>
      </c>
      <c r="AI101" s="59">
        <f>AI91+AI96</f>
        <v>584.268</v>
      </c>
      <c r="AJ101" s="59">
        <f>AJ91+AJ96</f>
        <v>628.193</v>
      </c>
      <c r="AK101" s="59">
        <f>AK91+AK96</f>
        <v>-73.0974525</v>
      </c>
      <c r="AL101" s="59">
        <f>AL91+AL96</f>
        <v>-73.0974525</v>
      </c>
      <c r="AM101" s="60">
        <f>SUM(AI101:AL101)</f>
        <v>1066.266095</v>
      </c>
      <c r="AN101" s="59">
        <f>AN91+AN96</f>
        <v>-73.0974525</v>
      </c>
      <c r="AO101" s="59">
        <f>AO91+AO96</f>
        <v>-73.0974525</v>
      </c>
      <c r="AP101" s="59">
        <f>AP91+AP96</f>
        <v>-73.0974525</v>
      </c>
      <c r="AQ101" s="59">
        <f>AQ91+AQ96</f>
        <v>-73.0974525</v>
      </c>
      <c r="AR101" s="60">
        <f>SUM(AN101:AQ101)</f>
        <v>-292.38981</v>
      </c>
      <c r="AS101" s="59">
        <f>AS91+AS96</f>
        <v>-73.0974525</v>
      </c>
      <c r="AT101" s="59">
        <f>AT91+AT96</f>
        <v>-73.0974525</v>
      </c>
      <c r="AU101" s="59">
        <f>AU91+AU96</f>
        <v>-73.0974525</v>
      </c>
      <c r="AV101" s="59">
        <f>AV91+AV96</f>
        <v>-73.0974525</v>
      </c>
      <c r="AW101" s="60">
        <f>SUM(AS101:AV101)</f>
        <v>-292.38981</v>
      </c>
      <c r="AX101" s="59">
        <f>AX91+AX96</f>
        <v>-73.0974525</v>
      </c>
      <c r="AY101" s="59">
        <f>AY91+AY96</f>
        <v>-73.0974525</v>
      </c>
      <c r="AZ101" s="59">
        <f>AZ91+AZ96</f>
        <v>-73.0974525</v>
      </c>
      <c r="BA101" s="59">
        <f>BA91+BA96</f>
        <v>-73.0974525</v>
      </c>
      <c r="BB101" s="60">
        <f>SUM(AX101:BA101)</f>
        <v>-292.38981</v>
      </c>
      <c r="BC101" s="59">
        <f>BC91+BC96</f>
        <v>-73.0974525</v>
      </c>
      <c r="BD101" s="59">
        <f>BD91+BD96</f>
        <v>-73.0974525</v>
      </c>
      <c r="BE101" s="59">
        <f>BE91+BE96</f>
        <v>-73.0974525</v>
      </c>
      <c r="BF101" s="59">
        <f>BF91+BF96</f>
        <v>-73.0974525</v>
      </c>
      <c r="BG101" s="60">
        <f>SUM(BC101:BF101)</f>
        <v>-292.38981</v>
      </c>
    </row>
    <row r="102">
      <c r="C102" s="83" t="inlineStr">
        <is>
          <t>Resultado de Perda de Crédito Esperada</t>
        </is>
      </c>
      <c r="D102" s="84" t="inlineStr">
        <is>
          <t>Expected Credit Loss Result</t>
        </is>
      </c>
      <c r="E102" s="85">
        <f>E103+E104</f>
        <v>-60.816</v>
      </c>
      <c r="F102" s="85">
        <f>F103+F104</f>
        <v>-93.205</v>
      </c>
      <c r="G102" s="85">
        <f>G103+G104</f>
        <v>-64.548</v>
      </c>
      <c r="H102" s="85">
        <f>H103+H104</f>
        <v>-36.205</v>
      </c>
      <c r="I102" s="60">
        <f>SUM(E102:H102)</f>
        <v>-254.774</v>
      </c>
      <c r="J102" s="85">
        <f>J103+J104</f>
        <v>-34.449</v>
      </c>
      <c r="K102" s="85">
        <f>K103+K104</f>
        <v>-46.535</v>
      </c>
      <c r="L102" s="85">
        <f>L103+L104</f>
        <v>-35.722</v>
      </c>
      <c r="M102" s="85">
        <f>M103+M104</f>
        <v>-42.185</v>
      </c>
      <c r="N102" s="60">
        <f>SUM(J102:M102)</f>
        <v>-158.891</v>
      </c>
      <c r="O102" s="85">
        <f>O103+O104</f>
        <v>-26.486</v>
      </c>
      <c r="P102" s="85">
        <f>P103+P104</f>
        <v>-31.46</v>
      </c>
      <c r="Q102" s="85">
        <f>Q103+Q104</f>
        <v>-52.909</v>
      </c>
      <c r="R102" s="85">
        <f>R103+R104</f>
        <v>-119.171</v>
      </c>
      <c r="S102" s="60">
        <f>SUM(O102:R102)</f>
        <v>-230.026</v>
      </c>
      <c r="T102" s="85">
        <f>T103+T104</f>
        <v>-104.705</v>
      </c>
      <c r="U102" s="85">
        <f>U103+U104</f>
        <v>-68.878</v>
      </c>
      <c r="V102" s="85">
        <f>V103+V104</f>
        <v>-68.327</v>
      </c>
      <c r="W102" s="85">
        <f>W103+W104</f>
        <v>-83.143</v>
      </c>
      <c r="X102" s="60">
        <f>SUM(T102:W102)</f>
        <v>-325.053</v>
      </c>
      <c r="Y102" s="85">
        <f>Y103+Y104</f>
        <v>-37.15</v>
      </c>
      <c r="Z102" s="85">
        <f>Z103+Z104</f>
        <v>-16.347</v>
      </c>
      <c r="AA102" s="85">
        <f>AA103+AA104</f>
        <v>-70.824</v>
      </c>
      <c r="AB102" s="85">
        <f>AB103+AB104</f>
        <v>-68.977</v>
      </c>
      <c r="AC102" s="60">
        <f>SUM(Y102:AB102)</f>
        <v>-193.298</v>
      </c>
      <c r="AD102" s="85">
        <f>AD103+AD104</f>
        <v>-89.497</v>
      </c>
      <c r="AE102" s="85">
        <f>AE103+AE104</f>
        <v>-80.387</v>
      </c>
      <c r="AF102" s="85">
        <f>AF103+AF104</f>
        <v>-118.877</v>
      </c>
      <c r="AG102" s="85">
        <f>AG103+AG104</f>
        <v>-124.871</v>
      </c>
      <c r="AH102" s="60">
        <f>SUM(AD102:AG102)</f>
        <v>-413.632</v>
      </c>
      <c r="AI102" s="85">
        <f>AI103+AI104</f>
        <v>-110.326</v>
      </c>
      <c r="AJ102" s="85">
        <f>AJ103+AJ104</f>
        <v>-107.725</v>
      </c>
      <c r="AK102" s="85">
        <f>AK103+AK104</f>
        <v>0</v>
      </c>
      <c r="AL102" s="85">
        <f>AL103+AL104</f>
        <v>0</v>
      </c>
      <c r="AM102" s="60">
        <f>SUM(AI102:AL102)</f>
        <v>-218.051</v>
      </c>
      <c r="AN102" s="85">
        <f>AN103+AN104</f>
        <v>0</v>
      </c>
      <c r="AO102" s="85">
        <f>AO103+AO104</f>
        <v>0</v>
      </c>
      <c r="AP102" s="85">
        <f>AP103+AP104</f>
        <v>0</v>
      </c>
      <c r="AQ102" s="85">
        <f>AQ103+AQ104</f>
        <v>0</v>
      </c>
      <c r="AR102" s="60">
        <f>SUM(AN102:AQ102)</f>
        <v>0</v>
      </c>
      <c r="AS102" s="85">
        <f>AS103+AS104</f>
        <v>0</v>
      </c>
      <c r="AT102" s="85">
        <f>AT103+AT104</f>
        <v>0</v>
      </c>
      <c r="AU102" s="85">
        <f>AU103+AU104</f>
        <v>0</v>
      </c>
      <c r="AV102" s="85">
        <f>AV103+AV104</f>
        <v>0</v>
      </c>
      <c r="AW102" s="60">
        <f>SUM(AS102:AV102)</f>
        <v>0</v>
      </c>
      <c r="AX102" s="85">
        <f>AX103+AX104</f>
        <v>0</v>
      </c>
      <c r="AY102" s="85">
        <f>AY103+AY104</f>
        <v>0</v>
      </c>
      <c r="AZ102" s="85">
        <f>AZ103+AZ104</f>
        <v>0</v>
      </c>
      <c r="BA102" s="85">
        <f>BA103+BA104</f>
        <v>0</v>
      </c>
      <c r="BB102" s="60">
        <f>SUM(AX102:BA102)</f>
        <v>0</v>
      </c>
      <c r="BC102" s="85">
        <f>BC103+BC104</f>
        <v>0</v>
      </c>
      <c r="BD102" s="85">
        <f>BD103+BD104</f>
        <v>0</v>
      </c>
      <c r="BE102" s="85">
        <f>BE103+BE104</f>
        <v>0</v>
      </c>
      <c r="BF102" s="85">
        <f>BF103+BF104</f>
        <v>0</v>
      </c>
      <c r="BG102" s="60">
        <f>SUM(BC102:BF102)</f>
        <v>0</v>
      </c>
    </row>
    <row r="103" hidden="1" outlineLevel="1">
      <c r="C103" s="61" t="inlineStr">
        <is>
          <t>(Despesa de Provisão para Perda Esperada)</t>
        </is>
      </c>
      <c r="D103" s="62" t="inlineStr">
        <is>
          <t>(ECL Expense)</t>
        </is>
      </c>
      <c r="E103" s="57">
        <f>IF(E$14=1,'Inputs (2)'!E82,-E134*Inputs!E$272/4)</f>
        <v>-60.816</v>
      </c>
      <c r="F103" s="57">
        <f>IF(F$14=1,'Inputs (2)'!F82,-F134*Inputs!F$272/4)</f>
        <v>-93.205</v>
      </c>
      <c r="G103" s="57">
        <f>IF(G$14=1,'Inputs (2)'!G82,-G134*Inputs!G$272/4)</f>
        <v>-64.548</v>
      </c>
      <c r="H103" s="57">
        <f>IF(H$14=1,'Inputs (2)'!H82,-H134*Inputs!H$272/4)</f>
        <v>-36.205</v>
      </c>
      <c r="I103" s="77">
        <f>SUM(E103:H103)</f>
        <v>-254.774</v>
      </c>
      <c r="J103" s="57">
        <f>IF(J$14=1,'Inputs (2)'!J82,-J134*Inputs!J$272/4)</f>
        <v>-34.449</v>
      </c>
      <c r="K103" s="57">
        <f>IF(K$14=1,'Inputs (2)'!K82,-K134*Inputs!K$272/4)</f>
        <v>-46.535</v>
      </c>
      <c r="L103" s="57">
        <f>IF(L$14=1,'Inputs (2)'!L82,-L134*Inputs!L$272/4)</f>
        <v>-35.722</v>
      </c>
      <c r="M103" s="57">
        <f>IF(M$14=1,'Inputs (2)'!M82,-M134*Inputs!M$272/4)</f>
        <v>-42.185</v>
      </c>
      <c r="N103" s="77">
        <f>SUM(J103:M103)</f>
        <v>-158.891</v>
      </c>
      <c r="O103" s="57">
        <f>IF(O$14=1,'Inputs (2)'!O82,-O134*Inputs!O$272/4)</f>
        <v>-26.486</v>
      </c>
      <c r="P103" s="57">
        <f>IF(P$14=1,'Inputs (2)'!P82,-P134*Inputs!P$272/4)</f>
        <v>-31.46</v>
      </c>
      <c r="Q103" s="57">
        <f>IF(Q$14=1,'Inputs (2)'!Q82,-Q134*Inputs!Q$272/4)</f>
        <v>-52.909</v>
      </c>
      <c r="R103" s="57">
        <f>IF(R$14=1,'Inputs (2)'!R82,-R134*Inputs!R$272/4)</f>
        <v>-119.171</v>
      </c>
      <c r="S103" s="77">
        <f>SUM(O103:R103)</f>
        <v>-230.026</v>
      </c>
      <c r="T103" s="57">
        <f>IF(T$14=1,'Inputs (2)'!T82,-T134*Inputs!T$272/4)</f>
        <v>-104.705</v>
      </c>
      <c r="U103" s="57">
        <f>IF(U$14=1,'Inputs (2)'!U82,-U134*Inputs!U$272/4)</f>
        <v>-68.878</v>
      </c>
      <c r="V103" s="57">
        <f>IF(V$14=1,'Inputs (2)'!V82,-V134*Inputs!V$272/4)</f>
        <v>-68.327</v>
      </c>
      <c r="W103" s="57">
        <f>IF(W$14=1,'Inputs (2)'!W82,-W134*Inputs!W$272/4)</f>
        <v>-83.143</v>
      </c>
      <c r="X103" s="77">
        <f>SUM(T103:W103)</f>
        <v>-325.053</v>
      </c>
      <c r="Y103" s="57">
        <f>IF(Y$14=1,'Inputs (2)'!Y82,-Y134*Inputs!Y$272/4)</f>
        <v>-37.15</v>
      </c>
      <c r="Z103" s="57">
        <f>IF(Z$14=1,'Inputs (2)'!Z82,-Z134*Inputs!Z$272/4)</f>
        <v>-16.347</v>
      </c>
      <c r="AA103" s="57">
        <f>IF(AA$14=1,'Inputs (2)'!AA82,-AA134*Inputs!AA$272/4)</f>
        <v>-70.824</v>
      </c>
      <c r="AB103" s="57">
        <f>IF(AB$14=1,'Inputs (2)'!AB82,-AB134*Inputs!AB$272/4)</f>
        <v>-68.977</v>
      </c>
      <c r="AC103" s="77">
        <f>SUM(Y103:AB103)</f>
        <v>-193.298</v>
      </c>
      <c r="AD103" s="57">
        <f>IF(AD$14=1,'Inputs (2)'!AD82,-AD134*Inputs!AD$272/4)</f>
        <v>-89.497</v>
      </c>
      <c r="AE103" s="57">
        <f>IF(AE$14=1,'Inputs (2)'!AE82,-AE134*Inputs!AE$272/4)</f>
        <v>-80.387</v>
      </c>
      <c r="AF103" s="57">
        <f>IF(AF$14=1,'Inputs (2)'!AF82,-AF134*Inputs!AF$272/4)</f>
        <v>-118.877</v>
      </c>
      <c r="AG103" s="57">
        <f>IF(AG$14=1,'Inputs (2)'!AG82,-AG134*Inputs!AG$272/4)</f>
        <v>-124.871</v>
      </c>
      <c r="AH103" s="77">
        <f>SUM(AD103:AG103)</f>
        <v>-413.632</v>
      </c>
      <c r="AI103" s="57">
        <f>IF(AI$14=1,'Inputs (2)'!AI82,-AI134*Inputs!AI$272/4)</f>
        <v>-110.326</v>
      </c>
      <c r="AJ103" s="57">
        <f>IF(AJ$14=1,'Inputs (2)'!AJ82,-AJ134*Inputs!AJ$272/4)</f>
        <v>-107.725</v>
      </c>
      <c r="AK103" s="57">
        <f>IF(AK$14=1,'Inputs (2)'!AK82,-AK134*Inputs!AK$272/4)</f>
        <v>0</v>
      </c>
      <c r="AL103" s="57">
        <f>IF(AL$14=1,'Inputs (2)'!AL82,-AL134*Inputs!AL$272/4)</f>
        <v>0</v>
      </c>
      <c r="AM103" s="77">
        <f>SUM(AI103:AL103)</f>
        <v>-218.051</v>
      </c>
      <c r="AN103" s="57">
        <f>IF(AN$14=1,'Inputs (2)'!AN82,-AN134*Inputs!AN$272/4)</f>
        <v>0</v>
      </c>
      <c r="AO103" s="57">
        <f>IF(AO$14=1,'Inputs (2)'!AO82,-AO134*Inputs!AO$272/4)</f>
        <v>0</v>
      </c>
      <c r="AP103" s="57">
        <f>IF(AP$14=1,'Inputs (2)'!AP82,-AP134*Inputs!AP$272/4)</f>
        <v>0</v>
      </c>
      <c r="AQ103" s="57">
        <f>IF(AQ$14=1,'Inputs (2)'!AQ82,-AQ134*Inputs!AQ$272/4)</f>
        <v>0</v>
      </c>
      <c r="AR103" s="77">
        <f>SUM(AN103:AQ103)</f>
        <v>0</v>
      </c>
      <c r="AS103" s="57">
        <f>IF(AS$14=1,'Inputs (2)'!AS82,-AS134*Inputs!AS$272/4)</f>
        <v>0</v>
      </c>
      <c r="AT103" s="57">
        <f>IF(AT$14=1,'Inputs (2)'!AT82,-AT134*Inputs!AT$272/4)</f>
        <v>0</v>
      </c>
      <c r="AU103" s="57">
        <f>IF(AU$14=1,'Inputs (2)'!AU82,-AU134*Inputs!AU$272/4)</f>
        <v>0</v>
      </c>
      <c r="AV103" s="57">
        <f>IF(AV$14=1,'Inputs (2)'!AV82,-AV134*Inputs!AV$272/4)</f>
        <v>0</v>
      </c>
      <c r="AW103" s="77">
        <f>SUM(AS103:AV103)</f>
        <v>0</v>
      </c>
      <c r="AX103" s="57">
        <f>IF(AX$14=1,'Inputs (2)'!AX82,-AX134*Inputs!AX$272/4)</f>
        <v>0</v>
      </c>
      <c r="AY103" s="57">
        <f>IF(AY$14=1,'Inputs (2)'!AY82,-AY134*Inputs!AY$272/4)</f>
        <v>0</v>
      </c>
      <c r="AZ103" s="57">
        <f>IF(AZ$14=1,'Inputs (2)'!AZ82,-AZ134*Inputs!AZ$272/4)</f>
        <v>0</v>
      </c>
      <c r="BA103" s="57">
        <f>IF(BA$14=1,'Inputs (2)'!BA82,-BA134*Inputs!BA$272/4)</f>
        <v>0</v>
      </c>
      <c r="BB103" s="77">
        <f>SUM(AX103:BA103)</f>
        <v>0</v>
      </c>
      <c r="BC103" s="57">
        <f>IF(BC$14=1,'Inputs (2)'!BC82,-BC134*Inputs!BC$272/4)</f>
        <v>0</v>
      </c>
      <c r="BD103" s="57">
        <f>IF(BD$14=1,'Inputs (2)'!BD82,-BD134*Inputs!BD$272/4)</f>
        <v>0</v>
      </c>
      <c r="BE103" s="57">
        <f>IF(BE$14=1,'Inputs (2)'!BE82,-BE134*Inputs!BE$272/4)</f>
        <v>0</v>
      </c>
      <c r="BF103" s="57">
        <f>IF(BF$14=1,'Inputs (2)'!BF82,-BF134*Inputs!BF$272/4)</f>
        <v>0</v>
      </c>
      <c r="BG103" s="77">
        <f>SUM(BC103:BF103)</f>
        <v>0</v>
      </c>
    </row>
    <row r="104" hidden="1" outlineLevel="1">
      <c r="C104" s="61" t="inlineStr">
        <is>
          <t>Recuperação de Créditos Baixados como Prejuízo</t>
        </is>
      </c>
      <c r="D104" s="62" t="inlineStr">
        <is>
          <t>Recoveries</t>
        </is>
      </c>
      <c r="E104" s="57">
        <f>IF(E$14=1,'Inputs (2)'!E83,-E103*Inputs!E$274)</f>
        <v>0</v>
      </c>
      <c r="F104" s="57">
        <f>IF(F$14=1,'Inputs (2)'!F83,-F103*Inputs!F$274)</f>
        <v>0</v>
      </c>
      <c r="G104" s="57">
        <f>IF(G$14=1,'Inputs (2)'!G83,-G103*Inputs!G$274)</f>
        <v>0</v>
      </c>
      <c r="H104" s="57">
        <f>IF(H$14=1,'Inputs (2)'!H83,-H103*Inputs!H$274)</f>
        <v>0</v>
      </c>
      <c r="I104" s="77">
        <f>SUM(E104:H104)</f>
        <v>0</v>
      </c>
      <c r="J104" s="57">
        <f>IF(J$14=1,'Inputs (2)'!J83,-J103*Inputs!J$274)</f>
        <v>0</v>
      </c>
      <c r="K104" s="57">
        <f>IF(K$14=1,'Inputs (2)'!K83,-K103*Inputs!K$274)</f>
        <v>0</v>
      </c>
      <c r="L104" s="57">
        <f>IF(L$14=1,'Inputs (2)'!L83,-L103*Inputs!L$274)</f>
        <v>0</v>
      </c>
      <c r="M104" s="57">
        <f>IF(M$14=1,'Inputs (2)'!M83,-M103*Inputs!M$274)</f>
        <v>0</v>
      </c>
      <c r="N104" s="77">
        <f>SUM(J104:M104)</f>
        <v>0</v>
      </c>
      <c r="O104" s="57">
        <f>IF(O$14=1,'Inputs (2)'!O83,-O103*Inputs!O$274)</f>
        <v>0</v>
      </c>
      <c r="P104" s="57">
        <f>IF(P$14=1,'Inputs (2)'!P83,-P103*Inputs!P$274)</f>
        <v>0</v>
      </c>
      <c r="Q104" s="57">
        <f>IF(Q$14=1,'Inputs (2)'!Q83,-Q103*Inputs!Q$274)</f>
        <v>0</v>
      </c>
      <c r="R104" s="57">
        <f>IF(R$14=1,'Inputs (2)'!R83,-R103*Inputs!R$274)</f>
        <v>0</v>
      </c>
      <c r="S104" s="77">
        <f>SUM(O104:R104)</f>
        <v>0</v>
      </c>
      <c r="T104" s="57">
        <f>IF(T$14=1,'Inputs (2)'!T83,-T103*Inputs!T$274)</f>
        <v>0</v>
      </c>
      <c r="U104" s="57">
        <f>IF(U$14=1,'Inputs (2)'!U83,-U103*Inputs!U$274)</f>
        <v>0</v>
      </c>
      <c r="V104" s="57">
        <f>IF(V$14=1,'Inputs (2)'!V83,-V103*Inputs!V$274)</f>
        <v>0</v>
      </c>
      <c r="W104" s="57">
        <f>IF(W$14=1,'Inputs (2)'!W83,-W103*Inputs!W$274)</f>
        <v>0</v>
      </c>
      <c r="X104" s="77">
        <f>SUM(T104:W104)</f>
        <v>0</v>
      </c>
      <c r="Y104" s="57">
        <f>IF(Y$14=1,'Inputs (2)'!Y83,-Y103*Inputs!Y$274)</f>
        <v>0</v>
      </c>
      <c r="Z104" s="57">
        <f>IF(Z$14=1,'Inputs (2)'!Z83,-Z103*Inputs!Z$274)</f>
        <v>0</v>
      </c>
      <c r="AA104" s="57">
        <f>IF(AA$14=1,'Inputs (2)'!AA83,-AA103*Inputs!AA$274)</f>
        <v>0</v>
      </c>
      <c r="AB104" s="57">
        <f>IF(AB$14=1,'Inputs (2)'!AB83,-AB103*Inputs!AB$274)</f>
        <v>0</v>
      </c>
      <c r="AC104" s="77">
        <f>SUM(Y104:AB104)</f>
        <v>0</v>
      </c>
      <c r="AD104" s="57">
        <f>IF(AD$14=1,'Inputs (2)'!AD83,-AD103*Inputs!AD$274)</f>
        <v>0</v>
      </c>
      <c r="AE104" s="57">
        <f>IF(AE$14=1,'Inputs (2)'!AE83,-AE103*Inputs!AE$274)</f>
        <v>0</v>
      </c>
      <c r="AF104" s="57">
        <f>IF(AF$14=1,'Inputs (2)'!AF83,-AF103*Inputs!AF$274)</f>
        <v>0</v>
      </c>
      <c r="AG104" s="57">
        <f>IF(AG$14=1,'Inputs (2)'!AG83,-AG103*Inputs!AG$274)</f>
        <v>0</v>
      </c>
      <c r="AH104" s="77">
        <f>SUM(AD104:AG104)</f>
        <v>0</v>
      </c>
      <c r="AI104" s="57">
        <f>IF(AI$14=1,'Inputs (2)'!AI83,-AI103*Inputs!AI$274)</f>
        <v>0</v>
      </c>
      <c r="AJ104" s="57">
        <f>IF(AJ$14=1,'Inputs (2)'!AJ83,-AJ103*Inputs!AJ$274)</f>
        <v>0</v>
      </c>
      <c r="AK104" s="57">
        <f>IF(AK$14=1,'Inputs (2)'!AK83,-AK103*Inputs!AK$274)</f>
        <v>0</v>
      </c>
      <c r="AL104" s="57">
        <f>IF(AL$14=1,'Inputs (2)'!AL83,-AL103*Inputs!AL$274)</f>
        <v>0</v>
      </c>
      <c r="AM104" s="77">
        <f>SUM(AI104:AL104)</f>
        <v>0</v>
      </c>
      <c r="AN104" s="57">
        <f>IF(AN$14=1,'Inputs (2)'!AN83,-AN103*Inputs!AN$274)</f>
        <v>0</v>
      </c>
      <c r="AO104" s="57">
        <f>IF(AO$14=1,'Inputs (2)'!AO83,-AO103*Inputs!AO$274)</f>
        <v>0</v>
      </c>
      <c r="AP104" s="57">
        <f>IF(AP$14=1,'Inputs (2)'!AP83,-AP103*Inputs!AP$274)</f>
        <v>0</v>
      </c>
      <c r="AQ104" s="57">
        <f>IF(AQ$14=1,'Inputs (2)'!AQ83,-AQ103*Inputs!AQ$274)</f>
        <v>0</v>
      </c>
      <c r="AR104" s="77">
        <f>SUM(AN104:AQ104)</f>
        <v>0</v>
      </c>
      <c r="AS104" s="57">
        <f>IF(AS$14=1,'Inputs (2)'!AS83,-AS103*Inputs!AS$274)</f>
        <v>0</v>
      </c>
      <c r="AT104" s="57">
        <f>IF(AT$14=1,'Inputs (2)'!AT83,-AT103*Inputs!AT$274)</f>
        <v>0</v>
      </c>
      <c r="AU104" s="57">
        <f>IF(AU$14=1,'Inputs (2)'!AU83,-AU103*Inputs!AU$274)</f>
        <v>0</v>
      </c>
      <c r="AV104" s="57">
        <f>IF(AV$14=1,'Inputs (2)'!AV83,-AV103*Inputs!AV$274)</f>
        <v>0</v>
      </c>
      <c r="AW104" s="77">
        <f>SUM(AS104:AV104)</f>
        <v>0</v>
      </c>
      <c r="AX104" s="57">
        <f>IF(AX$14=1,'Inputs (2)'!AX83,-AX103*Inputs!AX$274)</f>
        <v>0</v>
      </c>
      <c r="AY104" s="57">
        <f>IF(AY$14=1,'Inputs (2)'!AY83,-AY103*Inputs!AY$274)</f>
        <v>0</v>
      </c>
      <c r="AZ104" s="57">
        <f>IF(AZ$14=1,'Inputs (2)'!AZ83,-AZ103*Inputs!AZ$274)</f>
        <v>0</v>
      </c>
      <c r="BA104" s="57">
        <f>IF(BA$14=1,'Inputs (2)'!BA83,-BA103*Inputs!BA$274)</f>
        <v>0</v>
      </c>
      <c r="BB104" s="77">
        <f>SUM(AX104:BA104)</f>
        <v>0</v>
      </c>
      <c r="BC104" s="57">
        <f>IF(BC$14=1,'Inputs (2)'!BC83,-BC103*Inputs!BC$274)</f>
        <v>0</v>
      </c>
      <c r="BD104" s="57">
        <f>IF(BD$14=1,'Inputs (2)'!BD83,-BD103*Inputs!BD$274)</f>
        <v>0</v>
      </c>
      <c r="BE104" s="57">
        <f>IF(BE$14=1,'Inputs (2)'!BE83,-BE103*Inputs!BE$274)</f>
        <v>0</v>
      </c>
      <c r="BF104" s="57">
        <f>IF(BF$14=1,'Inputs (2)'!BF83,-BF103*Inputs!BF$274)</f>
        <v>0</v>
      </c>
      <c r="BG104" s="77">
        <f>SUM(BC104:BF104)</f>
        <v>0</v>
      </c>
    </row>
    <row r="105" collapsed="1">
      <c r="C105" s="53" t="inlineStr">
        <is>
          <t>Resultado Bruto da Intermediação Financeira</t>
        </is>
      </c>
      <c r="D105" s="54" t="inlineStr">
        <is>
          <t>Gross Intermediation Result</t>
        </is>
      </c>
      <c r="E105" s="59">
        <f>E101+E102</f>
        <v>-299.911</v>
      </c>
      <c r="F105" s="59">
        <f>F101+F102</f>
        <v>-16.3540000000001</v>
      </c>
      <c r="G105" s="59">
        <f>G101+G102</f>
        <v>130.651</v>
      </c>
      <c r="H105" s="59">
        <f>H101+H102</f>
        <v>321.187</v>
      </c>
      <c r="I105" s="60">
        <f>SUM(E105:H105)</f>
        <v>135.573</v>
      </c>
      <c r="J105" s="59">
        <f>J101+J102</f>
        <v>163.067</v>
      </c>
      <c r="K105" s="59">
        <f>K101+K102</f>
        <v>409.727</v>
      </c>
      <c r="L105" s="59">
        <f>L101+L102</f>
        <v>206.833</v>
      </c>
      <c r="M105" s="59">
        <f>M101+M102</f>
        <v>251.883</v>
      </c>
      <c r="N105" s="60">
        <f>SUM(J105:M105)</f>
        <v>1031.51</v>
      </c>
      <c r="O105" s="59">
        <f>O101+O102</f>
        <v>404.891</v>
      </c>
      <c r="P105" s="59">
        <f>P101+P102</f>
        <v>374.159</v>
      </c>
      <c r="Q105" s="59">
        <f>Q101+Q102</f>
        <v>418.516</v>
      </c>
      <c r="R105" s="59">
        <f>R101+R102</f>
        <v>375.844</v>
      </c>
      <c r="S105" s="60">
        <f>SUM(O105:R105)</f>
        <v>1573.41</v>
      </c>
      <c r="T105" s="59">
        <f>T101+T102</f>
        <v>349.672</v>
      </c>
      <c r="U105" s="59">
        <f>U101+U102</f>
        <v>403.814</v>
      </c>
      <c r="V105" s="59">
        <f>V101+V102</f>
        <v>410.098</v>
      </c>
      <c r="W105" s="59">
        <f>W101+W102</f>
        <v>365.074</v>
      </c>
      <c r="X105" s="60">
        <f>SUM(T105:W105)</f>
        <v>1528.658</v>
      </c>
      <c r="Y105" s="59">
        <f>Y101+Y102</f>
        <v>393.797</v>
      </c>
      <c r="Z105" s="59">
        <f>Z101+Z102</f>
        <v>435.527</v>
      </c>
      <c r="AA105" s="59">
        <f>AA101+AA102</f>
        <v>495.221</v>
      </c>
      <c r="AB105" s="59">
        <f>AB101+AB102</f>
        <v>433.841</v>
      </c>
      <c r="AC105" s="60">
        <f>SUM(Y105:AB105)</f>
        <v>1758.386</v>
      </c>
      <c r="AD105" s="59">
        <f>AD101+AD102</f>
        <v>431.27</v>
      </c>
      <c r="AE105" s="59">
        <f>AE101+AE102</f>
        <v>448.257</v>
      </c>
      <c r="AF105" s="59">
        <f>AF101+AF102</f>
        <v>531.47</v>
      </c>
      <c r="AG105" s="59">
        <f>AG101+AG102</f>
        <v>480.413</v>
      </c>
      <c r="AH105" s="60">
        <f>SUM(AD105:AG105)</f>
        <v>1891.41</v>
      </c>
      <c r="AI105" s="59">
        <f>AI101+AI102</f>
        <v>473.942</v>
      </c>
      <c r="AJ105" s="59">
        <f>AJ101+AJ102</f>
        <v>520.468</v>
      </c>
      <c r="AK105" s="59">
        <f>AK101+AK102</f>
        <v>-73.0974525</v>
      </c>
      <c r="AL105" s="59">
        <f>AL101+AL102</f>
        <v>-73.0974525</v>
      </c>
      <c r="AM105" s="60">
        <f>SUM(AI105:AL105)</f>
        <v>848.215095</v>
      </c>
      <c r="AN105" s="59">
        <f>AN101+AN102</f>
        <v>-73.0974525</v>
      </c>
      <c r="AO105" s="59">
        <f>AO101+AO102</f>
        <v>-73.0974525</v>
      </c>
      <c r="AP105" s="59">
        <f>AP101+AP102</f>
        <v>-73.0974525</v>
      </c>
      <c r="AQ105" s="59">
        <f>AQ101+AQ102</f>
        <v>-73.0974525</v>
      </c>
      <c r="AR105" s="60">
        <f>SUM(AN105:AQ105)</f>
        <v>-292.38981</v>
      </c>
      <c r="AS105" s="59">
        <f>AS101+AS102</f>
        <v>-73.0974525</v>
      </c>
      <c r="AT105" s="59">
        <f>AT101+AT102</f>
        <v>-73.0974525</v>
      </c>
      <c r="AU105" s="59">
        <f>AU101+AU102</f>
        <v>-73.0974525</v>
      </c>
      <c r="AV105" s="59">
        <f>AV101+AV102</f>
        <v>-73.0974525</v>
      </c>
      <c r="AW105" s="60">
        <f>SUM(AS105:AV105)</f>
        <v>-292.38981</v>
      </c>
      <c r="AX105" s="59">
        <f>AX101+AX102</f>
        <v>-73.0974525</v>
      </c>
      <c r="AY105" s="59">
        <f>AY101+AY102</f>
        <v>-73.0974525</v>
      </c>
      <c r="AZ105" s="59">
        <f>AZ101+AZ102</f>
        <v>-73.0974525</v>
      </c>
      <c r="BA105" s="59">
        <f>BA101+BA102</f>
        <v>-73.0974525</v>
      </c>
      <c r="BB105" s="60">
        <f>SUM(AX105:BA105)</f>
        <v>-292.38981</v>
      </c>
      <c r="BC105" s="59">
        <f>BC101+BC102</f>
        <v>-73.0974525</v>
      </c>
      <c r="BD105" s="59">
        <f>BD101+BD102</f>
        <v>-73.0974525</v>
      </c>
      <c r="BE105" s="59">
        <f>BE101+BE102</f>
        <v>-73.0974525</v>
      </c>
      <c r="BF105" s="59">
        <f>BF101+BF102</f>
        <v>-73.0974525</v>
      </c>
      <c r="BG105" s="60">
        <f>SUM(BC105:BF105)</f>
        <v>-292.38981</v>
      </c>
    </row>
    <row r="106">
      <c r="C106" s="83" t="inlineStr">
        <is>
          <t>Outras Receitas / (Despesas) Operacionais</t>
        </is>
      </c>
      <c r="D106" s="84" t="inlineStr">
        <is>
          <t>Other Operating Income / (Expenses)</t>
        </is>
      </c>
      <c r="E106" s="85">
        <f>E107+E108+E109+E110+E111+E115+E116+E117+E118</f>
        <v>-95.238</v>
      </c>
      <c r="F106" s="85">
        <f>F107+F108+F109+F110+F111+F115+F116+F117+F118</f>
        <v>-86.133</v>
      </c>
      <c r="G106" s="85">
        <f>G107+G108+G109+G110+G111+G115+G116+G117+G118</f>
        <v>-79.662</v>
      </c>
      <c r="H106" s="85">
        <f>H107+H108+H109+H110+H111+H115+H116+H117+H118</f>
        <v>-92.135</v>
      </c>
      <c r="I106" s="60">
        <f>SUM(E106:H106)</f>
        <v>-353.168</v>
      </c>
      <c r="J106" s="85">
        <f>J107+J108+J109+J110+J111+J115+J116+J117+J118</f>
        <v>-72.547</v>
      </c>
      <c r="K106" s="85">
        <f>K107+K108+K109+K110+K111+K115+K116+K117+K118</f>
        <v>-108.647</v>
      </c>
      <c r="L106" s="85">
        <f>L107+L108+L109+L110+L111+L115+L116+L117+L118</f>
        <v>-87.429</v>
      </c>
      <c r="M106" s="85">
        <f>M107+M108+M109+M110+M111+M115+M116+M117+M118</f>
        <v>-128.264</v>
      </c>
      <c r="N106" s="60">
        <f>SUM(J106:M106)</f>
        <v>-396.887</v>
      </c>
      <c r="O106" s="85">
        <f>O107+O108+O109+O110+O111+O115+O116+O117+O118</f>
        <v>-165.72</v>
      </c>
      <c r="P106" s="85">
        <f>P107+P108+P109+P110+P111+P115+P116+P117+P118</f>
        <v>-147.468</v>
      </c>
      <c r="Q106" s="85">
        <f>Q107+Q108+Q109+Q110+Q111+Q115+Q116+Q117+Q118</f>
        <v>-173.006</v>
      </c>
      <c r="R106" s="85">
        <f>R107+R108+R109+R110+R111+R115+R116+R117+R118</f>
        <v>-169.705</v>
      </c>
      <c r="S106" s="60">
        <f>SUM(O106:R106)</f>
        <v>-655.899</v>
      </c>
      <c r="T106" s="85">
        <f>T107+T108+T109+T110+T111+T115+T116+T117+T118</f>
        <v>-179.083</v>
      </c>
      <c r="U106" s="85">
        <f>U107+U108+U109+U110+U111+U115+U116+U117+U118</f>
        <v>-215.583</v>
      </c>
      <c r="V106" s="85">
        <f>V107+V108+V109+V110+V111+V115+V116+V117+V118</f>
        <v>-181.749</v>
      </c>
      <c r="W106" s="85">
        <f>W107+W108+W109+W110+W111+W115+W116+W117+W118</f>
        <v>-150.862</v>
      </c>
      <c r="X106" s="60">
        <f>SUM(T106:W106)</f>
        <v>-727.277</v>
      </c>
      <c r="Y106" s="85">
        <f>Y107+Y108+Y109+Y110+Y111+Y115+Y116+Y117+Y118</f>
        <v>-168.731</v>
      </c>
      <c r="Z106" s="85">
        <f>Z107+Z108+Z109+Z110+Z111+Z115+Z116+Z117+Z118</f>
        <v>-174.773</v>
      </c>
      <c r="AA106" s="85">
        <f>AA107+AA108+AA109+AA110+AA111+AA115+AA116+AA117+AA118</f>
        <v>-216.806</v>
      </c>
      <c r="AB106" s="85">
        <f>AB107+AB108+AB109+AB110+AB111+AB115+AB116+AB117+AB118</f>
        <v>-202.573</v>
      </c>
      <c r="AC106" s="60">
        <f>SUM(Y106:AB106)</f>
        <v>-762.883</v>
      </c>
      <c r="AD106" s="85">
        <f>AD107+AD108+AD109+AD110+AD111+AD115+AD116+AD117+AD118</f>
        <v>-194.055</v>
      </c>
      <c r="AE106" s="85">
        <f>AE107+AE108+AE109+AE110+AE111+AE115+AE116+AE117+AE118</f>
        <v>-185.21</v>
      </c>
      <c r="AF106" s="85">
        <f>AF107+AF108+AF109+AF110+AF111+AF115+AF116+AF117+AF118</f>
        <v>-246.597</v>
      </c>
      <c r="AG106" s="85">
        <f>AG107+AG108+AG109+AG110+AG111+AG115+AG116+AG117+AG118</f>
        <v>-235.438</v>
      </c>
      <c r="AH106" s="60">
        <f>SUM(AD106:AG106)</f>
        <v>-861.3</v>
      </c>
      <c r="AI106" s="85">
        <f>AI107+AI108+AI109+AI110+AI111+AI115+AI116+AI117+AI118</f>
        <v>-232.016</v>
      </c>
      <c r="AJ106" s="85">
        <f>AJ107+AJ108+AJ109+AJ110+AJ111+AJ115+AJ116+AJ117+AJ118</f>
        <v>-250.779</v>
      </c>
      <c r="AK106" s="85">
        <f>AK107+AK108+AK109+AK110+AK111+AK115+AK116+AK117+AK118</f>
        <v>-193.186</v>
      </c>
      <c r="AL106" s="85">
        <f>AL107+AL108+AL109+AL110+AL111+AL115+AL116+AL117+AL118</f>
        <v>-182.104</v>
      </c>
      <c r="AM106" s="60">
        <f>SUM(AI106:AL106)</f>
        <v>-858.085</v>
      </c>
      <c r="AN106" s="85">
        <f>AN107+AN108+AN109+AN110+AN111+AN115+AN116+AN117+AN118</f>
        <v>-180.09</v>
      </c>
      <c r="AO106" s="85">
        <f>AO107+AO108+AO109+AO110+AO111+AO115+AO116+AO117+AO118</f>
        <v>-208.687</v>
      </c>
      <c r="AP106" s="85">
        <f>AP107+AP108+AP109+AP110+AP111+AP115+AP116+AP117+AP118</f>
        <v>-193.186</v>
      </c>
      <c r="AQ106" s="85">
        <f>AQ107+AQ108+AQ109+AQ110+AQ111+AQ115+AQ116+AQ117+AQ118</f>
        <v>-182.104</v>
      </c>
      <c r="AR106" s="60">
        <f>SUM(AN106:AQ106)</f>
        <v>-764.067</v>
      </c>
      <c r="AS106" s="85">
        <f>AS107+AS108+AS109+AS110+AS111+AS115+AS116+AS117+AS118</f>
        <v>-180.09</v>
      </c>
      <c r="AT106" s="85">
        <f>AT107+AT108+AT109+AT110+AT111+AT115+AT116+AT117+AT118</f>
        <v>-208.687</v>
      </c>
      <c r="AU106" s="85">
        <f>AU107+AU108+AU109+AU110+AU111+AU115+AU116+AU117+AU118</f>
        <v>-193.186</v>
      </c>
      <c r="AV106" s="85">
        <f>AV107+AV108+AV109+AV110+AV111+AV115+AV116+AV117+AV118</f>
        <v>-182.104</v>
      </c>
      <c r="AW106" s="60">
        <f>SUM(AS106:AV106)</f>
        <v>-764.067</v>
      </c>
      <c r="AX106" s="85">
        <f>AX107+AX108+AX109+AX110+AX111+AX115+AX116+AX117+AX118</f>
        <v>-180.09</v>
      </c>
      <c r="AY106" s="85">
        <f>AY107+AY108+AY109+AY110+AY111+AY115+AY116+AY117+AY118</f>
        <v>-208.687</v>
      </c>
      <c r="AZ106" s="85">
        <f>AZ107+AZ108+AZ109+AZ110+AZ111+AZ115+AZ116+AZ117+AZ118</f>
        <v>-193.186</v>
      </c>
      <c r="BA106" s="85">
        <f>BA107+BA108+BA109+BA110+BA111+BA115+BA116+BA117+BA118</f>
        <v>-182.104</v>
      </c>
      <c r="BB106" s="60">
        <f>SUM(AX106:BA106)</f>
        <v>-764.067</v>
      </c>
      <c r="BC106" s="85">
        <f>BC107+BC108+BC109+BC110+BC111+BC115+BC116+BC117+BC118</f>
        <v>-180.09</v>
      </c>
      <c r="BD106" s="85">
        <f>BD107+BD108+BD109+BD110+BD111+BD115+BD116+BD117+BD118</f>
        <v>-208.687</v>
      </c>
      <c r="BE106" s="85">
        <f>BE107+BE108+BE109+BE110+BE111+BE115+BE116+BE117+BE118</f>
        <v>-193.186</v>
      </c>
      <c r="BF106" s="85">
        <f>BF107+BF108+BF109+BF110+BF111+BF115+BF116+BF117+BF118</f>
        <v>-182.104</v>
      </c>
      <c r="BG106" s="60">
        <f>SUM(BC106:BF106)</f>
        <v>-764.067</v>
      </c>
    </row>
    <row r="107" hidden="1" outlineLevel="1">
      <c r="C107" s="61" t="inlineStr">
        <is>
          <t>Receitas de Prestação de Serviços e Tarifas Bancárias</t>
        </is>
      </c>
      <c r="D107" s="62" t="inlineStr">
        <is>
          <t>Fee Income</t>
        </is>
      </c>
      <c r="E107" s="57">
        <f>'Inputs (2)'!E86</f>
        <v>52.652</v>
      </c>
      <c r="F107" s="57">
        <f>'Inputs (2)'!F86</f>
        <v>60.772</v>
      </c>
      <c r="G107" s="57">
        <f>'Inputs (2)'!G86</f>
        <v>77.969</v>
      </c>
      <c r="H107" s="57">
        <f>'Inputs (2)'!H86</f>
        <v>92.583</v>
      </c>
      <c r="I107" s="77">
        <f>SUM(E107:H107)</f>
        <v>283.976</v>
      </c>
      <c r="J107" s="57">
        <f>IF(J$14=1,'Inputs (2)'!J86,E107*(1+Inputs!J$285))</f>
        <v>75.637</v>
      </c>
      <c r="K107" s="57">
        <f>IF(K$14=1,'Inputs (2)'!K86,F107*(1+Inputs!K$285))</f>
        <v>75.813</v>
      </c>
      <c r="L107" s="57">
        <f>IF(L$14=1,'Inputs (2)'!L86,G107*(1+Inputs!L$285))</f>
        <v>101.75</v>
      </c>
      <c r="M107" s="57">
        <f>IF(M$14=1,'Inputs (2)'!M86,H107*(1+Inputs!M$285))</f>
        <v>92.239</v>
      </c>
      <c r="N107" s="77">
        <f>SUM(J107:M107)</f>
        <v>345.439</v>
      </c>
      <c r="O107" s="57">
        <f>IF(O$14=1,'Inputs (2)'!O86,J107*(1+Inputs!O$285))</f>
        <v>63.498</v>
      </c>
      <c r="P107" s="57">
        <f>IF(P$14=1,'Inputs (2)'!P86,K107*(1+Inputs!P$285))</f>
        <v>109.585</v>
      </c>
      <c r="Q107" s="57">
        <f>IF(Q$14=1,'Inputs (2)'!Q86,L107*(1+Inputs!Q$285))</f>
        <v>128.49</v>
      </c>
      <c r="R107" s="57">
        <f>IF(R$14=1,'Inputs (2)'!R86,M107*(1+Inputs!R$285))</f>
        <v>100.291</v>
      </c>
      <c r="S107" s="77">
        <f>SUM(O107:R107)</f>
        <v>401.864</v>
      </c>
      <c r="T107" s="57">
        <f>IF(T$14=1,'Inputs (2)'!T86,O107*(1+Inputs!T$285))</f>
        <v>83.546</v>
      </c>
      <c r="U107" s="57">
        <f>IF(U$14=1,'Inputs (2)'!U86,P107*(1+Inputs!U$285))</f>
        <v>81.606</v>
      </c>
      <c r="V107" s="57">
        <f>IF(V$14=1,'Inputs (2)'!V86,Q107*(1+Inputs!V$285))</f>
        <v>120.158</v>
      </c>
      <c r="W107" s="57">
        <f>IF(W$14=1,'Inputs (2)'!W86,R107*(1+Inputs!W$285))</f>
        <v>110.427</v>
      </c>
      <c r="X107" s="77">
        <f>SUM(T107:W107)</f>
        <v>395.737</v>
      </c>
      <c r="Y107" s="57">
        <f>IF(Y$14=1,'Inputs (2)'!Y86,T107*(1+Inputs!Y$285))</f>
        <v>106.302</v>
      </c>
      <c r="Z107" s="57">
        <f>IF(Z$14=1,'Inputs (2)'!Z86,U107*(1+Inputs!Z$285))</f>
        <v>123.887</v>
      </c>
      <c r="AA107" s="57">
        <f>IF(AA$14=1,'Inputs (2)'!AA86,V107*(1+Inputs!AA$285))</f>
        <v>118.502</v>
      </c>
      <c r="AB107" s="57">
        <f>IF(AB$14=1,'Inputs (2)'!AB86,W107*(1+Inputs!AB$285))</f>
        <v>142.175</v>
      </c>
      <c r="AC107" s="77">
        <f>SUM(Y107:AB107)</f>
        <v>490.866</v>
      </c>
      <c r="AD107" s="57">
        <f>IF(AD$14=1,'Inputs (2)'!AD86,Y107*(1+Inputs!AD$285))</f>
        <v>106.83</v>
      </c>
      <c r="AE107" s="57">
        <f>IF(AE$14=1,'Inputs (2)'!AE86,Z107*(1+Inputs!AE$285))</f>
        <v>116.296</v>
      </c>
      <c r="AF107" s="57">
        <f>IF(AF$14=1,'Inputs (2)'!AF86,AA107*(1+Inputs!AF$285))</f>
        <v>109.203</v>
      </c>
      <c r="AG107" s="57">
        <f>IF(AG$14=1,'Inputs (2)'!AG86,AB107*(1+Inputs!AG$285))</f>
        <v>134.017</v>
      </c>
      <c r="AH107" s="77">
        <f>SUM(AD107:AG107)</f>
        <v>466.346</v>
      </c>
      <c r="AI107" s="57">
        <f>IF(AI$14=1,'Inputs (2)'!AI86,AD107*(1+Inputs!AI$285))</f>
        <v>129.966</v>
      </c>
      <c r="AJ107" s="57">
        <f>IF(AJ$14=1,'Inputs (2)'!AJ86,AE107*(1+Inputs!AJ$285))</f>
        <v>113.136</v>
      </c>
      <c r="AK107" s="57">
        <f>IF(AK$14=1,'Inputs (2)'!AK86,AF107*(1+Inputs!AK$285))</f>
        <v>109.203</v>
      </c>
      <c r="AL107" s="57">
        <f>IF(AL$14=1,'Inputs (2)'!AL86,AG107*(1+Inputs!AL$285))</f>
        <v>134.017</v>
      </c>
      <c r="AM107" s="77">
        <f>SUM(AI107:AL107)</f>
        <v>486.322</v>
      </c>
      <c r="AN107" s="57">
        <f>IF(AN$14=1,'Inputs (2)'!AN86,AI107*(1+Inputs!AN$285))</f>
        <v>129.966</v>
      </c>
      <c r="AO107" s="57">
        <f>IF(AO$14=1,'Inputs (2)'!AO86,AJ107*(1+Inputs!AO$285))</f>
        <v>113.136</v>
      </c>
      <c r="AP107" s="57">
        <f>IF(AP$14=1,'Inputs (2)'!AP86,AK107*(1+Inputs!AP$285))</f>
        <v>109.203</v>
      </c>
      <c r="AQ107" s="57">
        <f>IF(AQ$14=1,'Inputs (2)'!AQ86,AL107*(1+Inputs!AQ$285))</f>
        <v>134.017</v>
      </c>
      <c r="AR107" s="77">
        <f>SUM(AN107:AQ107)</f>
        <v>486.322</v>
      </c>
      <c r="AS107" s="57">
        <f>IF(AS$14=1,'Inputs (2)'!AS86,AN107*(1+Inputs!AS$285))</f>
        <v>129.966</v>
      </c>
      <c r="AT107" s="57">
        <f>IF(AT$14=1,'Inputs (2)'!AT86,AO107*(1+Inputs!AT$285))</f>
        <v>113.136</v>
      </c>
      <c r="AU107" s="57">
        <f>IF(AU$14=1,'Inputs (2)'!AU86,AP107*(1+Inputs!AU$285))</f>
        <v>109.203</v>
      </c>
      <c r="AV107" s="57">
        <f>IF(AV$14=1,'Inputs (2)'!AV86,AQ107*(1+Inputs!AV$285))</f>
        <v>134.017</v>
      </c>
      <c r="AW107" s="77">
        <f>SUM(AS107:AV107)</f>
        <v>486.322</v>
      </c>
      <c r="AX107" s="57">
        <f>IF(AX$14=1,'Inputs (2)'!AX86,AS107*(1+Inputs!AX$285))</f>
        <v>129.966</v>
      </c>
      <c r="AY107" s="57">
        <f>IF(AY$14=1,'Inputs (2)'!AY86,AT107*(1+Inputs!AY$285))</f>
        <v>113.136</v>
      </c>
      <c r="AZ107" s="57">
        <f>IF(AZ$14=1,'Inputs (2)'!AZ86,AU107*(1+Inputs!AZ$285))</f>
        <v>109.203</v>
      </c>
      <c r="BA107" s="57">
        <f>IF(BA$14=1,'Inputs (2)'!BA86,AV107*(1+Inputs!BA$285))</f>
        <v>134.017</v>
      </c>
      <c r="BB107" s="77">
        <f>SUM(AX107:BA107)</f>
        <v>486.322</v>
      </c>
      <c r="BC107" s="57">
        <f>IF(BC$14=1,'Inputs (2)'!BC86,AX107*(1+Inputs!BC$285))</f>
        <v>129.966</v>
      </c>
      <c r="BD107" s="57">
        <f>IF(BD$14=1,'Inputs (2)'!BD86,AY107*(1+Inputs!BD$285))</f>
        <v>113.136</v>
      </c>
      <c r="BE107" s="57">
        <f>IF(BE$14=1,'Inputs (2)'!BE86,AZ107*(1+Inputs!BE$285))</f>
        <v>109.203</v>
      </c>
      <c r="BF107" s="57">
        <f>IF(BF$14=1,'Inputs (2)'!BF86,BA107*(1+Inputs!BF$285))</f>
        <v>134.017</v>
      </c>
      <c r="BG107" s="77">
        <f>SUM(BC107:BF107)</f>
        <v>486.322</v>
      </c>
    </row>
    <row r="108" hidden="1" outlineLevel="1">
      <c r="C108" s="61" t="inlineStr">
        <is>
          <t>Resultado de Seguros, Previdência e Capitalização</t>
        </is>
      </c>
      <c r="D108" s="62" t="inlineStr">
        <is>
          <t>Insurance Result</t>
        </is>
      </c>
      <c r="E108" s="57">
        <f>'Inputs (2)'!E87</f>
        <v>0</v>
      </c>
      <c r="F108" s="57">
        <f>'Inputs (2)'!F87</f>
        <v>0</v>
      </c>
      <c r="G108" s="57">
        <f>'Inputs (2)'!G87</f>
        <v>0</v>
      </c>
      <c r="H108" s="57">
        <f>'Inputs (2)'!H87</f>
        <v>0</v>
      </c>
      <c r="I108" s="77">
        <f>SUM(E108:H108)</f>
        <v>0</v>
      </c>
      <c r="J108" s="57">
        <f>IF(J$14=1,'Inputs (2)'!J87,E108*(1+Inputs!J$286))</f>
        <v>0</v>
      </c>
      <c r="K108" s="57">
        <f>IF(K$14=1,'Inputs (2)'!K87,F108*(1+Inputs!K$286))</f>
        <v>0</v>
      </c>
      <c r="L108" s="57">
        <f>IF(L$14=1,'Inputs (2)'!L87,G108*(1+Inputs!L$286))</f>
        <v>0</v>
      </c>
      <c r="M108" s="57">
        <f>IF(M$14=1,'Inputs (2)'!M87,H108*(1+Inputs!M$286))</f>
        <v>0</v>
      </c>
      <c r="N108" s="77">
        <f>SUM(J108:M108)</f>
        <v>0</v>
      </c>
      <c r="O108" s="57">
        <f>IF(O$14=1,'Inputs (2)'!O87,J108*(1+Inputs!O$286))</f>
        <v>0</v>
      </c>
      <c r="P108" s="57">
        <f>IF(P$14=1,'Inputs (2)'!P87,K108*(1+Inputs!P$286))</f>
        <v>0</v>
      </c>
      <c r="Q108" s="57">
        <f>IF(Q$14=1,'Inputs (2)'!Q87,L108*(1+Inputs!Q$286))</f>
        <v>0</v>
      </c>
      <c r="R108" s="57">
        <f>IF(R$14=1,'Inputs (2)'!R87,M108*(1+Inputs!R$286))</f>
        <v>0</v>
      </c>
      <c r="S108" s="77">
        <f>SUM(O108:R108)</f>
        <v>0</v>
      </c>
      <c r="T108" s="57">
        <f>IF(T$14=1,'Inputs (2)'!T87,O108*(1+Inputs!T$286))</f>
        <v>0</v>
      </c>
      <c r="U108" s="57">
        <f>IF(U$14=1,'Inputs (2)'!U87,P108*(1+Inputs!U$286))</f>
        <v>0</v>
      </c>
      <c r="V108" s="57">
        <f>IF(V$14=1,'Inputs (2)'!V87,Q108*(1+Inputs!V$286))</f>
        <v>0</v>
      </c>
      <c r="W108" s="57">
        <f>IF(W$14=1,'Inputs (2)'!W87,R108*(1+Inputs!W$286))</f>
        <v>0</v>
      </c>
      <c r="X108" s="77">
        <f>SUM(T108:W108)</f>
        <v>0</v>
      </c>
      <c r="Y108" s="57">
        <f>IF(Y$14=1,'Inputs (2)'!Y87,T108*(1+Inputs!Y$286))</f>
        <v>0</v>
      </c>
      <c r="Z108" s="57">
        <f>IF(Z$14=1,'Inputs (2)'!Z87,U108*(1+Inputs!Z$286))</f>
        <v>0</v>
      </c>
      <c r="AA108" s="57">
        <f>IF(AA$14=1,'Inputs (2)'!AA87,V108*(1+Inputs!AA$286))</f>
        <v>0</v>
      </c>
      <c r="AB108" s="57">
        <f>IF(AB$14=1,'Inputs (2)'!AB87,W108*(1+Inputs!AB$286))</f>
        <v>0</v>
      </c>
      <c r="AC108" s="77">
        <f>SUM(Y108:AB108)</f>
        <v>0</v>
      </c>
      <c r="AD108" s="57">
        <f>IF(AD$14=1,'Inputs (2)'!AD87,Y108*(1+Inputs!AD$286))</f>
        <v>0</v>
      </c>
      <c r="AE108" s="57">
        <f>IF(AE$14=1,'Inputs (2)'!AE87,Z108*(1+Inputs!AE$286))</f>
        <v>0</v>
      </c>
      <c r="AF108" s="57">
        <f>IF(AF$14=1,'Inputs (2)'!AF87,AA108*(1+Inputs!AF$286))</f>
        <v>0</v>
      </c>
      <c r="AG108" s="57">
        <f>IF(AG$14=1,'Inputs (2)'!AG87,AB108*(1+Inputs!AG$286))</f>
        <v>0</v>
      </c>
      <c r="AH108" s="77">
        <f>SUM(AD108:AG108)</f>
        <v>0</v>
      </c>
      <c r="AI108" s="57">
        <f>IF(AI$14=1,'Inputs (2)'!AI87,AD108*(1+Inputs!AI$286))</f>
        <v>0</v>
      </c>
      <c r="AJ108" s="57">
        <f>IF(AJ$14=1,'Inputs (2)'!AJ87,AE108*(1+Inputs!AJ$286))</f>
        <v>0</v>
      </c>
      <c r="AK108" s="57">
        <f>IF(AK$14=1,'Inputs (2)'!AK87,AF108*(1+Inputs!AK$286))</f>
        <v>0</v>
      </c>
      <c r="AL108" s="57">
        <f>IF(AL$14=1,'Inputs (2)'!AL87,AG108*(1+Inputs!AL$286))</f>
        <v>0</v>
      </c>
      <c r="AM108" s="77">
        <f>SUM(AI108:AL108)</f>
        <v>0</v>
      </c>
      <c r="AN108" s="57">
        <f>IF(AN$14=1,'Inputs (2)'!AN87,AI108*(1+Inputs!AN$286))</f>
        <v>0</v>
      </c>
      <c r="AO108" s="57">
        <f>IF(AO$14=1,'Inputs (2)'!AO87,AJ108*(1+Inputs!AO$286))</f>
        <v>0</v>
      </c>
      <c r="AP108" s="57">
        <f>IF(AP$14=1,'Inputs (2)'!AP87,AK108*(1+Inputs!AP$286))</f>
        <v>0</v>
      </c>
      <c r="AQ108" s="57">
        <f>IF(AQ$14=1,'Inputs (2)'!AQ87,AL108*(1+Inputs!AQ$286))</f>
        <v>0</v>
      </c>
      <c r="AR108" s="77">
        <f>SUM(AN108:AQ108)</f>
        <v>0</v>
      </c>
      <c r="AS108" s="57">
        <f>IF(AS$14=1,'Inputs (2)'!AS87,AN108*(1+Inputs!AS$286))</f>
        <v>0</v>
      </c>
      <c r="AT108" s="57">
        <f>IF(AT$14=1,'Inputs (2)'!AT87,AO108*(1+Inputs!AT$286))</f>
        <v>0</v>
      </c>
      <c r="AU108" s="57">
        <f>IF(AU$14=1,'Inputs (2)'!AU87,AP108*(1+Inputs!AU$286))</f>
        <v>0</v>
      </c>
      <c r="AV108" s="57">
        <f>IF(AV$14=1,'Inputs (2)'!AV87,AQ108*(1+Inputs!AV$286))</f>
        <v>0</v>
      </c>
      <c r="AW108" s="77">
        <f>SUM(AS108:AV108)</f>
        <v>0</v>
      </c>
      <c r="AX108" s="57">
        <f>IF(AX$14=1,'Inputs (2)'!AX87,AS108*(1+Inputs!AX$286))</f>
        <v>0</v>
      </c>
      <c r="AY108" s="57">
        <f>IF(AY$14=1,'Inputs (2)'!AY87,AT108*(1+Inputs!AY$286))</f>
        <v>0</v>
      </c>
      <c r="AZ108" s="57">
        <f>IF(AZ$14=1,'Inputs (2)'!AZ87,AU108*(1+Inputs!AZ$286))</f>
        <v>0</v>
      </c>
      <c r="BA108" s="57">
        <f>IF(BA$14=1,'Inputs (2)'!BA87,AV108*(1+Inputs!BA$286))</f>
        <v>0</v>
      </c>
      <c r="BB108" s="77">
        <f>SUM(AX108:BA108)</f>
        <v>0</v>
      </c>
      <c r="BC108" s="57">
        <f>IF(BC$14=1,'Inputs (2)'!BC87,AX108*(1+Inputs!BC$286))</f>
        <v>0</v>
      </c>
      <c r="BD108" s="57">
        <f>IF(BD$14=1,'Inputs (2)'!BD87,AY108*(1+Inputs!BD$286))</f>
        <v>0</v>
      </c>
      <c r="BE108" s="57">
        <f>IF(BE$14=1,'Inputs (2)'!BE87,AZ108*(1+Inputs!BE$286))</f>
        <v>0</v>
      </c>
      <c r="BF108" s="57">
        <f>IF(BF$14=1,'Inputs (2)'!BF87,BA108*(1+Inputs!BF$286))</f>
        <v>0</v>
      </c>
      <c r="BG108" s="77">
        <f>SUM(BC108:BF108)</f>
        <v>0</v>
      </c>
    </row>
    <row r="109" hidden="1" outlineLevel="1">
      <c r="C109" s="61" t="inlineStr">
        <is>
          <t>(Despesas de Pessoal)</t>
        </is>
      </c>
      <c r="D109" s="62" t="inlineStr">
        <is>
          <t>(Personnel Expenses)</t>
        </is>
      </c>
      <c r="E109" s="57">
        <f>'Inputs (2)'!E88</f>
        <v>-97.63</v>
      </c>
      <c r="F109" s="57">
        <f>'Inputs (2)'!F88</f>
        <v>-87.811</v>
      </c>
      <c r="G109" s="57">
        <f>'Inputs (2)'!G88</f>
        <v>-89.314</v>
      </c>
      <c r="H109" s="57">
        <f>'Inputs (2)'!H88</f>
        <v>-98.417</v>
      </c>
      <c r="I109" s="77">
        <f>SUM(E109:H109)</f>
        <v>-373.172</v>
      </c>
      <c r="J109" s="57">
        <f>IF(J$14=1,'Inputs (2)'!J88,E109*(1+Inputs!J$287))</f>
        <v>-104.394</v>
      </c>
      <c r="K109" s="57">
        <f>IF(K$14=1,'Inputs (2)'!K88,F109*(1+Inputs!K$287))</f>
        <v>-106.329</v>
      </c>
      <c r="L109" s="57">
        <f>IF(L$14=1,'Inputs (2)'!L88,G109*(1+Inputs!L$287))</f>
        <v>-112.23</v>
      </c>
      <c r="M109" s="57">
        <f>IF(M$14=1,'Inputs (2)'!M88,H109*(1+Inputs!M$287))</f>
        <v>-124.27</v>
      </c>
      <c r="N109" s="77">
        <f>SUM(J109:M109)</f>
        <v>-447.223</v>
      </c>
      <c r="O109" s="57">
        <f>IF(O$14=1,'Inputs (2)'!O88,J109*(1+Inputs!O$287))</f>
        <v>-146.568</v>
      </c>
      <c r="P109" s="57">
        <f>IF(P$14=1,'Inputs (2)'!P88,K109*(1+Inputs!P$287))</f>
        <v>-155.449</v>
      </c>
      <c r="Q109" s="57">
        <f>IF(Q$14=1,'Inputs (2)'!Q88,L109*(1+Inputs!Q$287))</f>
        <v>-176.984</v>
      </c>
      <c r="R109" s="57">
        <f>IF(R$14=1,'Inputs (2)'!R88,M109*(1+Inputs!R$287))</f>
        <v>-176.463</v>
      </c>
      <c r="S109" s="77">
        <f>SUM(O109:R109)</f>
        <v>-655.464</v>
      </c>
      <c r="T109" s="57">
        <f>IF(T$14=1,'Inputs (2)'!T88,O109*(1+Inputs!T$287))</f>
        <v>-172.06</v>
      </c>
      <c r="U109" s="57">
        <f>IF(U$14=1,'Inputs (2)'!U88,P109*(1+Inputs!U$287))</f>
        <v>-175.931</v>
      </c>
      <c r="V109" s="57">
        <f>IF(V$14=1,'Inputs (2)'!V88,Q109*(1+Inputs!V$287))</f>
        <v>-196.158</v>
      </c>
      <c r="W109" s="57">
        <f>IF(W$14=1,'Inputs (2)'!W88,R109*(1+Inputs!W$287))</f>
        <v>-192.507</v>
      </c>
      <c r="X109" s="77">
        <f>SUM(T109:W109)</f>
        <v>-736.656</v>
      </c>
      <c r="Y109" s="57">
        <f>IF(Y$14=1,'Inputs (2)'!Y88,T109*(1+Inputs!Y$287))</f>
        <v>-186.606</v>
      </c>
      <c r="Z109" s="57">
        <f>IF(Z$14=1,'Inputs (2)'!Z88,U109*(1+Inputs!Z$287))</f>
        <v>-190.803</v>
      </c>
      <c r="AA109" s="57">
        <f>IF(AA$14=1,'Inputs (2)'!AA88,V109*(1+Inputs!AA$287))</f>
        <v>-199.502</v>
      </c>
      <c r="AB109" s="57">
        <f>IF(AB$14=1,'Inputs (2)'!AB88,W109*(1+Inputs!AB$287))</f>
        <v>-203.663</v>
      </c>
      <c r="AC109" s="77">
        <f>SUM(Y109:AB109)</f>
        <v>-780.574</v>
      </c>
      <c r="AD109" s="57">
        <f>IF(AD$14=1,'Inputs (2)'!AD88,Y109*(1+Inputs!AD$287))</f>
        <v>-194.99</v>
      </c>
      <c r="AE109" s="57">
        <f>IF(AE$14=1,'Inputs (2)'!AE88,Z109*(1+Inputs!AE$287))</f>
        <v>-182.363</v>
      </c>
      <c r="AF109" s="57">
        <f>IF(AF$14=1,'Inputs (2)'!AF88,AA109*(1+Inputs!AF$287))</f>
        <v>-208.114</v>
      </c>
      <c r="AG109" s="57">
        <f>IF(AG$14=1,'Inputs (2)'!AG88,AB109*(1+Inputs!AG$287))</f>
        <v>-216.139</v>
      </c>
      <c r="AH109" s="77">
        <f>SUM(AD109:AG109)</f>
        <v>-801.606</v>
      </c>
      <c r="AI109" s="57">
        <f>IF(AI$14=1,'Inputs (2)'!AI88,AD109*(1+Inputs!AI$287))</f>
        <v>-218.313</v>
      </c>
      <c r="AJ109" s="57">
        <f>IF(AJ$14=1,'Inputs (2)'!AJ88,AE109*(1+Inputs!AJ$287))</f>
        <v>-218.71</v>
      </c>
      <c r="AK109" s="57">
        <f>IF(AK$14=1,'Inputs (2)'!AK88,AF109*(1+Inputs!AK$287))</f>
        <v>-208.114</v>
      </c>
      <c r="AL109" s="57">
        <f>IF(AL$14=1,'Inputs (2)'!AL88,AG109*(1+Inputs!AL$287))</f>
        <v>-216.139</v>
      </c>
      <c r="AM109" s="77">
        <f>SUM(AI109:AL109)</f>
        <v>-861.276</v>
      </c>
      <c r="AN109" s="57">
        <f>IF(AN$14=1,'Inputs (2)'!AN88,AI109*(1+Inputs!AN$287))</f>
        <v>-218.313</v>
      </c>
      <c r="AO109" s="57">
        <f>IF(AO$14=1,'Inputs (2)'!AO88,AJ109*(1+Inputs!AO$287))</f>
        <v>-218.71</v>
      </c>
      <c r="AP109" s="57">
        <f>IF(AP$14=1,'Inputs (2)'!AP88,AK109*(1+Inputs!AP$287))</f>
        <v>-208.114</v>
      </c>
      <c r="AQ109" s="57">
        <f>IF(AQ$14=1,'Inputs (2)'!AQ88,AL109*(1+Inputs!AQ$287))</f>
        <v>-216.139</v>
      </c>
      <c r="AR109" s="77">
        <f>SUM(AN109:AQ109)</f>
        <v>-861.276</v>
      </c>
      <c r="AS109" s="57">
        <f>IF(AS$14=1,'Inputs (2)'!AS88,AN109*(1+Inputs!AS$287))</f>
        <v>-218.313</v>
      </c>
      <c r="AT109" s="57">
        <f>IF(AT$14=1,'Inputs (2)'!AT88,AO109*(1+Inputs!AT$287))</f>
        <v>-218.71</v>
      </c>
      <c r="AU109" s="57">
        <f>IF(AU$14=1,'Inputs (2)'!AU88,AP109*(1+Inputs!AU$287))</f>
        <v>-208.114</v>
      </c>
      <c r="AV109" s="57">
        <f>IF(AV$14=1,'Inputs (2)'!AV88,AQ109*(1+Inputs!AV$287))</f>
        <v>-216.139</v>
      </c>
      <c r="AW109" s="77">
        <f>SUM(AS109:AV109)</f>
        <v>-861.276</v>
      </c>
      <c r="AX109" s="57">
        <f>IF(AX$14=1,'Inputs (2)'!AX88,AS109*(1+Inputs!AX$287))</f>
        <v>-218.313</v>
      </c>
      <c r="AY109" s="57">
        <f>IF(AY$14=1,'Inputs (2)'!AY88,AT109*(1+Inputs!AY$287))</f>
        <v>-218.71</v>
      </c>
      <c r="AZ109" s="57">
        <f>IF(AZ$14=1,'Inputs (2)'!AZ88,AU109*(1+Inputs!AZ$287))</f>
        <v>-208.114</v>
      </c>
      <c r="BA109" s="57">
        <f>IF(BA$14=1,'Inputs (2)'!BA88,AV109*(1+Inputs!BA$287))</f>
        <v>-216.139</v>
      </c>
      <c r="BB109" s="77">
        <f>SUM(AX109:BA109)</f>
        <v>-861.276</v>
      </c>
      <c r="BC109" s="57">
        <f>IF(BC$14=1,'Inputs (2)'!BC88,AX109*(1+Inputs!BC$287))</f>
        <v>-218.313</v>
      </c>
      <c r="BD109" s="57">
        <f>IF(BD$14=1,'Inputs (2)'!BD88,AY109*(1+Inputs!BD$287))</f>
        <v>-218.71</v>
      </c>
      <c r="BE109" s="57">
        <f>IF(BE$14=1,'Inputs (2)'!BE88,AZ109*(1+Inputs!BE$287))</f>
        <v>-208.114</v>
      </c>
      <c r="BF109" s="57">
        <f>IF(BF$14=1,'Inputs (2)'!BF88,BA109*(1+Inputs!BF$287))</f>
        <v>-216.139</v>
      </c>
      <c r="BG109" s="77">
        <f>SUM(BC109:BF109)</f>
        <v>-861.276</v>
      </c>
    </row>
    <row r="110" hidden="1" outlineLevel="1">
      <c r="C110" s="61" t="inlineStr">
        <is>
          <t>(Outras Despesas Administrativas)</t>
        </is>
      </c>
      <c r="D110" s="62" t="inlineStr">
        <is>
          <t>(Other Admin Expenses)</t>
        </is>
      </c>
      <c r="E110" s="57">
        <f>'Inputs (2)'!E89</f>
        <v>-40.065</v>
      </c>
      <c r="F110" s="57">
        <f>'Inputs (2)'!F89</f>
        <v>-36.804</v>
      </c>
      <c r="G110" s="57">
        <f>'Inputs (2)'!G89</f>
        <v>-37.382</v>
      </c>
      <c r="H110" s="57">
        <f>'Inputs (2)'!H89</f>
        <v>-46.465</v>
      </c>
      <c r="I110" s="77">
        <f>SUM(E110:H110)</f>
        <v>-160.716</v>
      </c>
      <c r="J110" s="57">
        <f>IF(J$14=1,'Inputs (2)'!J89,E110*(1+Inputs!J$288))</f>
        <v>-37.439</v>
      </c>
      <c r="K110" s="57">
        <f>IF(K$14=1,'Inputs (2)'!K89,F110*(1+Inputs!K$288))</f>
        <v>-46.162</v>
      </c>
      <c r="L110" s="57">
        <f>IF(L$14=1,'Inputs (2)'!L89,G110*(1+Inputs!L$288))</f>
        <v>-47.23</v>
      </c>
      <c r="M110" s="57">
        <f>IF(M$14=1,'Inputs (2)'!M89,H110*(1+Inputs!M$288))</f>
        <v>-50.687</v>
      </c>
      <c r="N110" s="77">
        <f>SUM(J110:M110)</f>
        <v>-181.518</v>
      </c>
      <c r="O110" s="57">
        <f>IF(O$14=1,'Inputs (2)'!O89,J110*(1+Inputs!O$288))</f>
        <v>-52.673</v>
      </c>
      <c r="P110" s="57">
        <f>IF(P$14=1,'Inputs (2)'!P89,K110*(1+Inputs!P$288))</f>
        <v>-64.818</v>
      </c>
      <c r="Q110" s="57">
        <f>IF(Q$14=1,'Inputs (2)'!Q89,L110*(1+Inputs!Q$288))</f>
        <v>-68.453</v>
      </c>
      <c r="R110" s="57">
        <f>IF(R$14=1,'Inputs (2)'!R89,M110*(1+Inputs!R$288))</f>
        <v>-77.202</v>
      </c>
      <c r="S110" s="77">
        <f>SUM(O110:R110)</f>
        <v>-263.146</v>
      </c>
      <c r="T110" s="57">
        <f>IF(T$14=1,'Inputs (2)'!T89,O110*(1+Inputs!T$288))</f>
        <v>-70.243</v>
      </c>
      <c r="U110" s="57">
        <f>IF(U$14=1,'Inputs (2)'!U89,P110*(1+Inputs!U$288))</f>
        <v>-74.885</v>
      </c>
      <c r="V110" s="57">
        <f>IF(V$14=1,'Inputs (2)'!V89,Q110*(1+Inputs!V$288))</f>
        <v>-77.791</v>
      </c>
      <c r="W110" s="57">
        <f>IF(W$14=1,'Inputs (2)'!W89,R110*(1+Inputs!W$288))</f>
        <v>-80.517</v>
      </c>
      <c r="X110" s="77">
        <f>SUM(T110:W110)</f>
        <v>-303.436</v>
      </c>
      <c r="Y110" s="57">
        <f>IF(Y$14=1,'Inputs (2)'!Y89,T110*(1+Inputs!Y$288))</f>
        <v>-83.904</v>
      </c>
      <c r="Z110" s="57">
        <f>IF(Z$14=1,'Inputs (2)'!Z89,U110*(1+Inputs!Z$288))</f>
        <v>-84.789</v>
      </c>
      <c r="AA110" s="57">
        <f>IF(AA$14=1,'Inputs (2)'!AA89,V110*(1+Inputs!AA$288))</f>
        <v>-89.42</v>
      </c>
      <c r="AB110" s="57">
        <f>IF(AB$14=1,'Inputs (2)'!AB89,W110*(1+Inputs!AB$288))</f>
        <v>-95.019</v>
      </c>
      <c r="AC110" s="77">
        <f>SUM(Y110:AB110)</f>
        <v>-353.132</v>
      </c>
      <c r="AD110" s="57">
        <f>IF(AD$14=1,'Inputs (2)'!AD89,Y110*(1+Inputs!AD$288))</f>
        <v>-92.788</v>
      </c>
      <c r="AE110" s="57">
        <f>IF(AE$14=1,'Inputs (2)'!AE89,Z110*(1+Inputs!AE$288))</f>
        <v>-87.201</v>
      </c>
      <c r="AF110" s="57">
        <f>IF(AF$14=1,'Inputs (2)'!AF89,AA110*(1+Inputs!AF$288))</f>
        <v>-96.091</v>
      </c>
      <c r="AG110" s="57">
        <f>IF(AG$14=1,'Inputs (2)'!AG89,AB110*(1+Inputs!AG$288))</f>
        <v>-101.798</v>
      </c>
      <c r="AH110" s="77">
        <f>SUM(AD110:AG110)</f>
        <v>-377.878</v>
      </c>
      <c r="AI110" s="57">
        <f>IF(AI$14=1,'Inputs (2)'!AI89,AD110*(1+Inputs!AI$288))</f>
        <v>-93.559</v>
      </c>
      <c r="AJ110" s="57">
        <f>IF(AJ$14=1,'Inputs (2)'!AJ89,AE110*(1+Inputs!AJ$288))</f>
        <v>-104.929</v>
      </c>
      <c r="AK110" s="57">
        <f>IF(AK$14=1,'Inputs (2)'!AK89,AF110*(1+Inputs!AK$288))</f>
        <v>-96.091</v>
      </c>
      <c r="AL110" s="57">
        <f>IF(AL$14=1,'Inputs (2)'!AL89,AG110*(1+Inputs!AL$288))</f>
        <v>-101.798</v>
      </c>
      <c r="AM110" s="77">
        <f>SUM(AI110:AL110)</f>
        <v>-396.377</v>
      </c>
      <c r="AN110" s="57">
        <f>IF(AN$14=1,'Inputs (2)'!AN89,AI110*(1+Inputs!AN$288))</f>
        <v>-93.559</v>
      </c>
      <c r="AO110" s="57">
        <f>IF(AO$14=1,'Inputs (2)'!AO89,AJ110*(1+Inputs!AO$288))</f>
        <v>-104.929</v>
      </c>
      <c r="AP110" s="57">
        <f>IF(AP$14=1,'Inputs (2)'!AP89,AK110*(1+Inputs!AP$288))</f>
        <v>-96.091</v>
      </c>
      <c r="AQ110" s="57">
        <f>IF(AQ$14=1,'Inputs (2)'!AQ89,AL110*(1+Inputs!AQ$288))</f>
        <v>-101.798</v>
      </c>
      <c r="AR110" s="77">
        <f>SUM(AN110:AQ110)</f>
        <v>-396.377</v>
      </c>
      <c r="AS110" s="57">
        <f>IF(AS$14=1,'Inputs (2)'!AS89,AN110*(1+Inputs!AS$288))</f>
        <v>-93.559</v>
      </c>
      <c r="AT110" s="57">
        <f>IF(AT$14=1,'Inputs (2)'!AT89,AO110*(1+Inputs!AT$288))</f>
        <v>-104.929</v>
      </c>
      <c r="AU110" s="57">
        <f>IF(AU$14=1,'Inputs (2)'!AU89,AP110*(1+Inputs!AU$288))</f>
        <v>-96.091</v>
      </c>
      <c r="AV110" s="57">
        <f>IF(AV$14=1,'Inputs (2)'!AV89,AQ110*(1+Inputs!AV$288))</f>
        <v>-101.798</v>
      </c>
      <c r="AW110" s="77">
        <f>SUM(AS110:AV110)</f>
        <v>-396.377</v>
      </c>
      <c r="AX110" s="57">
        <f>IF(AX$14=1,'Inputs (2)'!AX89,AS110*(1+Inputs!AX$288))</f>
        <v>-93.559</v>
      </c>
      <c r="AY110" s="57">
        <f>IF(AY$14=1,'Inputs (2)'!AY89,AT110*(1+Inputs!AY$288))</f>
        <v>-104.929</v>
      </c>
      <c r="AZ110" s="57">
        <f>IF(AZ$14=1,'Inputs (2)'!AZ89,AU110*(1+Inputs!AZ$288))</f>
        <v>-96.091</v>
      </c>
      <c r="BA110" s="57">
        <f>IF(BA$14=1,'Inputs (2)'!BA89,AV110*(1+Inputs!BA$288))</f>
        <v>-101.798</v>
      </c>
      <c r="BB110" s="77">
        <f>SUM(AX110:BA110)</f>
        <v>-396.377</v>
      </c>
      <c r="BC110" s="57">
        <f>IF(BC$14=1,'Inputs (2)'!BC89,AX110*(1+Inputs!BC$288))</f>
        <v>-93.559</v>
      </c>
      <c r="BD110" s="57">
        <f>IF(BD$14=1,'Inputs (2)'!BD89,AY110*(1+Inputs!BD$288))</f>
        <v>-104.929</v>
      </c>
      <c r="BE110" s="57">
        <f>IF(BE$14=1,'Inputs (2)'!BE89,AZ110*(1+Inputs!BE$288))</f>
        <v>-96.091</v>
      </c>
      <c r="BF110" s="57">
        <f>IF(BF$14=1,'Inputs (2)'!BF89,BA110*(1+Inputs!BF$288))</f>
        <v>-101.798</v>
      </c>
      <c r="BG110" s="77">
        <f>SUM(BC110:BF110)</f>
        <v>-396.377</v>
      </c>
    </row>
    <row r="111" hidden="1" outlineLevel="1">
      <c r="C111" s="63" t="inlineStr">
        <is>
          <t>(Despesas de Demais Provisões)</t>
        </is>
      </c>
      <c r="D111" s="64" t="inlineStr">
        <is>
          <t>(Other Provision Expenses)</t>
        </is>
      </c>
      <c r="E111" s="86">
        <f>IF(E$14=1,E112+E113+E114,-E140*Inputs!E$289)</f>
        <v>0</v>
      </c>
      <c r="F111" s="86">
        <f>IF(F$14=1,F112+F113+F114,-F140*Inputs!F$289)</f>
        <v>0</v>
      </c>
      <c r="G111" s="86">
        <f>IF(G$14=1,G112+G113+G114,-G140*Inputs!G$289)</f>
        <v>0</v>
      </c>
      <c r="H111" s="86">
        <f>IF(H$14=1,H112+H113+H114,-H140*Inputs!H$289)</f>
        <v>0</v>
      </c>
      <c r="I111" s="60">
        <f>SUM(E111:H111)</f>
        <v>0</v>
      </c>
      <c r="J111" s="86">
        <f>IF(J$14=1,J112+J113+J114,-J140*Inputs!J$289)</f>
        <v>0</v>
      </c>
      <c r="K111" s="86">
        <f>IF(K$14=1,K112+K113+K114,-K140*Inputs!K$289)</f>
        <v>0</v>
      </c>
      <c r="L111" s="86">
        <f>IF(L$14=1,L112+L113+L114,-L140*Inputs!L$289)</f>
        <v>0</v>
      </c>
      <c r="M111" s="86">
        <f>IF(M$14=1,M112+M113+M114,-M140*Inputs!M$289)</f>
        <v>0</v>
      </c>
      <c r="N111" s="60">
        <f>SUM(J111:M111)</f>
        <v>0</v>
      </c>
      <c r="O111" s="86">
        <f>IF(O$14=1,O112+O113+O114,-O140*Inputs!O$289)</f>
        <v>0</v>
      </c>
      <c r="P111" s="86">
        <f>IF(P$14=1,P112+P113+P114,-P140*Inputs!P$289)</f>
        <v>0</v>
      </c>
      <c r="Q111" s="86">
        <f>IF(Q$14=1,Q112+Q113+Q114,-Q140*Inputs!Q$289)</f>
        <v>0</v>
      </c>
      <c r="R111" s="86">
        <f>IF(R$14=1,R112+R113+R114,-R140*Inputs!R$289)</f>
        <v>0</v>
      </c>
      <c r="S111" s="60">
        <f>SUM(O111:R111)</f>
        <v>0</v>
      </c>
      <c r="T111" s="86">
        <f>IF(T$14=1,T112+T113+T114,-T140*Inputs!T$289)</f>
        <v>0</v>
      </c>
      <c r="U111" s="86">
        <f>IF(U$14=1,U112+U113+U114,-U140*Inputs!U$289)</f>
        <v>0</v>
      </c>
      <c r="V111" s="86">
        <f>IF(V$14=1,V112+V113+V114,-V140*Inputs!V$289)</f>
        <v>0</v>
      </c>
      <c r="W111" s="86">
        <f>IF(W$14=1,W112+W113+W114,-W140*Inputs!W$289)</f>
        <v>0</v>
      </c>
      <c r="X111" s="60">
        <f>SUM(T111:W111)</f>
        <v>0</v>
      </c>
      <c r="Y111" s="86">
        <f>IF(Y$14=1,Y112+Y113+Y114,-Y140*Inputs!Y$289)</f>
        <v>0</v>
      </c>
      <c r="Z111" s="86">
        <f>IF(Z$14=1,Z112+Z113+Z114,-Z140*Inputs!Z$289)</f>
        <v>0</v>
      </c>
      <c r="AA111" s="86">
        <f>IF(AA$14=1,AA112+AA113+AA114,-AA140*Inputs!AA$289)</f>
        <v>0</v>
      </c>
      <c r="AB111" s="86">
        <f>IF(AB$14=1,AB112+AB113+AB114,-AB140*Inputs!AB$289)</f>
        <v>0</v>
      </c>
      <c r="AC111" s="60">
        <f>SUM(Y111:AB111)</f>
        <v>0</v>
      </c>
      <c r="AD111" s="86">
        <f>IF(AD$14=1,AD112+AD113+AD114,-AD140*Inputs!AD$289)</f>
        <v>0</v>
      </c>
      <c r="AE111" s="86">
        <f>IF(AE$14=1,AE112+AE113+AE114,-AE140*Inputs!AE$289)</f>
        <v>0</v>
      </c>
      <c r="AF111" s="86">
        <f>IF(AF$14=1,AF112+AF113+AF114,-AF140*Inputs!AF$289)</f>
        <v>0</v>
      </c>
      <c r="AG111" s="86">
        <f>IF(AG$14=1,AG112+AG113+AG114,-AG140*Inputs!AG$289)</f>
        <v>0</v>
      </c>
      <c r="AH111" s="60">
        <f>SUM(AD111:AG111)</f>
        <v>0</v>
      </c>
      <c r="AI111" s="86">
        <f>IF(AI$14=1,AI112+AI113+AI114,-AI140*Inputs!AI$289)</f>
        <v>0</v>
      </c>
      <c r="AJ111" s="86">
        <f>IF(AJ$14=1,AJ112+AJ113+AJ114,-AJ140*Inputs!AJ$289)</f>
        <v>0</v>
      </c>
      <c r="AK111" s="86">
        <f>IF(AK$14=1,AK112+AK113+AK114,-AK140*Inputs!AK$289)</f>
        <v>0</v>
      </c>
      <c r="AL111" s="86">
        <f>IF(AL$14=1,AL112+AL113+AL114,-AL140*Inputs!AL$289)</f>
        <v>0</v>
      </c>
      <c r="AM111" s="60">
        <f>SUM(AI111:AL111)</f>
        <v>0</v>
      </c>
      <c r="AN111" s="86">
        <f>IF(AN$14=1,AN112+AN113+AN114,-AN140*Inputs!AN$289)</f>
        <v>0</v>
      </c>
      <c r="AO111" s="86">
        <f>IF(AO$14=1,AO112+AO113+AO114,-AO140*Inputs!AO$289)</f>
        <v>0</v>
      </c>
      <c r="AP111" s="86">
        <f>IF(AP$14=1,AP112+AP113+AP114,-AP140*Inputs!AP$289)</f>
        <v>0</v>
      </c>
      <c r="AQ111" s="86">
        <f>IF(AQ$14=1,AQ112+AQ113+AQ114,-AQ140*Inputs!AQ$289)</f>
        <v>0</v>
      </c>
      <c r="AR111" s="60">
        <f>SUM(AN111:AQ111)</f>
        <v>0</v>
      </c>
      <c r="AS111" s="86">
        <f>IF(AS$14=1,AS112+AS113+AS114,-AS140*Inputs!AS$289)</f>
        <v>0</v>
      </c>
      <c r="AT111" s="86">
        <f>IF(AT$14=1,AT112+AT113+AT114,-AT140*Inputs!AT$289)</f>
        <v>0</v>
      </c>
      <c r="AU111" s="86">
        <f>IF(AU$14=1,AU112+AU113+AU114,-AU140*Inputs!AU$289)</f>
        <v>0</v>
      </c>
      <c r="AV111" s="86">
        <f>IF(AV$14=1,AV112+AV113+AV114,-AV140*Inputs!AV$289)</f>
        <v>0</v>
      </c>
      <c r="AW111" s="60">
        <f>SUM(AS111:AV111)</f>
        <v>0</v>
      </c>
      <c r="AX111" s="86">
        <f>IF(AX$14=1,AX112+AX113+AX114,-AX140*Inputs!AX$289)</f>
        <v>0</v>
      </c>
      <c r="AY111" s="86">
        <f>IF(AY$14=1,AY112+AY113+AY114,-AY140*Inputs!AY$289)</f>
        <v>0</v>
      </c>
      <c r="AZ111" s="86">
        <f>IF(AZ$14=1,AZ112+AZ113+AZ114,-AZ140*Inputs!AZ$289)</f>
        <v>0</v>
      </c>
      <c r="BA111" s="86">
        <f>IF(BA$14=1,BA112+BA113+BA114,-BA140*Inputs!BA$289)</f>
        <v>0</v>
      </c>
      <c r="BB111" s="60">
        <f>SUM(AX111:BA111)</f>
        <v>0</v>
      </c>
      <c r="BC111" s="86">
        <f>IF(BC$14=1,BC112+BC113+BC114,-BC140*Inputs!BC$289)</f>
        <v>0</v>
      </c>
      <c r="BD111" s="86">
        <f>IF(BD$14=1,BD112+BD113+BD114,-BD140*Inputs!BD$289)</f>
        <v>0</v>
      </c>
      <c r="BE111" s="86">
        <f>IF(BE$14=1,BE112+BE113+BE114,-BE140*Inputs!BE$289)</f>
        <v>0</v>
      </c>
      <c r="BF111" s="86">
        <f>IF(BF$14=1,BF112+BF113+BF114,-BF140*Inputs!BF$289)</f>
        <v>0</v>
      </c>
      <c r="BG111" s="60">
        <f>SUM(BC111:BF111)</f>
        <v>0</v>
      </c>
      <c r="BI111" s="14" t="inlineStr">
        <is>
          <t>No realizado soma cível + trabalhista + fiscal. Na projeção usa o driver de % da receita operacional, sem abrir por natureza.</t>
        </is>
      </c>
    </row>
    <row r="112" hidden="1" outlineLevel="2">
      <c r="C112" s="65" t="inlineStr">
        <is>
          <t>(Provisões Cíveis)</t>
        </is>
      </c>
      <c r="D112" s="66" t="inlineStr">
        <is>
          <t>(Civil Provisions)</t>
        </is>
      </c>
      <c r="E112" s="57">
        <f>IF(E$14=1,'Inputs (2)'!E91,0)</f>
        <v>0</v>
      </c>
      <c r="F112" s="57">
        <f>IF(F$14=1,'Inputs (2)'!F91,0)</f>
        <v>0</v>
      </c>
      <c r="G112" s="57">
        <f>IF(G$14=1,'Inputs (2)'!G91,0)</f>
        <v>0</v>
      </c>
      <c r="H112" s="57">
        <f>IF(H$14=1,'Inputs (2)'!H91,0)</f>
        <v>0</v>
      </c>
      <c r="I112" s="77">
        <f>SUM(E112:H112)</f>
        <v>0</v>
      </c>
      <c r="J112" s="57">
        <f>IF(J$14=1,'Inputs (2)'!J91,0)</f>
        <v>0</v>
      </c>
      <c r="K112" s="57">
        <f>IF(K$14=1,'Inputs (2)'!K91,0)</f>
        <v>0</v>
      </c>
      <c r="L112" s="57">
        <f>IF(L$14=1,'Inputs (2)'!L91,0)</f>
        <v>0</v>
      </c>
      <c r="M112" s="57">
        <f>IF(M$14=1,'Inputs (2)'!M91,0)</f>
        <v>0</v>
      </c>
      <c r="N112" s="77">
        <f>SUM(J112:M112)</f>
        <v>0</v>
      </c>
      <c r="O112" s="57">
        <f>IF(O$14=1,'Inputs (2)'!O91,0)</f>
        <v>0</v>
      </c>
      <c r="P112" s="57">
        <f>IF(P$14=1,'Inputs (2)'!P91,0)</f>
        <v>0</v>
      </c>
      <c r="Q112" s="57">
        <f>IF(Q$14=1,'Inputs (2)'!Q91,0)</f>
        <v>0</v>
      </c>
      <c r="R112" s="57">
        <f>IF(R$14=1,'Inputs (2)'!R91,0)</f>
        <v>0</v>
      </c>
      <c r="S112" s="77">
        <f>SUM(O112:R112)</f>
        <v>0</v>
      </c>
      <c r="T112" s="57">
        <f>IF(T$14=1,'Inputs (2)'!T91,0)</f>
        <v>0</v>
      </c>
      <c r="U112" s="57">
        <f>IF(U$14=1,'Inputs (2)'!U91,0)</f>
        <v>0</v>
      </c>
      <c r="V112" s="57">
        <f>IF(V$14=1,'Inputs (2)'!V91,0)</f>
        <v>0</v>
      </c>
      <c r="W112" s="57">
        <f>IF(W$14=1,'Inputs (2)'!W91,0)</f>
        <v>0</v>
      </c>
      <c r="X112" s="77">
        <f>SUM(T112:W112)</f>
        <v>0</v>
      </c>
      <c r="Y112" s="57">
        <f>IF(Y$14=1,'Inputs (2)'!Y91,0)</f>
        <v>0</v>
      </c>
      <c r="Z112" s="57">
        <f>IF(Z$14=1,'Inputs (2)'!Z91,0)</f>
        <v>0</v>
      </c>
      <c r="AA112" s="57">
        <f>IF(AA$14=1,'Inputs (2)'!AA91,0)</f>
        <v>0</v>
      </c>
      <c r="AB112" s="57">
        <f>IF(AB$14=1,'Inputs (2)'!AB91,0)</f>
        <v>0</v>
      </c>
      <c r="AC112" s="77">
        <f>SUM(Y112:AB112)</f>
        <v>0</v>
      </c>
      <c r="AD112" s="57">
        <f>IF(AD$14=1,'Inputs (2)'!AD91,0)</f>
        <v>0</v>
      </c>
      <c r="AE112" s="57">
        <f>IF(AE$14=1,'Inputs (2)'!AE91,0)</f>
        <v>0</v>
      </c>
      <c r="AF112" s="57">
        <f>IF(AF$14=1,'Inputs (2)'!AF91,0)</f>
        <v>0</v>
      </c>
      <c r="AG112" s="57">
        <f>IF(AG$14=1,'Inputs (2)'!AG91,0)</f>
        <v>0</v>
      </c>
      <c r="AH112" s="77">
        <f>SUM(AD112:AG112)</f>
        <v>0</v>
      </c>
      <c r="AI112" s="57">
        <f>IF(AI$14=1,'Inputs (2)'!AI91,0)</f>
        <v>0</v>
      </c>
      <c r="AJ112" s="57">
        <f>IF(AJ$14=1,'Inputs (2)'!AJ91,0)</f>
        <v>0</v>
      </c>
      <c r="AK112" s="57">
        <f>IF(AK$14=1,'Inputs (2)'!AK91,0)</f>
        <v>0</v>
      </c>
      <c r="AL112" s="57">
        <f>IF(AL$14=1,'Inputs (2)'!AL91,0)</f>
        <v>0</v>
      </c>
      <c r="AM112" s="77">
        <f>SUM(AI112:AL112)</f>
        <v>0</v>
      </c>
      <c r="AN112" s="57">
        <f>IF(AN$14=1,'Inputs (2)'!AN91,0)</f>
        <v>0</v>
      </c>
      <c r="AO112" s="57">
        <f>IF(AO$14=1,'Inputs (2)'!AO91,0)</f>
        <v>0</v>
      </c>
      <c r="AP112" s="57">
        <f>IF(AP$14=1,'Inputs (2)'!AP91,0)</f>
        <v>0</v>
      </c>
      <c r="AQ112" s="57">
        <f>IF(AQ$14=1,'Inputs (2)'!AQ91,0)</f>
        <v>0</v>
      </c>
      <c r="AR112" s="77">
        <f>SUM(AN112:AQ112)</f>
        <v>0</v>
      </c>
      <c r="AS112" s="57">
        <f>IF(AS$14=1,'Inputs (2)'!AS91,0)</f>
        <v>0</v>
      </c>
      <c r="AT112" s="57">
        <f>IF(AT$14=1,'Inputs (2)'!AT91,0)</f>
        <v>0</v>
      </c>
      <c r="AU112" s="57">
        <f>IF(AU$14=1,'Inputs (2)'!AU91,0)</f>
        <v>0</v>
      </c>
      <c r="AV112" s="57">
        <f>IF(AV$14=1,'Inputs (2)'!AV91,0)</f>
        <v>0</v>
      </c>
      <c r="AW112" s="77">
        <f>SUM(AS112:AV112)</f>
        <v>0</v>
      </c>
      <c r="AX112" s="57">
        <f>IF(AX$14=1,'Inputs (2)'!AX91,0)</f>
        <v>0</v>
      </c>
      <c r="AY112" s="57">
        <f>IF(AY$14=1,'Inputs (2)'!AY91,0)</f>
        <v>0</v>
      </c>
      <c r="AZ112" s="57">
        <f>IF(AZ$14=1,'Inputs (2)'!AZ91,0)</f>
        <v>0</v>
      </c>
      <c r="BA112" s="57">
        <f>IF(BA$14=1,'Inputs (2)'!BA91,0)</f>
        <v>0</v>
      </c>
      <c r="BB112" s="77">
        <f>SUM(AX112:BA112)</f>
        <v>0</v>
      </c>
      <c r="BC112" s="57">
        <f>IF(BC$14=1,'Inputs (2)'!BC91,0)</f>
        <v>0</v>
      </c>
      <c r="BD112" s="57">
        <f>IF(BD$14=1,'Inputs (2)'!BD91,0)</f>
        <v>0</v>
      </c>
      <c r="BE112" s="57">
        <f>IF(BE$14=1,'Inputs (2)'!BE91,0)</f>
        <v>0</v>
      </c>
      <c r="BF112" s="57">
        <f>IF(BF$14=1,'Inputs (2)'!BF91,0)</f>
        <v>0</v>
      </c>
      <c r="BG112" s="77">
        <f>SUM(BC112:BF112)</f>
        <v>0</v>
      </c>
    </row>
    <row r="113" hidden="1" outlineLevel="2">
      <c r="C113" s="65" t="inlineStr">
        <is>
          <t>(Provisões Trabalhistas)</t>
        </is>
      </c>
      <c r="D113" s="66" t="inlineStr">
        <is>
          <t>(Labor Provisions)</t>
        </is>
      </c>
      <c r="E113" s="57">
        <f>IF(E$14=1,'Inputs (2)'!E92,0)</f>
        <v>0</v>
      </c>
      <c r="F113" s="57">
        <f>IF(F$14=1,'Inputs (2)'!F92,0)</f>
        <v>0</v>
      </c>
      <c r="G113" s="57">
        <f>IF(G$14=1,'Inputs (2)'!G92,0)</f>
        <v>0</v>
      </c>
      <c r="H113" s="57">
        <f>IF(H$14=1,'Inputs (2)'!H92,0)</f>
        <v>0</v>
      </c>
      <c r="I113" s="77">
        <f>SUM(E113:H113)</f>
        <v>0</v>
      </c>
      <c r="J113" s="57">
        <f>IF(J$14=1,'Inputs (2)'!J92,0)</f>
        <v>0</v>
      </c>
      <c r="K113" s="57">
        <f>IF(K$14=1,'Inputs (2)'!K92,0)</f>
        <v>0</v>
      </c>
      <c r="L113" s="57">
        <f>IF(L$14=1,'Inputs (2)'!L92,0)</f>
        <v>0</v>
      </c>
      <c r="M113" s="57">
        <f>IF(M$14=1,'Inputs (2)'!M92,0)</f>
        <v>0</v>
      </c>
      <c r="N113" s="77">
        <f>SUM(J113:M113)</f>
        <v>0</v>
      </c>
      <c r="O113" s="57">
        <f>IF(O$14=1,'Inputs (2)'!O92,0)</f>
        <v>0</v>
      </c>
      <c r="P113" s="57">
        <f>IF(P$14=1,'Inputs (2)'!P92,0)</f>
        <v>0</v>
      </c>
      <c r="Q113" s="57">
        <f>IF(Q$14=1,'Inputs (2)'!Q92,0)</f>
        <v>0</v>
      </c>
      <c r="R113" s="57">
        <f>IF(R$14=1,'Inputs (2)'!R92,0)</f>
        <v>0</v>
      </c>
      <c r="S113" s="77">
        <f>SUM(O113:R113)</f>
        <v>0</v>
      </c>
      <c r="T113" s="57">
        <f>IF(T$14=1,'Inputs (2)'!T92,0)</f>
        <v>0</v>
      </c>
      <c r="U113" s="57">
        <f>IF(U$14=1,'Inputs (2)'!U92,0)</f>
        <v>0</v>
      </c>
      <c r="V113" s="57">
        <f>IF(V$14=1,'Inputs (2)'!V92,0)</f>
        <v>0</v>
      </c>
      <c r="W113" s="57">
        <f>IF(W$14=1,'Inputs (2)'!W92,0)</f>
        <v>0</v>
      </c>
      <c r="X113" s="77">
        <f>SUM(T113:W113)</f>
        <v>0</v>
      </c>
      <c r="Y113" s="57">
        <f>IF(Y$14=1,'Inputs (2)'!Y92,0)</f>
        <v>0</v>
      </c>
      <c r="Z113" s="57">
        <f>IF(Z$14=1,'Inputs (2)'!Z92,0)</f>
        <v>0</v>
      </c>
      <c r="AA113" s="57">
        <f>IF(AA$14=1,'Inputs (2)'!AA92,0)</f>
        <v>0</v>
      </c>
      <c r="AB113" s="57">
        <f>IF(AB$14=1,'Inputs (2)'!AB92,0)</f>
        <v>0</v>
      </c>
      <c r="AC113" s="77">
        <f>SUM(Y113:AB113)</f>
        <v>0</v>
      </c>
      <c r="AD113" s="57">
        <f>IF(AD$14=1,'Inputs (2)'!AD92,0)</f>
        <v>0</v>
      </c>
      <c r="AE113" s="57">
        <f>IF(AE$14=1,'Inputs (2)'!AE92,0)</f>
        <v>0</v>
      </c>
      <c r="AF113" s="57">
        <f>IF(AF$14=1,'Inputs (2)'!AF92,0)</f>
        <v>0</v>
      </c>
      <c r="AG113" s="57">
        <f>IF(AG$14=1,'Inputs (2)'!AG92,0)</f>
        <v>0</v>
      </c>
      <c r="AH113" s="77">
        <f>SUM(AD113:AG113)</f>
        <v>0</v>
      </c>
      <c r="AI113" s="57">
        <f>IF(AI$14=1,'Inputs (2)'!AI92,0)</f>
        <v>0</v>
      </c>
      <c r="AJ113" s="57">
        <f>IF(AJ$14=1,'Inputs (2)'!AJ92,0)</f>
        <v>0</v>
      </c>
      <c r="AK113" s="57">
        <f>IF(AK$14=1,'Inputs (2)'!AK92,0)</f>
        <v>0</v>
      </c>
      <c r="AL113" s="57">
        <f>IF(AL$14=1,'Inputs (2)'!AL92,0)</f>
        <v>0</v>
      </c>
      <c r="AM113" s="77">
        <f>SUM(AI113:AL113)</f>
        <v>0</v>
      </c>
      <c r="AN113" s="57">
        <f>IF(AN$14=1,'Inputs (2)'!AN92,0)</f>
        <v>0</v>
      </c>
      <c r="AO113" s="57">
        <f>IF(AO$14=1,'Inputs (2)'!AO92,0)</f>
        <v>0</v>
      </c>
      <c r="AP113" s="57">
        <f>IF(AP$14=1,'Inputs (2)'!AP92,0)</f>
        <v>0</v>
      </c>
      <c r="AQ113" s="57">
        <f>IF(AQ$14=1,'Inputs (2)'!AQ92,0)</f>
        <v>0</v>
      </c>
      <c r="AR113" s="77">
        <f>SUM(AN113:AQ113)</f>
        <v>0</v>
      </c>
      <c r="AS113" s="57">
        <f>IF(AS$14=1,'Inputs (2)'!AS92,0)</f>
        <v>0</v>
      </c>
      <c r="AT113" s="57">
        <f>IF(AT$14=1,'Inputs (2)'!AT92,0)</f>
        <v>0</v>
      </c>
      <c r="AU113" s="57">
        <f>IF(AU$14=1,'Inputs (2)'!AU92,0)</f>
        <v>0</v>
      </c>
      <c r="AV113" s="57">
        <f>IF(AV$14=1,'Inputs (2)'!AV92,0)</f>
        <v>0</v>
      </c>
      <c r="AW113" s="77">
        <f>SUM(AS113:AV113)</f>
        <v>0</v>
      </c>
      <c r="AX113" s="57">
        <f>IF(AX$14=1,'Inputs (2)'!AX92,0)</f>
        <v>0</v>
      </c>
      <c r="AY113" s="57">
        <f>IF(AY$14=1,'Inputs (2)'!AY92,0)</f>
        <v>0</v>
      </c>
      <c r="AZ113" s="57">
        <f>IF(AZ$14=1,'Inputs (2)'!AZ92,0)</f>
        <v>0</v>
      </c>
      <c r="BA113" s="57">
        <f>IF(BA$14=1,'Inputs (2)'!BA92,0)</f>
        <v>0</v>
      </c>
      <c r="BB113" s="77">
        <f>SUM(AX113:BA113)</f>
        <v>0</v>
      </c>
      <c r="BC113" s="57">
        <f>IF(BC$14=1,'Inputs (2)'!BC92,0)</f>
        <v>0</v>
      </c>
      <c r="BD113" s="57">
        <f>IF(BD$14=1,'Inputs (2)'!BD92,0)</f>
        <v>0</v>
      </c>
      <c r="BE113" s="57">
        <f>IF(BE$14=1,'Inputs (2)'!BE92,0)</f>
        <v>0</v>
      </c>
      <c r="BF113" s="57">
        <f>IF(BF$14=1,'Inputs (2)'!BF92,0)</f>
        <v>0</v>
      </c>
      <c r="BG113" s="77">
        <f>SUM(BC113:BF113)</f>
        <v>0</v>
      </c>
    </row>
    <row r="114" hidden="1" outlineLevel="2">
      <c r="C114" s="65" t="inlineStr">
        <is>
          <t>(Provisões Fiscais e Previdenciárias)</t>
        </is>
      </c>
      <c r="D114" s="66" t="inlineStr">
        <is>
          <t>(Tax and Social Security Provisions)</t>
        </is>
      </c>
      <c r="E114" s="57">
        <f>IF(E$14=1,'Inputs (2)'!E93,0)</f>
        <v>0</v>
      </c>
      <c r="F114" s="57">
        <f>IF(F$14=1,'Inputs (2)'!F93,0)</f>
        <v>0</v>
      </c>
      <c r="G114" s="57">
        <f>IF(G$14=1,'Inputs (2)'!G93,0)</f>
        <v>0</v>
      </c>
      <c r="H114" s="57">
        <f>IF(H$14=1,'Inputs (2)'!H93,0)</f>
        <v>0</v>
      </c>
      <c r="I114" s="77">
        <f>SUM(E114:H114)</f>
        <v>0</v>
      </c>
      <c r="J114" s="57">
        <f>IF(J$14=1,'Inputs (2)'!J93,0)</f>
        <v>0</v>
      </c>
      <c r="K114" s="57">
        <f>IF(K$14=1,'Inputs (2)'!K93,0)</f>
        <v>0</v>
      </c>
      <c r="L114" s="57">
        <f>IF(L$14=1,'Inputs (2)'!L93,0)</f>
        <v>0</v>
      </c>
      <c r="M114" s="57">
        <f>IF(M$14=1,'Inputs (2)'!M93,0)</f>
        <v>0</v>
      </c>
      <c r="N114" s="77">
        <f>SUM(J114:M114)</f>
        <v>0</v>
      </c>
      <c r="O114" s="57">
        <f>IF(O$14=1,'Inputs (2)'!O93,0)</f>
        <v>0</v>
      </c>
      <c r="P114" s="57">
        <f>IF(P$14=1,'Inputs (2)'!P93,0)</f>
        <v>0</v>
      </c>
      <c r="Q114" s="57">
        <f>IF(Q$14=1,'Inputs (2)'!Q93,0)</f>
        <v>0</v>
      </c>
      <c r="R114" s="57">
        <f>IF(R$14=1,'Inputs (2)'!R93,0)</f>
        <v>0</v>
      </c>
      <c r="S114" s="77">
        <f>SUM(O114:R114)</f>
        <v>0</v>
      </c>
      <c r="T114" s="57">
        <f>IF(T$14=1,'Inputs (2)'!T93,0)</f>
        <v>0</v>
      </c>
      <c r="U114" s="57">
        <f>IF(U$14=1,'Inputs (2)'!U93,0)</f>
        <v>0</v>
      </c>
      <c r="V114" s="57">
        <f>IF(V$14=1,'Inputs (2)'!V93,0)</f>
        <v>0</v>
      </c>
      <c r="W114" s="57">
        <f>IF(W$14=1,'Inputs (2)'!W93,0)</f>
        <v>0</v>
      </c>
      <c r="X114" s="77">
        <f>SUM(T114:W114)</f>
        <v>0</v>
      </c>
      <c r="Y114" s="57">
        <f>IF(Y$14=1,'Inputs (2)'!Y93,0)</f>
        <v>0</v>
      </c>
      <c r="Z114" s="57">
        <f>IF(Z$14=1,'Inputs (2)'!Z93,0)</f>
        <v>0</v>
      </c>
      <c r="AA114" s="57">
        <f>IF(AA$14=1,'Inputs (2)'!AA93,0)</f>
        <v>0</v>
      </c>
      <c r="AB114" s="57">
        <f>IF(AB$14=1,'Inputs (2)'!AB93,0)</f>
        <v>0</v>
      </c>
      <c r="AC114" s="77">
        <f>SUM(Y114:AB114)</f>
        <v>0</v>
      </c>
      <c r="AD114" s="57">
        <f>IF(AD$14=1,'Inputs (2)'!AD93,0)</f>
        <v>0</v>
      </c>
      <c r="AE114" s="57">
        <f>IF(AE$14=1,'Inputs (2)'!AE93,0)</f>
        <v>0</v>
      </c>
      <c r="AF114" s="57">
        <f>IF(AF$14=1,'Inputs (2)'!AF93,0)</f>
        <v>0</v>
      </c>
      <c r="AG114" s="57">
        <f>IF(AG$14=1,'Inputs (2)'!AG93,0)</f>
        <v>0</v>
      </c>
      <c r="AH114" s="77">
        <f>SUM(AD114:AG114)</f>
        <v>0</v>
      </c>
      <c r="AI114" s="57">
        <f>IF(AI$14=1,'Inputs (2)'!AI93,0)</f>
        <v>0</v>
      </c>
      <c r="AJ114" s="57">
        <f>IF(AJ$14=1,'Inputs (2)'!AJ93,0)</f>
        <v>0</v>
      </c>
      <c r="AK114" s="57">
        <f>IF(AK$14=1,'Inputs (2)'!AK93,0)</f>
        <v>0</v>
      </c>
      <c r="AL114" s="57">
        <f>IF(AL$14=1,'Inputs (2)'!AL93,0)</f>
        <v>0</v>
      </c>
      <c r="AM114" s="77">
        <f>SUM(AI114:AL114)</f>
        <v>0</v>
      </c>
      <c r="AN114" s="57">
        <f>IF(AN$14=1,'Inputs (2)'!AN93,0)</f>
        <v>0</v>
      </c>
      <c r="AO114" s="57">
        <f>IF(AO$14=1,'Inputs (2)'!AO93,0)</f>
        <v>0</v>
      </c>
      <c r="AP114" s="57">
        <f>IF(AP$14=1,'Inputs (2)'!AP93,0)</f>
        <v>0</v>
      </c>
      <c r="AQ114" s="57">
        <f>IF(AQ$14=1,'Inputs (2)'!AQ93,0)</f>
        <v>0</v>
      </c>
      <c r="AR114" s="77">
        <f>SUM(AN114:AQ114)</f>
        <v>0</v>
      </c>
      <c r="AS114" s="57">
        <f>IF(AS$14=1,'Inputs (2)'!AS93,0)</f>
        <v>0</v>
      </c>
      <c r="AT114" s="57">
        <f>IF(AT$14=1,'Inputs (2)'!AT93,0)</f>
        <v>0</v>
      </c>
      <c r="AU114" s="57">
        <f>IF(AU$14=1,'Inputs (2)'!AU93,0)</f>
        <v>0</v>
      </c>
      <c r="AV114" s="57">
        <f>IF(AV$14=1,'Inputs (2)'!AV93,0)</f>
        <v>0</v>
      </c>
      <c r="AW114" s="77">
        <f>SUM(AS114:AV114)</f>
        <v>0</v>
      </c>
      <c r="AX114" s="57">
        <f>IF(AX$14=1,'Inputs (2)'!AX93,0)</f>
        <v>0</v>
      </c>
      <c r="AY114" s="57">
        <f>IF(AY$14=1,'Inputs (2)'!AY93,0)</f>
        <v>0</v>
      </c>
      <c r="AZ114" s="57">
        <f>IF(AZ$14=1,'Inputs (2)'!AZ93,0)</f>
        <v>0</v>
      </c>
      <c r="BA114" s="57">
        <f>IF(BA$14=1,'Inputs (2)'!BA93,0)</f>
        <v>0</v>
      </c>
      <c r="BB114" s="77">
        <f>SUM(AX114:BA114)</f>
        <v>0</v>
      </c>
      <c r="BC114" s="57">
        <f>IF(BC$14=1,'Inputs (2)'!BC93,0)</f>
        <v>0</v>
      </c>
      <c r="BD114" s="57">
        <f>IF(BD$14=1,'Inputs (2)'!BD93,0)</f>
        <v>0</v>
      </c>
      <c r="BE114" s="57">
        <f>IF(BE$14=1,'Inputs (2)'!BE93,0)</f>
        <v>0</v>
      </c>
      <c r="BF114" s="57">
        <f>IF(BF$14=1,'Inputs (2)'!BF93,0)</f>
        <v>0</v>
      </c>
      <c r="BG114" s="77">
        <f>SUM(BC114:BF114)</f>
        <v>0</v>
      </c>
    </row>
    <row r="115" hidden="1" outlineLevel="1">
      <c r="C115" s="61" t="inlineStr">
        <is>
          <t>(Despesas Tributárias)</t>
        </is>
      </c>
      <c r="D115" s="62" t="inlineStr">
        <is>
          <t>(Tax Expenses)</t>
        </is>
      </c>
      <c r="E115" s="57">
        <f>IF(E$14=1,'Inputs (2)'!E94,-E140*Inputs!E$290)</f>
        <v>-11.848</v>
      </c>
      <c r="F115" s="57">
        <f>IF(F$14=1,'Inputs (2)'!F94,-F140*Inputs!F$290)</f>
        <v>-14.522</v>
      </c>
      <c r="G115" s="57">
        <f>IF(G$14=1,'Inputs (2)'!G94,-G140*Inputs!G$290)</f>
        <v>-12.688</v>
      </c>
      <c r="H115" s="57">
        <f>IF(H$14=1,'Inputs (2)'!H94,-H140*Inputs!H$290)</f>
        <v>-19.973</v>
      </c>
      <c r="I115" s="77">
        <f>SUM(E115:H115)</f>
        <v>-59.031</v>
      </c>
      <c r="J115" s="57">
        <f>IF(J$14=1,'Inputs (2)'!J94,-J140*Inputs!J$290)</f>
        <v>-10.147</v>
      </c>
      <c r="K115" s="57">
        <f>IF(K$14=1,'Inputs (2)'!K94,-K140*Inputs!K$290)</f>
        <v>-15.303</v>
      </c>
      <c r="L115" s="57">
        <f>IF(L$14=1,'Inputs (2)'!L94,-L140*Inputs!L$290)</f>
        <v>-18.913</v>
      </c>
      <c r="M115" s="57">
        <f>IF(M$14=1,'Inputs (2)'!M94,-M140*Inputs!M$290)</f>
        <v>-25.026</v>
      </c>
      <c r="N115" s="77">
        <f>SUM(J115:M115)</f>
        <v>-69.389</v>
      </c>
      <c r="O115" s="57">
        <f>IF(O$14=1,'Inputs (2)'!O94,-O140*Inputs!O$290)</f>
        <v>-14.78</v>
      </c>
      <c r="P115" s="57">
        <f>IF(P$14=1,'Inputs (2)'!P94,-P140*Inputs!P$290)</f>
        <v>-31.632</v>
      </c>
      <c r="Q115" s="57">
        <f>IF(Q$14=1,'Inputs (2)'!Q94,-Q140*Inputs!Q$290)</f>
        <v>-27.669</v>
      </c>
      <c r="R115" s="57">
        <f>IF(R$14=1,'Inputs (2)'!R94,-R140*Inputs!R$290)</f>
        <v>-38.251</v>
      </c>
      <c r="S115" s="77">
        <f>SUM(O115:R115)</f>
        <v>-112.332</v>
      </c>
      <c r="T115" s="57">
        <f>IF(T$14=1,'Inputs (2)'!T94,-T140*Inputs!T$290)</f>
        <v>-27.774</v>
      </c>
      <c r="U115" s="57">
        <f>IF(U$14=1,'Inputs (2)'!U94,-U140*Inputs!U$290)</f>
        <v>-23.551</v>
      </c>
      <c r="V115" s="57">
        <f>IF(V$14=1,'Inputs (2)'!V94,-V140*Inputs!V$290)</f>
        <v>-36.15</v>
      </c>
      <c r="W115" s="57">
        <f>IF(W$14=1,'Inputs (2)'!W94,-W140*Inputs!W$290)</f>
        <v>-49.101</v>
      </c>
      <c r="X115" s="77">
        <f>SUM(T115:W115)</f>
        <v>-136.576</v>
      </c>
      <c r="Y115" s="57">
        <f>IF(Y$14=1,'Inputs (2)'!Y94,-Y140*Inputs!Y$290)</f>
        <v>-19.357</v>
      </c>
      <c r="Z115" s="57">
        <f>IF(Z$14=1,'Inputs (2)'!Z94,-Z140*Inputs!Z$290)</f>
        <v>-23.144</v>
      </c>
      <c r="AA115" s="57">
        <f>IF(AA$14=1,'Inputs (2)'!AA94,-AA140*Inputs!AA$290)</f>
        <v>-45.477</v>
      </c>
      <c r="AB115" s="57">
        <f>IF(AB$14=1,'Inputs (2)'!AB94,-AB140*Inputs!AB$290)</f>
        <v>-32.943</v>
      </c>
      <c r="AC115" s="77">
        <f>SUM(Y115:AB115)</f>
        <v>-120.921</v>
      </c>
      <c r="AD115" s="57">
        <f>IF(AD$14=1,'Inputs (2)'!AD94,-AD140*Inputs!AD$290)</f>
        <v>-21.435</v>
      </c>
      <c r="AE115" s="57">
        <f>IF(AE$14=1,'Inputs (2)'!AE94,-AE140*Inputs!AE$290)</f>
        <v>-43.218</v>
      </c>
      <c r="AF115" s="57">
        <f>IF(AF$14=1,'Inputs (2)'!AF94,-AF140*Inputs!AF$290)</f>
        <v>-54.756</v>
      </c>
      <c r="AG115" s="57">
        <f>IF(AG$14=1,'Inputs (2)'!AG94,-AG140*Inputs!AG$290)</f>
        <v>-54.776</v>
      </c>
      <c r="AH115" s="77">
        <f>SUM(AD115:AG115)</f>
        <v>-174.185</v>
      </c>
      <c r="AI115" s="57">
        <f>IF(AI$14=1,'Inputs (2)'!AI94,-AI140*Inputs!AI$290)</f>
        <v>-34.419</v>
      </c>
      <c r="AJ115" s="57">
        <f>IF(AJ$14=1,'Inputs (2)'!AJ94,-AJ140*Inputs!AJ$290)</f>
        <v>-42.092</v>
      </c>
      <c r="AK115" s="57">
        <f>IF(AK$14=1,'Inputs (2)'!AK94,-AK140*Inputs!AK$290)</f>
        <v>0</v>
      </c>
      <c r="AL115" s="57">
        <f>IF(AL$14=1,'Inputs (2)'!AL94,-AL140*Inputs!AL$290)</f>
        <v>0</v>
      </c>
      <c r="AM115" s="77">
        <f>SUM(AI115:AL115)</f>
        <v>-76.511</v>
      </c>
      <c r="AN115" s="57">
        <f>IF(AN$14=1,'Inputs (2)'!AN94,-AN140*Inputs!AN$290)</f>
        <v>0</v>
      </c>
      <c r="AO115" s="57">
        <f>IF(AO$14=1,'Inputs (2)'!AO94,-AO140*Inputs!AO$290)</f>
        <v>0</v>
      </c>
      <c r="AP115" s="57">
        <f>IF(AP$14=1,'Inputs (2)'!AP94,-AP140*Inputs!AP$290)</f>
        <v>0</v>
      </c>
      <c r="AQ115" s="57">
        <f>IF(AQ$14=1,'Inputs (2)'!AQ94,-AQ140*Inputs!AQ$290)</f>
        <v>0</v>
      </c>
      <c r="AR115" s="77">
        <f>SUM(AN115:AQ115)</f>
        <v>0</v>
      </c>
      <c r="AS115" s="57">
        <f>IF(AS$14=1,'Inputs (2)'!AS94,-AS140*Inputs!AS$290)</f>
        <v>0</v>
      </c>
      <c r="AT115" s="57">
        <f>IF(AT$14=1,'Inputs (2)'!AT94,-AT140*Inputs!AT$290)</f>
        <v>0</v>
      </c>
      <c r="AU115" s="57">
        <f>IF(AU$14=1,'Inputs (2)'!AU94,-AU140*Inputs!AU$290)</f>
        <v>0</v>
      </c>
      <c r="AV115" s="57">
        <f>IF(AV$14=1,'Inputs (2)'!AV94,-AV140*Inputs!AV$290)</f>
        <v>0</v>
      </c>
      <c r="AW115" s="77">
        <f>SUM(AS115:AV115)</f>
        <v>0</v>
      </c>
      <c r="AX115" s="57">
        <f>IF(AX$14=1,'Inputs (2)'!AX94,-AX140*Inputs!AX$290)</f>
        <v>0</v>
      </c>
      <c r="AY115" s="57">
        <f>IF(AY$14=1,'Inputs (2)'!AY94,-AY140*Inputs!AY$290)</f>
        <v>0</v>
      </c>
      <c r="AZ115" s="57">
        <f>IF(AZ$14=1,'Inputs (2)'!AZ94,-AZ140*Inputs!AZ$290)</f>
        <v>0</v>
      </c>
      <c r="BA115" s="57">
        <f>IF(BA$14=1,'Inputs (2)'!BA94,-BA140*Inputs!BA$290)</f>
        <v>0</v>
      </c>
      <c r="BB115" s="77">
        <f>SUM(AX115:BA115)</f>
        <v>0</v>
      </c>
      <c r="BC115" s="57">
        <f>IF(BC$14=1,'Inputs (2)'!BC94,-BC140*Inputs!BC$290)</f>
        <v>0</v>
      </c>
      <c r="BD115" s="57">
        <f>IF(BD$14=1,'Inputs (2)'!BD94,-BD140*Inputs!BD$290)</f>
        <v>0</v>
      </c>
      <c r="BE115" s="57">
        <f>IF(BE$14=1,'Inputs (2)'!BE94,-BE140*Inputs!BE$290)</f>
        <v>0</v>
      </c>
      <c r="BF115" s="57">
        <f>IF(BF$14=1,'Inputs (2)'!BF94,-BF140*Inputs!BF$290)</f>
        <v>0</v>
      </c>
      <c r="BG115" s="77">
        <f>SUM(BC115:BF115)</f>
        <v>0</v>
      </c>
    </row>
    <row r="116" hidden="1" outlineLevel="1">
      <c r="C116" s="61" t="inlineStr">
        <is>
          <t>Resultado de Participações em Coligadas</t>
        </is>
      </c>
      <c r="D116" s="62" t="inlineStr">
        <is>
          <t>Equity in Earnings</t>
        </is>
      </c>
      <c r="E116" s="57">
        <f>IF(E$14=1,'Inputs (2)'!E95,Inputs!E$291)</f>
        <v>0</v>
      </c>
      <c r="F116" s="57">
        <f>IF(F$14=1,'Inputs (2)'!F95,Inputs!F$291)</f>
        <v>0</v>
      </c>
      <c r="G116" s="57">
        <f>IF(G$14=1,'Inputs (2)'!G95,Inputs!G$291)</f>
        <v>0</v>
      </c>
      <c r="H116" s="57">
        <f>IF(H$14=1,'Inputs (2)'!H95,Inputs!H$291)</f>
        <v>0</v>
      </c>
      <c r="I116" s="77">
        <f>SUM(E116:H116)</f>
        <v>0</v>
      </c>
      <c r="J116" s="57">
        <f>IF(J$14=1,'Inputs (2)'!J95,Inputs!J$291)</f>
        <v>0</v>
      </c>
      <c r="K116" s="57">
        <f>IF(K$14=1,'Inputs (2)'!K95,Inputs!K$291)</f>
        <v>0</v>
      </c>
      <c r="L116" s="57">
        <f>IF(L$14=1,'Inputs (2)'!L95,Inputs!L$291)</f>
        <v>0</v>
      </c>
      <c r="M116" s="57">
        <f>IF(M$14=1,'Inputs (2)'!M95,Inputs!M$291)</f>
        <v>0</v>
      </c>
      <c r="N116" s="77">
        <f>SUM(J116:M116)</f>
        <v>0</v>
      </c>
      <c r="O116" s="57">
        <f>IF(O$14=1,'Inputs (2)'!O95,Inputs!O$291)</f>
        <v>0</v>
      </c>
      <c r="P116" s="57">
        <f>IF(P$14=1,'Inputs (2)'!P95,Inputs!P$291)</f>
        <v>0</v>
      </c>
      <c r="Q116" s="57">
        <f>IF(Q$14=1,'Inputs (2)'!Q95,Inputs!Q$291)</f>
        <v>0</v>
      </c>
      <c r="R116" s="57">
        <f>IF(R$14=1,'Inputs (2)'!R95,Inputs!R$291)</f>
        <v>0</v>
      </c>
      <c r="S116" s="77">
        <f>SUM(O116:R116)</f>
        <v>0</v>
      </c>
      <c r="T116" s="57">
        <f>IF(T$14=1,'Inputs (2)'!T95,Inputs!T$291)</f>
        <v>0</v>
      </c>
      <c r="U116" s="57">
        <f>IF(U$14=1,'Inputs (2)'!U95,Inputs!U$291)</f>
        <v>0</v>
      </c>
      <c r="V116" s="57">
        <f>IF(V$14=1,'Inputs (2)'!V95,Inputs!V$291)</f>
        <v>0</v>
      </c>
      <c r="W116" s="57">
        <f>IF(W$14=1,'Inputs (2)'!W95,Inputs!W$291)</f>
        <v>0</v>
      </c>
      <c r="X116" s="77">
        <f>SUM(T116:W116)</f>
        <v>0</v>
      </c>
      <c r="Y116" s="57">
        <f>IF(Y$14=1,'Inputs (2)'!Y95,Inputs!Y$291)</f>
        <v>0</v>
      </c>
      <c r="Z116" s="57">
        <f>IF(Z$14=1,'Inputs (2)'!Z95,Inputs!Z$291)</f>
        <v>0</v>
      </c>
      <c r="AA116" s="57">
        <f>IF(AA$14=1,'Inputs (2)'!AA95,Inputs!AA$291)</f>
        <v>0</v>
      </c>
      <c r="AB116" s="57">
        <f>IF(AB$14=1,'Inputs (2)'!AB95,Inputs!AB$291)</f>
        <v>0</v>
      </c>
      <c r="AC116" s="77">
        <f>SUM(Y116:AB116)</f>
        <v>0</v>
      </c>
      <c r="AD116" s="57">
        <f>IF(AD$14=1,'Inputs (2)'!AD95,Inputs!AD$291)</f>
        <v>0</v>
      </c>
      <c r="AE116" s="57">
        <f>IF(AE$14=1,'Inputs (2)'!AE95,Inputs!AE$291)</f>
        <v>0</v>
      </c>
      <c r="AF116" s="57">
        <f>IF(AF$14=1,'Inputs (2)'!AF95,Inputs!AF$291)</f>
        <v>0</v>
      </c>
      <c r="AG116" s="57">
        <f>IF(AG$14=1,'Inputs (2)'!AG95,Inputs!AG$291)</f>
        <v>0</v>
      </c>
      <c r="AH116" s="77">
        <f>SUM(AD116:AG116)</f>
        <v>0</v>
      </c>
      <c r="AI116" s="57">
        <f>IF(AI$14=1,'Inputs (2)'!AI95,Inputs!AI$291)</f>
        <v>0</v>
      </c>
      <c r="AJ116" s="57">
        <f>IF(AJ$14=1,'Inputs (2)'!AJ95,Inputs!AJ$291)</f>
        <v>0</v>
      </c>
      <c r="AK116" s="57">
        <f>IF(AK$14=1,'Inputs (2)'!AK95,Inputs!AK$291)</f>
        <v>0</v>
      </c>
      <c r="AL116" s="57">
        <f>IF(AL$14=1,'Inputs (2)'!AL95,Inputs!AL$291)</f>
        <v>0</v>
      </c>
      <c r="AM116" s="77">
        <f>SUM(AI116:AL116)</f>
        <v>0</v>
      </c>
      <c r="AN116" s="57">
        <f>IF(AN$14=1,'Inputs (2)'!AN95,Inputs!AN$291)</f>
        <v>0</v>
      </c>
      <c r="AO116" s="57">
        <f>IF(AO$14=1,'Inputs (2)'!AO95,Inputs!AO$291)</f>
        <v>0</v>
      </c>
      <c r="AP116" s="57">
        <f>IF(AP$14=1,'Inputs (2)'!AP95,Inputs!AP$291)</f>
        <v>0</v>
      </c>
      <c r="AQ116" s="57">
        <f>IF(AQ$14=1,'Inputs (2)'!AQ95,Inputs!AQ$291)</f>
        <v>0</v>
      </c>
      <c r="AR116" s="77">
        <f>SUM(AN116:AQ116)</f>
        <v>0</v>
      </c>
      <c r="AS116" s="57">
        <f>IF(AS$14=1,'Inputs (2)'!AS95,Inputs!AS$291)</f>
        <v>0</v>
      </c>
      <c r="AT116" s="57">
        <f>IF(AT$14=1,'Inputs (2)'!AT95,Inputs!AT$291)</f>
        <v>0</v>
      </c>
      <c r="AU116" s="57">
        <f>IF(AU$14=1,'Inputs (2)'!AU95,Inputs!AU$291)</f>
        <v>0</v>
      </c>
      <c r="AV116" s="57">
        <f>IF(AV$14=1,'Inputs (2)'!AV95,Inputs!AV$291)</f>
        <v>0</v>
      </c>
      <c r="AW116" s="77">
        <f>SUM(AS116:AV116)</f>
        <v>0</v>
      </c>
      <c r="AX116" s="57">
        <f>IF(AX$14=1,'Inputs (2)'!AX95,Inputs!AX$291)</f>
        <v>0</v>
      </c>
      <c r="AY116" s="57">
        <f>IF(AY$14=1,'Inputs (2)'!AY95,Inputs!AY$291)</f>
        <v>0</v>
      </c>
      <c r="AZ116" s="57">
        <f>IF(AZ$14=1,'Inputs (2)'!AZ95,Inputs!AZ$291)</f>
        <v>0</v>
      </c>
      <c r="BA116" s="57">
        <f>IF(BA$14=1,'Inputs (2)'!BA95,Inputs!BA$291)</f>
        <v>0</v>
      </c>
      <c r="BB116" s="77">
        <f>SUM(AX116:BA116)</f>
        <v>0</v>
      </c>
      <c r="BC116" s="57">
        <f>IF(BC$14=1,'Inputs (2)'!BC95,Inputs!BC$291)</f>
        <v>0</v>
      </c>
      <c r="BD116" s="57">
        <f>IF(BD$14=1,'Inputs (2)'!BD95,Inputs!BD$291)</f>
        <v>0</v>
      </c>
      <c r="BE116" s="57">
        <f>IF(BE$14=1,'Inputs (2)'!BE95,Inputs!BE$291)</f>
        <v>0</v>
      </c>
      <c r="BF116" s="57">
        <f>IF(BF$14=1,'Inputs (2)'!BF95,Inputs!BF$291)</f>
        <v>0</v>
      </c>
      <c r="BG116" s="77">
        <f>SUM(BC116:BF116)</f>
        <v>0</v>
      </c>
    </row>
    <row r="117" hidden="1" outlineLevel="1">
      <c r="C117" s="61" t="inlineStr">
        <is>
          <t>Outras Receitas Operacionais</t>
        </is>
      </c>
      <c r="D117" s="62" t="inlineStr">
        <is>
          <t>Other Operating Income</t>
        </is>
      </c>
      <c r="E117" s="57">
        <f>'Inputs (2)'!E96</f>
        <v>1.653</v>
      </c>
      <c r="F117" s="57">
        <f>IF(F$14=1,'Inputs (2)'!F96,E117)</f>
        <v>-7.768</v>
      </c>
      <c r="G117" s="57">
        <f>IF(G$14=1,'Inputs (2)'!G96,F117)</f>
        <v>-18.247</v>
      </c>
      <c r="H117" s="57">
        <f>IF(H$14=1,'Inputs (2)'!H96,G117)</f>
        <v>-19.863</v>
      </c>
      <c r="I117" s="77">
        <f>SUM(E117:H117)</f>
        <v>-44.225</v>
      </c>
      <c r="J117" s="57">
        <f>IF(J$14=1,'Inputs (2)'!J96,H117)</f>
        <v>3.796</v>
      </c>
      <c r="K117" s="57">
        <f>IF(K$14=1,'Inputs (2)'!K96,J117)</f>
        <v>-16.666</v>
      </c>
      <c r="L117" s="57">
        <f>IF(L$14=1,'Inputs (2)'!L96,K117)</f>
        <v>-10.806</v>
      </c>
      <c r="M117" s="57">
        <f>IF(M$14=1,'Inputs (2)'!M96,L117)</f>
        <v>-20.52</v>
      </c>
      <c r="N117" s="77">
        <f>SUM(J117:M117)</f>
        <v>-44.196</v>
      </c>
      <c r="O117" s="57">
        <f>IF(O$14=1,'Inputs (2)'!O96,M117)</f>
        <v>-15.197</v>
      </c>
      <c r="P117" s="57">
        <f>IF(P$14=1,'Inputs (2)'!P96,O117)</f>
        <v>-5.154</v>
      </c>
      <c r="Q117" s="57">
        <f>IF(Q$14=1,'Inputs (2)'!Q96,P117)</f>
        <v>-28.39</v>
      </c>
      <c r="R117" s="57">
        <f>IF(R$14=1,'Inputs (2)'!R96,Q117)</f>
        <v>21.92</v>
      </c>
      <c r="S117" s="77">
        <f>SUM(O117:R117)</f>
        <v>-26.821</v>
      </c>
      <c r="T117" s="57">
        <f>IF(T$14=1,'Inputs (2)'!T96,R117)</f>
        <v>7.448</v>
      </c>
      <c r="U117" s="57">
        <f>IF(U$14=1,'Inputs (2)'!U96,T117)</f>
        <v>-22.822</v>
      </c>
      <c r="V117" s="57">
        <f>IF(V$14=1,'Inputs (2)'!V96,U117)</f>
        <v>8.192</v>
      </c>
      <c r="W117" s="57">
        <f>IF(W$14=1,'Inputs (2)'!W96,V117)</f>
        <v>60.836</v>
      </c>
      <c r="X117" s="77">
        <f>SUM(T117:W117)</f>
        <v>53.654</v>
      </c>
      <c r="Y117" s="57">
        <f>IF(Y$14=1,'Inputs (2)'!Y96,W117)</f>
        <v>14.834</v>
      </c>
      <c r="Z117" s="57">
        <f>IF(Z$14=1,'Inputs (2)'!Z96,Y117)</f>
        <v>0.076</v>
      </c>
      <c r="AA117" s="57">
        <f>IF(AA$14=1,'Inputs (2)'!AA96,Z117)</f>
        <v>-0.909</v>
      </c>
      <c r="AB117" s="57">
        <f>IF(AB$14=1,'Inputs (2)'!AB96,AA117)</f>
        <v>-13.123</v>
      </c>
      <c r="AC117" s="77">
        <f>SUM(Y117:AB117)</f>
        <v>0.878</v>
      </c>
      <c r="AD117" s="57">
        <f>IF(AD$14=1,'Inputs (2)'!AD96,AB117)</f>
        <v>8.328</v>
      </c>
      <c r="AE117" s="57">
        <f>IF(AE$14=1,'Inputs (2)'!AE96,AD117)</f>
        <v>11.276</v>
      </c>
      <c r="AF117" s="57">
        <f>IF(AF$14=1,'Inputs (2)'!AF96,AE117)</f>
        <v>3.161</v>
      </c>
      <c r="AG117" s="57">
        <f>IF(AG$14=1,'Inputs (2)'!AG96,AF117)</f>
        <v>3.258</v>
      </c>
      <c r="AH117" s="77">
        <f>SUM(AD117:AG117)</f>
        <v>26.023</v>
      </c>
      <c r="AI117" s="57">
        <f>IF(AI$14=1,'Inputs (2)'!AI96,AG117)</f>
        <v>-15.691</v>
      </c>
      <c r="AJ117" s="57">
        <f>IF(AJ$14=1,'Inputs (2)'!AJ96,AI117)</f>
        <v>1.816</v>
      </c>
      <c r="AK117" s="57">
        <f>IF(AK$14=1,'Inputs (2)'!AK96,AJ117)</f>
        <v>1.816</v>
      </c>
      <c r="AL117" s="57">
        <f>IF(AL$14=1,'Inputs (2)'!AL96,AK117)</f>
        <v>1.816</v>
      </c>
      <c r="AM117" s="77">
        <f>SUM(AI117:AL117)</f>
        <v>-10.243</v>
      </c>
      <c r="AN117" s="57">
        <f>IF(AN$14=1,'Inputs (2)'!AN96,AL117)</f>
        <v>1.816</v>
      </c>
      <c r="AO117" s="57">
        <f>IF(AO$14=1,'Inputs (2)'!AO96,AN117)</f>
        <v>1.816</v>
      </c>
      <c r="AP117" s="57">
        <f>IF(AP$14=1,'Inputs (2)'!AP96,AO117)</f>
        <v>1.816</v>
      </c>
      <c r="AQ117" s="57">
        <f>IF(AQ$14=1,'Inputs (2)'!AQ96,AP117)</f>
        <v>1.816</v>
      </c>
      <c r="AR117" s="77">
        <f>SUM(AN117:AQ117)</f>
        <v>7.264</v>
      </c>
      <c r="AS117" s="57">
        <f>IF(AS$14=1,'Inputs (2)'!AS96,AQ117)</f>
        <v>1.816</v>
      </c>
      <c r="AT117" s="57">
        <f>IF(AT$14=1,'Inputs (2)'!AT96,AS117)</f>
        <v>1.816</v>
      </c>
      <c r="AU117" s="57">
        <f>IF(AU$14=1,'Inputs (2)'!AU96,AT117)</f>
        <v>1.816</v>
      </c>
      <c r="AV117" s="57">
        <f>IF(AV$14=1,'Inputs (2)'!AV96,AU117)</f>
        <v>1.816</v>
      </c>
      <c r="AW117" s="77">
        <f>SUM(AS117:AV117)</f>
        <v>7.264</v>
      </c>
      <c r="AX117" s="57">
        <f>IF(AX$14=1,'Inputs (2)'!AX96,AV117)</f>
        <v>1.816</v>
      </c>
      <c r="AY117" s="57">
        <f>IF(AY$14=1,'Inputs (2)'!AY96,AX117)</f>
        <v>1.816</v>
      </c>
      <c r="AZ117" s="57">
        <f>IF(AZ$14=1,'Inputs (2)'!AZ96,AY117)</f>
        <v>1.816</v>
      </c>
      <c r="BA117" s="57">
        <f>IF(BA$14=1,'Inputs (2)'!BA96,AZ117)</f>
        <v>1.816</v>
      </c>
      <c r="BB117" s="77">
        <f>SUM(AX117:BA117)</f>
        <v>7.264</v>
      </c>
      <c r="BC117" s="57">
        <f>IF(BC$14=1,'Inputs (2)'!BC96,BA117)</f>
        <v>1.816</v>
      </c>
      <c r="BD117" s="57">
        <f>IF(BD$14=1,'Inputs (2)'!BD96,BC117)</f>
        <v>1.816</v>
      </c>
      <c r="BE117" s="57">
        <f>IF(BE$14=1,'Inputs (2)'!BE96,BD117)</f>
        <v>1.816</v>
      </c>
      <c r="BF117" s="57">
        <f>IF(BF$14=1,'Inputs (2)'!BF96,BE117)</f>
        <v>1.816</v>
      </c>
      <c r="BG117" s="77">
        <f>SUM(BC117:BF117)</f>
        <v>7.264</v>
      </c>
    </row>
    <row r="118" hidden="1" outlineLevel="1">
      <c r="C118" s="61" t="inlineStr">
        <is>
          <t>(Outras Despesas Operacionais)</t>
        </is>
      </c>
      <c r="D118" s="62" t="inlineStr">
        <is>
          <t>(Other Operating Expenses)</t>
        </is>
      </c>
      <c r="E118" s="57">
        <f>IF(E$14=1,'Inputs (2)'!E97,-E140*Inputs!E$292)</f>
        <v>0</v>
      </c>
      <c r="F118" s="57">
        <f>IF(F$14=1,'Inputs (2)'!F97,-F140*Inputs!F$292)</f>
        <v>0</v>
      </c>
      <c r="G118" s="57">
        <f>IF(G$14=1,'Inputs (2)'!G97,-G140*Inputs!G$292)</f>
        <v>0</v>
      </c>
      <c r="H118" s="57">
        <f>IF(H$14=1,'Inputs (2)'!H97,-H140*Inputs!H$292)</f>
        <v>0</v>
      </c>
      <c r="I118" s="77">
        <f>SUM(E118:H118)</f>
        <v>0</v>
      </c>
      <c r="J118" s="57">
        <f>IF(J$14=1,'Inputs (2)'!J97,-J140*Inputs!J$292)</f>
        <v>0</v>
      </c>
      <c r="K118" s="57">
        <f>IF(K$14=1,'Inputs (2)'!K97,-K140*Inputs!K$292)</f>
        <v>0</v>
      </c>
      <c r="L118" s="57">
        <f>IF(L$14=1,'Inputs (2)'!L97,-L140*Inputs!L$292)</f>
        <v>0</v>
      </c>
      <c r="M118" s="57">
        <f>IF(M$14=1,'Inputs (2)'!M97,-M140*Inputs!M$292)</f>
        <v>0</v>
      </c>
      <c r="N118" s="77">
        <f>SUM(J118:M118)</f>
        <v>0</v>
      </c>
      <c r="O118" s="57">
        <f>IF(O$14=1,'Inputs (2)'!O97,-O140*Inputs!O$292)</f>
        <v>0</v>
      </c>
      <c r="P118" s="57">
        <f>IF(P$14=1,'Inputs (2)'!P97,-P140*Inputs!P$292)</f>
        <v>0</v>
      </c>
      <c r="Q118" s="57">
        <f>IF(Q$14=1,'Inputs (2)'!Q97,-Q140*Inputs!Q$292)</f>
        <v>0</v>
      </c>
      <c r="R118" s="57">
        <f>IF(R$14=1,'Inputs (2)'!R97,-R140*Inputs!R$292)</f>
        <v>0</v>
      </c>
      <c r="S118" s="77">
        <f>SUM(O118:R118)</f>
        <v>0</v>
      </c>
      <c r="T118" s="57">
        <f>IF(T$14=1,'Inputs (2)'!T97,-T140*Inputs!T$292)</f>
        <v>0</v>
      </c>
      <c r="U118" s="57">
        <f>IF(U$14=1,'Inputs (2)'!U97,-U140*Inputs!U$292)</f>
        <v>0</v>
      </c>
      <c r="V118" s="57">
        <f>IF(V$14=1,'Inputs (2)'!V97,-V140*Inputs!V$292)</f>
        <v>0</v>
      </c>
      <c r="W118" s="57">
        <f>IF(W$14=1,'Inputs (2)'!W97,-W140*Inputs!W$292)</f>
        <v>0</v>
      </c>
      <c r="X118" s="77">
        <f>SUM(T118:W118)</f>
        <v>0</v>
      </c>
      <c r="Y118" s="57">
        <f>IF(Y$14=1,'Inputs (2)'!Y97,-Y140*Inputs!Y$292)</f>
        <v>0</v>
      </c>
      <c r="Z118" s="57">
        <f>IF(Z$14=1,'Inputs (2)'!Z97,-Z140*Inputs!Z$292)</f>
        <v>0</v>
      </c>
      <c r="AA118" s="57">
        <f>IF(AA$14=1,'Inputs (2)'!AA97,-AA140*Inputs!AA$292)</f>
        <v>0</v>
      </c>
      <c r="AB118" s="57">
        <f>IF(AB$14=1,'Inputs (2)'!AB97,-AB140*Inputs!AB$292)</f>
        <v>0</v>
      </c>
      <c r="AC118" s="77">
        <f>SUM(Y118:AB118)</f>
        <v>0</v>
      </c>
      <c r="AD118" s="57">
        <f>IF(AD$14=1,'Inputs (2)'!AD97,-AD140*Inputs!AD$292)</f>
        <v>0</v>
      </c>
      <c r="AE118" s="57">
        <f>IF(AE$14=1,'Inputs (2)'!AE97,-AE140*Inputs!AE$292)</f>
        <v>0</v>
      </c>
      <c r="AF118" s="57">
        <f>IF(AF$14=1,'Inputs (2)'!AF97,-AF140*Inputs!AF$292)</f>
        <v>0</v>
      </c>
      <c r="AG118" s="57">
        <f>IF(AG$14=1,'Inputs (2)'!AG97,-AG140*Inputs!AG$292)</f>
        <v>0</v>
      </c>
      <c r="AH118" s="77">
        <f>SUM(AD118:AG118)</f>
        <v>0</v>
      </c>
      <c r="AI118" s="57">
        <f>IF(AI$14=1,'Inputs (2)'!AI97,-AI140*Inputs!AI$292)</f>
        <v>0</v>
      </c>
      <c r="AJ118" s="57">
        <f>IF(AJ$14=1,'Inputs (2)'!AJ97,-AJ140*Inputs!AJ$292)</f>
        <v>0</v>
      </c>
      <c r="AK118" s="57">
        <f>IF(AK$14=1,'Inputs (2)'!AK97,-AK140*Inputs!AK$292)</f>
        <v>0</v>
      </c>
      <c r="AL118" s="57">
        <f>IF(AL$14=1,'Inputs (2)'!AL97,-AL140*Inputs!AL$292)</f>
        <v>0</v>
      </c>
      <c r="AM118" s="77">
        <f>SUM(AI118:AL118)</f>
        <v>0</v>
      </c>
      <c r="AN118" s="57">
        <f>IF(AN$14=1,'Inputs (2)'!AN97,-AN140*Inputs!AN$292)</f>
        <v>0</v>
      </c>
      <c r="AO118" s="57">
        <f>IF(AO$14=1,'Inputs (2)'!AO97,-AO140*Inputs!AO$292)</f>
        <v>0</v>
      </c>
      <c r="AP118" s="57">
        <f>IF(AP$14=1,'Inputs (2)'!AP97,-AP140*Inputs!AP$292)</f>
        <v>0</v>
      </c>
      <c r="AQ118" s="57">
        <f>IF(AQ$14=1,'Inputs (2)'!AQ97,-AQ140*Inputs!AQ$292)</f>
        <v>0</v>
      </c>
      <c r="AR118" s="77">
        <f>SUM(AN118:AQ118)</f>
        <v>0</v>
      </c>
      <c r="AS118" s="57">
        <f>IF(AS$14=1,'Inputs (2)'!AS97,-AS140*Inputs!AS$292)</f>
        <v>0</v>
      </c>
      <c r="AT118" s="57">
        <f>IF(AT$14=1,'Inputs (2)'!AT97,-AT140*Inputs!AT$292)</f>
        <v>0</v>
      </c>
      <c r="AU118" s="57">
        <f>IF(AU$14=1,'Inputs (2)'!AU97,-AU140*Inputs!AU$292)</f>
        <v>0</v>
      </c>
      <c r="AV118" s="57">
        <f>IF(AV$14=1,'Inputs (2)'!AV97,-AV140*Inputs!AV$292)</f>
        <v>0</v>
      </c>
      <c r="AW118" s="77">
        <f>SUM(AS118:AV118)</f>
        <v>0</v>
      </c>
      <c r="AX118" s="57">
        <f>IF(AX$14=1,'Inputs (2)'!AX97,-AX140*Inputs!AX$292)</f>
        <v>0</v>
      </c>
      <c r="AY118" s="57">
        <f>IF(AY$14=1,'Inputs (2)'!AY97,-AY140*Inputs!AY$292)</f>
        <v>0</v>
      </c>
      <c r="AZ118" s="57">
        <f>IF(AZ$14=1,'Inputs (2)'!AZ97,-AZ140*Inputs!AZ$292)</f>
        <v>0</v>
      </c>
      <c r="BA118" s="57">
        <f>IF(BA$14=1,'Inputs (2)'!BA97,-BA140*Inputs!BA$292)</f>
        <v>0</v>
      </c>
      <c r="BB118" s="77">
        <f>SUM(AX118:BA118)</f>
        <v>0</v>
      </c>
      <c r="BC118" s="57">
        <f>IF(BC$14=1,'Inputs (2)'!BC97,-BC140*Inputs!BC$292)</f>
        <v>0</v>
      </c>
      <c r="BD118" s="57">
        <f>IF(BD$14=1,'Inputs (2)'!BD97,-BD140*Inputs!BD$292)</f>
        <v>0</v>
      </c>
      <c r="BE118" s="57">
        <f>IF(BE$14=1,'Inputs (2)'!BE97,-BE140*Inputs!BE$292)</f>
        <v>0</v>
      </c>
      <c r="BF118" s="57">
        <f>IF(BF$14=1,'Inputs (2)'!BF97,-BF140*Inputs!BF$292)</f>
        <v>0</v>
      </c>
      <c r="BG118" s="77">
        <f>SUM(BC118:BF118)</f>
        <v>0</v>
      </c>
    </row>
    <row r="119" collapsed="1">
      <c r="C119" s="53" t="inlineStr">
        <is>
          <t>Resultado Operacional</t>
        </is>
      </c>
      <c r="D119" s="54" t="inlineStr">
        <is>
          <t>Operating Result</t>
        </is>
      </c>
      <c r="E119" s="59">
        <f>E105+E106</f>
        <v>-395.149</v>
      </c>
      <c r="F119" s="59">
        <f>F105+F106</f>
        <v>-102.487</v>
      </c>
      <c r="G119" s="59">
        <f>G105+G106</f>
        <v>50.989</v>
      </c>
      <c r="H119" s="59">
        <f>H105+H106</f>
        <v>229.052</v>
      </c>
      <c r="I119" s="60">
        <f>SUM(E119:H119)</f>
        <v>-217.595</v>
      </c>
      <c r="J119" s="59">
        <f>J105+J106</f>
        <v>90.5200000000001</v>
      </c>
      <c r="K119" s="59">
        <f>K105+K106</f>
        <v>301.08</v>
      </c>
      <c r="L119" s="59">
        <f>L105+L106</f>
        <v>119.404</v>
      </c>
      <c r="M119" s="59">
        <f>M105+M106</f>
        <v>123.619</v>
      </c>
      <c r="N119" s="60">
        <f>SUM(J119:M119)</f>
        <v>634.623</v>
      </c>
      <c r="O119" s="59">
        <f>O105+O106</f>
        <v>239.171</v>
      </c>
      <c r="P119" s="59">
        <f>P105+P106</f>
        <v>226.691</v>
      </c>
      <c r="Q119" s="59">
        <f>Q105+Q106</f>
        <v>245.51</v>
      </c>
      <c r="R119" s="59">
        <f>R105+R106</f>
        <v>206.139</v>
      </c>
      <c r="S119" s="60">
        <f>SUM(O119:R119)</f>
        <v>917.511</v>
      </c>
      <c r="T119" s="59">
        <f>T105+T106</f>
        <v>170.589</v>
      </c>
      <c r="U119" s="59">
        <f>U105+U106</f>
        <v>188.231</v>
      </c>
      <c r="V119" s="59">
        <f>V105+V106</f>
        <v>228.349</v>
      </c>
      <c r="W119" s="59">
        <f>W105+W106</f>
        <v>214.212</v>
      </c>
      <c r="X119" s="60">
        <f>SUM(T119:W119)</f>
        <v>801.381</v>
      </c>
      <c r="Y119" s="59">
        <f>Y105+Y106</f>
        <v>225.066</v>
      </c>
      <c r="Z119" s="59">
        <f>Z105+Z106</f>
        <v>260.754</v>
      </c>
      <c r="AA119" s="59">
        <f>AA105+AA106</f>
        <v>278.415</v>
      </c>
      <c r="AB119" s="59">
        <f>AB105+AB106</f>
        <v>231.268</v>
      </c>
      <c r="AC119" s="60">
        <f>SUM(Y119:AB119)</f>
        <v>995.503</v>
      </c>
      <c r="AD119" s="59">
        <f>AD105+AD106</f>
        <v>237.215</v>
      </c>
      <c r="AE119" s="59">
        <f>AE105+AE106</f>
        <v>263.047</v>
      </c>
      <c r="AF119" s="59">
        <f>AF105+AF106</f>
        <v>284.873</v>
      </c>
      <c r="AG119" s="59">
        <f>AG105+AG106</f>
        <v>244.975</v>
      </c>
      <c r="AH119" s="60">
        <f>SUM(AD119:AG119)</f>
        <v>1030.11</v>
      </c>
      <c r="AI119" s="59">
        <f>AI105+AI106</f>
        <v>241.926</v>
      </c>
      <c r="AJ119" s="59">
        <f>AJ105+AJ106</f>
        <v>269.689</v>
      </c>
      <c r="AK119" s="59">
        <f>AK105+AK106</f>
        <v>-266.2834525</v>
      </c>
      <c r="AL119" s="59">
        <f>AL105+AL106</f>
        <v>-255.2014525</v>
      </c>
      <c r="AM119" s="60">
        <f>SUM(AI119:AL119)</f>
        <v>-9.86990500000005</v>
      </c>
      <c r="AN119" s="59">
        <f>AN105+AN106</f>
        <v>-253.1874525</v>
      </c>
      <c r="AO119" s="59">
        <f>AO105+AO106</f>
        <v>-281.7844525</v>
      </c>
      <c r="AP119" s="59">
        <f>AP105+AP106</f>
        <v>-266.2834525</v>
      </c>
      <c r="AQ119" s="59">
        <f>AQ105+AQ106</f>
        <v>-255.2014525</v>
      </c>
      <c r="AR119" s="60">
        <f>SUM(AN119:AQ119)</f>
        <v>-1056.45681</v>
      </c>
      <c r="AS119" s="59">
        <f>AS105+AS106</f>
        <v>-253.1874525</v>
      </c>
      <c r="AT119" s="59">
        <f>AT105+AT106</f>
        <v>-281.7844525</v>
      </c>
      <c r="AU119" s="59">
        <f>AU105+AU106</f>
        <v>-266.2834525</v>
      </c>
      <c r="AV119" s="59">
        <f>AV105+AV106</f>
        <v>-255.2014525</v>
      </c>
      <c r="AW119" s="60">
        <f>SUM(AS119:AV119)</f>
        <v>-1056.45681</v>
      </c>
      <c r="AX119" s="59">
        <f>AX105+AX106</f>
        <v>-253.1874525</v>
      </c>
      <c r="AY119" s="59">
        <f>AY105+AY106</f>
        <v>-281.7844525</v>
      </c>
      <c r="AZ119" s="59">
        <f>AZ105+AZ106</f>
        <v>-266.2834525</v>
      </c>
      <c r="BA119" s="59">
        <f>BA105+BA106</f>
        <v>-255.2014525</v>
      </c>
      <c r="BB119" s="60">
        <f>SUM(AX119:BA119)</f>
        <v>-1056.45681</v>
      </c>
      <c r="BC119" s="59">
        <f>BC105+BC106</f>
        <v>-253.1874525</v>
      </c>
      <c r="BD119" s="59">
        <f>BD105+BD106</f>
        <v>-281.7844525</v>
      </c>
      <c r="BE119" s="59">
        <f>BE105+BE106</f>
        <v>-266.2834525</v>
      </c>
      <c r="BF119" s="59">
        <f>BF105+BF106</f>
        <v>-255.2014525</v>
      </c>
      <c r="BG119" s="60">
        <f>SUM(BC119:BF119)</f>
        <v>-1056.45681</v>
      </c>
    </row>
    <row r="120">
      <c r="C120" s="80" t="inlineStr">
        <is>
          <t>Resultado Não Operacional</t>
        </is>
      </c>
      <c r="D120" s="81" t="inlineStr">
        <is>
          <t>Non-Operating Result</t>
        </is>
      </c>
      <c r="E120" s="82">
        <f>IF(E$14=1,'Inputs (2)'!E99,Inputs!E$293)</f>
        <v>-0.973</v>
      </c>
      <c r="F120" s="82">
        <f>IF(F$14=1,'Inputs (2)'!F99,Inputs!F$293)</f>
        <v>-0.04</v>
      </c>
      <c r="G120" s="82">
        <f>IF(G$14=1,'Inputs (2)'!G99,Inputs!G$293)</f>
        <v>-0.023</v>
      </c>
      <c r="H120" s="82">
        <f>IF(H$14=1,'Inputs (2)'!H99,Inputs!H$293)</f>
        <v>-9.911</v>
      </c>
      <c r="I120" s="77">
        <f>SUM(E120:H120)</f>
        <v>-10.947</v>
      </c>
      <c r="J120" s="82">
        <f>IF(J$14=1,'Inputs (2)'!J99,Inputs!J$293)</f>
        <v>-0.309</v>
      </c>
      <c r="K120" s="82">
        <f>IF(K$14=1,'Inputs (2)'!K99,Inputs!K$293)</f>
        <v>-18.028</v>
      </c>
      <c r="L120" s="82">
        <f>IF(L$14=1,'Inputs (2)'!L99,Inputs!L$293)</f>
        <v>0.556</v>
      </c>
      <c r="M120" s="82">
        <f>IF(M$14=1,'Inputs (2)'!M99,Inputs!M$293)</f>
        <v>-5.716</v>
      </c>
      <c r="N120" s="77">
        <f>SUM(J120:M120)</f>
        <v>-23.497</v>
      </c>
      <c r="O120" s="82">
        <f>IF(O$14=1,'Inputs (2)'!O99,Inputs!O$293)</f>
        <v>-9.76</v>
      </c>
      <c r="P120" s="82">
        <f>IF(P$14=1,'Inputs (2)'!P99,Inputs!P$293)</f>
        <v>6.015</v>
      </c>
      <c r="Q120" s="82">
        <f>IF(Q$14=1,'Inputs (2)'!Q99,Inputs!Q$293)</f>
        <v>3.123</v>
      </c>
      <c r="R120" s="82">
        <f>IF(R$14=1,'Inputs (2)'!R99,Inputs!R$293)</f>
        <v>1.31</v>
      </c>
      <c r="S120" s="77">
        <f>SUM(O120:R120)</f>
        <v>0.688</v>
      </c>
      <c r="T120" s="82">
        <f>IF(T$14=1,'Inputs (2)'!T99,Inputs!T$293)</f>
        <v>0.433</v>
      </c>
      <c r="U120" s="82">
        <f>IF(U$14=1,'Inputs (2)'!U99,Inputs!U$293)</f>
        <v>0.078</v>
      </c>
      <c r="V120" s="82">
        <f>IF(V$14=1,'Inputs (2)'!V99,Inputs!V$293)</f>
        <v>-0.696</v>
      </c>
      <c r="W120" s="82">
        <f>IF(W$14=1,'Inputs (2)'!W99,Inputs!W$293)</f>
        <v>4.219</v>
      </c>
      <c r="X120" s="77">
        <f>SUM(T120:W120)</f>
        <v>4.034</v>
      </c>
      <c r="Y120" s="82">
        <f>IF(Y$14=1,'Inputs (2)'!Y99,Inputs!Y$293)</f>
        <v>4.683</v>
      </c>
      <c r="Z120" s="82">
        <f>IF(Z$14=1,'Inputs (2)'!Z99,Inputs!Z$293)</f>
        <v>0.904</v>
      </c>
      <c r="AA120" s="82">
        <f>IF(AA$14=1,'Inputs (2)'!AA99,Inputs!AA$293)</f>
        <v>2.299</v>
      </c>
      <c r="AB120" s="82">
        <f>IF(AB$14=1,'Inputs (2)'!AB99,Inputs!AB$293)</f>
        <v>0.701</v>
      </c>
      <c r="AC120" s="77">
        <f>SUM(Y120:AB120)</f>
        <v>8.587</v>
      </c>
      <c r="AD120" s="82">
        <f>IF(AD$14=1,'Inputs (2)'!AD99,Inputs!AD$293)</f>
        <v>5.563</v>
      </c>
      <c r="AE120" s="82">
        <f>IF(AE$14=1,'Inputs (2)'!AE99,Inputs!AE$293)</f>
        <v>0.284</v>
      </c>
      <c r="AF120" s="82">
        <f>IF(AF$14=1,'Inputs (2)'!AF99,Inputs!AF$293)</f>
        <v>-0.97</v>
      </c>
      <c r="AG120" s="82">
        <f>IF(AG$14=1,'Inputs (2)'!AG99,Inputs!AG$293)</f>
        <v>0.564</v>
      </c>
      <c r="AH120" s="77">
        <f>SUM(AD120:AG120)</f>
        <v>5.441</v>
      </c>
      <c r="AI120" s="82">
        <f>IF(AI$14=1,'Inputs (2)'!AI99,Inputs!AI$293)</f>
        <v>-0.235</v>
      </c>
      <c r="AJ120" s="82">
        <f>IF(AJ$14=1,'Inputs (2)'!AJ99,Inputs!AJ$293)</f>
        <v>1.311</v>
      </c>
      <c r="AK120" s="82">
        <f>IF(AK$14=1,'Inputs (2)'!AK99,Inputs!AK$293)</f>
        <v>0</v>
      </c>
      <c r="AL120" s="82">
        <f>IF(AL$14=1,'Inputs (2)'!AL99,Inputs!AL$293)</f>
        <v>0</v>
      </c>
      <c r="AM120" s="77">
        <f>SUM(AI120:AL120)</f>
        <v>1.076</v>
      </c>
      <c r="AN120" s="82">
        <f>IF(AN$14=1,'Inputs (2)'!AN99,Inputs!AN$293)</f>
        <v>0</v>
      </c>
      <c r="AO120" s="82">
        <f>IF(AO$14=1,'Inputs (2)'!AO99,Inputs!AO$293)</f>
        <v>0</v>
      </c>
      <c r="AP120" s="82">
        <f>IF(AP$14=1,'Inputs (2)'!AP99,Inputs!AP$293)</f>
        <v>0</v>
      </c>
      <c r="AQ120" s="82">
        <f>IF(AQ$14=1,'Inputs (2)'!AQ99,Inputs!AQ$293)</f>
        <v>0</v>
      </c>
      <c r="AR120" s="77">
        <f>SUM(AN120:AQ120)</f>
        <v>0</v>
      </c>
      <c r="AS120" s="82">
        <f>IF(AS$14=1,'Inputs (2)'!AS99,Inputs!AS$293)</f>
        <v>0</v>
      </c>
      <c r="AT120" s="82">
        <f>IF(AT$14=1,'Inputs (2)'!AT99,Inputs!AT$293)</f>
        <v>0</v>
      </c>
      <c r="AU120" s="82">
        <f>IF(AU$14=1,'Inputs (2)'!AU99,Inputs!AU$293)</f>
        <v>0</v>
      </c>
      <c r="AV120" s="82">
        <f>IF(AV$14=1,'Inputs (2)'!AV99,Inputs!AV$293)</f>
        <v>0</v>
      </c>
      <c r="AW120" s="77">
        <f>SUM(AS120:AV120)</f>
        <v>0</v>
      </c>
      <c r="AX120" s="82">
        <f>IF(AX$14=1,'Inputs (2)'!AX99,Inputs!AX$293)</f>
        <v>0</v>
      </c>
      <c r="AY120" s="82">
        <f>IF(AY$14=1,'Inputs (2)'!AY99,Inputs!AY$293)</f>
        <v>0</v>
      </c>
      <c r="AZ120" s="82">
        <f>IF(AZ$14=1,'Inputs (2)'!AZ99,Inputs!AZ$293)</f>
        <v>0</v>
      </c>
      <c r="BA120" s="82">
        <f>IF(BA$14=1,'Inputs (2)'!BA99,Inputs!BA$293)</f>
        <v>0</v>
      </c>
      <c r="BB120" s="77">
        <f>SUM(AX120:BA120)</f>
        <v>0</v>
      </c>
      <c r="BC120" s="82">
        <f>IF(BC$14=1,'Inputs (2)'!BC99,Inputs!BC$293)</f>
        <v>0</v>
      </c>
      <c r="BD120" s="82">
        <f>IF(BD$14=1,'Inputs (2)'!BD99,Inputs!BD$293)</f>
        <v>0</v>
      </c>
      <c r="BE120" s="82">
        <f>IF(BE$14=1,'Inputs (2)'!BE99,Inputs!BE$293)</f>
        <v>0</v>
      </c>
      <c r="BF120" s="82">
        <f>IF(BF$14=1,'Inputs (2)'!BF99,Inputs!BF$293)</f>
        <v>0</v>
      </c>
      <c r="BG120" s="77">
        <f>SUM(BC120:BF120)</f>
        <v>0</v>
      </c>
    </row>
    <row r="121">
      <c r="C121" s="53" t="inlineStr">
        <is>
          <t>Resultado antes da Tributação e Participações</t>
        </is>
      </c>
      <c r="D121" s="54" t="inlineStr">
        <is>
          <t>Result before Taxes</t>
        </is>
      </c>
      <c r="E121" s="59">
        <f>E119+E120</f>
        <v>-396.122</v>
      </c>
      <c r="F121" s="59">
        <f>F119+F120</f>
        <v>-102.527</v>
      </c>
      <c r="G121" s="59">
        <f>G119+G120</f>
        <v>50.9659999999999</v>
      </c>
      <c r="H121" s="59">
        <f>H119+H120</f>
        <v>219.141</v>
      </c>
      <c r="I121" s="60">
        <f>SUM(E121:H121)</f>
        <v>-228.542</v>
      </c>
      <c r="J121" s="59">
        <f>J119+J120</f>
        <v>90.2110000000001</v>
      </c>
      <c r="K121" s="59">
        <f>K119+K120</f>
        <v>283.052</v>
      </c>
      <c r="L121" s="59">
        <f>L119+L120</f>
        <v>119.96</v>
      </c>
      <c r="M121" s="59">
        <f>M119+M120</f>
        <v>117.903</v>
      </c>
      <c r="N121" s="60">
        <f>SUM(J121:M121)</f>
        <v>611.126</v>
      </c>
      <c r="O121" s="59">
        <f>O119+O120</f>
        <v>229.411</v>
      </c>
      <c r="P121" s="59">
        <f>P119+P120</f>
        <v>232.706</v>
      </c>
      <c r="Q121" s="59">
        <f>Q119+Q120</f>
        <v>248.633</v>
      </c>
      <c r="R121" s="59">
        <f>R119+R120</f>
        <v>207.449</v>
      </c>
      <c r="S121" s="60">
        <f>SUM(O121:R121)</f>
        <v>918.199</v>
      </c>
      <c r="T121" s="59">
        <f>T119+T120</f>
        <v>171.022</v>
      </c>
      <c r="U121" s="59">
        <f>U119+U120</f>
        <v>188.309</v>
      </c>
      <c r="V121" s="59">
        <f>V119+V120</f>
        <v>227.653</v>
      </c>
      <c r="W121" s="59">
        <f>W119+W120</f>
        <v>218.431</v>
      </c>
      <c r="X121" s="60">
        <f>SUM(T121:W121)</f>
        <v>805.415</v>
      </c>
      <c r="Y121" s="59">
        <f>Y119+Y120</f>
        <v>229.749</v>
      </c>
      <c r="Z121" s="59">
        <f>Z119+Z120</f>
        <v>261.658</v>
      </c>
      <c r="AA121" s="59">
        <f>AA119+AA120</f>
        <v>280.714</v>
      </c>
      <c r="AB121" s="59">
        <f>AB119+AB120</f>
        <v>231.969</v>
      </c>
      <c r="AC121" s="60">
        <f>SUM(Y121:AB121)</f>
        <v>1004.09</v>
      </c>
      <c r="AD121" s="59">
        <f>AD119+AD120</f>
        <v>242.778</v>
      </c>
      <c r="AE121" s="59">
        <f>AE119+AE120</f>
        <v>263.331</v>
      </c>
      <c r="AF121" s="59">
        <f>AF119+AF120</f>
        <v>283.903</v>
      </c>
      <c r="AG121" s="59">
        <f>AG119+AG120</f>
        <v>245.539</v>
      </c>
      <c r="AH121" s="60">
        <f>SUM(AD121:AG121)</f>
        <v>1035.551</v>
      </c>
      <c r="AI121" s="59">
        <f>AI119+AI120</f>
        <v>241.691</v>
      </c>
      <c r="AJ121" s="59">
        <f>AJ119+AJ120</f>
        <v>271</v>
      </c>
      <c r="AK121" s="59">
        <f>AK119+AK120</f>
        <v>-266.2834525</v>
      </c>
      <c r="AL121" s="59">
        <f>AL119+AL120</f>
        <v>-255.2014525</v>
      </c>
      <c r="AM121" s="60">
        <f>SUM(AI121:AL121)</f>
        <v>-8.79390500000008</v>
      </c>
      <c r="AN121" s="59">
        <f>AN119+AN120</f>
        <v>-253.1874525</v>
      </c>
      <c r="AO121" s="59">
        <f>AO119+AO120</f>
        <v>-281.7844525</v>
      </c>
      <c r="AP121" s="59">
        <f>AP119+AP120</f>
        <v>-266.2834525</v>
      </c>
      <c r="AQ121" s="59">
        <f>AQ119+AQ120</f>
        <v>-255.2014525</v>
      </c>
      <c r="AR121" s="60">
        <f>SUM(AN121:AQ121)</f>
        <v>-1056.45681</v>
      </c>
      <c r="AS121" s="59">
        <f>AS119+AS120</f>
        <v>-253.1874525</v>
      </c>
      <c r="AT121" s="59">
        <f>AT119+AT120</f>
        <v>-281.7844525</v>
      </c>
      <c r="AU121" s="59">
        <f>AU119+AU120</f>
        <v>-266.2834525</v>
      </c>
      <c r="AV121" s="59">
        <f>AV119+AV120</f>
        <v>-255.2014525</v>
      </c>
      <c r="AW121" s="60">
        <f>SUM(AS121:AV121)</f>
        <v>-1056.45681</v>
      </c>
      <c r="AX121" s="59">
        <f>AX119+AX120</f>
        <v>-253.1874525</v>
      </c>
      <c r="AY121" s="59">
        <f>AY119+AY120</f>
        <v>-281.7844525</v>
      </c>
      <c r="AZ121" s="59">
        <f>AZ119+AZ120</f>
        <v>-266.2834525</v>
      </c>
      <c r="BA121" s="59">
        <f>BA119+BA120</f>
        <v>-255.2014525</v>
      </c>
      <c r="BB121" s="60">
        <f>SUM(AX121:BA121)</f>
        <v>-1056.45681</v>
      </c>
      <c r="BC121" s="59">
        <f>BC119+BC120</f>
        <v>-253.1874525</v>
      </c>
      <c r="BD121" s="59">
        <f>BD119+BD120</f>
        <v>-281.7844525</v>
      </c>
      <c r="BE121" s="59">
        <f>BE119+BE120</f>
        <v>-266.2834525</v>
      </c>
      <c r="BF121" s="59">
        <f>BF119+BF120</f>
        <v>-255.2014525</v>
      </c>
      <c r="BG121" s="60">
        <f>SUM(BC121:BF121)</f>
        <v>-1056.45681</v>
      </c>
    </row>
    <row r="122">
      <c r="C122" s="83" t="inlineStr">
        <is>
          <t>Imposto de Renda e Contribuição Social</t>
        </is>
      </c>
      <c r="D122" s="84" t="inlineStr">
        <is>
          <t>Income Tax</t>
        </is>
      </c>
      <c r="E122" s="87">
        <f>IF(E$14=1,E123+E124,-E121*Inputs!E$294)</f>
        <v>477.119</v>
      </c>
      <c r="F122" s="87">
        <f>IF(F$14=1,F123+F124,-F121*Inputs!F$294)</f>
        <v>164.143</v>
      </c>
      <c r="G122" s="87">
        <f>IF(G$14=1,G123+G124,-G121*Inputs!G$294)</f>
        <v>22.509</v>
      </c>
      <c r="H122" s="87">
        <f>IF(H$14=1,H123+H124,-H121*Inputs!H$294)</f>
        <v>-113.154</v>
      </c>
      <c r="I122" s="60">
        <f>SUM(E122:H122)</f>
        <v>550.617</v>
      </c>
      <c r="J122" s="87">
        <f>IF(J$14=1,J123+J124,-J121*Inputs!J$294)</f>
        <v>32.195</v>
      </c>
      <c r="K122" s="87">
        <f>IF(K$14=1,K123+K124,-K121*Inputs!K$294)</f>
        <v>-146.712</v>
      </c>
      <c r="L122" s="87">
        <f>IF(L$14=1,L123+L124,-L121*Inputs!L$294)</f>
        <v>31.731</v>
      </c>
      <c r="M122" s="87">
        <f>IF(M$14=1,M123+M124,-M121*Inputs!M$294)</f>
        <v>44.528</v>
      </c>
      <c r="N122" s="60">
        <f>SUM(J122:M122)</f>
        <v>-38.258</v>
      </c>
      <c r="O122" s="87">
        <f>IF(O$14=1,O123+O124,-O121*Inputs!O$294)</f>
        <v>-45.835</v>
      </c>
      <c r="P122" s="87">
        <f>IF(P$14=1,P123+P124,-P121*Inputs!P$294)</f>
        <v>-30.524</v>
      </c>
      <c r="Q122" s="87">
        <f>IF(Q$14=1,Q123+Q124,-Q121*Inputs!Q$294)</f>
        <v>-29.648</v>
      </c>
      <c r="R122" s="87">
        <f>IF(R$14=1,R123+R124,-R121*Inputs!R$294)</f>
        <v>-9.497</v>
      </c>
      <c r="S122" s="60">
        <f>SUM(O122:R122)</f>
        <v>-115.504</v>
      </c>
      <c r="T122" s="87">
        <f>IF(T$14=1,T123+T124,-T121*Inputs!T$294)</f>
        <v>19.654</v>
      </c>
      <c r="U122" s="87">
        <f>IF(U$14=1,U123+U124,-U121*Inputs!U$294)</f>
        <v>14.327</v>
      </c>
      <c r="V122" s="87">
        <f>IF(V$14=1,V123+V124,-V121*Inputs!V$294)</f>
        <v>1.515</v>
      </c>
      <c r="W122" s="87">
        <f>IF(W$14=1,W123+W124,-W121*Inputs!W$294)</f>
        <v>24.215</v>
      </c>
      <c r="X122" s="60">
        <f>SUM(T122:W122)</f>
        <v>59.711</v>
      </c>
      <c r="Y122" s="87">
        <f>IF(Y$14=1,Y123+Y124,-Y121*Inputs!Y$294)</f>
        <v>-3.232</v>
      </c>
      <c r="Z122" s="87">
        <f>IF(Z$14=1,Z123+Z124,-Z121*Inputs!Z$294)</f>
        <v>-4.449</v>
      </c>
      <c r="AA122" s="87">
        <f>IF(AA$14=1,AA123+AA124,-AA121*Inputs!AA$294)</f>
        <v>-21.642</v>
      </c>
      <c r="AB122" s="87">
        <f>IF(AB$14=1,AB123+AB124,-AB121*Inputs!AB$294)</f>
        <v>17.091</v>
      </c>
      <c r="AC122" s="60">
        <f>SUM(Y122:AB122)</f>
        <v>-12.232</v>
      </c>
      <c r="AD122" s="87">
        <f>IF(AD$14=1,AD123+AD124,-AD121*Inputs!AD$294)</f>
        <v>-14.106</v>
      </c>
      <c r="AE122" s="87">
        <f>IF(AE$14=1,AE123+AE124,-AE121*Inputs!AE$294)</f>
        <v>-13.833</v>
      </c>
      <c r="AF122" s="87">
        <f>IF(AF$14=1,AF123+AF124,-AF121*Inputs!AF$294)</f>
        <v>-21.802</v>
      </c>
      <c r="AG122" s="87">
        <f>IF(AG$14=1,AG123+AG124,-AG121*Inputs!AG$294)</f>
        <v>33.776</v>
      </c>
      <c r="AH122" s="60">
        <f>SUM(AD122:AG122)</f>
        <v>-15.965</v>
      </c>
      <c r="AI122" s="87">
        <f>IF(AI$14=1,AI123+AI124,-AI121*Inputs!AI$294)</f>
        <v>-8.661</v>
      </c>
      <c r="AJ122" s="87">
        <f>IF(AJ$14=1,AJ123+AJ124,-AJ121*Inputs!AJ$294)</f>
        <v>-10.839</v>
      </c>
      <c r="AK122" s="87">
        <f>IF(AK$14=1,AK123+AK124,-AK121*Inputs!AK$294)</f>
        <v>0</v>
      </c>
      <c r="AL122" s="87">
        <f>IF(AL$14=1,AL123+AL124,-AL121*Inputs!AL$294)</f>
        <v>0</v>
      </c>
      <c r="AM122" s="60">
        <f>SUM(AI122:AL122)</f>
        <v>-19.5</v>
      </c>
      <c r="AN122" s="87">
        <f>IF(AN$14=1,AN123+AN124,-AN121*Inputs!AN$294)</f>
        <v>0</v>
      </c>
      <c r="AO122" s="87">
        <f>IF(AO$14=1,AO123+AO124,-AO121*Inputs!AO$294)</f>
        <v>0</v>
      </c>
      <c r="AP122" s="87">
        <f>IF(AP$14=1,AP123+AP124,-AP121*Inputs!AP$294)</f>
        <v>0</v>
      </c>
      <c r="AQ122" s="87">
        <f>IF(AQ$14=1,AQ123+AQ124,-AQ121*Inputs!AQ$294)</f>
        <v>0</v>
      </c>
      <c r="AR122" s="60">
        <f>SUM(AN122:AQ122)</f>
        <v>0</v>
      </c>
      <c r="AS122" s="87">
        <f>IF(AS$14=1,AS123+AS124,-AS121*Inputs!AS$294)</f>
        <v>0</v>
      </c>
      <c r="AT122" s="87">
        <f>IF(AT$14=1,AT123+AT124,-AT121*Inputs!AT$294)</f>
        <v>0</v>
      </c>
      <c r="AU122" s="87">
        <f>IF(AU$14=1,AU123+AU124,-AU121*Inputs!AU$294)</f>
        <v>0</v>
      </c>
      <c r="AV122" s="87">
        <f>IF(AV$14=1,AV123+AV124,-AV121*Inputs!AV$294)</f>
        <v>0</v>
      </c>
      <c r="AW122" s="60">
        <f>SUM(AS122:AV122)</f>
        <v>0</v>
      </c>
      <c r="AX122" s="87">
        <f>IF(AX$14=1,AX123+AX124,-AX121*Inputs!AX$294)</f>
        <v>0</v>
      </c>
      <c r="AY122" s="87">
        <f>IF(AY$14=1,AY123+AY124,-AY121*Inputs!AY$294)</f>
        <v>0</v>
      </c>
      <c r="AZ122" s="87">
        <f>IF(AZ$14=1,AZ123+AZ124,-AZ121*Inputs!AZ$294)</f>
        <v>0</v>
      </c>
      <c r="BA122" s="87">
        <f>IF(BA$14=1,BA123+BA124,-BA121*Inputs!BA$294)</f>
        <v>0</v>
      </c>
      <c r="BB122" s="60">
        <f>SUM(AX122:BA122)</f>
        <v>0</v>
      </c>
      <c r="BC122" s="87">
        <f>IF(BC$14=1,BC123+BC124,-BC121*Inputs!BC$294)</f>
        <v>0</v>
      </c>
      <c r="BD122" s="87">
        <f>IF(BD$14=1,BD123+BD124,-BD121*Inputs!BD$294)</f>
        <v>0</v>
      </c>
      <c r="BE122" s="87">
        <f>IF(BE$14=1,BE123+BE124,-BE121*Inputs!BE$294)</f>
        <v>0</v>
      </c>
      <c r="BF122" s="87">
        <f>IF(BF$14=1,BF123+BF124,-BF121*Inputs!BF$294)</f>
        <v>0</v>
      </c>
      <c r="BG122" s="60">
        <f>SUM(BC122:BF122)</f>
        <v>0</v>
      </c>
      <c r="BI122" s="14" t="inlineStr">
        <is>
          <t>No realizado soma corrente + diferido. Na projeção aplica a alíquota efetiva sobre o LAIR.</t>
        </is>
      </c>
    </row>
    <row r="123" hidden="1" outlineLevel="1">
      <c r="C123" s="61" t="inlineStr">
        <is>
          <t>(Devidos sobre Operações do Período)</t>
        </is>
      </c>
      <c r="D123" s="62" t="inlineStr">
        <is>
          <t>(Current Tax)</t>
        </is>
      </c>
      <c r="E123" s="57">
        <f>IF(E$14=1,'Inputs (2)'!E102,0)</f>
        <v>477.119</v>
      </c>
      <c r="F123" s="57">
        <f>IF(F$14=1,'Inputs (2)'!F102,0)</f>
        <v>164.143</v>
      </c>
      <c r="G123" s="57">
        <f>IF(G$14=1,'Inputs (2)'!G102,0)</f>
        <v>22.509</v>
      </c>
      <c r="H123" s="57">
        <f>IF(H$14=1,'Inputs (2)'!H102,0)</f>
        <v>-113.154</v>
      </c>
      <c r="I123" s="77">
        <f>SUM(E123:H123)</f>
        <v>550.617</v>
      </c>
      <c r="J123" s="57">
        <f>IF(J$14=1,'Inputs (2)'!J102,0)</f>
        <v>32.195</v>
      </c>
      <c r="K123" s="57">
        <f>IF(K$14=1,'Inputs (2)'!K102,0)</f>
        <v>-146.712</v>
      </c>
      <c r="L123" s="57">
        <f>IF(L$14=1,'Inputs (2)'!L102,0)</f>
        <v>31.731</v>
      </c>
      <c r="M123" s="57">
        <f>IF(M$14=1,'Inputs (2)'!M102,0)</f>
        <v>44.528</v>
      </c>
      <c r="N123" s="77">
        <f>SUM(J123:M123)</f>
        <v>-38.258</v>
      </c>
      <c r="O123" s="57">
        <f>IF(O$14=1,'Inputs (2)'!O102,0)</f>
        <v>-45.835</v>
      </c>
      <c r="P123" s="57">
        <f>IF(P$14=1,'Inputs (2)'!P102,0)</f>
        <v>-30.524</v>
      </c>
      <c r="Q123" s="57">
        <f>IF(Q$14=1,'Inputs (2)'!Q102,0)</f>
        <v>-29.648</v>
      </c>
      <c r="R123" s="57">
        <f>IF(R$14=1,'Inputs (2)'!R102,0)</f>
        <v>-9.497</v>
      </c>
      <c r="S123" s="77">
        <f>SUM(O123:R123)</f>
        <v>-115.504</v>
      </c>
      <c r="T123" s="57">
        <f>IF(T$14=1,'Inputs (2)'!T102,0)</f>
        <v>19.654</v>
      </c>
      <c r="U123" s="57">
        <f>IF(U$14=1,'Inputs (2)'!U102,0)</f>
        <v>14.327</v>
      </c>
      <c r="V123" s="57">
        <f>IF(V$14=1,'Inputs (2)'!V102,0)</f>
        <v>1.515</v>
      </c>
      <c r="W123" s="57">
        <f>IF(W$14=1,'Inputs (2)'!W102,0)</f>
        <v>24.215</v>
      </c>
      <c r="X123" s="77">
        <f>SUM(T123:W123)</f>
        <v>59.711</v>
      </c>
      <c r="Y123" s="57">
        <f>IF(Y$14=1,'Inputs (2)'!Y102,0)</f>
        <v>-3.232</v>
      </c>
      <c r="Z123" s="57">
        <f>IF(Z$14=1,'Inputs (2)'!Z102,0)</f>
        <v>-4.449</v>
      </c>
      <c r="AA123" s="57">
        <f>IF(AA$14=1,'Inputs (2)'!AA102,0)</f>
        <v>-21.642</v>
      </c>
      <c r="AB123" s="57">
        <f>IF(AB$14=1,'Inputs (2)'!AB102,0)</f>
        <v>17.091</v>
      </c>
      <c r="AC123" s="77">
        <f>SUM(Y123:AB123)</f>
        <v>-12.232</v>
      </c>
      <c r="AD123" s="57">
        <f>IF(AD$14=1,'Inputs (2)'!AD102,0)</f>
        <v>-14.106</v>
      </c>
      <c r="AE123" s="57">
        <f>IF(AE$14=1,'Inputs (2)'!AE102,0)</f>
        <v>-13.833</v>
      </c>
      <c r="AF123" s="57">
        <f>IF(AF$14=1,'Inputs (2)'!AF102,0)</f>
        <v>-21.802</v>
      </c>
      <c r="AG123" s="57">
        <f>IF(AG$14=1,'Inputs (2)'!AG102,0)</f>
        <v>33.776</v>
      </c>
      <c r="AH123" s="77">
        <f>SUM(AD123:AG123)</f>
        <v>-15.965</v>
      </c>
      <c r="AI123" s="57">
        <f>IF(AI$14=1,'Inputs (2)'!AI102,0)</f>
        <v>-8.661</v>
      </c>
      <c r="AJ123" s="57">
        <f>IF(AJ$14=1,'Inputs (2)'!AJ102,0)</f>
        <v>-10.839</v>
      </c>
      <c r="AK123" s="57">
        <f>IF(AK$14=1,'Inputs (2)'!AK102,0)</f>
        <v>0</v>
      </c>
      <c r="AL123" s="57">
        <f>IF(AL$14=1,'Inputs (2)'!AL102,0)</f>
        <v>0</v>
      </c>
      <c r="AM123" s="77">
        <f>SUM(AI123:AL123)</f>
        <v>-19.5</v>
      </c>
      <c r="AN123" s="57">
        <f>IF(AN$14=1,'Inputs (2)'!AN102,0)</f>
        <v>0</v>
      </c>
      <c r="AO123" s="57">
        <f>IF(AO$14=1,'Inputs (2)'!AO102,0)</f>
        <v>0</v>
      </c>
      <c r="AP123" s="57">
        <f>IF(AP$14=1,'Inputs (2)'!AP102,0)</f>
        <v>0</v>
      </c>
      <c r="AQ123" s="57">
        <f>IF(AQ$14=1,'Inputs (2)'!AQ102,0)</f>
        <v>0</v>
      </c>
      <c r="AR123" s="77">
        <f>SUM(AN123:AQ123)</f>
        <v>0</v>
      </c>
      <c r="AS123" s="57">
        <f>IF(AS$14=1,'Inputs (2)'!AS102,0)</f>
        <v>0</v>
      </c>
      <c r="AT123" s="57">
        <f>IF(AT$14=1,'Inputs (2)'!AT102,0)</f>
        <v>0</v>
      </c>
      <c r="AU123" s="57">
        <f>IF(AU$14=1,'Inputs (2)'!AU102,0)</f>
        <v>0</v>
      </c>
      <c r="AV123" s="57">
        <f>IF(AV$14=1,'Inputs (2)'!AV102,0)</f>
        <v>0</v>
      </c>
      <c r="AW123" s="77">
        <f>SUM(AS123:AV123)</f>
        <v>0</v>
      </c>
      <c r="AX123" s="57">
        <f>IF(AX$14=1,'Inputs (2)'!AX102,0)</f>
        <v>0</v>
      </c>
      <c r="AY123" s="57">
        <f>IF(AY$14=1,'Inputs (2)'!AY102,0)</f>
        <v>0</v>
      </c>
      <c r="AZ123" s="57">
        <f>IF(AZ$14=1,'Inputs (2)'!AZ102,0)</f>
        <v>0</v>
      </c>
      <c r="BA123" s="57">
        <f>IF(BA$14=1,'Inputs (2)'!BA102,0)</f>
        <v>0</v>
      </c>
      <c r="BB123" s="77">
        <f>SUM(AX123:BA123)</f>
        <v>0</v>
      </c>
      <c r="BC123" s="57">
        <f>IF(BC$14=1,'Inputs (2)'!BC102,0)</f>
        <v>0</v>
      </c>
      <c r="BD123" s="57">
        <f>IF(BD$14=1,'Inputs (2)'!BD102,0)</f>
        <v>0</v>
      </c>
      <c r="BE123" s="57">
        <f>IF(BE$14=1,'Inputs (2)'!BE102,0)</f>
        <v>0</v>
      </c>
      <c r="BF123" s="57">
        <f>IF(BF$14=1,'Inputs (2)'!BF102,0)</f>
        <v>0</v>
      </c>
      <c r="BG123" s="77">
        <f>SUM(BC123:BF123)</f>
        <v>0</v>
      </c>
    </row>
    <row r="124" hidden="1" outlineLevel="1">
      <c r="C124" s="61" t="inlineStr">
        <is>
          <t>Referentes a Diferenças Temporárias</t>
        </is>
      </c>
      <c r="D124" s="62" t="inlineStr">
        <is>
          <t>Deferred Tax</t>
        </is>
      </c>
      <c r="E124" s="57">
        <f>IF(E$14=1,'Inputs (2)'!E103,0)</f>
        <v>0</v>
      </c>
      <c r="F124" s="57">
        <f>IF(F$14=1,'Inputs (2)'!F103,0)</f>
        <v>0</v>
      </c>
      <c r="G124" s="57">
        <f>IF(G$14=1,'Inputs (2)'!G103,0)</f>
        <v>0</v>
      </c>
      <c r="H124" s="57">
        <f>IF(H$14=1,'Inputs (2)'!H103,0)</f>
        <v>0</v>
      </c>
      <c r="I124" s="77">
        <f>SUM(E124:H124)</f>
        <v>0</v>
      </c>
      <c r="J124" s="57">
        <f>IF(J$14=1,'Inputs (2)'!J103,0)</f>
        <v>0</v>
      </c>
      <c r="K124" s="57">
        <f>IF(K$14=1,'Inputs (2)'!K103,0)</f>
        <v>0</v>
      </c>
      <c r="L124" s="57">
        <f>IF(L$14=1,'Inputs (2)'!L103,0)</f>
        <v>0</v>
      </c>
      <c r="M124" s="57">
        <f>IF(M$14=1,'Inputs (2)'!M103,0)</f>
        <v>0</v>
      </c>
      <c r="N124" s="77">
        <f>SUM(J124:M124)</f>
        <v>0</v>
      </c>
      <c r="O124" s="57">
        <f>IF(O$14=1,'Inputs (2)'!O103,0)</f>
        <v>0</v>
      </c>
      <c r="P124" s="57">
        <f>IF(P$14=1,'Inputs (2)'!P103,0)</f>
        <v>0</v>
      </c>
      <c r="Q124" s="57">
        <f>IF(Q$14=1,'Inputs (2)'!Q103,0)</f>
        <v>0</v>
      </c>
      <c r="R124" s="57">
        <f>IF(R$14=1,'Inputs (2)'!R103,0)</f>
        <v>0</v>
      </c>
      <c r="S124" s="77">
        <f>SUM(O124:R124)</f>
        <v>0</v>
      </c>
      <c r="T124" s="57">
        <f>IF(T$14=1,'Inputs (2)'!T103,0)</f>
        <v>0</v>
      </c>
      <c r="U124" s="57">
        <f>IF(U$14=1,'Inputs (2)'!U103,0)</f>
        <v>0</v>
      </c>
      <c r="V124" s="57">
        <f>IF(V$14=1,'Inputs (2)'!V103,0)</f>
        <v>0</v>
      </c>
      <c r="W124" s="57">
        <f>IF(W$14=1,'Inputs (2)'!W103,0)</f>
        <v>0</v>
      </c>
      <c r="X124" s="77">
        <f>SUM(T124:W124)</f>
        <v>0</v>
      </c>
      <c r="Y124" s="57">
        <f>IF(Y$14=1,'Inputs (2)'!Y103,0)</f>
        <v>0</v>
      </c>
      <c r="Z124" s="57">
        <f>IF(Z$14=1,'Inputs (2)'!Z103,0)</f>
        <v>0</v>
      </c>
      <c r="AA124" s="57">
        <f>IF(AA$14=1,'Inputs (2)'!AA103,0)</f>
        <v>0</v>
      </c>
      <c r="AB124" s="57">
        <f>IF(AB$14=1,'Inputs (2)'!AB103,0)</f>
        <v>0</v>
      </c>
      <c r="AC124" s="77">
        <f>SUM(Y124:AB124)</f>
        <v>0</v>
      </c>
      <c r="AD124" s="57">
        <f>IF(AD$14=1,'Inputs (2)'!AD103,0)</f>
        <v>0</v>
      </c>
      <c r="AE124" s="57">
        <f>IF(AE$14=1,'Inputs (2)'!AE103,0)</f>
        <v>0</v>
      </c>
      <c r="AF124" s="57">
        <f>IF(AF$14=1,'Inputs (2)'!AF103,0)</f>
        <v>0</v>
      </c>
      <c r="AG124" s="57">
        <f>IF(AG$14=1,'Inputs (2)'!AG103,0)</f>
        <v>0</v>
      </c>
      <c r="AH124" s="77">
        <f>SUM(AD124:AG124)</f>
        <v>0</v>
      </c>
      <c r="AI124" s="57">
        <f>IF(AI$14=1,'Inputs (2)'!AI103,0)</f>
        <v>0</v>
      </c>
      <c r="AJ124" s="57">
        <f>IF(AJ$14=1,'Inputs (2)'!AJ103,0)</f>
        <v>0</v>
      </c>
      <c r="AK124" s="57">
        <f>IF(AK$14=1,'Inputs (2)'!AK103,0)</f>
        <v>0</v>
      </c>
      <c r="AL124" s="57">
        <f>IF(AL$14=1,'Inputs (2)'!AL103,0)</f>
        <v>0</v>
      </c>
      <c r="AM124" s="77">
        <f>SUM(AI124:AL124)</f>
        <v>0</v>
      </c>
      <c r="AN124" s="57">
        <f>IF(AN$14=1,'Inputs (2)'!AN103,0)</f>
        <v>0</v>
      </c>
      <c r="AO124" s="57">
        <f>IF(AO$14=1,'Inputs (2)'!AO103,0)</f>
        <v>0</v>
      </c>
      <c r="AP124" s="57">
        <f>IF(AP$14=1,'Inputs (2)'!AP103,0)</f>
        <v>0</v>
      </c>
      <c r="AQ124" s="57">
        <f>IF(AQ$14=1,'Inputs (2)'!AQ103,0)</f>
        <v>0</v>
      </c>
      <c r="AR124" s="77">
        <f>SUM(AN124:AQ124)</f>
        <v>0</v>
      </c>
      <c r="AS124" s="57">
        <f>IF(AS$14=1,'Inputs (2)'!AS103,0)</f>
        <v>0</v>
      </c>
      <c r="AT124" s="57">
        <f>IF(AT$14=1,'Inputs (2)'!AT103,0)</f>
        <v>0</v>
      </c>
      <c r="AU124" s="57">
        <f>IF(AU$14=1,'Inputs (2)'!AU103,0)</f>
        <v>0</v>
      </c>
      <c r="AV124" s="57">
        <f>IF(AV$14=1,'Inputs (2)'!AV103,0)</f>
        <v>0</v>
      </c>
      <c r="AW124" s="77">
        <f>SUM(AS124:AV124)</f>
        <v>0</v>
      </c>
      <c r="AX124" s="57">
        <f>IF(AX$14=1,'Inputs (2)'!AX103,0)</f>
        <v>0</v>
      </c>
      <c r="AY124" s="57">
        <f>IF(AY$14=1,'Inputs (2)'!AY103,0)</f>
        <v>0</v>
      </c>
      <c r="AZ124" s="57">
        <f>IF(AZ$14=1,'Inputs (2)'!AZ103,0)</f>
        <v>0</v>
      </c>
      <c r="BA124" s="57">
        <f>IF(BA$14=1,'Inputs (2)'!BA103,0)</f>
        <v>0</v>
      </c>
      <c r="BB124" s="77">
        <f>SUM(AX124:BA124)</f>
        <v>0</v>
      </c>
      <c r="BC124" s="57">
        <f>IF(BC$14=1,'Inputs (2)'!BC103,0)</f>
        <v>0</v>
      </c>
      <c r="BD124" s="57">
        <f>IF(BD$14=1,'Inputs (2)'!BD103,0)</f>
        <v>0</v>
      </c>
      <c r="BE124" s="57">
        <f>IF(BE$14=1,'Inputs (2)'!BE103,0)</f>
        <v>0</v>
      </c>
      <c r="BF124" s="57">
        <f>IF(BF$14=1,'Inputs (2)'!BF103,0)</f>
        <v>0</v>
      </c>
      <c r="BG124" s="77">
        <f>SUM(BC124:BF124)</f>
        <v>0</v>
      </c>
    </row>
    <row r="125" collapsed="1">
      <c r="C125" s="53" t="inlineStr">
        <is>
          <t>LUCRO LÍQUIDO</t>
        </is>
      </c>
      <c r="D125" s="54" t="inlineStr">
        <is>
          <t>NET INCOME</t>
        </is>
      </c>
      <c r="E125" s="59">
        <f>E121+E122</f>
        <v>80.9969999999997</v>
      </c>
      <c r="F125" s="59">
        <f>F121+F122</f>
        <v>61.6159999999999</v>
      </c>
      <c r="G125" s="59">
        <f>G121+G122</f>
        <v>73.4749999999999</v>
      </c>
      <c r="H125" s="59">
        <f>H121+H122</f>
        <v>105.987</v>
      </c>
      <c r="I125" s="60">
        <f>SUM(E125:H125)</f>
        <v>322.075</v>
      </c>
      <c r="J125" s="59">
        <f>J121+J122</f>
        <v>122.406</v>
      </c>
      <c r="K125" s="59">
        <f>K121+K122</f>
        <v>136.34</v>
      </c>
      <c r="L125" s="59">
        <f>L121+L122</f>
        <v>151.691</v>
      </c>
      <c r="M125" s="59">
        <f>M121+M122</f>
        <v>162.431</v>
      </c>
      <c r="N125" s="60">
        <f>SUM(J125:M125)</f>
        <v>572.868</v>
      </c>
      <c r="O125" s="59">
        <f>O121+O122</f>
        <v>183.576</v>
      </c>
      <c r="P125" s="59">
        <f>P121+P122</f>
        <v>202.182</v>
      </c>
      <c r="Q125" s="59">
        <f>Q121+Q122</f>
        <v>218.985</v>
      </c>
      <c r="R125" s="59">
        <f>R121+R122</f>
        <v>197.952</v>
      </c>
      <c r="S125" s="60">
        <f>SUM(O125:R125)</f>
        <v>802.695</v>
      </c>
      <c r="T125" s="59">
        <f>T121+T122</f>
        <v>190.676</v>
      </c>
      <c r="U125" s="59">
        <f>U121+U122</f>
        <v>202.636</v>
      </c>
      <c r="V125" s="59">
        <f>V121+V122</f>
        <v>229.168</v>
      </c>
      <c r="W125" s="59">
        <f>W121+W122</f>
        <v>242.646</v>
      </c>
      <c r="X125" s="60">
        <f>SUM(T125:W125)</f>
        <v>865.126</v>
      </c>
      <c r="Y125" s="59">
        <f>Y121+Y122</f>
        <v>226.517</v>
      </c>
      <c r="Z125" s="59">
        <f>Z121+Z122</f>
        <v>257.209</v>
      </c>
      <c r="AA125" s="59">
        <f>AA121+AA122</f>
        <v>259.072</v>
      </c>
      <c r="AB125" s="59">
        <f>AB121+AB122</f>
        <v>249.06</v>
      </c>
      <c r="AC125" s="60">
        <f>SUM(Y125:AB125)</f>
        <v>991.858</v>
      </c>
      <c r="AD125" s="59">
        <f>AD121+AD122</f>
        <v>228.672</v>
      </c>
      <c r="AE125" s="59">
        <f>AE121+AE122</f>
        <v>249.498</v>
      </c>
      <c r="AF125" s="59">
        <f>AF121+AF122</f>
        <v>262.101</v>
      </c>
      <c r="AG125" s="59">
        <f>AG121+AG122</f>
        <v>279.315</v>
      </c>
      <c r="AH125" s="60">
        <f>SUM(AD125:AG125)</f>
        <v>1019.586</v>
      </c>
      <c r="AI125" s="59">
        <f>AI121+AI122</f>
        <v>233.03</v>
      </c>
      <c r="AJ125" s="59">
        <f>AJ121+AJ122</f>
        <v>260.161</v>
      </c>
      <c r="AK125" s="59">
        <f>AK121+AK122</f>
        <v>-266.2834525</v>
      </c>
      <c r="AL125" s="59">
        <f>AL121+AL122</f>
        <v>-255.2014525</v>
      </c>
      <c r="AM125" s="60">
        <f>SUM(AI125:AL125)</f>
        <v>-28.2939050000001</v>
      </c>
      <c r="AN125" s="59">
        <f>AN121+AN122</f>
        <v>-253.1874525</v>
      </c>
      <c r="AO125" s="59">
        <f>AO121+AO122</f>
        <v>-281.7844525</v>
      </c>
      <c r="AP125" s="59">
        <f>AP121+AP122</f>
        <v>-266.2834525</v>
      </c>
      <c r="AQ125" s="59">
        <f>AQ121+AQ122</f>
        <v>-255.2014525</v>
      </c>
      <c r="AR125" s="60">
        <f>SUM(AN125:AQ125)</f>
        <v>-1056.45681</v>
      </c>
      <c r="AS125" s="59">
        <f>AS121+AS122</f>
        <v>-253.1874525</v>
      </c>
      <c r="AT125" s="59">
        <f>AT121+AT122</f>
        <v>-281.7844525</v>
      </c>
      <c r="AU125" s="59">
        <f>AU121+AU122</f>
        <v>-266.2834525</v>
      </c>
      <c r="AV125" s="59">
        <f>AV121+AV122</f>
        <v>-255.2014525</v>
      </c>
      <c r="AW125" s="60">
        <f>SUM(AS125:AV125)</f>
        <v>-1056.45681</v>
      </c>
      <c r="AX125" s="59">
        <f>AX121+AX122</f>
        <v>-253.1874525</v>
      </c>
      <c r="AY125" s="59">
        <f>AY121+AY122</f>
        <v>-281.7844525</v>
      </c>
      <c r="AZ125" s="59">
        <f>AZ121+AZ122</f>
        <v>-266.2834525</v>
      </c>
      <c r="BA125" s="59">
        <f>BA121+BA122</f>
        <v>-255.2014525</v>
      </c>
      <c r="BB125" s="60">
        <f>SUM(AX125:BA125)</f>
        <v>-1056.45681</v>
      </c>
      <c r="BC125" s="59">
        <f>BC121+BC122</f>
        <v>-253.1874525</v>
      </c>
      <c r="BD125" s="59">
        <f>BD121+BD122</f>
        <v>-281.7844525</v>
      </c>
      <c r="BE125" s="59">
        <f>BE121+BE122</f>
        <v>-266.2834525</v>
      </c>
      <c r="BF125" s="59">
        <f>BF121+BF122</f>
        <v>-255.2014525</v>
      </c>
      <c r="BG125" s="60">
        <f>SUM(BC125:BF125)</f>
        <v>-1056.45681</v>
      </c>
    </row>
    <row r="126">
      <c r="C126" s="80" t="inlineStr">
        <is>
          <t>(Participação de Não Controladores)</t>
        </is>
      </c>
      <c r="D126" s="81" t="inlineStr">
        <is>
          <t>(Non-Controlling Interests)</t>
        </is>
      </c>
      <c r="E126" s="82">
        <f>IF(E$14=1,'Inputs (2)'!E105,-E125*Inputs!E$295)</f>
        <v>0</v>
      </c>
      <c r="F126" s="82">
        <f>IF(F$14=1,'Inputs (2)'!F105,-F125*Inputs!F$295)</f>
        <v>0</v>
      </c>
      <c r="G126" s="82">
        <f>IF(G$14=1,'Inputs (2)'!G105,-G125*Inputs!G$295)</f>
        <v>0</v>
      </c>
      <c r="H126" s="82">
        <f>IF(H$14=1,'Inputs (2)'!H105,-H125*Inputs!H$295)</f>
        <v>0</v>
      </c>
      <c r="I126" s="77">
        <f>SUM(E126:H126)</f>
        <v>0</v>
      </c>
      <c r="J126" s="82">
        <f>IF(J$14=1,'Inputs (2)'!J105,-J125*Inputs!J$295)</f>
        <v>0</v>
      </c>
      <c r="K126" s="82">
        <f>IF(K$14=1,'Inputs (2)'!K105,-K125*Inputs!K$295)</f>
        <v>0</v>
      </c>
      <c r="L126" s="82">
        <f>IF(L$14=1,'Inputs (2)'!L105,-L125*Inputs!L$295)</f>
        <v>-0.231</v>
      </c>
      <c r="M126" s="82">
        <f>IF(M$14=1,'Inputs (2)'!M105,-M125*Inputs!M$295)</f>
        <v>-0.464</v>
      </c>
      <c r="N126" s="77">
        <f>SUM(J126:M126)</f>
        <v>-0.695</v>
      </c>
      <c r="O126" s="82">
        <f>IF(O$14=1,'Inputs (2)'!O105,-O125*Inputs!O$295)</f>
        <v>-0.414</v>
      </c>
      <c r="P126" s="82">
        <f>IF(P$14=1,'Inputs (2)'!P105,-P125*Inputs!P$295)</f>
        <v>-0.53</v>
      </c>
      <c r="Q126" s="82">
        <f>IF(Q$14=1,'Inputs (2)'!Q105,-Q125*Inputs!Q$295)</f>
        <v>-0.837</v>
      </c>
      <c r="R126" s="82">
        <f>IF(R$14=1,'Inputs (2)'!R105,-R125*Inputs!R$295)</f>
        <v>-0.68</v>
      </c>
      <c r="S126" s="77">
        <f>SUM(O126:R126)</f>
        <v>-2.461</v>
      </c>
      <c r="T126" s="82">
        <f>IF(T$14=1,'Inputs (2)'!T105,-T125*Inputs!T$295)</f>
        <v>-0.653</v>
      </c>
      <c r="U126" s="82">
        <f>IF(U$14=1,'Inputs (2)'!U105,-U125*Inputs!U$295)</f>
        <v>-0.758</v>
      </c>
      <c r="V126" s="82">
        <f>IF(V$14=1,'Inputs (2)'!V105,-V125*Inputs!V$295)</f>
        <v>-0.95</v>
      </c>
      <c r="W126" s="82">
        <f>IF(W$14=1,'Inputs (2)'!W105,-W125*Inputs!W$295)</f>
        <v>-11.183</v>
      </c>
      <c r="X126" s="77">
        <f>SUM(T126:W126)</f>
        <v>-13.544</v>
      </c>
      <c r="Y126" s="82">
        <f>IF(Y$14=1,'Inputs (2)'!Y105,-Y125*Inputs!Y$295)</f>
        <v>-3.489</v>
      </c>
      <c r="Z126" s="82">
        <f>IF(Z$14=1,'Inputs (2)'!Z105,-Z125*Inputs!Z$295)</f>
        <v>-7.104</v>
      </c>
      <c r="AA126" s="82">
        <f>IF(AA$14=1,'Inputs (2)'!AA105,-AA125*Inputs!AA$295)</f>
        <v>-4.002</v>
      </c>
      <c r="AB126" s="82">
        <f>IF(AB$14=1,'Inputs (2)'!AB105,-AB125*Inputs!AB$295)</f>
        <v>-5.989</v>
      </c>
      <c r="AC126" s="77">
        <f>SUM(Y126:AB126)</f>
        <v>-20.584</v>
      </c>
      <c r="AD126" s="82">
        <f>IF(AD$14=1,'Inputs (2)'!AD105,-AD125*Inputs!AD$295)</f>
        <v>-3.104</v>
      </c>
      <c r="AE126" s="82">
        <f>IF(AE$14=1,'Inputs (2)'!AE105,-AE125*Inputs!AE$295)</f>
        <v>-5.399</v>
      </c>
      <c r="AF126" s="82">
        <f>IF(AF$14=1,'Inputs (2)'!AF105,-AF125*Inputs!AF$295)</f>
        <v>-5.29</v>
      </c>
      <c r="AG126" s="82">
        <f>IF(AG$14=1,'Inputs (2)'!AG105,-AG125*Inputs!AG$295)</f>
        <v>-3.788</v>
      </c>
      <c r="AH126" s="77">
        <f>SUM(AD126:AG126)</f>
        <v>-17.581</v>
      </c>
      <c r="AI126" s="82">
        <f>IF(AI$14=1,'Inputs (2)'!AI105,-AI125*Inputs!AI$295)</f>
        <v>-2.82</v>
      </c>
      <c r="AJ126" s="82">
        <f>IF(AJ$14=1,'Inputs (2)'!AJ105,-AJ125*Inputs!AJ$295)</f>
        <v>-2.837</v>
      </c>
      <c r="AK126" s="82">
        <f>IF(AK$14=1,'Inputs (2)'!AK105,-AK125*Inputs!AK$295)</f>
        <v>0</v>
      </c>
      <c r="AL126" s="82">
        <f>IF(AL$14=1,'Inputs (2)'!AL105,-AL125*Inputs!AL$295)</f>
        <v>0</v>
      </c>
      <c r="AM126" s="77">
        <f>SUM(AI126:AL126)</f>
        <v>-5.657</v>
      </c>
      <c r="AN126" s="82">
        <f>IF(AN$14=1,'Inputs (2)'!AN105,-AN125*Inputs!AN$295)</f>
        <v>0</v>
      </c>
      <c r="AO126" s="82">
        <f>IF(AO$14=1,'Inputs (2)'!AO105,-AO125*Inputs!AO$295)</f>
        <v>0</v>
      </c>
      <c r="AP126" s="82">
        <f>IF(AP$14=1,'Inputs (2)'!AP105,-AP125*Inputs!AP$295)</f>
        <v>0</v>
      </c>
      <c r="AQ126" s="82">
        <f>IF(AQ$14=1,'Inputs (2)'!AQ105,-AQ125*Inputs!AQ$295)</f>
        <v>0</v>
      </c>
      <c r="AR126" s="77">
        <f>SUM(AN126:AQ126)</f>
        <v>0</v>
      </c>
      <c r="AS126" s="82">
        <f>IF(AS$14=1,'Inputs (2)'!AS105,-AS125*Inputs!AS$295)</f>
        <v>0</v>
      </c>
      <c r="AT126" s="82">
        <f>IF(AT$14=1,'Inputs (2)'!AT105,-AT125*Inputs!AT$295)</f>
        <v>0</v>
      </c>
      <c r="AU126" s="82">
        <f>IF(AU$14=1,'Inputs (2)'!AU105,-AU125*Inputs!AU$295)</f>
        <v>0</v>
      </c>
      <c r="AV126" s="82">
        <f>IF(AV$14=1,'Inputs (2)'!AV105,-AV125*Inputs!AV$295)</f>
        <v>0</v>
      </c>
      <c r="AW126" s="77">
        <f>SUM(AS126:AV126)</f>
        <v>0</v>
      </c>
      <c r="AX126" s="82">
        <f>IF(AX$14=1,'Inputs (2)'!AX105,-AX125*Inputs!AX$295)</f>
        <v>0</v>
      </c>
      <c r="AY126" s="82">
        <f>IF(AY$14=1,'Inputs (2)'!AY105,-AY125*Inputs!AY$295)</f>
        <v>0</v>
      </c>
      <c r="AZ126" s="82">
        <f>IF(AZ$14=1,'Inputs (2)'!AZ105,-AZ125*Inputs!AZ$295)</f>
        <v>0</v>
      </c>
      <c r="BA126" s="82">
        <f>IF(BA$14=1,'Inputs (2)'!BA105,-BA125*Inputs!BA$295)</f>
        <v>0</v>
      </c>
      <c r="BB126" s="77">
        <f>SUM(AX126:BA126)</f>
        <v>0</v>
      </c>
      <c r="BC126" s="82">
        <f>IF(BC$14=1,'Inputs (2)'!BC105,-BC125*Inputs!BC$295)</f>
        <v>0</v>
      </c>
      <c r="BD126" s="82">
        <f>IF(BD$14=1,'Inputs (2)'!BD105,-BD125*Inputs!BD$295)</f>
        <v>0</v>
      </c>
      <c r="BE126" s="82">
        <f>IF(BE$14=1,'Inputs (2)'!BE105,-BE125*Inputs!BE$295)</f>
        <v>0</v>
      </c>
      <c r="BF126" s="82">
        <f>IF(BF$14=1,'Inputs (2)'!BF105,-BF125*Inputs!BF$295)</f>
        <v>0</v>
      </c>
      <c r="BG126" s="77">
        <f>SUM(BC126:BF126)</f>
        <v>0</v>
      </c>
    </row>
    <row r="127">
      <c r="C127" s="53" t="inlineStr">
        <is>
          <t>LUCRO LÍQUIDO DOS CONTROLADORES</t>
        </is>
      </c>
      <c r="D127" s="54" t="inlineStr">
        <is>
          <t>NET INCOME — CONTROLLING</t>
        </is>
      </c>
      <c r="E127" s="59">
        <f>E125+E126</f>
        <v>80.9969999999997</v>
      </c>
      <c r="F127" s="59">
        <f>F125+F126</f>
        <v>61.6159999999999</v>
      </c>
      <c r="G127" s="59">
        <f>G125+G126</f>
        <v>73.4749999999999</v>
      </c>
      <c r="H127" s="59">
        <f>H125+H126</f>
        <v>105.987</v>
      </c>
      <c r="I127" s="60">
        <f>SUM(E127:H127)</f>
        <v>322.075</v>
      </c>
      <c r="J127" s="59">
        <f>J125+J126</f>
        <v>122.406</v>
      </c>
      <c r="K127" s="59">
        <f>K125+K126</f>
        <v>136.34</v>
      </c>
      <c r="L127" s="59">
        <f>L125+L126</f>
        <v>151.46</v>
      </c>
      <c r="M127" s="59">
        <f>M125+M126</f>
        <v>161.967</v>
      </c>
      <c r="N127" s="60">
        <f>SUM(J127:M127)</f>
        <v>572.173</v>
      </c>
      <c r="O127" s="59">
        <f>O125+O126</f>
        <v>183.162</v>
      </c>
      <c r="P127" s="59">
        <f>P125+P126</f>
        <v>201.652</v>
      </c>
      <c r="Q127" s="59">
        <f>Q125+Q126</f>
        <v>218.148</v>
      </c>
      <c r="R127" s="59">
        <f>R125+R126</f>
        <v>197.272</v>
      </c>
      <c r="S127" s="60">
        <f>SUM(O127:R127)</f>
        <v>800.234</v>
      </c>
      <c r="T127" s="59">
        <f>T125+T126</f>
        <v>190.023</v>
      </c>
      <c r="U127" s="59">
        <f>U125+U126</f>
        <v>201.878</v>
      </c>
      <c r="V127" s="59">
        <f>V125+V126</f>
        <v>228.218</v>
      </c>
      <c r="W127" s="59">
        <f>W125+W126</f>
        <v>231.463</v>
      </c>
      <c r="X127" s="60">
        <f>SUM(T127:W127)</f>
        <v>851.582</v>
      </c>
      <c r="Y127" s="59">
        <f>Y125+Y126</f>
        <v>223.028</v>
      </c>
      <c r="Z127" s="59">
        <f>Z125+Z126</f>
        <v>250.105</v>
      </c>
      <c r="AA127" s="59">
        <f>AA125+AA126</f>
        <v>255.07</v>
      </c>
      <c r="AB127" s="59">
        <f>AB125+AB126</f>
        <v>243.071</v>
      </c>
      <c r="AC127" s="60">
        <f>SUM(Y127:AB127)</f>
        <v>971.274</v>
      </c>
      <c r="AD127" s="59">
        <f>AD125+AD126</f>
        <v>225.568</v>
      </c>
      <c r="AE127" s="59">
        <f>AE125+AE126</f>
        <v>244.099</v>
      </c>
      <c r="AF127" s="59">
        <f>AF125+AF126</f>
        <v>256.811</v>
      </c>
      <c r="AG127" s="59">
        <f>AG125+AG126</f>
        <v>275.527</v>
      </c>
      <c r="AH127" s="60">
        <f>SUM(AD127:AG127)</f>
        <v>1002.005</v>
      </c>
      <c r="AI127" s="59">
        <f>AI125+AI126</f>
        <v>230.21</v>
      </c>
      <c r="AJ127" s="59">
        <f>AJ125+AJ126</f>
        <v>257.324</v>
      </c>
      <c r="AK127" s="59">
        <f>AK125+AK126</f>
        <v>-266.2834525</v>
      </c>
      <c r="AL127" s="59">
        <f>AL125+AL126</f>
        <v>-255.2014525</v>
      </c>
      <c r="AM127" s="60">
        <f>SUM(AI127:AL127)</f>
        <v>-33.9509050000001</v>
      </c>
      <c r="AN127" s="59">
        <f>AN125+AN126</f>
        <v>-253.1874525</v>
      </c>
      <c r="AO127" s="59">
        <f>AO125+AO126</f>
        <v>-281.7844525</v>
      </c>
      <c r="AP127" s="59">
        <f>AP125+AP126</f>
        <v>-266.2834525</v>
      </c>
      <c r="AQ127" s="59">
        <f>AQ125+AQ126</f>
        <v>-255.2014525</v>
      </c>
      <c r="AR127" s="60">
        <f>SUM(AN127:AQ127)</f>
        <v>-1056.45681</v>
      </c>
      <c r="AS127" s="59">
        <f>AS125+AS126</f>
        <v>-253.1874525</v>
      </c>
      <c r="AT127" s="59">
        <f>AT125+AT126</f>
        <v>-281.7844525</v>
      </c>
      <c r="AU127" s="59">
        <f>AU125+AU126</f>
        <v>-266.2834525</v>
      </c>
      <c r="AV127" s="59">
        <f>AV125+AV126</f>
        <v>-255.2014525</v>
      </c>
      <c r="AW127" s="60">
        <f>SUM(AS127:AV127)</f>
        <v>-1056.45681</v>
      </c>
      <c r="AX127" s="59">
        <f>AX125+AX126</f>
        <v>-253.1874525</v>
      </c>
      <c r="AY127" s="59">
        <f>AY125+AY126</f>
        <v>-281.7844525</v>
      </c>
      <c r="AZ127" s="59">
        <f>AZ125+AZ126</f>
        <v>-266.2834525</v>
      </c>
      <c r="BA127" s="59">
        <f>BA125+BA126</f>
        <v>-255.2014525</v>
      </c>
      <c r="BB127" s="60">
        <f>SUM(AX127:BA127)</f>
        <v>-1056.45681</v>
      </c>
      <c r="BC127" s="59">
        <f>BC125+BC126</f>
        <v>-253.1874525</v>
      </c>
      <c r="BD127" s="59">
        <f>BD125+BD126</f>
        <v>-281.7844525</v>
      </c>
      <c r="BE127" s="59">
        <f>BE125+BE126</f>
        <v>-266.2834525</v>
      </c>
      <c r="BF127" s="59">
        <f>BF125+BF126</f>
        <v>-255.2014525</v>
      </c>
      <c r="BG127" s="60">
        <f>SUM(BC127:BF127)</f>
        <v>-1056.45681</v>
      </c>
    </row>
    <row r="129">
      <c r="B129" s="7" t="n"/>
      <c r="C129" s="7" t="str">
        <f>"BASES DE CÁLCULO E MARGEM FINANCEIRA ("&amp;Inputs!$E$202&amp;")"</f>
        <v>BASES DE CÁLCULO E MARGEM FINANCEIRA (R$ milhões)</v>
      </c>
      <c r="D129" s="7" t="inlineStr">
        <is>
          <t>CALCULATION BASES &amp; NII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>
      <c r="C130" s="11" t="inlineStr">
        <is>
          <t>Ativos rentáveis — saldo final</t>
        </is>
      </c>
      <c r="D130" s="12" t="inlineStr">
        <is>
          <t>Earning assets, eop</t>
        </is>
      </c>
      <c r="E130" s="74">
        <f>E19+E24+E29+E30</f>
        <v>37241.62652</v>
      </c>
      <c r="F130" s="74">
        <f>F19+F24+F29+F30</f>
        <v>37995.894</v>
      </c>
      <c r="G130" s="74">
        <f>G19+G24+G29+G30</f>
        <v>37951.302</v>
      </c>
      <c r="H130" s="74">
        <f>H19+H24+H29+H30</f>
        <v>37465.345</v>
      </c>
      <c r="I130" s="77">
        <f>H130</f>
        <v>37465.345</v>
      </c>
      <c r="J130" s="74">
        <f>J19+J24+J29+J30</f>
        <v>39549.023</v>
      </c>
      <c r="K130" s="74">
        <f>K19+K24+K29+K30</f>
        <v>35479.933</v>
      </c>
      <c r="L130" s="74">
        <f>L19+L24+L29+L30</f>
        <v>40014.54</v>
      </c>
      <c r="M130" s="74">
        <f>M19+M24+M29+M30</f>
        <v>39907.48</v>
      </c>
      <c r="N130" s="77">
        <f>M130</f>
        <v>39907.48</v>
      </c>
      <c r="O130" s="74">
        <f>O19+O24+O29+O30</f>
        <v>41026.056</v>
      </c>
      <c r="P130" s="74">
        <f>P19+P24+P29+P30</f>
        <v>43929.887</v>
      </c>
      <c r="Q130" s="74">
        <f>Q19+Q24+Q29+Q30</f>
        <v>45650.388</v>
      </c>
      <c r="R130" s="74">
        <f>R19+R24+R29+R30</f>
        <v>46785.334</v>
      </c>
      <c r="S130" s="77">
        <f>R130</f>
        <v>46785.334</v>
      </c>
      <c r="T130" s="74">
        <f>T19+T24+T29+T30</f>
        <v>45719.058</v>
      </c>
      <c r="U130" s="74">
        <f>U19+U24+U29+U30</f>
        <v>48418.931</v>
      </c>
      <c r="V130" s="74">
        <f>V19+V24+V29+V30</f>
        <v>48713.903</v>
      </c>
      <c r="W130" s="74">
        <f>W19+W24+W29+W30</f>
        <v>50091.024</v>
      </c>
      <c r="X130" s="77">
        <f>W130</f>
        <v>50091.024</v>
      </c>
      <c r="Y130" s="74">
        <f>Y19+Y24+Y29+Y30</f>
        <v>50418.933</v>
      </c>
      <c r="Z130" s="74">
        <f>Z19+Z24+Z29+Z30</f>
        <v>54666.206</v>
      </c>
      <c r="AA130" s="74">
        <f>AA19+AA24+AA29+AA30</f>
        <v>57859.421</v>
      </c>
      <c r="AB130" s="74">
        <f>AB19+AB24+AB29+AB30</f>
        <v>59988.533</v>
      </c>
      <c r="AC130" s="77">
        <f>AB130</f>
        <v>59988.533</v>
      </c>
      <c r="AD130" s="74">
        <f>AD19+AD24+AD29+AD30</f>
        <v>57691.636</v>
      </c>
      <c r="AE130" s="74">
        <f>AE19+AE24+AE29+AE30</f>
        <v>57351.617</v>
      </c>
      <c r="AF130" s="74">
        <f>AF19+AF24+AF29+AF30</f>
        <v>56393.68</v>
      </c>
      <c r="AG130" s="74">
        <f>AG19+AG24+AG29+AG30</f>
        <v>59857.272</v>
      </c>
      <c r="AH130" s="77">
        <f>AG130</f>
        <v>59857.272</v>
      </c>
      <c r="AI130" s="74">
        <f>AI19+AI24+AI29+AI30</f>
        <v>61071.529</v>
      </c>
      <c r="AJ130" s="74">
        <f>AJ19+AJ24+AJ29+AJ30</f>
        <v>61262.054</v>
      </c>
      <c r="AK130" s="74">
        <f>AK19+AK24+AK29+AK30</f>
        <v>61262.054</v>
      </c>
      <c r="AL130" s="74">
        <f>AL19+AL24+AL29+AL30</f>
        <v>61262.054</v>
      </c>
      <c r="AM130" s="77">
        <f>AL130</f>
        <v>61262.054</v>
      </c>
      <c r="AN130" s="74">
        <f>AN19+AN24+AN29+AN30</f>
        <v>61262.054</v>
      </c>
      <c r="AO130" s="74">
        <f>AO19+AO24+AO29+AO30</f>
        <v>61262.054</v>
      </c>
      <c r="AP130" s="74">
        <f>AP19+AP24+AP29+AP30</f>
        <v>61262.054</v>
      </c>
      <c r="AQ130" s="74">
        <f>AQ19+AQ24+AQ29+AQ30</f>
        <v>61262.054</v>
      </c>
      <c r="AR130" s="77">
        <f>AQ130</f>
        <v>61262.054</v>
      </c>
      <c r="AS130" s="74">
        <f>AS19+AS24+AS29+AS30</f>
        <v>61262.054</v>
      </c>
      <c r="AT130" s="74">
        <f>AT19+AT24+AT29+AT30</f>
        <v>61262.054</v>
      </c>
      <c r="AU130" s="74">
        <f>AU19+AU24+AU29+AU30</f>
        <v>61262.054</v>
      </c>
      <c r="AV130" s="74">
        <f>AV19+AV24+AV29+AV30</f>
        <v>61262.054</v>
      </c>
      <c r="AW130" s="77">
        <f>AV130</f>
        <v>61262.054</v>
      </c>
      <c r="AX130" s="74">
        <f>AX19+AX24+AX29+AX30</f>
        <v>61262.054</v>
      </c>
      <c r="AY130" s="74">
        <f>AY19+AY24+AY29+AY30</f>
        <v>61262.054</v>
      </c>
      <c r="AZ130" s="74">
        <f>AZ19+AZ24+AZ29+AZ30</f>
        <v>61262.054</v>
      </c>
      <c r="BA130" s="74">
        <f>BA19+BA24+BA29+BA30</f>
        <v>61262.054</v>
      </c>
      <c r="BB130" s="77">
        <f>BA130</f>
        <v>61262.054</v>
      </c>
      <c r="BC130" s="74">
        <f>BC19+BC24+BC29+BC30</f>
        <v>61262.054</v>
      </c>
      <c r="BD130" s="74">
        <f>BD19+BD24+BD29+BD30</f>
        <v>61262.054</v>
      </c>
      <c r="BE130" s="74">
        <f>BE19+BE24+BE29+BE30</f>
        <v>61262.054</v>
      </c>
      <c r="BF130" s="74">
        <f>BF19+BF24+BF29+BF30</f>
        <v>61262.054</v>
      </c>
      <c r="BG130" s="77">
        <f>BF130</f>
        <v>61262.054</v>
      </c>
    </row>
    <row r="131">
      <c r="C131" s="11" t="inlineStr">
        <is>
          <t>Ativos rentáveis — saldo médio</t>
        </is>
      </c>
      <c r="D131" s="12" t="inlineStr">
        <is>
          <t>Earning assets, average</t>
        </is>
      </c>
      <c r="E131" s="74">
        <f>E130</f>
        <v>37241.62652</v>
      </c>
      <c r="F131" s="74">
        <f>AVERAGE(E130,F130)</f>
        <v>37618.76026</v>
      </c>
      <c r="G131" s="74">
        <f>AVERAGE(F130,G130)</f>
        <v>37973.598</v>
      </c>
      <c r="H131" s="74">
        <f>AVERAGE(G130,H130)</f>
        <v>37708.3235</v>
      </c>
      <c r="I131" s="77">
        <f>AVERAGE(E131:H131)</f>
        <v>37635.57707</v>
      </c>
      <c r="J131" s="74">
        <f>AVERAGE(H130,J130)</f>
        <v>38507.184</v>
      </c>
      <c r="K131" s="74">
        <f>AVERAGE(J130,K130)</f>
        <v>37514.478</v>
      </c>
      <c r="L131" s="74">
        <f>AVERAGE(K130,L130)</f>
        <v>37747.2365</v>
      </c>
      <c r="M131" s="74">
        <f>AVERAGE(L130,M130)</f>
        <v>39961.01</v>
      </c>
      <c r="N131" s="77">
        <f>AVERAGE(J131:M131)</f>
        <v>38432.477125</v>
      </c>
      <c r="O131" s="74">
        <f>AVERAGE(M130,O130)</f>
        <v>40466.768</v>
      </c>
      <c r="P131" s="74">
        <f>AVERAGE(O130,P130)</f>
        <v>42477.9715</v>
      </c>
      <c r="Q131" s="74">
        <f>AVERAGE(P130,Q130)</f>
        <v>44790.1375</v>
      </c>
      <c r="R131" s="74">
        <f>AVERAGE(Q130,R130)</f>
        <v>46217.861</v>
      </c>
      <c r="S131" s="77">
        <f>AVERAGE(O131:R131)</f>
        <v>43488.1845</v>
      </c>
      <c r="T131" s="74">
        <f>AVERAGE(R130,T130)</f>
        <v>46252.196</v>
      </c>
      <c r="U131" s="74">
        <f>AVERAGE(T130,U130)</f>
        <v>47068.9945</v>
      </c>
      <c r="V131" s="74">
        <f>AVERAGE(U130,V130)</f>
        <v>48566.417</v>
      </c>
      <c r="W131" s="74">
        <f>AVERAGE(V130,W130)</f>
        <v>49402.4635</v>
      </c>
      <c r="X131" s="77">
        <f>AVERAGE(T131:W131)</f>
        <v>47822.51775</v>
      </c>
      <c r="Y131" s="74">
        <f>AVERAGE(W130,Y130)</f>
        <v>50254.9785</v>
      </c>
      <c r="Z131" s="74">
        <f>AVERAGE(Y130,Z130)</f>
        <v>52542.5695</v>
      </c>
      <c r="AA131" s="74">
        <f>AVERAGE(Z130,AA130)</f>
        <v>56262.8135</v>
      </c>
      <c r="AB131" s="74">
        <f>AVERAGE(AA130,AB130)</f>
        <v>58923.977</v>
      </c>
      <c r="AC131" s="77">
        <f>AVERAGE(Y131:AB131)</f>
        <v>54496.084625</v>
      </c>
      <c r="AD131" s="74">
        <f>AVERAGE(AB130,AD130)</f>
        <v>58840.0845</v>
      </c>
      <c r="AE131" s="74">
        <f>AVERAGE(AD130,AE130)</f>
        <v>57521.6265</v>
      </c>
      <c r="AF131" s="74">
        <f>AVERAGE(AE130,AF130)</f>
        <v>56872.6485</v>
      </c>
      <c r="AG131" s="74">
        <f>AVERAGE(AF130,AG130)</f>
        <v>58125.476</v>
      </c>
      <c r="AH131" s="77">
        <f>AVERAGE(AD131:AG131)</f>
        <v>57839.958875</v>
      </c>
      <c r="AI131" s="74">
        <f>AVERAGE(AG130,AI130)</f>
        <v>60464.4005</v>
      </c>
      <c r="AJ131" s="74">
        <f>AVERAGE(AI130,AJ130)</f>
        <v>61166.7915</v>
      </c>
      <c r="AK131" s="74">
        <f>AVERAGE(AJ130,AK130)</f>
        <v>61262.054</v>
      </c>
      <c r="AL131" s="74">
        <f>AVERAGE(AK130,AL130)</f>
        <v>61262.054</v>
      </c>
      <c r="AM131" s="77">
        <f>AVERAGE(AI131:AL131)</f>
        <v>61038.825</v>
      </c>
      <c r="AN131" s="74">
        <f>AVERAGE(AL130,AN130)</f>
        <v>61262.054</v>
      </c>
      <c r="AO131" s="74">
        <f>AVERAGE(AN130,AO130)</f>
        <v>61262.054</v>
      </c>
      <c r="AP131" s="74">
        <f>AVERAGE(AO130,AP130)</f>
        <v>61262.054</v>
      </c>
      <c r="AQ131" s="74">
        <f>AVERAGE(AP130,AQ130)</f>
        <v>61262.054</v>
      </c>
      <c r="AR131" s="77">
        <f>AVERAGE(AN131:AQ131)</f>
        <v>61262.054</v>
      </c>
      <c r="AS131" s="74">
        <f>AVERAGE(AQ130,AS130)</f>
        <v>61262.054</v>
      </c>
      <c r="AT131" s="74">
        <f>AVERAGE(AS130,AT130)</f>
        <v>61262.054</v>
      </c>
      <c r="AU131" s="74">
        <f>AVERAGE(AT130,AU130)</f>
        <v>61262.054</v>
      </c>
      <c r="AV131" s="74">
        <f>AVERAGE(AU130,AV130)</f>
        <v>61262.054</v>
      </c>
      <c r="AW131" s="77">
        <f>AVERAGE(AS131:AV131)</f>
        <v>61262.054</v>
      </c>
      <c r="AX131" s="74">
        <f>AVERAGE(AV130,AX130)</f>
        <v>61262.054</v>
      </c>
      <c r="AY131" s="74">
        <f>AVERAGE(AX130,AY130)</f>
        <v>61262.054</v>
      </c>
      <c r="AZ131" s="74">
        <f>AVERAGE(AY130,AZ130)</f>
        <v>61262.054</v>
      </c>
      <c r="BA131" s="74">
        <f>AVERAGE(AZ130,BA130)</f>
        <v>61262.054</v>
      </c>
      <c r="BB131" s="77">
        <f>AVERAGE(AX131:BA131)</f>
        <v>61262.054</v>
      </c>
      <c r="BC131" s="74">
        <f>AVERAGE(BA130,BC130)</f>
        <v>61262.054</v>
      </c>
      <c r="BD131" s="74">
        <f>AVERAGE(BC130,BD130)</f>
        <v>61262.054</v>
      </c>
      <c r="BE131" s="74">
        <f>AVERAGE(BD130,BE130)</f>
        <v>61262.054</v>
      </c>
      <c r="BF131" s="74">
        <f>AVERAGE(BE130,BF130)</f>
        <v>61262.054</v>
      </c>
      <c r="BG131" s="77">
        <f>AVERAGE(BC131:BF131)</f>
        <v>61262.054</v>
      </c>
    </row>
    <row r="132">
      <c r="C132" s="11" t="inlineStr">
        <is>
          <t>Passivos onerosos — saldo final</t>
        </is>
      </c>
      <c r="D132" s="12" t="inlineStr">
        <is>
          <t>Interest-bearing liabilities, eop</t>
        </is>
      </c>
      <c r="E132" s="74">
        <f>E44+E50+E54+E59</f>
        <v>28552.635</v>
      </c>
      <c r="F132" s="74">
        <f>F44+F50+F54+F59</f>
        <v>29991.309</v>
      </c>
      <c r="G132" s="74">
        <f>G44+G50+G54+G59</f>
        <v>30758.581</v>
      </c>
      <c r="H132" s="74">
        <f>H44+H50+H54+H59</f>
        <v>31067.707</v>
      </c>
      <c r="I132" s="77">
        <f>H132</f>
        <v>31067.707</v>
      </c>
      <c r="J132" s="74">
        <f>J44+J50+J54+J59</f>
        <v>32898.103</v>
      </c>
      <c r="K132" s="74">
        <f>K44+K50+K54+K59</f>
        <v>30394.245</v>
      </c>
      <c r="L132" s="74">
        <f>L44+L50+L54+L59</f>
        <v>34098.832</v>
      </c>
      <c r="M132" s="74">
        <f>M44+M50+M54+M59</f>
        <v>33479.772</v>
      </c>
      <c r="N132" s="77">
        <f>M132</f>
        <v>33479.772</v>
      </c>
      <c r="O132" s="74">
        <f>O44+O50+O54+O59</f>
        <v>34319.862</v>
      </c>
      <c r="P132" s="74">
        <f>P44+P50+P54+P59</f>
        <v>37085.91</v>
      </c>
      <c r="Q132" s="74">
        <f>Q44+Q50+Q54+Q59</f>
        <v>39226.053</v>
      </c>
      <c r="R132" s="74">
        <f>R44+R50+R54+R59</f>
        <v>39629.704</v>
      </c>
      <c r="S132" s="77">
        <f>R132</f>
        <v>39629.704</v>
      </c>
      <c r="T132" s="74">
        <f>T44+T50+T54+T59</f>
        <v>38167.983</v>
      </c>
      <c r="U132" s="74">
        <f>U44+U50+U54+U59</f>
        <v>39689.263</v>
      </c>
      <c r="V132" s="74">
        <f>V44+V50+V54+V59</f>
        <v>41227.887</v>
      </c>
      <c r="W132" s="74">
        <f>W44+W50+W54+W59</f>
        <v>42594.31</v>
      </c>
      <c r="X132" s="77">
        <f>W132</f>
        <v>42594.31</v>
      </c>
      <c r="Y132" s="74">
        <f>Y44+Y50+Y54+Y59</f>
        <v>42674.929</v>
      </c>
      <c r="Z132" s="74">
        <f>Z44+Z50+Z54+Z59</f>
        <v>46269.917</v>
      </c>
      <c r="AA132" s="74">
        <f>AA44+AA50+AA54+AA59</f>
        <v>48169.158</v>
      </c>
      <c r="AB132" s="74">
        <f>AB44+AB50+AB54+AB59</f>
        <v>50464.344</v>
      </c>
      <c r="AC132" s="77">
        <f>AB132</f>
        <v>50464.344</v>
      </c>
      <c r="AD132" s="74">
        <f>AD44+AD50+AD54+AD59</f>
        <v>51276.658</v>
      </c>
      <c r="AE132" s="74">
        <f>AE44+AE50+AE54+AE59</f>
        <v>50722.665</v>
      </c>
      <c r="AF132" s="74">
        <f>AF44+AF50+AF54+AF59</f>
        <v>49251.153</v>
      </c>
      <c r="AG132" s="74">
        <f>AG44+AG50+AG54+AG59</f>
        <v>52991.362</v>
      </c>
      <c r="AH132" s="77">
        <f>AG132</f>
        <v>52991.362</v>
      </c>
      <c r="AI132" s="74">
        <f>AI44+AI50+AI54+AI59</f>
        <v>54131.345</v>
      </c>
      <c r="AJ132" s="74">
        <f>AJ44+AJ50+AJ54+AJ59</f>
        <v>54466.865</v>
      </c>
      <c r="AK132" s="74">
        <f>AK44+AK50+AK54+AK59</f>
        <v>54733.1484525</v>
      </c>
      <c r="AL132" s="74">
        <f>AL44+AL50+AL54+AL59</f>
        <v>54988.349905</v>
      </c>
      <c r="AM132" s="77">
        <f>AL132</f>
        <v>54988.349905</v>
      </c>
      <c r="AN132" s="74">
        <f>AN44+AN50+AN54+AN59</f>
        <v>55241.5373575</v>
      </c>
      <c r="AO132" s="74">
        <f>AO44+AO50+AO54+AO59</f>
        <v>55523.32181</v>
      </c>
      <c r="AP132" s="74">
        <f>AP44+AP50+AP54+AP59</f>
        <v>55789.6052625</v>
      </c>
      <c r="AQ132" s="74">
        <f>AQ44+AQ50+AQ54+AQ59</f>
        <v>56044.806715</v>
      </c>
      <c r="AR132" s="77">
        <f>AQ132</f>
        <v>56044.806715</v>
      </c>
      <c r="AS132" s="74">
        <f>AS44+AS50+AS54+AS59</f>
        <v>56297.9941675</v>
      </c>
      <c r="AT132" s="74">
        <f>AT44+AT50+AT54+AT59</f>
        <v>56579.77862</v>
      </c>
      <c r="AU132" s="74">
        <f>AU44+AU50+AU54+AU59</f>
        <v>56846.0620725</v>
      </c>
      <c r="AV132" s="74">
        <f>AV44+AV50+AV54+AV59</f>
        <v>57101.263525</v>
      </c>
      <c r="AW132" s="77">
        <f>AV132</f>
        <v>57101.263525</v>
      </c>
      <c r="AX132" s="74">
        <f>AX44+AX50+AX54+AX59</f>
        <v>57354.4509775</v>
      </c>
      <c r="AY132" s="74">
        <f>AY44+AY50+AY54+AY59</f>
        <v>57636.23543</v>
      </c>
      <c r="AZ132" s="74">
        <f>AZ44+AZ50+AZ54+AZ59</f>
        <v>57902.5188825</v>
      </c>
      <c r="BA132" s="74">
        <f>BA44+BA50+BA54+BA59</f>
        <v>58157.720335</v>
      </c>
      <c r="BB132" s="77">
        <f>BA132</f>
        <v>58157.720335</v>
      </c>
      <c r="BC132" s="74">
        <f>BC44+BC50+BC54+BC59</f>
        <v>58410.9077875</v>
      </c>
      <c r="BD132" s="74">
        <f>BD44+BD50+BD54+BD59</f>
        <v>58692.69224</v>
      </c>
      <c r="BE132" s="74">
        <f>BE44+BE50+BE54+BE59</f>
        <v>58958.9756925</v>
      </c>
      <c r="BF132" s="74">
        <f>BF44+BF50+BF54+BF59</f>
        <v>59214.177145</v>
      </c>
      <c r="BG132" s="77">
        <f>BF132</f>
        <v>59214.177145</v>
      </c>
    </row>
    <row r="133">
      <c r="C133" s="11" t="inlineStr">
        <is>
          <t>Passivos onerosos — saldo médio</t>
        </is>
      </c>
      <c r="D133" s="12" t="inlineStr">
        <is>
          <t>Interest-bearing liabilities, average</t>
        </is>
      </c>
      <c r="E133" s="74">
        <f>E132</f>
        <v>28552.635</v>
      </c>
      <c r="F133" s="74">
        <f>AVERAGE(E132,F132)</f>
        <v>29271.972</v>
      </c>
      <c r="G133" s="74">
        <f>AVERAGE(F132,G132)</f>
        <v>30374.945</v>
      </c>
      <c r="H133" s="74">
        <f>AVERAGE(G132,H132)</f>
        <v>30913.144</v>
      </c>
      <c r="I133" s="77">
        <f>AVERAGE(E133:H133)</f>
        <v>29778.174</v>
      </c>
      <c r="J133" s="74">
        <f>AVERAGE(H132,J132)</f>
        <v>31982.905</v>
      </c>
      <c r="K133" s="74">
        <f>AVERAGE(J132,K132)</f>
        <v>31646.174</v>
      </c>
      <c r="L133" s="74">
        <f>AVERAGE(K132,L132)</f>
        <v>32246.5385</v>
      </c>
      <c r="M133" s="74">
        <f>AVERAGE(L132,M132)</f>
        <v>33789.302</v>
      </c>
      <c r="N133" s="77">
        <f>AVERAGE(J133:M133)</f>
        <v>32416.229875</v>
      </c>
      <c r="O133" s="74">
        <f>AVERAGE(M132,O132)</f>
        <v>33899.817</v>
      </c>
      <c r="P133" s="74">
        <f>AVERAGE(O132,P132)</f>
        <v>35702.886</v>
      </c>
      <c r="Q133" s="74">
        <f>AVERAGE(P132,Q132)</f>
        <v>38155.9815</v>
      </c>
      <c r="R133" s="74">
        <f>AVERAGE(Q132,R132)</f>
        <v>39427.8785</v>
      </c>
      <c r="S133" s="77">
        <f>AVERAGE(O133:R133)</f>
        <v>36796.64075</v>
      </c>
      <c r="T133" s="74">
        <f>AVERAGE(R132,T132)</f>
        <v>38898.8435</v>
      </c>
      <c r="U133" s="74">
        <f>AVERAGE(T132,U132)</f>
        <v>38928.623</v>
      </c>
      <c r="V133" s="74">
        <f>AVERAGE(U132,V132)</f>
        <v>40458.575</v>
      </c>
      <c r="W133" s="74">
        <f>AVERAGE(V132,W132)</f>
        <v>41911.0985</v>
      </c>
      <c r="X133" s="77">
        <f>AVERAGE(T133:W133)</f>
        <v>40049.285</v>
      </c>
      <c r="Y133" s="74">
        <f>AVERAGE(W132,Y132)</f>
        <v>42634.6195</v>
      </c>
      <c r="Z133" s="74">
        <f>AVERAGE(Y132,Z132)</f>
        <v>44472.423</v>
      </c>
      <c r="AA133" s="74">
        <f>AVERAGE(Z132,AA132)</f>
        <v>47219.5375</v>
      </c>
      <c r="AB133" s="74">
        <f>AVERAGE(AA132,AB132)</f>
        <v>49316.751</v>
      </c>
      <c r="AC133" s="77">
        <f>AVERAGE(Y133:AB133)</f>
        <v>45910.83275</v>
      </c>
      <c r="AD133" s="74">
        <f>AVERAGE(AB132,AD132)</f>
        <v>50870.501</v>
      </c>
      <c r="AE133" s="74">
        <f>AVERAGE(AD132,AE132)</f>
        <v>50999.6615</v>
      </c>
      <c r="AF133" s="74">
        <f>AVERAGE(AE132,AF132)</f>
        <v>49986.909</v>
      </c>
      <c r="AG133" s="74">
        <f>AVERAGE(AF132,AG132)</f>
        <v>51121.2575</v>
      </c>
      <c r="AH133" s="77">
        <f>AVERAGE(AD133:AG133)</f>
        <v>50744.58225</v>
      </c>
      <c r="AI133" s="74">
        <f>AVERAGE(AG132,AI132)</f>
        <v>53561.3535</v>
      </c>
      <c r="AJ133" s="74">
        <f>AVERAGE(AI132,AJ132)</f>
        <v>54299.105</v>
      </c>
      <c r="AK133" s="74">
        <f>AVERAGE(AJ132,AK132)</f>
        <v>54600.00672625</v>
      </c>
      <c r="AL133" s="74">
        <f>AVERAGE(AK132,AL132)</f>
        <v>54860.74917875</v>
      </c>
      <c r="AM133" s="77">
        <f>AVERAGE(AI133:AL133)</f>
        <v>54330.30360125</v>
      </c>
      <c r="AN133" s="74">
        <f>AVERAGE(AL132,AN132)</f>
        <v>55114.94363125</v>
      </c>
      <c r="AO133" s="74">
        <f>AVERAGE(AN132,AO132)</f>
        <v>55382.42958375</v>
      </c>
      <c r="AP133" s="74">
        <f>AVERAGE(AO132,AP132)</f>
        <v>55656.46353625</v>
      </c>
      <c r="AQ133" s="74">
        <f>AVERAGE(AP132,AQ132)</f>
        <v>55917.20598875</v>
      </c>
      <c r="AR133" s="77">
        <f>AVERAGE(AN133:AQ133)</f>
        <v>55517.760685</v>
      </c>
      <c r="AS133" s="74">
        <f>AVERAGE(AQ132,AS132)</f>
        <v>56171.40044125</v>
      </c>
      <c r="AT133" s="74">
        <f>AVERAGE(AS132,AT132)</f>
        <v>56438.88639375</v>
      </c>
      <c r="AU133" s="74">
        <f>AVERAGE(AT132,AU132)</f>
        <v>56712.92034625</v>
      </c>
      <c r="AV133" s="74">
        <f>AVERAGE(AU132,AV132)</f>
        <v>56973.66279875</v>
      </c>
      <c r="AW133" s="77">
        <f>AVERAGE(AS133:AV133)</f>
        <v>56574.217495</v>
      </c>
      <c r="AX133" s="74">
        <f>AVERAGE(AV132,AX132)</f>
        <v>57227.85725125</v>
      </c>
      <c r="AY133" s="74">
        <f>AVERAGE(AX132,AY132)</f>
        <v>57495.34320375</v>
      </c>
      <c r="AZ133" s="74">
        <f>AVERAGE(AY132,AZ132)</f>
        <v>57769.37715625</v>
      </c>
      <c r="BA133" s="74">
        <f>AVERAGE(AZ132,BA132)</f>
        <v>58030.11960875</v>
      </c>
      <c r="BB133" s="77">
        <f>AVERAGE(AX133:BA133)</f>
        <v>57630.674305</v>
      </c>
      <c r="BC133" s="74">
        <f>AVERAGE(BA132,BC132)</f>
        <v>58284.31406125</v>
      </c>
      <c r="BD133" s="74">
        <f>AVERAGE(BC132,BD132)</f>
        <v>58551.80001375</v>
      </c>
      <c r="BE133" s="74">
        <f>AVERAGE(BD132,BE132)</f>
        <v>58825.83396625</v>
      </c>
      <c r="BF133" s="74">
        <f>AVERAGE(BE132,BF132)</f>
        <v>59086.57641875</v>
      </c>
      <c r="BG133" s="77">
        <f>AVERAGE(BC133:BF133)</f>
        <v>58687.131115</v>
      </c>
    </row>
    <row r="134">
      <c r="C134" s="11" t="inlineStr">
        <is>
          <t>Carteira de crédito bruta — saldo médio</t>
        </is>
      </c>
      <c r="D134" s="12" t="inlineStr">
        <is>
          <t>Gross loan book, average</t>
        </is>
      </c>
      <c r="E134" s="74">
        <f>E31+E32</f>
        <v>17590.52252</v>
      </c>
      <c r="F134" s="74">
        <f>AVERAGE(E31+E32,F31+F32)</f>
        <v>17760.45776</v>
      </c>
      <c r="G134" s="74">
        <f>AVERAGE(F31+F32,G31+G32)</f>
        <v>18423.724</v>
      </c>
      <c r="H134" s="74">
        <f>AVERAGE(G31+G32,H31+H32)</f>
        <v>19565.6405</v>
      </c>
      <c r="I134" s="77">
        <f>AVERAGE(E134:H134)</f>
        <v>18335.086195</v>
      </c>
      <c r="J134" s="74">
        <f>AVERAGE(H31+H32,J31+J32)</f>
        <v>20425.9935</v>
      </c>
      <c r="K134" s="74">
        <f>AVERAGE(J31+J32,K31+K32)</f>
        <v>20316.1755</v>
      </c>
      <c r="L134" s="74">
        <f>AVERAGE(K31+K32,L31+L32)</f>
        <v>20503.463</v>
      </c>
      <c r="M134" s="74">
        <f>AVERAGE(L31+L32,M31+M32)</f>
        <v>21666.685</v>
      </c>
      <c r="N134" s="77">
        <f>AVERAGE(J134:M134)</f>
        <v>20728.07925</v>
      </c>
      <c r="O134" s="74">
        <f>AVERAGE(M31+M32,O31+O32)</f>
        <v>22260.953</v>
      </c>
      <c r="P134" s="74">
        <f>AVERAGE(O31+O32,P31+P32)</f>
        <v>22853.923</v>
      </c>
      <c r="Q134" s="74">
        <f>AVERAGE(P31+P32,Q31+Q32)</f>
        <v>24097.8975</v>
      </c>
      <c r="R134" s="74">
        <f>AVERAGE(Q31+Q32,R31+R32)</f>
        <v>24682.8755</v>
      </c>
      <c r="S134" s="77">
        <f>AVERAGE(O134:R134)</f>
        <v>23473.91225</v>
      </c>
      <c r="T134" s="74">
        <f>AVERAGE(R31+R32,T31+T32)</f>
        <v>23754.9595</v>
      </c>
      <c r="U134" s="74">
        <f>AVERAGE(T31+T32,U31+U32)</f>
        <v>22489.211</v>
      </c>
      <c r="V134" s="74">
        <f>AVERAGE(U31+U32,V31+V32)</f>
        <v>22292.776</v>
      </c>
      <c r="W134" s="74">
        <f>AVERAGE(V31+V32,W31+W32)</f>
        <v>22751.1975</v>
      </c>
      <c r="X134" s="77">
        <f>AVERAGE(T134:W134)</f>
        <v>22822.036</v>
      </c>
      <c r="Y134" s="74">
        <f>AVERAGE(W31+W32,Y31+Y32)</f>
        <v>22151.566</v>
      </c>
      <c r="Z134" s="74">
        <f>AVERAGE(Y31+Y32,Z31+Z32)</f>
        <v>21189.534</v>
      </c>
      <c r="AA134" s="74">
        <f>AVERAGE(Z31+Z32,AA31+AA32)</f>
        <v>21163.1115</v>
      </c>
      <c r="AB134" s="74">
        <f>AVERAGE(AA31+AA32,AB31+AB32)</f>
        <v>21707.6265</v>
      </c>
      <c r="AC134" s="77">
        <f>AVERAGE(Y134:AB134)</f>
        <v>21552.9595</v>
      </c>
      <c r="AD134" s="74">
        <f>AVERAGE(AB31+AB32,AD31+AD32)</f>
        <v>21467.288</v>
      </c>
      <c r="AE134" s="74">
        <f>AVERAGE(AD31+AD32,AE31+AE32)</f>
        <v>20756.2375</v>
      </c>
      <c r="AF134" s="74">
        <f>AVERAGE(AE31+AE32,AF31+AF32)</f>
        <v>21099.102</v>
      </c>
      <c r="AG134" s="74">
        <f>AVERAGE(AF31+AF32,AG31+AG32)</f>
        <v>22462.86</v>
      </c>
      <c r="AH134" s="77">
        <f>AVERAGE(AD134:AG134)</f>
        <v>21446.371875</v>
      </c>
      <c r="AI134" s="74">
        <f>AVERAGE(AG31+AG32,AI31+AI32)</f>
        <v>22624.743</v>
      </c>
      <c r="AJ134" s="74">
        <f>AVERAGE(AI31+AI32,AJ31+AJ32)</f>
        <v>21997.208</v>
      </c>
      <c r="AK134" s="74">
        <f>AVERAGE(AJ31+AJ32,AK31+AK32)</f>
        <v>22277.587</v>
      </c>
      <c r="AL134" s="74">
        <f>AVERAGE(AK31+AK32,AL31+AL32)</f>
        <v>22277.587</v>
      </c>
      <c r="AM134" s="77">
        <f>AVERAGE(AI134:AL134)</f>
        <v>22294.28125</v>
      </c>
      <c r="AN134" s="74">
        <f>AVERAGE(AL31+AL32,AN31+AN32)</f>
        <v>22277.587</v>
      </c>
      <c r="AO134" s="74">
        <f>AVERAGE(AN31+AN32,AO31+AO32)</f>
        <v>22277.587</v>
      </c>
      <c r="AP134" s="74">
        <f>AVERAGE(AO31+AO32,AP31+AP32)</f>
        <v>22277.587</v>
      </c>
      <c r="AQ134" s="74">
        <f>AVERAGE(AP31+AP32,AQ31+AQ32)</f>
        <v>22277.587</v>
      </c>
      <c r="AR134" s="77">
        <f>AVERAGE(AN134:AQ134)</f>
        <v>22277.587</v>
      </c>
      <c r="AS134" s="74">
        <f>AVERAGE(AQ31+AQ32,AS31+AS32)</f>
        <v>22277.587</v>
      </c>
      <c r="AT134" s="74">
        <f>AVERAGE(AS31+AS32,AT31+AT32)</f>
        <v>22277.587</v>
      </c>
      <c r="AU134" s="74">
        <f>AVERAGE(AT31+AT32,AU31+AU32)</f>
        <v>22277.587</v>
      </c>
      <c r="AV134" s="74">
        <f>AVERAGE(AU31+AU32,AV31+AV32)</f>
        <v>22277.587</v>
      </c>
      <c r="AW134" s="77">
        <f>AVERAGE(AS134:AV134)</f>
        <v>22277.587</v>
      </c>
      <c r="AX134" s="74">
        <f>AVERAGE(AV31+AV32,AX31+AX32)</f>
        <v>22277.587</v>
      </c>
      <c r="AY134" s="74">
        <f>AVERAGE(AX31+AX32,AY31+AY32)</f>
        <v>22277.587</v>
      </c>
      <c r="AZ134" s="74">
        <f>AVERAGE(AY31+AY32,AZ31+AZ32)</f>
        <v>22277.587</v>
      </c>
      <c r="BA134" s="74">
        <f>AVERAGE(AZ31+AZ32,BA31+BA32)</f>
        <v>22277.587</v>
      </c>
      <c r="BB134" s="77">
        <f>AVERAGE(AX134:BA134)</f>
        <v>22277.587</v>
      </c>
      <c r="BC134" s="74">
        <f>AVERAGE(BA31+BA32,BC31+BC32)</f>
        <v>22277.587</v>
      </c>
      <c r="BD134" s="74">
        <f>AVERAGE(BC31+BC32,BD31+BD32)</f>
        <v>22277.587</v>
      </c>
      <c r="BE134" s="74">
        <f>AVERAGE(BD31+BD32,BE31+BE32)</f>
        <v>22277.587</v>
      </c>
      <c r="BF134" s="74">
        <f>AVERAGE(BE31+BE32,BF31+BF32)</f>
        <v>22277.587</v>
      </c>
      <c r="BG134" s="77">
        <f>AVERAGE(BC134:BF134)</f>
        <v>22277.587</v>
      </c>
    </row>
    <row r="135">
      <c r="C135" s="11" t="inlineStr">
        <is>
          <t>Ativo total — saldo médio</t>
        </is>
      </c>
      <c r="D135" s="12" t="inlineStr">
        <is>
          <t>Total assets, average</t>
        </is>
      </c>
      <c r="E135" s="74">
        <f>E42</f>
        <v>49645.71387</v>
      </c>
      <c r="F135" s="74">
        <f>AVERAGE(E42,F42)</f>
        <v>49757.142435</v>
      </c>
      <c r="G135" s="74">
        <f>AVERAGE(F42,G42)</f>
        <v>48011.4045</v>
      </c>
      <c r="H135" s="74">
        <f>AVERAGE(G42,H42)</f>
        <v>44741.5395</v>
      </c>
      <c r="I135" s="77">
        <f>AVERAGE(E135:H135)</f>
        <v>48038.95007625</v>
      </c>
      <c r="J135" s="74">
        <f>AVERAGE(H42,J42)</f>
        <v>46014.9</v>
      </c>
      <c r="K135" s="74">
        <f>AVERAGE(J42,K42)</f>
        <v>46578.5115</v>
      </c>
      <c r="L135" s="74">
        <f>AVERAGE(K42,L42)</f>
        <v>47285.6245</v>
      </c>
      <c r="M135" s="74">
        <f>AVERAGE(L42,M42)</f>
        <v>49840.5775</v>
      </c>
      <c r="N135" s="77">
        <f>AVERAGE(J135:M135)</f>
        <v>47429.903375</v>
      </c>
      <c r="O135" s="74">
        <f>AVERAGE(M42,O42)</f>
        <v>47925.733</v>
      </c>
      <c r="P135" s="74">
        <f>AVERAGE(O42,P42)</f>
        <v>48620.0385</v>
      </c>
      <c r="Q135" s="74">
        <f>AVERAGE(P42,Q42)</f>
        <v>51785.369</v>
      </c>
      <c r="R135" s="74">
        <f>AVERAGE(Q42,R42)</f>
        <v>55012.5005</v>
      </c>
      <c r="S135" s="77">
        <f>AVERAGE(O135:R135)</f>
        <v>50835.91025</v>
      </c>
      <c r="T135" s="74">
        <f>AVERAGE(R42,T42)</f>
        <v>55781.8655</v>
      </c>
      <c r="U135" s="74">
        <f>AVERAGE(T42,U42)</f>
        <v>54542.725</v>
      </c>
      <c r="V135" s="74">
        <f>AVERAGE(U42,V42)</f>
        <v>55828.6625</v>
      </c>
      <c r="W135" s="74">
        <f>AVERAGE(V42,W42)</f>
        <v>58679.687</v>
      </c>
      <c r="X135" s="77">
        <f>AVERAGE(T135:W135)</f>
        <v>56208.235</v>
      </c>
      <c r="Y135" s="74">
        <f>AVERAGE(W42,Y42)</f>
        <v>60949.143</v>
      </c>
      <c r="Z135" s="74">
        <f>AVERAGE(Y42,Z42)</f>
        <v>65171.8315</v>
      </c>
      <c r="AA135" s="74">
        <f>AVERAGE(Z42,AA42)</f>
        <v>70571.5595</v>
      </c>
      <c r="AB135" s="74">
        <f>AVERAGE(AA42,AB42)</f>
        <v>72825.5535</v>
      </c>
      <c r="AC135" s="77">
        <f>AVERAGE(Y135:AB135)</f>
        <v>67379.521875</v>
      </c>
      <c r="AD135" s="74">
        <f>AVERAGE(AB42,AD42)</f>
        <v>68905.789</v>
      </c>
      <c r="AE135" s="74">
        <f>AVERAGE(AD42,AE42)</f>
        <v>64331.9365</v>
      </c>
      <c r="AF135" s="74">
        <f>AVERAGE(AE42,AF42)</f>
        <v>63838.508</v>
      </c>
      <c r="AG135" s="74">
        <f>AVERAGE(AF42,AG42)</f>
        <v>64777.5765</v>
      </c>
      <c r="AH135" s="77">
        <f>AVERAGE(AD135:AG135)</f>
        <v>65463.4525</v>
      </c>
      <c r="AI135" s="74">
        <f>AVERAGE(AG42,AI42)</f>
        <v>67799.8155</v>
      </c>
      <c r="AJ135" s="74">
        <f>AVERAGE(AI42,AJ42)</f>
        <v>69434.069</v>
      </c>
      <c r="AK135" s="74">
        <f>AVERAGE(AJ42,AK42)</f>
        <v>69584.916</v>
      </c>
      <c r="AL135" s="74">
        <f>AVERAGE(AK42,AL42)</f>
        <v>69584.916</v>
      </c>
      <c r="AM135" s="77">
        <f>AVERAGE(AI135:AL135)</f>
        <v>69100.929125</v>
      </c>
      <c r="AN135" s="74">
        <f>AVERAGE(AL42,AN42)</f>
        <v>69584.916</v>
      </c>
      <c r="AO135" s="74">
        <f>AVERAGE(AN42,AO42)</f>
        <v>69584.916</v>
      </c>
      <c r="AP135" s="74">
        <f>AVERAGE(AO42,AP42)</f>
        <v>69584.916</v>
      </c>
      <c r="AQ135" s="74">
        <f>AVERAGE(AP42,AQ42)</f>
        <v>69584.916</v>
      </c>
      <c r="AR135" s="77">
        <f>AVERAGE(AN135:AQ135)</f>
        <v>69584.916</v>
      </c>
      <c r="AS135" s="74">
        <f>AVERAGE(AQ42,AS42)</f>
        <v>69584.916</v>
      </c>
      <c r="AT135" s="74">
        <f>AVERAGE(AS42,AT42)</f>
        <v>69584.916</v>
      </c>
      <c r="AU135" s="74">
        <f>AVERAGE(AT42,AU42)</f>
        <v>69584.916</v>
      </c>
      <c r="AV135" s="74">
        <f>AVERAGE(AU42,AV42)</f>
        <v>69584.916</v>
      </c>
      <c r="AW135" s="77">
        <f>AVERAGE(AS135:AV135)</f>
        <v>69584.916</v>
      </c>
      <c r="AX135" s="74">
        <f>AVERAGE(AV42,AX42)</f>
        <v>69584.916</v>
      </c>
      <c r="AY135" s="74">
        <f>AVERAGE(AX42,AY42)</f>
        <v>69584.916</v>
      </c>
      <c r="AZ135" s="74">
        <f>AVERAGE(AY42,AZ42)</f>
        <v>69584.916</v>
      </c>
      <c r="BA135" s="74">
        <f>AVERAGE(AZ42,BA42)</f>
        <v>69584.916</v>
      </c>
      <c r="BB135" s="77">
        <f>AVERAGE(AX135:BA135)</f>
        <v>69584.916</v>
      </c>
      <c r="BC135" s="74">
        <f>AVERAGE(BA42,BC42)</f>
        <v>69584.916</v>
      </c>
      <c r="BD135" s="74">
        <f>AVERAGE(BC42,BD42)</f>
        <v>69584.916</v>
      </c>
      <c r="BE135" s="74">
        <f>AVERAGE(BD42,BE42)</f>
        <v>69584.916</v>
      </c>
      <c r="BF135" s="74">
        <f>AVERAGE(BE42,BF42)</f>
        <v>69584.916</v>
      </c>
      <c r="BG135" s="77">
        <f>AVERAGE(BC135:BF135)</f>
        <v>69584.916</v>
      </c>
    </row>
    <row r="136">
      <c r="C136" s="11" t="inlineStr">
        <is>
          <t>PL dos controladores — saldo médio</t>
        </is>
      </c>
      <c r="D136" s="12" t="inlineStr">
        <is>
          <t>Controlling equity, average</t>
        </is>
      </c>
      <c r="E136" s="74">
        <f>E71</f>
        <v>4046.679</v>
      </c>
      <c r="F136" s="74">
        <f>AVERAGE(E71,F71)</f>
        <v>4069.989</v>
      </c>
      <c r="G136" s="74">
        <f>AVERAGE(F71,G71)</f>
        <v>4140.428</v>
      </c>
      <c r="H136" s="74">
        <f>AVERAGE(G71,H71)</f>
        <v>4237.91</v>
      </c>
      <c r="I136" s="77">
        <f>AVERAGE(E136:H136)</f>
        <v>4123.7515</v>
      </c>
      <c r="J136" s="74">
        <f>AVERAGE(H71,J71)</f>
        <v>4340.1075</v>
      </c>
      <c r="K136" s="74">
        <f>AVERAGE(J71,K71)</f>
        <v>4425.561</v>
      </c>
      <c r="L136" s="74">
        <f>AVERAGE(K71,L71)</f>
        <v>4507.065</v>
      </c>
      <c r="M136" s="74">
        <f>AVERAGE(L71,M71)</f>
        <v>4612.2115</v>
      </c>
      <c r="N136" s="77">
        <f>AVERAGE(J136:M136)</f>
        <v>4471.23625</v>
      </c>
      <c r="O136" s="74">
        <f>AVERAGE(M71,O71)</f>
        <v>4721.8675</v>
      </c>
      <c r="P136" s="74">
        <f>AVERAGE(O71,P71)</f>
        <v>4842.422</v>
      </c>
      <c r="Q136" s="74">
        <f>AVERAGE(P71,Q71)</f>
        <v>4990.648</v>
      </c>
      <c r="R136" s="74">
        <f>AVERAGE(Q71,R71)</f>
        <v>5138.055</v>
      </c>
      <c r="S136" s="77">
        <f>AVERAGE(O136:R136)</f>
        <v>4923.248125</v>
      </c>
      <c r="T136" s="74">
        <f>AVERAGE(R71,T71)</f>
        <v>5254.246</v>
      </c>
      <c r="U136" s="74">
        <f>AVERAGE(T71,U71)</f>
        <v>5361.9585</v>
      </c>
      <c r="V136" s="74">
        <f>AVERAGE(U71,V71)</f>
        <v>5571.309</v>
      </c>
      <c r="W136" s="74">
        <f>AVERAGE(V71,W71)</f>
        <v>5796.768</v>
      </c>
      <c r="X136" s="77">
        <f>AVERAGE(T136:W136)</f>
        <v>5496.070375</v>
      </c>
      <c r="Y136" s="74">
        <f>AVERAGE(W71,Y71)</f>
        <v>6004.929</v>
      </c>
      <c r="Z136" s="74">
        <f>AVERAGE(Y71,Z71)</f>
        <v>6186.5975</v>
      </c>
      <c r="AA136" s="74">
        <f>AVERAGE(Z71,AA71)</f>
        <v>6306.685</v>
      </c>
      <c r="AB136" s="74">
        <f>AVERAGE(AA71,AB71)</f>
        <v>6382.8255</v>
      </c>
      <c r="AC136" s="77">
        <f>AVERAGE(Y136:AB136)</f>
        <v>6220.25925</v>
      </c>
      <c r="AD136" s="74">
        <f>AVERAGE(AB71,AD71)</f>
        <v>6429.827</v>
      </c>
      <c r="AE136" s="74">
        <f>AVERAGE(AD71,AE71)</f>
        <v>6526.8545</v>
      </c>
      <c r="AF136" s="74">
        <f>AVERAGE(AE71,AF71)</f>
        <v>6640.889</v>
      </c>
      <c r="AG136" s="74">
        <f>AVERAGE(AF71,AG71)</f>
        <v>6729.662</v>
      </c>
      <c r="AH136" s="77">
        <f>AVERAGE(AD136:AG136)</f>
        <v>6581.808125</v>
      </c>
      <c r="AI136" s="74">
        <f>AVERAGE(AG71,AI71)</f>
        <v>6953.2705</v>
      </c>
      <c r="AJ136" s="74">
        <f>AVERAGE(AI71,AJ71)</f>
        <v>7203.254</v>
      </c>
      <c r="AK136" s="74">
        <f>AVERAGE(AJ71,AK71)</f>
        <v>7125.77327375</v>
      </c>
      <c r="AL136" s="74">
        <f>AVERAGE(AK71,AL71)</f>
        <v>6865.03082125</v>
      </c>
      <c r="AM136" s="77">
        <f>AVERAGE(AI136:AL136)</f>
        <v>7036.83214875</v>
      </c>
      <c r="AN136" s="74">
        <f>AVERAGE(AL71,AN71)</f>
        <v>6610.83636875</v>
      </c>
      <c r="AO136" s="74">
        <f>AVERAGE(AN71,AO71)</f>
        <v>6343.35041625</v>
      </c>
      <c r="AP136" s="74">
        <f>AVERAGE(AO71,AP71)</f>
        <v>6069.31646375</v>
      </c>
      <c r="AQ136" s="74">
        <f>AVERAGE(AP71,AQ71)</f>
        <v>5808.57401125</v>
      </c>
      <c r="AR136" s="77">
        <f>AVERAGE(AN136:AQ136)</f>
        <v>6208.019315</v>
      </c>
      <c r="AS136" s="74">
        <f>AVERAGE(AQ71,AS71)</f>
        <v>5554.37955875</v>
      </c>
      <c r="AT136" s="74">
        <f>AVERAGE(AS71,AT71)</f>
        <v>5286.89360625</v>
      </c>
      <c r="AU136" s="74">
        <f>AVERAGE(AT71,AU71)</f>
        <v>5012.85965375</v>
      </c>
      <c r="AV136" s="74">
        <f>AVERAGE(AU71,AV71)</f>
        <v>4752.11720125</v>
      </c>
      <c r="AW136" s="77">
        <f>AVERAGE(AS136:AV136)</f>
        <v>5151.562505</v>
      </c>
      <c r="AX136" s="74">
        <f>AVERAGE(AV71,AX71)</f>
        <v>4497.92274875</v>
      </c>
      <c r="AY136" s="74">
        <f>AVERAGE(AX71,AY71)</f>
        <v>4230.43679625</v>
      </c>
      <c r="AZ136" s="74">
        <f>AVERAGE(AY71,AZ71)</f>
        <v>3956.40284375</v>
      </c>
      <c r="BA136" s="74">
        <f>AVERAGE(AZ71,BA71)</f>
        <v>3695.66039125</v>
      </c>
      <c r="BB136" s="77">
        <f>AVERAGE(AX136:BA136)</f>
        <v>4095.105695</v>
      </c>
      <c r="BC136" s="74">
        <f>AVERAGE(BA71,BC71)</f>
        <v>3441.46593875</v>
      </c>
      <c r="BD136" s="74">
        <f>AVERAGE(BC71,BD71)</f>
        <v>3173.97998625</v>
      </c>
      <c r="BE136" s="74">
        <f>AVERAGE(BD71,BE71)</f>
        <v>2899.94603375</v>
      </c>
      <c r="BF136" s="74">
        <f>AVERAGE(BE71,BF71)</f>
        <v>2639.20358125</v>
      </c>
      <c r="BG136" s="77">
        <f>AVERAGE(BC136:BF136)</f>
        <v>3038.648885</v>
      </c>
    </row>
    <row r="137">
      <c r="C137" s="11" t="inlineStr">
        <is>
          <t>Margem financeira bruta</t>
        </is>
      </c>
      <c r="D137" s="12" t="inlineStr">
        <is>
          <t>Gross NII</t>
        </is>
      </c>
      <c r="E137" s="74">
        <f>E101</f>
        <v>-239.095</v>
      </c>
      <c r="F137" s="74">
        <f>F101</f>
        <v>76.8509999999999</v>
      </c>
      <c r="G137" s="74">
        <f>G101</f>
        <v>195.199</v>
      </c>
      <c r="H137" s="74">
        <f>H101</f>
        <v>357.392</v>
      </c>
      <c r="I137" s="77">
        <f>SUM(E137:H137)</f>
        <v>390.347</v>
      </c>
      <c r="J137" s="74">
        <f>J101</f>
        <v>197.516</v>
      </c>
      <c r="K137" s="74">
        <f>K101</f>
        <v>456.262</v>
      </c>
      <c r="L137" s="74">
        <f>L101</f>
        <v>242.555</v>
      </c>
      <c r="M137" s="74">
        <f>M101</f>
        <v>294.068</v>
      </c>
      <c r="N137" s="77">
        <f>SUM(J137:M137)</f>
        <v>1190.401</v>
      </c>
      <c r="O137" s="74">
        <f>O101</f>
        <v>431.377</v>
      </c>
      <c r="P137" s="74">
        <f>P101</f>
        <v>405.619</v>
      </c>
      <c r="Q137" s="74">
        <f>Q101</f>
        <v>471.425</v>
      </c>
      <c r="R137" s="74">
        <f>R101</f>
        <v>495.015</v>
      </c>
      <c r="S137" s="77">
        <f>SUM(O137:R137)</f>
        <v>1803.436</v>
      </c>
      <c r="T137" s="74">
        <f>T101</f>
        <v>454.377</v>
      </c>
      <c r="U137" s="74">
        <f>U101</f>
        <v>472.692</v>
      </c>
      <c r="V137" s="74">
        <f>V101</f>
        <v>478.425</v>
      </c>
      <c r="W137" s="74">
        <f>W101</f>
        <v>448.217</v>
      </c>
      <c r="X137" s="77">
        <f>SUM(T137:W137)</f>
        <v>1853.711</v>
      </c>
      <c r="Y137" s="74">
        <f>Y101</f>
        <v>430.947</v>
      </c>
      <c r="Z137" s="74">
        <f>Z101</f>
        <v>451.874</v>
      </c>
      <c r="AA137" s="74">
        <f>AA101</f>
        <v>566.045</v>
      </c>
      <c r="AB137" s="74">
        <f>AB101</f>
        <v>502.818</v>
      </c>
      <c r="AC137" s="77">
        <f>SUM(Y137:AB137)</f>
        <v>1951.684</v>
      </c>
      <c r="AD137" s="74">
        <f>AD101</f>
        <v>520.767</v>
      </c>
      <c r="AE137" s="74">
        <f>AE101</f>
        <v>528.644</v>
      </c>
      <c r="AF137" s="74">
        <f>AF101</f>
        <v>650.347</v>
      </c>
      <c r="AG137" s="74">
        <f>AG101</f>
        <v>605.284</v>
      </c>
      <c r="AH137" s="77">
        <f>SUM(AD137:AG137)</f>
        <v>2305.042</v>
      </c>
      <c r="AI137" s="74">
        <f>AI101</f>
        <v>584.268</v>
      </c>
      <c r="AJ137" s="74">
        <f>AJ101</f>
        <v>628.193</v>
      </c>
      <c r="AK137" s="74">
        <f>AK101</f>
        <v>-73.0974525</v>
      </c>
      <c r="AL137" s="74">
        <f>AL101</f>
        <v>-73.0974525</v>
      </c>
      <c r="AM137" s="77">
        <f>SUM(AI137:AL137)</f>
        <v>1066.266095</v>
      </c>
      <c r="AN137" s="74">
        <f>AN101</f>
        <v>-73.0974525</v>
      </c>
      <c r="AO137" s="74">
        <f>AO101</f>
        <v>-73.0974525</v>
      </c>
      <c r="AP137" s="74">
        <f>AP101</f>
        <v>-73.0974525</v>
      </c>
      <c r="AQ137" s="74">
        <f>AQ101</f>
        <v>-73.0974525</v>
      </c>
      <c r="AR137" s="77">
        <f>SUM(AN137:AQ137)</f>
        <v>-292.38981</v>
      </c>
      <c r="AS137" s="74">
        <f>AS101</f>
        <v>-73.0974525</v>
      </c>
      <c r="AT137" s="74">
        <f>AT101</f>
        <v>-73.0974525</v>
      </c>
      <c r="AU137" s="74">
        <f>AU101</f>
        <v>-73.0974525</v>
      </c>
      <c r="AV137" s="74">
        <f>AV101</f>
        <v>-73.0974525</v>
      </c>
      <c r="AW137" s="77">
        <f>SUM(AS137:AV137)</f>
        <v>-292.38981</v>
      </c>
      <c r="AX137" s="74">
        <f>AX101</f>
        <v>-73.0974525</v>
      </c>
      <c r="AY137" s="74">
        <f>AY101</f>
        <v>-73.0974525</v>
      </c>
      <c r="AZ137" s="74">
        <f>AZ101</f>
        <v>-73.0974525</v>
      </c>
      <c r="BA137" s="74">
        <f>BA101</f>
        <v>-73.0974525</v>
      </c>
      <c r="BB137" s="77">
        <f>SUM(AX137:BA137)</f>
        <v>-292.38981</v>
      </c>
      <c r="BC137" s="74">
        <f>BC101</f>
        <v>-73.0974525</v>
      </c>
      <c r="BD137" s="74">
        <f>BD101</f>
        <v>-73.0974525</v>
      </c>
      <c r="BE137" s="74">
        <f>BE101</f>
        <v>-73.0974525</v>
      </c>
      <c r="BF137" s="74">
        <f>BF101</f>
        <v>-73.0974525</v>
      </c>
      <c r="BG137" s="77">
        <f>SUM(BC137:BF137)</f>
        <v>-292.38981</v>
      </c>
    </row>
    <row r="138">
      <c r="C138" s="11" t="inlineStr">
        <is>
          <t>Margem financeira com clientes</t>
        </is>
      </c>
      <c r="D138" s="12" t="inlineStr">
        <is>
          <t>NII with clients</t>
        </is>
      </c>
      <c r="E138" s="57">
        <f>IF(AND(E$14=1,ISNUMBER('Inputs (2)'!E127),'Inputs (2)'!E127&lt;&gt;0),'Inputs (2)'!E127,E92+E97)</f>
        <v>1512.81</v>
      </c>
      <c r="F138" s="57">
        <f>IF(AND(F$14=1,ISNUMBER('Inputs (2)'!F127),'Inputs (2)'!F127&lt;&gt;0),'Inputs (2)'!F127,F92+F97)</f>
        <v>672.279</v>
      </c>
      <c r="G138" s="57">
        <f>IF(AND(G$14=1,ISNUMBER('Inputs (2)'!G127),'Inputs (2)'!G127&lt;&gt;0),'Inputs (2)'!G127,G92+G97)</f>
        <v>572.592</v>
      </c>
      <c r="H138" s="57">
        <f>IF(AND(H$14=1,ISNUMBER('Inputs (2)'!H127),'Inputs (2)'!H127&lt;&gt;0),'Inputs (2)'!H127,H92+H97)</f>
        <v>-537.985</v>
      </c>
      <c r="I138" s="77">
        <f>SUM(E138:H138)</f>
        <v>2219.696</v>
      </c>
      <c r="J138" s="57">
        <f>IF(AND(J$14=1,ISNUMBER('Inputs (2)'!J127),'Inputs (2)'!J127&lt;&gt;0),'Inputs (2)'!J127,J92+J97)</f>
        <v>974.926</v>
      </c>
      <c r="K138" s="57">
        <f>IF(AND(K$14=1,ISNUMBER('Inputs (2)'!K127),'Inputs (2)'!K127&lt;&gt;0),'Inputs (2)'!K127,K92+K97)</f>
        <v>-920.917</v>
      </c>
      <c r="L138" s="57">
        <f>IF(AND(L$14=1,ISNUMBER('Inputs (2)'!L127),'Inputs (2)'!L127&lt;&gt;0),'Inputs (2)'!L127,L92+L97)</f>
        <v>770.263</v>
      </c>
      <c r="M138" s="57">
        <f>IF(AND(M$14=1,ISNUMBER('Inputs (2)'!M127),'Inputs (2)'!M127&lt;&gt;0),'Inputs (2)'!M127,M92+M97)</f>
        <v>273.895</v>
      </c>
      <c r="N138" s="77">
        <f>SUM(J138:M138)</f>
        <v>1098.167</v>
      </c>
      <c r="O138" s="57">
        <f>IF(AND(O$14=1,ISNUMBER('Inputs (2)'!O127),'Inputs (2)'!O127&lt;&gt;0),'Inputs (2)'!O127,O92+O97)</f>
        <v>-781.555</v>
      </c>
      <c r="P138" s="57">
        <f>IF(AND(P$14=1,ISNUMBER('Inputs (2)'!P127),'Inputs (2)'!P127&lt;&gt;0),'Inputs (2)'!P127,P92+P97)</f>
        <v>413.392</v>
      </c>
      <c r="Q138" s="57">
        <f>IF(AND(Q$14=1,ISNUMBER('Inputs (2)'!Q127),'Inputs (2)'!Q127&lt;&gt;0),'Inputs (2)'!Q127,Q92+Q97)</f>
        <v>231.19</v>
      </c>
      <c r="R138" s="57">
        <f>IF(AND(R$14=1,ISNUMBER('Inputs (2)'!R127),'Inputs (2)'!R127&lt;&gt;0),'Inputs (2)'!R127,R92+R97)</f>
        <v>-391.271</v>
      </c>
      <c r="S138" s="77">
        <f>SUM(O138:R138)</f>
        <v>-528.244</v>
      </c>
      <c r="T138" s="57">
        <f>IF(AND(T$14=1,ISNUMBER('Inputs (2)'!T127),'Inputs (2)'!T127&lt;&gt;0),'Inputs (2)'!T127,T92+T97)</f>
        <v>-262.809</v>
      </c>
      <c r="U138" s="57">
        <f>IF(AND(U$14=1,ISNUMBER('Inputs (2)'!U127),'Inputs (2)'!U127&lt;&gt;0),'Inputs (2)'!U127,U92+U97)</f>
        <v>-373.336</v>
      </c>
      <c r="V138" s="57">
        <f>IF(AND(V$14=1,ISNUMBER('Inputs (2)'!V127),'Inputs (2)'!V127&lt;&gt;0),'Inputs (2)'!V127,V92+V97)</f>
        <v>102.231</v>
      </c>
      <c r="W138" s="57">
        <f>IF(AND(W$14=1,ISNUMBER('Inputs (2)'!W127),'Inputs (2)'!W127&lt;&gt;0),'Inputs (2)'!W127,W92+W97)</f>
        <v>-495.036</v>
      </c>
      <c r="X138" s="77">
        <f>SUM(T138:W138)</f>
        <v>-1028.95</v>
      </c>
      <c r="Y138" s="57">
        <f>IF(AND(Y$14=1,ISNUMBER('Inputs (2)'!Y127),'Inputs (2)'!Y127&lt;&gt;0),'Inputs (2)'!Y127,Y92+Y97)</f>
        <v>-12.0509999999999</v>
      </c>
      <c r="Z138" s="57">
        <f>IF(AND(Z$14=1,ISNUMBER('Inputs (2)'!Z127),'Inputs (2)'!Z127&lt;&gt;0),'Inputs (2)'!Z127,Z92+Z97)</f>
        <v>618.504</v>
      </c>
      <c r="AA138" s="57">
        <f>IF(AND(AA$14=1,ISNUMBER('Inputs (2)'!AA127),'Inputs (2)'!AA127&lt;&gt;0),'Inputs (2)'!AA127,AA92+AA97)</f>
        <v>-572.047</v>
      </c>
      <c r="AB138" s="57">
        <f>IF(AND(AB$14=1,ISNUMBER('Inputs (2)'!AB127),'Inputs (2)'!AB127&lt;&gt;0),'Inputs (2)'!AB127,AB92+AB97)</f>
        <v>720.22</v>
      </c>
      <c r="AC138" s="77">
        <f>SUM(Y138:AB138)</f>
        <v>754.626</v>
      </c>
      <c r="AD138" s="57">
        <f>IF(AND(AD$14=1,ISNUMBER('Inputs (2)'!AD127),'Inputs (2)'!AD127&lt;&gt;0),'Inputs (2)'!AD127,AD92+AD97)</f>
        <v>-282.135</v>
      </c>
      <c r="AE138" s="57">
        <f>IF(AND(AE$14=1,ISNUMBER('Inputs (2)'!AE127),'Inputs (2)'!AE127&lt;&gt;0),'Inputs (2)'!AE127,AE92+AE97)</f>
        <v>-186.458</v>
      </c>
      <c r="AF138" s="57">
        <f>IF(AND(AF$14=1,ISNUMBER('Inputs (2)'!AF127),'Inputs (2)'!AF127&lt;&gt;0),'Inputs (2)'!AF127,AF92+AF97)</f>
        <v>-295.252</v>
      </c>
      <c r="AG138" s="57">
        <f>IF(AND(AG$14=1,ISNUMBER('Inputs (2)'!AG127),'Inputs (2)'!AG127&lt;&gt;0),'Inputs (2)'!AG127,AG92+AG97)</f>
        <v>-793.031</v>
      </c>
      <c r="AH138" s="77">
        <f>SUM(AD138:AG138)</f>
        <v>-1556.876</v>
      </c>
      <c r="AI138" s="57">
        <f>IF(AND(AI$14=1,ISNUMBER('Inputs (2)'!AI127),'Inputs (2)'!AI127&lt;&gt;0),'Inputs (2)'!AI127,AI92+AI97)</f>
        <v>-470.546</v>
      </c>
      <c r="AJ138" s="57">
        <f>IF(AND(AJ$14=1,ISNUMBER('Inputs (2)'!AJ127),'Inputs (2)'!AJ127&lt;&gt;0),'Inputs (2)'!AJ127,AJ92+AJ97)</f>
        <v>-528.307</v>
      </c>
      <c r="AK138" s="57">
        <f>IF(AND(AK$14=1,ISNUMBER('Inputs (2)'!AK127),'Inputs (2)'!AK127&lt;&gt;0),'Inputs (2)'!AK127,AK92+AK97)</f>
        <v>0</v>
      </c>
      <c r="AL138" s="57">
        <f>IF(AND(AL$14=1,ISNUMBER('Inputs (2)'!AL127),'Inputs (2)'!AL127&lt;&gt;0),'Inputs (2)'!AL127,AL92+AL97)</f>
        <v>0</v>
      </c>
      <c r="AM138" s="77">
        <f>SUM(AI138:AL138)</f>
        <v>-998.853</v>
      </c>
      <c r="AN138" s="57">
        <f>IF(AND(AN$14=1,ISNUMBER('Inputs (2)'!AN127),'Inputs (2)'!AN127&lt;&gt;0),'Inputs (2)'!AN127,AN92+AN97)</f>
        <v>0</v>
      </c>
      <c r="AO138" s="57">
        <f>IF(AND(AO$14=1,ISNUMBER('Inputs (2)'!AO127),'Inputs (2)'!AO127&lt;&gt;0),'Inputs (2)'!AO127,AO92+AO97)</f>
        <v>0</v>
      </c>
      <c r="AP138" s="57">
        <f>IF(AND(AP$14=1,ISNUMBER('Inputs (2)'!AP127),'Inputs (2)'!AP127&lt;&gt;0),'Inputs (2)'!AP127,AP92+AP97)</f>
        <v>0</v>
      </c>
      <c r="AQ138" s="57">
        <f>IF(AND(AQ$14=1,ISNUMBER('Inputs (2)'!AQ127),'Inputs (2)'!AQ127&lt;&gt;0),'Inputs (2)'!AQ127,AQ92+AQ97)</f>
        <v>0</v>
      </c>
      <c r="AR138" s="77">
        <f>SUM(AN138:AQ138)</f>
        <v>0</v>
      </c>
      <c r="AS138" s="57">
        <f>IF(AND(AS$14=1,ISNUMBER('Inputs (2)'!AS127),'Inputs (2)'!AS127&lt;&gt;0),'Inputs (2)'!AS127,AS92+AS97)</f>
        <v>0</v>
      </c>
      <c r="AT138" s="57">
        <f>IF(AND(AT$14=1,ISNUMBER('Inputs (2)'!AT127),'Inputs (2)'!AT127&lt;&gt;0),'Inputs (2)'!AT127,AT92+AT97)</f>
        <v>0</v>
      </c>
      <c r="AU138" s="57">
        <f>IF(AND(AU$14=1,ISNUMBER('Inputs (2)'!AU127),'Inputs (2)'!AU127&lt;&gt;0),'Inputs (2)'!AU127,AU92+AU97)</f>
        <v>0</v>
      </c>
      <c r="AV138" s="57">
        <f>IF(AND(AV$14=1,ISNUMBER('Inputs (2)'!AV127),'Inputs (2)'!AV127&lt;&gt;0),'Inputs (2)'!AV127,AV92+AV97)</f>
        <v>0</v>
      </c>
      <c r="AW138" s="77">
        <f>SUM(AS138:AV138)</f>
        <v>0</v>
      </c>
      <c r="AX138" s="57">
        <f>IF(AND(AX$14=1,ISNUMBER('Inputs (2)'!AX127),'Inputs (2)'!AX127&lt;&gt;0),'Inputs (2)'!AX127,AX92+AX97)</f>
        <v>0</v>
      </c>
      <c r="AY138" s="57">
        <f>IF(AND(AY$14=1,ISNUMBER('Inputs (2)'!AY127),'Inputs (2)'!AY127&lt;&gt;0),'Inputs (2)'!AY127,AY92+AY97)</f>
        <v>0</v>
      </c>
      <c r="AZ138" s="57">
        <f>IF(AND(AZ$14=1,ISNUMBER('Inputs (2)'!AZ127),'Inputs (2)'!AZ127&lt;&gt;0),'Inputs (2)'!AZ127,AZ92+AZ97)</f>
        <v>0</v>
      </c>
      <c r="BA138" s="57">
        <f>IF(AND(BA$14=1,ISNUMBER('Inputs (2)'!BA127),'Inputs (2)'!BA127&lt;&gt;0),'Inputs (2)'!BA127,BA92+BA97)</f>
        <v>0</v>
      </c>
      <c r="BB138" s="77">
        <f>SUM(AX138:BA138)</f>
        <v>0</v>
      </c>
      <c r="BC138" s="57">
        <f>IF(AND(BC$14=1,ISNUMBER('Inputs (2)'!BC127),'Inputs (2)'!BC127&lt;&gt;0),'Inputs (2)'!BC127,BC92+BC97)</f>
        <v>0</v>
      </c>
      <c r="BD138" s="57">
        <f>IF(AND(BD$14=1,ISNUMBER('Inputs (2)'!BD127),'Inputs (2)'!BD127&lt;&gt;0),'Inputs (2)'!BD127,BD92+BD97)</f>
        <v>0</v>
      </c>
      <c r="BE138" s="57">
        <f>IF(AND(BE$14=1,ISNUMBER('Inputs (2)'!BE127),'Inputs (2)'!BE127&lt;&gt;0),'Inputs (2)'!BE127,BE92+BE97)</f>
        <v>0</v>
      </c>
      <c r="BF138" s="57">
        <f>IF(AND(BF$14=1,ISNUMBER('Inputs (2)'!BF127),'Inputs (2)'!BF127&lt;&gt;0),'Inputs (2)'!BF127,BF92+BF97)</f>
        <v>0</v>
      </c>
      <c r="BG138" s="77">
        <f>SUM(BC138:BF138)</f>
        <v>0</v>
      </c>
      <c r="BI138" s="14" t="inlineStr">
        <is>
          <t>Usa a abertura reportada quando ela existe em Inputs (2); caso contrário aproxima por receita de crédito menos despesa de captação.</t>
        </is>
      </c>
    </row>
    <row r="139">
      <c r="C139" s="11" t="inlineStr">
        <is>
          <t>Margem financeira com o mercado</t>
        </is>
      </c>
      <c r="D139" s="12" t="inlineStr">
        <is>
          <t>NII with market</t>
        </is>
      </c>
      <c r="E139" s="74">
        <f>E137-E138</f>
        <v>-1751.905</v>
      </c>
      <c r="F139" s="74">
        <f>F137-F138</f>
        <v>-595.428</v>
      </c>
      <c r="G139" s="74">
        <f>G137-G138</f>
        <v>-377.393</v>
      </c>
      <c r="H139" s="74">
        <f>H137-H138</f>
        <v>895.377</v>
      </c>
      <c r="I139" s="77">
        <f>SUM(E139:H139)</f>
        <v>-1829.349</v>
      </c>
      <c r="J139" s="74">
        <f>J137-J138</f>
        <v>-777.41</v>
      </c>
      <c r="K139" s="74">
        <f>K137-K138</f>
        <v>1377.179</v>
      </c>
      <c r="L139" s="74">
        <f>L137-L138</f>
        <v>-527.708</v>
      </c>
      <c r="M139" s="74">
        <f>M137-M138</f>
        <v>20.173</v>
      </c>
      <c r="N139" s="77">
        <f>SUM(J139:M139)</f>
        <v>92.234</v>
      </c>
      <c r="O139" s="74">
        <f>O137-O138</f>
        <v>1212.932</v>
      </c>
      <c r="P139" s="74">
        <f>P137-P138</f>
        <v>-7.77300000000025</v>
      </c>
      <c r="Q139" s="74">
        <f>Q137-Q138</f>
        <v>240.235</v>
      </c>
      <c r="R139" s="74">
        <f>R137-R138</f>
        <v>886.286</v>
      </c>
      <c r="S139" s="77">
        <f>SUM(O139:R139)</f>
        <v>2331.68</v>
      </c>
      <c r="T139" s="74">
        <f>T137-T138</f>
        <v>717.186</v>
      </c>
      <c r="U139" s="74">
        <f>U137-U138</f>
        <v>846.028</v>
      </c>
      <c r="V139" s="74">
        <f>V137-V138</f>
        <v>376.194</v>
      </c>
      <c r="W139" s="74">
        <f>W137-W138</f>
        <v>943.253</v>
      </c>
      <c r="X139" s="77">
        <f>SUM(T139:W139)</f>
        <v>2882.661</v>
      </c>
      <c r="Y139" s="74">
        <f>Y137-Y138</f>
        <v>442.998</v>
      </c>
      <c r="Z139" s="74">
        <f>Z137-Z138</f>
        <v>-166.63</v>
      </c>
      <c r="AA139" s="74">
        <f>AA137-AA138</f>
        <v>1138.092</v>
      </c>
      <c r="AB139" s="74">
        <f>AB137-AB138</f>
        <v>-217.402</v>
      </c>
      <c r="AC139" s="77">
        <f>SUM(Y139:AB139)</f>
        <v>1197.058</v>
      </c>
      <c r="AD139" s="74">
        <f>AD137-AD138</f>
        <v>802.902</v>
      </c>
      <c r="AE139" s="74">
        <f>AE137-AE138</f>
        <v>715.102</v>
      </c>
      <c r="AF139" s="74">
        <f>AF137-AF138</f>
        <v>945.599</v>
      </c>
      <c r="AG139" s="74">
        <f>AG137-AG138</f>
        <v>1398.315</v>
      </c>
      <c r="AH139" s="77">
        <f>SUM(AD139:AG139)</f>
        <v>3861.918</v>
      </c>
      <c r="AI139" s="74">
        <f>AI137-AI138</f>
        <v>1054.814</v>
      </c>
      <c r="AJ139" s="74">
        <f>AJ137-AJ138</f>
        <v>1156.5</v>
      </c>
      <c r="AK139" s="74">
        <f>AK137-AK138</f>
        <v>-73.0974525</v>
      </c>
      <c r="AL139" s="74">
        <f>AL137-AL138</f>
        <v>-73.0974525</v>
      </c>
      <c r="AM139" s="77">
        <f>SUM(AI139:AL139)</f>
        <v>2065.119095</v>
      </c>
      <c r="AN139" s="74">
        <f>AN137-AN138</f>
        <v>-73.0974525</v>
      </c>
      <c r="AO139" s="74">
        <f>AO137-AO138</f>
        <v>-73.0974525</v>
      </c>
      <c r="AP139" s="74">
        <f>AP137-AP138</f>
        <v>-73.0974525</v>
      </c>
      <c r="AQ139" s="74">
        <f>AQ137-AQ138</f>
        <v>-73.0974525</v>
      </c>
      <c r="AR139" s="77">
        <f>SUM(AN139:AQ139)</f>
        <v>-292.38981</v>
      </c>
      <c r="AS139" s="74">
        <f>AS137-AS138</f>
        <v>-73.0974525</v>
      </c>
      <c r="AT139" s="74">
        <f>AT137-AT138</f>
        <v>-73.0974525</v>
      </c>
      <c r="AU139" s="74">
        <f>AU137-AU138</f>
        <v>-73.0974525</v>
      </c>
      <c r="AV139" s="74">
        <f>AV137-AV138</f>
        <v>-73.0974525</v>
      </c>
      <c r="AW139" s="77">
        <f>SUM(AS139:AV139)</f>
        <v>-292.38981</v>
      </c>
      <c r="AX139" s="74">
        <f>AX137-AX138</f>
        <v>-73.0974525</v>
      </c>
      <c r="AY139" s="74">
        <f>AY137-AY138</f>
        <v>-73.0974525</v>
      </c>
      <c r="AZ139" s="74">
        <f>AZ137-AZ138</f>
        <v>-73.0974525</v>
      </c>
      <c r="BA139" s="74">
        <f>BA137-BA138</f>
        <v>-73.0974525</v>
      </c>
      <c r="BB139" s="77">
        <f>SUM(AX139:BA139)</f>
        <v>-292.38981</v>
      </c>
      <c r="BC139" s="74">
        <f>BC137-BC138</f>
        <v>-73.0974525</v>
      </c>
      <c r="BD139" s="74">
        <f>BD137-BD138</f>
        <v>-73.0974525</v>
      </c>
      <c r="BE139" s="74">
        <f>BE137-BE138</f>
        <v>-73.0974525</v>
      </c>
      <c r="BF139" s="74">
        <f>BF137-BF138</f>
        <v>-73.0974525</v>
      </c>
      <c r="BG139" s="77">
        <f>SUM(BC139:BF139)</f>
        <v>-292.38981</v>
      </c>
    </row>
    <row r="140">
      <c r="C140" s="11" t="inlineStr">
        <is>
          <t>Receita operacional total</t>
        </is>
      </c>
      <c r="D140" s="12" t="inlineStr">
        <is>
          <t>Total operating revenue</t>
        </is>
      </c>
      <c r="E140" s="74">
        <f>E101+E107+E108+E117</f>
        <v>-184.79</v>
      </c>
      <c r="F140" s="74">
        <f>F101+F107+F108+F117</f>
        <v>129.855</v>
      </c>
      <c r="G140" s="74">
        <f>G101+G107+G108+G117</f>
        <v>254.921</v>
      </c>
      <c r="H140" s="74">
        <f>H101+H107+H108+H117</f>
        <v>430.112</v>
      </c>
      <c r="I140" s="77">
        <f>SUM(E140:H140)</f>
        <v>630.098</v>
      </c>
      <c r="J140" s="74">
        <f>J101+J107+J108+J117</f>
        <v>276.949</v>
      </c>
      <c r="K140" s="74">
        <f>K101+K107+K108+K117</f>
        <v>515.409</v>
      </c>
      <c r="L140" s="74">
        <f>L101+L107+L108+L117</f>
        <v>333.499</v>
      </c>
      <c r="M140" s="74">
        <f>M101+M107+M108+M117</f>
        <v>365.787</v>
      </c>
      <c r="N140" s="77">
        <f>SUM(J140:M140)</f>
        <v>1491.644</v>
      </c>
      <c r="O140" s="74">
        <f>O101+O107+O108+O117</f>
        <v>479.678</v>
      </c>
      <c r="P140" s="74">
        <f>P101+P107+P108+P117</f>
        <v>510.05</v>
      </c>
      <c r="Q140" s="74">
        <f>Q101+Q107+Q108+Q117</f>
        <v>571.525</v>
      </c>
      <c r="R140" s="74">
        <f>R101+R107+R108+R117</f>
        <v>617.226</v>
      </c>
      <c r="S140" s="77">
        <f>SUM(O140:R140)</f>
        <v>2178.479</v>
      </c>
      <c r="T140" s="74">
        <f>T101+T107+T108+T117</f>
        <v>545.371</v>
      </c>
      <c r="U140" s="74">
        <f>U101+U107+U108+U117</f>
        <v>531.476</v>
      </c>
      <c r="V140" s="74">
        <f>V101+V107+V108+V117</f>
        <v>606.775</v>
      </c>
      <c r="W140" s="74">
        <f>W101+W107+W108+W117</f>
        <v>619.48</v>
      </c>
      <c r="X140" s="77">
        <f>SUM(T140:W140)</f>
        <v>2303.102</v>
      </c>
      <c r="Y140" s="74">
        <f>Y101+Y107+Y108+Y117</f>
        <v>552.083</v>
      </c>
      <c r="Z140" s="74">
        <f>Z101+Z107+Z108+Z117</f>
        <v>575.837</v>
      </c>
      <c r="AA140" s="74">
        <f>AA101+AA107+AA108+AA117</f>
        <v>683.638</v>
      </c>
      <c r="AB140" s="74">
        <f>AB101+AB107+AB108+AB117</f>
        <v>631.87</v>
      </c>
      <c r="AC140" s="77">
        <f>SUM(Y140:AB140)</f>
        <v>2443.428</v>
      </c>
      <c r="AD140" s="74">
        <f>AD101+AD107+AD108+AD117</f>
        <v>635.925</v>
      </c>
      <c r="AE140" s="74">
        <f>AE101+AE107+AE108+AE117</f>
        <v>656.216</v>
      </c>
      <c r="AF140" s="74">
        <f>AF101+AF107+AF108+AF117</f>
        <v>762.711</v>
      </c>
      <c r="AG140" s="74">
        <f>AG101+AG107+AG108+AG117</f>
        <v>742.559</v>
      </c>
      <c r="AH140" s="77">
        <f>SUM(AD140:AG140)</f>
        <v>2797.411</v>
      </c>
      <c r="AI140" s="74">
        <f>AI101+AI107+AI108+AI117</f>
        <v>698.543</v>
      </c>
      <c r="AJ140" s="74">
        <f>AJ101+AJ107+AJ108+AJ117</f>
        <v>743.145</v>
      </c>
      <c r="AK140" s="74">
        <f>AK101+AK107+AK108+AK117</f>
        <v>37.9215475</v>
      </c>
      <c r="AL140" s="74">
        <f>AL101+AL107+AL108+AL117</f>
        <v>62.7355475</v>
      </c>
      <c r="AM140" s="77">
        <f>SUM(AI140:AL140)</f>
        <v>1542.345095</v>
      </c>
      <c r="AN140" s="74">
        <f>AN101+AN107+AN108+AN117</f>
        <v>58.6845475</v>
      </c>
      <c r="AO140" s="74">
        <f>AO101+AO107+AO108+AO117</f>
        <v>41.8545475</v>
      </c>
      <c r="AP140" s="74">
        <f>AP101+AP107+AP108+AP117</f>
        <v>37.9215475</v>
      </c>
      <c r="AQ140" s="74">
        <f>AQ101+AQ107+AQ108+AQ117</f>
        <v>62.7355475</v>
      </c>
      <c r="AR140" s="77">
        <f>SUM(AN140:AQ140)</f>
        <v>201.19619</v>
      </c>
      <c r="AS140" s="74">
        <f>AS101+AS107+AS108+AS117</f>
        <v>58.6845475</v>
      </c>
      <c r="AT140" s="74">
        <f>AT101+AT107+AT108+AT117</f>
        <v>41.8545475</v>
      </c>
      <c r="AU140" s="74">
        <f>AU101+AU107+AU108+AU117</f>
        <v>37.9215475</v>
      </c>
      <c r="AV140" s="74">
        <f>AV101+AV107+AV108+AV117</f>
        <v>62.7355475</v>
      </c>
      <c r="AW140" s="77">
        <f>SUM(AS140:AV140)</f>
        <v>201.19619</v>
      </c>
      <c r="AX140" s="74">
        <f>AX101+AX107+AX108+AX117</f>
        <v>58.6845475</v>
      </c>
      <c r="AY140" s="74">
        <f>AY101+AY107+AY108+AY117</f>
        <v>41.8545475</v>
      </c>
      <c r="AZ140" s="74">
        <f>AZ101+AZ107+AZ108+AZ117</f>
        <v>37.9215475</v>
      </c>
      <c r="BA140" s="74">
        <f>BA101+BA107+BA108+BA117</f>
        <v>62.7355475</v>
      </c>
      <c r="BB140" s="77">
        <f>SUM(AX140:BA140)</f>
        <v>201.19619</v>
      </c>
      <c r="BC140" s="74">
        <f>BC101+BC107+BC108+BC117</f>
        <v>58.6845475</v>
      </c>
      <c r="BD140" s="74">
        <f>BD101+BD107+BD108+BD117</f>
        <v>41.8545475</v>
      </c>
      <c r="BE140" s="74">
        <f>BE101+BE107+BE108+BE117</f>
        <v>37.9215475</v>
      </c>
      <c r="BF140" s="74">
        <f>BF101+BF107+BF108+BF117</f>
        <v>62.7355475</v>
      </c>
      <c r="BG140" s="77">
        <f>SUM(BC140:BF140)</f>
        <v>201.19619</v>
      </c>
      <c r="BI140" s="14" t="inlineStr">
        <is>
          <t>Base do índice de eficiência: margem financeira bruta + serviços + seguros + outras receitas operacionais.</t>
        </is>
      </c>
    </row>
    <row r="141">
      <c r="C141" s="11" t="inlineStr">
        <is>
          <t>Despesas operacionais</t>
        </is>
      </c>
      <c r="D141" s="12" t="inlineStr">
        <is>
          <t>Operating expenses</t>
        </is>
      </c>
      <c r="E141" s="74">
        <f>-(E109+E110+E115+E118)</f>
        <v>149.543</v>
      </c>
      <c r="F141" s="74">
        <f>-(F109+F110+F115+F118)</f>
        <v>139.137</v>
      </c>
      <c r="G141" s="74">
        <f>-(G109+G110+G115+G118)</f>
        <v>139.384</v>
      </c>
      <c r="H141" s="74">
        <f>-(H109+H110+H115+H118)</f>
        <v>164.855</v>
      </c>
      <c r="I141" s="77">
        <f>SUM(E141:H141)</f>
        <v>592.919</v>
      </c>
      <c r="J141" s="74">
        <f>-(J109+J110+J115+J118)</f>
        <v>151.98</v>
      </c>
      <c r="K141" s="74">
        <f>-(K109+K110+K115+K118)</f>
        <v>167.794</v>
      </c>
      <c r="L141" s="74">
        <f>-(L109+L110+L115+L118)</f>
        <v>178.373</v>
      </c>
      <c r="M141" s="74">
        <f>-(M109+M110+M115+M118)</f>
        <v>199.983</v>
      </c>
      <c r="N141" s="77">
        <f>SUM(J141:M141)</f>
        <v>698.13</v>
      </c>
      <c r="O141" s="74">
        <f>-(O109+O110+O115+O118)</f>
        <v>214.021</v>
      </c>
      <c r="P141" s="74">
        <f>-(P109+P110+P115+P118)</f>
        <v>251.899</v>
      </c>
      <c r="Q141" s="74">
        <f>-(Q109+Q110+Q115+Q118)</f>
        <v>273.106</v>
      </c>
      <c r="R141" s="74">
        <f>-(R109+R110+R115+R118)</f>
        <v>291.916</v>
      </c>
      <c r="S141" s="77">
        <f>SUM(O141:R141)</f>
        <v>1030.942</v>
      </c>
      <c r="T141" s="74">
        <f>-(T109+T110+T115+T118)</f>
        <v>270.077</v>
      </c>
      <c r="U141" s="74">
        <f>-(U109+U110+U115+U118)</f>
        <v>274.367</v>
      </c>
      <c r="V141" s="74">
        <f>-(V109+V110+V115+V118)</f>
        <v>310.099</v>
      </c>
      <c r="W141" s="74">
        <f>-(W109+W110+W115+W118)</f>
        <v>322.125</v>
      </c>
      <c r="X141" s="77">
        <f>SUM(T141:W141)</f>
        <v>1176.668</v>
      </c>
      <c r="Y141" s="74">
        <f>-(Y109+Y110+Y115+Y118)</f>
        <v>289.867</v>
      </c>
      <c r="Z141" s="74">
        <f>-(Z109+Z110+Z115+Z118)</f>
        <v>298.736</v>
      </c>
      <c r="AA141" s="74">
        <f>-(AA109+AA110+AA115+AA118)</f>
        <v>334.399</v>
      </c>
      <c r="AB141" s="74">
        <f>-(AB109+AB110+AB115+AB118)</f>
        <v>331.625</v>
      </c>
      <c r="AC141" s="77">
        <f>SUM(Y141:AB141)</f>
        <v>1254.627</v>
      </c>
      <c r="AD141" s="74">
        <f>-(AD109+AD110+AD115+AD118)</f>
        <v>309.213</v>
      </c>
      <c r="AE141" s="74">
        <f>-(AE109+AE110+AE115+AE118)</f>
        <v>312.782</v>
      </c>
      <c r="AF141" s="74">
        <f>-(AF109+AF110+AF115+AF118)</f>
        <v>358.961</v>
      </c>
      <c r="AG141" s="74">
        <f>-(AG109+AG110+AG115+AG118)</f>
        <v>372.713</v>
      </c>
      <c r="AH141" s="77">
        <f>SUM(AD141:AG141)</f>
        <v>1353.669</v>
      </c>
      <c r="AI141" s="74">
        <f>-(AI109+AI110+AI115+AI118)</f>
        <v>346.291</v>
      </c>
      <c r="AJ141" s="74">
        <f>-(AJ109+AJ110+AJ115+AJ118)</f>
        <v>365.731</v>
      </c>
      <c r="AK141" s="74">
        <f>-(AK109+AK110+AK115+AK118)</f>
        <v>304.205</v>
      </c>
      <c r="AL141" s="74">
        <f>-(AL109+AL110+AL115+AL118)</f>
        <v>317.937</v>
      </c>
      <c r="AM141" s="77">
        <f>SUM(AI141:AL141)</f>
        <v>1334.164</v>
      </c>
      <c r="AN141" s="74">
        <f>-(AN109+AN110+AN115+AN118)</f>
        <v>311.872</v>
      </c>
      <c r="AO141" s="74">
        <f>-(AO109+AO110+AO115+AO118)</f>
        <v>323.639</v>
      </c>
      <c r="AP141" s="74">
        <f>-(AP109+AP110+AP115+AP118)</f>
        <v>304.205</v>
      </c>
      <c r="AQ141" s="74">
        <f>-(AQ109+AQ110+AQ115+AQ118)</f>
        <v>317.937</v>
      </c>
      <c r="AR141" s="77">
        <f>SUM(AN141:AQ141)</f>
        <v>1257.653</v>
      </c>
      <c r="AS141" s="74">
        <f>-(AS109+AS110+AS115+AS118)</f>
        <v>311.872</v>
      </c>
      <c r="AT141" s="74">
        <f>-(AT109+AT110+AT115+AT118)</f>
        <v>323.639</v>
      </c>
      <c r="AU141" s="74">
        <f>-(AU109+AU110+AU115+AU118)</f>
        <v>304.205</v>
      </c>
      <c r="AV141" s="74">
        <f>-(AV109+AV110+AV115+AV118)</f>
        <v>317.937</v>
      </c>
      <c r="AW141" s="77">
        <f>SUM(AS141:AV141)</f>
        <v>1257.653</v>
      </c>
      <c r="AX141" s="74">
        <f>-(AX109+AX110+AX115+AX118)</f>
        <v>311.872</v>
      </c>
      <c r="AY141" s="74">
        <f>-(AY109+AY110+AY115+AY118)</f>
        <v>323.639</v>
      </c>
      <c r="AZ141" s="74">
        <f>-(AZ109+AZ110+AZ115+AZ118)</f>
        <v>304.205</v>
      </c>
      <c r="BA141" s="74">
        <f>-(BA109+BA110+BA115+BA118)</f>
        <v>317.937</v>
      </c>
      <c r="BB141" s="77">
        <f>SUM(AX141:BA141)</f>
        <v>1257.653</v>
      </c>
      <c r="BC141" s="74">
        <f>-(BC109+BC110+BC115+BC118)</f>
        <v>311.872</v>
      </c>
      <c r="BD141" s="74">
        <f>-(BD109+BD110+BD115+BD118)</f>
        <v>323.639</v>
      </c>
      <c r="BE141" s="74">
        <f>-(BE109+BE110+BE115+BE118)</f>
        <v>304.205</v>
      </c>
      <c r="BF141" s="74">
        <f>-(BF109+BF110+BF115+BF118)</f>
        <v>317.937</v>
      </c>
      <c r="BG141" s="77">
        <f>SUM(BC141:BF141)</f>
        <v>1257.653</v>
      </c>
    </row>
    <row r="143">
      <c r="B143" s="7" t="n"/>
      <c r="C143" s="7" t="str">
        <f>"QUALIDADE DE CRÉDITO ("&amp;Inputs!$E$202&amp;")"</f>
        <v>QUALIDADE DE CRÉDITO (R$ milhões)</v>
      </c>
      <c r="D143" s="7" t="inlineStr">
        <is>
          <t>ASSET QUALITY</t>
        </is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>
      <c r="C144" s="80" t="inlineStr">
        <is>
          <t>Carteira de crédito ampliada</t>
        </is>
      </c>
      <c r="D144" s="81" t="inlineStr">
        <is>
          <t>Expanded loan portfolio</t>
        </is>
      </c>
      <c r="E144" s="82">
        <f>'Inputs (2)'!E111</f>
        <v>31101.183677</v>
      </c>
      <c r="F144" s="82">
        <f>IF(F$14=1,'Inputs (2)'!F111,E144*(1+Inputs!F$270))</f>
        <v>32064.849109</v>
      </c>
      <c r="G144" s="82">
        <f>IF(G$14=1,'Inputs (2)'!G111,F144*(1+Inputs!G$270))</f>
        <v>32928.57422</v>
      </c>
      <c r="H144" s="82">
        <f>IF(H$14=1,'Inputs (2)'!H111,G144*(1+Inputs!H$270))</f>
        <v>34378.415026</v>
      </c>
      <c r="I144" s="77">
        <f>H144</f>
        <v>34378.415026</v>
      </c>
      <c r="J144" s="82">
        <f>IF(J$14=1,'Inputs (2)'!J111,H144*(1+Inputs!J$270))</f>
        <v>35484.799786</v>
      </c>
      <c r="K144" s="82">
        <f>IF(K$14=1,'Inputs (2)'!K111,J144*(1+Inputs!K$270))</f>
        <v>35202.101868</v>
      </c>
      <c r="L144" s="82">
        <f>IF(L$14=1,'Inputs (2)'!L111,K144*(1+Inputs!L$270))</f>
        <v>37275.775287</v>
      </c>
      <c r="M144" s="82">
        <f>IF(M$14=1,'Inputs (2)'!M111,L144*(1+Inputs!M$270))</f>
        <v>37715.46936</v>
      </c>
      <c r="N144" s="77">
        <f>M144</f>
        <v>37715.46936</v>
      </c>
      <c r="O144" s="82">
        <f>IF(O$14=1,'Inputs (2)'!O111,M144*(1+Inputs!O$270))</f>
        <v>37563.732925</v>
      </c>
      <c r="P144" s="82">
        <f>IF(P$14=1,'Inputs (2)'!P111,O144*(1+Inputs!P$270))</f>
        <v>39973.197435</v>
      </c>
      <c r="Q144" s="82">
        <f>IF(Q$14=1,'Inputs (2)'!Q111,P144*(1+Inputs!Q$270))</f>
        <v>41535.209841</v>
      </c>
      <c r="R144" s="82">
        <f>IF(R$14=1,'Inputs (2)'!R111,Q144*(1+Inputs!R$270))</f>
        <v>43255.439013</v>
      </c>
      <c r="S144" s="77">
        <f>R144</f>
        <v>43255.439013</v>
      </c>
      <c r="T144" s="82">
        <f>IF(T$14=1,'Inputs (2)'!T111,R144*(1+Inputs!T$270))</f>
        <v>43652.450506</v>
      </c>
      <c r="U144" s="82">
        <f>IF(U$14=1,'Inputs (2)'!U111,T144*(1+Inputs!U$270))</f>
        <v>43325.881996</v>
      </c>
      <c r="V144" s="82">
        <f>IF(V$14=1,'Inputs (2)'!V111,U144*(1+Inputs!V$270))</f>
        <v>43693.093536</v>
      </c>
      <c r="W144" s="82">
        <f>IF(W$14=1,'Inputs (2)'!W111,V144*(1+Inputs!W$270))</f>
        <v>46380.704593</v>
      </c>
      <c r="X144" s="77">
        <f>W144</f>
        <v>46380.704593</v>
      </c>
      <c r="Y144" s="82">
        <f>IF(Y$14=1,'Inputs (2)'!Y111,W144*(1+Inputs!Y$270))</f>
        <v>45979.877987</v>
      </c>
      <c r="Z144" s="82">
        <f>IF(Z$14=1,'Inputs (2)'!Z111,Y144*(1+Inputs!Z$270))</f>
        <v>48284.333735</v>
      </c>
      <c r="AA144" s="82">
        <f>IF(AA$14=1,'Inputs (2)'!AA111,Z144*(1+Inputs!AA$270))</f>
        <v>50010.403281</v>
      </c>
      <c r="AB144" s="82">
        <f>IF(AB$14=1,'Inputs (2)'!AB111,AA144*(1+Inputs!AB$270))</f>
        <v>53171.079086</v>
      </c>
      <c r="AC144" s="77">
        <f>AB144</f>
        <v>53171.079086</v>
      </c>
      <c r="AD144" s="82">
        <f>IF(AD$14=1,'Inputs (2)'!AD111,AB144*(1+Inputs!AD$270))</f>
        <v>51205.717616</v>
      </c>
      <c r="AE144" s="82">
        <f>IF(AE$14=1,'Inputs (2)'!AE111,AD144*(1+Inputs!AE$270))</f>
        <v>52119.928927</v>
      </c>
      <c r="AF144" s="82">
        <f>IF(AF$14=1,'Inputs (2)'!AF111,AE144*(1+Inputs!AF$270))</f>
        <v>52302.954302</v>
      </c>
      <c r="AG144" s="82">
        <f>IF(AG$14=1,'Inputs (2)'!AG111,AF144*(1+Inputs!AG$270))</f>
        <v>54742.128769</v>
      </c>
      <c r="AH144" s="77">
        <f>AG144</f>
        <v>54742.128769</v>
      </c>
      <c r="AI144" s="82">
        <f>IF(AI$14=1,'Inputs (2)'!AI111,AG144*(1+Inputs!AI$270))</f>
        <v>54426.872357</v>
      </c>
      <c r="AJ144" s="82">
        <f>IF(AJ$14=1,'Inputs (2)'!AJ111,AI144*(1+Inputs!AJ$270))</f>
        <v>56463.502659</v>
      </c>
      <c r="AK144" s="82">
        <f>IF(AK$14=1,'Inputs (2)'!AK111,AJ144*(1+Inputs!AK$270))</f>
        <v>56463.502659</v>
      </c>
      <c r="AL144" s="82">
        <f>IF(AL$14=1,'Inputs (2)'!AL111,AK144*(1+Inputs!AL$270))</f>
        <v>56463.502659</v>
      </c>
      <c r="AM144" s="77">
        <f>AL144</f>
        <v>56463.502659</v>
      </c>
      <c r="AN144" s="82">
        <f>IF(AN$14=1,'Inputs (2)'!AN111,AL144*(1+Inputs!AN$270))</f>
        <v>56463.502659</v>
      </c>
      <c r="AO144" s="82">
        <f>IF(AO$14=1,'Inputs (2)'!AO111,AN144*(1+Inputs!AO$270))</f>
        <v>56463.502659</v>
      </c>
      <c r="AP144" s="82">
        <f>IF(AP$14=1,'Inputs (2)'!AP111,AO144*(1+Inputs!AP$270))</f>
        <v>56463.502659</v>
      </c>
      <c r="AQ144" s="82">
        <f>IF(AQ$14=1,'Inputs (2)'!AQ111,AP144*(1+Inputs!AQ$270))</f>
        <v>56463.502659</v>
      </c>
      <c r="AR144" s="77">
        <f>AQ144</f>
        <v>56463.502659</v>
      </c>
      <c r="AS144" s="82">
        <f>IF(AS$14=1,'Inputs (2)'!AS111,AQ144*(1+Inputs!AS$270))</f>
        <v>56463.502659</v>
      </c>
      <c r="AT144" s="82">
        <f>IF(AT$14=1,'Inputs (2)'!AT111,AS144*(1+Inputs!AT$270))</f>
        <v>56463.502659</v>
      </c>
      <c r="AU144" s="82">
        <f>IF(AU$14=1,'Inputs (2)'!AU111,AT144*(1+Inputs!AU$270))</f>
        <v>56463.502659</v>
      </c>
      <c r="AV144" s="82">
        <f>IF(AV$14=1,'Inputs (2)'!AV111,AU144*(1+Inputs!AV$270))</f>
        <v>56463.502659</v>
      </c>
      <c r="AW144" s="77">
        <f>AV144</f>
        <v>56463.502659</v>
      </c>
      <c r="AX144" s="82">
        <f>IF(AX$14=1,'Inputs (2)'!AX111,AV144*(1+Inputs!AX$270))</f>
        <v>56463.502659</v>
      </c>
      <c r="AY144" s="82">
        <f>IF(AY$14=1,'Inputs (2)'!AY111,AX144*(1+Inputs!AY$270))</f>
        <v>56463.502659</v>
      </c>
      <c r="AZ144" s="82">
        <f>IF(AZ$14=1,'Inputs (2)'!AZ111,AY144*(1+Inputs!AZ$270))</f>
        <v>56463.502659</v>
      </c>
      <c r="BA144" s="82">
        <f>IF(BA$14=1,'Inputs (2)'!BA111,AZ144*(1+Inputs!BA$270))</f>
        <v>56463.502659</v>
      </c>
      <c r="BB144" s="77">
        <f>BA144</f>
        <v>56463.502659</v>
      </c>
      <c r="BC144" s="82">
        <f>IF(BC$14=1,'Inputs (2)'!BC111,BA144*(1+Inputs!BC$270))</f>
        <v>56463.502659</v>
      </c>
      <c r="BD144" s="82">
        <f>IF(BD$14=1,'Inputs (2)'!BD111,BC144*(1+Inputs!BD$270))</f>
        <v>56463.502659</v>
      </c>
      <c r="BE144" s="82">
        <f>IF(BE$14=1,'Inputs (2)'!BE111,BD144*(1+Inputs!BE$270))</f>
        <v>56463.502659</v>
      </c>
      <c r="BF144" s="82">
        <f>IF(BF$14=1,'Inputs (2)'!BF111,BE144*(1+Inputs!BF$270))</f>
        <v>56463.502659</v>
      </c>
      <c r="BG144" s="77">
        <f>BF144</f>
        <v>56463.502659</v>
      </c>
    </row>
    <row r="145">
      <c r="C145" s="80" t="inlineStr">
        <is>
          <t>Saldo de provisão para perdas esperadas</t>
        </is>
      </c>
      <c r="D145" s="81" t="inlineStr">
        <is>
          <t>Total ECL allowance</t>
        </is>
      </c>
      <c r="E145" s="82">
        <f>-E33</f>
        <v>0</v>
      </c>
      <c r="F145" s="82">
        <f>-F33</f>
        <v>0</v>
      </c>
      <c r="G145" s="82">
        <f>-G33</f>
        <v>0</v>
      </c>
      <c r="H145" s="82">
        <f>-H33</f>
        <v>0</v>
      </c>
      <c r="I145" s="77">
        <f>H145</f>
        <v>0</v>
      </c>
      <c r="J145" s="82">
        <f>-J33</f>
        <v>0</v>
      </c>
      <c r="K145" s="82">
        <f>-K33</f>
        <v>0</v>
      </c>
      <c r="L145" s="82">
        <f>-L33</f>
        <v>0</v>
      </c>
      <c r="M145" s="82">
        <f>-M33</f>
        <v>0</v>
      </c>
      <c r="N145" s="77">
        <f>M145</f>
        <v>0</v>
      </c>
      <c r="O145" s="82">
        <f>-O33</f>
        <v>0</v>
      </c>
      <c r="P145" s="82">
        <f>-P33</f>
        <v>0</v>
      </c>
      <c r="Q145" s="82">
        <f>-Q33</f>
        <v>0</v>
      </c>
      <c r="R145" s="82">
        <f>-R33</f>
        <v>0</v>
      </c>
      <c r="S145" s="77">
        <f>R145</f>
        <v>0</v>
      </c>
      <c r="T145" s="82">
        <f>-T33</f>
        <v>0</v>
      </c>
      <c r="U145" s="82">
        <f>-U33</f>
        <v>0</v>
      </c>
      <c r="V145" s="82">
        <f>-V33</f>
        <v>0</v>
      </c>
      <c r="W145" s="82">
        <f>-W33</f>
        <v>0</v>
      </c>
      <c r="X145" s="77">
        <f>W145</f>
        <v>0</v>
      </c>
      <c r="Y145" s="82">
        <f>-Y33</f>
        <v>0</v>
      </c>
      <c r="Z145" s="82">
        <f>-Z33</f>
        <v>0</v>
      </c>
      <c r="AA145" s="82">
        <f>-AA33</f>
        <v>0</v>
      </c>
      <c r="AB145" s="82">
        <f>-AB33</f>
        <v>0</v>
      </c>
      <c r="AC145" s="77">
        <f>AB145</f>
        <v>0</v>
      </c>
      <c r="AD145" s="82">
        <f>-AD33</f>
        <v>951.062</v>
      </c>
      <c r="AE145" s="82">
        <f>-AE33</f>
        <v>1022.969</v>
      </c>
      <c r="AF145" s="82">
        <f>-AF33</f>
        <v>1082.457</v>
      </c>
      <c r="AG145" s="82">
        <f>-AG33</f>
        <v>1162.974</v>
      </c>
      <c r="AH145" s="77">
        <f>AG145</f>
        <v>1162.974</v>
      </c>
      <c r="AI145" s="82">
        <f>-AI33</f>
        <v>1189.592</v>
      </c>
      <c r="AJ145" s="82">
        <f>-AJ33</f>
        <v>1214.836</v>
      </c>
      <c r="AK145" s="82">
        <f>-AK33</f>
        <v>1214.836</v>
      </c>
      <c r="AL145" s="82">
        <f>-AL33</f>
        <v>1214.836</v>
      </c>
      <c r="AM145" s="77">
        <f>AL145</f>
        <v>1214.836</v>
      </c>
      <c r="AN145" s="82">
        <f>-AN33</f>
        <v>1214.836</v>
      </c>
      <c r="AO145" s="82">
        <f>-AO33</f>
        <v>1214.836</v>
      </c>
      <c r="AP145" s="82">
        <f>-AP33</f>
        <v>1214.836</v>
      </c>
      <c r="AQ145" s="82">
        <f>-AQ33</f>
        <v>1214.836</v>
      </c>
      <c r="AR145" s="77">
        <f>AQ145</f>
        <v>1214.836</v>
      </c>
      <c r="AS145" s="82">
        <f>-AS33</f>
        <v>1214.836</v>
      </c>
      <c r="AT145" s="82">
        <f>-AT33</f>
        <v>1214.836</v>
      </c>
      <c r="AU145" s="82">
        <f>-AU33</f>
        <v>1214.836</v>
      </c>
      <c r="AV145" s="82">
        <f>-AV33</f>
        <v>1214.836</v>
      </c>
      <c r="AW145" s="77">
        <f>AV145</f>
        <v>1214.836</v>
      </c>
      <c r="AX145" s="82">
        <f>-AX33</f>
        <v>1214.836</v>
      </c>
      <c r="AY145" s="82">
        <f>-AY33</f>
        <v>1214.836</v>
      </c>
      <c r="AZ145" s="82">
        <f>-AZ33</f>
        <v>1214.836</v>
      </c>
      <c r="BA145" s="82">
        <f>-BA33</f>
        <v>1214.836</v>
      </c>
      <c r="BB145" s="77">
        <f>BA145</f>
        <v>1214.836</v>
      </c>
      <c r="BC145" s="82">
        <f>-BC33</f>
        <v>1214.836</v>
      </c>
      <c r="BD145" s="82">
        <f>-BD33</f>
        <v>1214.836</v>
      </c>
      <c r="BE145" s="82">
        <f>-BE33</f>
        <v>1214.836</v>
      </c>
      <c r="BF145" s="82">
        <f>-BF33</f>
        <v>1214.836</v>
      </c>
      <c r="BG145" s="77">
        <f>BF145</f>
        <v>1214.836</v>
      </c>
    </row>
    <row r="146">
      <c r="C146" s="80" t="inlineStr">
        <is>
          <t>Carteira em Estágio 2</t>
        </is>
      </c>
      <c r="D146" s="81" t="inlineStr">
        <is>
          <t>Stage 2 portfolio</t>
        </is>
      </c>
      <c r="E146" s="82">
        <f>'Inputs (2)'!E115</f>
        <v>0</v>
      </c>
      <c r="F146" s="82">
        <f>IF(F$14=1,'Inputs (2)'!F115,E146*(1+Inputs!F$270))</f>
        <v>0</v>
      </c>
      <c r="G146" s="82">
        <f>IF(G$14=1,'Inputs (2)'!G115,F146*(1+Inputs!G$270))</f>
        <v>0</v>
      </c>
      <c r="H146" s="82">
        <f>IF(H$14=1,'Inputs (2)'!H115,G146*(1+Inputs!H$270))</f>
        <v>0</v>
      </c>
      <c r="I146" s="77">
        <f>H146</f>
        <v>0</v>
      </c>
      <c r="J146" s="82">
        <f>IF(J$14=1,'Inputs (2)'!J115,H146*(1+Inputs!J$270))</f>
        <v>0</v>
      </c>
      <c r="K146" s="82">
        <f>IF(K$14=1,'Inputs (2)'!K115,J146*(1+Inputs!K$270))</f>
        <v>0</v>
      </c>
      <c r="L146" s="82">
        <f>IF(L$14=1,'Inputs (2)'!L115,K146*(1+Inputs!L$270))</f>
        <v>0</v>
      </c>
      <c r="M146" s="82">
        <f>IF(M$14=1,'Inputs (2)'!M115,L146*(1+Inputs!M$270))</f>
        <v>0</v>
      </c>
      <c r="N146" s="77">
        <f>M146</f>
        <v>0</v>
      </c>
      <c r="O146" s="82">
        <f>IF(O$14=1,'Inputs (2)'!O115,M146*(1+Inputs!O$270))</f>
        <v>0</v>
      </c>
      <c r="P146" s="82">
        <f>IF(P$14=1,'Inputs (2)'!P115,O146*(1+Inputs!P$270))</f>
        <v>0</v>
      </c>
      <c r="Q146" s="82">
        <f>IF(Q$14=1,'Inputs (2)'!Q115,P146*(1+Inputs!Q$270))</f>
        <v>0</v>
      </c>
      <c r="R146" s="82">
        <f>IF(R$14=1,'Inputs (2)'!R115,Q146*(1+Inputs!R$270))</f>
        <v>0</v>
      </c>
      <c r="S146" s="77">
        <f>R146</f>
        <v>0</v>
      </c>
      <c r="T146" s="82">
        <f>IF(T$14=1,'Inputs (2)'!T115,R146*(1+Inputs!T$270))</f>
        <v>0</v>
      </c>
      <c r="U146" s="82">
        <f>IF(U$14=1,'Inputs (2)'!U115,T146*(1+Inputs!U$270))</f>
        <v>0</v>
      </c>
      <c r="V146" s="82">
        <f>IF(V$14=1,'Inputs (2)'!V115,U146*(1+Inputs!V$270))</f>
        <v>0</v>
      </c>
      <c r="W146" s="82">
        <f>IF(W$14=1,'Inputs (2)'!W115,V146*(1+Inputs!W$270))</f>
        <v>0</v>
      </c>
      <c r="X146" s="77">
        <f>W146</f>
        <v>0</v>
      </c>
      <c r="Y146" s="82">
        <f>IF(Y$14=1,'Inputs (2)'!Y115,W146*(1+Inputs!Y$270))</f>
        <v>0</v>
      </c>
      <c r="Z146" s="82">
        <f>IF(Z$14=1,'Inputs (2)'!Z115,Y146*(1+Inputs!Z$270))</f>
        <v>0</v>
      </c>
      <c r="AA146" s="82">
        <f>IF(AA$14=1,'Inputs (2)'!AA115,Z146*(1+Inputs!AA$270))</f>
        <v>0</v>
      </c>
      <c r="AB146" s="82">
        <f>IF(AB$14=1,'Inputs (2)'!AB115,AA146*(1+Inputs!AB$270))</f>
        <v>0</v>
      </c>
      <c r="AC146" s="77">
        <f>AB146</f>
        <v>0</v>
      </c>
      <c r="AD146" s="82">
        <f>IF(AD$14=1,'Inputs (2)'!AD115,AB146*(1+Inputs!AD$270))</f>
        <v>1575.554317</v>
      </c>
      <c r="AE146" s="82">
        <f>IF(AE$14=1,'Inputs (2)'!AE115,AD146*(1+Inputs!AE$270))</f>
        <v>1778.28027</v>
      </c>
      <c r="AF146" s="82">
        <f>IF(AF$14=1,'Inputs (2)'!AF115,AE146*(1+Inputs!AF$270))</f>
        <v>1777.555134</v>
      </c>
      <c r="AG146" s="82">
        <f>IF(AG$14=1,'Inputs (2)'!AG115,AF146*(1+Inputs!AG$270))</f>
        <v>1853.672238</v>
      </c>
      <c r="AH146" s="77">
        <f>AG146</f>
        <v>1853.672238</v>
      </c>
      <c r="AI146" s="82">
        <f>IF(AI$14=1,'Inputs (2)'!AI115,AG146*(1+Inputs!AI$270))</f>
        <v>2211.836684</v>
      </c>
      <c r="AJ146" s="82">
        <f>IF(AJ$14=1,'Inputs (2)'!AJ115,AI146*(1+Inputs!AJ$270))</f>
        <v>2014.22721</v>
      </c>
      <c r="AK146" s="82">
        <f>IF(AK$14=1,'Inputs (2)'!AK115,AJ146*(1+Inputs!AK$270))</f>
        <v>2014.22721</v>
      </c>
      <c r="AL146" s="82">
        <f>IF(AL$14=1,'Inputs (2)'!AL115,AK146*(1+Inputs!AL$270))</f>
        <v>2014.22721</v>
      </c>
      <c r="AM146" s="77">
        <f>AL146</f>
        <v>2014.22721</v>
      </c>
      <c r="AN146" s="82">
        <f>IF(AN$14=1,'Inputs (2)'!AN115,AL146*(1+Inputs!AN$270))</f>
        <v>2014.22721</v>
      </c>
      <c r="AO146" s="82">
        <f>IF(AO$14=1,'Inputs (2)'!AO115,AN146*(1+Inputs!AO$270))</f>
        <v>2014.22721</v>
      </c>
      <c r="AP146" s="82">
        <f>IF(AP$14=1,'Inputs (2)'!AP115,AO146*(1+Inputs!AP$270))</f>
        <v>2014.22721</v>
      </c>
      <c r="AQ146" s="82">
        <f>IF(AQ$14=1,'Inputs (2)'!AQ115,AP146*(1+Inputs!AQ$270))</f>
        <v>2014.22721</v>
      </c>
      <c r="AR146" s="77">
        <f>AQ146</f>
        <v>2014.22721</v>
      </c>
      <c r="AS146" s="82">
        <f>IF(AS$14=1,'Inputs (2)'!AS115,AQ146*(1+Inputs!AS$270))</f>
        <v>2014.22721</v>
      </c>
      <c r="AT146" s="82">
        <f>IF(AT$14=1,'Inputs (2)'!AT115,AS146*(1+Inputs!AT$270))</f>
        <v>2014.22721</v>
      </c>
      <c r="AU146" s="82">
        <f>IF(AU$14=1,'Inputs (2)'!AU115,AT146*(1+Inputs!AU$270))</f>
        <v>2014.22721</v>
      </c>
      <c r="AV146" s="82">
        <f>IF(AV$14=1,'Inputs (2)'!AV115,AU146*(1+Inputs!AV$270))</f>
        <v>2014.22721</v>
      </c>
      <c r="AW146" s="77">
        <f>AV146</f>
        <v>2014.22721</v>
      </c>
      <c r="AX146" s="82">
        <f>IF(AX$14=1,'Inputs (2)'!AX115,AV146*(1+Inputs!AX$270))</f>
        <v>2014.22721</v>
      </c>
      <c r="AY146" s="82">
        <f>IF(AY$14=1,'Inputs (2)'!AY115,AX146*(1+Inputs!AY$270))</f>
        <v>2014.22721</v>
      </c>
      <c r="AZ146" s="82">
        <f>IF(AZ$14=1,'Inputs (2)'!AZ115,AY146*(1+Inputs!AZ$270))</f>
        <v>2014.22721</v>
      </c>
      <c r="BA146" s="82">
        <f>IF(BA$14=1,'Inputs (2)'!BA115,AZ146*(1+Inputs!BA$270))</f>
        <v>2014.22721</v>
      </c>
      <c r="BB146" s="77">
        <f>BA146</f>
        <v>2014.22721</v>
      </c>
      <c r="BC146" s="82">
        <f>IF(BC$14=1,'Inputs (2)'!BC115,BA146*(1+Inputs!BC$270))</f>
        <v>2014.22721</v>
      </c>
      <c r="BD146" s="82">
        <f>IF(BD$14=1,'Inputs (2)'!BD115,BC146*(1+Inputs!BD$270))</f>
        <v>2014.22721</v>
      </c>
      <c r="BE146" s="82">
        <f>IF(BE$14=1,'Inputs (2)'!BE115,BD146*(1+Inputs!BE$270))</f>
        <v>2014.22721</v>
      </c>
      <c r="BF146" s="82">
        <f>IF(BF$14=1,'Inputs (2)'!BF115,BE146*(1+Inputs!BF$270))</f>
        <v>2014.22721</v>
      </c>
      <c r="BG146" s="77">
        <f>BF146</f>
        <v>2014.22721</v>
      </c>
    </row>
    <row r="147">
      <c r="C147" s="80" t="inlineStr">
        <is>
          <t>Carteira em Estágio 3</t>
        </is>
      </c>
      <c r="D147" s="81" t="inlineStr">
        <is>
          <t>Stage 3 portfolio</t>
        </is>
      </c>
      <c r="E147" s="82">
        <f>'Inputs (2)'!E116</f>
        <v>0</v>
      </c>
      <c r="F147" s="82">
        <f>IF(F$14=1,'Inputs (2)'!F116,E147*(1+Inputs!F$270))</f>
        <v>0</v>
      </c>
      <c r="G147" s="82">
        <f>IF(G$14=1,'Inputs (2)'!G116,F147*(1+Inputs!G$270))</f>
        <v>0</v>
      </c>
      <c r="H147" s="82">
        <f>IF(H$14=1,'Inputs (2)'!H116,G147*(1+Inputs!H$270))</f>
        <v>0</v>
      </c>
      <c r="I147" s="77">
        <f>H147</f>
        <v>0</v>
      </c>
      <c r="J147" s="82">
        <f>IF(J$14=1,'Inputs (2)'!J116,H147*(1+Inputs!J$270))</f>
        <v>0</v>
      </c>
      <c r="K147" s="82">
        <f>IF(K$14=1,'Inputs (2)'!K116,J147*(1+Inputs!K$270))</f>
        <v>0</v>
      </c>
      <c r="L147" s="82">
        <f>IF(L$14=1,'Inputs (2)'!L116,K147*(1+Inputs!L$270))</f>
        <v>0</v>
      </c>
      <c r="M147" s="82">
        <f>IF(M$14=1,'Inputs (2)'!M116,L147*(1+Inputs!M$270))</f>
        <v>0</v>
      </c>
      <c r="N147" s="77">
        <f>M147</f>
        <v>0</v>
      </c>
      <c r="O147" s="82">
        <f>IF(O$14=1,'Inputs (2)'!O116,M147*(1+Inputs!O$270))</f>
        <v>0</v>
      </c>
      <c r="P147" s="82">
        <f>IF(P$14=1,'Inputs (2)'!P116,O147*(1+Inputs!P$270))</f>
        <v>0</v>
      </c>
      <c r="Q147" s="82">
        <f>IF(Q$14=1,'Inputs (2)'!Q116,P147*(1+Inputs!Q$270))</f>
        <v>0</v>
      </c>
      <c r="R147" s="82">
        <f>IF(R$14=1,'Inputs (2)'!R116,Q147*(1+Inputs!R$270))</f>
        <v>0</v>
      </c>
      <c r="S147" s="77">
        <f>R147</f>
        <v>0</v>
      </c>
      <c r="T147" s="82">
        <f>IF(T$14=1,'Inputs (2)'!T116,R147*(1+Inputs!T$270))</f>
        <v>0</v>
      </c>
      <c r="U147" s="82">
        <f>IF(U$14=1,'Inputs (2)'!U116,T147*(1+Inputs!U$270))</f>
        <v>0</v>
      </c>
      <c r="V147" s="82">
        <f>IF(V$14=1,'Inputs (2)'!V116,U147*(1+Inputs!V$270))</f>
        <v>0</v>
      </c>
      <c r="W147" s="82">
        <f>IF(W$14=1,'Inputs (2)'!W116,V147*(1+Inputs!W$270))</f>
        <v>0</v>
      </c>
      <c r="X147" s="77">
        <f>W147</f>
        <v>0</v>
      </c>
      <c r="Y147" s="82">
        <f>IF(Y$14=1,'Inputs (2)'!Y116,W147*(1+Inputs!Y$270))</f>
        <v>0</v>
      </c>
      <c r="Z147" s="82">
        <f>IF(Z$14=1,'Inputs (2)'!Z116,Y147*(1+Inputs!Z$270))</f>
        <v>0</v>
      </c>
      <c r="AA147" s="82">
        <f>IF(AA$14=1,'Inputs (2)'!AA116,Z147*(1+Inputs!AA$270))</f>
        <v>0</v>
      </c>
      <c r="AB147" s="82">
        <f>IF(AB$14=1,'Inputs (2)'!AB116,AA147*(1+Inputs!AB$270))</f>
        <v>0</v>
      </c>
      <c r="AC147" s="77">
        <f>AB147</f>
        <v>0</v>
      </c>
      <c r="AD147" s="82">
        <f>IF(AD$14=1,'Inputs (2)'!AD116,AB147*(1+Inputs!AD$270))</f>
        <v>1223.420039</v>
      </c>
      <c r="AE147" s="82">
        <f>IF(AE$14=1,'Inputs (2)'!AE116,AD147*(1+Inputs!AE$270))</f>
        <v>1260.709007</v>
      </c>
      <c r="AF147" s="82">
        <f>IF(AF$14=1,'Inputs (2)'!AF116,AE147*(1+Inputs!AF$270))</f>
        <v>1383.449601</v>
      </c>
      <c r="AG147" s="82">
        <f>IF(AG$14=1,'Inputs (2)'!AG116,AF147*(1+Inputs!AG$270))</f>
        <v>1406.362889</v>
      </c>
      <c r="AH147" s="77">
        <f>AG147</f>
        <v>1406.362889</v>
      </c>
      <c r="AI147" s="82">
        <f>IF(AI$14=1,'Inputs (2)'!AI116,AG147*(1+Inputs!AI$270))</f>
        <v>1522.002712</v>
      </c>
      <c r="AJ147" s="82">
        <f>IF(AJ$14=1,'Inputs (2)'!AJ116,AI147*(1+Inputs!AJ$270))</f>
        <v>1646.670605</v>
      </c>
      <c r="AK147" s="82">
        <f>IF(AK$14=1,'Inputs (2)'!AK116,AJ147*(1+Inputs!AK$270))</f>
        <v>1646.670605</v>
      </c>
      <c r="AL147" s="82">
        <f>IF(AL$14=1,'Inputs (2)'!AL116,AK147*(1+Inputs!AL$270))</f>
        <v>1646.670605</v>
      </c>
      <c r="AM147" s="77">
        <f>AL147</f>
        <v>1646.670605</v>
      </c>
      <c r="AN147" s="82">
        <f>IF(AN$14=1,'Inputs (2)'!AN116,AL147*(1+Inputs!AN$270))</f>
        <v>1646.670605</v>
      </c>
      <c r="AO147" s="82">
        <f>IF(AO$14=1,'Inputs (2)'!AO116,AN147*(1+Inputs!AO$270))</f>
        <v>1646.670605</v>
      </c>
      <c r="AP147" s="82">
        <f>IF(AP$14=1,'Inputs (2)'!AP116,AO147*(1+Inputs!AP$270))</f>
        <v>1646.670605</v>
      </c>
      <c r="AQ147" s="82">
        <f>IF(AQ$14=1,'Inputs (2)'!AQ116,AP147*(1+Inputs!AQ$270))</f>
        <v>1646.670605</v>
      </c>
      <c r="AR147" s="77">
        <f>AQ147</f>
        <v>1646.670605</v>
      </c>
      <c r="AS147" s="82">
        <f>IF(AS$14=1,'Inputs (2)'!AS116,AQ147*(1+Inputs!AS$270))</f>
        <v>1646.670605</v>
      </c>
      <c r="AT147" s="82">
        <f>IF(AT$14=1,'Inputs (2)'!AT116,AS147*(1+Inputs!AT$270))</f>
        <v>1646.670605</v>
      </c>
      <c r="AU147" s="82">
        <f>IF(AU$14=1,'Inputs (2)'!AU116,AT147*(1+Inputs!AU$270))</f>
        <v>1646.670605</v>
      </c>
      <c r="AV147" s="82">
        <f>IF(AV$14=1,'Inputs (2)'!AV116,AU147*(1+Inputs!AV$270))</f>
        <v>1646.670605</v>
      </c>
      <c r="AW147" s="77">
        <f>AV147</f>
        <v>1646.670605</v>
      </c>
      <c r="AX147" s="82">
        <f>IF(AX$14=1,'Inputs (2)'!AX116,AV147*(1+Inputs!AX$270))</f>
        <v>1646.670605</v>
      </c>
      <c r="AY147" s="82">
        <f>IF(AY$14=1,'Inputs (2)'!AY116,AX147*(1+Inputs!AY$270))</f>
        <v>1646.670605</v>
      </c>
      <c r="AZ147" s="82">
        <f>IF(AZ$14=1,'Inputs (2)'!AZ116,AY147*(1+Inputs!AZ$270))</f>
        <v>1646.670605</v>
      </c>
      <c r="BA147" s="82">
        <f>IF(BA$14=1,'Inputs (2)'!BA116,AZ147*(1+Inputs!BA$270))</f>
        <v>1646.670605</v>
      </c>
      <c r="BB147" s="77">
        <f>BA147</f>
        <v>1646.670605</v>
      </c>
      <c r="BC147" s="82">
        <f>IF(BC$14=1,'Inputs (2)'!BC116,BA147*(1+Inputs!BC$270))</f>
        <v>1646.670605</v>
      </c>
      <c r="BD147" s="82">
        <f>IF(BD$14=1,'Inputs (2)'!BD116,BC147*(1+Inputs!BD$270))</f>
        <v>1646.670605</v>
      </c>
      <c r="BE147" s="82">
        <f>IF(BE$14=1,'Inputs (2)'!BE116,BD147*(1+Inputs!BE$270))</f>
        <v>1646.670605</v>
      </c>
      <c r="BF147" s="82">
        <f>IF(BF$14=1,'Inputs (2)'!BF116,BE147*(1+Inputs!BF$270))</f>
        <v>1646.670605</v>
      </c>
      <c r="BG147" s="77">
        <f>BF147</f>
        <v>1646.670605</v>
      </c>
    </row>
    <row r="148">
      <c r="C148" s="80" t="inlineStr">
        <is>
          <t>Operações vencidas acima de 90 dias</t>
        </is>
      </c>
      <c r="D148" s="81" t="inlineStr">
        <is>
          <t>NPL &gt; 90 days</t>
        </is>
      </c>
      <c r="E148" s="82">
        <f>'Inputs (2)'!E121</f>
        <v>0</v>
      </c>
      <c r="F148" s="82">
        <f>IF(F$14=1,'Inputs (2)'!F121,E148*(1+Inputs!F$270))</f>
        <v>0</v>
      </c>
      <c r="G148" s="82">
        <f>IF(G$14=1,'Inputs (2)'!G121,F148*(1+Inputs!G$270))</f>
        <v>0</v>
      </c>
      <c r="H148" s="82">
        <f>IF(H$14=1,'Inputs (2)'!H121,G148*(1+Inputs!H$270))</f>
        <v>0</v>
      </c>
      <c r="I148" s="77">
        <f>H148</f>
        <v>0</v>
      </c>
      <c r="J148" s="82">
        <f>IF(J$14=1,'Inputs (2)'!J121,H148*(1+Inputs!J$270))</f>
        <v>53.743411</v>
      </c>
      <c r="K148" s="82">
        <f>IF(K$14=1,'Inputs (2)'!K121,J148*(1+Inputs!K$270))</f>
        <v>249.352622</v>
      </c>
      <c r="L148" s="82">
        <f>IF(L$14=1,'Inputs (2)'!L121,K148*(1+Inputs!L$270))</f>
        <v>267.352637</v>
      </c>
      <c r="M148" s="82">
        <f>IF(M$14=1,'Inputs (2)'!M121,L148*(1+Inputs!M$270))</f>
        <v>261.13785</v>
      </c>
      <c r="N148" s="77">
        <f>M148</f>
        <v>261.13785</v>
      </c>
      <c r="O148" s="82">
        <f>IF(O$14=1,'Inputs (2)'!O121,M148*(1+Inputs!O$270))</f>
        <v>146.163658</v>
      </c>
      <c r="P148" s="82">
        <f>IF(P$14=1,'Inputs (2)'!P121,O148*(1+Inputs!P$270))</f>
        <v>90.227108</v>
      </c>
      <c r="Q148" s="82">
        <f>IF(Q$14=1,'Inputs (2)'!Q121,P148*(1+Inputs!Q$270))</f>
        <v>87.351807</v>
      </c>
      <c r="R148" s="82">
        <f>IF(R$14=1,'Inputs (2)'!R121,Q148*(1+Inputs!R$270))</f>
        <v>128.623392</v>
      </c>
      <c r="S148" s="77">
        <f>R148</f>
        <v>128.623392</v>
      </c>
      <c r="T148" s="82">
        <f>IF(T$14=1,'Inputs (2)'!T121,R148*(1+Inputs!T$270))</f>
        <v>153.441073</v>
      </c>
      <c r="U148" s="82">
        <f>IF(U$14=1,'Inputs (2)'!U121,T148*(1+Inputs!U$270))</f>
        <v>276.50696</v>
      </c>
      <c r="V148" s="82">
        <f>IF(V$14=1,'Inputs (2)'!V121,U148*(1+Inputs!V$270))</f>
        <v>406.250464</v>
      </c>
      <c r="W148" s="82">
        <f>IF(W$14=1,'Inputs (2)'!W121,V148*(1+Inputs!W$270))</f>
        <v>648.624446</v>
      </c>
      <c r="X148" s="77">
        <f>W148</f>
        <v>648.624446</v>
      </c>
      <c r="Y148" s="82">
        <f>IF(Y$14=1,'Inputs (2)'!Y121,W148*(1+Inputs!Y$270))</f>
        <v>674.881726</v>
      </c>
      <c r="Z148" s="82">
        <f>IF(Z$14=1,'Inputs (2)'!Z121,Y148*(1+Inputs!Z$270))</f>
        <v>702.654276</v>
      </c>
      <c r="AA148" s="82">
        <f>IF(AA$14=1,'Inputs (2)'!AA121,Z148*(1+Inputs!AA$270))</f>
        <v>271.493234</v>
      </c>
      <c r="AB148" s="82">
        <f>IF(AB$14=1,'Inputs (2)'!AB121,AA148*(1+Inputs!AB$270))</f>
        <v>273.367166</v>
      </c>
      <c r="AC148" s="77">
        <f>AB148</f>
        <v>273.367166</v>
      </c>
      <c r="AD148" s="82">
        <f>IF(AD$14=1,'Inputs (2)'!AD121,AB148*(1+Inputs!AD$270))</f>
        <v>485.355128</v>
      </c>
      <c r="AE148" s="82">
        <f>IF(AE$14=1,'Inputs (2)'!AE121,AD148*(1+Inputs!AE$270))</f>
        <v>382.383911</v>
      </c>
      <c r="AF148" s="82">
        <f>IF(AF$14=1,'Inputs (2)'!AF121,AE148*(1+Inputs!AF$270))</f>
        <v>319.116443</v>
      </c>
      <c r="AG148" s="82">
        <f>IF(AG$14=1,'Inputs (2)'!AG121,AF148*(1+Inputs!AG$270))</f>
        <v>262.331092</v>
      </c>
      <c r="AH148" s="77">
        <f>AG148</f>
        <v>262.331092</v>
      </c>
      <c r="AI148" s="82">
        <f>IF(AI$14=1,'Inputs (2)'!AI121,AG148*(1+Inputs!AI$270))</f>
        <v>278.5884</v>
      </c>
      <c r="AJ148" s="82">
        <f>IF(AJ$14=1,'Inputs (2)'!AJ121,AI148*(1+Inputs!AJ$270))</f>
        <v>332.061309</v>
      </c>
      <c r="AK148" s="82">
        <f>IF(AK$14=1,'Inputs (2)'!AK121,AJ148*(1+Inputs!AK$270))</f>
        <v>332.061309</v>
      </c>
      <c r="AL148" s="82">
        <f>IF(AL$14=1,'Inputs (2)'!AL121,AK148*(1+Inputs!AL$270))</f>
        <v>332.061309</v>
      </c>
      <c r="AM148" s="77">
        <f>AL148</f>
        <v>332.061309</v>
      </c>
      <c r="AN148" s="82">
        <f>IF(AN$14=1,'Inputs (2)'!AN121,AL148*(1+Inputs!AN$270))</f>
        <v>332.061309</v>
      </c>
      <c r="AO148" s="82">
        <f>IF(AO$14=1,'Inputs (2)'!AO121,AN148*(1+Inputs!AO$270))</f>
        <v>332.061309</v>
      </c>
      <c r="AP148" s="82">
        <f>IF(AP$14=1,'Inputs (2)'!AP121,AO148*(1+Inputs!AP$270))</f>
        <v>332.061309</v>
      </c>
      <c r="AQ148" s="82">
        <f>IF(AQ$14=1,'Inputs (2)'!AQ121,AP148*(1+Inputs!AQ$270))</f>
        <v>332.061309</v>
      </c>
      <c r="AR148" s="77">
        <f>AQ148</f>
        <v>332.061309</v>
      </c>
      <c r="AS148" s="82">
        <f>IF(AS$14=1,'Inputs (2)'!AS121,AQ148*(1+Inputs!AS$270))</f>
        <v>332.061309</v>
      </c>
      <c r="AT148" s="82">
        <f>IF(AT$14=1,'Inputs (2)'!AT121,AS148*(1+Inputs!AT$270))</f>
        <v>332.061309</v>
      </c>
      <c r="AU148" s="82">
        <f>IF(AU$14=1,'Inputs (2)'!AU121,AT148*(1+Inputs!AU$270))</f>
        <v>332.061309</v>
      </c>
      <c r="AV148" s="82">
        <f>IF(AV$14=1,'Inputs (2)'!AV121,AU148*(1+Inputs!AV$270))</f>
        <v>332.061309</v>
      </c>
      <c r="AW148" s="77">
        <f>AV148</f>
        <v>332.061309</v>
      </c>
      <c r="AX148" s="82">
        <f>IF(AX$14=1,'Inputs (2)'!AX121,AV148*(1+Inputs!AX$270))</f>
        <v>332.061309</v>
      </c>
      <c r="AY148" s="82">
        <f>IF(AY$14=1,'Inputs (2)'!AY121,AX148*(1+Inputs!AY$270))</f>
        <v>332.061309</v>
      </c>
      <c r="AZ148" s="82">
        <f>IF(AZ$14=1,'Inputs (2)'!AZ121,AY148*(1+Inputs!AZ$270))</f>
        <v>332.061309</v>
      </c>
      <c r="BA148" s="82">
        <f>IF(BA$14=1,'Inputs (2)'!BA121,AZ148*(1+Inputs!BA$270))</f>
        <v>332.061309</v>
      </c>
      <c r="BB148" s="77">
        <f>BA148</f>
        <v>332.061309</v>
      </c>
      <c r="BC148" s="82">
        <f>IF(BC$14=1,'Inputs (2)'!BC121,BA148*(1+Inputs!BC$270))</f>
        <v>332.061309</v>
      </c>
      <c r="BD148" s="82">
        <f>IF(BD$14=1,'Inputs (2)'!BD121,BC148*(1+Inputs!BD$270))</f>
        <v>332.061309</v>
      </c>
      <c r="BE148" s="82">
        <f>IF(BE$14=1,'Inputs (2)'!BE121,BD148*(1+Inputs!BE$270))</f>
        <v>332.061309</v>
      </c>
      <c r="BF148" s="82">
        <f>IF(BF$14=1,'Inputs (2)'!BF121,BE148*(1+Inputs!BF$270))</f>
        <v>332.061309</v>
      </c>
      <c r="BG148" s="77">
        <f>BF148</f>
        <v>332.061309</v>
      </c>
    </row>
    <row r="149">
      <c r="C149" s="80" t="inlineStr">
        <is>
          <t>Operações vencidas de 15 a 90 dias</t>
        </is>
      </c>
      <c r="D149" s="81" t="inlineStr">
        <is>
          <t>NPL 15-90 days</t>
        </is>
      </c>
      <c r="E149" s="82">
        <f>'Inputs (2)'!E122</f>
        <v>0</v>
      </c>
      <c r="F149" s="82">
        <f>IF(F$14=1,'Inputs (2)'!F122,E149*(1+Inputs!F$270))</f>
        <v>0</v>
      </c>
      <c r="G149" s="82">
        <f>IF(G$14=1,'Inputs (2)'!G122,F149*(1+Inputs!G$270))</f>
        <v>0</v>
      </c>
      <c r="H149" s="82">
        <f>IF(H$14=1,'Inputs (2)'!H122,G149*(1+Inputs!H$270))</f>
        <v>0</v>
      </c>
      <c r="I149" s="77">
        <f>H149</f>
        <v>0</v>
      </c>
      <c r="J149" s="82">
        <f>IF(J$14=1,'Inputs (2)'!J122,H149*(1+Inputs!J$270))</f>
        <v>0</v>
      </c>
      <c r="K149" s="82">
        <f>IF(K$14=1,'Inputs (2)'!K122,J149*(1+Inputs!K$270))</f>
        <v>0</v>
      </c>
      <c r="L149" s="82">
        <f>IF(L$14=1,'Inputs (2)'!L122,K149*(1+Inputs!L$270))</f>
        <v>0</v>
      </c>
      <c r="M149" s="82">
        <f>IF(M$14=1,'Inputs (2)'!M122,L149*(1+Inputs!M$270))</f>
        <v>0</v>
      </c>
      <c r="N149" s="77">
        <f>M149</f>
        <v>0</v>
      </c>
      <c r="O149" s="82">
        <f>IF(O$14=1,'Inputs (2)'!O122,M149*(1+Inputs!O$270))</f>
        <v>0</v>
      </c>
      <c r="P149" s="82">
        <f>IF(P$14=1,'Inputs (2)'!P122,O149*(1+Inputs!P$270))</f>
        <v>0</v>
      </c>
      <c r="Q149" s="82">
        <f>IF(Q$14=1,'Inputs (2)'!Q122,P149*(1+Inputs!Q$270))</f>
        <v>0</v>
      </c>
      <c r="R149" s="82">
        <f>IF(R$14=1,'Inputs (2)'!R122,Q149*(1+Inputs!R$270))</f>
        <v>0</v>
      </c>
      <c r="S149" s="77">
        <f>R149</f>
        <v>0</v>
      </c>
      <c r="T149" s="82">
        <f>IF(T$14=1,'Inputs (2)'!T122,R149*(1+Inputs!T$270))</f>
        <v>0</v>
      </c>
      <c r="U149" s="82">
        <f>IF(U$14=1,'Inputs (2)'!U122,T149*(1+Inputs!U$270))</f>
        <v>0</v>
      </c>
      <c r="V149" s="82">
        <f>IF(V$14=1,'Inputs (2)'!V122,U149*(1+Inputs!V$270))</f>
        <v>0</v>
      </c>
      <c r="W149" s="82">
        <f>IF(W$14=1,'Inputs (2)'!W122,V149*(1+Inputs!W$270))</f>
        <v>0</v>
      </c>
      <c r="X149" s="77">
        <f>W149</f>
        <v>0</v>
      </c>
      <c r="Y149" s="82">
        <f>IF(Y$14=1,'Inputs (2)'!Y122,W149*(1+Inputs!Y$270))</f>
        <v>0</v>
      </c>
      <c r="Z149" s="82">
        <f>IF(Z$14=1,'Inputs (2)'!Z122,Y149*(1+Inputs!Z$270))</f>
        <v>0</v>
      </c>
      <c r="AA149" s="82">
        <f>IF(AA$14=1,'Inputs (2)'!AA122,Z149*(1+Inputs!AA$270))</f>
        <v>0</v>
      </c>
      <c r="AB149" s="82">
        <f>IF(AB$14=1,'Inputs (2)'!AB122,AA149*(1+Inputs!AB$270))</f>
        <v>0</v>
      </c>
      <c r="AC149" s="77">
        <f>AB149</f>
        <v>0</v>
      </c>
      <c r="AD149" s="82">
        <f>IF(AD$14=1,'Inputs (2)'!AD122,AB149*(1+Inputs!AD$270))</f>
        <v>0</v>
      </c>
      <c r="AE149" s="82">
        <f>IF(AE$14=1,'Inputs (2)'!AE122,AD149*(1+Inputs!AE$270))</f>
        <v>0</v>
      </c>
      <c r="AF149" s="82">
        <f>IF(AF$14=1,'Inputs (2)'!AF122,AE149*(1+Inputs!AF$270))</f>
        <v>0</v>
      </c>
      <c r="AG149" s="82">
        <f>IF(AG$14=1,'Inputs (2)'!AG122,AF149*(1+Inputs!AG$270))</f>
        <v>0</v>
      </c>
      <c r="AH149" s="77">
        <f>AG149</f>
        <v>0</v>
      </c>
      <c r="AI149" s="82">
        <f>IF(AI$14=1,'Inputs (2)'!AI122,AG149*(1+Inputs!AI$270))</f>
        <v>0</v>
      </c>
      <c r="AJ149" s="82">
        <f>IF(AJ$14=1,'Inputs (2)'!AJ122,AI149*(1+Inputs!AJ$270))</f>
        <v>0</v>
      </c>
      <c r="AK149" s="82">
        <f>IF(AK$14=1,'Inputs (2)'!AK122,AJ149*(1+Inputs!AK$270))</f>
        <v>0</v>
      </c>
      <c r="AL149" s="82">
        <f>IF(AL$14=1,'Inputs (2)'!AL122,AK149*(1+Inputs!AL$270))</f>
        <v>0</v>
      </c>
      <c r="AM149" s="77">
        <f>AL149</f>
        <v>0</v>
      </c>
      <c r="AN149" s="82">
        <f>IF(AN$14=1,'Inputs (2)'!AN122,AL149*(1+Inputs!AN$270))</f>
        <v>0</v>
      </c>
      <c r="AO149" s="82">
        <f>IF(AO$14=1,'Inputs (2)'!AO122,AN149*(1+Inputs!AO$270))</f>
        <v>0</v>
      </c>
      <c r="AP149" s="82">
        <f>IF(AP$14=1,'Inputs (2)'!AP122,AO149*(1+Inputs!AP$270))</f>
        <v>0</v>
      </c>
      <c r="AQ149" s="82">
        <f>IF(AQ$14=1,'Inputs (2)'!AQ122,AP149*(1+Inputs!AQ$270))</f>
        <v>0</v>
      </c>
      <c r="AR149" s="77">
        <f>AQ149</f>
        <v>0</v>
      </c>
      <c r="AS149" s="82">
        <f>IF(AS$14=1,'Inputs (2)'!AS122,AQ149*(1+Inputs!AS$270))</f>
        <v>0</v>
      </c>
      <c r="AT149" s="82">
        <f>IF(AT$14=1,'Inputs (2)'!AT122,AS149*(1+Inputs!AT$270))</f>
        <v>0</v>
      </c>
      <c r="AU149" s="82">
        <f>IF(AU$14=1,'Inputs (2)'!AU122,AT149*(1+Inputs!AU$270))</f>
        <v>0</v>
      </c>
      <c r="AV149" s="82">
        <f>IF(AV$14=1,'Inputs (2)'!AV122,AU149*(1+Inputs!AV$270))</f>
        <v>0</v>
      </c>
      <c r="AW149" s="77">
        <f>AV149</f>
        <v>0</v>
      </c>
      <c r="AX149" s="82">
        <f>IF(AX$14=1,'Inputs (2)'!AX122,AV149*(1+Inputs!AX$270))</f>
        <v>0</v>
      </c>
      <c r="AY149" s="82">
        <f>IF(AY$14=1,'Inputs (2)'!AY122,AX149*(1+Inputs!AY$270))</f>
        <v>0</v>
      </c>
      <c r="AZ149" s="82">
        <f>IF(AZ$14=1,'Inputs (2)'!AZ122,AY149*(1+Inputs!AZ$270))</f>
        <v>0</v>
      </c>
      <c r="BA149" s="82">
        <f>IF(BA$14=1,'Inputs (2)'!BA122,AZ149*(1+Inputs!BA$270))</f>
        <v>0</v>
      </c>
      <c r="BB149" s="77">
        <f>BA149</f>
        <v>0</v>
      </c>
      <c r="BC149" s="82">
        <f>IF(BC$14=1,'Inputs (2)'!BC122,BA149*(1+Inputs!BC$270))</f>
        <v>0</v>
      </c>
      <c r="BD149" s="82">
        <f>IF(BD$14=1,'Inputs (2)'!BD122,BC149*(1+Inputs!BD$270))</f>
        <v>0</v>
      </c>
      <c r="BE149" s="82">
        <f>IF(BE$14=1,'Inputs (2)'!BE122,BD149*(1+Inputs!BE$270))</f>
        <v>0</v>
      </c>
      <c r="BF149" s="82">
        <f>IF(BF$14=1,'Inputs (2)'!BF122,BE149*(1+Inputs!BF$270))</f>
        <v>0</v>
      </c>
      <c r="BG149" s="77">
        <f>BF149</f>
        <v>0</v>
      </c>
    </row>
    <row r="150">
      <c r="C150" s="80" t="inlineStr">
        <is>
          <t>Write-off do período</t>
        </is>
      </c>
      <c r="D150" s="81" t="inlineStr">
        <is>
          <t>Write-offs</t>
        </is>
      </c>
      <c r="E150" s="82">
        <f>IF(E$14=1,'Inputs (2)'!E123,E134*Inputs!E$273/4)</f>
        <v>0</v>
      </c>
      <c r="F150" s="82">
        <f>IF(F$14=1,'Inputs (2)'!F123,F134*Inputs!F$273/4)</f>
        <v>0</v>
      </c>
      <c r="G150" s="82">
        <f>IF(G$14=1,'Inputs (2)'!G123,G134*Inputs!G$273/4)</f>
        <v>0</v>
      </c>
      <c r="H150" s="82">
        <f>IF(H$14=1,'Inputs (2)'!H123,H134*Inputs!H$273/4)</f>
        <v>0</v>
      </c>
      <c r="I150" s="77">
        <f>SUM(E150:H150)</f>
        <v>0</v>
      </c>
      <c r="J150" s="82">
        <f>IF(J$14=1,'Inputs (2)'!J123,J134*Inputs!J$273/4)</f>
        <v>0</v>
      </c>
      <c r="K150" s="82">
        <f>IF(K$14=1,'Inputs (2)'!K123,K134*Inputs!K$273/4)</f>
        <v>0</v>
      </c>
      <c r="L150" s="82">
        <f>IF(L$14=1,'Inputs (2)'!L123,L134*Inputs!L$273/4)</f>
        <v>0</v>
      </c>
      <c r="M150" s="82">
        <f>IF(M$14=1,'Inputs (2)'!M123,M134*Inputs!M$273/4)</f>
        <v>0</v>
      </c>
      <c r="N150" s="77">
        <f>SUM(J150:M150)</f>
        <v>0</v>
      </c>
      <c r="O150" s="82">
        <f>IF(O$14=1,'Inputs (2)'!O123,O134*Inputs!O$273/4)</f>
        <v>0</v>
      </c>
      <c r="P150" s="82">
        <f>IF(P$14=1,'Inputs (2)'!P123,P134*Inputs!P$273/4)</f>
        <v>0</v>
      </c>
      <c r="Q150" s="82">
        <f>IF(Q$14=1,'Inputs (2)'!Q123,Q134*Inputs!Q$273/4)</f>
        <v>0</v>
      </c>
      <c r="R150" s="82">
        <f>IF(R$14=1,'Inputs (2)'!R123,R134*Inputs!R$273/4)</f>
        <v>0</v>
      </c>
      <c r="S150" s="77">
        <f>SUM(O150:R150)</f>
        <v>0</v>
      </c>
      <c r="T150" s="82">
        <f>IF(T$14=1,'Inputs (2)'!T123,T134*Inputs!T$273/4)</f>
        <v>0</v>
      </c>
      <c r="U150" s="82">
        <f>IF(U$14=1,'Inputs (2)'!U123,U134*Inputs!U$273/4)</f>
        <v>0</v>
      </c>
      <c r="V150" s="82">
        <f>IF(V$14=1,'Inputs (2)'!V123,V134*Inputs!V$273/4)</f>
        <v>0</v>
      </c>
      <c r="W150" s="82">
        <f>IF(W$14=1,'Inputs (2)'!W123,W134*Inputs!W$273/4)</f>
        <v>0</v>
      </c>
      <c r="X150" s="77">
        <f>SUM(T150:W150)</f>
        <v>0</v>
      </c>
      <c r="Y150" s="82">
        <f>IF(Y$14=1,'Inputs (2)'!Y123,Y134*Inputs!Y$273/4)</f>
        <v>48.25142</v>
      </c>
      <c r="Z150" s="82">
        <f>IF(Z$14=1,'Inputs (2)'!Z123,Z134*Inputs!Z$273/4)</f>
        <v>58.370506</v>
      </c>
      <c r="AA150" s="82">
        <f>IF(AA$14=1,'Inputs (2)'!AA123,AA134*Inputs!AA$273/4)</f>
        <v>355.615254</v>
      </c>
      <c r="AB150" s="82">
        <f>IF(AB$14=1,'Inputs (2)'!AB123,AB134*Inputs!AB$273/4)</f>
        <v>61.709473</v>
      </c>
      <c r="AC150" s="77">
        <f>SUM(Y150:AB150)</f>
        <v>523.946653</v>
      </c>
      <c r="AD150" s="82">
        <f>IF(AD$14=1,'Inputs (2)'!AD123,AD134*Inputs!AD$273/4)</f>
        <v>21.174702</v>
      </c>
      <c r="AE150" s="82">
        <f>IF(AE$14=1,'Inputs (2)'!AE123,AE134*Inputs!AE$273/4)</f>
        <v>3.862832</v>
      </c>
      <c r="AF150" s="82">
        <f>IF(AF$14=1,'Inputs (2)'!AF123,AF134*Inputs!AF$273/4)</f>
        <v>55.137887</v>
      </c>
      <c r="AG150" s="82">
        <f>IF(AG$14=1,'Inputs (2)'!AG123,AG134*Inputs!AG$273/4)</f>
        <v>52.707827</v>
      </c>
      <c r="AH150" s="77">
        <f>SUM(AD150:AG150)</f>
        <v>132.883248</v>
      </c>
      <c r="AI150" s="82">
        <f>IF(AI$14=1,'Inputs (2)'!AI123,AI134*Inputs!AI$273/4)</f>
        <v>33.332458</v>
      </c>
      <c r="AJ150" s="82">
        <f>IF(AJ$14=1,'Inputs (2)'!AJ123,AJ134*Inputs!AJ$273/4)</f>
        <v>101.183683</v>
      </c>
      <c r="AK150" s="82">
        <f>IF(AK$14=1,'Inputs (2)'!AK123,AK134*Inputs!AK$273/4)</f>
        <v>0</v>
      </c>
      <c r="AL150" s="82">
        <f>IF(AL$14=1,'Inputs (2)'!AL123,AL134*Inputs!AL$273/4)</f>
        <v>0</v>
      </c>
      <c r="AM150" s="77">
        <f>SUM(AI150:AL150)</f>
        <v>134.516141</v>
      </c>
      <c r="AN150" s="82">
        <f>IF(AN$14=1,'Inputs (2)'!AN123,AN134*Inputs!AN$273/4)</f>
        <v>0</v>
      </c>
      <c r="AO150" s="82">
        <f>IF(AO$14=1,'Inputs (2)'!AO123,AO134*Inputs!AO$273/4)</f>
        <v>0</v>
      </c>
      <c r="AP150" s="82">
        <f>IF(AP$14=1,'Inputs (2)'!AP123,AP134*Inputs!AP$273/4)</f>
        <v>0</v>
      </c>
      <c r="AQ150" s="82">
        <f>IF(AQ$14=1,'Inputs (2)'!AQ123,AQ134*Inputs!AQ$273/4)</f>
        <v>0</v>
      </c>
      <c r="AR150" s="77">
        <f>SUM(AN150:AQ150)</f>
        <v>0</v>
      </c>
      <c r="AS150" s="82">
        <f>IF(AS$14=1,'Inputs (2)'!AS123,AS134*Inputs!AS$273/4)</f>
        <v>0</v>
      </c>
      <c r="AT150" s="82">
        <f>IF(AT$14=1,'Inputs (2)'!AT123,AT134*Inputs!AT$273/4)</f>
        <v>0</v>
      </c>
      <c r="AU150" s="82">
        <f>IF(AU$14=1,'Inputs (2)'!AU123,AU134*Inputs!AU$273/4)</f>
        <v>0</v>
      </c>
      <c r="AV150" s="82">
        <f>IF(AV$14=1,'Inputs (2)'!AV123,AV134*Inputs!AV$273/4)</f>
        <v>0</v>
      </c>
      <c r="AW150" s="77">
        <f>SUM(AS150:AV150)</f>
        <v>0</v>
      </c>
      <c r="AX150" s="82">
        <f>IF(AX$14=1,'Inputs (2)'!AX123,AX134*Inputs!AX$273/4)</f>
        <v>0</v>
      </c>
      <c r="AY150" s="82">
        <f>IF(AY$14=1,'Inputs (2)'!AY123,AY134*Inputs!AY$273/4)</f>
        <v>0</v>
      </c>
      <c r="AZ150" s="82">
        <f>IF(AZ$14=1,'Inputs (2)'!AZ123,AZ134*Inputs!AZ$273/4)</f>
        <v>0</v>
      </c>
      <c r="BA150" s="82">
        <f>IF(BA$14=1,'Inputs (2)'!BA123,BA134*Inputs!BA$273/4)</f>
        <v>0</v>
      </c>
      <c r="BB150" s="77">
        <f>SUM(AX150:BA150)</f>
        <v>0</v>
      </c>
      <c r="BC150" s="82">
        <f>IF(BC$14=1,'Inputs (2)'!BC123,BC134*Inputs!BC$273/4)</f>
        <v>0</v>
      </c>
      <c r="BD150" s="82">
        <f>IF(BD$14=1,'Inputs (2)'!BD123,BD134*Inputs!BD$273/4)</f>
        <v>0</v>
      </c>
      <c r="BE150" s="82">
        <f>IF(BE$14=1,'Inputs (2)'!BE123,BE134*Inputs!BE$273/4)</f>
        <v>0</v>
      </c>
      <c r="BF150" s="82">
        <f>IF(BF$14=1,'Inputs (2)'!BF123,BF134*Inputs!BF$273/4)</f>
        <v>0</v>
      </c>
      <c r="BG150" s="77">
        <f>SUM(BC150:BF150)</f>
        <v>0</v>
      </c>
    </row>
    <row r="151">
      <c r="C151" s="80" t="inlineStr">
        <is>
          <t>Saldo de provisão — Estágio 2</t>
        </is>
      </c>
      <c r="D151" s="81" t="inlineStr">
        <is>
          <t>Stage 2 allowance</t>
        </is>
      </c>
      <c r="E151" s="82">
        <f>'Inputs (2)'!E118</f>
        <v>0</v>
      </c>
      <c r="F151" s="82">
        <f>IF(F$14=1,'Inputs (2)'!F118,E151*(1+Inputs!F$270))</f>
        <v>0</v>
      </c>
      <c r="G151" s="82">
        <f>IF(G$14=1,'Inputs (2)'!G118,F151*(1+Inputs!G$270))</f>
        <v>0</v>
      </c>
      <c r="H151" s="82">
        <f>IF(H$14=1,'Inputs (2)'!H118,G151*(1+Inputs!H$270))</f>
        <v>0</v>
      </c>
      <c r="I151" s="77">
        <f>H151</f>
        <v>0</v>
      </c>
      <c r="J151" s="82">
        <f>IF(J$14=1,'Inputs (2)'!J118,H151*(1+Inputs!J$270))</f>
        <v>0</v>
      </c>
      <c r="K151" s="82">
        <f>IF(K$14=1,'Inputs (2)'!K118,J151*(1+Inputs!K$270))</f>
        <v>0</v>
      </c>
      <c r="L151" s="82">
        <f>IF(L$14=1,'Inputs (2)'!L118,K151*(1+Inputs!L$270))</f>
        <v>0</v>
      </c>
      <c r="M151" s="82">
        <f>IF(M$14=1,'Inputs (2)'!M118,L151*(1+Inputs!M$270))</f>
        <v>0</v>
      </c>
      <c r="N151" s="77">
        <f>M151</f>
        <v>0</v>
      </c>
      <c r="O151" s="82">
        <f>IF(O$14=1,'Inputs (2)'!O118,M151*(1+Inputs!O$270))</f>
        <v>0</v>
      </c>
      <c r="P151" s="82">
        <f>IF(P$14=1,'Inputs (2)'!P118,O151*(1+Inputs!P$270))</f>
        <v>0</v>
      </c>
      <c r="Q151" s="82">
        <f>IF(Q$14=1,'Inputs (2)'!Q118,P151*(1+Inputs!Q$270))</f>
        <v>0</v>
      </c>
      <c r="R151" s="82">
        <f>IF(R$14=1,'Inputs (2)'!R118,Q151*(1+Inputs!R$270))</f>
        <v>0</v>
      </c>
      <c r="S151" s="77">
        <f>R151</f>
        <v>0</v>
      </c>
      <c r="T151" s="82">
        <f>IF(T$14=1,'Inputs (2)'!T118,R151*(1+Inputs!T$270))</f>
        <v>0</v>
      </c>
      <c r="U151" s="82">
        <f>IF(U$14=1,'Inputs (2)'!U118,T151*(1+Inputs!U$270))</f>
        <v>0</v>
      </c>
      <c r="V151" s="82">
        <f>IF(V$14=1,'Inputs (2)'!V118,U151*(1+Inputs!V$270))</f>
        <v>0</v>
      </c>
      <c r="W151" s="82">
        <f>IF(W$14=1,'Inputs (2)'!W118,V151*(1+Inputs!W$270))</f>
        <v>0</v>
      </c>
      <c r="X151" s="77">
        <f>W151</f>
        <v>0</v>
      </c>
      <c r="Y151" s="82">
        <f>IF(Y$14=1,'Inputs (2)'!Y118,W151*(1+Inputs!Y$270))</f>
        <v>0</v>
      </c>
      <c r="Z151" s="82">
        <f>IF(Z$14=1,'Inputs (2)'!Z118,Y151*(1+Inputs!Z$270))</f>
        <v>0</v>
      </c>
      <c r="AA151" s="82">
        <f>IF(AA$14=1,'Inputs (2)'!AA118,Z151*(1+Inputs!AA$270))</f>
        <v>0</v>
      </c>
      <c r="AB151" s="82">
        <f>IF(AB$14=1,'Inputs (2)'!AB118,AA151*(1+Inputs!AB$270))</f>
        <v>0</v>
      </c>
      <c r="AC151" s="77">
        <f>AB151</f>
        <v>0</v>
      </c>
      <c r="AD151" s="82">
        <f>IF(AD$14=1,'Inputs (2)'!AD118,AB151*(1+Inputs!AD$270))</f>
        <v>81.75061</v>
      </c>
      <c r="AE151" s="82">
        <f>IF(AE$14=1,'Inputs (2)'!AE118,AD151*(1+Inputs!AE$270))</f>
        <v>87.393585</v>
      </c>
      <c r="AF151" s="82">
        <f>IF(AF$14=1,'Inputs (2)'!AF118,AE151*(1+Inputs!AF$270))</f>
        <v>86.656481</v>
      </c>
      <c r="AG151" s="82">
        <f>IF(AG$14=1,'Inputs (2)'!AG118,AF151*(1+Inputs!AG$270))</f>
        <v>88.362002</v>
      </c>
      <c r="AH151" s="77">
        <f>AG151</f>
        <v>88.362002</v>
      </c>
      <c r="AI151" s="82">
        <f>IF(AI$14=1,'Inputs (2)'!AI118,AG151*(1+Inputs!AI$270))</f>
        <v>123.080266</v>
      </c>
      <c r="AJ151" s="82">
        <f>IF(AJ$14=1,'Inputs (2)'!AJ118,AI151*(1+Inputs!AJ$270))</f>
        <v>95.312654</v>
      </c>
      <c r="AK151" s="82">
        <f>IF(AK$14=1,'Inputs (2)'!AK118,AJ151*(1+Inputs!AK$270))</f>
        <v>95.312654</v>
      </c>
      <c r="AL151" s="82">
        <f>IF(AL$14=1,'Inputs (2)'!AL118,AK151*(1+Inputs!AL$270))</f>
        <v>95.312654</v>
      </c>
      <c r="AM151" s="77">
        <f>AL151</f>
        <v>95.312654</v>
      </c>
      <c r="AN151" s="82">
        <f>IF(AN$14=1,'Inputs (2)'!AN118,AL151*(1+Inputs!AN$270))</f>
        <v>95.312654</v>
      </c>
      <c r="AO151" s="82">
        <f>IF(AO$14=1,'Inputs (2)'!AO118,AN151*(1+Inputs!AO$270))</f>
        <v>95.312654</v>
      </c>
      <c r="AP151" s="82">
        <f>IF(AP$14=1,'Inputs (2)'!AP118,AO151*(1+Inputs!AP$270))</f>
        <v>95.312654</v>
      </c>
      <c r="AQ151" s="82">
        <f>IF(AQ$14=1,'Inputs (2)'!AQ118,AP151*(1+Inputs!AQ$270))</f>
        <v>95.312654</v>
      </c>
      <c r="AR151" s="77">
        <f>AQ151</f>
        <v>95.312654</v>
      </c>
      <c r="AS151" s="82">
        <f>IF(AS$14=1,'Inputs (2)'!AS118,AQ151*(1+Inputs!AS$270))</f>
        <v>95.312654</v>
      </c>
      <c r="AT151" s="82">
        <f>IF(AT$14=1,'Inputs (2)'!AT118,AS151*(1+Inputs!AT$270))</f>
        <v>95.312654</v>
      </c>
      <c r="AU151" s="82">
        <f>IF(AU$14=1,'Inputs (2)'!AU118,AT151*(1+Inputs!AU$270))</f>
        <v>95.312654</v>
      </c>
      <c r="AV151" s="82">
        <f>IF(AV$14=1,'Inputs (2)'!AV118,AU151*(1+Inputs!AV$270))</f>
        <v>95.312654</v>
      </c>
      <c r="AW151" s="77">
        <f>AV151</f>
        <v>95.312654</v>
      </c>
      <c r="AX151" s="82">
        <f>IF(AX$14=1,'Inputs (2)'!AX118,AV151*(1+Inputs!AX$270))</f>
        <v>95.312654</v>
      </c>
      <c r="AY151" s="82">
        <f>IF(AY$14=1,'Inputs (2)'!AY118,AX151*(1+Inputs!AY$270))</f>
        <v>95.312654</v>
      </c>
      <c r="AZ151" s="82">
        <f>IF(AZ$14=1,'Inputs (2)'!AZ118,AY151*(1+Inputs!AZ$270))</f>
        <v>95.312654</v>
      </c>
      <c r="BA151" s="82">
        <f>IF(BA$14=1,'Inputs (2)'!BA118,AZ151*(1+Inputs!BA$270))</f>
        <v>95.312654</v>
      </c>
      <c r="BB151" s="77">
        <f>BA151</f>
        <v>95.312654</v>
      </c>
      <c r="BC151" s="82">
        <f>IF(BC$14=1,'Inputs (2)'!BC118,BA151*(1+Inputs!BC$270))</f>
        <v>95.312654</v>
      </c>
      <c r="BD151" s="82">
        <f>IF(BD$14=1,'Inputs (2)'!BD118,BC151*(1+Inputs!BD$270))</f>
        <v>95.312654</v>
      </c>
      <c r="BE151" s="82">
        <f>IF(BE$14=1,'Inputs (2)'!BE118,BD151*(1+Inputs!BE$270))</f>
        <v>95.312654</v>
      </c>
      <c r="BF151" s="82">
        <f>IF(BF$14=1,'Inputs (2)'!BF118,BE151*(1+Inputs!BF$270))</f>
        <v>95.312654</v>
      </c>
      <c r="BG151" s="77">
        <f>BF151</f>
        <v>95.312654</v>
      </c>
    </row>
    <row r="152">
      <c r="C152" s="80" t="inlineStr">
        <is>
          <t>Saldo de provisão — Estágio 3</t>
        </is>
      </c>
      <c r="D152" s="81" t="inlineStr">
        <is>
          <t>Stage 3 allowance</t>
        </is>
      </c>
      <c r="E152" s="82">
        <f>'Inputs (2)'!E119</f>
        <v>0</v>
      </c>
      <c r="F152" s="82">
        <f>IF(F$14=1,'Inputs (2)'!F119,E152*(1+Inputs!F$270))</f>
        <v>0</v>
      </c>
      <c r="G152" s="82">
        <f>IF(G$14=1,'Inputs (2)'!G119,F152*(1+Inputs!G$270))</f>
        <v>0</v>
      </c>
      <c r="H152" s="82">
        <f>IF(H$14=1,'Inputs (2)'!H119,G152*(1+Inputs!H$270))</f>
        <v>0</v>
      </c>
      <c r="I152" s="77">
        <f>H152</f>
        <v>0</v>
      </c>
      <c r="J152" s="82">
        <f>IF(J$14=1,'Inputs (2)'!J119,H152*(1+Inputs!J$270))</f>
        <v>0</v>
      </c>
      <c r="K152" s="82">
        <f>IF(K$14=1,'Inputs (2)'!K119,J152*(1+Inputs!K$270))</f>
        <v>0</v>
      </c>
      <c r="L152" s="82">
        <f>IF(L$14=1,'Inputs (2)'!L119,K152*(1+Inputs!L$270))</f>
        <v>0</v>
      </c>
      <c r="M152" s="82">
        <f>IF(M$14=1,'Inputs (2)'!M119,L152*(1+Inputs!M$270))</f>
        <v>0</v>
      </c>
      <c r="N152" s="77">
        <f>M152</f>
        <v>0</v>
      </c>
      <c r="O152" s="82">
        <f>IF(O$14=1,'Inputs (2)'!O119,M152*(1+Inputs!O$270))</f>
        <v>0</v>
      </c>
      <c r="P152" s="82">
        <f>IF(P$14=1,'Inputs (2)'!P119,O152*(1+Inputs!P$270))</f>
        <v>0</v>
      </c>
      <c r="Q152" s="82">
        <f>IF(Q$14=1,'Inputs (2)'!Q119,P152*(1+Inputs!Q$270))</f>
        <v>0</v>
      </c>
      <c r="R152" s="82">
        <f>IF(R$14=1,'Inputs (2)'!R119,Q152*(1+Inputs!R$270))</f>
        <v>0</v>
      </c>
      <c r="S152" s="77">
        <f>R152</f>
        <v>0</v>
      </c>
      <c r="T152" s="82">
        <f>IF(T$14=1,'Inputs (2)'!T119,R152*(1+Inputs!T$270))</f>
        <v>0</v>
      </c>
      <c r="U152" s="82">
        <f>IF(U$14=1,'Inputs (2)'!U119,T152*(1+Inputs!U$270))</f>
        <v>0</v>
      </c>
      <c r="V152" s="82">
        <f>IF(V$14=1,'Inputs (2)'!V119,U152*(1+Inputs!V$270))</f>
        <v>0</v>
      </c>
      <c r="W152" s="82">
        <f>IF(W$14=1,'Inputs (2)'!W119,V152*(1+Inputs!W$270))</f>
        <v>0</v>
      </c>
      <c r="X152" s="77">
        <f>W152</f>
        <v>0</v>
      </c>
      <c r="Y152" s="82">
        <f>IF(Y$14=1,'Inputs (2)'!Y119,W152*(1+Inputs!Y$270))</f>
        <v>0</v>
      </c>
      <c r="Z152" s="82">
        <f>IF(Z$14=1,'Inputs (2)'!Z119,Y152*(1+Inputs!Z$270))</f>
        <v>0</v>
      </c>
      <c r="AA152" s="82">
        <f>IF(AA$14=1,'Inputs (2)'!AA119,Z152*(1+Inputs!AA$270))</f>
        <v>0</v>
      </c>
      <c r="AB152" s="82">
        <f>IF(AB$14=1,'Inputs (2)'!AB119,AA152*(1+Inputs!AB$270))</f>
        <v>0</v>
      </c>
      <c r="AC152" s="77">
        <f>AB152</f>
        <v>0</v>
      </c>
      <c r="AD152" s="82">
        <f>IF(AD$14=1,'Inputs (2)'!AD119,AB152*(1+Inputs!AD$270))</f>
        <v>636.966761</v>
      </c>
      <c r="AE152" s="82">
        <f>IF(AE$14=1,'Inputs (2)'!AE119,AD152*(1+Inputs!AE$270))</f>
        <v>713.796265</v>
      </c>
      <c r="AF152" s="82">
        <f>IF(AF$14=1,'Inputs (2)'!AF119,AE152*(1+Inputs!AF$270))</f>
        <v>786.272845</v>
      </c>
      <c r="AG152" s="82">
        <f>IF(AG$14=1,'Inputs (2)'!AG119,AF152*(1+Inputs!AG$270))</f>
        <v>856.401977</v>
      </c>
      <c r="AH152" s="77">
        <f>AG152</f>
        <v>856.401977</v>
      </c>
      <c r="AI152" s="82">
        <f>IF(AI$14=1,'Inputs (2)'!AI119,AG152*(1+Inputs!AI$270))</f>
        <v>766.873213</v>
      </c>
      <c r="AJ152" s="82">
        <f>IF(AJ$14=1,'Inputs (2)'!AJ119,AI152*(1+Inputs!AJ$270))</f>
        <v>795.904977</v>
      </c>
      <c r="AK152" s="82">
        <f>IF(AK$14=1,'Inputs (2)'!AK119,AJ152*(1+Inputs!AK$270))</f>
        <v>795.904977</v>
      </c>
      <c r="AL152" s="82">
        <f>IF(AL$14=1,'Inputs (2)'!AL119,AK152*(1+Inputs!AL$270))</f>
        <v>795.904977</v>
      </c>
      <c r="AM152" s="77">
        <f>AL152</f>
        <v>795.904977</v>
      </c>
      <c r="AN152" s="82">
        <f>IF(AN$14=1,'Inputs (2)'!AN119,AL152*(1+Inputs!AN$270))</f>
        <v>795.904977</v>
      </c>
      <c r="AO152" s="82">
        <f>IF(AO$14=1,'Inputs (2)'!AO119,AN152*(1+Inputs!AO$270))</f>
        <v>795.904977</v>
      </c>
      <c r="AP152" s="82">
        <f>IF(AP$14=1,'Inputs (2)'!AP119,AO152*(1+Inputs!AP$270))</f>
        <v>795.904977</v>
      </c>
      <c r="AQ152" s="82">
        <f>IF(AQ$14=1,'Inputs (2)'!AQ119,AP152*(1+Inputs!AQ$270))</f>
        <v>795.904977</v>
      </c>
      <c r="AR152" s="77">
        <f>AQ152</f>
        <v>795.904977</v>
      </c>
      <c r="AS152" s="82">
        <f>IF(AS$14=1,'Inputs (2)'!AS119,AQ152*(1+Inputs!AS$270))</f>
        <v>795.904977</v>
      </c>
      <c r="AT152" s="82">
        <f>IF(AT$14=1,'Inputs (2)'!AT119,AS152*(1+Inputs!AT$270))</f>
        <v>795.904977</v>
      </c>
      <c r="AU152" s="82">
        <f>IF(AU$14=1,'Inputs (2)'!AU119,AT152*(1+Inputs!AU$270))</f>
        <v>795.904977</v>
      </c>
      <c r="AV152" s="82">
        <f>IF(AV$14=1,'Inputs (2)'!AV119,AU152*(1+Inputs!AV$270))</f>
        <v>795.904977</v>
      </c>
      <c r="AW152" s="77">
        <f>AV152</f>
        <v>795.904977</v>
      </c>
      <c r="AX152" s="82">
        <f>IF(AX$14=1,'Inputs (2)'!AX119,AV152*(1+Inputs!AX$270))</f>
        <v>795.904977</v>
      </c>
      <c r="AY152" s="82">
        <f>IF(AY$14=1,'Inputs (2)'!AY119,AX152*(1+Inputs!AY$270))</f>
        <v>795.904977</v>
      </c>
      <c r="AZ152" s="82">
        <f>IF(AZ$14=1,'Inputs (2)'!AZ119,AY152*(1+Inputs!AZ$270))</f>
        <v>795.904977</v>
      </c>
      <c r="BA152" s="82">
        <f>IF(BA$14=1,'Inputs (2)'!BA119,AZ152*(1+Inputs!BA$270))</f>
        <v>795.904977</v>
      </c>
      <c r="BB152" s="77">
        <f>BA152</f>
        <v>795.904977</v>
      </c>
      <c r="BC152" s="82">
        <f>IF(BC$14=1,'Inputs (2)'!BC119,BA152*(1+Inputs!BC$270))</f>
        <v>795.904977</v>
      </c>
      <c r="BD152" s="82">
        <f>IF(BD$14=1,'Inputs (2)'!BD119,BC152*(1+Inputs!BD$270))</f>
        <v>795.904977</v>
      </c>
      <c r="BE152" s="82">
        <f>IF(BE$14=1,'Inputs (2)'!BE119,BD152*(1+Inputs!BE$270))</f>
        <v>795.904977</v>
      </c>
      <c r="BF152" s="82">
        <f>IF(BF$14=1,'Inputs (2)'!BF119,BE152*(1+Inputs!BF$270))</f>
        <v>795.904977</v>
      </c>
      <c r="BG152" s="77">
        <f>BF152</f>
        <v>795.904977</v>
      </c>
    </row>
    <row r="154">
      <c r="B154" s="7" t="n"/>
      <c r="C154" s="7" t="str">
        <f>"CAPITAL REGULATÓRIO ("&amp;Inputs!$E$202&amp;")"</f>
        <v>CAPITAL REGULATÓRIO (R$ milhões)</v>
      </c>
      <c r="D154" s="7" t="inlineStr">
        <is>
          <t>REGULATORY CAPITAL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>
      <c r="C155" s="11" t="inlineStr">
        <is>
          <t>Ativos Ponderados pelo Risco (RWA)</t>
        </is>
      </c>
      <c r="D155" s="12" t="inlineStr">
        <is>
          <t>Risk-Weighted Assets</t>
        </is>
      </c>
      <c r="E155" s="57">
        <f>IF(AND(E$14=1,ISNUMBER('Inputs (2)'!E133),'Inputs (2)'!E133&lt;&gt;0),'Inputs (2)'!E133,E42*Inputs!E$299)</f>
        <v>35665.119</v>
      </c>
      <c r="F155" s="57">
        <f>IF(AND(F$14=1,ISNUMBER('Inputs (2)'!F133),'Inputs (2)'!F133&lt;&gt;0),'Inputs (2)'!F133,F42*Inputs!F$299)</f>
        <v>34156.504</v>
      </c>
      <c r="G155" s="57">
        <f>IF(AND(G$14=1,ISNUMBER('Inputs (2)'!G133),'Inputs (2)'!G133&lt;&gt;0),'Inputs (2)'!G133,G42*Inputs!G$299)</f>
        <v>34020.188</v>
      </c>
      <c r="H155" s="57">
        <f>IF(AND(H$14=1,ISNUMBER('Inputs (2)'!H133),'Inputs (2)'!H133&lt;&gt;0),'Inputs (2)'!H133,H42*Inputs!H$299)</f>
        <v>31971.818</v>
      </c>
      <c r="I155" s="77">
        <f>H155</f>
        <v>31971.818</v>
      </c>
      <c r="J155" s="57">
        <f>IF(AND(J$14=1,ISNUMBER('Inputs (2)'!J133),'Inputs (2)'!J133&lt;&gt;0),'Inputs (2)'!J133,J42*Inputs!J$299)</f>
        <v>33883.294</v>
      </c>
      <c r="K155" s="57">
        <f>IF(AND(K$14=1,ISNUMBER('Inputs (2)'!K133),'Inputs (2)'!K133&lt;&gt;0),'Inputs (2)'!K133,K42*Inputs!K$299)</f>
        <v>34508.799</v>
      </c>
      <c r="L155" s="57">
        <f>IF(AND(L$14=1,ISNUMBER('Inputs (2)'!L133),'Inputs (2)'!L133&lt;&gt;0),'Inputs (2)'!L133,L42*Inputs!L$299)</f>
        <v>37677.875</v>
      </c>
      <c r="M155" s="57">
        <f>IF(AND(M$14=1,ISNUMBER('Inputs (2)'!M133),'Inputs (2)'!M133&lt;&gt;0),'Inputs (2)'!M133,M42*Inputs!M$299)</f>
        <v>37168.493</v>
      </c>
      <c r="N155" s="77">
        <f>M155</f>
        <v>37168.493</v>
      </c>
      <c r="O155" s="57">
        <f>IF(AND(O$14=1,ISNUMBER('Inputs (2)'!O133),'Inputs (2)'!O133&lt;&gt;0),'Inputs (2)'!O133,O42*Inputs!O$299)</f>
        <v>36818.161</v>
      </c>
      <c r="P155" s="57">
        <f>IF(AND(P$14=1,ISNUMBER('Inputs (2)'!P133),'Inputs (2)'!P133&lt;&gt;0),'Inputs (2)'!P133,P42*Inputs!P$299)</f>
        <v>40025.036</v>
      </c>
      <c r="Q155" s="57">
        <f>IF(AND(Q$14=1,ISNUMBER('Inputs (2)'!Q133),'Inputs (2)'!Q133&lt;&gt;0),'Inputs (2)'!Q133,Q42*Inputs!Q$299)</f>
        <v>41348.556</v>
      </c>
      <c r="R155" s="57">
        <f>IF(AND(R$14=1,ISNUMBER('Inputs (2)'!R133),'Inputs (2)'!R133&lt;&gt;0),'Inputs (2)'!R133,R42*Inputs!R$299)</f>
        <v>42269.548</v>
      </c>
      <c r="S155" s="77">
        <f>R155</f>
        <v>42269.548</v>
      </c>
      <c r="T155" s="57">
        <f>IF(AND(T$14=1,ISNUMBER('Inputs (2)'!T133),'Inputs (2)'!T133&lt;&gt;0),'Inputs (2)'!T133,T42*Inputs!T$299)</f>
        <v>44220.898</v>
      </c>
      <c r="U155" s="57">
        <f>IF(AND(U$14=1,ISNUMBER('Inputs (2)'!U133),'Inputs (2)'!U133&lt;&gt;0),'Inputs (2)'!U133,U42*Inputs!U$299)</f>
        <v>44071.564</v>
      </c>
      <c r="V155" s="57">
        <f>IF(AND(V$14=1,ISNUMBER('Inputs (2)'!V133),'Inputs (2)'!V133&lt;&gt;0),'Inputs (2)'!V133,V42*Inputs!V$299)</f>
        <v>45822.963</v>
      </c>
      <c r="W155" s="57">
        <f>IF(AND(W$14=1,ISNUMBER('Inputs (2)'!W133),'Inputs (2)'!W133&lt;&gt;0),'Inputs (2)'!W133,W42*Inputs!W$299)</f>
        <v>48346.069</v>
      </c>
      <c r="X155" s="77">
        <f>W155</f>
        <v>48346.069</v>
      </c>
      <c r="Y155" s="57">
        <f>IF(AND(Y$14=1,ISNUMBER('Inputs (2)'!Y133),'Inputs (2)'!Y133&lt;&gt;0),'Inputs (2)'!Y133,Y42*Inputs!Y$299)</f>
        <v>48642.955496</v>
      </c>
      <c r="Z155" s="57">
        <f>IF(AND(Z$14=1,ISNUMBER('Inputs (2)'!Z133),'Inputs (2)'!Z133&lt;&gt;0),'Inputs (2)'!Z133,Z42*Inputs!Z$299)</f>
        <v>50606.591275</v>
      </c>
      <c r="AA155" s="57">
        <f>IF(AND(AA$14=1,ISNUMBER('Inputs (2)'!AA133),'Inputs (2)'!AA133&lt;&gt;0),'Inputs (2)'!AA133,AA42*Inputs!AA$299)</f>
        <v>51931.40534</v>
      </c>
      <c r="AB155" s="57">
        <f>IF(AND(AB$14=1,ISNUMBER('Inputs (2)'!AB133),'Inputs (2)'!AB133&lt;&gt;0),'Inputs (2)'!AB133,AB42*Inputs!AB$299)</f>
        <v>54387.264573</v>
      </c>
      <c r="AC155" s="77">
        <f>AB155</f>
        <v>54387.264573</v>
      </c>
      <c r="AD155" s="57">
        <f>IF(AND(AD$14=1,ISNUMBER('Inputs (2)'!AD133),'Inputs (2)'!AD133&lt;&gt;0),'Inputs (2)'!AD133,AD42*Inputs!AD$299)</f>
        <v>52757.233806</v>
      </c>
      <c r="AE155" s="57">
        <f>IF(AND(AE$14=1,ISNUMBER('Inputs (2)'!AE133),'Inputs (2)'!AE133&lt;&gt;0),'Inputs (2)'!AE133,AE42*Inputs!AE$299)</f>
        <v>53044.659038</v>
      </c>
      <c r="AF155" s="57">
        <f>IF(AND(AF$14=1,ISNUMBER('Inputs (2)'!AF133),'Inputs (2)'!AF133&lt;&gt;0),'Inputs (2)'!AF133,AF42*Inputs!AF$299)</f>
        <v>54685.693747</v>
      </c>
      <c r="AG155" s="57">
        <f>IF(AND(AG$14=1,ISNUMBER('Inputs (2)'!AG133),'Inputs (2)'!AG133&lt;&gt;0),'Inputs (2)'!AG133,AG42*Inputs!AG$299)</f>
        <v>55605.560395</v>
      </c>
      <c r="AH155" s="77">
        <f>AG155</f>
        <v>55605.560395</v>
      </c>
      <c r="AI155" s="57">
        <f>IF(AND(AI$14=1,ISNUMBER('Inputs (2)'!AI133),'Inputs (2)'!AI133&lt;&gt;0),'Inputs (2)'!AI133,AI42*Inputs!AI$299)</f>
        <v>56363.733937</v>
      </c>
      <c r="AJ155" s="57">
        <f>IF(AND(AJ$14=1,ISNUMBER('Inputs (2)'!AJ133),'Inputs (2)'!AJ133&lt;&gt;0),'Inputs (2)'!AJ133,AJ42*Inputs!AJ$299)</f>
        <v>57474.915256</v>
      </c>
      <c r="AK155" s="57">
        <f>IF(AND(AK$14=1,ISNUMBER('Inputs (2)'!AK133),'Inputs (2)'!AK133&lt;&gt;0),'Inputs (2)'!AK133,AK42*Inputs!AK$299)</f>
        <v>0</v>
      </c>
      <c r="AL155" s="57">
        <f>IF(AND(AL$14=1,ISNUMBER('Inputs (2)'!AL133),'Inputs (2)'!AL133&lt;&gt;0),'Inputs (2)'!AL133,AL42*Inputs!AL$299)</f>
        <v>0</v>
      </c>
      <c r="AM155" s="77">
        <f>AL155</f>
        <v>0</v>
      </c>
      <c r="AN155" s="57">
        <f>IF(AND(AN$14=1,ISNUMBER('Inputs (2)'!AN133),'Inputs (2)'!AN133&lt;&gt;0),'Inputs (2)'!AN133,AN42*Inputs!AN$299)</f>
        <v>0</v>
      </c>
      <c r="AO155" s="57">
        <f>IF(AND(AO$14=1,ISNUMBER('Inputs (2)'!AO133),'Inputs (2)'!AO133&lt;&gt;0),'Inputs (2)'!AO133,AO42*Inputs!AO$299)</f>
        <v>0</v>
      </c>
      <c r="AP155" s="57">
        <f>IF(AND(AP$14=1,ISNUMBER('Inputs (2)'!AP133),'Inputs (2)'!AP133&lt;&gt;0),'Inputs (2)'!AP133,AP42*Inputs!AP$299)</f>
        <v>0</v>
      </c>
      <c r="AQ155" s="57">
        <f>IF(AND(AQ$14=1,ISNUMBER('Inputs (2)'!AQ133),'Inputs (2)'!AQ133&lt;&gt;0),'Inputs (2)'!AQ133,AQ42*Inputs!AQ$299)</f>
        <v>0</v>
      </c>
      <c r="AR155" s="77">
        <f>AQ155</f>
        <v>0</v>
      </c>
      <c r="AS155" s="57">
        <f>IF(AND(AS$14=1,ISNUMBER('Inputs (2)'!AS133),'Inputs (2)'!AS133&lt;&gt;0),'Inputs (2)'!AS133,AS42*Inputs!AS$299)</f>
        <v>0</v>
      </c>
      <c r="AT155" s="57">
        <f>IF(AND(AT$14=1,ISNUMBER('Inputs (2)'!AT133),'Inputs (2)'!AT133&lt;&gt;0),'Inputs (2)'!AT133,AT42*Inputs!AT$299)</f>
        <v>0</v>
      </c>
      <c r="AU155" s="57">
        <f>IF(AND(AU$14=1,ISNUMBER('Inputs (2)'!AU133),'Inputs (2)'!AU133&lt;&gt;0),'Inputs (2)'!AU133,AU42*Inputs!AU$299)</f>
        <v>0</v>
      </c>
      <c r="AV155" s="57">
        <f>IF(AND(AV$14=1,ISNUMBER('Inputs (2)'!AV133),'Inputs (2)'!AV133&lt;&gt;0),'Inputs (2)'!AV133,AV42*Inputs!AV$299)</f>
        <v>0</v>
      </c>
      <c r="AW155" s="77">
        <f>AV155</f>
        <v>0</v>
      </c>
      <c r="AX155" s="57">
        <f>IF(AND(AX$14=1,ISNUMBER('Inputs (2)'!AX133),'Inputs (2)'!AX133&lt;&gt;0),'Inputs (2)'!AX133,AX42*Inputs!AX$299)</f>
        <v>0</v>
      </c>
      <c r="AY155" s="57">
        <f>IF(AND(AY$14=1,ISNUMBER('Inputs (2)'!AY133),'Inputs (2)'!AY133&lt;&gt;0),'Inputs (2)'!AY133,AY42*Inputs!AY$299)</f>
        <v>0</v>
      </c>
      <c r="AZ155" s="57">
        <f>IF(AND(AZ$14=1,ISNUMBER('Inputs (2)'!AZ133),'Inputs (2)'!AZ133&lt;&gt;0),'Inputs (2)'!AZ133,AZ42*Inputs!AZ$299)</f>
        <v>0</v>
      </c>
      <c r="BA155" s="57">
        <f>IF(AND(BA$14=1,ISNUMBER('Inputs (2)'!BA133),'Inputs (2)'!BA133&lt;&gt;0),'Inputs (2)'!BA133,BA42*Inputs!BA$299)</f>
        <v>0</v>
      </c>
      <c r="BB155" s="77">
        <f>BA155</f>
        <v>0</v>
      </c>
      <c r="BC155" s="57">
        <f>IF(AND(BC$14=1,ISNUMBER('Inputs (2)'!BC133),'Inputs (2)'!BC133&lt;&gt;0),'Inputs (2)'!BC133,BC42*Inputs!BC$299)</f>
        <v>0</v>
      </c>
      <c r="BD155" s="57">
        <f>IF(AND(BD$14=1,ISNUMBER('Inputs (2)'!BD133),'Inputs (2)'!BD133&lt;&gt;0),'Inputs (2)'!BD133,BD42*Inputs!BD$299)</f>
        <v>0</v>
      </c>
      <c r="BE155" s="57">
        <f>IF(AND(BE$14=1,ISNUMBER('Inputs (2)'!BE133),'Inputs (2)'!BE133&lt;&gt;0),'Inputs (2)'!BE133,BE42*Inputs!BE$299)</f>
        <v>0</v>
      </c>
      <c r="BF155" s="57">
        <f>IF(AND(BF$14=1,ISNUMBER('Inputs (2)'!BF133),'Inputs (2)'!BF133&lt;&gt;0),'Inputs (2)'!BF133,BF42*Inputs!BF$299)</f>
        <v>0</v>
      </c>
      <c r="BG155" s="77">
        <f>BF155</f>
        <v>0</v>
      </c>
    </row>
    <row r="156">
      <c r="C156" s="11" t="inlineStr">
        <is>
          <t>Patrimônio de Referência</t>
        </is>
      </c>
      <c r="D156" s="12" t="inlineStr">
        <is>
          <t>Regulatory capital</t>
        </is>
      </c>
      <c r="E156" s="57">
        <f>IF(AND(E$14=1,ISNUMBER('Inputs (2)'!E137),'Inputs (2)'!E137&lt;&gt;0),'Inputs (2)'!E137,E155*Inputs!E$300)</f>
        <v>5227.236141</v>
      </c>
      <c r="F156" s="57">
        <f>IF(AND(F$14=1,ISNUMBER('Inputs (2)'!F137),'Inputs (2)'!F137&lt;&gt;0),'Inputs (2)'!F137,F155*Inputs!F$300)</f>
        <v>5370.656959</v>
      </c>
      <c r="G156" s="57">
        <f>IF(AND(G$14=1,ISNUMBER('Inputs (2)'!G137),'Inputs (2)'!G137&lt;&gt;0),'Inputs (2)'!G137,G155*Inputs!G$300)</f>
        <v>5343.739283</v>
      </c>
      <c r="H156" s="57">
        <f>IF(AND(H$14=1,ISNUMBER('Inputs (2)'!H137),'Inputs (2)'!H137&lt;&gt;0),'Inputs (2)'!H137,H155*Inputs!H$300)</f>
        <v>5388.427276</v>
      </c>
      <c r="I156" s="77">
        <f>H156</f>
        <v>5388.427276</v>
      </c>
      <c r="J156" s="57">
        <f>IF(AND(J$14=1,ISNUMBER('Inputs (2)'!J137),'Inputs (2)'!J137&lt;&gt;0),'Inputs (2)'!J137,J155*Inputs!J$300)</f>
        <v>5400.672865</v>
      </c>
      <c r="K156" s="57">
        <f>IF(AND(K$14=1,ISNUMBER('Inputs (2)'!K137),'Inputs (2)'!K137&lt;&gt;0),'Inputs (2)'!K137,K155*Inputs!K$300)</f>
        <v>5481.870388</v>
      </c>
      <c r="L156" s="57">
        <f>IF(AND(L$14=1,ISNUMBER('Inputs (2)'!L137),'Inputs (2)'!L137&lt;&gt;0),'Inputs (2)'!L137,L155*Inputs!L$300)</f>
        <v>5504.329782</v>
      </c>
      <c r="M156" s="57">
        <f>IF(AND(M$14=1,ISNUMBER('Inputs (2)'!M137),'Inputs (2)'!M137&lt;&gt;0),'Inputs (2)'!M137,M155*Inputs!M$300)</f>
        <v>5609.360854</v>
      </c>
      <c r="N156" s="77">
        <f>M156</f>
        <v>5609.360854</v>
      </c>
      <c r="O156" s="57">
        <f>IF(AND(O$14=1,ISNUMBER('Inputs (2)'!O137),'Inputs (2)'!O137&lt;&gt;0),'Inputs (2)'!O137,O155*Inputs!O$300)</f>
        <v>5552.220124</v>
      </c>
      <c r="P156" s="57">
        <f>IF(AND(P$14=1,ISNUMBER('Inputs (2)'!P137),'Inputs (2)'!P137&lt;&gt;0),'Inputs (2)'!P137,P155*Inputs!P$300)</f>
        <v>5992.182042</v>
      </c>
      <c r="Q156" s="57">
        <f>IF(AND(Q$14=1,ISNUMBER('Inputs (2)'!Q137),'Inputs (2)'!Q137&lt;&gt;0),'Inputs (2)'!Q137,Q155*Inputs!Q$300)</f>
        <v>6089.29222</v>
      </c>
      <c r="R156" s="57">
        <f>IF(AND(R$14=1,ISNUMBER('Inputs (2)'!R137),'Inputs (2)'!R137&lt;&gt;0),'Inputs (2)'!R137,R155*Inputs!R$300)</f>
        <v>6439.379126</v>
      </c>
      <c r="S156" s="77">
        <f>R156</f>
        <v>6439.379126</v>
      </c>
      <c r="T156" s="57">
        <f>IF(AND(T$14=1,ISNUMBER('Inputs (2)'!T137),'Inputs (2)'!T137&lt;&gt;0),'Inputs (2)'!T137,T155*Inputs!T$300)</f>
        <v>6551.663805</v>
      </c>
      <c r="U156" s="57">
        <f>IF(AND(U$14=1,ISNUMBER('Inputs (2)'!U137),'Inputs (2)'!U137&lt;&gt;0),'Inputs (2)'!U137,U155*Inputs!U$300)</f>
        <v>6592.685356</v>
      </c>
      <c r="V156" s="57">
        <f>IF(AND(V$14=1,ISNUMBER('Inputs (2)'!V137),'Inputs (2)'!V137&lt;&gt;0),'Inputs (2)'!V137,V155*Inputs!V$300)</f>
        <v>6699.076664</v>
      </c>
      <c r="W156" s="57">
        <f>IF(AND(W$14=1,ISNUMBER('Inputs (2)'!W137),'Inputs (2)'!W137&lt;&gt;0),'Inputs (2)'!W137,W155*Inputs!W$300)</f>
        <v>7225.300022</v>
      </c>
      <c r="X156" s="77">
        <f>W156</f>
        <v>7225.300022</v>
      </c>
      <c r="Y156" s="57">
        <f>IF(AND(Y$14=1,ISNUMBER('Inputs (2)'!Y137),'Inputs (2)'!Y137&lt;&gt;0),'Inputs (2)'!Y137,Y155*Inputs!Y$300)</f>
        <v>8061.960449</v>
      </c>
      <c r="Z156" s="57">
        <f>IF(AND(Z$14=1,ISNUMBER('Inputs (2)'!Z137),'Inputs (2)'!Z137&lt;&gt;0),'Inputs (2)'!Z137,Z155*Inputs!Z$300)</f>
        <v>8254.52638</v>
      </c>
      <c r="AA156" s="57">
        <f>IF(AND(AA$14=1,ISNUMBER('Inputs (2)'!AA137),'Inputs (2)'!AA137&lt;&gt;0),'Inputs (2)'!AA137,AA155*Inputs!AA$300)</f>
        <v>8345.251528</v>
      </c>
      <c r="AB156" s="57">
        <f>IF(AND(AB$14=1,ISNUMBER('Inputs (2)'!AB137),'Inputs (2)'!AB137&lt;&gt;0),'Inputs (2)'!AB137,AB155*Inputs!AB$300)</f>
        <v>8961.598205</v>
      </c>
      <c r="AC156" s="77">
        <f>AB156</f>
        <v>8961.598205</v>
      </c>
      <c r="AD156" s="57">
        <f>IF(AND(AD$14=1,ISNUMBER('Inputs (2)'!AD137),'Inputs (2)'!AD137&lt;&gt;0),'Inputs (2)'!AD137,AD155*Inputs!AD$300)</f>
        <v>9071.821881</v>
      </c>
      <c r="AE156" s="57">
        <f>IF(AND(AE$14=1,ISNUMBER('Inputs (2)'!AE137),'Inputs (2)'!AE137&lt;&gt;0),'Inputs (2)'!AE137,AE155*Inputs!AE$300)</f>
        <v>9174.218873</v>
      </c>
      <c r="AF156" s="57">
        <f>IF(AND(AF$14=1,ISNUMBER('Inputs (2)'!AF137),'Inputs (2)'!AF137&lt;&gt;0),'Inputs (2)'!AF137,AF155*Inputs!AF$300)</f>
        <v>9138.41833</v>
      </c>
      <c r="AG156" s="57">
        <f>IF(AND(AG$14=1,ISNUMBER('Inputs (2)'!AG137),'Inputs (2)'!AG137&lt;&gt;0),'Inputs (2)'!AG137,AG155*Inputs!AG$300)</f>
        <v>9055.204148</v>
      </c>
      <c r="AH156" s="77">
        <f>AG156</f>
        <v>9055.204148</v>
      </c>
      <c r="AI156" s="57">
        <f>IF(AND(AI$14=1,ISNUMBER('Inputs (2)'!AI137),'Inputs (2)'!AI137&lt;&gt;0),'Inputs (2)'!AI137,AI155*Inputs!AI$300)</f>
        <v>8947.079536</v>
      </c>
      <c r="AJ156" s="57">
        <f>IF(AND(AJ$14=1,ISNUMBER('Inputs (2)'!AJ137),'Inputs (2)'!AJ137&lt;&gt;0),'Inputs (2)'!AJ137,AJ155*Inputs!AJ$300)</f>
        <v>9299.605699</v>
      </c>
      <c r="AK156" s="57">
        <f>IF(AND(AK$14=1,ISNUMBER('Inputs (2)'!AK137),'Inputs (2)'!AK137&lt;&gt;0),'Inputs (2)'!AK137,AK155*Inputs!AK$300)</f>
        <v>0</v>
      </c>
      <c r="AL156" s="57">
        <f>IF(AND(AL$14=1,ISNUMBER('Inputs (2)'!AL137),'Inputs (2)'!AL137&lt;&gt;0),'Inputs (2)'!AL137,AL155*Inputs!AL$300)</f>
        <v>0</v>
      </c>
      <c r="AM156" s="77">
        <f>AL156</f>
        <v>0</v>
      </c>
      <c r="AN156" s="57">
        <f>IF(AND(AN$14=1,ISNUMBER('Inputs (2)'!AN137),'Inputs (2)'!AN137&lt;&gt;0),'Inputs (2)'!AN137,AN155*Inputs!AN$300)</f>
        <v>0</v>
      </c>
      <c r="AO156" s="57">
        <f>IF(AND(AO$14=1,ISNUMBER('Inputs (2)'!AO137),'Inputs (2)'!AO137&lt;&gt;0),'Inputs (2)'!AO137,AO155*Inputs!AO$300)</f>
        <v>0</v>
      </c>
      <c r="AP156" s="57">
        <f>IF(AND(AP$14=1,ISNUMBER('Inputs (2)'!AP137),'Inputs (2)'!AP137&lt;&gt;0),'Inputs (2)'!AP137,AP155*Inputs!AP$300)</f>
        <v>0</v>
      </c>
      <c r="AQ156" s="57">
        <f>IF(AND(AQ$14=1,ISNUMBER('Inputs (2)'!AQ137),'Inputs (2)'!AQ137&lt;&gt;0),'Inputs (2)'!AQ137,AQ155*Inputs!AQ$300)</f>
        <v>0</v>
      </c>
      <c r="AR156" s="77">
        <f>AQ156</f>
        <v>0</v>
      </c>
      <c r="AS156" s="57">
        <f>IF(AND(AS$14=1,ISNUMBER('Inputs (2)'!AS137),'Inputs (2)'!AS137&lt;&gt;0),'Inputs (2)'!AS137,AS155*Inputs!AS$300)</f>
        <v>0</v>
      </c>
      <c r="AT156" s="57">
        <f>IF(AND(AT$14=1,ISNUMBER('Inputs (2)'!AT137),'Inputs (2)'!AT137&lt;&gt;0),'Inputs (2)'!AT137,AT155*Inputs!AT$300)</f>
        <v>0</v>
      </c>
      <c r="AU156" s="57">
        <f>IF(AND(AU$14=1,ISNUMBER('Inputs (2)'!AU137),'Inputs (2)'!AU137&lt;&gt;0),'Inputs (2)'!AU137,AU155*Inputs!AU$300)</f>
        <v>0</v>
      </c>
      <c r="AV156" s="57">
        <f>IF(AND(AV$14=1,ISNUMBER('Inputs (2)'!AV137),'Inputs (2)'!AV137&lt;&gt;0),'Inputs (2)'!AV137,AV155*Inputs!AV$300)</f>
        <v>0</v>
      </c>
      <c r="AW156" s="77">
        <f>AV156</f>
        <v>0</v>
      </c>
      <c r="AX156" s="57">
        <f>IF(AND(AX$14=1,ISNUMBER('Inputs (2)'!AX137),'Inputs (2)'!AX137&lt;&gt;0),'Inputs (2)'!AX137,AX155*Inputs!AX$300)</f>
        <v>0</v>
      </c>
      <c r="AY156" s="57">
        <f>IF(AND(AY$14=1,ISNUMBER('Inputs (2)'!AY137),'Inputs (2)'!AY137&lt;&gt;0),'Inputs (2)'!AY137,AY155*Inputs!AY$300)</f>
        <v>0</v>
      </c>
      <c r="AZ156" s="57">
        <f>IF(AND(AZ$14=1,ISNUMBER('Inputs (2)'!AZ137),'Inputs (2)'!AZ137&lt;&gt;0),'Inputs (2)'!AZ137,AZ155*Inputs!AZ$300)</f>
        <v>0</v>
      </c>
      <c r="BA156" s="57">
        <f>IF(AND(BA$14=1,ISNUMBER('Inputs (2)'!BA137),'Inputs (2)'!BA137&lt;&gt;0),'Inputs (2)'!BA137,BA155*Inputs!BA$300)</f>
        <v>0</v>
      </c>
      <c r="BB156" s="77">
        <f>BA156</f>
        <v>0</v>
      </c>
      <c r="BC156" s="57">
        <f>IF(AND(BC$14=1,ISNUMBER('Inputs (2)'!BC137),'Inputs (2)'!BC137&lt;&gt;0),'Inputs (2)'!BC137,BC155*Inputs!BC$300)</f>
        <v>0</v>
      </c>
      <c r="BD156" s="57">
        <f>IF(AND(BD$14=1,ISNUMBER('Inputs (2)'!BD137),'Inputs (2)'!BD137&lt;&gt;0),'Inputs (2)'!BD137,BD155*Inputs!BD$300)</f>
        <v>0</v>
      </c>
      <c r="BE156" s="57">
        <f>IF(AND(BE$14=1,ISNUMBER('Inputs (2)'!BE137),'Inputs (2)'!BE137&lt;&gt;0),'Inputs (2)'!BE137,BE155*Inputs!BE$300)</f>
        <v>0</v>
      </c>
      <c r="BF156" s="57">
        <f>IF(AND(BF$14=1,ISNUMBER('Inputs (2)'!BF137),'Inputs (2)'!BF137&lt;&gt;0),'Inputs (2)'!BF137,BF155*Inputs!BF$300)</f>
        <v>0</v>
      </c>
      <c r="BG156" s="77">
        <f>BF156</f>
        <v>0</v>
      </c>
    </row>
    <row r="157">
      <c r="C157" s="11" t="inlineStr">
        <is>
          <t>Capital Nível I</t>
        </is>
      </c>
      <c r="D157" s="12" t="inlineStr">
        <is>
          <t>Tier 1 capital</t>
        </is>
      </c>
      <c r="E157" s="57">
        <f>IF(AND(E$14=1,ISNUMBER('Inputs (2)'!E138),'Inputs (2)'!E138&lt;&gt;0),'Inputs (2)'!E138,E155*Inputs!E$301)</f>
        <v>0</v>
      </c>
      <c r="F157" s="57">
        <f>IF(AND(F$14=1,ISNUMBER('Inputs (2)'!F138),'Inputs (2)'!F138&lt;&gt;0),'Inputs (2)'!F138,F155*Inputs!F$301)</f>
        <v>0</v>
      </c>
      <c r="G157" s="57">
        <f>IF(AND(G$14=1,ISNUMBER('Inputs (2)'!G138),'Inputs (2)'!G138&lt;&gt;0),'Inputs (2)'!G138,G155*Inputs!G$301)</f>
        <v>0</v>
      </c>
      <c r="H157" s="57">
        <f>IF(AND(H$14=1,ISNUMBER('Inputs (2)'!H138),'Inputs (2)'!H138&lt;&gt;0),'Inputs (2)'!H138,H155*Inputs!H$301)</f>
        <v>0</v>
      </c>
      <c r="I157" s="77">
        <f>H157</f>
        <v>0</v>
      </c>
      <c r="J157" s="57">
        <f>IF(AND(J$14=1,ISNUMBER('Inputs (2)'!J138),'Inputs (2)'!J138&lt;&gt;0),'Inputs (2)'!J138,J155*Inputs!J$301)</f>
        <v>4736.615076</v>
      </c>
      <c r="K157" s="57">
        <f>IF(AND(K$14=1,ISNUMBER('Inputs (2)'!K138),'Inputs (2)'!K138&lt;&gt;0),'Inputs (2)'!K138,K155*Inputs!K$301)</f>
        <v>4850.167749</v>
      </c>
      <c r="L157" s="57">
        <f>IF(AND(L$14=1,ISNUMBER('Inputs (2)'!L138),'Inputs (2)'!L138&lt;&gt;0),'Inputs (2)'!L138,L155*Inputs!L$301)</f>
        <v>4956.287839</v>
      </c>
      <c r="M157" s="57">
        <f>IF(AND(M$14=1,ISNUMBER('Inputs (2)'!M138),'Inputs (2)'!M138&lt;&gt;0),'Inputs (2)'!M138,M155*Inputs!M$301)</f>
        <v>5066.247752</v>
      </c>
      <c r="N157" s="77">
        <f>M157</f>
        <v>5066.247752</v>
      </c>
      <c r="O157" s="57">
        <f>IF(AND(O$14=1,ISNUMBER('Inputs (2)'!O138),'Inputs (2)'!O138&lt;&gt;0),'Inputs (2)'!O138,O155*Inputs!O$301)</f>
        <v>4973.905973</v>
      </c>
      <c r="P157" s="57">
        <f>IF(AND(P$14=1,ISNUMBER('Inputs (2)'!P138),'Inputs (2)'!P138&lt;&gt;0),'Inputs (2)'!P138,P155*Inputs!P$301)</f>
        <v>5256.855644</v>
      </c>
      <c r="Q157" s="57">
        <f>IF(AND(Q$14=1,ISNUMBER('Inputs (2)'!Q138),'Inputs (2)'!Q138&lt;&gt;0),'Inputs (2)'!Q138,Q155*Inputs!Q$301)</f>
        <v>5430.154</v>
      </c>
      <c r="R157" s="57">
        <f>IF(AND(R$14=1,ISNUMBER('Inputs (2)'!R138),'Inputs (2)'!R138&lt;&gt;0),'Inputs (2)'!R138,R155*Inputs!R$301)</f>
        <v>5543.499205</v>
      </c>
      <c r="S157" s="77">
        <f>R157</f>
        <v>5543.499205</v>
      </c>
      <c r="T157" s="57">
        <f>IF(AND(T$14=1,ISNUMBER('Inputs (2)'!T138),'Inputs (2)'!T138&lt;&gt;0),'Inputs (2)'!T138,T155*Inputs!T$301)</f>
        <v>5645.381745</v>
      </c>
      <c r="U157" s="57">
        <f>IF(AND(U$14=1,ISNUMBER('Inputs (2)'!U138),'Inputs (2)'!U138&lt;&gt;0),'Inputs (2)'!U138,U155*Inputs!U$301)</f>
        <v>5688.665766</v>
      </c>
      <c r="V157" s="57">
        <f>IF(AND(V$14=1,ISNUMBER('Inputs (2)'!V138),'Inputs (2)'!V138&lt;&gt;0),'Inputs (2)'!V138,V155*Inputs!V$301)</f>
        <v>0</v>
      </c>
      <c r="W157" s="57">
        <f>IF(AND(W$14=1,ISNUMBER('Inputs (2)'!W138),'Inputs (2)'!W138&lt;&gt;0),'Inputs (2)'!W138,W155*Inputs!W$301)</f>
        <v>6145.692386</v>
      </c>
      <c r="X157" s="77">
        <f>W157</f>
        <v>6145.692386</v>
      </c>
      <c r="Y157" s="57">
        <f>IF(AND(Y$14=1,ISNUMBER('Inputs (2)'!Y138),'Inputs (2)'!Y138&lt;&gt;0),'Inputs (2)'!Y138,Y155*Inputs!Y$301)</f>
        <v>6722.654562</v>
      </c>
      <c r="Z157" s="57">
        <f>IF(AND(Z$14=1,ISNUMBER('Inputs (2)'!Z138),'Inputs (2)'!Z138&lt;&gt;0),'Inputs (2)'!Z138,Z155*Inputs!Z$301)</f>
        <v>6975.70465</v>
      </c>
      <c r="AA157" s="57">
        <f>IF(AND(AA$14=1,ISNUMBER('Inputs (2)'!AA138),'Inputs (2)'!AA138&lt;&gt;0),'Inputs (2)'!AA138,AA155*Inputs!AA$301)</f>
        <v>7088.423927</v>
      </c>
      <c r="AB157" s="57">
        <f>IF(AND(AB$14=1,ISNUMBER('Inputs (2)'!AB138),'Inputs (2)'!AB138&lt;&gt;0),'Inputs (2)'!AB138,AB155*Inputs!AB$301)</f>
        <v>7687.867437</v>
      </c>
      <c r="AC157" s="77">
        <f>AB157</f>
        <v>7687.867437</v>
      </c>
      <c r="AD157" s="57">
        <f>IF(AND(AD$14=1,ISNUMBER('Inputs (2)'!AD138),'Inputs (2)'!AD138&lt;&gt;0),'Inputs (2)'!AD138,AD155*Inputs!AD$301)</f>
        <v>7777.63457</v>
      </c>
      <c r="AE157" s="57">
        <f>IF(AND(AE$14=1,ISNUMBER('Inputs (2)'!AE138),'Inputs (2)'!AE138&lt;&gt;0),'Inputs (2)'!AE138,AE155*Inputs!AE$301)</f>
        <v>7865.887384</v>
      </c>
      <c r="AF157" s="57">
        <f>IF(AND(AF$14=1,ISNUMBER('Inputs (2)'!AF138),'Inputs (2)'!AF138&lt;&gt;0),'Inputs (2)'!AF138,AF155*Inputs!AF$301)</f>
        <v>7811.172045</v>
      </c>
      <c r="AG157" s="57">
        <f>IF(AND(AG$14=1,ISNUMBER('Inputs (2)'!AG138),'Inputs (2)'!AG138&lt;&gt;0),'Inputs (2)'!AG138,AG155*Inputs!AG$301)</f>
        <v>7696.707794</v>
      </c>
      <c r="AH157" s="77">
        <f>AG157</f>
        <v>7696.707794</v>
      </c>
      <c r="AI157" s="57">
        <f>IF(AND(AI$14=1,ISNUMBER('Inputs (2)'!AI138),'Inputs (2)'!AI138&lt;&gt;0),'Inputs (2)'!AI138,AI155*Inputs!AI$301)</f>
        <v>7559.012791</v>
      </c>
      <c r="AJ157" s="57">
        <f>IF(AND(AJ$14=1,ISNUMBER('Inputs (2)'!AJ138),'Inputs (2)'!AJ138&lt;&gt;0),'Inputs (2)'!AJ138,AJ155*Inputs!AJ$301)</f>
        <v>7894.180096</v>
      </c>
      <c r="AK157" s="57">
        <f>IF(AND(AK$14=1,ISNUMBER('Inputs (2)'!AK138),'Inputs (2)'!AK138&lt;&gt;0),'Inputs (2)'!AK138,AK155*Inputs!AK$301)</f>
        <v>0</v>
      </c>
      <c r="AL157" s="57">
        <f>IF(AND(AL$14=1,ISNUMBER('Inputs (2)'!AL138),'Inputs (2)'!AL138&lt;&gt;0),'Inputs (2)'!AL138,AL155*Inputs!AL$301)</f>
        <v>0</v>
      </c>
      <c r="AM157" s="77">
        <f>AL157</f>
        <v>0</v>
      </c>
      <c r="AN157" s="57">
        <f>IF(AND(AN$14=1,ISNUMBER('Inputs (2)'!AN138),'Inputs (2)'!AN138&lt;&gt;0),'Inputs (2)'!AN138,AN155*Inputs!AN$301)</f>
        <v>0</v>
      </c>
      <c r="AO157" s="57">
        <f>IF(AND(AO$14=1,ISNUMBER('Inputs (2)'!AO138),'Inputs (2)'!AO138&lt;&gt;0),'Inputs (2)'!AO138,AO155*Inputs!AO$301)</f>
        <v>0</v>
      </c>
      <c r="AP157" s="57">
        <f>IF(AND(AP$14=1,ISNUMBER('Inputs (2)'!AP138),'Inputs (2)'!AP138&lt;&gt;0),'Inputs (2)'!AP138,AP155*Inputs!AP$301)</f>
        <v>0</v>
      </c>
      <c r="AQ157" s="57">
        <f>IF(AND(AQ$14=1,ISNUMBER('Inputs (2)'!AQ138),'Inputs (2)'!AQ138&lt;&gt;0),'Inputs (2)'!AQ138,AQ155*Inputs!AQ$301)</f>
        <v>0</v>
      </c>
      <c r="AR157" s="77">
        <f>AQ157</f>
        <v>0</v>
      </c>
      <c r="AS157" s="57">
        <f>IF(AND(AS$14=1,ISNUMBER('Inputs (2)'!AS138),'Inputs (2)'!AS138&lt;&gt;0),'Inputs (2)'!AS138,AS155*Inputs!AS$301)</f>
        <v>0</v>
      </c>
      <c r="AT157" s="57">
        <f>IF(AND(AT$14=1,ISNUMBER('Inputs (2)'!AT138),'Inputs (2)'!AT138&lt;&gt;0),'Inputs (2)'!AT138,AT155*Inputs!AT$301)</f>
        <v>0</v>
      </c>
      <c r="AU157" s="57">
        <f>IF(AND(AU$14=1,ISNUMBER('Inputs (2)'!AU138),'Inputs (2)'!AU138&lt;&gt;0),'Inputs (2)'!AU138,AU155*Inputs!AU$301)</f>
        <v>0</v>
      </c>
      <c r="AV157" s="57">
        <f>IF(AND(AV$14=1,ISNUMBER('Inputs (2)'!AV138),'Inputs (2)'!AV138&lt;&gt;0),'Inputs (2)'!AV138,AV155*Inputs!AV$301)</f>
        <v>0</v>
      </c>
      <c r="AW157" s="77">
        <f>AV157</f>
        <v>0</v>
      </c>
      <c r="AX157" s="57">
        <f>IF(AND(AX$14=1,ISNUMBER('Inputs (2)'!AX138),'Inputs (2)'!AX138&lt;&gt;0),'Inputs (2)'!AX138,AX155*Inputs!AX$301)</f>
        <v>0</v>
      </c>
      <c r="AY157" s="57">
        <f>IF(AND(AY$14=1,ISNUMBER('Inputs (2)'!AY138),'Inputs (2)'!AY138&lt;&gt;0),'Inputs (2)'!AY138,AY155*Inputs!AY$301)</f>
        <v>0</v>
      </c>
      <c r="AZ157" s="57">
        <f>IF(AND(AZ$14=1,ISNUMBER('Inputs (2)'!AZ138),'Inputs (2)'!AZ138&lt;&gt;0),'Inputs (2)'!AZ138,AZ155*Inputs!AZ$301)</f>
        <v>0</v>
      </c>
      <c r="BA157" s="57">
        <f>IF(AND(BA$14=1,ISNUMBER('Inputs (2)'!BA138),'Inputs (2)'!BA138&lt;&gt;0),'Inputs (2)'!BA138,BA155*Inputs!BA$301)</f>
        <v>0</v>
      </c>
      <c r="BB157" s="77">
        <f>BA157</f>
        <v>0</v>
      </c>
      <c r="BC157" s="57">
        <f>IF(AND(BC$14=1,ISNUMBER('Inputs (2)'!BC138),'Inputs (2)'!BC138&lt;&gt;0),'Inputs (2)'!BC138,BC155*Inputs!BC$301)</f>
        <v>0</v>
      </c>
      <c r="BD157" s="57">
        <f>IF(AND(BD$14=1,ISNUMBER('Inputs (2)'!BD138),'Inputs (2)'!BD138&lt;&gt;0),'Inputs (2)'!BD138,BD155*Inputs!BD$301)</f>
        <v>0</v>
      </c>
      <c r="BE157" s="57">
        <f>IF(AND(BE$14=1,ISNUMBER('Inputs (2)'!BE138),'Inputs (2)'!BE138&lt;&gt;0),'Inputs (2)'!BE138,BE155*Inputs!BE$301)</f>
        <v>0</v>
      </c>
      <c r="BF157" s="57">
        <f>IF(AND(BF$14=1,ISNUMBER('Inputs (2)'!BF138),'Inputs (2)'!BF138&lt;&gt;0),'Inputs (2)'!BF138,BF155*Inputs!BF$301)</f>
        <v>0</v>
      </c>
      <c r="BG157" s="77">
        <f>BF157</f>
        <v>0</v>
      </c>
    </row>
    <row r="158">
      <c r="C158" s="11" t="inlineStr">
        <is>
          <t>Índice de Basileia</t>
        </is>
      </c>
      <c r="D158" s="12" t="inlineStr">
        <is>
          <t>Basel ratio</t>
        </is>
      </c>
      <c r="E158" s="88">
        <f>IFERROR(E156/E155,0)</f>
        <v>0.146564382443249</v>
      </c>
      <c r="F158" s="88">
        <f>IFERROR(F156/F155,0)</f>
        <v>0.157236728881855</v>
      </c>
      <c r="G158" s="88">
        <f>IFERROR(G156/G155,0)</f>
        <v>0.157075536531427</v>
      </c>
      <c r="H158" s="88">
        <f>IFERROR(H156/H155,0)</f>
        <v>0.168536780610974</v>
      </c>
      <c r="I158" s="89">
        <f>H158</f>
        <v>0.168536780610974</v>
      </c>
      <c r="J158" s="88">
        <f>IFERROR(J156/J155,0)</f>
        <v>0.159390431904289</v>
      </c>
      <c r="K158" s="88">
        <f>IFERROR(K156/K155,0)</f>
        <v>0.158854279107192</v>
      </c>
      <c r="L158" s="88">
        <f>IFERROR(L156/L155,0)</f>
        <v>0.14608917785305</v>
      </c>
      <c r="M158" s="88">
        <f>IFERROR(M156/M155,0)</f>
        <v>0.150917091365528</v>
      </c>
      <c r="N158" s="89">
        <f>M158</f>
        <v>0.150917091365528</v>
      </c>
      <c r="O158" s="88">
        <f>IFERROR(O156/O155,0)</f>
        <v>0.150801125672735</v>
      </c>
      <c r="P158" s="88">
        <f>IFERROR(P156/P155,0)</f>
        <v>0.149710847030843</v>
      </c>
      <c r="Q158" s="88">
        <f>IFERROR(Q156/Q155,0)</f>
        <v>0.147267348828336</v>
      </c>
      <c r="R158" s="88">
        <f>IFERROR(R156/R155,0)</f>
        <v>0.152340856022402</v>
      </c>
      <c r="S158" s="89">
        <f>R158</f>
        <v>0.152340856022402</v>
      </c>
      <c r="T158" s="88">
        <f>IFERROR(T156/T155,0)</f>
        <v>0.14815763816013</v>
      </c>
      <c r="U158" s="88">
        <f>IFERROR(U156/U155,0)</f>
        <v>0.149590456013769</v>
      </c>
      <c r="V158" s="88">
        <f>IFERROR(V156/V155,0)</f>
        <v>0.146194750959252</v>
      </c>
      <c r="W158" s="88">
        <f>IFERROR(W156/W155,0)</f>
        <v>0.149449586521709</v>
      </c>
      <c r="X158" s="89">
        <f>W158</f>
        <v>0.149449586521709</v>
      </c>
      <c r="Y158" s="88">
        <f>IFERROR(Y156/Y155,0)</f>
        <v>0.165737471475452</v>
      </c>
      <c r="Z158" s="88">
        <f>IFERROR(Z156/Z155,0)</f>
        <v>0.163111685099364</v>
      </c>
      <c r="AA158" s="88">
        <f>IFERROR(AA156/AA155,0)</f>
        <v>0.160697587006607</v>
      </c>
      <c r="AB158" s="88">
        <f>IFERROR(AB156/AB155,0)</f>
        <v>0.164773835848492</v>
      </c>
      <c r="AC158" s="89">
        <f>AB158</f>
        <v>0.164773835848492</v>
      </c>
      <c r="AD158" s="88">
        <f>IFERROR(AD156/AD155,0)</f>
        <v>0.171954085279738</v>
      </c>
      <c r="AE158" s="88">
        <f>IFERROR(AE156/AE155,0)</f>
        <v>0.172952735287219</v>
      </c>
      <c r="AF158" s="88">
        <f>IFERROR(AF156/AF155,0)</f>
        <v>0.167108025954253</v>
      </c>
      <c r="AG158" s="88">
        <f>IFERROR(AG156/AG155,0)</f>
        <v>0.162847098090108</v>
      </c>
      <c r="AH158" s="89">
        <f>AG158</f>
        <v>0.162847098090108</v>
      </c>
      <c r="AI158" s="88">
        <f>IFERROR(AI156/AI155,0)</f>
        <v>0.158738233098618</v>
      </c>
      <c r="AJ158" s="88">
        <f>IFERROR(AJ156/AJ155,0)</f>
        <v>0.16180286056236</v>
      </c>
      <c r="AK158" s="88">
        <f>IFERROR(AK156/AK155,0)</f>
        <v>0</v>
      </c>
      <c r="AL158" s="88">
        <f>IFERROR(AL156/AL155,0)</f>
        <v>0</v>
      </c>
      <c r="AM158" s="89">
        <f>AL158</f>
        <v>0</v>
      </c>
      <c r="AN158" s="88">
        <f>IFERROR(AN156/AN155,0)</f>
        <v>0</v>
      </c>
      <c r="AO158" s="88">
        <f>IFERROR(AO156/AO155,0)</f>
        <v>0</v>
      </c>
      <c r="AP158" s="88">
        <f>IFERROR(AP156/AP155,0)</f>
        <v>0</v>
      </c>
      <c r="AQ158" s="88">
        <f>IFERROR(AQ156/AQ155,0)</f>
        <v>0</v>
      </c>
      <c r="AR158" s="89">
        <f>AQ158</f>
        <v>0</v>
      </c>
      <c r="AS158" s="88">
        <f>IFERROR(AS156/AS155,0)</f>
        <v>0</v>
      </c>
      <c r="AT158" s="88">
        <f>IFERROR(AT156/AT155,0)</f>
        <v>0</v>
      </c>
      <c r="AU158" s="88">
        <f>IFERROR(AU156/AU155,0)</f>
        <v>0</v>
      </c>
      <c r="AV158" s="88">
        <f>IFERROR(AV156/AV155,0)</f>
        <v>0</v>
      </c>
      <c r="AW158" s="89">
        <f>AV158</f>
        <v>0</v>
      </c>
      <c r="AX158" s="88">
        <f>IFERROR(AX156/AX155,0)</f>
        <v>0</v>
      </c>
      <c r="AY158" s="88">
        <f>IFERROR(AY156/AY155,0)</f>
        <v>0</v>
      </c>
      <c r="AZ158" s="88">
        <f>IFERROR(AZ156/AZ155,0)</f>
        <v>0</v>
      </c>
      <c r="BA158" s="88">
        <f>IFERROR(BA156/BA155,0)</f>
        <v>0</v>
      </c>
      <c r="BB158" s="89">
        <f>BA158</f>
        <v>0</v>
      </c>
      <c r="BC158" s="88">
        <f>IFERROR(BC156/BC155,0)</f>
        <v>0</v>
      </c>
      <c r="BD158" s="88">
        <f>IFERROR(BD156/BD155,0)</f>
        <v>0</v>
      </c>
      <c r="BE158" s="88">
        <f>IFERROR(BE156/BE155,0)</f>
        <v>0</v>
      </c>
      <c r="BF158" s="88">
        <f>IFERROR(BF156/BF155,0)</f>
        <v>0</v>
      </c>
      <c r="BG158" s="89">
        <f>BF158</f>
        <v>0</v>
      </c>
    </row>
    <row r="159">
      <c r="C159" s="11" t="inlineStr">
        <is>
          <t>Índice de Nível I</t>
        </is>
      </c>
      <c r="D159" s="12" t="inlineStr">
        <is>
          <t>Tier 1 ratio</t>
        </is>
      </c>
      <c r="E159" s="88">
        <f>IFERROR(E157/E155,0)</f>
        <v>0</v>
      </c>
      <c r="F159" s="88">
        <f>IFERROR(F157/F155,0)</f>
        <v>0</v>
      </c>
      <c r="G159" s="88">
        <f>IFERROR(G157/G155,0)</f>
        <v>0</v>
      </c>
      <c r="H159" s="88">
        <f>IFERROR(H157/H155,0)</f>
        <v>0</v>
      </c>
      <c r="I159" s="89">
        <f>H159</f>
        <v>0</v>
      </c>
      <c r="J159" s="88">
        <f>IFERROR(J157/J155,0)</f>
        <v>0.139792048435433</v>
      </c>
      <c r="K159" s="88">
        <f>IFERROR(K157/K155,0)</f>
        <v>0.140548726398737</v>
      </c>
      <c r="L159" s="88">
        <f>IFERROR(L157/L155,0)</f>
        <v>0.131543719994825</v>
      </c>
      <c r="M159" s="88">
        <f>IFERROR(M157/M155,0)</f>
        <v>0.136304900820165</v>
      </c>
      <c r="N159" s="89">
        <f>M159</f>
        <v>0.136304900820165</v>
      </c>
      <c r="O159" s="88">
        <f>IFERROR(O157/O155,0)</f>
        <v>0.135093818862925</v>
      </c>
      <c r="P159" s="88">
        <f>IFERROR(P157/P155,0)</f>
        <v>0.131339185903543</v>
      </c>
      <c r="Q159" s="88">
        <f>IFERROR(Q157/Q155,0)</f>
        <v>0.13132632733293</v>
      </c>
      <c r="R159" s="88">
        <f>IFERROR(R157/R155,0)</f>
        <v>0.131146403671031</v>
      </c>
      <c r="S159" s="89">
        <f>R159</f>
        <v>0.131146403671031</v>
      </c>
      <c r="T159" s="88">
        <f>IFERROR(T157/T155,0)</f>
        <v>0.127663209032978</v>
      </c>
      <c r="U159" s="88">
        <f>IFERROR(U157/U155,0)</f>
        <v>0.129077918950187</v>
      </c>
      <c r="V159" s="88">
        <f>IFERROR(V157/V155,0)</f>
        <v>0</v>
      </c>
      <c r="W159" s="88">
        <f>IFERROR(W157/W155,0)</f>
        <v>0.127118760906911</v>
      </c>
      <c r="X159" s="89">
        <f>W159</f>
        <v>0.127118760906911</v>
      </c>
      <c r="Y159" s="88">
        <f>IFERROR(Y157/Y155,0)</f>
        <v>0.138204072788152</v>
      </c>
      <c r="Z159" s="88">
        <f>IFERROR(Z157/Z155,0)</f>
        <v>0.137841820092041</v>
      </c>
      <c r="AA159" s="88">
        <f>IFERROR(AA157/AA155,0)</f>
        <v>0.136495900324503</v>
      </c>
      <c r="AB159" s="88">
        <f>IFERROR(AB157/AB155,0)</f>
        <v>0.141354184612119</v>
      </c>
      <c r="AC159" s="89">
        <f>AB159</f>
        <v>0.141354184612119</v>
      </c>
      <c r="AD159" s="88">
        <f>IFERROR(AD157/AD155,0)</f>
        <v>0.147423092700426</v>
      </c>
      <c r="AE159" s="88">
        <f>IFERROR(AE157/AE155,0)</f>
        <v>0.14828801856121</v>
      </c>
      <c r="AF159" s="88">
        <f>IFERROR(AF157/AF155,0)</f>
        <v>0.142837577980411</v>
      </c>
      <c r="AG159" s="88">
        <f>IFERROR(AG157/AG155,0)</f>
        <v>0.138416153696242</v>
      </c>
      <c r="AH159" s="89">
        <f>AG159</f>
        <v>0.138416153696242</v>
      </c>
      <c r="AI159" s="88">
        <f>IFERROR(AI157/AI155,0)</f>
        <v>0.134111285094224</v>
      </c>
      <c r="AJ159" s="88">
        <f>IFERROR(AJ157/AJ155,0)</f>
        <v>0.137350008448701</v>
      </c>
      <c r="AK159" s="88">
        <f>IFERROR(AK157/AK155,0)</f>
        <v>0</v>
      </c>
      <c r="AL159" s="88">
        <f>IFERROR(AL157/AL155,0)</f>
        <v>0</v>
      </c>
      <c r="AM159" s="89">
        <f>AL159</f>
        <v>0</v>
      </c>
      <c r="AN159" s="88">
        <f>IFERROR(AN157/AN155,0)</f>
        <v>0</v>
      </c>
      <c r="AO159" s="88">
        <f>IFERROR(AO157/AO155,0)</f>
        <v>0</v>
      </c>
      <c r="AP159" s="88">
        <f>IFERROR(AP157/AP155,0)</f>
        <v>0</v>
      </c>
      <c r="AQ159" s="88">
        <f>IFERROR(AQ157/AQ155,0)</f>
        <v>0</v>
      </c>
      <c r="AR159" s="89">
        <f>AQ159</f>
        <v>0</v>
      </c>
      <c r="AS159" s="88">
        <f>IFERROR(AS157/AS155,0)</f>
        <v>0</v>
      </c>
      <c r="AT159" s="88">
        <f>IFERROR(AT157/AT155,0)</f>
        <v>0</v>
      </c>
      <c r="AU159" s="88">
        <f>IFERROR(AU157/AU155,0)</f>
        <v>0</v>
      </c>
      <c r="AV159" s="88">
        <f>IFERROR(AV157/AV155,0)</f>
        <v>0</v>
      </c>
      <c r="AW159" s="89">
        <f>AV159</f>
        <v>0</v>
      </c>
      <c r="AX159" s="88">
        <f>IFERROR(AX157/AX155,0)</f>
        <v>0</v>
      </c>
      <c r="AY159" s="88">
        <f>IFERROR(AY157/AY155,0)</f>
        <v>0</v>
      </c>
      <c r="AZ159" s="88">
        <f>IFERROR(AZ157/AZ155,0)</f>
        <v>0</v>
      </c>
      <c r="BA159" s="88">
        <f>IFERROR(BA157/BA155,0)</f>
        <v>0</v>
      </c>
      <c r="BB159" s="89">
        <f>BA159</f>
        <v>0</v>
      </c>
      <c r="BC159" s="88">
        <f>IFERROR(BC157/BC155,0)</f>
        <v>0</v>
      </c>
      <c r="BD159" s="88">
        <f>IFERROR(BD157/BD155,0)</f>
        <v>0</v>
      </c>
      <c r="BE159" s="88">
        <f>IFERROR(BE157/BE155,0)</f>
        <v>0</v>
      </c>
      <c r="BF159" s="88">
        <f>IFERROR(BF157/BF155,0)</f>
        <v>0</v>
      </c>
      <c r="BG159" s="89">
        <f>BF159</f>
        <v>0</v>
      </c>
    </row>
    <row r="160">
      <c r="B160" s="7" t="n"/>
      <c r="C160" s="7" t="str">
        <f>"INDICADORES (percentuais, múltiplos e "&amp;Inputs!$E$202&amp;")"</f>
        <v>INDICADORES (percentuais, múltiplos e R$ milhões)</v>
      </c>
      <c r="D160" s="7" t="inlineStr">
        <is>
          <t>RATIO ANALYSIS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>
      <c r="B161" s="29" t="n"/>
      <c r="C161" s="29" t="inlineStr">
        <is>
          <t>Rentabilidade e margem</t>
        </is>
      </c>
      <c r="D161" s="29" t="inlineStr">
        <is>
          <t>Profitability and margin</t>
        </is>
      </c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  <c r="AB161" s="29" t="n"/>
      <c r="AC161" s="29" t="n"/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  <c r="AW161" s="29" t="n"/>
      <c r="AX161" s="29" t="n"/>
      <c r="AY161" s="29" t="n"/>
      <c r="AZ161" s="29" t="n"/>
      <c r="BA161" s="29" t="n"/>
      <c r="BB161" s="29" t="n"/>
      <c r="BC161" s="29" t="n"/>
      <c r="BD161" s="29" t="n"/>
      <c r="BE161" s="29" t="n"/>
      <c r="BF161" s="29" t="n"/>
      <c r="BG161" s="29" t="n"/>
      <c r="BH161" s="29" t="n"/>
      <c r="BI161" s="29" t="n"/>
    </row>
    <row r="162">
      <c r="C162" s="11" t="inlineStr">
        <is>
          <t>ROE — retorno sobre o PL médio dos controladores (% a.a.)</t>
        </is>
      </c>
      <c r="D162" s="12" t="inlineStr">
        <is>
          <t>Return on average equity</t>
        </is>
      </c>
      <c r="E162" s="88">
        <f>IFERROR(E127*4/E136,0)</f>
        <v>0.0800626884415589</v>
      </c>
      <c r="F162" s="88">
        <f>IFERROR(F127*4/F136,0)</f>
        <v>0.0605564290222896</v>
      </c>
      <c r="G162" s="88">
        <f>IFERROR(G127*4/G136,0)</f>
        <v>0.0709829998251388</v>
      </c>
      <c r="H162" s="88">
        <f>IFERROR(H127*4/H136,0)</f>
        <v>0.100037046563046</v>
      </c>
      <c r="I162" s="89">
        <f>IFERROR(I127*1/I136,0)</f>
        <v>0.0781024268799901</v>
      </c>
      <c r="J162" s="88">
        <f>IFERROR(J127*4/J136,0)</f>
        <v>0.112813795510826</v>
      </c>
      <c r="K162" s="88">
        <f>IFERROR(K127*4/K136,0)</f>
        <v>0.123229574736401</v>
      </c>
      <c r="L162" s="88">
        <f>IFERROR(L127*4/L136,0)</f>
        <v>0.134420071598701</v>
      </c>
      <c r="M162" s="88">
        <f>IFERROR(M127*4/M136,0)</f>
        <v>0.140467972901937</v>
      </c>
      <c r="N162" s="89">
        <f>IFERROR(N127*1/N136,0)</f>
        <v>0.127967516813722</v>
      </c>
      <c r="O162" s="88">
        <f>IFERROR(O127*4/O136,0)</f>
        <v>0.155160643537753</v>
      </c>
      <c r="P162" s="88">
        <f>IFERROR(P127*4/P136,0)</f>
        <v>0.166571191027961</v>
      </c>
      <c r="Q162" s="88">
        <f>IFERROR(Q127*4/Q136,0)</f>
        <v>0.174845430893944</v>
      </c>
      <c r="R162" s="88">
        <f>IFERROR(R127*4/R136,0)</f>
        <v>0.153577180470042</v>
      </c>
      <c r="S162" s="89">
        <f>IFERROR(S127*1/S136,0)</f>
        <v>0.162541878792672</v>
      </c>
      <c r="T162" s="88">
        <f>IFERROR(T127*4/T136,0)</f>
        <v>0.144662431108098</v>
      </c>
      <c r="U162" s="88">
        <f>IFERROR(U127*4/U136,0)</f>
        <v>0.15060019580532</v>
      </c>
      <c r="V162" s="88">
        <f>IFERROR(V127*4/V136,0)</f>
        <v>0.163852337036054</v>
      </c>
      <c r="W162" s="88">
        <f>IFERROR(W127*4/W136,0)</f>
        <v>0.159718657017152</v>
      </c>
      <c r="X162" s="89">
        <f>IFERROR(X127*1/X136,0)</f>
        <v>0.154943794728975</v>
      </c>
      <c r="Y162" s="88">
        <f>IFERROR(Y127*4/Y136,0)</f>
        <v>0.148563288591755</v>
      </c>
      <c r="Z162" s="88">
        <f>IFERROR(Z127*4/Z136,0)</f>
        <v>0.161707626849815</v>
      </c>
      <c r="AA162" s="88">
        <f>IFERROR(AA127*4/AA136,0)</f>
        <v>0.161777542401436</v>
      </c>
      <c r="AB162" s="88">
        <f>IFERROR(AB127*4/AB136,0)</f>
        <v>0.152328149970574</v>
      </c>
      <c r="AC162" s="89">
        <f>IFERROR(AC127*1/AC136,0)</f>
        <v>0.156146867994288</v>
      </c>
      <c r="AD162" s="88">
        <f>IFERROR(AD127*4/AD136,0)</f>
        <v>0.140326014992316</v>
      </c>
      <c r="AE162" s="88">
        <f>IFERROR(AE127*4/AE136,0)</f>
        <v>0.149596716151708</v>
      </c>
      <c r="AF162" s="88">
        <f>IFERROR(AF127*4/AF136,0)</f>
        <v>0.154684711640264</v>
      </c>
      <c r="AG162" s="88">
        <f>IFERROR(AG127*4/AG136,0)</f>
        <v>0.16376870041913</v>
      </c>
      <c r="AH162" s="89">
        <f>IFERROR(AH127*1/AH136,0)</f>
        <v>0.152238561345178</v>
      </c>
      <c r="AI162" s="88">
        <f>IFERROR(AI127*4/AI136,0)</f>
        <v>0.132432644465651</v>
      </c>
      <c r="AJ162" s="88">
        <f>IFERROR(AJ127*4/AJ136,0)</f>
        <v>0.142893197990797</v>
      </c>
      <c r="AK162" s="88">
        <f>IFERROR(AK127*4/AK136,0)</f>
        <v>-0.149476241957312</v>
      </c>
      <c r="AL162" s="88">
        <f>IFERROR(AL127*4/AL136,0)</f>
        <v>-0.148696464237305</v>
      </c>
      <c r="AM162" s="89">
        <f>IFERROR(AM127*1/AM136,0)</f>
        <v>-0.00482474276525567</v>
      </c>
      <c r="AN162" s="88">
        <f>IFERROR(AN127*4/AN136,0)</f>
        <v>-0.153195413334893</v>
      </c>
      <c r="AO162" s="88">
        <f>IFERROR(AO127*4/AO136,0)</f>
        <v>-0.177688088476489</v>
      </c>
      <c r="AP162" s="88">
        <f>IFERROR(AP127*4/AP136,0)</f>
        <v>-0.175494854546091</v>
      </c>
      <c r="AQ162" s="88">
        <f>IFERROR(AQ127*4/AQ136,0)</f>
        <v>-0.175741207398393</v>
      </c>
      <c r="AR162" s="89">
        <f>IFERROR(AR127*1/AR136,0)</f>
        <v>-0.17017614739815</v>
      </c>
      <c r="AS162" s="88">
        <f>IFERROR(AS127*4/AS136,0)</f>
        <v>-0.182333562063576</v>
      </c>
      <c r="AT162" s="88">
        <f>IFERROR(AT127*4/AT136,0)</f>
        <v>-0.213194721502913</v>
      </c>
      <c r="AU162" s="88">
        <f>IFERROR(AU127*4/AU136,0)</f>
        <v>-0.212480277440682</v>
      </c>
      <c r="AV162" s="88">
        <f>IFERROR(AV127*4/AV136,0)</f>
        <v>-0.214810739459769</v>
      </c>
      <c r="AW162" s="89">
        <f>IFERROR(AW127*1/AW136,0)</f>
        <v>-0.205075025096682</v>
      </c>
      <c r="AX162" s="88">
        <f>IFERROR(AX127*4/AX136,0)</f>
        <v>-0.225159449499538</v>
      </c>
      <c r="AY162" s="88">
        <f>IFERROR(AY127*4/AY136,0)</f>
        <v>-0.266435326725395</v>
      </c>
      <c r="AZ162" s="88">
        <f>IFERROR(AZ127*4/AZ136,0)</f>
        <v>-0.269217734408065</v>
      </c>
      <c r="BA162" s="88">
        <f>IFERROR(BA127*4/BA136,0)</f>
        <v>-0.276217428532368</v>
      </c>
      <c r="BB162" s="89">
        <f>IFERROR(BB127*1/BB136,0)</f>
        <v>-0.257980352323971</v>
      </c>
      <c r="BC162" s="88">
        <f>IFERROR(BC127*4/BC136,0)</f>
        <v>-0.294278609181252</v>
      </c>
      <c r="BD162" s="88">
        <f>IFERROR(BD127*4/BD136,0)</f>
        <v>-0.355118121375331</v>
      </c>
      <c r="BE162" s="88">
        <f>IFERROR(BE127*4/BE136,0)</f>
        <v>-0.367294355689318</v>
      </c>
      <c r="BF162" s="88">
        <f>IFERROR(BF127*4/BF136,0)</f>
        <v>-0.386785550479027</v>
      </c>
      <c r="BG162" s="89">
        <f>IFERROR(BG127*1/BG136,0)</f>
        <v>-0.347673209371145</v>
      </c>
      <c r="BI162" s="14" t="inlineStr">
        <is>
          <t>Trimestres são anualizados por 4. Colunas FY usam o resultado acumulado do ano.</t>
        </is>
      </c>
    </row>
    <row r="163">
      <c r="C163" s="11" t="inlineStr">
        <is>
          <t>ROA — retorno sobre o ativo médio (% a.a.)</t>
        </is>
      </c>
      <c r="D163" s="12" t="inlineStr">
        <is>
          <t>Return on average assets</t>
        </is>
      </c>
      <c r="E163" s="88">
        <f>IFERROR(E125*4/E135,0)</f>
        <v>0.0065260014358617</v>
      </c>
      <c r="F163" s="88">
        <f>IFERROR(F125*4/F135,0)</f>
        <v>0.00495333911753406</v>
      </c>
      <c r="G163" s="88">
        <f>IFERROR(G125*4/G135,0)</f>
        <v>0.00612146224549627</v>
      </c>
      <c r="H163" s="88">
        <f>IFERROR(H125*4/H135,0)</f>
        <v>0.00947548977388229</v>
      </c>
      <c r="I163" s="89">
        <f>IFERROR(I125*1/I135,0)</f>
        <v>0.00670445543644865</v>
      </c>
      <c r="J163" s="88">
        <f>IFERROR(J125*4/J135,0)</f>
        <v>0.0106405533859685</v>
      </c>
      <c r="K163" s="88">
        <f>IFERROR(K125*4/K135,0)</f>
        <v>0.0117084033481834</v>
      </c>
      <c r="L163" s="88">
        <f>IFERROR(L125*4/L135,0)</f>
        <v>0.0128318914345733</v>
      </c>
      <c r="M163" s="88">
        <f>IFERROR(M125*4/M135,0)</f>
        <v>0.0130360447769691</v>
      </c>
      <c r="N163" s="89">
        <f>IFERROR(N125*1/N135,0)</f>
        <v>0.0120782029739904</v>
      </c>
      <c r="O163" s="88">
        <f>IFERROR(O125*4/O135,0)</f>
        <v>0.0153217061907013</v>
      </c>
      <c r="P163" s="88">
        <f>IFERROR(P125*4/P135,0)</f>
        <v>0.0166336355328061</v>
      </c>
      <c r="Q163" s="88">
        <f>IFERROR(Q125*4/Q135,0)</f>
        <v>0.0169148162292712</v>
      </c>
      <c r="R163" s="88">
        <f>IFERROR(R125*4/R135,0)</f>
        <v>0.0143932377696593</v>
      </c>
      <c r="S163" s="89">
        <f>IFERROR(S125*1/S135,0)</f>
        <v>0.015789920866028</v>
      </c>
      <c r="T163" s="88">
        <f>IFERROR(T125*4/T135,0)</f>
        <v>0.0136729740600016</v>
      </c>
      <c r="U163" s="88">
        <f>IFERROR(U125*4/U135,0)</f>
        <v>0.0148607169883793</v>
      </c>
      <c r="V163" s="88">
        <f>IFERROR(V125*4/V135,0)</f>
        <v>0.016419379561529</v>
      </c>
      <c r="W163" s="88">
        <f>IFERROR(W125*4/W135,0)</f>
        <v>0.0165403745251743</v>
      </c>
      <c r="X163" s="89">
        <f>IFERROR(X125*1/X135,0)</f>
        <v>0.015391445755235</v>
      </c>
      <c r="Y163" s="88">
        <f>IFERROR(Y125*4/Y135,0)</f>
        <v>0.0148659678446997</v>
      </c>
      <c r="Z163" s="88">
        <f>IFERROR(Z125*4/Z135,0)</f>
        <v>0.0157865135338417</v>
      </c>
      <c r="AA163" s="88">
        <f>IFERROR(AA125*4/AA135,0)</f>
        <v>0.0146842156718954</v>
      </c>
      <c r="AB163" s="88">
        <f>IFERROR(AB125*4/AB135,0)</f>
        <v>0.0136798136384916</v>
      </c>
      <c r="AC163" s="89">
        <f>IFERROR(AC125*1/AC135,0)</f>
        <v>0.0147204665809303</v>
      </c>
      <c r="AD163" s="88">
        <f>IFERROR(AD125*4/AD135,0)</f>
        <v>0.0132744724830014</v>
      </c>
      <c r="AE163" s="88">
        <f>IFERROR(AE125*4/AE135,0)</f>
        <v>0.0155131658441527</v>
      </c>
      <c r="AF163" s="88">
        <f>IFERROR(AF125*4/AF135,0)</f>
        <v>0.0164227522360015</v>
      </c>
      <c r="AG163" s="88">
        <f>IFERROR(AG125*4/AG135,0)</f>
        <v>0.0172476350670514</v>
      </c>
      <c r="AH163" s="89">
        <f>IFERROR(AH125*1/AH135,0)</f>
        <v>0.0155748889046144</v>
      </c>
      <c r="AI163" s="88">
        <f>IFERROR(AI125*4/AI135,0)</f>
        <v>0.0137481200077897</v>
      </c>
      <c r="AJ163" s="88">
        <f>IFERROR(AJ125*4/AJ135,0)</f>
        <v>0.0149875128303369</v>
      </c>
      <c r="AK163" s="88">
        <f>IFERROR(AK125*4/AK135,0)</f>
        <v>-0.0153069640839977</v>
      </c>
      <c r="AL163" s="88">
        <f>IFERROR(AL125*4/AL135,0)</f>
        <v>-0.0146699294714964</v>
      </c>
      <c r="AM163" s="89">
        <f>IFERROR(AM125*1/AM135,0)</f>
        <v>-0.000409457663714158</v>
      </c>
      <c r="AN163" s="88">
        <f>IFERROR(AN125*4/AN135,0)</f>
        <v>-0.0145541572544257</v>
      </c>
      <c r="AO163" s="88">
        <f>IFERROR(AO125*4/AO135,0)</f>
        <v>-0.0161980192661295</v>
      </c>
      <c r="AP163" s="88">
        <f>IFERROR(AP125*4/AP135,0)</f>
        <v>-0.0153069640839977</v>
      </c>
      <c r="AQ163" s="88">
        <f>IFERROR(AQ125*4/AQ135,0)</f>
        <v>-0.0146699294714964</v>
      </c>
      <c r="AR163" s="89">
        <f>IFERROR(AR125*1/AR135,0)</f>
        <v>-0.0151822675190123</v>
      </c>
      <c r="AS163" s="88">
        <f>IFERROR(AS125*4/AS135,0)</f>
        <v>-0.0145541572544257</v>
      </c>
      <c r="AT163" s="88">
        <f>IFERROR(AT125*4/AT135,0)</f>
        <v>-0.0161980192661295</v>
      </c>
      <c r="AU163" s="88">
        <f>IFERROR(AU125*4/AU135,0)</f>
        <v>-0.0153069640839977</v>
      </c>
      <c r="AV163" s="88">
        <f>IFERROR(AV125*4/AV135,0)</f>
        <v>-0.0146699294714964</v>
      </c>
      <c r="AW163" s="89">
        <f>IFERROR(AW125*1/AW135,0)</f>
        <v>-0.0151822675190123</v>
      </c>
      <c r="AX163" s="88">
        <f>IFERROR(AX125*4/AX135,0)</f>
        <v>-0.0145541572544257</v>
      </c>
      <c r="AY163" s="88">
        <f>IFERROR(AY125*4/AY135,0)</f>
        <v>-0.0161980192661295</v>
      </c>
      <c r="AZ163" s="88">
        <f>IFERROR(AZ125*4/AZ135,0)</f>
        <v>-0.0153069640839977</v>
      </c>
      <c r="BA163" s="88">
        <f>IFERROR(BA125*4/BA135,0)</f>
        <v>-0.0146699294714964</v>
      </c>
      <c r="BB163" s="89">
        <f>IFERROR(BB125*1/BB135,0)</f>
        <v>-0.0151822675190123</v>
      </c>
      <c r="BC163" s="88">
        <f>IFERROR(BC125*4/BC135,0)</f>
        <v>-0.0145541572544257</v>
      </c>
      <c r="BD163" s="88">
        <f>IFERROR(BD125*4/BD135,0)</f>
        <v>-0.0161980192661295</v>
      </c>
      <c r="BE163" s="88">
        <f>IFERROR(BE125*4/BE135,0)</f>
        <v>-0.0153069640839977</v>
      </c>
      <c r="BF163" s="88">
        <f>IFERROR(BF125*4/BF135,0)</f>
        <v>-0.0146699294714964</v>
      </c>
      <c r="BG163" s="89">
        <f>IFERROR(BG125*1/BG135,0)</f>
        <v>-0.0151822675190123</v>
      </c>
    </row>
    <row r="164">
      <c r="C164" s="11" t="inlineStr">
        <is>
          <t>NIM — margem financeira bruta / ativos rentáveis médios (% a.a.)</t>
        </is>
      </c>
      <c r="D164" s="12" t="inlineStr">
        <is>
          <t>Net interest margin</t>
        </is>
      </c>
      <c r="E164" s="88">
        <f>IFERROR(E137*4/E131,0)</f>
        <v>-0.0256804036066038</v>
      </c>
      <c r="F164" s="88">
        <f>IFERROR(F137*4/F131,0)</f>
        <v>0.00817156115394005</v>
      </c>
      <c r="G164" s="88">
        <f>IFERROR(G137*4/G131,0)</f>
        <v>0.0205615491057761</v>
      </c>
      <c r="H164" s="88">
        <f>IFERROR(H137*4/H131,0)</f>
        <v>0.0379112054663475</v>
      </c>
      <c r="I164" s="89">
        <f>IFERROR(I137*1/I131,0)</f>
        <v>0.0103717554077616</v>
      </c>
      <c r="J164" s="88">
        <f>IFERROR(J137*4/J131,0)</f>
        <v>0.0205173143795714</v>
      </c>
      <c r="K164" s="88">
        <f>IFERROR(K137*4/K131,0)</f>
        <v>0.0486491641973534</v>
      </c>
      <c r="L164" s="88">
        <f>IFERROR(L137*4/L131,0)</f>
        <v>0.0257030736541468</v>
      </c>
      <c r="M164" s="88">
        <f>IFERROR(M137*4/M131,0)</f>
        <v>0.0294354922460669</v>
      </c>
      <c r="N164" s="89">
        <f>IFERROR(N137*1/N131,0)</f>
        <v>0.0309738296630808</v>
      </c>
      <c r="O164" s="88">
        <f>IFERROR(O137*4/O131,0)</f>
        <v>0.0426401238665761</v>
      </c>
      <c r="P164" s="88">
        <f>IFERROR(P137*4/P131,0)</f>
        <v>0.0381957033894615</v>
      </c>
      <c r="Q164" s="88">
        <f>IFERROR(Q137*4/Q131,0)</f>
        <v>0.0421007861384663</v>
      </c>
      <c r="R164" s="88">
        <f>IFERROR(R137*4/R131,0)</f>
        <v>0.042841878813907</v>
      </c>
      <c r="S164" s="89">
        <f>IFERROR(S137*1/S131,0)</f>
        <v>0.0414695628418335</v>
      </c>
      <c r="T164" s="88">
        <f>IFERROR(T137*4/T131,0)</f>
        <v>0.0392956044724882</v>
      </c>
      <c r="U164" s="88">
        <f>IFERROR(U137*4/U131,0)</f>
        <v>0.0401701379025634</v>
      </c>
      <c r="V164" s="88">
        <f>IFERROR(V137*4/V131,0)</f>
        <v>0.0394037715403218</v>
      </c>
      <c r="W164" s="88">
        <f>IFERROR(W137*4/W131,0)</f>
        <v>0.0362910647158314</v>
      </c>
      <c r="X164" s="89">
        <f>IFERROR(X137*1/X131,0)</f>
        <v>0.0387623046049264</v>
      </c>
      <c r="Y164" s="88">
        <f>IFERROR(Y137*4/Y131,0)</f>
        <v>0.0343008404630001</v>
      </c>
      <c r="Z164" s="88">
        <f>IFERROR(Z137*4/Z131,0)</f>
        <v>0.0344006015922004</v>
      </c>
      <c r="AA164" s="88">
        <f>IFERROR(AA137*4/AA131,0)</f>
        <v>0.0402429217301762</v>
      </c>
      <c r="AB164" s="88">
        <f>IFERROR(AB137*4/AB131,0)</f>
        <v>0.0341333376055048</v>
      </c>
      <c r="AC164" s="89">
        <f>IFERROR(AC137*1/AC131,0)</f>
        <v>0.0358132884854019</v>
      </c>
      <c r="AD164" s="88">
        <f>IFERROR(AD137*4/AD131,0)</f>
        <v>0.0354021925308418</v>
      </c>
      <c r="AE164" s="88">
        <f>IFERROR(AE137*4/AE131,0)</f>
        <v>0.0367614083374363</v>
      </c>
      <c r="AF164" s="88">
        <f>IFERROR(AF137*4/AF131,0)</f>
        <v>0.0457405812567354</v>
      </c>
      <c r="AG164" s="88">
        <f>IFERROR(AG137*4/AG131,0)</f>
        <v>0.0416536115764454</v>
      </c>
      <c r="AH164" s="89">
        <f>IFERROR(AH137*1/AH131,0)</f>
        <v>0.0398520684459944</v>
      </c>
      <c r="AI164" s="88">
        <f>IFERROR(AI137*4/AI131,0)</f>
        <v>0.0386520329429215</v>
      </c>
      <c r="AJ164" s="88">
        <f>IFERROR(AJ137*4/AJ131,0)</f>
        <v>0.0410806573040536</v>
      </c>
      <c r="AK164" s="88">
        <f>IFERROR(AK137*4/AK131,0)</f>
        <v>-0.00477277190216312</v>
      </c>
      <c r="AL164" s="88">
        <f>IFERROR(AL137*4/AL131,0)</f>
        <v>-0.00477277190216312</v>
      </c>
      <c r="AM164" s="89">
        <f>IFERROR(AM137*1/AM131,0)</f>
        <v>0.0174686536806696</v>
      </c>
      <c r="AN164" s="88">
        <f>IFERROR(AN137*4/AN131,0)</f>
        <v>-0.00477277190216312</v>
      </c>
      <c r="AO164" s="88">
        <f>IFERROR(AO137*4/AO131,0)</f>
        <v>-0.00477277190216312</v>
      </c>
      <c r="AP164" s="88">
        <f>IFERROR(AP137*4/AP131,0)</f>
        <v>-0.00477277190216312</v>
      </c>
      <c r="AQ164" s="88">
        <f>IFERROR(AQ137*4/AQ131,0)</f>
        <v>-0.00477277190216312</v>
      </c>
      <c r="AR164" s="89">
        <f>IFERROR(AR137*1/AR131,0)</f>
        <v>-0.00477277190216312</v>
      </c>
      <c r="AS164" s="88">
        <f>IFERROR(AS137*4/AS131,0)</f>
        <v>-0.00477277190216312</v>
      </c>
      <c r="AT164" s="88">
        <f>IFERROR(AT137*4/AT131,0)</f>
        <v>-0.00477277190216312</v>
      </c>
      <c r="AU164" s="88">
        <f>IFERROR(AU137*4/AU131,0)</f>
        <v>-0.00477277190216312</v>
      </c>
      <c r="AV164" s="88">
        <f>IFERROR(AV137*4/AV131,0)</f>
        <v>-0.00477277190216312</v>
      </c>
      <c r="AW164" s="89">
        <f>IFERROR(AW137*1/AW131,0)</f>
        <v>-0.00477277190216312</v>
      </c>
      <c r="AX164" s="88">
        <f>IFERROR(AX137*4/AX131,0)</f>
        <v>-0.00477277190216312</v>
      </c>
      <c r="AY164" s="88">
        <f>IFERROR(AY137*4/AY131,0)</f>
        <v>-0.00477277190216312</v>
      </c>
      <c r="AZ164" s="88">
        <f>IFERROR(AZ137*4/AZ131,0)</f>
        <v>-0.00477277190216312</v>
      </c>
      <c r="BA164" s="88">
        <f>IFERROR(BA137*4/BA131,0)</f>
        <v>-0.00477277190216312</v>
      </c>
      <c r="BB164" s="89">
        <f>IFERROR(BB137*1/BB131,0)</f>
        <v>-0.00477277190216312</v>
      </c>
      <c r="BC164" s="88">
        <f>IFERROR(BC137*4/BC131,0)</f>
        <v>-0.00477277190216312</v>
      </c>
      <c r="BD164" s="88">
        <f>IFERROR(BD137*4/BD131,0)</f>
        <v>-0.00477277190216312</v>
      </c>
      <c r="BE164" s="88">
        <f>IFERROR(BE137*4/BE131,0)</f>
        <v>-0.00477277190216312</v>
      </c>
      <c r="BF164" s="88">
        <f>IFERROR(BF137*4/BF131,0)</f>
        <v>-0.00477277190216312</v>
      </c>
      <c r="BG164" s="89">
        <f>IFERROR(BG137*1/BG131,0)</f>
        <v>-0.00477277190216312</v>
      </c>
    </row>
    <row r="165">
      <c r="C165" s="11" t="inlineStr">
        <is>
          <t>NIM com clientes (% a.a.)</t>
        </is>
      </c>
      <c r="D165" s="12" t="inlineStr">
        <is>
          <t>NIM with clients</t>
        </is>
      </c>
      <c r="E165" s="88">
        <f>IFERROR(E138*4/E134,0)</f>
        <v>0.344005699269018</v>
      </c>
      <c r="F165" s="88">
        <f>IFERROR(F138*4/F134,0)</f>
        <v>0.151410286623153</v>
      </c>
      <c r="G165" s="88">
        <f>IFERROR(G138*4/G134,0)</f>
        <v>0.124316234871951</v>
      </c>
      <c r="H165" s="88">
        <f>IFERROR(H138*4/H134,0)</f>
        <v>-0.109985665943315</v>
      </c>
      <c r="I165" s="89">
        <f>IFERROR(I138*1/I134,0)</f>
        <v>0.121062752385932</v>
      </c>
      <c r="J165" s="88">
        <f>IFERROR(J138*4/J134,0)</f>
        <v>0.190918693869162</v>
      </c>
      <c r="K165" s="88">
        <f>IFERROR(K138*4/K134,0)</f>
        <v>-0.181317000337982</v>
      </c>
      <c r="L165" s="88">
        <f>IFERROR(L138*4/L134,0)</f>
        <v>0.15026983490545</v>
      </c>
      <c r="M165" s="88">
        <f>IFERROR(M138*4/M134,0)</f>
        <v>0.0505651879833025</v>
      </c>
      <c r="N165" s="89">
        <f>IFERROR(N138*1/N134,0)</f>
        <v>0.0529796797259929</v>
      </c>
      <c r="O165" s="88">
        <f>IFERROR(O138*4/O134,0)</f>
        <v>-0.140435137705021</v>
      </c>
      <c r="P165" s="88">
        <f>IFERROR(P138*4/P134,0)</f>
        <v>0.0723537923882915</v>
      </c>
      <c r="Q165" s="88">
        <f>IFERROR(Q138*4/Q134,0)</f>
        <v>0.0383751321043672</v>
      </c>
      <c r="R165" s="88">
        <f>IFERROR(R138*4/R134,0)</f>
        <v>-0.0634076852188474</v>
      </c>
      <c r="S165" s="89">
        <f>IFERROR(S138*1/S134,0)</f>
        <v>-0.0225034495474865</v>
      </c>
      <c r="T165" s="88">
        <f>IFERROR(T138*4/T134,0)</f>
        <v>-0.0442533273946436</v>
      </c>
      <c r="U165" s="88">
        <f>IFERROR(U138*4/U134,0)</f>
        <v>-0.066402685269839</v>
      </c>
      <c r="V165" s="88">
        <f>IFERROR(V138*4/V134,0)</f>
        <v>0.0183433413586536</v>
      </c>
      <c r="W165" s="88">
        <f>IFERROR(W138*4/W134,0)</f>
        <v>-0.0870347154254188</v>
      </c>
      <c r="X165" s="89">
        <f>IFERROR(X138*1/X134,0)</f>
        <v>-0.0450858109241437</v>
      </c>
      <c r="Y165" s="88">
        <f>IFERROR(Y138*4/Y134,0)</f>
        <v>-0.00217609897196432</v>
      </c>
      <c r="Z165" s="88">
        <f>IFERROR(Z138*4/Z134,0)</f>
        <v>0.116756508189373</v>
      </c>
      <c r="AA165" s="88">
        <f>IFERROR(AA138*4/AA134,0)</f>
        <v>-0.108121530239067</v>
      </c>
      <c r="AB165" s="88">
        <f>IFERROR(AB138*4/AB134,0)</f>
        <v>0.132712804875282</v>
      </c>
      <c r="AC165" s="89">
        <f>IFERROR(AC138*1/AC134,0)</f>
        <v>0.0350126394474968</v>
      </c>
      <c r="AD165" s="88">
        <f>IFERROR(AD138*4/AD134,0)</f>
        <v>-0.0525702175328341</v>
      </c>
      <c r="AE165" s="88">
        <f>IFERROR(AE138*4/AE134,0)</f>
        <v>-0.0359329093242453</v>
      </c>
      <c r="AF165" s="88">
        <f>IFERROR(AF138*4/AF134,0)</f>
        <v>-0.0559743253528041</v>
      </c>
      <c r="AG165" s="88">
        <f>IFERROR(AG138*4/AG134,0)</f>
        <v>-0.141216390076776</v>
      </c>
      <c r="AH165" s="89">
        <f>IFERROR(AH138*1/AH134,0)</f>
        <v>-0.072593910479322</v>
      </c>
      <c r="AI165" s="88">
        <f>IFERROR(AI138*4/AI134,0)</f>
        <v>-0.0831913980194162</v>
      </c>
      <c r="AJ165" s="88">
        <f>IFERROR(AJ138*4/AJ134,0)</f>
        <v>-0.0960680100856436</v>
      </c>
      <c r="AK165" s="88">
        <f>IFERROR(AK138*4/AK134,0)</f>
        <v>0</v>
      </c>
      <c r="AL165" s="88">
        <f>IFERROR(AL138*4/AL134,0)</f>
        <v>0</v>
      </c>
      <c r="AM165" s="89">
        <f>IFERROR(AM138*1/AM134,0)</f>
        <v>-0.0448031039350058</v>
      </c>
      <c r="AN165" s="88">
        <f>IFERROR(AN138*4/AN134,0)</f>
        <v>0</v>
      </c>
      <c r="AO165" s="88">
        <f>IFERROR(AO138*4/AO134,0)</f>
        <v>0</v>
      </c>
      <c r="AP165" s="88">
        <f>IFERROR(AP138*4/AP134,0)</f>
        <v>0</v>
      </c>
      <c r="AQ165" s="88">
        <f>IFERROR(AQ138*4/AQ134,0)</f>
        <v>0</v>
      </c>
      <c r="AR165" s="89">
        <f>IFERROR(AR138*1/AR134,0)</f>
        <v>0</v>
      </c>
      <c r="AS165" s="88">
        <f>IFERROR(AS138*4/AS134,0)</f>
        <v>0</v>
      </c>
      <c r="AT165" s="88">
        <f>IFERROR(AT138*4/AT134,0)</f>
        <v>0</v>
      </c>
      <c r="AU165" s="88">
        <f>IFERROR(AU138*4/AU134,0)</f>
        <v>0</v>
      </c>
      <c r="AV165" s="88">
        <f>IFERROR(AV138*4/AV134,0)</f>
        <v>0</v>
      </c>
      <c r="AW165" s="89">
        <f>IFERROR(AW138*1/AW134,0)</f>
        <v>0</v>
      </c>
      <c r="AX165" s="88">
        <f>IFERROR(AX138*4/AX134,0)</f>
        <v>0</v>
      </c>
      <c r="AY165" s="88">
        <f>IFERROR(AY138*4/AY134,0)</f>
        <v>0</v>
      </c>
      <c r="AZ165" s="88">
        <f>IFERROR(AZ138*4/AZ134,0)</f>
        <v>0</v>
      </c>
      <c r="BA165" s="88">
        <f>IFERROR(BA138*4/BA134,0)</f>
        <v>0</v>
      </c>
      <c r="BB165" s="89">
        <f>IFERROR(BB138*1/BB134,0)</f>
        <v>0</v>
      </c>
      <c r="BC165" s="88">
        <f>IFERROR(BC138*4/BC134,0)</f>
        <v>0</v>
      </c>
      <c r="BD165" s="88">
        <f>IFERROR(BD138*4/BD134,0)</f>
        <v>0</v>
      </c>
      <c r="BE165" s="88">
        <f>IFERROR(BE138*4/BE134,0)</f>
        <v>0</v>
      </c>
      <c r="BF165" s="88">
        <f>IFERROR(BF138*4/BF134,0)</f>
        <v>0</v>
      </c>
      <c r="BG165" s="89">
        <f>IFERROR(BG138*1/BG134,0)</f>
        <v>0</v>
      </c>
    </row>
    <row r="166">
      <c r="C166" s="11" t="inlineStr">
        <is>
          <t>NIM com o mercado (% a.a.)</t>
        </is>
      </c>
      <c r="D166" s="12" t="inlineStr">
        <is>
          <t>NIM with market</t>
        </is>
      </c>
      <c r="E166" s="88">
        <f>IFERROR(E139*4/(E131-E134),0)</f>
        <v>-0.356601847916534</v>
      </c>
      <c r="F166" s="88">
        <f>IFERROR(F139*4/(F131-F134),0)</f>
        <v>-0.119935326798451</v>
      </c>
      <c r="G166" s="88">
        <f>IFERROR(G139*4/(G131-G134),0)</f>
        <v>-0.077216456740335</v>
      </c>
      <c r="H166" s="88">
        <f>IFERROR(H139*4/(H131-H134),0)</f>
        <v>0.197407847560364</v>
      </c>
      <c r="I166" s="89">
        <f>IFERROR(I139*1/(I131-I134),0)</f>
        <v>-0.0947825115872863</v>
      </c>
      <c r="J166" s="88">
        <f>IFERROR(J139*4/(J131-J134),0)</f>
        <v>-0.171982038461461</v>
      </c>
      <c r="K166" s="88">
        <f>IFERROR(K139*4/(K131-K134),0)</f>
        <v>0.320305797621597</v>
      </c>
      <c r="L166" s="88">
        <f>IFERROR(L139*4/(L131-L134),0)</f>
        <v>-0.122411257605535</v>
      </c>
      <c r="M166" s="88">
        <f>IFERROR(M139*4/(M131-M134),0)</f>
        <v>0.00441076672684016</v>
      </c>
      <c r="N166" s="89">
        <f>IFERROR(N139*1/(N131-N134),0)</f>
        <v>0.00520966601921219</v>
      </c>
      <c r="O166" s="88">
        <f>IFERROR(O139*4/(O131-O134),0)</f>
        <v>0.266493315459923</v>
      </c>
      <c r="P166" s="88">
        <f>IFERROR(P139*4/(P131-P134),0)</f>
        <v>-0.00158438254980877</v>
      </c>
      <c r="Q166" s="88">
        <f>IFERROR(Q139*4/(Q131-Q134),0)</f>
        <v>0.0464396314753744</v>
      </c>
      <c r="R166" s="88">
        <f>IFERROR(R139*4/(R131-R134),0)</f>
        <v>0.164622539448657</v>
      </c>
      <c r="S166" s="89">
        <f>IFERROR(S139*1/(S131-S134),0)</f>
        <v>0.116500863527526</v>
      </c>
      <c r="T166" s="88">
        <f>IFERROR(T139*4/(T131-T134),0)</f>
        <v>0.127515395057522</v>
      </c>
      <c r="U166" s="88">
        <f>IFERROR(U139*4/(U131-U134),0)</f>
        <v>0.137678674020868</v>
      </c>
      <c r="V166" s="88">
        <f>IFERROR(V139*4/(V131-V134),0)</f>
        <v>0.0572732191933352</v>
      </c>
      <c r="W166" s="88">
        <f>IFERROR(W139*4/(W131-W134),0)</f>
        <v>0.141569710046795</v>
      </c>
      <c r="X166" s="89">
        <f>IFERROR(X139*1/(X131-X134),0)</f>
        <v>0.115304218087717</v>
      </c>
      <c r="Y166" s="88">
        <f>IFERROR(Y139*4/(Y131-Y134),0)</f>
        <v>0.0630525563399107</v>
      </c>
      <c r="Z166" s="88">
        <f>IFERROR(Z139*4/(Z131-Z134),0)</f>
        <v>-0.021258547677146</v>
      </c>
      <c r="AA166" s="88">
        <f>IFERROR(AA139*4/(AA131-AA134),0)</f>
        <v>0.129698195158466</v>
      </c>
      <c r="AB166" s="88">
        <f>IFERROR(AB139*4/(AB131-AB134),0)</f>
        <v>-0.0233662889648462</v>
      </c>
      <c r="AC166" s="89">
        <f>IFERROR(AC139*1/(AC131-AC134),0)</f>
        <v>0.0363371111713859</v>
      </c>
      <c r="AD166" s="88">
        <f>IFERROR(AD139*4/(AD131-AD134),0)</f>
        <v>0.0859343774287803</v>
      </c>
      <c r="AE166" s="88">
        <f>IFERROR(AE139*4/(AE131-AE134),0)</f>
        <v>0.0778016519830648</v>
      </c>
      <c r="AF166" s="88">
        <f>IFERROR(AF139*4/(AF131-AF134),0)</f>
        <v>0.105731647266228</v>
      </c>
      <c r="AG166" s="88">
        <f>IFERROR(AG139*4/(AG131-AG134),0)</f>
        <v>0.156838185959213</v>
      </c>
      <c r="AH166" s="89">
        <f>IFERROR(AH139*1/(AH131-AH134),0)</f>
        <v>0.106115343892868</v>
      </c>
      <c r="AI166" s="88">
        <f>IFERROR(AI139*4/(AI131-AI134),0)</f>
        <v>0.111503546246421</v>
      </c>
      <c r="AJ166" s="88">
        <f>IFERROR(AJ139*4/(AJ131-AJ134),0)</f>
        <v>0.118101842977217</v>
      </c>
      <c r="AK166" s="88">
        <f>IFERROR(AK139*4/(AK131-AK134),0)</f>
        <v>-0.00750016179520936</v>
      </c>
      <c r="AL166" s="88">
        <f>IFERROR(AL139*4/(AL131-AL134),0)</f>
        <v>-0.00750016179520936</v>
      </c>
      <c r="AM166" s="89">
        <f>IFERROR(AM139*1/(AM131-AM134),0)</f>
        <v>0.0533009011107532</v>
      </c>
      <c r="AN166" s="88">
        <f>IFERROR(AN139*4/(AN131-AN134),0)</f>
        <v>-0.00750016179520936</v>
      </c>
      <c r="AO166" s="88">
        <f>IFERROR(AO139*4/(AO131-AO134),0)</f>
        <v>-0.00750016179520936</v>
      </c>
      <c r="AP166" s="88">
        <f>IFERROR(AP139*4/(AP131-AP134),0)</f>
        <v>-0.00750016179520936</v>
      </c>
      <c r="AQ166" s="88">
        <f>IFERROR(AQ139*4/(AQ131-AQ134),0)</f>
        <v>-0.00750016179520936</v>
      </c>
      <c r="AR166" s="89">
        <f>IFERROR(AR139*1/(AR131-AR134),0)</f>
        <v>-0.00750016179520936</v>
      </c>
      <c r="AS166" s="88">
        <f>IFERROR(AS139*4/(AS131-AS134),0)</f>
        <v>-0.00750016179520936</v>
      </c>
      <c r="AT166" s="88">
        <f>IFERROR(AT139*4/(AT131-AT134),0)</f>
        <v>-0.00750016179520936</v>
      </c>
      <c r="AU166" s="88">
        <f>IFERROR(AU139*4/(AU131-AU134),0)</f>
        <v>-0.00750016179520936</v>
      </c>
      <c r="AV166" s="88">
        <f>IFERROR(AV139*4/(AV131-AV134),0)</f>
        <v>-0.00750016179520936</v>
      </c>
      <c r="AW166" s="89">
        <f>IFERROR(AW139*1/(AW131-AW134),0)</f>
        <v>-0.00750016179520936</v>
      </c>
      <c r="AX166" s="88">
        <f>IFERROR(AX139*4/(AX131-AX134),0)</f>
        <v>-0.00750016179520936</v>
      </c>
      <c r="AY166" s="88">
        <f>IFERROR(AY139*4/(AY131-AY134),0)</f>
        <v>-0.00750016179520936</v>
      </c>
      <c r="AZ166" s="88">
        <f>IFERROR(AZ139*4/(AZ131-AZ134),0)</f>
        <v>-0.00750016179520936</v>
      </c>
      <c r="BA166" s="88">
        <f>IFERROR(BA139*4/(BA131-BA134),0)</f>
        <v>-0.00750016179520936</v>
      </c>
      <c r="BB166" s="89">
        <f>IFERROR(BB139*1/(BB131-BB134),0)</f>
        <v>-0.00750016179520936</v>
      </c>
      <c r="BC166" s="88">
        <f>IFERROR(BC139*4/(BC131-BC134),0)</f>
        <v>-0.00750016179520936</v>
      </c>
      <c r="BD166" s="88">
        <f>IFERROR(BD139*4/(BD131-BD134),0)</f>
        <v>-0.00750016179520936</v>
      </c>
      <c r="BE166" s="88">
        <f>IFERROR(BE139*4/(BE131-BE134),0)</f>
        <v>-0.00750016179520936</v>
      </c>
      <c r="BF166" s="88">
        <f>IFERROR(BF139*4/(BF131-BF134),0)</f>
        <v>-0.00750016179520936</v>
      </c>
      <c r="BG166" s="89">
        <f>IFERROR(BG139*1/(BG131-BG134),0)</f>
        <v>-0.00750016179520936</v>
      </c>
    </row>
    <row r="167">
      <c r="C167" s="11" t="inlineStr">
        <is>
          <t>Custo médio do funding (% a.a.)</t>
        </is>
      </c>
      <c r="D167" s="12" t="inlineStr">
        <is>
          <t>Average cost of funding</t>
        </is>
      </c>
      <c r="E167" s="88">
        <f>IFERROR(-E96*4/E133,0)</f>
        <v>0.540140691043051</v>
      </c>
      <c r="F167" s="88">
        <f>IFERROR(-F96*4/F133,0)</f>
        <v>0.201084368350721</v>
      </c>
      <c r="G167" s="88">
        <f>IFERROR(-G96*4/G133,0)</f>
        <v>0.134502959593836</v>
      </c>
      <c r="H167" s="88">
        <f>IFERROR(-H96*4/H133,0)</f>
        <v>-0.105599094029388</v>
      </c>
      <c r="I167" s="89">
        <f>IFERROR(-I96*1/I133,0)</f>
        <v>0.185787886120888</v>
      </c>
      <c r="J167" s="88">
        <f>IFERROR(-J96*4/J133,0)</f>
        <v>0.220490665247575</v>
      </c>
      <c r="K167" s="88">
        <f>IFERROR(-K96*4/K133,0)</f>
        <v>-0.203720803658603</v>
      </c>
      <c r="L167" s="88">
        <f>IFERROR(-L96*4/L133,0)</f>
        <v>0.21046128718591</v>
      </c>
      <c r="M167" s="88">
        <f>IFERROR(-M96*4/M133,0)</f>
        <v>0.130701486523752</v>
      </c>
      <c r="N167" s="89">
        <f>IFERROR(-N96*1/N133,0)</f>
        <v>0.0910647848742157</v>
      </c>
      <c r="O167" s="88">
        <f>IFERROR(-O96*4/O133,0)</f>
        <v>-0.197051211220403</v>
      </c>
      <c r="P167" s="88">
        <f>IFERROR(-P96*4/P133,0)</f>
        <v>0.235933756167499</v>
      </c>
      <c r="Q167" s="88">
        <f>IFERROR(-Q96*4/Q133,0)</f>
        <v>0.149905199005299</v>
      </c>
      <c r="R167" s="88">
        <f>IFERROR(-R96*4/R133,0)</f>
        <v>0.0519232603397619</v>
      </c>
      <c r="S167" s="89">
        <f>IFERROR(-S96*1/S133,0)</f>
        <v>0.0646154092204735</v>
      </c>
      <c r="T167" s="88">
        <f>IFERROR(-T96*4/T133,0)</f>
        <v>0.0865071476996482</v>
      </c>
      <c r="U167" s="88">
        <f>IFERROR(-U96*4/U133,0)</f>
        <v>0.0464883641016534</v>
      </c>
      <c r="V167" s="88">
        <f>IFERROR(-V96*4/V133,0)</f>
        <v>0.182703716084909</v>
      </c>
      <c r="W167" s="88">
        <f>IFERROR(-W96*4/W133,0)</f>
        <v>0.0592730825225209</v>
      </c>
      <c r="X167" s="89">
        <f>IFERROR(-X96*1/X133,0)</f>
        <v>0.0939522890358717</v>
      </c>
      <c r="Y167" s="88">
        <f>IFERROR(-Y96*4/Y133,0)</f>
        <v>0.153033475530373</v>
      </c>
      <c r="Z167" s="88">
        <f>IFERROR(-Z96*4/Z133,0)</f>
        <v>0.232780750443932</v>
      </c>
      <c r="AA167" s="88">
        <f>IFERROR(-AA96*4/AA133,0)</f>
        <v>0.0715863004799655</v>
      </c>
      <c r="AB167" s="88">
        <f>IFERROR(-AB96*4/AB133,0)</f>
        <v>0.267168370438677</v>
      </c>
      <c r="AC167" s="89">
        <f>IFERROR(-AC96*1/AC133,0)</f>
        <v>0.182053961981337</v>
      </c>
      <c r="AD167" s="88">
        <f>IFERROR(-AD96*4/AD133,0)</f>
        <v>0.0970719749742587</v>
      </c>
      <c r="AE167" s="88">
        <f>IFERROR(-AE96*4/AE133,0)</f>
        <v>0.101170710711482</v>
      </c>
      <c r="AF167" s="88">
        <f>IFERROR(-AF96*4/AF133,0)</f>
        <v>0.11707289202459</v>
      </c>
      <c r="AG167" s="88">
        <f>IFERROR(-AG96*4/AG133,0)</f>
        <v>0.118621182196076</v>
      </c>
      <c r="AH167" s="89">
        <f>IFERROR(-AH96*1/AH133,0)</f>
        <v>0.10845467153294</v>
      </c>
      <c r="AI167" s="88">
        <f>IFERROR(-AI96*4/AI133,0)</f>
        <v>0.10836873269082</v>
      </c>
      <c r="AJ167" s="88">
        <f>IFERROR(-AJ96*4/AJ133,0)</f>
        <v>0.108040454810443</v>
      </c>
      <c r="AK167" s="88">
        <f>IFERROR(-AK96*4/AK133,0)</f>
        <v>0.00535512406556954</v>
      </c>
      <c r="AL167" s="88">
        <f>IFERROR(-AL96*4/AL133,0)</f>
        <v>0.00532967220420781</v>
      </c>
      <c r="AM167" s="89">
        <f>IFERROR(-AM96*1/AM133,0)</f>
        <v>0.0563941981161598</v>
      </c>
      <c r="AN167" s="88">
        <f>IFERROR(-AN96*4/AN133,0)</f>
        <v>0.0053050913370474</v>
      </c>
      <c r="AO167" s="88">
        <f>IFERROR(-AO96*4/AO133,0)</f>
        <v>0.00527946881705225</v>
      </c>
      <c r="AP167" s="88">
        <f>IFERROR(-AP96*4/AP133,0)</f>
        <v>0.00525347446500192</v>
      </c>
      <c r="AQ167" s="88">
        <f>IFERROR(-AQ96*4/AQ133,0)</f>
        <v>0.00522897746462558</v>
      </c>
      <c r="AR167" s="89">
        <f>IFERROR(-AR96*1/AR133,0)</f>
        <v>0.00526659948802652</v>
      </c>
      <c r="AS167" s="88">
        <f>IFERROR(-AS96*4/AS133,0)</f>
        <v>0.00520531458541455</v>
      </c>
      <c r="AT167" s="88">
        <f>IFERROR(-AT96*4/AT133,0)</f>
        <v>0.00518064456410641</v>
      </c>
      <c r="AU167" s="88">
        <f>IFERROR(-AU96*4/AU133,0)</f>
        <v>0.00515561195252985</v>
      </c>
      <c r="AV167" s="88">
        <f>IFERROR(-AV96*4/AV133,0)</f>
        <v>0.00513201706958562</v>
      </c>
      <c r="AW167" s="89">
        <f>IFERROR(-AW96*1/AW133,0)</f>
        <v>0.00516825195197514</v>
      </c>
      <c r="AX167" s="88">
        <f>IFERROR(-AX96*4/AX133,0)</f>
        <v>0.00510922169803262</v>
      </c>
      <c r="AY167" s="88">
        <f>IFERROR(-AY96*4/AY133,0)</f>
        <v>0.00508545203328623</v>
      </c>
      <c r="AZ167" s="88">
        <f>IFERROR(-AZ96*4/AZ133,0)</f>
        <v>0.00506132875916539</v>
      </c>
      <c r="BA167" s="88">
        <f>IFERROR(-BA96*4/BA133,0)</f>
        <v>0.0050385870642926</v>
      </c>
      <c r="BB167" s="89">
        <f>IFERROR(-BB96*1/BB133,0)</f>
        <v>0.00507351013199289</v>
      </c>
      <c r="BC167" s="88">
        <f>IFERROR(-BC96*4/BC133,0)</f>
        <v>0.00501661235461624</v>
      </c>
      <c r="BD167" s="88">
        <f>IFERROR(-BD96*4/BD133,0)</f>
        <v>0.00499369464186134</v>
      </c>
      <c r="BE167" s="88">
        <f>IFERROR(-BE96*4/BE133,0)</f>
        <v>0.00497043204126527</v>
      </c>
      <c r="BF167" s="88">
        <f>IFERROR(-BF96*4/BF133,0)</f>
        <v>0.00494849808064384</v>
      </c>
      <c r="BG167" s="89">
        <f>IFERROR(-BG96*1/BG133,0)</f>
        <v>0.00498217930310905</v>
      </c>
    </row>
    <row r="168">
      <c r="C168" s="11" t="inlineStr">
        <is>
          <t>Spread bruto (p.p.)</t>
        </is>
      </c>
      <c r="D168" s="12" t="inlineStr">
        <is>
          <t>Gross spread</t>
        </is>
      </c>
      <c r="E168" s="88">
        <f>IFERROR(E165-E167,0)</f>
        <v>-0.196134991774033</v>
      </c>
      <c r="F168" s="88">
        <f>IFERROR(F165-F167,0)</f>
        <v>-0.0496740817275684</v>
      </c>
      <c r="G168" s="88">
        <f>IFERROR(G165-G167,0)</f>
        <v>-0.0101867247218853</v>
      </c>
      <c r="H168" s="88">
        <f>IFERROR(H165-H167,0)</f>
        <v>-0.00438657191392765</v>
      </c>
      <c r="I168" s="89">
        <f>IFERROR(I165-I167,0)</f>
        <v>-0.0647251337349567</v>
      </c>
      <c r="J168" s="88">
        <f>IFERROR(J165-J167,0)</f>
        <v>-0.0295719713784128</v>
      </c>
      <c r="K168" s="88">
        <f>IFERROR(K165-K167,0)</f>
        <v>0.0224038033206214</v>
      </c>
      <c r="L168" s="88">
        <f>IFERROR(L165-L167,0)</f>
        <v>-0.06019145228046</v>
      </c>
      <c r="M168" s="88">
        <f>IFERROR(M165-M167,0)</f>
        <v>-0.0801362985404499</v>
      </c>
      <c r="N168" s="89">
        <f>IFERROR(N165-N167,0)</f>
        <v>-0.0380851051482228</v>
      </c>
      <c r="O168" s="88">
        <f>IFERROR(O165-O167,0)</f>
        <v>0.0566160735153818</v>
      </c>
      <c r="P168" s="88">
        <f>IFERROR(P165-P167,0)</f>
        <v>-0.163579963779207</v>
      </c>
      <c r="Q168" s="88">
        <f>IFERROR(Q165-Q167,0)</f>
        <v>-0.111530066900932</v>
      </c>
      <c r="R168" s="88">
        <f>IFERROR(R165-R167,0)</f>
        <v>-0.115330945558609</v>
      </c>
      <c r="S168" s="89">
        <f>IFERROR(S165-S167,0)</f>
        <v>-0.08711885876796</v>
      </c>
      <c r="T168" s="88">
        <f>IFERROR(T165-T167,0)</f>
        <v>-0.130760475094292</v>
      </c>
      <c r="U168" s="88">
        <f>IFERROR(U165-U167,0)</f>
        <v>-0.112891049371492</v>
      </c>
      <c r="V168" s="88">
        <f>IFERROR(V165-V167,0)</f>
        <v>-0.164360374726256</v>
      </c>
      <c r="W168" s="88">
        <f>IFERROR(W165-W167,0)</f>
        <v>-0.14630779794794</v>
      </c>
      <c r="X168" s="89">
        <f>IFERROR(X165-X167,0)</f>
        <v>-0.139038099960015</v>
      </c>
      <c r="Y168" s="88">
        <f>IFERROR(Y165-Y167,0)</f>
        <v>-0.155209574502337</v>
      </c>
      <c r="Z168" s="88">
        <f>IFERROR(Z165-Z167,0)</f>
        <v>-0.116024242254559</v>
      </c>
      <c r="AA168" s="88">
        <f>IFERROR(AA165-AA167,0)</f>
        <v>-0.179707830719033</v>
      </c>
      <c r="AB168" s="88">
        <f>IFERROR(AB165-AB167,0)</f>
        <v>-0.134455565563395</v>
      </c>
      <c r="AC168" s="89">
        <f>IFERROR(AC165-AC167,0)</f>
        <v>-0.14704132253384</v>
      </c>
      <c r="AD168" s="88">
        <f>IFERROR(AD165-AD167,0)</f>
        <v>-0.149642192507093</v>
      </c>
      <c r="AE168" s="88">
        <f>IFERROR(AE165-AE167,0)</f>
        <v>-0.137103620035727</v>
      </c>
      <c r="AF168" s="88">
        <f>IFERROR(AF165-AF167,0)</f>
        <v>-0.173047217377394</v>
      </c>
      <c r="AG168" s="88">
        <f>IFERROR(AG165-AG167,0)</f>
        <v>-0.259837572272851</v>
      </c>
      <c r="AH168" s="89">
        <f>IFERROR(AH165-AH167,0)</f>
        <v>-0.181048582012262</v>
      </c>
      <c r="AI168" s="88">
        <f>IFERROR(AI165-AI167,0)</f>
        <v>-0.191560130710236</v>
      </c>
      <c r="AJ168" s="88">
        <f>IFERROR(AJ165-AJ167,0)</f>
        <v>-0.204108464896087</v>
      </c>
      <c r="AK168" s="88">
        <f>IFERROR(AK165-AK167,0)</f>
        <v>-0.00535512406556954</v>
      </c>
      <c r="AL168" s="88">
        <f>IFERROR(AL165-AL167,0)</f>
        <v>-0.00532967220420781</v>
      </c>
      <c r="AM168" s="89">
        <f>IFERROR(AM165-AM167,0)</f>
        <v>-0.101197302051166</v>
      </c>
      <c r="AN168" s="88">
        <f>IFERROR(AN165-AN167,0)</f>
        <v>-0.0053050913370474</v>
      </c>
      <c r="AO168" s="88">
        <f>IFERROR(AO165-AO167,0)</f>
        <v>-0.00527946881705225</v>
      </c>
      <c r="AP168" s="88">
        <f>IFERROR(AP165-AP167,0)</f>
        <v>-0.00525347446500192</v>
      </c>
      <c r="AQ168" s="88">
        <f>IFERROR(AQ165-AQ167,0)</f>
        <v>-0.00522897746462558</v>
      </c>
      <c r="AR168" s="89">
        <f>IFERROR(AR165-AR167,0)</f>
        <v>-0.00526659948802652</v>
      </c>
      <c r="AS168" s="88">
        <f>IFERROR(AS165-AS167,0)</f>
        <v>-0.00520531458541455</v>
      </c>
      <c r="AT168" s="88">
        <f>IFERROR(AT165-AT167,0)</f>
        <v>-0.00518064456410641</v>
      </c>
      <c r="AU168" s="88">
        <f>IFERROR(AU165-AU167,0)</f>
        <v>-0.00515561195252985</v>
      </c>
      <c r="AV168" s="88">
        <f>IFERROR(AV165-AV167,0)</f>
        <v>-0.00513201706958562</v>
      </c>
      <c r="AW168" s="89">
        <f>IFERROR(AW165-AW167,0)</f>
        <v>-0.00516825195197514</v>
      </c>
      <c r="AX168" s="88">
        <f>IFERROR(AX165-AX167,0)</f>
        <v>-0.00510922169803262</v>
      </c>
      <c r="AY168" s="88">
        <f>IFERROR(AY165-AY167,0)</f>
        <v>-0.00508545203328623</v>
      </c>
      <c r="AZ168" s="88">
        <f>IFERROR(AZ165-AZ167,0)</f>
        <v>-0.00506132875916539</v>
      </c>
      <c r="BA168" s="88">
        <f>IFERROR(BA165-BA167,0)</f>
        <v>-0.0050385870642926</v>
      </c>
      <c r="BB168" s="89">
        <f>IFERROR(BB165-BB167,0)</f>
        <v>-0.00507351013199289</v>
      </c>
      <c r="BC168" s="88">
        <f>IFERROR(BC165-BC167,0)</f>
        <v>-0.00501661235461624</v>
      </c>
      <c r="BD168" s="88">
        <f>IFERROR(BD165-BD167,0)</f>
        <v>-0.00499369464186134</v>
      </c>
      <c r="BE168" s="88">
        <f>IFERROR(BE165-BE167,0)</f>
        <v>-0.00497043204126527</v>
      </c>
      <c r="BF168" s="88">
        <f>IFERROR(BF165-BF167,0)</f>
        <v>-0.00494849808064384</v>
      </c>
      <c r="BG168" s="89">
        <f>IFERROR(BG165-BG167,0)</f>
        <v>-0.00498217930310905</v>
      </c>
    </row>
    <row r="169">
      <c r="B169" s="29" t="n"/>
      <c r="C169" s="29" t="inlineStr">
        <is>
          <t>Eficiência</t>
        </is>
      </c>
      <c r="D169" s="29" t="inlineStr">
        <is>
          <t>Efficiency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>
      <c r="C170" s="11" t="inlineStr">
        <is>
          <t>Índice de eficiência</t>
        </is>
      </c>
      <c r="D170" s="12" t="inlineStr">
        <is>
          <t>Efficiency ratio</t>
        </is>
      </c>
      <c r="E170" s="88">
        <f>IFERROR(E141/E140,0)</f>
        <v>-0.809259159045402</v>
      </c>
      <c r="F170" s="88">
        <f>IFERROR(F141/F140,0)</f>
        <v>1.07147972738824</v>
      </c>
      <c r="G170" s="88">
        <f>IFERROR(G141/G140,0)</f>
        <v>0.54677331408554</v>
      </c>
      <c r="H170" s="88">
        <f>IFERROR(H141/H140,0)</f>
        <v>0.383283888847556</v>
      </c>
      <c r="I170" s="89">
        <f>IFERROR(I141/I140,0)</f>
        <v>0.940994892857937</v>
      </c>
      <c r="J170" s="88">
        <f>IFERROR(J141/J140,0)</f>
        <v>0.548765296137556</v>
      </c>
      <c r="K170" s="88">
        <f>IFERROR(K141/K140,0)</f>
        <v>0.325555044634455</v>
      </c>
      <c r="L170" s="88">
        <f>IFERROR(L141/L140,0)</f>
        <v>0.534853177970549</v>
      </c>
      <c r="M170" s="88">
        <f>IFERROR(M141/M140,0)</f>
        <v>0.54671981234981</v>
      </c>
      <c r="N170" s="89">
        <f>IFERROR(N141/N140,0)</f>
        <v>0.468027223653901</v>
      </c>
      <c r="O170" s="88">
        <f>IFERROR(O141/O140,0)</f>
        <v>0.446176393330526</v>
      </c>
      <c r="P170" s="88">
        <f>IFERROR(P141/P140,0)</f>
        <v>0.493871189099108</v>
      </c>
      <c r="Q170" s="88">
        <f>IFERROR(Q141/Q140,0)</f>
        <v>0.477854861992039</v>
      </c>
      <c r="R170" s="88">
        <f>IFERROR(R141/R140,0)</f>
        <v>0.472948320388318</v>
      </c>
      <c r="S170" s="89">
        <f>IFERROR(S141/S140,0)</f>
        <v>0.473239356450074</v>
      </c>
      <c r="T170" s="88">
        <f>IFERROR(T141/T140,0)</f>
        <v>0.495217017406499</v>
      </c>
      <c r="U170" s="88">
        <f>IFERROR(U141/U140,0)</f>
        <v>0.516235916579488</v>
      </c>
      <c r="V170" s="88">
        <f>IFERROR(V141/V140,0)</f>
        <v>0.511060936920605</v>
      </c>
      <c r="W170" s="88">
        <f>IFERROR(W141/W140,0)</f>
        <v>0.519992574417253</v>
      </c>
      <c r="X170" s="89">
        <f>IFERROR(X141/X140,0)</f>
        <v>0.510905726276995</v>
      </c>
      <c r="Y170" s="88">
        <f>IFERROR(Y141/Y140,0)</f>
        <v>0.525042430214297</v>
      </c>
      <c r="Z170" s="88">
        <f>IFERROR(Z141/Z140,0)</f>
        <v>0.518785698036076</v>
      </c>
      <c r="AA170" s="88">
        <f>IFERROR(AA141/AA140,0)</f>
        <v>0.48914630257534</v>
      </c>
      <c r="AB170" s="88">
        <f>IFERROR(AB141/AB140,0)</f>
        <v>0.524831057021223</v>
      </c>
      <c r="AC170" s="89">
        <f>IFERROR(AC141/AC140,0)</f>
        <v>0.513470010166045</v>
      </c>
      <c r="AD170" s="88">
        <f>IFERROR(AD141/AD140,0)</f>
        <v>0.486241302040335</v>
      </c>
      <c r="AE170" s="88">
        <f>IFERROR(AE141/AE140,0)</f>
        <v>0.47664488522072</v>
      </c>
      <c r="AF170" s="88">
        <f>IFERROR(AF141/AF140,0)</f>
        <v>0.470638288945616</v>
      </c>
      <c r="AG170" s="88">
        <f>IFERROR(AG141/AG140,0)</f>
        <v>0.501930486331726</v>
      </c>
      <c r="AH170" s="89">
        <f>IFERROR(AH141/AH140,0)</f>
        <v>0.483900649564901</v>
      </c>
      <c r="AI170" s="88">
        <f>IFERROR(AI141/AI140,0)</f>
        <v>0.495733261946652</v>
      </c>
      <c r="AJ170" s="88">
        <f>IFERROR(AJ141/AJ140,0)</f>
        <v>0.492139488255993</v>
      </c>
      <c r="AK170" s="88">
        <f>IFERROR(AK141/AK140,0)</f>
        <v>8.02195638244985</v>
      </c>
      <c r="AL170" s="88">
        <f>IFERROR(AL141/AL140,0)</f>
        <v>5.06789233010201</v>
      </c>
      <c r="AM170" s="89">
        <f>IFERROR(AM141/AM140,0)</f>
        <v>0.865023012246167</v>
      </c>
      <c r="AN170" s="88">
        <f>IFERROR(AN141/AN140,0)</f>
        <v>5.3143802463502</v>
      </c>
      <c r="AO170" s="88">
        <f>IFERROR(AO141/AO140,0)</f>
        <v>7.73246921376942</v>
      </c>
      <c r="AP170" s="88">
        <f>IFERROR(AP141/AP140,0)</f>
        <v>8.02195638244985</v>
      </c>
      <c r="AQ170" s="88">
        <f>IFERROR(AQ141/AQ140,0)</f>
        <v>5.06789233010201</v>
      </c>
      <c r="AR170" s="89">
        <f>IFERROR(AR141/AR140,0)</f>
        <v>6.25087880640284</v>
      </c>
      <c r="AS170" s="88">
        <f>IFERROR(AS141/AS140,0)</f>
        <v>5.3143802463502</v>
      </c>
      <c r="AT170" s="88">
        <f>IFERROR(AT141/AT140,0)</f>
        <v>7.73246921376942</v>
      </c>
      <c r="AU170" s="88">
        <f>IFERROR(AU141/AU140,0)</f>
        <v>8.02195638244985</v>
      </c>
      <c r="AV170" s="88">
        <f>IFERROR(AV141/AV140,0)</f>
        <v>5.06789233010201</v>
      </c>
      <c r="AW170" s="89">
        <f>IFERROR(AW141/AW140,0)</f>
        <v>6.25087880640284</v>
      </c>
      <c r="AX170" s="88">
        <f>IFERROR(AX141/AX140,0)</f>
        <v>5.3143802463502</v>
      </c>
      <c r="AY170" s="88">
        <f>IFERROR(AY141/AY140,0)</f>
        <v>7.73246921376942</v>
      </c>
      <c r="AZ170" s="88">
        <f>IFERROR(AZ141/AZ140,0)</f>
        <v>8.02195638244985</v>
      </c>
      <c r="BA170" s="88">
        <f>IFERROR(BA141/BA140,0)</f>
        <v>5.06789233010201</v>
      </c>
      <c r="BB170" s="89">
        <f>IFERROR(BB141/BB140,0)</f>
        <v>6.25087880640284</v>
      </c>
      <c r="BC170" s="88">
        <f>IFERROR(BC141/BC140,0)</f>
        <v>5.3143802463502</v>
      </c>
      <c r="BD170" s="88">
        <f>IFERROR(BD141/BD140,0)</f>
        <v>7.73246921376942</v>
      </c>
      <c r="BE170" s="88">
        <f>IFERROR(BE141/BE140,0)</f>
        <v>8.02195638244985</v>
      </c>
      <c r="BF170" s="88">
        <f>IFERROR(BF141/BF140,0)</f>
        <v>5.06789233010201</v>
      </c>
      <c r="BG170" s="89">
        <f>IFERROR(BG141/BG140,0)</f>
        <v>6.25087880640284</v>
      </c>
      <c r="BI170" s="14" t="inlineStr">
        <is>
          <t>Despesas de pessoal + administrativas + tributárias + outras despesas operacionais sobre a receita operacional total. Quanto menor, melhor.</t>
        </is>
      </c>
    </row>
    <row r="171">
      <c r="C171" s="11" t="inlineStr">
        <is>
          <t>Despesas de pessoal / receita operacional</t>
        </is>
      </c>
      <c r="D171" s="12" t="inlineStr">
        <is>
          <t>Personnel over revenue</t>
        </is>
      </c>
      <c r="E171" s="88">
        <f>IFERROR(-E109/E140,0)</f>
        <v>-0.528329455057091</v>
      </c>
      <c r="F171" s="88">
        <f>IFERROR(-F109/F140,0)</f>
        <v>0.676223480035425</v>
      </c>
      <c r="G171" s="88">
        <f>IFERROR(-G109/G140,0)</f>
        <v>0.350359523146387</v>
      </c>
      <c r="H171" s="88">
        <f>IFERROR(-H109/H140,0)</f>
        <v>0.228817145301689</v>
      </c>
      <c r="I171" s="89">
        <f>IFERROR(-I109/I140,0)</f>
        <v>0.592244381032792</v>
      </c>
      <c r="J171" s="88">
        <f>IFERROR(-J109/J140,0)</f>
        <v>0.376943047275852</v>
      </c>
      <c r="K171" s="88">
        <f>IFERROR(-K109/K140,0)</f>
        <v>0.206300239227487</v>
      </c>
      <c r="L171" s="88">
        <f>IFERROR(-L109/L140,0)</f>
        <v>0.336522748194148</v>
      </c>
      <c r="M171" s="88">
        <f>IFERROR(-M109/M140,0)</f>
        <v>0.339733232728336</v>
      </c>
      <c r="N171" s="89">
        <f>IFERROR(-N109/N140,0)</f>
        <v>0.29981885758264</v>
      </c>
      <c r="O171" s="88">
        <f>IFERROR(-O109/O140,0)</f>
        <v>0.305554976463378</v>
      </c>
      <c r="P171" s="88">
        <f>IFERROR(-P109/P140,0)</f>
        <v>0.304772081168513</v>
      </c>
      <c r="Q171" s="88">
        <f>IFERROR(-Q109/Q140,0)</f>
        <v>0.30966974323083</v>
      </c>
      <c r="R171" s="88">
        <f>IFERROR(-R109/R140,0)</f>
        <v>0.285896900000972</v>
      </c>
      <c r="S171" s="89">
        <f>IFERROR(-S109/S140,0)</f>
        <v>0.30088148657848</v>
      </c>
      <c r="T171" s="88">
        <f>IFERROR(-T109/T140,0)</f>
        <v>0.315491656138665</v>
      </c>
      <c r="U171" s="88">
        <f>IFERROR(-U109/U140,0)</f>
        <v>0.331023414039392</v>
      </c>
      <c r="V171" s="88">
        <f>IFERROR(-V109/V140,0)</f>
        <v>0.323279634131268</v>
      </c>
      <c r="W171" s="88">
        <f>IFERROR(-W109/W140,0)</f>
        <v>0.310755795183057</v>
      </c>
      <c r="X171" s="89">
        <f>IFERROR(-X109/X140,0)</f>
        <v>0.319853831918864</v>
      </c>
      <c r="Y171" s="88">
        <f>IFERROR(-Y109/Y140,0)</f>
        <v>0.338003524832317</v>
      </c>
      <c r="Z171" s="88">
        <f>IFERROR(-Z109/Z140,0)</f>
        <v>0.331348975491328</v>
      </c>
      <c r="AA171" s="88">
        <f>IFERROR(-AA109/AA140,0)</f>
        <v>0.291824035527575</v>
      </c>
      <c r="AB171" s="88">
        <f>IFERROR(-AB109/AB140,0)</f>
        <v>0.322317881842784</v>
      </c>
      <c r="AC171" s="89">
        <f>IFERROR(-AC109/AC140,0)</f>
        <v>0.319458563951956</v>
      </c>
      <c r="AD171" s="88">
        <f>IFERROR(-AD109/AD140,0)</f>
        <v>0.306624208829658</v>
      </c>
      <c r="AE171" s="88">
        <f>IFERROR(-AE109/AE140,0)</f>
        <v>0.27790087410243</v>
      </c>
      <c r="AF171" s="88">
        <f>IFERROR(-AF109/AF140,0)</f>
        <v>0.272860887020116</v>
      </c>
      <c r="AG171" s="88">
        <f>IFERROR(-AG109/AG140,0)</f>
        <v>0.29107316725001</v>
      </c>
      <c r="AH171" s="89">
        <f>IFERROR(-AH109/AH140,0)</f>
        <v>0.286552816157511</v>
      </c>
      <c r="AI171" s="88">
        <f>IFERROR(-AI109/AI140,0)</f>
        <v>0.312526215279518</v>
      </c>
      <c r="AJ171" s="88">
        <f>IFERROR(-AJ109/AJ140,0)</f>
        <v>0.294303265177052</v>
      </c>
      <c r="AK171" s="88">
        <f>IFERROR(-AK109/AK140,0)</f>
        <v>5.4880144329553</v>
      </c>
      <c r="AL171" s="88">
        <f>IFERROR(-AL109/AL140,0)</f>
        <v>3.44523971835904</v>
      </c>
      <c r="AM171" s="89">
        <f>IFERROR(-AM109/AM140,0)</f>
        <v>0.558419774402045</v>
      </c>
      <c r="AN171" s="88">
        <f>IFERROR(-AN109/AN140,0)</f>
        <v>3.72011047712347</v>
      </c>
      <c r="AO171" s="88">
        <f>IFERROR(-AO109/AO140,0)</f>
        <v>5.22547758997992</v>
      </c>
      <c r="AP171" s="88">
        <f>IFERROR(-AP109/AP140,0)</f>
        <v>5.4880144329553</v>
      </c>
      <c r="AQ171" s="88">
        <f>IFERROR(-AQ109/AQ140,0)</f>
        <v>3.44523971835904</v>
      </c>
      <c r="AR171" s="89">
        <f>IFERROR(-AR109/AR140,0)</f>
        <v>4.28077688747486</v>
      </c>
      <c r="AS171" s="88">
        <f>IFERROR(-AS109/AS140,0)</f>
        <v>3.72011047712347</v>
      </c>
      <c r="AT171" s="88">
        <f>IFERROR(-AT109/AT140,0)</f>
        <v>5.22547758997992</v>
      </c>
      <c r="AU171" s="88">
        <f>IFERROR(-AU109/AU140,0)</f>
        <v>5.4880144329553</v>
      </c>
      <c r="AV171" s="88">
        <f>IFERROR(-AV109/AV140,0)</f>
        <v>3.44523971835904</v>
      </c>
      <c r="AW171" s="89">
        <f>IFERROR(-AW109/AW140,0)</f>
        <v>4.28077688747486</v>
      </c>
      <c r="AX171" s="88">
        <f>IFERROR(-AX109/AX140,0)</f>
        <v>3.72011047712347</v>
      </c>
      <c r="AY171" s="88">
        <f>IFERROR(-AY109/AY140,0)</f>
        <v>5.22547758997992</v>
      </c>
      <c r="AZ171" s="88">
        <f>IFERROR(-AZ109/AZ140,0)</f>
        <v>5.4880144329553</v>
      </c>
      <c r="BA171" s="88">
        <f>IFERROR(-BA109/BA140,0)</f>
        <v>3.44523971835904</v>
      </c>
      <c r="BB171" s="89">
        <f>IFERROR(-BB109/BB140,0)</f>
        <v>4.28077688747486</v>
      </c>
      <c r="BC171" s="88">
        <f>IFERROR(-BC109/BC140,0)</f>
        <v>3.72011047712347</v>
      </c>
      <c r="BD171" s="88">
        <f>IFERROR(-BD109/BD140,0)</f>
        <v>5.22547758997992</v>
      </c>
      <c r="BE171" s="88">
        <f>IFERROR(-BE109/BE140,0)</f>
        <v>5.4880144329553</v>
      </c>
      <c r="BF171" s="88">
        <f>IFERROR(-BF109/BF140,0)</f>
        <v>3.44523971835904</v>
      </c>
      <c r="BG171" s="89">
        <f>IFERROR(-BG109/BG140,0)</f>
        <v>4.28077688747486</v>
      </c>
    </row>
    <row r="172">
      <c r="C172" s="11" t="inlineStr">
        <is>
          <t>Despesas administrativas / receita operacional</t>
        </is>
      </c>
      <c r="D172" s="12" t="inlineStr">
        <is>
          <t>Admin over revenue</t>
        </is>
      </c>
      <c r="E172" s="88">
        <f>IFERROR(-E110/E140,0)</f>
        <v>-0.21681368039396</v>
      </c>
      <c r="F172" s="88">
        <f>IFERROR(-F110/F140,0)</f>
        <v>0.283423818874899</v>
      </c>
      <c r="G172" s="88">
        <f>IFERROR(-G110/G140,0)</f>
        <v>0.146641508545785</v>
      </c>
      <c r="H172" s="88">
        <f>IFERROR(-H110/H140,0)</f>
        <v>0.108030001487985</v>
      </c>
      <c r="I172" s="89">
        <f>IFERROR(-I110/I140,0)</f>
        <v>0.255065085113744</v>
      </c>
      <c r="J172" s="88">
        <f>IFERROR(-J110/J140,0)</f>
        <v>0.135183734189327</v>
      </c>
      <c r="K172" s="88">
        <f>IFERROR(-K110/K140,0)</f>
        <v>0.0895638221296097</v>
      </c>
      <c r="L172" s="88">
        <f>IFERROR(-L110/L140,0)</f>
        <v>0.14161961505132</v>
      </c>
      <c r="M172" s="88">
        <f>IFERROR(-M110/M140,0)</f>
        <v>0.13856971406857</v>
      </c>
      <c r="N172" s="89">
        <f>IFERROR(-N110/N140,0)</f>
        <v>0.121689893835258</v>
      </c>
      <c r="O172" s="88">
        <f>IFERROR(-O110/O140,0)</f>
        <v>0.109809080258006</v>
      </c>
      <c r="P172" s="88">
        <f>IFERROR(-P110/P140,0)</f>
        <v>0.127081658660916</v>
      </c>
      <c r="Q172" s="88">
        <f>IFERROR(-Q110/Q140,0)</f>
        <v>0.119772538384148</v>
      </c>
      <c r="R172" s="88">
        <f>IFERROR(-R110/R140,0)</f>
        <v>0.125078982414869</v>
      </c>
      <c r="S172" s="89">
        <f>IFERROR(-S110/S140,0)</f>
        <v>0.120793452679599</v>
      </c>
      <c r="T172" s="88">
        <f>IFERROR(-T110/T140,0)</f>
        <v>0.12879856097959</v>
      </c>
      <c r="U172" s="88">
        <f>IFERROR(-U110/U140,0)</f>
        <v>0.140900059457059</v>
      </c>
      <c r="V172" s="88">
        <f>IFERROR(-V110/V140,0)</f>
        <v>0.128204029500227</v>
      </c>
      <c r="W172" s="88">
        <f>IFERROR(-W110/W140,0)</f>
        <v>0.129975140440369</v>
      </c>
      <c r="X172" s="89">
        <f>IFERROR(-X110/X140,0)</f>
        <v>0.131751003646386</v>
      </c>
      <c r="Y172" s="88">
        <f>IFERROR(-Y110/Y140,0)</f>
        <v>0.151977148363561</v>
      </c>
      <c r="Z172" s="88">
        <f>IFERROR(-Z110/Z140,0)</f>
        <v>0.147244793231418</v>
      </c>
      <c r="AA172" s="88">
        <f>IFERROR(-AA110/AA140,0)</f>
        <v>0.130800218829264</v>
      </c>
      <c r="AB172" s="88">
        <f>IFERROR(-AB110/AB140,0)</f>
        <v>0.150377451057971</v>
      </c>
      <c r="AC172" s="89">
        <f>IFERROR(-AC110/AC140,0)</f>
        <v>0.144523186277639</v>
      </c>
      <c r="AD172" s="88">
        <f>IFERROR(-AD110/AD140,0)</f>
        <v>0.145910288162912</v>
      </c>
      <c r="AE172" s="88">
        <f>IFERROR(-AE110/AE140,0)</f>
        <v>0.132884598973509</v>
      </c>
      <c r="AF172" s="88">
        <f>IFERROR(-AF110/AF140,0)</f>
        <v>0.125986120562048</v>
      </c>
      <c r="AG172" s="88">
        <f>IFERROR(-AG110/AG140,0)</f>
        <v>0.1370907900921</v>
      </c>
      <c r="AH172" s="89">
        <f>IFERROR(-AH110/AH140,0)</f>
        <v>0.135081330558863</v>
      </c>
      <c r="AI172" s="88">
        <f>IFERROR(-AI110/AI140,0)</f>
        <v>0.133934489358565</v>
      </c>
      <c r="AJ172" s="88">
        <f>IFERROR(-AJ110/AJ140,0)</f>
        <v>0.141195863525961</v>
      </c>
      <c r="AK172" s="88">
        <f>IFERROR(-AK110/AK140,0)</f>
        <v>2.53394194949454</v>
      </c>
      <c r="AL172" s="88">
        <f>IFERROR(-AL110/AL140,0)</f>
        <v>1.62265261174297</v>
      </c>
      <c r="AM172" s="89">
        <f>IFERROR(-AM110/AM140,0)</f>
        <v>0.256996311191952</v>
      </c>
      <c r="AN172" s="88">
        <f>IFERROR(-AN110/AN140,0)</f>
        <v>1.59426976922673</v>
      </c>
      <c r="AO172" s="88">
        <f>IFERROR(-AO110/AO140,0)</f>
        <v>2.50699162378951</v>
      </c>
      <c r="AP172" s="88">
        <f>IFERROR(-AP110/AP140,0)</f>
        <v>2.53394194949454</v>
      </c>
      <c r="AQ172" s="88">
        <f>IFERROR(-AQ110/AQ140,0)</f>
        <v>1.62265261174297</v>
      </c>
      <c r="AR172" s="89">
        <f>IFERROR(-AR110/AR140,0)</f>
        <v>1.97010191892799</v>
      </c>
      <c r="AS172" s="88">
        <f>IFERROR(-AS110/AS140,0)</f>
        <v>1.59426976922673</v>
      </c>
      <c r="AT172" s="88">
        <f>IFERROR(-AT110/AT140,0)</f>
        <v>2.50699162378951</v>
      </c>
      <c r="AU172" s="88">
        <f>IFERROR(-AU110/AU140,0)</f>
        <v>2.53394194949454</v>
      </c>
      <c r="AV172" s="88">
        <f>IFERROR(-AV110/AV140,0)</f>
        <v>1.62265261174297</v>
      </c>
      <c r="AW172" s="89">
        <f>IFERROR(-AW110/AW140,0)</f>
        <v>1.97010191892799</v>
      </c>
      <c r="AX172" s="88">
        <f>IFERROR(-AX110/AX140,0)</f>
        <v>1.59426976922673</v>
      </c>
      <c r="AY172" s="88">
        <f>IFERROR(-AY110/AY140,0)</f>
        <v>2.50699162378951</v>
      </c>
      <c r="AZ172" s="88">
        <f>IFERROR(-AZ110/AZ140,0)</f>
        <v>2.53394194949454</v>
      </c>
      <c r="BA172" s="88">
        <f>IFERROR(-BA110/BA140,0)</f>
        <v>1.62265261174297</v>
      </c>
      <c r="BB172" s="89">
        <f>IFERROR(-BB110/BB140,0)</f>
        <v>1.97010191892799</v>
      </c>
      <c r="BC172" s="88">
        <f>IFERROR(-BC110/BC140,0)</f>
        <v>1.59426976922673</v>
      </c>
      <c r="BD172" s="88">
        <f>IFERROR(-BD110/BD140,0)</f>
        <v>2.50699162378951</v>
      </c>
      <c r="BE172" s="88">
        <f>IFERROR(-BE110/BE140,0)</f>
        <v>2.53394194949454</v>
      </c>
      <c r="BF172" s="88">
        <f>IFERROR(-BF110/BF140,0)</f>
        <v>1.62265261174297</v>
      </c>
      <c r="BG172" s="89">
        <f>IFERROR(-BG110/BG140,0)</f>
        <v>1.97010191892799</v>
      </c>
    </row>
    <row r="173">
      <c r="C173" s="11" t="inlineStr">
        <is>
          <t>Cobertura das despesas de pessoal por receitas de serviços</t>
        </is>
      </c>
      <c r="D173" s="12" t="inlineStr">
        <is>
          <t>Fee coverage of personnel</t>
        </is>
      </c>
      <c r="E173" s="88">
        <f>IFERROR(E107/-E109,0)</f>
        <v>0.539301444228209</v>
      </c>
      <c r="F173" s="88">
        <f>IFERROR(F107/-F109,0)</f>
        <v>0.692077302388083</v>
      </c>
      <c r="G173" s="88">
        <f>IFERROR(G107/-G109,0)</f>
        <v>0.872976241126811</v>
      </c>
      <c r="H173" s="88">
        <f>IFERROR(H107/-H109,0)</f>
        <v>0.940721623296788</v>
      </c>
      <c r="I173" s="89">
        <f>IFERROR(I107/-I109,0)</f>
        <v>0.760978851575145</v>
      </c>
      <c r="J173" s="88">
        <f>IFERROR(J107/-J109,0)</f>
        <v>0.724533977048489</v>
      </c>
      <c r="K173" s="88">
        <f>IFERROR(K107/-K109,0)</f>
        <v>0.713003978218548</v>
      </c>
      <c r="L173" s="88">
        <f>IFERROR(L107/-L109,0)</f>
        <v>0.906620333244231</v>
      </c>
      <c r="M173" s="88">
        <f>IFERROR(M107/-M109,0)</f>
        <v>0.742246720849763</v>
      </c>
      <c r="N173" s="89">
        <f>IFERROR(N107/-N109,0)</f>
        <v>0.772408843015677</v>
      </c>
      <c r="O173" s="88">
        <f>IFERROR(O107/-O109,0)</f>
        <v>0.433232356312428</v>
      </c>
      <c r="P173" s="88">
        <f>IFERROR(P107/-P109,0)</f>
        <v>0.704957896158869</v>
      </c>
      <c r="Q173" s="88">
        <f>IFERROR(Q107/-Q109,0)</f>
        <v>0.725997830312345</v>
      </c>
      <c r="R173" s="88">
        <f>IFERROR(R107/-R109,0)</f>
        <v>0.568340105291194</v>
      </c>
      <c r="S173" s="89">
        <f>IFERROR(S107/-S109,0)</f>
        <v>0.613098507316954</v>
      </c>
      <c r="T173" s="88">
        <f>IFERROR(T107/-T109,0)</f>
        <v>0.485563175636406</v>
      </c>
      <c r="U173" s="88">
        <f>IFERROR(U107/-U109,0)</f>
        <v>0.463852305733498</v>
      </c>
      <c r="V173" s="88">
        <f>IFERROR(V107/-V109,0)</f>
        <v>0.612557224278388</v>
      </c>
      <c r="W173" s="88">
        <f>IFERROR(W107/-W109,0)</f>
        <v>0.573625894123331</v>
      </c>
      <c r="X173" s="89">
        <f>IFERROR(X107/-X109,0)</f>
        <v>0.53720732607893</v>
      </c>
      <c r="Y173" s="88">
        <f>IFERROR(Y107/-Y109,0)</f>
        <v>0.569660139545352</v>
      </c>
      <c r="Z173" s="88">
        <f>IFERROR(Z107/-Z109,0)</f>
        <v>0.649292726005356</v>
      </c>
      <c r="AA173" s="88">
        <f>IFERROR(AA107/-AA109,0)</f>
        <v>0.593989032691402</v>
      </c>
      <c r="AB173" s="88">
        <f>IFERROR(AB107/-AB109,0)</f>
        <v>0.698089490972833</v>
      </c>
      <c r="AC173" s="89">
        <f>IFERROR(AC107/-AC109,0)</f>
        <v>0.628852613589487</v>
      </c>
      <c r="AD173" s="88">
        <f>IFERROR(AD107/-AD109,0)</f>
        <v>0.547874249961536</v>
      </c>
      <c r="AE173" s="88">
        <f>IFERROR(AE107/-AE109,0)</f>
        <v>0.63771708076748</v>
      </c>
      <c r="AF173" s="88">
        <f>IFERROR(AF107/-AF109,0)</f>
        <v>0.52472683240916</v>
      </c>
      <c r="AG173" s="88">
        <f>IFERROR(AG107/-AG109,0)</f>
        <v>0.620050060377812</v>
      </c>
      <c r="AH173" s="89">
        <f>IFERROR(AH107/-AH109,0)</f>
        <v>0.581764607550343</v>
      </c>
      <c r="AI173" s="88">
        <f>IFERROR(AI107/-AI109,0)</f>
        <v>0.595319564112078</v>
      </c>
      <c r="AJ173" s="88">
        <f>IFERROR(AJ107/-AJ109,0)</f>
        <v>0.517287732613964</v>
      </c>
      <c r="AK173" s="88">
        <f>IFERROR(AK107/-AK109,0)</f>
        <v>0.52472683240916</v>
      </c>
      <c r="AL173" s="88">
        <f>IFERROR(AL107/-AL109,0)</f>
        <v>0.620050060377812</v>
      </c>
      <c r="AM173" s="89">
        <f>IFERROR(AM107/-AM109,0)</f>
        <v>0.564652910333041</v>
      </c>
      <c r="AN173" s="88">
        <f>IFERROR(AN107/-AN109,0)</f>
        <v>0.595319564112078</v>
      </c>
      <c r="AO173" s="88">
        <f>IFERROR(AO107/-AO109,0)</f>
        <v>0.517287732613964</v>
      </c>
      <c r="AP173" s="88">
        <f>IFERROR(AP107/-AP109,0)</f>
        <v>0.52472683240916</v>
      </c>
      <c r="AQ173" s="88">
        <f>IFERROR(AQ107/-AQ109,0)</f>
        <v>0.620050060377812</v>
      </c>
      <c r="AR173" s="89">
        <f>IFERROR(AR107/-AR109,0)</f>
        <v>0.564652910333041</v>
      </c>
      <c r="AS173" s="88">
        <f>IFERROR(AS107/-AS109,0)</f>
        <v>0.595319564112078</v>
      </c>
      <c r="AT173" s="88">
        <f>IFERROR(AT107/-AT109,0)</f>
        <v>0.517287732613964</v>
      </c>
      <c r="AU173" s="88">
        <f>IFERROR(AU107/-AU109,0)</f>
        <v>0.52472683240916</v>
      </c>
      <c r="AV173" s="88">
        <f>IFERROR(AV107/-AV109,0)</f>
        <v>0.620050060377812</v>
      </c>
      <c r="AW173" s="89">
        <f>IFERROR(AW107/-AW109,0)</f>
        <v>0.564652910333041</v>
      </c>
      <c r="AX173" s="88">
        <f>IFERROR(AX107/-AX109,0)</f>
        <v>0.595319564112078</v>
      </c>
      <c r="AY173" s="88">
        <f>IFERROR(AY107/-AY109,0)</f>
        <v>0.517287732613964</v>
      </c>
      <c r="AZ173" s="88">
        <f>IFERROR(AZ107/-AZ109,0)</f>
        <v>0.52472683240916</v>
      </c>
      <c r="BA173" s="88">
        <f>IFERROR(BA107/-BA109,0)</f>
        <v>0.620050060377812</v>
      </c>
      <c r="BB173" s="89">
        <f>IFERROR(BB107/-BB109,0)</f>
        <v>0.564652910333041</v>
      </c>
      <c r="BC173" s="88">
        <f>IFERROR(BC107/-BC109,0)</f>
        <v>0.595319564112078</v>
      </c>
      <c r="BD173" s="88">
        <f>IFERROR(BD107/-BD109,0)</f>
        <v>0.517287732613964</v>
      </c>
      <c r="BE173" s="88">
        <f>IFERROR(BE107/-BE109,0)</f>
        <v>0.52472683240916</v>
      </c>
      <c r="BF173" s="88">
        <f>IFERROR(BF107/-BF109,0)</f>
        <v>0.620050060377812</v>
      </c>
      <c r="BG173" s="89">
        <f>IFERROR(BG107/-BG109,0)</f>
        <v>0.564652910333041</v>
      </c>
    </row>
    <row r="174">
      <c r="B174" s="29" t="n"/>
      <c r="C174" s="29" t="inlineStr">
        <is>
          <t>Crescimento</t>
        </is>
      </c>
      <c r="D174" s="29" t="inlineStr">
        <is>
          <t>Growth</t>
        </is>
      </c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  <c r="AB174" s="29" t="n"/>
      <c r="AC174" s="29" t="n"/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  <c r="AW174" s="29" t="n"/>
      <c r="AX174" s="29" t="n"/>
      <c r="AY174" s="29" t="n"/>
      <c r="AZ174" s="29" t="n"/>
      <c r="BA174" s="29" t="n"/>
      <c r="BB174" s="29" t="n"/>
      <c r="BC174" s="29" t="n"/>
      <c r="BD174" s="29" t="n"/>
      <c r="BE174" s="29" t="n"/>
      <c r="BF174" s="29" t="n"/>
      <c r="BG174" s="29" t="n"/>
      <c r="BH174" s="29" t="n"/>
      <c r="BI174" s="29" t="n"/>
    </row>
    <row r="175">
      <c r="C175" s="11" t="inlineStr">
        <is>
          <t>Receita operacional total — % YoY</t>
        </is>
      </c>
      <c r="D175" s="12" t="inlineStr">
        <is>
          <t>Total revenue growth YoY</t>
        </is>
      </c>
      <c r="E175" s="88" t="n">
        <v>0</v>
      </c>
      <c r="F175" s="88" t="n">
        <v>0</v>
      </c>
      <c r="G175" s="88" t="n">
        <v>0</v>
      </c>
      <c r="H175" s="88" t="n">
        <v>0</v>
      </c>
      <c r="I175" s="89" t="n">
        <v>0</v>
      </c>
      <c r="J175" s="88">
        <f>IFERROR(J140/E140-1,0)</f>
        <v>-2.49872287461443</v>
      </c>
      <c r="K175" s="88">
        <f>IFERROR(K140/F140-1,0)</f>
        <v>2.96911170151323</v>
      </c>
      <c r="L175" s="88">
        <f>IFERROR(L140/G140-1,0)</f>
        <v>0.308244514967382</v>
      </c>
      <c r="M175" s="88">
        <f>IFERROR(M140/H140-1,0)</f>
        <v>-0.149554069637676</v>
      </c>
      <c r="N175" s="89">
        <f>IFERROR(N140/I140-1,0)</f>
        <v>1.36732063901171</v>
      </c>
      <c r="O175" s="88">
        <f>IFERROR(O140/J140-1,0)</f>
        <v>0.732008420322875</v>
      </c>
      <c r="P175" s="88">
        <f>IFERROR(P140/K140-1,0)</f>
        <v>-0.0103975677568695</v>
      </c>
      <c r="Q175" s="88">
        <f>IFERROR(Q140/L140-1,0)</f>
        <v>0.713723279530074</v>
      </c>
      <c r="R175" s="88">
        <f>IFERROR(R140/M140-1,0)</f>
        <v>0.687391842793757</v>
      </c>
      <c r="S175" s="89">
        <f>IFERROR(S140/N140-1,0)</f>
        <v>0.460455041551469</v>
      </c>
      <c r="T175" s="88">
        <f>IFERROR(T140/O140-1,0)</f>
        <v>0.136952288827088</v>
      </c>
      <c r="U175" s="88">
        <f>IFERROR(U140/P140-1,0)</f>
        <v>0.0420076463091859</v>
      </c>
      <c r="V175" s="88">
        <f>IFERROR(V140/Q140-1,0)</f>
        <v>0.0616770919907261</v>
      </c>
      <c r="W175" s="88">
        <f>IFERROR(W140/R140-1,0)</f>
        <v>0.0036518228331277</v>
      </c>
      <c r="X175" s="89">
        <f>IFERROR(X140/S140-1,0)</f>
        <v>0.0572064270530035</v>
      </c>
      <c r="Y175" s="88">
        <f>IFERROR(Y140/T140-1,0)</f>
        <v>0.0123072183889501</v>
      </c>
      <c r="Z175" s="88">
        <f>IFERROR(Z140/U140-1,0)</f>
        <v>0.0834675507454707</v>
      </c>
      <c r="AA175" s="88">
        <f>IFERROR(AA140/V140-1,0)</f>
        <v>0.126674632277203</v>
      </c>
      <c r="AB175" s="88">
        <f>IFERROR(AB140/W140-1,0)</f>
        <v>0.0200006457028474</v>
      </c>
      <c r="AC175" s="89">
        <f>IFERROR(AC140/X140-1,0)</f>
        <v>0.0609291294957843</v>
      </c>
      <c r="AD175" s="88">
        <f>IFERROR(AD140/Y140-1,0)</f>
        <v>0.151864846408964</v>
      </c>
      <c r="AE175" s="88">
        <f>IFERROR(AE140/Z140-1,0)</f>
        <v>0.13958637600571</v>
      </c>
      <c r="AF175" s="88">
        <f>IFERROR(AF140/AA140-1,0)</f>
        <v>0.115665015695441</v>
      </c>
      <c r="AG175" s="88">
        <f>IFERROR(AG140/AB140-1,0)</f>
        <v>0.175176855998861</v>
      </c>
      <c r="AH175" s="89">
        <f>IFERROR(AH140/AC140-1,0)</f>
        <v>0.144871467462925</v>
      </c>
      <c r="AI175" s="88">
        <f>IFERROR(AI140/AD140-1,0)</f>
        <v>0.0984675865864682</v>
      </c>
      <c r="AJ175" s="88">
        <f>IFERROR(AJ140/AE140-1,0)</f>
        <v>0.132470101308107</v>
      </c>
      <c r="AK175" s="88">
        <f>IFERROR(AK140/AF140-1,0)</f>
        <v>-0.950280581373548</v>
      </c>
      <c r="AL175" s="88">
        <f>IFERROR(AL140/AG140-1,0)</f>
        <v>-0.915514393469071</v>
      </c>
      <c r="AM175" s="89">
        <f>IFERROR(AM140/AH140-1,0)</f>
        <v>-0.448652666697886</v>
      </c>
      <c r="AN175" s="88">
        <f>IFERROR(AN140/AI140-1,0)</f>
        <v>-0.915990071477346</v>
      </c>
      <c r="AO175" s="88">
        <f>IFERROR(AO140/AJ140-1,0)</f>
        <v>-0.943679164227708</v>
      </c>
      <c r="AP175" s="88">
        <f>IFERROR(AP140/AK140-1,0)</f>
        <v>0</v>
      </c>
      <c r="AQ175" s="88">
        <f>IFERROR(AQ140/AL140-1,0)</f>
        <v>0</v>
      </c>
      <c r="AR175" s="89">
        <f>IFERROR(AR140/AM140-1,0)</f>
        <v>-0.869551768503533</v>
      </c>
      <c r="AS175" s="88">
        <f>IFERROR(AS140/AN140-1,0)</f>
        <v>0</v>
      </c>
      <c r="AT175" s="88">
        <f>IFERROR(AT140/AO140-1,0)</f>
        <v>0</v>
      </c>
      <c r="AU175" s="88">
        <f>IFERROR(AU140/AP140-1,0)</f>
        <v>0</v>
      </c>
      <c r="AV175" s="88">
        <f>IFERROR(AV140/AQ140-1,0)</f>
        <v>0</v>
      </c>
      <c r="AW175" s="89">
        <f>IFERROR(AW140/AR140-1,0)</f>
        <v>0</v>
      </c>
      <c r="AX175" s="88">
        <f>IFERROR(AX140/AS140-1,0)</f>
        <v>0</v>
      </c>
      <c r="AY175" s="88">
        <f>IFERROR(AY140/AT140-1,0)</f>
        <v>0</v>
      </c>
      <c r="AZ175" s="88">
        <f>IFERROR(AZ140/AU140-1,0)</f>
        <v>0</v>
      </c>
      <c r="BA175" s="88">
        <f>IFERROR(BA140/AV140-1,0)</f>
        <v>0</v>
      </c>
      <c r="BB175" s="89">
        <f>IFERROR(BB140/AW140-1,0)</f>
        <v>0</v>
      </c>
      <c r="BC175" s="88">
        <f>IFERROR(BC140/AX140-1,0)</f>
        <v>0</v>
      </c>
      <c r="BD175" s="88">
        <f>IFERROR(BD140/AY140-1,0)</f>
        <v>0</v>
      </c>
      <c r="BE175" s="88">
        <f>IFERROR(BE140/AZ140-1,0)</f>
        <v>0</v>
      </c>
      <c r="BF175" s="88">
        <f>IFERROR(BF140/BA140-1,0)</f>
        <v>0</v>
      </c>
      <c r="BG175" s="89">
        <f>IFERROR(BG140/BB140-1,0)</f>
        <v>0</v>
      </c>
    </row>
    <row r="176">
      <c r="C176" s="11" t="inlineStr">
        <is>
          <t>Margem financeira bruta — % YoY</t>
        </is>
      </c>
      <c r="D176" s="12" t="inlineStr">
        <is>
          <t>NII growth YoY</t>
        </is>
      </c>
      <c r="E176" s="88" t="n">
        <v>0</v>
      </c>
      <c r="F176" s="88" t="n">
        <v>0</v>
      </c>
      <c r="G176" s="88" t="n">
        <v>0</v>
      </c>
      <c r="H176" s="88" t="n">
        <v>0</v>
      </c>
      <c r="I176" s="89" t="n">
        <v>0</v>
      </c>
      <c r="J176" s="88">
        <f>IFERROR(J137/E137-1,0)</f>
        <v>-1.8260984127648</v>
      </c>
      <c r="K176" s="88">
        <f>IFERROR(K137/F137-1,0)</f>
        <v>4.93696893989669</v>
      </c>
      <c r="L176" s="88">
        <f>IFERROR(L137/G137-1,0)</f>
        <v>0.242603701863226</v>
      </c>
      <c r="M176" s="88">
        <f>IFERROR(M137/H137-1,0)</f>
        <v>-0.177183596722926</v>
      </c>
      <c r="N176" s="89">
        <f>IFERROR(N137/I137-1,0)</f>
        <v>2.04959689711975</v>
      </c>
      <c r="O176" s="88">
        <f>IFERROR(O137/J137-1,0)</f>
        <v>1.1840104092833</v>
      </c>
      <c r="P176" s="88">
        <f>IFERROR(P137/K137-1,0)</f>
        <v>-0.110995436832347</v>
      </c>
      <c r="Q176" s="88">
        <f>IFERROR(Q137/L137-1,0)</f>
        <v>0.943579806641794</v>
      </c>
      <c r="R176" s="88">
        <f>IFERROR(R137/M137-1,0)</f>
        <v>0.683335146972809</v>
      </c>
      <c r="S176" s="89">
        <f>IFERROR(S137/N137-1,0)</f>
        <v>0.514981926258462</v>
      </c>
      <c r="T176" s="88">
        <f>IFERROR(T137/O137-1,0)</f>
        <v>0.053317631677164</v>
      </c>
      <c r="U176" s="88">
        <f>IFERROR(U137/P137-1,0)</f>
        <v>0.165359610866356</v>
      </c>
      <c r="V176" s="88">
        <f>IFERROR(V137/Q137-1,0)</f>
        <v>0.014848597337858</v>
      </c>
      <c r="W176" s="88">
        <f>IFERROR(W137/R137-1,0)</f>
        <v>-0.0945385493368885</v>
      </c>
      <c r="X176" s="89">
        <f>IFERROR(X137/S137-1,0)</f>
        <v>0.0278773408094328</v>
      </c>
      <c r="Y176" s="88">
        <f>IFERROR(Y137/T137-1,0)</f>
        <v>-0.0515651100297767</v>
      </c>
      <c r="Z176" s="88">
        <f>IFERROR(Z137/U137-1,0)</f>
        <v>-0.044041363086323</v>
      </c>
      <c r="AA176" s="88">
        <f>IFERROR(AA137/V137-1,0)</f>
        <v>0.183142603333856</v>
      </c>
      <c r="AB176" s="88">
        <f>IFERROR(AB137/W137-1,0)</f>
        <v>0.121818226439426</v>
      </c>
      <c r="AC176" s="89">
        <f>IFERROR(AC137/X137-1,0)</f>
        <v>0.0528523594023018</v>
      </c>
      <c r="AD176" s="88">
        <f>IFERROR(AD137/Y137-1,0)</f>
        <v>0.208424701877493</v>
      </c>
      <c r="AE176" s="88">
        <f>IFERROR(AE137/Z137-1,0)</f>
        <v>0.169892492154893</v>
      </c>
      <c r="AF176" s="88">
        <f>IFERROR(AF137/AA137-1,0)</f>
        <v>0.148931622044184</v>
      </c>
      <c r="AG176" s="88">
        <f>IFERROR(AG137/AB137-1,0)</f>
        <v>0.203783476327419</v>
      </c>
      <c r="AH176" s="89">
        <f>IFERROR(AH137/AC137-1,0)</f>
        <v>0.18105287536302</v>
      </c>
      <c r="AI176" s="88">
        <f>IFERROR(AI137/AD137-1,0)</f>
        <v>0.121937449953626</v>
      </c>
      <c r="AJ176" s="88">
        <f>IFERROR(AJ137/AE137-1,0)</f>
        <v>0.188310091479333</v>
      </c>
      <c r="AK176" s="88">
        <f>IFERROR(AK137/AF137-1,0)</f>
        <v>-1.11239761619566</v>
      </c>
      <c r="AL176" s="88">
        <f>IFERROR(AL137/AG137-1,0)</f>
        <v>-1.12076554559513</v>
      </c>
      <c r="AM176" s="89">
        <f>IFERROR(AM137/AH137-1,0)</f>
        <v>-0.537420101238936</v>
      </c>
      <c r="AN176" s="88">
        <f>IFERROR(AN137/AI137-1,0)</f>
        <v>-1.12510945747499</v>
      </c>
      <c r="AO176" s="88">
        <f>IFERROR(AO137/AJ137-1,0)</f>
        <v>-1.11636145659057</v>
      </c>
      <c r="AP176" s="88">
        <f>IFERROR(AP137/AK137-1,0)</f>
        <v>0</v>
      </c>
      <c r="AQ176" s="88">
        <f>IFERROR(AQ137/AL137-1,0)</f>
        <v>0</v>
      </c>
      <c r="AR176" s="89">
        <f>IFERROR(AR137/AM137-1,0)</f>
        <v>-1.27421842574859</v>
      </c>
      <c r="AS176" s="88">
        <f>IFERROR(AS137/AN137-1,0)</f>
        <v>0</v>
      </c>
      <c r="AT176" s="88">
        <f>IFERROR(AT137/AO137-1,0)</f>
        <v>0</v>
      </c>
      <c r="AU176" s="88">
        <f>IFERROR(AU137/AP137-1,0)</f>
        <v>0</v>
      </c>
      <c r="AV176" s="88">
        <f>IFERROR(AV137/AQ137-1,0)</f>
        <v>0</v>
      </c>
      <c r="AW176" s="89">
        <f>IFERROR(AW137/AR137-1,0)</f>
        <v>0</v>
      </c>
      <c r="AX176" s="88">
        <f>IFERROR(AX137/AS137-1,0)</f>
        <v>0</v>
      </c>
      <c r="AY176" s="88">
        <f>IFERROR(AY137/AT137-1,0)</f>
        <v>0</v>
      </c>
      <c r="AZ176" s="88">
        <f>IFERROR(AZ137/AU137-1,0)</f>
        <v>0</v>
      </c>
      <c r="BA176" s="88">
        <f>IFERROR(BA137/AV137-1,0)</f>
        <v>0</v>
      </c>
      <c r="BB176" s="89">
        <f>IFERROR(BB137/AW137-1,0)</f>
        <v>0</v>
      </c>
      <c r="BC176" s="88">
        <f>IFERROR(BC137/AX137-1,0)</f>
        <v>0</v>
      </c>
      <c r="BD176" s="88">
        <f>IFERROR(BD137/AY137-1,0)</f>
        <v>0</v>
      </c>
      <c r="BE176" s="88">
        <f>IFERROR(BE137/AZ137-1,0)</f>
        <v>0</v>
      </c>
      <c r="BF176" s="88">
        <f>IFERROR(BF137/BA137-1,0)</f>
        <v>0</v>
      </c>
      <c r="BG176" s="89">
        <f>IFERROR(BG137/BB137-1,0)</f>
        <v>0</v>
      </c>
    </row>
    <row r="177">
      <c r="C177" s="11" t="inlineStr">
        <is>
          <t>Carteira de crédito — % QoQ</t>
        </is>
      </c>
      <c r="D177" s="12" t="inlineStr">
        <is>
          <t>Loan growth QoQ</t>
        </is>
      </c>
      <c r="E177" s="88" t="n">
        <v>0</v>
      </c>
      <c r="F177" s="88">
        <f>IFERROR(F30/E30-1,0)</f>
        <v>0.0193212270763177</v>
      </c>
      <c r="G177" s="88">
        <f>IFERROR(G30/F30-1,0)</f>
        <v>0.0550273493726545</v>
      </c>
      <c r="H177" s="88">
        <f>IFERROR(H30/G30-1,0)</f>
        <v>0.0685715086201313</v>
      </c>
      <c r="I177" s="89" t="n">
        <v>0</v>
      </c>
      <c r="J177" s="88">
        <f>IFERROR(J30/H30-1,0)</f>
        <v>0.0209523233785949</v>
      </c>
      <c r="K177" s="88">
        <f>IFERROR(K30/J30-1,0)</f>
        <v>-0.0311647663717008</v>
      </c>
      <c r="L177" s="88">
        <f>IFERROR(L30/K30-1,0)</f>
        <v>0.0509010687390938</v>
      </c>
      <c r="M177" s="88">
        <f>IFERROR(M30/L30-1,0)</f>
        <v>0.0622823659397032</v>
      </c>
      <c r="N177" s="89">
        <f>IFERROR(N30/I30-1,0)</f>
        <v>0.104224025198887</v>
      </c>
      <c r="O177" s="88">
        <f>IFERROR(O30/M30-1,0)</f>
        <v>-0.0053833527604501</v>
      </c>
      <c r="P177" s="88">
        <f>IFERROR(P30/O30-1,0)</f>
        <v>0.0588311125797221</v>
      </c>
      <c r="Q177" s="88">
        <f>IFERROR(Q30/P30-1,0)</f>
        <v>0.0502764413658687</v>
      </c>
      <c r="R177" s="88">
        <f>IFERROR(R30/Q30-1,0)</f>
        <v>-0.000481634987754109</v>
      </c>
      <c r="S177" s="89">
        <f>IFERROR(S30/N30-1,0)</f>
        <v>0.105546006515648</v>
      </c>
      <c r="T177" s="88">
        <f>IFERROR(T30/R30-1,0)</f>
        <v>-0.0747232739242685</v>
      </c>
      <c r="U177" s="88">
        <f>IFERROR(U30/T30-1,0)</f>
        <v>-0.0301123957095587</v>
      </c>
      <c r="V177" s="88">
        <f>IFERROR(V30/U30-1,0)</f>
        <v>0.0133068520267812</v>
      </c>
      <c r="W177" s="88">
        <f>IFERROR(W30/V30-1,0)</f>
        <v>0.0277252094786129</v>
      </c>
      <c r="X177" s="89">
        <f>IFERROR(X30/S30-1,0)</f>
        <v>-0.0654317210447166</v>
      </c>
      <c r="Y177" s="88">
        <f>IFERROR(Y30/W30-1,0)</f>
        <v>-0.0789783280713492</v>
      </c>
      <c r="Z177" s="88">
        <f>IFERROR(Z30/Y30-1,0)</f>
        <v>-0.00483238528616736</v>
      </c>
      <c r="AA177" s="88">
        <f>IFERROR(AA30/Z30-1,0)</f>
        <v>0.00235587570036677</v>
      </c>
      <c r="AB177" s="88">
        <f>IFERROR(AB30/AA30-1,0)</f>
        <v>0.0490480677964533</v>
      </c>
      <c r="AC177" s="89">
        <f>IFERROR(AC30/X30-1,0)</f>
        <v>-0.03620778799109</v>
      </c>
      <c r="AD177" s="88">
        <f>IFERROR(AD30/AB30-1,0)</f>
        <v>-0.11116853813892</v>
      </c>
      <c r="AE177" s="88">
        <f>IFERROR(AE30/AD30-1,0)</f>
        <v>0.00131097607888786</v>
      </c>
      <c r="AF177" s="88">
        <f>IFERROR(AF30/AE30-1,0)</f>
        <v>0.0267126380257943</v>
      </c>
      <c r="AG177" s="88">
        <f>IFERROR(AG30/AF30-1,0)</f>
        <v>0.101379397542348</v>
      </c>
      <c r="AH177" s="89">
        <f>IFERROR(AH30/AC30-1,0)</f>
        <v>0.00640839740710986</v>
      </c>
      <c r="AI177" s="88">
        <f>IFERROR(AI30/AG30-1,0)</f>
        <v>-0.0823635274581227</v>
      </c>
      <c r="AJ177" s="88">
        <f>IFERROR(AJ30/AI30-1,0)</f>
        <v>0.0260879727749039</v>
      </c>
      <c r="AK177" s="88">
        <f>IFERROR(AK30/AJ30-1,0)</f>
        <v>0</v>
      </c>
      <c r="AL177" s="88">
        <f>IFERROR(AL30/AK30-1,0)</f>
        <v>0</v>
      </c>
      <c r="AM177" s="89">
        <f>IFERROR(AM30/AH30-1,0)</f>
        <v>-0.0584242521451913</v>
      </c>
      <c r="AN177" s="88">
        <f>IFERROR(AN30/AL30-1,0)</f>
        <v>0</v>
      </c>
      <c r="AO177" s="88">
        <f>IFERROR(AO30/AN30-1,0)</f>
        <v>0</v>
      </c>
      <c r="AP177" s="88">
        <f>IFERROR(AP30/AO30-1,0)</f>
        <v>0</v>
      </c>
      <c r="AQ177" s="88">
        <f>IFERROR(AQ30/AP30-1,0)</f>
        <v>0</v>
      </c>
      <c r="AR177" s="89">
        <f>IFERROR(AR30/AM30-1,0)</f>
        <v>0</v>
      </c>
      <c r="AS177" s="88">
        <f>IFERROR(AS30/AQ30-1,0)</f>
        <v>0</v>
      </c>
      <c r="AT177" s="88">
        <f>IFERROR(AT30/AS30-1,0)</f>
        <v>0</v>
      </c>
      <c r="AU177" s="88">
        <f>IFERROR(AU30/AT30-1,0)</f>
        <v>0</v>
      </c>
      <c r="AV177" s="88">
        <f>IFERROR(AV30/AU30-1,0)</f>
        <v>0</v>
      </c>
      <c r="AW177" s="89">
        <f>IFERROR(AW30/AR30-1,0)</f>
        <v>0</v>
      </c>
      <c r="AX177" s="88">
        <f>IFERROR(AX30/AV30-1,0)</f>
        <v>0</v>
      </c>
      <c r="AY177" s="88">
        <f>IFERROR(AY30/AX30-1,0)</f>
        <v>0</v>
      </c>
      <c r="AZ177" s="88">
        <f>IFERROR(AZ30/AY30-1,0)</f>
        <v>0</v>
      </c>
      <c r="BA177" s="88">
        <f>IFERROR(BA30/AZ30-1,0)</f>
        <v>0</v>
      </c>
      <c r="BB177" s="89">
        <f>IFERROR(BB30/AW30-1,0)</f>
        <v>0</v>
      </c>
      <c r="BC177" s="88">
        <f>IFERROR(BC30/BA30-1,0)</f>
        <v>0</v>
      </c>
      <c r="BD177" s="88">
        <f>IFERROR(BD30/BC30-1,0)</f>
        <v>0</v>
      </c>
      <c r="BE177" s="88">
        <f>IFERROR(BE30/BD30-1,0)</f>
        <v>0</v>
      </c>
      <c r="BF177" s="88">
        <f>IFERROR(BF30/BE30-1,0)</f>
        <v>0</v>
      </c>
      <c r="BG177" s="89">
        <f>IFERROR(BG30/BB30-1,0)</f>
        <v>0</v>
      </c>
    </row>
    <row r="178">
      <c r="C178" s="11" t="inlineStr">
        <is>
          <t>Carteira de crédito — % YoY</t>
        </is>
      </c>
      <c r="D178" s="12" t="inlineStr">
        <is>
          <t>Loan growth YoY</t>
        </is>
      </c>
      <c r="E178" s="88" t="n">
        <v>0</v>
      </c>
      <c r="F178" s="88" t="n">
        <v>0</v>
      </c>
      <c r="G178" s="88" t="n">
        <v>0</v>
      </c>
      <c r="H178" s="88" t="n">
        <v>0</v>
      </c>
      <c r="I178" s="89" t="n">
        <v>0</v>
      </c>
      <c r="J178" s="88">
        <f>IFERROR(J30/E30-1,0)</f>
        <v>0.17323183416157</v>
      </c>
      <c r="K178" s="88">
        <f>IFERROR(K30/F30-1,0)</f>
        <v>0.115122797364229</v>
      </c>
      <c r="L178" s="88">
        <f>IFERROR(L30/G30-1,0)</f>
        <v>0.11076147952205</v>
      </c>
      <c r="M178" s="88">
        <f>IFERROR(M30/H30-1,0)</f>
        <v>0.104224025198887</v>
      </c>
      <c r="N178" s="89">
        <f>IFERROR(N30/I30-1,0)</f>
        <v>0.104224025198887</v>
      </c>
      <c r="O178" s="88">
        <f>IFERROR(O30/J30-1,0)</f>
        <v>0.0757403383051098</v>
      </c>
      <c r="P178" s="88">
        <f>IFERROR(P30/K30-1,0)</f>
        <v>0.175666717847178</v>
      </c>
      <c r="Q178" s="88">
        <f>IFERROR(Q30/L30-1,0)</f>
        <v>0.174967933122714</v>
      </c>
      <c r="R178" s="88">
        <f>IFERROR(R30/M30-1,0)</f>
        <v>0.105546006515648</v>
      </c>
      <c r="S178" s="89">
        <f>IFERROR(S30/N30-1,0)</f>
        <v>0.105546006515648</v>
      </c>
      <c r="T178" s="88">
        <f>IFERROR(T30/O30-1,0)</f>
        <v>0.0284726203547321</v>
      </c>
      <c r="U178" s="88">
        <f>IFERROR(U30/P30-1,0)</f>
        <v>-0.0579207259939113</v>
      </c>
      <c r="V178" s="88">
        <f>IFERROR(V30/Q30-1,0)</f>
        <v>-0.0910817896083415</v>
      </c>
      <c r="W178" s="88">
        <f>IFERROR(W30/R30-1,0)</f>
        <v>-0.0654317210447166</v>
      </c>
      <c r="X178" s="89">
        <f>IFERROR(X30/S30-1,0)</f>
        <v>-0.0654317210447166</v>
      </c>
      <c r="Y178" s="88">
        <f>IFERROR(Y30/T30-1,0)</f>
        <v>-0.0697295040960253</v>
      </c>
      <c r="Z178" s="88">
        <f>IFERROR(Z30/U30-1,0)</f>
        <v>-0.0454821091102622</v>
      </c>
      <c r="AA178" s="88">
        <f>IFERROR(AA30/V30-1,0)</f>
        <v>-0.0557977433185626</v>
      </c>
      <c r="AB178" s="88">
        <f>IFERROR(AB30/W30-1,0)</f>
        <v>-0.03620778799109</v>
      </c>
      <c r="AC178" s="89">
        <f>IFERROR(AC30/X30-1,0)</f>
        <v>-0.03620778799109</v>
      </c>
      <c r="AD178" s="88">
        <f>IFERROR(AD30/Y30-1,0)</f>
        <v>-0.0698928517758419</v>
      </c>
      <c r="AE178" s="88">
        <f>IFERROR(AE30/Z30-1,0)</f>
        <v>-0.0641511212017365</v>
      </c>
      <c r="AF178" s="88">
        <f>IFERROR(AF30/AA30-1,0)</f>
        <v>-0.0414104466908196</v>
      </c>
      <c r="AG178" s="88">
        <f>IFERROR(AG30/AB30-1,0)</f>
        <v>0.00640839740710986</v>
      </c>
      <c r="AH178" s="89">
        <f>IFERROR(AH30/AC30-1,0)</f>
        <v>0.00640839740710986</v>
      </c>
      <c r="AI178" s="88">
        <f>IFERROR(AI30/AD30-1,0)</f>
        <v>0.0390238097552009</v>
      </c>
      <c r="AJ178" s="88">
        <f>IFERROR(AJ30/AE30-1,0)</f>
        <v>0.0647339938202944</v>
      </c>
      <c r="AK178" s="88">
        <f>IFERROR(AK30/AF30-1,0)</f>
        <v>0.0370321299128151</v>
      </c>
      <c r="AL178" s="88">
        <f>IFERROR(AL30/AG30-1,0)</f>
        <v>-0.0584242521451913</v>
      </c>
      <c r="AM178" s="89">
        <f>IFERROR(AM30/AH30-1,0)</f>
        <v>-0.0584242521451913</v>
      </c>
      <c r="AN178" s="88">
        <f>IFERROR(AN30/AI30-1,0)</f>
        <v>0.0260879727749039</v>
      </c>
      <c r="AO178" s="88">
        <f>IFERROR(AO30/AJ30-1,0)</f>
        <v>0</v>
      </c>
      <c r="AP178" s="88">
        <f>IFERROR(AP30/AK30-1,0)</f>
        <v>0</v>
      </c>
      <c r="AQ178" s="88">
        <f>IFERROR(AQ30/AL30-1,0)</f>
        <v>0</v>
      </c>
      <c r="AR178" s="89">
        <f>IFERROR(AR30/AM30-1,0)</f>
        <v>0</v>
      </c>
      <c r="AS178" s="88">
        <f>IFERROR(AS30/AN30-1,0)</f>
        <v>0</v>
      </c>
      <c r="AT178" s="88">
        <f>IFERROR(AT30/AO30-1,0)</f>
        <v>0</v>
      </c>
      <c r="AU178" s="88">
        <f>IFERROR(AU30/AP30-1,0)</f>
        <v>0</v>
      </c>
      <c r="AV178" s="88">
        <f>IFERROR(AV30/AQ30-1,0)</f>
        <v>0</v>
      </c>
      <c r="AW178" s="89">
        <f>IFERROR(AW30/AR30-1,0)</f>
        <v>0</v>
      </c>
      <c r="AX178" s="88">
        <f>IFERROR(AX30/AS30-1,0)</f>
        <v>0</v>
      </c>
      <c r="AY178" s="88">
        <f>IFERROR(AY30/AT30-1,0)</f>
        <v>0</v>
      </c>
      <c r="AZ178" s="88">
        <f>IFERROR(AZ30/AU30-1,0)</f>
        <v>0</v>
      </c>
      <c r="BA178" s="88">
        <f>IFERROR(BA30/AV30-1,0)</f>
        <v>0</v>
      </c>
      <c r="BB178" s="89">
        <f>IFERROR(BB30/AW30-1,0)</f>
        <v>0</v>
      </c>
      <c r="BC178" s="88">
        <f>IFERROR(BC30/AX30-1,0)</f>
        <v>0</v>
      </c>
      <c r="BD178" s="88">
        <f>IFERROR(BD30/AY30-1,0)</f>
        <v>0</v>
      </c>
      <c r="BE178" s="88">
        <f>IFERROR(BE30/AZ30-1,0)</f>
        <v>0</v>
      </c>
      <c r="BF178" s="88">
        <f>IFERROR(BF30/BA30-1,0)</f>
        <v>0</v>
      </c>
      <c r="BG178" s="89">
        <f>IFERROR(BG30/BB30-1,0)</f>
        <v>0</v>
      </c>
    </row>
    <row r="179">
      <c r="C179" s="11" t="inlineStr">
        <is>
          <t>Lucro líquido — % YoY</t>
        </is>
      </c>
      <c r="D179" s="12" t="inlineStr">
        <is>
          <t>Net income growth YoY</t>
        </is>
      </c>
      <c r="E179" s="88" t="n">
        <v>0</v>
      </c>
      <c r="F179" s="88" t="n">
        <v>0</v>
      </c>
      <c r="G179" s="88" t="n">
        <v>0</v>
      </c>
      <c r="H179" s="88" t="n">
        <v>0</v>
      </c>
      <c r="I179" s="89" t="n">
        <v>0</v>
      </c>
      <c r="J179" s="88">
        <f>IFERROR(J127/E127-1,0)</f>
        <v>0.511241157079898</v>
      </c>
      <c r="K179" s="88">
        <f>IFERROR(K127/F127-1,0)</f>
        <v>1.21273695144119</v>
      </c>
      <c r="L179" s="88">
        <f>IFERROR(L127/G127-1,0)</f>
        <v>1.06138142225247</v>
      </c>
      <c r="M179" s="88">
        <f>IFERROR(M127/H127-1,0)</f>
        <v>0.528177984092388</v>
      </c>
      <c r="N179" s="89">
        <f>IFERROR(N127/I127-1,0)</f>
        <v>0.776520996662271</v>
      </c>
      <c r="O179" s="88">
        <f>IFERROR(O127/J127-1,0)</f>
        <v>0.496348218224596</v>
      </c>
      <c r="P179" s="88">
        <f>IFERROR(P127/K127-1,0)</f>
        <v>0.479037699867973</v>
      </c>
      <c r="Q179" s="88">
        <f>IFERROR(Q127/L127-1,0)</f>
        <v>0.440301069589332</v>
      </c>
      <c r="R179" s="88">
        <f>IFERROR(R127/M127-1,0)</f>
        <v>0.217976501386085</v>
      </c>
      <c r="S179" s="89">
        <f>IFERROR(S127/N127-1,0)</f>
        <v>0.39858749014721</v>
      </c>
      <c r="T179" s="88">
        <f>IFERROR(T127/O127-1,0)</f>
        <v>0.0374586431683428</v>
      </c>
      <c r="U179" s="88">
        <f>IFERROR(U127/P127-1,0)</f>
        <v>0.00112074266558393</v>
      </c>
      <c r="V179" s="88">
        <f>IFERROR(V127/Q127-1,0)</f>
        <v>0.0461613216715249</v>
      </c>
      <c r="W179" s="88">
        <f>IFERROR(W127/R127-1,0)</f>
        <v>0.173319072144045</v>
      </c>
      <c r="X179" s="89">
        <f>IFERROR(X127/S127-1,0)</f>
        <v>0.0641662313773226</v>
      </c>
      <c r="Y179" s="88">
        <f>IFERROR(Y127/T127-1,0)</f>
        <v>0.173689500744648</v>
      </c>
      <c r="Z179" s="88">
        <f>IFERROR(Z127/U127-1,0)</f>
        <v>0.238891805942202</v>
      </c>
      <c r="AA179" s="88">
        <f>IFERROR(AA127/V127-1,0)</f>
        <v>0.117659430895022</v>
      </c>
      <c r="AB179" s="88">
        <f>IFERROR(AB127/W127-1,0)</f>
        <v>0.050150564021032</v>
      </c>
      <c r="AC179" s="89">
        <f>IFERROR(AC127/X127-1,0)</f>
        <v>0.1405525245954</v>
      </c>
      <c r="AD179" s="88">
        <f>IFERROR(AD127/Y127-1,0)</f>
        <v>0.0113887045572747</v>
      </c>
      <c r="AE179" s="88">
        <f>IFERROR(AE127/Z127-1,0)</f>
        <v>-0.0240139141560544</v>
      </c>
      <c r="AF179" s="88">
        <f>IFERROR(AF127/AA127-1,0)</f>
        <v>0.00682557729250854</v>
      </c>
      <c r="AG179" s="88">
        <f>IFERROR(AG127/AB127-1,0)</f>
        <v>0.133524772597307</v>
      </c>
      <c r="AH179" s="89">
        <f>IFERROR(AH127/AC127-1,0)</f>
        <v>0.0316398874056139</v>
      </c>
      <c r="AI179" s="88">
        <f>IFERROR(AI127/AD127-1,0)</f>
        <v>0.0205791601645613</v>
      </c>
      <c r="AJ179" s="88">
        <f>IFERROR(AJ127/AE127-1,0)</f>
        <v>0.0541788372750418</v>
      </c>
      <c r="AK179" s="88">
        <f>IFERROR(AK127/AF127-1,0)</f>
        <v>-2.03688491731273</v>
      </c>
      <c r="AL179" s="88">
        <f>IFERROR(AL127/AG127-1,0)</f>
        <v>-1.92623028777579</v>
      </c>
      <c r="AM179" s="89">
        <f>IFERROR(AM127/AH127-1,0)</f>
        <v>-1.03388296964586</v>
      </c>
      <c r="AN179" s="88">
        <f>IFERROR(AN127/AI127-1,0)</f>
        <v>-2.09981083575866</v>
      </c>
      <c r="AO179" s="88">
        <f>IFERROR(AO127/AJ127-1,0)</f>
        <v>-2.09505701955511</v>
      </c>
      <c r="AP179" s="88">
        <f>IFERROR(AP127/AK127-1,0)</f>
        <v>0</v>
      </c>
      <c r="AQ179" s="88">
        <f>IFERROR(AQ127/AL127-1,0)</f>
        <v>0</v>
      </c>
      <c r="AR179" s="89">
        <f>IFERROR(AR127/AM127-1,0)</f>
        <v>30.1171914268559</v>
      </c>
      <c r="AS179" s="88">
        <f>IFERROR(AS127/AN127-1,0)</f>
        <v>0</v>
      </c>
      <c r="AT179" s="88">
        <f>IFERROR(AT127/AO127-1,0)</f>
        <v>0</v>
      </c>
      <c r="AU179" s="88">
        <f>IFERROR(AU127/AP127-1,0)</f>
        <v>0</v>
      </c>
      <c r="AV179" s="88">
        <f>IFERROR(AV127/AQ127-1,0)</f>
        <v>0</v>
      </c>
      <c r="AW179" s="89">
        <f>IFERROR(AW127/AR127-1,0)</f>
        <v>0</v>
      </c>
      <c r="AX179" s="88">
        <f>IFERROR(AX127/AS127-1,0)</f>
        <v>0</v>
      </c>
      <c r="AY179" s="88">
        <f>IFERROR(AY127/AT127-1,0)</f>
        <v>0</v>
      </c>
      <c r="AZ179" s="88">
        <f>IFERROR(AZ127/AU127-1,0)</f>
        <v>0</v>
      </c>
      <c r="BA179" s="88">
        <f>IFERROR(BA127/AV127-1,0)</f>
        <v>0</v>
      </c>
      <c r="BB179" s="89">
        <f>IFERROR(BB127/AW127-1,0)</f>
        <v>0</v>
      </c>
      <c r="BC179" s="88">
        <f>IFERROR(BC127/AX127-1,0)</f>
        <v>0</v>
      </c>
      <c r="BD179" s="88">
        <f>IFERROR(BD127/AY127-1,0)</f>
        <v>0</v>
      </c>
      <c r="BE179" s="88">
        <f>IFERROR(BE127/AZ127-1,0)</f>
        <v>0</v>
      </c>
      <c r="BF179" s="88">
        <f>IFERROR(BF127/BA127-1,0)</f>
        <v>0</v>
      </c>
      <c r="BG179" s="89">
        <f>IFERROR(BG127/BB127-1,0)</f>
        <v>0</v>
      </c>
    </row>
    <row r="180">
      <c r="B180" s="29" t="n"/>
      <c r="C180" s="29" t="inlineStr">
        <is>
          <t>Qualidade de crédito</t>
        </is>
      </c>
      <c r="D180" s="29" t="inlineStr">
        <is>
          <t>Asset quality</t>
        </is>
      </c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  <c r="AA180" s="29" t="n"/>
      <c r="AB180" s="29" t="n"/>
      <c r="AC180" s="29" t="n"/>
      <c r="AD180" s="29" t="n"/>
      <c r="AE180" s="29" t="n"/>
      <c r="AF180" s="29" t="n"/>
      <c r="AG180" s="29" t="n"/>
      <c r="AH180" s="29" t="n"/>
      <c r="AI180" s="29" t="n"/>
      <c r="AJ180" s="29" t="n"/>
      <c r="AK180" s="29" t="n"/>
      <c r="AL180" s="29" t="n"/>
      <c r="AM180" s="29" t="n"/>
      <c r="AN180" s="29" t="n"/>
      <c r="AO180" s="29" t="n"/>
      <c r="AP180" s="29" t="n"/>
      <c r="AQ180" s="29" t="n"/>
      <c r="AR180" s="29" t="n"/>
      <c r="AS180" s="29" t="n"/>
      <c r="AT180" s="29" t="n"/>
      <c r="AU180" s="29" t="n"/>
      <c r="AV180" s="29" t="n"/>
      <c r="AW180" s="29" t="n"/>
      <c r="AX180" s="29" t="n"/>
      <c r="AY180" s="29" t="n"/>
      <c r="AZ180" s="29" t="n"/>
      <c r="BA180" s="29" t="n"/>
      <c r="BB180" s="29" t="n"/>
      <c r="BC180" s="29" t="n"/>
      <c r="BD180" s="29" t="n"/>
      <c r="BE180" s="29" t="n"/>
      <c r="BF180" s="29" t="n"/>
      <c r="BG180" s="29" t="n"/>
      <c r="BH180" s="29" t="n"/>
      <c r="BI180" s="29" t="n"/>
    </row>
    <row r="181">
      <c r="C181" s="11" t="inlineStr">
        <is>
          <t>Inadimplência acima de 90 dias (%)</t>
        </is>
      </c>
      <c r="D181" s="12" t="inlineStr">
        <is>
          <t>NPL &gt; 90 days</t>
        </is>
      </c>
      <c r="E181" s="88">
        <f>IFERROR(E148/E144,0)</f>
        <v>0</v>
      </c>
      <c r="F181" s="88">
        <f>IFERROR(F148/F144,0)</f>
        <v>0</v>
      </c>
      <c r="G181" s="88">
        <f>IFERROR(G148/G144,0)</f>
        <v>0</v>
      </c>
      <c r="H181" s="88">
        <f>IFERROR(H148/H144,0)</f>
        <v>0</v>
      </c>
      <c r="I181" s="89">
        <f>IFERROR(I148/I144,0)</f>
        <v>0</v>
      </c>
      <c r="J181" s="88">
        <f>IFERROR(J148/J144,0)</f>
        <v>0.00151454739280236</v>
      </c>
      <c r="K181" s="88">
        <f>IFERROR(K148/K144,0)</f>
        <v>0.00708345833822698</v>
      </c>
      <c r="L181" s="88">
        <f>IFERROR(L148/L144,0)</f>
        <v>0.00717228910576784</v>
      </c>
      <c r="M181" s="88">
        <f>IFERROR(M148/M144,0)</f>
        <v>0.00692389235587654</v>
      </c>
      <c r="N181" s="89">
        <f>IFERROR(N148/N144,0)</f>
        <v>0.00692389235587654</v>
      </c>
      <c r="O181" s="88">
        <f>IFERROR(O148/O144,0)</f>
        <v>0.00389108447479997</v>
      </c>
      <c r="P181" s="88">
        <f>IFERROR(P148/P144,0)</f>
        <v>0.00225719016215096</v>
      </c>
      <c r="Q181" s="88">
        <f>IFERROR(Q148/Q144,0)</f>
        <v>0.00210307850458417</v>
      </c>
      <c r="R181" s="88">
        <f>IFERROR(R148/R144,0)</f>
        <v>0.00297357731038965</v>
      </c>
      <c r="S181" s="89">
        <f>IFERROR(S148/S144,0)</f>
        <v>0.00297357731038965</v>
      </c>
      <c r="T181" s="88">
        <f>IFERROR(T148/T144,0)</f>
        <v>0.00351506206917088</v>
      </c>
      <c r="U181" s="88">
        <f>IFERROR(U148/U144,0)</f>
        <v>0.00638202726087672</v>
      </c>
      <c r="V181" s="88">
        <f>IFERROR(V148/V144,0)</f>
        <v>0.00929781874257264</v>
      </c>
      <c r="W181" s="88">
        <f>IFERROR(W148/W144,0)</f>
        <v>0.0139847906945746</v>
      </c>
      <c r="X181" s="89">
        <f>IFERROR(X148/X144,0)</f>
        <v>0.0139847906945746</v>
      </c>
      <c r="Y181" s="88">
        <f>IFERROR(Y148/Y144,0)</f>
        <v>0.0146777624375343</v>
      </c>
      <c r="Z181" s="88">
        <f>IFERROR(Z148/Z144,0)</f>
        <v>0.0145524277057729</v>
      </c>
      <c r="AA181" s="88">
        <f>IFERROR(AA148/AA144,0)</f>
        <v>0.00542873514685585</v>
      </c>
      <c r="AB181" s="88">
        <f>IFERROR(AB148/AB144,0)</f>
        <v>0.00514127549598627</v>
      </c>
      <c r="AC181" s="89">
        <f>IFERROR(AC148/AC144,0)</f>
        <v>0.00514127549598627</v>
      </c>
      <c r="AD181" s="88">
        <f>IFERROR(AD148/AD144,0)</f>
        <v>0.0094785338551401</v>
      </c>
      <c r="AE181" s="88">
        <f>IFERROR(AE148/AE144,0)</f>
        <v>0.0073366161250061</v>
      </c>
      <c r="AF181" s="88">
        <f>IFERROR(AF148/AF144,0)</f>
        <v>0.00610130818151122</v>
      </c>
      <c r="AG181" s="88">
        <f>IFERROR(AG148/AG144,0)</f>
        <v>0.00479212441859871</v>
      </c>
      <c r="AH181" s="89">
        <f>IFERROR(AH148/AH144,0)</f>
        <v>0.00479212441859871</v>
      </c>
      <c r="AI181" s="88">
        <f>IFERROR(AI148/AI144,0)</f>
        <v>0.00511858183164864</v>
      </c>
      <c r="AJ181" s="88">
        <f>IFERROR(AJ148/AJ144,0)</f>
        <v>0.00588099025675785</v>
      </c>
      <c r="AK181" s="88">
        <f>IFERROR(AK148/AK144,0)</f>
        <v>0.00588099025675785</v>
      </c>
      <c r="AL181" s="88">
        <f>IFERROR(AL148/AL144,0)</f>
        <v>0.00588099025675785</v>
      </c>
      <c r="AM181" s="89">
        <f>IFERROR(AM148/AM144,0)</f>
        <v>0.00588099025675785</v>
      </c>
      <c r="AN181" s="88">
        <f>IFERROR(AN148/AN144,0)</f>
        <v>0.00588099025675785</v>
      </c>
      <c r="AO181" s="88">
        <f>IFERROR(AO148/AO144,0)</f>
        <v>0.00588099025675785</v>
      </c>
      <c r="AP181" s="88">
        <f>IFERROR(AP148/AP144,0)</f>
        <v>0.00588099025675785</v>
      </c>
      <c r="AQ181" s="88">
        <f>IFERROR(AQ148/AQ144,0)</f>
        <v>0.00588099025675785</v>
      </c>
      <c r="AR181" s="89">
        <f>IFERROR(AR148/AR144,0)</f>
        <v>0.00588099025675785</v>
      </c>
      <c r="AS181" s="88">
        <f>IFERROR(AS148/AS144,0)</f>
        <v>0.00588099025675785</v>
      </c>
      <c r="AT181" s="88">
        <f>IFERROR(AT148/AT144,0)</f>
        <v>0.00588099025675785</v>
      </c>
      <c r="AU181" s="88">
        <f>IFERROR(AU148/AU144,0)</f>
        <v>0.00588099025675785</v>
      </c>
      <c r="AV181" s="88">
        <f>IFERROR(AV148/AV144,0)</f>
        <v>0.00588099025675785</v>
      </c>
      <c r="AW181" s="89">
        <f>IFERROR(AW148/AW144,0)</f>
        <v>0.00588099025675785</v>
      </c>
      <c r="AX181" s="88">
        <f>IFERROR(AX148/AX144,0)</f>
        <v>0.00588099025675785</v>
      </c>
      <c r="AY181" s="88">
        <f>IFERROR(AY148/AY144,0)</f>
        <v>0.00588099025675785</v>
      </c>
      <c r="AZ181" s="88">
        <f>IFERROR(AZ148/AZ144,0)</f>
        <v>0.00588099025675785</v>
      </c>
      <c r="BA181" s="88">
        <f>IFERROR(BA148/BA144,0)</f>
        <v>0.00588099025675785</v>
      </c>
      <c r="BB181" s="89">
        <f>IFERROR(BB148/BB144,0)</f>
        <v>0.00588099025675785</v>
      </c>
      <c r="BC181" s="88">
        <f>IFERROR(BC148/BC144,0)</f>
        <v>0.00588099025675785</v>
      </c>
      <c r="BD181" s="88">
        <f>IFERROR(BD148/BD144,0)</f>
        <v>0.00588099025675785</v>
      </c>
      <c r="BE181" s="88">
        <f>IFERROR(BE148/BE144,0)</f>
        <v>0.00588099025675785</v>
      </c>
      <c r="BF181" s="88">
        <f>IFERROR(BF148/BF144,0)</f>
        <v>0.00588099025675785</v>
      </c>
      <c r="BG181" s="89">
        <f>IFERROR(BG148/BG144,0)</f>
        <v>0.00588099025675785</v>
      </c>
    </row>
    <row r="182">
      <c r="C182" s="11" t="inlineStr">
        <is>
          <t>Inadimplência de 15 a 90 dias (%)</t>
        </is>
      </c>
      <c r="D182" s="12" t="inlineStr">
        <is>
          <t>NPL 15-90 days</t>
        </is>
      </c>
      <c r="E182" s="88">
        <f>IFERROR(E149/E144,0)</f>
        <v>0</v>
      </c>
      <c r="F182" s="88">
        <f>IFERROR(F149/F144,0)</f>
        <v>0</v>
      </c>
      <c r="G182" s="88">
        <f>IFERROR(G149/G144,0)</f>
        <v>0</v>
      </c>
      <c r="H182" s="88">
        <f>IFERROR(H149/H144,0)</f>
        <v>0</v>
      </c>
      <c r="I182" s="89">
        <f>IFERROR(I149/I144,0)</f>
        <v>0</v>
      </c>
      <c r="J182" s="88">
        <f>IFERROR(J149/J144,0)</f>
        <v>0</v>
      </c>
      <c r="K182" s="88">
        <f>IFERROR(K149/K144,0)</f>
        <v>0</v>
      </c>
      <c r="L182" s="88">
        <f>IFERROR(L149/L144,0)</f>
        <v>0</v>
      </c>
      <c r="M182" s="88">
        <f>IFERROR(M149/M144,0)</f>
        <v>0</v>
      </c>
      <c r="N182" s="89">
        <f>IFERROR(N149/N144,0)</f>
        <v>0</v>
      </c>
      <c r="O182" s="88">
        <f>IFERROR(O149/O144,0)</f>
        <v>0</v>
      </c>
      <c r="P182" s="88">
        <f>IFERROR(P149/P144,0)</f>
        <v>0</v>
      </c>
      <c r="Q182" s="88">
        <f>IFERROR(Q149/Q144,0)</f>
        <v>0</v>
      </c>
      <c r="R182" s="88">
        <f>IFERROR(R149/R144,0)</f>
        <v>0</v>
      </c>
      <c r="S182" s="89">
        <f>IFERROR(S149/S144,0)</f>
        <v>0</v>
      </c>
      <c r="T182" s="88">
        <f>IFERROR(T149/T144,0)</f>
        <v>0</v>
      </c>
      <c r="U182" s="88">
        <f>IFERROR(U149/U144,0)</f>
        <v>0</v>
      </c>
      <c r="V182" s="88">
        <f>IFERROR(V149/V144,0)</f>
        <v>0</v>
      </c>
      <c r="W182" s="88">
        <f>IFERROR(W149/W144,0)</f>
        <v>0</v>
      </c>
      <c r="X182" s="89">
        <f>IFERROR(X149/X144,0)</f>
        <v>0</v>
      </c>
      <c r="Y182" s="88">
        <f>IFERROR(Y149/Y144,0)</f>
        <v>0</v>
      </c>
      <c r="Z182" s="88">
        <f>IFERROR(Z149/Z144,0)</f>
        <v>0</v>
      </c>
      <c r="AA182" s="88">
        <f>IFERROR(AA149/AA144,0)</f>
        <v>0</v>
      </c>
      <c r="AB182" s="88">
        <f>IFERROR(AB149/AB144,0)</f>
        <v>0</v>
      </c>
      <c r="AC182" s="89">
        <f>IFERROR(AC149/AC144,0)</f>
        <v>0</v>
      </c>
      <c r="AD182" s="88">
        <f>IFERROR(AD149/AD144,0)</f>
        <v>0</v>
      </c>
      <c r="AE182" s="88">
        <f>IFERROR(AE149/AE144,0)</f>
        <v>0</v>
      </c>
      <c r="AF182" s="88">
        <f>IFERROR(AF149/AF144,0)</f>
        <v>0</v>
      </c>
      <c r="AG182" s="88">
        <f>IFERROR(AG149/AG144,0)</f>
        <v>0</v>
      </c>
      <c r="AH182" s="89">
        <f>IFERROR(AH149/AH144,0)</f>
        <v>0</v>
      </c>
      <c r="AI182" s="88">
        <f>IFERROR(AI149/AI144,0)</f>
        <v>0</v>
      </c>
      <c r="AJ182" s="88">
        <f>IFERROR(AJ149/AJ144,0)</f>
        <v>0</v>
      </c>
      <c r="AK182" s="88">
        <f>IFERROR(AK149/AK144,0)</f>
        <v>0</v>
      </c>
      <c r="AL182" s="88">
        <f>IFERROR(AL149/AL144,0)</f>
        <v>0</v>
      </c>
      <c r="AM182" s="89">
        <f>IFERROR(AM149/AM144,0)</f>
        <v>0</v>
      </c>
      <c r="AN182" s="88">
        <f>IFERROR(AN149/AN144,0)</f>
        <v>0</v>
      </c>
      <c r="AO182" s="88">
        <f>IFERROR(AO149/AO144,0)</f>
        <v>0</v>
      </c>
      <c r="AP182" s="88">
        <f>IFERROR(AP149/AP144,0)</f>
        <v>0</v>
      </c>
      <c r="AQ182" s="88">
        <f>IFERROR(AQ149/AQ144,0)</f>
        <v>0</v>
      </c>
      <c r="AR182" s="89">
        <f>IFERROR(AR149/AR144,0)</f>
        <v>0</v>
      </c>
      <c r="AS182" s="88">
        <f>IFERROR(AS149/AS144,0)</f>
        <v>0</v>
      </c>
      <c r="AT182" s="88">
        <f>IFERROR(AT149/AT144,0)</f>
        <v>0</v>
      </c>
      <c r="AU182" s="88">
        <f>IFERROR(AU149/AU144,0)</f>
        <v>0</v>
      </c>
      <c r="AV182" s="88">
        <f>IFERROR(AV149/AV144,0)</f>
        <v>0</v>
      </c>
      <c r="AW182" s="89">
        <f>IFERROR(AW149/AW144,0)</f>
        <v>0</v>
      </c>
      <c r="AX182" s="88">
        <f>IFERROR(AX149/AX144,0)</f>
        <v>0</v>
      </c>
      <c r="AY182" s="88">
        <f>IFERROR(AY149/AY144,0)</f>
        <v>0</v>
      </c>
      <c r="AZ182" s="88">
        <f>IFERROR(AZ149/AZ144,0)</f>
        <v>0</v>
      </c>
      <c r="BA182" s="88">
        <f>IFERROR(BA149/BA144,0)</f>
        <v>0</v>
      </c>
      <c r="BB182" s="89">
        <f>IFERROR(BB149/BB144,0)</f>
        <v>0</v>
      </c>
      <c r="BC182" s="88">
        <f>IFERROR(BC149/BC144,0)</f>
        <v>0</v>
      </c>
      <c r="BD182" s="88">
        <f>IFERROR(BD149/BD144,0)</f>
        <v>0</v>
      </c>
      <c r="BE182" s="88">
        <f>IFERROR(BE149/BE144,0)</f>
        <v>0</v>
      </c>
      <c r="BF182" s="88">
        <f>IFERROR(BF149/BF144,0)</f>
        <v>0</v>
      </c>
      <c r="BG182" s="89">
        <f>IFERROR(BG149/BG144,0)</f>
        <v>0</v>
      </c>
    </row>
    <row r="183">
      <c r="C183" s="11" t="inlineStr">
        <is>
          <t>Carteira em Estágio 2 (% da carteira)</t>
        </is>
      </c>
      <c r="D183" s="12" t="inlineStr">
        <is>
          <t>Stage 2 share</t>
        </is>
      </c>
      <c r="E183" s="88">
        <f>IFERROR(E146/E144,0)</f>
        <v>0</v>
      </c>
      <c r="F183" s="88">
        <f>IFERROR(F146/F144,0)</f>
        <v>0</v>
      </c>
      <c r="G183" s="88">
        <f>IFERROR(G146/G144,0)</f>
        <v>0</v>
      </c>
      <c r="H183" s="88">
        <f>IFERROR(H146/H144,0)</f>
        <v>0</v>
      </c>
      <c r="I183" s="89">
        <f>IFERROR(I146/I144,0)</f>
        <v>0</v>
      </c>
      <c r="J183" s="88">
        <f>IFERROR(J146/J144,0)</f>
        <v>0</v>
      </c>
      <c r="K183" s="88">
        <f>IFERROR(K146/K144,0)</f>
        <v>0</v>
      </c>
      <c r="L183" s="88">
        <f>IFERROR(L146/L144,0)</f>
        <v>0</v>
      </c>
      <c r="M183" s="88">
        <f>IFERROR(M146/M144,0)</f>
        <v>0</v>
      </c>
      <c r="N183" s="89">
        <f>IFERROR(N146/N144,0)</f>
        <v>0</v>
      </c>
      <c r="O183" s="88">
        <f>IFERROR(O146/O144,0)</f>
        <v>0</v>
      </c>
      <c r="P183" s="88">
        <f>IFERROR(P146/P144,0)</f>
        <v>0</v>
      </c>
      <c r="Q183" s="88">
        <f>IFERROR(Q146/Q144,0)</f>
        <v>0</v>
      </c>
      <c r="R183" s="88">
        <f>IFERROR(R146/R144,0)</f>
        <v>0</v>
      </c>
      <c r="S183" s="89">
        <f>IFERROR(S146/S144,0)</f>
        <v>0</v>
      </c>
      <c r="T183" s="88">
        <f>IFERROR(T146/T144,0)</f>
        <v>0</v>
      </c>
      <c r="U183" s="88">
        <f>IFERROR(U146/U144,0)</f>
        <v>0</v>
      </c>
      <c r="V183" s="88">
        <f>IFERROR(V146/V144,0)</f>
        <v>0</v>
      </c>
      <c r="W183" s="88">
        <f>IFERROR(W146/W144,0)</f>
        <v>0</v>
      </c>
      <c r="X183" s="89">
        <f>IFERROR(X146/X144,0)</f>
        <v>0</v>
      </c>
      <c r="Y183" s="88">
        <f>IFERROR(Y146/Y144,0)</f>
        <v>0</v>
      </c>
      <c r="Z183" s="88">
        <f>IFERROR(Z146/Z144,0)</f>
        <v>0</v>
      </c>
      <c r="AA183" s="88">
        <f>IFERROR(AA146/AA144,0)</f>
        <v>0</v>
      </c>
      <c r="AB183" s="88">
        <f>IFERROR(AB146/AB144,0)</f>
        <v>0</v>
      </c>
      <c r="AC183" s="89">
        <f>IFERROR(AC146/AC144,0)</f>
        <v>0</v>
      </c>
      <c r="AD183" s="88">
        <f>IFERROR(AD146/AD144,0)</f>
        <v>0.0307691092001744</v>
      </c>
      <c r="AE183" s="88">
        <f>IFERROR(AE146/AE144,0)</f>
        <v>0.0341190079612481</v>
      </c>
      <c r="AF183" s="88">
        <f>IFERROR(AF146/AF144,0)</f>
        <v>0.033985750092362</v>
      </c>
      <c r="AG183" s="88">
        <f>IFERROR(AG146/AG144,0)</f>
        <v>0.0338618953936208</v>
      </c>
      <c r="AH183" s="89">
        <f>IFERROR(AH146/AH144,0)</f>
        <v>0.0338618953936208</v>
      </c>
      <c r="AI183" s="88">
        <f>IFERROR(AI146/AI144,0)</f>
        <v>0.0406386879902264</v>
      </c>
      <c r="AJ183" s="88">
        <f>IFERROR(AJ146/AJ144,0)</f>
        <v>0.0356730828791214</v>
      </c>
      <c r="AK183" s="88">
        <f>IFERROR(AK146/AK144,0)</f>
        <v>0.0356730828791214</v>
      </c>
      <c r="AL183" s="88">
        <f>IFERROR(AL146/AL144,0)</f>
        <v>0.0356730828791214</v>
      </c>
      <c r="AM183" s="89">
        <f>IFERROR(AM146/AM144,0)</f>
        <v>0.0356730828791214</v>
      </c>
      <c r="AN183" s="88">
        <f>IFERROR(AN146/AN144,0)</f>
        <v>0.0356730828791214</v>
      </c>
      <c r="AO183" s="88">
        <f>IFERROR(AO146/AO144,0)</f>
        <v>0.0356730828791214</v>
      </c>
      <c r="AP183" s="88">
        <f>IFERROR(AP146/AP144,0)</f>
        <v>0.0356730828791214</v>
      </c>
      <c r="AQ183" s="88">
        <f>IFERROR(AQ146/AQ144,0)</f>
        <v>0.0356730828791214</v>
      </c>
      <c r="AR183" s="89">
        <f>IFERROR(AR146/AR144,0)</f>
        <v>0.0356730828791214</v>
      </c>
      <c r="AS183" s="88">
        <f>IFERROR(AS146/AS144,0)</f>
        <v>0.0356730828791214</v>
      </c>
      <c r="AT183" s="88">
        <f>IFERROR(AT146/AT144,0)</f>
        <v>0.0356730828791214</v>
      </c>
      <c r="AU183" s="88">
        <f>IFERROR(AU146/AU144,0)</f>
        <v>0.0356730828791214</v>
      </c>
      <c r="AV183" s="88">
        <f>IFERROR(AV146/AV144,0)</f>
        <v>0.0356730828791214</v>
      </c>
      <c r="AW183" s="89">
        <f>IFERROR(AW146/AW144,0)</f>
        <v>0.0356730828791214</v>
      </c>
      <c r="AX183" s="88">
        <f>IFERROR(AX146/AX144,0)</f>
        <v>0.0356730828791214</v>
      </c>
      <c r="AY183" s="88">
        <f>IFERROR(AY146/AY144,0)</f>
        <v>0.0356730828791214</v>
      </c>
      <c r="AZ183" s="88">
        <f>IFERROR(AZ146/AZ144,0)</f>
        <v>0.0356730828791214</v>
      </c>
      <c r="BA183" s="88">
        <f>IFERROR(BA146/BA144,0)</f>
        <v>0.0356730828791214</v>
      </c>
      <c r="BB183" s="89">
        <f>IFERROR(BB146/BB144,0)</f>
        <v>0.0356730828791214</v>
      </c>
      <c r="BC183" s="88">
        <f>IFERROR(BC146/BC144,0)</f>
        <v>0.0356730828791214</v>
      </c>
      <c r="BD183" s="88">
        <f>IFERROR(BD146/BD144,0)</f>
        <v>0.0356730828791214</v>
      </c>
      <c r="BE183" s="88">
        <f>IFERROR(BE146/BE144,0)</f>
        <v>0.0356730828791214</v>
      </c>
      <c r="BF183" s="88">
        <f>IFERROR(BF146/BF144,0)</f>
        <v>0.0356730828791214</v>
      </c>
      <c r="BG183" s="89">
        <f>IFERROR(BG146/BG144,0)</f>
        <v>0.0356730828791214</v>
      </c>
    </row>
    <row r="184">
      <c r="C184" s="11" t="inlineStr">
        <is>
          <t>Carteira em Estágio 3 (% da carteira)</t>
        </is>
      </c>
      <c r="D184" s="12" t="inlineStr">
        <is>
          <t>Stage 3 share</t>
        </is>
      </c>
      <c r="E184" s="88">
        <f>IFERROR(E147/E144,0)</f>
        <v>0</v>
      </c>
      <c r="F184" s="88">
        <f>IFERROR(F147/F144,0)</f>
        <v>0</v>
      </c>
      <c r="G184" s="88">
        <f>IFERROR(G147/G144,0)</f>
        <v>0</v>
      </c>
      <c r="H184" s="88">
        <f>IFERROR(H147/H144,0)</f>
        <v>0</v>
      </c>
      <c r="I184" s="89">
        <f>IFERROR(I147/I144,0)</f>
        <v>0</v>
      </c>
      <c r="J184" s="88">
        <f>IFERROR(J147/J144,0)</f>
        <v>0</v>
      </c>
      <c r="K184" s="88">
        <f>IFERROR(K147/K144,0)</f>
        <v>0</v>
      </c>
      <c r="L184" s="88">
        <f>IFERROR(L147/L144,0)</f>
        <v>0</v>
      </c>
      <c r="M184" s="88">
        <f>IFERROR(M147/M144,0)</f>
        <v>0</v>
      </c>
      <c r="N184" s="89">
        <f>IFERROR(N147/N144,0)</f>
        <v>0</v>
      </c>
      <c r="O184" s="88">
        <f>IFERROR(O147/O144,0)</f>
        <v>0</v>
      </c>
      <c r="P184" s="88">
        <f>IFERROR(P147/P144,0)</f>
        <v>0</v>
      </c>
      <c r="Q184" s="88">
        <f>IFERROR(Q147/Q144,0)</f>
        <v>0</v>
      </c>
      <c r="R184" s="88">
        <f>IFERROR(R147/R144,0)</f>
        <v>0</v>
      </c>
      <c r="S184" s="89">
        <f>IFERROR(S147/S144,0)</f>
        <v>0</v>
      </c>
      <c r="T184" s="88">
        <f>IFERROR(T147/T144,0)</f>
        <v>0</v>
      </c>
      <c r="U184" s="88">
        <f>IFERROR(U147/U144,0)</f>
        <v>0</v>
      </c>
      <c r="V184" s="88">
        <f>IFERROR(V147/V144,0)</f>
        <v>0</v>
      </c>
      <c r="W184" s="88">
        <f>IFERROR(W147/W144,0)</f>
        <v>0</v>
      </c>
      <c r="X184" s="89">
        <f>IFERROR(X147/X144,0)</f>
        <v>0</v>
      </c>
      <c r="Y184" s="88">
        <f>IFERROR(Y147/Y144,0)</f>
        <v>0</v>
      </c>
      <c r="Z184" s="88">
        <f>IFERROR(Z147/Z144,0)</f>
        <v>0</v>
      </c>
      <c r="AA184" s="88">
        <f>IFERROR(AA147/AA144,0)</f>
        <v>0</v>
      </c>
      <c r="AB184" s="88">
        <f>IFERROR(AB147/AB144,0)</f>
        <v>0</v>
      </c>
      <c r="AC184" s="89">
        <f>IFERROR(AC147/AC144,0)</f>
        <v>0</v>
      </c>
      <c r="AD184" s="88">
        <f>IFERROR(AD147/AD144,0)</f>
        <v>0.0238922545363904</v>
      </c>
      <c r="AE184" s="88">
        <f>IFERROR(AE147/AE144,0)</f>
        <v>0.024188617155748</v>
      </c>
      <c r="AF184" s="88">
        <f>IFERROR(AF147/AF144,0)</f>
        <v>0.0264506970870496</v>
      </c>
      <c r="AG184" s="88">
        <f>IFERROR(AG147/AG144,0)</f>
        <v>0.0256906868736243</v>
      </c>
      <c r="AH184" s="89">
        <f>IFERROR(AH147/AH144,0)</f>
        <v>0.0256906868736243</v>
      </c>
      <c r="AI184" s="88">
        <f>IFERROR(AI147/AI144,0)</f>
        <v>0.0279641773647545</v>
      </c>
      <c r="AJ184" s="88">
        <f>IFERROR(AJ147/AJ144,0)</f>
        <v>0.0291634512110369</v>
      </c>
      <c r="AK184" s="88">
        <f>IFERROR(AK147/AK144,0)</f>
        <v>0.0291634512110369</v>
      </c>
      <c r="AL184" s="88">
        <f>IFERROR(AL147/AL144,0)</f>
        <v>0.0291634512110369</v>
      </c>
      <c r="AM184" s="89">
        <f>IFERROR(AM147/AM144,0)</f>
        <v>0.0291634512110369</v>
      </c>
      <c r="AN184" s="88">
        <f>IFERROR(AN147/AN144,0)</f>
        <v>0.0291634512110369</v>
      </c>
      <c r="AO184" s="88">
        <f>IFERROR(AO147/AO144,0)</f>
        <v>0.0291634512110369</v>
      </c>
      <c r="AP184" s="88">
        <f>IFERROR(AP147/AP144,0)</f>
        <v>0.0291634512110369</v>
      </c>
      <c r="AQ184" s="88">
        <f>IFERROR(AQ147/AQ144,0)</f>
        <v>0.0291634512110369</v>
      </c>
      <c r="AR184" s="89">
        <f>IFERROR(AR147/AR144,0)</f>
        <v>0.0291634512110369</v>
      </c>
      <c r="AS184" s="88">
        <f>IFERROR(AS147/AS144,0)</f>
        <v>0.0291634512110369</v>
      </c>
      <c r="AT184" s="88">
        <f>IFERROR(AT147/AT144,0)</f>
        <v>0.0291634512110369</v>
      </c>
      <c r="AU184" s="88">
        <f>IFERROR(AU147/AU144,0)</f>
        <v>0.0291634512110369</v>
      </c>
      <c r="AV184" s="88">
        <f>IFERROR(AV147/AV144,0)</f>
        <v>0.0291634512110369</v>
      </c>
      <c r="AW184" s="89">
        <f>IFERROR(AW147/AW144,0)</f>
        <v>0.0291634512110369</v>
      </c>
      <c r="AX184" s="88">
        <f>IFERROR(AX147/AX144,0)</f>
        <v>0.0291634512110369</v>
      </c>
      <c r="AY184" s="88">
        <f>IFERROR(AY147/AY144,0)</f>
        <v>0.0291634512110369</v>
      </c>
      <c r="AZ184" s="88">
        <f>IFERROR(AZ147/AZ144,0)</f>
        <v>0.0291634512110369</v>
      </c>
      <c r="BA184" s="88">
        <f>IFERROR(BA147/BA144,0)</f>
        <v>0.0291634512110369</v>
      </c>
      <c r="BB184" s="89">
        <f>IFERROR(BB147/BB144,0)</f>
        <v>0.0291634512110369</v>
      </c>
      <c r="BC184" s="88">
        <f>IFERROR(BC147/BC144,0)</f>
        <v>0.0291634512110369</v>
      </c>
      <c r="BD184" s="88">
        <f>IFERROR(BD147/BD144,0)</f>
        <v>0.0291634512110369</v>
      </c>
      <c r="BE184" s="88">
        <f>IFERROR(BE147/BE144,0)</f>
        <v>0.0291634512110369</v>
      </c>
      <c r="BF184" s="88">
        <f>IFERROR(BF147/BF144,0)</f>
        <v>0.0291634512110369</v>
      </c>
      <c r="BG184" s="89">
        <f>IFERROR(BG147/BG144,0)</f>
        <v>0.0291634512110369</v>
      </c>
    </row>
    <row r="185">
      <c r="C185" s="11" t="inlineStr">
        <is>
          <t>Cobertura da inadimplência acima de 90 dias</t>
        </is>
      </c>
      <c r="D185" s="12" t="inlineStr">
        <is>
          <t>NPL &gt; 90 coverage</t>
        </is>
      </c>
      <c r="E185" s="88">
        <f>IFERROR(E145/E148,0)</f>
        <v>0</v>
      </c>
      <c r="F185" s="88">
        <f>IFERROR(F145/F148,0)</f>
        <v>0</v>
      </c>
      <c r="G185" s="88">
        <f>IFERROR(G145/G148,0)</f>
        <v>0</v>
      </c>
      <c r="H185" s="88">
        <f>IFERROR(H145/H148,0)</f>
        <v>0</v>
      </c>
      <c r="I185" s="89">
        <f>IFERROR(I145/I148,0)</f>
        <v>0</v>
      </c>
      <c r="J185" s="88">
        <f>IFERROR(J145/J148,0)</f>
        <v>0</v>
      </c>
      <c r="K185" s="88">
        <f>IFERROR(K145/K148,0)</f>
        <v>0</v>
      </c>
      <c r="L185" s="88">
        <f>IFERROR(L145/L148,0)</f>
        <v>0</v>
      </c>
      <c r="M185" s="88">
        <f>IFERROR(M145/M148,0)</f>
        <v>0</v>
      </c>
      <c r="N185" s="89">
        <f>IFERROR(N145/N148,0)</f>
        <v>0</v>
      </c>
      <c r="O185" s="88">
        <f>IFERROR(O145/O148,0)</f>
        <v>0</v>
      </c>
      <c r="P185" s="88">
        <f>IFERROR(P145/P148,0)</f>
        <v>0</v>
      </c>
      <c r="Q185" s="88">
        <f>IFERROR(Q145/Q148,0)</f>
        <v>0</v>
      </c>
      <c r="R185" s="88">
        <f>IFERROR(R145/R148,0)</f>
        <v>0</v>
      </c>
      <c r="S185" s="89">
        <f>IFERROR(S145/S148,0)</f>
        <v>0</v>
      </c>
      <c r="T185" s="88">
        <f>IFERROR(T145/T148,0)</f>
        <v>0</v>
      </c>
      <c r="U185" s="88">
        <f>IFERROR(U145/U148,0)</f>
        <v>0</v>
      </c>
      <c r="V185" s="88">
        <f>IFERROR(V145/V148,0)</f>
        <v>0</v>
      </c>
      <c r="W185" s="88">
        <f>IFERROR(W145/W148,0)</f>
        <v>0</v>
      </c>
      <c r="X185" s="89">
        <f>IFERROR(X145/X148,0)</f>
        <v>0</v>
      </c>
      <c r="Y185" s="88">
        <f>IFERROR(Y145/Y148,0)</f>
        <v>0</v>
      </c>
      <c r="Z185" s="88">
        <f>IFERROR(Z145/Z148,0)</f>
        <v>0</v>
      </c>
      <c r="AA185" s="88">
        <f>IFERROR(AA145/AA148,0)</f>
        <v>0</v>
      </c>
      <c r="AB185" s="88">
        <f>IFERROR(AB145/AB148,0)</f>
        <v>0</v>
      </c>
      <c r="AC185" s="89">
        <f>IFERROR(AC145/AC148,0)</f>
        <v>0</v>
      </c>
      <c r="AD185" s="88">
        <f>IFERROR(AD145/AD148,0)</f>
        <v>1.95951777396282</v>
      </c>
      <c r="AE185" s="88">
        <f>IFERROR(AE145/AE148,0)</f>
        <v>2.67524069546953</v>
      </c>
      <c r="AF185" s="88">
        <f>IFERROR(AF145/AF148,0)</f>
        <v>3.39204395055256</v>
      </c>
      <c r="AG185" s="88">
        <f>IFERROR(AG145/AG148,0)</f>
        <v>4.43322974464651</v>
      </c>
      <c r="AH185" s="89">
        <f>IFERROR(AH145/AH148,0)</f>
        <v>4.43322974464651</v>
      </c>
      <c r="AI185" s="88">
        <f>IFERROR(AI145/AI148,0)</f>
        <v>4.27007011060044</v>
      </c>
      <c r="AJ185" s="88">
        <f>IFERROR(AJ145/AJ148,0)</f>
        <v>3.6584689847139</v>
      </c>
      <c r="AK185" s="88">
        <f>IFERROR(AK145/AK148,0)</f>
        <v>3.6584689847139</v>
      </c>
      <c r="AL185" s="88">
        <f>IFERROR(AL145/AL148,0)</f>
        <v>3.6584689847139</v>
      </c>
      <c r="AM185" s="89">
        <f>IFERROR(AM145/AM148,0)</f>
        <v>3.6584689847139</v>
      </c>
      <c r="AN185" s="88">
        <f>IFERROR(AN145/AN148,0)</f>
        <v>3.6584689847139</v>
      </c>
      <c r="AO185" s="88">
        <f>IFERROR(AO145/AO148,0)</f>
        <v>3.6584689847139</v>
      </c>
      <c r="AP185" s="88">
        <f>IFERROR(AP145/AP148,0)</f>
        <v>3.6584689847139</v>
      </c>
      <c r="AQ185" s="88">
        <f>IFERROR(AQ145/AQ148,0)</f>
        <v>3.6584689847139</v>
      </c>
      <c r="AR185" s="89">
        <f>IFERROR(AR145/AR148,0)</f>
        <v>3.6584689847139</v>
      </c>
      <c r="AS185" s="88">
        <f>IFERROR(AS145/AS148,0)</f>
        <v>3.6584689847139</v>
      </c>
      <c r="AT185" s="88">
        <f>IFERROR(AT145/AT148,0)</f>
        <v>3.6584689847139</v>
      </c>
      <c r="AU185" s="88">
        <f>IFERROR(AU145/AU148,0)</f>
        <v>3.6584689847139</v>
      </c>
      <c r="AV185" s="88">
        <f>IFERROR(AV145/AV148,0)</f>
        <v>3.6584689847139</v>
      </c>
      <c r="AW185" s="89">
        <f>IFERROR(AW145/AW148,0)</f>
        <v>3.6584689847139</v>
      </c>
      <c r="AX185" s="88">
        <f>IFERROR(AX145/AX148,0)</f>
        <v>3.6584689847139</v>
      </c>
      <c r="AY185" s="88">
        <f>IFERROR(AY145/AY148,0)</f>
        <v>3.6584689847139</v>
      </c>
      <c r="AZ185" s="88">
        <f>IFERROR(AZ145/AZ148,0)</f>
        <v>3.6584689847139</v>
      </c>
      <c r="BA185" s="88">
        <f>IFERROR(BA145/BA148,0)</f>
        <v>3.6584689847139</v>
      </c>
      <c r="BB185" s="89">
        <f>IFERROR(BB145/BB148,0)</f>
        <v>3.6584689847139</v>
      </c>
      <c r="BC185" s="88">
        <f>IFERROR(BC145/BC148,0)</f>
        <v>3.6584689847139</v>
      </c>
      <c r="BD185" s="88">
        <f>IFERROR(BD145/BD148,0)</f>
        <v>3.6584689847139</v>
      </c>
      <c r="BE185" s="88">
        <f>IFERROR(BE145/BE148,0)</f>
        <v>3.6584689847139</v>
      </c>
      <c r="BF185" s="88">
        <f>IFERROR(BF145/BF148,0)</f>
        <v>3.6584689847139</v>
      </c>
      <c r="BG185" s="89">
        <f>IFERROR(BG145/BG148,0)</f>
        <v>3.6584689847139</v>
      </c>
    </row>
    <row r="186">
      <c r="C186" s="11" t="inlineStr">
        <is>
          <t>Cobertura do Estágio 2</t>
        </is>
      </c>
      <c r="D186" s="12" t="inlineStr">
        <is>
          <t>Stage 2 coverage</t>
        </is>
      </c>
      <c r="E186" s="88">
        <f>IFERROR(E151/E146,0)</f>
        <v>0</v>
      </c>
      <c r="F186" s="88">
        <f>IFERROR(F151/F146,0)</f>
        <v>0</v>
      </c>
      <c r="G186" s="88">
        <f>IFERROR(G151/G146,0)</f>
        <v>0</v>
      </c>
      <c r="H186" s="88">
        <f>IFERROR(H151/H146,0)</f>
        <v>0</v>
      </c>
      <c r="I186" s="89">
        <f>IFERROR(I151/I146,0)</f>
        <v>0</v>
      </c>
      <c r="J186" s="88">
        <f>IFERROR(J151/J146,0)</f>
        <v>0</v>
      </c>
      <c r="K186" s="88">
        <f>IFERROR(K151/K146,0)</f>
        <v>0</v>
      </c>
      <c r="L186" s="88">
        <f>IFERROR(L151/L146,0)</f>
        <v>0</v>
      </c>
      <c r="M186" s="88">
        <f>IFERROR(M151/M146,0)</f>
        <v>0</v>
      </c>
      <c r="N186" s="89">
        <f>IFERROR(N151/N146,0)</f>
        <v>0</v>
      </c>
      <c r="O186" s="88">
        <f>IFERROR(O151/O146,0)</f>
        <v>0</v>
      </c>
      <c r="P186" s="88">
        <f>IFERROR(P151/P146,0)</f>
        <v>0</v>
      </c>
      <c r="Q186" s="88">
        <f>IFERROR(Q151/Q146,0)</f>
        <v>0</v>
      </c>
      <c r="R186" s="88">
        <f>IFERROR(R151/R146,0)</f>
        <v>0</v>
      </c>
      <c r="S186" s="89">
        <f>IFERROR(S151/S146,0)</f>
        <v>0</v>
      </c>
      <c r="T186" s="88">
        <f>IFERROR(T151/T146,0)</f>
        <v>0</v>
      </c>
      <c r="U186" s="88">
        <f>IFERROR(U151/U146,0)</f>
        <v>0</v>
      </c>
      <c r="V186" s="88">
        <f>IFERROR(V151/V146,0)</f>
        <v>0</v>
      </c>
      <c r="W186" s="88">
        <f>IFERROR(W151/W146,0)</f>
        <v>0</v>
      </c>
      <c r="X186" s="89">
        <f>IFERROR(X151/X146,0)</f>
        <v>0</v>
      </c>
      <c r="Y186" s="88">
        <f>IFERROR(Y151/Y146,0)</f>
        <v>0</v>
      </c>
      <c r="Z186" s="88">
        <f>IFERROR(Z151/Z146,0)</f>
        <v>0</v>
      </c>
      <c r="AA186" s="88">
        <f>IFERROR(AA151/AA146,0)</f>
        <v>0</v>
      </c>
      <c r="AB186" s="88">
        <f>IFERROR(AB151/AB146,0)</f>
        <v>0</v>
      </c>
      <c r="AC186" s="89">
        <f>IFERROR(AC151/AC146,0)</f>
        <v>0</v>
      </c>
      <c r="AD186" s="88">
        <f>IFERROR(AD151/AD146,0)</f>
        <v>0.0518868877562156</v>
      </c>
      <c r="AE186" s="88">
        <f>IFERROR(AE151/AE146,0)</f>
        <v>0.0491450006359234</v>
      </c>
      <c r="AF186" s="88">
        <f>IFERROR(AF151/AF146,0)</f>
        <v>0.0487503759194228</v>
      </c>
      <c r="AG186" s="88">
        <f>IFERROR(AG151/AG146,0)</f>
        <v>0.0476686224180264</v>
      </c>
      <c r="AH186" s="89">
        <f>IFERROR(AH151/AH146,0)</f>
        <v>0.0476686224180264</v>
      </c>
      <c r="AI186" s="88">
        <f>IFERROR(AI151/AI146,0)</f>
        <v>0.0556461816961166</v>
      </c>
      <c r="AJ186" s="88">
        <f>IFERROR(AJ151/AJ146,0)</f>
        <v>0.0473197132512176</v>
      </c>
      <c r="AK186" s="88">
        <f>IFERROR(AK151/AK146,0)</f>
        <v>0.0473197132512176</v>
      </c>
      <c r="AL186" s="88">
        <f>IFERROR(AL151/AL146,0)</f>
        <v>0.0473197132512176</v>
      </c>
      <c r="AM186" s="89">
        <f>IFERROR(AM151/AM146,0)</f>
        <v>0.0473197132512176</v>
      </c>
      <c r="AN186" s="88">
        <f>IFERROR(AN151/AN146,0)</f>
        <v>0.0473197132512176</v>
      </c>
      <c r="AO186" s="88">
        <f>IFERROR(AO151/AO146,0)</f>
        <v>0.0473197132512176</v>
      </c>
      <c r="AP186" s="88">
        <f>IFERROR(AP151/AP146,0)</f>
        <v>0.0473197132512176</v>
      </c>
      <c r="AQ186" s="88">
        <f>IFERROR(AQ151/AQ146,0)</f>
        <v>0.0473197132512176</v>
      </c>
      <c r="AR186" s="89">
        <f>IFERROR(AR151/AR146,0)</f>
        <v>0.0473197132512176</v>
      </c>
      <c r="AS186" s="88">
        <f>IFERROR(AS151/AS146,0)</f>
        <v>0.0473197132512176</v>
      </c>
      <c r="AT186" s="88">
        <f>IFERROR(AT151/AT146,0)</f>
        <v>0.0473197132512176</v>
      </c>
      <c r="AU186" s="88">
        <f>IFERROR(AU151/AU146,0)</f>
        <v>0.0473197132512176</v>
      </c>
      <c r="AV186" s="88">
        <f>IFERROR(AV151/AV146,0)</f>
        <v>0.0473197132512176</v>
      </c>
      <c r="AW186" s="89">
        <f>IFERROR(AW151/AW146,0)</f>
        <v>0.0473197132512176</v>
      </c>
      <c r="AX186" s="88">
        <f>IFERROR(AX151/AX146,0)</f>
        <v>0.0473197132512176</v>
      </c>
      <c r="AY186" s="88">
        <f>IFERROR(AY151/AY146,0)</f>
        <v>0.0473197132512176</v>
      </c>
      <c r="AZ186" s="88">
        <f>IFERROR(AZ151/AZ146,0)</f>
        <v>0.0473197132512176</v>
      </c>
      <c r="BA186" s="88">
        <f>IFERROR(BA151/BA146,0)</f>
        <v>0.0473197132512176</v>
      </c>
      <c r="BB186" s="89">
        <f>IFERROR(BB151/BB146,0)</f>
        <v>0.0473197132512176</v>
      </c>
      <c r="BC186" s="88">
        <f>IFERROR(BC151/BC146,0)</f>
        <v>0.0473197132512176</v>
      </c>
      <c r="BD186" s="88">
        <f>IFERROR(BD151/BD146,0)</f>
        <v>0.0473197132512176</v>
      </c>
      <c r="BE186" s="88">
        <f>IFERROR(BE151/BE146,0)</f>
        <v>0.0473197132512176</v>
      </c>
      <c r="BF186" s="88">
        <f>IFERROR(BF151/BF146,0)</f>
        <v>0.0473197132512176</v>
      </c>
      <c r="BG186" s="89">
        <f>IFERROR(BG151/BG146,0)</f>
        <v>0.0473197132512176</v>
      </c>
      <c r="BI186" s="14" t="inlineStr">
        <is>
          <t>Na projeção o saldo de provisão de cada estágio cresce junto com a carteira, mantendo a cobertura do último trimestre reportado.</t>
        </is>
      </c>
    </row>
    <row r="187">
      <c r="C187" s="11" t="inlineStr">
        <is>
          <t>Cobertura do Estágio 3</t>
        </is>
      </c>
      <c r="D187" s="12" t="inlineStr">
        <is>
          <t>Stage 3 coverage</t>
        </is>
      </c>
      <c r="E187" s="88">
        <f>IFERROR(E152/E147,0)</f>
        <v>0</v>
      </c>
      <c r="F187" s="88">
        <f>IFERROR(F152/F147,0)</f>
        <v>0</v>
      </c>
      <c r="G187" s="88">
        <f>IFERROR(G152/G147,0)</f>
        <v>0</v>
      </c>
      <c r="H187" s="88">
        <f>IFERROR(H152/H147,0)</f>
        <v>0</v>
      </c>
      <c r="I187" s="89">
        <f>IFERROR(I152/I147,0)</f>
        <v>0</v>
      </c>
      <c r="J187" s="88">
        <f>IFERROR(J152/J147,0)</f>
        <v>0</v>
      </c>
      <c r="K187" s="88">
        <f>IFERROR(K152/K147,0)</f>
        <v>0</v>
      </c>
      <c r="L187" s="88">
        <f>IFERROR(L152/L147,0)</f>
        <v>0</v>
      </c>
      <c r="M187" s="88">
        <f>IFERROR(M152/M147,0)</f>
        <v>0</v>
      </c>
      <c r="N187" s="89">
        <f>IFERROR(N152/N147,0)</f>
        <v>0</v>
      </c>
      <c r="O187" s="88">
        <f>IFERROR(O152/O147,0)</f>
        <v>0</v>
      </c>
      <c r="P187" s="88">
        <f>IFERROR(P152/P147,0)</f>
        <v>0</v>
      </c>
      <c r="Q187" s="88">
        <f>IFERROR(Q152/Q147,0)</f>
        <v>0</v>
      </c>
      <c r="R187" s="88">
        <f>IFERROR(R152/R147,0)</f>
        <v>0</v>
      </c>
      <c r="S187" s="89">
        <f>IFERROR(S152/S147,0)</f>
        <v>0</v>
      </c>
      <c r="T187" s="88">
        <f>IFERROR(T152/T147,0)</f>
        <v>0</v>
      </c>
      <c r="U187" s="88">
        <f>IFERROR(U152/U147,0)</f>
        <v>0</v>
      </c>
      <c r="V187" s="88">
        <f>IFERROR(V152/V147,0)</f>
        <v>0</v>
      </c>
      <c r="W187" s="88">
        <f>IFERROR(W152/W147,0)</f>
        <v>0</v>
      </c>
      <c r="X187" s="89">
        <f>IFERROR(X152/X147,0)</f>
        <v>0</v>
      </c>
      <c r="Y187" s="88">
        <f>IFERROR(Y152/Y147,0)</f>
        <v>0</v>
      </c>
      <c r="Z187" s="88">
        <f>IFERROR(Z152/Z147,0)</f>
        <v>0</v>
      </c>
      <c r="AA187" s="88">
        <f>IFERROR(AA152/AA147,0)</f>
        <v>0</v>
      </c>
      <c r="AB187" s="88">
        <f>IFERROR(AB152/AB147,0)</f>
        <v>0</v>
      </c>
      <c r="AC187" s="89">
        <f>IFERROR(AC152/AC147,0)</f>
        <v>0</v>
      </c>
      <c r="AD187" s="88">
        <f>IFERROR(AD152/AD147,0)</f>
        <v>0.52064437453603</v>
      </c>
      <c r="AE187" s="88">
        <f>IFERROR(AE152/AE147,0)</f>
        <v>0.566186376901169</v>
      </c>
      <c r="AF187" s="88">
        <f>IFERROR(AF152/AF147,0)</f>
        <v>0.568342239884747</v>
      </c>
      <c r="AG187" s="88">
        <f>IFERROR(AG152/AG147,0)</f>
        <v>0.608948077127482</v>
      </c>
      <c r="AH187" s="89">
        <f>IFERROR(AH152/AH147,0)</f>
        <v>0.608948077127482</v>
      </c>
      <c r="AI187" s="88">
        <f>IFERROR(AI152/AI147,0)</f>
        <v>0.503857980642021</v>
      </c>
      <c r="AJ187" s="88">
        <f>IFERROR(AJ152/AJ147,0)</f>
        <v>0.483341947432164</v>
      </c>
      <c r="AK187" s="88">
        <f>IFERROR(AK152/AK147,0)</f>
        <v>0.483341947432164</v>
      </c>
      <c r="AL187" s="88">
        <f>IFERROR(AL152/AL147,0)</f>
        <v>0.483341947432164</v>
      </c>
      <c r="AM187" s="89">
        <f>IFERROR(AM152/AM147,0)</f>
        <v>0.483341947432164</v>
      </c>
      <c r="AN187" s="88">
        <f>IFERROR(AN152/AN147,0)</f>
        <v>0.483341947432164</v>
      </c>
      <c r="AO187" s="88">
        <f>IFERROR(AO152/AO147,0)</f>
        <v>0.483341947432164</v>
      </c>
      <c r="AP187" s="88">
        <f>IFERROR(AP152/AP147,0)</f>
        <v>0.483341947432164</v>
      </c>
      <c r="AQ187" s="88">
        <f>IFERROR(AQ152/AQ147,0)</f>
        <v>0.483341947432164</v>
      </c>
      <c r="AR187" s="89">
        <f>IFERROR(AR152/AR147,0)</f>
        <v>0.483341947432164</v>
      </c>
      <c r="AS187" s="88">
        <f>IFERROR(AS152/AS147,0)</f>
        <v>0.483341947432164</v>
      </c>
      <c r="AT187" s="88">
        <f>IFERROR(AT152/AT147,0)</f>
        <v>0.483341947432164</v>
      </c>
      <c r="AU187" s="88">
        <f>IFERROR(AU152/AU147,0)</f>
        <v>0.483341947432164</v>
      </c>
      <c r="AV187" s="88">
        <f>IFERROR(AV152/AV147,0)</f>
        <v>0.483341947432164</v>
      </c>
      <c r="AW187" s="89">
        <f>IFERROR(AW152/AW147,0)</f>
        <v>0.483341947432164</v>
      </c>
      <c r="AX187" s="88">
        <f>IFERROR(AX152/AX147,0)</f>
        <v>0.483341947432164</v>
      </c>
      <c r="AY187" s="88">
        <f>IFERROR(AY152/AY147,0)</f>
        <v>0.483341947432164</v>
      </c>
      <c r="AZ187" s="88">
        <f>IFERROR(AZ152/AZ147,0)</f>
        <v>0.483341947432164</v>
      </c>
      <c r="BA187" s="88">
        <f>IFERROR(BA152/BA147,0)</f>
        <v>0.483341947432164</v>
      </c>
      <c r="BB187" s="89">
        <f>IFERROR(BB152/BB147,0)</f>
        <v>0.483341947432164</v>
      </c>
      <c r="BC187" s="88">
        <f>IFERROR(BC152/BC147,0)</f>
        <v>0.483341947432164</v>
      </c>
      <c r="BD187" s="88">
        <f>IFERROR(BD152/BD147,0)</f>
        <v>0.483341947432164</v>
      </c>
      <c r="BE187" s="88">
        <f>IFERROR(BE152/BE147,0)</f>
        <v>0.483341947432164</v>
      </c>
      <c r="BF187" s="88">
        <f>IFERROR(BF152/BF147,0)</f>
        <v>0.483341947432164</v>
      </c>
      <c r="BG187" s="89">
        <f>IFERROR(BG152/BG147,0)</f>
        <v>0.483341947432164</v>
      </c>
    </row>
    <row r="188">
      <c r="C188" s="11" t="inlineStr">
        <is>
          <t>Índice de provisionamento (provisão / carteira)</t>
        </is>
      </c>
      <c r="D188" s="12" t="inlineStr">
        <is>
          <t>Allowance over loans</t>
        </is>
      </c>
      <c r="E188" s="88">
        <f>IFERROR(E145/E144,0)</f>
        <v>0</v>
      </c>
      <c r="F188" s="88">
        <f>IFERROR(F145/F144,0)</f>
        <v>0</v>
      </c>
      <c r="G188" s="88">
        <f>IFERROR(G145/G144,0)</f>
        <v>0</v>
      </c>
      <c r="H188" s="88">
        <f>IFERROR(H145/H144,0)</f>
        <v>0</v>
      </c>
      <c r="I188" s="89">
        <f>IFERROR(I145/I144,0)</f>
        <v>0</v>
      </c>
      <c r="J188" s="88">
        <f>IFERROR(J145/J144,0)</f>
        <v>0</v>
      </c>
      <c r="K188" s="88">
        <f>IFERROR(K145/K144,0)</f>
        <v>0</v>
      </c>
      <c r="L188" s="88">
        <f>IFERROR(L145/L144,0)</f>
        <v>0</v>
      </c>
      <c r="M188" s="88">
        <f>IFERROR(M145/M144,0)</f>
        <v>0</v>
      </c>
      <c r="N188" s="89">
        <f>IFERROR(N145/N144,0)</f>
        <v>0</v>
      </c>
      <c r="O188" s="88">
        <f>IFERROR(O145/O144,0)</f>
        <v>0</v>
      </c>
      <c r="P188" s="88">
        <f>IFERROR(P145/P144,0)</f>
        <v>0</v>
      </c>
      <c r="Q188" s="88">
        <f>IFERROR(Q145/Q144,0)</f>
        <v>0</v>
      </c>
      <c r="R188" s="88">
        <f>IFERROR(R145/R144,0)</f>
        <v>0</v>
      </c>
      <c r="S188" s="89">
        <f>IFERROR(S145/S144,0)</f>
        <v>0</v>
      </c>
      <c r="T188" s="88">
        <f>IFERROR(T145/T144,0)</f>
        <v>0</v>
      </c>
      <c r="U188" s="88">
        <f>IFERROR(U145/U144,0)</f>
        <v>0</v>
      </c>
      <c r="V188" s="88">
        <f>IFERROR(V145/V144,0)</f>
        <v>0</v>
      </c>
      <c r="W188" s="88">
        <f>IFERROR(W145/W144,0)</f>
        <v>0</v>
      </c>
      <c r="X188" s="89">
        <f>IFERROR(X145/X144,0)</f>
        <v>0</v>
      </c>
      <c r="Y188" s="88">
        <f>IFERROR(Y145/Y144,0)</f>
        <v>0</v>
      </c>
      <c r="Z188" s="88">
        <f>IFERROR(Z145/Z144,0)</f>
        <v>0</v>
      </c>
      <c r="AA188" s="88">
        <f>IFERROR(AA145/AA144,0)</f>
        <v>0</v>
      </c>
      <c r="AB188" s="88">
        <f>IFERROR(AB145/AB144,0)</f>
        <v>0</v>
      </c>
      <c r="AC188" s="89">
        <f>IFERROR(AC145/AC144,0)</f>
        <v>0</v>
      </c>
      <c r="AD188" s="88">
        <f>IFERROR(AD145/AD144,0)</f>
        <v>0.0185733555602554</v>
      </c>
      <c r="AE188" s="88">
        <f>IFERROR(AE145/AE144,0)</f>
        <v>0.0196272140246543</v>
      </c>
      <c r="AF188" s="88">
        <f>IFERROR(AF145/AF144,0)</f>
        <v>0.020695905507552</v>
      </c>
      <c r="AG188" s="88">
        <f>IFERROR(AG145/AG144,0)</f>
        <v>0.0212445885125787</v>
      </c>
      <c r="AH188" s="89">
        <f>IFERROR(AH145/AH144,0)</f>
        <v>0.0212445885125787</v>
      </c>
      <c r="AI188" s="88">
        <f>IFERROR(AI145/AI144,0)</f>
        <v>0.0218567032879853</v>
      </c>
      <c r="AJ188" s="88">
        <f>IFERROR(AJ145/AJ144,0)</f>
        <v>0.0215154204537533</v>
      </c>
      <c r="AK188" s="88">
        <f>IFERROR(AK145/AK144,0)</f>
        <v>0.0215154204537533</v>
      </c>
      <c r="AL188" s="88">
        <f>IFERROR(AL145/AL144,0)</f>
        <v>0.0215154204537533</v>
      </c>
      <c r="AM188" s="89">
        <f>IFERROR(AM145/AM144,0)</f>
        <v>0.0215154204537533</v>
      </c>
      <c r="AN188" s="88">
        <f>IFERROR(AN145/AN144,0)</f>
        <v>0.0215154204537533</v>
      </c>
      <c r="AO188" s="88">
        <f>IFERROR(AO145/AO144,0)</f>
        <v>0.0215154204537533</v>
      </c>
      <c r="AP188" s="88">
        <f>IFERROR(AP145/AP144,0)</f>
        <v>0.0215154204537533</v>
      </c>
      <c r="AQ188" s="88">
        <f>IFERROR(AQ145/AQ144,0)</f>
        <v>0.0215154204537533</v>
      </c>
      <c r="AR188" s="89">
        <f>IFERROR(AR145/AR144,0)</f>
        <v>0.0215154204537533</v>
      </c>
      <c r="AS188" s="88">
        <f>IFERROR(AS145/AS144,0)</f>
        <v>0.0215154204537533</v>
      </c>
      <c r="AT188" s="88">
        <f>IFERROR(AT145/AT144,0)</f>
        <v>0.0215154204537533</v>
      </c>
      <c r="AU188" s="88">
        <f>IFERROR(AU145/AU144,0)</f>
        <v>0.0215154204537533</v>
      </c>
      <c r="AV188" s="88">
        <f>IFERROR(AV145/AV144,0)</f>
        <v>0.0215154204537533</v>
      </c>
      <c r="AW188" s="89">
        <f>IFERROR(AW145/AW144,0)</f>
        <v>0.0215154204537533</v>
      </c>
      <c r="AX188" s="88">
        <f>IFERROR(AX145/AX144,0)</f>
        <v>0.0215154204537533</v>
      </c>
      <c r="AY188" s="88">
        <f>IFERROR(AY145/AY144,0)</f>
        <v>0.0215154204537533</v>
      </c>
      <c r="AZ188" s="88">
        <f>IFERROR(AZ145/AZ144,0)</f>
        <v>0.0215154204537533</v>
      </c>
      <c r="BA188" s="88">
        <f>IFERROR(BA145/BA144,0)</f>
        <v>0.0215154204537533</v>
      </c>
      <c r="BB188" s="89">
        <f>IFERROR(BB145/BB144,0)</f>
        <v>0.0215154204537533</v>
      </c>
      <c r="BC188" s="88">
        <f>IFERROR(BC145/BC144,0)</f>
        <v>0.0215154204537533</v>
      </c>
      <c r="BD188" s="88">
        <f>IFERROR(BD145/BD144,0)</f>
        <v>0.0215154204537533</v>
      </c>
      <c r="BE188" s="88">
        <f>IFERROR(BE145/BE144,0)</f>
        <v>0.0215154204537533</v>
      </c>
      <c r="BF188" s="88">
        <f>IFERROR(BF145/BF144,0)</f>
        <v>0.0215154204537533</v>
      </c>
      <c r="BG188" s="89">
        <f>IFERROR(BG145/BG144,0)</f>
        <v>0.0215154204537533</v>
      </c>
    </row>
    <row r="189">
      <c r="C189" s="11" t="inlineStr">
        <is>
          <t>Custo do crédito (% da carteira média, a.a.)</t>
        </is>
      </c>
      <c r="D189" s="12" t="inlineStr">
        <is>
          <t>Cost of risk</t>
        </is>
      </c>
      <c r="E189" s="88">
        <f>IFERROR(-E102*4/E134,0)</f>
        <v>0.0138292651468093</v>
      </c>
      <c r="F189" s="88">
        <f>IFERROR(-F102*4/F134,0)</f>
        <v>0.0209915760639719</v>
      </c>
      <c r="G189" s="88">
        <f>IFERROR(-G102*4/G134,0)</f>
        <v>0.014014104857411</v>
      </c>
      <c r="H189" s="88">
        <f>IFERROR(-H102*4/H134,0)</f>
        <v>0.0074017510441327</v>
      </c>
      <c r="I189" s="89">
        <f>IFERROR(-I102*1/I134,0)</f>
        <v>0.0138954350849726</v>
      </c>
      <c r="J189" s="88">
        <f>IFERROR(-J102*4/J134,0)</f>
        <v>0.0067461100484537</v>
      </c>
      <c r="K189" s="88">
        <f>IFERROR(-K102*4/K134,0)</f>
        <v>0.00916215751335678</v>
      </c>
      <c r="L189" s="88">
        <f>IFERROR(-L102*4/L134,0)</f>
        <v>0.00696896909561083</v>
      </c>
      <c r="M189" s="88">
        <f>IFERROR(-M102*4/M134,0)</f>
        <v>0.00778799341015942</v>
      </c>
      <c r="N189" s="89">
        <f>IFERROR(-N102*1/N134,0)</f>
        <v>0.00766549558613831</v>
      </c>
      <c r="O189" s="88">
        <f>IFERROR(-O102*4/O134,0)</f>
        <v>0.00475918528735046</v>
      </c>
      <c r="P189" s="88">
        <f>IFERROR(-P102*4/P134,0)</f>
        <v>0.00550627566216969</v>
      </c>
      <c r="Q189" s="88">
        <f>IFERROR(-Q102*4/Q134,0)</f>
        <v>0.00878234294091424</v>
      </c>
      <c r="R189" s="88">
        <f>IFERROR(-R102*4/R134,0)</f>
        <v>0.0193123366035695</v>
      </c>
      <c r="S189" s="89">
        <f>IFERROR(-S102*1/S134,0)</f>
        <v>0.00979921870501156</v>
      </c>
      <c r="T189" s="88">
        <f>IFERROR(-T102*4/T134,0)</f>
        <v>0.0176308446242563</v>
      </c>
      <c r="U189" s="88">
        <f>IFERROR(-U102*4/U134,0)</f>
        <v>0.0122508521975271</v>
      </c>
      <c r="V189" s="88">
        <f>IFERROR(-V102*4/V134,0)</f>
        <v>0.012259935684995</v>
      </c>
      <c r="W189" s="88">
        <f>IFERROR(-W102*4/W134,0)</f>
        <v>0.0146177800091622</v>
      </c>
      <c r="X189" s="89">
        <f>IFERROR(-X102*1/X134,0)</f>
        <v>0.0142429448450612</v>
      </c>
      <c r="Y189" s="88">
        <f>IFERROR(-Y102*4/Y134,0)</f>
        <v>0.00670832933436851</v>
      </c>
      <c r="Z189" s="88">
        <f>IFERROR(-Z102*4/Z134,0)</f>
        <v>0.00308586304918268</v>
      </c>
      <c r="AA189" s="88">
        <f>IFERROR(-AA102*4/AA134,0)</f>
        <v>0.0133863113654152</v>
      </c>
      <c r="AB189" s="88">
        <f>IFERROR(-AB102*4/AB134,0)</f>
        <v>0.0127101873620315</v>
      </c>
      <c r="AC189" s="89">
        <f>IFERROR(-AC102*1/AC134,0)</f>
        <v>0.00896851311765329</v>
      </c>
      <c r="AD189" s="88">
        <f>IFERROR(-AD102*4/AD134,0)</f>
        <v>0.0166759769561949</v>
      </c>
      <c r="AE189" s="88">
        <f>IFERROR(-AE102*4/AE134,0)</f>
        <v>0.0154916323346175</v>
      </c>
      <c r="AF189" s="88">
        <f>IFERROR(-AF102*4/AF134,0)</f>
        <v>0.0225368833232808</v>
      </c>
      <c r="AG189" s="88">
        <f>IFERROR(-AG102*4/AG134,0)</f>
        <v>0.0222359931015018</v>
      </c>
      <c r="AH189" s="89">
        <f>IFERROR(-AH102*1/AH134,0)</f>
        <v>0.0192868053585404</v>
      </c>
      <c r="AI189" s="88">
        <f>IFERROR(-AI102*4/AI134,0)</f>
        <v>0.01950537073504</v>
      </c>
      <c r="AJ189" s="88">
        <f>IFERROR(-AJ102*4/AJ134,0)</f>
        <v>0.0195888496394633</v>
      </c>
      <c r="AK189" s="88">
        <f>IFERROR(-AK102*4/AK134,0)</f>
        <v>0</v>
      </c>
      <c r="AL189" s="88">
        <f>IFERROR(-AL102*4/AL134,0)</f>
        <v>0</v>
      </c>
      <c r="AM189" s="89">
        <f>IFERROR(-AM102*1/AM134,0)</f>
        <v>0.00978057994132464</v>
      </c>
      <c r="AN189" s="88">
        <f>IFERROR(-AN102*4/AN134,0)</f>
        <v>0</v>
      </c>
      <c r="AO189" s="88">
        <f>IFERROR(-AO102*4/AO134,0)</f>
        <v>0</v>
      </c>
      <c r="AP189" s="88">
        <f>IFERROR(-AP102*4/AP134,0)</f>
        <v>0</v>
      </c>
      <c r="AQ189" s="88">
        <f>IFERROR(-AQ102*4/AQ134,0)</f>
        <v>0</v>
      </c>
      <c r="AR189" s="89">
        <f>IFERROR(-AR102*1/AR134,0)</f>
        <v>0</v>
      </c>
      <c r="AS189" s="88">
        <f>IFERROR(-AS102*4/AS134,0)</f>
        <v>0</v>
      </c>
      <c r="AT189" s="88">
        <f>IFERROR(-AT102*4/AT134,0)</f>
        <v>0</v>
      </c>
      <c r="AU189" s="88">
        <f>IFERROR(-AU102*4/AU134,0)</f>
        <v>0</v>
      </c>
      <c r="AV189" s="88">
        <f>IFERROR(-AV102*4/AV134,0)</f>
        <v>0</v>
      </c>
      <c r="AW189" s="89">
        <f>IFERROR(-AW102*1/AW134,0)</f>
        <v>0</v>
      </c>
      <c r="AX189" s="88">
        <f>IFERROR(-AX102*4/AX134,0)</f>
        <v>0</v>
      </c>
      <c r="AY189" s="88">
        <f>IFERROR(-AY102*4/AY134,0)</f>
        <v>0</v>
      </c>
      <c r="AZ189" s="88">
        <f>IFERROR(-AZ102*4/AZ134,0)</f>
        <v>0</v>
      </c>
      <c r="BA189" s="88">
        <f>IFERROR(-BA102*4/BA134,0)</f>
        <v>0</v>
      </c>
      <c r="BB189" s="89">
        <f>IFERROR(-BB102*1/BB134,0)</f>
        <v>0</v>
      </c>
      <c r="BC189" s="88">
        <f>IFERROR(-BC102*4/BC134,0)</f>
        <v>0</v>
      </c>
      <c r="BD189" s="88">
        <f>IFERROR(-BD102*4/BD134,0)</f>
        <v>0</v>
      </c>
      <c r="BE189" s="88">
        <f>IFERROR(-BE102*4/BE134,0)</f>
        <v>0</v>
      </c>
      <c r="BF189" s="88">
        <f>IFERROR(-BF102*4/BF134,0)</f>
        <v>0</v>
      </c>
      <c r="BG189" s="89">
        <f>IFERROR(-BG102*1/BG134,0)</f>
        <v>0</v>
      </c>
    </row>
    <row r="190">
      <c r="C190" s="11" t="inlineStr">
        <is>
          <t>Write-off (% da carteira média, a.a.)</t>
        </is>
      </c>
      <c r="D190" s="12" t="inlineStr">
        <is>
          <t>Write-offs over loans</t>
        </is>
      </c>
      <c r="E190" s="88">
        <f>IFERROR(E150*4/E134,0)</f>
        <v>0</v>
      </c>
      <c r="F190" s="88">
        <f>IFERROR(F150*4/F134,0)</f>
        <v>0</v>
      </c>
      <c r="G190" s="88">
        <f>IFERROR(G150*4/G134,0)</f>
        <v>0</v>
      </c>
      <c r="H190" s="88">
        <f>IFERROR(H150*4/H134,0)</f>
        <v>0</v>
      </c>
      <c r="I190" s="89">
        <f>IFERROR(I150*1/I134,0)</f>
        <v>0</v>
      </c>
      <c r="J190" s="88">
        <f>IFERROR(J150*4/J134,0)</f>
        <v>0</v>
      </c>
      <c r="K190" s="88">
        <f>IFERROR(K150*4/K134,0)</f>
        <v>0</v>
      </c>
      <c r="L190" s="88">
        <f>IFERROR(L150*4/L134,0)</f>
        <v>0</v>
      </c>
      <c r="M190" s="88">
        <f>IFERROR(M150*4/M134,0)</f>
        <v>0</v>
      </c>
      <c r="N190" s="89">
        <f>IFERROR(N150*1/N134,0)</f>
        <v>0</v>
      </c>
      <c r="O190" s="88">
        <f>IFERROR(O150*4/O134,0)</f>
        <v>0</v>
      </c>
      <c r="P190" s="88">
        <f>IFERROR(P150*4/P134,0)</f>
        <v>0</v>
      </c>
      <c r="Q190" s="88">
        <f>IFERROR(Q150*4/Q134,0)</f>
        <v>0</v>
      </c>
      <c r="R190" s="88">
        <f>IFERROR(R150*4/R134,0)</f>
        <v>0</v>
      </c>
      <c r="S190" s="89">
        <f>IFERROR(S150*1/S134,0)</f>
        <v>0</v>
      </c>
      <c r="T190" s="88">
        <f>IFERROR(T150*4/T134,0)</f>
        <v>0</v>
      </c>
      <c r="U190" s="88">
        <f>IFERROR(U150*4/U134,0)</f>
        <v>0</v>
      </c>
      <c r="V190" s="88">
        <f>IFERROR(V150*4/V134,0)</f>
        <v>0</v>
      </c>
      <c r="W190" s="88">
        <f>IFERROR(W150*4/W134,0)</f>
        <v>0</v>
      </c>
      <c r="X190" s="89">
        <f>IFERROR(X150*1/X134,0)</f>
        <v>0</v>
      </c>
      <c r="Y190" s="88">
        <f>IFERROR(Y150*4/Y134,0)</f>
        <v>0.00871295871361871</v>
      </c>
      <c r="Z190" s="88">
        <f>IFERROR(Z150*4/Z134,0)</f>
        <v>0.0110187427434695</v>
      </c>
      <c r="AA190" s="88">
        <f>IFERROR(AA150*4/AA134,0)</f>
        <v>0.0672141719803348</v>
      </c>
      <c r="AB190" s="88">
        <f>IFERROR(AB150*4/AB134,0)</f>
        <v>0.0113710217005991</v>
      </c>
      <c r="AC190" s="89">
        <f>IFERROR(AC150*1/AC134,0)</f>
        <v>0.0243097312459572</v>
      </c>
      <c r="AD190" s="88">
        <f>IFERROR(AD150*4/AD134,0)</f>
        <v>0.00394548244752667</v>
      </c>
      <c r="AE190" s="88">
        <f>IFERROR(AE150*4/AE134,0)</f>
        <v>0.000744418539246335</v>
      </c>
      <c r="AF190" s="88">
        <f>IFERROR(AF150*4/AF134,0)</f>
        <v>0.0104531248770682</v>
      </c>
      <c r="AG190" s="88">
        <f>IFERROR(AG150*4/AG134,0)</f>
        <v>0.00938577313841603</v>
      </c>
      <c r="AH190" s="89">
        <f>IFERROR(AH150*1/AH134,0)</f>
        <v>0.00619607124107093</v>
      </c>
      <c r="AI190" s="88">
        <f>IFERROR(AI150*4/AI134,0)</f>
        <v>0.00589309818900484</v>
      </c>
      <c r="AJ190" s="88">
        <f>IFERROR(AJ150*4/AJ134,0)</f>
        <v>0.018399368319834</v>
      </c>
      <c r="AK190" s="88">
        <f>IFERROR(AK150*4/AK134,0)</f>
        <v>0</v>
      </c>
      <c r="AL190" s="88">
        <f>IFERROR(AL150*4/AL134,0)</f>
        <v>0</v>
      </c>
      <c r="AM190" s="89">
        <f>IFERROR(AM150*1/AM134,0)</f>
        <v>0.00603366125561908</v>
      </c>
      <c r="AN190" s="88">
        <f>IFERROR(AN150*4/AN134,0)</f>
        <v>0</v>
      </c>
      <c r="AO190" s="88">
        <f>IFERROR(AO150*4/AO134,0)</f>
        <v>0</v>
      </c>
      <c r="AP190" s="88">
        <f>IFERROR(AP150*4/AP134,0)</f>
        <v>0</v>
      </c>
      <c r="AQ190" s="88">
        <f>IFERROR(AQ150*4/AQ134,0)</f>
        <v>0</v>
      </c>
      <c r="AR190" s="89">
        <f>IFERROR(AR150*1/AR134,0)</f>
        <v>0</v>
      </c>
      <c r="AS190" s="88">
        <f>IFERROR(AS150*4/AS134,0)</f>
        <v>0</v>
      </c>
      <c r="AT190" s="88">
        <f>IFERROR(AT150*4/AT134,0)</f>
        <v>0</v>
      </c>
      <c r="AU190" s="88">
        <f>IFERROR(AU150*4/AU134,0)</f>
        <v>0</v>
      </c>
      <c r="AV190" s="88">
        <f>IFERROR(AV150*4/AV134,0)</f>
        <v>0</v>
      </c>
      <c r="AW190" s="89">
        <f>IFERROR(AW150*1/AW134,0)</f>
        <v>0</v>
      </c>
      <c r="AX190" s="88">
        <f>IFERROR(AX150*4/AX134,0)</f>
        <v>0</v>
      </c>
      <c r="AY190" s="88">
        <f>IFERROR(AY150*4/AY134,0)</f>
        <v>0</v>
      </c>
      <c r="AZ190" s="88">
        <f>IFERROR(AZ150*4/AZ134,0)</f>
        <v>0</v>
      </c>
      <c r="BA190" s="88">
        <f>IFERROR(BA150*4/BA134,0)</f>
        <v>0</v>
      </c>
      <c r="BB190" s="89">
        <f>IFERROR(BB150*1/BB134,0)</f>
        <v>0</v>
      </c>
      <c r="BC190" s="88">
        <f>IFERROR(BC150*4/BC134,0)</f>
        <v>0</v>
      </c>
      <c r="BD190" s="88">
        <f>IFERROR(BD150*4/BD134,0)</f>
        <v>0</v>
      </c>
      <c r="BE190" s="88">
        <f>IFERROR(BE150*4/BE134,0)</f>
        <v>0</v>
      </c>
      <c r="BF190" s="88">
        <f>IFERROR(BF150*4/BF134,0)</f>
        <v>0</v>
      </c>
      <c r="BG190" s="89">
        <f>IFERROR(BG150*1/BG134,0)</f>
        <v>0</v>
      </c>
    </row>
    <row r="191">
      <c r="B191" s="29" t="n"/>
      <c r="C191" s="29" t="inlineStr">
        <is>
          <t>Capital, liquidez e estrutura</t>
        </is>
      </c>
      <c r="D191" s="29" t="inlineStr">
        <is>
          <t>Capital, liquidity and structure</t>
        </is>
      </c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  <c r="AA191" s="29" t="n"/>
      <c r="AB191" s="29" t="n"/>
      <c r="AC191" s="29" t="n"/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  <c r="AW191" s="29" t="n"/>
      <c r="AX191" s="29" t="n"/>
      <c r="AY191" s="29" t="n"/>
      <c r="AZ191" s="29" t="n"/>
      <c r="BA191" s="29" t="n"/>
      <c r="BB191" s="29" t="n"/>
      <c r="BC191" s="29" t="n"/>
      <c r="BD191" s="29" t="n"/>
      <c r="BE191" s="29" t="n"/>
      <c r="BF191" s="29" t="n"/>
      <c r="BG191" s="29" t="n"/>
      <c r="BH191" s="29" t="n"/>
      <c r="BI191" s="29" t="n"/>
    </row>
    <row r="192">
      <c r="C192" s="11" t="inlineStr">
        <is>
          <t>Índice de Basileia</t>
        </is>
      </c>
      <c r="D192" s="12" t="inlineStr">
        <is>
          <t>Basel ratio</t>
        </is>
      </c>
      <c r="E192" s="88">
        <f>E158</f>
        <v>0.146564382443249</v>
      </c>
      <c r="F192" s="88">
        <f>F158</f>
        <v>0.157236728881855</v>
      </c>
      <c r="G192" s="88">
        <f>G158</f>
        <v>0.157075536531427</v>
      </c>
      <c r="H192" s="88">
        <f>H158</f>
        <v>0.168536780610974</v>
      </c>
      <c r="I192" s="89">
        <f>I158</f>
        <v>0.168536780610974</v>
      </c>
      <c r="J192" s="88">
        <f>J158</f>
        <v>0.159390431904289</v>
      </c>
      <c r="K192" s="88">
        <f>K158</f>
        <v>0.158854279107192</v>
      </c>
      <c r="L192" s="88">
        <f>L158</f>
        <v>0.14608917785305</v>
      </c>
      <c r="M192" s="88">
        <f>M158</f>
        <v>0.150917091365528</v>
      </c>
      <c r="N192" s="89">
        <f>N158</f>
        <v>0.150917091365528</v>
      </c>
      <c r="O192" s="88">
        <f>O158</f>
        <v>0.150801125672735</v>
      </c>
      <c r="P192" s="88">
        <f>P158</f>
        <v>0.149710847030843</v>
      </c>
      <c r="Q192" s="88">
        <f>Q158</f>
        <v>0.147267348828336</v>
      </c>
      <c r="R192" s="88">
        <f>R158</f>
        <v>0.152340856022402</v>
      </c>
      <c r="S192" s="89">
        <f>S158</f>
        <v>0.152340856022402</v>
      </c>
      <c r="T192" s="88">
        <f>T158</f>
        <v>0.14815763816013</v>
      </c>
      <c r="U192" s="88">
        <f>U158</f>
        <v>0.149590456013769</v>
      </c>
      <c r="V192" s="88">
        <f>V158</f>
        <v>0.146194750959252</v>
      </c>
      <c r="W192" s="88">
        <f>W158</f>
        <v>0.149449586521709</v>
      </c>
      <c r="X192" s="89">
        <f>X158</f>
        <v>0.149449586521709</v>
      </c>
      <c r="Y192" s="88">
        <f>Y158</f>
        <v>0.165737471475452</v>
      </c>
      <c r="Z192" s="88">
        <f>Z158</f>
        <v>0.163111685099364</v>
      </c>
      <c r="AA192" s="88">
        <f>AA158</f>
        <v>0.160697587006607</v>
      </c>
      <c r="AB192" s="88">
        <f>AB158</f>
        <v>0.164773835848492</v>
      </c>
      <c r="AC192" s="89">
        <f>AC158</f>
        <v>0.164773835848492</v>
      </c>
      <c r="AD192" s="88">
        <f>AD158</f>
        <v>0.171954085279738</v>
      </c>
      <c r="AE192" s="88">
        <f>AE158</f>
        <v>0.172952735287219</v>
      </c>
      <c r="AF192" s="88">
        <f>AF158</f>
        <v>0.167108025954253</v>
      </c>
      <c r="AG192" s="88">
        <f>AG158</f>
        <v>0.162847098090108</v>
      </c>
      <c r="AH192" s="89">
        <f>AH158</f>
        <v>0.162847098090108</v>
      </c>
      <c r="AI192" s="88">
        <f>AI158</f>
        <v>0.158738233098618</v>
      </c>
      <c r="AJ192" s="88">
        <f>AJ158</f>
        <v>0.16180286056236</v>
      </c>
      <c r="AK192" s="88">
        <f>AK158</f>
        <v>0</v>
      </c>
      <c r="AL192" s="88">
        <f>AL158</f>
        <v>0</v>
      </c>
      <c r="AM192" s="89">
        <f>AM158</f>
        <v>0</v>
      </c>
      <c r="AN192" s="88">
        <f>AN158</f>
        <v>0</v>
      </c>
      <c r="AO192" s="88">
        <f>AO158</f>
        <v>0</v>
      </c>
      <c r="AP192" s="88">
        <f>AP158</f>
        <v>0</v>
      </c>
      <c r="AQ192" s="88">
        <f>AQ158</f>
        <v>0</v>
      </c>
      <c r="AR192" s="89">
        <f>AR158</f>
        <v>0</v>
      </c>
      <c r="AS192" s="88">
        <f>AS158</f>
        <v>0</v>
      </c>
      <c r="AT192" s="88">
        <f>AT158</f>
        <v>0</v>
      </c>
      <c r="AU192" s="88">
        <f>AU158</f>
        <v>0</v>
      </c>
      <c r="AV192" s="88">
        <f>AV158</f>
        <v>0</v>
      </c>
      <c r="AW192" s="89">
        <f>AW158</f>
        <v>0</v>
      </c>
      <c r="AX192" s="88">
        <f>AX158</f>
        <v>0</v>
      </c>
      <c r="AY192" s="88">
        <f>AY158</f>
        <v>0</v>
      </c>
      <c r="AZ192" s="88">
        <f>AZ158</f>
        <v>0</v>
      </c>
      <c r="BA192" s="88">
        <f>BA158</f>
        <v>0</v>
      </c>
      <c r="BB192" s="89">
        <f>BB158</f>
        <v>0</v>
      </c>
      <c r="BC192" s="88">
        <f>BC158</f>
        <v>0</v>
      </c>
      <c r="BD192" s="88">
        <f>BD158</f>
        <v>0</v>
      </c>
      <c r="BE192" s="88">
        <f>BE158</f>
        <v>0</v>
      </c>
      <c r="BF192" s="88">
        <f>BF158</f>
        <v>0</v>
      </c>
      <c r="BG192" s="89">
        <f>BG158</f>
        <v>0</v>
      </c>
    </row>
    <row r="193">
      <c r="C193" s="11" t="inlineStr">
        <is>
          <t>Índice de Nível I</t>
        </is>
      </c>
      <c r="D193" s="12" t="inlineStr">
        <is>
          <t>Tier 1 ratio</t>
        </is>
      </c>
      <c r="E193" s="88">
        <f>E159</f>
        <v>0</v>
      </c>
      <c r="F193" s="88">
        <f>F159</f>
        <v>0</v>
      </c>
      <c r="G193" s="88">
        <f>G159</f>
        <v>0</v>
      </c>
      <c r="H193" s="88">
        <f>H159</f>
        <v>0</v>
      </c>
      <c r="I193" s="89">
        <f>I159</f>
        <v>0</v>
      </c>
      <c r="J193" s="88">
        <f>J159</f>
        <v>0.139792048435433</v>
      </c>
      <c r="K193" s="88">
        <f>K159</f>
        <v>0.140548726398737</v>
      </c>
      <c r="L193" s="88">
        <f>L159</f>
        <v>0.131543719994825</v>
      </c>
      <c r="M193" s="88">
        <f>M159</f>
        <v>0.136304900820165</v>
      </c>
      <c r="N193" s="89">
        <f>N159</f>
        <v>0.136304900820165</v>
      </c>
      <c r="O193" s="88">
        <f>O159</f>
        <v>0.135093818862925</v>
      </c>
      <c r="P193" s="88">
        <f>P159</f>
        <v>0.131339185903543</v>
      </c>
      <c r="Q193" s="88">
        <f>Q159</f>
        <v>0.13132632733293</v>
      </c>
      <c r="R193" s="88">
        <f>R159</f>
        <v>0.131146403671031</v>
      </c>
      <c r="S193" s="89">
        <f>S159</f>
        <v>0.131146403671031</v>
      </c>
      <c r="T193" s="88">
        <f>T159</f>
        <v>0.127663209032978</v>
      </c>
      <c r="U193" s="88">
        <f>U159</f>
        <v>0.129077918950187</v>
      </c>
      <c r="V193" s="88">
        <f>V159</f>
        <v>0</v>
      </c>
      <c r="W193" s="88">
        <f>W159</f>
        <v>0.127118760906911</v>
      </c>
      <c r="X193" s="89">
        <f>X159</f>
        <v>0.127118760906911</v>
      </c>
      <c r="Y193" s="88">
        <f>Y159</f>
        <v>0.138204072788152</v>
      </c>
      <c r="Z193" s="88">
        <f>Z159</f>
        <v>0.137841820092041</v>
      </c>
      <c r="AA193" s="88">
        <f>AA159</f>
        <v>0.136495900324503</v>
      </c>
      <c r="AB193" s="88">
        <f>AB159</f>
        <v>0.141354184612119</v>
      </c>
      <c r="AC193" s="89">
        <f>AC159</f>
        <v>0.141354184612119</v>
      </c>
      <c r="AD193" s="88">
        <f>AD159</f>
        <v>0.147423092700426</v>
      </c>
      <c r="AE193" s="88">
        <f>AE159</f>
        <v>0.14828801856121</v>
      </c>
      <c r="AF193" s="88">
        <f>AF159</f>
        <v>0.142837577980411</v>
      </c>
      <c r="AG193" s="88">
        <f>AG159</f>
        <v>0.138416153696242</v>
      </c>
      <c r="AH193" s="89">
        <f>AH159</f>
        <v>0.138416153696242</v>
      </c>
      <c r="AI193" s="88">
        <f>AI159</f>
        <v>0.134111285094224</v>
      </c>
      <c r="AJ193" s="88">
        <f>AJ159</f>
        <v>0.137350008448701</v>
      </c>
      <c r="AK193" s="88">
        <f>AK159</f>
        <v>0</v>
      </c>
      <c r="AL193" s="88">
        <f>AL159</f>
        <v>0</v>
      </c>
      <c r="AM193" s="89">
        <f>AM159</f>
        <v>0</v>
      </c>
      <c r="AN193" s="88">
        <f>AN159</f>
        <v>0</v>
      </c>
      <c r="AO193" s="88">
        <f>AO159</f>
        <v>0</v>
      </c>
      <c r="AP193" s="88">
        <f>AP159</f>
        <v>0</v>
      </c>
      <c r="AQ193" s="88">
        <f>AQ159</f>
        <v>0</v>
      </c>
      <c r="AR193" s="89">
        <f>AR159</f>
        <v>0</v>
      </c>
      <c r="AS193" s="88">
        <f>AS159</f>
        <v>0</v>
      </c>
      <c r="AT193" s="88">
        <f>AT159</f>
        <v>0</v>
      </c>
      <c r="AU193" s="88">
        <f>AU159</f>
        <v>0</v>
      </c>
      <c r="AV193" s="88">
        <f>AV159</f>
        <v>0</v>
      </c>
      <c r="AW193" s="89">
        <f>AW159</f>
        <v>0</v>
      </c>
      <c r="AX193" s="88">
        <f>AX159</f>
        <v>0</v>
      </c>
      <c r="AY193" s="88">
        <f>AY159</f>
        <v>0</v>
      </c>
      <c r="AZ193" s="88">
        <f>AZ159</f>
        <v>0</v>
      </c>
      <c r="BA193" s="88">
        <f>BA159</f>
        <v>0</v>
      </c>
      <c r="BB193" s="89">
        <f>BB159</f>
        <v>0</v>
      </c>
      <c r="BC193" s="88">
        <f>BC159</f>
        <v>0</v>
      </c>
      <c r="BD193" s="88">
        <f>BD159</f>
        <v>0</v>
      </c>
      <c r="BE193" s="88">
        <f>BE159</f>
        <v>0</v>
      </c>
      <c r="BF193" s="88">
        <f>BF159</f>
        <v>0</v>
      </c>
      <c r="BG193" s="89">
        <f>BG159</f>
        <v>0</v>
      </c>
    </row>
    <row r="194">
      <c r="C194" s="11" t="inlineStr">
        <is>
          <t>Alavancagem — Ativo / PL</t>
        </is>
      </c>
      <c r="D194" s="12" t="inlineStr">
        <is>
          <t>Leverage (assets over equity)</t>
        </is>
      </c>
      <c r="E194" s="90">
        <f>IFERROR(E42/E78,0)</f>
        <v>12.2682609295178</v>
      </c>
      <c r="F194" s="90">
        <f>IFERROR(F42/F78,0)</f>
        <v>12.1829778376806</v>
      </c>
      <c r="G194" s="90">
        <f>IFERROR(G42/G78,0)</f>
        <v>11.0217575545837</v>
      </c>
      <c r="H194" s="90">
        <f>IFERROR(H42/H78,0)</f>
        <v>10.1040540190749</v>
      </c>
      <c r="I194" s="91">
        <f>IFERROR(I42/I78,0)</f>
        <v>10.1040540190749</v>
      </c>
      <c r="J194" s="90">
        <f>IFERROR(J42/J78,0)</f>
        <v>11.0886819801309</v>
      </c>
      <c r="K194" s="90">
        <f>IFERROR(K42/K78,0)</f>
        <v>9.96958268018488</v>
      </c>
      <c r="L194" s="90">
        <f>IFERROR(L42/L78,0)</f>
        <v>11.0005672026483</v>
      </c>
      <c r="M194" s="90">
        <f>IFERROR(M42/M78,0)</f>
        <v>10.612202820245</v>
      </c>
      <c r="N194" s="91">
        <f>IFERROR(N42/N78,0)</f>
        <v>10.612202820245</v>
      </c>
      <c r="O194" s="90">
        <f>IFERROR(O42/O78,0)</f>
        <v>9.69291799462513</v>
      </c>
      <c r="P194" s="90">
        <f>IFERROR(P42/P78,0)</f>
        <v>10.3734558275054</v>
      </c>
      <c r="Q194" s="90">
        <f>IFERROR(Q42/Q78,0)</f>
        <v>10.3737232261205</v>
      </c>
      <c r="R194" s="90">
        <f>IFERROR(R42/R78,0)</f>
        <v>11.0244672824439</v>
      </c>
      <c r="S194" s="91">
        <f>IFERROR(S42/S78,0)</f>
        <v>11.0244672824439</v>
      </c>
      <c r="T194" s="90">
        <f>IFERROR(T42/T78,0)</f>
        <v>10.2096988476619</v>
      </c>
      <c r="U194" s="90">
        <f>IFERROR(U42/U78,0)</f>
        <v>10.1297029425444</v>
      </c>
      <c r="V194" s="90">
        <f>IFERROR(V42/V78,0)</f>
        <v>9.91162235069996</v>
      </c>
      <c r="W194" s="90">
        <f>IFERROR(W42/W78,0)</f>
        <v>10.3022582603544</v>
      </c>
      <c r="X194" s="91">
        <f>IFERROR(X42/X78,0)</f>
        <v>10.3022582603544</v>
      </c>
      <c r="Y194" s="90">
        <f>IFERROR(Y42/Y78,0)</f>
        <v>9.96666438373212</v>
      </c>
      <c r="Z194" s="90">
        <f>IFERROR(Z42/Z78,0)</f>
        <v>11.0465608183009</v>
      </c>
      <c r="AA194" s="90">
        <f>IFERROR(AA42/AA78,0)</f>
        <v>11.2670723628821</v>
      </c>
      <c r="AB194" s="90">
        <f>IFERROR(AB42/AB78,0)</f>
        <v>11.4778768557227</v>
      </c>
      <c r="AC194" s="91">
        <f>IFERROR(AC42/AC78,0)</f>
        <v>11.4778768557227</v>
      </c>
      <c r="AD194" s="90">
        <f>IFERROR(AD42/AD78,0)</f>
        <v>9.89977788327851</v>
      </c>
      <c r="AE194" s="90">
        <f>IFERROR(AE42/AE78,0)</f>
        <v>9.75737376059178</v>
      </c>
      <c r="AF194" s="90">
        <f>IFERROR(AF42/AF78,0)</f>
        <v>9.40626796526513</v>
      </c>
      <c r="AG194" s="90">
        <f>IFERROR(AG42/AG78,0)</f>
        <v>9.78677329789912</v>
      </c>
      <c r="AH194" s="91">
        <f>IFERROR(AH42/AH78,0)</f>
        <v>9.78677329789912</v>
      </c>
      <c r="AI194" s="90">
        <f>IFERROR(AI42/AI78,0)</f>
        <v>9.66971422494243</v>
      </c>
      <c r="AJ194" s="90">
        <f>IFERROR(AJ42/AJ78,0)</f>
        <v>9.56010100732551</v>
      </c>
      <c r="AK194" s="90">
        <f>IFERROR(AK42/AK78,0)</f>
        <v>9.92312906559853</v>
      </c>
      <c r="AL194" s="90">
        <f>IFERROR(AL42/AL78,0)</f>
        <v>10.2978995014499</v>
      </c>
      <c r="AM194" s="91">
        <f>IFERROR(AM42/AM78,0)</f>
        <v>10.2978995014499</v>
      </c>
      <c r="AN194" s="90">
        <f>IFERROR(AN42/AN78,0)</f>
        <v>10.6987752513238</v>
      </c>
      <c r="AO194" s="90">
        <f>IFERROR(AO42/AO78,0)</f>
        <v>11.1832883320278</v>
      </c>
      <c r="AP194" s="90">
        <f>IFERROR(AP42/AP78,0)</f>
        <v>11.683280736015</v>
      </c>
      <c r="AQ194" s="90">
        <f>IFERROR(AQ42/AQ78,0)</f>
        <v>12.2062989951836</v>
      </c>
      <c r="AR194" s="91">
        <f>IFERROR(AR42/AR78,0)</f>
        <v>12.2062989951836</v>
      </c>
      <c r="AS194" s="90">
        <f>IFERROR(AS42/AS78,0)</f>
        <v>12.7736148114227</v>
      </c>
      <c r="AT194" s="90">
        <f>IFERROR(AT42/AT78,0)</f>
        <v>13.4703954614378</v>
      </c>
      <c r="AU194" s="90">
        <f>IFERROR(AU42/AU78,0)</f>
        <v>14.202501984328</v>
      </c>
      <c r="AV194" s="90">
        <f>IFERROR(AV42/AV78,0)</f>
        <v>14.9829239193561</v>
      </c>
      <c r="AW194" s="91">
        <f>IFERROR(AW42/AW78,0)</f>
        <v>14.9829239193561</v>
      </c>
      <c r="AX194" s="90">
        <f>IFERROR(AX42/AX78,0)</f>
        <v>15.8468289778006</v>
      </c>
      <c r="AY194" s="90">
        <f>IFERROR(AY42/AY78,0)</f>
        <v>16.9334811151743</v>
      </c>
      <c r="AZ194" s="90">
        <f>IFERROR(AZ42/AZ78,0)</f>
        <v>18.1068027831325</v>
      </c>
      <c r="BA194" s="90">
        <f>IFERROR(BA42/BA78,0)</f>
        <v>19.3947370613776</v>
      </c>
      <c r="BB194" s="91">
        <f>IFERROR(BB42/BB78,0)</f>
        <v>19.3947370613776</v>
      </c>
      <c r="BC194" s="90">
        <f>IFERROR(BC42/BC78,0)</f>
        <v>20.8673122638824</v>
      </c>
      <c r="BD194" s="90">
        <f>IFERROR(BD42/BD78,0)</f>
        <v>22.7934071736889</v>
      </c>
      <c r="BE194" s="90">
        <f>IFERROR(BE42/BE78,0)</f>
        <v>24.9715360794054</v>
      </c>
      <c r="BF194" s="90">
        <f>IFERROR(BF42/BF78,0)</f>
        <v>27.4890572946776</v>
      </c>
      <c r="BG194" s="91">
        <f>IFERROR(BG42/BG78,0)</f>
        <v>27.4890572946776</v>
      </c>
    </row>
    <row r="195">
      <c r="C195" s="11" t="inlineStr">
        <is>
          <t>Carteira de crédito / Depósitos (LDR)</t>
        </is>
      </c>
      <c r="D195" s="12" t="inlineStr">
        <is>
          <t>Loan to deposit ratio</t>
        </is>
      </c>
      <c r="E195" s="88">
        <f>IFERROR(E30/E44,0)</f>
        <v>2.94498409437732</v>
      </c>
      <c r="F195" s="88">
        <f>IFERROR(F30/F44,0)</f>
        <v>2.44760733539894</v>
      </c>
      <c r="G195" s="88">
        <f>IFERROR(G30/G44,0)</f>
        <v>1.93032926523516</v>
      </c>
      <c r="H195" s="88">
        <f>IFERROR(H30/H44,0)</f>
        <v>1.99050449182931</v>
      </c>
      <c r="I195" s="89">
        <f>IFERROR(I30/I44,0)</f>
        <v>1.99050449182931</v>
      </c>
      <c r="J195" s="88">
        <f>IFERROR(J30/J44,0)</f>
        <v>2.04568427285926</v>
      </c>
      <c r="K195" s="88">
        <f>IFERROR(K30/K44,0)</f>
        <v>2.32845421241667</v>
      </c>
      <c r="L195" s="88">
        <f>IFERROR(L30/L44,0)</f>
        <v>2.36699400623438</v>
      </c>
      <c r="M195" s="88">
        <f>IFERROR(M30/M44,0)</f>
        <v>2.80563071037868</v>
      </c>
      <c r="N195" s="89">
        <f>IFERROR(N30/N44,0)</f>
        <v>2.80563071037868</v>
      </c>
      <c r="O195" s="88">
        <f>IFERROR(O30/O44,0)</f>
        <v>2.59112548701325</v>
      </c>
      <c r="P195" s="88">
        <f>IFERROR(P30/P44,0)</f>
        <v>2.68293672270705</v>
      </c>
      <c r="Q195" s="88">
        <f>IFERROR(Q30/Q44,0)</f>
        <v>2.46714424359481</v>
      </c>
      <c r="R195" s="88">
        <f>IFERROR(R30/R44,0)</f>
        <v>2.38325360963456</v>
      </c>
      <c r="S195" s="89">
        <f>IFERROR(S30/S44,0)</f>
        <v>2.38325360963456</v>
      </c>
      <c r="T195" s="88">
        <f>IFERROR(T30/T44,0)</f>
        <v>2.45099762832884</v>
      </c>
      <c r="U195" s="88">
        <f>IFERROR(U30/U44,0)</f>
        <v>2.74685051744467</v>
      </c>
      <c r="V195" s="88">
        <f>IFERROR(V30/V44,0)</f>
        <v>2.65800431129803</v>
      </c>
      <c r="W195" s="88">
        <f>IFERROR(W30/W44,0)</f>
        <v>2.20218156789784</v>
      </c>
      <c r="X195" s="89">
        <f>IFERROR(X30/X44,0)</f>
        <v>2.20218156789784</v>
      </c>
      <c r="Y195" s="88">
        <f>IFERROR(Y30/Y44,0)</f>
        <v>2.05554091595431</v>
      </c>
      <c r="Z195" s="88">
        <f>IFERROR(Z30/Z44,0)</f>
        <v>1.82796305749482</v>
      </c>
      <c r="AA195" s="88">
        <f>IFERROR(AA30/AA44,0)</f>
        <v>1.87187959123995</v>
      </c>
      <c r="AB195" s="88">
        <f>IFERROR(AB30/AB44,0)</f>
        <v>1.96112052726543</v>
      </c>
      <c r="AC195" s="89">
        <f>IFERROR(AC30/AC44,0)</f>
        <v>1.96112052726543</v>
      </c>
      <c r="AD195" s="88">
        <f>IFERROR(AD30/AD44,0)</f>
        <v>2.07059070133534</v>
      </c>
      <c r="AE195" s="88">
        <f>IFERROR(AE30/AE44,0)</f>
        <v>2.25591619769555</v>
      </c>
      <c r="AF195" s="88">
        <f>IFERROR(AF30/AF44,0)</f>
        <v>2.48383245747527</v>
      </c>
      <c r="AG195" s="88">
        <f>IFERROR(AG30/AG44,0)</f>
        <v>2.39187113694506</v>
      </c>
      <c r="AH195" s="89">
        <f>IFERROR(AH30/AH44,0)</f>
        <v>2.39187113694506</v>
      </c>
      <c r="AI195" s="88">
        <f>IFERROR(AI30/AI44,0)</f>
        <v>2.47982104710373</v>
      </c>
      <c r="AJ195" s="88">
        <f>IFERROR(AJ30/AJ44,0)</f>
        <v>2.63378512395868</v>
      </c>
      <c r="AK195" s="88">
        <f>IFERROR(AK30/AK44,0)</f>
        <v>2.63378512395868</v>
      </c>
      <c r="AL195" s="88">
        <f>IFERROR(AL30/AL44,0)</f>
        <v>2.63378512395868</v>
      </c>
      <c r="AM195" s="89">
        <f>IFERROR(AM30/AM44,0)</f>
        <v>2.63378512395868</v>
      </c>
      <c r="AN195" s="88">
        <f>IFERROR(AN30/AN44,0)</f>
        <v>2.63378512395868</v>
      </c>
      <c r="AO195" s="88">
        <f>IFERROR(AO30/AO44,0)</f>
        <v>2.63378512395868</v>
      </c>
      <c r="AP195" s="88">
        <f>IFERROR(AP30/AP44,0)</f>
        <v>2.63378512395868</v>
      </c>
      <c r="AQ195" s="88">
        <f>IFERROR(AQ30/AQ44,0)</f>
        <v>2.63378512395868</v>
      </c>
      <c r="AR195" s="89">
        <f>IFERROR(AR30/AR44,0)</f>
        <v>2.63378512395868</v>
      </c>
      <c r="AS195" s="88">
        <f>IFERROR(AS30/AS44,0)</f>
        <v>2.63378512395868</v>
      </c>
      <c r="AT195" s="88">
        <f>IFERROR(AT30/AT44,0)</f>
        <v>2.63378512395868</v>
      </c>
      <c r="AU195" s="88">
        <f>IFERROR(AU30/AU44,0)</f>
        <v>2.63378512395868</v>
      </c>
      <c r="AV195" s="88">
        <f>IFERROR(AV30/AV44,0)</f>
        <v>2.63378512395868</v>
      </c>
      <c r="AW195" s="89">
        <f>IFERROR(AW30/AW44,0)</f>
        <v>2.63378512395868</v>
      </c>
      <c r="AX195" s="88">
        <f>IFERROR(AX30/AX44,0)</f>
        <v>2.63378512395868</v>
      </c>
      <c r="AY195" s="88">
        <f>IFERROR(AY30/AY44,0)</f>
        <v>2.63378512395868</v>
      </c>
      <c r="AZ195" s="88">
        <f>IFERROR(AZ30/AZ44,0)</f>
        <v>2.63378512395868</v>
      </c>
      <c r="BA195" s="88">
        <f>IFERROR(BA30/BA44,0)</f>
        <v>2.63378512395868</v>
      </c>
      <c r="BB195" s="89">
        <f>IFERROR(BB30/BB44,0)</f>
        <v>2.63378512395868</v>
      </c>
      <c r="BC195" s="88">
        <f>IFERROR(BC30/BC44,0)</f>
        <v>2.63378512395868</v>
      </c>
      <c r="BD195" s="88">
        <f>IFERROR(BD30/BD44,0)</f>
        <v>2.63378512395868</v>
      </c>
      <c r="BE195" s="88">
        <f>IFERROR(BE30/BE44,0)</f>
        <v>2.63378512395868</v>
      </c>
      <c r="BF195" s="88">
        <f>IFERROR(BF30/BF44,0)</f>
        <v>2.63378512395868</v>
      </c>
      <c r="BG195" s="89">
        <f>IFERROR(BG30/BG44,0)</f>
        <v>2.63378512395868</v>
      </c>
    </row>
    <row r="196">
      <c r="C196" s="11" t="inlineStr">
        <is>
          <t>Carteira de crédito / Ativo total</t>
        </is>
      </c>
      <c r="D196" s="12" t="inlineStr">
        <is>
          <t>Loans over total assets</t>
        </is>
      </c>
      <c r="E196" s="88">
        <f>IFERROR(E30/E42,0)</f>
        <v>0.354321071222014</v>
      </c>
      <c r="F196" s="88">
        <f>IFERROR(F30/F42,0)</f>
        <v>0.359552973755755</v>
      </c>
      <c r="G196" s="88">
        <f>IFERROR(G30/G42,0)</f>
        <v>0.409866045237276</v>
      </c>
      <c r="H196" s="88">
        <f>IFERROR(H30/H42,0)</f>
        <v>0.466530503319948</v>
      </c>
      <c r="I196" s="89">
        <f>IFERROR(I30/I42,0)</f>
        <v>0.466530503319948</v>
      </c>
      <c r="J196" s="88">
        <f>IFERROR(J30/J42,0)</f>
        <v>0.423764981712167</v>
      </c>
      <c r="K196" s="88">
        <f>IFERROR(K30/K42,0)</f>
        <v>0.44976068956532</v>
      </c>
      <c r="L196" s="88">
        <f>IFERROR(L30/L42,0)</f>
        <v>0.419280822768588</v>
      </c>
      <c r="M196" s="88">
        <f>IFERROR(M30/M42,0)</f>
        <v>0.450329812974506</v>
      </c>
      <c r="N196" s="89">
        <f>IFERROR(N30/N42,0)</f>
        <v>0.450329812974506</v>
      </c>
      <c r="O196" s="88">
        <f>IFERROR(O30/O42,0)</f>
        <v>0.479650731192337</v>
      </c>
      <c r="P196" s="88">
        <f>IFERROR(P30/P42,0)</f>
        <v>0.461331906546342</v>
      </c>
      <c r="Q196" s="88">
        <f>IFERROR(Q30/Q42,0)</f>
        <v>0.469225089928175</v>
      </c>
      <c r="R196" s="88">
        <f>IFERROR(R30/R42,0)</f>
        <v>0.42984544332577</v>
      </c>
      <c r="S196" s="89">
        <f>IFERROR(S30/S42,0)</f>
        <v>0.42984544332577</v>
      </c>
      <c r="T196" s="88">
        <f>IFERROR(T30/T42,0)</f>
        <v>0.421623795466511</v>
      </c>
      <c r="U196" s="88">
        <f>IFERROR(U30/U42,0)</f>
        <v>0.403153213630816</v>
      </c>
      <c r="V196" s="88">
        <f>IFERROR(V30/V42,0)</f>
        <v>0.395582582344467</v>
      </c>
      <c r="W196" s="88">
        <f>IFERROR(W30/W42,0)</f>
        <v>0.380360918642265</v>
      </c>
      <c r="X196" s="89">
        <f>IFERROR(X30/X42,0)</f>
        <v>0.380360918642265</v>
      </c>
      <c r="Y196" s="88">
        <f>IFERROR(Y30/Y42,0)</f>
        <v>0.346700764281154</v>
      </c>
      <c r="Z196" s="88">
        <f>IFERROR(Z30/Z42,0)</f>
        <v>0.306005028606145</v>
      </c>
      <c r="AA196" s="88">
        <f>IFERROR(AA30/AA42,0)</f>
        <v>0.29401197222568</v>
      </c>
      <c r="AB196" s="88">
        <f>IFERROR(AB30/AB42,0)</f>
        <v>0.302058121753279</v>
      </c>
      <c r="AC196" s="89">
        <f>IFERROR(AC30/AC42,0)</f>
        <v>0.302058121753279</v>
      </c>
      <c r="AD196" s="88">
        <f>IFERROR(AD30/AD42,0)</f>
        <v>0.307607429006386</v>
      </c>
      <c r="AE196" s="88">
        <f>IFERROR(AE30/AE42,0)</f>
        <v>0.306994141618199</v>
      </c>
      <c r="AF196" s="88">
        <f>IFERROR(AF30/AF42,0)</f>
        <v>0.321173456575924</v>
      </c>
      <c r="AG196" s="88">
        <f>IFERROR(AG30/AG42,0)</f>
        <v>0.337317465425488</v>
      </c>
      <c r="AH196" s="89">
        <f>IFERROR(AH30/AH42,0)</f>
        <v>0.337317465425488</v>
      </c>
      <c r="AI196" s="88">
        <f>IFERROR(AI30/AI42,0)</f>
        <v>0.296280057529657</v>
      </c>
      <c r="AJ196" s="88">
        <f>IFERROR(AJ30/AJ42,0)</f>
        <v>0.302691333276884</v>
      </c>
      <c r="AK196" s="88">
        <f>IFERROR(AK30/AK42,0)</f>
        <v>0.302691333276884</v>
      </c>
      <c r="AL196" s="88">
        <f>IFERROR(AL30/AL42,0)</f>
        <v>0.302691333276884</v>
      </c>
      <c r="AM196" s="89">
        <f>IFERROR(AM30/AM42,0)</f>
        <v>0.302691333276884</v>
      </c>
      <c r="AN196" s="88">
        <f>IFERROR(AN30/AN42,0)</f>
        <v>0.302691333276884</v>
      </c>
      <c r="AO196" s="88">
        <f>IFERROR(AO30/AO42,0)</f>
        <v>0.302691333276884</v>
      </c>
      <c r="AP196" s="88">
        <f>IFERROR(AP30/AP42,0)</f>
        <v>0.302691333276884</v>
      </c>
      <c r="AQ196" s="88">
        <f>IFERROR(AQ30/AQ42,0)</f>
        <v>0.302691333276884</v>
      </c>
      <c r="AR196" s="89">
        <f>IFERROR(AR30/AR42,0)</f>
        <v>0.302691333276884</v>
      </c>
      <c r="AS196" s="88">
        <f>IFERROR(AS30/AS42,0)</f>
        <v>0.302691333276884</v>
      </c>
      <c r="AT196" s="88">
        <f>IFERROR(AT30/AT42,0)</f>
        <v>0.302691333276884</v>
      </c>
      <c r="AU196" s="88">
        <f>IFERROR(AU30/AU42,0)</f>
        <v>0.302691333276884</v>
      </c>
      <c r="AV196" s="88">
        <f>IFERROR(AV30/AV42,0)</f>
        <v>0.302691333276884</v>
      </c>
      <c r="AW196" s="89">
        <f>IFERROR(AW30/AW42,0)</f>
        <v>0.302691333276884</v>
      </c>
      <c r="AX196" s="88">
        <f>IFERROR(AX30/AX42,0)</f>
        <v>0.302691333276884</v>
      </c>
      <c r="AY196" s="88">
        <f>IFERROR(AY30/AY42,0)</f>
        <v>0.302691333276884</v>
      </c>
      <c r="AZ196" s="88">
        <f>IFERROR(AZ30/AZ42,0)</f>
        <v>0.302691333276884</v>
      </c>
      <c r="BA196" s="88">
        <f>IFERROR(BA30/BA42,0)</f>
        <v>0.302691333276884</v>
      </c>
      <c r="BB196" s="89">
        <f>IFERROR(BB30/BB42,0)</f>
        <v>0.302691333276884</v>
      </c>
      <c r="BC196" s="88">
        <f>IFERROR(BC30/BC42,0)</f>
        <v>0.302691333276884</v>
      </c>
      <c r="BD196" s="88">
        <f>IFERROR(BD30/BD42,0)</f>
        <v>0.302691333276884</v>
      </c>
      <c r="BE196" s="88">
        <f>IFERROR(BE30/BE42,0)</f>
        <v>0.302691333276884</v>
      </c>
      <c r="BF196" s="88">
        <f>IFERROR(BF30/BF42,0)</f>
        <v>0.302691333276884</v>
      </c>
      <c r="BG196" s="89">
        <f>IFERROR(BG30/BG42,0)</f>
        <v>0.302691333276884</v>
      </c>
    </row>
    <row r="197">
      <c r="C197" s="11" t="str">
        <f>"Funding total ("&amp;Inputs!$E$202&amp;")"</f>
        <v>Funding total (R$ milhões)</v>
      </c>
      <c r="D197" s="12" t="inlineStr">
        <is>
          <t>Total funding</t>
        </is>
      </c>
      <c r="E197" s="74">
        <f>E132</f>
        <v>28552.635</v>
      </c>
      <c r="F197" s="74">
        <f>F132</f>
        <v>29991.309</v>
      </c>
      <c r="G197" s="74">
        <f>G132</f>
        <v>30758.581</v>
      </c>
      <c r="H197" s="74">
        <f>H132</f>
        <v>31067.707</v>
      </c>
      <c r="I197" s="77">
        <f>I132</f>
        <v>31067.707</v>
      </c>
      <c r="J197" s="74">
        <f>J132</f>
        <v>32898.103</v>
      </c>
      <c r="K197" s="74">
        <f>K132</f>
        <v>30394.245</v>
      </c>
      <c r="L197" s="74">
        <f>L132</f>
        <v>34098.832</v>
      </c>
      <c r="M197" s="74">
        <f>M132</f>
        <v>33479.772</v>
      </c>
      <c r="N197" s="77">
        <f>N132</f>
        <v>33479.772</v>
      </c>
      <c r="O197" s="74">
        <f>O132</f>
        <v>34319.862</v>
      </c>
      <c r="P197" s="74">
        <f>P132</f>
        <v>37085.91</v>
      </c>
      <c r="Q197" s="74">
        <f>Q132</f>
        <v>39226.053</v>
      </c>
      <c r="R197" s="74">
        <f>R132</f>
        <v>39629.704</v>
      </c>
      <c r="S197" s="77">
        <f>S132</f>
        <v>39629.704</v>
      </c>
      <c r="T197" s="74">
        <f>T132</f>
        <v>38167.983</v>
      </c>
      <c r="U197" s="74">
        <f>U132</f>
        <v>39689.263</v>
      </c>
      <c r="V197" s="74">
        <f>V132</f>
        <v>41227.887</v>
      </c>
      <c r="W197" s="74">
        <f>W132</f>
        <v>42594.31</v>
      </c>
      <c r="X197" s="77">
        <f>X132</f>
        <v>42594.31</v>
      </c>
      <c r="Y197" s="74">
        <f>Y132</f>
        <v>42674.929</v>
      </c>
      <c r="Z197" s="74">
        <f>Z132</f>
        <v>46269.917</v>
      </c>
      <c r="AA197" s="74">
        <f>AA132</f>
        <v>48169.158</v>
      </c>
      <c r="AB197" s="74">
        <f>AB132</f>
        <v>50464.344</v>
      </c>
      <c r="AC197" s="77">
        <f>AC132</f>
        <v>50464.344</v>
      </c>
      <c r="AD197" s="74">
        <f>AD132</f>
        <v>51276.658</v>
      </c>
      <c r="AE197" s="74">
        <f>AE132</f>
        <v>50722.665</v>
      </c>
      <c r="AF197" s="74">
        <f>AF132</f>
        <v>49251.153</v>
      </c>
      <c r="AG197" s="74">
        <f>AG132</f>
        <v>52991.362</v>
      </c>
      <c r="AH197" s="77">
        <f>AH132</f>
        <v>52991.362</v>
      </c>
      <c r="AI197" s="74">
        <f>AI132</f>
        <v>54131.345</v>
      </c>
      <c r="AJ197" s="74">
        <f>AJ132</f>
        <v>54466.865</v>
      </c>
      <c r="AK197" s="74">
        <f>AK132</f>
        <v>54733.1484525</v>
      </c>
      <c r="AL197" s="74">
        <f>AL132</f>
        <v>54988.349905</v>
      </c>
      <c r="AM197" s="77">
        <f>AM132</f>
        <v>54988.349905</v>
      </c>
      <c r="AN197" s="74">
        <f>AN132</f>
        <v>55241.5373575</v>
      </c>
      <c r="AO197" s="74">
        <f>AO132</f>
        <v>55523.32181</v>
      </c>
      <c r="AP197" s="74">
        <f>AP132</f>
        <v>55789.6052625</v>
      </c>
      <c r="AQ197" s="74">
        <f>AQ132</f>
        <v>56044.806715</v>
      </c>
      <c r="AR197" s="77">
        <f>AR132</f>
        <v>56044.806715</v>
      </c>
      <c r="AS197" s="74">
        <f>AS132</f>
        <v>56297.9941675</v>
      </c>
      <c r="AT197" s="74">
        <f>AT132</f>
        <v>56579.77862</v>
      </c>
      <c r="AU197" s="74">
        <f>AU132</f>
        <v>56846.0620725</v>
      </c>
      <c r="AV197" s="74">
        <f>AV132</f>
        <v>57101.263525</v>
      </c>
      <c r="AW197" s="77">
        <f>AW132</f>
        <v>57101.263525</v>
      </c>
      <c r="AX197" s="74">
        <f>AX132</f>
        <v>57354.4509775</v>
      </c>
      <c r="AY197" s="74">
        <f>AY132</f>
        <v>57636.23543</v>
      </c>
      <c r="AZ197" s="74">
        <f>AZ132</f>
        <v>57902.5188825</v>
      </c>
      <c r="BA197" s="74">
        <f>BA132</f>
        <v>58157.720335</v>
      </c>
      <c r="BB197" s="77">
        <f>BB132</f>
        <v>58157.720335</v>
      </c>
      <c r="BC197" s="74">
        <f>BC132</f>
        <v>58410.9077875</v>
      </c>
      <c r="BD197" s="74">
        <f>BD132</f>
        <v>58692.69224</v>
      </c>
      <c r="BE197" s="74">
        <f>BE132</f>
        <v>58958.9756925</v>
      </c>
      <c r="BF197" s="74">
        <f>BF132</f>
        <v>59214.177145</v>
      </c>
      <c r="BG197" s="77">
        <f>BG132</f>
        <v>59214.177145</v>
      </c>
    </row>
    <row r="198">
      <c r="B198" s="29" t="n"/>
      <c r="C198" s="29" t="inlineStr">
        <is>
          <t>Métricas por ação</t>
        </is>
      </c>
      <c r="D198" s="29" t="inlineStr">
        <is>
          <t>Per-share metrics</t>
        </is>
      </c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</row>
    <row r="199">
      <c r="C199" s="11" t="inlineStr">
        <is>
          <t>Ações ex-tesouraria (milhões)</t>
        </is>
      </c>
      <c r="D199" s="12" t="inlineStr">
        <is>
          <t>Shares outstanding (mn)</t>
        </is>
      </c>
      <c r="E199" s="57">
        <f>IF(AND(E$14=1,ISNUMBER('Inputs (2)'!E148),'Inputs (2)'!E148&lt;&gt;0),'Inputs (2)'!E148,Inputs!$E$210)</f>
        <v>0</v>
      </c>
      <c r="F199" s="57">
        <f>IF(AND(F$14=1,ISNUMBER('Inputs (2)'!F148),'Inputs (2)'!F148&lt;&gt;0),'Inputs (2)'!F148,Inputs!$E$210)</f>
        <v>0</v>
      </c>
      <c r="G199" s="57">
        <f>IF(AND(G$14=1,ISNUMBER('Inputs (2)'!G148),'Inputs (2)'!G148&lt;&gt;0),'Inputs (2)'!G148,Inputs!$E$210)</f>
        <v>0</v>
      </c>
      <c r="H199" s="57">
        <f>IF(AND(H$14=1,ISNUMBER('Inputs (2)'!H148),'Inputs (2)'!H148&lt;&gt;0),'Inputs (2)'!H148,Inputs!$E$210)</f>
        <v>0</v>
      </c>
      <c r="I199" s="92">
        <f>IF(AND(I$14=1,ISNUMBER('Inputs (2)'!I148),'Inputs (2)'!I148&lt;&gt;0),'Inputs (2)'!I148,Inputs!$E$210)</f>
        <v>0</v>
      </c>
      <c r="J199" s="57">
        <f>IF(AND(J$14=1,ISNUMBER('Inputs (2)'!J148),'Inputs (2)'!J148&lt;&gt;0),'Inputs (2)'!J148,Inputs!$E$210)</f>
        <v>215.66015</v>
      </c>
      <c r="K199" s="57">
        <f>IF(AND(K$14=1,ISNUMBER('Inputs (2)'!K148),'Inputs (2)'!K148&lt;&gt;0),'Inputs (2)'!K148,Inputs!$E$210)</f>
        <v>220.134383</v>
      </c>
      <c r="L199" s="57">
        <f>IF(AND(L$14=1,ISNUMBER('Inputs (2)'!L148),'Inputs (2)'!L148&lt;&gt;0),'Inputs (2)'!L148,Inputs!$E$210)</f>
        <v>220.007594</v>
      </c>
      <c r="M199" s="57">
        <f>IF(AND(M$14=1,ISNUMBER('Inputs (2)'!M148),'Inputs (2)'!M148&lt;&gt;0),'Inputs (2)'!M148,Inputs!$E$210)</f>
        <v>220.092561</v>
      </c>
      <c r="N199" s="92">
        <f>IF(AND(N$14=1,ISNUMBER('Inputs (2)'!N148),'Inputs (2)'!N148&lt;&gt;0),'Inputs (2)'!N148,Inputs!$E$210)</f>
        <v>220.092561</v>
      </c>
      <c r="O199" s="57">
        <f>IF(AND(O$14=1,ISNUMBER('Inputs (2)'!O148),'Inputs (2)'!O148&lt;&gt;0),'Inputs (2)'!O148,Inputs!$E$210)</f>
        <v>220.142613</v>
      </c>
      <c r="P199" s="57">
        <f>IF(AND(P$14=1,ISNUMBER('Inputs (2)'!P148),'Inputs (2)'!P148&lt;&gt;0),'Inputs (2)'!P148,Inputs!$E$210)</f>
        <v>220.449141</v>
      </c>
      <c r="Q199" s="57">
        <f>IF(AND(Q$14=1,ISNUMBER('Inputs (2)'!Q148),'Inputs (2)'!Q148&lt;&gt;0),'Inputs (2)'!Q148,Inputs!$E$210)</f>
        <v>220.835816</v>
      </c>
      <c r="R199" s="57">
        <f>IF(AND(R$14=1,ISNUMBER('Inputs (2)'!R148),'Inputs (2)'!R148&lt;&gt;0),'Inputs (2)'!R148,Inputs!$E$210)</f>
        <v>220.852807</v>
      </c>
      <c r="S199" s="92">
        <f>IF(AND(S$14=1,ISNUMBER('Inputs (2)'!S148),'Inputs (2)'!S148&lt;&gt;0),'Inputs (2)'!S148,Inputs!$E$210)</f>
        <v>220.852807</v>
      </c>
      <c r="T199" s="57">
        <f>IF(AND(T$14=1,ISNUMBER('Inputs (2)'!T148),'Inputs (2)'!T148&lt;&gt;0),'Inputs (2)'!T148,Inputs!$E$210)</f>
        <v>221.282841</v>
      </c>
      <c r="U199" s="57">
        <f>IF(AND(U$14=1,ISNUMBER('Inputs (2)'!U148),'Inputs (2)'!U148&lt;&gt;0),'Inputs (2)'!U148,Inputs!$E$210)</f>
        <v>221.099621</v>
      </c>
      <c r="V199" s="57">
        <f>IF(AND(V$14=1,ISNUMBER('Inputs (2)'!V148),'Inputs (2)'!V148&lt;&gt;0),'Inputs (2)'!V148,Inputs!$E$210)</f>
        <v>0</v>
      </c>
      <c r="W199" s="57">
        <f>IF(AND(W$14=1,ISNUMBER('Inputs (2)'!W148),'Inputs (2)'!W148&lt;&gt;0),'Inputs (2)'!W148,Inputs!$E$210)</f>
        <v>232.550368</v>
      </c>
      <c r="X199" s="92">
        <f>IF(AND(X$14=1,ISNUMBER('Inputs (2)'!X148),'Inputs (2)'!X148&lt;&gt;0),'Inputs (2)'!X148,Inputs!$E$210)</f>
        <v>232.550368</v>
      </c>
      <c r="Y199" s="57">
        <f>IF(AND(Y$14=1,ISNUMBER('Inputs (2)'!Y148),'Inputs (2)'!Y148&lt;&gt;0),'Inputs (2)'!Y148,Inputs!$E$210)</f>
        <v>233.372404</v>
      </c>
      <c r="Z199" s="57">
        <f>IF(AND(Z$14=1,ISNUMBER('Inputs (2)'!Z148),'Inputs (2)'!Z148&lt;&gt;0),'Inputs (2)'!Z148,Inputs!$E$210)</f>
        <v>240.095061</v>
      </c>
      <c r="AA199" s="57">
        <f>IF(AND(AA$14=1,ISNUMBER('Inputs (2)'!AA148),'Inputs (2)'!AA148&lt;&gt;0),'Inputs (2)'!AA148,Inputs!$E$210)</f>
        <v>240.192959</v>
      </c>
      <c r="AB199" s="57">
        <f>IF(AND(AB$14=1,ISNUMBER('Inputs (2)'!AB148),'Inputs (2)'!AB148&lt;&gt;0),'Inputs (2)'!AB148,Inputs!$E$210)</f>
        <v>240.295897</v>
      </c>
      <c r="AC199" s="92">
        <f>IF(AND(AC$14=1,ISNUMBER('Inputs (2)'!AC148),'Inputs (2)'!AC148&lt;&gt;0),'Inputs (2)'!AC148,Inputs!$E$210)</f>
        <v>240.295897</v>
      </c>
      <c r="AD199" s="57">
        <f>IF(AND(AD$14=1,ISNUMBER('Inputs (2)'!AD148),'Inputs (2)'!AD148&lt;&gt;0),'Inputs (2)'!AD148,Inputs!$E$210)</f>
        <v>240.526177</v>
      </c>
      <c r="AE199" s="57">
        <f>IF(AND(AE$14=1,ISNUMBER('Inputs (2)'!AE148),'Inputs (2)'!AE148&lt;&gt;0),'Inputs (2)'!AE148,Inputs!$E$210)</f>
        <v>240.631922</v>
      </c>
      <c r="AF199" s="57">
        <f>IF(AND(AF$14=1,ISNUMBER('Inputs (2)'!AF148),'Inputs (2)'!AF148&lt;&gt;0),'Inputs (2)'!AF148,Inputs!$E$210)</f>
        <v>241.072503</v>
      </c>
      <c r="AG199" s="57">
        <f>IF(AND(AG$14=1,ISNUMBER('Inputs (2)'!AG148),'Inputs (2)'!AG148&lt;&gt;0),'Inputs (2)'!AG148,Inputs!$E$210)</f>
        <v>241.176845</v>
      </c>
      <c r="AH199" s="92">
        <f>IF(AND(AH$14=1,ISNUMBER('Inputs (2)'!AH148),'Inputs (2)'!AH148&lt;&gt;0),'Inputs (2)'!AH148,Inputs!$E$210)</f>
        <v>241.176845</v>
      </c>
      <c r="AI199" s="57">
        <f>IF(AND(AI$14=1,ISNUMBER('Inputs (2)'!AI148),'Inputs (2)'!AI148&lt;&gt;0),'Inputs (2)'!AI148,Inputs!$E$210)</f>
        <v>241.983677</v>
      </c>
      <c r="AJ199" s="57">
        <f>IF(AND(AJ$14=1,ISNUMBER('Inputs (2)'!AJ148),'Inputs (2)'!AJ148&lt;&gt;0),'Inputs (2)'!AJ148,Inputs!$E$210)</f>
        <v>257.699789</v>
      </c>
      <c r="AK199" s="57">
        <f>IF(AND(AK$14=1,ISNUMBER('Inputs (2)'!AK148),'Inputs (2)'!AK148&lt;&gt;0),'Inputs (2)'!AK148,Inputs!$E$210)</f>
        <v>0</v>
      </c>
      <c r="AL199" s="57">
        <f>IF(AND(AL$14=1,ISNUMBER('Inputs (2)'!AL148),'Inputs (2)'!AL148&lt;&gt;0),'Inputs (2)'!AL148,Inputs!$E$210)</f>
        <v>0</v>
      </c>
      <c r="AM199" s="92">
        <f>IF(AND(AM$14=1,ISNUMBER('Inputs (2)'!AM148),'Inputs (2)'!AM148&lt;&gt;0),'Inputs (2)'!AM148,Inputs!$E$210)</f>
        <v>0</v>
      </c>
      <c r="AN199" s="57">
        <f>IF(AND(AN$14=1,ISNUMBER('Inputs (2)'!AN148),'Inputs (2)'!AN148&lt;&gt;0),'Inputs (2)'!AN148,Inputs!$E$210)</f>
        <v>0</v>
      </c>
      <c r="AO199" s="57">
        <f>IF(AND(AO$14=1,ISNUMBER('Inputs (2)'!AO148),'Inputs (2)'!AO148&lt;&gt;0),'Inputs (2)'!AO148,Inputs!$E$210)</f>
        <v>0</v>
      </c>
      <c r="AP199" s="57">
        <f>IF(AND(AP$14=1,ISNUMBER('Inputs (2)'!AP148),'Inputs (2)'!AP148&lt;&gt;0),'Inputs (2)'!AP148,Inputs!$E$210)</f>
        <v>0</v>
      </c>
      <c r="AQ199" s="57">
        <f>IF(AND(AQ$14=1,ISNUMBER('Inputs (2)'!AQ148),'Inputs (2)'!AQ148&lt;&gt;0),'Inputs (2)'!AQ148,Inputs!$E$210)</f>
        <v>0</v>
      </c>
      <c r="AR199" s="92">
        <f>IF(AND(AR$14=1,ISNUMBER('Inputs (2)'!AR148),'Inputs (2)'!AR148&lt;&gt;0),'Inputs (2)'!AR148,Inputs!$E$210)</f>
        <v>0</v>
      </c>
      <c r="AS199" s="57">
        <f>IF(AND(AS$14=1,ISNUMBER('Inputs (2)'!AS148),'Inputs (2)'!AS148&lt;&gt;0),'Inputs (2)'!AS148,Inputs!$E$210)</f>
        <v>0</v>
      </c>
      <c r="AT199" s="57">
        <f>IF(AND(AT$14=1,ISNUMBER('Inputs (2)'!AT148),'Inputs (2)'!AT148&lt;&gt;0),'Inputs (2)'!AT148,Inputs!$E$210)</f>
        <v>0</v>
      </c>
      <c r="AU199" s="57">
        <f>IF(AND(AU$14=1,ISNUMBER('Inputs (2)'!AU148),'Inputs (2)'!AU148&lt;&gt;0),'Inputs (2)'!AU148,Inputs!$E$210)</f>
        <v>0</v>
      </c>
      <c r="AV199" s="57">
        <f>IF(AND(AV$14=1,ISNUMBER('Inputs (2)'!AV148),'Inputs (2)'!AV148&lt;&gt;0),'Inputs (2)'!AV148,Inputs!$E$210)</f>
        <v>0</v>
      </c>
      <c r="AW199" s="92">
        <f>IF(AND(AW$14=1,ISNUMBER('Inputs (2)'!AW148),'Inputs (2)'!AW148&lt;&gt;0),'Inputs (2)'!AW148,Inputs!$E$210)</f>
        <v>0</v>
      </c>
      <c r="AX199" s="57">
        <f>IF(AND(AX$14=1,ISNUMBER('Inputs (2)'!AX148),'Inputs (2)'!AX148&lt;&gt;0),'Inputs (2)'!AX148,Inputs!$E$210)</f>
        <v>0</v>
      </c>
      <c r="AY199" s="57">
        <f>IF(AND(AY$14=1,ISNUMBER('Inputs (2)'!AY148),'Inputs (2)'!AY148&lt;&gt;0),'Inputs (2)'!AY148,Inputs!$E$210)</f>
        <v>0</v>
      </c>
      <c r="AZ199" s="57">
        <f>IF(AND(AZ$14=1,ISNUMBER('Inputs (2)'!AZ148),'Inputs (2)'!AZ148&lt;&gt;0),'Inputs (2)'!AZ148,Inputs!$E$210)</f>
        <v>0</v>
      </c>
      <c r="BA199" s="57">
        <f>IF(AND(BA$14=1,ISNUMBER('Inputs (2)'!BA148),'Inputs (2)'!BA148&lt;&gt;0),'Inputs (2)'!BA148,Inputs!$E$210)</f>
        <v>0</v>
      </c>
      <c r="BB199" s="92">
        <f>IF(AND(BB$14=1,ISNUMBER('Inputs (2)'!BB148),'Inputs (2)'!BB148&lt;&gt;0),'Inputs (2)'!BB148,Inputs!$E$210)</f>
        <v>0</v>
      </c>
      <c r="BC199" s="57">
        <f>IF(AND(BC$14=1,ISNUMBER('Inputs (2)'!BC148),'Inputs (2)'!BC148&lt;&gt;0),'Inputs (2)'!BC148,Inputs!$E$210)</f>
        <v>0</v>
      </c>
      <c r="BD199" s="57">
        <f>IF(AND(BD$14=1,ISNUMBER('Inputs (2)'!BD148),'Inputs (2)'!BD148&lt;&gt;0),'Inputs (2)'!BD148,Inputs!$E$210)</f>
        <v>0</v>
      </c>
      <c r="BE199" s="57">
        <f>IF(AND(BE$14=1,ISNUMBER('Inputs (2)'!BE148),'Inputs (2)'!BE148&lt;&gt;0),'Inputs (2)'!BE148,Inputs!$E$210)</f>
        <v>0</v>
      </c>
      <c r="BF199" s="57">
        <f>IF(AND(BF$14=1,ISNUMBER('Inputs (2)'!BF148),'Inputs (2)'!BF148&lt;&gt;0),'Inputs (2)'!BF148,Inputs!$E$210)</f>
        <v>0</v>
      </c>
      <c r="BG199" s="92">
        <f>IF(AND(BG$14=1,ISNUMBER('Inputs (2)'!BG148),'Inputs (2)'!BG148&lt;&gt;0),'Inputs (2)'!BG148,Inputs!$E$210)</f>
        <v>0</v>
      </c>
    </row>
    <row r="200">
      <c r="C200" s="11" t="str">
        <f>"Lucro por ação — LPA ("&amp;Inputs!$E$200&amp;")"</f>
        <v>Lucro por ação — LPA (R$)</v>
      </c>
      <c r="D200" s="12" t="inlineStr">
        <is>
          <t>Earnings per share</t>
        </is>
      </c>
      <c r="E200" s="93">
        <f>IFERROR(E127/E199,0)</f>
        <v>0</v>
      </c>
      <c r="F200" s="93">
        <f>IFERROR(F127/F199,0)</f>
        <v>0</v>
      </c>
      <c r="G200" s="93">
        <f>IFERROR(G127/G199,0)</f>
        <v>0</v>
      </c>
      <c r="H200" s="93">
        <f>IFERROR(H127/H199,0)</f>
        <v>0</v>
      </c>
      <c r="I200" s="94">
        <f>IFERROR(I127/I199,0)</f>
        <v>0</v>
      </c>
      <c r="J200" s="93">
        <f>IFERROR(J127/J199,0)</f>
        <v>0.567587475015667</v>
      </c>
      <c r="K200" s="93">
        <f>IFERROR(K127/K199,0)</f>
        <v>0.619348954679198</v>
      </c>
      <c r="L200" s="93">
        <f>IFERROR(L127/L199,0)</f>
        <v>0.68843078207564</v>
      </c>
      <c r="M200" s="93">
        <f>IFERROR(M127/M199,0)</f>
        <v>0.735904018128082</v>
      </c>
      <c r="N200" s="94">
        <f>IFERROR(N127/N199,0)</f>
        <v>2.59969259024616</v>
      </c>
      <c r="O200" s="93">
        <f>IFERROR(O127/O199,0)</f>
        <v>0.832015199165461</v>
      </c>
      <c r="P200" s="93">
        <f>IFERROR(P127/P199,0)</f>
        <v>0.914732527807852</v>
      </c>
      <c r="Q200" s="93">
        <f>IFERROR(Q127/Q199,0)</f>
        <v>0.987828894566631</v>
      </c>
      <c r="R200" s="93">
        <f>IFERROR(R127/R199,0)</f>
        <v>0.893228402571311</v>
      </c>
      <c r="S200" s="94">
        <f>IFERROR(S127/S199,0)</f>
        <v>3.62338161271366</v>
      </c>
      <c r="T200" s="93">
        <f>IFERROR(T127/T199,0)</f>
        <v>0.858733551780456</v>
      </c>
      <c r="U200" s="93">
        <f>IFERROR(U127/U199,0)</f>
        <v>0.913063528046482</v>
      </c>
      <c r="V200" s="93">
        <f>IFERROR(V127/V199,0)</f>
        <v>0</v>
      </c>
      <c r="W200" s="93">
        <f>IFERROR(W127/W199,0)</f>
        <v>0.995324161344695</v>
      </c>
      <c r="X200" s="94">
        <f>IFERROR(X127/X199,0)</f>
        <v>3.66192497274397</v>
      </c>
      <c r="Y200" s="93">
        <f>IFERROR(Y127/Y199,0)</f>
        <v>0.955674262154835</v>
      </c>
      <c r="Z200" s="93">
        <f>IFERROR(Z127/Z199,0)</f>
        <v>1.04169156565865</v>
      </c>
      <c r="AA200" s="93">
        <f>IFERROR(AA127/AA199,0)</f>
        <v>1.06193787304148</v>
      </c>
      <c r="AB200" s="93">
        <f>IFERROR(AB127/AB199,0)</f>
        <v>1.01154869073774</v>
      </c>
      <c r="AC200" s="94">
        <f>IFERROR(AC127/AC199,0)</f>
        <v>4.0419916117003</v>
      </c>
      <c r="AD200" s="93">
        <f>IFERROR(AD127/AD199,0)</f>
        <v>0.937810606784808</v>
      </c>
      <c r="AE200" s="93">
        <f>IFERROR(AE127/AE199,0)</f>
        <v>1.01440822136641</v>
      </c>
      <c r="AF200" s="93">
        <f>IFERROR(AF127/AF199,0)</f>
        <v>1.06528532621574</v>
      </c>
      <c r="AG200" s="93">
        <f>IFERROR(AG127/AG199,0)</f>
        <v>1.1424272508416</v>
      </c>
      <c r="AH200" s="94">
        <f>IFERROR(AH127/AH199,0)</f>
        <v>4.15464842821043</v>
      </c>
      <c r="AI200" s="93">
        <f>IFERROR(AI127/AI199,0)</f>
        <v>0.95134516035972</v>
      </c>
      <c r="AJ200" s="93">
        <f>IFERROR(AJ127/AJ199,0)</f>
        <v>0.998541756663992</v>
      </c>
      <c r="AK200" s="93">
        <f>IFERROR(AK127/AK199,0)</f>
        <v>0</v>
      </c>
      <c r="AL200" s="93">
        <f>IFERROR(AL127/AL199,0)</f>
        <v>0</v>
      </c>
      <c r="AM200" s="94">
        <f>IFERROR(AM127/AM199,0)</f>
        <v>0</v>
      </c>
      <c r="AN200" s="93">
        <f>IFERROR(AN127/AN199,0)</f>
        <v>0</v>
      </c>
      <c r="AO200" s="93">
        <f>IFERROR(AO127/AO199,0)</f>
        <v>0</v>
      </c>
      <c r="AP200" s="93">
        <f>IFERROR(AP127/AP199,0)</f>
        <v>0</v>
      </c>
      <c r="AQ200" s="93">
        <f>IFERROR(AQ127/AQ199,0)</f>
        <v>0</v>
      </c>
      <c r="AR200" s="94">
        <f>IFERROR(AR127/AR199,0)</f>
        <v>0</v>
      </c>
      <c r="AS200" s="93">
        <f>IFERROR(AS127/AS199,0)</f>
        <v>0</v>
      </c>
      <c r="AT200" s="93">
        <f>IFERROR(AT127/AT199,0)</f>
        <v>0</v>
      </c>
      <c r="AU200" s="93">
        <f>IFERROR(AU127/AU199,0)</f>
        <v>0</v>
      </c>
      <c r="AV200" s="93">
        <f>IFERROR(AV127/AV199,0)</f>
        <v>0</v>
      </c>
      <c r="AW200" s="94">
        <f>IFERROR(AW127/AW199,0)</f>
        <v>0</v>
      </c>
      <c r="AX200" s="93">
        <f>IFERROR(AX127/AX199,0)</f>
        <v>0</v>
      </c>
      <c r="AY200" s="93">
        <f>IFERROR(AY127/AY199,0)</f>
        <v>0</v>
      </c>
      <c r="AZ200" s="93">
        <f>IFERROR(AZ127/AZ199,0)</f>
        <v>0</v>
      </c>
      <c r="BA200" s="93">
        <f>IFERROR(BA127/BA199,0)</f>
        <v>0</v>
      </c>
      <c r="BB200" s="94">
        <f>IFERROR(BB127/BB199,0)</f>
        <v>0</v>
      </c>
      <c r="BC200" s="93">
        <f>IFERROR(BC127/BC199,0)</f>
        <v>0</v>
      </c>
      <c r="BD200" s="93">
        <f>IFERROR(BD127/BD199,0)</f>
        <v>0</v>
      </c>
      <c r="BE200" s="93">
        <f>IFERROR(BE127/BE199,0)</f>
        <v>0</v>
      </c>
      <c r="BF200" s="93">
        <f>IFERROR(BF127/BF199,0)</f>
        <v>0</v>
      </c>
      <c r="BG200" s="94">
        <f>IFERROR(BG127/BG199,0)</f>
        <v>0</v>
      </c>
    </row>
    <row r="201">
      <c r="C201" s="11" t="str">
        <f>"Valor patrimonial por ação — VPA ("&amp;Inputs!$E$200&amp;")"</f>
        <v>Valor patrimonial por ação — VPA (R$)</v>
      </c>
      <c r="D201" s="12" t="inlineStr">
        <is>
          <t>Book value per share</t>
        </is>
      </c>
      <c r="E201" s="93">
        <f>IFERROR(E71/E199,0)</f>
        <v>0</v>
      </c>
      <c r="F201" s="93">
        <f>IFERROR(F71/F199,0)</f>
        <v>0</v>
      </c>
      <c r="G201" s="93">
        <f>IFERROR(G71/G199,0)</f>
        <v>0</v>
      </c>
      <c r="H201" s="93">
        <f>IFERROR(H71/H199,0)</f>
        <v>0</v>
      </c>
      <c r="I201" s="94">
        <f>IFERROR(I71/I199,0)</f>
        <v>0</v>
      </c>
      <c r="J201" s="93">
        <f>IFERROR(J71/J199,0)</f>
        <v>20.3651532283549</v>
      </c>
      <c r="K201" s="93">
        <f>IFERROR(K71/K199,0)</f>
        <v>20.2565811811415</v>
      </c>
      <c r="L201" s="93">
        <f>IFERROR(L71/L199,0)</f>
        <v>20.7036489840437</v>
      </c>
      <c r="M201" s="93">
        <f>IFERROR(M71/M199,0)</f>
        <v>21.2159056116395</v>
      </c>
      <c r="N201" s="94">
        <f>IFERROR(N71/N199,0)</f>
        <v>21.2159056116395</v>
      </c>
      <c r="O201" s="93">
        <f>IFERROR(O71/O199,0)</f>
        <v>21.6871778477527</v>
      </c>
      <c r="P201" s="93">
        <f>IFERROR(P71/P199,0)</f>
        <v>22.2753056678955</v>
      </c>
      <c r="Q201" s="93">
        <f>IFERROR(Q71/Q199,0)</f>
        <v>22.9615109172327</v>
      </c>
      <c r="R201" s="93">
        <f>IFERROR(R71/R199,0)</f>
        <v>23.5694808262048</v>
      </c>
      <c r="S201" s="94">
        <f>IFERROR(S71/S199,0)</f>
        <v>23.5694808262048</v>
      </c>
      <c r="T201" s="93">
        <f>IFERROR(T71/T199,0)</f>
        <v>23.9652834175245</v>
      </c>
      <c r="U201" s="93">
        <f>IFERROR(U71/U199,0)</f>
        <v>24.517504713407</v>
      </c>
      <c r="V201" s="93">
        <f>IFERROR(V71/V199,0)</f>
        <v>0</v>
      </c>
      <c r="W201" s="93">
        <f>IFERROR(W71/W199,0)</f>
        <v>25.2492784702882</v>
      </c>
      <c r="X201" s="94">
        <f>IFERROR(X71/X199,0)</f>
        <v>25.2492784702882</v>
      </c>
      <c r="Y201" s="93">
        <f>IFERROR(Y71/Y199,0)</f>
        <v>26.3018630086186</v>
      </c>
      <c r="Z201" s="93">
        <f>IFERROR(Z71/Z199,0)</f>
        <v>25.9691556087445</v>
      </c>
      <c r="AA201" s="93">
        <f>IFERROR(AA71/AA199,0)</f>
        <v>26.5549166243462</v>
      </c>
      <c r="AB201" s="93">
        <f>IFERROR(AB71/AB199,0)</f>
        <v>26.5811737934086</v>
      </c>
      <c r="AC201" s="94">
        <f>IFERROR(AC71/AC199,0)</f>
        <v>26.5811737934086</v>
      </c>
      <c r="AD201" s="93">
        <f>IFERROR(AD71/AD199,0)</f>
        <v>26.9089505380531</v>
      </c>
      <c r="AE201" s="93">
        <f>IFERROR(AE71/AE199,0)</f>
        <v>27.3504942540417</v>
      </c>
      <c r="AF201" s="93">
        <f>IFERROR(AF71/AF199,0)</f>
        <v>27.7940284213998</v>
      </c>
      <c r="AG201" s="93">
        <f>IFERROR(AG71/AG199,0)</f>
        <v>28.0248628345727</v>
      </c>
      <c r="AH201" s="94">
        <f>IFERROR(AH71/AH199,0)</f>
        <v>28.0248628345727</v>
      </c>
      <c r="AI201" s="93">
        <f>IFERROR(AI71/AI199,0)</f>
        <v>29.5375005810826</v>
      </c>
      <c r="AJ201" s="93">
        <f>IFERROR(AJ71/AJ199,0)</f>
        <v>28.1681061058222</v>
      </c>
      <c r="AK201" s="93">
        <f>IFERROR(AK71/AK199,0)</f>
        <v>0</v>
      </c>
      <c r="AL201" s="93">
        <f>IFERROR(AL71/AL199,0)</f>
        <v>0</v>
      </c>
      <c r="AM201" s="94">
        <f>IFERROR(AM71/AM199,0)</f>
        <v>0</v>
      </c>
      <c r="AN201" s="93">
        <f>IFERROR(AN71/AN199,0)</f>
        <v>0</v>
      </c>
      <c r="AO201" s="93">
        <f>IFERROR(AO71/AO199,0)</f>
        <v>0</v>
      </c>
      <c r="AP201" s="93">
        <f>IFERROR(AP71/AP199,0)</f>
        <v>0</v>
      </c>
      <c r="AQ201" s="93">
        <f>IFERROR(AQ71/AQ199,0)</f>
        <v>0</v>
      </c>
      <c r="AR201" s="94">
        <f>IFERROR(AR71/AR199,0)</f>
        <v>0</v>
      </c>
      <c r="AS201" s="93">
        <f>IFERROR(AS71/AS199,0)</f>
        <v>0</v>
      </c>
      <c r="AT201" s="93">
        <f>IFERROR(AT71/AT199,0)</f>
        <v>0</v>
      </c>
      <c r="AU201" s="93">
        <f>IFERROR(AU71/AU199,0)</f>
        <v>0</v>
      </c>
      <c r="AV201" s="93">
        <f>IFERROR(AV71/AV199,0)</f>
        <v>0</v>
      </c>
      <c r="AW201" s="94">
        <f>IFERROR(AW71/AW199,0)</f>
        <v>0</v>
      </c>
      <c r="AX201" s="93">
        <f>IFERROR(AX71/AX199,0)</f>
        <v>0</v>
      </c>
      <c r="AY201" s="93">
        <f>IFERROR(AY71/AY199,0)</f>
        <v>0</v>
      </c>
      <c r="AZ201" s="93">
        <f>IFERROR(AZ71/AZ199,0)</f>
        <v>0</v>
      </c>
      <c r="BA201" s="93">
        <f>IFERROR(BA71/BA199,0)</f>
        <v>0</v>
      </c>
      <c r="BB201" s="94">
        <f>IFERROR(BB71/BB199,0)</f>
        <v>0</v>
      </c>
      <c r="BC201" s="93">
        <f>IFERROR(BC71/BC199,0)</f>
        <v>0</v>
      </c>
      <c r="BD201" s="93">
        <f>IFERROR(BD71/BD199,0)</f>
        <v>0</v>
      </c>
      <c r="BE201" s="93">
        <f>IFERROR(BE71/BE199,0)</f>
        <v>0</v>
      </c>
      <c r="BF201" s="93">
        <f>IFERROR(BF71/BF199,0)</f>
        <v>0</v>
      </c>
      <c r="BG201" s="94">
        <f>IFERROR(BG71/BG199,0)</f>
        <v>0</v>
      </c>
    </row>
    <row r="202">
      <c r="C202" s="11" t="str">
        <f>"Proventos por ação ("&amp;Inputs!$E$200&amp;")"</f>
        <v>Proventos por ação (R$)</v>
      </c>
      <c r="D202" s="12" t="inlineStr">
        <is>
          <t>Dividends per share</t>
        </is>
      </c>
      <c r="E202" s="93">
        <f>IFERROR(-E84/E199,0)</f>
        <v>0</v>
      </c>
      <c r="F202" s="93">
        <f>IFERROR(-F84/F199,0)</f>
        <v>0</v>
      </c>
      <c r="G202" s="93">
        <f>IFERROR(-G84/G199,0)</f>
        <v>0</v>
      </c>
      <c r="H202" s="93">
        <f>IFERROR(-H84/H199,0)</f>
        <v>0</v>
      </c>
      <c r="I202" s="94">
        <f>IFERROR(-I84/I199,0)</f>
        <v>0</v>
      </c>
      <c r="J202" s="93">
        <f>IFERROR(-J84/J199,0)</f>
        <v>0.213000000231846</v>
      </c>
      <c r="K202" s="93">
        <f>IFERROR(-K84/K199,0)</f>
        <v>0.21900000055875</v>
      </c>
      <c r="L202" s="93">
        <f>IFERROR(-L84/L199,0)</f>
        <v>0.232000000872697</v>
      </c>
      <c r="M202" s="93">
        <f>IFERROR(-M84/M199,0)</f>
        <v>0.251999998309802</v>
      </c>
      <c r="N202" s="94">
        <f>IFERROR(-N84/N199,0)</f>
        <v>0.911662475498206</v>
      </c>
      <c r="O202" s="93">
        <f>IFERROR(-O84/O199,0)</f>
        <v>0.313000000595069</v>
      </c>
      <c r="P202" s="93">
        <f>IFERROR(-P84/P199,0)</f>
        <v>0.352000001669319</v>
      </c>
      <c r="Q202" s="93">
        <f>IFERROR(-Q84/Q199,0)</f>
        <v>0.361999998224926</v>
      </c>
      <c r="R202" s="93">
        <f>IFERROR(-R84/R199,0)</f>
        <v>0.37000000185644</v>
      </c>
      <c r="S202" s="94">
        <f>IFERROR(-S84/S199,0)</f>
        <v>1.39532227000402</v>
      </c>
      <c r="T202" s="93">
        <f>IFERROR(-T84/T199,0)</f>
        <v>0</v>
      </c>
      <c r="U202" s="93">
        <f>IFERROR(-U84/U199,0)</f>
        <v>0.835999999294436</v>
      </c>
      <c r="V202" s="93">
        <f>IFERROR(-V84/V199,0)</f>
        <v>0</v>
      </c>
      <c r="W202" s="93">
        <f>IFERROR(-W84/W199,0)</f>
        <v>0.741000001341645</v>
      </c>
      <c r="X202" s="94">
        <f>IFERROR(-X84/X199,0)</f>
        <v>1.53583547973573</v>
      </c>
      <c r="Y202" s="93">
        <f>IFERROR(-Y84/Y199,0)</f>
        <v>0</v>
      </c>
      <c r="Z202" s="93">
        <f>IFERROR(-Z84/Z199,0)</f>
        <v>0.784999829713282</v>
      </c>
      <c r="AA202" s="93">
        <f>IFERROR(-AA84/AA199,0)</f>
        <v>0</v>
      </c>
      <c r="AB202" s="93">
        <f>IFERROR(-AB84/AB199,0)</f>
        <v>0.859999998252155</v>
      </c>
      <c r="AC202" s="94">
        <f>IFERROR(-AC84/AC199,0)</f>
        <v>1.64434373592321</v>
      </c>
      <c r="AD202" s="93">
        <f>IFERROR(-AD84/AD199,0)</f>
        <v>0</v>
      </c>
      <c r="AE202" s="93">
        <f>IFERROR(-AE84/AE199,0)</f>
        <v>1.08599999878653</v>
      </c>
      <c r="AF202" s="93">
        <f>IFERROR(-AF84/AF199,0)</f>
        <v>0</v>
      </c>
      <c r="AG202" s="93">
        <f>IFERROR(-AG84/AG199,0)</f>
        <v>1.53200000190731</v>
      </c>
      <c r="AH202" s="94">
        <f>IFERROR(-AH84/AH199,0)</f>
        <v>2.61554625610929</v>
      </c>
      <c r="AI202" s="93">
        <f>IFERROR(-AI84/AI199,0)</f>
        <v>0</v>
      </c>
      <c r="AJ202" s="93">
        <f>IFERROR(-AJ84/AJ199,0)</f>
        <v>1.16800000173846</v>
      </c>
      <c r="AK202" s="93">
        <f>IFERROR(-AK84/AK199,0)</f>
        <v>0</v>
      </c>
      <c r="AL202" s="93">
        <f>IFERROR(-AL84/AL199,0)</f>
        <v>0</v>
      </c>
      <c r="AM202" s="94">
        <f>IFERROR(-AM84/AM199,0)</f>
        <v>0</v>
      </c>
      <c r="AN202" s="93">
        <f>IFERROR(-AN84/AN199,0)</f>
        <v>0</v>
      </c>
      <c r="AO202" s="93">
        <f>IFERROR(-AO84/AO199,0)</f>
        <v>0</v>
      </c>
      <c r="AP202" s="93">
        <f>IFERROR(-AP84/AP199,0)</f>
        <v>0</v>
      </c>
      <c r="AQ202" s="93">
        <f>IFERROR(-AQ84/AQ199,0)</f>
        <v>0</v>
      </c>
      <c r="AR202" s="94">
        <f>IFERROR(-AR84/AR199,0)</f>
        <v>0</v>
      </c>
      <c r="AS202" s="93">
        <f>IFERROR(-AS84/AS199,0)</f>
        <v>0</v>
      </c>
      <c r="AT202" s="93">
        <f>IFERROR(-AT84/AT199,0)</f>
        <v>0</v>
      </c>
      <c r="AU202" s="93">
        <f>IFERROR(-AU84/AU199,0)</f>
        <v>0</v>
      </c>
      <c r="AV202" s="93">
        <f>IFERROR(-AV84/AV199,0)</f>
        <v>0</v>
      </c>
      <c r="AW202" s="94">
        <f>IFERROR(-AW84/AW199,0)</f>
        <v>0</v>
      </c>
      <c r="AX202" s="93">
        <f>IFERROR(-AX84/AX199,0)</f>
        <v>0</v>
      </c>
      <c r="AY202" s="93">
        <f>IFERROR(-AY84/AY199,0)</f>
        <v>0</v>
      </c>
      <c r="AZ202" s="93">
        <f>IFERROR(-AZ84/AZ199,0)</f>
        <v>0</v>
      </c>
      <c r="BA202" s="93">
        <f>IFERROR(-BA84/BA199,0)</f>
        <v>0</v>
      </c>
      <c r="BB202" s="94">
        <f>IFERROR(-BB84/BB199,0)</f>
        <v>0</v>
      </c>
      <c r="BC202" s="93">
        <f>IFERROR(-BC84/BC199,0)</f>
        <v>0</v>
      </c>
      <c r="BD202" s="93">
        <f>IFERROR(-BD84/BD199,0)</f>
        <v>0</v>
      </c>
      <c r="BE202" s="93">
        <f>IFERROR(-BE84/BE199,0)</f>
        <v>0</v>
      </c>
      <c r="BF202" s="93">
        <f>IFERROR(-BF84/BF199,0)</f>
        <v>0</v>
      </c>
      <c r="BG202" s="94">
        <f>IFERROR(-BG84/BG199,0)</f>
        <v>0</v>
      </c>
    </row>
    <row r="203">
      <c r="C203" s="11" t="inlineStr">
        <is>
          <t>Payout efetivo</t>
        </is>
      </c>
      <c r="D203" s="12" t="inlineStr">
        <is>
          <t>Effective payout</t>
        </is>
      </c>
      <c r="E203" s="88">
        <f>IFERROR(-E84/E127,0)</f>
        <v>0</v>
      </c>
      <c r="F203" s="88">
        <f>IFERROR(-F84/F127,0)</f>
        <v>0</v>
      </c>
      <c r="G203" s="88">
        <f>IFERROR(-G84/G127,0)</f>
        <v>0</v>
      </c>
      <c r="H203" s="88">
        <f>IFERROR(-H84/H127,0)</f>
        <v>0</v>
      </c>
      <c r="I203" s="89">
        <f>IFERROR(-I84/I127,0)</f>
        <v>0</v>
      </c>
      <c r="J203" s="88">
        <f>IFERROR(-J84/J127,0)</f>
        <v>0.375272551999085</v>
      </c>
      <c r="K203" s="88">
        <f>IFERROR(-K84/K127,0)</f>
        <v>0.353597110165762</v>
      </c>
      <c r="L203" s="88">
        <f>IFERROR(-L84/L127,0)</f>
        <v>0.336998296579955</v>
      </c>
      <c r="M203" s="88">
        <f>IFERROR(-M84/M127,0)</f>
        <v>0.342435959176869</v>
      </c>
      <c r="N203" s="89">
        <f>IFERROR(-N84/N127,0)</f>
        <v>0.35068087623848</v>
      </c>
      <c r="O203" s="88">
        <f>IFERROR(-O84/O127,0)</f>
        <v>0.376195051375285</v>
      </c>
      <c r="P203" s="88">
        <f>IFERROR(-P84/P127,0)</f>
        <v>0.384811943347947</v>
      </c>
      <c r="Q203" s="88">
        <f>IFERROR(-Q84/Q127,0)</f>
        <v>0.366460224251426</v>
      </c>
      <c r="R203" s="88">
        <f>IFERROR(-R84/R127,0)</f>
        <v>0.414227761669167</v>
      </c>
      <c r="S203" s="89">
        <f>IFERROR(-S84/S127,0)</f>
        <v>0.385088411639596</v>
      </c>
      <c r="T203" s="88">
        <f>IFERROR(-T84/T127,0)</f>
        <v>0</v>
      </c>
      <c r="U203" s="88">
        <f>IFERROR(-U84/U127,0)</f>
        <v>0.915598940944531</v>
      </c>
      <c r="V203" s="88">
        <f>IFERROR(-V84/V127,0)</f>
        <v>0</v>
      </c>
      <c r="W203" s="88">
        <f>IFERROR(-W84/W127,0)</f>
        <v>0.744481074729006</v>
      </c>
      <c r="X203" s="89">
        <f>IFERROR(-X84/X127,0)</f>
        <v>0.419406593845337</v>
      </c>
      <c r="Y203" s="88">
        <f>IFERROR(-Y84/Y127,0)</f>
        <v>0</v>
      </c>
      <c r="Z203" s="88">
        <f>IFERROR(-Z84/Z127,0)</f>
        <v>0.753581823634074</v>
      </c>
      <c r="AA203" s="88">
        <f>IFERROR(-AA84/AA127,0)</f>
        <v>0</v>
      </c>
      <c r="AB203" s="88">
        <f>IFERROR(-AB84/AB127,0)</f>
        <v>0.850181514866026</v>
      </c>
      <c r="AC203" s="89">
        <f>IFERROR(-AC84/AC127,0)</f>
        <v>0.406815227217037</v>
      </c>
      <c r="AD203" s="88">
        <f>IFERROR(-AD84/AD127,0)</f>
        <v>0</v>
      </c>
      <c r="AE203" s="88">
        <f>IFERROR(-AE84/AE127,0)</f>
        <v>1.07057491837328</v>
      </c>
      <c r="AF203" s="88">
        <f>IFERROR(-AF84/AF127,0)</f>
        <v>0</v>
      </c>
      <c r="AG203" s="88">
        <f>IFERROR(-AG84/AG127,0)</f>
        <v>1.34100442787821</v>
      </c>
      <c r="AH203" s="89">
        <f>IFERROR(-AH84/AH127,0)</f>
        <v>0.629546952360517</v>
      </c>
      <c r="AI203" s="88">
        <f>IFERROR(-AI84/AI127,0)</f>
        <v>0</v>
      </c>
      <c r="AJ203" s="88">
        <f>IFERROR(-AJ84/AJ127,0)</f>
        <v>1.16970571730581</v>
      </c>
      <c r="AK203" s="88">
        <f>IFERROR(-AK84/AK127,0)</f>
        <v>0</v>
      </c>
      <c r="AL203" s="88">
        <f>IFERROR(-AL84/AL127,0)</f>
        <v>0</v>
      </c>
      <c r="AM203" s="89">
        <f>IFERROR(-AM84/AM127,0)</f>
        <v>-8.86554729542554</v>
      </c>
      <c r="AN203" s="88">
        <f>IFERROR(-AN84/AN127,0)</f>
        <v>0</v>
      </c>
      <c r="AO203" s="88">
        <f>IFERROR(-AO84/AO127,0)</f>
        <v>0</v>
      </c>
      <c r="AP203" s="88">
        <f>IFERROR(-AP84/AP127,0)</f>
        <v>0</v>
      </c>
      <c r="AQ203" s="88">
        <f>IFERROR(-AQ84/AQ127,0)</f>
        <v>0</v>
      </c>
      <c r="AR203" s="89">
        <f>IFERROR(-AR84/AR127,0)</f>
        <v>0</v>
      </c>
      <c r="AS203" s="88">
        <f>IFERROR(-AS84/AS127,0)</f>
        <v>0</v>
      </c>
      <c r="AT203" s="88">
        <f>IFERROR(-AT84/AT127,0)</f>
        <v>0</v>
      </c>
      <c r="AU203" s="88">
        <f>IFERROR(-AU84/AU127,0)</f>
        <v>0</v>
      </c>
      <c r="AV203" s="88">
        <f>IFERROR(-AV84/AV127,0)</f>
        <v>0</v>
      </c>
      <c r="AW203" s="89">
        <f>IFERROR(-AW84/AW127,0)</f>
        <v>0</v>
      </c>
      <c r="AX203" s="88">
        <f>IFERROR(-AX84/AX127,0)</f>
        <v>0</v>
      </c>
      <c r="AY203" s="88">
        <f>IFERROR(-AY84/AY127,0)</f>
        <v>0</v>
      </c>
      <c r="AZ203" s="88">
        <f>IFERROR(-AZ84/AZ127,0)</f>
        <v>0</v>
      </c>
      <c r="BA203" s="88">
        <f>IFERROR(-BA84/BA127,0)</f>
        <v>0</v>
      </c>
      <c r="BB203" s="89">
        <f>IFERROR(-BB84/BB127,0)</f>
        <v>0</v>
      </c>
      <c r="BC203" s="88">
        <f>IFERROR(-BC84/BC127,0)</f>
        <v>0</v>
      </c>
      <c r="BD203" s="88">
        <f>IFERROR(-BD84/BD127,0)</f>
        <v>0</v>
      </c>
      <c r="BE203" s="88">
        <f>IFERROR(-BE84/BE127,0)</f>
        <v>0</v>
      </c>
      <c r="BF203" s="88">
        <f>IFERROR(-BF84/BF127,0)</f>
        <v>0</v>
      </c>
      <c r="BG203" s="89">
        <f>IFERROR(-BG84/BG127,0)</f>
        <v>0</v>
      </c>
    </row>
  </sheetData>
  <conditionalFormatting sqref="E5:BG7">
    <cfRule type="cellIs" priority="1" operator="between" dxfId="1">
      <formula>-5</formula>
      <formula>5</formula>
    </cfRule>
    <cfRule type="cellIs" priority="2" operator="notBetween" dxfId="0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2:Q142"/>
  <sheetViews>
    <sheetView showGridLines="0" workbookViewId="0">
      <pane xSplit="4" ySplit="28" topLeftCell="E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54" customWidth="1" min="3" max="3"/>
    <col width="40" customWidth="1" min="4" max="4"/>
    <col width="13" customWidth="1" min="5" max="15"/>
    <col width="2" customWidth="1" min="16" max="16"/>
    <col width="56" customWidth="1" min="17" max="17"/>
  </cols>
  <sheetData>
    <row r="2" ht="18" customHeight="1">
      <c r="C2" s="75" t="str">
        <f>"VALUATION — INSTITUIÇÃO FINANCEIRA · valores em "&amp;Inputs!$E$202</f>
        <v>VALUATION — INSTITUIÇÃO FINANCEIRA · valores em R$ milhões</v>
      </c>
    </row>
    <row r="3">
      <c r="C3" s="2" t="inlineStr">
        <is>
          <t>Ke por CAPM. Excess Return e DDM como métodos primários, P/BV justificado e múltiplos como referência de mercado.</t>
        </is>
      </c>
    </row>
    <row r="4">
      <c r="B4" s="7" t="n"/>
      <c r="C4" s="7" t="inlineStr">
        <is>
          <t>RESUMO</t>
        </is>
      </c>
      <c r="D4" s="7" t="inlineStr">
        <is>
          <t>SUMMARY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C5" s="11" t="str">
        <f>"Preço atual ("&amp;Inputs!$E$200&amp;")"</f>
        <v>Preço atual (R$)</v>
      </c>
      <c r="D5" s="12" t="inlineStr">
        <is>
          <t>Current price</t>
        </is>
      </c>
      <c r="E5" s="95">
        <f>Inputs!$E$206</f>
        <v>0</v>
      </c>
    </row>
    <row r="6">
      <c r="C6" s="15" t="str">
        <f>"Preço-alvo ponderado ("&amp;Inputs!$E$200&amp;")"</f>
        <v>Preço-alvo ponderado (R$)</v>
      </c>
      <c r="D6" s="16" t="inlineStr">
        <is>
          <t>Weighted target price</t>
        </is>
      </c>
      <c r="E6" s="96">
        <f>E108</f>
        <v>0</v>
      </c>
    </row>
    <row r="7">
      <c r="C7" s="15" t="inlineStr">
        <is>
          <t>Upside / (downside)</t>
        </is>
      </c>
      <c r="D7" s="16" t="inlineStr">
        <is>
          <t>Upside</t>
        </is>
      </c>
      <c r="E7" s="97">
        <f>IFERROR(E6/E5-1,0)</f>
        <v>0</v>
      </c>
    </row>
    <row r="8">
      <c r="C8" s="15" t="inlineStr">
        <is>
          <t>Leitura</t>
        </is>
      </c>
      <c r="D8" s="16" t="inlineStr">
        <is>
          <t>Read-through</t>
        </is>
      </c>
      <c r="E8" s="98" t="str">
        <f>IF(E7&gt;=0.2,"COMPRA",IF(E7&gt;=0.05,"ACIMA DA MÉDIA",IF(E7&gt;=-0.05,"NEUTRO","ABAIXO DA MÉDIA")))</f>
        <v>NEUTRO</v>
      </c>
      <c r="Q8" s="2" t="inlineStr">
        <is>
          <t>Classificação mecânica pelo upside. A recomendação final é sua, não da fórmula.</t>
        </is>
      </c>
    </row>
    <row r="9">
      <c r="C9" s="11" t="inlineStr">
        <is>
          <t>Custo do capital próprio (Ke)</t>
        </is>
      </c>
      <c r="D9" s="12" t="inlineStr">
        <is>
          <t>Cost of equity</t>
        </is>
      </c>
      <c r="E9" s="99">
        <f>Inputs!$E$310</f>
        <v>0</v>
      </c>
    </row>
    <row r="10">
      <c r="C10" s="11" t="inlineStr">
        <is>
          <t>Crescimento na perpetuidade (g)</t>
        </is>
      </c>
      <c r="D10" s="12" t="inlineStr">
        <is>
          <t>Terminal growth</t>
        </is>
      </c>
      <c r="E10" s="99">
        <f>Inputs!$E$311</f>
        <v>0</v>
      </c>
    </row>
    <row r="11">
      <c r="C11" s="11" t="str">
        <f>"Market cap atual ("&amp;Inputs!$E$202&amp;")"</f>
        <v>Market cap atual (R$ milhões)</v>
      </c>
      <c r="D11" s="12" t="inlineStr">
        <is>
          <t>Current market cap</t>
        </is>
      </c>
      <c r="E11" s="100">
        <f>Inputs!$E$211</f>
        <v>0</v>
      </c>
    </row>
    <row r="12">
      <c r="C12" s="11" t="str">
        <f>"Valor justo do equity ("&amp;Inputs!$E$202&amp;")"</f>
        <v>Valor justo do equity (R$ milhões)</v>
      </c>
      <c r="D12" s="12" t="inlineStr">
        <is>
          <t>Fair equity value</t>
        </is>
      </c>
      <c r="E12" s="100">
        <f>E6*Inputs!$E$210</f>
        <v>0</v>
      </c>
    </row>
    <row r="14">
      <c r="B14" s="7" t="n"/>
      <c r="C14" s="7" t="inlineStr">
        <is>
          <t>PREMISSAS</t>
        </is>
      </c>
      <c r="D14" s="7" t="inlineStr">
        <is>
          <t>ASSUMPTIONS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6">
      <c r="C16" s="11" t="inlineStr">
        <is>
          <t>Taxa livre de risco — NTN-B longa</t>
        </is>
      </c>
      <c r="D16" s="12" t="inlineStr">
        <is>
          <t>Risk-free rate</t>
        </is>
      </c>
      <c r="E16" s="101">
        <f>Inputs!$E$306</f>
        <v>0</v>
      </c>
    </row>
    <row r="17">
      <c r="C17" s="11" t="inlineStr">
        <is>
          <t>Prêmio de risco de mercado (ERP)</t>
        </is>
      </c>
      <c r="D17" s="12" t="inlineStr">
        <is>
          <t>Equity risk premium</t>
        </is>
      </c>
      <c r="E17" s="101">
        <f>Inputs!$E$307</f>
        <v>0</v>
      </c>
    </row>
    <row r="18">
      <c r="C18" s="11" t="inlineStr">
        <is>
          <t>Beta alavancado</t>
        </is>
      </c>
      <c r="D18" s="12" t="inlineStr">
        <is>
          <t>Levered beta</t>
        </is>
      </c>
      <c r="E18" s="102">
        <f>Inputs!$E$308</f>
        <v>0</v>
      </c>
    </row>
    <row r="19">
      <c r="C19" s="11" t="inlineStr">
        <is>
          <t>Prêmio de tamanho / liquidez</t>
        </is>
      </c>
      <c r="D19" s="12" t="inlineStr">
        <is>
          <t>Size premium</t>
        </is>
      </c>
      <c r="E19" s="101">
        <f>Inputs!$E$309</f>
        <v>0</v>
      </c>
    </row>
    <row r="20">
      <c r="C20" s="15" t="inlineStr">
        <is>
          <t>Custo do capital próprio — Ke</t>
        </is>
      </c>
      <c r="D20" s="16" t="inlineStr">
        <is>
          <t>Cost of equity</t>
        </is>
      </c>
      <c r="E20" s="103">
        <f>Inputs!$E$310</f>
        <v>0</v>
      </c>
      <c r="Q20" s="2" t="inlineStr">
        <is>
          <t>Todas as premissas vêm da aba Inputs. Altere lá, não aqui.</t>
        </is>
      </c>
    </row>
    <row r="21">
      <c r="C21" s="11" t="inlineStr">
        <is>
          <t>Crescimento na perpetuidade — g</t>
        </is>
      </c>
      <c r="D21" s="12" t="inlineStr">
        <is>
          <t>Terminal growth</t>
        </is>
      </c>
      <c r="E21" s="101">
        <f>Inputs!$E$311</f>
        <v>0</v>
      </c>
      <c r="F21" s="104" t="str">
        <f>IF(E21&gt;=E20,"g &gt;= Ke: inválido",IF(E21&gt;E22,"g &gt; ROE: inconsistente","ok"))</f>
        <v>g &gt;= Ke: inválido</v>
      </c>
      <c r="Q21" s="2" t="inlineStr">
        <is>
          <t>Consistência: g não pode superar o ROE sustentável nem ficar acima do Ke.</t>
        </is>
      </c>
    </row>
    <row r="22">
      <c r="C22" s="11" t="inlineStr">
        <is>
          <t>ROE sustentável na perpetuidade</t>
        </is>
      </c>
      <c r="D22" s="12" t="inlineStr">
        <is>
          <t>Sustainable ROE</t>
        </is>
      </c>
      <c r="E22" s="101">
        <f>Inputs!$E$312</f>
        <v>0</v>
      </c>
    </row>
    <row r="23">
      <c r="C23" s="11" t="inlineStr">
        <is>
          <t>Payout implícito na perpetuidade</t>
        </is>
      </c>
      <c r="D23" s="12" t="inlineStr">
        <is>
          <t>Implied terminal payout</t>
        </is>
      </c>
      <c r="E23" s="101">
        <f>Inputs!$E$313</f>
        <v>0</v>
      </c>
    </row>
    <row r="24">
      <c r="C24" s="11" t="inlineStr">
        <is>
          <t>Ano-base do desconto (último exercício realizado)</t>
        </is>
      </c>
      <c r="D24" s="12" t="inlineStr">
        <is>
          <t>Discounting base year</t>
        </is>
      </c>
      <c r="E24" s="105">
        <f>YEAR(Inputs!$E$203)</f>
        <v>2026</v>
      </c>
    </row>
    <row r="25">
      <c r="C25" s="11" t="inlineStr">
        <is>
          <t>Ano-alvo do preço-alvo (VPA e LPA de referência)</t>
        </is>
      </c>
      <c r="D25" s="12" t="inlineStr">
        <is>
          <t>Target year for price</t>
        </is>
      </c>
      <c r="E25" s="50" t="n">
        <v>2027</v>
      </c>
    </row>
    <row r="26">
      <c r="B26" s="7" t="n"/>
      <c r="C26" s="7" t="inlineStr">
        <is>
          <t>PROJEÇÕES ANUAIS (LINK DO MODEL)</t>
        </is>
      </c>
      <c r="D26" s="7" t="inlineStr">
        <is>
          <t>ANNUAL FORECAST (FROM MODEL)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idden="1">
      <c r="C27" s="11" t="inlineStr">
        <is>
          <t>Ano</t>
        </is>
      </c>
      <c r="D27" s="12" t="inlineStr">
        <is>
          <t>Year</t>
        </is>
      </c>
      <c r="E27" s="24" t="n">
        <v>2020</v>
      </c>
      <c r="F27" s="24" t="n">
        <v>2021</v>
      </c>
      <c r="G27" s="24" t="n">
        <v>2022</v>
      </c>
      <c r="H27" s="24" t="n">
        <v>2023</v>
      </c>
      <c r="I27" s="24" t="n">
        <v>2024</v>
      </c>
      <c r="J27" s="24" t="n">
        <v>2025</v>
      </c>
      <c r="K27" s="24" t="n">
        <v>2026</v>
      </c>
      <c r="L27" s="24" t="n">
        <v>2027</v>
      </c>
      <c r="M27" s="24" t="n">
        <v>2028</v>
      </c>
      <c r="N27" s="24" t="n">
        <v>2029</v>
      </c>
      <c r="O27" s="24" t="n">
        <v>2030</v>
      </c>
    </row>
    <row r="28">
      <c r="C28" s="15" t="inlineStr">
        <is>
          <t>Exercício</t>
        </is>
      </c>
      <c r="D28" s="16" t="inlineStr">
        <is>
          <t>Fiscal year</t>
        </is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>
      <c r="C29" s="11" t="inlineStr">
        <is>
          <t>Lucro líquido dos controladores</t>
        </is>
      </c>
      <c r="D29" s="12" t="inlineStr">
        <is>
          <t>Net income — controlling</t>
        </is>
      </c>
      <c r="E29" s="106">
        <f>Model!I127</f>
        <v>322.075</v>
      </c>
      <c r="F29" s="106">
        <f>Model!N127</f>
        <v>572.173</v>
      </c>
      <c r="G29" s="106">
        <f>Model!S127</f>
        <v>800.234</v>
      </c>
      <c r="H29" s="106">
        <f>Model!X127</f>
        <v>851.582</v>
      </c>
      <c r="I29" s="106">
        <f>Model!AC127</f>
        <v>971.274</v>
      </c>
      <c r="J29" s="106">
        <f>Model!AH127</f>
        <v>1002.005</v>
      </c>
      <c r="K29" s="106">
        <f>Model!AM127</f>
        <v>-33.9509050000001</v>
      </c>
      <c r="L29" s="106">
        <f>Model!AR127</f>
        <v>-1056.45681</v>
      </c>
      <c r="M29" s="106">
        <f>Model!AW127</f>
        <v>-1056.45681</v>
      </c>
      <c r="N29" s="106">
        <f>Model!BB127</f>
        <v>-1056.45681</v>
      </c>
      <c r="O29" s="106">
        <f>Model!BG127</f>
        <v>-1056.45681</v>
      </c>
    </row>
    <row r="30">
      <c r="C30" s="11" t="inlineStr">
        <is>
          <t>Patrimônio líquido dos controladores (final)</t>
        </is>
      </c>
      <c r="D30" s="12" t="inlineStr">
        <is>
          <t>Closing equity</t>
        </is>
      </c>
      <c r="E30" s="106">
        <f>Model!I71</f>
        <v>4288.263</v>
      </c>
      <c r="F30" s="106">
        <f>Model!N71</f>
        <v>4669.463</v>
      </c>
      <c r="G30" s="106">
        <f>Model!S71</f>
        <v>5205.386</v>
      </c>
      <c r="H30" s="106">
        <f>Model!X71</f>
        <v>5871.729</v>
      </c>
      <c r="I30" s="106">
        <f>Model!AC71</f>
        <v>6387.347</v>
      </c>
      <c r="J30" s="106">
        <f>Model!AH71</f>
        <v>6758.948</v>
      </c>
      <c r="K30" s="106">
        <f>Model!AM71</f>
        <v>6737.430095</v>
      </c>
      <c r="L30" s="106">
        <f>Model!AR71</f>
        <v>5680.973285</v>
      </c>
      <c r="M30" s="106">
        <f>Model!AW71</f>
        <v>4624.516475</v>
      </c>
      <c r="N30" s="106">
        <f>Model!BB71</f>
        <v>3568.059665</v>
      </c>
      <c r="O30" s="106">
        <f>Model!BG71</f>
        <v>2511.602855</v>
      </c>
    </row>
    <row r="31">
      <c r="C31" s="11" t="inlineStr">
        <is>
          <t>Patrimônio líquido inicial</t>
        </is>
      </c>
      <c r="D31" s="12" t="inlineStr">
        <is>
          <t>Opening equity</t>
        </is>
      </c>
      <c r="E31" s="106">
        <f>Model!I82</f>
        <v>3965.682</v>
      </c>
      <c r="F31" s="106">
        <f>Model!N82</f>
        <v>4288.263</v>
      </c>
      <c r="G31" s="106">
        <f>Model!S82</f>
        <v>4670.658</v>
      </c>
      <c r="H31" s="106">
        <f>Model!X82</f>
        <v>5207.403</v>
      </c>
      <c r="I31" s="106">
        <f>Model!AC82</f>
        <v>5885.371</v>
      </c>
      <c r="J31" s="106">
        <f>Model!AH82</f>
        <v>6411.114</v>
      </c>
      <c r="K31" s="106">
        <f>Model!AM82</f>
        <v>6776.126</v>
      </c>
      <c r="L31" s="106">
        <f>Model!AR82</f>
        <v>6757.195095</v>
      </c>
      <c r="M31" s="106">
        <f>Model!AW82</f>
        <v>5700.738285</v>
      </c>
      <c r="N31" s="106">
        <f>Model!BB82</f>
        <v>4644.281475</v>
      </c>
      <c r="O31" s="106">
        <f>Model!BG82</f>
        <v>3587.824665</v>
      </c>
    </row>
    <row r="32">
      <c r="C32" s="11" t="inlineStr">
        <is>
          <t>ROE do exercício</t>
        </is>
      </c>
      <c r="D32" s="12" t="inlineStr">
        <is>
          <t>Return on equity</t>
        </is>
      </c>
      <c r="E32" s="107">
        <f>IFERROR(E29/AVERAGE(E31,E30),0)</f>
        <v>0.0780414698668333</v>
      </c>
      <c r="F32" s="107">
        <f>IFERROR(F29/AVERAGE(F31,F30),0)</f>
        <v>0.127749609666561</v>
      </c>
      <c r="G32" s="107">
        <f>IFERROR(G29/AVERAGE(G31,G30),0)</f>
        <v>0.162055576099094</v>
      </c>
      <c r="H32" s="107">
        <f>IFERROR(H29/AVERAGE(H31,H30),0)</f>
        <v>0.153727205344245</v>
      </c>
      <c r="I32" s="107">
        <f>IFERROR(I29/AVERAGE(I31,I30),0)</f>
        <v>0.158281808479589</v>
      </c>
      <c r="J32" s="107">
        <f>IFERROR(J29/AVERAGE(J31,J30),0)</f>
        <v>0.152164052075078</v>
      </c>
      <c r="K32" s="107">
        <f>IFERROR(K29/AVERAGE(K31,K30),0)</f>
        <v>-0.00502471810696251</v>
      </c>
      <c r="L32" s="107">
        <f>IFERROR(L29/AVERAGE(L31,L30),0)</f>
        <v>-0.169873373269128</v>
      </c>
      <c r="M32" s="107">
        <f>IFERROR(M29/AVERAGE(M31,M30),0)</f>
        <v>-0.204635495114892</v>
      </c>
      <c r="N32" s="107">
        <f>IFERROR(N29/AVERAGE(N31,N30),0)</f>
        <v>-0.257285174103228</v>
      </c>
      <c r="O32" s="107">
        <f>IFERROR(O29/AVERAGE(O31,O30),0)</f>
        <v>-0.346411792429989</v>
      </c>
    </row>
    <row r="33">
      <c r="C33" s="11" t="inlineStr">
        <is>
          <t>Dividendos e JCP declarados</t>
        </is>
      </c>
      <c r="D33" s="12" t="inlineStr">
        <is>
          <t>Dividends and IOC</t>
        </is>
      </c>
      <c r="E33" s="106">
        <f>-Model!I84</f>
        <v>0</v>
      </c>
      <c r="F33" s="106">
        <f>-Model!N84</f>
        <v>200.650129</v>
      </c>
      <c r="G33" s="106">
        <f>-Model!S84</f>
        <v>308.16084</v>
      </c>
      <c r="H33" s="106">
        <f>-Model!X84</f>
        <v>357.159106</v>
      </c>
      <c r="I33" s="106">
        <f>-Model!AC84</f>
        <v>395.129053</v>
      </c>
      <c r="J33" s="106">
        <f>-Model!AH84</f>
        <v>630.809194</v>
      </c>
      <c r="K33" s="106">
        <f>-Model!AM84</f>
        <v>300.993354</v>
      </c>
      <c r="L33" s="106">
        <f>-Model!AR84</f>
        <v>0</v>
      </c>
      <c r="M33" s="106">
        <f>-Model!AW84</f>
        <v>0</v>
      </c>
      <c r="N33" s="106">
        <f>-Model!BB84</f>
        <v>0</v>
      </c>
      <c r="O33" s="106">
        <f>-Model!BG84</f>
        <v>0</v>
      </c>
    </row>
    <row r="34">
      <c r="C34" s="11" t="inlineStr">
        <is>
          <t>Payout efetivo</t>
        </is>
      </c>
      <c r="D34" s="12" t="inlineStr">
        <is>
          <t>Effective payout</t>
        </is>
      </c>
      <c r="E34" s="107">
        <f>IFERROR(E33/E29,0)</f>
        <v>0</v>
      </c>
      <c r="F34" s="107">
        <f>IFERROR(F33/F29,0)</f>
        <v>0.35068087623848</v>
      </c>
      <c r="G34" s="107">
        <f>IFERROR(G33/G29,0)</f>
        <v>0.385088411639596</v>
      </c>
      <c r="H34" s="107">
        <f>IFERROR(H33/H29,0)</f>
        <v>0.419406593845337</v>
      </c>
      <c r="I34" s="107">
        <f>IFERROR(I33/I29,0)</f>
        <v>0.406815227217037</v>
      </c>
      <c r="J34" s="107">
        <f>IFERROR(J33/J29,0)</f>
        <v>0.629546952360517</v>
      </c>
      <c r="K34" s="107">
        <f>IFERROR(K33/K29,0)</f>
        <v>-8.86554729542554</v>
      </c>
      <c r="L34" s="107">
        <f>IFERROR(L33/L29,0)</f>
        <v>0</v>
      </c>
      <c r="M34" s="107">
        <f>IFERROR(M33/M29,0)</f>
        <v>0</v>
      </c>
      <c r="N34" s="107">
        <f>IFERROR(N33/N29,0)</f>
        <v>0</v>
      </c>
      <c r="O34" s="107">
        <f>IFERROR(O33/O29,0)</f>
        <v>0</v>
      </c>
    </row>
    <row r="35">
      <c r="C35" s="11" t="inlineStr">
        <is>
          <t>Ações ex-tesouraria (milhões)</t>
        </is>
      </c>
      <c r="D35" s="12" t="inlineStr">
        <is>
          <t>Shares outstanding (mn)</t>
        </is>
      </c>
      <c r="E35" s="108">
        <f>Model!I199</f>
        <v>0</v>
      </c>
      <c r="F35" s="108">
        <f>Model!N199</f>
        <v>220.092561</v>
      </c>
      <c r="G35" s="108">
        <f>Model!S199</f>
        <v>220.852807</v>
      </c>
      <c r="H35" s="108">
        <f>Model!X199</f>
        <v>232.550368</v>
      </c>
      <c r="I35" s="108">
        <f>Model!AC199</f>
        <v>240.295897</v>
      </c>
      <c r="J35" s="108">
        <f>Model!AH199</f>
        <v>241.176845</v>
      </c>
      <c r="K35" s="108">
        <f>Model!AM199</f>
        <v>0</v>
      </c>
      <c r="L35" s="108">
        <f>Model!AR199</f>
        <v>0</v>
      </c>
      <c r="M35" s="108">
        <f>Model!AW199</f>
        <v>0</v>
      </c>
      <c r="N35" s="108">
        <f>Model!BB199</f>
        <v>0</v>
      </c>
      <c r="O35" s="108">
        <f>Model!BG199</f>
        <v>0</v>
      </c>
    </row>
    <row r="36">
      <c r="C36" s="11" t="str">
        <f>"Lucro por ação — LPA ("&amp;Inputs!$E$200&amp;")"</f>
        <v>Lucro por ação — LPA (R$)</v>
      </c>
      <c r="D36" s="12" t="inlineStr">
        <is>
          <t>EPS</t>
        </is>
      </c>
      <c r="E36" s="109">
        <f>Model!I200</f>
        <v>0</v>
      </c>
      <c r="F36" s="109">
        <f>Model!N200</f>
        <v>2.59969259024616</v>
      </c>
      <c r="G36" s="109">
        <f>Model!S200</f>
        <v>3.62338161271366</v>
      </c>
      <c r="H36" s="109">
        <f>Model!X200</f>
        <v>3.66192497274397</v>
      </c>
      <c r="I36" s="109">
        <f>Model!AC200</f>
        <v>4.0419916117003</v>
      </c>
      <c r="J36" s="109">
        <f>Model!AH200</f>
        <v>4.15464842821043</v>
      </c>
      <c r="K36" s="109">
        <f>Model!AM200</f>
        <v>0</v>
      </c>
      <c r="L36" s="109">
        <f>Model!AR200</f>
        <v>0</v>
      </c>
      <c r="M36" s="109">
        <f>Model!AW200</f>
        <v>0</v>
      </c>
      <c r="N36" s="109">
        <f>Model!BB200</f>
        <v>0</v>
      </c>
      <c r="O36" s="109">
        <f>Model!BG200</f>
        <v>0</v>
      </c>
    </row>
    <row r="37">
      <c r="C37" s="11" t="str">
        <f>"Valor patrimonial por ação — VPA ("&amp;Inputs!$E$200&amp;")"</f>
        <v>Valor patrimonial por ação — VPA (R$)</v>
      </c>
      <c r="D37" s="12" t="inlineStr">
        <is>
          <t>BVPS</t>
        </is>
      </c>
      <c r="E37" s="109">
        <f>Model!I201</f>
        <v>0</v>
      </c>
      <c r="F37" s="109">
        <f>Model!N201</f>
        <v>21.2159056116395</v>
      </c>
      <c r="G37" s="109">
        <f>Model!S201</f>
        <v>23.5694808262048</v>
      </c>
      <c r="H37" s="109">
        <f>Model!X201</f>
        <v>25.2492784702882</v>
      </c>
      <c r="I37" s="109">
        <f>Model!AC201</f>
        <v>26.5811737934086</v>
      </c>
      <c r="J37" s="109">
        <f>Model!AH201</f>
        <v>28.0248628345727</v>
      </c>
      <c r="K37" s="109">
        <f>Model!AM201</f>
        <v>0</v>
      </c>
      <c r="L37" s="109">
        <f>Model!AR201</f>
        <v>0</v>
      </c>
      <c r="M37" s="109">
        <f>Model!AW201</f>
        <v>0</v>
      </c>
      <c r="N37" s="109">
        <f>Model!BB201</f>
        <v>0</v>
      </c>
      <c r="O37" s="109">
        <f>Model!BG201</f>
        <v>0</v>
      </c>
    </row>
    <row r="38">
      <c r="C38" s="11" t="str">
        <f>"Proventos por ação ("&amp;Inputs!$E$200&amp;")"</f>
        <v>Proventos por ação (R$)</v>
      </c>
      <c r="D38" s="12" t="inlineStr">
        <is>
          <t>DPS</t>
        </is>
      </c>
      <c r="E38" s="109">
        <f>Model!I202</f>
        <v>0</v>
      </c>
      <c r="F38" s="109">
        <f>Model!N202</f>
        <v>0.911662475498206</v>
      </c>
      <c r="G38" s="109">
        <f>Model!S202</f>
        <v>1.39532227000402</v>
      </c>
      <c r="H38" s="109">
        <f>Model!X202</f>
        <v>1.53583547973573</v>
      </c>
      <c r="I38" s="109">
        <f>Model!AC202</f>
        <v>1.64434373592321</v>
      </c>
      <c r="J38" s="109">
        <f>Model!AH202</f>
        <v>2.61554625610929</v>
      </c>
      <c r="K38" s="109">
        <f>Model!AM202</f>
        <v>0</v>
      </c>
      <c r="L38" s="109">
        <f>Model!AR202</f>
        <v>0</v>
      </c>
      <c r="M38" s="109">
        <f>Model!AW202</f>
        <v>0</v>
      </c>
      <c r="N38" s="109">
        <f>Model!BB202</f>
        <v>0</v>
      </c>
      <c r="O38" s="109">
        <f>Model!BG202</f>
        <v>0</v>
      </c>
    </row>
    <row r="39">
      <c r="C39" s="11" t="inlineStr">
        <is>
          <t>Período de desconto (anos)</t>
        </is>
      </c>
      <c r="D39" s="12" t="inlineStr">
        <is>
          <t>Discount period</t>
        </is>
      </c>
      <c r="E39" s="110">
        <f>MAX(0,2020-$E$24)</f>
        <v>0</v>
      </c>
      <c r="F39" s="110">
        <f>MAX(0,2021-$E$24)</f>
        <v>0</v>
      </c>
      <c r="G39" s="110">
        <f>MAX(0,2022-$E$24)</f>
        <v>0</v>
      </c>
      <c r="H39" s="110">
        <f>MAX(0,2023-$E$24)</f>
        <v>0</v>
      </c>
      <c r="I39" s="110">
        <f>MAX(0,2024-$E$24)</f>
        <v>0</v>
      </c>
      <c r="J39" s="110">
        <f>MAX(0,2025-$E$24)</f>
        <v>0</v>
      </c>
      <c r="K39" s="110">
        <f>MAX(0,2026-$E$24)</f>
        <v>0</v>
      </c>
      <c r="L39" s="110">
        <f>MAX(0,2027-$E$24)</f>
        <v>1</v>
      </c>
      <c r="M39" s="110">
        <f>MAX(0,2028-$E$24)</f>
        <v>2</v>
      </c>
      <c r="N39" s="110">
        <f>MAX(0,2029-$E$24)</f>
        <v>3</v>
      </c>
      <c r="O39" s="110">
        <f>MAX(0,2030-$E$24)</f>
        <v>4</v>
      </c>
      <c r="Q39" s="2" t="inlineStr">
        <is>
          <t>Desconto em anos cheios a partir do fim do ano-base. Exercícios até o ano-base recebem fator zero e ficam fora do fluxo: o valor encontrado é o de 31/dez do ano-base.</t>
        </is>
      </c>
    </row>
    <row r="40">
      <c r="C40" s="11" t="inlineStr">
        <is>
          <t>Fator de desconto</t>
        </is>
      </c>
      <c r="D40" s="12" t="inlineStr">
        <is>
          <t>Discount factor</t>
        </is>
      </c>
      <c r="E40" s="111">
        <f>IF(E39&lt;=0,0,1/(1+$E$20)^E39)</f>
        <v>0</v>
      </c>
      <c r="F40" s="111">
        <f>IF(F39&lt;=0,0,1/(1+$E$20)^F39)</f>
        <v>0</v>
      </c>
      <c r="G40" s="111">
        <f>IF(G39&lt;=0,0,1/(1+$E$20)^G39)</f>
        <v>0</v>
      </c>
      <c r="H40" s="111">
        <f>IF(H39&lt;=0,0,1/(1+$E$20)^H39)</f>
        <v>0</v>
      </c>
      <c r="I40" s="111">
        <f>IF(I39&lt;=0,0,1/(1+$E$20)^I39)</f>
        <v>0</v>
      </c>
      <c r="J40" s="111">
        <f>IF(J39&lt;=0,0,1/(1+$E$20)^J39)</f>
        <v>0</v>
      </c>
      <c r="K40" s="111">
        <f>IF(K39&lt;=0,0,1/(1+$E$20)^K39)</f>
        <v>0</v>
      </c>
      <c r="L40" s="111">
        <f>IF(L39&lt;=0,0,1/(1+$E$20)^L39)</f>
        <v>1</v>
      </c>
      <c r="M40" s="111">
        <f>IF(M39&lt;=0,0,1/(1+$E$20)^M39)</f>
        <v>1</v>
      </c>
      <c r="N40" s="111">
        <f>IF(N39&lt;=0,0,1/(1+$E$20)^N39)</f>
        <v>1</v>
      </c>
      <c r="O40" s="111">
        <f>IF(O39&lt;=0,0,1/(1+$E$20)^O39)</f>
        <v>1</v>
      </c>
    </row>
    <row r="42">
      <c r="B42" s="7" t="n"/>
      <c r="C42" s="7" t="inlineStr">
        <is>
          <t>MÉTODO 1 — EXCESS RETURN (LUCRO RESIDUAL)</t>
        </is>
      </c>
      <c r="D42" s="7" t="inlineStr">
        <is>
          <t>METHOD 1 — RESIDUAL INCOME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B43" s="29" t="n"/>
      <c r="C43" s="29" t="inlineStr">
        <is>
          <t>Fluxo de lucro residual</t>
        </is>
      </c>
      <c r="D43" s="29" t="inlineStr">
        <is>
          <t>Residual income stream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C44" s="11" t="inlineStr">
        <is>
          <t>Lucro líquido dos controladores</t>
        </is>
      </c>
      <c r="D44" s="12" t="inlineStr">
        <is>
          <t>Net income</t>
        </is>
      </c>
      <c r="E44" s="112">
        <f>E29</f>
        <v>322.075</v>
      </c>
      <c r="F44" s="112">
        <f>F29</f>
        <v>572.173</v>
      </c>
      <c r="G44" s="112">
        <f>G29</f>
        <v>800.234</v>
      </c>
      <c r="H44" s="112">
        <f>H29</f>
        <v>851.582</v>
      </c>
      <c r="I44" s="112">
        <f>I29</f>
        <v>971.274</v>
      </c>
      <c r="J44" s="112">
        <f>J29</f>
        <v>1002.005</v>
      </c>
      <c r="K44" s="112">
        <f>K29</f>
        <v>-33.9509050000001</v>
      </c>
      <c r="L44" s="112">
        <f>L29</f>
        <v>-1056.45681</v>
      </c>
      <c r="M44" s="112">
        <f>M29</f>
        <v>-1056.45681</v>
      </c>
      <c r="N44" s="112">
        <f>N29</f>
        <v>-1056.45681</v>
      </c>
      <c r="O44" s="112">
        <f>O29</f>
        <v>-1056.45681</v>
      </c>
    </row>
    <row r="45">
      <c r="C45" s="11" t="inlineStr">
        <is>
          <t>(–) Encargo de capital: Ke × PL inicial</t>
        </is>
      </c>
      <c r="D45" s="12" t="inlineStr">
        <is>
          <t>(–) Equity charge</t>
        </is>
      </c>
      <c r="E45" s="112">
        <f>-$E$20*E31</f>
        <v>0</v>
      </c>
      <c r="F45" s="112">
        <f>-$E$20*F31</f>
        <v>0</v>
      </c>
      <c r="G45" s="112">
        <f>-$E$20*G31</f>
        <v>0</v>
      </c>
      <c r="H45" s="112">
        <f>-$E$20*H31</f>
        <v>0</v>
      </c>
      <c r="I45" s="112">
        <f>-$E$20*I31</f>
        <v>0</v>
      </c>
      <c r="J45" s="112">
        <f>-$E$20*J31</f>
        <v>0</v>
      </c>
      <c r="K45" s="112">
        <f>-$E$20*K31</f>
        <v>0</v>
      </c>
      <c r="L45" s="112">
        <f>-$E$20*L31</f>
        <v>0</v>
      </c>
      <c r="M45" s="112">
        <f>-$E$20*M31</f>
        <v>0</v>
      </c>
      <c r="N45" s="112">
        <f>-$E$20*N31</f>
        <v>0</v>
      </c>
      <c r="O45" s="112">
        <f>-$E$20*O31</f>
        <v>0</v>
      </c>
    </row>
    <row r="46">
      <c r="C46" s="15" t="inlineStr">
        <is>
          <t>Lucro residual</t>
        </is>
      </c>
      <c r="D46" s="16" t="inlineStr">
        <is>
          <t>Residual income</t>
        </is>
      </c>
      <c r="E46" s="22">
        <f>E44+E45</f>
        <v>322.075</v>
      </c>
      <c r="F46" s="22">
        <f>F44+F45</f>
        <v>572.173</v>
      </c>
      <c r="G46" s="22">
        <f>G44+G45</f>
        <v>800.234</v>
      </c>
      <c r="H46" s="22">
        <f>H44+H45</f>
        <v>851.582</v>
      </c>
      <c r="I46" s="22">
        <f>I44+I45</f>
        <v>971.274</v>
      </c>
      <c r="J46" s="22">
        <f>J44+J45</f>
        <v>1002.005</v>
      </c>
      <c r="K46" s="22">
        <f>K44+K45</f>
        <v>-33.9509050000001</v>
      </c>
      <c r="L46" s="22">
        <f>L44+L45</f>
        <v>-1056.45681</v>
      </c>
      <c r="M46" s="22">
        <f>M44+M45</f>
        <v>-1056.45681</v>
      </c>
      <c r="N46" s="22">
        <f>N44+N45</f>
        <v>-1056.45681</v>
      </c>
      <c r="O46" s="22">
        <f>O44+O45</f>
        <v>-1056.45681</v>
      </c>
      <c r="Q46" s="2" t="inlineStr">
        <is>
          <t>Lucro residual = lucro que excede o custo do capital investido pelo acionista. É zero quando ROE = Ke, e aí o banco vale exatamente o patrimônio.</t>
        </is>
      </c>
    </row>
    <row r="47">
      <c r="C47" s="11" t="inlineStr">
        <is>
          <t>Valor presente do lucro residual</t>
        </is>
      </c>
      <c r="D47" s="12" t="inlineStr">
        <is>
          <t>PV of residual income</t>
        </is>
      </c>
      <c r="E47" s="112">
        <f>E46*E40</f>
        <v>0</v>
      </c>
      <c r="F47" s="112">
        <f>F46*F40</f>
        <v>0</v>
      </c>
      <c r="G47" s="112">
        <f>G46*G40</f>
        <v>0</v>
      </c>
      <c r="H47" s="112">
        <f>H46*H40</f>
        <v>0</v>
      </c>
      <c r="I47" s="112">
        <f>I46*I40</f>
        <v>0</v>
      </c>
      <c r="J47" s="112">
        <f>J46*J40</f>
        <v>0</v>
      </c>
      <c r="K47" s="112">
        <f>K46*K40</f>
        <v>0</v>
      </c>
      <c r="L47" s="112">
        <f>L46*L40</f>
        <v>-1056.45681</v>
      </c>
      <c r="M47" s="112">
        <f>M46*M40</f>
        <v>-1056.45681</v>
      </c>
      <c r="N47" s="112">
        <f>N46*N40</f>
        <v>-1056.45681</v>
      </c>
      <c r="O47" s="112">
        <f>O46*O40</f>
        <v>-1056.45681</v>
      </c>
    </row>
    <row r="48">
      <c r="C48" s="11" t="inlineStr">
        <is>
          <t>Soma dos valores presentes (período explícito)</t>
        </is>
      </c>
      <c r="D48" s="12" t="inlineStr">
        <is>
          <t>PV of explicit horizon</t>
        </is>
      </c>
      <c r="E48" s="112">
        <f>SUM(E47:O47)</f>
        <v>-4225.82724</v>
      </c>
    </row>
    <row r="49">
      <c r="C49" s="11" t="inlineStr">
        <is>
          <t>Lucro residual do último ano projetado</t>
        </is>
      </c>
      <c r="D49" s="12" t="inlineStr">
        <is>
          <t>Terminal-year residual income</t>
        </is>
      </c>
      <c r="E49" s="112">
        <f>O46</f>
        <v>-1056.45681</v>
      </c>
    </row>
    <row r="50">
      <c r="C50" s="11" t="inlineStr">
        <is>
          <t>Valor terminal do lucro residual</t>
        </is>
      </c>
      <c r="D50" s="12" t="inlineStr">
        <is>
          <t>Terminal value</t>
        </is>
      </c>
      <c r="E50" s="112">
        <f>IF($E$20&lt;=$E$21,0,O46*(1+$E$21)/($E$20-$E$21))</f>
        <v>0</v>
      </c>
    </row>
    <row r="51">
      <c r="C51" s="11" t="inlineStr">
        <is>
          <t>Valor presente do valor terminal</t>
        </is>
      </c>
      <c r="D51" s="12" t="inlineStr">
        <is>
          <t>PV of terminal value</t>
        </is>
      </c>
      <c r="E51" s="112">
        <f>E50*O40</f>
        <v>0</v>
      </c>
    </row>
    <row r="52">
      <c r="C52" s="11" t="inlineStr">
        <is>
          <t>Patrimônio líquido na data-base</t>
        </is>
      </c>
      <c r="D52" s="12" t="inlineStr">
        <is>
          <t>Book value at valuation date</t>
        </is>
      </c>
      <c r="E52" s="112">
        <f>IFERROR(INDEX($E$30:$O$30,MATCH($E$24,$E$27:$O$27,0)),0)</f>
        <v>6737.430095</v>
      </c>
      <c r="Q52" s="2" t="inlineStr">
        <is>
          <t>Patrimônio líquido no fim do ano-base, que é o ponto de partida do lucro residual.</t>
        </is>
      </c>
    </row>
    <row r="53">
      <c r="C53" s="15" t="inlineStr">
        <is>
          <t>Valor do equity</t>
        </is>
      </c>
      <c r="D53" s="16" t="inlineStr">
        <is>
          <t>Equity value</t>
        </is>
      </c>
      <c r="E53" s="22">
        <f>E52+E48+E51</f>
        <v>2511.602855</v>
      </c>
    </row>
    <row r="54">
      <c r="C54" s="15" t="str">
        <f>"Valor por ação ("&amp;Inputs!$E$200&amp;")"</f>
        <v>Valor por ação (R$)</v>
      </c>
      <c r="D54" s="16" t="inlineStr">
        <is>
          <t>Value per share</t>
        </is>
      </c>
      <c r="E54" s="113">
        <f>IFERROR(E53/Inputs!$E$210,0)</f>
        <v>0</v>
      </c>
    </row>
    <row r="55">
      <c r="C55" s="11" t="inlineStr">
        <is>
          <t>Upside</t>
        </is>
      </c>
      <c r="D55" s="12" t="inlineStr">
        <is>
          <t>Upside</t>
        </is>
      </c>
      <c r="E55" s="107">
        <f>IFERROR(E54/E5-1,0)</f>
        <v>0</v>
      </c>
    </row>
    <row r="57">
      <c r="B57" s="7" t="n"/>
      <c r="C57" s="7" t="inlineStr">
        <is>
          <t>MÉTODO 2 — DIVIDEND DISCOUNT MODEL</t>
        </is>
      </c>
      <c r="D57" s="7" t="inlineStr">
        <is>
          <t>METHOD 2 — DDM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29" t="n"/>
      <c r="C58" s="29" t="inlineStr">
        <is>
          <t>Fluxo de proventos</t>
        </is>
      </c>
      <c r="D58" s="29" t="inlineStr">
        <is>
          <t>Dividend stream</t>
        </is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C59" s="11" t="inlineStr">
        <is>
          <t>Dividendos e JCP</t>
        </is>
      </c>
      <c r="D59" s="12" t="inlineStr">
        <is>
          <t>Dividends and IOC</t>
        </is>
      </c>
      <c r="E59" s="112">
        <f>E33</f>
        <v>0</v>
      </c>
      <c r="F59" s="112">
        <f>F33</f>
        <v>200.650129</v>
      </c>
      <c r="G59" s="112">
        <f>G33</f>
        <v>308.16084</v>
      </c>
      <c r="H59" s="112">
        <f>H33</f>
        <v>357.159106</v>
      </c>
      <c r="I59" s="112">
        <f>I33</f>
        <v>395.129053</v>
      </c>
      <c r="J59" s="112">
        <f>J33</f>
        <v>630.809194</v>
      </c>
      <c r="K59" s="112">
        <f>K33</f>
        <v>300.993354</v>
      </c>
      <c r="L59" s="112">
        <f>L33</f>
        <v>0</v>
      </c>
      <c r="M59" s="112">
        <f>M33</f>
        <v>0</v>
      </c>
      <c r="N59" s="112">
        <f>N33</f>
        <v>0</v>
      </c>
      <c r="O59" s="112">
        <f>O33</f>
        <v>0</v>
      </c>
    </row>
    <row r="60">
      <c r="C60" s="11" t="inlineStr">
        <is>
          <t>Valor presente dos proventos</t>
        </is>
      </c>
      <c r="D60" s="12" t="inlineStr">
        <is>
          <t>PV of dividends</t>
        </is>
      </c>
      <c r="E60" s="112">
        <f>E59*E40</f>
        <v>0</v>
      </c>
      <c r="F60" s="112">
        <f>F59*F40</f>
        <v>0</v>
      </c>
      <c r="G60" s="112">
        <f>G59*G40</f>
        <v>0</v>
      </c>
      <c r="H60" s="112">
        <f>H59*H40</f>
        <v>0</v>
      </c>
      <c r="I60" s="112">
        <f>I59*I40</f>
        <v>0</v>
      </c>
      <c r="J60" s="112">
        <f>J59*J40</f>
        <v>0</v>
      </c>
      <c r="K60" s="112">
        <f>K59*K40</f>
        <v>0</v>
      </c>
      <c r="L60" s="112">
        <f>L59*L40</f>
        <v>0</v>
      </c>
      <c r="M60" s="112">
        <f>M59*M40</f>
        <v>0</v>
      </c>
      <c r="N60" s="112">
        <f>N59*N40</f>
        <v>0</v>
      </c>
      <c r="O60" s="112">
        <f>O59*O40</f>
        <v>0</v>
      </c>
    </row>
    <row r="61">
      <c r="C61" s="11" t="inlineStr">
        <is>
          <t>Soma dos valores presentes</t>
        </is>
      </c>
      <c r="D61" s="12" t="inlineStr">
        <is>
          <t>PV of explicit horizon</t>
        </is>
      </c>
      <c r="E61" s="112">
        <f>SUM(E60:O60)</f>
        <v>0</v>
      </c>
    </row>
    <row r="62">
      <c r="C62" s="11" t="inlineStr">
        <is>
          <t>Provento do último ano projetado</t>
        </is>
      </c>
      <c r="D62" s="12" t="inlineStr">
        <is>
          <t>Terminal-year dividend</t>
        </is>
      </c>
      <c r="E62" s="112">
        <f>O59</f>
        <v>0</v>
      </c>
    </row>
    <row r="63">
      <c r="C63" s="11" t="inlineStr">
        <is>
          <t>Valor terminal por Gordon (payout sustentável)</t>
        </is>
      </c>
      <c r="D63" s="12" t="inlineStr">
        <is>
          <t>Gordon terminal value</t>
        </is>
      </c>
      <c r="E63" s="112">
        <f>IF($E$20&lt;=$E$21,0,O29*(1+$E$21)*$E$23/($E$20-$E$21))</f>
        <v>0</v>
      </c>
      <c r="Q63" s="2" t="inlineStr">
        <is>
          <t>O valor terminal usa o payout consistente com g e o ROE sustentável, não o payout projetado. Sem isso o DDM subestima bancos que retêm capital para crescer.</t>
        </is>
      </c>
    </row>
    <row r="64">
      <c r="C64" s="11" t="inlineStr">
        <is>
          <t>Valor presente do valor terminal</t>
        </is>
      </c>
      <c r="D64" s="12" t="inlineStr">
        <is>
          <t>PV of terminal value</t>
        </is>
      </c>
      <c r="E64" s="112">
        <f>E63*O40</f>
        <v>0</v>
      </c>
    </row>
    <row r="65">
      <c r="C65" s="15" t="inlineStr">
        <is>
          <t>Valor do equity</t>
        </is>
      </c>
      <c r="D65" s="16" t="inlineStr">
        <is>
          <t>Equity value</t>
        </is>
      </c>
      <c r="E65" s="22">
        <f>E61+E64</f>
        <v>0</v>
      </c>
    </row>
    <row r="66">
      <c r="C66" s="15" t="str">
        <f>"Valor por ação ("&amp;Inputs!$E$200&amp;")"</f>
        <v>Valor por ação (R$)</v>
      </c>
      <c r="D66" s="16" t="inlineStr">
        <is>
          <t>Value per share</t>
        </is>
      </c>
      <c r="E66" s="113">
        <f>IFERROR(E65/Inputs!$E$210,0)</f>
        <v>0</v>
      </c>
    </row>
    <row r="67">
      <c r="C67" s="11" t="inlineStr">
        <is>
          <t>Upside</t>
        </is>
      </c>
      <c r="D67" s="12" t="inlineStr">
        <is>
          <t>Upside</t>
        </is>
      </c>
      <c r="E67" s="107">
        <f>IFERROR(E66/E5-1,0)</f>
        <v>0</v>
      </c>
    </row>
    <row r="69">
      <c r="B69" s="7" t="n"/>
      <c r="C69" s="7" t="inlineStr">
        <is>
          <t>MÉTODO 3 — P/BV JUSTIFICADO (GORDON)</t>
        </is>
      </c>
      <c r="D69" s="7" t="inlineStr">
        <is>
          <t>METHOD 3 — JUSTIFIED P/BV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1">
      <c r="C71" s="11" t="inlineStr">
        <is>
          <t>ROE sustentável</t>
        </is>
      </c>
      <c r="D71" s="12" t="inlineStr">
        <is>
          <t>Sustainable ROE</t>
        </is>
      </c>
      <c r="E71" s="107">
        <f>$E$22</f>
        <v>0</v>
      </c>
    </row>
    <row r="72">
      <c r="C72" s="11" t="inlineStr">
        <is>
          <t>Crescimento na perpetuidade</t>
        </is>
      </c>
      <c r="D72" s="12" t="inlineStr">
        <is>
          <t>Terminal growth</t>
        </is>
      </c>
      <c r="E72" s="107">
        <f>$E$21</f>
        <v>0</v>
      </c>
    </row>
    <row r="73">
      <c r="C73" s="11" t="inlineStr">
        <is>
          <t>Custo do capital próprio</t>
        </is>
      </c>
      <c r="D73" s="12" t="inlineStr">
        <is>
          <t>Cost of equity</t>
        </is>
      </c>
      <c r="E73" s="107">
        <f>$E$20</f>
        <v>0</v>
      </c>
    </row>
    <row r="74">
      <c r="C74" s="15" t="inlineStr">
        <is>
          <t>P/BV justificado = (ROE – g) / (Ke – g)</t>
        </is>
      </c>
      <c r="D74" s="16" t="inlineStr">
        <is>
          <t>Justified P/BV</t>
        </is>
      </c>
      <c r="E74" s="114">
        <f>IF($E$20&lt;=$E$21,0,(E71-E72)/(E73-E72))</f>
        <v>0</v>
      </c>
      <c r="Q74" s="2" t="inlineStr">
        <is>
          <t>Relação central de banco: o múltiplo de patrimônio é função direta do spread entre ROE e custo de capital. ROE = Ke implica P/BV = 1,0x.</t>
        </is>
      </c>
    </row>
    <row r="75">
      <c r="C75" s="11" t="str">
        <f>"VPA do ano-alvo ("&amp;Inputs!$E$200&amp;")"</f>
        <v>VPA do ano-alvo (R$)</v>
      </c>
      <c r="D75" s="12" t="inlineStr">
        <is>
          <t>Target-year BVPS</t>
        </is>
      </c>
      <c r="E75" s="115">
        <f>IFERROR(INDEX($E$37:$O$37,MATCH($E$25,$E$27:$O$27,0)),0)</f>
        <v>0</v>
      </c>
    </row>
    <row r="76">
      <c r="C76" s="15" t="str">
        <f>"Valor por ação no ano-base ("&amp;Inputs!$E$200&amp;")"</f>
        <v>Valor por ação no ano-base (R$)</v>
      </c>
      <c r="D76" s="16" t="inlineStr">
        <is>
          <t>Value per share, base year</t>
        </is>
      </c>
      <c r="E76" s="113">
        <f>E74*E75*IFERROR(INDEX($E$40:$O$40,MATCH($E$25,$E$27:$O$27,0)),1)</f>
        <v>0</v>
      </c>
    </row>
    <row r="77">
      <c r="C77" s="11" t="inlineStr">
        <is>
          <t>Upside</t>
        </is>
      </c>
      <c r="D77" s="12" t="inlineStr">
        <is>
          <t>Upside</t>
        </is>
      </c>
      <c r="E77" s="107">
        <f>IFERROR(E76/E5-1,0)</f>
        <v>0</v>
      </c>
    </row>
    <row r="79">
      <c r="B79" s="7" t="n"/>
      <c r="C79" s="7" t="inlineStr">
        <is>
          <t>MÉTODO 4 — MÚLTIPLOS DE MERCADO</t>
        </is>
      </c>
      <c r="D79" s="7" t="inlineStr">
        <is>
          <t>METHOD 4 — MARKET MULTIPLES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29" t="n"/>
      <c r="C80" s="29" t="inlineStr">
        <is>
          <t>Comparáveis (preencher manualmente)</t>
        </is>
      </c>
      <c r="D80" s="29" t="inlineStr">
        <is>
          <t>Peer group (manual input)</t>
        </is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C81" s="116" t="inlineStr">
        <is>
          <t>Comparável</t>
        </is>
      </c>
      <c r="E81" s="116" t="inlineStr">
        <is>
          <t>P/E (x)</t>
        </is>
      </c>
      <c r="F81" s="116" t="inlineStr">
        <is>
          <t>P/BV (x)</t>
        </is>
      </c>
      <c r="G81" s="116" t="inlineStr">
        <is>
          <t>ROE (%)</t>
        </is>
      </c>
      <c r="H81" s="116" t="inlineStr">
        <is>
          <t>Dividend yield (%)</t>
        </is>
      </c>
    </row>
    <row r="82">
      <c r="C82" s="117" t="inlineStr">
        <is>
          <t>ITUB4</t>
        </is>
      </c>
      <c r="E82" s="118" t="n"/>
      <c r="F82" s="118" t="n"/>
      <c r="G82" s="40" t="n"/>
      <c r="H82" s="40" t="n"/>
    </row>
    <row r="83">
      <c r="C83" s="117" t="inlineStr">
        <is>
          <t>BBDC4</t>
        </is>
      </c>
      <c r="E83" s="118" t="n"/>
      <c r="F83" s="118" t="n"/>
      <c r="G83" s="40" t="n"/>
      <c r="H83" s="40" t="n"/>
    </row>
    <row r="84">
      <c r="C84" s="117" t="inlineStr">
        <is>
          <t>BBAS3</t>
        </is>
      </c>
      <c r="E84" s="118" t="n"/>
      <c r="F84" s="118" t="n"/>
      <c r="G84" s="40" t="n"/>
      <c r="H84" s="40" t="n"/>
    </row>
    <row r="85">
      <c r="C85" s="117" t="inlineStr">
        <is>
          <t>SANB11</t>
        </is>
      </c>
      <c r="E85" s="118" t="n"/>
      <c r="F85" s="118" t="n"/>
      <c r="G85" s="40" t="n"/>
      <c r="H85" s="40" t="n"/>
    </row>
    <row r="86">
      <c r="C86" s="117" t="inlineStr">
        <is>
          <t>BPAC11</t>
        </is>
      </c>
      <c r="E86" s="118" t="n"/>
      <c r="F86" s="118" t="n"/>
      <c r="G86" s="40" t="n"/>
      <c r="H86" s="40" t="n"/>
    </row>
    <row r="87">
      <c r="C87" s="117" t="inlineStr">
        <is>
          <t>ABCB4</t>
        </is>
      </c>
      <c r="E87" s="118" t="n"/>
      <c r="F87" s="118" t="n"/>
      <c r="G87" s="40" t="n"/>
      <c r="H87" s="40" t="n"/>
    </row>
    <row r="88">
      <c r="C88" s="117" t="inlineStr">
        <is>
          <t>BRSR6</t>
        </is>
      </c>
      <c r="E88" s="118" t="n"/>
      <c r="F88" s="118" t="n"/>
      <c r="G88" s="40" t="n"/>
      <c r="H88" s="40" t="n"/>
    </row>
    <row r="90">
      <c r="C90" s="119" t="inlineStr">
        <is>
          <t>Mediana dos pares</t>
        </is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>
      <c r="C92" s="11" t="inlineStr">
        <is>
          <t>P/E alvo (x)</t>
        </is>
      </c>
      <c r="D92" s="12" t="inlineStr">
        <is>
          <t>Target P/E</t>
        </is>
      </c>
      <c r="E92" s="120">
        <f>E90</f>
        <v>0</v>
      </c>
    </row>
    <row r="93">
      <c r="C93" s="11" t="inlineStr">
        <is>
          <t>P/BV alvo (x)</t>
        </is>
      </c>
      <c r="D93" s="12" t="inlineStr">
        <is>
          <t>Target P/BV</t>
        </is>
      </c>
      <c r="E93" s="120">
        <f>F90</f>
        <v>0</v>
      </c>
    </row>
    <row r="94">
      <c r="C94" s="11" t="str">
        <f>"LPA do ano-alvo ("&amp;Inputs!$E$200&amp;")"</f>
        <v>LPA do ano-alvo (R$)</v>
      </c>
      <c r="D94" s="12" t="inlineStr">
        <is>
          <t>Target-year EPS</t>
        </is>
      </c>
      <c r="E94" s="115">
        <f>IFERROR(INDEX($E$36:$O$36,MATCH($E$25,$E$27:$O$27,0)),0)</f>
        <v>0</v>
      </c>
      <c r="Q94" s="2" t="inlineStr">
        <is>
          <t>Ano-alvo definido nas premissas. Os quatro métodos usam o mesmo ano, então os valores por ação são comparáveis entre si.</t>
        </is>
      </c>
    </row>
    <row r="95">
      <c r="C95" s="11" t="str">
        <f>"VPA do ano-alvo ("&amp;Inputs!$E$200&amp;")"</f>
        <v>VPA do ano-alvo (R$)</v>
      </c>
      <c r="D95" s="12" t="inlineStr">
        <is>
          <t>Target-year BVPS</t>
        </is>
      </c>
      <c r="E95" s="115">
        <f>E75</f>
        <v>0</v>
      </c>
    </row>
    <row r="96">
      <c r="C96" s="11" t="str">
        <f>"Valor por ação via P/E ("&amp;Inputs!$E$200&amp;")"</f>
        <v>Valor por ação via P/E (R$)</v>
      </c>
      <c r="D96" s="12" t="inlineStr">
        <is>
          <t>Value per share, P/E</t>
        </is>
      </c>
      <c r="E96" s="115">
        <f>E92*E94</f>
        <v>0</v>
      </c>
    </row>
    <row r="97">
      <c r="C97" s="11" t="str">
        <f>"Valor por ação via P/BV ("&amp;Inputs!$E$200&amp;")"</f>
        <v>Valor por ação via P/BV (R$)</v>
      </c>
      <c r="D97" s="12" t="inlineStr">
        <is>
          <t>Value per share, P/BV</t>
        </is>
      </c>
      <c r="E97" s="115">
        <f>E93*E95</f>
        <v>0</v>
      </c>
    </row>
    <row r="98">
      <c r="C98" s="15" t="inlineStr">
        <is>
          <t>Valor por ação no ano-base (média dos dois)</t>
        </is>
      </c>
      <c r="D98" s="16" t="inlineStr">
        <is>
          <t>Value per share, base year</t>
        </is>
      </c>
      <c r="E98" s="113">
        <f>IFERROR(AVERAGE(E96,E97)*INDEX($E$40:$O$40,MATCH($E$25,$E$27:$O$27,0)),0)</f>
        <v>0</v>
      </c>
    </row>
    <row r="99">
      <c r="C99" s="11" t="inlineStr">
        <is>
          <t>Upside</t>
        </is>
      </c>
      <c r="D99" s="12" t="inlineStr">
        <is>
          <t>Upside</t>
        </is>
      </c>
      <c r="E99" s="107">
        <f>IFERROR(E98/E5-1,0)</f>
        <v>0</v>
      </c>
    </row>
    <row r="101">
      <c r="B101" s="7" t="n"/>
      <c r="C101" s="7" t="inlineStr">
        <is>
          <t>SÍNTESE E PREÇO-ALVO</t>
        </is>
      </c>
      <c r="D101" s="7" t="inlineStr">
        <is>
          <t>SYNTHESIS AND TARGET PRICE</t>
        </is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3">
      <c r="C103" s="116" t="inlineStr">
        <is>
          <t>Método</t>
        </is>
      </c>
      <c r="E103" s="116" t="str">
        <f>"Valor por ação ("&amp;Inputs!$E$200&amp;")"</f>
        <v>Valor por ação (R$)</v>
      </c>
      <c r="F103" s="116" t="inlineStr">
        <is>
          <t>Peso</t>
        </is>
      </c>
      <c r="G103" s="116" t="str">
        <f>"Contribuição ("&amp;Inputs!$E$200&amp;")"</f>
        <v>Contribuição (R$)</v>
      </c>
    </row>
    <row r="104">
      <c r="C104" s="121" t="inlineStr">
        <is>
          <t>Excess Return</t>
        </is>
      </c>
      <c r="E104" s="122">
        <f>E54</f>
        <v>0</v>
      </c>
      <c r="F104" s="101">
        <f>Inputs!$E$317</f>
        <v>0</v>
      </c>
      <c r="G104" s="122">
        <f>E104*F104</f>
        <v>0</v>
      </c>
    </row>
    <row r="105">
      <c r="C105" s="121" t="inlineStr">
        <is>
          <t>Dividend Discount Model</t>
        </is>
      </c>
      <c r="E105" s="122">
        <f>E66</f>
        <v>0</v>
      </c>
      <c r="F105" s="101">
        <f>Inputs!$E$318</f>
        <v>0</v>
      </c>
      <c r="G105" s="122">
        <f>E105*F105</f>
        <v>0</v>
      </c>
    </row>
    <row r="106">
      <c r="C106" s="121" t="inlineStr">
        <is>
          <t>P/BV justificado</t>
        </is>
      </c>
      <c r="E106" s="122">
        <f>E76</f>
        <v>0</v>
      </c>
      <c r="F106" s="101">
        <f>Inputs!$E$319</f>
        <v>0</v>
      </c>
      <c r="G106" s="122">
        <f>E106*F106</f>
        <v>0</v>
      </c>
    </row>
    <row r="107">
      <c r="C107" s="121" t="inlineStr">
        <is>
          <t>Múltiplos de mercado</t>
        </is>
      </c>
      <c r="E107" s="122">
        <f>E98</f>
        <v>0</v>
      </c>
      <c r="F107" s="101">
        <f>Inputs!$E$320</f>
        <v>0</v>
      </c>
      <c r="G107" s="122">
        <f>E107*F107</f>
        <v>0</v>
      </c>
    </row>
    <row r="108">
      <c r="C108" s="119" t="str">
        <f>"PREÇO-ALVO PONDERADO ("&amp;Inputs!$E$200&amp;")"</f>
        <v>PREÇO-ALVO PONDERADO (R$)</v>
      </c>
      <c r="E108" s="96">
        <f>IFERROR(SUMPRODUCT(E104:E107,F104:F107)/SUMPRODUCT((E104:E107&gt;0)*F104:F107),0)</f>
        <v>0</v>
      </c>
      <c r="Q108" s="2" t="inlineStr">
        <is>
          <t>Média ponderada pelos pesos da aba Inputs, renormalizada entre os métodos que têm valor. Um método sem dado — múltiplos sem comparáveis preenchidos, por exemplo — sai da conta em vez de puxar o alvo para baixo.</t>
        </is>
      </c>
    </row>
    <row r="109">
      <c r="C109" s="121" t="str">
        <f>"Preço atual ("&amp;Inputs!$E$200&amp;")"</f>
        <v>Preço atual (R$)</v>
      </c>
      <c r="E109" s="95">
        <f>E5</f>
        <v>0</v>
      </c>
    </row>
    <row r="110">
      <c r="C110" s="119" t="inlineStr">
        <is>
          <t>Upside / (downside)</t>
        </is>
      </c>
      <c r="E110" s="97">
        <f>IFERROR(E108/E109-1,0)</f>
        <v>0</v>
      </c>
      <c r="Q110" s="2" t="inlineStr">
        <is>
          <t>Todos os quatro métodos entregam valor por ação em 31/dez do ano-base, então são diretamente comparáveis entre si e com o preço atual.</t>
        </is>
      </c>
    </row>
    <row r="111">
      <c r="C111" s="119" t="inlineStr">
        <is>
          <t>Leitura</t>
        </is>
      </c>
      <c r="E111" s="98" t="str">
        <f>E8</f>
        <v>NEUTRO</v>
      </c>
    </row>
    <row r="113">
      <c r="B113" s="7" t="n"/>
      <c r="C113" s="7" t="inlineStr">
        <is>
          <t>SENSIBILIDADE — PREÇO-ALVO POR P/BV JUSTIFICADO</t>
        </is>
      </c>
      <c r="D113" s="7" t="inlineStr">
        <is>
          <t>SENSITIVITY — JUSTIFIED P/BV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C114" s="2" t="inlineStr">
        <is>
          <t>Linhas: ROE sustentável · Colunas: custo do capital próprio (Ke)</t>
        </is>
      </c>
    </row>
    <row r="115">
      <c r="D115" s="123" t="inlineStr">
        <is>
          <t>ROE \ Ke</t>
        </is>
      </c>
      <c r="E115" s="124">
        <f>$E$20+-0.02</f>
        <v>-0.02</v>
      </c>
      <c r="F115" s="124">
        <f>$E$20+-0.01</f>
        <v>-0.01</v>
      </c>
      <c r="G115" s="124">
        <f>$E$20+-0.005</f>
        <v>-0.005</v>
      </c>
      <c r="H115" s="124">
        <f>$E$20+0</f>
        <v>0</v>
      </c>
      <c r="I115" s="124">
        <f>$E$20+0.005</f>
        <v>0.005</v>
      </c>
      <c r="J115" s="124">
        <f>$E$20+0.01</f>
        <v>0.01</v>
      </c>
      <c r="K115" s="124">
        <f>$E$20+0.02</f>
        <v>0.02</v>
      </c>
    </row>
    <row r="116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0</v>
      </c>
      <c r="J116" s="122">
        <f>IF(($E$20+0.01)&lt;=$E$21,0,(($E$22+-0.03)-$E$21)/(($E$20+0.01)-$E$21)*E75)</f>
        <v>0</v>
      </c>
      <c r="K116" s="122">
        <f>IF(($E$20+0.02)&lt;=$E$21,0,(($E$22+-0.03)-$E$21)/(($E$20+0.02)-$E$21)*E75)</f>
        <v>0</v>
      </c>
    </row>
    <row r="117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0</v>
      </c>
      <c r="J117" s="122">
        <f>IF(($E$20+0.01)&lt;=$E$21,0,(($E$22+-0.02)-$E$21)/(($E$20+0.01)-$E$21)*E75)</f>
        <v>0</v>
      </c>
      <c r="K117" s="122">
        <f>IF(($E$20+0.02)&lt;=$E$21,0,(($E$22+-0.02)-$E$21)/(($E$20+0.02)-$E$21)*E75)</f>
        <v>0</v>
      </c>
    </row>
    <row r="118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0</v>
      </c>
      <c r="J118" s="122">
        <f>IF(($E$20+0.01)&lt;=$E$21,0,(($E$22+-0.01)-$E$21)/(($E$20+0.01)-$E$21)*E75)</f>
        <v>0</v>
      </c>
      <c r="K118" s="122">
        <f>IF(($E$20+0.02)&lt;=$E$21,0,(($E$22+-0.01)-$E$21)/(($E$20+0.02)-$E$21)*E75)</f>
        <v>0</v>
      </c>
    </row>
    <row r="119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0</v>
      </c>
      <c r="J120" s="122">
        <f>IF(($E$20+0.01)&lt;=$E$21,0,(($E$22+0.01)-$E$21)/(($E$20+0.01)-$E$21)*E75)</f>
        <v>0</v>
      </c>
      <c r="K120" s="122">
        <f>IF(($E$20+0.02)&lt;=$E$21,0,(($E$22+0.01)-$E$21)/(($E$20+0.02)-$E$21)*E75)</f>
        <v>0</v>
      </c>
    </row>
    <row r="121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0</v>
      </c>
      <c r="J121" s="122">
        <f>IF(($E$20+0.01)&lt;=$E$21,0,(($E$22+0.02)-$E$21)/(($E$20+0.01)-$E$21)*E75)</f>
        <v>0</v>
      </c>
      <c r="K121" s="122">
        <f>IF(($E$20+0.02)&lt;=$E$21,0,(($E$22+0.02)-$E$21)/(($E$20+0.02)-$E$21)*E75)</f>
        <v>0</v>
      </c>
    </row>
    <row r="122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0</v>
      </c>
      <c r="J122" s="122">
        <f>IF(($E$20+0.01)&lt;=$E$21,0,(($E$22+0.03)-$E$21)/(($E$20+0.01)-$E$21)*E75)</f>
        <v>0</v>
      </c>
      <c r="K122" s="122">
        <f>IF(($E$20+0.02)&lt;=$E$21,0,(($E$22+0.03)-$E$21)/(($E$20+0.02)-$E$21)*E75)</f>
        <v>0</v>
      </c>
    </row>
    <row r="125">
      <c r="B125" s="7" t="n"/>
      <c r="C125" s="7" t="inlineStr">
        <is>
          <t>SENSIBILIDADE — PREÇO-ALVO POR P/BV JUSTIFICADO</t>
        </is>
      </c>
      <c r="D125" s="7" t="inlineStr">
        <is>
          <t>SENSITIVITY — GROWTH VS. KE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C126" s="2" t="inlineStr">
        <is>
          <t>Linhas: crescimento na perpetuidade (g) · Colunas: Ke</t>
        </is>
      </c>
    </row>
    <row r="127">
      <c r="D127" s="123" t="inlineStr">
        <is>
          <t>g \ Ke</t>
        </is>
      </c>
      <c r="E127" s="124">
        <f>$E$20+-0.02</f>
        <v>-0.02</v>
      </c>
      <c r="F127" s="124">
        <f>$E$20+-0.01</f>
        <v>-0.01</v>
      </c>
      <c r="G127" s="124">
        <f>$E$20+-0.005</f>
        <v>-0.005</v>
      </c>
      <c r="H127" s="124">
        <f>$E$20+0</f>
        <v>0</v>
      </c>
      <c r="I127" s="124">
        <f>$E$20+0.005</f>
        <v>0.005</v>
      </c>
      <c r="J127" s="124">
        <f>$E$20+0.01</f>
        <v>0.01</v>
      </c>
      <c r="K127" s="124">
        <f>$E$20+0.02</f>
        <v>0.02</v>
      </c>
    </row>
    <row r="128">
      <c r="D128" s="124">
        <f>$E$21+-0.015</f>
        <v>-0.015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0</v>
      </c>
      <c r="G128" s="122">
        <f>IF(($E$20+-0.005)&lt;=($E$21+-0.015),0,($E$22-($E$21+-0.015))/(($E$20+-0.005)-($E$21+-0.015))*E75)</f>
        <v>0</v>
      </c>
      <c r="H128" s="122">
        <f>IF(($E$20+0)&lt;=($E$21+-0.015),0,($E$22-($E$21+-0.015))/(($E$20+0)-($E$21+-0.015))*E75)</f>
        <v>0</v>
      </c>
      <c r="I128" s="122">
        <f>IF(($E$20+0.005)&lt;=($E$21+-0.015),0,($E$22-($E$21+-0.015))/(($E$20+0.005)-($E$21+-0.015))*E75)</f>
        <v>0</v>
      </c>
      <c r="J128" s="122">
        <f>IF(($E$20+0.01)&lt;=($E$21+-0.015),0,($E$22-($E$21+-0.015))/(($E$20+0.01)-($E$21+-0.015))*E75)</f>
        <v>0</v>
      </c>
      <c r="K128" s="122">
        <f>IF(($E$20+0.02)&lt;=($E$21+-0.015),0,($E$22-($E$21+-0.015))/(($E$20+0.02)-($E$21+-0.015))*E75)</f>
        <v>0</v>
      </c>
    </row>
    <row r="129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0</v>
      </c>
      <c r="H129" s="122">
        <f>IF(($E$20+0)&lt;=($E$21+-0.01),0,($E$22-($E$21+-0.01))/(($E$20+0)-($E$21+-0.01))*E75)</f>
        <v>0</v>
      </c>
      <c r="I129" s="122">
        <f>IF(($E$20+0.005)&lt;=($E$21+-0.01),0,($E$22-($E$21+-0.01))/(($E$20+0.005)-($E$21+-0.01))*E75)</f>
        <v>0</v>
      </c>
      <c r="J129" s="122">
        <f>IF(($E$20+0.01)&lt;=($E$21+-0.01),0,($E$22-($E$21+-0.01))/(($E$20+0.01)-($E$21+-0.01))*E75)</f>
        <v>0</v>
      </c>
      <c r="K129" s="122">
        <f>IF(($E$20+0.02)&lt;=($E$21+-0.01),0,($E$22-($E$21+-0.01))/(($E$20+0.02)-($E$21+-0.01))*E75)</f>
        <v>0</v>
      </c>
    </row>
    <row r="130">
      <c r="D130" s="124">
        <f>$E$21+-0.005</f>
        <v>-0.005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0</v>
      </c>
      <c r="I130" s="122">
        <f>IF(($E$20+0.005)&lt;=($E$21+-0.005),0,($E$22-($E$21+-0.005))/(($E$20+0.005)-($E$21+-0.005))*E75)</f>
        <v>0</v>
      </c>
      <c r="J130" s="122">
        <f>IF(($E$20+0.01)&lt;=($E$21+-0.005),0,($E$22-($E$21+-0.005))/(($E$20+0.01)-($E$21+-0.005))*E75)</f>
        <v>0</v>
      </c>
      <c r="K130" s="122">
        <f>IF(($E$20+0.02)&lt;=($E$21+-0.005),0,($E$22-($E$21+-0.005))/(($E$20+0.02)-($E$21+-0.005))*E75)</f>
        <v>0</v>
      </c>
    </row>
    <row r="131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>
      <c r="D132" s="124">
        <f>$E$21+0.005</f>
        <v>0.005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0</v>
      </c>
      <c r="K132" s="122">
        <f>IF(($E$20+0.02)&lt;=($E$21+0.005),0,($E$22-($E$21+0.005))/(($E$20+0.02)-($E$21+0.005))*E75)</f>
        <v>0</v>
      </c>
    </row>
    <row r="133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0</v>
      </c>
    </row>
    <row r="134">
      <c r="D134" s="124">
        <f>$E$21+0.015</f>
        <v>0.015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0</v>
      </c>
    </row>
    <row r="137">
      <c r="B137" s="7" t="n"/>
      <c r="C137" s="7" t="inlineStr">
        <is>
          <t>MÚLTIPLOS IMPLÍCITOS NO PREÇO ATUAL</t>
        </is>
      </c>
      <c r="D137" s="7" t="inlineStr">
        <is>
          <t>IMPLIED MULTIPLES AT CURRENT PRICE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9">
      <c r="C139" s="11" t="inlineStr">
        <is>
          <t>P/E (x)</t>
        </is>
      </c>
      <c r="D139" s="12" t="inlineStr">
        <is>
          <t>Price to earnings</t>
        </is>
      </c>
      <c r="E139" s="120">
        <f>IFERROR($E$5/E36,0)</f>
        <v>0</v>
      </c>
      <c r="F139" s="120">
        <f>IFERROR($E$5/F36,0)</f>
        <v>0</v>
      </c>
      <c r="G139" s="120">
        <f>IFERROR($E$5/G36,0)</f>
        <v>0</v>
      </c>
      <c r="H139" s="120">
        <f>IFERROR($E$5/H36,0)</f>
        <v>0</v>
      </c>
      <c r="I139" s="120">
        <f>IFERROR($E$5/I36,0)</f>
        <v>0</v>
      </c>
      <c r="J139" s="120">
        <f>IFERROR($E$5/J36,0)</f>
        <v>0</v>
      </c>
      <c r="K139" s="120">
        <f>IFERROR($E$5/K36,0)</f>
        <v>0</v>
      </c>
      <c r="L139" s="120">
        <f>IFERROR($E$5/L36,0)</f>
        <v>0</v>
      </c>
      <c r="M139" s="120">
        <f>IFERROR($E$5/M36,0)</f>
        <v>0</v>
      </c>
      <c r="N139" s="120">
        <f>IFERROR($E$5/N36,0)</f>
        <v>0</v>
      </c>
      <c r="O139" s="120">
        <f>IFERROR($E$5/O36,0)</f>
        <v>0</v>
      </c>
    </row>
    <row r="140">
      <c r="C140" s="11" t="inlineStr">
        <is>
          <t>P/BV (x)</t>
        </is>
      </c>
      <c r="D140" s="12" t="inlineStr">
        <is>
          <t>Price to book</t>
        </is>
      </c>
      <c r="E140" s="120">
        <f>IFERROR($E$5/E37,0)</f>
        <v>0</v>
      </c>
      <c r="F140" s="120">
        <f>IFERROR($E$5/F37,0)</f>
        <v>0</v>
      </c>
      <c r="G140" s="120">
        <f>IFERROR($E$5/G37,0)</f>
        <v>0</v>
      </c>
      <c r="H140" s="120">
        <f>IFERROR($E$5/H37,0)</f>
        <v>0</v>
      </c>
      <c r="I140" s="120">
        <f>IFERROR($E$5/I37,0)</f>
        <v>0</v>
      </c>
      <c r="J140" s="120">
        <f>IFERROR($E$5/J37,0)</f>
        <v>0</v>
      </c>
      <c r="K140" s="120">
        <f>IFERROR($E$5/K37,0)</f>
        <v>0</v>
      </c>
      <c r="L140" s="120">
        <f>IFERROR($E$5/L37,0)</f>
        <v>0</v>
      </c>
      <c r="M140" s="120">
        <f>IFERROR($E$5/M37,0)</f>
        <v>0</v>
      </c>
      <c r="N140" s="120">
        <f>IFERROR($E$5/N37,0)</f>
        <v>0</v>
      </c>
      <c r="O140" s="120">
        <f>IFERROR($E$5/O37,0)</f>
        <v>0</v>
      </c>
      <c r="Q140" s="2" t="inlineStr">
        <is>
          <t>Compare o P/BV implícito com o justificado acima: a diferença resume a tese em um número só.</t>
        </is>
      </c>
    </row>
    <row r="141">
      <c r="C141" s="11" t="inlineStr">
        <is>
          <t>Dividend yield (%)</t>
        </is>
      </c>
      <c r="D141" s="12" t="inlineStr">
        <is>
          <t>Dividend yield</t>
        </is>
      </c>
      <c r="E141" s="107">
        <f>IFERROR(E38/$E$5,0)</f>
        <v>0</v>
      </c>
      <c r="F141" s="107">
        <f>IFERROR(F38/$E$5,0)</f>
        <v>0</v>
      </c>
      <c r="G141" s="107">
        <f>IFERROR(G38/$E$5,0)</f>
        <v>0</v>
      </c>
      <c r="H141" s="107">
        <f>IFERROR(H38/$E$5,0)</f>
        <v>0</v>
      </c>
      <c r="I141" s="107">
        <f>IFERROR(I38/$E$5,0)</f>
        <v>0</v>
      </c>
      <c r="J141" s="107">
        <f>IFERROR(J38/$E$5,0)</f>
        <v>0</v>
      </c>
      <c r="K141" s="107">
        <f>IFERROR(K38/$E$5,0)</f>
        <v>0</v>
      </c>
      <c r="L141" s="107">
        <f>IFERROR(L38/$E$5,0)</f>
        <v>0</v>
      </c>
      <c r="M141" s="107">
        <f>IFERROR(M38/$E$5,0)</f>
        <v>0</v>
      </c>
      <c r="N141" s="107">
        <f>IFERROR(N38/$E$5,0)</f>
        <v>0</v>
      </c>
      <c r="O141" s="107">
        <f>IFERROR(O38/$E$5,0)</f>
        <v>0</v>
      </c>
    </row>
    <row r="142">
      <c r="C142" s="11" t="inlineStr">
        <is>
          <t>Earnings yield (%)</t>
        </is>
      </c>
      <c r="D142" s="12" t="inlineStr">
        <is>
          <t>Earnings yield</t>
        </is>
      </c>
      <c r="E142" s="107">
        <f>IFERROR(E36/$E$5,0)</f>
        <v>0</v>
      </c>
      <c r="F142" s="107">
        <f>IFERROR(F36/$E$5,0)</f>
        <v>0</v>
      </c>
      <c r="G142" s="107">
        <f>IFERROR(G36/$E$5,0)</f>
        <v>0</v>
      </c>
      <c r="H142" s="107">
        <f>IFERROR(H36/$E$5,0)</f>
        <v>0</v>
      </c>
      <c r="I142" s="107">
        <f>IFERROR(I36/$E$5,0)</f>
        <v>0</v>
      </c>
      <c r="J142" s="107">
        <f>IFERROR(J36/$E$5,0)</f>
        <v>0</v>
      </c>
      <c r="K142" s="107">
        <f>IFERROR(K36/$E$5,0)</f>
        <v>0</v>
      </c>
      <c r="L142" s="107">
        <f>IFERROR(L36/$E$5,0)</f>
        <v>0</v>
      </c>
      <c r="M142" s="107">
        <f>IFERROR(M36/$E$5,0)</f>
        <v>0</v>
      </c>
      <c r="N142" s="107">
        <f>IFERROR(N36/$E$5,0)</f>
        <v>0</v>
      </c>
      <c r="O142" s="107">
        <f>IFERROR(O36/$E$5,0)</f>
        <v>0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A6A6A6"/>
    <outlinePr summaryBelow="1" summaryRight="1"/>
    <pageSetUpPr/>
  </sheetPr>
  <dimension ref="C2:F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38" customWidth="1" min="3" max="3"/>
    <col width="62" customWidth="1" min="4" max="4"/>
    <col width="24" customWidth="1" min="5" max="5"/>
    <col width="96" customWidth="1" min="6" max="6"/>
  </cols>
  <sheetData>
    <row r="2" ht="18" customHeight="1">
      <c r="C2" s="75" t="inlineStr">
        <is>
          <t>GLOSSÁRIO DE INDICADORES</t>
        </is>
      </c>
    </row>
    <row r="3">
      <c r="C3" s="76" t="inlineStr">
        <is>
          <t>Cada indicador com a fórmula usada, onde ele está no modelo e o que ele diz.</t>
        </is>
      </c>
    </row>
    <row r="5">
      <c r="C5" s="125" t="inlineStr">
        <is>
          <t>Indicador</t>
        </is>
      </c>
      <c r="D5" s="125" t="inlineStr">
        <is>
          <t>Fórmula no modelo</t>
        </is>
      </c>
      <c r="E5" s="125" t="inlineStr">
        <is>
          <t>Onde está</t>
        </is>
      </c>
      <c r="F5" s="125" t="inlineStr">
        <is>
          <t>Leitura</t>
        </is>
      </c>
    </row>
    <row r="6">
      <c r="C6" s="29" t="inlineStr">
        <is>
          <t>Rentabilidade</t>
        </is>
      </c>
      <c r="D6" s="29" t="n"/>
      <c r="E6" s="29" t="n"/>
      <c r="F6" s="29" t="n"/>
    </row>
    <row r="7" ht="33.95" customHeight="1">
      <c r="C7" s="126" t="inlineStr">
        <is>
          <t>ROE — Return on Equity</t>
        </is>
      </c>
      <c r="D7" s="127" t="inlineStr">
        <is>
          <t>Lucro líquido dos controladores ÷ patrimônio líquido médio dos controladores, anualizado</t>
        </is>
      </c>
      <c r="E7" s="128" t="inlineStr">
        <is>
          <t>Model, linha 162</t>
        </is>
      </c>
      <c r="F7" s="127" t="inlineStr">
        <is>
          <t>Quanto o banco gera de lucro para cada real de capital próprio. É a métrica central de um banco: o valor do papel sai quase todo da relação entre ROE e custo de capital.</t>
        </is>
      </c>
    </row>
    <row r="8" ht="33.95" customHeight="1">
      <c r="C8" s="126" t="inlineStr">
        <is>
          <t>ROA — Return on Assets</t>
        </is>
      </c>
      <c r="D8" s="127" t="inlineStr">
        <is>
          <t>Lucro líquido ÷ ativo total médio, anualizado</t>
        </is>
      </c>
      <c r="E8" s="128" t="inlineStr">
        <is>
          <t>Model, linha 163</t>
        </is>
      </c>
      <c r="F8" s="127" t="inlineStr">
        <is>
          <t>Rentabilidade antes do efeito da alavancagem. ROE = ROA × alavancagem.</t>
        </is>
      </c>
    </row>
    <row r="9" ht="33.95" customHeight="1">
      <c r="C9" s="126" t="inlineStr">
        <is>
          <t>NIM — Net Interest Margin</t>
        </is>
      </c>
      <c r="D9" s="127" t="inlineStr">
        <is>
          <t>Margem financeira bruta ÷ ativos rentáveis médios, anualizada</t>
        </is>
      </c>
      <c r="E9" s="128" t="inlineStr">
        <is>
          <t>Model, linha 164</t>
        </is>
      </c>
      <c r="F9" s="127" t="inlineStr">
        <is>
          <t>Rendimento líquido da intermediação sobre a base de ativos que gera juros.</t>
        </is>
      </c>
    </row>
    <row r="10" ht="33.95" customHeight="1">
      <c r="C10" s="126" t="inlineStr">
        <is>
          <t>Margem financeira com clientes</t>
        </is>
      </c>
      <c r="D10" s="127" t="inlineStr">
        <is>
          <t>Receita de operações de crédito menos despesa de captação com depósitos e mercado aberto</t>
        </is>
      </c>
      <c r="E10" s="128" t="inlineStr">
        <is>
          <t>Model, linha 138</t>
        </is>
      </c>
      <c r="F10" s="127" t="inlineStr">
        <is>
          <t>Reflete o lucro gerado pela diferença entre o que o banco cobra ao emprestar e o que paga para captar esses recursos junto ao mercado e aos depositantes. É a parte recorrente e previsível da margem.</t>
        </is>
      </c>
    </row>
    <row r="11" ht="33.95" customHeight="1">
      <c r="C11" s="126" t="inlineStr">
        <is>
          <t>Margem financeira com o mercado</t>
        </is>
      </c>
      <c r="D11" s="127" t="inlineStr">
        <is>
          <t>Margem financeira bruta menos margem financeira com clientes</t>
        </is>
      </c>
      <c r="E11" s="128" t="inlineStr">
        <is>
          <t>Model, linha 139</t>
        </is>
      </c>
      <c r="F11" s="127" t="inlineStr">
        <is>
          <t>Reflete quanto a instituição lucrou ou perdeu operando com ativos de mercado — títulos públicos, derivativos, moedas — e na gestão do descasamento de taxas e prazos (ALM). É volátil e não deve ser extrapolada.</t>
        </is>
      </c>
    </row>
    <row r="12" ht="33.95" customHeight="1">
      <c r="C12" s="126" t="inlineStr">
        <is>
          <t>Spread bruto</t>
        </is>
      </c>
      <c r="D12" s="127" t="inlineStr">
        <is>
          <t>NIM com clientes menos custo médio do funding</t>
        </is>
      </c>
      <c r="E12" s="128" t="inlineStr">
        <is>
          <t>Model, linha 168</t>
        </is>
      </c>
      <c r="F12" s="127" t="inlineStr">
        <is>
          <t>Diferença entre a taxa média cobrada e a taxa média paga, em pontos percentuais.</t>
        </is>
      </c>
    </row>
    <row r="13">
      <c r="C13" s="29" t="inlineStr">
        <is>
          <t>Eficiência</t>
        </is>
      </c>
      <c r="D13" s="29" t="n"/>
      <c r="E13" s="29" t="n"/>
      <c r="F13" s="29" t="n"/>
    </row>
    <row r="14" ht="33.95" customHeight="1">
      <c r="C14" s="126" t="inlineStr">
        <is>
          <t>Índice de eficiência</t>
        </is>
      </c>
      <c r="D14" s="127" t="inlineStr">
        <is>
          <t>(Despesas de pessoal + administrativas + tributárias + outras despesas operacionais) ÷ receita operacional total</t>
        </is>
      </c>
      <c r="E14" s="128" t="inlineStr">
        <is>
          <t>Model, linha 170</t>
        </is>
      </c>
      <c r="F14" s="127" t="inlineStr">
        <is>
          <t>Quanto custa produzir cada real de receita. Quanto menor, melhor. Bancos brasileiros de grande porte operam tipicamente entre 35% e 45%.</t>
        </is>
      </c>
    </row>
    <row r="15" ht="33.95" customHeight="1">
      <c r="C15" s="126" t="inlineStr">
        <is>
          <t>Receita operacional total</t>
        </is>
      </c>
      <c r="D15" s="127" t="inlineStr">
        <is>
          <t>Margem financeira bruta + receitas de serviços + resultado de seguros + outras receitas operacionais</t>
        </is>
      </c>
      <c r="E15" s="128" t="inlineStr">
        <is>
          <t>Model, linha 140</t>
        </is>
      </c>
      <c r="F15" s="127" t="inlineStr">
        <is>
          <t>Denominador padrão do índice de eficiência e das linhas expressas como percentual de receita.</t>
        </is>
      </c>
    </row>
    <row r="16">
      <c r="C16" s="29" t="inlineStr">
        <is>
          <t>Qualidade de crédito</t>
        </is>
      </c>
      <c r="D16" s="29" t="n"/>
      <c r="E16" s="29" t="n"/>
      <c r="F16" s="29" t="n"/>
    </row>
    <row r="17" ht="33.95" customHeight="1">
      <c r="C17" s="126" t="inlineStr">
        <is>
          <t>NPL 90 — inadimplência estrutural</t>
        </is>
      </c>
      <c r="D17" s="127" t="inlineStr">
        <is>
          <t>Operações vencidas há mais de 90 dias ÷ carteira de crédito ampliada</t>
        </is>
      </c>
      <c r="E17" s="128" t="inlineStr">
        <is>
          <t>Model, linha 181</t>
        </is>
      </c>
      <c r="F17" s="127" t="inlineStr">
        <is>
          <t>É o número que o mercado mais observa: depois de 90 dias a chance de recuperação cai drasticamente e a operação já consumiu provisão relevante.</t>
        </is>
      </c>
    </row>
    <row r="18" ht="33.95" customHeight="1">
      <c r="C18" s="126" t="inlineStr">
        <is>
          <t>NPL 15-90 — inadimplência de curto prazo</t>
        </is>
      </c>
      <c r="D18" s="127" t="inlineStr">
        <is>
          <t>Operações vencidas entre 15 e 90 dias ÷ carteira de crédito ampliada</t>
        </is>
      </c>
      <c r="E18" s="128" t="inlineStr">
        <is>
          <t>Model, linha 182</t>
        </is>
      </c>
      <c r="F18" s="127" t="inlineStr">
        <is>
          <t>Indicador antecedente. Se sobe, o NPL 90 tende a subir no trimestre seguinte.</t>
        </is>
      </c>
    </row>
    <row r="19" ht="33.95" customHeight="1">
      <c r="C19" s="126" t="inlineStr">
        <is>
          <t>Estágios 1, 2 e 3 (Resolução 4.966)</t>
        </is>
      </c>
      <c r="D19" s="127" t="inlineStr">
        <is>
          <t>Saldo de cada estágio ÷ carteira de crédito ampliada</t>
        </is>
      </c>
      <c r="E19" s="128" t="inlineStr">
        <is>
          <t>Model, linhas 183 e 184</t>
        </is>
      </c>
      <c r="F19" s="127" t="inlineStr">
        <is>
          <t>Estágio 1: risco de crédito sem aumento significativo. Estágio 2: aumento significativo do risco, provisão por perda esperada ao longo da vida. Estágio 3: ativo problemático.</t>
        </is>
      </c>
    </row>
    <row r="20" ht="33.95" customHeight="1">
      <c r="C20" s="126" t="inlineStr">
        <is>
          <t>Cobertura</t>
        </is>
      </c>
      <c r="D20" s="127" t="inlineStr">
        <is>
          <t>Saldo de provisão ÷ operações vencidas acima de 90 dias (ou saldo do estágio correspondente)</t>
        </is>
      </c>
      <c r="E20" s="128" t="inlineStr">
        <is>
          <t>Model, linhas 185 a 187</t>
        </is>
      </c>
      <c r="F20" s="127" t="inlineStr">
        <is>
          <t>Mede o colchão de provisão frente à inadimplência já reconhecida. Cobertura caindo com NPL subindo é o sinal clássico de deterioração.</t>
        </is>
      </c>
    </row>
    <row r="21" ht="33.95" customHeight="1">
      <c r="C21" s="126" t="inlineStr">
        <is>
          <t>Custo do crédito</t>
        </is>
      </c>
      <c r="D21" s="127" t="inlineStr">
        <is>
          <t>Resultado de perda de crédito esperada ÷ carteira de crédito média, anualizado</t>
        </is>
      </c>
      <c r="E21" s="128" t="inlineStr">
        <is>
          <t>Model, linha 189</t>
        </is>
      </c>
      <c r="F21" s="127" t="inlineStr">
        <is>
          <t>Custo efetivo do risco assumido no período. Junto com custo de captação, custo do capital regulatório e custos operacionais e tributários, forma o custo total de uma operação de crédito.</t>
        </is>
      </c>
    </row>
    <row r="22" ht="33.95" customHeight="1">
      <c r="C22" s="126" t="inlineStr">
        <is>
          <t>Write-off</t>
        </is>
      </c>
      <c r="D22" s="127" t="inlineStr">
        <is>
          <t>Baixa da operação para prejuízo, normalmente após 360 dias de atraso</t>
        </is>
      </c>
      <c r="E22" s="128" t="inlineStr">
        <is>
          <t>Model, linha 190</t>
        </is>
      </c>
      <c r="F22" s="127" t="inlineStr">
        <is>
          <t>Retira a operação do balanço consumindo a provisão já constituída. Reduz o NPL sem que tenha havido recuperação, então precisa ser lido junto com o NPL.</t>
        </is>
      </c>
    </row>
    <row r="23" ht="33.95" customHeight="1">
      <c r="C23" s="126" t="inlineStr">
        <is>
          <t>Índice de provisionamento</t>
        </is>
      </c>
      <c r="D23" s="127" t="inlineStr">
        <is>
          <t>Saldo de provisão ÷ carteira de crédito ampliada</t>
        </is>
      </c>
      <c r="E23" s="128" t="inlineStr">
        <is>
          <t>Model, linha 188</t>
        </is>
      </c>
      <c r="F23" s="127" t="inlineStr">
        <is>
          <t>Nível de provisão carregado sobre o total da carteira.</t>
        </is>
      </c>
    </row>
    <row r="24">
      <c r="C24" s="29" t="inlineStr">
        <is>
          <t>Capital e estrutura</t>
        </is>
      </c>
      <c r="D24" s="29" t="n"/>
      <c r="E24" s="29" t="n"/>
      <c r="F24" s="29" t="n"/>
    </row>
    <row r="25" ht="33.95" customHeight="1">
      <c r="C25" s="126" t="inlineStr">
        <is>
          <t>Índice de Basileia</t>
        </is>
      </c>
      <c r="D25" s="127" t="inlineStr">
        <is>
          <t>Patrimônio de Referência ÷ ativos ponderados pelo risco (RWA)</t>
        </is>
      </c>
      <c r="E25" s="128" t="inlineStr">
        <is>
          <t>Model, linha 192</t>
        </is>
      </c>
      <c r="F25" s="127" t="inlineStr">
        <is>
          <t>Capital regulatório total sobre risco. Mínimo regulatório no Brasil, somados os adicionais de conservação, fica próximo de 10,5%.</t>
        </is>
      </c>
    </row>
    <row r="26" ht="33.95" customHeight="1">
      <c r="C26" s="126" t="inlineStr">
        <is>
          <t>Índice de Capital Nível I</t>
        </is>
      </c>
      <c r="D26" s="127" t="inlineStr">
        <is>
          <t>Capital Nível I ÷ RWA</t>
        </is>
      </c>
      <c r="E26" s="128" t="inlineStr">
        <is>
          <t>Model, linha 193</t>
        </is>
      </c>
      <c r="F26" s="127" t="inlineStr">
        <is>
          <t>Parcela de melhor qualidade do capital, composta por capital principal e complementar. É o índice que efetivamente limita crescimento de carteira e payout.</t>
        </is>
      </c>
    </row>
    <row r="27" ht="33.95" customHeight="1">
      <c r="C27" s="126" t="inlineStr">
        <is>
          <t>Alavancagem</t>
        </is>
      </c>
      <c r="D27" s="127" t="inlineStr">
        <is>
          <t>Ativo total ÷ patrimônio líquido</t>
        </is>
      </c>
      <c r="E27" s="128" t="inlineStr">
        <is>
          <t>Model, linha 194</t>
        </is>
      </c>
      <c r="F27" s="127" t="inlineStr">
        <is>
          <t>Quantas vezes o balanço multiplica o capital próprio.</t>
        </is>
      </c>
    </row>
    <row r="28" ht="33.95" customHeight="1">
      <c r="C28" s="126" t="inlineStr">
        <is>
          <t>LDR — Loan to Deposit Ratio</t>
        </is>
      </c>
      <c r="D28" s="127" t="inlineStr">
        <is>
          <t>Carteira de crédito ÷ depósitos</t>
        </is>
      </c>
      <c r="E28" s="128" t="inlineStr">
        <is>
          <t>Model, linha 195</t>
        </is>
      </c>
      <c r="F28" s="127" t="inlineStr">
        <is>
          <t>Dependência de funding de mercado. Acima de 100% o banco empresta mais do que capta em depósitos.</t>
        </is>
      </c>
    </row>
    <row r="29">
      <c r="C29" s="29" t="inlineStr">
        <is>
          <t>Valuation</t>
        </is>
      </c>
      <c r="D29" s="29" t="n"/>
      <c r="E29" s="29" t="n"/>
      <c r="F29" s="29" t="n"/>
    </row>
    <row r="30" ht="33.95" customHeight="1">
      <c r="C30" s="126" t="inlineStr">
        <is>
          <t>Ke — custo do capital próprio</t>
        </is>
      </c>
      <c r="D30" s="127" t="inlineStr">
        <is>
          <t>Rf + beta × prêmio de risco de mercado + prêmio de tamanho</t>
        </is>
      </c>
      <c r="E30" s="128" t="inlineStr">
        <is>
          <t>Inputs, premissas de valuation</t>
        </is>
      </c>
      <c r="F30" s="127" t="inlineStr">
        <is>
          <t>Para instituição financeira não se usa WACC: a dívida é insumo operacional, não estrutura de capital. Todo o fluxo é descontado ao custo do capital próprio.</t>
        </is>
      </c>
    </row>
    <row r="31" ht="33.95" customHeight="1">
      <c r="C31" s="126" t="inlineStr">
        <is>
          <t>Lucro residual (Excess Return)</t>
        </is>
      </c>
      <c r="D31" s="127" t="inlineStr">
        <is>
          <t>Lucro líquido do período menos Ke × patrimônio líquido inicial</t>
        </is>
      </c>
      <c r="E31" s="128" t="inlineStr">
        <is>
          <t>Valuation, Método 1</t>
        </is>
      </c>
      <c r="F31" s="127" t="inlineStr">
        <is>
          <t>Parcela do lucro que excede a remuneração exigida pelo acionista. Valor do equity = patrimônio líquido atual + valor presente dos lucros residuais futuros.</t>
        </is>
      </c>
    </row>
    <row r="32" ht="33.95" customHeight="1">
      <c r="C32" s="126" t="inlineStr">
        <is>
          <t>P/BV justificado</t>
        </is>
      </c>
      <c r="D32" s="127" t="inlineStr">
        <is>
          <t>(ROE sustentável – g) ÷ (Ke – g)</t>
        </is>
      </c>
      <c r="E32" s="128" t="inlineStr">
        <is>
          <t>Valuation, Método 3</t>
        </is>
      </c>
      <c r="F32" s="127" t="inlineStr">
        <is>
          <t>Relação fundamental de banco. Se o ROE sustentável iguala o custo de capital, o múltiplo justo é exatamente 1,0x patrimônio.</t>
        </is>
      </c>
    </row>
    <row r="33" ht="33.95" customHeight="1">
      <c r="C33" s="126" t="inlineStr">
        <is>
          <t>Payout consistente na perpetuidade</t>
        </is>
      </c>
      <c r="D33" s="127" t="inlineStr">
        <is>
          <t>1 – g ÷ ROE sustentável</t>
        </is>
      </c>
      <c r="E33" s="128" t="inlineStr">
        <is>
          <t>Inputs, premissas de valuation</t>
        </is>
      </c>
      <c r="F33" s="127" t="inlineStr">
        <is>
          <t>O payout na perpetuidade não é premissa livre: o capital retido é o que financia o crescimento.</t>
        </is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2026-09-24T10:03:02Z</dcterms:created>
  <dcterms:modified xmlns:dcterms="http://purl.org/dc/terms/" xmlns:xsi="http://www.w3.org/2001/XMLSchema-instance" xsi:type="dcterms:W3CDTF">2026-10-13T12:24:22Z</dcterms:modified>
  <cp:lastModifiedBy>Lucas Nascimento</cp:lastModifiedBy>
</cp:coreProperties>
</file>